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B1A9B474-C12E-40FF-8926-4BB617ED147E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パンツ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3" i="4" l="1"/>
  <c r="U253" i="4"/>
  <c r="Q253" i="4"/>
  <c r="V252" i="4"/>
  <c r="U252" i="4"/>
  <c r="Q252" i="4"/>
  <c r="Q220" i="4"/>
  <c r="V220" i="4" s="1"/>
  <c r="U220" i="4"/>
  <c r="Q247" i="4"/>
  <c r="V247" i="4" s="1"/>
  <c r="U247" i="4"/>
  <c r="Q248" i="4"/>
  <c r="V248" i="4" s="1"/>
  <c r="U248" i="4"/>
  <c r="Q249" i="4"/>
  <c r="U249" i="4"/>
  <c r="V249" i="4" s="1"/>
  <c r="Q250" i="4"/>
  <c r="V250" i="4" s="1"/>
  <c r="U250" i="4"/>
  <c r="Q251" i="4"/>
  <c r="V251" i="4" s="1"/>
  <c r="U251" i="4"/>
  <c r="Q254" i="4"/>
  <c r="U254" i="4"/>
  <c r="Q229" i="4"/>
  <c r="U229" i="4"/>
  <c r="V229" i="4" s="1"/>
  <c r="Q230" i="4"/>
  <c r="U230" i="4"/>
  <c r="V230" i="4"/>
  <c r="Q231" i="4"/>
  <c r="V231" i="4" s="1"/>
  <c r="U231" i="4"/>
  <c r="Q232" i="4"/>
  <c r="U232" i="4"/>
  <c r="V232" i="4" s="1"/>
  <c r="Q233" i="4"/>
  <c r="U233" i="4"/>
  <c r="V233" i="4"/>
  <c r="Q234" i="4"/>
  <c r="V234" i="4" s="1"/>
  <c r="U234" i="4"/>
  <c r="Q235" i="4"/>
  <c r="U235" i="4"/>
  <c r="V235" i="4"/>
  <c r="Q236" i="4"/>
  <c r="U236" i="4"/>
  <c r="V236" i="4"/>
  <c r="E229" i="4"/>
  <c r="J229" i="4" s="1"/>
  <c r="I229" i="4"/>
  <c r="E230" i="4"/>
  <c r="J230" i="4" s="1"/>
  <c r="I230" i="4"/>
  <c r="E231" i="4"/>
  <c r="J231" i="4" s="1"/>
  <c r="I231" i="4"/>
  <c r="E232" i="4"/>
  <c r="J232" i="4" s="1"/>
  <c r="I232" i="4"/>
  <c r="E220" i="4"/>
  <c r="J220" i="4" s="1"/>
  <c r="I220" i="4"/>
  <c r="H255" i="4"/>
  <c r="G255" i="4"/>
  <c r="F255" i="4"/>
  <c r="D255" i="4"/>
  <c r="C255" i="4"/>
  <c r="B255" i="4"/>
  <c r="E255" i="4" s="1"/>
  <c r="J254" i="4"/>
  <c r="I254" i="4"/>
  <c r="E254" i="4"/>
  <c r="I253" i="4"/>
  <c r="E253" i="4"/>
  <c r="J253" i="4" s="1"/>
  <c r="I252" i="4"/>
  <c r="E252" i="4"/>
  <c r="J252" i="4" s="1"/>
  <c r="J251" i="4"/>
  <c r="I251" i="4"/>
  <c r="E251" i="4"/>
  <c r="I250" i="4"/>
  <c r="E250" i="4"/>
  <c r="J250" i="4" s="1"/>
  <c r="I249" i="4"/>
  <c r="E249" i="4"/>
  <c r="J249" i="4" s="1"/>
  <c r="T255" i="4"/>
  <c r="S255" i="4"/>
  <c r="P255" i="4"/>
  <c r="O255" i="4"/>
  <c r="I248" i="4"/>
  <c r="E248" i="4"/>
  <c r="J248" i="4" s="1"/>
  <c r="I247" i="4"/>
  <c r="E247" i="4"/>
  <c r="J247" i="4" s="1"/>
  <c r="V246" i="4"/>
  <c r="U246" i="4"/>
  <c r="Q246" i="4"/>
  <c r="I246" i="4"/>
  <c r="E246" i="4"/>
  <c r="J246" i="4" s="1"/>
  <c r="U245" i="4"/>
  <c r="Q245" i="4"/>
  <c r="V245" i="4" s="1"/>
  <c r="J245" i="4"/>
  <c r="I245" i="4"/>
  <c r="E245" i="4"/>
  <c r="V244" i="4"/>
  <c r="U244" i="4"/>
  <c r="Q244" i="4"/>
  <c r="I244" i="4"/>
  <c r="E244" i="4"/>
  <c r="J244" i="4" s="1"/>
  <c r="U243" i="4"/>
  <c r="Q243" i="4"/>
  <c r="V243" i="4" s="1"/>
  <c r="I243" i="4"/>
  <c r="E243" i="4"/>
  <c r="J243" i="4" s="1"/>
  <c r="V242" i="4"/>
  <c r="U242" i="4"/>
  <c r="Q242" i="4"/>
  <c r="I242" i="4"/>
  <c r="E242" i="4"/>
  <c r="J242" i="4" s="1"/>
  <c r="U241" i="4"/>
  <c r="Q241" i="4"/>
  <c r="V241" i="4" s="1"/>
  <c r="J241" i="4"/>
  <c r="I241" i="4"/>
  <c r="E241" i="4"/>
  <c r="V240" i="4"/>
  <c r="U240" i="4"/>
  <c r="Q240" i="4"/>
  <c r="I240" i="4"/>
  <c r="J240" i="4" s="1"/>
  <c r="E240" i="4"/>
  <c r="U239" i="4"/>
  <c r="Q239" i="4"/>
  <c r="V239" i="4" s="1"/>
  <c r="I239" i="4"/>
  <c r="E239" i="4"/>
  <c r="J239" i="4" s="1"/>
  <c r="V238" i="4"/>
  <c r="U238" i="4"/>
  <c r="Q238" i="4"/>
  <c r="I238" i="4"/>
  <c r="E238" i="4"/>
  <c r="J238" i="4" s="1"/>
  <c r="U237" i="4"/>
  <c r="Q237" i="4"/>
  <c r="V237" i="4" s="1"/>
  <c r="J237" i="4"/>
  <c r="I237" i="4"/>
  <c r="E237" i="4"/>
  <c r="I236" i="4"/>
  <c r="J236" i="4" s="1"/>
  <c r="E236" i="4"/>
  <c r="I235" i="4"/>
  <c r="E235" i="4"/>
  <c r="J235" i="4" s="1"/>
  <c r="I234" i="4"/>
  <c r="E234" i="4"/>
  <c r="J234" i="4" s="1"/>
  <c r="J233" i="4"/>
  <c r="I233" i="4"/>
  <c r="E233" i="4"/>
  <c r="U227" i="4"/>
  <c r="Q227" i="4"/>
  <c r="V227" i="4" s="1"/>
  <c r="J227" i="4"/>
  <c r="I227" i="4"/>
  <c r="E227" i="4"/>
  <c r="V226" i="4"/>
  <c r="U226" i="4"/>
  <c r="Q226" i="4"/>
  <c r="I226" i="4"/>
  <c r="J226" i="4" s="1"/>
  <c r="E226" i="4"/>
  <c r="U225" i="4"/>
  <c r="Q225" i="4"/>
  <c r="V225" i="4" s="1"/>
  <c r="I225" i="4"/>
  <c r="E225" i="4"/>
  <c r="J225" i="4" s="1"/>
  <c r="V224" i="4"/>
  <c r="U224" i="4"/>
  <c r="Q224" i="4"/>
  <c r="I224" i="4"/>
  <c r="E224" i="4"/>
  <c r="J224" i="4" s="1"/>
  <c r="U223" i="4"/>
  <c r="Q223" i="4"/>
  <c r="V223" i="4" s="1"/>
  <c r="J223" i="4"/>
  <c r="I223" i="4"/>
  <c r="E223" i="4"/>
  <c r="V222" i="4"/>
  <c r="U222" i="4"/>
  <c r="Q222" i="4"/>
  <c r="I222" i="4"/>
  <c r="J222" i="4" s="1"/>
  <c r="E222" i="4"/>
  <c r="U221" i="4"/>
  <c r="Q221" i="4"/>
  <c r="V221" i="4" s="1"/>
  <c r="I221" i="4"/>
  <c r="E221" i="4"/>
  <c r="J221" i="4" s="1"/>
  <c r="U163" i="4"/>
  <c r="Q107" i="4"/>
  <c r="U107" i="4"/>
  <c r="V107" i="4"/>
  <c r="U161" i="4"/>
  <c r="U164" i="4"/>
  <c r="I95" i="4"/>
  <c r="E95" i="4"/>
  <c r="J95" i="4" s="1"/>
  <c r="I94" i="4"/>
  <c r="E94" i="4"/>
  <c r="J94" i="4" s="1"/>
  <c r="U209" i="4"/>
  <c r="Q209" i="4"/>
  <c r="U208" i="4"/>
  <c r="Q208" i="4"/>
  <c r="U207" i="4"/>
  <c r="Q207" i="4"/>
  <c r="U206" i="4"/>
  <c r="Q206" i="4"/>
  <c r="Q161" i="4"/>
  <c r="H212" i="4"/>
  <c r="G212" i="4"/>
  <c r="F212" i="4"/>
  <c r="D212" i="4"/>
  <c r="C212" i="4"/>
  <c r="B212" i="4"/>
  <c r="I211" i="4"/>
  <c r="E211" i="4"/>
  <c r="I210" i="4"/>
  <c r="E210" i="4"/>
  <c r="J210" i="4" s="1"/>
  <c r="I209" i="4"/>
  <c r="J209" i="4" s="1"/>
  <c r="E209" i="4"/>
  <c r="I208" i="4"/>
  <c r="E208" i="4"/>
  <c r="J208" i="4" s="1"/>
  <c r="I207" i="4"/>
  <c r="E207" i="4"/>
  <c r="J207" i="4" s="1"/>
  <c r="I206" i="4"/>
  <c r="E206" i="4"/>
  <c r="J206" i="4" s="1"/>
  <c r="I205" i="4"/>
  <c r="E205" i="4"/>
  <c r="I204" i="4"/>
  <c r="E204" i="4"/>
  <c r="I203" i="4"/>
  <c r="E203" i="4"/>
  <c r="J203" i="4" s="1"/>
  <c r="I202" i="4"/>
  <c r="E202" i="4"/>
  <c r="I201" i="4"/>
  <c r="E201" i="4"/>
  <c r="I200" i="4"/>
  <c r="E200" i="4"/>
  <c r="J200" i="4" s="1"/>
  <c r="I199" i="4"/>
  <c r="E199" i="4"/>
  <c r="I198" i="4"/>
  <c r="E198" i="4"/>
  <c r="J198" i="4" s="1"/>
  <c r="I197" i="4"/>
  <c r="E197" i="4"/>
  <c r="J197" i="4" s="1"/>
  <c r="I196" i="4"/>
  <c r="J196" i="4" s="1"/>
  <c r="E196" i="4"/>
  <c r="I195" i="4"/>
  <c r="E195" i="4"/>
  <c r="I194" i="4"/>
  <c r="E194" i="4"/>
  <c r="I193" i="4"/>
  <c r="E193" i="4"/>
  <c r="J193" i="4" s="1"/>
  <c r="I192" i="4"/>
  <c r="E192" i="4"/>
  <c r="J192" i="4" s="1"/>
  <c r="I191" i="4"/>
  <c r="E191" i="4"/>
  <c r="I190" i="4"/>
  <c r="E190" i="4"/>
  <c r="J190" i="4" s="1"/>
  <c r="I189" i="4"/>
  <c r="E189" i="4"/>
  <c r="J189" i="4" s="1"/>
  <c r="I188" i="4"/>
  <c r="E188" i="4"/>
  <c r="I187" i="4"/>
  <c r="E187" i="4"/>
  <c r="J187" i="4" s="1"/>
  <c r="I186" i="4"/>
  <c r="E186" i="4"/>
  <c r="I184" i="4"/>
  <c r="E184" i="4"/>
  <c r="J184" i="4" s="1"/>
  <c r="I183" i="4"/>
  <c r="E183" i="4"/>
  <c r="J183" i="4" s="1"/>
  <c r="I182" i="4"/>
  <c r="E182" i="4"/>
  <c r="I181" i="4"/>
  <c r="E181" i="4"/>
  <c r="J181" i="4" s="1"/>
  <c r="I180" i="4"/>
  <c r="E180" i="4"/>
  <c r="I179" i="4"/>
  <c r="E179" i="4"/>
  <c r="J179" i="4" s="1"/>
  <c r="I178" i="4"/>
  <c r="E178" i="4"/>
  <c r="I177" i="4"/>
  <c r="E177" i="4"/>
  <c r="Q159" i="4"/>
  <c r="U159" i="4"/>
  <c r="Q160" i="4"/>
  <c r="U160" i="4"/>
  <c r="Q162" i="4"/>
  <c r="U162" i="4"/>
  <c r="Q163" i="4"/>
  <c r="Q164" i="4"/>
  <c r="Q165" i="4"/>
  <c r="U165" i="4"/>
  <c r="Q166" i="4"/>
  <c r="U166" i="4"/>
  <c r="Q192" i="4"/>
  <c r="U192" i="4"/>
  <c r="Q193" i="4"/>
  <c r="V193" i="4" s="1"/>
  <c r="U193" i="4"/>
  <c r="Q194" i="4"/>
  <c r="U194" i="4"/>
  <c r="Q195" i="4"/>
  <c r="V195" i="4" s="1"/>
  <c r="U195" i="4"/>
  <c r="U211" i="4"/>
  <c r="Q211" i="4"/>
  <c r="U210" i="4"/>
  <c r="Q210" i="4"/>
  <c r="Q203" i="4"/>
  <c r="U203" i="4"/>
  <c r="V203" i="4" s="1"/>
  <c r="Q204" i="4"/>
  <c r="U204" i="4"/>
  <c r="Q205" i="4"/>
  <c r="U205" i="4"/>
  <c r="T212" i="4"/>
  <c r="S212" i="4"/>
  <c r="R212" i="4"/>
  <c r="P212" i="4"/>
  <c r="O212" i="4"/>
  <c r="N212" i="4"/>
  <c r="U202" i="4"/>
  <c r="V202" i="4" s="1"/>
  <c r="Q202" i="4"/>
  <c r="U201" i="4"/>
  <c r="Q201" i="4"/>
  <c r="V201" i="4" s="1"/>
  <c r="U200" i="4"/>
  <c r="Q200" i="4"/>
  <c r="U199" i="4"/>
  <c r="Q199" i="4"/>
  <c r="V199" i="4" s="1"/>
  <c r="U198" i="4"/>
  <c r="Q198" i="4"/>
  <c r="V198" i="4" s="1"/>
  <c r="U197" i="4"/>
  <c r="Q197" i="4"/>
  <c r="U196" i="4"/>
  <c r="Q196" i="4"/>
  <c r="V196" i="4" s="1"/>
  <c r="U191" i="4"/>
  <c r="Q191" i="4"/>
  <c r="U190" i="4"/>
  <c r="Q190" i="4"/>
  <c r="U189" i="4"/>
  <c r="Q189" i="4"/>
  <c r="U188" i="4"/>
  <c r="Q188" i="4"/>
  <c r="U187" i="4"/>
  <c r="Q187" i="4"/>
  <c r="U186" i="4"/>
  <c r="Q186" i="4"/>
  <c r="V184" i="4"/>
  <c r="U184" i="4"/>
  <c r="Q184" i="4"/>
  <c r="U183" i="4"/>
  <c r="V183" i="4" s="1"/>
  <c r="Q183" i="4"/>
  <c r="U182" i="4"/>
  <c r="Q182" i="4"/>
  <c r="V182" i="4" s="1"/>
  <c r="U181" i="4"/>
  <c r="Q181" i="4"/>
  <c r="U180" i="4"/>
  <c r="Q180" i="4"/>
  <c r="U179" i="4"/>
  <c r="Q179" i="4"/>
  <c r="U178" i="4"/>
  <c r="Q178" i="4"/>
  <c r="U177" i="4"/>
  <c r="Q177" i="4"/>
  <c r="U121" i="4"/>
  <c r="Q121" i="4"/>
  <c r="U122" i="4"/>
  <c r="Q122" i="4"/>
  <c r="U123" i="4"/>
  <c r="V123" i="4" s="1"/>
  <c r="Q123" i="4"/>
  <c r="H169" i="4"/>
  <c r="G169" i="4"/>
  <c r="F169" i="4"/>
  <c r="D169" i="4"/>
  <c r="C169" i="4"/>
  <c r="B169" i="4"/>
  <c r="I168" i="4"/>
  <c r="J168" i="4" s="1"/>
  <c r="E168" i="4"/>
  <c r="I167" i="4"/>
  <c r="E167" i="4"/>
  <c r="J167" i="4" s="1"/>
  <c r="I166" i="4"/>
  <c r="E166" i="4"/>
  <c r="I165" i="4"/>
  <c r="E165" i="4"/>
  <c r="I164" i="4"/>
  <c r="J164" i="4" s="1"/>
  <c r="E164" i="4"/>
  <c r="I163" i="4"/>
  <c r="E163" i="4"/>
  <c r="I162" i="4"/>
  <c r="E162" i="4"/>
  <c r="J161" i="4"/>
  <c r="I161" i="4"/>
  <c r="E161" i="4"/>
  <c r="I160" i="4"/>
  <c r="E160" i="4"/>
  <c r="I159" i="4"/>
  <c r="E159" i="4"/>
  <c r="I158" i="4"/>
  <c r="E158" i="4"/>
  <c r="J158" i="4" s="1"/>
  <c r="J157" i="4"/>
  <c r="I157" i="4"/>
  <c r="E157" i="4"/>
  <c r="I156" i="4"/>
  <c r="E156" i="4"/>
  <c r="I155" i="4"/>
  <c r="E155" i="4"/>
  <c r="I154" i="4"/>
  <c r="E154" i="4"/>
  <c r="I153" i="4"/>
  <c r="E153" i="4"/>
  <c r="J153" i="4" s="1"/>
  <c r="I152" i="4"/>
  <c r="E152" i="4"/>
  <c r="I151" i="4"/>
  <c r="E151" i="4"/>
  <c r="J151" i="4" s="1"/>
  <c r="I150" i="4"/>
  <c r="E150" i="4"/>
  <c r="I149" i="4"/>
  <c r="E149" i="4"/>
  <c r="I148" i="4"/>
  <c r="J148" i="4" s="1"/>
  <c r="E148" i="4"/>
  <c r="I147" i="4"/>
  <c r="E147" i="4"/>
  <c r="J147" i="4" s="1"/>
  <c r="I146" i="4"/>
  <c r="E146" i="4"/>
  <c r="I145" i="4"/>
  <c r="J145" i="4" s="1"/>
  <c r="E145" i="4"/>
  <c r="I144" i="4"/>
  <c r="E144" i="4"/>
  <c r="I143" i="4"/>
  <c r="E143" i="4"/>
  <c r="I141" i="4"/>
  <c r="E141" i="4"/>
  <c r="J141" i="4" s="1"/>
  <c r="I140" i="4"/>
  <c r="E140" i="4"/>
  <c r="I139" i="4"/>
  <c r="E139" i="4"/>
  <c r="J139" i="4" s="1"/>
  <c r="I138" i="4"/>
  <c r="J138" i="4" s="1"/>
  <c r="E138" i="4"/>
  <c r="I137" i="4"/>
  <c r="E137" i="4"/>
  <c r="I136" i="4"/>
  <c r="E136" i="4"/>
  <c r="I135" i="4"/>
  <c r="J135" i="4" s="1"/>
  <c r="E135" i="4"/>
  <c r="I134" i="4"/>
  <c r="E134" i="4"/>
  <c r="H126" i="4"/>
  <c r="G126" i="4"/>
  <c r="F126" i="4"/>
  <c r="D126" i="4"/>
  <c r="C126" i="4"/>
  <c r="B126" i="4"/>
  <c r="I125" i="4"/>
  <c r="E125" i="4"/>
  <c r="I124" i="4"/>
  <c r="E124" i="4"/>
  <c r="I123" i="4"/>
  <c r="E123" i="4"/>
  <c r="J123" i="4" s="1"/>
  <c r="J122" i="4"/>
  <c r="I122" i="4"/>
  <c r="E122" i="4"/>
  <c r="I121" i="4"/>
  <c r="E121" i="4"/>
  <c r="I120" i="4"/>
  <c r="E120" i="4"/>
  <c r="I119" i="4"/>
  <c r="E119" i="4"/>
  <c r="J119" i="4" s="1"/>
  <c r="I118" i="4"/>
  <c r="E118" i="4"/>
  <c r="J118" i="4" s="1"/>
  <c r="I117" i="4"/>
  <c r="J117" i="4" s="1"/>
  <c r="E117" i="4"/>
  <c r="I116" i="4"/>
  <c r="E116" i="4"/>
  <c r="J116" i="4" s="1"/>
  <c r="I115" i="4"/>
  <c r="E115" i="4"/>
  <c r="I114" i="4"/>
  <c r="E114" i="4"/>
  <c r="J114" i="4" s="1"/>
  <c r="I113" i="4"/>
  <c r="E113" i="4"/>
  <c r="I112" i="4"/>
  <c r="E112" i="4"/>
  <c r="J112" i="4" s="1"/>
  <c r="I111" i="4"/>
  <c r="E111" i="4"/>
  <c r="I110" i="4"/>
  <c r="J110" i="4" s="1"/>
  <c r="E110" i="4"/>
  <c r="I109" i="4"/>
  <c r="E109" i="4"/>
  <c r="I108" i="4"/>
  <c r="E108" i="4"/>
  <c r="I107" i="4"/>
  <c r="E107" i="4"/>
  <c r="J106" i="4"/>
  <c r="I106" i="4"/>
  <c r="E106" i="4"/>
  <c r="I105" i="4"/>
  <c r="E105" i="4"/>
  <c r="I104" i="4"/>
  <c r="E104" i="4"/>
  <c r="I103" i="4"/>
  <c r="E103" i="4"/>
  <c r="J103" i="4" s="1"/>
  <c r="I102" i="4"/>
  <c r="E102" i="4"/>
  <c r="J102" i="4" s="1"/>
  <c r="I101" i="4"/>
  <c r="E101" i="4"/>
  <c r="I100" i="4"/>
  <c r="E100" i="4"/>
  <c r="J100" i="4" s="1"/>
  <c r="I98" i="4"/>
  <c r="E98" i="4"/>
  <c r="I97" i="4"/>
  <c r="E97" i="4"/>
  <c r="J97" i="4" s="1"/>
  <c r="I96" i="4"/>
  <c r="E96" i="4"/>
  <c r="J96" i="4" s="1"/>
  <c r="I93" i="4"/>
  <c r="E93" i="4"/>
  <c r="J93" i="4" s="1"/>
  <c r="I92" i="4"/>
  <c r="E92" i="4"/>
  <c r="I91" i="4"/>
  <c r="E91" i="4"/>
  <c r="Q77" i="4"/>
  <c r="U77" i="4"/>
  <c r="V77" i="4"/>
  <c r="Q78" i="4"/>
  <c r="V78" i="4" s="1"/>
  <c r="U78" i="4"/>
  <c r="Q79" i="4"/>
  <c r="U79" i="4"/>
  <c r="Q80" i="4"/>
  <c r="V80" i="4" s="1"/>
  <c r="U80" i="4"/>
  <c r="Q81" i="4"/>
  <c r="U81" i="4"/>
  <c r="U82" i="4"/>
  <c r="Q82" i="4"/>
  <c r="T169" i="4"/>
  <c r="R169" i="4"/>
  <c r="P169" i="4"/>
  <c r="O169" i="4"/>
  <c r="N169" i="4"/>
  <c r="U168" i="4"/>
  <c r="Q168" i="4"/>
  <c r="V168" i="4" s="1"/>
  <c r="U167" i="4"/>
  <c r="Q167" i="4"/>
  <c r="U158" i="4"/>
  <c r="V158" i="4" s="1"/>
  <c r="Q158" i="4"/>
  <c r="U157" i="4"/>
  <c r="Q157" i="4"/>
  <c r="V157" i="4" s="1"/>
  <c r="U156" i="4"/>
  <c r="Q156" i="4"/>
  <c r="V156" i="4" s="1"/>
  <c r="U155" i="4"/>
  <c r="Q155" i="4"/>
  <c r="U154" i="4"/>
  <c r="Q154" i="4"/>
  <c r="U153" i="4"/>
  <c r="Q153" i="4"/>
  <c r="U152" i="4"/>
  <c r="Q152" i="4"/>
  <c r="U151" i="4"/>
  <c r="Q151" i="4"/>
  <c r="V151" i="4" s="1"/>
  <c r="U150" i="4"/>
  <c r="V150" i="4" s="1"/>
  <c r="Q150" i="4"/>
  <c r="U149" i="4"/>
  <c r="Q149" i="4"/>
  <c r="U148" i="4"/>
  <c r="Q148" i="4"/>
  <c r="U147" i="4"/>
  <c r="Q147" i="4"/>
  <c r="V147" i="4" s="1"/>
  <c r="U146" i="4"/>
  <c r="Q146" i="4"/>
  <c r="U145" i="4"/>
  <c r="Q145" i="4"/>
  <c r="U144" i="4"/>
  <c r="Q144" i="4"/>
  <c r="V144" i="4" s="1"/>
  <c r="U143" i="4"/>
  <c r="Q143" i="4"/>
  <c r="V143" i="4" s="1"/>
  <c r="U141" i="4"/>
  <c r="V141" i="4" s="1"/>
  <c r="Q141" i="4"/>
  <c r="U140" i="4"/>
  <c r="Q140" i="4"/>
  <c r="V140" i="4" s="1"/>
  <c r="U139" i="4"/>
  <c r="Q139" i="4"/>
  <c r="V139" i="4" s="1"/>
  <c r="V138" i="4"/>
  <c r="U138" i="4"/>
  <c r="Q138" i="4"/>
  <c r="U137" i="4"/>
  <c r="V137" i="4" s="1"/>
  <c r="Q137" i="4"/>
  <c r="U136" i="4"/>
  <c r="Q136" i="4"/>
  <c r="U135" i="4"/>
  <c r="Q135" i="4"/>
  <c r="V135" i="4" s="1"/>
  <c r="V134" i="4"/>
  <c r="U134" i="4"/>
  <c r="Q134" i="4"/>
  <c r="Q120" i="4"/>
  <c r="U120" i="4"/>
  <c r="Q93" i="4"/>
  <c r="U93" i="4"/>
  <c r="V93" i="4"/>
  <c r="Q94" i="4"/>
  <c r="V94" i="4" s="1"/>
  <c r="U94" i="4"/>
  <c r="T126" i="4"/>
  <c r="S126" i="4"/>
  <c r="R126" i="4"/>
  <c r="P126" i="4"/>
  <c r="O126" i="4"/>
  <c r="N126" i="4"/>
  <c r="U125" i="4"/>
  <c r="Q125" i="4"/>
  <c r="U124" i="4"/>
  <c r="Q124" i="4"/>
  <c r="V119" i="4"/>
  <c r="U119" i="4"/>
  <c r="Q119" i="4"/>
  <c r="U118" i="4"/>
  <c r="V118" i="4" s="1"/>
  <c r="Q118" i="4"/>
  <c r="U117" i="4"/>
  <c r="Q117" i="4"/>
  <c r="V117" i="4" s="1"/>
  <c r="U116" i="4"/>
  <c r="Q116" i="4"/>
  <c r="U115" i="4"/>
  <c r="Q115" i="4"/>
  <c r="V115" i="4" s="1"/>
  <c r="U114" i="4"/>
  <c r="Q114" i="4"/>
  <c r="V114" i="4" s="1"/>
  <c r="U113" i="4"/>
  <c r="Q113" i="4"/>
  <c r="U112" i="4"/>
  <c r="Q112" i="4"/>
  <c r="V112" i="4" s="1"/>
  <c r="V111" i="4"/>
  <c r="U111" i="4"/>
  <c r="Q111" i="4"/>
  <c r="U110" i="4"/>
  <c r="V110" i="4" s="1"/>
  <c r="Q110" i="4"/>
  <c r="U109" i="4"/>
  <c r="Q109" i="4"/>
  <c r="V109" i="4" s="1"/>
  <c r="U108" i="4"/>
  <c r="Q108" i="4"/>
  <c r="U106" i="4"/>
  <c r="Q106" i="4"/>
  <c r="V106" i="4" s="1"/>
  <c r="U105" i="4"/>
  <c r="Q105" i="4"/>
  <c r="U104" i="4"/>
  <c r="Q104" i="4"/>
  <c r="U103" i="4"/>
  <c r="Q103" i="4"/>
  <c r="V103" i="4" s="1"/>
  <c r="U102" i="4"/>
  <c r="Q102" i="4"/>
  <c r="U101" i="4"/>
  <c r="Q101" i="4"/>
  <c r="U100" i="4"/>
  <c r="Q100" i="4"/>
  <c r="U98" i="4"/>
  <c r="Q98" i="4"/>
  <c r="V98" i="4" s="1"/>
  <c r="V97" i="4"/>
  <c r="U97" i="4"/>
  <c r="Q97" i="4"/>
  <c r="U96" i="4"/>
  <c r="V96" i="4" s="1"/>
  <c r="Q96" i="4"/>
  <c r="U95" i="4"/>
  <c r="Q95" i="4"/>
  <c r="V95" i="4" s="1"/>
  <c r="V92" i="4"/>
  <c r="U92" i="4"/>
  <c r="Q92" i="4"/>
  <c r="U91" i="4"/>
  <c r="Q91" i="4"/>
  <c r="V91" i="4" s="1"/>
  <c r="O23" i="4"/>
  <c r="Q8" i="4"/>
  <c r="U8" i="4"/>
  <c r="V8" i="4" s="1"/>
  <c r="U7" i="4"/>
  <c r="Q7" i="4"/>
  <c r="U50" i="4"/>
  <c r="Q50" i="4"/>
  <c r="V50" i="4" s="1"/>
  <c r="Q27" i="4"/>
  <c r="U27" i="4"/>
  <c r="Q28" i="4"/>
  <c r="U28" i="4"/>
  <c r="Q29" i="4"/>
  <c r="U29" i="4"/>
  <c r="Q30" i="4"/>
  <c r="V30" i="4" s="1"/>
  <c r="U30" i="4"/>
  <c r="Q31" i="4"/>
  <c r="V31" i="4" s="1"/>
  <c r="U31" i="4"/>
  <c r="Q32" i="4"/>
  <c r="U32" i="4"/>
  <c r="V32" i="4"/>
  <c r="Q33" i="4"/>
  <c r="V33" i="4" s="1"/>
  <c r="U33" i="4"/>
  <c r="Q34" i="4"/>
  <c r="U34" i="4"/>
  <c r="V34" i="4" s="1"/>
  <c r="Q35" i="4"/>
  <c r="U35" i="4"/>
  <c r="Q36" i="4"/>
  <c r="V36" i="4" s="1"/>
  <c r="U36" i="4"/>
  <c r="Q37" i="4"/>
  <c r="U37" i="4"/>
  <c r="Q38" i="4"/>
  <c r="U38" i="4"/>
  <c r="U60" i="4"/>
  <c r="Q60" i="4"/>
  <c r="U59" i="4"/>
  <c r="Q59" i="4"/>
  <c r="E58" i="4"/>
  <c r="I58" i="4"/>
  <c r="U58" i="4"/>
  <c r="Q58" i="4"/>
  <c r="U57" i="4"/>
  <c r="Q57" i="4"/>
  <c r="E34" i="4"/>
  <c r="I34" i="4"/>
  <c r="U26" i="4"/>
  <c r="Q26" i="4"/>
  <c r="U25" i="4"/>
  <c r="Q25" i="4"/>
  <c r="U22" i="4"/>
  <c r="Q22" i="4"/>
  <c r="H40" i="4"/>
  <c r="D40" i="4"/>
  <c r="U17" i="4"/>
  <c r="Q17" i="4"/>
  <c r="U39" i="4"/>
  <c r="Q39" i="4"/>
  <c r="Q53" i="4"/>
  <c r="U53" i="4"/>
  <c r="U15" i="4"/>
  <c r="Q15" i="4"/>
  <c r="Q55" i="4"/>
  <c r="U55" i="4"/>
  <c r="Q9" i="4"/>
  <c r="V9" i="4" s="1"/>
  <c r="U9" i="4"/>
  <c r="Q48" i="4"/>
  <c r="U48" i="4"/>
  <c r="V48" i="4" s="1"/>
  <c r="Q49" i="4"/>
  <c r="V49" i="4" s="1"/>
  <c r="U49" i="4"/>
  <c r="Q51" i="4"/>
  <c r="U51" i="4"/>
  <c r="V51" i="4" s="1"/>
  <c r="Q52" i="4"/>
  <c r="U52" i="4"/>
  <c r="Q54" i="4"/>
  <c r="U54" i="4"/>
  <c r="Q61" i="4"/>
  <c r="V61" i="4" s="1"/>
  <c r="U61" i="4"/>
  <c r="Q62" i="4"/>
  <c r="U62" i="4"/>
  <c r="Q63" i="4"/>
  <c r="V63" i="4" s="1"/>
  <c r="U63" i="4"/>
  <c r="Q64" i="4"/>
  <c r="U64" i="4"/>
  <c r="Q65" i="4"/>
  <c r="V65" i="4" s="1"/>
  <c r="U65" i="4"/>
  <c r="Q66" i="4"/>
  <c r="U66" i="4"/>
  <c r="V66" i="4" s="1"/>
  <c r="Q67" i="4"/>
  <c r="U67" i="4"/>
  <c r="Q68" i="4"/>
  <c r="U68" i="4"/>
  <c r="Q69" i="4"/>
  <c r="V69" i="4" s="1"/>
  <c r="U69" i="4"/>
  <c r="Q70" i="4"/>
  <c r="U70" i="4"/>
  <c r="V70" i="4" s="1"/>
  <c r="Q71" i="4"/>
  <c r="V71" i="4" s="1"/>
  <c r="U71" i="4"/>
  <c r="Q72" i="4"/>
  <c r="U72" i="4"/>
  <c r="Q73" i="4"/>
  <c r="V73" i="4" s="1"/>
  <c r="U73" i="4"/>
  <c r="Q74" i="4"/>
  <c r="U74" i="4"/>
  <c r="Q75" i="4"/>
  <c r="V75" i="4" s="1"/>
  <c r="U75" i="4"/>
  <c r="Q76" i="4"/>
  <c r="U76" i="4"/>
  <c r="V76" i="4" s="1"/>
  <c r="N83" i="4"/>
  <c r="O83" i="4"/>
  <c r="P83" i="4"/>
  <c r="R83" i="4"/>
  <c r="S83" i="4"/>
  <c r="T83" i="4"/>
  <c r="E48" i="4"/>
  <c r="I48" i="4"/>
  <c r="J48" i="4" s="1"/>
  <c r="E49" i="4"/>
  <c r="I49" i="4"/>
  <c r="E50" i="4"/>
  <c r="I50" i="4"/>
  <c r="E51" i="4"/>
  <c r="J51" i="4" s="1"/>
  <c r="I51" i="4"/>
  <c r="E52" i="4"/>
  <c r="I52" i="4"/>
  <c r="E53" i="4"/>
  <c r="I53" i="4"/>
  <c r="E54" i="4"/>
  <c r="I54" i="4"/>
  <c r="E55" i="4"/>
  <c r="I55" i="4"/>
  <c r="E57" i="4"/>
  <c r="I57" i="4"/>
  <c r="E59" i="4"/>
  <c r="I59" i="4"/>
  <c r="E60" i="4"/>
  <c r="I60" i="4"/>
  <c r="E61" i="4"/>
  <c r="I61" i="4"/>
  <c r="E62" i="4"/>
  <c r="I62" i="4"/>
  <c r="E63" i="4"/>
  <c r="J63" i="4" s="1"/>
  <c r="I63" i="4"/>
  <c r="E64" i="4"/>
  <c r="I64" i="4"/>
  <c r="J64" i="4" s="1"/>
  <c r="E65" i="4"/>
  <c r="I65" i="4"/>
  <c r="E66" i="4"/>
  <c r="I66" i="4"/>
  <c r="E67" i="4"/>
  <c r="I67" i="4"/>
  <c r="E68" i="4"/>
  <c r="I68" i="4"/>
  <c r="E69" i="4"/>
  <c r="J69" i="4" s="1"/>
  <c r="I69" i="4"/>
  <c r="E70" i="4"/>
  <c r="I70" i="4"/>
  <c r="E71" i="4"/>
  <c r="I71" i="4"/>
  <c r="E72" i="4"/>
  <c r="I72" i="4"/>
  <c r="E73" i="4"/>
  <c r="I73" i="4"/>
  <c r="E74" i="4"/>
  <c r="I74" i="4"/>
  <c r="E75" i="4"/>
  <c r="J75" i="4" s="1"/>
  <c r="I75" i="4"/>
  <c r="E76" i="4"/>
  <c r="I76" i="4"/>
  <c r="E77" i="4"/>
  <c r="J77" i="4" s="1"/>
  <c r="I77" i="4"/>
  <c r="E78" i="4"/>
  <c r="I78" i="4"/>
  <c r="E79" i="4"/>
  <c r="I79" i="4"/>
  <c r="E80" i="4"/>
  <c r="I80" i="4"/>
  <c r="E81" i="4"/>
  <c r="I81" i="4"/>
  <c r="E82" i="4"/>
  <c r="I82" i="4"/>
  <c r="J82" i="4" s="1"/>
  <c r="B83" i="4"/>
  <c r="C83" i="4"/>
  <c r="D83" i="4"/>
  <c r="F83" i="4"/>
  <c r="G83" i="4"/>
  <c r="H83" i="4"/>
  <c r="Q4" i="4"/>
  <c r="U4" i="4"/>
  <c r="V4" i="4" s="1"/>
  <c r="Q5" i="4"/>
  <c r="U5" i="4"/>
  <c r="Q6" i="4"/>
  <c r="U6" i="4"/>
  <c r="Q10" i="4"/>
  <c r="U10" i="4"/>
  <c r="Q11" i="4"/>
  <c r="U11" i="4"/>
  <c r="Q12" i="4"/>
  <c r="U12" i="4"/>
  <c r="N13" i="4"/>
  <c r="O13" i="4"/>
  <c r="P13" i="4"/>
  <c r="R13" i="4"/>
  <c r="S13" i="4"/>
  <c r="T13" i="4"/>
  <c r="Q14" i="4"/>
  <c r="U14" i="4"/>
  <c r="Q16" i="4"/>
  <c r="U16" i="4"/>
  <c r="Q18" i="4"/>
  <c r="V18" i="4" s="1"/>
  <c r="U18" i="4"/>
  <c r="Q19" i="4"/>
  <c r="U19" i="4"/>
  <c r="Q20" i="4"/>
  <c r="V20" i="4" s="1"/>
  <c r="U20" i="4"/>
  <c r="Q21" i="4"/>
  <c r="U21" i="4"/>
  <c r="Q23" i="4"/>
  <c r="V23" i="4" s="1"/>
  <c r="U23" i="4"/>
  <c r="Q24" i="4"/>
  <c r="U24" i="4"/>
  <c r="V24" i="4" s="1"/>
  <c r="N40" i="4"/>
  <c r="O40" i="4"/>
  <c r="P40" i="4"/>
  <c r="R40" i="4"/>
  <c r="S40" i="4"/>
  <c r="T40" i="4"/>
  <c r="J76" i="4"/>
  <c r="J79" i="4"/>
  <c r="J50" i="4"/>
  <c r="B13" i="4"/>
  <c r="B40" i="4"/>
  <c r="C13" i="4"/>
  <c r="C40" i="4"/>
  <c r="D13" i="4"/>
  <c r="F13" i="4"/>
  <c r="F40" i="4"/>
  <c r="G13" i="4"/>
  <c r="G40" i="4"/>
  <c r="H13" i="4"/>
  <c r="I39" i="4"/>
  <c r="E39" i="4"/>
  <c r="I38" i="4"/>
  <c r="E38" i="4"/>
  <c r="I37" i="4"/>
  <c r="E37" i="4"/>
  <c r="I36" i="4"/>
  <c r="E36" i="4"/>
  <c r="I35" i="4"/>
  <c r="E35" i="4"/>
  <c r="I33" i="4"/>
  <c r="E33" i="4"/>
  <c r="I32" i="4"/>
  <c r="E32" i="4"/>
  <c r="I31" i="4"/>
  <c r="E31" i="4"/>
  <c r="I30" i="4"/>
  <c r="E30" i="4"/>
  <c r="J30" i="4" s="1"/>
  <c r="I29" i="4"/>
  <c r="E29" i="4"/>
  <c r="I28" i="4"/>
  <c r="E28" i="4"/>
  <c r="J28" i="4" s="1"/>
  <c r="I27" i="4"/>
  <c r="E27" i="4"/>
  <c r="I26" i="4"/>
  <c r="E26" i="4"/>
  <c r="I25" i="4"/>
  <c r="E25" i="4"/>
  <c r="I24" i="4"/>
  <c r="E24" i="4"/>
  <c r="I23" i="4"/>
  <c r="E23" i="4"/>
  <c r="I22" i="4"/>
  <c r="E22" i="4"/>
  <c r="J22" i="4" s="1"/>
  <c r="I21" i="4"/>
  <c r="E21" i="4"/>
  <c r="I20" i="4"/>
  <c r="E20" i="4"/>
  <c r="E19" i="4"/>
  <c r="I18" i="4"/>
  <c r="E18" i="4"/>
  <c r="I17" i="4"/>
  <c r="E17" i="4"/>
  <c r="J17" i="4" s="1"/>
  <c r="I16" i="4"/>
  <c r="E16" i="4"/>
  <c r="I15" i="4"/>
  <c r="E15" i="4"/>
  <c r="I14" i="4"/>
  <c r="E14" i="4"/>
  <c r="I12" i="4"/>
  <c r="E12" i="4"/>
  <c r="I11" i="4"/>
  <c r="E11" i="4"/>
  <c r="I10" i="4"/>
  <c r="E10" i="4"/>
  <c r="J10" i="4" s="1"/>
  <c r="I9" i="4"/>
  <c r="E9" i="4"/>
  <c r="I8" i="4"/>
  <c r="E8" i="4"/>
  <c r="J8" i="4" s="1"/>
  <c r="I7" i="4"/>
  <c r="E7" i="4"/>
  <c r="I6" i="4"/>
  <c r="E6" i="4"/>
  <c r="I5" i="4"/>
  <c r="E5" i="4"/>
  <c r="I4" i="4"/>
  <c r="E4" i="4"/>
  <c r="J37" i="4"/>
  <c r="J205" i="4" l="1"/>
  <c r="V180" i="4"/>
  <c r="J204" i="4"/>
  <c r="V179" i="4"/>
  <c r="J182" i="4"/>
  <c r="J201" i="4"/>
  <c r="V197" i="4"/>
  <c r="J195" i="4"/>
  <c r="E212" i="4"/>
  <c r="J178" i="4"/>
  <c r="V254" i="4"/>
  <c r="I255" i="4"/>
  <c r="J255" i="4" s="1"/>
  <c r="J228" i="4"/>
  <c r="R255" i="4"/>
  <c r="U255" i="4" s="1"/>
  <c r="N255" i="4"/>
  <c r="Q255" i="4" s="1"/>
  <c r="V190" i="4"/>
  <c r="J188" i="4"/>
  <c r="V177" i="4"/>
  <c r="J137" i="4"/>
  <c r="V207" i="4"/>
  <c r="V186" i="4"/>
  <c r="J156" i="4"/>
  <c r="V165" i="4"/>
  <c r="J152" i="4"/>
  <c r="V155" i="4"/>
  <c r="V154" i="4"/>
  <c r="V152" i="4"/>
  <c r="J149" i="4"/>
  <c r="V149" i="4"/>
  <c r="V148" i="4"/>
  <c r="V146" i="4"/>
  <c r="J113" i="4"/>
  <c r="V206" i="4"/>
  <c r="V204" i="4"/>
  <c r="V161" i="4"/>
  <c r="V208" i="4"/>
  <c r="V209" i="4"/>
  <c r="V163" i="4"/>
  <c r="S169" i="4"/>
  <c r="U169" i="4" s="1"/>
  <c r="J107" i="4"/>
  <c r="I126" i="4"/>
  <c r="V104" i="4"/>
  <c r="V102" i="4"/>
  <c r="V101" i="4"/>
  <c r="J101" i="4"/>
  <c r="V166" i="4"/>
  <c r="J105" i="4"/>
  <c r="V72" i="4"/>
  <c r="V28" i="4"/>
  <c r="J91" i="4"/>
  <c r="J21" i="4"/>
  <c r="J25" i="4"/>
  <c r="J31" i="4"/>
  <c r="J33" i="4"/>
  <c r="J38" i="4"/>
  <c r="V136" i="4"/>
  <c r="V145" i="4"/>
  <c r="V153" i="4"/>
  <c r="V81" i="4"/>
  <c r="J121" i="4"/>
  <c r="J154" i="4"/>
  <c r="J163" i="4"/>
  <c r="J165" i="4"/>
  <c r="V187" i="4"/>
  <c r="V189" i="4"/>
  <c r="J80" i="4"/>
  <c r="J72" i="4"/>
  <c r="J66" i="4"/>
  <c r="J60" i="4"/>
  <c r="V74" i="4"/>
  <c r="V68" i="4"/>
  <c r="V64" i="4"/>
  <c r="V54" i="4"/>
  <c r="V57" i="4"/>
  <c r="V29" i="4"/>
  <c r="J5" i="4"/>
  <c r="J7" i="4"/>
  <c r="J11" i="4"/>
  <c r="J14" i="4"/>
  <c r="J18" i="4"/>
  <c r="V12" i="4"/>
  <c r="J53" i="4"/>
  <c r="V67" i="4"/>
  <c r="V52" i="4"/>
  <c r="V25" i="4"/>
  <c r="V58" i="4"/>
  <c r="V35" i="4"/>
  <c r="V27" i="4"/>
  <c r="V7" i="4"/>
  <c r="V100" i="4"/>
  <c r="V105" i="4"/>
  <c r="V108" i="4"/>
  <c r="V113" i="4"/>
  <c r="V116" i="4"/>
  <c r="J98" i="4"/>
  <c r="J108" i="4"/>
  <c r="J115" i="4"/>
  <c r="J124" i="4"/>
  <c r="J140" i="4"/>
  <c r="J143" i="4"/>
  <c r="J150" i="4"/>
  <c r="J159" i="4"/>
  <c r="J166" i="4"/>
  <c r="E169" i="4"/>
  <c r="V121" i="4"/>
  <c r="V178" i="4"/>
  <c r="V181" i="4"/>
  <c r="J177" i="4"/>
  <c r="J180" i="4"/>
  <c r="J186" i="4"/>
  <c r="J191" i="4"/>
  <c r="J194" i="4"/>
  <c r="J199" i="4"/>
  <c r="J202" i="4"/>
  <c r="J211" i="4"/>
  <c r="V82" i="4"/>
  <c r="V79" i="4"/>
  <c r="J104" i="4"/>
  <c r="J109" i="4"/>
  <c r="J111" i="4"/>
  <c r="J120" i="4"/>
  <c r="J125" i="4"/>
  <c r="J134" i="4"/>
  <c r="J136" i="4"/>
  <c r="J144" i="4"/>
  <c r="J146" i="4"/>
  <c r="J155" i="4"/>
  <c r="J160" i="4"/>
  <c r="J162" i="4"/>
  <c r="I169" i="4"/>
  <c r="V188" i="4"/>
  <c r="V191" i="4"/>
  <c r="V200" i="4"/>
  <c r="V194" i="4"/>
  <c r="V192" i="4"/>
  <c r="V164" i="4"/>
  <c r="V159" i="4"/>
  <c r="I212" i="4"/>
  <c r="J92" i="4"/>
  <c r="V205" i="4"/>
  <c r="E126" i="4"/>
  <c r="V210" i="4"/>
  <c r="V211" i="4"/>
  <c r="J55" i="4"/>
  <c r="V160" i="4"/>
  <c r="V162" i="4"/>
  <c r="V62" i="4"/>
  <c r="J185" i="4"/>
  <c r="Q212" i="4"/>
  <c r="U212" i="4"/>
  <c r="J67" i="4"/>
  <c r="V120" i="4"/>
  <c r="J61" i="4"/>
  <c r="V167" i="4"/>
  <c r="Q169" i="4"/>
  <c r="E83" i="4"/>
  <c r="J57" i="4"/>
  <c r="V122" i="4"/>
  <c r="J99" i="4"/>
  <c r="V125" i="4"/>
  <c r="V124" i="4"/>
  <c r="U126" i="4"/>
  <c r="Q126" i="4"/>
  <c r="J35" i="4"/>
  <c r="J27" i="4"/>
  <c r="V21" i="4"/>
  <c r="J24" i="4"/>
  <c r="B41" i="4"/>
  <c r="B47" i="4" s="1"/>
  <c r="B56" i="4" s="1"/>
  <c r="J15" i="4"/>
  <c r="I40" i="4"/>
  <c r="Q83" i="4"/>
  <c r="V38" i="4"/>
  <c r="V39" i="4"/>
  <c r="J4" i="4"/>
  <c r="V37" i="4"/>
  <c r="V6" i="4"/>
  <c r="P41" i="4"/>
  <c r="P47" i="4" s="1"/>
  <c r="P56" i="4" s="1"/>
  <c r="P84" i="4" s="1"/>
  <c r="P90" i="4" s="1"/>
  <c r="P99" i="4" s="1"/>
  <c r="P127" i="4" s="1"/>
  <c r="P133" i="4" s="1"/>
  <c r="P142" i="4" s="1"/>
  <c r="P170" i="4" s="1"/>
  <c r="P176" i="4" s="1"/>
  <c r="P185" i="4" s="1"/>
  <c r="P213" i="4" s="1"/>
  <c r="P219" i="4" s="1"/>
  <c r="P228" i="4" s="1"/>
  <c r="P256" i="4" s="1"/>
  <c r="S41" i="4"/>
  <c r="S47" i="4" s="1"/>
  <c r="S56" i="4" s="1"/>
  <c r="S84" i="4" s="1"/>
  <c r="S90" i="4" s="1"/>
  <c r="Q13" i="4"/>
  <c r="V16" i="4"/>
  <c r="J16" i="4"/>
  <c r="E13" i="4"/>
  <c r="H41" i="4"/>
  <c r="H47" i="4" s="1"/>
  <c r="H56" i="4" s="1"/>
  <c r="H84" i="4" s="1"/>
  <c r="H90" i="4" s="1"/>
  <c r="H99" i="4" s="1"/>
  <c r="H127" i="4" s="1"/>
  <c r="H133" i="4" s="1"/>
  <c r="H142" i="4" s="1"/>
  <c r="H170" i="4" s="1"/>
  <c r="H176" i="4" s="1"/>
  <c r="H185" i="4" s="1"/>
  <c r="H213" i="4" s="1"/>
  <c r="H219" i="4" s="1"/>
  <c r="H228" i="4" s="1"/>
  <c r="H256" i="4" s="1"/>
  <c r="G41" i="4"/>
  <c r="J58" i="4"/>
  <c r="J6" i="4"/>
  <c r="J9" i="4"/>
  <c r="J12" i="4"/>
  <c r="Q40" i="4"/>
  <c r="V60" i="4"/>
  <c r="J20" i="4"/>
  <c r="J23" i="4"/>
  <c r="J26" i="4"/>
  <c r="J29" i="4"/>
  <c r="J32" i="4"/>
  <c r="J36" i="4"/>
  <c r="J39" i="4"/>
  <c r="I13" i="4"/>
  <c r="J13" i="4" s="1"/>
  <c r="N41" i="4"/>
  <c r="V17" i="4"/>
  <c r="F41" i="4"/>
  <c r="F47" i="4" s="1"/>
  <c r="F56" i="4" s="1"/>
  <c r="F84" i="4" s="1"/>
  <c r="F90" i="4" s="1"/>
  <c r="F99" i="4" s="1"/>
  <c r="U40" i="4"/>
  <c r="J52" i="4"/>
  <c r="J49" i="4"/>
  <c r="J34" i="4"/>
  <c r="V59" i="4"/>
  <c r="J74" i="4"/>
  <c r="J71" i="4"/>
  <c r="J65" i="4"/>
  <c r="J62" i="4"/>
  <c r="V55" i="4"/>
  <c r="V11" i="4"/>
  <c r="V15" i="4"/>
  <c r="I19" i="4"/>
  <c r="J19" i="4" s="1"/>
  <c r="O41" i="4"/>
  <c r="O47" i="4" s="1"/>
  <c r="O56" i="4" s="1"/>
  <c r="O84" i="4" s="1"/>
  <c r="O90" i="4" s="1"/>
  <c r="V5" i="4"/>
  <c r="I83" i="4"/>
  <c r="J81" i="4"/>
  <c r="J78" i="4"/>
  <c r="D41" i="4"/>
  <c r="D47" i="4" s="1"/>
  <c r="D56" i="4" s="1"/>
  <c r="D84" i="4" s="1"/>
  <c r="D90" i="4" s="1"/>
  <c r="D99" i="4" s="1"/>
  <c r="D127" i="4" s="1"/>
  <c r="D133" i="4" s="1"/>
  <c r="D142" i="4" s="1"/>
  <c r="D170" i="4" s="1"/>
  <c r="D176" i="4" s="1"/>
  <c r="D185" i="4" s="1"/>
  <c r="D213" i="4" s="1"/>
  <c r="D219" i="4" s="1"/>
  <c r="D228" i="4" s="1"/>
  <c r="D256" i="4" s="1"/>
  <c r="V22" i="4"/>
  <c r="V26" i="4"/>
  <c r="J68" i="4"/>
  <c r="J59" i="4"/>
  <c r="T41" i="4"/>
  <c r="T47" i="4" s="1"/>
  <c r="T56" i="4" s="1"/>
  <c r="T84" i="4" s="1"/>
  <c r="T90" i="4" s="1"/>
  <c r="T99" i="4" s="1"/>
  <c r="T127" i="4" s="1"/>
  <c r="T133" i="4" s="1"/>
  <c r="T142" i="4" s="1"/>
  <c r="T170" i="4" s="1"/>
  <c r="T176" i="4" s="1"/>
  <c r="T185" i="4" s="1"/>
  <c r="T213" i="4" s="1"/>
  <c r="T219" i="4" s="1"/>
  <c r="T228" i="4" s="1"/>
  <c r="T256" i="4" s="1"/>
  <c r="U13" i="4"/>
  <c r="J54" i="4"/>
  <c r="E40" i="4"/>
  <c r="J73" i="4"/>
  <c r="J70" i="4"/>
  <c r="U83" i="4"/>
  <c r="R41" i="4"/>
  <c r="C41" i="4"/>
  <c r="C47" i="4" s="1"/>
  <c r="C56" i="4" s="1"/>
  <c r="C84" i="4" s="1"/>
  <c r="C90" i="4" s="1"/>
  <c r="C99" i="4" s="1"/>
  <c r="C127" i="4" s="1"/>
  <c r="C133" i="4" s="1"/>
  <c r="C142" i="4" s="1"/>
  <c r="C170" i="4" s="1"/>
  <c r="C176" i="4" s="1"/>
  <c r="C185" i="4" s="1"/>
  <c r="C213" i="4" s="1"/>
  <c r="C219" i="4" s="1"/>
  <c r="C228" i="4" s="1"/>
  <c r="C256" i="4" s="1"/>
  <c r="V19" i="4"/>
  <c r="V14" i="4"/>
  <c r="V10" i="4"/>
  <c r="V53" i="4"/>
  <c r="J212" i="4" l="1"/>
  <c r="V255" i="4"/>
  <c r="J142" i="4"/>
  <c r="J126" i="4"/>
  <c r="J169" i="4"/>
  <c r="V212" i="4"/>
  <c r="J56" i="4"/>
  <c r="V169" i="4"/>
  <c r="J83" i="4"/>
  <c r="F127" i="4"/>
  <c r="S99" i="4"/>
  <c r="S127" i="4" s="1"/>
  <c r="S133" i="4" s="1"/>
  <c r="S142" i="4" s="1"/>
  <c r="S170" i="4" s="1"/>
  <c r="S176" i="4" s="1"/>
  <c r="S185" i="4" s="1"/>
  <c r="S213" i="4" s="1"/>
  <c r="S219" i="4" s="1"/>
  <c r="S228" i="4" s="1"/>
  <c r="S256" i="4" s="1"/>
  <c r="O99" i="4"/>
  <c r="O127" i="4" s="1"/>
  <c r="O133" i="4" s="1"/>
  <c r="O142" i="4" s="1"/>
  <c r="O170" i="4" s="1"/>
  <c r="O176" i="4" s="1"/>
  <c r="O185" i="4" s="1"/>
  <c r="O213" i="4" s="1"/>
  <c r="O219" i="4" s="1"/>
  <c r="O228" i="4" s="1"/>
  <c r="O256" i="4" s="1"/>
  <c r="V126" i="4"/>
  <c r="V83" i="4"/>
  <c r="J40" i="4"/>
  <c r="I41" i="4"/>
  <c r="V13" i="4"/>
  <c r="Q41" i="4"/>
  <c r="V40" i="4"/>
  <c r="N47" i="4"/>
  <c r="Q47" i="4" s="1"/>
  <c r="G47" i="4"/>
  <c r="G56" i="4" s="1"/>
  <c r="G84" i="4" s="1"/>
  <c r="E47" i="4"/>
  <c r="E41" i="4"/>
  <c r="U41" i="4"/>
  <c r="R47" i="4"/>
  <c r="B84" i="4"/>
  <c r="B90" i="4" s="1"/>
  <c r="B99" i="4" s="1"/>
  <c r="B127" i="4" s="1"/>
  <c r="B133" i="4" s="1"/>
  <c r="B142" i="4" s="1"/>
  <c r="B170" i="4" s="1"/>
  <c r="E56" i="4"/>
  <c r="E170" i="4" l="1"/>
  <c r="B176" i="4"/>
  <c r="I84" i="4"/>
  <c r="G90" i="4"/>
  <c r="F133" i="4"/>
  <c r="E127" i="4"/>
  <c r="E99" i="4"/>
  <c r="E90" i="4"/>
  <c r="E142" i="4"/>
  <c r="E133" i="4"/>
  <c r="I56" i="4"/>
  <c r="I47" i="4"/>
  <c r="J47" i="4" s="1"/>
  <c r="J41" i="4"/>
  <c r="V41" i="4"/>
  <c r="N56" i="4"/>
  <c r="Q56" i="4" s="1"/>
  <c r="U47" i="4"/>
  <c r="V47" i="4" s="1"/>
  <c r="R56" i="4"/>
  <c r="E84" i="4"/>
  <c r="E176" i="4" l="1"/>
  <c r="B185" i="4"/>
  <c r="J84" i="4"/>
  <c r="G99" i="4"/>
  <c r="I90" i="4"/>
  <c r="J90" i="4" s="1"/>
  <c r="F142" i="4"/>
  <c r="N84" i="4"/>
  <c r="R84" i="4"/>
  <c r="R90" i="4" s="1"/>
  <c r="U56" i="4"/>
  <c r="V56" i="4" s="1"/>
  <c r="B213" i="4" l="1"/>
  <c r="E185" i="4"/>
  <c r="G127" i="4"/>
  <c r="I99" i="4"/>
  <c r="F170" i="4"/>
  <c r="F176" i="4" s="1"/>
  <c r="F185" i="4" s="1"/>
  <c r="F213" i="4" s="1"/>
  <c r="F219" i="4" s="1"/>
  <c r="R99" i="4"/>
  <c r="U90" i="4"/>
  <c r="Q84" i="4"/>
  <c r="N90" i="4"/>
  <c r="U84" i="4"/>
  <c r="E213" i="4" l="1"/>
  <c r="B219" i="4"/>
  <c r="F228" i="4"/>
  <c r="G133" i="4"/>
  <c r="I127" i="4"/>
  <c r="J127" i="4" s="1"/>
  <c r="V84" i="4"/>
  <c r="R127" i="4"/>
  <c r="U99" i="4"/>
  <c r="N99" i="4"/>
  <c r="Q90" i="4"/>
  <c r="V90" i="4" s="1"/>
  <c r="B228" i="4" l="1"/>
  <c r="E219" i="4"/>
  <c r="F256" i="4"/>
  <c r="G142" i="4"/>
  <c r="I133" i="4"/>
  <c r="J133" i="4" s="1"/>
  <c r="R133" i="4"/>
  <c r="U127" i="4"/>
  <c r="Q99" i="4"/>
  <c r="V99" i="4" s="1"/>
  <c r="N127" i="4"/>
  <c r="B256" i="4" l="1"/>
  <c r="E256" i="4" s="1"/>
  <c r="E228" i="4"/>
  <c r="G170" i="4"/>
  <c r="I142" i="4"/>
  <c r="R142" i="4"/>
  <c r="U133" i="4"/>
  <c r="N133" i="4"/>
  <c r="Q127" i="4"/>
  <c r="V127" i="4" s="1"/>
  <c r="I170" i="4" l="1"/>
  <c r="J170" i="4" s="1"/>
  <c r="G176" i="4"/>
  <c r="R170" i="4"/>
  <c r="U142" i="4"/>
  <c r="Q133" i="4"/>
  <c r="V133" i="4" s="1"/>
  <c r="N142" i="4"/>
  <c r="G185" i="4" l="1"/>
  <c r="I176" i="4"/>
  <c r="J176" i="4" s="1"/>
  <c r="U170" i="4"/>
  <c r="R176" i="4"/>
  <c r="N170" i="4"/>
  <c r="Q142" i="4"/>
  <c r="V142" i="4" s="1"/>
  <c r="G213" i="4" l="1"/>
  <c r="I185" i="4"/>
  <c r="Q170" i="4"/>
  <c r="V170" i="4" s="1"/>
  <c r="N176" i="4"/>
  <c r="U176" i="4"/>
  <c r="R185" i="4"/>
  <c r="I213" i="4" l="1"/>
  <c r="J213" i="4" s="1"/>
  <c r="G219" i="4"/>
  <c r="U185" i="4"/>
  <c r="R213" i="4"/>
  <c r="Q176" i="4"/>
  <c r="V176" i="4" s="1"/>
  <c r="N185" i="4"/>
  <c r="U213" i="4" l="1"/>
  <c r="R219" i="4"/>
  <c r="G228" i="4"/>
  <c r="I219" i="4"/>
  <c r="J219" i="4" s="1"/>
  <c r="N213" i="4"/>
  <c r="Q185" i="4"/>
  <c r="V185" i="4" s="1"/>
  <c r="R228" i="4" l="1"/>
  <c r="U219" i="4"/>
  <c r="Q213" i="4"/>
  <c r="V213" i="4" s="1"/>
  <c r="N219" i="4"/>
  <c r="G256" i="4"/>
  <c r="I256" i="4" s="1"/>
  <c r="J256" i="4" s="1"/>
  <c r="I228" i="4"/>
  <c r="U228" i="4" l="1"/>
  <c r="R256" i="4"/>
  <c r="U256" i="4" s="1"/>
  <c r="N228" i="4"/>
  <c r="Q219" i="4"/>
  <c r="V219" i="4" s="1"/>
  <c r="Q228" i="4" l="1"/>
  <c r="V228" i="4" s="1"/>
  <c r="N256" i="4"/>
  <c r="Q256" i="4" s="1"/>
  <c r="V256" i="4" s="1"/>
</calcChain>
</file>

<file path=xl/sharedStrings.xml><?xml version="1.0" encoding="utf-8"?>
<sst xmlns="http://schemas.openxmlformats.org/spreadsheetml/2006/main" count="538" uniqueCount="176">
  <si>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</si>
  <si>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</si>
  <si>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</si>
  <si>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</si>
  <si>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</si>
  <si>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</si>
  <si>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</si>
  <si>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</si>
  <si>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</si>
  <si>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</si>
  <si>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</si>
  <si>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</si>
  <si>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</si>
  <si>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</si>
  <si>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</si>
  <si>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</si>
  <si>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</si>
  <si>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</si>
  <si>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6"/>
  </si>
  <si>
    <t>出荷数</t>
    <rPh sb="0" eb="2">
      <t>シュッカ</t>
    </rPh>
    <rPh sb="2" eb="3">
      <t>スウ</t>
    </rPh>
    <phoneticPr fontId="6"/>
  </si>
  <si>
    <t>残在庫</t>
    <rPh sb="0" eb="1">
      <t>ザン</t>
    </rPh>
    <rPh sb="1" eb="3">
      <t>ザイコ</t>
    </rPh>
    <phoneticPr fontId="2"/>
  </si>
  <si>
    <t>　</t>
    <phoneticPr fontId="6"/>
  </si>
  <si>
    <t>ネイビー</t>
    <phoneticPr fontId="6"/>
  </si>
  <si>
    <t>スカート付きウォーキングパンツ （夢販在庫）</t>
    <rPh sb="4" eb="5">
      <t>ツ</t>
    </rPh>
    <rPh sb="17" eb="18">
      <t>ユメ</t>
    </rPh>
    <rPh sb="18" eb="19">
      <t>ハン</t>
    </rPh>
    <rPh sb="19" eb="21">
      <t>ザイコ</t>
    </rPh>
    <phoneticPr fontId="2"/>
  </si>
  <si>
    <t xml:space="preserve">初回  </t>
    <rPh sb="0" eb="2">
      <t>ショカイ</t>
    </rPh>
    <phoneticPr fontId="2"/>
  </si>
  <si>
    <t>追加２　2-1</t>
    <rPh sb="0" eb="2">
      <t>ツイカ</t>
    </rPh>
    <phoneticPr fontId="2"/>
  </si>
  <si>
    <t>追加３　2-2</t>
    <rPh sb="0" eb="2">
      <t>ツイカ</t>
    </rPh>
    <phoneticPr fontId="2"/>
  </si>
  <si>
    <t>スカート付きウォーキングパンツ （KPORT在庫）@850 \2480～￥2980</t>
    <rPh sb="22" eb="24">
      <t>ザイコ</t>
    </rPh>
    <phoneticPr fontId="2"/>
  </si>
  <si>
    <t>コープきんき1月1回￥2480</t>
    <rPh sb="7" eb="8">
      <t>ガツ</t>
    </rPh>
    <rPh sb="9" eb="10">
      <t>カイ</t>
    </rPh>
    <phoneticPr fontId="6"/>
  </si>
  <si>
    <t>追加3 初回分の差し引き分</t>
    <rPh sb="0" eb="2">
      <t>ツイカ</t>
    </rPh>
    <rPh sb="4" eb="6">
      <t>ショカイ</t>
    </rPh>
    <rPh sb="6" eb="7">
      <t>ブン</t>
    </rPh>
    <rPh sb="8" eb="9">
      <t>サ</t>
    </rPh>
    <rPh sb="10" eb="11">
      <t>ヒ</t>
    </rPh>
    <rPh sb="12" eb="13">
      <t>ブン</t>
    </rPh>
    <phoneticPr fontId="2"/>
  </si>
  <si>
    <t>コープきんき1月1回￥2480差分予測</t>
    <rPh sb="7" eb="8">
      <t>ガツ</t>
    </rPh>
    <rPh sb="9" eb="10">
      <t>カイ</t>
    </rPh>
    <rPh sb="15" eb="19">
      <t>サブンヨソク</t>
    </rPh>
    <phoneticPr fontId="6"/>
  </si>
  <si>
    <t>4615-120～125</t>
    <phoneticPr fontId="6"/>
  </si>
  <si>
    <t>JOD特別版1107￥2480</t>
    <rPh sb="3" eb="6">
      <t>トクベツバン</t>
    </rPh>
    <phoneticPr fontId="6"/>
  </si>
  <si>
    <t>11/6～</t>
    <phoneticPr fontId="6"/>
  </si>
  <si>
    <t>2025/10/21数伝</t>
    <rPh sb="10" eb="12">
      <t>スウデン</t>
    </rPh>
    <phoneticPr fontId="6"/>
  </si>
  <si>
    <t>夢販</t>
    <rPh sb="0" eb="2">
      <t>ユメハン</t>
    </rPh>
    <phoneticPr fontId="6"/>
  </si>
  <si>
    <t>点12/9、アバウト12/27、本12/27～1/2</t>
    <rPh sb="0" eb="1">
      <t>テン</t>
    </rPh>
    <rPh sb="16" eb="17">
      <t>ホン</t>
    </rPh>
    <phoneticPr fontId="6"/>
  </si>
  <si>
    <t>学校生協2026年3月企画</t>
    <rPh sb="0" eb="4">
      <t>ガッコウセイキョウ</t>
    </rPh>
    <rPh sb="8" eb="9">
      <t>ネン</t>
    </rPh>
    <rPh sb="10" eb="13">
      <t>ガツキカク</t>
    </rPh>
    <phoneticPr fontId="6"/>
  </si>
  <si>
    <t>2/中旬～3/17頃まで</t>
    <rPh sb="2" eb="10">
      <t>チュウジュンカラ3/17コロ</t>
    </rPh>
    <phoneticPr fontId="6"/>
  </si>
  <si>
    <t>サクラマチ（ユーコープ）sample</t>
    <phoneticPr fontId="6"/>
  </si>
  <si>
    <t>くらし企画（学校生協）sample</t>
    <rPh sb="3" eb="5">
      <t>キカク</t>
    </rPh>
    <rPh sb="6" eb="10">
      <t>ガッコウセイキョウ</t>
    </rPh>
    <phoneticPr fontId="6"/>
  </si>
  <si>
    <t>過入荷分</t>
    <rPh sb="0" eb="4">
      <t>カニュウカブン</t>
    </rPh>
    <phoneticPr fontId="2"/>
  </si>
  <si>
    <t>JOD①</t>
    <phoneticPr fontId="6"/>
  </si>
  <si>
    <t>JOD②</t>
    <phoneticPr fontId="6"/>
  </si>
  <si>
    <t>2025/11/12数伝</t>
    <rPh sb="10" eb="12">
      <t>スウデン</t>
    </rPh>
    <phoneticPr fontId="6"/>
  </si>
  <si>
    <t>JOD③</t>
    <phoneticPr fontId="6"/>
  </si>
  <si>
    <t>JOD④</t>
    <phoneticPr fontId="6"/>
  </si>
  <si>
    <t>JOD⑤</t>
    <phoneticPr fontId="6"/>
  </si>
  <si>
    <t>JODアクセス7014￥2480</t>
    <phoneticPr fontId="6"/>
  </si>
  <si>
    <t>1/14～</t>
    <phoneticPr fontId="6"/>
  </si>
  <si>
    <t>JOD⑥</t>
    <phoneticPr fontId="6"/>
  </si>
  <si>
    <t>JOD⑦</t>
    <phoneticPr fontId="6"/>
  </si>
  <si>
    <t>JOD⑧</t>
    <phoneticPr fontId="6"/>
  </si>
  <si>
    <t>ネット</t>
    <phoneticPr fontId="6"/>
  </si>
  <si>
    <t>夢販</t>
    <rPh sb="0" eb="2">
      <t>y</t>
    </rPh>
    <phoneticPr fontId="6"/>
  </si>
  <si>
    <t>JOD⑨</t>
    <phoneticPr fontId="6"/>
  </si>
  <si>
    <t>JOD⑩</t>
    <phoneticPr fontId="6"/>
  </si>
  <si>
    <t>サクラマチ（九州）sample</t>
    <rPh sb="6" eb="8">
      <t>キュウシュウ</t>
    </rPh>
    <phoneticPr fontId="6"/>
  </si>
  <si>
    <t>JOD⑪</t>
    <phoneticPr fontId="6"/>
  </si>
  <si>
    <t>JOD返品</t>
    <rPh sb="3" eb="5">
      <t>ヘンピン</t>
    </rPh>
    <phoneticPr fontId="2"/>
  </si>
  <si>
    <t>JOD⑫</t>
    <phoneticPr fontId="6"/>
  </si>
  <si>
    <t>はぴねすくらぶsample</t>
    <phoneticPr fontId="6"/>
  </si>
  <si>
    <t>オバタsample</t>
    <phoneticPr fontId="6"/>
  </si>
  <si>
    <t>JOD⑬</t>
    <phoneticPr fontId="6"/>
  </si>
  <si>
    <t>4/11～8/31</t>
    <phoneticPr fontId="6"/>
  </si>
  <si>
    <t>はぴねすくらぶ4月号</t>
    <rPh sb="8" eb="10">
      <t>ガツゴウ</t>
    </rPh>
    <phoneticPr fontId="6"/>
  </si>
  <si>
    <t>IEI4月号sample</t>
    <rPh sb="4" eb="6">
      <t>ガツゴウ</t>
    </rPh>
    <phoneticPr fontId="6"/>
  </si>
  <si>
    <t>くらし企画（くらしのおと）sample</t>
    <rPh sb="3" eb="5">
      <t>キカク</t>
    </rPh>
    <phoneticPr fontId="6"/>
  </si>
  <si>
    <t>コープきんき1月1回￥2480①</t>
    <rPh sb="7" eb="8">
      <t>ガツ</t>
    </rPh>
    <rPh sb="9" eb="10">
      <t>カイ</t>
    </rPh>
    <phoneticPr fontId="6"/>
  </si>
  <si>
    <t>JOD⑭</t>
    <phoneticPr fontId="6"/>
  </si>
  <si>
    <t>東北サンネット３月４回</t>
    <rPh sb="0" eb="2">
      <t>トウホク</t>
    </rPh>
    <rPh sb="8" eb="9">
      <t>ガツ</t>
    </rPh>
    <rPh sb="10" eb="11">
      <t>カイ</t>
    </rPh>
    <phoneticPr fontId="6"/>
  </si>
  <si>
    <t>東北サンネット３月４回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6"/>
  </si>
  <si>
    <t>3/11～25</t>
    <phoneticPr fontId="6"/>
  </si>
  <si>
    <t>学校生協2026年3月企画差分予測</t>
    <rPh sb="0" eb="4">
      <t>ガッコウセイキョウ</t>
    </rPh>
    <rPh sb="8" eb="9">
      <t>ネン</t>
    </rPh>
    <rPh sb="10" eb="13">
      <t>ガツキカク</t>
    </rPh>
    <rPh sb="13" eb="17">
      <t>サブンヨソク</t>
    </rPh>
    <phoneticPr fontId="6"/>
  </si>
  <si>
    <t>不足分</t>
    <rPh sb="0" eb="3">
      <t>フソクブン</t>
    </rPh>
    <phoneticPr fontId="2"/>
  </si>
  <si>
    <t>なごみsample</t>
    <phoneticPr fontId="6"/>
  </si>
  <si>
    <t>学校生協2026年5月初夏号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phoneticPr fontId="6"/>
  </si>
  <si>
    <t>学校生協2026年5月初夏号差分予測</t>
    <rPh sb="0" eb="4">
      <t>ガッコウセイキョウ</t>
    </rPh>
    <rPh sb="8" eb="9">
      <t>ネン</t>
    </rPh>
    <rPh sb="10" eb="11">
      <t>ガツ</t>
    </rPh>
    <rPh sb="11" eb="13">
      <t>ショカ</t>
    </rPh>
    <rPh sb="13" eb="14">
      <t>ゴウ</t>
    </rPh>
    <rPh sb="14" eb="18">
      <t>サブンヨソク</t>
    </rPh>
    <phoneticPr fontId="6"/>
  </si>
  <si>
    <t>4/15頃～5/19頃</t>
    <rPh sb="4" eb="5">
      <t>コロ</t>
    </rPh>
    <rPh sb="10" eb="11">
      <t>コロ</t>
    </rPh>
    <phoneticPr fontId="6"/>
  </si>
  <si>
    <t>JOD⑮</t>
    <phoneticPr fontId="6"/>
  </si>
  <si>
    <t>ゆめはん</t>
    <phoneticPr fontId="6"/>
  </si>
  <si>
    <t>IEI撮影用sample</t>
    <rPh sb="3" eb="6">
      <t>サツエイヨウ</t>
    </rPh>
    <phoneticPr fontId="6"/>
  </si>
  <si>
    <t>2025/1/10数伝</t>
    <rPh sb="9" eb="11">
      <t>スウデン</t>
    </rPh>
    <phoneticPr fontId="6"/>
  </si>
  <si>
    <t>JOD⑯</t>
    <phoneticPr fontId="6"/>
  </si>
  <si>
    <t>JOD⑰</t>
    <phoneticPr fontId="6"/>
  </si>
  <si>
    <t>4/3～</t>
    <phoneticPr fontId="6"/>
  </si>
  <si>
    <t>IEI使ってヨカッタ4月号2色組</t>
    <rPh sb="3" eb="4">
      <t>ツカ</t>
    </rPh>
    <rPh sb="11" eb="13">
      <t>ガツゴウ</t>
    </rPh>
    <rPh sb="14" eb="16">
      <t>ショククミ</t>
    </rPh>
    <phoneticPr fontId="6"/>
  </si>
  <si>
    <t>3/18、23</t>
    <phoneticPr fontId="6"/>
  </si>
  <si>
    <t>コープさっぽろ3月4回（OCRW）</t>
    <rPh sb="8" eb="9">
      <t>ガツ</t>
    </rPh>
    <rPh sb="10" eb="11">
      <t>カイ</t>
    </rPh>
    <phoneticPr fontId="6"/>
  </si>
  <si>
    <t>コープさっぽろ3月4回（OCRW）差分予測</t>
    <rPh sb="8" eb="9">
      <t>ガツ</t>
    </rPh>
    <rPh sb="10" eb="11">
      <t>カイ</t>
    </rPh>
    <rPh sb="17" eb="21">
      <t>サブンヨソク</t>
    </rPh>
    <phoneticPr fontId="6"/>
  </si>
  <si>
    <t>JOD⑱</t>
    <phoneticPr fontId="6"/>
  </si>
  <si>
    <t>西夢</t>
    <rPh sb="0" eb="1">
      <t>ニシ</t>
    </rPh>
    <rPh sb="1" eb="2">
      <t>ユメ</t>
    </rPh>
    <phoneticPr fontId="6"/>
  </si>
  <si>
    <t>JOD⑲</t>
    <phoneticPr fontId="6"/>
  </si>
  <si>
    <t>りすぺーる（パル）5月4回　差分予測</t>
  </si>
  <si>
    <t>点4/28、アバウト・初回5/19、最終発注日5/25</t>
    <rPh sb="0" eb="1">
      <t>テン</t>
    </rPh>
    <rPh sb="11" eb="13">
      <t>ショカイ</t>
    </rPh>
    <rPh sb="18" eb="23">
      <t>サイシュウハッチュウビ</t>
    </rPh>
    <phoneticPr fontId="6"/>
  </si>
  <si>
    <t>JOD⑳</t>
    <phoneticPr fontId="6"/>
  </si>
  <si>
    <t>ネット返品</t>
    <rPh sb="3" eb="5">
      <t>ヘンピン</t>
    </rPh>
    <phoneticPr fontId="6"/>
  </si>
  <si>
    <t>4/8～4/22</t>
    <phoneticPr fontId="6"/>
  </si>
  <si>
    <t>コープ東北サンネット４月４回</t>
    <rPh sb="3" eb="5">
      <t>トウホク</t>
    </rPh>
    <rPh sb="11" eb="12">
      <t>ガツ</t>
    </rPh>
    <rPh sb="13" eb="14">
      <t>カイ</t>
    </rPh>
    <phoneticPr fontId="6"/>
  </si>
  <si>
    <t>コープ東北サンネット４月４回　差分予測</t>
    <rPh sb="3" eb="5">
      <t>トウホク</t>
    </rPh>
    <rPh sb="11" eb="12">
      <t>ガツ</t>
    </rPh>
    <rPh sb="13" eb="14">
      <t>カイ</t>
    </rPh>
    <rPh sb="15" eb="19">
      <t>サブンヨソク</t>
    </rPh>
    <phoneticPr fontId="6"/>
  </si>
  <si>
    <t>あいコープみやぎ4月3回</t>
    <rPh sb="9" eb="10">
      <t>ガツ</t>
    </rPh>
    <rPh sb="11" eb="12">
      <t>カイ</t>
    </rPh>
    <phoneticPr fontId="6"/>
  </si>
  <si>
    <t>あいコープみやぎ4月5回</t>
    <rPh sb="9" eb="10">
      <t>ガツ</t>
    </rPh>
    <rPh sb="11" eb="12">
      <t>カイ</t>
    </rPh>
    <phoneticPr fontId="6"/>
  </si>
  <si>
    <t>あいコープみやぎ差分予測</t>
    <rPh sb="8" eb="12">
      <t>サブンヨソク</t>
    </rPh>
    <phoneticPr fontId="6"/>
  </si>
  <si>
    <t>コープこうべ5月1回</t>
    <rPh sb="7" eb="8">
      <t>ガツ</t>
    </rPh>
    <rPh sb="9" eb="10">
      <t>カイ</t>
    </rPh>
    <phoneticPr fontId="6"/>
  </si>
  <si>
    <t>コープこうべ5月1回差分予測</t>
    <rPh sb="7" eb="8">
      <t>ガツ</t>
    </rPh>
    <rPh sb="9" eb="10">
      <t>カイ</t>
    </rPh>
    <rPh sb="10" eb="14">
      <t>サブンヨソク</t>
    </rPh>
    <phoneticPr fontId="6"/>
  </si>
  <si>
    <t>りすぺーる（パル）5月4回￥2480</t>
    <phoneticPr fontId="6"/>
  </si>
  <si>
    <t>←ここまで在庫管理済2026/2/25</t>
    <rPh sb="5" eb="10">
      <t>ザイコカンリスミ</t>
    </rPh>
    <phoneticPr fontId="6"/>
  </si>
  <si>
    <t>5/6～21</t>
    <phoneticPr fontId="6"/>
  </si>
  <si>
    <t>あいコープみやぎ6月2回</t>
    <rPh sb="9" eb="10">
      <t>ガツ</t>
    </rPh>
    <rPh sb="11" eb="12">
      <t>カイ</t>
    </rPh>
    <phoneticPr fontId="6"/>
  </si>
  <si>
    <t>あいコープみやぎ6月2回　差分予測</t>
    <phoneticPr fontId="6"/>
  </si>
  <si>
    <t>5/13、5/18</t>
    <phoneticPr fontId="6"/>
  </si>
  <si>
    <t>コープさっぽろ5月3回OCRW・別チラシ</t>
    <rPh sb="8" eb="9">
      <t>ガツ</t>
    </rPh>
    <rPh sb="10" eb="11">
      <t>カイ</t>
    </rPh>
    <rPh sb="16" eb="17">
      <t>ベツ</t>
    </rPh>
    <phoneticPr fontId="6"/>
  </si>
  <si>
    <t>コープさっぽろ5月3回差分予測</t>
    <rPh sb="8" eb="9">
      <t>ガツ</t>
    </rPh>
    <rPh sb="10" eb="11">
      <t>カイ</t>
    </rPh>
    <rPh sb="11" eb="15">
      <t>サブンヨソク</t>
    </rPh>
    <phoneticPr fontId="6"/>
  </si>
  <si>
    <t>東北サンネット３月４回①</t>
    <rPh sb="0" eb="2">
      <t>トウホク</t>
    </rPh>
    <rPh sb="8" eb="9">
      <t>ガツ</t>
    </rPh>
    <rPh sb="10" eb="11">
      <t>カイ</t>
    </rPh>
    <phoneticPr fontId="6"/>
  </si>
  <si>
    <t>西夢取り置き</t>
    <rPh sb="0" eb="2">
      <t>ニシユメ</t>
    </rPh>
    <rPh sb="2" eb="3">
      <t>ト</t>
    </rPh>
    <rPh sb="4" eb="5">
      <t>オ</t>
    </rPh>
    <phoneticPr fontId="6"/>
  </si>
  <si>
    <t>コープさっぽろ3月4回（OCRW）①</t>
    <rPh sb="8" eb="9">
      <t>ガツ</t>
    </rPh>
    <rPh sb="10" eb="11">
      <t>カイ</t>
    </rPh>
    <phoneticPr fontId="6"/>
  </si>
  <si>
    <t>東北サンネット３月４回②</t>
    <rPh sb="0" eb="2">
      <t>トウホク</t>
    </rPh>
    <rPh sb="8" eb="9">
      <t>ガツ</t>
    </rPh>
    <rPh sb="10" eb="11">
      <t>カイ</t>
    </rPh>
    <phoneticPr fontId="6"/>
  </si>
  <si>
    <t>東北サンネット３月４回③</t>
    <rPh sb="0" eb="2">
      <t>トウホク</t>
    </rPh>
    <rPh sb="8" eb="9">
      <t>ガツ</t>
    </rPh>
    <rPh sb="10" eb="11">
      <t>カイ</t>
    </rPh>
    <phoneticPr fontId="6"/>
  </si>
  <si>
    <t>コープさっぽろ3月4回（OCRW）②</t>
    <rPh sb="8" eb="9">
      <t>ガツ</t>
    </rPh>
    <rPh sb="10" eb="11">
      <t>カイ</t>
    </rPh>
    <phoneticPr fontId="6"/>
  </si>
  <si>
    <t>JODダイエット7477</t>
    <phoneticPr fontId="6"/>
  </si>
  <si>
    <t>4/21～</t>
    <phoneticPr fontId="6"/>
  </si>
  <si>
    <t>IEI4月号sample返却</t>
    <rPh sb="4" eb="6">
      <t>ガツゴウ</t>
    </rPh>
    <rPh sb="12" eb="14">
      <t>ヘンキャク</t>
    </rPh>
    <phoneticPr fontId="6"/>
  </si>
  <si>
    <t>IEI撮影用sample返却</t>
    <rPh sb="3" eb="6">
      <t>サツエイヨウ</t>
    </rPh>
    <rPh sb="12" eb="14">
      <t>ヘンキャク</t>
    </rPh>
    <phoneticPr fontId="6"/>
  </si>
  <si>
    <t>6/3～6/5.</t>
    <phoneticPr fontId="6"/>
  </si>
  <si>
    <t>ゆめはん</t>
    <phoneticPr fontId="6"/>
  </si>
  <si>
    <t>JOD㉑</t>
    <phoneticPr fontId="6"/>
  </si>
  <si>
    <t>はぴねすくらぶ4月号①</t>
    <rPh sb="8" eb="10">
      <t>ガツゴウ</t>
    </rPh>
    <phoneticPr fontId="6"/>
  </si>
  <si>
    <t>IEI使ってヨカッタ4月号2色組①</t>
    <rPh sb="3" eb="4">
      <t>ツカ</t>
    </rPh>
    <rPh sb="11" eb="13">
      <t>ガツゴウ</t>
    </rPh>
    <rPh sb="14" eb="16">
      <t>ショククミ</t>
    </rPh>
    <phoneticPr fontId="6"/>
  </si>
  <si>
    <t>JOD㉒</t>
    <phoneticPr fontId="6"/>
  </si>
  <si>
    <t>あいコープみやぎ4月3回①</t>
    <rPh sb="9" eb="10">
      <t>ガツ</t>
    </rPh>
    <rPh sb="11" eb="12">
      <t>カイ</t>
    </rPh>
    <phoneticPr fontId="6"/>
  </si>
  <si>
    <t>コープ東北サンネット４月４回①</t>
    <rPh sb="3" eb="5">
      <t>トウホク</t>
    </rPh>
    <rPh sb="11" eb="12">
      <t>ガツ</t>
    </rPh>
    <rPh sb="13" eb="14">
      <t>カイ</t>
    </rPh>
    <phoneticPr fontId="6"/>
  </si>
  <si>
    <t>コープ東北サンネット４月４回②</t>
    <rPh sb="3" eb="5">
      <t>トウホク</t>
    </rPh>
    <rPh sb="11" eb="12">
      <t>ガツ</t>
    </rPh>
    <rPh sb="13" eb="14">
      <t>カイ</t>
    </rPh>
    <phoneticPr fontId="6"/>
  </si>
  <si>
    <t>コープ東北サンネット４月４回③</t>
    <rPh sb="3" eb="5">
      <t>トウホク</t>
    </rPh>
    <rPh sb="11" eb="12">
      <t>ガツ</t>
    </rPh>
    <rPh sb="13" eb="14">
      <t>カイ</t>
    </rPh>
    <phoneticPr fontId="6"/>
  </si>
  <si>
    <t>はぴねすくらぶ4月号②</t>
    <rPh sb="8" eb="10">
      <t>ガツゴウ</t>
    </rPh>
    <phoneticPr fontId="6"/>
  </si>
  <si>
    <t>サクラマチ直送</t>
    <rPh sb="5" eb="7">
      <t>チョクソウ</t>
    </rPh>
    <phoneticPr fontId="6"/>
  </si>
  <si>
    <t>西夢</t>
    <rPh sb="0" eb="2">
      <t>ニシユメ</t>
    </rPh>
    <phoneticPr fontId="6"/>
  </si>
  <si>
    <t>はぴねすくらぶ4月号③</t>
    <rPh sb="8" eb="10">
      <t>ガツゴウ</t>
    </rPh>
    <phoneticPr fontId="6"/>
  </si>
  <si>
    <t>IEI使ってヨカッタ4月号2色組②</t>
    <rPh sb="3" eb="4">
      <t>ツカ</t>
    </rPh>
    <rPh sb="11" eb="13">
      <t>ガツゴウ</t>
    </rPh>
    <rPh sb="14" eb="16">
      <t>ショククミ</t>
    </rPh>
    <phoneticPr fontId="6"/>
  </si>
  <si>
    <t>りすぺーる（パル）5月4回￥2480①</t>
    <phoneticPr fontId="6"/>
  </si>
  <si>
    <t>在庫調整</t>
    <rPh sb="0" eb="2">
      <t>ザイコ</t>
    </rPh>
    <rPh sb="2" eb="4">
      <t>チョウセイ</t>
    </rPh>
    <phoneticPr fontId="2"/>
  </si>
  <si>
    <t>はぴねすくらぶ4月号④</t>
    <rPh sb="8" eb="10">
      <t>ガツゴウ</t>
    </rPh>
    <phoneticPr fontId="6"/>
  </si>
  <si>
    <t>IEI使ってヨカッタ4月号2色組③</t>
    <rPh sb="3" eb="4">
      <t>ツカ</t>
    </rPh>
    <rPh sb="11" eb="13">
      <t>ガツゴウ</t>
    </rPh>
    <rPh sb="14" eb="16">
      <t>ショククミ</t>
    </rPh>
    <phoneticPr fontId="6"/>
  </si>
  <si>
    <t>はぴねすくらぶ4月号⑤</t>
    <rPh sb="8" eb="10">
      <t>ガツゴウ</t>
    </rPh>
    <phoneticPr fontId="6"/>
  </si>
  <si>
    <t>JOD㉓</t>
    <phoneticPr fontId="6"/>
  </si>
  <si>
    <t>ゆめはん</t>
    <phoneticPr fontId="6"/>
  </si>
  <si>
    <t>西夢</t>
    <rPh sb="0" eb="2">
      <t>ニシユメ</t>
    </rPh>
    <phoneticPr fontId="6"/>
  </si>
  <si>
    <t>コープこうべ5月1回①</t>
    <rPh sb="7" eb="8">
      <t>ガツ</t>
    </rPh>
    <rPh sb="9" eb="10">
      <t>カイ</t>
    </rPh>
    <phoneticPr fontId="6"/>
  </si>
  <si>
    <t>コープさっぽろ5月3回OCRW・別チラシ①</t>
    <rPh sb="8" eb="9">
      <t>ガツ</t>
    </rPh>
    <rPh sb="10" eb="11">
      <t>カイ</t>
    </rPh>
    <rPh sb="16" eb="17">
      <t>ベツ</t>
    </rPh>
    <phoneticPr fontId="6"/>
  </si>
  <si>
    <t>コープこうべ5月1回②</t>
    <rPh sb="7" eb="8">
      <t>ガツ</t>
    </rPh>
    <rPh sb="9" eb="10">
      <t>カイ</t>
    </rPh>
    <phoneticPr fontId="6"/>
  </si>
  <si>
    <t>くらし返品</t>
    <rPh sb="3" eb="5">
      <t>ヘンピン</t>
    </rPh>
    <phoneticPr fontId="2"/>
  </si>
  <si>
    <t>コープこうべ5月1回③</t>
    <rPh sb="7" eb="8">
      <t>ガツ</t>
    </rPh>
    <rPh sb="9" eb="10">
      <t>カイ</t>
    </rPh>
    <phoneticPr fontId="6"/>
  </si>
  <si>
    <t>IEI返品</t>
    <rPh sb="3" eb="5">
      <t>ヘンピン</t>
    </rPh>
    <phoneticPr fontId="2"/>
  </si>
  <si>
    <t>KPORT</t>
    <phoneticPr fontId="6"/>
  </si>
  <si>
    <t>夢販移動</t>
    <rPh sb="0" eb="4">
      <t>ユメハンイドウ</t>
    </rPh>
    <phoneticPr fontId="2"/>
  </si>
  <si>
    <t>はぴねすくらぶ4月号⑥</t>
    <rPh sb="8" eb="10">
      <t>ガツゴウ</t>
    </rPh>
    <phoneticPr fontId="6"/>
  </si>
  <si>
    <t>コープさっぽろ5月3回OCRW・別チラシ②</t>
    <rPh sb="8" eb="9">
      <t>ガツ</t>
    </rPh>
    <rPh sb="10" eb="11">
      <t>カイ</t>
    </rPh>
    <rPh sb="16" eb="17">
      <t>ベツ</t>
    </rPh>
    <phoneticPr fontId="6"/>
  </si>
  <si>
    <t>夢販</t>
    <rPh sb="0" eb="2">
      <t>ｙ</t>
    </rPh>
    <phoneticPr fontId="2"/>
  </si>
  <si>
    <t>りすぺーる（パル）5月4回￥2480②</t>
    <phoneticPr fontId="6"/>
  </si>
  <si>
    <t>IEI使ってヨカッタ7月号2色組</t>
    <rPh sb="3" eb="4">
      <t>ツカ</t>
    </rPh>
    <rPh sb="11" eb="13">
      <t>ガツゴウ</t>
    </rPh>
    <rPh sb="14" eb="16">
      <t>ショククミ</t>
    </rPh>
    <phoneticPr fontId="6"/>
  </si>
  <si>
    <t>7/4～10/31</t>
    <phoneticPr fontId="6"/>
  </si>
  <si>
    <t>サクラマチ返品</t>
    <rPh sb="5" eb="7">
      <t>ヘンピン</t>
    </rPh>
    <phoneticPr fontId="2"/>
  </si>
  <si>
    <t>りすぺーる（パル）5月4回￥2480③</t>
    <phoneticPr fontId="6"/>
  </si>
  <si>
    <t>はぴねすくらぶ4月号⑦</t>
    <rPh sb="8" eb="10">
      <t>ガツゴウ</t>
    </rPh>
    <phoneticPr fontId="6"/>
  </si>
  <si>
    <t>JODアクセス7018</t>
    <phoneticPr fontId="6"/>
  </si>
  <si>
    <t>7/11～</t>
    <phoneticPr fontId="6"/>
  </si>
  <si>
    <t>ゆめはん</t>
    <phoneticPr fontId="6"/>
  </si>
  <si>
    <t>オバタ返品</t>
    <rPh sb="3" eb="5">
      <t>ヘンピン</t>
    </rPh>
    <phoneticPr fontId="2"/>
  </si>
  <si>
    <t>KPORT</t>
    <phoneticPr fontId="6"/>
  </si>
  <si>
    <t>IEI使ってヨカッタ4月号2色組④</t>
    <rPh sb="3" eb="4">
      <t>ツカ</t>
    </rPh>
    <rPh sb="11" eb="13">
      <t>ガツゴウ</t>
    </rPh>
    <rPh sb="14" eb="16">
      <t>ショククミ</t>
    </rPh>
    <phoneticPr fontId="6"/>
  </si>
  <si>
    <t>コープさっぽろ5月3回③</t>
    <rPh sb="8" eb="9">
      <t>ガツ</t>
    </rPh>
    <rPh sb="10" eb="11">
      <t>カイ</t>
    </rPh>
    <phoneticPr fontId="6"/>
  </si>
  <si>
    <t>ゆめはん</t>
    <phoneticPr fontId="6"/>
  </si>
  <si>
    <t>IEI使ってヨカッタ8月号2色組</t>
    <rPh sb="3" eb="4">
      <t>ツカ</t>
    </rPh>
    <rPh sb="11" eb="13">
      <t>ガツゴウ</t>
    </rPh>
    <rPh sb="14" eb="16">
      <t>ショククミ</t>
    </rPh>
    <phoneticPr fontId="6"/>
  </si>
  <si>
    <t>8/1～9/30</t>
    <phoneticPr fontId="6"/>
  </si>
  <si>
    <t>はぴねすくらぶ4月号⑧</t>
    <rPh sb="8" eb="10">
      <t>ガツゴウ</t>
    </rPh>
    <phoneticPr fontId="6"/>
  </si>
  <si>
    <t>サクラマチ返品</t>
    <rPh sb="0" eb="7">
      <t>s</t>
    </rPh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</si>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</sst>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1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4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5" fillId="0" borderId="26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0" xfId="1" applyBorder="1"/>
    <xf numFmtId="0" fontId="5" fillId="0" borderId="26" xfId="1" applyFont="1" applyBorder="1" applyAlignment="1">
      <alignment horizontal="center" vertical="center"/>
    </xf>
    <xf numFmtId="0" fontId="1" fillId="0" borderId="31" xfId="1" applyBorder="1"/>
    <xf numFmtId="0" fontId="7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6" xfId="1" applyBorder="1"/>
    <xf numFmtId="0" fontId="1" fillId="0" borderId="37" xfId="1" applyBorder="1"/>
    <xf numFmtId="0" fontId="1" fillId="0" borderId="38" xfId="1" applyBorder="1"/>
    <xf numFmtId="0" fontId="1" fillId="0" borderId="3" xfId="1" applyBorder="1"/>
    <xf numFmtId="0" fontId="1" fillId="0" borderId="14" xfId="1" applyBorder="1"/>
    <xf numFmtId="56" fontId="8" fillId="0" borderId="0" xfId="0" applyNumberFormat="1" applyFont="1">
      <alignment vertical="center"/>
    </xf>
    <xf numFmtId="0" fontId="9" fillId="0" borderId="10" xfId="1" applyFont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40" xfId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8" fillId="0" borderId="0" xfId="0" applyFont="1">
      <alignment vertical="center"/>
    </xf>
    <xf numFmtId="0" fontId="5" fillId="0" borderId="0" xfId="1" applyFont="1"/>
    <xf numFmtId="0" fontId="1" fillId="3" borderId="15" xfId="1" applyFill="1" applyBorder="1"/>
    <xf numFmtId="0" fontId="1" fillId="3" borderId="22" xfId="1" applyFill="1" applyBorder="1"/>
    <xf numFmtId="0" fontId="1" fillId="3" borderId="5" xfId="1" applyFill="1" applyBorder="1"/>
    <xf numFmtId="0" fontId="1" fillId="3" borderId="10" xfId="1" applyFill="1" applyBorder="1"/>
    <xf numFmtId="0" fontId="1" fillId="3" borderId="33" xfId="1" applyFill="1" applyBorder="1"/>
    <xf numFmtId="0" fontId="5" fillId="3" borderId="11" xfId="1" applyFont="1" applyFill="1" applyBorder="1"/>
    <xf numFmtId="0" fontId="1" fillId="3" borderId="35" xfId="1" applyFill="1" applyBorder="1"/>
    <xf numFmtId="0" fontId="1" fillId="3" borderId="11" xfId="1" applyFill="1" applyBorder="1"/>
    <xf numFmtId="0" fontId="4" fillId="3" borderId="29" xfId="1" applyFont="1" applyFill="1" applyBorder="1"/>
    <xf numFmtId="0" fontId="1" fillId="4" borderId="15" xfId="1" applyFill="1" applyBorder="1"/>
    <xf numFmtId="0" fontId="1" fillId="4" borderId="10" xfId="1" applyFill="1" applyBorder="1"/>
    <xf numFmtId="0" fontId="1" fillId="4" borderId="24" xfId="1" applyFill="1" applyBorder="1"/>
    <xf numFmtId="0" fontId="5" fillId="4" borderId="11" xfId="1" applyFont="1" applyFill="1" applyBorder="1"/>
    <xf numFmtId="0" fontId="1" fillId="4" borderId="11" xfId="1" applyFill="1" applyBorder="1"/>
    <xf numFmtId="0" fontId="4" fillId="3" borderId="32" xfId="1" applyFont="1" applyFill="1" applyBorder="1"/>
    <xf numFmtId="0" fontId="4" fillId="3" borderId="34" xfId="1" applyFont="1" applyFill="1" applyBorder="1"/>
    <xf numFmtId="0" fontId="4" fillId="3" borderId="39" xfId="1" applyFont="1" applyFill="1" applyBorder="1"/>
    <xf numFmtId="0" fontId="5" fillId="3" borderId="15" xfId="1" applyFont="1" applyFill="1" applyBorder="1"/>
    <xf numFmtId="0" fontId="5" fillId="4" borderId="15" xfId="1" applyFont="1" applyFill="1" applyBorder="1"/>
    <xf numFmtId="0" fontId="5" fillId="0" borderId="12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40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0" xfId="1" applyBorder="1" applyAlignment="1">
      <alignment horizontal="center"/>
    </xf>
    <xf numFmtId="0" fontId="0" fillId="0" borderId="0" xfId="0" applyAlignment="1">
      <alignment horizontal="left" vertical="center"/>
    </xf>
    <xf numFmtId="56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10" fillId="0" borderId="0" xfId="0" applyNumberFormat="1" applyFont="1" applyAlignment="1">
      <alignment horizontal="left" vertical="center"/>
    </xf>
    <xf numFmtId="0" fontId="3" fillId="6" borderId="0" xfId="1" applyFont="1" applyFill="1"/>
    <xf numFmtId="0" fontId="1" fillId="6" borderId="0" xfId="1" applyFill="1"/>
    <xf numFmtId="0" fontId="3" fillId="7" borderId="0" xfId="1" applyFont="1" applyFill="1"/>
    <xf numFmtId="0" fontId="1" fillId="7" borderId="0" xfId="1" applyFill="1"/>
    <xf numFmtId="0" fontId="5" fillId="3" borderId="5" xfId="1" applyFont="1" applyFill="1" applyBorder="1"/>
    <xf numFmtId="0" fontId="5" fillId="4" borderId="10" xfId="1" applyFont="1" applyFill="1" applyBorder="1"/>
    <xf numFmtId="56" fontId="7" fillId="0" borderId="0" xfId="0" applyNumberFormat="1" applyFont="1" applyAlignment="1">
      <alignment horizontal="left" vertical="center"/>
    </xf>
    <xf numFmtId="0" fontId="5" fillId="0" borderId="10" xfId="1" applyFont="1" applyBorder="1" applyAlignment="1">
      <alignment horizontal="center" vertical="center" shrinkToFit="1"/>
    </xf>
    <xf numFmtId="0" fontId="12" fillId="0" borderId="10" xfId="1" applyFont="1" applyBorder="1" applyAlignment="1">
      <alignment horizontal="center" vertical="center" shrinkToFit="1"/>
    </xf>
    <xf numFmtId="0" fontId="12" fillId="0" borderId="6" xfId="1" applyFont="1" applyBorder="1"/>
    <xf numFmtId="0" fontId="12" fillId="0" borderId="7" xfId="1" applyFont="1" applyBorder="1"/>
    <xf numFmtId="0" fontId="12" fillId="0" borderId="8" xfId="1" applyFont="1" applyBorder="1"/>
    <xf numFmtId="0" fontId="12" fillId="3" borderId="5" xfId="1" applyFont="1" applyFill="1" applyBorder="1"/>
    <xf numFmtId="0" fontId="12" fillId="4" borderId="10" xfId="1" applyFont="1" applyFill="1" applyBorder="1"/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9" xfId="1" applyFont="1" applyBorder="1"/>
    <xf numFmtId="0" fontId="1" fillId="0" borderId="14" xfId="1" applyBorder="1" applyAlignment="1">
      <alignment horizontal="center"/>
    </xf>
    <xf numFmtId="0" fontId="14" fillId="0" borderId="10" xfId="1" applyFont="1" applyBorder="1" applyAlignment="1">
      <alignment horizontal="center" vertical="center" shrinkToFit="1"/>
    </xf>
    <xf numFmtId="0" fontId="14" fillId="0" borderId="6" xfId="1" applyFont="1" applyBorder="1"/>
    <xf numFmtId="0" fontId="14" fillId="0" borderId="7" xfId="1" applyFont="1" applyBorder="1"/>
    <xf numFmtId="0" fontId="14" fillId="0" borderId="8" xfId="1" applyFont="1" applyBorder="1"/>
    <xf numFmtId="0" fontId="14" fillId="3" borderId="5" xfId="1" applyFont="1" applyFill="1" applyBorder="1"/>
    <xf numFmtId="0" fontId="14" fillId="4" borderId="10" xfId="1" applyFont="1" applyFill="1" applyBorder="1"/>
    <xf numFmtId="56" fontId="15" fillId="0" borderId="0" xfId="0" applyNumberFormat="1" applyFont="1" applyAlignment="1">
      <alignment horizontal="left" vertical="center"/>
    </xf>
    <xf numFmtId="56" fontId="10" fillId="0" borderId="0" xfId="0" applyNumberFormat="1" applyFont="1">
      <alignment vertical="center"/>
    </xf>
    <xf numFmtId="56" fontId="16" fillId="0" borderId="25" xfId="1" applyNumberFormat="1" applyFont="1" applyBorder="1" applyAlignment="1">
      <alignment horizontal="center" vertical="center"/>
    </xf>
    <xf numFmtId="0" fontId="16" fillId="0" borderId="6" xfId="1" applyFont="1" applyBorder="1"/>
    <xf numFmtId="0" fontId="16" fillId="0" borderId="7" xfId="1" applyFont="1" applyBorder="1"/>
    <xf numFmtId="0" fontId="16" fillId="0" borderId="8" xfId="1" applyFont="1" applyBorder="1"/>
    <xf numFmtId="0" fontId="16" fillId="3" borderId="5" xfId="1" applyFont="1" applyFill="1" applyBorder="1"/>
    <xf numFmtId="0" fontId="16" fillId="0" borderId="9" xfId="1" applyFont="1" applyBorder="1"/>
    <xf numFmtId="0" fontId="16" fillId="4" borderId="10" xfId="1" applyFont="1" applyFill="1" applyBorder="1"/>
    <xf numFmtId="56" fontId="17" fillId="0" borderId="0" xfId="0" applyNumberFormat="1" applyFont="1">
      <alignment vertical="center"/>
    </xf>
    <xf numFmtId="0" fontId="16" fillId="0" borderId="10" xfId="1" applyFont="1" applyBorder="1" applyAlignment="1">
      <alignment horizontal="center" vertical="center" shrinkToFit="1"/>
    </xf>
    <xf numFmtId="56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6" fillId="0" borderId="16" xfId="1" applyFont="1" applyBorder="1"/>
    <xf numFmtId="0" fontId="16" fillId="0" borderId="17" xfId="1" applyFont="1" applyBorder="1"/>
    <xf numFmtId="0" fontId="16" fillId="0" borderId="37" xfId="1" applyFont="1" applyBorder="1"/>
    <xf numFmtId="0" fontId="16" fillId="3" borderId="10" xfId="1" applyFont="1" applyFill="1" applyBorder="1"/>
    <xf numFmtId="0" fontId="16" fillId="0" borderId="19" xfId="1" applyFont="1" applyBorder="1"/>
    <xf numFmtId="0" fontId="16" fillId="0" borderId="18" xfId="1" applyFont="1" applyBorder="1"/>
    <xf numFmtId="0" fontId="16" fillId="0" borderId="21" xfId="1" applyFont="1" applyBorder="1"/>
    <xf numFmtId="0" fontId="16" fillId="0" borderId="23" xfId="1" applyFont="1" applyBorder="1"/>
    <xf numFmtId="0" fontId="16" fillId="0" borderId="20" xfId="1" applyFont="1" applyBorder="1"/>
    <xf numFmtId="0" fontId="13" fillId="0" borderId="0" xfId="0" applyFont="1" applyAlignment="1">
      <alignment horizontal="left" vertical="center"/>
    </xf>
    <xf numFmtId="0" fontId="16" fillId="0" borderId="27" xfId="1" applyFont="1" applyBorder="1"/>
    <xf numFmtId="0" fontId="16" fillId="0" borderId="28" xfId="1" applyFont="1" applyBorder="1"/>
    <xf numFmtId="0" fontId="16" fillId="0" borderId="38" xfId="1" applyFont="1" applyBorder="1"/>
    <xf numFmtId="0" fontId="16" fillId="3" borderId="33" xfId="1" applyFont="1" applyFill="1" applyBorder="1"/>
    <xf numFmtId="0" fontId="16" fillId="0" borderId="30" xfId="1" applyFont="1" applyBorder="1"/>
    <xf numFmtId="0" fontId="16" fillId="0" borderId="31" xfId="1" applyFont="1" applyBorder="1"/>
    <xf numFmtId="0" fontId="16" fillId="4" borderId="24" xfId="1" applyFont="1" applyFill="1" applyBorder="1"/>
    <xf numFmtId="56" fontId="0" fillId="0" borderId="0" xfId="0" applyNumberFormat="1">
      <alignment vertical="center"/>
    </xf>
    <xf numFmtId="0" fontId="16" fillId="0" borderId="36" xfId="1" applyFont="1" applyBorder="1"/>
    <xf numFmtId="0" fontId="14" fillId="0" borderId="9" xfId="1" applyFont="1" applyBorder="1"/>
    <xf numFmtId="0" fontId="14" fillId="0" borderId="10" xfId="1" applyFont="1" applyBorder="1" applyAlignment="1">
      <alignment horizontal="center" vertical="center"/>
    </xf>
    <xf numFmtId="0" fontId="16" fillId="0" borderId="12" xfId="1" applyFont="1" applyBorder="1"/>
    <xf numFmtId="0" fontId="16" fillId="0" borderId="13" xfId="1" applyFont="1" applyBorder="1"/>
    <xf numFmtId="0" fontId="16" fillId="0" borderId="40" xfId="1" applyFont="1" applyBorder="1"/>
    <xf numFmtId="0" fontId="16" fillId="3" borderId="22" xfId="1" applyFont="1" applyFill="1" applyBorder="1"/>
    <xf numFmtId="0" fontId="16" fillId="0" borderId="41" xfId="1" applyFont="1" applyBorder="1"/>
    <xf numFmtId="0" fontId="16" fillId="0" borderId="42" xfId="1" applyFont="1" applyBorder="1"/>
    <xf numFmtId="0" fontId="16" fillId="0" borderId="43" xfId="1" applyFont="1" applyBorder="1"/>
    <xf numFmtId="0" fontId="16" fillId="4" borderId="15" xfId="1" applyFont="1" applyFill="1" applyBorder="1"/>
    <xf numFmtId="0" fontId="1" fillId="0" borderId="44" xfId="1" applyBorder="1" applyAlignment="1">
      <alignment horizontal="center"/>
    </xf>
    <xf numFmtId="0" fontId="1" fillId="4" borderId="5" xfId="1" applyFill="1" applyBorder="1"/>
    <xf numFmtId="0" fontId="5" fillId="0" borderId="1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56" fontId="5" fillId="0" borderId="25" xfId="1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23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3" xfId="1" applyFont="1" applyFill="1" applyBorder="1" applyAlignment="1">
      <alignment horizontal="center" vertical="center"/>
    </xf>
    <xf numFmtId="0" fontId="11" fillId="5" borderId="14" xfId="1" applyFont="1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56"/>
  <sheetViews>
    <sheetView tabSelected="1" topLeftCell="A151" zoomScaleNormal="100" workbookViewId="0">
      <selection activeCell="A159" sqref="A159"/>
    </sheetView>
  </sheetViews>
  <sheetFormatPr defaultRowHeight="13.5" x14ac:dyDescent="0.15"/>
  <cols>
    <col min="1" max="1" width="27.375" customWidth="1"/>
    <col min="2" max="10" width="7.25" customWidth="1"/>
    <col min="11" max="11" width="9.25" bestFit="1" customWidth="1"/>
    <col min="12" max="12" width="5.625" customWidth="1"/>
    <col min="13" max="13" width="39.875" customWidth="1"/>
    <col min="14" max="22" width="7.25" customWidth="1"/>
    <col min="23" max="23" width="9.25" style="96" bestFit="1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102" t="s">
        <v>23</v>
      </c>
      <c r="B1" s="103"/>
      <c r="C1" s="103"/>
      <c r="D1" s="103"/>
      <c r="E1" s="103"/>
      <c r="F1" s="103"/>
      <c r="G1" s="103"/>
      <c r="H1" s="103"/>
      <c r="I1" s="103" t="s">
        <v>31</v>
      </c>
      <c r="J1" s="103"/>
      <c r="M1" s="104" t="s">
        <v>27</v>
      </c>
      <c r="N1" s="105"/>
      <c r="O1" s="105"/>
      <c r="P1" s="105"/>
      <c r="Q1" s="105"/>
      <c r="R1" s="105"/>
      <c r="S1" s="105"/>
      <c r="T1" s="105"/>
      <c r="U1" s="105" t="s">
        <v>31</v>
      </c>
      <c r="V1" s="105"/>
    </row>
    <row r="2" spans="1:44" ht="14.25" thickBot="1" x14ac:dyDescent="0.2">
      <c r="A2" s="4"/>
      <c r="B2" s="183" t="s">
        <v>18</v>
      </c>
      <c r="C2" s="184"/>
      <c r="D2" s="184"/>
      <c r="E2" s="185"/>
      <c r="F2" s="186" t="s">
        <v>22</v>
      </c>
      <c r="G2" s="187"/>
      <c r="H2" s="187"/>
      <c r="I2" s="188"/>
      <c r="J2" s="189" t="s">
        <v>1</v>
      </c>
      <c r="M2" s="4"/>
      <c r="N2" s="183" t="s">
        <v>18</v>
      </c>
      <c r="O2" s="184"/>
      <c r="P2" s="184"/>
      <c r="Q2" s="185"/>
      <c r="R2" s="186" t="s">
        <v>22</v>
      </c>
      <c r="S2" s="187"/>
      <c r="T2" s="187"/>
      <c r="U2" s="188"/>
      <c r="V2" s="189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190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190"/>
    </row>
    <row r="4" spans="1:44" ht="14.25" thickBot="1" x14ac:dyDescent="0.2">
      <c r="A4" s="43" t="s">
        <v>7</v>
      </c>
      <c r="B4" s="32">
        <v>8</v>
      </c>
      <c r="C4" s="33">
        <v>8</v>
      </c>
      <c r="D4" s="40">
        <v>5</v>
      </c>
      <c r="E4" s="50">
        <f>SUM(B4:D4)</f>
        <v>21</v>
      </c>
      <c r="F4" s="32">
        <v>8</v>
      </c>
      <c r="G4" s="33">
        <v>8</v>
      </c>
      <c r="H4" s="40">
        <v>5</v>
      </c>
      <c r="I4" s="50">
        <f>SUM(F4:H4)</f>
        <v>21</v>
      </c>
      <c r="J4" s="59">
        <f>E4+I4</f>
        <v>42</v>
      </c>
      <c r="K4" s="41">
        <v>45951</v>
      </c>
      <c r="M4" s="43" t="s">
        <v>24</v>
      </c>
      <c r="N4" s="72">
        <v>60</v>
      </c>
      <c r="O4" s="73">
        <v>60</v>
      </c>
      <c r="P4" s="120">
        <v>60</v>
      </c>
      <c r="Q4" s="50">
        <f>SUM(N4:P4)</f>
        <v>180</v>
      </c>
      <c r="R4" s="72">
        <v>60</v>
      </c>
      <c r="S4" s="73">
        <v>60</v>
      </c>
      <c r="T4" s="120">
        <v>60</v>
      </c>
      <c r="U4" s="50">
        <f>SUM(R4:T4)</f>
        <v>180</v>
      </c>
      <c r="V4" s="59">
        <f>Q4+U4</f>
        <v>360</v>
      </c>
      <c r="W4" s="97" t="s">
        <v>34</v>
      </c>
      <c r="X4" s="48"/>
    </row>
    <row r="5" spans="1:44" x14ac:dyDescent="0.15">
      <c r="A5" s="19" t="s">
        <v>8</v>
      </c>
      <c r="B5" s="32">
        <v>5</v>
      </c>
      <c r="C5" s="33"/>
      <c r="D5" s="44"/>
      <c r="E5" s="51">
        <f>SUM(B5:D5)</f>
        <v>5</v>
      </c>
      <c r="F5" s="45"/>
      <c r="G5" s="46"/>
      <c r="H5" s="47"/>
      <c r="I5" s="51">
        <f>SUM(F5:H5)</f>
        <v>0</v>
      </c>
      <c r="J5" s="59">
        <f>E5+I5</f>
        <v>5</v>
      </c>
      <c r="K5" s="41">
        <v>45978</v>
      </c>
      <c r="M5" s="19" t="s">
        <v>8</v>
      </c>
      <c r="N5" s="72"/>
      <c r="O5" s="73"/>
      <c r="P5" s="74"/>
      <c r="Q5" s="51">
        <f>SUM(N5:P5)</f>
        <v>0</v>
      </c>
      <c r="R5" s="85"/>
      <c r="S5" s="86"/>
      <c r="T5" s="87"/>
      <c r="U5" s="51">
        <f>SUM(R5:T5)</f>
        <v>0</v>
      </c>
      <c r="V5" s="59">
        <f>Q5+U5</f>
        <v>0</v>
      </c>
      <c r="W5" s="97"/>
    </row>
    <row r="6" spans="1:44" x14ac:dyDescent="0.15">
      <c r="A6" s="19" t="s">
        <v>9</v>
      </c>
      <c r="B6" s="5"/>
      <c r="C6" s="6"/>
      <c r="D6" s="14">
        <v>3</v>
      </c>
      <c r="E6" s="52">
        <f t="shared" ref="E6:E12" si="0">SUM(B6:D6)</f>
        <v>3</v>
      </c>
      <c r="F6" s="15"/>
      <c r="G6" s="13"/>
      <c r="H6" s="14"/>
      <c r="I6" s="52">
        <f t="shared" ref="I6:I12" si="1">SUM(F6:H6)</f>
        <v>0</v>
      </c>
      <c r="J6" s="60">
        <f t="shared" ref="J6:J12" si="2">E6+I6</f>
        <v>3</v>
      </c>
      <c r="K6" s="41">
        <v>45982</v>
      </c>
      <c r="M6" s="19" t="s">
        <v>25</v>
      </c>
      <c r="N6" s="75">
        <v>350</v>
      </c>
      <c r="O6" s="76">
        <v>400</v>
      </c>
      <c r="P6" s="93">
        <v>250</v>
      </c>
      <c r="Q6" s="52">
        <f t="shared" ref="Q6" si="3">SUM(N6:P6)</f>
        <v>1000</v>
      </c>
      <c r="R6" s="94">
        <v>350</v>
      </c>
      <c r="S6" s="95">
        <v>400</v>
      </c>
      <c r="T6" s="93">
        <v>250</v>
      </c>
      <c r="U6" s="52">
        <f t="shared" ref="U6" si="4">SUM(R6:T6)</f>
        <v>1000</v>
      </c>
      <c r="V6" s="60">
        <f t="shared" ref="V6" si="5">Q6+U6</f>
        <v>2000</v>
      </c>
      <c r="W6" s="97" t="s">
        <v>44</v>
      </c>
      <c r="X6" s="48"/>
    </row>
    <row r="7" spans="1:44" x14ac:dyDescent="0.15">
      <c r="A7" s="19" t="s">
        <v>59</v>
      </c>
      <c r="B7" s="5"/>
      <c r="C7" s="6">
        <v>1</v>
      </c>
      <c r="D7" s="7"/>
      <c r="E7" s="52">
        <f t="shared" si="0"/>
        <v>1</v>
      </c>
      <c r="F7" s="8"/>
      <c r="G7" s="6"/>
      <c r="H7" s="7"/>
      <c r="I7" s="52">
        <f t="shared" si="1"/>
        <v>0</v>
      </c>
      <c r="J7" s="60">
        <f t="shared" si="2"/>
        <v>1</v>
      </c>
      <c r="K7" s="41">
        <v>45986</v>
      </c>
      <c r="M7" s="19" t="s">
        <v>29</v>
      </c>
      <c r="N7" s="75">
        <v>-60</v>
      </c>
      <c r="O7" s="76">
        <v>-60</v>
      </c>
      <c r="P7" s="78">
        <v>-60</v>
      </c>
      <c r="Q7" s="53">
        <f>SUM(N7:P7)</f>
        <v>-180</v>
      </c>
      <c r="R7" s="88">
        <v>-60</v>
      </c>
      <c r="S7" s="76">
        <v>-60</v>
      </c>
      <c r="T7" s="77">
        <v>-60</v>
      </c>
      <c r="U7" s="53">
        <f>SUM(R7:T7)</f>
        <v>-180</v>
      </c>
      <c r="V7" s="60">
        <f>Q7+U7</f>
        <v>-360</v>
      </c>
      <c r="W7" s="97"/>
      <c r="X7" s="48"/>
      <c r="AJ7" s="48"/>
    </row>
    <row r="8" spans="1:44" x14ac:dyDescent="0.15">
      <c r="A8" s="19" t="s">
        <v>11</v>
      </c>
      <c r="B8" s="5">
        <v>5</v>
      </c>
      <c r="C8" s="6"/>
      <c r="D8" s="36"/>
      <c r="E8" s="53">
        <f t="shared" si="0"/>
        <v>5</v>
      </c>
      <c r="F8" s="8"/>
      <c r="G8" s="6"/>
      <c r="H8" s="7"/>
      <c r="I8" s="53">
        <f t="shared" si="1"/>
        <v>0</v>
      </c>
      <c r="J8" s="60">
        <f t="shared" si="2"/>
        <v>5</v>
      </c>
      <c r="K8" s="41">
        <v>45990</v>
      </c>
      <c r="L8" s="48"/>
      <c r="M8" s="19" t="s">
        <v>41</v>
      </c>
      <c r="N8" s="75">
        <v>3</v>
      </c>
      <c r="O8" s="76">
        <v>18</v>
      </c>
      <c r="P8" s="78">
        <v>20</v>
      </c>
      <c r="Q8" s="53">
        <f>SUM(N8:P8)</f>
        <v>41</v>
      </c>
      <c r="R8" s="88">
        <v>6</v>
      </c>
      <c r="S8" s="76">
        <v>27</v>
      </c>
      <c r="T8" s="77">
        <v>15</v>
      </c>
      <c r="U8" s="53">
        <f>SUM(R8:T8)</f>
        <v>48</v>
      </c>
      <c r="V8" s="60">
        <f>Q8+U8</f>
        <v>89</v>
      </c>
      <c r="W8" s="97"/>
      <c r="X8" s="48"/>
      <c r="AJ8" s="49"/>
      <c r="AK8" s="49"/>
      <c r="AL8" s="49"/>
      <c r="AM8" s="49"/>
      <c r="AN8" s="49"/>
      <c r="AO8" s="49"/>
      <c r="AP8" s="49"/>
      <c r="AQ8" s="49"/>
      <c r="AR8" s="49"/>
    </row>
    <row r="9" spans="1:44" x14ac:dyDescent="0.15">
      <c r="A9" s="19" t="s">
        <v>12</v>
      </c>
      <c r="B9" s="5"/>
      <c r="C9" s="6"/>
      <c r="D9" s="36">
        <v>5</v>
      </c>
      <c r="E9" s="53">
        <f t="shared" si="0"/>
        <v>5</v>
      </c>
      <c r="F9" s="8"/>
      <c r="G9" s="6"/>
      <c r="H9" s="7"/>
      <c r="I9" s="53">
        <f t="shared" si="1"/>
        <v>0</v>
      </c>
      <c r="J9" s="60">
        <f t="shared" si="2"/>
        <v>5</v>
      </c>
      <c r="K9" s="41">
        <v>45996</v>
      </c>
      <c r="M9" s="19" t="s">
        <v>12</v>
      </c>
      <c r="N9" s="75"/>
      <c r="O9" s="76"/>
      <c r="P9" s="78"/>
      <c r="Q9" s="53">
        <f>SUM(N9:P9)</f>
        <v>0</v>
      </c>
      <c r="R9" s="88"/>
      <c r="S9" s="76"/>
      <c r="T9" s="77"/>
      <c r="U9" s="53">
        <f>SUM(R9:T9)</f>
        <v>0</v>
      </c>
      <c r="V9" s="60">
        <f>Q9+U9</f>
        <v>0</v>
      </c>
      <c r="W9" s="97"/>
      <c r="X9" s="48"/>
    </row>
    <row r="10" spans="1:44" x14ac:dyDescent="0.15">
      <c r="A10" s="19" t="s">
        <v>59</v>
      </c>
      <c r="B10" s="5">
        <v>2</v>
      </c>
      <c r="C10" s="6"/>
      <c r="D10" s="36"/>
      <c r="E10" s="53">
        <f t="shared" si="0"/>
        <v>2</v>
      </c>
      <c r="F10" s="8"/>
      <c r="G10" s="6">
        <v>1</v>
      </c>
      <c r="H10" s="7"/>
      <c r="I10" s="53">
        <f t="shared" si="1"/>
        <v>1</v>
      </c>
      <c r="J10" s="60">
        <f t="shared" si="2"/>
        <v>3</v>
      </c>
      <c r="K10" s="41">
        <v>46000</v>
      </c>
      <c r="M10" s="19" t="s">
        <v>13</v>
      </c>
      <c r="N10" s="75"/>
      <c r="O10" s="76"/>
      <c r="P10" s="78"/>
      <c r="Q10" s="53">
        <f t="shared" ref="Q10:Q12" si="6">SUM(N10:P10)</f>
        <v>0</v>
      </c>
      <c r="R10" s="88"/>
      <c r="S10" s="76"/>
      <c r="T10" s="77"/>
      <c r="U10" s="53">
        <f t="shared" ref="U10:U12" si="7">SUM(R10:T10)</f>
        <v>0</v>
      </c>
      <c r="V10" s="60">
        <f t="shared" ref="V10:V12" si="8">Q10+U10</f>
        <v>0</v>
      </c>
      <c r="W10" s="97"/>
    </row>
    <row r="11" spans="1:44" x14ac:dyDescent="0.15">
      <c r="A11" s="19" t="s">
        <v>14</v>
      </c>
      <c r="B11" s="9"/>
      <c r="C11" s="10"/>
      <c r="D11" s="37"/>
      <c r="E11" s="53">
        <f t="shared" si="0"/>
        <v>0</v>
      </c>
      <c r="F11" s="12"/>
      <c r="G11" s="10"/>
      <c r="H11" s="11"/>
      <c r="I11" s="53">
        <f t="shared" si="1"/>
        <v>0</v>
      </c>
      <c r="J11" s="60">
        <f t="shared" si="2"/>
        <v>0</v>
      </c>
      <c r="K11" s="41"/>
      <c r="M11" s="19" t="s">
        <v>14</v>
      </c>
      <c r="N11" s="79"/>
      <c r="O11" s="80"/>
      <c r="P11" s="81"/>
      <c r="Q11" s="53">
        <f t="shared" si="6"/>
        <v>0</v>
      </c>
      <c r="R11" s="89"/>
      <c r="S11" s="80"/>
      <c r="T11" s="90"/>
      <c r="U11" s="53">
        <f t="shared" si="7"/>
        <v>0</v>
      </c>
      <c r="V11" s="60">
        <f t="shared" si="8"/>
        <v>0</v>
      </c>
    </row>
    <row r="12" spans="1:44" ht="14.25" thickBot="1" x14ac:dyDescent="0.2">
      <c r="A12" s="19" t="s">
        <v>15</v>
      </c>
      <c r="B12" s="25"/>
      <c r="C12" s="26"/>
      <c r="D12" s="38"/>
      <c r="E12" s="54">
        <f t="shared" si="0"/>
        <v>0</v>
      </c>
      <c r="F12" s="27"/>
      <c r="G12" s="27"/>
      <c r="H12" s="29"/>
      <c r="I12" s="54">
        <f t="shared" si="1"/>
        <v>0</v>
      </c>
      <c r="J12" s="61">
        <f t="shared" si="2"/>
        <v>0</v>
      </c>
      <c r="K12" s="41"/>
      <c r="M12" s="19" t="s">
        <v>15</v>
      </c>
      <c r="N12" s="82"/>
      <c r="O12" s="83"/>
      <c r="P12" s="84"/>
      <c r="Q12" s="54">
        <f t="shared" si="6"/>
        <v>0</v>
      </c>
      <c r="R12" s="91"/>
      <c r="S12" s="91"/>
      <c r="T12" s="92"/>
      <c r="U12" s="54">
        <f t="shared" si="7"/>
        <v>0</v>
      </c>
      <c r="V12" s="61">
        <f t="shared" si="8"/>
        <v>0</v>
      </c>
    </row>
    <row r="13" spans="1:44" ht="14.25" thickBot="1" x14ac:dyDescent="0.2">
      <c r="A13" s="28" t="s">
        <v>16</v>
      </c>
      <c r="B13" s="22">
        <f>SUM(B4:B12)</f>
        <v>20</v>
      </c>
      <c r="C13" s="23">
        <f>SUM(C4:C12)</f>
        <v>9</v>
      </c>
      <c r="D13" s="24">
        <f>SUM(D4:D12)</f>
        <v>13</v>
      </c>
      <c r="E13" s="55">
        <f>SUM(B13:D13)</f>
        <v>42</v>
      </c>
      <c r="F13" s="22">
        <f>SUM(F4:F12)</f>
        <v>8</v>
      </c>
      <c r="G13" s="23">
        <f>SUM(G4:G12)</f>
        <v>9</v>
      </c>
      <c r="H13" s="24">
        <f>SUM(H4:H12)</f>
        <v>5</v>
      </c>
      <c r="I13" s="55">
        <f>SUM(F13:H13)</f>
        <v>22</v>
      </c>
      <c r="J13" s="62">
        <f>E13+I13</f>
        <v>64</v>
      </c>
      <c r="M13" s="28" t="s">
        <v>16</v>
      </c>
      <c r="N13" s="22">
        <f>SUM(N4:N12)</f>
        <v>353</v>
      </c>
      <c r="O13" s="23">
        <f>SUM(O4:O12)</f>
        <v>418</v>
      </c>
      <c r="P13" s="24">
        <f>SUM(P4:P12)</f>
        <v>270</v>
      </c>
      <c r="Q13" s="55">
        <f>SUM(N13:P13)</f>
        <v>1041</v>
      </c>
      <c r="R13" s="22">
        <f>SUM(R4:R12)</f>
        <v>356</v>
      </c>
      <c r="S13" s="23">
        <f>SUM(S4:S12)</f>
        <v>427</v>
      </c>
      <c r="T13" s="24">
        <f>SUM(T4:T12)</f>
        <v>265</v>
      </c>
      <c r="U13" s="55">
        <f>SUM(R13:T13)</f>
        <v>1048</v>
      </c>
      <c r="V13" s="62">
        <f>Q13+U13</f>
        <v>2089</v>
      </c>
    </row>
    <row r="14" spans="1:44" x14ac:dyDescent="0.15">
      <c r="A14" s="17" t="s">
        <v>39</v>
      </c>
      <c r="B14" s="9">
        <v>1</v>
      </c>
      <c r="C14" s="10"/>
      <c r="D14" s="11"/>
      <c r="E14" s="52">
        <f>SUM(B14:D14)</f>
        <v>1</v>
      </c>
      <c r="F14" s="12"/>
      <c r="G14" s="10"/>
      <c r="H14" s="11"/>
      <c r="I14" s="52">
        <f>SUM(F14:H14)</f>
        <v>0</v>
      </c>
      <c r="J14" s="60">
        <f>E14+I14</f>
        <v>1</v>
      </c>
      <c r="K14" s="41">
        <v>45965</v>
      </c>
      <c r="M14" s="20" t="s">
        <v>35</v>
      </c>
      <c r="N14" s="9">
        <v>8</v>
      </c>
      <c r="O14" s="10">
        <v>8</v>
      </c>
      <c r="P14" s="11">
        <v>5</v>
      </c>
      <c r="Q14" s="52">
        <f>SUM(N14:P14)</f>
        <v>21</v>
      </c>
      <c r="R14" s="12">
        <v>8</v>
      </c>
      <c r="S14" s="10">
        <v>8</v>
      </c>
      <c r="T14" s="11">
        <v>5</v>
      </c>
      <c r="U14" s="52">
        <f>SUM(R14:T14)</f>
        <v>21</v>
      </c>
      <c r="V14" s="60">
        <f>Q14+U14</f>
        <v>42</v>
      </c>
      <c r="W14" s="97">
        <v>45951</v>
      </c>
    </row>
    <row r="15" spans="1:44" x14ac:dyDescent="0.15">
      <c r="A15" s="17" t="s">
        <v>40</v>
      </c>
      <c r="B15" s="5">
        <v>1</v>
      </c>
      <c r="C15" s="6"/>
      <c r="D15" s="7"/>
      <c r="E15" s="52">
        <f t="shared" ref="E15:E40" si="9">SUM(B15:D15)</f>
        <v>1</v>
      </c>
      <c r="F15" s="8">
        <v>1</v>
      </c>
      <c r="G15" s="6"/>
      <c r="H15" s="7"/>
      <c r="I15" s="52">
        <f t="shared" ref="I15:I40" si="10">SUM(F15:H15)</f>
        <v>1</v>
      </c>
      <c r="J15" s="60">
        <f t="shared" ref="J15:J39" si="11">E15+I15</f>
        <v>2</v>
      </c>
      <c r="K15" s="41">
        <v>45966</v>
      </c>
      <c r="M15" s="17" t="s">
        <v>45</v>
      </c>
      <c r="N15" s="5">
        <v>2</v>
      </c>
      <c r="O15" s="6">
        <v>6</v>
      </c>
      <c r="P15" s="7">
        <v>1</v>
      </c>
      <c r="Q15" s="52">
        <f t="shared" ref="Q15" si="12">SUM(N15:P15)</f>
        <v>9</v>
      </c>
      <c r="R15" s="8"/>
      <c r="S15" s="6"/>
      <c r="T15" s="7">
        <v>1</v>
      </c>
      <c r="U15" s="52">
        <f t="shared" ref="U15" si="13">SUM(R15:T15)</f>
        <v>1</v>
      </c>
      <c r="V15" s="60">
        <f t="shared" ref="V15" si="14">Q15+U15</f>
        <v>10</v>
      </c>
      <c r="W15" s="97">
        <v>45975</v>
      </c>
      <c r="X15" s="48"/>
      <c r="Y15" s="48"/>
    </row>
    <row r="16" spans="1:44" x14ac:dyDescent="0.15">
      <c r="A16" s="17" t="s">
        <v>42</v>
      </c>
      <c r="B16" s="5"/>
      <c r="C16" s="6">
        <v>1</v>
      </c>
      <c r="D16" s="7"/>
      <c r="E16" s="52">
        <f t="shared" si="9"/>
        <v>1</v>
      </c>
      <c r="F16" s="8"/>
      <c r="G16" s="6"/>
      <c r="H16" s="7"/>
      <c r="I16" s="52">
        <f t="shared" si="10"/>
        <v>0</v>
      </c>
      <c r="J16" s="60">
        <f t="shared" si="11"/>
        <v>1</v>
      </c>
      <c r="K16" s="41">
        <v>45974</v>
      </c>
      <c r="M16" s="20" t="s">
        <v>35</v>
      </c>
      <c r="N16" s="5">
        <v>5</v>
      </c>
      <c r="O16" s="6"/>
      <c r="P16" s="7"/>
      <c r="Q16" s="52">
        <f t="shared" ref="Q16:Q40" si="15">SUM(N16:P16)</f>
        <v>5</v>
      </c>
      <c r="R16" s="8"/>
      <c r="S16" s="6"/>
      <c r="T16" s="7"/>
      <c r="U16" s="52">
        <f t="shared" ref="U16:U40" si="16">SUM(R16:T16)</f>
        <v>0</v>
      </c>
      <c r="V16" s="60">
        <f t="shared" ref="V16:V23" si="17">Q16+U16</f>
        <v>5</v>
      </c>
      <c r="W16" s="97">
        <v>45978</v>
      </c>
      <c r="X16" s="48"/>
      <c r="Y16" s="48"/>
      <c r="AJ16" s="48"/>
    </row>
    <row r="17" spans="1:36" x14ac:dyDescent="0.15">
      <c r="A17" s="17" t="s">
        <v>43</v>
      </c>
      <c r="B17" s="5"/>
      <c r="C17" s="6"/>
      <c r="D17" s="7">
        <v>1</v>
      </c>
      <c r="E17" s="52">
        <f t="shared" si="9"/>
        <v>1</v>
      </c>
      <c r="F17" s="8"/>
      <c r="G17" s="6"/>
      <c r="H17" s="7"/>
      <c r="I17" s="52">
        <f t="shared" si="10"/>
        <v>0</v>
      </c>
      <c r="J17" s="60">
        <f t="shared" si="11"/>
        <v>1</v>
      </c>
      <c r="K17" s="41">
        <v>45975</v>
      </c>
      <c r="M17" s="20" t="s">
        <v>50</v>
      </c>
      <c r="N17" s="5">
        <v>1</v>
      </c>
      <c r="O17" s="6">
        <v>4</v>
      </c>
      <c r="P17" s="7">
        <v>7</v>
      </c>
      <c r="Q17" s="52">
        <f t="shared" si="15"/>
        <v>12</v>
      </c>
      <c r="R17" s="8">
        <v>1</v>
      </c>
      <c r="S17" s="6">
        <v>1</v>
      </c>
      <c r="T17" s="7">
        <v>1</v>
      </c>
      <c r="U17" s="52">
        <f t="shared" si="16"/>
        <v>3</v>
      </c>
      <c r="V17" s="60">
        <f t="shared" si="17"/>
        <v>15</v>
      </c>
      <c r="W17" s="97">
        <v>45981</v>
      </c>
      <c r="X17" s="48"/>
      <c r="Y17" s="48"/>
      <c r="AJ17" s="48"/>
    </row>
    <row r="18" spans="1:36" x14ac:dyDescent="0.15">
      <c r="A18" s="17" t="s">
        <v>46</v>
      </c>
      <c r="B18" s="5">
        <v>5</v>
      </c>
      <c r="C18" s="6"/>
      <c r="D18" s="7"/>
      <c r="E18" s="52">
        <f t="shared" si="9"/>
        <v>5</v>
      </c>
      <c r="F18" s="8">
        <v>1</v>
      </c>
      <c r="G18" s="6"/>
      <c r="H18" s="7"/>
      <c r="I18" s="52">
        <f t="shared" si="10"/>
        <v>1</v>
      </c>
      <c r="J18" s="60">
        <f t="shared" si="11"/>
        <v>6</v>
      </c>
      <c r="K18" s="41">
        <v>45978</v>
      </c>
      <c r="M18" s="20" t="s">
        <v>51</v>
      </c>
      <c r="N18" s="5">
        <v>1</v>
      </c>
      <c r="O18" s="6">
        <v>2</v>
      </c>
      <c r="P18" s="7">
        <v>6</v>
      </c>
      <c r="Q18" s="52">
        <f t="shared" ref="Q18:Q20" si="18">SUM(N18:P18)</f>
        <v>9</v>
      </c>
      <c r="R18" s="8">
        <v>2</v>
      </c>
      <c r="S18" s="6"/>
      <c r="T18" s="7">
        <v>2</v>
      </c>
      <c r="U18" s="52">
        <f t="shared" ref="U18:U20" si="19">SUM(R18:T18)</f>
        <v>4</v>
      </c>
      <c r="V18" s="60">
        <f t="shared" ref="V18:V20" si="20">Q18+U18</f>
        <v>13</v>
      </c>
      <c r="W18" s="97">
        <v>45982</v>
      </c>
      <c r="AJ18" s="48"/>
    </row>
    <row r="19" spans="1:36" x14ac:dyDescent="0.15">
      <c r="A19" s="17" t="s">
        <v>47</v>
      </c>
      <c r="B19" s="5">
        <v>1</v>
      </c>
      <c r="C19" s="6">
        <v>1</v>
      </c>
      <c r="D19" s="14"/>
      <c r="E19" s="52">
        <f t="shared" si="9"/>
        <v>2</v>
      </c>
      <c r="F19" s="15"/>
      <c r="G19" s="13">
        <v>1</v>
      </c>
      <c r="H19" s="14"/>
      <c r="I19" s="52">
        <f t="shared" si="10"/>
        <v>1</v>
      </c>
      <c r="J19" s="60">
        <f t="shared" si="11"/>
        <v>3</v>
      </c>
      <c r="K19" s="41">
        <v>45980</v>
      </c>
      <c r="M19" s="20" t="s">
        <v>52</v>
      </c>
      <c r="N19" s="5">
        <v>2</v>
      </c>
      <c r="O19" s="6">
        <v>1</v>
      </c>
      <c r="P19" s="14">
        <v>1</v>
      </c>
      <c r="Q19" s="52">
        <f t="shared" si="18"/>
        <v>4</v>
      </c>
      <c r="R19" s="15"/>
      <c r="S19" s="13"/>
      <c r="T19" s="14"/>
      <c r="U19" s="52">
        <f t="shared" si="19"/>
        <v>0</v>
      </c>
      <c r="V19" s="60">
        <f t="shared" si="20"/>
        <v>4</v>
      </c>
      <c r="W19" s="97">
        <v>45982</v>
      </c>
      <c r="X19" s="48"/>
      <c r="AJ19" s="48"/>
    </row>
    <row r="20" spans="1:36" x14ac:dyDescent="0.15">
      <c r="A20" s="17" t="s">
        <v>53</v>
      </c>
      <c r="B20" s="5"/>
      <c r="C20" s="6"/>
      <c r="D20" s="7">
        <v>1</v>
      </c>
      <c r="E20" s="52">
        <f t="shared" si="9"/>
        <v>1</v>
      </c>
      <c r="F20" s="8"/>
      <c r="G20" s="6"/>
      <c r="H20" s="7"/>
      <c r="I20" s="52">
        <f t="shared" si="10"/>
        <v>0</v>
      </c>
      <c r="J20" s="60">
        <f t="shared" si="11"/>
        <v>1</v>
      </c>
      <c r="K20" s="41">
        <v>45981</v>
      </c>
      <c r="M20" s="20" t="s">
        <v>54</v>
      </c>
      <c r="N20" s="5"/>
      <c r="O20" s="6"/>
      <c r="P20" s="7">
        <v>3</v>
      </c>
      <c r="Q20" s="52">
        <f t="shared" si="18"/>
        <v>3</v>
      </c>
      <c r="R20" s="8"/>
      <c r="S20" s="6"/>
      <c r="T20" s="7"/>
      <c r="U20" s="52">
        <f t="shared" si="19"/>
        <v>0</v>
      </c>
      <c r="V20" s="60">
        <f t="shared" si="20"/>
        <v>3</v>
      </c>
      <c r="W20" s="97">
        <v>45982</v>
      </c>
      <c r="X20" s="48"/>
      <c r="AJ20" s="48"/>
    </row>
    <row r="21" spans="1:36" x14ac:dyDescent="0.15">
      <c r="A21" s="20" t="s">
        <v>55</v>
      </c>
      <c r="B21" s="5"/>
      <c r="C21" s="6">
        <v>1</v>
      </c>
      <c r="D21" s="7"/>
      <c r="E21" s="52">
        <f t="shared" si="9"/>
        <v>1</v>
      </c>
      <c r="F21" s="8"/>
      <c r="G21" s="6"/>
      <c r="H21" s="7"/>
      <c r="I21" s="52">
        <f t="shared" si="10"/>
        <v>0</v>
      </c>
      <c r="J21" s="60">
        <f t="shared" si="11"/>
        <v>1</v>
      </c>
      <c r="K21" s="41">
        <v>45986</v>
      </c>
      <c r="M21" s="20" t="s">
        <v>54</v>
      </c>
      <c r="N21" s="5">
        <v>5</v>
      </c>
      <c r="O21" s="6"/>
      <c r="P21" s="7"/>
      <c r="Q21" s="52">
        <f t="shared" si="15"/>
        <v>5</v>
      </c>
      <c r="R21" s="8"/>
      <c r="S21" s="6"/>
      <c r="T21" s="7"/>
      <c r="U21" s="52">
        <f t="shared" si="16"/>
        <v>0</v>
      </c>
      <c r="V21" s="60">
        <f t="shared" si="17"/>
        <v>5</v>
      </c>
      <c r="W21" s="97">
        <v>45990</v>
      </c>
      <c r="AJ21" s="48"/>
    </row>
    <row r="22" spans="1:36" x14ac:dyDescent="0.15">
      <c r="A22" s="20" t="s">
        <v>56</v>
      </c>
      <c r="B22" s="5">
        <v>1</v>
      </c>
      <c r="C22" s="6">
        <v>1</v>
      </c>
      <c r="D22" s="7">
        <v>1</v>
      </c>
      <c r="E22" s="52">
        <f t="shared" si="9"/>
        <v>3</v>
      </c>
      <c r="F22" s="8"/>
      <c r="G22" s="6"/>
      <c r="H22" s="7"/>
      <c r="I22" s="52">
        <f t="shared" si="10"/>
        <v>0</v>
      </c>
      <c r="J22" s="60">
        <f t="shared" si="11"/>
        <v>3</v>
      </c>
      <c r="K22" s="41">
        <v>45988</v>
      </c>
      <c r="M22" s="20" t="s">
        <v>54</v>
      </c>
      <c r="N22" s="5"/>
      <c r="O22" s="6"/>
      <c r="P22" s="7">
        <v>5</v>
      </c>
      <c r="Q22" s="52">
        <f t="shared" si="15"/>
        <v>5</v>
      </c>
      <c r="R22" s="8"/>
      <c r="S22" s="6"/>
      <c r="T22" s="7"/>
      <c r="U22" s="52">
        <f t="shared" si="16"/>
        <v>0</v>
      </c>
      <c r="V22" s="60">
        <f t="shared" si="17"/>
        <v>5</v>
      </c>
      <c r="W22" s="97">
        <v>45996</v>
      </c>
    </row>
    <row r="23" spans="1:36" x14ac:dyDescent="0.15">
      <c r="A23" s="17" t="s">
        <v>53</v>
      </c>
      <c r="B23" s="9"/>
      <c r="C23" s="10"/>
      <c r="D23" s="11">
        <v>1</v>
      </c>
      <c r="E23" s="52">
        <f t="shared" si="9"/>
        <v>1</v>
      </c>
      <c r="F23" s="12"/>
      <c r="G23" s="10"/>
      <c r="H23" s="11"/>
      <c r="I23" s="52">
        <f t="shared" si="10"/>
        <v>0</v>
      </c>
      <c r="J23" s="60">
        <f t="shared" si="11"/>
        <v>1</v>
      </c>
      <c r="K23" s="41">
        <v>45986</v>
      </c>
      <c r="M23" s="20" t="s">
        <v>68</v>
      </c>
      <c r="N23" s="9">
        <v>72</v>
      </c>
      <c r="O23" s="10">
        <f>96+1</f>
        <v>97</v>
      </c>
      <c r="P23" s="11">
        <v>72</v>
      </c>
      <c r="Q23" s="52">
        <f t="shared" si="15"/>
        <v>241</v>
      </c>
      <c r="R23" s="12">
        <v>72</v>
      </c>
      <c r="S23" s="10">
        <v>96</v>
      </c>
      <c r="T23" s="11">
        <v>72</v>
      </c>
      <c r="U23" s="52">
        <f t="shared" si="16"/>
        <v>240</v>
      </c>
      <c r="V23" s="60">
        <f t="shared" si="17"/>
        <v>481</v>
      </c>
      <c r="W23" s="97">
        <v>46009</v>
      </c>
      <c r="X23" s="48"/>
    </row>
    <row r="24" spans="1:36" x14ac:dyDescent="0.15">
      <c r="A24" s="17" t="s">
        <v>57</v>
      </c>
      <c r="B24" s="5"/>
      <c r="C24" s="6"/>
      <c r="D24" s="7"/>
      <c r="E24" s="52">
        <f t="shared" si="9"/>
        <v>0</v>
      </c>
      <c r="F24" s="8">
        <v>1</v>
      </c>
      <c r="G24" s="6"/>
      <c r="H24" s="7"/>
      <c r="I24" s="52">
        <f t="shared" si="10"/>
        <v>1</v>
      </c>
      <c r="J24" s="60">
        <f t="shared" si="11"/>
        <v>1</v>
      </c>
      <c r="K24" s="41">
        <v>45989</v>
      </c>
      <c r="M24" s="18"/>
      <c r="N24" s="5"/>
      <c r="O24" s="6"/>
      <c r="P24" s="7"/>
      <c r="Q24" s="52">
        <f>SUM(N24:P24)</f>
        <v>0</v>
      </c>
      <c r="R24" s="8"/>
      <c r="S24" s="6"/>
      <c r="T24" s="7"/>
      <c r="U24" s="52">
        <f>SUM(R24:T24)</f>
        <v>0</v>
      </c>
      <c r="V24" s="60">
        <f>Q24+U24</f>
        <v>0</v>
      </c>
      <c r="W24" s="97"/>
      <c r="X24" s="48"/>
      <c r="Y24" s="48"/>
    </row>
    <row r="25" spans="1:36" x14ac:dyDescent="0.15">
      <c r="A25" s="20" t="s">
        <v>58</v>
      </c>
      <c r="B25" s="5">
        <v>2</v>
      </c>
      <c r="C25" s="6"/>
      <c r="D25" s="7"/>
      <c r="E25" s="52">
        <f t="shared" si="9"/>
        <v>2</v>
      </c>
      <c r="F25" s="8"/>
      <c r="G25" s="6"/>
      <c r="H25" s="7"/>
      <c r="I25" s="52">
        <f t="shared" si="10"/>
        <v>0</v>
      </c>
      <c r="J25" s="60">
        <f t="shared" si="11"/>
        <v>2</v>
      </c>
      <c r="K25" s="41">
        <v>45989</v>
      </c>
      <c r="L25" s="48"/>
      <c r="M25" s="20"/>
      <c r="N25" s="5"/>
      <c r="O25" s="6"/>
      <c r="P25" s="7"/>
      <c r="Q25" s="52">
        <f t="shared" ref="Q25:Q26" si="21">SUM(N25:P25)</f>
        <v>0</v>
      </c>
      <c r="R25" s="8"/>
      <c r="S25" s="6"/>
      <c r="T25" s="7"/>
      <c r="U25" s="52">
        <f t="shared" ref="U25:U26" si="22">SUM(R25:T25)</f>
        <v>0</v>
      </c>
      <c r="V25" s="60">
        <f t="shared" ref="V25:V26" si="23">Q25+U25</f>
        <v>0</v>
      </c>
      <c r="W25" s="97"/>
      <c r="X25" s="48"/>
    </row>
    <row r="26" spans="1:36" x14ac:dyDescent="0.15">
      <c r="A26" s="17" t="s">
        <v>53</v>
      </c>
      <c r="B26" s="5"/>
      <c r="C26" s="6">
        <v>1</v>
      </c>
      <c r="D26" s="7"/>
      <c r="E26" s="52">
        <f t="shared" si="9"/>
        <v>1</v>
      </c>
      <c r="F26" s="8"/>
      <c r="G26" s="6"/>
      <c r="H26" s="7"/>
      <c r="I26" s="52">
        <f t="shared" si="10"/>
        <v>0</v>
      </c>
      <c r="J26" s="60">
        <f t="shared" si="11"/>
        <v>1</v>
      </c>
      <c r="K26" s="41">
        <v>45989</v>
      </c>
      <c r="M26" s="20"/>
      <c r="N26" s="5"/>
      <c r="O26" s="6"/>
      <c r="P26" s="7"/>
      <c r="Q26" s="52">
        <f t="shared" si="21"/>
        <v>0</v>
      </c>
      <c r="R26" s="8"/>
      <c r="S26" s="6"/>
      <c r="T26" s="7"/>
      <c r="U26" s="52">
        <f t="shared" si="22"/>
        <v>0</v>
      </c>
      <c r="V26" s="60">
        <f t="shared" si="23"/>
        <v>0</v>
      </c>
      <c r="W26" s="97"/>
    </row>
    <row r="27" spans="1:36" x14ac:dyDescent="0.15">
      <c r="A27" s="20" t="s">
        <v>60</v>
      </c>
      <c r="B27" s="5"/>
      <c r="C27" s="6"/>
      <c r="D27" s="7"/>
      <c r="E27" s="52">
        <f t="shared" si="9"/>
        <v>0</v>
      </c>
      <c r="F27" s="8"/>
      <c r="G27" s="6">
        <v>1</v>
      </c>
      <c r="H27" s="7">
        <v>1</v>
      </c>
      <c r="I27" s="52">
        <f t="shared" si="10"/>
        <v>2</v>
      </c>
      <c r="J27" s="60">
        <f t="shared" si="11"/>
        <v>2</v>
      </c>
      <c r="K27" s="41">
        <v>45994</v>
      </c>
      <c r="M27" s="20"/>
      <c r="N27" s="5"/>
      <c r="O27" s="6"/>
      <c r="P27" s="7"/>
      <c r="Q27" s="52">
        <f t="shared" ref="Q27:Q38" si="24">SUM(N27:P27)</f>
        <v>0</v>
      </c>
      <c r="R27" s="8"/>
      <c r="S27" s="6"/>
      <c r="T27" s="7"/>
      <c r="U27" s="52">
        <f t="shared" ref="U27:U38" si="25">SUM(R27:T27)</f>
        <v>0</v>
      </c>
      <c r="V27" s="60">
        <f t="shared" ref="V27:V38" si="26">Q27+U27</f>
        <v>0</v>
      </c>
      <c r="W27" s="97"/>
    </row>
    <row r="28" spans="1:36" x14ac:dyDescent="0.15">
      <c r="A28" s="17" t="s">
        <v>53</v>
      </c>
      <c r="B28" s="5">
        <v>1</v>
      </c>
      <c r="C28" s="6"/>
      <c r="D28" s="7"/>
      <c r="E28" s="52">
        <f t="shared" si="9"/>
        <v>1</v>
      </c>
      <c r="F28" s="8"/>
      <c r="G28" s="6"/>
      <c r="H28" s="7"/>
      <c r="I28" s="52">
        <f t="shared" si="10"/>
        <v>0</v>
      </c>
      <c r="J28" s="60">
        <f t="shared" si="11"/>
        <v>1</v>
      </c>
      <c r="K28" s="41">
        <v>45992</v>
      </c>
      <c r="M28" s="20"/>
      <c r="N28" s="5"/>
      <c r="O28" s="6"/>
      <c r="P28" s="7"/>
      <c r="Q28" s="52">
        <f t="shared" si="24"/>
        <v>0</v>
      </c>
      <c r="R28" s="8"/>
      <c r="S28" s="6"/>
      <c r="T28" s="7"/>
      <c r="U28" s="52">
        <f t="shared" si="25"/>
        <v>0</v>
      </c>
      <c r="V28" s="60">
        <f t="shared" si="26"/>
        <v>0</v>
      </c>
      <c r="W28" s="97"/>
      <c r="X28" s="48"/>
      <c r="Y28" s="48"/>
    </row>
    <row r="29" spans="1:36" x14ac:dyDescent="0.15">
      <c r="A29" s="17" t="s">
        <v>53</v>
      </c>
      <c r="B29" s="5"/>
      <c r="C29" s="6"/>
      <c r="D29" s="7">
        <v>1</v>
      </c>
      <c r="E29" s="52">
        <f t="shared" si="9"/>
        <v>1</v>
      </c>
      <c r="F29" s="8"/>
      <c r="G29" s="6"/>
      <c r="H29" s="7"/>
      <c r="I29" s="52">
        <f t="shared" si="10"/>
        <v>0</v>
      </c>
      <c r="J29" s="60">
        <f t="shared" si="11"/>
        <v>1</v>
      </c>
      <c r="K29" s="41">
        <v>45993</v>
      </c>
      <c r="M29" s="20"/>
      <c r="N29" s="5"/>
      <c r="O29" s="6"/>
      <c r="P29" s="7"/>
      <c r="Q29" s="52">
        <f t="shared" si="24"/>
        <v>0</v>
      </c>
      <c r="R29" s="8"/>
      <c r="S29" s="6"/>
      <c r="T29" s="7"/>
      <c r="U29" s="52">
        <f t="shared" si="25"/>
        <v>0</v>
      </c>
      <c r="V29" s="60">
        <f t="shared" si="26"/>
        <v>0</v>
      </c>
      <c r="W29" s="97"/>
      <c r="X29" s="48"/>
      <c r="Y29" s="48"/>
    </row>
    <row r="30" spans="1:36" x14ac:dyDescent="0.15">
      <c r="A30" s="17" t="s">
        <v>61</v>
      </c>
      <c r="B30" s="5">
        <v>1</v>
      </c>
      <c r="C30" s="6"/>
      <c r="D30" s="7"/>
      <c r="E30" s="52">
        <f t="shared" si="9"/>
        <v>1</v>
      </c>
      <c r="F30" s="8">
        <v>1</v>
      </c>
      <c r="G30" s="6"/>
      <c r="H30" s="7"/>
      <c r="I30" s="52">
        <f t="shared" si="10"/>
        <v>1</v>
      </c>
      <c r="J30" s="60">
        <f t="shared" si="11"/>
        <v>2</v>
      </c>
      <c r="K30" s="41">
        <v>45996</v>
      </c>
      <c r="M30" s="20"/>
      <c r="N30" s="5"/>
      <c r="O30" s="6"/>
      <c r="P30" s="7"/>
      <c r="Q30" s="52">
        <f t="shared" si="24"/>
        <v>0</v>
      </c>
      <c r="R30" s="8"/>
      <c r="S30" s="6"/>
      <c r="T30" s="7"/>
      <c r="U30" s="52">
        <f t="shared" si="25"/>
        <v>0</v>
      </c>
      <c r="V30" s="60">
        <f t="shared" si="26"/>
        <v>0</v>
      </c>
      <c r="W30" s="97"/>
      <c r="X30" s="48"/>
      <c r="Y30" s="48"/>
    </row>
    <row r="31" spans="1:36" x14ac:dyDescent="0.15">
      <c r="A31" s="17" t="s">
        <v>53</v>
      </c>
      <c r="B31" s="5"/>
      <c r="C31" s="6"/>
      <c r="D31" s="7">
        <v>1</v>
      </c>
      <c r="E31" s="52">
        <f t="shared" si="9"/>
        <v>1</v>
      </c>
      <c r="F31" s="8"/>
      <c r="G31" s="6"/>
      <c r="H31" s="7"/>
      <c r="I31" s="52">
        <f t="shared" si="10"/>
        <v>0</v>
      </c>
      <c r="J31" s="60">
        <f t="shared" si="11"/>
        <v>1</v>
      </c>
      <c r="K31" s="41">
        <v>45995</v>
      </c>
      <c r="L31" s="48"/>
      <c r="M31" s="20"/>
      <c r="N31" s="5"/>
      <c r="O31" s="6"/>
      <c r="P31" s="7"/>
      <c r="Q31" s="52">
        <f t="shared" si="24"/>
        <v>0</v>
      </c>
      <c r="R31" s="8"/>
      <c r="S31" s="6"/>
      <c r="T31" s="7"/>
      <c r="U31" s="52">
        <f t="shared" si="25"/>
        <v>0</v>
      </c>
      <c r="V31" s="60">
        <f t="shared" si="26"/>
        <v>0</v>
      </c>
      <c r="W31" s="97"/>
      <c r="X31" s="48"/>
      <c r="Y31" s="48"/>
    </row>
    <row r="32" spans="1:36" x14ac:dyDescent="0.15">
      <c r="A32" s="17" t="s">
        <v>62</v>
      </c>
      <c r="B32" s="5">
        <v>1</v>
      </c>
      <c r="C32" s="6"/>
      <c r="D32" s="7"/>
      <c r="E32" s="52">
        <f t="shared" si="9"/>
        <v>1</v>
      </c>
      <c r="F32" s="8"/>
      <c r="G32" s="6"/>
      <c r="H32" s="7"/>
      <c r="I32" s="52">
        <f t="shared" si="10"/>
        <v>0</v>
      </c>
      <c r="J32" s="60">
        <f t="shared" si="11"/>
        <v>1</v>
      </c>
      <c r="K32" s="41">
        <v>45999</v>
      </c>
      <c r="M32" s="20"/>
      <c r="N32" s="5"/>
      <c r="O32" s="6"/>
      <c r="P32" s="7"/>
      <c r="Q32" s="52">
        <f t="shared" si="24"/>
        <v>0</v>
      </c>
      <c r="R32" s="8"/>
      <c r="S32" s="6"/>
      <c r="T32" s="7"/>
      <c r="U32" s="52">
        <f t="shared" si="25"/>
        <v>0</v>
      </c>
      <c r="V32" s="60">
        <f t="shared" si="26"/>
        <v>0</v>
      </c>
      <c r="W32" s="97"/>
    </row>
    <row r="33" spans="1:23" x14ac:dyDescent="0.15">
      <c r="A33" s="20" t="s">
        <v>63</v>
      </c>
      <c r="B33" s="5"/>
      <c r="C33" s="6"/>
      <c r="D33" s="7"/>
      <c r="E33" s="52">
        <f t="shared" si="9"/>
        <v>0</v>
      </c>
      <c r="F33" s="8"/>
      <c r="G33" s="6">
        <v>1</v>
      </c>
      <c r="H33" s="7"/>
      <c r="I33" s="52">
        <f t="shared" si="10"/>
        <v>1</v>
      </c>
      <c r="J33" s="60">
        <f t="shared" si="11"/>
        <v>1</v>
      </c>
      <c r="K33" s="41">
        <v>46001</v>
      </c>
      <c r="M33" s="20"/>
      <c r="N33" s="5"/>
      <c r="O33" s="6"/>
      <c r="P33" s="7"/>
      <c r="Q33" s="52">
        <f t="shared" si="24"/>
        <v>0</v>
      </c>
      <c r="R33" s="8"/>
      <c r="S33" s="6"/>
      <c r="T33" s="7"/>
      <c r="U33" s="52">
        <f t="shared" si="25"/>
        <v>0</v>
      </c>
      <c r="V33" s="60">
        <f t="shared" si="26"/>
        <v>0</v>
      </c>
      <c r="W33" s="97"/>
    </row>
    <row r="34" spans="1:23" x14ac:dyDescent="0.15">
      <c r="A34" s="17" t="s">
        <v>66</v>
      </c>
      <c r="B34" s="9">
        <v>1</v>
      </c>
      <c r="C34" s="10"/>
      <c r="D34" s="11"/>
      <c r="E34" s="52">
        <f t="shared" ref="E34" si="27">SUM(B34:D34)</f>
        <v>1</v>
      </c>
      <c r="F34" s="12">
        <v>1</v>
      </c>
      <c r="G34" s="10"/>
      <c r="H34" s="11"/>
      <c r="I34" s="52">
        <f t="shared" ref="I34" si="28">SUM(F34:H34)</f>
        <v>1</v>
      </c>
      <c r="J34" s="60">
        <f t="shared" ref="J34" si="29">E34+I34</f>
        <v>2</v>
      </c>
      <c r="K34" s="41">
        <v>46006</v>
      </c>
      <c r="M34" s="20"/>
      <c r="N34" s="5"/>
      <c r="O34" s="6"/>
      <c r="P34" s="7"/>
      <c r="Q34" s="52">
        <f t="shared" si="24"/>
        <v>0</v>
      </c>
      <c r="R34" s="8"/>
      <c r="S34" s="6"/>
      <c r="T34" s="7"/>
      <c r="U34" s="52">
        <f t="shared" si="25"/>
        <v>0</v>
      </c>
      <c r="V34" s="60">
        <f t="shared" si="26"/>
        <v>0</v>
      </c>
      <c r="W34" s="97"/>
    </row>
    <row r="35" spans="1:23" x14ac:dyDescent="0.15">
      <c r="A35" s="17" t="s">
        <v>67</v>
      </c>
      <c r="B35" s="9">
        <v>1</v>
      </c>
      <c r="C35" s="10"/>
      <c r="D35" s="11"/>
      <c r="E35" s="52">
        <f t="shared" si="9"/>
        <v>1</v>
      </c>
      <c r="F35" s="12"/>
      <c r="G35" s="10"/>
      <c r="H35" s="11"/>
      <c r="I35" s="52">
        <f t="shared" si="10"/>
        <v>0</v>
      </c>
      <c r="J35" s="60">
        <f t="shared" si="11"/>
        <v>1</v>
      </c>
      <c r="K35" s="41">
        <v>46006</v>
      </c>
      <c r="M35" s="20"/>
      <c r="N35" s="5"/>
      <c r="O35" s="6"/>
      <c r="P35" s="7"/>
      <c r="Q35" s="52">
        <f t="shared" si="24"/>
        <v>0</v>
      </c>
      <c r="R35" s="8"/>
      <c r="S35" s="6"/>
      <c r="T35" s="7"/>
      <c r="U35" s="52">
        <f t="shared" si="25"/>
        <v>0</v>
      </c>
      <c r="V35" s="60">
        <f t="shared" si="26"/>
        <v>0</v>
      </c>
      <c r="W35" s="97"/>
    </row>
    <row r="36" spans="1:23" x14ac:dyDescent="0.15">
      <c r="A36" s="17" t="s">
        <v>53</v>
      </c>
      <c r="B36" s="5">
        <v>1</v>
      </c>
      <c r="C36" s="6"/>
      <c r="D36" s="7">
        <v>1</v>
      </c>
      <c r="E36" s="52">
        <f t="shared" si="9"/>
        <v>2</v>
      </c>
      <c r="F36" s="8"/>
      <c r="G36" s="6"/>
      <c r="H36" s="7"/>
      <c r="I36" s="52">
        <f t="shared" si="10"/>
        <v>0</v>
      </c>
      <c r="J36" s="60">
        <f t="shared" si="11"/>
        <v>2</v>
      </c>
      <c r="K36" s="41">
        <v>46013</v>
      </c>
      <c r="M36" s="20"/>
      <c r="N36" s="5"/>
      <c r="O36" s="6"/>
      <c r="P36" s="7"/>
      <c r="Q36" s="52">
        <f t="shared" si="24"/>
        <v>0</v>
      </c>
      <c r="R36" s="8"/>
      <c r="S36" s="6"/>
      <c r="T36" s="7"/>
      <c r="U36" s="52">
        <f t="shared" si="25"/>
        <v>0</v>
      </c>
      <c r="V36" s="60">
        <f t="shared" si="26"/>
        <v>0</v>
      </c>
      <c r="W36" s="98"/>
    </row>
    <row r="37" spans="1:23" x14ac:dyDescent="0.15">
      <c r="A37" s="20" t="s">
        <v>69</v>
      </c>
      <c r="B37" s="9"/>
      <c r="C37" s="10"/>
      <c r="D37" s="11"/>
      <c r="E37" s="53">
        <f t="shared" si="9"/>
        <v>0</v>
      </c>
      <c r="F37" s="12"/>
      <c r="G37" s="10"/>
      <c r="H37" s="11">
        <v>1</v>
      </c>
      <c r="I37" s="53">
        <f t="shared" si="10"/>
        <v>1</v>
      </c>
      <c r="J37" s="60">
        <f t="shared" si="11"/>
        <v>1</v>
      </c>
      <c r="K37" s="41">
        <v>46017</v>
      </c>
      <c r="M37" s="20" t="s">
        <v>32</v>
      </c>
      <c r="N37" s="5"/>
      <c r="O37" s="6"/>
      <c r="P37" s="7"/>
      <c r="Q37" s="52">
        <f t="shared" si="24"/>
        <v>0</v>
      </c>
      <c r="R37" s="8"/>
      <c r="S37" s="6"/>
      <c r="T37" s="7"/>
      <c r="U37" s="52">
        <f t="shared" si="25"/>
        <v>0</v>
      </c>
      <c r="V37" s="60">
        <f t="shared" si="26"/>
        <v>0</v>
      </c>
      <c r="W37" s="98" t="s">
        <v>33</v>
      </c>
    </row>
    <row r="38" spans="1:23" x14ac:dyDescent="0.15">
      <c r="A38" s="17" t="s">
        <v>53</v>
      </c>
      <c r="B38" s="5"/>
      <c r="C38" s="6">
        <v>1</v>
      </c>
      <c r="D38" s="7"/>
      <c r="E38" s="52">
        <f t="shared" si="9"/>
        <v>1</v>
      </c>
      <c r="F38" s="8"/>
      <c r="G38" s="6"/>
      <c r="H38" s="7"/>
      <c r="I38" s="52">
        <f t="shared" si="10"/>
        <v>0</v>
      </c>
      <c r="J38" s="60">
        <f t="shared" si="11"/>
        <v>1</v>
      </c>
      <c r="K38" s="41">
        <v>46017</v>
      </c>
      <c r="M38" s="121" t="s">
        <v>30</v>
      </c>
      <c r="N38" s="122"/>
      <c r="O38" s="123"/>
      <c r="P38" s="124"/>
      <c r="Q38" s="125">
        <f t="shared" si="24"/>
        <v>0</v>
      </c>
      <c r="R38" s="122"/>
      <c r="S38" s="123"/>
      <c r="T38" s="124"/>
      <c r="U38" s="125">
        <f t="shared" si="25"/>
        <v>0</v>
      </c>
      <c r="V38" s="126">
        <f t="shared" si="26"/>
        <v>0</v>
      </c>
      <c r="W38" s="127"/>
    </row>
    <row r="39" spans="1:23" ht="14.25" thickBot="1" x14ac:dyDescent="0.2">
      <c r="A39" s="17"/>
      <c r="B39" s="9"/>
      <c r="C39" s="10"/>
      <c r="D39" s="11"/>
      <c r="E39" s="56">
        <f t="shared" si="9"/>
        <v>0</v>
      </c>
      <c r="F39" s="12"/>
      <c r="G39" s="10"/>
      <c r="H39" s="11"/>
      <c r="I39" s="56">
        <f t="shared" si="10"/>
        <v>0</v>
      </c>
      <c r="J39" s="60">
        <f t="shared" si="11"/>
        <v>0</v>
      </c>
      <c r="K39" s="41"/>
      <c r="M39" s="20" t="s">
        <v>28</v>
      </c>
      <c r="N39" s="9"/>
      <c r="O39" s="10"/>
      <c r="P39" s="11"/>
      <c r="Q39" s="53">
        <f t="shared" si="15"/>
        <v>0</v>
      </c>
      <c r="R39" s="12"/>
      <c r="S39" s="10"/>
      <c r="T39" s="11"/>
      <c r="U39" s="53">
        <f t="shared" si="16"/>
        <v>0</v>
      </c>
      <c r="V39" s="60">
        <f t="shared" ref="V39" si="30">Q39+U39</f>
        <v>0</v>
      </c>
      <c r="W39" s="97" t="s">
        <v>36</v>
      </c>
    </row>
    <row r="40" spans="1:23" ht="14.25" thickBot="1" x14ac:dyDescent="0.2">
      <c r="A40" s="31" t="s">
        <v>19</v>
      </c>
      <c r="B40" s="34">
        <f>SUM(B14:B39)</f>
        <v>17</v>
      </c>
      <c r="C40" s="35">
        <f t="shared" ref="C40:D40" si="31">SUM(C14:C39)</f>
        <v>6</v>
      </c>
      <c r="D40" s="39">
        <f t="shared" si="31"/>
        <v>7</v>
      </c>
      <c r="E40" s="57">
        <f t="shared" si="9"/>
        <v>30</v>
      </c>
      <c r="F40" s="34">
        <f>SUM(F14:F39)</f>
        <v>5</v>
      </c>
      <c r="G40" s="35">
        <f t="shared" ref="G40:H40" si="32">SUM(G14:G39)</f>
        <v>3</v>
      </c>
      <c r="H40" s="39">
        <f t="shared" si="32"/>
        <v>2</v>
      </c>
      <c r="I40" s="57">
        <f t="shared" si="10"/>
        <v>10</v>
      </c>
      <c r="J40" s="63">
        <f>E40+I40</f>
        <v>40</v>
      </c>
      <c r="K40" s="30"/>
      <c r="M40" s="31" t="s">
        <v>19</v>
      </c>
      <c r="N40" s="34">
        <f>SUM(N14:N39)</f>
        <v>96</v>
      </c>
      <c r="O40" s="35">
        <f t="shared" ref="O40:P40" si="33">SUM(O14:O39)</f>
        <v>118</v>
      </c>
      <c r="P40" s="39">
        <f t="shared" si="33"/>
        <v>100</v>
      </c>
      <c r="Q40" s="57">
        <f t="shared" si="15"/>
        <v>314</v>
      </c>
      <c r="R40" s="34">
        <f>SUM(R14:R39)</f>
        <v>83</v>
      </c>
      <c r="S40" s="35">
        <f t="shared" ref="S40:T40" si="34">SUM(S14:S39)</f>
        <v>105</v>
      </c>
      <c r="T40" s="39">
        <f t="shared" si="34"/>
        <v>81</v>
      </c>
      <c r="U40" s="57">
        <f t="shared" si="16"/>
        <v>269</v>
      </c>
      <c r="V40" s="63">
        <f>Q40+U40</f>
        <v>583</v>
      </c>
      <c r="W40" s="99"/>
    </row>
    <row r="41" spans="1:23" ht="14.25" thickBot="1" x14ac:dyDescent="0.2">
      <c r="A41" s="16" t="s">
        <v>17</v>
      </c>
      <c r="B41" s="64">
        <f>B13-B40</f>
        <v>3</v>
      </c>
      <c r="C41" s="65">
        <f t="shared" ref="C41:D41" si="35">C13-C40</f>
        <v>3</v>
      </c>
      <c r="D41" s="66">
        <f t="shared" si="35"/>
        <v>6</v>
      </c>
      <c r="E41" s="58">
        <f>SUM(B41:D41)</f>
        <v>12</v>
      </c>
      <c r="F41" s="64">
        <f>F13-F40</f>
        <v>3</v>
      </c>
      <c r="G41" s="65">
        <f t="shared" ref="G41:H41" si="36">G13-G40</f>
        <v>6</v>
      </c>
      <c r="H41" s="66">
        <f t="shared" si="36"/>
        <v>3</v>
      </c>
      <c r="I41" s="58">
        <f>SUM(F41:H41)</f>
        <v>12</v>
      </c>
      <c r="J41" s="62">
        <f>E41+I41</f>
        <v>24</v>
      </c>
      <c r="M41" s="16" t="s">
        <v>17</v>
      </c>
      <c r="N41" s="64">
        <f>N13-N40</f>
        <v>257</v>
      </c>
      <c r="O41" s="65">
        <f t="shared" ref="O41:P41" si="37">O13-O40</f>
        <v>300</v>
      </c>
      <c r="P41" s="66">
        <f t="shared" si="37"/>
        <v>170</v>
      </c>
      <c r="Q41" s="58">
        <f>SUM(N41:P41)</f>
        <v>727</v>
      </c>
      <c r="R41" s="64">
        <f>R13-R40</f>
        <v>273</v>
      </c>
      <c r="S41" s="65">
        <f t="shared" ref="S41:T41" si="38">S13-S40</f>
        <v>322</v>
      </c>
      <c r="T41" s="66">
        <f t="shared" si="38"/>
        <v>184</v>
      </c>
      <c r="U41" s="58">
        <f>SUM(R41:T41)</f>
        <v>779</v>
      </c>
      <c r="V41" s="62">
        <f>Q41+U41</f>
        <v>1506</v>
      </c>
    </row>
    <row r="44" spans="1:23" ht="19.5" thickBot="1" x14ac:dyDescent="0.25">
      <c r="A44" s="102" t="s">
        <v>23</v>
      </c>
      <c r="B44" s="103"/>
      <c r="C44" s="103"/>
      <c r="D44" s="103"/>
      <c r="E44" s="103"/>
      <c r="F44" s="103"/>
      <c r="G44" s="103"/>
      <c r="H44" s="103"/>
      <c r="I44" s="103" t="s">
        <v>31</v>
      </c>
      <c r="J44" s="103"/>
      <c r="M44" s="104" t="s">
        <v>27</v>
      </c>
      <c r="N44" s="105"/>
      <c r="O44" s="105"/>
      <c r="P44" s="105"/>
      <c r="Q44" s="105"/>
      <c r="R44" s="105"/>
      <c r="S44" s="105"/>
      <c r="T44" s="105"/>
      <c r="U44" s="105" t="s">
        <v>31</v>
      </c>
      <c r="V44" s="105"/>
    </row>
    <row r="45" spans="1:23" ht="14.25" thickBot="1" x14ac:dyDescent="0.2">
      <c r="A45" s="4" t="s">
        <v>0</v>
      </c>
      <c r="B45" s="183" t="s">
        <v>18</v>
      </c>
      <c r="C45" s="184"/>
      <c r="D45" s="184"/>
      <c r="E45" s="185"/>
      <c r="F45" s="186" t="s">
        <v>22</v>
      </c>
      <c r="G45" s="187"/>
      <c r="H45" s="187"/>
      <c r="I45" s="188"/>
      <c r="J45" s="181" t="s">
        <v>1</v>
      </c>
      <c r="M45" s="4" t="s">
        <v>0</v>
      </c>
      <c r="N45" s="183" t="s">
        <v>18</v>
      </c>
      <c r="O45" s="184"/>
      <c r="P45" s="184"/>
      <c r="Q45" s="185"/>
      <c r="R45" s="186" t="s">
        <v>22</v>
      </c>
      <c r="S45" s="187"/>
      <c r="T45" s="187"/>
      <c r="U45" s="188"/>
      <c r="V45" s="181" t="s">
        <v>1</v>
      </c>
    </row>
    <row r="46" spans="1:23" ht="14.25" thickBot="1" x14ac:dyDescent="0.2">
      <c r="A46" s="4" t="s">
        <v>2</v>
      </c>
      <c r="B46" s="1" t="s">
        <v>3</v>
      </c>
      <c r="C46" s="2" t="s">
        <v>4</v>
      </c>
      <c r="D46" s="3" t="s">
        <v>5</v>
      </c>
      <c r="E46" s="4" t="s">
        <v>6</v>
      </c>
      <c r="F46" s="1" t="s">
        <v>3</v>
      </c>
      <c r="G46" s="2" t="s">
        <v>4</v>
      </c>
      <c r="H46" s="3" t="s">
        <v>5</v>
      </c>
      <c r="I46" s="4" t="s">
        <v>6</v>
      </c>
      <c r="J46" s="182"/>
      <c r="M46" s="4" t="s">
        <v>2</v>
      </c>
      <c r="N46" s="1" t="s">
        <v>3</v>
      </c>
      <c r="O46" s="2" t="s">
        <v>4</v>
      </c>
      <c r="P46" s="3" t="s">
        <v>5</v>
      </c>
      <c r="Q46" s="4" t="s">
        <v>6</v>
      </c>
      <c r="R46" s="1" t="s">
        <v>3</v>
      </c>
      <c r="S46" s="2" t="s">
        <v>4</v>
      </c>
      <c r="T46" s="3" t="s">
        <v>5</v>
      </c>
      <c r="U46" s="4" t="s">
        <v>6</v>
      </c>
      <c r="V46" s="182"/>
    </row>
    <row r="47" spans="1:23" ht="14.25" thickBot="1" x14ac:dyDescent="0.2">
      <c r="A47" s="21" t="s">
        <v>20</v>
      </c>
      <c r="B47" s="32">
        <f>B41</f>
        <v>3</v>
      </c>
      <c r="C47" s="33">
        <f>C41</f>
        <v>3</v>
      </c>
      <c r="D47" s="40">
        <f>D41</f>
        <v>6</v>
      </c>
      <c r="E47" s="50">
        <f>SUM(B47:D47)</f>
        <v>12</v>
      </c>
      <c r="F47" s="32">
        <f>F41</f>
        <v>3</v>
      </c>
      <c r="G47" s="33">
        <f>G41</f>
        <v>6</v>
      </c>
      <c r="H47" s="40">
        <f>H41</f>
        <v>3</v>
      </c>
      <c r="I47" s="50">
        <f>SUM(F47:H47)</f>
        <v>12</v>
      </c>
      <c r="J47" s="59">
        <f>E47+I47</f>
        <v>24</v>
      </c>
      <c r="M47" s="21" t="s">
        <v>20</v>
      </c>
      <c r="N47" s="69">
        <f>N41</f>
        <v>257</v>
      </c>
      <c r="O47" s="70">
        <f>O41</f>
        <v>300</v>
      </c>
      <c r="P47" s="71">
        <f>P41</f>
        <v>170</v>
      </c>
      <c r="Q47" s="67">
        <f>SUM(N47:P47)</f>
        <v>727</v>
      </c>
      <c r="R47" s="69">
        <f>R41</f>
        <v>273</v>
      </c>
      <c r="S47" s="70">
        <f>S41</f>
        <v>322</v>
      </c>
      <c r="T47" s="71">
        <f>T41</f>
        <v>184</v>
      </c>
      <c r="U47" s="67">
        <f>SUM(R47:T47)</f>
        <v>779</v>
      </c>
      <c r="V47" s="68">
        <f>Q47+U47</f>
        <v>1506</v>
      </c>
    </row>
    <row r="48" spans="1:23" x14ac:dyDescent="0.15">
      <c r="A48" s="19" t="s">
        <v>8</v>
      </c>
      <c r="B48" s="32">
        <v>5</v>
      </c>
      <c r="C48" s="33">
        <v>3</v>
      </c>
      <c r="D48" s="44"/>
      <c r="E48" s="51">
        <f>SUM(B48:D48)</f>
        <v>8</v>
      </c>
      <c r="F48" s="45">
        <v>3</v>
      </c>
      <c r="G48" s="46"/>
      <c r="H48" s="47">
        <v>3</v>
      </c>
      <c r="I48" s="51">
        <f>SUM(F48:H48)</f>
        <v>6</v>
      </c>
      <c r="J48" s="59">
        <f>E48+I48</f>
        <v>14</v>
      </c>
      <c r="K48" s="41">
        <v>46031</v>
      </c>
      <c r="M48" s="19" t="s">
        <v>8</v>
      </c>
      <c r="N48" s="72"/>
      <c r="O48" s="73"/>
      <c r="P48" s="74"/>
      <c r="Q48" s="51">
        <f>SUM(N48:P48)</f>
        <v>0</v>
      </c>
      <c r="R48" s="85"/>
      <c r="S48" s="86"/>
      <c r="T48" s="87"/>
      <c r="U48" s="51">
        <f>SUM(R48:T48)</f>
        <v>0</v>
      </c>
      <c r="V48" s="59">
        <f>Q48+U48</f>
        <v>0</v>
      </c>
      <c r="W48" s="97"/>
    </row>
    <row r="49" spans="1:25" x14ac:dyDescent="0.15">
      <c r="A49" s="19" t="s">
        <v>59</v>
      </c>
      <c r="B49" s="5"/>
      <c r="C49" s="6">
        <v>1</v>
      </c>
      <c r="D49" s="14"/>
      <c r="E49" s="52">
        <f>SUM(B49:D49)</f>
        <v>1</v>
      </c>
      <c r="F49" s="15"/>
      <c r="G49" s="13"/>
      <c r="H49" s="14"/>
      <c r="I49" s="52">
        <f>SUM(F49:H49)</f>
        <v>0</v>
      </c>
      <c r="J49" s="60">
        <f>E49+I49</f>
        <v>1</v>
      </c>
      <c r="K49" s="41">
        <v>46038</v>
      </c>
      <c r="M49" s="19" t="s">
        <v>9</v>
      </c>
      <c r="N49" s="75"/>
      <c r="O49" s="76"/>
      <c r="P49" s="93"/>
      <c r="Q49" s="52">
        <f>SUM(N49:P49)</f>
        <v>0</v>
      </c>
      <c r="R49" s="94"/>
      <c r="S49" s="95"/>
      <c r="T49" s="93"/>
      <c r="U49" s="52">
        <f>SUM(R49:T49)</f>
        <v>0</v>
      </c>
      <c r="V49" s="60">
        <f>Q49+U49</f>
        <v>0</v>
      </c>
      <c r="W49" s="98"/>
    </row>
    <row r="50" spans="1:25" x14ac:dyDescent="0.15">
      <c r="A50" s="129" t="s">
        <v>10</v>
      </c>
      <c r="B50" s="130"/>
      <c r="C50" s="131">
        <v>2</v>
      </c>
      <c r="D50" s="132">
        <v>1</v>
      </c>
      <c r="E50" s="133">
        <f t="shared" ref="E50:E55" si="39">SUM(B50:D50)</f>
        <v>3</v>
      </c>
      <c r="F50" s="134"/>
      <c r="G50" s="131"/>
      <c r="H50" s="132"/>
      <c r="I50" s="133">
        <f t="shared" ref="I50:I55" si="40">SUM(F50:H50)</f>
        <v>0</v>
      </c>
      <c r="J50" s="135">
        <f t="shared" ref="J50:J55" si="41">E50+I50</f>
        <v>3</v>
      </c>
      <c r="K50" s="136">
        <v>46051</v>
      </c>
      <c r="M50" s="19" t="s">
        <v>26</v>
      </c>
      <c r="N50" s="75">
        <v>350</v>
      </c>
      <c r="O50" s="76">
        <v>400</v>
      </c>
      <c r="P50" s="77">
        <v>250</v>
      </c>
      <c r="Q50" s="52">
        <f t="shared" ref="Q50" si="42">SUM(N50:P50)</f>
        <v>1000</v>
      </c>
      <c r="R50" s="88">
        <v>350</v>
      </c>
      <c r="S50" s="76">
        <v>400</v>
      </c>
      <c r="T50" s="77">
        <v>250</v>
      </c>
      <c r="U50" s="52">
        <f t="shared" ref="U50" si="43">SUM(R50:T50)</f>
        <v>1000</v>
      </c>
      <c r="V50" s="60">
        <f t="shared" ref="V50" si="44">Q50+U50</f>
        <v>2000</v>
      </c>
      <c r="W50" s="97" t="s">
        <v>82</v>
      </c>
    </row>
    <row r="51" spans="1:25" x14ac:dyDescent="0.15">
      <c r="A51" s="19" t="s">
        <v>11</v>
      </c>
      <c r="B51" s="5"/>
      <c r="C51" s="6">
        <v>3</v>
      </c>
      <c r="D51" s="36"/>
      <c r="E51" s="53">
        <f t="shared" si="39"/>
        <v>3</v>
      </c>
      <c r="F51" s="8"/>
      <c r="G51" s="6"/>
      <c r="H51" s="7"/>
      <c r="I51" s="53">
        <f t="shared" si="40"/>
        <v>0</v>
      </c>
      <c r="J51" s="60">
        <f t="shared" si="41"/>
        <v>3</v>
      </c>
      <c r="K51" s="41">
        <v>46053</v>
      </c>
      <c r="M51" s="19" t="s">
        <v>74</v>
      </c>
      <c r="N51" s="75"/>
      <c r="O51" s="76">
        <v>-12</v>
      </c>
      <c r="P51" s="78">
        <v>-12</v>
      </c>
      <c r="Q51" s="53">
        <f>SUM(N51:P51)</f>
        <v>-24</v>
      </c>
      <c r="R51" s="88">
        <v>-3</v>
      </c>
      <c r="S51" s="76">
        <v>-27</v>
      </c>
      <c r="T51" s="77">
        <v>-14</v>
      </c>
      <c r="U51" s="53">
        <f>SUM(R51:T51)</f>
        <v>-44</v>
      </c>
      <c r="V51" s="60">
        <f>Q51+U51</f>
        <v>-68</v>
      </c>
      <c r="W51" s="98"/>
    </row>
    <row r="52" spans="1:25" x14ac:dyDescent="0.15">
      <c r="A52" s="19" t="s">
        <v>12</v>
      </c>
      <c r="B52" s="5">
        <v>3</v>
      </c>
      <c r="C52" s="6">
        <v>3</v>
      </c>
      <c r="D52" s="36"/>
      <c r="E52" s="53">
        <f t="shared" si="39"/>
        <v>6</v>
      </c>
      <c r="F52" s="8"/>
      <c r="G52" s="6"/>
      <c r="H52" s="7"/>
      <c r="I52" s="53">
        <f t="shared" si="40"/>
        <v>0</v>
      </c>
      <c r="J52" s="60">
        <f t="shared" si="41"/>
        <v>6</v>
      </c>
      <c r="K52" s="41">
        <v>46060</v>
      </c>
      <c r="L52" s="48"/>
      <c r="M52" s="19" t="s">
        <v>12</v>
      </c>
      <c r="N52" s="75"/>
      <c r="O52" s="76"/>
      <c r="P52" s="78"/>
      <c r="Q52" s="53">
        <f t="shared" ref="Q52:Q54" si="45">SUM(N52:P52)</f>
        <v>0</v>
      </c>
      <c r="R52" s="88"/>
      <c r="S52" s="76"/>
      <c r="T52" s="77"/>
      <c r="U52" s="53">
        <f t="shared" ref="U52:U54" si="46">SUM(R52:T52)</f>
        <v>0</v>
      </c>
      <c r="V52" s="60">
        <f t="shared" ref="V52:V54" si="47">Q52+U52</f>
        <v>0</v>
      </c>
      <c r="W52" s="100"/>
    </row>
    <row r="53" spans="1:25" x14ac:dyDescent="0.15">
      <c r="A53" s="19" t="s">
        <v>13</v>
      </c>
      <c r="B53" s="5"/>
      <c r="C53" s="6"/>
      <c r="D53" s="36"/>
      <c r="E53" s="53">
        <f t="shared" si="39"/>
        <v>0</v>
      </c>
      <c r="F53" s="8">
        <v>3</v>
      </c>
      <c r="G53" s="6"/>
      <c r="H53" s="7"/>
      <c r="I53" s="53">
        <f t="shared" si="40"/>
        <v>3</v>
      </c>
      <c r="J53" s="60">
        <f t="shared" si="41"/>
        <v>3</v>
      </c>
      <c r="K53" s="41">
        <v>46063</v>
      </c>
      <c r="M53" s="19" t="s">
        <v>13</v>
      </c>
      <c r="N53" s="79"/>
      <c r="O53" s="80"/>
      <c r="P53" s="81"/>
      <c r="Q53" s="53">
        <f t="shared" ref="Q53" si="48">SUM(N53:P53)</f>
        <v>0</v>
      </c>
      <c r="R53" s="89"/>
      <c r="S53" s="80"/>
      <c r="T53" s="90"/>
      <c r="U53" s="53">
        <f t="shared" ref="U53" si="49">SUM(R53:T53)</f>
        <v>0</v>
      </c>
      <c r="V53" s="60">
        <f t="shared" ref="V53" si="50">Q53+U53</f>
        <v>0</v>
      </c>
    </row>
    <row r="54" spans="1:25" x14ac:dyDescent="0.15">
      <c r="A54" s="129" t="s">
        <v>14</v>
      </c>
      <c r="B54" s="140">
        <v>3</v>
      </c>
      <c r="C54" s="141"/>
      <c r="D54" s="142">
        <v>5</v>
      </c>
      <c r="E54" s="143">
        <f t="shared" si="39"/>
        <v>8</v>
      </c>
      <c r="F54" s="144"/>
      <c r="G54" s="141"/>
      <c r="H54" s="145"/>
      <c r="I54" s="143">
        <f t="shared" si="40"/>
        <v>0</v>
      </c>
      <c r="J54" s="135">
        <f t="shared" si="41"/>
        <v>8</v>
      </c>
      <c r="K54" s="136">
        <v>46070</v>
      </c>
      <c r="L54" s="139"/>
      <c r="M54" s="19" t="s">
        <v>14</v>
      </c>
      <c r="N54" s="79"/>
      <c r="O54" s="80"/>
      <c r="P54" s="81"/>
      <c r="Q54" s="53">
        <f t="shared" si="45"/>
        <v>0</v>
      </c>
      <c r="R54" s="89"/>
      <c r="S54" s="80"/>
      <c r="T54" s="90"/>
      <c r="U54" s="53">
        <f t="shared" si="46"/>
        <v>0</v>
      </c>
      <c r="V54" s="60">
        <f t="shared" si="47"/>
        <v>0</v>
      </c>
    </row>
    <row r="55" spans="1:25" ht="14.25" thickBot="1" x14ac:dyDescent="0.2">
      <c r="A55" s="129" t="s">
        <v>15</v>
      </c>
      <c r="B55" s="150"/>
      <c r="C55" s="151">
        <v>3</v>
      </c>
      <c r="D55" s="152"/>
      <c r="E55" s="153">
        <f t="shared" si="39"/>
        <v>3</v>
      </c>
      <c r="F55" s="154"/>
      <c r="G55" s="154">
        <v>3</v>
      </c>
      <c r="H55" s="155"/>
      <c r="I55" s="153">
        <f t="shared" si="40"/>
        <v>3</v>
      </c>
      <c r="J55" s="156">
        <f t="shared" si="41"/>
        <v>6</v>
      </c>
      <c r="K55" s="136">
        <v>46079</v>
      </c>
      <c r="M55" s="19" t="s">
        <v>15</v>
      </c>
      <c r="N55" s="79"/>
      <c r="O55" s="80"/>
      <c r="P55" s="81"/>
      <c r="Q55" s="53">
        <f t="shared" ref="Q55" si="51">SUM(N55:P55)</f>
        <v>0</v>
      </c>
      <c r="R55" s="89"/>
      <c r="S55" s="80"/>
      <c r="T55" s="90"/>
      <c r="U55" s="53">
        <f t="shared" ref="U55" si="52">SUM(R55:T55)</f>
        <v>0</v>
      </c>
      <c r="V55" s="60">
        <f t="shared" ref="V55" si="53">Q55+U55</f>
        <v>0</v>
      </c>
    </row>
    <row r="56" spans="1:25" ht="14.25" thickBot="1" x14ac:dyDescent="0.2">
      <c r="A56" s="28" t="s">
        <v>16</v>
      </c>
      <c r="B56" s="22">
        <f>SUM(B47:B55)</f>
        <v>14</v>
      </c>
      <c r="C56" s="23">
        <f t="shared" ref="C56:D56" si="54">SUM(C47:C55)</f>
        <v>18</v>
      </c>
      <c r="D56" s="24">
        <f t="shared" si="54"/>
        <v>12</v>
      </c>
      <c r="E56" s="55">
        <f>SUM(B56:D56)</f>
        <v>44</v>
      </c>
      <c r="F56" s="22">
        <f>SUM(F47:F55)</f>
        <v>9</v>
      </c>
      <c r="G56" s="23">
        <f t="shared" ref="G56:H56" si="55">SUM(G47:G55)</f>
        <v>9</v>
      </c>
      <c r="H56" s="24">
        <f t="shared" si="55"/>
        <v>6</v>
      </c>
      <c r="I56" s="55">
        <f>SUM(F56:H56)</f>
        <v>24</v>
      </c>
      <c r="J56" s="62">
        <f>SUM(J48:J55)</f>
        <v>44</v>
      </c>
      <c r="M56" s="28" t="s">
        <v>16</v>
      </c>
      <c r="N56" s="22">
        <f>SUM(N47:N55)</f>
        <v>607</v>
      </c>
      <c r="O56" s="23">
        <f t="shared" ref="O56:P56" si="56">SUM(O47:O55)</f>
        <v>688</v>
      </c>
      <c r="P56" s="24">
        <f t="shared" si="56"/>
        <v>408</v>
      </c>
      <c r="Q56" s="55">
        <f>SUM(N56:P56)</f>
        <v>1703</v>
      </c>
      <c r="R56" s="22">
        <f>SUM(R47:R55)</f>
        <v>620</v>
      </c>
      <c r="S56" s="23">
        <f t="shared" ref="S56:T56" si="57">SUM(S47:S55)</f>
        <v>695</v>
      </c>
      <c r="T56" s="24">
        <f t="shared" si="57"/>
        <v>420</v>
      </c>
      <c r="U56" s="55">
        <f>SUM(R56:T56)</f>
        <v>1735</v>
      </c>
      <c r="V56" s="62">
        <f>Q56+U56</f>
        <v>3438</v>
      </c>
    </row>
    <row r="57" spans="1:25" x14ac:dyDescent="0.15">
      <c r="A57" s="17" t="s">
        <v>75</v>
      </c>
      <c r="B57" s="9">
        <v>1</v>
      </c>
      <c r="C57" s="10"/>
      <c r="D57" s="11"/>
      <c r="E57" s="52">
        <f t="shared" ref="E57:E58" si="58">SUM(B57:D57)</f>
        <v>1</v>
      </c>
      <c r="F57" s="12">
        <v>1</v>
      </c>
      <c r="G57" s="10"/>
      <c r="H57" s="11"/>
      <c r="I57" s="52">
        <f t="shared" ref="I57:I58" si="59">SUM(F57:H57)</f>
        <v>1</v>
      </c>
      <c r="J57" s="60">
        <f t="shared" ref="J57:J58" si="60">E57+I57</f>
        <v>2</v>
      </c>
      <c r="K57" s="41">
        <v>46028</v>
      </c>
      <c r="M57" s="20" t="s">
        <v>80</v>
      </c>
      <c r="N57" s="9">
        <v>5</v>
      </c>
      <c r="O57" s="10">
        <v>3</v>
      </c>
      <c r="P57" s="11"/>
      <c r="Q57" s="52">
        <f>SUM(N57:P57)</f>
        <v>8</v>
      </c>
      <c r="R57" s="12">
        <v>3</v>
      </c>
      <c r="S57" s="10"/>
      <c r="T57" s="11">
        <v>3</v>
      </c>
      <c r="U57" s="52">
        <f>SUM(R57:T57)</f>
        <v>6</v>
      </c>
      <c r="V57" s="60">
        <f>Q57+U57</f>
        <v>14</v>
      </c>
      <c r="W57" s="97">
        <v>46031</v>
      </c>
      <c r="X57" s="48"/>
      <c r="Y57" s="48"/>
    </row>
    <row r="58" spans="1:25" x14ac:dyDescent="0.15">
      <c r="A58" s="17" t="s">
        <v>53</v>
      </c>
      <c r="B58" s="5"/>
      <c r="C58" s="6">
        <v>1</v>
      </c>
      <c r="D58" s="7">
        <v>1</v>
      </c>
      <c r="E58" s="52">
        <f t="shared" si="58"/>
        <v>2</v>
      </c>
      <c r="F58" s="8"/>
      <c r="G58" s="6"/>
      <c r="H58" s="7"/>
      <c r="I58" s="52">
        <f t="shared" si="59"/>
        <v>0</v>
      </c>
      <c r="J58" s="60">
        <f t="shared" si="60"/>
        <v>2</v>
      </c>
      <c r="K58" s="41">
        <v>46027</v>
      </c>
      <c r="M58" s="137" t="s">
        <v>54</v>
      </c>
      <c r="N58" s="130"/>
      <c r="O58" s="131">
        <v>2</v>
      </c>
      <c r="P58" s="132">
        <v>1</v>
      </c>
      <c r="Q58" s="133">
        <f t="shared" ref="Q58" si="61">SUM(N58:P58)</f>
        <v>3</v>
      </c>
      <c r="R58" s="134"/>
      <c r="S58" s="131"/>
      <c r="T58" s="132"/>
      <c r="U58" s="133">
        <f t="shared" ref="U58" si="62">SUM(R58:T58)</f>
        <v>0</v>
      </c>
      <c r="V58" s="135">
        <f t="shared" ref="V58" si="63">Q58+U58</f>
        <v>3</v>
      </c>
      <c r="W58" s="138">
        <v>46051</v>
      </c>
      <c r="X58" s="139"/>
      <c r="Y58" s="48"/>
    </row>
    <row r="59" spans="1:25" x14ac:dyDescent="0.15">
      <c r="A59" s="20" t="s">
        <v>79</v>
      </c>
      <c r="B59" s="5">
        <v>1</v>
      </c>
      <c r="C59" s="6"/>
      <c r="D59" s="7"/>
      <c r="E59" s="52">
        <f t="shared" ref="E59:E83" si="64">SUM(B59:D59)</f>
        <v>1</v>
      </c>
      <c r="F59" s="8"/>
      <c r="G59" s="6"/>
      <c r="H59" s="7"/>
      <c r="I59" s="52">
        <f t="shared" ref="I59:I83" si="65">SUM(F59:H59)</f>
        <v>0</v>
      </c>
      <c r="J59" s="60">
        <f t="shared" ref="J59:J82" si="66">E59+I59</f>
        <v>1</v>
      </c>
      <c r="K59" s="41">
        <v>46031</v>
      </c>
      <c r="M59" s="137" t="s">
        <v>54</v>
      </c>
      <c r="N59" s="5"/>
      <c r="O59" s="6">
        <v>3</v>
      </c>
      <c r="P59" s="7"/>
      <c r="Q59" s="52">
        <f>SUM(N59:P59)</f>
        <v>3</v>
      </c>
      <c r="R59" s="8"/>
      <c r="S59" s="6"/>
      <c r="T59" s="7"/>
      <c r="U59" s="52">
        <f>SUM(R59:T59)</f>
        <v>0</v>
      </c>
      <c r="V59" s="60">
        <f>Q59+U59</f>
        <v>3</v>
      </c>
      <c r="W59" s="97">
        <v>46053</v>
      </c>
      <c r="X59" s="48"/>
      <c r="Y59" s="48"/>
    </row>
    <row r="60" spans="1:25" x14ac:dyDescent="0.15">
      <c r="A60" s="17" t="s">
        <v>53</v>
      </c>
      <c r="B60" s="5"/>
      <c r="C60" s="6">
        <v>1</v>
      </c>
      <c r="D60" s="7"/>
      <c r="E60" s="52">
        <f t="shared" si="64"/>
        <v>1</v>
      </c>
      <c r="F60" s="8"/>
      <c r="G60" s="6"/>
      <c r="H60" s="7"/>
      <c r="I60" s="52">
        <f t="shared" si="65"/>
        <v>0</v>
      </c>
      <c r="J60" s="60">
        <f t="shared" si="66"/>
        <v>1</v>
      </c>
      <c r="K60" s="41">
        <v>46030</v>
      </c>
      <c r="L60" s="48"/>
      <c r="M60" s="137" t="s">
        <v>54</v>
      </c>
      <c r="N60" s="5">
        <v>3</v>
      </c>
      <c r="O60" s="6">
        <v>3</v>
      </c>
      <c r="P60" s="7"/>
      <c r="Q60" s="52">
        <f t="shared" ref="Q60" si="67">SUM(N60:P60)</f>
        <v>6</v>
      </c>
      <c r="R60" s="8"/>
      <c r="S60" s="6"/>
      <c r="T60" s="7"/>
      <c r="U60" s="52">
        <f t="shared" ref="U60" si="68">SUM(R60:T60)</f>
        <v>0</v>
      </c>
      <c r="V60" s="60">
        <f t="shared" ref="V60" si="69">Q60+U60</f>
        <v>6</v>
      </c>
      <c r="W60" s="97">
        <v>46060</v>
      </c>
    </row>
    <row r="61" spans="1:25" x14ac:dyDescent="0.15">
      <c r="A61" s="17" t="s">
        <v>53</v>
      </c>
      <c r="B61" s="5">
        <v>1</v>
      </c>
      <c r="C61" s="6"/>
      <c r="D61" s="7"/>
      <c r="E61" s="52">
        <f t="shared" si="64"/>
        <v>1</v>
      </c>
      <c r="F61" s="8"/>
      <c r="G61" s="6"/>
      <c r="H61" s="7"/>
      <c r="I61" s="52">
        <f t="shared" si="65"/>
        <v>0</v>
      </c>
      <c r="J61" s="60">
        <f t="shared" si="66"/>
        <v>1</v>
      </c>
      <c r="K61" s="41">
        <v>46031</v>
      </c>
      <c r="L61" s="48"/>
      <c r="M61" s="20" t="s">
        <v>54</v>
      </c>
      <c r="N61" s="5"/>
      <c r="O61" s="6"/>
      <c r="P61" s="7"/>
      <c r="Q61" s="52">
        <f t="shared" ref="Q61:Q83" si="70">SUM(N61:P61)</f>
        <v>0</v>
      </c>
      <c r="R61" s="8">
        <v>3</v>
      </c>
      <c r="S61" s="6"/>
      <c r="T61" s="7"/>
      <c r="U61" s="52">
        <f t="shared" ref="U61:U83" si="71">SUM(R61:T61)</f>
        <v>3</v>
      </c>
      <c r="V61" s="60">
        <f t="shared" ref="V61:V76" si="72">Q61+U61</f>
        <v>3</v>
      </c>
      <c r="W61" s="97">
        <v>46063</v>
      </c>
      <c r="X61" s="48"/>
    </row>
    <row r="62" spans="1:25" x14ac:dyDescent="0.15">
      <c r="A62" s="17" t="s">
        <v>81</v>
      </c>
      <c r="B62" s="5"/>
      <c r="C62" s="6">
        <v>1</v>
      </c>
      <c r="D62" s="14"/>
      <c r="E62" s="52">
        <f t="shared" si="64"/>
        <v>1</v>
      </c>
      <c r="F62" s="15"/>
      <c r="G62" s="13">
        <v>1</v>
      </c>
      <c r="H62" s="14"/>
      <c r="I62" s="52">
        <f t="shared" si="65"/>
        <v>1</v>
      </c>
      <c r="J62" s="60">
        <f t="shared" si="66"/>
        <v>2</v>
      </c>
      <c r="K62" s="41">
        <v>46036</v>
      </c>
      <c r="M62" s="137" t="s">
        <v>54</v>
      </c>
      <c r="N62" s="130">
        <v>3</v>
      </c>
      <c r="O62" s="131"/>
      <c r="P62" s="146">
        <v>5</v>
      </c>
      <c r="Q62" s="133">
        <f t="shared" si="70"/>
        <v>8</v>
      </c>
      <c r="R62" s="147"/>
      <c r="S62" s="148"/>
      <c r="T62" s="146"/>
      <c r="U62" s="133">
        <f t="shared" si="71"/>
        <v>0</v>
      </c>
      <c r="V62" s="135">
        <f t="shared" si="72"/>
        <v>8</v>
      </c>
      <c r="W62" s="138">
        <v>46070</v>
      </c>
      <c r="X62" s="139"/>
    </row>
    <row r="63" spans="1:25" x14ac:dyDescent="0.15">
      <c r="A63" s="17" t="s">
        <v>53</v>
      </c>
      <c r="B63" s="5"/>
      <c r="C63" s="6"/>
      <c r="D63" s="7">
        <v>1</v>
      </c>
      <c r="E63" s="52">
        <f t="shared" si="64"/>
        <v>1</v>
      </c>
      <c r="F63" s="8"/>
      <c r="G63" s="6">
        <v>1</v>
      </c>
      <c r="H63" s="7"/>
      <c r="I63" s="52">
        <f t="shared" si="65"/>
        <v>1</v>
      </c>
      <c r="J63" s="60">
        <f t="shared" si="66"/>
        <v>2</v>
      </c>
      <c r="K63" s="41">
        <v>46035</v>
      </c>
      <c r="M63" s="137" t="s">
        <v>54</v>
      </c>
      <c r="N63" s="130"/>
      <c r="O63" s="131">
        <v>3</v>
      </c>
      <c r="P63" s="132"/>
      <c r="Q63" s="133">
        <f t="shared" si="70"/>
        <v>3</v>
      </c>
      <c r="R63" s="134"/>
      <c r="S63" s="131">
        <v>3</v>
      </c>
      <c r="T63" s="132"/>
      <c r="U63" s="133">
        <f t="shared" si="71"/>
        <v>3</v>
      </c>
      <c r="V63" s="135">
        <f t="shared" si="72"/>
        <v>6</v>
      </c>
      <c r="W63" s="138">
        <v>46079</v>
      </c>
    </row>
    <row r="64" spans="1:25" ht="14.25" x14ac:dyDescent="0.15">
      <c r="A64" s="20" t="s">
        <v>83</v>
      </c>
      <c r="B64" s="5"/>
      <c r="C64" s="6"/>
      <c r="D64" s="7"/>
      <c r="E64" s="52">
        <f t="shared" si="64"/>
        <v>0</v>
      </c>
      <c r="F64" s="8"/>
      <c r="G64" s="6"/>
      <c r="H64" s="7">
        <v>1</v>
      </c>
      <c r="I64" s="52">
        <f t="shared" si="65"/>
        <v>1</v>
      </c>
      <c r="J64" s="60">
        <f t="shared" si="66"/>
        <v>1</v>
      </c>
      <c r="K64" s="128">
        <v>46041</v>
      </c>
      <c r="M64" s="20" t="s">
        <v>54</v>
      </c>
      <c r="N64" s="5" t="s">
        <v>21</v>
      </c>
      <c r="O64" s="6">
        <v>3</v>
      </c>
      <c r="P64" s="7"/>
      <c r="Q64" s="52">
        <f t="shared" si="70"/>
        <v>3</v>
      </c>
      <c r="R64" s="8"/>
      <c r="S64" s="6"/>
      <c r="T64" s="7"/>
      <c r="U64" s="52">
        <f t="shared" si="71"/>
        <v>0</v>
      </c>
      <c r="V64" s="60">
        <f t="shared" si="72"/>
        <v>3</v>
      </c>
      <c r="W64" s="101">
        <v>46086</v>
      </c>
    </row>
    <row r="65" spans="1:23" x14ac:dyDescent="0.15">
      <c r="A65" s="20" t="s">
        <v>84</v>
      </c>
      <c r="B65" s="5">
        <v>1</v>
      </c>
      <c r="C65" s="6"/>
      <c r="D65" s="7"/>
      <c r="E65" s="52">
        <f t="shared" si="64"/>
        <v>1</v>
      </c>
      <c r="F65" s="8"/>
      <c r="G65" s="6"/>
      <c r="H65" s="7"/>
      <c r="I65" s="52">
        <f t="shared" si="65"/>
        <v>0</v>
      </c>
      <c r="J65" s="60">
        <f t="shared" si="66"/>
        <v>1</v>
      </c>
      <c r="K65" s="41">
        <v>46044</v>
      </c>
      <c r="M65" s="137" t="s">
        <v>54</v>
      </c>
      <c r="N65" s="130"/>
      <c r="O65" s="131"/>
      <c r="P65" s="132">
        <v>3</v>
      </c>
      <c r="Q65" s="133">
        <f t="shared" si="70"/>
        <v>3</v>
      </c>
      <c r="R65" s="134"/>
      <c r="S65" s="131"/>
      <c r="T65" s="132">
        <v>3</v>
      </c>
      <c r="U65" s="133">
        <f t="shared" si="71"/>
        <v>3</v>
      </c>
      <c r="V65" s="135">
        <f t="shared" si="72"/>
        <v>6</v>
      </c>
      <c r="W65" s="138">
        <v>46094</v>
      </c>
    </row>
    <row r="66" spans="1:23" x14ac:dyDescent="0.15">
      <c r="A66" s="17" t="s">
        <v>53</v>
      </c>
      <c r="B66" s="9"/>
      <c r="C66" s="10">
        <v>1</v>
      </c>
      <c r="D66" s="11"/>
      <c r="E66" s="52">
        <f t="shared" si="64"/>
        <v>1</v>
      </c>
      <c r="F66" s="12"/>
      <c r="G66" s="10"/>
      <c r="H66" s="11"/>
      <c r="I66" s="52">
        <f t="shared" si="65"/>
        <v>0</v>
      </c>
      <c r="J66" s="60">
        <f t="shared" si="66"/>
        <v>1</v>
      </c>
      <c r="K66" s="41">
        <v>46042</v>
      </c>
      <c r="M66" s="137" t="s">
        <v>54</v>
      </c>
      <c r="N66" s="140">
        <v>3</v>
      </c>
      <c r="O66" s="141">
        <v>5</v>
      </c>
      <c r="P66" s="145"/>
      <c r="Q66" s="133">
        <f t="shared" si="70"/>
        <v>8</v>
      </c>
      <c r="R66" s="144"/>
      <c r="S66" s="141"/>
      <c r="T66" s="145"/>
      <c r="U66" s="133">
        <f t="shared" si="71"/>
        <v>0</v>
      </c>
      <c r="V66" s="135">
        <f t="shared" si="72"/>
        <v>8</v>
      </c>
      <c r="W66" s="138">
        <v>46100</v>
      </c>
    </row>
    <row r="67" spans="1:23" x14ac:dyDescent="0.15">
      <c r="A67" s="17" t="s">
        <v>53</v>
      </c>
      <c r="B67" s="5">
        <v>1</v>
      </c>
      <c r="C67" s="6"/>
      <c r="D67" s="7"/>
      <c r="E67" s="52">
        <f t="shared" si="64"/>
        <v>1</v>
      </c>
      <c r="F67" s="8"/>
      <c r="G67" s="6"/>
      <c r="H67" s="7"/>
      <c r="I67" s="52">
        <f t="shared" si="65"/>
        <v>0</v>
      </c>
      <c r="J67" s="60">
        <f t="shared" si="66"/>
        <v>1</v>
      </c>
      <c r="K67" s="41">
        <v>46045</v>
      </c>
      <c r="M67" s="137"/>
      <c r="N67" s="5"/>
      <c r="O67" s="6"/>
      <c r="P67" s="7"/>
      <c r="Q67" s="52">
        <f t="shared" si="70"/>
        <v>0</v>
      </c>
      <c r="R67" s="8"/>
      <c r="S67" s="6"/>
      <c r="T67" s="7"/>
      <c r="U67" s="52">
        <f t="shared" si="71"/>
        <v>0</v>
      </c>
      <c r="V67" s="60">
        <f t="shared" si="72"/>
        <v>0</v>
      </c>
      <c r="W67" s="97"/>
    </row>
    <row r="68" spans="1:23" x14ac:dyDescent="0.15">
      <c r="A68" s="20" t="s">
        <v>90</v>
      </c>
      <c r="B68" s="5"/>
      <c r="C68" s="6">
        <v>1</v>
      </c>
      <c r="D68" s="7"/>
      <c r="E68" s="52">
        <f t="shared" si="64"/>
        <v>1</v>
      </c>
      <c r="F68" s="8"/>
      <c r="G68" s="6"/>
      <c r="H68" s="7"/>
      <c r="I68" s="52">
        <f t="shared" si="65"/>
        <v>0</v>
      </c>
      <c r="J68" s="60">
        <f t="shared" si="66"/>
        <v>1</v>
      </c>
      <c r="K68" s="41">
        <v>46052</v>
      </c>
      <c r="L68" s="48"/>
      <c r="M68" s="20"/>
      <c r="N68" s="5"/>
      <c r="O68" s="6"/>
      <c r="P68" s="7"/>
      <c r="Q68" s="52">
        <f t="shared" si="70"/>
        <v>0</v>
      </c>
      <c r="R68" s="8"/>
      <c r="S68" s="6"/>
      <c r="T68" s="7"/>
      <c r="U68" s="52">
        <f t="shared" si="71"/>
        <v>0</v>
      </c>
      <c r="V68" s="60">
        <f t="shared" si="72"/>
        <v>0</v>
      </c>
      <c r="W68" s="97"/>
    </row>
    <row r="69" spans="1:23" x14ac:dyDescent="0.15">
      <c r="A69" s="17" t="s">
        <v>91</v>
      </c>
      <c r="B69" s="5"/>
      <c r="C69" s="6">
        <v>1</v>
      </c>
      <c r="D69" s="7"/>
      <c r="E69" s="52">
        <f t="shared" si="64"/>
        <v>1</v>
      </c>
      <c r="F69" s="8">
        <v>1</v>
      </c>
      <c r="G69" s="6"/>
      <c r="H69" s="7"/>
      <c r="I69" s="52">
        <f t="shared" si="65"/>
        <v>1</v>
      </c>
      <c r="J69" s="60">
        <f t="shared" si="66"/>
        <v>2</v>
      </c>
      <c r="K69" s="41">
        <v>46051</v>
      </c>
      <c r="M69" s="18"/>
      <c r="N69" s="5"/>
      <c r="O69" s="6"/>
      <c r="P69" s="7"/>
      <c r="Q69" s="52">
        <f t="shared" si="70"/>
        <v>0</v>
      </c>
      <c r="R69" s="8"/>
      <c r="S69" s="6"/>
      <c r="T69" s="7"/>
      <c r="U69" s="52">
        <f t="shared" si="71"/>
        <v>0</v>
      </c>
      <c r="V69" s="60">
        <f t="shared" si="72"/>
        <v>0</v>
      </c>
      <c r="W69" s="97"/>
    </row>
    <row r="70" spans="1:23" x14ac:dyDescent="0.15">
      <c r="A70" s="20" t="s">
        <v>92</v>
      </c>
      <c r="B70" s="5"/>
      <c r="C70" s="6">
        <v>2</v>
      </c>
      <c r="D70" s="7"/>
      <c r="E70" s="52">
        <f t="shared" si="64"/>
        <v>2</v>
      </c>
      <c r="F70" s="8"/>
      <c r="G70" s="6"/>
      <c r="H70" s="7"/>
      <c r="I70" s="52">
        <f t="shared" si="65"/>
        <v>0</v>
      </c>
      <c r="J70" s="60">
        <f t="shared" si="66"/>
        <v>2</v>
      </c>
      <c r="K70" s="41">
        <v>46055</v>
      </c>
      <c r="M70" s="18"/>
      <c r="N70" s="5"/>
      <c r="O70" s="6"/>
      <c r="P70" s="7"/>
      <c r="Q70" s="52">
        <f t="shared" si="70"/>
        <v>0</v>
      </c>
      <c r="R70" s="8"/>
      <c r="S70" s="6"/>
      <c r="T70" s="7"/>
      <c r="U70" s="52">
        <f t="shared" si="71"/>
        <v>0</v>
      </c>
      <c r="V70" s="60">
        <f t="shared" si="72"/>
        <v>0</v>
      </c>
      <c r="W70" s="97"/>
    </row>
    <row r="71" spans="1:23" x14ac:dyDescent="0.15">
      <c r="A71" s="17" t="s">
        <v>53</v>
      </c>
      <c r="B71" s="5"/>
      <c r="C71" s="6">
        <v>1</v>
      </c>
      <c r="D71" s="7">
        <v>1</v>
      </c>
      <c r="E71" s="52">
        <f t="shared" si="64"/>
        <v>2</v>
      </c>
      <c r="F71" s="8"/>
      <c r="G71" s="6"/>
      <c r="H71" s="7"/>
      <c r="I71" s="52">
        <f t="shared" si="65"/>
        <v>0</v>
      </c>
      <c r="J71" s="60">
        <f t="shared" si="66"/>
        <v>2</v>
      </c>
      <c r="K71" s="41">
        <v>46058</v>
      </c>
      <c r="M71" s="20"/>
      <c r="N71" s="5"/>
      <c r="O71" s="6"/>
      <c r="P71" s="7"/>
      <c r="Q71" s="52">
        <f t="shared" si="70"/>
        <v>0</v>
      </c>
      <c r="R71" s="8"/>
      <c r="S71" s="6"/>
      <c r="T71" s="7"/>
      <c r="U71" s="52">
        <f t="shared" si="71"/>
        <v>0</v>
      </c>
      <c r="V71" s="60">
        <f t="shared" si="72"/>
        <v>0</v>
      </c>
      <c r="W71" s="97"/>
    </row>
    <row r="72" spans="1:23" x14ac:dyDescent="0.15">
      <c r="A72" s="17" t="s">
        <v>53</v>
      </c>
      <c r="B72" s="5">
        <v>1</v>
      </c>
      <c r="C72" s="6">
        <v>1</v>
      </c>
      <c r="D72" s="7"/>
      <c r="E72" s="52">
        <f t="shared" si="64"/>
        <v>2</v>
      </c>
      <c r="F72" s="8"/>
      <c r="G72" s="6"/>
      <c r="H72" s="7"/>
      <c r="I72" s="52">
        <f t="shared" si="65"/>
        <v>0</v>
      </c>
      <c r="J72" s="60">
        <f t="shared" si="66"/>
        <v>2</v>
      </c>
      <c r="K72" s="41">
        <v>46059</v>
      </c>
      <c r="M72" s="20"/>
      <c r="N72" s="5"/>
      <c r="O72" s="6"/>
      <c r="P72" s="7"/>
      <c r="Q72" s="52">
        <f t="shared" si="70"/>
        <v>0</v>
      </c>
      <c r="R72" s="8"/>
      <c r="S72" s="6"/>
      <c r="T72" s="7"/>
      <c r="U72" s="52">
        <f t="shared" si="71"/>
        <v>0</v>
      </c>
      <c r="V72" s="60">
        <f t="shared" si="72"/>
        <v>0</v>
      </c>
      <c r="W72" s="97"/>
    </row>
    <row r="73" spans="1:23" x14ac:dyDescent="0.15">
      <c r="A73" s="17" t="s">
        <v>91</v>
      </c>
      <c r="B73" s="5">
        <v>1</v>
      </c>
      <c r="C73" s="6">
        <v>2</v>
      </c>
      <c r="D73" s="7"/>
      <c r="E73" s="52">
        <f t="shared" si="64"/>
        <v>3</v>
      </c>
      <c r="F73" s="8">
        <v>2</v>
      </c>
      <c r="G73" s="6">
        <v>1</v>
      </c>
      <c r="H73" s="7"/>
      <c r="I73" s="52">
        <f t="shared" si="65"/>
        <v>3</v>
      </c>
      <c r="J73" s="60">
        <f t="shared" si="66"/>
        <v>6</v>
      </c>
      <c r="K73" s="41">
        <v>46063</v>
      </c>
      <c r="M73" s="18"/>
      <c r="N73" s="5"/>
      <c r="O73" s="6"/>
      <c r="P73" s="7"/>
      <c r="Q73" s="52">
        <f t="shared" si="70"/>
        <v>0</v>
      </c>
      <c r="R73" s="8"/>
      <c r="S73" s="6"/>
      <c r="T73" s="7"/>
      <c r="U73" s="52">
        <f t="shared" si="71"/>
        <v>0</v>
      </c>
      <c r="V73" s="60">
        <f t="shared" si="72"/>
        <v>0</v>
      </c>
      <c r="W73" s="97"/>
    </row>
    <row r="74" spans="1:23" x14ac:dyDescent="0.15">
      <c r="A74" s="17" t="s">
        <v>53</v>
      </c>
      <c r="B74" s="5">
        <v>1</v>
      </c>
      <c r="C74" s="6"/>
      <c r="D74" s="7">
        <v>1</v>
      </c>
      <c r="E74" s="52">
        <f t="shared" si="64"/>
        <v>2</v>
      </c>
      <c r="F74" s="8"/>
      <c r="G74" s="6"/>
      <c r="H74" s="7"/>
      <c r="I74" s="52">
        <f t="shared" si="65"/>
        <v>0</v>
      </c>
      <c r="J74" s="60">
        <f t="shared" si="66"/>
        <v>2</v>
      </c>
      <c r="K74" s="41">
        <v>46062</v>
      </c>
      <c r="M74" s="20"/>
      <c r="N74" s="5"/>
      <c r="O74" s="6"/>
      <c r="P74" s="7"/>
      <c r="Q74" s="52">
        <f t="shared" si="70"/>
        <v>0</v>
      </c>
      <c r="R74" s="8"/>
      <c r="S74" s="6"/>
      <c r="T74" s="7"/>
      <c r="U74" s="52">
        <f t="shared" si="71"/>
        <v>0</v>
      </c>
      <c r="V74" s="60">
        <f t="shared" si="72"/>
        <v>0</v>
      </c>
      <c r="W74" s="97"/>
    </row>
    <row r="75" spans="1:23" x14ac:dyDescent="0.15">
      <c r="A75" s="20" t="s">
        <v>95</v>
      </c>
      <c r="B75" s="5"/>
      <c r="C75" s="6"/>
      <c r="D75" s="7">
        <v>1</v>
      </c>
      <c r="E75" s="52">
        <f t="shared" si="64"/>
        <v>1</v>
      </c>
      <c r="F75" s="8"/>
      <c r="G75" s="6"/>
      <c r="H75" s="7"/>
      <c r="I75" s="52">
        <f t="shared" si="65"/>
        <v>0</v>
      </c>
      <c r="J75" s="60">
        <f t="shared" si="66"/>
        <v>1</v>
      </c>
      <c r="K75" s="41">
        <v>46065</v>
      </c>
      <c r="M75" s="18"/>
      <c r="N75" s="5"/>
      <c r="O75" s="6"/>
      <c r="P75" s="7"/>
      <c r="Q75" s="52">
        <f t="shared" si="70"/>
        <v>0</v>
      </c>
      <c r="R75" s="8"/>
      <c r="S75" s="6"/>
      <c r="T75" s="7"/>
      <c r="U75" s="52">
        <f t="shared" si="71"/>
        <v>0</v>
      </c>
      <c r="V75" s="60">
        <f t="shared" si="72"/>
        <v>0</v>
      </c>
      <c r="W75" s="97"/>
    </row>
    <row r="76" spans="1:23" x14ac:dyDescent="0.15">
      <c r="A76" s="17" t="s">
        <v>96</v>
      </c>
      <c r="B76" s="5"/>
      <c r="C76" s="6">
        <v>-1</v>
      </c>
      <c r="D76" s="7"/>
      <c r="E76" s="52">
        <f t="shared" si="64"/>
        <v>-1</v>
      </c>
      <c r="F76" s="8"/>
      <c r="G76" s="6"/>
      <c r="H76" s="7"/>
      <c r="I76" s="52">
        <f t="shared" si="65"/>
        <v>0</v>
      </c>
      <c r="J76" s="60">
        <f t="shared" si="66"/>
        <v>-1</v>
      </c>
      <c r="K76" s="41">
        <v>46063</v>
      </c>
      <c r="M76" s="20"/>
      <c r="N76" s="5"/>
      <c r="O76" s="6"/>
      <c r="P76" s="7"/>
      <c r="Q76" s="52">
        <f t="shared" si="70"/>
        <v>0</v>
      </c>
      <c r="R76" s="8"/>
      <c r="S76" s="6"/>
      <c r="T76" s="7"/>
      <c r="U76" s="52">
        <f t="shared" si="71"/>
        <v>0</v>
      </c>
      <c r="V76" s="60">
        <f t="shared" si="72"/>
        <v>0</v>
      </c>
      <c r="W76" s="97"/>
    </row>
    <row r="77" spans="1:23" x14ac:dyDescent="0.15">
      <c r="A77" s="17" t="s">
        <v>91</v>
      </c>
      <c r="B77" s="5">
        <v>1</v>
      </c>
      <c r="C77" s="6">
        <v>1</v>
      </c>
      <c r="D77" s="7">
        <v>1</v>
      </c>
      <c r="E77" s="52">
        <f t="shared" si="64"/>
        <v>3</v>
      </c>
      <c r="F77" s="8"/>
      <c r="G77" s="6"/>
      <c r="H77" s="7"/>
      <c r="I77" s="52">
        <f t="shared" si="65"/>
        <v>0</v>
      </c>
      <c r="J77" s="60">
        <f t="shared" si="66"/>
        <v>3</v>
      </c>
      <c r="K77" s="41">
        <v>46069</v>
      </c>
      <c r="M77" s="20"/>
      <c r="N77" s="5"/>
      <c r="O77" s="6"/>
      <c r="P77" s="7"/>
      <c r="Q77" s="52">
        <f t="shared" ref="Q77:Q81" si="73">SUM(N77:P77)</f>
        <v>0</v>
      </c>
      <c r="R77" s="8"/>
      <c r="S77" s="6"/>
      <c r="T77" s="7"/>
      <c r="U77" s="52">
        <f t="shared" ref="U77:U81" si="74">SUM(R77:T77)</f>
        <v>0</v>
      </c>
      <c r="V77" s="60">
        <f t="shared" ref="V77:V81" si="75">Q77+U77</f>
        <v>0</v>
      </c>
      <c r="W77" s="97"/>
    </row>
    <row r="78" spans="1:23" x14ac:dyDescent="0.15">
      <c r="A78" s="17" t="s">
        <v>53</v>
      </c>
      <c r="B78" s="9"/>
      <c r="C78" s="10"/>
      <c r="D78" s="11">
        <v>2</v>
      </c>
      <c r="E78" s="52">
        <f t="shared" si="64"/>
        <v>2</v>
      </c>
      <c r="F78" s="12"/>
      <c r="G78" s="10"/>
      <c r="H78" s="11"/>
      <c r="I78" s="52">
        <f t="shared" si="65"/>
        <v>0</v>
      </c>
      <c r="J78" s="60">
        <f t="shared" si="66"/>
        <v>2</v>
      </c>
      <c r="K78" s="41">
        <v>46069</v>
      </c>
      <c r="M78" s="20"/>
      <c r="N78" s="5"/>
      <c r="O78" s="6"/>
      <c r="P78" s="7"/>
      <c r="Q78" s="52">
        <f t="shared" si="73"/>
        <v>0</v>
      </c>
      <c r="R78" s="8"/>
      <c r="S78" s="6"/>
      <c r="T78" s="7"/>
      <c r="U78" s="52">
        <f t="shared" si="74"/>
        <v>0</v>
      </c>
      <c r="V78" s="60">
        <f t="shared" si="75"/>
        <v>0</v>
      </c>
      <c r="W78" s="97"/>
    </row>
    <row r="79" spans="1:23" x14ac:dyDescent="0.15">
      <c r="A79" s="17" t="s">
        <v>53</v>
      </c>
      <c r="B79" s="5"/>
      <c r="C79" s="6"/>
      <c r="D79" s="7">
        <v>1</v>
      </c>
      <c r="E79" s="52">
        <f t="shared" si="64"/>
        <v>1</v>
      </c>
      <c r="F79" s="8"/>
      <c r="G79" s="6"/>
      <c r="H79" s="7"/>
      <c r="I79" s="52">
        <f t="shared" si="65"/>
        <v>0</v>
      </c>
      <c r="J79" s="60">
        <f t="shared" si="66"/>
        <v>1</v>
      </c>
      <c r="K79" s="41">
        <v>46077</v>
      </c>
      <c r="M79" s="20"/>
      <c r="N79" s="5"/>
      <c r="O79" s="6"/>
      <c r="P79" s="7"/>
      <c r="Q79" s="52">
        <f t="shared" si="73"/>
        <v>0</v>
      </c>
      <c r="R79" s="8"/>
      <c r="S79" s="6"/>
      <c r="T79" s="7"/>
      <c r="U79" s="52">
        <f t="shared" si="74"/>
        <v>0</v>
      </c>
      <c r="V79" s="60">
        <f t="shared" si="75"/>
        <v>0</v>
      </c>
      <c r="W79" s="97"/>
    </row>
    <row r="80" spans="1:23" x14ac:dyDescent="0.15">
      <c r="A80" s="17" t="s">
        <v>53</v>
      </c>
      <c r="B80" s="9"/>
      <c r="C80" s="10">
        <v>1</v>
      </c>
      <c r="D80" s="11"/>
      <c r="E80" s="53">
        <f t="shared" si="64"/>
        <v>1</v>
      </c>
      <c r="F80" s="12"/>
      <c r="G80" s="10">
        <v>1</v>
      </c>
      <c r="H80" s="11"/>
      <c r="I80" s="53">
        <f t="shared" si="65"/>
        <v>1</v>
      </c>
      <c r="J80" s="60">
        <f t="shared" si="66"/>
        <v>2</v>
      </c>
      <c r="K80" s="41">
        <v>46078</v>
      </c>
      <c r="M80" s="20"/>
      <c r="N80" s="5"/>
      <c r="O80" s="6"/>
      <c r="P80" s="7"/>
      <c r="Q80" s="52">
        <f t="shared" si="73"/>
        <v>0</v>
      </c>
      <c r="R80" s="8"/>
      <c r="S80" s="6"/>
      <c r="T80" s="7"/>
      <c r="U80" s="52">
        <f t="shared" si="74"/>
        <v>0</v>
      </c>
      <c r="V80" s="60">
        <f t="shared" si="75"/>
        <v>0</v>
      </c>
      <c r="W80" s="97"/>
    </row>
    <row r="81" spans="1:25" x14ac:dyDescent="0.15">
      <c r="A81" s="17" t="s">
        <v>53</v>
      </c>
      <c r="B81" s="5"/>
      <c r="C81" s="6">
        <v>1</v>
      </c>
      <c r="D81" s="7"/>
      <c r="E81" s="52">
        <f t="shared" si="64"/>
        <v>1</v>
      </c>
      <c r="F81" s="8"/>
      <c r="G81" s="6"/>
      <c r="H81" s="7"/>
      <c r="I81" s="52">
        <f t="shared" si="65"/>
        <v>0</v>
      </c>
      <c r="J81" s="60">
        <f t="shared" si="66"/>
        <v>1</v>
      </c>
      <c r="K81" s="41">
        <v>46080</v>
      </c>
      <c r="M81" s="20"/>
      <c r="N81" s="5"/>
      <c r="O81" s="6"/>
      <c r="P81" s="7"/>
      <c r="Q81" s="52">
        <f t="shared" si="73"/>
        <v>0</v>
      </c>
      <c r="R81" s="8"/>
      <c r="S81" s="6"/>
      <c r="T81" s="7"/>
      <c r="U81" s="52">
        <f t="shared" si="74"/>
        <v>0</v>
      </c>
      <c r="V81" s="60">
        <f t="shared" si="75"/>
        <v>0</v>
      </c>
      <c r="W81" s="97"/>
      <c r="X81" s="48"/>
      <c r="Y81" s="48"/>
    </row>
    <row r="82" spans="1:25" ht="14.25" thickBot="1" x14ac:dyDescent="0.2">
      <c r="A82" s="17" t="s">
        <v>53</v>
      </c>
      <c r="B82" s="9">
        <v>1</v>
      </c>
      <c r="C82" s="10">
        <v>2</v>
      </c>
      <c r="D82" s="11"/>
      <c r="E82" s="56">
        <f t="shared" si="64"/>
        <v>3</v>
      </c>
      <c r="F82" s="12"/>
      <c r="G82" s="10">
        <v>1</v>
      </c>
      <c r="H82" s="11">
        <v>2</v>
      </c>
      <c r="I82" s="56">
        <f t="shared" si="65"/>
        <v>3</v>
      </c>
      <c r="J82" s="60">
        <f t="shared" si="66"/>
        <v>6</v>
      </c>
      <c r="K82" s="41">
        <v>46083</v>
      </c>
      <c r="M82" s="20" t="s">
        <v>48</v>
      </c>
      <c r="N82" s="5"/>
      <c r="O82" s="6"/>
      <c r="P82" s="7"/>
      <c r="Q82" s="52">
        <f t="shared" ref="Q82" si="76">SUM(N82:P82)</f>
        <v>0</v>
      </c>
      <c r="R82" s="8"/>
      <c r="S82" s="6"/>
      <c r="T82" s="7"/>
      <c r="U82" s="52">
        <f t="shared" ref="U82" si="77">SUM(R82:T82)</f>
        <v>0</v>
      </c>
      <c r="V82" s="60">
        <f t="shared" ref="V82" si="78">Q82+U82</f>
        <v>0</v>
      </c>
      <c r="W82" s="98" t="s">
        <v>49</v>
      </c>
      <c r="X82" s="48"/>
      <c r="Y82" s="48"/>
    </row>
    <row r="83" spans="1:25" ht="14.25" thickBot="1" x14ac:dyDescent="0.2">
      <c r="A83" s="31" t="s">
        <v>19</v>
      </c>
      <c r="B83" s="34">
        <f>SUM(B57:B82)</f>
        <v>10</v>
      </c>
      <c r="C83" s="35">
        <f t="shared" ref="C83:D83" si="79">SUM(C57:C82)</f>
        <v>16</v>
      </c>
      <c r="D83" s="39">
        <f t="shared" si="79"/>
        <v>9</v>
      </c>
      <c r="E83" s="57">
        <f t="shared" si="64"/>
        <v>35</v>
      </c>
      <c r="F83" s="34">
        <f>SUM(F57:F82)</f>
        <v>4</v>
      </c>
      <c r="G83" s="35">
        <f t="shared" ref="G83:H83" si="80">SUM(G57:G82)</f>
        <v>5</v>
      </c>
      <c r="H83" s="39">
        <f t="shared" si="80"/>
        <v>3</v>
      </c>
      <c r="I83" s="57">
        <f t="shared" si="65"/>
        <v>12</v>
      </c>
      <c r="J83" s="63">
        <f>E83+I83</f>
        <v>47</v>
      </c>
      <c r="M83" s="31" t="s">
        <v>19</v>
      </c>
      <c r="N83" s="34">
        <f>SUM(N57:N82)</f>
        <v>14</v>
      </c>
      <c r="O83" s="35">
        <f t="shared" ref="O83:P83" si="81">SUM(O57:O82)</f>
        <v>22</v>
      </c>
      <c r="P83" s="39">
        <f t="shared" si="81"/>
        <v>9</v>
      </c>
      <c r="Q83" s="57">
        <f t="shared" si="70"/>
        <v>45</v>
      </c>
      <c r="R83" s="34">
        <f>SUM(R57:R82)</f>
        <v>6</v>
      </c>
      <c r="S83" s="35">
        <f t="shared" ref="S83:T83" si="82">SUM(S57:S82)</f>
        <v>3</v>
      </c>
      <c r="T83" s="39">
        <f t="shared" si="82"/>
        <v>6</v>
      </c>
      <c r="U83" s="57">
        <f t="shared" si="71"/>
        <v>15</v>
      </c>
      <c r="V83" s="63">
        <f>Q83+U83</f>
        <v>60</v>
      </c>
    </row>
    <row r="84" spans="1:25" ht="14.25" thickBot="1" x14ac:dyDescent="0.2">
      <c r="A84" s="16" t="s">
        <v>17</v>
      </c>
      <c r="B84" s="64">
        <f>B56-B83</f>
        <v>4</v>
      </c>
      <c r="C84" s="65">
        <f t="shared" ref="C84:D84" si="83">C56-C83</f>
        <v>2</v>
      </c>
      <c r="D84" s="66">
        <f t="shared" si="83"/>
        <v>3</v>
      </c>
      <c r="E84" s="58">
        <f>SUM(B84:D84)</f>
        <v>9</v>
      </c>
      <c r="F84" s="64">
        <f>F56-F83</f>
        <v>5</v>
      </c>
      <c r="G84" s="65">
        <f t="shared" ref="G84:H84" si="84">G56-G83</f>
        <v>4</v>
      </c>
      <c r="H84" s="66">
        <f t="shared" si="84"/>
        <v>3</v>
      </c>
      <c r="I84" s="58">
        <f>SUM(F84:H84)</f>
        <v>12</v>
      </c>
      <c r="J84" s="62">
        <f>E84+I84</f>
        <v>21</v>
      </c>
      <c r="M84" s="16" t="s">
        <v>17</v>
      </c>
      <c r="N84" s="64">
        <f>N56-N83</f>
        <v>593</v>
      </c>
      <c r="O84" s="65">
        <f t="shared" ref="O84:P84" si="85">O56-O83</f>
        <v>666</v>
      </c>
      <c r="P84" s="66">
        <f t="shared" si="85"/>
        <v>399</v>
      </c>
      <c r="Q84" s="58">
        <f>SUM(N84:P84)</f>
        <v>1658</v>
      </c>
      <c r="R84" s="64">
        <f>R56-R83</f>
        <v>614</v>
      </c>
      <c r="S84" s="65">
        <f t="shared" ref="S84:T84" si="86">S56-S83</f>
        <v>692</v>
      </c>
      <c r="T84" s="66">
        <f t="shared" si="86"/>
        <v>414</v>
      </c>
      <c r="U84" s="58">
        <f>SUM(R84:T84)</f>
        <v>1720</v>
      </c>
      <c r="V84" s="62">
        <f>Q84+U84</f>
        <v>3378</v>
      </c>
    </row>
    <row r="87" spans="1:25" ht="19.5" thickBot="1" x14ac:dyDescent="0.25">
      <c r="A87" s="102" t="s">
        <v>23</v>
      </c>
      <c r="B87" s="103"/>
      <c r="C87" s="103"/>
      <c r="D87" s="103"/>
      <c r="E87" s="103"/>
      <c r="F87" s="103"/>
      <c r="G87" s="103"/>
      <c r="H87" s="103"/>
      <c r="I87" s="103" t="s">
        <v>31</v>
      </c>
      <c r="J87" s="103"/>
      <c r="M87" s="104" t="s">
        <v>27</v>
      </c>
      <c r="N87" s="105"/>
      <c r="O87" s="105"/>
      <c r="P87" s="105"/>
      <c r="Q87" s="105"/>
      <c r="R87" s="105"/>
      <c r="S87" s="105"/>
      <c r="T87" s="105"/>
      <c r="U87" s="105" t="s">
        <v>31</v>
      </c>
      <c r="V87" s="105"/>
    </row>
    <row r="88" spans="1:25" ht="14.25" thickBot="1" x14ac:dyDescent="0.2">
      <c r="A88" s="4" t="s">
        <v>0</v>
      </c>
      <c r="B88" s="183" t="s">
        <v>18</v>
      </c>
      <c r="C88" s="184"/>
      <c r="D88" s="184"/>
      <c r="E88" s="185"/>
      <c r="F88" s="186" t="s">
        <v>22</v>
      </c>
      <c r="G88" s="187"/>
      <c r="H88" s="187"/>
      <c r="I88" s="188"/>
      <c r="J88" s="181" t="s">
        <v>1</v>
      </c>
      <c r="M88" s="4" t="s">
        <v>0</v>
      </c>
      <c r="N88" s="183" t="s">
        <v>18</v>
      </c>
      <c r="O88" s="184"/>
      <c r="P88" s="184"/>
      <c r="Q88" s="185"/>
      <c r="R88" s="186" t="s">
        <v>22</v>
      </c>
      <c r="S88" s="187"/>
      <c r="T88" s="187"/>
      <c r="U88" s="188"/>
      <c r="V88" s="181" t="s">
        <v>1</v>
      </c>
    </row>
    <row r="89" spans="1:25" ht="14.25" thickBot="1" x14ac:dyDescent="0.2">
      <c r="A89" s="4" t="s">
        <v>2</v>
      </c>
      <c r="B89" s="1" t="s">
        <v>3</v>
      </c>
      <c r="C89" s="2" t="s">
        <v>4</v>
      </c>
      <c r="D89" s="3" t="s">
        <v>5</v>
      </c>
      <c r="E89" s="4" t="s">
        <v>6</v>
      </c>
      <c r="F89" s="1" t="s">
        <v>3</v>
      </c>
      <c r="G89" s="2" t="s">
        <v>4</v>
      </c>
      <c r="H89" s="3" t="s">
        <v>5</v>
      </c>
      <c r="I89" s="4" t="s">
        <v>6</v>
      </c>
      <c r="J89" s="182"/>
      <c r="M89" s="4" t="s">
        <v>2</v>
      </c>
      <c r="N89" s="1" t="s">
        <v>3</v>
      </c>
      <c r="O89" s="2" t="s">
        <v>4</v>
      </c>
      <c r="P89" s="3" t="s">
        <v>5</v>
      </c>
      <c r="Q89" s="4" t="s">
        <v>6</v>
      </c>
      <c r="R89" s="1" t="s">
        <v>3</v>
      </c>
      <c r="S89" s="2" t="s">
        <v>4</v>
      </c>
      <c r="T89" s="3" t="s">
        <v>5</v>
      </c>
      <c r="U89" s="4" t="s">
        <v>6</v>
      </c>
      <c r="V89" s="182"/>
    </row>
    <row r="90" spans="1:25" ht="14.25" thickBot="1" x14ac:dyDescent="0.2">
      <c r="A90" s="21" t="s">
        <v>20</v>
      </c>
      <c r="B90" s="32">
        <f>B84</f>
        <v>4</v>
      </c>
      <c r="C90" s="33">
        <f>C84</f>
        <v>2</v>
      </c>
      <c r="D90" s="40">
        <f>D84</f>
        <v>3</v>
      </c>
      <c r="E90" s="50">
        <f>SUM(B90:D90)</f>
        <v>9</v>
      </c>
      <c r="F90" s="32">
        <f>F84</f>
        <v>5</v>
      </c>
      <c r="G90" s="33">
        <f>G84</f>
        <v>4</v>
      </c>
      <c r="H90" s="40">
        <f>H84</f>
        <v>3</v>
      </c>
      <c r="I90" s="50">
        <f>SUM(F90:H90)</f>
        <v>12</v>
      </c>
      <c r="J90" s="59">
        <f>E90+I90</f>
        <v>21</v>
      </c>
      <c r="M90" s="21" t="s">
        <v>20</v>
      </c>
      <c r="N90" s="69">
        <f>N84</f>
        <v>593</v>
      </c>
      <c r="O90" s="70">
        <f>O84</f>
        <v>666</v>
      </c>
      <c r="P90" s="71">
        <f>P84</f>
        <v>399</v>
      </c>
      <c r="Q90" s="67">
        <f>SUM(N90:P90)</f>
        <v>1658</v>
      </c>
      <c r="R90" s="69">
        <f>R84</f>
        <v>614</v>
      </c>
      <c r="S90" s="70">
        <f>S84</f>
        <v>692</v>
      </c>
      <c r="T90" s="71">
        <f>T84</f>
        <v>414</v>
      </c>
      <c r="U90" s="67">
        <f>SUM(R90:T90)</f>
        <v>1720</v>
      </c>
      <c r="V90" s="68">
        <f>Q90+U90</f>
        <v>3378</v>
      </c>
    </row>
    <row r="91" spans="1:25" x14ac:dyDescent="0.15">
      <c r="A91" s="19" t="s">
        <v>8</v>
      </c>
      <c r="B91" s="32"/>
      <c r="C91" s="33">
        <v>3</v>
      </c>
      <c r="D91" s="44"/>
      <c r="E91" s="51">
        <f>SUM(B91:D91)</f>
        <v>3</v>
      </c>
      <c r="F91" s="45"/>
      <c r="G91" s="46"/>
      <c r="H91" s="47"/>
      <c r="I91" s="51">
        <f>SUM(F91:H91)</f>
        <v>0</v>
      </c>
      <c r="J91" s="59">
        <f>E91+I91</f>
        <v>3</v>
      </c>
      <c r="K91" s="41">
        <v>46086</v>
      </c>
      <c r="M91" s="19" t="s">
        <v>8</v>
      </c>
      <c r="N91" s="72"/>
      <c r="O91" s="73"/>
      <c r="P91" s="74"/>
      <c r="Q91" s="51">
        <f>SUM(N91:P91)</f>
        <v>0</v>
      </c>
      <c r="R91" s="85"/>
      <c r="S91" s="86"/>
      <c r="T91" s="87"/>
      <c r="U91" s="51">
        <f>SUM(R91:T91)</f>
        <v>0</v>
      </c>
      <c r="V91" s="59">
        <f>Q91+U91</f>
        <v>0</v>
      </c>
      <c r="W91" s="97"/>
    </row>
    <row r="92" spans="1:25" x14ac:dyDescent="0.15">
      <c r="A92" s="129" t="s">
        <v>9</v>
      </c>
      <c r="B92" s="130"/>
      <c r="C92" s="131"/>
      <c r="D92" s="146">
        <v>3</v>
      </c>
      <c r="E92" s="133">
        <f>SUM(B92:D92)</f>
        <v>3</v>
      </c>
      <c r="F92" s="147"/>
      <c r="G92" s="148"/>
      <c r="H92" s="146">
        <v>3</v>
      </c>
      <c r="I92" s="133">
        <f>SUM(F92:H92)</f>
        <v>3</v>
      </c>
      <c r="J92" s="135">
        <f>E92+I92</f>
        <v>6</v>
      </c>
      <c r="K92" s="136">
        <v>46094</v>
      </c>
      <c r="M92" s="19" t="s">
        <v>9</v>
      </c>
      <c r="N92" s="75"/>
      <c r="O92" s="76"/>
      <c r="P92" s="93"/>
      <c r="Q92" s="52">
        <f>SUM(N92:P92)</f>
        <v>0</v>
      </c>
      <c r="R92" s="94"/>
      <c r="S92" s="95"/>
      <c r="T92" s="93"/>
      <c r="U92" s="52">
        <f>SUM(R92:T92)</f>
        <v>0</v>
      </c>
      <c r="V92" s="60">
        <f>Q92+U92</f>
        <v>0</v>
      </c>
      <c r="W92" s="98"/>
    </row>
    <row r="93" spans="1:25" x14ac:dyDescent="0.15">
      <c r="A93" s="129" t="s">
        <v>10</v>
      </c>
      <c r="B93" s="130">
        <v>3</v>
      </c>
      <c r="C93" s="131">
        <v>5</v>
      </c>
      <c r="D93" s="132"/>
      <c r="E93" s="133">
        <f t="shared" ref="E93:E98" si="87">SUM(B93:D93)</f>
        <v>8</v>
      </c>
      <c r="F93" s="134"/>
      <c r="G93" s="131"/>
      <c r="H93" s="132"/>
      <c r="I93" s="133">
        <f t="shared" ref="I93:I98" si="88">SUM(F93:H93)</f>
        <v>0</v>
      </c>
      <c r="J93" s="135">
        <f t="shared" ref="J93:J98" si="89">E93+I93</f>
        <v>8</v>
      </c>
      <c r="K93" s="136">
        <v>46100</v>
      </c>
      <c r="M93" s="19" t="s">
        <v>10</v>
      </c>
      <c r="N93" s="75"/>
      <c r="O93" s="76"/>
      <c r="P93" s="93"/>
      <c r="Q93" s="52">
        <f t="shared" ref="Q93:Q94" si="90">SUM(N93:P93)</f>
        <v>0</v>
      </c>
      <c r="R93" s="94"/>
      <c r="S93" s="95"/>
      <c r="T93" s="93"/>
      <c r="U93" s="52">
        <f t="shared" ref="U93:U94" si="91">SUM(R93:T93)</f>
        <v>0</v>
      </c>
      <c r="V93" s="60">
        <f t="shared" ref="V93:V94" si="92">Q93+U93</f>
        <v>0</v>
      </c>
      <c r="W93" s="98"/>
    </row>
    <row r="94" spans="1:25" x14ac:dyDescent="0.15">
      <c r="A94" s="17" t="s">
        <v>121</v>
      </c>
      <c r="B94" s="9">
        <v>1</v>
      </c>
      <c r="C94" s="10"/>
      <c r="D94" s="36"/>
      <c r="E94" s="52">
        <f t="shared" si="87"/>
        <v>1</v>
      </c>
      <c r="F94" s="5">
        <v>1</v>
      </c>
      <c r="G94" s="6"/>
      <c r="H94" s="36"/>
      <c r="I94" s="52">
        <f t="shared" si="88"/>
        <v>1</v>
      </c>
      <c r="J94" s="60">
        <f t="shared" si="89"/>
        <v>2</v>
      </c>
      <c r="K94" s="41">
        <v>46106</v>
      </c>
      <c r="M94" s="19" t="s">
        <v>11</v>
      </c>
      <c r="N94" s="75"/>
      <c r="O94" s="76"/>
      <c r="P94" s="93"/>
      <c r="Q94" s="52">
        <f t="shared" si="90"/>
        <v>0</v>
      </c>
      <c r="R94" s="94"/>
      <c r="S94" s="95"/>
      <c r="T94" s="93"/>
      <c r="U94" s="52">
        <f t="shared" si="91"/>
        <v>0</v>
      </c>
      <c r="V94" s="60">
        <f t="shared" si="92"/>
        <v>0</v>
      </c>
      <c r="W94" s="98"/>
    </row>
    <row r="95" spans="1:25" x14ac:dyDescent="0.15">
      <c r="A95" s="17" t="s">
        <v>122</v>
      </c>
      <c r="B95" s="5"/>
      <c r="C95" s="6">
        <v>1</v>
      </c>
      <c r="D95" s="14"/>
      <c r="E95" s="52">
        <f t="shared" si="87"/>
        <v>1</v>
      </c>
      <c r="F95" s="15"/>
      <c r="G95" s="13">
        <v>1</v>
      </c>
      <c r="H95" s="14"/>
      <c r="I95" s="52">
        <f t="shared" si="88"/>
        <v>1</v>
      </c>
      <c r="J95" s="60">
        <f t="shared" si="89"/>
        <v>2</v>
      </c>
      <c r="K95" s="41">
        <v>46106</v>
      </c>
      <c r="M95" s="19" t="s">
        <v>12</v>
      </c>
      <c r="N95" s="75"/>
      <c r="O95" s="76"/>
      <c r="P95" s="78"/>
      <c r="Q95" s="53">
        <f t="shared" ref="Q95:Q98" si="93">SUM(N95:P95)</f>
        <v>0</v>
      </c>
      <c r="R95" s="88"/>
      <c r="S95" s="76"/>
      <c r="T95" s="77"/>
      <c r="U95" s="53">
        <f t="shared" ref="U95:U98" si="94">SUM(R95:T95)</f>
        <v>0</v>
      </c>
      <c r="V95" s="60">
        <f t="shared" ref="V95:V98" si="95">Q95+U95</f>
        <v>0</v>
      </c>
      <c r="W95" s="100"/>
    </row>
    <row r="96" spans="1:25" x14ac:dyDescent="0.15">
      <c r="A96" s="129" t="s">
        <v>13</v>
      </c>
      <c r="B96" s="130"/>
      <c r="C96" s="131"/>
      <c r="D96" s="158">
        <v>5</v>
      </c>
      <c r="E96" s="143">
        <f t="shared" si="87"/>
        <v>5</v>
      </c>
      <c r="F96" s="134"/>
      <c r="G96" s="131"/>
      <c r="H96" s="132"/>
      <c r="I96" s="143">
        <f t="shared" si="88"/>
        <v>0</v>
      </c>
      <c r="J96" s="135">
        <f t="shared" si="89"/>
        <v>5</v>
      </c>
      <c r="K96" s="136">
        <v>46111</v>
      </c>
      <c r="M96" s="19" t="s">
        <v>13</v>
      </c>
      <c r="N96" s="79"/>
      <c r="O96" s="80"/>
      <c r="P96" s="81"/>
      <c r="Q96" s="53">
        <f t="shared" si="93"/>
        <v>0</v>
      </c>
      <c r="R96" s="89"/>
      <c r="S96" s="80"/>
      <c r="T96" s="90"/>
      <c r="U96" s="53">
        <f t="shared" si="94"/>
        <v>0</v>
      </c>
      <c r="V96" s="60">
        <f t="shared" si="95"/>
        <v>0</v>
      </c>
    </row>
    <row r="97" spans="1:23" x14ac:dyDescent="0.15">
      <c r="A97" s="19" t="s">
        <v>14</v>
      </c>
      <c r="B97" s="9"/>
      <c r="C97" s="10">
        <v>3</v>
      </c>
      <c r="D97" s="37">
        <v>3</v>
      </c>
      <c r="E97" s="53">
        <f t="shared" si="87"/>
        <v>6</v>
      </c>
      <c r="F97" s="12"/>
      <c r="G97" s="10"/>
      <c r="H97" s="11"/>
      <c r="I97" s="53">
        <f t="shared" si="88"/>
        <v>0</v>
      </c>
      <c r="J97" s="60">
        <f t="shared" si="89"/>
        <v>6</v>
      </c>
      <c r="K97" s="41">
        <v>46122</v>
      </c>
      <c r="M97" s="19" t="s">
        <v>14</v>
      </c>
      <c r="N97" s="79"/>
      <c r="O97" s="80"/>
      <c r="P97" s="81"/>
      <c r="Q97" s="53">
        <f t="shared" si="93"/>
        <v>0</v>
      </c>
      <c r="R97" s="89"/>
      <c r="S97" s="80"/>
      <c r="T97" s="90"/>
      <c r="U97" s="53">
        <f t="shared" si="94"/>
        <v>0</v>
      </c>
      <c r="V97" s="60">
        <f t="shared" si="95"/>
        <v>0</v>
      </c>
    </row>
    <row r="98" spans="1:23" ht="14.25" thickBot="1" x14ac:dyDescent="0.2">
      <c r="A98" s="129" t="s">
        <v>15</v>
      </c>
      <c r="B98" s="150"/>
      <c r="C98" s="151"/>
      <c r="D98" s="152"/>
      <c r="E98" s="153">
        <f t="shared" si="87"/>
        <v>0</v>
      </c>
      <c r="F98" s="154"/>
      <c r="G98" s="154"/>
      <c r="H98" s="155"/>
      <c r="I98" s="153">
        <f t="shared" si="88"/>
        <v>0</v>
      </c>
      <c r="J98" s="156">
        <f t="shared" si="89"/>
        <v>0</v>
      </c>
      <c r="K98" s="136"/>
      <c r="M98" s="19" t="s">
        <v>15</v>
      </c>
      <c r="N98" s="79"/>
      <c r="O98" s="80"/>
      <c r="P98" s="81"/>
      <c r="Q98" s="53">
        <f t="shared" si="93"/>
        <v>0</v>
      </c>
      <c r="R98" s="89"/>
      <c r="S98" s="80"/>
      <c r="T98" s="90"/>
      <c r="U98" s="53">
        <f t="shared" si="94"/>
        <v>0</v>
      </c>
      <c r="V98" s="60">
        <f t="shared" si="95"/>
        <v>0</v>
      </c>
    </row>
    <row r="99" spans="1:23" ht="14.25" thickBot="1" x14ac:dyDescent="0.2">
      <c r="A99" s="28" t="s">
        <v>16</v>
      </c>
      <c r="B99" s="22">
        <f>SUM(B90:B98)</f>
        <v>8</v>
      </c>
      <c r="C99" s="23">
        <f t="shared" ref="C99:D99" si="96">SUM(C90:C98)</f>
        <v>14</v>
      </c>
      <c r="D99" s="24">
        <f t="shared" si="96"/>
        <v>14</v>
      </c>
      <c r="E99" s="55">
        <f>SUM(B99:D99)</f>
        <v>36</v>
      </c>
      <c r="F99" s="22">
        <f>SUM(F90:F98)</f>
        <v>6</v>
      </c>
      <c r="G99" s="23">
        <f t="shared" ref="G99:H99" si="97">SUM(G90:G98)</f>
        <v>5</v>
      </c>
      <c r="H99" s="24">
        <f t="shared" si="97"/>
        <v>6</v>
      </c>
      <c r="I99" s="55">
        <f>SUM(F99:H99)</f>
        <v>17</v>
      </c>
      <c r="J99" s="62">
        <f>SUM(J91:J98)</f>
        <v>32</v>
      </c>
      <c r="M99" s="28" t="s">
        <v>16</v>
      </c>
      <c r="N99" s="22">
        <f>SUM(N90:N98)</f>
        <v>593</v>
      </c>
      <c r="O99" s="23">
        <f t="shared" ref="O99:P99" si="98">SUM(O90:O98)</f>
        <v>666</v>
      </c>
      <c r="P99" s="24">
        <f t="shared" si="98"/>
        <v>399</v>
      </c>
      <c r="Q99" s="55">
        <f>SUM(N99:P99)</f>
        <v>1658</v>
      </c>
      <c r="R99" s="22">
        <f>SUM(R90:R98)</f>
        <v>614</v>
      </c>
      <c r="S99" s="23">
        <f t="shared" ref="S99:T99" si="99">SUM(S90:S98)</f>
        <v>692</v>
      </c>
      <c r="T99" s="24">
        <f t="shared" si="99"/>
        <v>414</v>
      </c>
      <c r="U99" s="55">
        <f>SUM(R99:T99)</f>
        <v>1720</v>
      </c>
      <c r="V99" s="62">
        <f>Q99+U99</f>
        <v>3378</v>
      </c>
    </row>
    <row r="100" spans="1:23" x14ac:dyDescent="0.15">
      <c r="A100" s="17" t="s">
        <v>53</v>
      </c>
      <c r="B100" s="9"/>
      <c r="C100" s="10">
        <v>1</v>
      </c>
      <c r="D100" s="11"/>
      <c r="E100" s="52">
        <f t="shared" ref="E100:E126" si="100">SUM(B100:D100)</f>
        <v>1</v>
      </c>
      <c r="F100" s="12"/>
      <c r="G100" s="10"/>
      <c r="H100" s="11"/>
      <c r="I100" s="52">
        <f t="shared" ref="I100:I126" si="101">SUM(F100:H100)</f>
        <v>0</v>
      </c>
      <c r="J100" s="60">
        <f t="shared" ref="J100:J125" si="102">E100+I100</f>
        <v>1</v>
      </c>
      <c r="K100" s="157">
        <v>46090</v>
      </c>
      <c r="M100" s="20" t="s">
        <v>113</v>
      </c>
      <c r="N100" s="9">
        <v>5</v>
      </c>
      <c r="O100" s="10">
        <v>10</v>
      </c>
      <c r="P100" s="11">
        <v>5</v>
      </c>
      <c r="Q100" s="52">
        <f>SUM(N100:P100)</f>
        <v>20</v>
      </c>
      <c r="R100" s="12">
        <v>10</v>
      </c>
      <c r="S100" s="10">
        <v>5</v>
      </c>
      <c r="T100" s="11">
        <v>5</v>
      </c>
      <c r="U100" s="52">
        <f>SUM(R100:T100)</f>
        <v>20</v>
      </c>
      <c r="V100" s="60">
        <f>Q100+U100</f>
        <v>40</v>
      </c>
      <c r="W100" s="97">
        <v>46098</v>
      </c>
    </row>
    <row r="101" spans="1:23" x14ac:dyDescent="0.15">
      <c r="A101" s="17" t="s">
        <v>53</v>
      </c>
      <c r="B101" s="5"/>
      <c r="C101" s="6"/>
      <c r="D101" s="7">
        <v>1</v>
      </c>
      <c r="E101" s="52">
        <f t="shared" si="100"/>
        <v>1</v>
      </c>
      <c r="F101" s="8"/>
      <c r="G101" s="6"/>
      <c r="H101" s="7"/>
      <c r="I101" s="52">
        <f t="shared" si="101"/>
        <v>0</v>
      </c>
      <c r="J101" s="60">
        <f t="shared" si="102"/>
        <v>1</v>
      </c>
      <c r="K101" s="157">
        <v>46093</v>
      </c>
      <c r="M101" s="20" t="s">
        <v>115</v>
      </c>
      <c r="N101" s="5"/>
      <c r="O101" s="6">
        <v>20</v>
      </c>
      <c r="P101" s="7">
        <v>12</v>
      </c>
      <c r="Q101" s="52">
        <f t="shared" ref="Q101" si="103">SUM(N101:P101)</f>
        <v>32</v>
      </c>
      <c r="R101" s="8"/>
      <c r="S101" s="6"/>
      <c r="T101" s="7">
        <v>5</v>
      </c>
      <c r="U101" s="52">
        <f t="shared" ref="U101" si="104">SUM(R101:T101)</f>
        <v>5</v>
      </c>
      <c r="V101" s="60">
        <f t="shared" ref="V101" si="105">Q101+U101</f>
        <v>37</v>
      </c>
      <c r="W101" s="97">
        <v>46100</v>
      </c>
    </row>
    <row r="102" spans="1:23" x14ac:dyDescent="0.15">
      <c r="A102" s="17" t="s">
        <v>53</v>
      </c>
      <c r="B102" s="5">
        <v>1</v>
      </c>
      <c r="C102" s="6"/>
      <c r="D102" s="7"/>
      <c r="E102" s="52">
        <f t="shared" si="100"/>
        <v>1</v>
      </c>
      <c r="F102" s="8"/>
      <c r="G102" s="6"/>
      <c r="H102" s="7"/>
      <c r="I102" s="52">
        <f t="shared" si="101"/>
        <v>0</v>
      </c>
      <c r="J102" s="60">
        <f t="shared" si="102"/>
        <v>1</v>
      </c>
      <c r="K102" s="157">
        <v>46094</v>
      </c>
      <c r="M102" s="20" t="s">
        <v>116</v>
      </c>
      <c r="N102" s="5"/>
      <c r="O102" s="6"/>
      <c r="P102" s="7">
        <v>30</v>
      </c>
      <c r="Q102" s="52">
        <f>SUM(N102:P102)</f>
        <v>30</v>
      </c>
      <c r="R102" s="8"/>
      <c r="S102" s="6">
        <v>5</v>
      </c>
      <c r="T102" s="7">
        <v>10</v>
      </c>
      <c r="U102" s="52">
        <f>SUM(R102:T102)</f>
        <v>15</v>
      </c>
      <c r="V102" s="60">
        <f>Q102+U102</f>
        <v>45</v>
      </c>
      <c r="W102" s="97">
        <v>46100</v>
      </c>
    </row>
    <row r="103" spans="1:23" x14ac:dyDescent="0.15">
      <c r="A103" s="17" t="s">
        <v>53</v>
      </c>
      <c r="B103" s="5"/>
      <c r="C103" s="6">
        <v>2</v>
      </c>
      <c r="D103" s="7">
        <v>1</v>
      </c>
      <c r="E103" s="52">
        <f t="shared" si="100"/>
        <v>3</v>
      </c>
      <c r="F103" s="8"/>
      <c r="G103" s="6"/>
      <c r="H103" s="7"/>
      <c r="I103" s="52">
        <f t="shared" si="101"/>
        <v>0</v>
      </c>
      <c r="J103" s="60">
        <f t="shared" si="102"/>
        <v>3</v>
      </c>
      <c r="K103" s="157">
        <v>46097</v>
      </c>
      <c r="M103" s="20" t="s">
        <v>117</v>
      </c>
      <c r="N103" s="5">
        <v>10</v>
      </c>
      <c r="O103" s="6">
        <v>10</v>
      </c>
      <c r="P103" s="7"/>
      <c r="Q103" s="52">
        <f t="shared" ref="Q103:Q126" si="106">SUM(N103:P103)</f>
        <v>20</v>
      </c>
      <c r="R103" s="8"/>
      <c r="S103" s="6"/>
      <c r="T103" s="7"/>
      <c r="U103" s="52">
        <f t="shared" ref="U103:U126" si="107">SUM(R103:T103)</f>
        <v>0</v>
      </c>
      <c r="V103" s="60">
        <f t="shared" ref="V103:V125" si="108">Q103+U103</f>
        <v>20</v>
      </c>
      <c r="W103" s="97">
        <v>46101</v>
      </c>
    </row>
    <row r="104" spans="1:23" x14ac:dyDescent="0.15">
      <c r="A104" s="17" t="s">
        <v>114</v>
      </c>
      <c r="B104" s="5">
        <v>1</v>
      </c>
      <c r="C104" s="6">
        <v>1</v>
      </c>
      <c r="D104" s="7"/>
      <c r="E104" s="52">
        <f t="shared" si="100"/>
        <v>2</v>
      </c>
      <c r="F104" s="8"/>
      <c r="G104" s="6"/>
      <c r="H104" s="7"/>
      <c r="I104" s="52">
        <f t="shared" si="101"/>
        <v>0</v>
      </c>
      <c r="J104" s="60">
        <f t="shared" si="102"/>
        <v>2</v>
      </c>
      <c r="K104" s="41">
        <v>46099</v>
      </c>
      <c r="M104" s="20" t="s">
        <v>118</v>
      </c>
      <c r="N104" s="5">
        <v>11</v>
      </c>
      <c r="O104" s="6"/>
      <c r="P104" s="7">
        <v>4</v>
      </c>
      <c r="Q104" s="52">
        <f t="shared" si="106"/>
        <v>15</v>
      </c>
      <c r="R104" s="8"/>
      <c r="S104" s="6">
        <v>2</v>
      </c>
      <c r="T104" s="7"/>
      <c r="U104" s="52">
        <f t="shared" si="107"/>
        <v>2</v>
      </c>
      <c r="V104" s="60">
        <f t="shared" si="108"/>
        <v>17</v>
      </c>
      <c r="W104" s="97">
        <v>46105</v>
      </c>
    </row>
    <row r="105" spans="1:23" x14ac:dyDescent="0.15">
      <c r="A105" s="17" t="s">
        <v>53</v>
      </c>
      <c r="B105" s="5"/>
      <c r="C105" s="6">
        <v>1</v>
      </c>
      <c r="D105" s="14"/>
      <c r="E105" s="52">
        <f t="shared" si="100"/>
        <v>1</v>
      </c>
      <c r="F105" s="15"/>
      <c r="G105" s="13"/>
      <c r="H105" s="14">
        <v>1</v>
      </c>
      <c r="I105" s="52">
        <f t="shared" si="101"/>
        <v>1</v>
      </c>
      <c r="J105" s="60">
        <f t="shared" si="102"/>
        <v>2</v>
      </c>
      <c r="K105" s="157">
        <v>46099</v>
      </c>
      <c r="M105" s="137" t="s">
        <v>124</v>
      </c>
      <c r="N105" s="130"/>
      <c r="O105" s="131"/>
      <c r="P105" s="146">
        <v>5</v>
      </c>
      <c r="Q105" s="133">
        <f t="shared" si="106"/>
        <v>5</v>
      </c>
      <c r="R105" s="147"/>
      <c r="S105" s="148"/>
      <c r="T105" s="146"/>
      <c r="U105" s="133">
        <f t="shared" si="107"/>
        <v>0</v>
      </c>
      <c r="V105" s="135">
        <f t="shared" si="108"/>
        <v>5</v>
      </c>
      <c r="W105" s="138">
        <v>46111</v>
      </c>
    </row>
    <row r="106" spans="1:23" x14ac:dyDescent="0.15">
      <c r="A106" s="17" t="s">
        <v>53</v>
      </c>
      <c r="B106" s="5">
        <v>1</v>
      </c>
      <c r="C106" s="6">
        <v>1</v>
      </c>
      <c r="D106" s="7">
        <v>2</v>
      </c>
      <c r="E106" s="52">
        <f t="shared" si="100"/>
        <v>4</v>
      </c>
      <c r="F106" s="8"/>
      <c r="G106" s="6"/>
      <c r="H106" s="7"/>
      <c r="I106" s="52">
        <f t="shared" si="101"/>
        <v>0</v>
      </c>
      <c r="J106" s="60">
        <f t="shared" si="102"/>
        <v>4</v>
      </c>
      <c r="K106" s="157">
        <v>46104</v>
      </c>
      <c r="M106" s="42" t="s">
        <v>54</v>
      </c>
      <c r="N106" s="5"/>
      <c r="O106" s="6">
        <v>3</v>
      </c>
      <c r="P106" s="7">
        <v>3</v>
      </c>
      <c r="Q106" s="52">
        <f t="shared" si="106"/>
        <v>6</v>
      </c>
      <c r="R106" s="8"/>
      <c r="S106" s="6"/>
      <c r="T106" s="7"/>
      <c r="U106" s="52">
        <f t="shared" si="107"/>
        <v>0</v>
      </c>
      <c r="V106" s="60">
        <f t="shared" si="108"/>
        <v>6</v>
      </c>
      <c r="W106" s="97">
        <v>46122</v>
      </c>
    </row>
    <row r="107" spans="1:23" x14ac:dyDescent="0.15">
      <c r="A107" s="17" t="s">
        <v>53</v>
      </c>
      <c r="B107" s="5"/>
      <c r="C107" s="6"/>
      <c r="D107" s="7">
        <v>1</v>
      </c>
      <c r="E107" s="52">
        <f t="shared" si="100"/>
        <v>1</v>
      </c>
      <c r="F107" s="8"/>
      <c r="G107" s="6">
        <v>1</v>
      </c>
      <c r="H107" s="7"/>
      <c r="I107" s="52">
        <f t="shared" si="101"/>
        <v>1</v>
      </c>
      <c r="J107" s="60">
        <f t="shared" si="102"/>
        <v>2</v>
      </c>
      <c r="K107" s="157">
        <v>46108</v>
      </c>
      <c r="M107" s="20"/>
      <c r="N107" s="5"/>
      <c r="O107" s="6"/>
      <c r="P107" s="7"/>
      <c r="Q107" s="52">
        <f t="shared" ref="Q107" si="109">SUM(N107:P107)</f>
        <v>0</v>
      </c>
      <c r="R107" s="8"/>
      <c r="S107" s="6"/>
      <c r="T107" s="7"/>
      <c r="U107" s="52">
        <f t="shared" ref="U107" si="110">SUM(R107:T107)</f>
        <v>0</v>
      </c>
      <c r="V107" s="60">
        <f t="shared" ref="V107" si="111">Q107+U107</f>
        <v>0</v>
      </c>
      <c r="W107" s="97"/>
    </row>
    <row r="108" spans="1:23" x14ac:dyDescent="0.15">
      <c r="A108" s="20" t="s">
        <v>125</v>
      </c>
      <c r="B108" s="5"/>
      <c r="C108" s="6">
        <v>1</v>
      </c>
      <c r="D108" s="7"/>
      <c r="E108" s="52">
        <f t="shared" si="100"/>
        <v>1</v>
      </c>
      <c r="F108" s="8"/>
      <c r="G108" s="6"/>
      <c r="H108" s="7"/>
      <c r="I108" s="52">
        <f t="shared" si="101"/>
        <v>0</v>
      </c>
      <c r="J108" s="60">
        <f t="shared" si="102"/>
        <v>1</v>
      </c>
      <c r="K108" s="41">
        <v>46113</v>
      </c>
      <c r="M108" s="20"/>
      <c r="N108" s="5"/>
      <c r="O108" s="6"/>
      <c r="P108" s="7"/>
      <c r="Q108" s="52">
        <f t="shared" si="106"/>
        <v>0</v>
      </c>
      <c r="R108" s="8"/>
      <c r="S108" s="6"/>
      <c r="T108" s="7"/>
      <c r="U108" s="52">
        <f t="shared" si="107"/>
        <v>0</v>
      </c>
      <c r="V108" s="60">
        <f t="shared" si="108"/>
        <v>0</v>
      </c>
      <c r="W108" s="97"/>
    </row>
    <row r="109" spans="1:23" x14ac:dyDescent="0.15">
      <c r="A109" s="17" t="s">
        <v>53</v>
      </c>
      <c r="B109" s="9"/>
      <c r="C109" s="10">
        <v>1</v>
      </c>
      <c r="D109" s="11"/>
      <c r="E109" s="52">
        <f t="shared" si="100"/>
        <v>1</v>
      </c>
      <c r="F109" s="12"/>
      <c r="G109" s="10"/>
      <c r="H109" s="11"/>
      <c r="I109" s="52">
        <f t="shared" si="101"/>
        <v>0</v>
      </c>
      <c r="J109" s="60">
        <f t="shared" si="102"/>
        <v>1</v>
      </c>
      <c r="K109" s="157">
        <v>46111</v>
      </c>
      <c r="M109" s="18"/>
      <c r="N109" s="9"/>
      <c r="O109" s="10"/>
      <c r="P109" s="11"/>
      <c r="Q109" s="52">
        <f t="shared" si="106"/>
        <v>0</v>
      </c>
      <c r="R109" s="12"/>
      <c r="S109" s="10"/>
      <c r="T109" s="11"/>
      <c r="U109" s="52">
        <f t="shared" si="107"/>
        <v>0</v>
      </c>
      <c r="V109" s="60">
        <f t="shared" si="108"/>
        <v>0</v>
      </c>
      <c r="W109" s="97"/>
    </row>
    <row r="110" spans="1:23" x14ac:dyDescent="0.15">
      <c r="A110" s="17" t="s">
        <v>53</v>
      </c>
      <c r="B110" s="5"/>
      <c r="C110" s="6"/>
      <c r="D110" s="7"/>
      <c r="E110" s="52">
        <f t="shared" si="100"/>
        <v>0</v>
      </c>
      <c r="F110" s="8"/>
      <c r="G110" s="6">
        <v>1</v>
      </c>
      <c r="H110" s="7"/>
      <c r="I110" s="52">
        <f t="shared" si="101"/>
        <v>1</v>
      </c>
      <c r="J110" s="60">
        <f t="shared" si="102"/>
        <v>1</v>
      </c>
      <c r="K110" s="157">
        <v>46112</v>
      </c>
      <c r="M110" s="20"/>
      <c r="N110" s="5"/>
      <c r="O110" s="6"/>
      <c r="P110" s="7"/>
      <c r="Q110" s="52">
        <f t="shared" si="106"/>
        <v>0</v>
      </c>
      <c r="R110" s="8"/>
      <c r="S110" s="6"/>
      <c r="T110" s="7"/>
      <c r="U110" s="52">
        <f t="shared" si="107"/>
        <v>0</v>
      </c>
      <c r="V110" s="60">
        <f t="shared" si="108"/>
        <v>0</v>
      </c>
      <c r="W110" s="97"/>
    </row>
    <row r="111" spans="1:23" x14ac:dyDescent="0.15">
      <c r="A111" s="17" t="s">
        <v>53</v>
      </c>
      <c r="B111" s="5">
        <v>2</v>
      </c>
      <c r="C111" s="6"/>
      <c r="D111" s="7">
        <v>3</v>
      </c>
      <c r="E111" s="52">
        <f t="shared" si="100"/>
        <v>5</v>
      </c>
      <c r="F111" s="8"/>
      <c r="G111" s="6"/>
      <c r="H111" s="7"/>
      <c r="I111" s="52">
        <f t="shared" si="101"/>
        <v>0</v>
      </c>
      <c r="J111" s="60">
        <f t="shared" si="102"/>
        <v>5</v>
      </c>
      <c r="K111" s="157">
        <v>46118</v>
      </c>
      <c r="M111" s="20"/>
      <c r="N111" s="5"/>
      <c r="O111" s="6"/>
      <c r="P111" s="7"/>
      <c r="Q111" s="52">
        <f t="shared" si="106"/>
        <v>0</v>
      </c>
      <c r="R111" s="8"/>
      <c r="S111" s="6"/>
      <c r="T111" s="7"/>
      <c r="U111" s="52">
        <f t="shared" si="107"/>
        <v>0</v>
      </c>
      <c r="V111" s="60">
        <f t="shared" si="108"/>
        <v>0</v>
      </c>
      <c r="W111" s="97"/>
    </row>
    <row r="112" spans="1:23" x14ac:dyDescent="0.15">
      <c r="A112" s="17" t="s">
        <v>53</v>
      </c>
      <c r="B112" s="5"/>
      <c r="C112" s="6">
        <v>1</v>
      </c>
      <c r="D112" s="7"/>
      <c r="E112" s="52">
        <f t="shared" si="100"/>
        <v>1</v>
      </c>
      <c r="F112" s="8"/>
      <c r="G112" s="6"/>
      <c r="H112" s="7"/>
      <c r="I112" s="52">
        <f t="shared" si="101"/>
        <v>0</v>
      </c>
      <c r="J112" s="60">
        <f t="shared" si="102"/>
        <v>1</v>
      </c>
      <c r="K112" s="157">
        <v>46122</v>
      </c>
      <c r="M112" s="18"/>
      <c r="N112" s="5"/>
      <c r="O112" s="6"/>
      <c r="P112" s="7"/>
      <c r="Q112" s="52">
        <f t="shared" si="106"/>
        <v>0</v>
      </c>
      <c r="R112" s="8"/>
      <c r="S112" s="6"/>
      <c r="T112" s="7"/>
      <c r="U112" s="52">
        <f t="shared" si="107"/>
        <v>0</v>
      </c>
      <c r="V112" s="60">
        <f t="shared" si="108"/>
        <v>0</v>
      </c>
      <c r="W112" s="97"/>
    </row>
    <row r="113" spans="1:23" x14ac:dyDescent="0.15">
      <c r="A113" s="17"/>
      <c r="B113" s="5"/>
      <c r="C113" s="6"/>
      <c r="D113" s="7"/>
      <c r="E113" s="52">
        <f t="shared" si="100"/>
        <v>0</v>
      </c>
      <c r="F113" s="8"/>
      <c r="G113" s="6"/>
      <c r="H113" s="7"/>
      <c r="I113" s="52">
        <f t="shared" si="101"/>
        <v>0</v>
      </c>
      <c r="J113" s="60">
        <f t="shared" si="102"/>
        <v>0</v>
      </c>
      <c r="M113" s="18"/>
      <c r="N113" s="5"/>
      <c r="O113" s="6"/>
      <c r="P113" s="7"/>
      <c r="Q113" s="52">
        <f t="shared" si="106"/>
        <v>0</v>
      </c>
      <c r="R113" s="8"/>
      <c r="S113" s="6"/>
      <c r="T113" s="7"/>
      <c r="U113" s="52">
        <f t="shared" si="107"/>
        <v>0</v>
      </c>
      <c r="V113" s="60">
        <f t="shared" si="108"/>
        <v>0</v>
      </c>
      <c r="W113" s="97"/>
    </row>
    <row r="114" spans="1:23" x14ac:dyDescent="0.15">
      <c r="A114" s="17"/>
      <c r="B114" s="5"/>
      <c r="C114" s="6"/>
      <c r="D114" s="7"/>
      <c r="E114" s="52">
        <f t="shared" si="100"/>
        <v>0</v>
      </c>
      <c r="F114" s="8"/>
      <c r="G114" s="6"/>
      <c r="H114" s="7"/>
      <c r="I114" s="52">
        <f t="shared" si="101"/>
        <v>0</v>
      </c>
      <c r="J114" s="60">
        <f t="shared" si="102"/>
        <v>0</v>
      </c>
      <c r="M114" s="20"/>
      <c r="N114" s="5"/>
      <c r="O114" s="6"/>
      <c r="P114" s="7"/>
      <c r="Q114" s="52">
        <f t="shared" si="106"/>
        <v>0</v>
      </c>
      <c r="R114" s="8"/>
      <c r="S114" s="6"/>
      <c r="T114" s="7"/>
      <c r="U114" s="52">
        <f t="shared" si="107"/>
        <v>0</v>
      </c>
      <c r="V114" s="60">
        <f t="shared" si="108"/>
        <v>0</v>
      </c>
      <c r="W114" s="97"/>
    </row>
    <row r="115" spans="1:23" x14ac:dyDescent="0.15">
      <c r="A115" s="17"/>
      <c r="B115" s="5"/>
      <c r="C115" s="6"/>
      <c r="D115" s="7"/>
      <c r="E115" s="52">
        <f t="shared" si="100"/>
        <v>0</v>
      </c>
      <c r="F115" s="8"/>
      <c r="G115" s="6"/>
      <c r="H115" s="7"/>
      <c r="I115" s="52">
        <f t="shared" si="101"/>
        <v>0</v>
      </c>
      <c r="J115" s="60">
        <f t="shared" si="102"/>
        <v>0</v>
      </c>
      <c r="M115" s="20"/>
      <c r="N115" s="5"/>
      <c r="O115" s="6"/>
      <c r="P115" s="7"/>
      <c r="Q115" s="52">
        <f t="shared" si="106"/>
        <v>0</v>
      </c>
      <c r="R115" s="8"/>
      <c r="S115" s="6"/>
      <c r="T115" s="7"/>
      <c r="U115" s="52">
        <f t="shared" si="107"/>
        <v>0</v>
      </c>
      <c r="V115" s="60">
        <f t="shared" si="108"/>
        <v>0</v>
      </c>
      <c r="W115" s="97"/>
    </row>
    <row r="116" spans="1:23" x14ac:dyDescent="0.15">
      <c r="A116" s="17"/>
      <c r="B116" s="5"/>
      <c r="C116" s="6"/>
      <c r="D116" s="7"/>
      <c r="E116" s="52">
        <f t="shared" si="100"/>
        <v>0</v>
      </c>
      <c r="F116" s="8"/>
      <c r="G116" s="6"/>
      <c r="H116" s="7"/>
      <c r="I116" s="52">
        <f t="shared" si="101"/>
        <v>0</v>
      </c>
      <c r="J116" s="60">
        <f t="shared" si="102"/>
        <v>0</v>
      </c>
      <c r="M116" s="18"/>
      <c r="N116" s="5"/>
      <c r="O116" s="6"/>
      <c r="P116" s="7"/>
      <c r="Q116" s="52">
        <f t="shared" si="106"/>
        <v>0</v>
      </c>
      <c r="R116" s="8"/>
      <c r="S116" s="6"/>
      <c r="T116" s="7"/>
      <c r="U116" s="52">
        <f t="shared" si="107"/>
        <v>0</v>
      </c>
      <c r="V116" s="60">
        <f t="shared" si="108"/>
        <v>0</v>
      </c>
      <c r="W116" s="97"/>
    </row>
    <row r="117" spans="1:23" x14ac:dyDescent="0.15">
      <c r="A117" s="17"/>
      <c r="B117" s="5"/>
      <c r="C117" s="6"/>
      <c r="D117" s="7"/>
      <c r="E117" s="52">
        <f t="shared" si="100"/>
        <v>0</v>
      </c>
      <c r="F117" s="8"/>
      <c r="G117" s="6"/>
      <c r="H117" s="7"/>
      <c r="I117" s="52">
        <f t="shared" si="101"/>
        <v>0</v>
      </c>
      <c r="J117" s="60">
        <f t="shared" si="102"/>
        <v>0</v>
      </c>
      <c r="M117" s="20"/>
      <c r="N117" s="5"/>
      <c r="O117" s="6"/>
      <c r="P117" s="7"/>
      <c r="Q117" s="52">
        <f t="shared" si="106"/>
        <v>0</v>
      </c>
      <c r="R117" s="8"/>
      <c r="S117" s="6"/>
      <c r="T117" s="7"/>
      <c r="U117" s="52">
        <f t="shared" si="107"/>
        <v>0</v>
      </c>
      <c r="V117" s="60">
        <f t="shared" si="108"/>
        <v>0</v>
      </c>
      <c r="W117" s="97"/>
    </row>
    <row r="118" spans="1:23" x14ac:dyDescent="0.15">
      <c r="A118" s="18"/>
      <c r="B118" s="5"/>
      <c r="C118" s="6"/>
      <c r="D118" s="7"/>
      <c r="E118" s="52">
        <f t="shared" si="100"/>
        <v>0</v>
      </c>
      <c r="F118" s="8"/>
      <c r="G118" s="6"/>
      <c r="H118" s="7"/>
      <c r="I118" s="52">
        <f t="shared" si="101"/>
        <v>0</v>
      </c>
      <c r="J118" s="60">
        <f t="shared" si="102"/>
        <v>0</v>
      </c>
      <c r="M118" s="18"/>
      <c r="N118" s="5"/>
      <c r="O118" s="6"/>
      <c r="P118" s="7"/>
      <c r="Q118" s="52">
        <f t="shared" si="106"/>
        <v>0</v>
      </c>
      <c r="R118" s="8"/>
      <c r="S118" s="6"/>
      <c r="T118" s="7"/>
      <c r="U118" s="52">
        <f t="shared" si="107"/>
        <v>0</v>
      </c>
      <c r="V118" s="60">
        <f t="shared" si="108"/>
        <v>0</v>
      </c>
      <c r="W118" s="97"/>
    </row>
    <row r="119" spans="1:23" x14ac:dyDescent="0.15">
      <c r="A119" s="17"/>
      <c r="B119" s="5"/>
      <c r="C119" s="6"/>
      <c r="D119" s="7"/>
      <c r="E119" s="52">
        <f t="shared" si="100"/>
        <v>0</v>
      </c>
      <c r="F119" s="8"/>
      <c r="G119" s="6"/>
      <c r="H119" s="7"/>
      <c r="I119" s="52">
        <f t="shared" si="101"/>
        <v>0</v>
      </c>
      <c r="J119" s="60">
        <f t="shared" si="102"/>
        <v>0</v>
      </c>
      <c r="M119" s="20"/>
      <c r="N119" s="5"/>
      <c r="O119" s="6"/>
      <c r="P119" s="7"/>
      <c r="Q119" s="52">
        <f t="shared" si="106"/>
        <v>0</v>
      </c>
      <c r="R119" s="8"/>
      <c r="S119" s="6"/>
      <c r="T119" s="7"/>
      <c r="U119" s="52">
        <f t="shared" si="107"/>
        <v>0</v>
      </c>
      <c r="V119" s="60">
        <f t="shared" si="108"/>
        <v>0</v>
      </c>
      <c r="W119" s="97"/>
    </row>
    <row r="120" spans="1:23" x14ac:dyDescent="0.15">
      <c r="A120" s="18"/>
      <c r="B120" s="5"/>
      <c r="C120" s="6"/>
      <c r="D120" s="7"/>
      <c r="E120" s="52">
        <f t="shared" si="100"/>
        <v>0</v>
      </c>
      <c r="F120" s="8"/>
      <c r="G120" s="6"/>
      <c r="H120" s="7"/>
      <c r="I120" s="52">
        <f t="shared" si="101"/>
        <v>0</v>
      </c>
      <c r="J120" s="60">
        <f t="shared" si="102"/>
        <v>0</v>
      </c>
      <c r="M120" s="121" t="s">
        <v>89</v>
      </c>
      <c r="N120" s="122"/>
      <c r="O120" s="123"/>
      <c r="P120" s="124"/>
      <c r="Q120" s="125">
        <f t="shared" ref="Q120:Q121" si="112">SUM(N120:P120)</f>
        <v>0</v>
      </c>
      <c r="R120" s="159"/>
      <c r="S120" s="123"/>
      <c r="T120" s="124"/>
      <c r="U120" s="125">
        <f t="shared" ref="U120:U121" si="113">SUM(R120:T120)</f>
        <v>0</v>
      </c>
      <c r="V120" s="126">
        <f t="shared" ref="V120:V121" si="114">Q120+U120</f>
        <v>0</v>
      </c>
      <c r="W120" s="97"/>
    </row>
    <row r="121" spans="1:23" x14ac:dyDescent="0.15">
      <c r="A121" s="17"/>
      <c r="B121" s="9"/>
      <c r="C121" s="10"/>
      <c r="D121" s="11"/>
      <c r="E121" s="52">
        <f t="shared" si="100"/>
        <v>0</v>
      </c>
      <c r="F121" s="12"/>
      <c r="G121" s="10"/>
      <c r="H121" s="11"/>
      <c r="I121" s="52">
        <f t="shared" si="101"/>
        <v>0</v>
      </c>
      <c r="J121" s="60">
        <f t="shared" si="102"/>
        <v>0</v>
      </c>
      <c r="M121" s="20" t="s">
        <v>88</v>
      </c>
      <c r="N121" s="5"/>
      <c r="O121" s="6"/>
      <c r="P121" s="7"/>
      <c r="Q121" s="52">
        <f t="shared" si="112"/>
        <v>0</v>
      </c>
      <c r="R121" s="8"/>
      <c r="S121" s="6"/>
      <c r="T121" s="7"/>
      <c r="U121" s="52">
        <f t="shared" si="113"/>
        <v>0</v>
      </c>
      <c r="V121" s="60">
        <f t="shared" si="114"/>
        <v>0</v>
      </c>
      <c r="W121" s="97" t="s">
        <v>87</v>
      </c>
    </row>
    <row r="122" spans="1:23" x14ac:dyDescent="0.15">
      <c r="A122" s="17"/>
      <c r="B122" s="5"/>
      <c r="C122" s="6"/>
      <c r="D122" s="7"/>
      <c r="E122" s="52">
        <f t="shared" si="100"/>
        <v>0</v>
      </c>
      <c r="F122" s="8"/>
      <c r="G122" s="6"/>
      <c r="H122" s="7"/>
      <c r="I122" s="52">
        <f t="shared" si="101"/>
        <v>0</v>
      </c>
      <c r="J122" s="60">
        <f t="shared" si="102"/>
        <v>0</v>
      </c>
      <c r="M122" s="121" t="s">
        <v>73</v>
      </c>
      <c r="N122" s="122"/>
      <c r="O122" s="123"/>
      <c r="P122" s="124"/>
      <c r="Q122" s="125">
        <f t="shared" ref="Q122" si="115">SUM(N122:P122)</f>
        <v>0</v>
      </c>
      <c r="R122" s="122"/>
      <c r="S122" s="123"/>
      <c r="T122" s="124"/>
      <c r="U122" s="125">
        <f t="shared" ref="U122" si="116">SUM(R122:T122)</f>
        <v>0</v>
      </c>
      <c r="V122" s="126">
        <f t="shared" ref="V122" si="117">Q122+U122</f>
        <v>0</v>
      </c>
      <c r="W122" s="127"/>
    </row>
    <row r="123" spans="1:23" x14ac:dyDescent="0.15">
      <c r="A123" s="17"/>
      <c r="B123" s="9"/>
      <c r="C123" s="10"/>
      <c r="D123" s="11"/>
      <c r="E123" s="53">
        <f t="shared" si="100"/>
        <v>0</v>
      </c>
      <c r="F123" s="12"/>
      <c r="G123" s="10"/>
      <c r="H123" s="11"/>
      <c r="I123" s="53">
        <f t="shared" si="101"/>
        <v>0</v>
      </c>
      <c r="J123" s="60">
        <f t="shared" si="102"/>
        <v>0</v>
      </c>
      <c r="M123" s="20" t="s">
        <v>37</v>
      </c>
      <c r="N123" s="5"/>
      <c r="O123" s="6"/>
      <c r="P123" s="7"/>
      <c r="Q123" s="52">
        <f t="shared" ref="Q123" si="118">SUM(N123:P123)</f>
        <v>0</v>
      </c>
      <c r="R123" s="5"/>
      <c r="S123" s="6"/>
      <c r="T123" s="7"/>
      <c r="U123" s="52">
        <f t="shared" ref="U123" si="119">SUM(R123:T123)</f>
        <v>0</v>
      </c>
      <c r="V123" s="60">
        <f t="shared" ref="V123" si="120">Q123+U123</f>
        <v>0</v>
      </c>
      <c r="W123" s="97" t="s">
        <v>38</v>
      </c>
    </row>
    <row r="124" spans="1:23" x14ac:dyDescent="0.15">
      <c r="A124" s="17"/>
      <c r="B124" s="5"/>
      <c r="C124" s="6"/>
      <c r="D124" s="7"/>
      <c r="E124" s="52">
        <f t="shared" si="100"/>
        <v>0</v>
      </c>
      <c r="F124" s="8"/>
      <c r="G124" s="6"/>
      <c r="H124" s="7"/>
      <c r="I124" s="52">
        <f t="shared" si="101"/>
        <v>0</v>
      </c>
      <c r="J124" s="60">
        <f t="shared" si="102"/>
        <v>0</v>
      </c>
      <c r="M124" s="121" t="s">
        <v>71</v>
      </c>
      <c r="N124" s="122"/>
      <c r="O124" s="123"/>
      <c r="P124" s="124"/>
      <c r="Q124" s="125">
        <f t="shared" si="106"/>
        <v>0</v>
      </c>
      <c r="R124" s="122"/>
      <c r="S124" s="123"/>
      <c r="T124" s="124"/>
      <c r="U124" s="125">
        <f t="shared" si="107"/>
        <v>0</v>
      </c>
      <c r="V124" s="126">
        <f t="shared" si="108"/>
        <v>0</v>
      </c>
      <c r="W124" s="127"/>
    </row>
    <row r="125" spans="1:23" ht="14.25" thickBot="1" x14ac:dyDescent="0.2">
      <c r="A125" s="17"/>
      <c r="B125" s="9"/>
      <c r="C125" s="10"/>
      <c r="D125" s="11"/>
      <c r="E125" s="56">
        <f t="shared" si="100"/>
        <v>0</v>
      </c>
      <c r="F125" s="12"/>
      <c r="G125" s="10"/>
      <c r="H125" s="11"/>
      <c r="I125" s="56">
        <f t="shared" si="101"/>
        <v>0</v>
      </c>
      <c r="J125" s="60">
        <f t="shared" si="102"/>
        <v>0</v>
      </c>
      <c r="M125" s="20" t="s">
        <v>70</v>
      </c>
      <c r="N125" s="5"/>
      <c r="O125" s="6"/>
      <c r="P125" s="7"/>
      <c r="Q125" s="52">
        <f t="shared" si="106"/>
        <v>0</v>
      </c>
      <c r="R125" s="5"/>
      <c r="S125" s="6"/>
      <c r="T125" s="7"/>
      <c r="U125" s="52">
        <f t="shared" si="107"/>
        <v>0</v>
      </c>
      <c r="V125" s="60">
        <f t="shared" si="108"/>
        <v>0</v>
      </c>
      <c r="W125" s="97" t="s">
        <v>72</v>
      </c>
    </row>
    <row r="126" spans="1:23" ht="14.25" thickBot="1" x14ac:dyDescent="0.2">
      <c r="A126" s="31" t="s">
        <v>19</v>
      </c>
      <c r="B126" s="34">
        <f>SUM(B100:B125)</f>
        <v>5</v>
      </c>
      <c r="C126" s="35">
        <f t="shared" ref="C126:D126" si="121">SUM(C100:C125)</f>
        <v>9</v>
      </c>
      <c r="D126" s="39">
        <f t="shared" si="121"/>
        <v>8</v>
      </c>
      <c r="E126" s="57">
        <f t="shared" si="100"/>
        <v>22</v>
      </c>
      <c r="F126" s="34">
        <f>SUM(F100:F125)</f>
        <v>0</v>
      </c>
      <c r="G126" s="35">
        <f t="shared" ref="G126:H126" si="122">SUM(G100:G125)</f>
        <v>2</v>
      </c>
      <c r="H126" s="39">
        <f t="shared" si="122"/>
        <v>1</v>
      </c>
      <c r="I126" s="57">
        <f t="shared" si="101"/>
        <v>3</v>
      </c>
      <c r="J126" s="63">
        <f>E126+I126</f>
        <v>25</v>
      </c>
      <c r="M126" s="31" t="s">
        <v>19</v>
      </c>
      <c r="N126" s="34">
        <f>SUM(N100:N125)</f>
        <v>26</v>
      </c>
      <c r="O126" s="35">
        <f t="shared" ref="O126:P126" si="123">SUM(O100:O125)</f>
        <v>43</v>
      </c>
      <c r="P126" s="39">
        <f t="shared" si="123"/>
        <v>59</v>
      </c>
      <c r="Q126" s="57">
        <f t="shared" si="106"/>
        <v>128</v>
      </c>
      <c r="R126" s="34">
        <f>SUM(R100:R125)</f>
        <v>10</v>
      </c>
      <c r="S126" s="35">
        <f t="shared" ref="S126:T126" si="124">SUM(S100:S125)</f>
        <v>12</v>
      </c>
      <c r="T126" s="39">
        <f t="shared" si="124"/>
        <v>20</v>
      </c>
      <c r="U126" s="57">
        <f t="shared" si="107"/>
        <v>42</v>
      </c>
      <c r="V126" s="63">
        <f>Q126+U126</f>
        <v>170</v>
      </c>
    </row>
    <row r="127" spans="1:23" ht="14.25" thickBot="1" x14ac:dyDescent="0.2">
      <c r="A127" s="16" t="s">
        <v>17</v>
      </c>
      <c r="B127" s="64">
        <f>B99-B126</f>
        <v>3</v>
      </c>
      <c r="C127" s="65">
        <f t="shared" ref="C127:D127" si="125">C99-C126</f>
        <v>5</v>
      </c>
      <c r="D127" s="66">
        <f t="shared" si="125"/>
        <v>6</v>
      </c>
      <c r="E127" s="58">
        <f>SUM(B127:D127)</f>
        <v>14</v>
      </c>
      <c r="F127" s="64">
        <f>F99-F126</f>
        <v>6</v>
      </c>
      <c r="G127" s="65">
        <f t="shared" ref="G127:H127" si="126">G99-G126</f>
        <v>3</v>
      </c>
      <c r="H127" s="66">
        <f t="shared" si="126"/>
        <v>5</v>
      </c>
      <c r="I127" s="58">
        <f>SUM(F127:H127)</f>
        <v>14</v>
      </c>
      <c r="J127" s="62">
        <f>E127+I127</f>
        <v>28</v>
      </c>
      <c r="M127" s="16" t="s">
        <v>17</v>
      </c>
      <c r="N127" s="64">
        <f>N99-N126</f>
        <v>567</v>
      </c>
      <c r="O127" s="65">
        <f t="shared" ref="O127:P127" si="127">O99-O126</f>
        <v>623</v>
      </c>
      <c r="P127" s="66">
        <f t="shared" si="127"/>
        <v>340</v>
      </c>
      <c r="Q127" s="58">
        <f>SUM(N127:P127)</f>
        <v>1530</v>
      </c>
      <c r="R127" s="64">
        <f>R99-R126</f>
        <v>604</v>
      </c>
      <c r="S127" s="65">
        <f t="shared" ref="S127:T127" si="128">S99-S126</f>
        <v>680</v>
      </c>
      <c r="T127" s="66">
        <f t="shared" si="128"/>
        <v>394</v>
      </c>
      <c r="U127" s="58">
        <f>SUM(R127:T127)</f>
        <v>1678</v>
      </c>
      <c r="V127" s="62">
        <f>Q127+U127</f>
        <v>3208</v>
      </c>
    </row>
    <row r="130" spans="1:23" ht="19.5" thickBot="1" x14ac:dyDescent="0.25">
      <c r="A130" s="102" t="s">
        <v>23</v>
      </c>
      <c r="B130" s="103"/>
      <c r="C130" s="103"/>
      <c r="D130" s="103"/>
      <c r="E130" s="103"/>
      <c r="F130" s="103"/>
      <c r="G130" s="103"/>
      <c r="H130" s="103"/>
      <c r="I130" s="103" t="s">
        <v>31</v>
      </c>
      <c r="J130" s="103"/>
      <c r="M130" s="104" t="s">
        <v>27</v>
      </c>
      <c r="N130" s="105"/>
      <c r="O130" s="105"/>
      <c r="P130" s="105"/>
      <c r="Q130" s="105"/>
      <c r="R130" s="105"/>
      <c r="S130" s="105"/>
      <c r="T130" s="105"/>
      <c r="U130" s="105" t="s">
        <v>31</v>
      </c>
      <c r="V130" s="105"/>
    </row>
    <row r="131" spans="1:23" ht="14.25" thickBot="1" x14ac:dyDescent="0.2">
      <c r="A131" s="4" t="s">
        <v>0</v>
      </c>
      <c r="B131" s="183" t="s">
        <v>18</v>
      </c>
      <c r="C131" s="184"/>
      <c r="D131" s="184"/>
      <c r="E131" s="185"/>
      <c r="F131" s="186" t="s">
        <v>22</v>
      </c>
      <c r="G131" s="187"/>
      <c r="H131" s="187"/>
      <c r="I131" s="188"/>
      <c r="J131" s="181" t="s">
        <v>1</v>
      </c>
      <c r="M131" s="4" t="s">
        <v>0</v>
      </c>
      <c r="N131" s="183" t="s">
        <v>18</v>
      </c>
      <c r="O131" s="184"/>
      <c r="P131" s="184"/>
      <c r="Q131" s="185"/>
      <c r="R131" s="186" t="s">
        <v>22</v>
      </c>
      <c r="S131" s="187"/>
      <c r="T131" s="187"/>
      <c r="U131" s="188"/>
      <c r="V131" s="181" t="s">
        <v>1</v>
      </c>
    </row>
    <row r="132" spans="1:23" ht="14.25" thickBot="1" x14ac:dyDescent="0.2">
      <c r="A132" s="4" t="s">
        <v>2</v>
      </c>
      <c r="B132" s="1" t="s">
        <v>3</v>
      </c>
      <c r="C132" s="2" t="s">
        <v>4</v>
      </c>
      <c r="D132" s="3" t="s">
        <v>5</v>
      </c>
      <c r="E132" s="4" t="s">
        <v>6</v>
      </c>
      <c r="F132" s="1" t="s">
        <v>3</v>
      </c>
      <c r="G132" s="2" t="s">
        <v>4</v>
      </c>
      <c r="H132" s="3" t="s">
        <v>5</v>
      </c>
      <c r="I132" s="4" t="s">
        <v>6</v>
      </c>
      <c r="J132" s="182"/>
      <c r="M132" s="4" t="s">
        <v>2</v>
      </c>
      <c r="N132" s="1" t="s">
        <v>3</v>
      </c>
      <c r="O132" s="2" t="s">
        <v>4</v>
      </c>
      <c r="P132" s="3" t="s">
        <v>5</v>
      </c>
      <c r="Q132" s="4" t="s">
        <v>6</v>
      </c>
      <c r="R132" s="1" t="s">
        <v>3</v>
      </c>
      <c r="S132" s="2" t="s">
        <v>4</v>
      </c>
      <c r="T132" s="3" t="s">
        <v>5</v>
      </c>
      <c r="U132" s="4" t="s">
        <v>6</v>
      </c>
      <c r="V132" s="182"/>
    </row>
    <row r="133" spans="1:23" ht="14.25" thickBot="1" x14ac:dyDescent="0.2">
      <c r="A133" s="21" t="s">
        <v>20</v>
      </c>
      <c r="B133" s="32">
        <f>B127</f>
        <v>3</v>
      </c>
      <c r="C133" s="33">
        <f>C127</f>
        <v>5</v>
      </c>
      <c r="D133" s="40">
        <f>D127</f>
        <v>6</v>
      </c>
      <c r="E133" s="50">
        <f>SUM(B133:D133)</f>
        <v>14</v>
      </c>
      <c r="F133" s="32">
        <f>F127</f>
        <v>6</v>
      </c>
      <c r="G133" s="33">
        <f>G127</f>
        <v>3</v>
      </c>
      <c r="H133" s="40">
        <f>H127</f>
        <v>5</v>
      </c>
      <c r="I133" s="50">
        <f>SUM(F133:H133)</f>
        <v>14</v>
      </c>
      <c r="J133" s="59">
        <f>E133+I133</f>
        <v>28</v>
      </c>
      <c r="M133" s="21" t="s">
        <v>20</v>
      </c>
      <c r="N133" s="69">
        <f>N127</f>
        <v>567</v>
      </c>
      <c r="O133" s="70">
        <f>O127</f>
        <v>623</v>
      </c>
      <c r="P133" s="71">
        <f>P127</f>
        <v>340</v>
      </c>
      <c r="Q133" s="67">
        <f>SUM(N133:P133)</f>
        <v>1530</v>
      </c>
      <c r="R133" s="69">
        <f>R127</f>
        <v>604</v>
      </c>
      <c r="S133" s="70">
        <f>S127</f>
        <v>680</v>
      </c>
      <c r="T133" s="71">
        <f>T127</f>
        <v>394</v>
      </c>
      <c r="U133" s="67">
        <f>SUM(R133:T133)</f>
        <v>1678</v>
      </c>
      <c r="V133" s="68">
        <f>Q133+U133</f>
        <v>3208</v>
      </c>
    </row>
    <row r="134" spans="1:23" x14ac:dyDescent="0.15">
      <c r="A134" s="19" t="s">
        <v>139</v>
      </c>
      <c r="B134" s="32"/>
      <c r="C134" s="33">
        <v>-1</v>
      </c>
      <c r="D134" s="44"/>
      <c r="E134" s="51">
        <f>SUM(B134:D134)</f>
        <v>-1</v>
      </c>
      <c r="F134" s="45"/>
      <c r="G134" s="46"/>
      <c r="H134" s="47"/>
      <c r="I134" s="51">
        <f>SUM(F134:H134)</f>
        <v>0</v>
      </c>
      <c r="J134" s="59">
        <f>E134+I134</f>
        <v>-1</v>
      </c>
      <c r="K134" s="157">
        <v>46134</v>
      </c>
      <c r="M134" s="19" t="s">
        <v>8</v>
      </c>
      <c r="N134" s="72"/>
      <c r="O134" s="73"/>
      <c r="P134" s="74"/>
      <c r="Q134" s="51">
        <f>SUM(N134:P134)</f>
        <v>0</v>
      </c>
      <c r="R134" s="85"/>
      <c r="S134" s="86"/>
      <c r="T134" s="87"/>
      <c r="U134" s="51">
        <f>SUM(R134:T134)</f>
        <v>0</v>
      </c>
      <c r="V134" s="59">
        <f>Q134+U134</f>
        <v>0</v>
      </c>
      <c r="W134" s="97"/>
    </row>
    <row r="135" spans="1:23" x14ac:dyDescent="0.15">
      <c r="A135" s="129" t="s">
        <v>9</v>
      </c>
      <c r="B135" s="130">
        <v>7</v>
      </c>
      <c r="C135" s="131">
        <v>7</v>
      </c>
      <c r="D135" s="146"/>
      <c r="E135" s="133">
        <f>SUM(B135:D135)</f>
        <v>14</v>
      </c>
      <c r="F135" s="147"/>
      <c r="G135" s="148">
        <v>3</v>
      </c>
      <c r="H135" s="146"/>
      <c r="I135" s="133">
        <f>SUM(F135:H135)</f>
        <v>3</v>
      </c>
      <c r="J135" s="135">
        <f>E135+I135</f>
        <v>17</v>
      </c>
      <c r="K135" s="136">
        <v>46135</v>
      </c>
      <c r="M135" s="19" t="s">
        <v>9</v>
      </c>
      <c r="N135" s="75"/>
      <c r="O135" s="76"/>
      <c r="P135" s="93"/>
      <c r="Q135" s="52">
        <f>SUM(N135:P135)</f>
        <v>0</v>
      </c>
      <c r="R135" s="94"/>
      <c r="S135" s="95"/>
      <c r="T135" s="93"/>
      <c r="U135" s="52">
        <f>SUM(R135:T135)</f>
        <v>0</v>
      </c>
      <c r="V135" s="60">
        <f>Q135+U135</f>
        <v>0</v>
      </c>
      <c r="W135" s="98"/>
    </row>
    <row r="136" spans="1:23" x14ac:dyDescent="0.15">
      <c r="A136" s="19" t="s">
        <v>10</v>
      </c>
      <c r="B136" s="5"/>
      <c r="C136" s="6">
        <v>3</v>
      </c>
      <c r="D136" s="7">
        <v>3</v>
      </c>
      <c r="E136" s="52">
        <f t="shared" ref="E136:E141" si="129">SUM(B136:D136)</f>
        <v>6</v>
      </c>
      <c r="F136" s="8"/>
      <c r="G136" s="6"/>
      <c r="H136" s="7"/>
      <c r="I136" s="52">
        <f t="shared" ref="I136:I141" si="130">SUM(F136:H136)</f>
        <v>0</v>
      </c>
      <c r="J136" s="60">
        <f t="shared" ref="J136:J141" si="131">E136+I136</f>
        <v>6</v>
      </c>
      <c r="K136" s="41">
        <v>46144</v>
      </c>
      <c r="M136" s="19" t="s">
        <v>10</v>
      </c>
      <c r="N136" s="75"/>
      <c r="O136" s="76"/>
      <c r="P136" s="93"/>
      <c r="Q136" s="52">
        <f t="shared" ref="Q136:Q141" si="132">SUM(N136:P136)</f>
        <v>0</v>
      </c>
      <c r="R136" s="94"/>
      <c r="S136" s="95"/>
      <c r="T136" s="93"/>
      <c r="U136" s="52">
        <f t="shared" ref="U136:U141" si="133">SUM(R136:T136)</f>
        <v>0</v>
      </c>
      <c r="V136" s="60">
        <f t="shared" ref="V136:V141" si="134">Q136+U136</f>
        <v>0</v>
      </c>
      <c r="W136" s="98"/>
    </row>
    <row r="137" spans="1:23" x14ac:dyDescent="0.15">
      <c r="A137" s="19" t="s">
        <v>149</v>
      </c>
      <c r="B137" s="5">
        <v>9</v>
      </c>
      <c r="C137" s="6">
        <v>6</v>
      </c>
      <c r="D137" s="36">
        <v>4</v>
      </c>
      <c r="E137" s="53">
        <f t="shared" si="129"/>
        <v>19</v>
      </c>
      <c r="F137" s="8">
        <v>3</v>
      </c>
      <c r="G137" s="6">
        <v>4</v>
      </c>
      <c r="H137" s="7">
        <v>2</v>
      </c>
      <c r="I137" s="53">
        <f t="shared" si="130"/>
        <v>9</v>
      </c>
      <c r="J137" s="60">
        <f t="shared" si="131"/>
        <v>28</v>
      </c>
      <c r="K137" s="41">
        <v>46155</v>
      </c>
      <c r="M137" s="19" t="s">
        <v>11</v>
      </c>
      <c r="N137" s="75"/>
      <c r="O137" s="76"/>
      <c r="P137" s="93"/>
      <c r="Q137" s="52">
        <f t="shared" si="132"/>
        <v>0</v>
      </c>
      <c r="R137" s="94"/>
      <c r="S137" s="95"/>
      <c r="T137" s="93"/>
      <c r="U137" s="52">
        <f t="shared" si="133"/>
        <v>0</v>
      </c>
      <c r="V137" s="60">
        <f t="shared" si="134"/>
        <v>0</v>
      </c>
      <c r="W137" s="98"/>
    </row>
    <row r="138" spans="1:23" x14ac:dyDescent="0.15">
      <c r="A138" s="19" t="s">
        <v>151</v>
      </c>
      <c r="B138" s="5">
        <v>2</v>
      </c>
      <c r="C138" s="6"/>
      <c r="D138" s="36"/>
      <c r="E138" s="53">
        <f t="shared" si="129"/>
        <v>2</v>
      </c>
      <c r="F138" s="8">
        <v>2</v>
      </c>
      <c r="G138" s="6"/>
      <c r="H138" s="7"/>
      <c r="I138" s="53">
        <f t="shared" si="130"/>
        <v>2</v>
      </c>
      <c r="J138" s="60">
        <f t="shared" si="131"/>
        <v>4</v>
      </c>
      <c r="K138" s="41">
        <v>46155</v>
      </c>
      <c r="M138" s="19" t="s">
        <v>12</v>
      </c>
      <c r="N138" s="75"/>
      <c r="O138" s="76"/>
      <c r="P138" s="78"/>
      <c r="Q138" s="53">
        <f t="shared" si="132"/>
        <v>0</v>
      </c>
      <c r="R138" s="88"/>
      <c r="S138" s="76"/>
      <c r="T138" s="77"/>
      <c r="U138" s="53">
        <f t="shared" si="133"/>
        <v>0</v>
      </c>
      <c r="V138" s="60">
        <f t="shared" si="134"/>
        <v>0</v>
      </c>
      <c r="W138" s="100"/>
    </row>
    <row r="139" spans="1:23" x14ac:dyDescent="0.15">
      <c r="A139" s="19" t="s">
        <v>13</v>
      </c>
      <c r="B139" s="5"/>
      <c r="C139" s="6"/>
      <c r="D139" s="36"/>
      <c r="E139" s="53">
        <f t="shared" si="129"/>
        <v>0</v>
      </c>
      <c r="F139" s="8"/>
      <c r="G139" s="6"/>
      <c r="H139" s="7"/>
      <c r="I139" s="53">
        <f t="shared" si="130"/>
        <v>0</v>
      </c>
      <c r="J139" s="60">
        <f t="shared" si="131"/>
        <v>0</v>
      </c>
      <c r="M139" s="19" t="s">
        <v>13</v>
      </c>
      <c r="N139" s="79"/>
      <c r="O139" s="80"/>
      <c r="P139" s="81"/>
      <c r="Q139" s="53">
        <f t="shared" si="132"/>
        <v>0</v>
      </c>
      <c r="R139" s="89"/>
      <c r="S139" s="80"/>
      <c r="T139" s="90"/>
      <c r="U139" s="53">
        <f t="shared" si="133"/>
        <v>0</v>
      </c>
      <c r="V139" s="60">
        <f t="shared" si="134"/>
        <v>0</v>
      </c>
    </row>
    <row r="140" spans="1:23" x14ac:dyDescent="0.15">
      <c r="A140" s="19" t="s">
        <v>14</v>
      </c>
      <c r="B140" s="9"/>
      <c r="C140" s="10"/>
      <c r="D140" s="37"/>
      <c r="E140" s="53">
        <f t="shared" si="129"/>
        <v>0</v>
      </c>
      <c r="F140" s="12"/>
      <c r="G140" s="10"/>
      <c r="H140" s="11"/>
      <c r="I140" s="53">
        <f t="shared" si="130"/>
        <v>0</v>
      </c>
      <c r="J140" s="60">
        <f t="shared" si="131"/>
        <v>0</v>
      </c>
      <c r="M140" s="19" t="s">
        <v>14</v>
      </c>
      <c r="N140" s="79"/>
      <c r="O140" s="80"/>
      <c r="P140" s="81"/>
      <c r="Q140" s="53">
        <f t="shared" si="132"/>
        <v>0</v>
      </c>
      <c r="R140" s="89"/>
      <c r="S140" s="80"/>
      <c r="T140" s="90"/>
      <c r="U140" s="53">
        <f t="shared" si="133"/>
        <v>0</v>
      </c>
      <c r="V140" s="60">
        <f t="shared" si="134"/>
        <v>0</v>
      </c>
    </row>
    <row r="141" spans="1:23" ht="14.25" thickBot="1" x14ac:dyDescent="0.2">
      <c r="A141" s="19" t="s">
        <v>15</v>
      </c>
      <c r="B141" s="25"/>
      <c r="C141" s="26"/>
      <c r="D141" s="38"/>
      <c r="E141" s="54">
        <f t="shared" si="129"/>
        <v>0</v>
      </c>
      <c r="F141" s="27"/>
      <c r="G141" s="27"/>
      <c r="H141" s="29"/>
      <c r="I141" s="54">
        <f t="shared" si="130"/>
        <v>0</v>
      </c>
      <c r="J141" s="61">
        <f t="shared" si="131"/>
        <v>0</v>
      </c>
      <c r="M141" s="19" t="s">
        <v>15</v>
      </c>
      <c r="N141" s="79"/>
      <c r="O141" s="80"/>
      <c r="P141" s="81"/>
      <c r="Q141" s="53">
        <f t="shared" si="132"/>
        <v>0</v>
      </c>
      <c r="R141" s="89"/>
      <c r="S141" s="80"/>
      <c r="T141" s="90"/>
      <c r="U141" s="53">
        <f t="shared" si="133"/>
        <v>0</v>
      </c>
      <c r="V141" s="60">
        <f t="shared" si="134"/>
        <v>0</v>
      </c>
    </row>
    <row r="142" spans="1:23" ht="14.25" thickBot="1" x14ac:dyDescent="0.2">
      <c r="A142" s="28" t="s">
        <v>16</v>
      </c>
      <c r="B142" s="22">
        <f>SUM(B133:B141)</f>
        <v>21</v>
      </c>
      <c r="C142" s="23">
        <f t="shared" ref="C142:D142" si="135">SUM(C133:C141)</f>
        <v>20</v>
      </c>
      <c r="D142" s="24">
        <f t="shared" si="135"/>
        <v>13</v>
      </c>
      <c r="E142" s="55">
        <f>SUM(B142:D142)</f>
        <v>54</v>
      </c>
      <c r="F142" s="22">
        <f>SUM(F133:F141)</f>
        <v>11</v>
      </c>
      <c r="G142" s="23">
        <f t="shared" ref="G142:H142" si="136">SUM(G133:G141)</f>
        <v>10</v>
      </c>
      <c r="H142" s="24">
        <f t="shared" si="136"/>
        <v>7</v>
      </c>
      <c r="I142" s="55">
        <f>SUM(F142:H142)</f>
        <v>28</v>
      </c>
      <c r="J142" s="62">
        <f>SUM(J134:J141)</f>
        <v>54</v>
      </c>
      <c r="M142" s="28" t="s">
        <v>16</v>
      </c>
      <c r="N142" s="22">
        <f>SUM(N133:N141)</f>
        <v>567</v>
      </c>
      <c r="O142" s="23">
        <f t="shared" ref="O142:P142" si="137">SUM(O133:O141)</f>
        <v>623</v>
      </c>
      <c r="P142" s="24">
        <f t="shared" si="137"/>
        <v>340</v>
      </c>
      <c r="Q142" s="55">
        <f>SUM(N142:P142)</f>
        <v>1530</v>
      </c>
      <c r="R142" s="22">
        <f>SUM(R133:R141)</f>
        <v>604</v>
      </c>
      <c r="S142" s="23">
        <f t="shared" ref="S142:T142" si="138">SUM(S133:S141)</f>
        <v>680</v>
      </c>
      <c r="T142" s="24">
        <f t="shared" si="138"/>
        <v>394</v>
      </c>
      <c r="U142" s="55">
        <f>SUM(R142:T142)</f>
        <v>1678</v>
      </c>
      <c r="V142" s="62">
        <f>Q142+U142</f>
        <v>3208</v>
      </c>
    </row>
    <row r="143" spans="1:23" x14ac:dyDescent="0.15">
      <c r="A143" s="20" t="s">
        <v>128</v>
      </c>
      <c r="B143" s="9"/>
      <c r="C143" s="10"/>
      <c r="D143" s="11">
        <v>1</v>
      </c>
      <c r="E143" s="52">
        <f t="shared" ref="E143:E169" si="139">SUM(B143:D143)</f>
        <v>1</v>
      </c>
      <c r="F143" s="12"/>
      <c r="G143" s="10"/>
      <c r="H143" s="11"/>
      <c r="I143" s="52">
        <f t="shared" ref="I143:I169" si="140">SUM(F143:H143)</f>
        <v>0</v>
      </c>
      <c r="J143" s="60">
        <f t="shared" ref="J143:J168" si="141">E143+I143</f>
        <v>1</v>
      </c>
      <c r="K143" s="41">
        <v>46121</v>
      </c>
      <c r="M143" s="20" t="s">
        <v>126</v>
      </c>
      <c r="N143" s="9">
        <v>4</v>
      </c>
      <c r="O143" s="10">
        <v>5</v>
      </c>
      <c r="P143" s="11">
        <v>4</v>
      </c>
      <c r="Q143" s="52">
        <f>SUM(N143:P143)</f>
        <v>13</v>
      </c>
      <c r="R143" s="12">
        <v>4</v>
      </c>
      <c r="S143" s="10">
        <v>5</v>
      </c>
      <c r="T143" s="11">
        <v>4</v>
      </c>
      <c r="U143" s="52">
        <f>SUM(R143:T143)</f>
        <v>13</v>
      </c>
      <c r="V143" s="60">
        <f>Q143+U143</f>
        <v>26</v>
      </c>
      <c r="W143" s="97">
        <v>46118</v>
      </c>
    </row>
    <row r="144" spans="1:23" x14ac:dyDescent="0.15">
      <c r="A144" s="17" t="s">
        <v>53</v>
      </c>
      <c r="B144" s="5"/>
      <c r="C144" s="6">
        <v>1</v>
      </c>
      <c r="D144" s="7"/>
      <c r="E144" s="52">
        <f t="shared" si="139"/>
        <v>1</v>
      </c>
      <c r="F144" s="8"/>
      <c r="G144" s="6"/>
      <c r="H144" s="7"/>
      <c r="I144" s="52">
        <f t="shared" si="140"/>
        <v>0</v>
      </c>
      <c r="J144" s="60">
        <f t="shared" si="141"/>
        <v>1</v>
      </c>
      <c r="K144" s="157">
        <v>46121</v>
      </c>
      <c r="M144" s="20" t="s">
        <v>127</v>
      </c>
      <c r="N144" s="5">
        <v>3</v>
      </c>
      <c r="O144" s="6">
        <v>4</v>
      </c>
      <c r="P144" s="7">
        <v>3</v>
      </c>
      <c r="Q144" s="52">
        <f t="shared" ref="Q144" si="142">SUM(N144:P144)</f>
        <v>10</v>
      </c>
      <c r="R144" s="8">
        <v>3</v>
      </c>
      <c r="S144" s="6">
        <v>4</v>
      </c>
      <c r="T144" s="7">
        <v>3</v>
      </c>
      <c r="U144" s="52">
        <f t="shared" ref="U144" si="143">SUM(R144:T144)</f>
        <v>10</v>
      </c>
      <c r="V144" s="60">
        <f t="shared" ref="V144" si="144">Q144+U144</f>
        <v>20</v>
      </c>
      <c r="W144" s="97">
        <v>46118</v>
      </c>
    </row>
    <row r="145" spans="1:25" x14ac:dyDescent="0.15">
      <c r="A145" s="17" t="s">
        <v>53</v>
      </c>
      <c r="B145" s="5"/>
      <c r="C145" s="6">
        <v>1</v>
      </c>
      <c r="D145" s="7"/>
      <c r="E145" s="52">
        <f t="shared" si="139"/>
        <v>1</v>
      </c>
      <c r="F145" s="8"/>
      <c r="G145" s="6"/>
      <c r="H145" s="7"/>
      <c r="I145" s="52">
        <f t="shared" si="140"/>
        <v>0</v>
      </c>
      <c r="J145" s="60">
        <f t="shared" si="141"/>
        <v>1</v>
      </c>
      <c r="K145" s="157">
        <v>46125</v>
      </c>
      <c r="M145" s="20" t="s">
        <v>129</v>
      </c>
      <c r="N145" s="5">
        <v>12</v>
      </c>
      <c r="O145" s="6">
        <v>12</v>
      </c>
      <c r="P145" s="7">
        <v>12</v>
      </c>
      <c r="Q145" s="52">
        <f>SUM(N145:P145)</f>
        <v>36</v>
      </c>
      <c r="R145" s="8">
        <v>12</v>
      </c>
      <c r="S145" s="6">
        <v>12</v>
      </c>
      <c r="T145" s="7">
        <v>12</v>
      </c>
      <c r="U145" s="52">
        <f>SUM(R145:T145)</f>
        <v>36</v>
      </c>
      <c r="V145" s="60">
        <f>Q145+U145</f>
        <v>72</v>
      </c>
      <c r="W145" s="97">
        <v>46121</v>
      </c>
    </row>
    <row r="146" spans="1:25" x14ac:dyDescent="0.15">
      <c r="A146" s="17" t="s">
        <v>53</v>
      </c>
      <c r="B146" s="5">
        <v>1</v>
      </c>
      <c r="C146" s="6"/>
      <c r="D146" s="7"/>
      <c r="E146" s="52">
        <f t="shared" si="139"/>
        <v>1</v>
      </c>
      <c r="F146" s="8"/>
      <c r="G146" s="6"/>
      <c r="H146" s="7"/>
      <c r="I146" s="52">
        <f t="shared" si="140"/>
        <v>0</v>
      </c>
      <c r="J146" s="60">
        <f t="shared" si="141"/>
        <v>1</v>
      </c>
      <c r="K146" s="157">
        <v>46129</v>
      </c>
      <c r="M146" s="18" t="s">
        <v>130</v>
      </c>
      <c r="N146" s="5">
        <v>5</v>
      </c>
      <c r="O146" s="6">
        <v>10</v>
      </c>
      <c r="P146" s="7"/>
      <c r="Q146" s="52">
        <f t="shared" ref="Q146:Q169" si="145">SUM(N146:P146)</f>
        <v>15</v>
      </c>
      <c r="R146" s="8"/>
      <c r="S146" s="6">
        <v>5</v>
      </c>
      <c r="T146" s="7"/>
      <c r="U146" s="52">
        <f t="shared" ref="U146:U169" si="146">SUM(R146:T146)</f>
        <v>5</v>
      </c>
      <c r="V146" s="60">
        <f t="shared" ref="V146:V168" si="147">Q146+U146</f>
        <v>20</v>
      </c>
      <c r="W146" s="97">
        <v>46128</v>
      </c>
      <c r="X146" s="48"/>
      <c r="Y146" s="48"/>
    </row>
    <row r="147" spans="1:25" x14ac:dyDescent="0.15">
      <c r="A147" s="17" t="s">
        <v>134</v>
      </c>
      <c r="B147" s="5"/>
      <c r="C147" s="6">
        <v>1</v>
      </c>
      <c r="D147" s="7"/>
      <c r="E147" s="52">
        <f t="shared" si="139"/>
        <v>1</v>
      </c>
      <c r="F147" s="8"/>
      <c r="G147" s="6"/>
      <c r="H147" s="7"/>
      <c r="I147" s="52">
        <f t="shared" si="140"/>
        <v>0</v>
      </c>
      <c r="J147" s="60">
        <f t="shared" si="141"/>
        <v>1</v>
      </c>
      <c r="K147" s="41">
        <v>46134</v>
      </c>
      <c r="M147" s="18" t="s">
        <v>131</v>
      </c>
      <c r="N147" s="5"/>
      <c r="O147" s="6">
        <v>10</v>
      </c>
      <c r="P147" s="7"/>
      <c r="Q147" s="52">
        <f t="shared" si="145"/>
        <v>10</v>
      </c>
      <c r="R147" s="8">
        <v>3</v>
      </c>
      <c r="S147" s="6">
        <v>2</v>
      </c>
      <c r="T147" s="7"/>
      <c r="U147" s="52">
        <f t="shared" si="146"/>
        <v>5</v>
      </c>
      <c r="V147" s="60">
        <f t="shared" si="147"/>
        <v>15</v>
      </c>
      <c r="W147" s="97">
        <v>46129</v>
      </c>
    </row>
    <row r="148" spans="1:25" x14ac:dyDescent="0.15">
      <c r="A148" s="17" t="s">
        <v>135</v>
      </c>
      <c r="B148" s="5">
        <v>1</v>
      </c>
      <c r="C148" s="6"/>
      <c r="D148" s="14"/>
      <c r="E148" s="52">
        <f t="shared" si="139"/>
        <v>1</v>
      </c>
      <c r="F148" s="15"/>
      <c r="G148" s="13"/>
      <c r="H148" s="14"/>
      <c r="I148" s="52">
        <f t="shared" si="140"/>
        <v>0</v>
      </c>
      <c r="J148" s="60">
        <f t="shared" si="141"/>
        <v>1</v>
      </c>
      <c r="K148" s="41">
        <v>46134</v>
      </c>
      <c r="M148" s="18" t="s">
        <v>132</v>
      </c>
      <c r="N148" s="5">
        <v>5</v>
      </c>
      <c r="O148" s="6"/>
      <c r="P148" s="14"/>
      <c r="Q148" s="52">
        <f t="shared" si="145"/>
        <v>5</v>
      </c>
      <c r="R148" s="15">
        <v>5</v>
      </c>
      <c r="S148" s="13"/>
      <c r="T148" s="14"/>
      <c r="U148" s="52">
        <f t="shared" si="146"/>
        <v>5</v>
      </c>
      <c r="V148" s="60">
        <f t="shared" si="147"/>
        <v>10</v>
      </c>
      <c r="W148" s="97">
        <v>46130</v>
      </c>
    </row>
    <row r="149" spans="1:25" x14ac:dyDescent="0.15">
      <c r="A149" s="17" t="s">
        <v>53</v>
      </c>
      <c r="B149" s="5">
        <v>1</v>
      </c>
      <c r="C149" s="6">
        <v>1</v>
      </c>
      <c r="D149" s="7"/>
      <c r="E149" s="52">
        <f t="shared" si="139"/>
        <v>2</v>
      </c>
      <c r="F149" s="8"/>
      <c r="G149" s="6"/>
      <c r="H149" s="7">
        <v>1</v>
      </c>
      <c r="I149" s="52">
        <f t="shared" si="140"/>
        <v>1</v>
      </c>
      <c r="J149" s="60">
        <f t="shared" si="141"/>
        <v>3</v>
      </c>
      <c r="K149" s="157">
        <v>46132</v>
      </c>
      <c r="M149" s="20" t="s">
        <v>133</v>
      </c>
      <c r="N149" s="5">
        <v>6</v>
      </c>
      <c r="O149" s="6"/>
      <c r="P149" s="7">
        <v>1</v>
      </c>
      <c r="Q149" s="52">
        <f t="shared" si="145"/>
        <v>7</v>
      </c>
      <c r="R149" s="8"/>
      <c r="S149" s="6"/>
      <c r="T149" s="7">
        <v>1</v>
      </c>
      <c r="U149" s="52">
        <f t="shared" si="146"/>
        <v>1</v>
      </c>
      <c r="V149" s="60">
        <f t="shared" si="147"/>
        <v>8</v>
      </c>
      <c r="W149" s="97">
        <v>46135</v>
      </c>
      <c r="X149" s="48"/>
    </row>
    <row r="150" spans="1:25" ht="14.25" x14ac:dyDescent="0.15">
      <c r="A150" s="17" t="s">
        <v>53</v>
      </c>
      <c r="B150" s="5"/>
      <c r="C150" s="6">
        <v>1</v>
      </c>
      <c r="D150" s="7"/>
      <c r="E150" s="52">
        <f t="shared" si="139"/>
        <v>1</v>
      </c>
      <c r="F150" s="8"/>
      <c r="G150" s="6">
        <v>1</v>
      </c>
      <c r="H150" s="7"/>
      <c r="I150" s="52">
        <f t="shared" si="140"/>
        <v>1</v>
      </c>
      <c r="J150" s="60">
        <f t="shared" si="141"/>
        <v>2</v>
      </c>
      <c r="K150" s="157">
        <v>46135</v>
      </c>
      <c r="M150" s="20" t="s">
        <v>136</v>
      </c>
      <c r="N150" s="5" t="s">
        <v>21</v>
      </c>
      <c r="O150" s="6">
        <v>3</v>
      </c>
      <c r="P150" s="7">
        <v>1</v>
      </c>
      <c r="Q150" s="52">
        <f t="shared" si="145"/>
        <v>4</v>
      </c>
      <c r="R150" s="8"/>
      <c r="S150" s="6"/>
      <c r="T150" s="7">
        <v>1</v>
      </c>
      <c r="U150" s="52">
        <f t="shared" si="146"/>
        <v>1</v>
      </c>
      <c r="V150" s="60">
        <f t="shared" si="147"/>
        <v>5</v>
      </c>
      <c r="W150" s="101">
        <v>46135</v>
      </c>
    </row>
    <row r="151" spans="1:25" x14ac:dyDescent="0.15">
      <c r="A151" s="17" t="s">
        <v>53</v>
      </c>
      <c r="B151" s="5">
        <v>1</v>
      </c>
      <c r="C151" s="6">
        <v>1</v>
      </c>
      <c r="D151" s="7">
        <v>1</v>
      </c>
      <c r="E151" s="52">
        <f t="shared" si="139"/>
        <v>3</v>
      </c>
      <c r="F151" s="8"/>
      <c r="G151" s="6"/>
      <c r="H151" s="7"/>
      <c r="I151" s="52">
        <f t="shared" si="140"/>
        <v>0</v>
      </c>
      <c r="J151" s="60">
        <f t="shared" si="141"/>
        <v>3</v>
      </c>
      <c r="K151" s="157">
        <v>46139</v>
      </c>
      <c r="M151" s="20" t="s">
        <v>137</v>
      </c>
      <c r="N151" s="5">
        <v>5</v>
      </c>
      <c r="O151" s="6">
        <v>4</v>
      </c>
      <c r="P151" s="7">
        <v>7</v>
      </c>
      <c r="Q151" s="52">
        <f t="shared" si="145"/>
        <v>16</v>
      </c>
      <c r="R151" s="8">
        <v>5</v>
      </c>
      <c r="S151" s="6">
        <v>4</v>
      </c>
      <c r="T151" s="7">
        <v>7</v>
      </c>
      <c r="U151" s="52">
        <f t="shared" si="146"/>
        <v>16</v>
      </c>
      <c r="V151" s="60">
        <f t="shared" si="147"/>
        <v>32</v>
      </c>
      <c r="W151" s="97">
        <v>46136</v>
      </c>
    </row>
    <row r="152" spans="1:25" x14ac:dyDescent="0.15">
      <c r="A152" s="17" t="s">
        <v>135</v>
      </c>
      <c r="B152" s="9"/>
      <c r="C152" s="10">
        <v>1</v>
      </c>
      <c r="D152" s="11">
        <v>1</v>
      </c>
      <c r="E152" s="52">
        <f t="shared" si="139"/>
        <v>2</v>
      </c>
      <c r="F152" s="12">
        <v>1</v>
      </c>
      <c r="G152" s="10"/>
      <c r="H152" s="11"/>
      <c r="I152" s="52">
        <f t="shared" si="140"/>
        <v>1</v>
      </c>
      <c r="J152" s="60">
        <f t="shared" si="141"/>
        <v>3</v>
      </c>
      <c r="K152" s="41">
        <v>46142</v>
      </c>
      <c r="L152" s="48"/>
      <c r="M152" s="20" t="s">
        <v>138</v>
      </c>
      <c r="N152" s="9">
        <v>3</v>
      </c>
      <c r="O152" s="10">
        <v>3</v>
      </c>
      <c r="P152" s="11">
        <v>3</v>
      </c>
      <c r="Q152" s="52">
        <f t="shared" si="145"/>
        <v>9</v>
      </c>
      <c r="R152" s="12">
        <v>3</v>
      </c>
      <c r="S152" s="10">
        <v>3</v>
      </c>
      <c r="T152" s="11">
        <v>3</v>
      </c>
      <c r="U152" s="52">
        <f t="shared" si="146"/>
        <v>9</v>
      </c>
      <c r="V152" s="60">
        <f t="shared" si="147"/>
        <v>18</v>
      </c>
      <c r="W152" s="97">
        <v>46136</v>
      </c>
    </row>
    <row r="153" spans="1:25" x14ac:dyDescent="0.15">
      <c r="A153" s="17" t="s">
        <v>53</v>
      </c>
      <c r="B153" s="5"/>
      <c r="C153" s="6"/>
      <c r="D153" s="7">
        <v>1</v>
      </c>
      <c r="E153" s="52">
        <f t="shared" si="139"/>
        <v>1</v>
      </c>
      <c r="F153" s="8"/>
      <c r="G153" s="6"/>
      <c r="H153" s="7"/>
      <c r="I153" s="52">
        <f t="shared" si="140"/>
        <v>0</v>
      </c>
      <c r="J153" s="60">
        <f t="shared" si="141"/>
        <v>1</v>
      </c>
      <c r="K153" s="41">
        <v>46142</v>
      </c>
      <c r="M153" s="137" t="s">
        <v>54</v>
      </c>
      <c r="N153" s="130">
        <v>7</v>
      </c>
      <c r="O153" s="131">
        <v>7</v>
      </c>
      <c r="P153" s="132"/>
      <c r="Q153" s="133">
        <f t="shared" si="145"/>
        <v>14</v>
      </c>
      <c r="R153" s="134"/>
      <c r="S153" s="131">
        <v>3</v>
      </c>
      <c r="T153" s="132"/>
      <c r="U153" s="133">
        <f t="shared" si="146"/>
        <v>3</v>
      </c>
      <c r="V153" s="135">
        <f t="shared" si="147"/>
        <v>17</v>
      </c>
      <c r="W153" s="138">
        <v>46135</v>
      </c>
    </row>
    <row r="154" spans="1:25" x14ac:dyDescent="0.15">
      <c r="A154" s="20" t="s">
        <v>143</v>
      </c>
      <c r="B154" s="5"/>
      <c r="C154" s="6">
        <v>1</v>
      </c>
      <c r="D154" s="7"/>
      <c r="E154" s="52">
        <f t="shared" si="139"/>
        <v>1</v>
      </c>
      <c r="F154" s="8">
        <v>1</v>
      </c>
      <c r="G154" s="6"/>
      <c r="H154" s="7"/>
      <c r="I154" s="52">
        <f t="shared" si="140"/>
        <v>1</v>
      </c>
      <c r="J154" s="60">
        <f t="shared" si="141"/>
        <v>2</v>
      </c>
      <c r="K154" s="41">
        <v>46149</v>
      </c>
      <c r="M154" s="20" t="s">
        <v>140</v>
      </c>
      <c r="N154" s="5"/>
      <c r="O154" s="6"/>
      <c r="P154" s="7">
        <v>3</v>
      </c>
      <c r="Q154" s="52">
        <f t="shared" si="145"/>
        <v>3</v>
      </c>
      <c r="R154" s="8"/>
      <c r="S154" s="6"/>
      <c r="T154" s="7"/>
      <c r="U154" s="52">
        <f t="shared" si="146"/>
        <v>0</v>
      </c>
      <c r="V154" s="60">
        <f t="shared" si="147"/>
        <v>3</v>
      </c>
      <c r="W154" s="97">
        <v>46144</v>
      </c>
    </row>
    <row r="155" spans="1:25" x14ac:dyDescent="0.15">
      <c r="A155" s="17" t="s">
        <v>145</v>
      </c>
      <c r="B155" s="5">
        <v>1</v>
      </c>
      <c r="C155" s="6"/>
      <c r="D155" s="7"/>
      <c r="E155" s="52">
        <f t="shared" si="139"/>
        <v>1</v>
      </c>
      <c r="F155" s="8"/>
      <c r="G155" s="6"/>
      <c r="H155" s="7"/>
      <c r="I155" s="52">
        <f t="shared" si="140"/>
        <v>0</v>
      </c>
      <c r="J155" s="60">
        <f t="shared" si="141"/>
        <v>1</v>
      </c>
      <c r="K155" s="41">
        <v>46149</v>
      </c>
      <c r="M155" s="20" t="s">
        <v>141</v>
      </c>
      <c r="N155" s="5"/>
      <c r="O155" s="6">
        <v>7</v>
      </c>
      <c r="P155" s="7">
        <v>3</v>
      </c>
      <c r="Q155" s="52">
        <f t="shared" si="145"/>
        <v>10</v>
      </c>
      <c r="R155" s="8"/>
      <c r="S155" s="6">
        <v>7</v>
      </c>
      <c r="T155" s="7">
        <v>3</v>
      </c>
      <c r="U155" s="52">
        <f t="shared" si="146"/>
        <v>10</v>
      </c>
      <c r="V155" s="60">
        <f t="shared" si="147"/>
        <v>20</v>
      </c>
      <c r="W155" s="97">
        <v>46139</v>
      </c>
    </row>
    <row r="156" spans="1:25" x14ac:dyDescent="0.15">
      <c r="A156" s="17" t="s">
        <v>53</v>
      </c>
      <c r="B156" s="5"/>
      <c r="C156" s="6">
        <v>2</v>
      </c>
      <c r="D156" s="7"/>
      <c r="E156" s="52">
        <f t="shared" si="139"/>
        <v>2</v>
      </c>
      <c r="F156" s="8"/>
      <c r="G156" s="6">
        <v>1</v>
      </c>
      <c r="H156" s="7"/>
      <c r="I156" s="52">
        <f t="shared" si="140"/>
        <v>1</v>
      </c>
      <c r="J156" s="60">
        <f t="shared" si="141"/>
        <v>3</v>
      </c>
      <c r="K156" s="157">
        <v>46149</v>
      </c>
      <c r="M156" s="20" t="s">
        <v>142</v>
      </c>
      <c r="N156" s="5"/>
      <c r="O156" s="6">
        <v>6</v>
      </c>
      <c r="P156" s="7">
        <v>11</v>
      </c>
      <c r="Q156" s="52">
        <f t="shared" si="145"/>
        <v>17</v>
      </c>
      <c r="R156" s="8"/>
      <c r="S156" s="6">
        <v>3</v>
      </c>
      <c r="T156" s="7"/>
      <c r="U156" s="52">
        <f t="shared" si="146"/>
        <v>3</v>
      </c>
      <c r="V156" s="60">
        <f t="shared" si="147"/>
        <v>20</v>
      </c>
      <c r="W156" s="97">
        <v>46149</v>
      </c>
    </row>
    <row r="157" spans="1:25" x14ac:dyDescent="0.15">
      <c r="A157" s="17" t="s">
        <v>53</v>
      </c>
      <c r="B157" s="5">
        <v>2</v>
      </c>
      <c r="C157" s="6">
        <v>1</v>
      </c>
      <c r="D157" s="7"/>
      <c r="E157" s="52">
        <f t="shared" si="139"/>
        <v>3</v>
      </c>
      <c r="F157" s="8"/>
      <c r="G157" s="6">
        <v>1</v>
      </c>
      <c r="H157" s="7"/>
      <c r="I157" s="52">
        <f t="shared" si="140"/>
        <v>1</v>
      </c>
      <c r="J157" s="60">
        <f t="shared" si="141"/>
        <v>4</v>
      </c>
      <c r="K157" s="157">
        <v>46153</v>
      </c>
      <c r="M157" s="20" t="s">
        <v>144</v>
      </c>
      <c r="N157" s="5"/>
      <c r="O157" s="6">
        <v>3</v>
      </c>
      <c r="P157" s="7">
        <v>3</v>
      </c>
      <c r="Q157" s="52">
        <f t="shared" si="145"/>
        <v>6</v>
      </c>
      <c r="R157" s="8"/>
      <c r="S157" s="6"/>
      <c r="T157" s="7"/>
      <c r="U157" s="52">
        <f t="shared" si="146"/>
        <v>0</v>
      </c>
      <c r="V157" s="60">
        <f t="shared" si="147"/>
        <v>6</v>
      </c>
      <c r="W157" s="97">
        <v>46144</v>
      </c>
    </row>
    <row r="158" spans="1:25" x14ac:dyDescent="0.15">
      <c r="A158" s="17" t="s">
        <v>53</v>
      </c>
      <c r="B158" s="5"/>
      <c r="C158" s="6">
        <v>1</v>
      </c>
      <c r="D158" s="7"/>
      <c r="E158" s="52">
        <f t="shared" si="139"/>
        <v>1</v>
      </c>
      <c r="F158" s="8"/>
      <c r="G158" s="6"/>
      <c r="H158" s="7"/>
      <c r="I158" s="52">
        <f t="shared" si="140"/>
        <v>0</v>
      </c>
      <c r="J158" s="60">
        <f t="shared" si="141"/>
        <v>1</v>
      </c>
      <c r="K158" s="157">
        <v>46155</v>
      </c>
      <c r="M158" s="20"/>
      <c r="N158" s="5"/>
      <c r="O158" s="6"/>
      <c r="P158" s="7"/>
      <c r="Q158" s="52">
        <f t="shared" si="145"/>
        <v>0</v>
      </c>
      <c r="R158" s="8"/>
      <c r="S158" s="6"/>
      <c r="T158" s="7"/>
      <c r="U158" s="52">
        <f t="shared" si="146"/>
        <v>0</v>
      </c>
      <c r="V158" s="60">
        <f t="shared" si="147"/>
        <v>0</v>
      </c>
      <c r="W158" s="97"/>
    </row>
    <row r="159" spans="1:25" x14ac:dyDescent="0.15">
      <c r="A159" s="17" t="s">
        <v>175</v>
      </c>
      <c r="B159" s="5"/>
      <c r="C159" s="6">
        <v>1</v>
      </c>
      <c r="D159" s="7">
        <v>1</v>
      </c>
      <c r="E159" s="52">
        <f t="shared" si="139"/>
        <v>2</v>
      </c>
      <c r="F159" s="8"/>
      <c r="G159" s="6"/>
      <c r="H159" s="7">
        <v>1</v>
      </c>
      <c r="I159" s="52">
        <f t="shared" si="140"/>
        <v>1</v>
      </c>
      <c r="J159" s="60">
        <f t="shared" si="141"/>
        <v>3</v>
      </c>
      <c r="K159" s="157">
        <v>46218</v>
      </c>
      <c r="M159" s="20" t="s">
        <v>119</v>
      </c>
      <c r="N159" s="5"/>
      <c r="O159" s="6"/>
      <c r="P159" s="7"/>
      <c r="Q159" s="52">
        <f t="shared" ref="Q159:Q161" si="148">SUM(N159:P159)</f>
        <v>0</v>
      </c>
      <c r="R159" s="8"/>
      <c r="S159" s="6"/>
      <c r="T159" s="7"/>
      <c r="U159" s="52">
        <f t="shared" ref="U159:U161" si="149">SUM(R159:T159)</f>
        <v>0</v>
      </c>
      <c r="V159" s="60">
        <f t="shared" ref="V159:V161" si="150">Q159+U159</f>
        <v>0</v>
      </c>
      <c r="W159" s="97" t="s">
        <v>120</v>
      </c>
      <c r="X159" s="48"/>
    </row>
    <row r="160" spans="1:25" x14ac:dyDescent="0.15">
      <c r="A160" s="17"/>
      <c r="B160" s="5"/>
      <c r="C160" s="6"/>
      <c r="D160" s="7"/>
      <c r="E160" s="52">
        <f t="shared" si="139"/>
        <v>0</v>
      </c>
      <c r="F160" s="8"/>
      <c r="G160" s="6"/>
      <c r="H160" s="7"/>
      <c r="I160" s="52">
        <f t="shared" si="140"/>
        <v>0</v>
      </c>
      <c r="J160" s="60">
        <f t="shared" si="141"/>
        <v>0</v>
      </c>
      <c r="M160" s="121" t="s">
        <v>102</v>
      </c>
      <c r="N160" s="122"/>
      <c r="O160" s="123"/>
      <c r="P160" s="124"/>
      <c r="Q160" s="125">
        <f t="shared" si="148"/>
        <v>0</v>
      </c>
      <c r="R160" s="122"/>
      <c r="S160" s="123"/>
      <c r="T160" s="124"/>
      <c r="U160" s="125">
        <f t="shared" si="149"/>
        <v>0</v>
      </c>
      <c r="V160" s="126">
        <f t="shared" si="150"/>
        <v>0</v>
      </c>
      <c r="W160" s="127"/>
      <c r="X160" s="48"/>
    </row>
    <row r="161" spans="1:24" x14ac:dyDescent="0.15">
      <c r="A161" s="18"/>
      <c r="B161" s="5"/>
      <c r="C161" s="6"/>
      <c r="D161" s="7"/>
      <c r="E161" s="52">
        <f t="shared" si="139"/>
        <v>0</v>
      </c>
      <c r="F161" s="8"/>
      <c r="G161" s="6"/>
      <c r="H161" s="7"/>
      <c r="I161" s="52">
        <f t="shared" si="140"/>
        <v>0</v>
      </c>
      <c r="J161" s="60">
        <f t="shared" si="141"/>
        <v>0</v>
      </c>
      <c r="M161" s="20" t="s">
        <v>100</v>
      </c>
      <c r="N161" s="5"/>
      <c r="O161" s="6"/>
      <c r="P161" s="7"/>
      <c r="Q161" s="52">
        <f t="shared" si="148"/>
        <v>0</v>
      </c>
      <c r="R161" s="5"/>
      <c r="S161" s="6"/>
      <c r="T161" s="7"/>
      <c r="U161" s="52">
        <f t="shared" si="149"/>
        <v>0</v>
      </c>
      <c r="V161" s="60">
        <f t="shared" si="150"/>
        <v>0</v>
      </c>
      <c r="W161" s="97">
        <v>46120</v>
      </c>
      <c r="X161" s="48"/>
    </row>
    <row r="162" spans="1:24" x14ac:dyDescent="0.15">
      <c r="A162" s="17"/>
      <c r="B162" s="5"/>
      <c r="C162" s="6"/>
      <c r="D162" s="7"/>
      <c r="E162" s="52">
        <f t="shared" si="139"/>
        <v>0</v>
      </c>
      <c r="F162" s="8"/>
      <c r="G162" s="6"/>
      <c r="H162" s="7"/>
      <c r="I162" s="52">
        <f t="shared" si="140"/>
        <v>0</v>
      </c>
      <c r="J162" s="60">
        <f t="shared" si="141"/>
        <v>0</v>
      </c>
      <c r="M162" s="20" t="s">
        <v>101</v>
      </c>
      <c r="N162" s="5"/>
      <c r="O162" s="6"/>
      <c r="P162" s="7"/>
      <c r="Q162" s="52">
        <f t="shared" ref="Q162:Q164" si="151">SUM(N162:P162)</f>
        <v>0</v>
      </c>
      <c r="R162" s="5"/>
      <c r="S162" s="6"/>
      <c r="T162" s="7"/>
      <c r="U162" s="52">
        <f t="shared" ref="U162:U164" si="152">SUM(R162:T162)</f>
        <v>0</v>
      </c>
      <c r="V162" s="60">
        <f t="shared" ref="V162:V164" si="153">Q162+U162</f>
        <v>0</v>
      </c>
      <c r="W162" s="97">
        <v>46134</v>
      </c>
      <c r="X162" s="48"/>
    </row>
    <row r="163" spans="1:24" x14ac:dyDescent="0.15">
      <c r="A163" s="18"/>
      <c r="B163" s="5"/>
      <c r="C163" s="6"/>
      <c r="D163" s="7"/>
      <c r="E163" s="52">
        <f t="shared" si="139"/>
        <v>0</v>
      </c>
      <c r="F163" s="8"/>
      <c r="G163" s="6"/>
      <c r="H163" s="7"/>
      <c r="I163" s="52">
        <f t="shared" si="140"/>
        <v>0</v>
      </c>
      <c r="J163" s="60">
        <f t="shared" si="141"/>
        <v>0</v>
      </c>
      <c r="M163" s="20" t="s">
        <v>86</v>
      </c>
      <c r="N163" s="5"/>
      <c r="O163" s="6"/>
      <c r="P163" s="7"/>
      <c r="Q163" s="52">
        <f t="shared" si="151"/>
        <v>0</v>
      </c>
      <c r="R163" s="5"/>
      <c r="S163" s="6"/>
      <c r="T163" s="7"/>
      <c r="U163" s="52">
        <f t="shared" si="152"/>
        <v>0</v>
      </c>
      <c r="V163" s="60">
        <f t="shared" si="153"/>
        <v>0</v>
      </c>
      <c r="W163" s="98" t="s">
        <v>64</v>
      </c>
      <c r="X163" s="48"/>
    </row>
    <row r="164" spans="1:24" x14ac:dyDescent="0.15">
      <c r="A164" s="17"/>
      <c r="B164" s="9"/>
      <c r="C164" s="10"/>
      <c r="D164" s="11"/>
      <c r="E164" s="52">
        <f t="shared" si="139"/>
        <v>0</v>
      </c>
      <c r="F164" s="12"/>
      <c r="G164" s="10"/>
      <c r="H164" s="11"/>
      <c r="I164" s="52">
        <f t="shared" si="140"/>
        <v>0</v>
      </c>
      <c r="J164" s="60">
        <f t="shared" si="141"/>
        <v>0</v>
      </c>
      <c r="M164" s="20" t="s">
        <v>65</v>
      </c>
      <c r="N164" s="5"/>
      <c r="O164" s="6"/>
      <c r="P164" s="7"/>
      <c r="Q164" s="52">
        <f t="shared" si="151"/>
        <v>0</v>
      </c>
      <c r="R164" s="5"/>
      <c r="S164" s="6"/>
      <c r="T164" s="7"/>
      <c r="U164" s="52">
        <f t="shared" si="152"/>
        <v>0</v>
      </c>
      <c r="V164" s="60">
        <f t="shared" si="153"/>
        <v>0</v>
      </c>
      <c r="W164" s="97" t="s">
        <v>85</v>
      </c>
      <c r="X164" s="48"/>
    </row>
    <row r="165" spans="1:24" x14ac:dyDescent="0.15">
      <c r="A165" s="17"/>
      <c r="B165" s="5"/>
      <c r="C165" s="6"/>
      <c r="D165" s="7"/>
      <c r="E165" s="52">
        <f t="shared" si="139"/>
        <v>0</v>
      </c>
      <c r="F165" s="8"/>
      <c r="G165" s="6"/>
      <c r="H165" s="7"/>
      <c r="I165" s="52">
        <f t="shared" si="140"/>
        <v>0</v>
      </c>
      <c r="J165" s="60">
        <f t="shared" si="141"/>
        <v>0</v>
      </c>
      <c r="M165" s="160" t="s">
        <v>99</v>
      </c>
      <c r="N165" s="122"/>
      <c r="O165" s="123"/>
      <c r="P165" s="124"/>
      <c r="Q165" s="125">
        <f t="shared" si="145"/>
        <v>0</v>
      </c>
      <c r="R165" s="159"/>
      <c r="S165" s="123"/>
      <c r="T165" s="124"/>
      <c r="U165" s="125">
        <f t="shared" si="146"/>
        <v>0</v>
      </c>
      <c r="V165" s="126">
        <f t="shared" si="147"/>
        <v>0</v>
      </c>
      <c r="W165" s="127"/>
      <c r="X165" s="48"/>
    </row>
    <row r="166" spans="1:24" x14ac:dyDescent="0.15">
      <c r="A166" s="17"/>
      <c r="B166" s="9"/>
      <c r="C166" s="10"/>
      <c r="D166" s="11"/>
      <c r="E166" s="53">
        <f t="shared" si="139"/>
        <v>0</v>
      </c>
      <c r="F166" s="12"/>
      <c r="G166" s="10"/>
      <c r="H166" s="11"/>
      <c r="I166" s="53">
        <f t="shared" si="140"/>
        <v>0</v>
      </c>
      <c r="J166" s="60">
        <f t="shared" si="141"/>
        <v>0</v>
      </c>
      <c r="M166" s="18" t="s">
        <v>98</v>
      </c>
      <c r="N166" s="5"/>
      <c r="O166" s="6"/>
      <c r="P166" s="7"/>
      <c r="Q166" s="52">
        <f t="shared" si="145"/>
        <v>0</v>
      </c>
      <c r="R166" s="8"/>
      <c r="S166" s="6"/>
      <c r="T166" s="7"/>
      <c r="U166" s="52">
        <f t="shared" si="146"/>
        <v>0</v>
      </c>
      <c r="V166" s="60">
        <f t="shared" si="147"/>
        <v>0</v>
      </c>
      <c r="W166" s="97" t="s">
        <v>97</v>
      </c>
      <c r="X166" s="48"/>
    </row>
    <row r="167" spans="1:24" x14ac:dyDescent="0.15">
      <c r="A167" s="17"/>
      <c r="B167" s="5"/>
      <c r="C167" s="6"/>
      <c r="D167" s="7"/>
      <c r="E167" s="52">
        <f t="shared" si="139"/>
        <v>0</v>
      </c>
      <c r="F167" s="8"/>
      <c r="G167" s="6"/>
      <c r="H167" s="7"/>
      <c r="I167" s="52">
        <f t="shared" si="140"/>
        <v>0</v>
      </c>
      <c r="J167" s="60">
        <f t="shared" si="141"/>
        <v>0</v>
      </c>
      <c r="M167" s="121" t="s">
        <v>77</v>
      </c>
      <c r="N167" s="122"/>
      <c r="O167" s="123"/>
      <c r="P167" s="124"/>
      <c r="Q167" s="125">
        <f t="shared" si="145"/>
        <v>0</v>
      </c>
      <c r="R167" s="122"/>
      <c r="S167" s="123"/>
      <c r="T167" s="124"/>
      <c r="U167" s="125">
        <f t="shared" si="146"/>
        <v>0</v>
      </c>
      <c r="V167" s="126">
        <f t="shared" si="147"/>
        <v>0</v>
      </c>
      <c r="W167" s="127"/>
      <c r="X167" s="48"/>
    </row>
    <row r="168" spans="1:24" ht="14.25" thickBot="1" x14ac:dyDescent="0.2">
      <c r="A168" s="17"/>
      <c r="B168" s="9"/>
      <c r="C168" s="10"/>
      <c r="D168" s="11"/>
      <c r="E168" s="56">
        <f t="shared" si="139"/>
        <v>0</v>
      </c>
      <c r="F168" s="12"/>
      <c r="G168" s="10"/>
      <c r="H168" s="11"/>
      <c r="I168" s="56">
        <f t="shared" si="140"/>
        <v>0</v>
      </c>
      <c r="J168" s="60">
        <f t="shared" si="141"/>
        <v>0</v>
      </c>
      <c r="M168" s="20" t="s">
        <v>76</v>
      </c>
      <c r="N168" s="5"/>
      <c r="O168" s="6"/>
      <c r="P168" s="7"/>
      <c r="Q168" s="52">
        <f t="shared" si="145"/>
        <v>0</v>
      </c>
      <c r="R168" s="5"/>
      <c r="S168" s="6"/>
      <c r="T168" s="7"/>
      <c r="U168" s="52">
        <f t="shared" si="146"/>
        <v>0</v>
      </c>
      <c r="V168" s="60">
        <f t="shared" si="147"/>
        <v>0</v>
      </c>
      <c r="W168" s="97" t="s">
        <v>78</v>
      </c>
      <c r="X168" s="48"/>
    </row>
    <row r="169" spans="1:24" ht="14.25" thickBot="1" x14ac:dyDescent="0.2">
      <c r="A169" s="31" t="s">
        <v>19</v>
      </c>
      <c r="B169" s="34">
        <f>SUM(B143:B168)</f>
        <v>7</v>
      </c>
      <c r="C169" s="35">
        <f t="shared" ref="C169:D169" si="154">SUM(C143:C168)</f>
        <v>13</v>
      </c>
      <c r="D169" s="39">
        <f t="shared" si="154"/>
        <v>5</v>
      </c>
      <c r="E169" s="57">
        <f t="shared" si="139"/>
        <v>25</v>
      </c>
      <c r="F169" s="34">
        <f>SUM(F143:F168)</f>
        <v>2</v>
      </c>
      <c r="G169" s="35">
        <f t="shared" ref="G169:H169" si="155">SUM(G143:G168)</f>
        <v>3</v>
      </c>
      <c r="H169" s="39">
        <f t="shared" si="155"/>
        <v>2</v>
      </c>
      <c r="I169" s="57">
        <f t="shared" si="140"/>
        <v>7</v>
      </c>
      <c r="J169" s="63">
        <f>E169+I169</f>
        <v>32</v>
      </c>
      <c r="M169" s="31" t="s">
        <v>19</v>
      </c>
      <c r="N169" s="34">
        <f>SUM(N143:N168)</f>
        <v>50</v>
      </c>
      <c r="O169" s="35">
        <f t="shared" ref="O169:P169" si="156">SUM(O143:O168)</f>
        <v>74</v>
      </c>
      <c r="P169" s="39">
        <f t="shared" si="156"/>
        <v>51</v>
      </c>
      <c r="Q169" s="57">
        <f t="shared" si="145"/>
        <v>175</v>
      </c>
      <c r="R169" s="34">
        <f>SUM(R143:R168)</f>
        <v>35</v>
      </c>
      <c r="S169" s="35">
        <f t="shared" ref="S169:T169" si="157">SUM(S143:S168)</f>
        <v>48</v>
      </c>
      <c r="T169" s="39">
        <f t="shared" si="157"/>
        <v>34</v>
      </c>
      <c r="U169" s="57">
        <f t="shared" si="146"/>
        <v>117</v>
      </c>
      <c r="V169" s="63">
        <f>Q169+U169</f>
        <v>292</v>
      </c>
    </row>
    <row r="170" spans="1:24" ht="14.25" thickBot="1" x14ac:dyDescent="0.2">
      <c r="A170" s="16" t="s">
        <v>17</v>
      </c>
      <c r="B170" s="64">
        <f>B142-B169</f>
        <v>14</v>
      </c>
      <c r="C170" s="65">
        <f t="shared" ref="C170:D170" si="158">C142-C169</f>
        <v>7</v>
      </c>
      <c r="D170" s="66">
        <f t="shared" si="158"/>
        <v>8</v>
      </c>
      <c r="E170" s="58">
        <f>SUM(B170:D170)</f>
        <v>29</v>
      </c>
      <c r="F170" s="64">
        <f>F142-F169</f>
        <v>9</v>
      </c>
      <c r="G170" s="65">
        <f t="shared" ref="G170:H170" si="159">G142-G169</f>
        <v>7</v>
      </c>
      <c r="H170" s="66">
        <f t="shared" si="159"/>
        <v>5</v>
      </c>
      <c r="I170" s="58">
        <f>SUM(F170:H170)</f>
        <v>21</v>
      </c>
      <c r="J170" s="62">
        <f>E170+I170</f>
        <v>50</v>
      </c>
      <c r="M170" s="16" t="s">
        <v>17</v>
      </c>
      <c r="N170" s="64">
        <f>N142-N169</f>
        <v>517</v>
      </c>
      <c r="O170" s="65">
        <f t="shared" ref="O170:P170" si="160">O142-O169</f>
        <v>549</v>
      </c>
      <c r="P170" s="66">
        <f t="shared" si="160"/>
        <v>289</v>
      </c>
      <c r="Q170" s="58">
        <f>SUM(N170:P170)</f>
        <v>1355</v>
      </c>
      <c r="R170" s="64">
        <f>R142-R169</f>
        <v>569</v>
      </c>
      <c r="S170" s="65">
        <f t="shared" ref="S170:T170" si="161">S142-S169</f>
        <v>632</v>
      </c>
      <c r="T170" s="66">
        <f t="shared" si="161"/>
        <v>360</v>
      </c>
      <c r="U170" s="58">
        <f>SUM(R170:T170)</f>
        <v>1561</v>
      </c>
      <c r="V170" s="62">
        <f>Q170+U170</f>
        <v>2916</v>
      </c>
    </row>
    <row r="173" spans="1:24" ht="19.5" thickBot="1" x14ac:dyDescent="0.25">
      <c r="A173" s="102" t="s">
        <v>23</v>
      </c>
      <c r="B173" s="103"/>
      <c r="C173" s="103"/>
      <c r="D173" s="103"/>
      <c r="E173" s="103"/>
      <c r="F173" s="103"/>
      <c r="G173" s="103"/>
      <c r="H173" s="103"/>
      <c r="I173" s="103" t="s">
        <v>31</v>
      </c>
      <c r="J173" s="103"/>
      <c r="M173" s="104" t="s">
        <v>27</v>
      </c>
      <c r="N173" s="105"/>
      <c r="O173" s="105"/>
      <c r="P173" s="105"/>
      <c r="Q173" s="105"/>
      <c r="R173" s="105"/>
      <c r="S173" s="105"/>
      <c r="T173" s="105"/>
      <c r="U173" s="105" t="s">
        <v>31</v>
      </c>
      <c r="V173" s="105"/>
    </row>
    <row r="174" spans="1:24" ht="14.25" thickBot="1" x14ac:dyDescent="0.2">
      <c r="A174" s="4" t="s">
        <v>0</v>
      </c>
      <c r="B174" s="183" t="s">
        <v>18</v>
      </c>
      <c r="C174" s="184"/>
      <c r="D174" s="184"/>
      <c r="E174" s="185"/>
      <c r="F174" s="186" t="s">
        <v>22</v>
      </c>
      <c r="G174" s="187"/>
      <c r="H174" s="187"/>
      <c r="I174" s="188"/>
      <c r="J174" s="181" t="s">
        <v>1</v>
      </c>
      <c r="M174" s="4" t="s">
        <v>0</v>
      </c>
      <c r="N174" s="183" t="s">
        <v>18</v>
      </c>
      <c r="O174" s="184"/>
      <c r="P174" s="184"/>
      <c r="Q174" s="185"/>
      <c r="R174" s="186" t="s">
        <v>22</v>
      </c>
      <c r="S174" s="187"/>
      <c r="T174" s="187"/>
      <c r="U174" s="188"/>
      <c r="V174" s="181" t="s">
        <v>1</v>
      </c>
    </row>
    <row r="175" spans="1:24" ht="14.25" thickBot="1" x14ac:dyDescent="0.2">
      <c r="A175" s="4" t="s">
        <v>2</v>
      </c>
      <c r="B175" s="1" t="s">
        <v>3</v>
      </c>
      <c r="C175" s="2" t="s">
        <v>4</v>
      </c>
      <c r="D175" s="3" t="s">
        <v>5</v>
      </c>
      <c r="E175" s="4" t="s">
        <v>6</v>
      </c>
      <c r="F175" s="1" t="s">
        <v>3</v>
      </c>
      <c r="G175" s="2" t="s">
        <v>4</v>
      </c>
      <c r="H175" s="3" t="s">
        <v>5</v>
      </c>
      <c r="I175" s="4" t="s">
        <v>6</v>
      </c>
      <c r="J175" s="182"/>
      <c r="M175" s="4" t="s">
        <v>2</v>
      </c>
      <c r="N175" s="1" t="s">
        <v>3</v>
      </c>
      <c r="O175" s="2" t="s">
        <v>4</v>
      </c>
      <c r="P175" s="3" t="s">
        <v>5</v>
      </c>
      <c r="Q175" s="4" t="s">
        <v>6</v>
      </c>
      <c r="R175" s="1" t="s">
        <v>3</v>
      </c>
      <c r="S175" s="2" t="s">
        <v>4</v>
      </c>
      <c r="T175" s="3" t="s">
        <v>5</v>
      </c>
      <c r="U175" s="4" t="s">
        <v>6</v>
      </c>
      <c r="V175" s="182"/>
    </row>
    <row r="176" spans="1:24" ht="14.25" thickBot="1" x14ac:dyDescent="0.2">
      <c r="A176" s="21" t="s">
        <v>20</v>
      </c>
      <c r="B176" s="32">
        <f>B170</f>
        <v>14</v>
      </c>
      <c r="C176" s="33">
        <f>C170</f>
        <v>7</v>
      </c>
      <c r="D176" s="40">
        <f>D170</f>
        <v>8</v>
      </c>
      <c r="E176" s="50">
        <f>SUM(B176:D176)</f>
        <v>29</v>
      </c>
      <c r="F176" s="32">
        <f>F170</f>
        <v>9</v>
      </c>
      <c r="G176" s="33">
        <f>G170</f>
        <v>7</v>
      </c>
      <c r="H176" s="40">
        <f>H170</f>
        <v>5</v>
      </c>
      <c r="I176" s="50">
        <f>SUM(F176:H176)</f>
        <v>21</v>
      </c>
      <c r="J176" s="59">
        <f>E176+I176</f>
        <v>50</v>
      </c>
      <c r="M176" s="21" t="s">
        <v>20</v>
      </c>
      <c r="N176" s="69">
        <f>N170</f>
        <v>517</v>
      </c>
      <c r="O176" s="70">
        <f>O170</f>
        <v>549</v>
      </c>
      <c r="P176" s="71">
        <f>P170</f>
        <v>289</v>
      </c>
      <c r="Q176" s="67">
        <f>SUM(N176:P176)</f>
        <v>1355</v>
      </c>
      <c r="R176" s="69">
        <f>R170</f>
        <v>569</v>
      </c>
      <c r="S176" s="70">
        <f>S170</f>
        <v>632</v>
      </c>
      <c r="T176" s="71">
        <f>T170</f>
        <v>360</v>
      </c>
      <c r="U176" s="67">
        <f>SUM(R176:T176)</f>
        <v>1561</v>
      </c>
      <c r="V176" s="68">
        <f>Q176+U176</f>
        <v>2916</v>
      </c>
    </row>
    <row r="177" spans="1:25" x14ac:dyDescent="0.15">
      <c r="A177" s="129" t="s">
        <v>8</v>
      </c>
      <c r="B177" s="161">
        <v>2</v>
      </c>
      <c r="C177" s="162">
        <v>5</v>
      </c>
      <c r="D177" s="163">
        <v>5</v>
      </c>
      <c r="E177" s="164">
        <f>SUM(B177:D177)</f>
        <v>12</v>
      </c>
      <c r="F177" s="165"/>
      <c r="G177" s="166">
        <v>4</v>
      </c>
      <c r="H177" s="167">
        <v>2</v>
      </c>
      <c r="I177" s="164">
        <f>SUM(F177:H177)</f>
        <v>6</v>
      </c>
      <c r="J177" s="168">
        <f>E177+I177</f>
        <v>18</v>
      </c>
      <c r="K177" s="136">
        <v>46161</v>
      </c>
      <c r="M177" s="19" t="s">
        <v>153</v>
      </c>
      <c r="N177" s="72">
        <v>9</v>
      </c>
      <c r="O177" s="73">
        <v>5</v>
      </c>
      <c r="P177" s="74">
        <v>4</v>
      </c>
      <c r="Q177" s="51">
        <f>SUM(N177:P177)</f>
        <v>18</v>
      </c>
      <c r="R177" s="85">
        <v>3</v>
      </c>
      <c r="S177" s="86">
        <v>4</v>
      </c>
      <c r="T177" s="87">
        <v>2</v>
      </c>
      <c r="U177" s="51">
        <f>SUM(R177:T177)</f>
        <v>9</v>
      </c>
      <c r="V177" s="59">
        <f>Q177+U177</f>
        <v>27</v>
      </c>
      <c r="W177" s="97">
        <v>46158</v>
      </c>
    </row>
    <row r="178" spans="1:25" x14ac:dyDescent="0.15">
      <c r="A178" s="19" t="s">
        <v>160</v>
      </c>
      <c r="B178" s="5"/>
      <c r="C178" s="6">
        <v>6</v>
      </c>
      <c r="D178" s="14"/>
      <c r="E178" s="52">
        <f>SUM(B178:D178)</f>
        <v>6</v>
      </c>
      <c r="F178" s="15">
        <v>1</v>
      </c>
      <c r="G178" s="13">
        <v>2</v>
      </c>
      <c r="H178" s="14"/>
      <c r="I178" s="52">
        <f>SUM(F178:H178)</f>
        <v>3</v>
      </c>
      <c r="J178" s="60">
        <f>E178+I178</f>
        <v>9</v>
      </c>
      <c r="K178" s="157">
        <v>46157</v>
      </c>
      <c r="M178" s="19" t="s">
        <v>153</v>
      </c>
      <c r="N178" s="75"/>
      <c r="O178" s="76">
        <v>6</v>
      </c>
      <c r="P178" s="93"/>
      <c r="Q178" s="52">
        <f>SUM(N178:P178)</f>
        <v>6</v>
      </c>
      <c r="R178" s="94">
        <v>1</v>
      </c>
      <c r="S178" s="95">
        <v>2</v>
      </c>
      <c r="T178" s="93"/>
      <c r="U178" s="52">
        <f>SUM(R178:T178)</f>
        <v>3</v>
      </c>
      <c r="V178" s="60">
        <f>Q178+U178</f>
        <v>9</v>
      </c>
      <c r="W178" s="97">
        <v>46172</v>
      </c>
    </row>
    <row r="179" spans="1:25" x14ac:dyDescent="0.15">
      <c r="A179" s="19" t="s">
        <v>10</v>
      </c>
      <c r="B179" s="5">
        <v>3</v>
      </c>
      <c r="C179" s="6"/>
      <c r="D179" s="7">
        <v>3</v>
      </c>
      <c r="E179" s="52">
        <f t="shared" ref="E179:E184" si="162">SUM(B179:D179)</f>
        <v>6</v>
      </c>
      <c r="F179" s="8"/>
      <c r="G179" s="6"/>
      <c r="H179" s="7"/>
      <c r="I179" s="52">
        <f t="shared" ref="I179:I184" si="163">SUM(F179:H179)</f>
        <v>0</v>
      </c>
      <c r="J179" s="60">
        <f t="shared" ref="J179:J184" si="164">E179+I179</f>
        <v>6</v>
      </c>
      <c r="K179" s="41">
        <v>46170</v>
      </c>
      <c r="M179" s="175" t="s">
        <v>160</v>
      </c>
      <c r="N179" s="176">
        <v>6</v>
      </c>
      <c r="O179" s="177"/>
      <c r="P179" s="178">
        <v>6</v>
      </c>
      <c r="Q179" s="106">
        <f t="shared" ref="Q179:Q184" si="165">SUM(N179:P179)</f>
        <v>12</v>
      </c>
      <c r="R179" s="179">
        <v>6</v>
      </c>
      <c r="S179" s="180">
        <v>6</v>
      </c>
      <c r="T179" s="178">
        <v>6</v>
      </c>
      <c r="U179" s="106">
        <f t="shared" ref="U179:U184" si="166">SUM(R179:T179)</f>
        <v>18</v>
      </c>
      <c r="V179" s="107">
        <f t="shared" ref="V179:V184" si="167">Q179+U179</f>
        <v>30</v>
      </c>
      <c r="W179" s="108">
        <v>46190</v>
      </c>
    </row>
    <row r="180" spans="1:25" x14ac:dyDescent="0.15">
      <c r="A180" s="19" t="s">
        <v>166</v>
      </c>
      <c r="B180" s="5">
        <v>2</v>
      </c>
      <c r="C180" s="6">
        <v>2</v>
      </c>
      <c r="D180" s="36">
        <v>1</v>
      </c>
      <c r="E180" s="53">
        <f t="shared" si="162"/>
        <v>5</v>
      </c>
      <c r="F180" s="8"/>
      <c r="G180" s="6"/>
      <c r="H180" s="7"/>
      <c r="I180" s="53">
        <f t="shared" si="163"/>
        <v>0</v>
      </c>
      <c r="J180" s="60">
        <f t="shared" si="164"/>
        <v>5</v>
      </c>
      <c r="K180" s="157">
        <v>46168</v>
      </c>
      <c r="M180" s="175" t="s">
        <v>160</v>
      </c>
      <c r="N180" s="176">
        <v>9</v>
      </c>
      <c r="O180" s="177">
        <v>11</v>
      </c>
      <c r="P180" s="178">
        <v>14</v>
      </c>
      <c r="Q180" s="106">
        <f t="shared" si="165"/>
        <v>34</v>
      </c>
      <c r="R180" s="179">
        <v>10</v>
      </c>
      <c r="S180" s="180">
        <v>4</v>
      </c>
      <c r="T180" s="178">
        <v>13</v>
      </c>
      <c r="U180" s="106">
        <f t="shared" si="166"/>
        <v>27</v>
      </c>
      <c r="V180" s="107">
        <f t="shared" si="167"/>
        <v>61</v>
      </c>
      <c r="W180" s="108">
        <v>46191</v>
      </c>
    </row>
    <row r="181" spans="1:25" x14ac:dyDescent="0.15">
      <c r="A181" s="19" t="s">
        <v>12</v>
      </c>
      <c r="B181" s="5"/>
      <c r="C181" s="6"/>
      <c r="D181" s="36">
        <v>3</v>
      </c>
      <c r="E181" s="53">
        <f t="shared" si="162"/>
        <v>3</v>
      </c>
      <c r="F181" s="8"/>
      <c r="G181" s="6"/>
      <c r="H181" s="7"/>
      <c r="I181" s="53">
        <f t="shared" si="163"/>
        <v>0</v>
      </c>
      <c r="J181" s="60">
        <f t="shared" si="164"/>
        <v>3</v>
      </c>
      <c r="K181" s="41">
        <v>46179</v>
      </c>
      <c r="M181" s="19" t="s">
        <v>12</v>
      </c>
      <c r="N181" s="75"/>
      <c r="O181" s="76"/>
      <c r="P181" s="78"/>
      <c r="Q181" s="53">
        <f t="shared" si="165"/>
        <v>0</v>
      </c>
      <c r="R181" s="88"/>
      <c r="S181" s="76"/>
      <c r="T181" s="77"/>
      <c r="U181" s="53">
        <f t="shared" si="166"/>
        <v>0</v>
      </c>
      <c r="V181" s="60">
        <f t="shared" si="167"/>
        <v>0</v>
      </c>
      <c r="W181" s="100"/>
    </row>
    <row r="182" spans="1:25" x14ac:dyDescent="0.15">
      <c r="A182" s="129" t="s">
        <v>13</v>
      </c>
      <c r="B182" s="130"/>
      <c r="C182" s="131">
        <v>3</v>
      </c>
      <c r="D182" s="158">
        <v>3</v>
      </c>
      <c r="E182" s="143">
        <f t="shared" si="162"/>
        <v>6</v>
      </c>
      <c r="F182" s="134"/>
      <c r="G182" s="131"/>
      <c r="H182" s="132"/>
      <c r="I182" s="143">
        <f t="shared" si="163"/>
        <v>0</v>
      </c>
      <c r="J182" s="135">
        <f t="shared" si="164"/>
        <v>6</v>
      </c>
      <c r="K182" s="136">
        <v>46183</v>
      </c>
      <c r="M182" s="19" t="s">
        <v>13</v>
      </c>
      <c r="N182" s="79"/>
      <c r="O182" s="80"/>
      <c r="P182" s="81"/>
      <c r="Q182" s="53">
        <f t="shared" si="165"/>
        <v>0</v>
      </c>
      <c r="R182" s="89"/>
      <c r="S182" s="80"/>
      <c r="T182" s="90"/>
      <c r="U182" s="53">
        <f t="shared" si="166"/>
        <v>0</v>
      </c>
      <c r="V182" s="60">
        <f t="shared" si="167"/>
        <v>0</v>
      </c>
    </row>
    <row r="183" spans="1:25" x14ac:dyDescent="0.15">
      <c r="A183" s="19" t="s">
        <v>14</v>
      </c>
      <c r="B183" s="9"/>
      <c r="C183" s="10"/>
      <c r="D183" s="37">
        <v>5</v>
      </c>
      <c r="E183" s="53">
        <f t="shared" si="162"/>
        <v>5</v>
      </c>
      <c r="F183" s="12"/>
      <c r="G183" s="10"/>
      <c r="H183" s="11"/>
      <c r="I183" s="53">
        <f t="shared" si="163"/>
        <v>0</v>
      </c>
      <c r="J183" s="60">
        <f t="shared" si="164"/>
        <v>5</v>
      </c>
      <c r="K183" s="41">
        <v>46188</v>
      </c>
      <c r="M183" s="19" t="s">
        <v>14</v>
      </c>
      <c r="N183" s="79"/>
      <c r="O183" s="80"/>
      <c r="P183" s="81"/>
      <c r="Q183" s="53">
        <f t="shared" si="165"/>
        <v>0</v>
      </c>
      <c r="R183" s="89"/>
      <c r="S183" s="80"/>
      <c r="T183" s="90"/>
      <c r="U183" s="53">
        <f t="shared" si="166"/>
        <v>0</v>
      </c>
      <c r="V183" s="60">
        <f t="shared" si="167"/>
        <v>0</v>
      </c>
    </row>
    <row r="184" spans="1:25" ht="14.25" thickBot="1" x14ac:dyDescent="0.2">
      <c r="A184" s="19" t="s">
        <v>174</v>
      </c>
      <c r="B184" s="25"/>
      <c r="C184" s="26">
        <v>3</v>
      </c>
      <c r="D184" s="38">
        <v>1</v>
      </c>
      <c r="E184" s="54">
        <f t="shared" si="162"/>
        <v>4</v>
      </c>
      <c r="F184" s="27"/>
      <c r="G184" s="27">
        <v>1</v>
      </c>
      <c r="H184" s="29"/>
      <c r="I184" s="54">
        <f t="shared" si="163"/>
        <v>1</v>
      </c>
      <c r="J184" s="61">
        <f t="shared" si="164"/>
        <v>5</v>
      </c>
      <c r="K184" s="157">
        <v>46191</v>
      </c>
      <c r="M184" s="19" t="s">
        <v>15</v>
      </c>
      <c r="N184" s="79"/>
      <c r="O184" s="80"/>
      <c r="P184" s="81"/>
      <c r="Q184" s="53">
        <f t="shared" si="165"/>
        <v>0</v>
      </c>
      <c r="R184" s="89"/>
      <c r="S184" s="80"/>
      <c r="T184" s="90"/>
      <c r="U184" s="53">
        <f t="shared" si="166"/>
        <v>0</v>
      </c>
      <c r="V184" s="60">
        <f t="shared" si="167"/>
        <v>0</v>
      </c>
    </row>
    <row r="185" spans="1:25" ht="14.25" thickBot="1" x14ac:dyDescent="0.2">
      <c r="A185" s="28" t="s">
        <v>16</v>
      </c>
      <c r="B185" s="22">
        <f>SUM(B176:B184)</f>
        <v>21</v>
      </c>
      <c r="C185" s="23">
        <f t="shared" ref="C185:D185" si="168">SUM(C176:C184)</f>
        <v>26</v>
      </c>
      <c r="D185" s="24">
        <f t="shared" si="168"/>
        <v>29</v>
      </c>
      <c r="E185" s="55">
        <f>SUM(B185:D185)</f>
        <v>76</v>
      </c>
      <c r="F185" s="22">
        <f>SUM(F176:F184)</f>
        <v>10</v>
      </c>
      <c r="G185" s="23">
        <f t="shared" ref="G185:H185" si="169">SUM(G176:G184)</f>
        <v>14</v>
      </c>
      <c r="H185" s="24">
        <f t="shared" si="169"/>
        <v>7</v>
      </c>
      <c r="I185" s="55">
        <f>SUM(F185:H185)</f>
        <v>31</v>
      </c>
      <c r="J185" s="62">
        <f>SUM(J177:J184)</f>
        <v>57</v>
      </c>
      <c r="M185" s="28" t="s">
        <v>16</v>
      </c>
      <c r="N185" s="22">
        <f>SUM(N176:N184)</f>
        <v>541</v>
      </c>
      <c r="O185" s="23">
        <f t="shared" ref="O185:P185" si="170">SUM(O176:O184)</f>
        <v>571</v>
      </c>
      <c r="P185" s="24">
        <f t="shared" si="170"/>
        <v>313</v>
      </c>
      <c r="Q185" s="55">
        <f>SUM(N185:P185)</f>
        <v>1425</v>
      </c>
      <c r="R185" s="22">
        <f>SUM(R176:R184)</f>
        <v>589</v>
      </c>
      <c r="S185" s="23">
        <f t="shared" ref="S185:T185" si="171">SUM(S176:S184)</f>
        <v>648</v>
      </c>
      <c r="T185" s="24">
        <f t="shared" si="171"/>
        <v>381</v>
      </c>
      <c r="U185" s="55">
        <f>SUM(R185:T185)</f>
        <v>1618</v>
      </c>
      <c r="V185" s="62">
        <f>Q185+U185</f>
        <v>3043</v>
      </c>
    </row>
    <row r="186" spans="1:25" x14ac:dyDescent="0.15">
      <c r="A186" s="17" t="s">
        <v>53</v>
      </c>
      <c r="B186" s="9"/>
      <c r="C186" s="10"/>
      <c r="D186" s="11">
        <v>1</v>
      </c>
      <c r="E186" s="52">
        <f t="shared" ref="E186:E212" si="172">SUM(B186:D186)</f>
        <v>1</v>
      </c>
      <c r="F186" s="12"/>
      <c r="G186" s="10"/>
      <c r="H186" s="11"/>
      <c r="I186" s="52">
        <f t="shared" ref="I186:I212" si="173">SUM(F186:H186)</f>
        <v>0</v>
      </c>
      <c r="J186" s="60">
        <f t="shared" ref="J186:J211" si="174">E186+I186</f>
        <v>1</v>
      </c>
      <c r="K186" s="157">
        <v>46157</v>
      </c>
      <c r="M186" s="18" t="s">
        <v>146</v>
      </c>
      <c r="N186" s="9">
        <v>10</v>
      </c>
      <c r="O186" s="10">
        <v>20</v>
      </c>
      <c r="P186" s="11">
        <v>15</v>
      </c>
      <c r="Q186" s="52">
        <f>SUM(N186:P186)</f>
        <v>45</v>
      </c>
      <c r="R186" s="12">
        <v>5</v>
      </c>
      <c r="S186" s="10">
        <v>5</v>
      </c>
      <c r="T186" s="11">
        <v>5</v>
      </c>
      <c r="U186" s="52">
        <f>SUM(R186:T186)</f>
        <v>15</v>
      </c>
      <c r="V186" s="60">
        <f>Q186+U186</f>
        <v>60</v>
      </c>
      <c r="W186" s="97">
        <v>46154</v>
      </c>
      <c r="X186" s="48"/>
      <c r="Y186" s="48"/>
    </row>
    <row r="187" spans="1:25" x14ac:dyDescent="0.15">
      <c r="A187" s="17" t="s">
        <v>152</v>
      </c>
      <c r="B187" s="5">
        <v>9</v>
      </c>
      <c r="C187" s="6">
        <v>5</v>
      </c>
      <c r="D187" s="7">
        <v>4</v>
      </c>
      <c r="E187" s="52">
        <f t="shared" si="172"/>
        <v>18</v>
      </c>
      <c r="F187" s="8">
        <v>3</v>
      </c>
      <c r="G187" s="6">
        <v>4</v>
      </c>
      <c r="H187" s="7">
        <v>2</v>
      </c>
      <c r="I187" s="52">
        <f t="shared" si="173"/>
        <v>9</v>
      </c>
      <c r="J187" s="60">
        <f t="shared" si="174"/>
        <v>27</v>
      </c>
      <c r="K187" s="157">
        <v>46158</v>
      </c>
      <c r="M187" s="18" t="s">
        <v>147</v>
      </c>
      <c r="N187" s="5"/>
      <c r="O187" s="6"/>
      <c r="P187" s="7"/>
      <c r="Q187" s="52">
        <f t="shared" ref="Q187" si="175">SUM(N187:P187)</f>
        <v>0</v>
      </c>
      <c r="R187" s="8"/>
      <c r="S187" s="6">
        <v>4</v>
      </c>
      <c r="T187" s="7"/>
      <c r="U187" s="52">
        <f t="shared" ref="U187" si="176">SUM(R187:T187)</f>
        <v>4</v>
      </c>
      <c r="V187" s="60">
        <f t="shared" ref="V187" si="177">Q187+U187</f>
        <v>4</v>
      </c>
      <c r="W187" s="97">
        <v>46157</v>
      </c>
    </row>
    <row r="188" spans="1:25" x14ac:dyDescent="0.15">
      <c r="A188" s="20" t="s">
        <v>154</v>
      </c>
      <c r="B188" s="5">
        <v>1</v>
      </c>
      <c r="C188" s="6">
        <v>3</v>
      </c>
      <c r="D188" s="7">
        <v>3</v>
      </c>
      <c r="E188" s="52">
        <f t="shared" si="172"/>
        <v>7</v>
      </c>
      <c r="F188" s="8"/>
      <c r="G188" s="6">
        <v>1</v>
      </c>
      <c r="H188" s="7">
        <v>1</v>
      </c>
      <c r="I188" s="52">
        <f t="shared" si="173"/>
        <v>2</v>
      </c>
      <c r="J188" s="60">
        <f t="shared" si="174"/>
        <v>9</v>
      </c>
      <c r="K188" s="41">
        <v>46162</v>
      </c>
      <c r="M188" s="18" t="s">
        <v>148</v>
      </c>
      <c r="N188" s="5">
        <v>20</v>
      </c>
      <c r="O188" s="6"/>
      <c r="P188" s="7">
        <v>30</v>
      </c>
      <c r="Q188" s="52">
        <f>SUM(N188:P188)</f>
        <v>50</v>
      </c>
      <c r="R188" s="8">
        <v>20</v>
      </c>
      <c r="S188" s="6">
        <v>15</v>
      </c>
      <c r="T188" s="7">
        <v>20</v>
      </c>
      <c r="U188" s="52">
        <f>SUM(R188:T188)</f>
        <v>55</v>
      </c>
      <c r="V188" s="60">
        <f>Q188+U188</f>
        <v>105</v>
      </c>
      <c r="W188" s="97">
        <v>46156</v>
      </c>
    </row>
    <row r="189" spans="1:25" x14ac:dyDescent="0.15">
      <c r="A189" s="17" t="s">
        <v>53</v>
      </c>
      <c r="B189" s="5">
        <v>1</v>
      </c>
      <c r="C189" s="6">
        <v>2</v>
      </c>
      <c r="D189" s="7">
        <v>1</v>
      </c>
      <c r="E189" s="52">
        <f t="shared" si="172"/>
        <v>4</v>
      </c>
      <c r="F189" s="8"/>
      <c r="G189" s="6">
        <v>1</v>
      </c>
      <c r="H189" s="7"/>
      <c r="I189" s="52">
        <f t="shared" si="173"/>
        <v>1</v>
      </c>
      <c r="J189" s="60">
        <f t="shared" si="174"/>
        <v>5</v>
      </c>
      <c r="K189" s="157">
        <v>46160</v>
      </c>
      <c r="M189" s="18" t="s">
        <v>150</v>
      </c>
      <c r="N189" s="5"/>
      <c r="O189" s="6">
        <v>12</v>
      </c>
      <c r="P189" s="7"/>
      <c r="Q189" s="52">
        <f t="shared" ref="Q189:Q212" si="178">SUM(N189:P189)</f>
        <v>12</v>
      </c>
      <c r="R189" s="8"/>
      <c r="S189" s="6"/>
      <c r="T189" s="7"/>
      <c r="U189" s="52">
        <f t="shared" ref="U189:U212" si="179">SUM(R189:T189)</f>
        <v>0</v>
      </c>
      <c r="V189" s="60">
        <f t="shared" ref="V189:V202" si="180">Q189+U189</f>
        <v>12</v>
      </c>
      <c r="W189" s="97">
        <v>46158</v>
      </c>
    </row>
    <row r="190" spans="1:25" x14ac:dyDescent="0.15">
      <c r="A190" s="17" t="s">
        <v>53</v>
      </c>
      <c r="B190" s="5">
        <v>1</v>
      </c>
      <c r="C190" s="6"/>
      <c r="D190" s="7">
        <v>1</v>
      </c>
      <c r="E190" s="52">
        <f t="shared" si="172"/>
        <v>2</v>
      </c>
      <c r="F190" s="8"/>
      <c r="G190" s="6"/>
      <c r="H190" s="7"/>
      <c r="I190" s="52">
        <f t="shared" si="173"/>
        <v>0</v>
      </c>
      <c r="J190" s="60">
        <f t="shared" si="174"/>
        <v>2</v>
      </c>
      <c r="K190" s="157">
        <v>46163</v>
      </c>
      <c r="M190" s="18" t="s">
        <v>155</v>
      </c>
      <c r="N190" s="5">
        <v>2</v>
      </c>
      <c r="O190" s="6">
        <v>4</v>
      </c>
      <c r="P190" s="7">
        <v>3</v>
      </c>
      <c r="Q190" s="52">
        <f t="shared" si="178"/>
        <v>9</v>
      </c>
      <c r="R190" s="8">
        <v>2</v>
      </c>
      <c r="S190" s="6"/>
      <c r="T190" s="7">
        <v>1</v>
      </c>
      <c r="U190" s="52">
        <f t="shared" si="179"/>
        <v>3</v>
      </c>
      <c r="V190" s="60">
        <f t="shared" si="180"/>
        <v>12</v>
      </c>
      <c r="W190" s="97">
        <v>46161</v>
      </c>
    </row>
    <row r="191" spans="1:25" x14ac:dyDescent="0.15">
      <c r="A191" s="17" t="s">
        <v>53</v>
      </c>
      <c r="B191" s="5"/>
      <c r="C191" s="6"/>
      <c r="D191" s="14">
        <v>1</v>
      </c>
      <c r="E191" s="52">
        <f t="shared" si="172"/>
        <v>1</v>
      </c>
      <c r="F191" s="15"/>
      <c r="G191" s="13"/>
      <c r="H191" s="14"/>
      <c r="I191" s="52">
        <f t="shared" si="173"/>
        <v>0</v>
      </c>
      <c r="J191" s="60">
        <f t="shared" si="174"/>
        <v>1</v>
      </c>
      <c r="K191" s="157">
        <v>46164</v>
      </c>
      <c r="M191" s="20" t="s">
        <v>138</v>
      </c>
      <c r="N191" s="5">
        <v>10</v>
      </c>
      <c r="O191" s="6"/>
      <c r="P191" s="14">
        <v>10</v>
      </c>
      <c r="Q191" s="52">
        <f t="shared" si="178"/>
        <v>20</v>
      </c>
      <c r="R191" s="15"/>
      <c r="S191" s="13"/>
      <c r="T191" s="14"/>
      <c r="U191" s="52">
        <f t="shared" si="179"/>
        <v>0</v>
      </c>
      <c r="V191" s="60">
        <f t="shared" si="180"/>
        <v>20</v>
      </c>
      <c r="W191" s="97">
        <v>46162</v>
      </c>
    </row>
    <row r="192" spans="1:25" x14ac:dyDescent="0.15">
      <c r="A192" s="17" t="s">
        <v>53</v>
      </c>
      <c r="B192" s="5"/>
      <c r="C192" s="6">
        <v>1</v>
      </c>
      <c r="D192" s="7">
        <v>1</v>
      </c>
      <c r="E192" s="52">
        <f t="shared" si="172"/>
        <v>2</v>
      </c>
      <c r="F192" s="8"/>
      <c r="G192" s="6"/>
      <c r="H192" s="7"/>
      <c r="I192" s="52">
        <f t="shared" si="173"/>
        <v>0</v>
      </c>
      <c r="J192" s="60">
        <f t="shared" si="174"/>
        <v>2</v>
      </c>
      <c r="K192" s="157">
        <v>46167</v>
      </c>
      <c r="M192" s="20" t="s">
        <v>156</v>
      </c>
      <c r="N192" s="5">
        <v>2</v>
      </c>
      <c r="O192" s="6">
        <v>5</v>
      </c>
      <c r="P192" s="14">
        <v>5</v>
      </c>
      <c r="Q192" s="52">
        <f t="shared" ref="Q192:Q195" si="181">SUM(N192:P192)</f>
        <v>12</v>
      </c>
      <c r="R192" s="15"/>
      <c r="S192" s="13">
        <v>4</v>
      </c>
      <c r="T192" s="14">
        <v>2</v>
      </c>
      <c r="U192" s="52">
        <f t="shared" ref="U192:U195" si="182">SUM(R192:T192)</f>
        <v>6</v>
      </c>
      <c r="V192" s="60">
        <f t="shared" ref="V192:V195" si="183">Q192+U192</f>
        <v>18</v>
      </c>
      <c r="W192" s="97">
        <v>46161</v>
      </c>
    </row>
    <row r="193" spans="1:23" x14ac:dyDescent="0.15">
      <c r="A193" s="17" t="s">
        <v>53</v>
      </c>
      <c r="B193" s="5">
        <v>1</v>
      </c>
      <c r="C193" s="6"/>
      <c r="D193" s="7"/>
      <c r="E193" s="52">
        <f t="shared" si="172"/>
        <v>1</v>
      </c>
      <c r="F193" s="8"/>
      <c r="G193" s="6"/>
      <c r="H193" s="7"/>
      <c r="I193" s="52">
        <f t="shared" si="173"/>
        <v>0</v>
      </c>
      <c r="J193" s="60">
        <f t="shared" si="174"/>
        <v>1</v>
      </c>
      <c r="K193" s="157">
        <v>46168</v>
      </c>
      <c r="M193" s="20" t="s">
        <v>157</v>
      </c>
      <c r="N193" s="5">
        <v>10</v>
      </c>
      <c r="O193" s="6">
        <v>40</v>
      </c>
      <c r="P193" s="14"/>
      <c r="Q193" s="52">
        <f t="shared" si="181"/>
        <v>50</v>
      </c>
      <c r="R193" s="15"/>
      <c r="S193" s="13"/>
      <c r="T193" s="14"/>
      <c r="U193" s="52">
        <f t="shared" si="182"/>
        <v>0</v>
      </c>
      <c r="V193" s="60">
        <f t="shared" si="183"/>
        <v>50</v>
      </c>
      <c r="W193" s="97">
        <v>46163</v>
      </c>
    </row>
    <row r="194" spans="1:23" x14ac:dyDescent="0.15">
      <c r="A194" s="17" t="s">
        <v>53</v>
      </c>
      <c r="B194" s="5"/>
      <c r="C194" s="6"/>
      <c r="D194" s="7">
        <v>1</v>
      </c>
      <c r="E194" s="52">
        <f t="shared" si="172"/>
        <v>1</v>
      </c>
      <c r="F194" s="8"/>
      <c r="G194" s="6"/>
      <c r="H194" s="7"/>
      <c r="I194" s="52">
        <f t="shared" si="173"/>
        <v>0</v>
      </c>
      <c r="J194" s="60">
        <f t="shared" si="174"/>
        <v>1</v>
      </c>
      <c r="K194" s="157">
        <v>46169</v>
      </c>
      <c r="M194" s="20" t="s">
        <v>161</v>
      </c>
      <c r="N194" s="5"/>
      <c r="O194" s="6"/>
      <c r="P194" s="14">
        <v>15</v>
      </c>
      <c r="Q194" s="52">
        <f t="shared" si="181"/>
        <v>15</v>
      </c>
      <c r="R194" s="15"/>
      <c r="S194" s="13"/>
      <c r="T194" s="14"/>
      <c r="U194" s="52">
        <f t="shared" si="182"/>
        <v>0</v>
      </c>
      <c r="V194" s="60">
        <f t="shared" si="183"/>
        <v>15</v>
      </c>
      <c r="W194" s="97">
        <v>46165</v>
      </c>
    </row>
    <row r="195" spans="1:23" x14ac:dyDescent="0.15">
      <c r="A195" s="17" t="s">
        <v>167</v>
      </c>
      <c r="B195" s="9"/>
      <c r="C195" s="10">
        <v>6</v>
      </c>
      <c r="D195" s="11"/>
      <c r="E195" s="52">
        <f t="shared" si="172"/>
        <v>6</v>
      </c>
      <c r="F195" s="12">
        <v>1</v>
      </c>
      <c r="G195" s="10">
        <v>2</v>
      </c>
      <c r="H195" s="11"/>
      <c r="I195" s="52">
        <f t="shared" si="173"/>
        <v>3</v>
      </c>
      <c r="J195" s="60">
        <f t="shared" si="174"/>
        <v>9</v>
      </c>
      <c r="K195" s="157">
        <v>46172</v>
      </c>
      <c r="M195" s="20" t="s">
        <v>162</v>
      </c>
      <c r="N195" s="5">
        <v>2</v>
      </c>
      <c r="O195" s="6">
        <v>1</v>
      </c>
      <c r="P195" s="14"/>
      <c r="Q195" s="52">
        <f t="shared" si="181"/>
        <v>3</v>
      </c>
      <c r="R195" s="15"/>
      <c r="S195" s="13"/>
      <c r="T195" s="14"/>
      <c r="U195" s="52">
        <f t="shared" si="182"/>
        <v>0</v>
      </c>
      <c r="V195" s="60">
        <f t="shared" si="183"/>
        <v>3</v>
      </c>
      <c r="W195" s="97">
        <v>46169</v>
      </c>
    </row>
    <row r="196" spans="1:23" x14ac:dyDescent="0.15">
      <c r="A196" s="17" t="s">
        <v>53</v>
      </c>
      <c r="B196" s="5"/>
      <c r="C196" s="6">
        <v>1</v>
      </c>
      <c r="D196" s="7">
        <v>1</v>
      </c>
      <c r="E196" s="52">
        <f t="shared" si="172"/>
        <v>2</v>
      </c>
      <c r="F196" s="8"/>
      <c r="G196" s="6"/>
      <c r="H196" s="7"/>
      <c r="I196" s="52">
        <f t="shared" si="173"/>
        <v>0</v>
      </c>
      <c r="J196" s="60">
        <f t="shared" si="174"/>
        <v>2</v>
      </c>
      <c r="K196" s="157">
        <v>46174</v>
      </c>
      <c r="M196" s="20" t="s">
        <v>165</v>
      </c>
      <c r="N196" s="5">
        <v>3</v>
      </c>
      <c r="O196" s="6"/>
      <c r="P196" s="7">
        <v>3</v>
      </c>
      <c r="Q196" s="52">
        <f t="shared" si="178"/>
        <v>6</v>
      </c>
      <c r="R196" s="8"/>
      <c r="S196" s="6"/>
      <c r="T196" s="7"/>
      <c r="U196" s="52">
        <f t="shared" si="179"/>
        <v>0</v>
      </c>
      <c r="V196" s="60">
        <f t="shared" si="180"/>
        <v>6</v>
      </c>
      <c r="W196" s="97">
        <v>46170</v>
      </c>
    </row>
    <row r="197" spans="1:23" x14ac:dyDescent="0.15">
      <c r="A197" s="17" t="s">
        <v>53</v>
      </c>
      <c r="B197" s="5">
        <v>1</v>
      </c>
      <c r="C197" s="6"/>
      <c r="D197" s="7">
        <v>1</v>
      </c>
      <c r="E197" s="52">
        <f t="shared" si="172"/>
        <v>2</v>
      </c>
      <c r="F197" s="8"/>
      <c r="G197" s="6"/>
      <c r="H197" s="7"/>
      <c r="I197" s="52">
        <f t="shared" si="173"/>
        <v>0</v>
      </c>
      <c r="J197" s="60">
        <f t="shared" si="174"/>
        <v>2</v>
      </c>
      <c r="K197" s="157">
        <v>46175</v>
      </c>
      <c r="M197" s="20" t="s">
        <v>168</v>
      </c>
      <c r="N197" s="5">
        <v>3</v>
      </c>
      <c r="O197" s="6">
        <v>7</v>
      </c>
      <c r="P197" s="7">
        <v>1</v>
      </c>
      <c r="Q197" s="52">
        <f t="shared" si="178"/>
        <v>11</v>
      </c>
      <c r="R197" s="8">
        <v>3</v>
      </c>
      <c r="S197" s="6">
        <v>7</v>
      </c>
      <c r="T197" s="7">
        <v>1</v>
      </c>
      <c r="U197" s="52">
        <f t="shared" si="179"/>
        <v>11</v>
      </c>
      <c r="V197" s="60">
        <f t="shared" si="180"/>
        <v>22</v>
      </c>
      <c r="W197" s="97">
        <v>46181</v>
      </c>
    </row>
    <row r="198" spans="1:23" x14ac:dyDescent="0.15">
      <c r="A198" s="18" t="s">
        <v>169</v>
      </c>
      <c r="B198" s="5">
        <v>1</v>
      </c>
      <c r="C198" s="6"/>
      <c r="D198" s="7"/>
      <c r="E198" s="52">
        <f t="shared" si="172"/>
        <v>1</v>
      </c>
      <c r="F198" s="8"/>
      <c r="G198" s="6"/>
      <c r="H198" s="7"/>
      <c r="I198" s="52">
        <f t="shared" si="173"/>
        <v>0</v>
      </c>
      <c r="J198" s="60">
        <f t="shared" si="174"/>
        <v>1</v>
      </c>
      <c r="K198" s="41">
        <v>46181</v>
      </c>
      <c r="M198" s="18" t="s">
        <v>170</v>
      </c>
      <c r="N198" s="5"/>
      <c r="O198" s="6"/>
      <c r="P198" s="7">
        <v>3</v>
      </c>
      <c r="Q198" s="52">
        <f t="shared" si="178"/>
        <v>3</v>
      </c>
      <c r="R198" s="8"/>
      <c r="S198" s="6"/>
      <c r="T198" s="7"/>
      <c r="U198" s="52">
        <f t="shared" si="179"/>
        <v>0</v>
      </c>
      <c r="V198" s="60">
        <f t="shared" si="180"/>
        <v>3</v>
      </c>
      <c r="W198" s="97">
        <v>46179</v>
      </c>
    </row>
    <row r="199" spans="1:23" x14ac:dyDescent="0.15">
      <c r="A199" s="17" t="s">
        <v>53</v>
      </c>
      <c r="B199" s="5"/>
      <c r="C199" s="6"/>
      <c r="D199" s="7">
        <v>2</v>
      </c>
      <c r="E199" s="52">
        <f t="shared" si="172"/>
        <v>2</v>
      </c>
      <c r="F199" s="8"/>
      <c r="G199" s="6"/>
      <c r="H199" s="7">
        <v>1</v>
      </c>
      <c r="I199" s="52">
        <f t="shared" si="173"/>
        <v>1</v>
      </c>
      <c r="J199" s="60">
        <f t="shared" si="174"/>
        <v>3</v>
      </c>
      <c r="K199" s="157">
        <v>46178</v>
      </c>
      <c r="M199" s="18" t="s">
        <v>54</v>
      </c>
      <c r="N199" s="5"/>
      <c r="O199" s="6">
        <v>3</v>
      </c>
      <c r="P199" s="7">
        <v>3</v>
      </c>
      <c r="Q199" s="52">
        <f t="shared" si="178"/>
        <v>6</v>
      </c>
      <c r="R199" s="8"/>
      <c r="S199" s="6"/>
      <c r="T199" s="7"/>
      <c r="U199" s="52">
        <f t="shared" si="179"/>
        <v>0</v>
      </c>
      <c r="V199" s="60">
        <f t="shared" si="180"/>
        <v>6</v>
      </c>
      <c r="W199" s="97">
        <v>46183</v>
      </c>
    </row>
    <row r="200" spans="1:23" x14ac:dyDescent="0.15">
      <c r="A200" s="17" t="s">
        <v>53</v>
      </c>
      <c r="B200" s="5"/>
      <c r="C200" s="6">
        <v>1</v>
      </c>
      <c r="D200" s="7">
        <v>2</v>
      </c>
      <c r="E200" s="52">
        <f t="shared" si="172"/>
        <v>3</v>
      </c>
      <c r="F200" s="8"/>
      <c r="G200" s="6"/>
      <c r="H200" s="7"/>
      <c r="I200" s="52">
        <f t="shared" si="173"/>
        <v>0</v>
      </c>
      <c r="J200" s="60">
        <f t="shared" si="174"/>
        <v>3</v>
      </c>
      <c r="K200" s="157">
        <v>46181</v>
      </c>
      <c r="M200" s="18" t="s">
        <v>54</v>
      </c>
      <c r="N200" s="5"/>
      <c r="O200" s="6"/>
      <c r="P200" s="7">
        <v>5</v>
      </c>
      <c r="Q200" s="52">
        <f t="shared" si="178"/>
        <v>5</v>
      </c>
      <c r="R200" s="8"/>
      <c r="S200" s="6"/>
      <c r="T200" s="7"/>
      <c r="U200" s="52">
        <f t="shared" si="179"/>
        <v>0</v>
      </c>
      <c r="V200" s="60">
        <f t="shared" si="180"/>
        <v>5</v>
      </c>
      <c r="W200" s="97">
        <v>46188</v>
      </c>
    </row>
    <row r="201" spans="1:23" x14ac:dyDescent="0.15">
      <c r="A201" s="17" t="s">
        <v>53</v>
      </c>
      <c r="B201" s="5"/>
      <c r="C201" s="6"/>
      <c r="D201" s="7">
        <v>1</v>
      </c>
      <c r="E201" s="52">
        <f t="shared" si="172"/>
        <v>1</v>
      </c>
      <c r="F201" s="8">
        <v>1</v>
      </c>
      <c r="G201" s="6"/>
      <c r="H201" s="7"/>
      <c r="I201" s="52">
        <f t="shared" si="173"/>
        <v>1</v>
      </c>
      <c r="J201" s="60">
        <f t="shared" si="174"/>
        <v>2</v>
      </c>
      <c r="K201" s="157">
        <v>46182</v>
      </c>
      <c r="M201" s="20"/>
      <c r="N201" s="5"/>
      <c r="O201" s="6"/>
      <c r="P201" s="7"/>
      <c r="Q201" s="52">
        <f t="shared" si="178"/>
        <v>0</v>
      </c>
      <c r="R201" s="8"/>
      <c r="S201" s="6"/>
      <c r="T201" s="7"/>
      <c r="U201" s="52">
        <f t="shared" si="179"/>
        <v>0</v>
      </c>
      <c r="V201" s="60">
        <f t="shared" si="180"/>
        <v>0</v>
      </c>
      <c r="W201" s="97"/>
    </row>
    <row r="202" spans="1:23" x14ac:dyDescent="0.15">
      <c r="A202" s="17" t="s">
        <v>53</v>
      </c>
      <c r="B202" s="5"/>
      <c r="C202" s="6"/>
      <c r="D202" s="7">
        <v>1</v>
      </c>
      <c r="E202" s="52">
        <f t="shared" si="172"/>
        <v>1</v>
      </c>
      <c r="F202" s="8"/>
      <c r="G202" s="6"/>
      <c r="H202" s="7"/>
      <c r="I202" s="52">
        <f t="shared" si="173"/>
        <v>0</v>
      </c>
      <c r="J202" s="60">
        <f t="shared" si="174"/>
        <v>1</v>
      </c>
      <c r="K202" s="157">
        <v>46183</v>
      </c>
      <c r="M202" s="18"/>
      <c r="N202" s="5"/>
      <c r="O202" s="6"/>
      <c r="P202" s="7"/>
      <c r="Q202" s="52">
        <f t="shared" si="178"/>
        <v>0</v>
      </c>
      <c r="R202" s="8"/>
      <c r="S202" s="6"/>
      <c r="T202" s="7"/>
      <c r="U202" s="52">
        <f t="shared" si="179"/>
        <v>0</v>
      </c>
      <c r="V202" s="60">
        <f t="shared" si="180"/>
        <v>0</v>
      </c>
      <c r="W202" s="97"/>
    </row>
    <row r="203" spans="1:23" x14ac:dyDescent="0.15">
      <c r="A203" s="17" t="s">
        <v>53</v>
      </c>
      <c r="B203" s="5"/>
      <c r="C203" s="6">
        <v>1</v>
      </c>
      <c r="D203" s="7">
        <v>3</v>
      </c>
      <c r="E203" s="52">
        <f t="shared" si="172"/>
        <v>4</v>
      </c>
      <c r="F203" s="8"/>
      <c r="G203" s="6"/>
      <c r="H203" s="7"/>
      <c r="I203" s="52">
        <f t="shared" si="173"/>
        <v>0</v>
      </c>
      <c r="J203" s="60">
        <f t="shared" si="174"/>
        <v>4</v>
      </c>
      <c r="K203" s="157">
        <v>46185</v>
      </c>
      <c r="M203" s="18"/>
      <c r="N203" s="5"/>
      <c r="O203" s="6"/>
      <c r="P203" s="7"/>
      <c r="Q203" s="52">
        <f t="shared" ref="Q203:Q209" si="184">SUM(N203:P203)</f>
        <v>0</v>
      </c>
      <c r="R203" s="8"/>
      <c r="S203" s="6"/>
      <c r="T203" s="7"/>
      <c r="U203" s="52">
        <f t="shared" ref="U203:U209" si="185">SUM(R203:T203)</f>
        <v>0</v>
      </c>
      <c r="V203" s="60">
        <f t="shared" ref="V203:V209" si="186">Q203+U203</f>
        <v>0</v>
      </c>
      <c r="W203" s="97"/>
    </row>
    <row r="204" spans="1:23" x14ac:dyDescent="0.15">
      <c r="A204" s="17" t="s">
        <v>53</v>
      </c>
      <c r="B204" s="5">
        <v>1</v>
      </c>
      <c r="C204" s="6"/>
      <c r="D204" s="7">
        <v>1</v>
      </c>
      <c r="E204" s="52">
        <f t="shared" si="172"/>
        <v>2</v>
      </c>
      <c r="F204" s="8"/>
      <c r="G204" s="6"/>
      <c r="H204" s="7"/>
      <c r="I204" s="52">
        <f t="shared" si="173"/>
        <v>0</v>
      </c>
      <c r="J204" s="60">
        <f t="shared" si="174"/>
        <v>2</v>
      </c>
      <c r="K204" s="41">
        <v>46188</v>
      </c>
      <c r="M204" s="160" t="s">
        <v>112</v>
      </c>
      <c r="N204" s="122"/>
      <c r="O204" s="123"/>
      <c r="P204" s="124"/>
      <c r="Q204" s="125">
        <f t="shared" si="184"/>
        <v>0</v>
      </c>
      <c r="R204" s="159"/>
      <c r="S204" s="123"/>
      <c r="T204" s="124"/>
      <c r="U204" s="125">
        <f t="shared" si="185"/>
        <v>0</v>
      </c>
      <c r="V204" s="126">
        <f t="shared" si="186"/>
        <v>0</v>
      </c>
      <c r="W204" s="97"/>
    </row>
    <row r="205" spans="1:23" x14ac:dyDescent="0.15">
      <c r="A205" s="20" t="s">
        <v>173</v>
      </c>
      <c r="B205" s="5"/>
      <c r="C205" s="6"/>
      <c r="D205" s="7"/>
      <c r="E205" s="52">
        <f t="shared" si="172"/>
        <v>0</v>
      </c>
      <c r="F205" s="8">
        <v>1</v>
      </c>
      <c r="G205" s="6"/>
      <c r="H205" s="7">
        <v>1</v>
      </c>
      <c r="I205" s="52">
        <f t="shared" si="173"/>
        <v>2</v>
      </c>
      <c r="J205" s="60">
        <f t="shared" si="174"/>
        <v>2</v>
      </c>
      <c r="K205" s="41">
        <v>46191</v>
      </c>
      <c r="M205" s="18" t="s">
        <v>111</v>
      </c>
      <c r="N205" s="5"/>
      <c r="O205" s="6"/>
      <c r="P205" s="7"/>
      <c r="Q205" s="52">
        <f t="shared" si="184"/>
        <v>0</v>
      </c>
      <c r="R205" s="8"/>
      <c r="S205" s="6"/>
      <c r="T205" s="7"/>
      <c r="U205" s="52">
        <f t="shared" si="185"/>
        <v>0</v>
      </c>
      <c r="V205" s="60">
        <f t="shared" si="186"/>
        <v>0</v>
      </c>
      <c r="W205" s="97" t="s">
        <v>110</v>
      </c>
    </row>
    <row r="206" spans="1:23" x14ac:dyDescent="0.15">
      <c r="A206" s="18" t="s">
        <v>53</v>
      </c>
      <c r="B206" s="5"/>
      <c r="C206" s="6"/>
      <c r="D206" s="7">
        <v>1</v>
      </c>
      <c r="E206" s="52">
        <f t="shared" si="172"/>
        <v>1</v>
      </c>
      <c r="F206" s="8"/>
      <c r="G206" s="6"/>
      <c r="H206" s="7"/>
      <c r="I206" s="52">
        <f t="shared" si="173"/>
        <v>0</v>
      </c>
      <c r="J206" s="60">
        <f t="shared" si="174"/>
        <v>1</v>
      </c>
      <c r="K206" s="157">
        <v>46190</v>
      </c>
      <c r="M206" s="160" t="s">
        <v>104</v>
      </c>
      <c r="N206" s="122"/>
      <c r="O206" s="123"/>
      <c r="P206" s="124"/>
      <c r="Q206" s="125">
        <f t="shared" si="184"/>
        <v>0</v>
      </c>
      <c r="R206" s="159"/>
      <c r="S206" s="123"/>
      <c r="T206" s="124"/>
      <c r="U206" s="125">
        <f t="shared" si="185"/>
        <v>0</v>
      </c>
      <c r="V206" s="126">
        <f t="shared" si="186"/>
        <v>0</v>
      </c>
      <c r="W206" s="97"/>
    </row>
    <row r="207" spans="1:23" x14ac:dyDescent="0.15">
      <c r="A207" s="17" t="s">
        <v>175</v>
      </c>
      <c r="B207" s="9">
        <v>1</v>
      </c>
      <c r="C207" s="10"/>
      <c r="D207" s="11">
        <v>1</v>
      </c>
      <c r="E207" s="52">
        <f t="shared" si="172"/>
        <v>2</v>
      </c>
      <c r="F207" s="12"/>
      <c r="G207" s="10">
        <v>1</v>
      </c>
      <c r="H207" s="11"/>
      <c r="I207" s="52">
        <f t="shared" si="173"/>
        <v>1</v>
      </c>
      <c r="J207" s="60">
        <f t="shared" si="174"/>
        <v>3</v>
      </c>
      <c r="K207" s="157">
        <v>46217</v>
      </c>
      <c r="M207" s="18" t="s">
        <v>103</v>
      </c>
      <c r="N207" s="5"/>
      <c r="O207" s="6"/>
      <c r="P207" s="7"/>
      <c r="Q207" s="52">
        <f t="shared" si="184"/>
        <v>0</v>
      </c>
      <c r="R207" s="8"/>
      <c r="S207" s="6"/>
      <c r="T207" s="7"/>
      <c r="U207" s="52">
        <f t="shared" si="185"/>
        <v>0</v>
      </c>
      <c r="V207" s="60">
        <f t="shared" si="186"/>
        <v>0</v>
      </c>
      <c r="W207" s="97" t="s">
        <v>107</v>
      </c>
    </row>
    <row r="208" spans="1:23" x14ac:dyDescent="0.15">
      <c r="A208" s="17" t="s">
        <v>175</v>
      </c>
      <c r="B208" s="5"/>
      <c r="C208" s="6">
        <v>1</v>
      </c>
      <c r="D208" s="7">
        <v>1</v>
      </c>
      <c r="E208" s="52">
        <f t="shared" si="172"/>
        <v>2</v>
      </c>
      <c r="F208" s="8"/>
      <c r="G208" s="6"/>
      <c r="H208" s="7">
        <v>1</v>
      </c>
      <c r="I208" s="52">
        <f t="shared" si="173"/>
        <v>1</v>
      </c>
      <c r="J208" s="60">
        <f t="shared" si="174"/>
        <v>3</v>
      </c>
      <c r="K208" s="157">
        <v>46218</v>
      </c>
      <c r="M208" s="121" t="s">
        <v>93</v>
      </c>
      <c r="N208" s="122"/>
      <c r="O208" s="123"/>
      <c r="P208" s="124"/>
      <c r="Q208" s="125">
        <f t="shared" si="184"/>
        <v>0</v>
      </c>
      <c r="R208" s="159"/>
      <c r="S208" s="123"/>
      <c r="T208" s="124"/>
      <c r="U208" s="125">
        <f t="shared" si="185"/>
        <v>0</v>
      </c>
      <c r="V208" s="126">
        <f t="shared" si="186"/>
        <v>0</v>
      </c>
      <c r="W208" s="97"/>
    </row>
    <row r="209" spans="1:23" x14ac:dyDescent="0.15">
      <c r="A209" s="17"/>
      <c r="B209" s="9"/>
      <c r="C209" s="10"/>
      <c r="D209" s="11"/>
      <c r="E209" s="53">
        <f t="shared" si="172"/>
        <v>0</v>
      </c>
      <c r="F209" s="12"/>
      <c r="G209" s="10"/>
      <c r="H209" s="11"/>
      <c r="I209" s="53">
        <f t="shared" si="173"/>
        <v>0</v>
      </c>
      <c r="J209" s="60">
        <f t="shared" si="174"/>
        <v>0</v>
      </c>
      <c r="M209" s="20" t="s">
        <v>105</v>
      </c>
      <c r="N209" s="5"/>
      <c r="O209" s="6"/>
      <c r="P209" s="7"/>
      <c r="Q209" s="52">
        <f t="shared" si="184"/>
        <v>0</v>
      </c>
      <c r="R209" s="8"/>
      <c r="S209" s="6"/>
      <c r="T209" s="7"/>
      <c r="U209" s="52">
        <f t="shared" si="185"/>
        <v>0</v>
      </c>
      <c r="V209" s="60">
        <f t="shared" si="186"/>
        <v>0</v>
      </c>
      <c r="W209" s="97" t="s">
        <v>94</v>
      </c>
    </row>
    <row r="210" spans="1:23" x14ac:dyDescent="0.15">
      <c r="A210" s="17"/>
      <c r="B210" s="5"/>
      <c r="C210" s="6"/>
      <c r="D210" s="7"/>
      <c r="E210" s="52">
        <f t="shared" si="172"/>
        <v>0</v>
      </c>
      <c r="F210" s="8"/>
      <c r="G210" s="6"/>
      <c r="H210" s="7"/>
      <c r="I210" s="52">
        <f t="shared" si="173"/>
        <v>0</v>
      </c>
      <c r="J210" s="60">
        <f t="shared" si="174"/>
        <v>0</v>
      </c>
      <c r="M210" s="110" t="s">
        <v>109</v>
      </c>
      <c r="N210" s="111">
        <v>-10</v>
      </c>
      <c r="O210" s="112">
        <v>-10</v>
      </c>
      <c r="P210" s="113">
        <v>-10</v>
      </c>
      <c r="Q210" s="114">
        <f t="shared" ref="Q210:Q211" si="187">SUM(N210:P210)</f>
        <v>-30</v>
      </c>
      <c r="R210" s="111">
        <v>-15</v>
      </c>
      <c r="S210" s="112">
        <v>-15</v>
      </c>
      <c r="T210" s="113">
        <v>-15</v>
      </c>
      <c r="U210" s="114">
        <f t="shared" ref="U210:U211" si="188">SUM(R210:T210)</f>
        <v>-45</v>
      </c>
      <c r="V210" s="115">
        <f t="shared" ref="V210:V211" si="189">Q210+U210</f>
        <v>-75</v>
      </c>
      <c r="W210" s="108"/>
    </row>
    <row r="211" spans="1:23" ht="14.25" thickBot="1" x14ac:dyDescent="0.2">
      <c r="A211" s="17"/>
      <c r="B211" s="9"/>
      <c r="C211" s="10"/>
      <c r="D211" s="11"/>
      <c r="E211" s="56">
        <f t="shared" si="172"/>
        <v>0</v>
      </c>
      <c r="F211" s="12"/>
      <c r="G211" s="10"/>
      <c r="H211" s="11"/>
      <c r="I211" s="56">
        <f t="shared" si="173"/>
        <v>0</v>
      </c>
      <c r="J211" s="60">
        <f t="shared" si="174"/>
        <v>0</v>
      </c>
      <c r="M211" s="109" t="s">
        <v>108</v>
      </c>
      <c r="N211" s="116">
        <v>20</v>
      </c>
      <c r="O211" s="117">
        <v>20</v>
      </c>
      <c r="P211" s="118">
        <v>20</v>
      </c>
      <c r="Q211" s="106">
        <f t="shared" si="187"/>
        <v>60</v>
      </c>
      <c r="R211" s="119">
        <v>20</v>
      </c>
      <c r="S211" s="117">
        <v>20</v>
      </c>
      <c r="T211" s="118">
        <v>20</v>
      </c>
      <c r="U211" s="106">
        <f t="shared" si="188"/>
        <v>60</v>
      </c>
      <c r="V211" s="107">
        <f t="shared" si="189"/>
        <v>120</v>
      </c>
      <c r="W211" s="108" t="s">
        <v>123</v>
      </c>
    </row>
    <row r="212" spans="1:23" ht="14.25" thickBot="1" x14ac:dyDescent="0.2">
      <c r="A212" s="31" t="s">
        <v>19</v>
      </c>
      <c r="B212" s="34">
        <f>SUM(B186:B211)</f>
        <v>17</v>
      </c>
      <c r="C212" s="35">
        <f t="shared" ref="C212:D212" si="190">SUM(C186:C211)</f>
        <v>21</v>
      </c>
      <c r="D212" s="39">
        <f t="shared" si="190"/>
        <v>28</v>
      </c>
      <c r="E212" s="57">
        <f t="shared" si="172"/>
        <v>66</v>
      </c>
      <c r="F212" s="34">
        <f>SUM(F186:F211)</f>
        <v>6</v>
      </c>
      <c r="G212" s="35">
        <f t="shared" ref="G212:H212" si="191">SUM(G186:G211)</f>
        <v>9</v>
      </c>
      <c r="H212" s="39">
        <f t="shared" si="191"/>
        <v>6</v>
      </c>
      <c r="I212" s="57">
        <f t="shared" si="173"/>
        <v>21</v>
      </c>
      <c r="J212" s="63">
        <f>E212+I212</f>
        <v>87</v>
      </c>
      <c r="M212" s="31" t="s">
        <v>19</v>
      </c>
      <c r="N212" s="34">
        <f>SUM(N186:N211)</f>
        <v>72</v>
      </c>
      <c r="O212" s="35">
        <f t="shared" ref="O212:P212" si="192">SUM(O186:O211)</f>
        <v>102</v>
      </c>
      <c r="P212" s="39">
        <f t="shared" si="192"/>
        <v>103</v>
      </c>
      <c r="Q212" s="57">
        <f t="shared" si="178"/>
        <v>277</v>
      </c>
      <c r="R212" s="34">
        <f>SUM(R186:R211)</f>
        <v>35</v>
      </c>
      <c r="S212" s="35">
        <f t="shared" ref="S212:T212" si="193">SUM(S186:S211)</f>
        <v>40</v>
      </c>
      <c r="T212" s="39">
        <f t="shared" si="193"/>
        <v>34</v>
      </c>
      <c r="U212" s="57">
        <f t="shared" si="179"/>
        <v>109</v>
      </c>
      <c r="V212" s="63">
        <f>Q212+U212</f>
        <v>386</v>
      </c>
    </row>
    <row r="213" spans="1:23" ht="14.25" thickBot="1" x14ac:dyDescent="0.2">
      <c r="A213" s="16" t="s">
        <v>17</v>
      </c>
      <c r="B213" s="64">
        <f>B185-B212</f>
        <v>4</v>
      </c>
      <c r="C213" s="65">
        <f t="shared" ref="C213:D213" si="194">C185-C212</f>
        <v>5</v>
      </c>
      <c r="D213" s="66">
        <f t="shared" si="194"/>
        <v>1</v>
      </c>
      <c r="E213" s="58">
        <f>SUM(B213:D213)</f>
        <v>10</v>
      </c>
      <c r="F213" s="64">
        <f>F185-F212</f>
        <v>4</v>
      </c>
      <c r="G213" s="65">
        <f t="shared" ref="G213:H213" si="195">G185-G212</f>
        <v>5</v>
      </c>
      <c r="H213" s="66">
        <f t="shared" si="195"/>
        <v>1</v>
      </c>
      <c r="I213" s="58">
        <f>SUM(F213:H213)</f>
        <v>10</v>
      </c>
      <c r="J213" s="62">
        <f>E213+I213</f>
        <v>20</v>
      </c>
      <c r="M213" s="16" t="s">
        <v>17</v>
      </c>
      <c r="N213" s="64">
        <f>N185-N212</f>
        <v>469</v>
      </c>
      <c r="O213" s="65">
        <f t="shared" ref="O213:P213" si="196">O185-O212</f>
        <v>469</v>
      </c>
      <c r="P213" s="66">
        <f t="shared" si="196"/>
        <v>210</v>
      </c>
      <c r="Q213" s="58">
        <f>SUM(N213:P213)</f>
        <v>1148</v>
      </c>
      <c r="R213" s="64">
        <f>R185-R212</f>
        <v>554</v>
      </c>
      <c r="S213" s="65">
        <f t="shared" ref="S213:T213" si="197">S185-S212</f>
        <v>608</v>
      </c>
      <c r="T213" s="66">
        <f t="shared" si="197"/>
        <v>347</v>
      </c>
      <c r="U213" s="58">
        <f>SUM(R213:T213)</f>
        <v>1509</v>
      </c>
      <c r="V213" s="62">
        <f>Q213+U213</f>
        <v>2657</v>
      </c>
      <c r="W213" s="149" t="s">
        <v>106</v>
      </c>
    </row>
    <row r="216" spans="1:23" ht="19.5" thickBot="1" x14ac:dyDescent="0.25">
      <c r="A216" s="102" t="s">
        <v>23</v>
      </c>
      <c r="B216" s="103"/>
      <c r="C216" s="103"/>
      <c r="D216" s="103"/>
      <c r="E216" s="103"/>
      <c r="F216" s="103"/>
      <c r="G216" s="103"/>
      <c r="H216" s="103"/>
      <c r="I216" s="103" t="s">
        <v>31</v>
      </c>
      <c r="J216" s="103"/>
      <c r="M216" s="104" t="s">
        <v>27</v>
      </c>
      <c r="N216" s="105"/>
      <c r="O216" s="105"/>
      <c r="P216" s="105"/>
      <c r="Q216" s="105"/>
      <c r="R216" s="105"/>
      <c r="S216" s="105"/>
      <c r="T216" s="105"/>
      <c r="U216" s="105" t="s">
        <v>31</v>
      </c>
      <c r="V216" s="105"/>
    </row>
    <row r="217" spans="1:23" ht="14.25" thickBot="1" x14ac:dyDescent="0.2">
      <c r="A217" s="4" t="s">
        <v>0</v>
      </c>
      <c r="B217" s="183" t="s">
        <v>18</v>
      </c>
      <c r="C217" s="184"/>
      <c r="D217" s="184"/>
      <c r="E217" s="185"/>
      <c r="F217" s="186" t="s">
        <v>22</v>
      </c>
      <c r="G217" s="187"/>
      <c r="H217" s="187"/>
      <c r="I217" s="188"/>
      <c r="J217" s="181" t="s">
        <v>1</v>
      </c>
      <c r="M217" s="4" t="s">
        <v>0</v>
      </c>
      <c r="N217" s="183" t="s">
        <v>18</v>
      </c>
      <c r="O217" s="184"/>
      <c r="P217" s="184"/>
      <c r="Q217" s="185"/>
      <c r="R217" s="186" t="s">
        <v>22</v>
      </c>
      <c r="S217" s="187"/>
      <c r="T217" s="187"/>
      <c r="U217" s="188"/>
      <c r="V217" s="181" t="s">
        <v>1</v>
      </c>
    </row>
    <row r="218" spans="1:23" ht="14.25" thickBot="1" x14ac:dyDescent="0.2">
      <c r="A218" s="4" t="s">
        <v>2</v>
      </c>
      <c r="B218" s="1" t="s">
        <v>3</v>
      </c>
      <c r="C218" s="2" t="s">
        <v>4</v>
      </c>
      <c r="D218" s="3" t="s">
        <v>5</v>
      </c>
      <c r="E218" s="4" t="s">
        <v>6</v>
      </c>
      <c r="F218" s="1" t="s">
        <v>3</v>
      </c>
      <c r="G218" s="2" t="s">
        <v>4</v>
      </c>
      <c r="H218" s="3" t="s">
        <v>5</v>
      </c>
      <c r="I218" s="4" t="s">
        <v>6</v>
      </c>
      <c r="J218" s="182"/>
      <c r="M218" s="4" t="s">
        <v>2</v>
      </c>
      <c r="N218" s="1" t="s">
        <v>3</v>
      </c>
      <c r="O218" s="2" t="s">
        <v>4</v>
      </c>
      <c r="P218" s="3" t="s">
        <v>5</v>
      </c>
      <c r="Q218" s="4" t="s">
        <v>6</v>
      </c>
      <c r="R218" s="1" t="s">
        <v>3</v>
      </c>
      <c r="S218" s="2" t="s">
        <v>4</v>
      </c>
      <c r="T218" s="3" t="s">
        <v>5</v>
      </c>
      <c r="U218" s="4" t="s">
        <v>6</v>
      </c>
      <c r="V218" s="182"/>
    </row>
    <row r="219" spans="1:23" ht="14.25" thickBot="1" x14ac:dyDescent="0.2">
      <c r="A219" s="21" t="s">
        <v>20</v>
      </c>
      <c r="B219" s="32">
        <f>B213</f>
        <v>4</v>
      </c>
      <c r="C219" s="33">
        <f>C213</f>
        <v>5</v>
      </c>
      <c r="D219" s="40">
        <f>D213</f>
        <v>1</v>
      </c>
      <c r="E219" s="50">
        <f>SUM(B219:D219)</f>
        <v>10</v>
      </c>
      <c r="F219" s="32">
        <f>F213</f>
        <v>4</v>
      </c>
      <c r="G219" s="33">
        <f>G213</f>
        <v>5</v>
      </c>
      <c r="H219" s="40">
        <f>H213</f>
        <v>1</v>
      </c>
      <c r="I219" s="50">
        <f>SUM(F219:H219)</f>
        <v>10</v>
      </c>
      <c r="J219" s="59">
        <f>E219+I219</f>
        <v>20</v>
      </c>
      <c r="M219" s="21" t="s">
        <v>20</v>
      </c>
      <c r="N219" s="171">
        <f>N213</f>
        <v>469</v>
      </c>
      <c r="O219" s="172">
        <f>O213</f>
        <v>469</v>
      </c>
      <c r="P219" s="173">
        <f>P213</f>
        <v>210</v>
      </c>
      <c r="Q219" s="55">
        <f>SUM(N219:P219)</f>
        <v>1148</v>
      </c>
      <c r="R219" s="171">
        <f>R213</f>
        <v>554</v>
      </c>
      <c r="S219" s="172">
        <f>S213</f>
        <v>608</v>
      </c>
      <c r="T219" s="173">
        <f>T213</f>
        <v>347</v>
      </c>
      <c r="U219" s="55">
        <f>SUM(R219:T219)</f>
        <v>1509</v>
      </c>
      <c r="V219" s="62">
        <f>Q219+U219</f>
        <v>2657</v>
      </c>
    </row>
    <row r="220" spans="1:23" x14ac:dyDescent="0.15">
      <c r="A220" s="129" t="s">
        <v>8</v>
      </c>
      <c r="B220" s="161"/>
      <c r="C220" s="162"/>
      <c r="D220" s="163"/>
      <c r="E220" s="164">
        <f>SUM(B220:D220)</f>
        <v>0</v>
      </c>
      <c r="F220" s="165"/>
      <c r="G220" s="166"/>
      <c r="H220" s="167"/>
      <c r="I220" s="164">
        <f>SUM(F220:H220)</f>
        <v>0</v>
      </c>
      <c r="J220" s="168">
        <f>E220+I220</f>
        <v>0</v>
      </c>
      <c r="K220" s="136"/>
      <c r="M220" s="19" t="s">
        <v>8</v>
      </c>
      <c r="N220" s="169"/>
      <c r="O220" s="95"/>
      <c r="P220" s="93"/>
      <c r="Q220" s="52">
        <f>SUM(N220:P220)</f>
        <v>0</v>
      </c>
      <c r="R220" s="94"/>
      <c r="S220" s="95"/>
      <c r="T220" s="93"/>
      <c r="U220" s="52">
        <f>SUM(R220:T220)</f>
        <v>0</v>
      </c>
      <c r="V220" s="170">
        <f>Q220+U220</f>
        <v>0</v>
      </c>
    </row>
    <row r="221" spans="1:23" x14ac:dyDescent="0.15">
      <c r="A221" s="19" t="s">
        <v>9</v>
      </c>
      <c r="B221" s="5"/>
      <c r="C221" s="6"/>
      <c r="D221" s="14"/>
      <c r="E221" s="52">
        <f>SUM(B221:D221)</f>
        <v>0</v>
      </c>
      <c r="F221" s="15"/>
      <c r="G221" s="13"/>
      <c r="H221" s="14"/>
      <c r="I221" s="52">
        <f>SUM(F221:H221)</f>
        <v>0</v>
      </c>
      <c r="J221" s="60">
        <f>E221+I221</f>
        <v>0</v>
      </c>
      <c r="M221" s="175" t="s">
        <v>149</v>
      </c>
      <c r="N221" s="176">
        <v>10</v>
      </c>
      <c r="O221" s="177">
        <v>20</v>
      </c>
      <c r="P221" s="178">
        <v>20</v>
      </c>
      <c r="Q221" s="106">
        <f>SUM(N221:P221)</f>
        <v>50</v>
      </c>
      <c r="R221" s="179">
        <v>52</v>
      </c>
      <c r="S221" s="180">
        <v>62</v>
      </c>
      <c r="T221" s="178">
        <v>60</v>
      </c>
      <c r="U221" s="106">
        <f>SUM(R221:T221)</f>
        <v>174</v>
      </c>
      <c r="V221" s="107">
        <f>Q221+U221</f>
        <v>224</v>
      </c>
      <c r="W221" s="108">
        <v>46220</v>
      </c>
    </row>
    <row r="222" spans="1:23" x14ac:dyDescent="0.15">
      <c r="A222" s="19" t="s">
        <v>10</v>
      </c>
      <c r="B222" s="5"/>
      <c r="C222" s="6"/>
      <c r="D222" s="7"/>
      <c r="E222" s="52">
        <f t="shared" ref="E222:E227" si="198">SUM(B222:D222)</f>
        <v>0</v>
      </c>
      <c r="F222" s="8"/>
      <c r="G222" s="6"/>
      <c r="H222" s="7"/>
      <c r="I222" s="52">
        <f t="shared" ref="I222:I227" si="199">SUM(F222:H222)</f>
        <v>0</v>
      </c>
      <c r="J222" s="60">
        <f t="shared" ref="J222:J227" si="200">E222+I222</f>
        <v>0</v>
      </c>
      <c r="M222" s="19" t="s">
        <v>10</v>
      </c>
      <c r="N222" s="75"/>
      <c r="O222" s="76"/>
      <c r="P222" s="93"/>
      <c r="Q222" s="52">
        <f t="shared" ref="Q222:Q227" si="201">SUM(N222:P222)</f>
        <v>0</v>
      </c>
      <c r="R222" s="94"/>
      <c r="S222" s="95"/>
      <c r="T222" s="93"/>
      <c r="U222" s="52">
        <f t="shared" ref="U222:U227" si="202">SUM(R222:T222)</f>
        <v>0</v>
      </c>
      <c r="V222" s="60">
        <f t="shared" ref="V222:V227" si="203">Q222+U222</f>
        <v>0</v>
      </c>
    </row>
    <row r="223" spans="1:23" x14ac:dyDescent="0.15">
      <c r="A223" s="19" t="s">
        <v>11</v>
      </c>
      <c r="B223" s="5"/>
      <c r="C223" s="6"/>
      <c r="D223" s="36"/>
      <c r="E223" s="53">
        <f t="shared" si="198"/>
        <v>0</v>
      </c>
      <c r="F223" s="8"/>
      <c r="G223" s="6"/>
      <c r="H223" s="7"/>
      <c r="I223" s="53">
        <f t="shared" si="199"/>
        <v>0</v>
      </c>
      <c r="J223" s="60">
        <f t="shared" si="200"/>
        <v>0</v>
      </c>
      <c r="M223" s="19" t="s">
        <v>11</v>
      </c>
      <c r="N223" s="75"/>
      <c r="O223" s="76"/>
      <c r="P223" s="93"/>
      <c r="Q223" s="52">
        <f t="shared" si="201"/>
        <v>0</v>
      </c>
      <c r="R223" s="94"/>
      <c r="S223" s="95"/>
      <c r="T223" s="93"/>
      <c r="U223" s="52">
        <f t="shared" si="202"/>
        <v>0</v>
      </c>
      <c r="V223" s="60">
        <f t="shared" si="203"/>
        <v>0</v>
      </c>
    </row>
    <row r="224" spans="1:23" x14ac:dyDescent="0.15">
      <c r="A224" s="19" t="s">
        <v>12</v>
      </c>
      <c r="B224" s="5"/>
      <c r="C224" s="6"/>
      <c r="D224" s="36"/>
      <c r="E224" s="53">
        <f t="shared" si="198"/>
        <v>0</v>
      </c>
      <c r="F224" s="8"/>
      <c r="G224" s="6"/>
      <c r="H224" s="7"/>
      <c r="I224" s="53">
        <f t="shared" si="199"/>
        <v>0</v>
      </c>
      <c r="J224" s="60">
        <f t="shared" si="200"/>
        <v>0</v>
      </c>
      <c r="M224" s="19" t="s">
        <v>12</v>
      </c>
      <c r="N224" s="75"/>
      <c r="O224" s="76"/>
      <c r="P224" s="78"/>
      <c r="Q224" s="53">
        <f t="shared" si="201"/>
        <v>0</v>
      </c>
      <c r="R224" s="88"/>
      <c r="S224" s="76"/>
      <c r="T224" s="77"/>
      <c r="U224" s="53">
        <f t="shared" si="202"/>
        <v>0</v>
      </c>
      <c r="V224" s="60">
        <f t="shared" si="203"/>
        <v>0</v>
      </c>
    </row>
    <row r="225" spans="1:22" x14ac:dyDescent="0.15">
      <c r="A225" s="19" t="s">
        <v>13</v>
      </c>
      <c r="B225" s="5"/>
      <c r="C225" s="6"/>
      <c r="D225" s="36"/>
      <c r="E225" s="53">
        <f t="shared" si="198"/>
        <v>0</v>
      </c>
      <c r="F225" s="8"/>
      <c r="G225" s="6"/>
      <c r="H225" s="7"/>
      <c r="I225" s="53">
        <f t="shared" si="199"/>
        <v>0</v>
      </c>
      <c r="J225" s="60">
        <f t="shared" si="200"/>
        <v>0</v>
      </c>
      <c r="M225" s="19" t="s">
        <v>13</v>
      </c>
      <c r="N225" s="79"/>
      <c r="O225" s="80"/>
      <c r="P225" s="81"/>
      <c r="Q225" s="53">
        <f t="shared" si="201"/>
        <v>0</v>
      </c>
      <c r="R225" s="89"/>
      <c r="S225" s="80"/>
      <c r="T225" s="90"/>
      <c r="U225" s="53">
        <f t="shared" si="202"/>
        <v>0</v>
      </c>
      <c r="V225" s="60">
        <f t="shared" si="203"/>
        <v>0</v>
      </c>
    </row>
    <row r="226" spans="1:22" x14ac:dyDescent="0.15">
      <c r="A226" s="19" t="s">
        <v>14</v>
      </c>
      <c r="B226" s="9"/>
      <c r="C226" s="10"/>
      <c r="D226" s="37"/>
      <c r="E226" s="53">
        <f t="shared" si="198"/>
        <v>0</v>
      </c>
      <c r="F226" s="12"/>
      <c r="G226" s="10"/>
      <c r="H226" s="11"/>
      <c r="I226" s="53">
        <f t="shared" si="199"/>
        <v>0</v>
      </c>
      <c r="J226" s="60">
        <f t="shared" si="200"/>
        <v>0</v>
      </c>
      <c r="M226" s="19" t="s">
        <v>14</v>
      </c>
      <c r="N226" s="79"/>
      <c r="O226" s="80"/>
      <c r="P226" s="81"/>
      <c r="Q226" s="53">
        <f t="shared" si="201"/>
        <v>0</v>
      </c>
      <c r="R226" s="89"/>
      <c r="S226" s="80"/>
      <c r="T226" s="90"/>
      <c r="U226" s="53">
        <f t="shared" si="202"/>
        <v>0</v>
      </c>
      <c r="V226" s="60">
        <f t="shared" si="203"/>
        <v>0</v>
      </c>
    </row>
    <row r="227" spans="1:22" ht="14.25" thickBot="1" x14ac:dyDescent="0.2">
      <c r="A227" s="19" t="s">
        <v>15</v>
      </c>
      <c r="B227" s="25"/>
      <c r="C227" s="26"/>
      <c r="D227" s="38"/>
      <c r="E227" s="54">
        <f t="shared" si="198"/>
        <v>0</v>
      </c>
      <c r="F227" s="27"/>
      <c r="G227" s="27"/>
      <c r="H227" s="29"/>
      <c r="I227" s="54">
        <f t="shared" si="199"/>
        <v>0</v>
      </c>
      <c r="J227" s="61">
        <f t="shared" si="200"/>
        <v>0</v>
      </c>
      <c r="M227" s="19" t="s">
        <v>15</v>
      </c>
      <c r="N227" s="79"/>
      <c r="O227" s="80"/>
      <c r="P227" s="81"/>
      <c r="Q227" s="53">
        <f t="shared" si="201"/>
        <v>0</v>
      </c>
      <c r="R227" s="89"/>
      <c r="S227" s="80"/>
      <c r="T227" s="90"/>
      <c r="U227" s="53">
        <f t="shared" si="202"/>
        <v>0</v>
      </c>
      <c r="V227" s="60">
        <f t="shared" si="203"/>
        <v>0</v>
      </c>
    </row>
    <row r="228" spans="1:22" ht="14.25" thickBot="1" x14ac:dyDescent="0.2">
      <c r="A228" s="28" t="s">
        <v>16</v>
      </c>
      <c r="B228" s="22">
        <f>SUM(B219:B227)</f>
        <v>4</v>
      </c>
      <c r="C228" s="23">
        <f t="shared" ref="C228:D228" si="204">SUM(C219:C227)</f>
        <v>5</v>
      </c>
      <c r="D228" s="24">
        <f t="shared" si="204"/>
        <v>1</v>
      </c>
      <c r="E228" s="55">
        <f>SUM(B228:D228)</f>
        <v>10</v>
      </c>
      <c r="F228" s="22">
        <f>SUM(F219:F227)</f>
        <v>4</v>
      </c>
      <c r="G228" s="23">
        <f t="shared" ref="G228:H228" si="205">SUM(G219:G227)</f>
        <v>5</v>
      </c>
      <c r="H228" s="24">
        <f t="shared" si="205"/>
        <v>1</v>
      </c>
      <c r="I228" s="55">
        <f>SUM(F228:H228)</f>
        <v>10</v>
      </c>
      <c r="J228" s="62">
        <f>SUM(J220:J227)</f>
        <v>0</v>
      </c>
      <c r="M228" s="28" t="s">
        <v>16</v>
      </c>
      <c r="N228" s="22">
        <f>SUM(N219:N227)</f>
        <v>479</v>
      </c>
      <c r="O228" s="23">
        <f t="shared" ref="O228:P228" si="206">SUM(O219:O227)</f>
        <v>489</v>
      </c>
      <c r="P228" s="24">
        <f t="shared" si="206"/>
        <v>230</v>
      </c>
      <c r="Q228" s="55">
        <f>SUM(N228:P228)</f>
        <v>1198</v>
      </c>
      <c r="R228" s="22">
        <f>SUM(R219:R227)</f>
        <v>606</v>
      </c>
      <c r="S228" s="23">
        <f t="shared" ref="S228:T228" si="207">SUM(S219:S227)</f>
        <v>670</v>
      </c>
      <c r="T228" s="24">
        <f t="shared" si="207"/>
        <v>407</v>
      </c>
      <c r="U228" s="55">
        <f>SUM(R228:T228)</f>
        <v>1683</v>
      </c>
      <c r="V228" s="62">
        <f>Q228+U228</f>
        <v>2881</v>
      </c>
    </row>
    <row r="229" spans="1:22" x14ac:dyDescent="0.15">
      <c r="A229" s="17"/>
      <c r="B229" s="5"/>
      <c r="C229" s="6"/>
      <c r="D229" s="7"/>
      <c r="E229" s="52">
        <f t="shared" ref="E229:E232" si="208">SUM(B229:D229)</f>
        <v>0</v>
      </c>
      <c r="F229" s="8"/>
      <c r="G229" s="6"/>
      <c r="H229" s="7"/>
      <c r="I229" s="52">
        <f t="shared" ref="I229:I232" si="209">SUM(F229:H229)</f>
        <v>0</v>
      </c>
      <c r="J229" s="60">
        <f t="shared" ref="J229:J232" si="210">E229+I229</f>
        <v>0</v>
      </c>
      <c r="M229" s="20"/>
      <c r="N229" s="5"/>
      <c r="O229" s="6"/>
      <c r="P229" s="14"/>
      <c r="Q229" s="52">
        <f t="shared" ref="Q229:Q236" si="211">SUM(N229:P229)</f>
        <v>0</v>
      </c>
      <c r="R229" s="15"/>
      <c r="S229" s="13"/>
      <c r="T229" s="14"/>
      <c r="U229" s="52">
        <f t="shared" ref="U229:U236" si="212">SUM(R229:T229)</f>
        <v>0</v>
      </c>
      <c r="V229" s="60">
        <f t="shared" ref="V229:V236" si="213">Q229+U229</f>
        <v>0</v>
      </c>
    </row>
    <row r="230" spans="1:22" x14ac:dyDescent="0.15">
      <c r="A230" s="17"/>
      <c r="B230" s="5"/>
      <c r="C230" s="6"/>
      <c r="D230" s="7"/>
      <c r="E230" s="52">
        <f t="shared" si="208"/>
        <v>0</v>
      </c>
      <c r="F230" s="8"/>
      <c r="G230" s="6"/>
      <c r="H230" s="7"/>
      <c r="I230" s="52">
        <f t="shared" si="209"/>
        <v>0</v>
      </c>
      <c r="J230" s="60">
        <f t="shared" si="210"/>
        <v>0</v>
      </c>
      <c r="M230" s="20"/>
      <c r="N230" s="5"/>
      <c r="O230" s="6"/>
      <c r="P230" s="14"/>
      <c r="Q230" s="52">
        <f t="shared" si="211"/>
        <v>0</v>
      </c>
      <c r="R230" s="15"/>
      <c r="S230" s="13"/>
      <c r="T230" s="14"/>
      <c r="U230" s="52">
        <f t="shared" si="212"/>
        <v>0</v>
      </c>
      <c r="V230" s="60">
        <f t="shared" si="213"/>
        <v>0</v>
      </c>
    </row>
    <row r="231" spans="1:22" x14ac:dyDescent="0.15">
      <c r="A231" s="17"/>
      <c r="B231" s="5"/>
      <c r="C231" s="6"/>
      <c r="D231" s="7"/>
      <c r="E231" s="52">
        <f t="shared" si="208"/>
        <v>0</v>
      </c>
      <c r="F231" s="8"/>
      <c r="G231" s="6"/>
      <c r="H231" s="7"/>
      <c r="I231" s="52">
        <f t="shared" si="209"/>
        <v>0</v>
      </c>
      <c r="J231" s="60">
        <f t="shared" si="210"/>
        <v>0</v>
      </c>
      <c r="M231" s="20"/>
      <c r="N231" s="5"/>
      <c r="O231" s="6"/>
      <c r="P231" s="14"/>
      <c r="Q231" s="52">
        <f t="shared" si="211"/>
        <v>0</v>
      </c>
      <c r="R231" s="15"/>
      <c r="S231" s="13"/>
      <c r="T231" s="14"/>
      <c r="U231" s="52">
        <f t="shared" si="212"/>
        <v>0</v>
      </c>
      <c r="V231" s="60">
        <f t="shared" si="213"/>
        <v>0</v>
      </c>
    </row>
    <row r="232" spans="1:22" x14ac:dyDescent="0.15">
      <c r="A232" s="17"/>
      <c r="B232" s="5"/>
      <c r="C232" s="6"/>
      <c r="D232" s="7"/>
      <c r="E232" s="52">
        <f t="shared" si="208"/>
        <v>0</v>
      </c>
      <c r="F232" s="8"/>
      <c r="G232" s="6"/>
      <c r="H232" s="7"/>
      <c r="I232" s="52">
        <f t="shared" si="209"/>
        <v>0</v>
      </c>
      <c r="J232" s="60">
        <f t="shared" si="210"/>
        <v>0</v>
      </c>
      <c r="M232" s="20"/>
      <c r="N232" s="5"/>
      <c r="O232" s="6"/>
      <c r="P232" s="14"/>
      <c r="Q232" s="52">
        <f t="shared" si="211"/>
        <v>0</v>
      </c>
      <c r="R232" s="15"/>
      <c r="S232" s="13"/>
      <c r="T232" s="14"/>
      <c r="U232" s="52">
        <f t="shared" si="212"/>
        <v>0</v>
      </c>
      <c r="V232" s="60">
        <f t="shared" si="213"/>
        <v>0</v>
      </c>
    </row>
    <row r="233" spans="1:22" x14ac:dyDescent="0.15">
      <c r="A233" s="17"/>
      <c r="B233" s="5"/>
      <c r="C233" s="6"/>
      <c r="D233" s="7"/>
      <c r="E233" s="52">
        <f t="shared" ref="E233:E255" si="214">SUM(B233:D233)</f>
        <v>0</v>
      </c>
      <c r="F233" s="8"/>
      <c r="G233" s="6"/>
      <c r="H233" s="7"/>
      <c r="I233" s="52">
        <f t="shared" ref="I233:I255" si="215">SUM(F233:H233)</f>
        <v>0</v>
      </c>
      <c r="J233" s="60">
        <f t="shared" ref="J233:J254" si="216">E233+I233</f>
        <v>0</v>
      </c>
      <c r="M233" s="20"/>
      <c r="N233" s="5"/>
      <c r="O233" s="6"/>
      <c r="P233" s="14"/>
      <c r="Q233" s="52">
        <f t="shared" si="211"/>
        <v>0</v>
      </c>
      <c r="R233" s="15"/>
      <c r="S233" s="13"/>
      <c r="T233" s="14"/>
      <c r="U233" s="52">
        <f t="shared" si="212"/>
        <v>0</v>
      </c>
      <c r="V233" s="60">
        <f t="shared" si="213"/>
        <v>0</v>
      </c>
    </row>
    <row r="234" spans="1:22" x14ac:dyDescent="0.15">
      <c r="A234" s="17"/>
      <c r="B234" s="5"/>
      <c r="C234" s="6"/>
      <c r="D234" s="14"/>
      <c r="E234" s="52">
        <f t="shared" si="214"/>
        <v>0</v>
      </c>
      <c r="F234" s="15"/>
      <c r="G234" s="13"/>
      <c r="H234" s="14"/>
      <c r="I234" s="52">
        <f t="shared" si="215"/>
        <v>0</v>
      </c>
      <c r="J234" s="60">
        <f t="shared" si="216"/>
        <v>0</v>
      </c>
      <c r="M234" s="20"/>
      <c r="N234" s="5"/>
      <c r="O234" s="6"/>
      <c r="P234" s="14"/>
      <c r="Q234" s="52">
        <f t="shared" si="211"/>
        <v>0</v>
      </c>
      <c r="R234" s="15"/>
      <c r="S234" s="13"/>
      <c r="T234" s="14"/>
      <c r="U234" s="52">
        <f t="shared" si="212"/>
        <v>0</v>
      </c>
      <c r="V234" s="60">
        <f t="shared" si="213"/>
        <v>0</v>
      </c>
    </row>
    <row r="235" spans="1:22" x14ac:dyDescent="0.15">
      <c r="A235" s="17"/>
      <c r="B235" s="5"/>
      <c r="C235" s="6"/>
      <c r="D235" s="7"/>
      <c r="E235" s="52">
        <f t="shared" si="214"/>
        <v>0</v>
      </c>
      <c r="F235" s="8"/>
      <c r="G235" s="6"/>
      <c r="H235" s="7"/>
      <c r="I235" s="52">
        <f t="shared" si="215"/>
        <v>0</v>
      </c>
      <c r="J235" s="60">
        <f t="shared" si="216"/>
        <v>0</v>
      </c>
      <c r="M235" s="20"/>
      <c r="N235" s="5"/>
      <c r="O235" s="6"/>
      <c r="P235" s="14"/>
      <c r="Q235" s="52">
        <f t="shared" si="211"/>
        <v>0</v>
      </c>
      <c r="R235" s="15"/>
      <c r="S235" s="13"/>
      <c r="T235" s="14"/>
      <c r="U235" s="52">
        <f t="shared" si="212"/>
        <v>0</v>
      </c>
      <c r="V235" s="60">
        <f t="shared" si="213"/>
        <v>0</v>
      </c>
    </row>
    <row r="236" spans="1:22" x14ac:dyDescent="0.15">
      <c r="A236" s="17"/>
      <c r="B236" s="5"/>
      <c r="C236" s="6"/>
      <c r="D236" s="7"/>
      <c r="E236" s="52">
        <f t="shared" si="214"/>
        <v>0</v>
      </c>
      <c r="F236" s="8"/>
      <c r="G236" s="6"/>
      <c r="H236" s="7"/>
      <c r="I236" s="52">
        <f t="shared" si="215"/>
        <v>0</v>
      </c>
      <c r="J236" s="60">
        <f t="shared" si="216"/>
        <v>0</v>
      </c>
      <c r="M236" s="20"/>
      <c r="N236" s="5"/>
      <c r="O236" s="6"/>
      <c r="P236" s="14"/>
      <c r="Q236" s="52">
        <f t="shared" si="211"/>
        <v>0</v>
      </c>
      <c r="R236" s="15"/>
      <c r="S236" s="13"/>
      <c r="T236" s="14"/>
      <c r="U236" s="52">
        <f t="shared" si="212"/>
        <v>0</v>
      </c>
      <c r="V236" s="60">
        <f t="shared" si="213"/>
        <v>0</v>
      </c>
    </row>
    <row r="237" spans="1:22" x14ac:dyDescent="0.15">
      <c r="A237" s="17"/>
      <c r="B237" s="5"/>
      <c r="C237" s="6"/>
      <c r="D237" s="7"/>
      <c r="E237" s="52">
        <f t="shared" si="214"/>
        <v>0</v>
      </c>
      <c r="F237" s="8"/>
      <c r="G237" s="6"/>
      <c r="H237" s="7"/>
      <c r="I237" s="52">
        <f t="shared" si="215"/>
        <v>0</v>
      </c>
      <c r="J237" s="60">
        <f t="shared" si="216"/>
        <v>0</v>
      </c>
      <c r="M237" s="20"/>
      <c r="N237" s="5"/>
      <c r="O237" s="6"/>
      <c r="P237" s="14"/>
      <c r="Q237" s="52">
        <f t="shared" ref="Q237:Q255" si="217">SUM(N237:P237)</f>
        <v>0</v>
      </c>
      <c r="R237" s="15"/>
      <c r="S237" s="13"/>
      <c r="T237" s="14"/>
      <c r="U237" s="52">
        <f t="shared" ref="U237:U255" si="218">SUM(R237:T237)</f>
        <v>0</v>
      </c>
      <c r="V237" s="60">
        <f t="shared" ref="V237:V246" si="219">Q237+U237</f>
        <v>0</v>
      </c>
    </row>
    <row r="238" spans="1:22" x14ac:dyDescent="0.15">
      <c r="A238" s="17"/>
      <c r="B238" s="9"/>
      <c r="C238" s="10"/>
      <c r="D238" s="11"/>
      <c r="E238" s="52">
        <f t="shared" si="214"/>
        <v>0</v>
      </c>
      <c r="F238" s="12"/>
      <c r="G238" s="10"/>
      <c r="H238" s="11"/>
      <c r="I238" s="52">
        <f t="shared" si="215"/>
        <v>0</v>
      </c>
      <c r="J238" s="60">
        <f t="shared" si="216"/>
        <v>0</v>
      </c>
      <c r="M238" s="20"/>
      <c r="N238" s="5"/>
      <c r="O238" s="6"/>
      <c r="P238" s="14"/>
      <c r="Q238" s="52">
        <f t="shared" si="217"/>
        <v>0</v>
      </c>
      <c r="R238" s="15"/>
      <c r="S238" s="13"/>
      <c r="T238" s="14"/>
      <c r="U238" s="52">
        <f t="shared" si="218"/>
        <v>0</v>
      </c>
      <c r="V238" s="60">
        <f t="shared" si="219"/>
        <v>0</v>
      </c>
    </row>
    <row r="239" spans="1:22" x14ac:dyDescent="0.15">
      <c r="A239" s="17"/>
      <c r="B239" s="5"/>
      <c r="C239" s="6"/>
      <c r="D239" s="7"/>
      <c r="E239" s="52">
        <f t="shared" si="214"/>
        <v>0</v>
      </c>
      <c r="F239" s="8"/>
      <c r="G239" s="6"/>
      <c r="H239" s="7"/>
      <c r="I239" s="52">
        <f t="shared" si="215"/>
        <v>0</v>
      </c>
      <c r="J239" s="60">
        <f t="shared" si="216"/>
        <v>0</v>
      </c>
      <c r="M239" s="20"/>
      <c r="N239" s="5"/>
      <c r="O239" s="6"/>
      <c r="P239" s="7"/>
      <c r="Q239" s="52">
        <f t="shared" si="217"/>
        <v>0</v>
      </c>
      <c r="R239" s="8"/>
      <c r="S239" s="6"/>
      <c r="T239" s="7"/>
      <c r="U239" s="52">
        <f t="shared" si="218"/>
        <v>0</v>
      </c>
      <c r="V239" s="60">
        <f t="shared" si="219"/>
        <v>0</v>
      </c>
    </row>
    <row r="240" spans="1:22" x14ac:dyDescent="0.15">
      <c r="A240" s="17"/>
      <c r="B240" s="5"/>
      <c r="C240" s="6"/>
      <c r="D240" s="7"/>
      <c r="E240" s="52">
        <f t="shared" si="214"/>
        <v>0</v>
      </c>
      <c r="F240" s="8"/>
      <c r="G240" s="6"/>
      <c r="H240" s="7"/>
      <c r="I240" s="52">
        <f t="shared" si="215"/>
        <v>0</v>
      </c>
      <c r="J240" s="60">
        <f t="shared" si="216"/>
        <v>0</v>
      </c>
      <c r="M240" s="20"/>
      <c r="N240" s="5"/>
      <c r="O240" s="6"/>
      <c r="P240" s="7"/>
      <c r="Q240" s="52">
        <f t="shared" si="217"/>
        <v>0</v>
      </c>
      <c r="R240" s="8"/>
      <c r="S240" s="6"/>
      <c r="T240" s="7"/>
      <c r="U240" s="52">
        <f t="shared" si="218"/>
        <v>0</v>
      </c>
      <c r="V240" s="60">
        <f t="shared" si="219"/>
        <v>0</v>
      </c>
    </row>
    <row r="241" spans="1:23" x14ac:dyDescent="0.15">
      <c r="A241" s="17"/>
      <c r="B241" s="5"/>
      <c r="C241" s="6"/>
      <c r="D241" s="7"/>
      <c r="E241" s="52">
        <f t="shared" si="214"/>
        <v>0</v>
      </c>
      <c r="F241" s="8"/>
      <c r="G241" s="6"/>
      <c r="H241" s="7"/>
      <c r="I241" s="52">
        <f t="shared" si="215"/>
        <v>0</v>
      </c>
      <c r="J241" s="60">
        <f t="shared" si="216"/>
        <v>0</v>
      </c>
      <c r="M241" s="18"/>
      <c r="N241" s="5"/>
      <c r="O241" s="6"/>
      <c r="P241" s="7"/>
      <c r="Q241" s="52">
        <f t="shared" si="217"/>
        <v>0</v>
      </c>
      <c r="R241" s="8"/>
      <c r="S241" s="6"/>
      <c r="T241" s="7"/>
      <c r="U241" s="52">
        <f t="shared" si="218"/>
        <v>0</v>
      </c>
      <c r="V241" s="60">
        <f t="shared" si="219"/>
        <v>0</v>
      </c>
    </row>
    <row r="242" spans="1:23" x14ac:dyDescent="0.15">
      <c r="A242" s="17"/>
      <c r="B242" s="5"/>
      <c r="C242" s="6"/>
      <c r="D242" s="7"/>
      <c r="E242" s="52">
        <f t="shared" si="214"/>
        <v>0</v>
      </c>
      <c r="F242" s="8"/>
      <c r="G242" s="6"/>
      <c r="H242" s="7"/>
      <c r="I242" s="52">
        <f t="shared" si="215"/>
        <v>0</v>
      </c>
      <c r="J242" s="60">
        <f t="shared" si="216"/>
        <v>0</v>
      </c>
      <c r="M242" s="18"/>
      <c r="N242" s="5"/>
      <c r="O242" s="6"/>
      <c r="P242" s="7"/>
      <c r="Q242" s="52">
        <f t="shared" si="217"/>
        <v>0</v>
      </c>
      <c r="R242" s="8"/>
      <c r="S242" s="6"/>
      <c r="T242" s="7"/>
      <c r="U242" s="52">
        <f t="shared" si="218"/>
        <v>0</v>
      </c>
      <c r="V242" s="60">
        <f t="shared" si="219"/>
        <v>0</v>
      </c>
    </row>
    <row r="243" spans="1:23" x14ac:dyDescent="0.15">
      <c r="A243" s="17"/>
      <c r="B243" s="5"/>
      <c r="C243" s="6"/>
      <c r="D243" s="7"/>
      <c r="E243" s="52">
        <f t="shared" si="214"/>
        <v>0</v>
      </c>
      <c r="F243" s="8"/>
      <c r="G243" s="6"/>
      <c r="H243" s="7"/>
      <c r="I243" s="52">
        <f t="shared" si="215"/>
        <v>0</v>
      </c>
      <c r="J243" s="60">
        <f t="shared" si="216"/>
        <v>0</v>
      </c>
      <c r="M243" s="20"/>
      <c r="N243" s="5"/>
      <c r="O243" s="6"/>
      <c r="P243" s="7"/>
      <c r="Q243" s="52">
        <f t="shared" si="217"/>
        <v>0</v>
      </c>
      <c r="R243" s="8"/>
      <c r="S243" s="6"/>
      <c r="T243" s="7"/>
      <c r="U243" s="52">
        <f t="shared" si="218"/>
        <v>0</v>
      </c>
      <c r="V243" s="60">
        <f t="shared" si="219"/>
        <v>0</v>
      </c>
    </row>
    <row r="244" spans="1:23" x14ac:dyDescent="0.15">
      <c r="A244" s="17"/>
      <c r="B244" s="5"/>
      <c r="C244" s="6"/>
      <c r="D244" s="7"/>
      <c r="E244" s="52">
        <f t="shared" si="214"/>
        <v>0</v>
      </c>
      <c r="F244" s="8"/>
      <c r="G244" s="6"/>
      <c r="H244" s="7"/>
      <c r="I244" s="52">
        <f t="shared" si="215"/>
        <v>0</v>
      </c>
      <c r="J244" s="60">
        <f t="shared" si="216"/>
        <v>0</v>
      </c>
      <c r="M244" s="20"/>
      <c r="N244" s="5"/>
      <c r="O244" s="6"/>
      <c r="P244" s="7"/>
      <c r="Q244" s="52">
        <f t="shared" si="217"/>
        <v>0</v>
      </c>
      <c r="R244" s="8"/>
      <c r="S244" s="6"/>
      <c r="T244" s="7"/>
      <c r="U244" s="52">
        <f t="shared" si="218"/>
        <v>0</v>
      </c>
      <c r="V244" s="60">
        <f t="shared" si="219"/>
        <v>0</v>
      </c>
    </row>
    <row r="245" spans="1:23" x14ac:dyDescent="0.15">
      <c r="A245" s="17"/>
      <c r="B245" s="5"/>
      <c r="C245" s="6"/>
      <c r="D245" s="7"/>
      <c r="E245" s="52">
        <f t="shared" si="214"/>
        <v>0</v>
      </c>
      <c r="F245" s="8"/>
      <c r="G245" s="6"/>
      <c r="H245" s="7"/>
      <c r="I245" s="52">
        <f t="shared" si="215"/>
        <v>0</v>
      </c>
      <c r="J245" s="60">
        <f t="shared" si="216"/>
        <v>0</v>
      </c>
      <c r="M245" s="18"/>
      <c r="N245" s="5"/>
      <c r="O245" s="6"/>
      <c r="P245" s="7"/>
      <c r="Q245" s="52">
        <f t="shared" si="217"/>
        <v>0</v>
      </c>
      <c r="R245" s="8"/>
      <c r="S245" s="6"/>
      <c r="T245" s="7"/>
      <c r="U245" s="52">
        <f t="shared" si="218"/>
        <v>0</v>
      </c>
      <c r="V245" s="60">
        <f t="shared" si="219"/>
        <v>0</v>
      </c>
    </row>
    <row r="246" spans="1:23" x14ac:dyDescent="0.15">
      <c r="A246" s="17"/>
      <c r="B246" s="5"/>
      <c r="C246" s="6"/>
      <c r="D246" s="7"/>
      <c r="E246" s="52">
        <f t="shared" si="214"/>
        <v>0</v>
      </c>
      <c r="F246" s="8"/>
      <c r="G246" s="6"/>
      <c r="H246" s="7"/>
      <c r="I246" s="52">
        <f t="shared" si="215"/>
        <v>0</v>
      </c>
      <c r="J246" s="60">
        <f t="shared" si="216"/>
        <v>0</v>
      </c>
      <c r="M246" s="18"/>
      <c r="N246" s="5"/>
      <c r="O246" s="6"/>
      <c r="P246" s="7"/>
      <c r="Q246" s="52">
        <f t="shared" si="217"/>
        <v>0</v>
      </c>
      <c r="R246" s="8"/>
      <c r="S246" s="6"/>
      <c r="T246" s="7"/>
      <c r="U246" s="52">
        <f t="shared" si="218"/>
        <v>0</v>
      </c>
      <c r="V246" s="60">
        <f t="shared" si="219"/>
        <v>0</v>
      </c>
    </row>
    <row r="247" spans="1:23" x14ac:dyDescent="0.15">
      <c r="A247" s="18"/>
      <c r="B247" s="5"/>
      <c r="C247" s="6"/>
      <c r="D247" s="7"/>
      <c r="E247" s="52">
        <f t="shared" si="214"/>
        <v>0</v>
      </c>
      <c r="F247" s="8"/>
      <c r="G247" s="6"/>
      <c r="H247" s="7"/>
      <c r="I247" s="52">
        <f t="shared" si="215"/>
        <v>0</v>
      </c>
      <c r="J247" s="60">
        <f t="shared" si="216"/>
        <v>0</v>
      </c>
      <c r="M247" s="18"/>
      <c r="N247" s="5"/>
      <c r="O247" s="6"/>
      <c r="P247" s="7"/>
      <c r="Q247" s="52">
        <f t="shared" ref="Q247:Q254" si="220">SUM(N247:P247)</f>
        <v>0</v>
      </c>
      <c r="R247" s="8"/>
      <c r="S247" s="6"/>
      <c r="T247" s="7"/>
      <c r="U247" s="52">
        <f t="shared" ref="U247:U254" si="221">SUM(R247:T247)</f>
        <v>0</v>
      </c>
      <c r="V247" s="60">
        <f t="shared" ref="V247:V254" si="222">Q247+U247</f>
        <v>0</v>
      </c>
    </row>
    <row r="248" spans="1:23" x14ac:dyDescent="0.15">
      <c r="A248" s="17"/>
      <c r="B248" s="5"/>
      <c r="C248" s="6"/>
      <c r="D248" s="7"/>
      <c r="E248" s="52">
        <f t="shared" si="214"/>
        <v>0</v>
      </c>
      <c r="F248" s="8"/>
      <c r="G248" s="6"/>
      <c r="H248" s="7"/>
      <c r="I248" s="52">
        <f t="shared" si="215"/>
        <v>0</v>
      </c>
      <c r="J248" s="60">
        <f t="shared" si="216"/>
        <v>0</v>
      </c>
      <c r="M248" s="18"/>
      <c r="N248" s="5"/>
      <c r="O248" s="6"/>
      <c r="P248" s="7"/>
      <c r="Q248" s="52">
        <f t="shared" si="220"/>
        <v>0</v>
      </c>
      <c r="R248" s="8"/>
      <c r="S248" s="6"/>
      <c r="T248" s="7"/>
      <c r="U248" s="52">
        <f t="shared" si="221"/>
        <v>0</v>
      </c>
      <c r="V248" s="60">
        <f t="shared" si="222"/>
        <v>0</v>
      </c>
    </row>
    <row r="249" spans="1:23" x14ac:dyDescent="0.15">
      <c r="A249" s="18"/>
      <c r="B249" s="5"/>
      <c r="C249" s="6"/>
      <c r="D249" s="7"/>
      <c r="E249" s="52">
        <f t="shared" si="214"/>
        <v>0</v>
      </c>
      <c r="F249" s="8"/>
      <c r="G249" s="6"/>
      <c r="H249" s="7"/>
      <c r="I249" s="52">
        <f t="shared" si="215"/>
        <v>0</v>
      </c>
      <c r="J249" s="60">
        <f t="shared" si="216"/>
        <v>0</v>
      </c>
      <c r="M249" s="18"/>
      <c r="N249" s="5"/>
      <c r="O249" s="6"/>
      <c r="P249" s="7"/>
      <c r="Q249" s="52">
        <f t="shared" si="220"/>
        <v>0</v>
      </c>
      <c r="R249" s="8"/>
      <c r="S249" s="6"/>
      <c r="T249" s="7"/>
      <c r="U249" s="52">
        <f t="shared" si="221"/>
        <v>0</v>
      </c>
      <c r="V249" s="60">
        <f t="shared" si="222"/>
        <v>0</v>
      </c>
    </row>
    <row r="250" spans="1:23" x14ac:dyDescent="0.15">
      <c r="A250" s="17"/>
      <c r="B250" s="9"/>
      <c r="C250" s="10"/>
      <c r="D250" s="11"/>
      <c r="E250" s="52">
        <f t="shared" si="214"/>
        <v>0</v>
      </c>
      <c r="F250" s="12"/>
      <c r="G250" s="10"/>
      <c r="H250" s="11"/>
      <c r="I250" s="52">
        <f t="shared" si="215"/>
        <v>0</v>
      </c>
      <c r="J250" s="60">
        <f t="shared" si="216"/>
        <v>0</v>
      </c>
      <c r="M250" s="18"/>
      <c r="N250" s="5"/>
      <c r="O250" s="6"/>
      <c r="P250" s="7"/>
      <c r="Q250" s="52">
        <f t="shared" si="220"/>
        <v>0</v>
      </c>
      <c r="R250" s="8"/>
      <c r="S250" s="6"/>
      <c r="T250" s="7"/>
      <c r="U250" s="52">
        <f t="shared" si="221"/>
        <v>0</v>
      </c>
      <c r="V250" s="60">
        <f t="shared" si="222"/>
        <v>0</v>
      </c>
    </row>
    <row r="251" spans="1:23" x14ac:dyDescent="0.15">
      <c r="A251" s="17"/>
      <c r="B251" s="5"/>
      <c r="C251" s="6"/>
      <c r="D251" s="7"/>
      <c r="E251" s="52">
        <f t="shared" si="214"/>
        <v>0</v>
      </c>
      <c r="F251" s="8"/>
      <c r="G251" s="6"/>
      <c r="H251" s="7"/>
      <c r="I251" s="52">
        <f t="shared" si="215"/>
        <v>0</v>
      </c>
      <c r="J251" s="60">
        <f t="shared" si="216"/>
        <v>0</v>
      </c>
      <c r="M251" s="18"/>
      <c r="N251" s="5"/>
      <c r="O251" s="6"/>
      <c r="P251" s="7"/>
      <c r="Q251" s="52">
        <f t="shared" si="220"/>
        <v>0</v>
      </c>
      <c r="R251" s="8"/>
      <c r="S251" s="6"/>
      <c r="T251" s="7"/>
      <c r="U251" s="52">
        <f t="shared" si="221"/>
        <v>0</v>
      </c>
      <c r="V251" s="60">
        <f t="shared" si="222"/>
        <v>0</v>
      </c>
    </row>
    <row r="252" spans="1:23" x14ac:dyDescent="0.15">
      <c r="A252" s="17"/>
      <c r="B252" s="9"/>
      <c r="C252" s="10"/>
      <c r="D252" s="11"/>
      <c r="E252" s="53">
        <f t="shared" si="214"/>
        <v>0</v>
      </c>
      <c r="F252" s="12"/>
      <c r="G252" s="10"/>
      <c r="H252" s="11"/>
      <c r="I252" s="53">
        <f t="shared" si="215"/>
        <v>0</v>
      </c>
      <c r="J252" s="60">
        <f t="shared" si="216"/>
        <v>0</v>
      </c>
      <c r="M252" s="174" t="s">
        <v>163</v>
      </c>
      <c r="N252" s="116">
        <v>5</v>
      </c>
      <c r="O252" s="117">
        <v>5</v>
      </c>
      <c r="P252" s="118">
        <v>5</v>
      </c>
      <c r="Q252" s="106">
        <f t="shared" ref="Q252:Q253" si="223">SUM(N252:P252)</f>
        <v>15</v>
      </c>
      <c r="R252" s="119">
        <v>5</v>
      </c>
      <c r="S252" s="117">
        <v>5</v>
      </c>
      <c r="T252" s="118">
        <v>5</v>
      </c>
      <c r="U252" s="106">
        <f t="shared" ref="U252:U253" si="224">SUM(R252:T252)</f>
        <v>15</v>
      </c>
      <c r="V252" s="107">
        <f t="shared" ref="V252:V253" si="225">Q252+U252</f>
        <v>30</v>
      </c>
      <c r="W252" s="99" t="s">
        <v>164</v>
      </c>
    </row>
    <row r="253" spans="1:23" x14ac:dyDescent="0.15">
      <c r="A253" s="17"/>
      <c r="B253" s="5"/>
      <c r="C253" s="6"/>
      <c r="D253" s="7"/>
      <c r="E253" s="52">
        <f t="shared" si="214"/>
        <v>0</v>
      </c>
      <c r="F253" s="8"/>
      <c r="G253" s="6"/>
      <c r="H253" s="7"/>
      <c r="I253" s="52">
        <f t="shared" si="215"/>
        <v>0</v>
      </c>
      <c r="J253" s="60">
        <f t="shared" si="216"/>
        <v>0</v>
      </c>
      <c r="M253" s="109" t="s">
        <v>158</v>
      </c>
      <c r="N253" s="116">
        <v>15</v>
      </c>
      <c r="O253" s="117">
        <v>20</v>
      </c>
      <c r="P253" s="118">
        <v>15</v>
      </c>
      <c r="Q253" s="106">
        <f t="shared" si="223"/>
        <v>50</v>
      </c>
      <c r="R253" s="119">
        <v>15</v>
      </c>
      <c r="S253" s="117">
        <v>20</v>
      </c>
      <c r="T253" s="118">
        <v>15</v>
      </c>
      <c r="U253" s="106">
        <f t="shared" si="224"/>
        <v>50</v>
      </c>
      <c r="V253" s="107">
        <f t="shared" si="225"/>
        <v>100</v>
      </c>
      <c r="W253" s="99" t="s">
        <v>159</v>
      </c>
    </row>
    <row r="254" spans="1:23" ht="14.25" thickBot="1" x14ac:dyDescent="0.2">
      <c r="A254" s="17"/>
      <c r="B254" s="9"/>
      <c r="C254" s="10"/>
      <c r="D254" s="11"/>
      <c r="E254" s="56">
        <f t="shared" si="214"/>
        <v>0</v>
      </c>
      <c r="F254" s="12"/>
      <c r="G254" s="10"/>
      <c r="H254" s="11"/>
      <c r="I254" s="56">
        <f t="shared" si="215"/>
        <v>0</v>
      </c>
      <c r="J254" s="60">
        <f t="shared" si="216"/>
        <v>0</v>
      </c>
      <c r="M254" s="109" t="s">
        <v>171</v>
      </c>
      <c r="N254" s="116">
        <v>15</v>
      </c>
      <c r="O254" s="117">
        <v>20</v>
      </c>
      <c r="P254" s="118">
        <v>15</v>
      </c>
      <c r="Q254" s="106">
        <f t="shared" si="220"/>
        <v>50</v>
      </c>
      <c r="R254" s="119">
        <v>15</v>
      </c>
      <c r="S254" s="117">
        <v>20</v>
      </c>
      <c r="T254" s="118">
        <v>15</v>
      </c>
      <c r="U254" s="106">
        <f t="shared" si="221"/>
        <v>50</v>
      </c>
      <c r="V254" s="107">
        <f t="shared" si="222"/>
        <v>100</v>
      </c>
      <c r="W254" s="99" t="s">
        <v>172</v>
      </c>
    </row>
    <row r="255" spans="1:23" ht="14.25" thickBot="1" x14ac:dyDescent="0.2">
      <c r="A255" s="31" t="s">
        <v>19</v>
      </c>
      <c r="B255" s="34">
        <f>SUM(B229:B254)</f>
        <v>0</v>
      </c>
      <c r="C255" s="35">
        <f t="shared" ref="C255:D255" si="226">SUM(C229:C254)</f>
        <v>0</v>
      </c>
      <c r="D255" s="39">
        <f t="shared" si="226"/>
        <v>0</v>
      </c>
      <c r="E255" s="57">
        <f t="shared" si="214"/>
        <v>0</v>
      </c>
      <c r="F255" s="34">
        <f>SUM(F229:F254)</f>
        <v>0</v>
      </c>
      <c r="G255" s="35">
        <f t="shared" ref="G255:H255" si="227">SUM(G229:G254)</f>
        <v>0</v>
      </c>
      <c r="H255" s="39">
        <f t="shared" si="227"/>
        <v>0</v>
      </c>
      <c r="I255" s="57">
        <f t="shared" si="215"/>
        <v>0</v>
      </c>
      <c r="J255" s="63">
        <f>E255+I255</f>
        <v>0</v>
      </c>
      <c r="M255" s="31" t="s">
        <v>19</v>
      </c>
      <c r="N255" s="34">
        <f>SUM(N229:N254)</f>
        <v>35</v>
      </c>
      <c r="O255" s="35">
        <f t="shared" ref="O255:P255" si="228">SUM(O229:O254)</f>
        <v>45</v>
      </c>
      <c r="P255" s="39">
        <f t="shared" si="228"/>
        <v>35</v>
      </c>
      <c r="Q255" s="57">
        <f t="shared" si="217"/>
        <v>115</v>
      </c>
      <c r="R255" s="34">
        <f>SUM(R229:R254)</f>
        <v>35</v>
      </c>
      <c r="S255" s="35">
        <f t="shared" ref="S255:T255" si="229">SUM(S229:S254)</f>
        <v>45</v>
      </c>
      <c r="T255" s="39">
        <f t="shared" si="229"/>
        <v>35</v>
      </c>
      <c r="U255" s="57">
        <f t="shared" si="218"/>
        <v>115</v>
      </c>
      <c r="V255" s="63">
        <f>Q255+U255</f>
        <v>230</v>
      </c>
    </row>
    <row r="256" spans="1:23" ht="14.25" thickBot="1" x14ac:dyDescent="0.2">
      <c r="A256" s="16" t="s">
        <v>17</v>
      </c>
      <c r="B256" s="64">
        <f>B228-B255</f>
        <v>4</v>
      </c>
      <c r="C256" s="65">
        <f t="shared" ref="C256:D256" si="230">C228-C255</f>
        <v>5</v>
      </c>
      <c r="D256" s="66">
        <f t="shared" si="230"/>
        <v>1</v>
      </c>
      <c r="E256" s="58">
        <f>SUM(B256:D256)</f>
        <v>10</v>
      </c>
      <c r="F256" s="64">
        <f>F228-F255</f>
        <v>4</v>
      </c>
      <c r="G256" s="65">
        <f t="shared" ref="G256:H256" si="231">G228-G255</f>
        <v>5</v>
      </c>
      <c r="H256" s="66">
        <f t="shared" si="231"/>
        <v>1</v>
      </c>
      <c r="I256" s="58">
        <f>SUM(F256:H256)</f>
        <v>10</v>
      </c>
      <c r="J256" s="62">
        <f>E256+I256</f>
        <v>20</v>
      </c>
      <c r="M256" s="16" t="s">
        <v>17</v>
      </c>
      <c r="N256" s="64">
        <f>N228-N255</f>
        <v>444</v>
      </c>
      <c r="O256" s="65">
        <f t="shared" ref="O256:P256" si="232">O228-O255</f>
        <v>444</v>
      </c>
      <c r="P256" s="66">
        <f t="shared" si="232"/>
        <v>195</v>
      </c>
      <c r="Q256" s="58">
        <f>SUM(N256:P256)</f>
        <v>1083</v>
      </c>
      <c r="R256" s="64">
        <f>R228-R255</f>
        <v>571</v>
      </c>
      <c r="S256" s="65">
        <f t="shared" ref="S256:T256" si="233">S228-S255</f>
        <v>625</v>
      </c>
      <c r="T256" s="66">
        <f t="shared" si="233"/>
        <v>372</v>
      </c>
      <c r="U256" s="58">
        <f>SUM(R256:T256)</f>
        <v>1568</v>
      </c>
      <c r="V256" s="62">
        <f>Q256+U256</f>
        <v>2651</v>
      </c>
    </row>
  </sheetData>
  <mergeCells count="36">
    <mergeCell ref="V2:V3"/>
    <mergeCell ref="B45:E45"/>
    <mergeCell ref="F45:I45"/>
    <mergeCell ref="J45:J46"/>
    <mergeCell ref="N45:Q45"/>
    <mergeCell ref="R45:U45"/>
    <mergeCell ref="B2:E2"/>
    <mergeCell ref="F2:I2"/>
    <mergeCell ref="J2:J3"/>
    <mergeCell ref="N2:Q2"/>
    <mergeCell ref="R2:U2"/>
    <mergeCell ref="V45:V46"/>
    <mergeCell ref="N88:Q88"/>
    <mergeCell ref="R88:U88"/>
    <mergeCell ref="V88:V89"/>
    <mergeCell ref="N131:Q131"/>
    <mergeCell ref="R131:U131"/>
    <mergeCell ref="V131:V132"/>
    <mergeCell ref="B88:E88"/>
    <mergeCell ref="F88:I88"/>
    <mergeCell ref="J88:J89"/>
    <mergeCell ref="B131:E131"/>
    <mergeCell ref="F131:I131"/>
    <mergeCell ref="J131:J132"/>
    <mergeCell ref="N174:Q174"/>
    <mergeCell ref="R174:U174"/>
    <mergeCell ref="V174:V175"/>
    <mergeCell ref="B174:E174"/>
    <mergeCell ref="F174:I174"/>
    <mergeCell ref="J174:J175"/>
    <mergeCell ref="V217:V218"/>
    <mergeCell ref="B217:E217"/>
    <mergeCell ref="F217:I217"/>
    <mergeCell ref="J217:J218"/>
    <mergeCell ref="N217:Q217"/>
    <mergeCell ref="R217:U217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パンツ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2026-07-15T02:59:19Z</dcterms:modified>
</cp:coreProperties>
</file>