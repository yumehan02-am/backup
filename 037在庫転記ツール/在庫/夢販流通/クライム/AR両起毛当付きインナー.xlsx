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クライム\"/>
    </mc:Choice>
  </mc:AlternateContent>
  <xr:revisionPtr revIDLastSave="0" documentId="13_ncr:1_{7FA6538C-E467-4684-827D-1241B30D25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８分袖インナー " sheetId="1" r:id="rId1"/>
    <sheet name="スラ下" sheetId="4" r:id="rId2"/>
    <sheet name="Sheet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56" i="1" l="1"/>
  <c r="P1356" i="1"/>
  <c r="P1392" i="4"/>
  <c r="P1362" i="4"/>
  <c r="U1362" i="4" s="1"/>
  <c r="T1362" i="4"/>
  <c r="P1363" i="4"/>
  <c r="U1363" i="4" s="1"/>
  <c r="T1363" i="4"/>
  <c r="P1364" i="4"/>
  <c r="T1364" i="4"/>
  <c r="P1365" i="4"/>
  <c r="U1365" i="4" s="1"/>
  <c r="T1365" i="4"/>
  <c r="P1366" i="4"/>
  <c r="U1366" i="4" s="1"/>
  <c r="T1366" i="4"/>
  <c r="P1367" i="4"/>
  <c r="U1367" i="4" s="1"/>
  <c r="T1367" i="4"/>
  <c r="P1368" i="4"/>
  <c r="T1368" i="4"/>
  <c r="U1368" i="4" s="1"/>
  <c r="P1369" i="4"/>
  <c r="T1369" i="4"/>
  <c r="U1369" i="4"/>
  <c r="P1370" i="4"/>
  <c r="U1370" i="4" s="1"/>
  <c r="T1370" i="4"/>
  <c r="P1371" i="4"/>
  <c r="U1371" i="4" s="1"/>
  <c r="T1371" i="4"/>
  <c r="P1372" i="4"/>
  <c r="T1372" i="4"/>
  <c r="U1372" i="4" s="1"/>
  <c r="P1373" i="4"/>
  <c r="T1373" i="4"/>
  <c r="U1373" i="4"/>
  <c r="P1374" i="4"/>
  <c r="U1374" i="4" s="1"/>
  <c r="T1374" i="4"/>
  <c r="P1375" i="4"/>
  <c r="U1375" i="4" s="1"/>
  <c r="T1375" i="4"/>
  <c r="P1376" i="4"/>
  <c r="T1376" i="4"/>
  <c r="U1376" i="4" s="1"/>
  <c r="P1353" i="4"/>
  <c r="T1353" i="4"/>
  <c r="U1353" i="4"/>
  <c r="E1362" i="4"/>
  <c r="J1362" i="4" s="1"/>
  <c r="I1362" i="4"/>
  <c r="E1363" i="4"/>
  <c r="I1363" i="4"/>
  <c r="E1353" i="4"/>
  <c r="I1353" i="4"/>
  <c r="J1353" i="4"/>
  <c r="S1388" i="4"/>
  <c r="R1388" i="4"/>
  <c r="Q1388" i="4"/>
  <c r="O1388" i="4"/>
  <c r="N1388" i="4"/>
  <c r="M1388" i="4"/>
  <c r="H1388" i="4"/>
  <c r="G1388" i="4"/>
  <c r="F1388" i="4"/>
  <c r="I1388" i="4" s="1"/>
  <c r="D1388" i="4"/>
  <c r="C1388" i="4"/>
  <c r="B1388" i="4"/>
  <c r="E1388" i="4" s="1"/>
  <c r="T1387" i="4"/>
  <c r="P1387" i="4"/>
  <c r="J1387" i="4"/>
  <c r="I1387" i="4"/>
  <c r="E1387" i="4"/>
  <c r="T1386" i="4"/>
  <c r="P1386" i="4"/>
  <c r="U1386" i="4" s="1"/>
  <c r="I1386" i="4"/>
  <c r="E1386" i="4"/>
  <c r="J1386" i="4" s="1"/>
  <c r="T1385" i="4"/>
  <c r="P1385" i="4"/>
  <c r="U1385" i="4" s="1"/>
  <c r="J1385" i="4"/>
  <c r="I1385" i="4"/>
  <c r="E1385" i="4"/>
  <c r="T1384" i="4"/>
  <c r="P1384" i="4"/>
  <c r="U1384" i="4" s="1"/>
  <c r="I1384" i="4"/>
  <c r="E1384" i="4"/>
  <c r="J1384" i="4" s="1"/>
  <c r="U1383" i="4"/>
  <c r="T1383" i="4"/>
  <c r="P1383" i="4"/>
  <c r="J1383" i="4"/>
  <c r="I1383" i="4"/>
  <c r="E1383" i="4"/>
  <c r="T1382" i="4"/>
  <c r="P1382" i="4"/>
  <c r="U1382" i="4" s="1"/>
  <c r="I1382" i="4"/>
  <c r="E1382" i="4"/>
  <c r="J1382" i="4" s="1"/>
  <c r="U1381" i="4"/>
  <c r="T1381" i="4"/>
  <c r="P1381" i="4"/>
  <c r="J1381" i="4"/>
  <c r="I1381" i="4"/>
  <c r="E1381" i="4"/>
  <c r="T1380" i="4"/>
  <c r="P1380" i="4"/>
  <c r="U1380" i="4" s="1"/>
  <c r="I1380" i="4"/>
  <c r="E1380" i="4"/>
  <c r="J1380" i="4" s="1"/>
  <c r="U1379" i="4"/>
  <c r="T1379" i="4"/>
  <c r="P1379" i="4"/>
  <c r="J1379" i="4"/>
  <c r="I1379" i="4"/>
  <c r="E1379" i="4"/>
  <c r="T1378" i="4"/>
  <c r="P1378" i="4"/>
  <c r="U1378" i="4" s="1"/>
  <c r="I1378" i="4"/>
  <c r="E1378" i="4"/>
  <c r="J1378" i="4" s="1"/>
  <c r="U1377" i="4"/>
  <c r="T1377" i="4"/>
  <c r="P1377" i="4"/>
  <c r="J1377" i="4"/>
  <c r="I1377" i="4"/>
  <c r="E1377" i="4"/>
  <c r="I1376" i="4"/>
  <c r="E1376" i="4"/>
  <c r="J1376" i="4" s="1"/>
  <c r="J1375" i="4"/>
  <c r="I1375" i="4"/>
  <c r="E1375" i="4"/>
  <c r="I1374" i="4"/>
  <c r="E1374" i="4"/>
  <c r="J1374" i="4" s="1"/>
  <c r="J1373" i="4"/>
  <c r="I1373" i="4"/>
  <c r="E1373" i="4"/>
  <c r="I1372" i="4"/>
  <c r="E1372" i="4"/>
  <c r="J1372" i="4" s="1"/>
  <c r="J1371" i="4"/>
  <c r="I1371" i="4"/>
  <c r="E1371" i="4"/>
  <c r="I1370" i="4"/>
  <c r="E1370" i="4"/>
  <c r="J1370" i="4" s="1"/>
  <c r="J1369" i="4"/>
  <c r="I1369" i="4"/>
  <c r="E1369" i="4"/>
  <c r="I1368" i="4"/>
  <c r="E1368" i="4"/>
  <c r="J1368" i="4" s="1"/>
  <c r="J1367" i="4"/>
  <c r="I1367" i="4"/>
  <c r="E1367" i="4"/>
  <c r="I1366" i="4"/>
  <c r="E1366" i="4"/>
  <c r="J1366" i="4" s="1"/>
  <c r="J1365" i="4"/>
  <c r="I1365" i="4"/>
  <c r="E1365" i="4"/>
  <c r="I1364" i="4"/>
  <c r="E1364" i="4"/>
  <c r="J1364" i="4" s="1"/>
  <c r="H1361" i="4"/>
  <c r="H1389" i="4" s="1"/>
  <c r="D1361" i="4"/>
  <c r="D1389" i="4" s="1"/>
  <c r="T1360" i="4"/>
  <c r="P1360" i="4"/>
  <c r="U1360" i="4" s="1"/>
  <c r="I1360" i="4"/>
  <c r="E1360" i="4"/>
  <c r="J1360" i="4" s="1"/>
  <c r="U1359" i="4"/>
  <c r="T1359" i="4"/>
  <c r="P1359" i="4"/>
  <c r="J1359" i="4"/>
  <c r="I1359" i="4"/>
  <c r="E1359" i="4"/>
  <c r="T1358" i="4"/>
  <c r="P1358" i="4"/>
  <c r="U1358" i="4" s="1"/>
  <c r="I1358" i="4"/>
  <c r="E1358" i="4"/>
  <c r="J1358" i="4" s="1"/>
  <c r="U1357" i="4"/>
  <c r="T1357" i="4"/>
  <c r="P1357" i="4"/>
  <c r="J1357" i="4"/>
  <c r="I1357" i="4"/>
  <c r="E1357" i="4"/>
  <c r="T1356" i="4"/>
  <c r="P1356" i="4"/>
  <c r="I1356" i="4"/>
  <c r="E1356" i="4"/>
  <c r="J1356" i="4" s="1"/>
  <c r="T1355" i="4"/>
  <c r="P1355" i="4"/>
  <c r="U1355" i="4" s="1"/>
  <c r="J1355" i="4"/>
  <c r="I1355" i="4"/>
  <c r="E1355" i="4"/>
  <c r="T1354" i="4"/>
  <c r="P1354" i="4"/>
  <c r="I1354" i="4"/>
  <c r="E1354" i="4"/>
  <c r="J1354" i="4" s="1"/>
  <c r="S1352" i="4"/>
  <c r="S1361" i="4" s="1"/>
  <c r="H1352" i="4"/>
  <c r="G1352" i="4"/>
  <c r="G1361" i="4" s="1"/>
  <c r="D1352" i="4"/>
  <c r="C1352" i="4"/>
  <c r="C1361" i="4" s="1"/>
  <c r="C1389" i="4" s="1"/>
  <c r="P1391" i="1"/>
  <c r="P1353" i="1"/>
  <c r="T1353" i="1"/>
  <c r="U1353" i="1"/>
  <c r="P1362" i="1"/>
  <c r="U1362" i="1" s="1"/>
  <c r="T1362" i="1"/>
  <c r="P1363" i="1"/>
  <c r="U1363" i="1" s="1"/>
  <c r="T1363" i="1"/>
  <c r="P1364" i="1"/>
  <c r="T1364" i="1"/>
  <c r="P1365" i="1"/>
  <c r="T1365" i="1"/>
  <c r="U1365" i="1"/>
  <c r="P1366" i="1"/>
  <c r="U1366" i="1" s="1"/>
  <c r="T1366" i="1"/>
  <c r="P1367" i="1"/>
  <c r="U1367" i="1" s="1"/>
  <c r="T1367" i="1"/>
  <c r="P1368" i="1"/>
  <c r="T1368" i="1"/>
  <c r="U1368" i="1" s="1"/>
  <c r="P1369" i="1"/>
  <c r="T1369" i="1"/>
  <c r="U1369" i="1"/>
  <c r="P1370" i="1"/>
  <c r="U1370" i="1" s="1"/>
  <c r="T1370" i="1"/>
  <c r="P1371" i="1"/>
  <c r="U1371" i="1" s="1"/>
  <c r="T1371" i="1"/>
  <c r="P1372" i="1"/>
  <c r="T1372" i="1"/>
  <c r="U1372" i="1" s="1"/>
  <c r="P1373" i="1"/>
  <c r="T1373" i="1"/>
  <c r="U1373" i="1"/>
  <c r="P1374" i="1"/>
  <c r="U1374" i="1" s="1"/>
  <c r="T1374" i="1"/>
  <c r="P1375" i="1"/>
  <c r="U1375" i="1" s="1"/>
  <c r="T1375" i="1"/>
  <c r="E1353" i="1"/>
  <c r="I1353" i="1"/>
  <c r="J1353" i="1"/>
  <c r="E1354" i="1"/>
  <c r="J1354" i="1" s="1"/>
  <c r="I1354" i="1"/>
  <c r="E1362" i="1"/>
  <c r="J1362" i="1" s="1"/>
  <c r="I1362" i="1"/>
  <c r="E1363" i="1"/>
  <c r="I1363" i="1"/>
  <c r="E1364" i="1"/>
  <c r="I1364" i="1"/>
  <c r="J1364" i="1" s="1"/>
  <c r="S1388" i="1"/>
  <c r="R1388" i="1"/>
  <c r="Q1388" i="1"/>
  <c r="O1388" i="1"/>
  <c r="N1388" i="1"/>
  <c r="M1388" i="1"/>
  <c r="H1388" i="1"/>
  <c r="G1388" i="1"/>
  <c r="F1388" i="1"/>
  <c r="I1388" i="1" s="1"/>
  <c r="D1388" i="1"/>
  <c r="C1388" i="1"/>
  <c r="B1388" i="1"/>
  <c r="E1388" i="1" s="1"/>
  <c r="T1387" i="1"/>
  <c r="P1387" i="1"/>
  <c r="J1387" i="1"/>
  <c r="I1387" i="1"/>
  <c r="E1387" i="1"/>
  <c r="T1386" i="1"/>
  <c r="P1386" i="1"/>
  <c r="I1386" i="1"/>
  <c r="E1386" i="1"/>
  <c r="J1386" i="1" s="1"/>
  <c r="T1385" i="1"/>
  <c r="P1385" i="1"/>
  <c r="J1385" i="1"/>
  <c r="I1385" i="1"/>
  <c r="E1385" i="1"/>
  <c r="T1384" i="1"/>
  <c r="U1384" i="1" s="1"/>
  <c r="P1384" i="1"/>
  <c r="I1384" i="1"/>
  <c r="E1384" i="1"/>
  <c r="J1384" i="1" s="1"/>
  <c r="T1383" i="1"/>
  <c r="P1383" i="1"/>
  <c r="U1383" i="1" s="1"/>
  <c r="J1383" i="1"/>
  <c r="I1383" i="1"/>
  <c r="E1383" i="1"/>
  <c r="T1382" i="1"/>
  <c r="U1382" i="1" s="1"/>
  <c r="P1382" i="1"/>
  <c r="I1382" i="1"/>
  <c r="E1382" i="1"/>
  <c r="J1382" i="1" s="1"/>
  <c r="T1381" i="1"/>
  <c r="P1381" i="1"/>
  <c r="U1381" i="1" s="1"/>
  <c r="J1381" i="1"/>
  <c r="I1381" i="1"/>
  <c r="E1381" i="1"/>
  <c r="T1380" i="1"/>
  <c r="U1380" i="1" s="1"/>
  <c r="P1380" i="1"/>
  <c r="I1380" i="1"/>
  <c r="E1380" i="1"/>
  <c r="J1380" i="1" s="1"/>
  <c r="T1379" i="1"/>
  <c r="P1379" i="1"/>
  <c r="U1379" i="1" s="1"/>
  <c r="J1379" i="1"/>
  <c r="I1379" i="1"/>
  <c r="E1379" i="1"/>
  <c r="T1378" i="1"/>
  <c r="U1378" i="1" s="1"/>
  <c r="P1378" i="1"/>
  <c r="I1378" i="1"/>
  <c r="E1378" i="1"/>
  <c r="J1378" i="1" s="1"/>
  <c r="T1377" i="1"/>
  <c r="P1377" i="1"/>
  <c r="U1377" i="1" s="1"/>
  <c r="J1377" i="1"/>
  <c r="I1377" i="1"/>
  <c r="E1377" i="1"/>
  <c r="T1376" i="1"/>
  <c r="U1376" i="1" s="1"/>
  <c r="P1376" i="1"/>
  <c r="I1376" i="1"/>
  <c r="E1376" i="1"/>
  <c r="J1376" i="1" s="1"/>
  <c r="J1375" i="1"/>
  <c r="I1375" i="1"/>
  <c r="E1375" i="1"/>
  <c r="I1374" i="1"/>
  <c r="E1374" i="1"/>
  <c r="J1374" i="1" s="1"/>
  <c r="J1373" i="1"/>
  <c r="I1373" i="1"/>
  <c r="E1373" i="1"/>
  <c r="I1372" i="1"/>
  <c r="E1372" i="1"/>
  <c r="J1372" i="1" s="1"/>
  <c r="J1371" i="1"/>
  <c r="I1371" i="1"/>
  <c r="E1371" i="1"/>
  <c r="I1370" i="1"/>
  <c r="E1370" i="1"/>
  <c r="J1370" i="1" s="1"/>
  <c r="J1369" i="1"/>
  <c r="I1369" i="1"/>
  <c r="E1369" i="1"/>
  <c r="I1368" i="1"/>
  <c r="E1368" i="1"/>
  <c r="J1368" i="1" s="1"/>
  <c r="J1367" i="1"/>
  <c r="I1367" i="1"/>
  <c r="E1367" i="1"/>
  <c r="I1366" i="1"/>
  <c r="E1366" i="1"/>
  <c r="J1366" i="1" s="1"/>
  <c r="J1365" i="1"/>
  <c r="I1365" i="1"/>
  <c r="E1365" i="1"/>
  <c r="H1361" i="1"/>
  <c r="H1389" i="1" s="1"/>
  <c r="D1361" i="1"/>
  <c r="D1389" i="1" s="1"/>
  <c r="T1360" i="1"/>
  <c r="U1360" i="1" s="1"/>
  <c r="P1360" i="1"/>
  <c r="I1360" i="1"/>
  <c r="E1360" i="1"/>
  <c r="J1360" i="1" s="1"/>
  <c r="T1359" i="1"/>
  <c r="P1359" i="1"/>
  <c r="U1359" i="1" s="1"/>
  <c r="J1359" i="1"/>
  <c r="I1359" i="1"/>
  <c r="E1359" i="1"/>
  <c r="T1358" i="1"/>
  <c r="U1358" i="1" s="1"/>
  <c r="P1358" i="1"/>
  <c r="I1358" i="1"/>
  <c r="E1358" i="1"/>
  <c r="J1358" i="1" s="1"/>
  <c r="T1357" i="1"/>
  <c r="P1357" i="1"/>
  <c r="U1357" i="1" s="1"/>
  <c r="J1357" i="1"/>
  <c r="I1357" i="1"/>
  <c r="E1357" i="1"/>
  <c r="I1356" i="1"/>
  <c r="E1356" i="1"/>
  <c r="J1356" i="1" s="1"/>
  <c r="T1355" i="1"/>
  <c r="P1355" i="1"/>
  <c r="U1355" i="1" s="1"/>
  <c r="J1355" i="1"/>
  <c r="I1355" i="1"/>
  <c r="E1355" i="1"/>
  <c r="T1354" i="1"/>
  <c r="P1354" i="1"/>
  <c r="H1352" i="1"/>
  <c r="G1352" i="1"/>
  <c r="G1361" i="1" s="1"/>
  <c r="G1389" i="1" s="1"/>
  <c r="D1352" i="1"/>
  <c r="C1352" i="1"/>
  <c r="C1361" i="1" s="1"/>
  <c r="C1389" i="1" s="1"/>
  <c r="P1310" i="4"/>
  <c r="T1310" i="4"/>
  <c r="U1310" i="4" s="1"/>
  <c r="P1311" i="4"/>
  <c r="T1311" i="4"/>
  <c r="U1311" i="4"/>
  <c r="P1312" i="4"/>
  <c r="T1312" i="4"/>
  <c r="U1312" i="4" s="1"/>
  <c r="P1313" i="4"/>
  <c r="T1313" i="4"/>
  <c r="U1313" i="4"/>
  <c r="P1314" i="4"/>
  <c r="T1314" i="4"/>
  <c r="U1314" i="4" s="1"/>
  <c r="P1341" i="4"/>
  <c r="T1341" i="4"/>
  <c r="U1341" i="4" s="1"/>
  <c r="P1342" i="4"/>
  <c r="T1342" i="4"/>
  <c r="U1342" i="4"/>
  <c r="P1343" i="4"/>
  <c r="T1343" i="4"/>
  <c r="U1343" i="4" s="1"/>
  <c r="P1344" i="4"/>
  <c r="T1344" i="4"/>
  <c r="U1344" i="4"/>
  <c r="P1319" i="4"/>
  <c r="T1319" i="4"/>
  <c r="U1319" i="4" s="1"/>
  <c r="P1320" i="4"/>
  <c r="T1320" i="4"/>
  <c r="U1320" i="4" s="1"/>
  <c r="P1321" i="4"/>
  <c r="T1321" i="4"/>
  <c r="U1321" i="4" s="1"/>
  <c r="P1322" i="4"/>
  <c r="T1322" i="4"/>
  <c r="U1322" i="4" s="1"/>
  <c r="P1323" i="4"/>
  <c r="T1323" i="4"/>
  <c r="U1323" i="4" s="1"/>
  <c r="P1324" i="4"/>
  <c r="T1324" i="4"/>
  <c r="U1324" i="4"/>
  <c r="P1325" i="4"/>
  <c r="T1325" i="4"/>
  <c r="P1326" i="4"/>
  <c r="T1326" i="4"/>
  <c r="U1326" i="4"/>
  <c r="P1327" i="4"/>
  <c r="T1327" i="4"/>
  <c r="U1327" i="4" s="1"/>
  <c r="P1328" i="4"/>
  <c r="T1328" i="4"/>
  <c r="P1329" i="4"/>
  <c r="T1329" i="4"/>
  <c r="U1329" i="4" s="1"/>
  <c r="P1330" i="4"/>
  <c r="T1330" i="4"/>
  <c r="U1330" i="4" s="1"/>
  <c r="P1331" i="4"/>
  <c r="T1331" i="4"/>
  <c r="U1331" i="4" s="1"/>
  <c r="P1332" i="4"/>
  <c r="T1332" i="4"/>
  <c r="U1332" i="4" s="1"/>
  <c r="P1333" i="4"/>
  <c r="T1333" i="4"/>
  <c r="U1333" i="4" s="1"/>
  <c r="P1334" i="4"/>
  <c r="T1334" i="4"/>
  <c r="U1334" i="4" s="1"/>
  <c r="P1335" i="4"/>
  <c r="T1335" i="4"/>
  <c r="U1335" i="4" s="1"/>
  <c r="P1336" i="4"/>
  <c r="T1336" i="4"/>
  <c r="U1336" i="4" s="1"/>
  <c r="P1337" i="4"/>
  <c r="T1337" i="4"/>
  <c r="U1337" i="4" s="1"/>
  <c r="E1319" i="4"/>
  <c r="I1319" i="4"/>
  <c r="J1319" i="4" s="1"/>
  <c r="E1310" i="4"/>
  <c r="I1310" i="4"/>
  <c r="E1311" i="4"/>
  <c r="I1311" i="4"/>
  <c r="J1311" i="4"/>
  <c r="S1345" i="4"/>
  <c r="R1345" i="4"/>
  <c r="Q1345" i="4"/>
  <c r="O1345" i="4"/>
  <c r="O1304" i="4" s="1"/>
  <c r="N1345" i="4"/>
  <c r="N1304" i="4" s="1"/>
  <c r="M1345" i="4"/>
  <c r="M1304" i="4" s="1"/>
  <c r="H1345" i="4"/>
  <c r="G1345" i="4"/>
  <c r="F1345" i="4"/>
  <c r="D1345" i="4"/>
  <c r="C1345" i="4"/>
  <c r="B1345" i="4"/>
  <c r="I1344" i="4"/>
  <c r="E1344" i="4"/>
  <c r="J1344" i="4" s="1"/>
  <c r="I1343" i="4"/>
  <c r="E1343" i="4"/>
  <c r="J1343" i="4" s="1"/>
  <c r="I1342" i="4"/>
  <c r="E1342" i="4"/>
  <c r="J1342" i="4" s="1"/>
  <c r="I1341" i="4"/>
  <c r="E1341" i="4"/>
  <c r="J1341" i="4" s="1"/>
  <c r="T1340" i="4"/>
  <c r="P1340" i="4"/>
  <c r="U1340" i="4" s="1"/>
  <c r="I1340" i="4"/>
  <c r="E1340" i="4"/>
  <c r="J1340" i="4" s="1"/>
  <c r="T1339" i="4"/>
  <c r="P1339" i="4"/>
  <c r="I1339" i="4"/>
  <c r="E1339" i="4"/>
  <c r="J1339" i="4" s="1"/>
  <c r="T1338" i="4"/>
  <c r="P1338" i="4"/>
  <c r="U1338" i="4" s="1"/>
  <c r="I1338" i="4"/>
  <c r="E1338" i="4"/>
  <c r="J1338" i="4" s="1"/>
  <c r="I1337" i="4"/>
  <c r="E1337" i="4"/>
  <c r="J1337" i="4" s="1"/>
  <c r="I1336" i="4"/>
  <c r="E1336" i="4"/>
  <c r="J1336" i="4" s="1"/>
  <c r="I1335" i="4"/>
  <c r="E1335" i="4"/>
  <c r="J1335" i="4" s="1"/>
  <c r="I1334" i="4"/>
  <c r="E1334" i="4"/>
  <c r="J1334" i="4" s="1"/>
  <c r="I1333" i="4"/>
  <c r="E1333" i="4"/>
  <c r="J1333" i="4" s="1"/>
  <c r="I1332" i="4"/>
  <c r="E1332" i="4"/>
  <c r="J1332" i="4" s="1"/>
  <c r="I1331" i="4"/>
  <c r="E1331" i="4"/>
  <c r="J1331" i="4" s="1"/>
  <c r="I1330" i="4"/>
  <c r="E1330" i="4"/>
  <c r="J1330" i="4" s="1"/>
  <c r="I1329" i="4"/>
  <c r="E1329" i="4"/>
  <c r="J1329" i="4" s="1"/>
  <c r="I1328" i="4"/>
  <c r="E1328" i="4"/>
  <c r="J1328" i="4" s="1"/>
  <c r="I1327" i="4"/>
  <c r="E1327" i="4"/>
  <c r="J1327" i="4" s="1"/>
  <c r="I1326" i="4"/>
  <c r="E1326" i="4"/>
  <c r="J1326" i="4" s="1"/>
  <c r="I1325" i="4"/>
  <c r="E1325" i="4"/>
  <c r="J1325" i="4" s="1"/>
  <c r="I1324" i="4"/>
  <c r="E1324" i="4"/>
  <c r="J1324" i="4" s="1"/>
  <c r="I1323" i="4"/>
  <c r="E1323" i="4"/>
  <c r="J1323" i="4" s="1"/>
  <c r="I1322" i="4"/>
  <c r="E1322" i="4"/>
  <c r="J1322" i="4" s="1"/>
  <c r="I1321" i="4"/>
  <c r="E1321" i="4"/>
  <c r="J1321" i="4" s="1"/>
  <c r="I1320" i="4"/>
  <c r="E1320" i="4"/>
  <c r="T1317" i="4"/>
  <c r="P1317" i="4"/>
  <c r="U1317" i="4" s="1"/>
  <c r="I1317" i="4"/>
  <c r="E1317" i="4"/>
  <c r="J1317" i="4" s="1"/>
  <c r="T1316" i="4"/>
  <c r="P1316" i="4"/>
  <c r="U1316" i="4" s="1"/>
  <c r="I1316" i="4"/>
  <c r="E1316" i="4"/>
  <c r="J1316" i="4" s="1"/>
  <c r="T1315" i="4"/>
  <c r="P1315" i="4"/>
  <c r="U1315" i="4" s="1"/>
  <c r="I1315" i="4"/>
  <c r="E1315" i="4"/>
  <c r="J1315" i="4" s="1"/>
  <c r="I1314" i="4"/>
  <c r="E1314" i="4"/>
  <c r="J1314" i="4" s="1"/>
  <c r="I1313" i="4"/>
  <c r="E1313" i="4"/>
  <c r="J1313" i="4" s="1"/>
  <c r="I1312" i="4"/>
  <c r="E1312" i="4"/>
  <c r="I1309" i="4"/>
  <c r="H1309" i="4"/>
  <c r="H1318" i="4" s="1"/>
  <c r="G1309" i="4"/>
  <c r="G1318" i="4" s="1"/>
  <c r="G1346" i="4" s="1"/>
  <c r="F1309" i="4"/>
  <c r="F1318" i="4" s="1"/>
  <c r="E1309" i="4"/>
  <c r="J1309" i="4" s="1"/>
  <c r="D1309" i="4"/>
  <c r="D1318" i="4" s="1"/>
  <c r="C1309" i="4"/>
  <c r="C1318" i="4" s="1"/>
  <c r="C1346" i="4" s="1"/>
  <c r="B1309" i="4"/>
  <c r="B1318" i="4" s="1"/>
  <c r="P1341" i="1"/>
  <c r="T1341" i="1"/>
  <c r="U1341" i="1" s="1"/>
  <c r="P1342" i="1"/>
  <c r="U1342" i="1" s="1"/>
  <c r="T1342" i="1"/>
  <c r="P1343" i="1"/>
  <c r="T1343" i="1"/>
  <c r="U1343" i="1" s="1"/>
  <c r="P1344" i="1"/>
  <c r="T1344" i="1"/>
  <c r="U1344" i="1"/>
  <c r="P1319" i="1"/>
  <c r="T1319" i="1"/>
  <c r="P1320" i="1"/>
  <c r="T1320" i="1"/>
  <c r="U1320" i="1" s="1"/>
  <c r="P1321" i="1"/>
  <c r="T1321" i="1"/>
  <c r="U1321" i="1" s="1"/>
  <c r="P1322" i="1"/>
  <c r="T1322" i="1"/>
  <c r="U1322" i="1" s="1"/>
  <c r="P1323" i="1"/>
  <c r="T1323" i="1"/>
  <c r="U1323" i="1" s="1"/>
  <c r="P1324" i="1"/>
  <c r="T1324" i="1"/>
  <c r="U1324" i="1" s="1"/>
  <c r="P1325" i="1"/>
  <c r="T1325" i="1"/>
  <c r="U1325" i="1" s="1"/>
  <c r="P1326" i="1"/>
  <c r="T1326" i="1"/>
  <c r="U1326" i="1" s="1"/>
  <c r="P1327" i="1"/>
  <c r="T1327" i="1"/>
  <c r="P1328" i="1"/>
  <c r="T1328" i="1"/>
  <c r="U1328" i="1"/>
  <c r="P1329" i="1"/>
  <c r="T1329" i="1"/>
  <c r="P1330" i="1"/>
  <c r="T1330" i="1"/>
  <c r="U1330" i="1"/>
  <c r="P1331" i="1"/>
  <c r="T1331" i="1"/>
  <c r="P1332" i="1"/>
  <c r="T1332" i="1"/>
  <c r="U1332" i="1" s="1"/>
  <c r="P1333" i="1"/>
  <c r="T1333" i="1"/>
  <c r="P1334" i="1"/>
  <c r="T1334" i="1"/>
  <c r="U1334" i="1" s="1"/>
  <c r="P1335" i="1"/>
  <c r="T1335" i="1"/>
  <c r="P1310" i="1"/>
  <c r="T1310" i="1"/>
  <c r="P1311" i="1"/>
  <c r="T1311" i="1"/>
  <c r="U1311" i="1"/>
  <c r="P1312" i="1"/>
  <c r="T1312" i="1"/>
  <c r="U1312" i="1" s="1"/>
  <c r="P1313" i="1"/>
  <c r="T1313" i="1"/>
  <c r="U1313" i="1"/>
  <c r="P1314" i="1"/>
  <c r="T1314" i="1"/>
  <c r="U1314" i="1" s="1"/>
  <c r="E1319" i="1"/>
  <c r="I1319" i="1"/>
  <c r="E1320" i="1"/>
  <c r="I1320" i="1"/>
  <c r="J1320" i="1" s="1"/>
  <c r="E1321" i="1"/>
  <c r="I1321" i="1"/>
  <c r="E1310" i="1"/>
  <c r="I1310" i="1"/>
  <c r="J1310" i="1" s="1"/>
  <c r="E1311" i="1"/>
  <c r="I1311" i="1"/>
  <c r="J1311" i="1" s="1"/>
  <c r="E1312" i="1"/>
  <c r="I1312" i="1"/>
  <c r="J1312" i="1" s="1"/>
  <c r="S1345" i="1"/>
  <c r="R1345" i="1"/>
  <c r="Q1345" i="1"/>
  <c r="O1345" i="1"/>
  <c r="N1345" i="1"/>
  <c r="M1345" i="1"/>
  <c r="M1304" i="1" s="1"/>
  <c r="H1345" i="1"/>
  <c r="G1345" i="1"/>
  <c r="F1345" i="1"/>
  <c r="D1345" i="1"/>
  <c r="C1345" i="1"/>
  <c r="B1345" i="1"/>
  <c r="I1344" i="1"/>
  <c r="E1344" i="1"/>
  <c r="J1344" i="1" s="1"/>
  <c r="I1343" i="1"/>
  <c r="E1343" i="1"/>
  <c r="J1343" i="1" s="1"/>
  <c r="I1342" i="1"/>
  <c r="E1342" i="1"/>
  <c r="J1342" i="1" s="1"/>
  <c r="I1341" i="1"/>
  <c r="E1341" i="1"/>
  <c r="J1341" i="1" s="1"/>
  <c r="T1340" i="1"/>
  <c r="P1340" i="1"/>
  <c r="U1340" i="1" s="1"/>
  <c r="I1340" i="1"/>
  <c r="E1340" i="1"/>
  <c r="J1340" i="1" s="1"/>
  <c r="T1339" i="1"/>
  <c r="P1339" i="1"/>
  <c r="U1339" i="1" s="1"/>
  <c r="I1339" i="1"/>
  <c r="E1339" i="1"/>
  <c r="J1339" i="1" s="1"/>
  <c r="T1338" i="1"/>
  <c r="P1338" i="1"/>
  <c r="I1338" i="1"/>
  <c r="E1338" i="1"/>
  <c r="J1338" i="1" s="1"/>
  <c r="T1337" i="1"/>
  <c r="P1337" i="1"/>
  <c r="U1337" i="1" s="1"/>
  <c r="I1337" i="1"/>
  <c r="E1337" i="1"/>
  <c r="J1337" i="1" s="1"/>
  <c r="T1336" i="1"/>
  <c r="P1336" i="1"/>
  <c r="I1336" i="1"/>
  <c r="E1336" i="1"/>
  <c r="J1336" i="1" s="1"/>
  <c r="I1335" i="1"/>
  <c r="E1335" i="1"/>
  <c r="J1335" i="1" s="1"/>
  <c r="I1334" i="1"/>
  <c r="E1334" i="1"/>
  <c r="J1334" i="1" s="1"/>
  <c r="I1333" i="1"/>
  <c r="E1333" i="1"/>
  <c r="J1333" i="1" s="1"/>
  <c r="I1332" i="1"/>
  <c r="E1332" i="1"/>
  <c r="J1332" i="1" s="1"/>
  <c r="I1331" i="1"/>
  <c r="E1331" i="1"/>
  <c r="J1331" i="1" s="1"/>
  <c r="I1330" i="1"/>
  <c r="E1330" i="1"/>
  <c r="J1330" i="1" s="1"/>
  <c r="I1329" i="1"/>
  <c r="E1329" i="1"/>
  <c r="J1329" i="1" s="1"/>
  <c r="I1328" i="1"/>
  <c r="E1328" i="1"/>
  <c r="J1328" i="1" s="1"/>
  <c r="I1327" i="1"/>
  <c r="E1327" i="1"/>
  <c r="J1327" i="1" s="1"/>
  <c r="I1326" i="1"/>
  <c r="E1326" i="1"/>
  <c r="J1326" i="1" s="1"/>
  <c r="I1325" i="1"/>
  <c r="E1325" i="1"/>
  <c r="J1325" i="1" s="1"/>
  <c r="I1324" i="1"/>
  <c r="E1324" i="1"/>
  <c r="J1324" i="1" s="1"/>
  <c r="I1323" i="1"/>
  <c r="E1323" i="1"/>
  <c r="J1323" i="1" s="1"/>
  <c r="I1322" i="1"/>
  <c r="E1322" i="1"/>
  <c r="J1322" i="1" s="1"/>
  <c r="H1318" i="1"/>
  <c r="H1346" i="1" s="1"/>
  <c r="D1318" i="1"/>
  <c r="D1346" i="1" s="1"/>
  <c r="T1317" i="1"/>
  <c r="P1317" i="1"/>
  <c r="I1317" i="1"/>
  <c r="E1317" i="1"/>
  <c r="J1317" i="1" s="1"/>
  <c r="T1316" i="1"/>
  <c r="P1316" i="1"/>
  <c r="U1316" i="1" s="1"/>
  <c r="I1316" i="1"/>
  <c r="E1316" i="1"/>
  <c r="J1316" i="1" s="1"/>
  <c r="T1315" i="1"/>
  <c r="P1315" i="1"/>
  <c r="I1315" i="1"/>
  <c r="E1315" i="1"/>
  <c r="J1315" i="1" s="1"/>
  <c r="I1314" i="1"/>
  <c r="E1314" i="1"/>
  <c r="J1314" i="1" s="1"/>
  <c r="I1313" i="1"/>
  <c r="E1313" i="1"/>
  <c r="J1313" i="1" s="1"/>
  <c r="J1309" i="1"/>
  <c r="I1309" i="1"/>
  <c r="H1309" i="1"/>
  <c r="G1309" i="1"/>
  <c r="G1318" i="1" s="1"/>
  <c r="F1309" i="1"/>
  <c r="F1318" i="1" s="1"/>
  <c r="E1309" i="1"/>
  <c r="D1309" i="1"/>
  <c r="C1309" i="1"/>
  <c r="C1318" i="1" s="1"/>
  <c r="B1309" i="1"/>
  <c r="B1318" i="1" s="1"/>
  <c r="P1291" i="4"/>
  <c r="T1291" i="4"/>
  <c r="U1291" i="4" s="1"/>
  <c r="T1290" i="4"/>
  <c r="P1290" i="4"/>
  <c r="U1290" i="4" s="1"/>
  <c r="P1254" i="4"/>
  <c r="T1254" i="4"/>
  <c r="U1254" i="4"/>
  <c r="U1276" i="4"/>
  <c r="T1276" i="4"/>
  <c r="P1276" i="4"/>
  <c r="T1300" i="1"/>
  <c r="P1300" i="1"/>
  <c r="U1300" i="1" s="1"/>
  <c r="T1299" i="1"/>
  <c r="P1299" i="1"/>
  <c r="T1298" i="1"/>
  <c r="P1298" i="1"/>
  <c r="U1298" i="1" s="1"/>
  <c r="T1300" i="4"/>
  <c r="P1300" i="4"/>
  <c r="T1299" i="4"/>
  <c r="P1299" i="4"/>
  <c r="T1298" i="4"/>
  <c r="P1298" i="4"/>
  <c r="U1298" i="4" s="1"/>
  <c r="T1301" i="4"/>
  <c r="P1301" i="4"/>
  <c r="U1301" i="4" s="1"/>
  <c r="T1301" i="1"/>
  <c r="P1301" i="1"/>
  <c r="R1233" i="1"/>
  <c r="N1233" i="1"/>
  <c r="N1259" i="1" s="1"/>
  <c r="T1233" i="1"/>
  <c r="P1199" i="1"/>
  <c r="T1199" i="1"/>
  <c r="U1199" i="1" s="1"/>
  <c r="T1257" i="4"/>
  <c r="P1257" i="4"/>
  <c r="T1257" i="1"/>
  <c r="P1257" i="1"/>
  <c r="S1172" i="4"/>
  <c r="R1172" i="4"/>
  <c r="R1173" i="4" s="1"/>
  <c r="Q1172" i="4"/>
  <c r="Q1173" i="4" s="1"/>
  <c r="O1172" i="4"/>
  <c r="M1172" i="4"/>
  <c r="M1173" i="4" s="1"/>
  <c r="S1172" i="1"/>
  <c r="S1173" i="1" s="1"/>
  <c r="R1172" i="1"/>
  <c r="Q1172" i="1"/>
  <c r="O1172" i="1"/>
  <c r="M1172" i="1"/>
  <c r="M1173" i="1" s="1"/>
  <c r="M1175" i="1" s="1"/>
  <c r="N1172" i="4"/>
  <c r="N1173" i="4" s="1"/>
  <c r="N1175" i="4" s="1"/>
  <c r="N1172" i="1"/>
  <c r="H1302" i="4"/>
  <c r="G1302" i="4"/>
  <c r="F1302" i="4"/>
  <c r="D1302" i="4"/>
  <c r="C1302" i="4"/>
  <c r="B1302" i="4"/>
  <c r="I1301" i="4"/>
  <c r="E1301" i="4"/>
  <c r="I1300" i="4"/>
  <c r="E1300" i="4"/>
  <c r="J1300" i="4" s="1"/>
  <c r="I1299" i="4"/>
  <c r="E1299" i="4"/>
  <c r="J1299" i="4" s="1"/>
  <c r="I1298" i="4"/>
  <c r="E1298" i="4"/>
  <c r="J1298" i="4" s="1"/>
  <c r="I1297" i="4"/>
  <c r="J1297" i="4" s="1"/>
  <c r="E1297" i="4"/>
  <c r="I1296" i="4"/>
  <c r="E1296" i="4"/>
  <c r="I1295" i="4"/>
  <c r="E1295" i="4"/>
  <c r="I1294" i="4"/>
  <c r="E1294" i="4"/>
  <c r="J1294" i="4" s="1"/>
  <c r="I1293" i="4"/>
  <c r="E1293" i="4"/>
  <c r="I1292" i="4"/>
  <c r="E1292" i="4"/>
  <c r="J1292" i="4" s="1"/>
  <c r="I1291" i="4"/>
  <c r="E1291" i="4"/>
  <c r="J1291" i="4" s="1"/>
  <c r="I1290" i="4"/>
  <c r="E1290" i="4"/>
  <c r="I1289" i="4"/>
  <c r="J1289" i="4" s="1"/>
  <c r="E1289" i="4"/>
  <c r="I1288" i="4"/>
  <c r="E1288" i="4"/>
  <c r="I1287" i="4"/>
  <c r="E1287" i="4"/>
  <c r="I1286" i="4"/>
  <c r="E1286" i="4"/>
  <c r="J1286" i="4" s="1"/>
  <c r="I1285" i="4"/>
  <c r="E1285" i="4"/>
  <c r="I1284" i="4"/>
  <c r="E1284" i="4"/>
  <c r="J1284" i="4" s="1"/>
  <c r="I1283" i="4"/>
  <c r="E1283" i="4"/>
  <c r="J1283" i="4" s="1"/>
  <c r="I1282" i="4"/>
  <c r="E1282" i="4"/>
  <c r="J1282" i="4" s="1"/>
  <c r="I1281" i="4"/>
  <c r="J1281" i="4" s="1"/>
  <c r="E1281" i="4"/>
  <c r="I1280" i="4"/>
  <c r="E1280" i="4"/>
  <c r="I1279" i="4"/>
  <c r="E1279" i="4"/>
  <c r="I1278" i="4"/>
  <c r="E1278" i="4"/>
  <c r="J1278" i="4" s="1"/>
  <c r="I1277" i="4"/>
  <c r="E1277" i="4"/>
  <c r="I1276" i="4"/>
  <c r="E1276" i="4"/>
  <c r="I1274" i="4"/>
  <c r="E1274" i="4"/>
  <c r="J1274" i="4" s="1"/>
  <c r="I1273" i="4"/>
  <c r="E1273" i="4"/>
  <c r="J1273" i="4" s="1"/>
  <c r="I1272" i="4"/>
  <c r="E1272" i="4"/>
  <c r="I1271" i="4"/>
  <c r="J1271" i="4" s="1"/>
  <c r="E1271" i="4"/>
  <c r="I1270" i="4"/>
  <c r="E1270" i="4"/>
  <c r="I1269" i="4"/>
  <c r="E1269" i="4"/>
  <c r="I1268" i="4"/>
  <c r="E1268" i="4"/>
  <c r="J1268" i="4" s="1"/>
  <c r="I1267" i="4"/>
  <c r="E1267" i="4"/>
  <c r="P1269" i="4"/>
  <c r="T1269" i="4"/>
  <c r="P1270" i="4"/>
  <c r="T1270" i="4"/>
  <c r="P1271" i="4"/>
  <c r="T1271" i="4"/>
  <c r="P1272" i="4"/>
  <c r="T1272" i="4"/>
  <c r="U1272" i="4" s="1"/>
  <c r="P1273" i="4"/>
  <c r="T1273" i="4"/>
  <c r="U1273" i="4"/>
  <c r="S1302" i="4"/>
  <c r="R1302" i="4"/>
  <c r="Q1302" i="4"/>
  <c r="O1302" i="4"/>
  <c r="N1302" i="4"/>
  <c r="M1302" i="4"/>
  <c r="T1297" i="4"/>
  <c r="P1297" i="4"/>
  <c r="T1296" i="4"/>
  <c r="P1296" i="4"/>
  <c r="T1295" i="4"/>
  <c r="P1295" i="4"/>
  <c r="U1295" i="4" s="1"/>
  <c r="T1294" i="4"/>
  <c r="P1294" i="4"/>
  <c r="U1294" i="4" s="1"/>
  <c r="T1293" i="4"/>
  <c r="P1293" i="4"/>
  <c r="T1292" i="4"/>
  <c r="P1292" i="4"/>
  <c r="T1289" i="4"/>
  <c r="P1289" i="4"/>
  <c r="T1288" i="4"/>
  <c r="P1288" i="4"/>
  <c r="T1287" i="4"/>
  <c r="P1287" i="4"/>
  <c r="T1286" i="4"/>
  <c r="P1286" i="4"/>
  <c r="U1286" i="4" s="1"/>
  <c r="T1285" i="4"/>
  <c r="P1285" i="4"/>
  <c r="T1284" i="4"/>
  <c r="P1284" i="4"/>
  <c r="T1283" i="4"/>
  <c r="P1283" i="4"/>
  <c r="U1283" i="4" s="1"/>
  <c r="T1282" i="4"/>
  <c r="P1282" i="4"/>
  <c r="T1281" i="4"/>
  <c r="P1281" i="4"/>
  <c r="T1280" i="4"/>
  <c r="P1280" i="4"/>
  <c r="T1279" i="4"/>
  <c r="P1279" i="4"/>
  <c r="U1279" i="4" s="1"/>
  <c r="T1278" i="4"/>
  <c r="P1278" i="4"/>
  <c r="U1278" i="4" s="1"/>
  <c r="T1277" i="4"/>
  <c r="P1277" i="4"/>
  <c r="T1274" i="4"/>
  <c r="P1274" i="4"/>
  <c r="T1268" i="4"/>
  <c r="P1268" i="4"/>
  <c r="U1268" i="4" s="1"/>
  <c r="T1267" i="4"/>
  <c r="P1267" i="4"/>
  <c r="P1305" i="1"/>
  <c r="H1302" i="1"/>
  <c r="G1302" i="1"/>
  <c r="F1302" i="1"/>
  <c r="D1302" i="1"/>
  <c r="C1302" i="1"/>
  <c r="B1302" i="1"/>
  <c r="I1301" i="1"/>
  <c r="J1301" i="1" s="1"/>
  <c r="E1301" i="1"/>
  <c r="I1300" i="1"/>
  <c r="E1300" i="1"/>
  <c r="I1299" i="1"/>
  <c r="E1299" i="1"/>
  <c r="I1298" i="1"/>
  <c r="E1298" i="1"/>
  <c r="J1298" i="1" s="1"/>
  <c r="I1297" i="1"/>
  <c r="E1297" i="1"/>
  <c r="I1296" i="1"/>
  <c r="E1296" i="1"/>
  <c r="J1296" i="1" s="1"/>
  <c r="I1295" i="1"/>
  <c r="E1295" i="1"/>
  <c r="J1295" i="1" s="1"/>
  <c r="I1294" i="1"/>
  <c r="E1294" i="1"/>
  <c r="J1294" i="1" s="1"/>
  <c r="I1293" i="1"/>
  <c r="J1293" i="1" s="1"/>
  <c r="E1293" i="1"/>
  <c r="I1292" i="1"/>
  <c r="E1292" i="1"/>
  <c r="I1291" i="1"/>
  <c r="E1291" i="1"/>
  <c r="I1290" i="1"/>
  <c r="E1290" i="1"/>
  <c r="J1290" i="1" s="1"/>
  <c r="I1289" i="1"/>
  <c r="E1289" i="1"/>
  <c r="I1288" i="1"/>
  <c r="E1288" i="1"/>
  <c r="J1288" i="1" s="1"/>
  <c r="I1287" i="1"/>
  <c r="E1287" i="1"/>
  <c r="J1287" i="1" s="1"/>
  <c r="I1286" i="1"/>
  <c r="E1286" i="1"/>
  <c r="I1285" i="1"/>
  <c r="J1285" i="1" s="1"/>
  <c r="E1285" i="1"/>
  <c r="I1284" i="1"/>
  <c r="E1284" i="1"/>
  <c r="I1283" i="1"/>
  <c r="E1283" i="1"/>
  <c r="I1282" i="1"/>
  <c r="E1282" i="1"/>
  <c r="J1282" i="1" s="1"/>
  <c r="I1281" i="1"/>
  <c r="E1281" i="1"/>
  <c r="I1280" i="1"/>
  <c r="E1280" i="1"/>
  <c r="J1280" i="1" s="1"/>
  <c r="I1279" i="1"/>
  <c r="E1279" i="1"/>
  <c r="J1279" i="1" s="1"/>
  <c r="I1278" i="1"/>
  <c r="E1278" i="1"/>
  <c r="J1278" i="1" s="1"/>
  <c r="I1277" i="1"/>
  <c r="J1277" i="1" s="1"/>
  <c r="E1277" i="1"/>
  <c r="I1276" i="1"/>
  <c r="E1276" i="1"/>
  <c r="I1274" i="1"/>
  <c r="E1274" i="1"/>
  <c r="I1273" i="1"/>
  <c r="E1273" i="1"/>
  <c r="I1272" i="1"/>
  <c r="E1272" i="1"/>
  <c r="J1272" i="1" s="1"/>
  <c r="I1271" i="1"/>
  <c r="E1271" i="1"/>
  <c r="I1270" i="1"/>
  <c r="E1270" i="1"/>
  <c r="J1270" i="1" s="1"/>
  <c r="I1269" i="1"/>
  <c r="E1269" i="1"/>
  <c r="J1269" i="1" s="1"/>
  <c r="I1268" i="1"/>
  <c r="E1268" i="1"/>
  <c r="J1268" i="1" s="1"/>
  <c r="I1267" i="1"/>
  <c r="J1267" i="1" s="1"/>
  <c r="E1267" i="1"/>
  <c r="P1269" i="1"/>
  <c r="U1269" i="1" s="1"/>
  <c r="T1269" i="1"/>
  <c r="P1270" i="1"/>
  <c r="U1270" i="1" s="1"/>
  <c r="T1270" i="1"/>
  <c r="P1271" i="1"/>
  <c r="U1271" i="1" s="1"/>
  <c r="T1271" i="1"/>
  <c r="P1272" i="1"/>
  <c r="T1272" i="1"/>
  <c r="U1272" i="1"/>
  <c r="S1302" i="1"/>
  <c r="R1302" i="1"/>
  <c r="Q1302" i="1"/>
  <c r="O1302" i="1"/>
  <c r="N1302" i="1"/>
  <c r="M1302" i="1"/>
  <c r="T1297" i="1"/>
  <c r="U1297" i="1" s="1"/>
  <c r="P1297" i="1"/>
  <c r="T1296" i="1"/>
  <c r="P1296" i="1"/>
  <c r="T1295" i="1"/>
  <c r="P1295" i="1"/>
  <c r="T1294" i="1"/>
  <c r="P1294" i="1"/>
  <c r="U1294" i="1" s="1"/>
  <c r="T1293" i="1"/>
  <c r="P1293" i="1"/>
  <c r="T1292" i="1"/>
  <c r="P1292" i="1"/>
  <c r="T1291" i="1"/>
  <c r="P1291" i="1"/>
  <c r="T1290" i="1"/>
  <c r="P1290" i="1"/>
  <c r="T1289" i="1"/>
  <c r="P1289" i="1"/>
  <c r="T1288" i="1"/>
  <c r="P1288" i="1"/>
  <c r="T1287" i="1"/>
  <c r="P1287" i="1"/>
  <c r="T1286" i="1"/>
  <c r="P1286" i="1"/>
  <c r="U1286" i="1" s="1"/>
  <c r="T1285" i="1"/>
  <c r="P1285" i="1"/>
  <c r="T1284" i="1"/>
  <c r="P1284" i="1"/>
  <c r="U1284" i="1" s="1"/>
  <c r="T1283" i="1"/>
  <c r="P1283" i="1"/>
  <c r="U1283" i="1" s="1"/>
  <c r="T1282" i="1"/>
  <c r="P1282" i="1"/>
  <c r="U1282" i="1" s="1"/>
  <c r="T1281" i="1"/>
  <c r="P1281" i="1"/>
  <c r="T1280" i="1"/>
  <c r="P1280" i="1"/>
  <c r="T1279" i="1"/>
  <c r="P1279" i="1"/>
  <c r="T1278" i="1"/>
  <c r="P1278" i="1"/>
  <c r="T1277" i="1"/>
  <c r="P1277" i="1"/>
  <c r="T1276" i="1"/>
  <c r="P1276" i="1"/>
  <c r="U1276" i="1" s="1"/>
  <c r="T1274" i="1"/>
  <c r="P1274" i="1"/>
  <c r="U1274" i="1" s="1"/>
  <c r="T1273" i="1"/>
  <c r="P1273" i="1"/>
  <c r="U1273" i="1" s="1"/>
  <c r="T1268" i="1"/>
  <c r="P1268" i="1"/>
  <c r="T1267" i="1"/>
  <c r="P1267" i="1"/>
  <c r="T1258" i="1"/>
  <c r="P1258" i="1"/>
  <c r="T1258" i="4"/>
  <c r="P1258" i="4"/>
  <c r="P1230" i="4"/>
  <c r="T1230" i="4"/>
  <c r="T1228" i="4"/>
  <c r="P1228" i="4"/>
  <c r="P1230" i="1"/>
  <c r="T1230" i="1"/>
  <c r="U1230" i="1" s="1"/>
  <c r="T1228" i="1"/>
  <c r="P1228" i="1"/>
  <c r="U1228" i="1" s="1"/>
  <c r="P1184" i="4"/>
  <c r="T1184" i="4"/>
  <c r="T1215" i="1"/>
  <c r="P1215" i="1"/>
  <c r="T1214" i="1"/>
  <c r="P1214" i="1"/>
  <c r="U1214" i="1" s="1"/>
  <c r="T1213" i="1"/>
  <c r="P1213" i="1"/>
  <c r="T1215" i="4"/>
  <c r="P1215" i="4"/>
  <c r="T1214" i="4"/>
  <c r="P1214" i="4"/>
  <c r="T1213" i="4"/>
  <c r="P1213" i="4"/>
  <c r="P1262" i="4"/>
  <c r="P1262" i="1"/>
  <c r="T1171" i="1"/>
  <c r="P1171" i="1"/>
  <c r="T1171" i="4"/>
  <c r="P1171" i="4"/>
  <c r="P1145" i="1"/>
  <c r="T1145" i="1"/>
  <c r="T1226" i="1"/>
  <c r="P1226" i="1"/>
  <c r="P1141" i="1"/>
  <c r="T1141" i="1"/>
  <c r="U1141" i="1" s="1"/>
  <c r="P1142" i="1"/>
  <c r="U1142" i="1" s="1"/>
  <c r="T1142" i="1"/>
  <c r="T1184" i="1"/>
  <c r="P1184" i="1"/>
  <c r="T1183" i="1"/>
  <c r="P1183" i="1"/>
  <c r="U1183" i="1" s="1"/>
  <c r="H1259" i="1"/>
  <c r="G1259" i="1"/>
  <c r="F1259" i="1"/>
  <c r="D1259" i="1"/>
  <c r="C1259" i="1"/>
  <c r="B1259" i="1"/>
  <c r="I1258" i="1"/>
  <c r="E1258" i="1"/>
  <c r="I1257" i="1"/>
  <c r="E1257" i="1"/>
  <c r="J1257" i="1" s="1"/>
  <c r="I1256" i="1"/>
  <c r="E1256" i="1"/>
  <c r="J1256" i="1" s="1"/>
  <c r="I1255" i="1"/>
  <c r="E1255" i="1"/>
  <c r="I1254" i="1"/>
  <c r="J1254" i="1" s="1"/>
  <c r="E1254" i="1"/>
  <c r="I1253" i="1"/>
  <c r="E1253" i="1"/>
  <c r="I1252" i="1"/>
  <c r="E1252" i="1"/>
  <c r="I1251" i="1"/>
  <c r="E1251" i="1"/>
  <c r="J1251" i="1" s="1"/>
  <c r="I1250" i="1"/>
  <c r="E1250" i="1"/>
  <c r="I1249" i="1"/>
  <c r="E1249" i="1"/>
  <c r="J1249" i="1" s="1"/>
  <c r="I1248" i="1"/>
  <c r="E1248" i="1"/>
  <c r="J1248" i="1" s="1"/>
  <c r="I1247" i="1"/>
  <c r="E1247" i="1"/>
  <c r="J1247" i="1" s="1"/>
  <c r="I1246" i="1"/>
  <c r="J1246" i="1" s="1"/>
  <c r="E1246" i="1"/>
  <c r="I1245" i="1"/>
  <c r="E1245" i="1"/>
  <c r="I1244" i="1"/>
  <c r="E1244" i="1"/>
  <c r="I1243" i="1"/>
  <c r="E1243" i="1"/>
  <c r="J1243" i="1" s="1"/>
  <c r="I1242" i="1"/>
  <c r="E1242" i="1"/>
  <c r="I1241" i="1"/>
  <c r="E1241" i="1"/>
  <c r="J1241" i="1" s="1"/>
  <c r="I1240" i="1"/>
  <c r="E1240" i="1"/>
  <c r="J1240" i="1" s="1"/>
  <c r="I1239" i="1"/>
  <c r="E1239" i="1"/>
  <c r="I1238" i="1"/>
  <c r="J1238" i="1" s="1"/>
  <c r="E1238" i="1"/>
  <c r="I1237" i="1"/>
  <c r="E1237" i="1"/>
  <c r="I1236" i="1"/>
  <c r="E1236" i="1"/>
  <c r="I1235" i="1"/>
  <c r="E1235" i="1"/>
  <c r="I1234" i="1"/>
  <c r="E1234" i="1"/>
  <c r="I1233" i="1"/>
  <c r="E1233" i="1"/>
  <c r="J1233" i="1" s="1"/>
  <c r="I1231" i="1"/>
  <c r="E1231" i="1"/>
  <c r="J1231" i="1" s="1"/>
  <c r="I1230" i="1"/>
  <c r="E1230" i="1"/>
  <c r="J1230" i="1" s="1"/>
  <c r="I1229" i="1"/>
  <c r="E1229" i="1"/>
  <c r="I1228" i="1"/>
  <c r="J1228" i="1" s="1"/>
  <c r="E1228" i="1"/>
  <c r="I1227" i="1"/>
  <c r="E1227" i="1"/>
  <c r="I1226" i="1"/>
  <c r="E1226" i="1"/>
  <c r="I1225" i="1"/>
  <c r="E1225" i="1"/>
  <c r="J1225" i="1" s="1"/>
  <c r="I1224" i="1"/>
  <c r="E1224" i="1"/>
  <c r="S1259" i="1"/>
  <c r="R1259" i="1"/>
  <c r="Q1259" i="1"/>
  <c r="O1259" i="1"/>
  <c r="M1259" i="1"/>
  <c r="T1256" i="1"/>
  <c r="P1256" i="1"/>
  <c r="T1255" i="1"/>
  <c r="P1255" i="1"/>
  <c r="U1255" i="1" s="1"/>
  <c r="T1254" i="1"/>
  <c r="P1254" i="1"/>
  <c r="T1253" i="1"/>
  <c r="P1253" i="1"/>
  <c r="T1252" i="1"/>
  <c r="P1252" i="1"/>
  <c r="T1251" i="1"/>
  <c r="P1251" i="1"/>
  <c r="T1250" i="1"/>
  <c r="P1250" i="1"/>
  <c r="T1249" i="1"/>
  <c r="P1249" i="1"/>
  <c r="T1248" i="1"/>
  <c r="P1248" i="1"/>
  <c r="T1247" i="1"/>
  <c r="P1247" i="1"/>
  <c r="U1247" i="1" s="1"/>
  <c r="T1246" i="1"/>
  <c r="P1246" i="1"/>
  <c r="T1245" i="1"/>
  <c r="P1245" i="1"/>
  <c r="U1245" i="1" s="1"/>
  <c r="T1244" i="1"/>
  <c r="P1244" i="1"/>
  <c r="T1243" i="1"/>
  <c r="P1243" i="1"/>
  <c r="T1242" i="1"/>
  <c r="U1242" i="1" s="1"/>
  <c r="P1242" i="1"/>
  <c r="T1241" i="1"/>
  <c r="P1241" i="1"/>
  <c r="T1240" i="1"/>
  <c r="P1240" i="1"/>
  <c r="T1239" i="1"/>
  <c r="P1239" i="1"/>
  <c r="U1239" i="1" s="1"/>
  <c r="T1238" i="1"/>
  <c r="P1238" i="1"/>
  <c r="T1237" i="1"/>
  <c r="P1237" i="1"/>
  <c r="T1236" i="1"/>
  <c r="P1236" i="1"/>
  <c r="U1236" i="1" s="1"/>
  <c r="T1235" i="1"/>
  <c r="P1235" i="1"/>
  <c r="T1234" i="1"/>
  <c r="U1234" i="1" s="1"/>
  <c r="P1234" i="1"/>
  <c r="T1231" i="1"/>
  <c r="P1231" i="1"/>
  <c r="T1229" i="1"/>
  <c r="P1229" i="1"/>
  <c r="T1227" i="1"/>
  <c r="P1227" i="1"/>
  <c r="T1225" i="1"/>
  <c r="P1225" i="1"/>
  <c r="U1225" i="1" s="1"/>
  <c r="T1224" i="1"/>
  <c r="P1224" i="1"/>
  <c r="H1259" i="4"/>
  <c r="G1259" i="4"/>
  <c r="F1259" i="4"/>
  <c r="D1259" i="4"/>
  <c r="C1259" i="4"/>
  <c r="B1259" i="4"/>
  <c r="I1258" i="4"/>
  <c r="E1258" i="4"/>
  <c r="J1258" i="4" s="1"/>
  <c r="I1257" i="4"/>
  <c r="E1257" i="4"/>
  <c r="I1256" i="4"/>
  <c r="E1256" i="4"/>
  <c r="I1255" i="4"/>
  <c r="E1255" i="4"/>
  <c r="J1255" i="4" s="1"/>
  <c r="I1254" i="4"/>
  <c r="E1254" i="4"/>
  <c r="I1253" i="4"/>
  <c r="E1253" i="4"/>
  <c r="J1253" i="4" s="1"/>
  <c r="I1252" i="4"/>
  <c r="E1252" i="4"/>
  <c r="I1251" i="4"/>
  <c r="E1251" i="4"/>
  <c r="J1251" i="4" s="1"/>
  <c r="I1250" i="4"/>
  <c r="E1250" i="4"/>
  <c r="I1249" i="4"/>
  <c r="E1249" i="4"/>
  <c r="J1249" i="4" s="1"/>
  <c r="I1248" i="4"/>
  <c r="E1248" i="4"/>
  <c r="I1247" i="4"/>
  <c r="E1247" i="4"/>
  <c r="I1246" i="4"/>
  <c r="E1246" i="4"/>
  <c r="J1246" i="4" s="1"/>
  <c r="I1245" i="4"/>
  <c r="E1245" i="4"/>
  <c r="I1244" i="4"/>
  <c r="E1244" i="4"/>
  <c r="I1243" i="4"/>
  <c r="E1243" i="4"/>
  <c r="I1242" i="4"/>
  <c r="E1242" i="4"/>
  <c r="I1241" i="4"/>
  <c r="E1241" i="4"/>
  <c r="I1240" i="4"/>
  <c r="E1240" i="4"/>
  <c r="I1239" i="4"/>
  <c r="E1239" i="4"/>
  <c r="I1238" i="4"/>
  <c r="E1238" i="4"/>
  <c r="I1237" i="4"/>
  <c r="E1237" i="4"/>
  <c r="I1236" i="4"/>
  <c r="E1236" i="4"/>
  <c r="I1235" i="4"/>
  <c r="E1235" i="4"/>
  <c r="I1234" i="4"/>
  <c r="E1234" i="4"/>
  <c r="I1233" i="4"/>
  <c r="E1233" i="4"/>
  <c r="I1231" i="4"/>
  <c r="E1231" i="4"/>
  <c r="I1230" i="4"/>
  <c r="E1230" i="4"/>
  <c r="I1229" i="4"/>
  <c r="E1229" i="4"/>
  <c r="I1228" i="4"/>
  <c r="E1228" i="4"/>
  <c r="I1227" i="4"/>
  <c r="E1227" i="4"/>
  <c r="I1226" i="4"/>
  <c r="E1226" i="4"/>
  <c r="I1225" i="4"/>
  <c r="E1225" i="4"/>
  <c r="J1225" i="4" s="1"/>
  <c r="I1224" i="4"/>
  <c r="E1224" i="4"/>
  <c r="P1145" i="4"/>
  <c r="T1145" i="4"/>
  <c r="T1226" i="4"/>
  <c r="P1226" i="4"/>
  <c r="U1226" i="4" s="1"/>
  <c r="P1142" i="4"/>
  <c r="T1142" i="4"/>
  <c r="P1143" i="4"/>
  <c r="T1143" i="4"/>
  <c r="T1183" i="4"/>
  <c r="P1183" i="4"/>
  <c r="U1183" i="4" s="1"/>
  <c r="S1259" i="4"/>
  <c r="R1259" i="4"/>
  <c r="Q1259" i="4"/>
  <c r="O1259" i="4"/>
  <c r="N1259" i="4"/>
  <c r="M1259" i="4"/>
  <c r="T1256" i="4"/>
  <c r="P1256" i="4"/>
  <c r="T1255" i="4"/>
  <c r="P1255" i="4"/>
  <c r="U1255" i="4" s="1"/>
  <c r="T1253" i="4"/>
  <c r="P1253" i="4"/>
  <c r="T1252" i="4"/>
  <c r="P1252" i="4"/>
  <c r="T1251" i="4"/>
  <c r="P1251" i="4"/>
  <c r="T1250" i="4"/>
  <c r="P1250" i="4"/>
  <c r="T1249" i="4"/>
  <c r="P1249" i="4"/>
  <c r="T1248" i="4"/>
  <c r="P1248" i="4"/>
  <c r="T1247" i="4"/>
  <c r="P1247" i="4"/>
  <c r="T1246" i="4"/>
  <c r="P1246" i="4"/>
  <c r="T1245" i="4"/>
  <c r="P1245" i="4"/>
  <c r="T1244" i="4"/>
  <c r="U1244" i="4" s="1"/>
  <c r="P1244" i="4"/>
  <c r="T1243" i="4"/>
  <c r="P1243" i="4"/>
  <c r="T1242" i="4"/>
  <c r="P1242" i="4"/>
  <c r="T1241" i="4"/>
  <c r="P1241" i="4"/>
  <c r="T1240" i="4"/>
  <c r="P1240" i="4"/>
  <c r="T1239" i="4"/>
  <c r="P1239" i="4"/>
  <c r="T1238" i="4"/>
  <c r="P1238" i="4"/>
  <c r="T1237" i="4"/>
  <c r="P1237" i="4"/>
  <c r="T1236" i="4"/>
  <c r="P1236" i="4"/>
  <c r="T1235" i="4"/>
  <c r="P1235" i="4"/>
  <c r="T1234" i="4"/>
  <c r="P1234" i="4"/>
  <c r="T1233" i="4"/>
  <c r="P1233" i="4"/>
  <c r="T1231" i="4"/>
  <c r="P1231" i="4"/>
  <c r="T1229" i="4"/>
  <c r="P1229" i="4"/>
  <c r="T1227" i="4"/>
  <c r="P1227" i="4"/>
  <c r="T1225" i="4"/>
  <c r="P1225" i="4"/>
  <c r="T1224" i="4"/>
  <c r="P1224" i="4"/>
  <c r="P1190" i="1"/>
  <c r="T1190" i="1"/>
  <c r="U1190" i="1" s="1"/>
  <c r="S1216" i="4"/>
  <c r="R1216" i="4"/>
  <c r="Q1216" i="4"/>
  <c r="O1216" i="4"/>
  <c r="N1216" i="4"/>
  <c r="M1216" i="4"/>
  <c r="H1216" i="4"/>
  <c r="G1216" i="4"/>
  <c r="F1216" i="4"/>
  <c r="D1216" i="4"/>
  <c r="C1216" i="4"/>
  <c r="B1216" i="4"/>
  <c r="I1215" i="4"/>
  <c r="E1215" i="4"/>
  <c r="I1214" i="4"/>
  <c r="E1214" i="4"/>
  <c r="I1213" i="4"/>
  <c r="E1213" i="4"/>
  <c r="J1213" i="4" s="1"/>
  <c r="T1212" i="4"/>
  <c r="P1212" i="4"/>
  <c r="U1212" i="4" s="1"/>
  <c r="I1212" i="4"/>
  <c r="E1212" i="4"/>
  <c r="J1212" i="4" s="1"/>
  <c r="T1211" i="4"/>
  <c r="P1211" i="4"/>
  <c r="U1211" i="4" s="1"/>
  <c r="I1211" i="4"/>
  <c r="E1211" i="4"/>
  <c r="J1211" i="4" s="1"/>
  <c r="T1210" i="4"/>
  <c r="P1210" i="4"/>
  <c r="U1210" i="4" s="1"/>
  <c r="I1210" i="4"/>
  <c r="E1210" i="4"/>
  <c r="J1210" i="4" s="1"/>
  <c r="T1209" i="4"/>
  <c r="P1209" i="4"/>
  <c r="I1209" i="4"/>
  <c r="E1209" i="4"/>
  <c r="T1208" i="4"/>
  <c r="P1208" i="4"/>
  <c r="I1208" i="4"/>
  <c r="E1208" i="4"/>
  <c r="T1207" i="4"/>
  <c r="P1207" i="4"/>
  <c r="I1207" i="4"/>
  <c r="E1207" i="4"/>
  <c r="T1206" i="4"/>
  <c r="P1206" i="4"/>
  <c r="I1206" i="4"/>
  <c r="E1206" i="4"/>
  <c r="T1205" i="4"/>
  <c r="U1205" i="4" s="1"/>
  <c r="P1205" i="4"/>
  <c r="I1205" i="4"/>
  <c r="E1205" i="4"/>
  <c r="J1205" i="4" s="1"/>
  <c r="T1204" i="4"/>
  <c r="P1204" i="4"/>
  <c r="U1204" i="4" s="1"/>
  <c r="I1204" i="4"/>
  <c r="E1204" i="4"/>
  <c r="J1204" i="4" s="1"/>
  <c r="T1203" i="4"/>
  <c r="P1203" i="4"/>
  <c r="I1203" i="4"/>
  <c r="E1203" i="4"/>
  <c r="J1203" i="4" s="1"/>
  <c r="T1202" i="4"/>
  <c r="P1202" i="4"/>
  <c r="I1202" i="4"/>
  <c r="E1202" i="4"/>
  <c r="J1202" i="4" s="1"/>
  <c r="T1201" i="4"/>
  <c r="P1201" i="4"/>
  <c r="I1201" i="4"/>
  <c r="E1201" i="4"/>
  <c r="J1201" i="4" s="1"/>
  <c r="T1200" i="4"/>
  <c r="P1200" i="4"/>
  <c r="I1200" i="4"/>
  <c r="E1200" i="4"/>
  <c r="T1199" i="4"/>
  <c r="P1199" i="4"/>
  <c r="I1199" i="4"/>
  <c r="E1199" i="4"/>
  <c r="T1198" i="4"/>
  <c r="P1198" i="4"/>
  <c r="I1198" i="4"/>
  <c r="E1198" i="4"/>
  <c r="T1197" i="4"/>
  <c r="P1197" i="4"/>
  <c r="I1197" i="4"/>
  <c r="E1197" i="4"/>
  <c r="J1197" i="4" s="1"/>
  <c r="T1196" i="4"/>
  <c r="P1196" i="4"/>
  <c r="I1196" i="4"/>
  <c r="E1196" i="4"/>
  <c r="J1196" i="4" s="1"/>
  <c r="T1195" i="4"/>
  <c r="P1195" i="4"/>
  <c r="U1195" i="4" s="1"/>
  <c r="I1195" i="4"/>
  <c r="E1195" i="4"/>
  <c r="J1195" i="4" s="1"/>
  <c r="T1194" i="4"/>
  <c r="P1194" i="4"/>
  <c r="I1194" i="4"/>
  <c r="E1194" i="4"/>
  <c r="J1194" i="4" s="1"/>
  <c r="T1193" i="4"/>
  <c r="P1193" i="4"/>
  <c r="I1193" i="4"/>
  <c r="E1193" i="4"/>
  <c r="T1192" i="4"/>
  <c r="P1192" i="4"/>
  <c r="I1192" i="4"/>
  <c r="E1192" i="4"/>
  <c r="T1191" i="4"/>
  <c r="P1191" i="4"/>
  <c r="I1191" i="4"/>
  <c r="E1191" i="4"/>
  <c r="T1190" i="4"/>
  <c r="P1190" i="4"/>
  <c r="I1190" i="4"/>
  <c r="E1190" i="4"/>
  <c r="T1188" i="4"/>
  <c r="P1188" i="4"/>
  <c r="I1188" i="4"/>
  <c r="E1188" i="4"/>
  <c r="T1187" i="4"/>
  <c r="P1187" i="4"/>
  <c r="I1187" i="4"/>
  <c r="E1187" i="4"/>
  <c r="T1186" i="4"/>
  <c r="P1186" i="4"/>
  <c r="I1186" i="4"/>
  <c r="E1186" i="4"/>
  <c r="T1185" i="4"/>
  <c r="P1185" i="4"/>
  <c r="I1185" i="4"/>
  <c r="E1185" i="4"/>
  <c r="J1185" i="4" s="1"/>
  <c r="I1184" i="4"/>
  <c r="E1184" i="4"/>
  <c r="J1184" i="4" s="1"/>
  <c r="I1183" i="4"/>
  <c r="E1183" i="4"/>
  <c r="T1182" i="4"/>
  <c r="P1182" i="4"/>
  <c r="I1182" i="4"/>
  <c r="E1182" i="4"/>
  <c r="T1181" i="4"/>
  <c r="P1181" i="4"/>
  <c r="U1181" i="4" s="1"/>
  <c r="I1181" i="4"/>
  <c r="E1181" i="4"/>
  <c r="P1138" i="4"/>
  <c r="T1138" i="4"/>
  <c r="P1139" i="4"/>
  <c r="T1139" i="4"/>
  <c r="P1147" i="4"/>
  <c r="T1147" i="4"/>
  <c r="P1148" i="4"/>
  <c r="T1148" i="4"/>
  <c r="P1149" i="4"/>
  <c r="T1149" i="4"/>
  <c r="P1150" i="4"/>
  <c r="T1150" i="4"/>
  <c r="P1151" i="4"/>
  <c r="T1151" i="4"/>
  <c r="E1147" i="4"/>
  <c r="I1147" i="4"/>
  <c r="E1148" i="4"/>
  <c r="I1148" i="4"/>
  <c r="E1149" i="4"/>
  <c r="I1149" i="4"/>
  <c r="E1150" i="4"/>
  <c r="J1150" i="4" s="1"/>
  <c r="I1150" i="4"/>
  <c r="S1173" i="4"/>
  <c r="O1173" i="4"/>
  <c r="G1173" i="4"/>
  <c r="F1173" i="4"/>
  <c r="D1173" i="4"/>
  <c r="C1173" i="4"/>
  <c r="B1173" i="4"/>
  <c r="I1172" i="4"/>
  <c r="J1172" i="4" s="1"/>
  <c r="E1172" i="4"/>
  <c r="I1171" i="4"/>
  <c r="E1171" i="4"/>
  <c r="T1170" i="4"/>
  <c r="P1170" i="4"/>
  <c r="I1170" i="4"/>
  <c r="E1170" i="4"/>
  <c r="T1169" i="4"/>
  <c r="P1169" i="4"/>
  <c r="I1169" i="4"/>
  <c r="E1169" i="4"/>
  <c r="T1168" i="4"/>
  <c r="P1168" i="4"/>
  <c r="I1168" i="4"/>
  <c r="E1168" i="4"/>
  <c r="T1167" i="4"/>
  <c r="P1167" i="4"/>
  <c r="I1167" i="4"/>
  <c r="E1167" i="4"/>
  <c r="T1166" i="4"/>
  <c r="P1166" i="4"/>
  <c r="I1166" i="4"/>
  <c r="E1166" i="4"/>
  <c r="J1166" i="4" s="1"/>
  <c r="T1165" i="4"/>
  <c r="P1165" i="4"/>
  <c r="I1165" i="4"/>
  <c r="E1165" i="4"/>
  <c r="J1165" i="4" s="1"/>
  <c r="T1164" i="4"/>
  <c r="P1164" i="4"/>
  <c r="U1164" i="4" s="1"/>
  <c r="I1164" i="4"/>
  <c r="E1164" i="4"/>
  <c r="T1163" i="4"/>
  <c r="P1163" i="4"/>
  <c r="I1163" i="4"/>
  <c r="E1163" i="4"/>
  <c r="T1162" i="4"/>
  <c r="P1162" i="4"/>
  <c r="I1162" i="4"/>
  <c r="E1162" i="4"/>
  <c r="J1162" i="4" s="1"/>
  <c r="T1161" i="4"/>
  <c r="P1161" i="4"/>
  <c r="I1161" i="4"/>
  <c r="E1161" i="4"/>
  <c r="J1161" i="4" s="1"/>
  <c r="T1160" i="4"/>
  <c r="P1160" i="4"/>
  <c r="U1160" i="4" s="1"/>
  <c r="I1160" i="4"/>
  <c r="E1160" i="4"/>
  <c r="J1160" i="4" s="1"/>
  <c r="T1159" i="4"/>
  <c r="P1159" i="4"/>
  <c r="I1159" i="4"/>
  <c r="E1159" i="4"/>
  <c r="T1158" i="4"/>
  <c r="P1158" i="4"/>
  <c r="I1158" i="4"/>
  <c r="E1158" i="4"/>
  <c r="J1158" i="4" s="1"/>
  <c r="T1157" i="4"/>
  <c r="P1157" i="4"/>
  <c r="I1157" i="4"/>
  <c r="E1157" i="4"/>
  <c r="T1156" i="4"/>
  <c r="P1156" i="4"/>
  <c r="I1156" i="4"/>
  <c r="J1156" i="4" s="1"/>
  <c r="E1156" i="4"/>
  <c r="T1155" i="4"/>
  <c r="U1155" i="4" s="1"/>
  <c r="P1155" i="4"/>
  <c r="I1155" i="4"/>
  <c r="E1155" i="4"/>
  <c r="T1154" i="4"/>
  <c r="P1154" i="4"/>
  <c r="I1154" i="4"/>
  <c r="E1154" i="4"/>
  <c r="T1153" i="4"/>
  <c r="P1153" i="4"/>
  <c r="I1153" i="4"/>
  <c r="E1153" i="4"/>
  <c r="T1152" i="4"/>
  <c r="P1152" i="4"/>
  <c r="I1152" i="4"/>
  <c r="E1152" i="4"/>
  <c r="I1151" i="4"/>
  <c r="E1151" i="4"/>
  <c r="H1173" i="4"/>
  <c r="I1145" i="4"/>
  <c r="E1145" i="4"/>
  <c r="J1145" i="4" s="1"/>
  <c r="T1144" i="4"/>
  <c r="P1144" i="4"/>
  <c r="U1144" i="4" s="1"/>
  <c r="I1144" i="4"/>
  <c r="E1144" i="4"/>
  <c r="I1143" i="4"/>
  <c r="E1143" i="4"/>
  <c r="J1143" i="4" s="1"/>
  <c r="I1142" i="4"/>
  <c r="E1142" i="4"/>
  <c r="T1141" i="4"/>
  <c r="P1141" i="4"/>
  <c r="I1141" i="4"/>
  <c r="E1141" i="4"/>
  <c r="J1141" i="4" s="1"/>
  <c r="T1140" i="4"/>
  <c r="P1140" i="4"/>
  <c r="I1140" i="4"/>
  <c r="E1140" i="4"/>
  <c r="I1139" i="4"/>
  <c r="E1139" i="4"/>
  <c r="I1138" i="4"/>
  <c r="E1138" i="4"/>
  <c r="S1216" i="1"/>
  <c r="R1216" i="1"/>
  <c r="Q1216" i="1"/>
  <c r="O1216" i="1"/>
  <c r="N1216" i="1"/>
  <c r="M1216" i="1"/>
  <c r="H1216" i="1"/>
  <c r="G1216" i="1"/>
  <c r="F1216" i="1"/>
  <c r="I1216" i="1" s="1"/>
  <c r="D1216" i="1"/>
  <c r="C1216" i="1"/>
  <c r="B1216" i="1"/>
  <c r="I1215" i="1"/>
  <c r="E1215" i="1"/>
  <c r="J1215" i="1" s="1"/>
  <c r="I1214" i="1"/>
  <c r="E1214" i="1"/>
  <c r="J1214" i="1" s="1"/>
  <c r="I1213" i="1"/>
  <c r="E1213" i="1"/>
  <c r="J1213" i="1" s="1"/>
  <c r="T1212" i="1"/>
  <c r="P1212" i="1"/>
  <c r="I1212" i="1"/>
  <c r="E1212" i="1"/>
  <c r="T1211" i="1"/>
  <c r="P1211" i="1"/>
  <c r="U1211" i="1" s="1"/>
  <c r="I1211" i="1"/>
  <c r="E1211" i="1"/>
  <c r="J1211" i="1" s="1"/>
  <c r="T1210" i="1"/>
  <c r="P1210" i="1"/>
  <c r="I1210" i="1"/>
  <c r="E1210" i="1"/>
  <c r="T1209" i="1"/>
  <c r="P1209" i="1"/>
  <c r="U1209" i="1" s="1"/>
  <c r="I1209" i="1"/>
  <c r="E1209" i="1"/>
  <c r="J1209" i="1" s="1"/>
  <c r="T1208" i="1"/>
  <c r="P1208" i="1"/>
  <c r="I1208" i="1"/>
  <c r="E1208" i="1"/>
  <c r="T1207" i="1"/>
  <c r="P1207" i="1"/>
  <c r="U1207" i="1" s="1"/>
  <c r="I1207" i="1"/>
  <c r="E1207" i="1"/>
  <c r="J1207" i="1" s="1"/>
  <c r="T1206" i="1"/>
  <c r="P1206" i="1"/>
  <c r="I1206" i="1"/>
  <c r="E1206" i="1"/>
  <c r="T1205" i="1"/>
  <c r="P1205" i="1"/>
  <c r="U1205" i="1" s="1"/>
  <c r="I1205" i="1"/>
  <c r="E1205" i="1"/>
  <c r="J1205" i="1" s="1"/>
  <c r="T1204" i="1"/>
  <c r="P1204" i="1"/>
  <c r="I1204" i="1"/>
  <c r="E1204" i="1"/>
  <c r="T1203" i="1"/>
  <c r="P1203" i="1"/>
  <c r="U1203" i="1" s="1"/>
  <c r="I1203" i="1"/>
  <c r="E1203" i="1"/>
  <c r="J1203" i="1" s="1"/>
  <c r="T1202" i="1"/>
  <c r="P1202" i="1"/>
  <c r="I1202" i="1"/>
  <c r="E1202" i="1"/>
  <c r="T1201" i="1"/>
  <c r="P1201" i="1"/>
  <c r="I1201" i="1"/>
  <c r="E1201" i="1"/>
  <c r="J1201" i="1" s="1"/>
  <c r="T1200" i="1"/>
  <c r="P1200" i="1"/>
  <c r="I1200" i="1"/>
  <c r="E1200" i="1"/>
  <c r="I1199" i="1"/>
  <c r="E1199" i="1"/>
  <c r="T1198" i="1"/>
  <c r="P1198" i="1"/>
  <c r="I1198" i="1"/>
  <c r="E1198" i="1"/>
  <c r="T1197" i="1"/>
  <c r="P1197" i="1"/>
  <c r="I1197" i="1"/>
  <c r="E1197" i="1"/>
  <c r="J1197" i="1" s="1"/>
  <c r="T1196" i="1"/>
  <c r="P1196" i="1"/>
  <c r="I1196" i="1"/>
  <c r="E1196" i="1"/>
  <c r="T1195" i="1"/>
  <c r="P1195" i="1"/>
  <c r="I1195" i="1"/>
  <c r="E1195" i="1"/>
  <c r="T1194" i="1"/>
  <c r="P1194" i="1"/>
  <c r="I1194" i="1"/>
  <c r="E1194" i="1"/>
  <c r="T1193" i="1"/>
  <c r="P1193" i="1"/>
  <c r="I1193" i="1"/>
  <c r="E1193" i="1"/>
  <c r="J1193" i="1" s="1"/>
  <c r="T1192" i="1"/>
  <c r="P1192" i="1"/>
  <c r="I1192" i="1"/>
  <c r="E1192" i="1"/>
  <c r="T1191" i="1"/>
  <c r="P1191" i="1"/>
  <c r="U1191" i="1" s="1"/>
  <c r="I1191" i="1"/>
  <c r="E1191" i="1"/>
  <c r="I1190" i="1"/>
  <c r="E1190" i="1"/>
  <c r="T1188" i="1"/>
  <c r="P1188" i="1"/>
  <c r="I1188" i="1"/>
  <c r="E1188" i="1"/>
  <c r="T1187" i="1"/>
  <c r="P1187" i="1"/>
  <c r="I1187" i="1"/>
  <c r="E1187" i="1"/>
  <c r="T1186" i="1"/>
  <c r="P1186" i="1"/>
  <c r="I1186" i="1"/>
  <c r="E1186" i="1"/>
  <c r="T1185" i="1"/>
  <c r="P1185" i="1"/>
  <c r="U1185" i="1" s="1"/>
  <c r="I1185" i="1"/>
  <c r="E1185" i="1"/>
  <c r="J1185" i="1" s="1"/>
  <c r="I1184" i="1"/>
  <c r="E1184" i="1"/>
  <c r="I1183" i="1"/>
  <c r="E1183" i="1"/>
  <c r="J1183" i="1" s="1"/>
  <c r="T1182" i="1"/>
  <c r="P1182" i="1"/>
  <c r="U1182" i="1" s="1"/>
  <c r="I1182" i="1"/>
  <c r="E1182" i="1"/>
  <c r="J1182" i="1" s="1"/>
  <c r="T1181" i="1"/>
  <c r="P1181" i="1"/>
  <c r="I1181" i="1"/>
  <c r="E1181" i="1"/>
  <c r="Q1173" i="1"/>
  <c r="O1173" i="1"/>
  <c r="N1173" i="1"/>
  <c r="H1173" i="1"/>
  <c r="G1173" i="1"/>
  <c r="F1173" i="1"/>
  <c r="I1173" i="1" s="1"/>
  <c r="D1173" i="1"/>
  <c r="C1173" i="1"/>
  <c r="B1173" i="1"/>
  <c r="P1172" i="1"/>
  <c r="I1172" i="1"/>
  <c r="E1172" i="1"/>
  <c r="J1172" i="1" s="1"/>
  <c r="I1171" i="1"/>
  <c r="E1171" i="1"/>
  <c r="J1171" i="1" s="1"/>
  <c r="T1170" i="1"/>
  <c r="P1170" i="1"/>
  <c r="I1170" i="1"/>
  <c r="E1170" i="1"/>
  <c r="J1170" i="1" s="1"/>
  <c r="T1169" i="1"/>
  <c r="P1169" i="1"/>
  <c r="I1169" i="1"/>
  <c r="E1169" i="1"/>
  <c r="J1169" i="1" s="1"/>
  <c r="T1168" i="1"/>
  <c r="P1168" i="1"/>
  <c r="U1168" i="1" s="1"/>
  <c r="I1168" i="1"/>
  <c r="E1168" i="1"/>
  <c r="T1167" i="1"/>
  <c r="P1167" i="1"/>
  <c r="I1167" i="1"/>
  <c r="E1167" i="1"/>
  <c r="T1166" i="1"/>
  <c r="P1166" i="1"/>
  <c r="I1166" i="1"/>
  <c r="E1166" i="1"/>
  <c r="J1166" i="1" s="1"/>
  <c r="T1165" i="1"/>
  <c r="P1165" i="1"/>
  <c r="I1165" i="1"/>
  <c r="E1165" i="1"/>
  <c r="T1164" i="1"/>
  <c r="P1164" i="1"/>
  <c r="I1164" i="1"/>
  <c r="E1164" i="1"/>
  <c r="T1163" i="1"/>
  <c r="U1163" i="1" s="1"/>
  <c r="P1163" i="1"/>
  <c r="I1163" i="1"/>
  <c r="E1163" i="1"/>
  <c r="T1162" i="1"/>
  <c r="P1162" i="1"/>
  <c r="I1162" i="1"/>
  <c r="E1162" i="1"/>
  <c r="T1161" i="1"/>
  <c r="P1161" i="1"/>
  <c r="I1161" i="1"/>
  <c r="E1161" i="1"/>
  <c r="T1160" i="1"/>
  <c r="P1160" i="1"/>
  <c r="I1160" i="1"/>
  <c r="J1160" i="1" s="1"/>
  <c r="E1160" i="1"/>
  <c r="T1159" i="1"/>
  <c r="P1159" i="1"/>
  <c r="I1159" i="1"/>
  <c r="E1159" i="1"/>
  <c r="T1158" i="1"/>
  <c r="P1158" i="1"/>
  <c r="I1158" i="1"/>
  <c r="E1158" i="1"/>
  <c r="J1158" i="1" s="1"/>
  <c r="T1157" i="1"/>
  <c r="P1157" i="1"/>
  <c r="I1157" i="1"/>
  <c r="E1157" i="1"/>
  <c r="J1157" i="1" s="1"/>
  <c r="T1156" i="1"/>
  <c r="P1156" i="1"/>
  <c r="I1156" i="1"/>
  <c r="E1156" i="1"/>
  <c r="J1156" i="1" s="1"/>
  <c r="T1155" i="1"/>
  <c r="P1155" i="1"/>
  <c r="I1155" i="1"/>
  <c r="E1155" i="1"/>
  <c r="J1155" i="1" s="1"/>
  <c r="T1154" i="1"/>
  <c r="P1154" i="1"/>
  <c r="I1154" i="1"/>
  <c r="E1154" i="1"/>
  <c r="J1154" i="1" s="1"/>
  <c r="T1153" i="1"/>
  <c r="P1153" i="1"/>
  <c r="I1153" i="1"/>
  <c r="E1153" i="1"/>
  <c r="J1153" i="1" s="1"/>
  <c r="T1152" i="1"/>
  <c r="P1152" i="1"/>
  <c r="I1152" i="1"/>
  <c r="E1152" i="1"/>
  <c r="T1151" i="1"/>
  <c r="P1151" i="1"/>
  <c r="I1151" i="1"/>
  <c r="E1151" i="1"/>
  <c r="T1150" i="1"/>
  <c r="P1150" i="1"/>
  <c r="U1150" i="1" s="1"/>
  <c r="I1150" i="1"/>
  <c r="E1150" i="1"/>
  <c r="T1149" i="1"/>
  <c r="P1149" i="1"/>
  <c r="I1149" i="1"/>
  <c r="E1149" i="1"/>
  <c r="T1148" i="1"/>
  <c r="P1148" i="1"/>
  <c r="I1148" i="1"/>
  <c r="E1148" i="1"/>
  <c r="T1147" i="1"/>
  <c r="P1147" i="1"/>
  <c r="I1147" i="1"/>
  <c r="E1147" i="1"/>
  <c r="I1145" i="1"/>
  <c r="E1145" i="1"/>
  <c r="T1144" i="1"/>
  <c r="P1144" i="1"/>
  <c r="I1144" i="1"/>
  <c r="E1144" i="1"/>
  <c r="J1144" i="1" s="1"/>
  <c r="T1143" i="1"/>
  <c r="P1143" i="1"/>
  <c r="I1143" i="1"/>
  <c r="E1143" i="1"/>
  <c r="J1143" i="1" s="1"/>
  <c r="I1142" i="1"/>
  <c r="E1142" i="1"/>
  <c r="J1142" i="1" s="1"/>
  <c r="I1141" i="1"/>
  <c r="E1141" i="1"/>
  <c r="J1141" i="1" s="1"/>
  <c r="T1140" i="1"/>
  <c r="P1140" i="1"/>
  <c r="I1140" i="1"/>
  <c r="E1140" i="1"/>
  <c r="J1140" i="1" s="1"/>
  <c r="T1139" i="1"/>
  <c r="P1139" i="1"/>
  <c r="I1139" i="1"/>
  <c r="E1139" i="1"/>
  <c r="J1139" i="1" s="1"/>
  <c r="T1138" i="1"/>
  <c r="P1138" i="1"/>
  <c r="U1138" i="1" s="1"/>
  <c r="I1138" i="1"/>
  <c r="E1138" i="1"/>
  <c r="Q1096" i="4"/>
  <c r="N1096" i="4"/>
  <c r="P1096" i="4" s="1"/>
  <c r="H1107" i="4"/>
  <c r="F1107" i="4"/>
  <c r="F1130" i="4" s="1"/>
  <c r="C1107" i="4"/>
  <c r="E1107" i="4" s="1"/>
  <c r="E1129" i="4"/>
  <c r="I1129" i="4"/>
  <c r="T1054" i="1"/>
  <c r="P1054" i="1"/>
  <c r="P1107" i="4"/>
  <c r="T1107" i="4"/>
  <c r="T1095" i="4"/>
  <c r="P1095" i="4"/>
  <c r="T1053" i="1"/>
  <c r="P1053" i="1"/>
  <c r="U1053" i="1" s="1"/>
  <c r="E1095" i="1"/>
  <c r="I1095" i="1"/>
  <c r="I1057" i="1"/>
  <c r="E1057" i="1"/>
  <c r="J1057" i="1" s="1"/>
  <c r="T1052" i="1"/>
  <c r="P1052" i="1"/>
  <c r="T1052" i="4"/>
  <c r="P1052" i="4"/>
  <c r="P1104" i="1"/>
  <c r="T1104" i="1"/>
  <c r="P1105" i="1"/>
  <c r="T1105" i="1"/>
  <c r="P1106" i="1"/>
  <c r="T1106" i="1"/>
  <c r="P1107" i="1"/>
  <c r="T1107" i="1"/>
  <c r="P1108" i="1"/>
  <c r="T1108" i="1"/>
  <c r="P1109" i="1"/>
  <c r="T1109" i="1"/>
  <c r="P1110" i="1"/>
  <c r="T1110" i="1"/>
  <c r="P1111" i="1"/>
  <c r="T1111" i="1"/>
  <c r="U1111" i="1" s="1"/>
  <c r="P1112" i="1"/>
  <c r="T1112" i="1"/>
  <c r="P1113" i="1"/>
  <c r="U1113" i="1" s="1"/>
  <c r="T1113" i="1"/>
  <c r="P1114" i="1"/>
  <c r="T1114" i="1"/>
  <c r="P1115" i="1"/>
  <c r="T1115" i="1"/>
  <c r="P1116" i="1"/>
  <c r="T1116" i="1"/>
  <c r="P1117" i="1"/>
  <c r="U1117" i="1" s="1"/>
  <c r="T1117" i="1"/>
  <c r="P1118" i="1"/>
  <c r="T1118" i="1"/>
  <c r="P1119" i="1"/>
  <c r="U1119" i="1" s="1"/>
  <c r="T1119" i="1"/>
  <c r="P1120" i="1"/>
  <c r="T1120" i="1"/>
  <c r="P1121" i="1"/>
  <c r="T1121" i="1"/>
  <c r="P1122" i="1"/>
  <c r="T1122" i="1"/>
  <c r="P1123" i="1"/>
  <c r="T1123" i="1"/>
  <c r="P1124" i="1"/>
  <c r="T1124" i="1"/>
  <c r="P1125" i="1"/>
  <c r="U1125" i="1" s="1"/>
  <c r="T1125" i="1"/>
  <c r="E1104" i="1"/>
  <c r="I1104" i="1"/>
  <c r="E1105" i="1"/>
  <c r="I1105" i="1"/>
  <c r="J1105" i="1"/>
  <c r="E1106" i="1"/>
  <c r="I1106" i="1"/>
  <c r="E1096" i="1"/>
  <c r="I1096" i="1"/>
  <c r="J1096" i="1" s="1"/>
  <c r="E1097" i="1"/>
  <c r="I1097" i="1"/>
  <c r="E1098" i="1"/>
  <c r="I1098" i="1"/>
  <c r="S1130" i="1"/>
  <c r="R1130" i="1"/>
  <c r="Q1130" i="1"/>
  <c r="O1130" i="1"/>
  <c r="N1130" i="1"/>
  <c r="M1130" i="1"/>
  <c r="H1130" i="1"/>
  <c r="G1130" i="1"/>
  <c r="F1130" i="1"/>
  <c r="D1130" i="1"/>
  <c r="C1130" i="1"/>
  <c r="B1130" i="1"/>
  <c r="T1129" i="1"/>
  <c r="P1129" i="1"/>
  <c r="I1129" i="1"/>
  <c r="E1129" i="1"/>
  <c r="T1128" i="1"/>
  <c r="P1128" i="1"/>
  <c r="I1128" i="1"/>
  <c r="E1128" i="1"/>
  <c r="T1127" i="1"/>
  <c r="P1127" i="1"/>
  <c r="I1127" i="1"/>
  <c r="E1127" i="1"/>
  <c r="T1126" i="1"/>
  <c r="P1126" i="1"/>
  <c r="I1126" i="1"/>
  <c r="E1126" i="1"/>
  <c r="I1125" i="1"/>
  <c r="E1125" i="1"/>
  <c r="I1124" i="1"/>
  <c r="E1124" i="1"/>
  <c r="I1123" i="1"/>
  <c r="E1123" i="1"/>
  <c r="I1122" i="1"/>
  <c r="E1122" i="1"/>
  <c r="I1121" i="1"/>
  <c r="E1121" i="1"/>
  <c r="I1120" i="1"/>
  <c r="E1120" i="1"/>
  <c r="I1119" i="1"/>
  <c r="E1119" i="1"/>
  <c r="I1118" i="1"/>
  <c r="E1118" i="1"/>
  <c r="I1117" i="1"/>
  <c r="E1117" i="1"/>
  <c r="I1116" i="1"/>
  <c r="E1116" i="1"/>
  <c r="I1115" i="1"/>
  <c r="E1115" i="1"/>
  <c r="I1114" i="1"/>
  <c r="E1114" i="1"/>
  <c r="I1113" i="1"/>
  <c r="E1113" i="1"/>
  <c r="I1112" i="1"/>
  <c r="E1112" i="1"/>
  <c r="I1111" i="1"/>
  <c r="E1111" i="1"/>
  <c r="I1110" i="1"/>
  <c r="E1110" i="1"/>
  <c r="I1109" i="1"/>
  <c r="E1109" i="1"/>
  <c r="I1108" i="1"/>
  <c r="E1108" i="1"/>
  <c r="I1107" i="1"/>
  <c r="E1107" i="1"/>
  <c r="T1102" i="1"/>
  <c r="P1102" i="1"/>
  <c r="I1102" i="1"/>
  <c r="E1102" i="1"/>
  <c r="T1101" i="1"/>
  <c r="P1101" i="1"/>
  <c r="I1101" i="1"/>
  <c r="E1101" i="1"/>
  <c r="T1100" i="1"/>
  <c r="P1100" i="1"/>
  <c r="I1100" i="1"/>
  <c r="E1100" i="1"/>
  <c r="T1099" i="1"/>
  <c r="P1099" i="1"/>
  <c r="I1099" i="1"/>
  <c r="E1099" i="1"/>
  <c r="T1098" i="1"/>
  <c r="P1098" i="1"/>
  <c r="T1097" i="1"/>
  <c r="P1097" i="1"/>
  <c r="T1096" i="1"/>
  <c r="P1096" i="1"/>
  <c r="T1095" i="1"/>
  <c r="P1095" i="1"/>
  <c r="P1104" i="4"/>
  <c r="T1104" i="4"/>
  <c r="P1105" i="4"/>
  <c r="T1105" i="4"/>
  <c r="P1106" i="4"/>
  <c r="T1106" i="4"/>
  <c r="P1108" i="4"/>
  <c r="T1108" i="4"/>
  <c r="P1109" i="4"/>
  <c r="T1109" i="4"/>
  <c r="P1110" i="4"/>
  <c r="T1110" i="4"/>
  <c r="P1111" i="4"/>
  <c r="T1111" i="4"/>
  <c r="P1112" i="4"/>
  <c r="T1112" i="4"/>
  <c r="P1113" i="4"/>
  <c r="T1113" i="4"/>
  <c r="P1114" i="4"/>
  <c r="T1114" i="4"/>
  <c r="P1115" i="4"/>
  <c r="T1115" i="4"/>
  <c r="P1116" i="4"/>
  <c r="T1116" i="4"/>
  <c r="P1117" i="4"/>
  <c r="T1117" i="4"/>
  <c r="P1118" i="4"/>
  <c r="T1118" i="4"/>
  <c r="P1119" i="4"/>
  <c r="T1119" i="4"/>
  <c r="P1120" i="4"/>
  <c r="T1120" i="4"/>
  <c r="P1121" i="4"/>
  <c r="T1121" i="4"/>
  <c r="P1122" i="4"/>
  <c r="T1122" i="4"/>
  <c r="P1123" i="4"/>
  <c r="T1123" i="4"/>
  <c r="P1124" i="4"/>
  <c r="T1124" i="4"/>
  <c r="P1125" i="4"/>
  <c r="T1125" i="4"/>
  <c r="P1126" i="4"/>
  <c r="T1126" i="4"/>
  <c r="E1095" i="4"/>
  <c r="I1095" i="4"/>
  <c r="E1096" i="4"/>
  <c r="I1096" i="4"/>
  <c r="E1097" i="4"/>
  <c r="I1097" i="4"/>
  <c r="E1098" i="4"/>
  <c r="I1098" i="4"/>
  <c r="S1130" i="4"/>
  <c r="R1130" i="4"/>
  <c r="Q1130" i="4"/>
  <c r="O1130" i="4"/>
  <c r="N1130" i="4"/>
  <c r="M1130" i="4"/>
  <c r="H1130" i="4"/>
  <c r="G1130" i="4"/>
  <c r="D1130" i="4"/>
  <c r="B1130" i="4"/>
  <c r="T1129" i="4"/>
  <c r="P1129" i="4"/>
  <c r="T1128" i="4"/>
  <c r="P1128" i="4"/>
  <c r="I1128" i="4"/>
  <c r="E1128" i="4"/>
  <c r="T1127" i="4"/>
  <c r="P1127" i="4"/>
  <c r="I1127" i="4"/>
  <c r="E1127" i="4"/>
  <c r="I1126" i="4"/>
  <c r="E1126" i="4"/>
  <c r="I1125" i="4"/>
  <c r="E1125" i="4"/>
  <c r="I1124" i="4"/>
  <c r="E1124" i="4"/>
  <c r="I1123" i="4"/>
  <c r="E1123" i="4"/>
  <c r="I1122" i="4"/>
  <c r="E1122" i="4"/>
  <c r="I1121" i="4"/>
  <c r="E1121" i="4"/>
  <c r="I1120" i="4"/>
  <c r="E1120" i="4"/>
  <c r="I1119" i="4"/>
  <c r="E1119" i="4"/>
  <c r="I1118" i="4"/>
  <c r="E1118" i="4"/>
  <c r="I1117" i="4"/>
  <c r="E1117" i="4"/>
  <c r="I1116" i="4"/>
  <c r="E1116" i="4"/>
  <c r="I1115" i="4"/>
  <c r="E1115" i="4"/>
  <c r="I1114" i="4"/>
  <c r="E1114" i="4"/>
  <c r="I1113" i="4"/>
  <c r="E1113" i="4"/>
  <c r="I1112" i="4"/>
  <c r="E1112" i="4"/>
  <c r="I1111" i="4"/>
  <c r="E1111" i="4"/>
  <c r="I1110" i="4"/>
  <c r="E1110" i="4"/>
  <c r="I1109" i="4"/>
  <c r="E1109" i="4"/>
  <c r="I1108" i="4"/>
  <c r="E1108" i="4"/>
  <c r="I1106" i="4"/>
  <c r="E1106" i="4"/>
  <c r="I1105" i="4"/>
  <c r="E1105" i="4"/>
  <c r="I1104" i="4"/>
  <c r="E1104" i="4"/>
  <c r="T1102" i="4"/>
  <c r="P1102" i="4"/>
  <c r="I1102" i="4"/>
  <c r="E1102" i="4"/>
  <c r="T1101" i="4"/>
  <c r="P1101" i="4"/>
  <c r="I1101" i="4"/>
  <c r="E1101" i="4"/>
  <c r="T1100" i="4"/>
  <c r="P1100" i="4"/>
  <c r="I1100" i="4"/>
  <c r="E1100" i="4"/>
  <c r="T1099" i="4"/>
  <c r="P1099" i="4"/>
  <c r="I1099" i="4"/>
  <c r="E1099" i="4"/>
  <c r="T1098" i="4"/>
  <c r="P1098" i="4"/>
  <c r="T1097" i="4"/>
  <c r="P1097" i="4"/>
  <c r="P1077" i="4"/>
  <c r="T1077" i="4"/>
  <c r="I1053" i="1"/>
  <c r="E1086" i="1"/>
  <c r="I1086" i="1"/>
  <c r="P1058" i="1"/>
  <c r="T1058" i="1"/>
  <c r="P1058" i="4"/>
  <c r="T1058" i="4"/>
  <c r="T1063" i="4"/>
  <c r="P1063" i="4"/>
  <c r="S1044" i="1"/>
  <c r="T1042" i="1"/>
  <c r="P1084" i="1"/>
  <c r="T1084" i="1"/>
  <c r="P1085" i="1"/>
  <c r="T1085" i="1"/>
  <c r="P1086" i="1"/>
  <c r="T1086" i="1"/>
  <c r="P1061" i="1"/>
  <c r="T1061" i="1"/>
  <c r="P1062" i="1"/>
  <c r="T1062" i="1"/>
  <c r="P1063" i="1"/>
  <c r="T1063" i="1"/>
  <c r="P1064" i="1"/>
  <c r="T1064" i="1"/>
  <c r="P1065" i="1"/>
  <c r="T1065" i="1"/>
  <c r="P1066" i="1"/>
  <c r="T1066" i="1"/>
  <c r="P1067" i="1"/>
  <c r="T1067" i="1"/>
  <c r="U1067" i="1" s="1"/>
  <c r="P1068" i="1"/>
  <c r="T1068" i="1"/>
  <c r="U1068" i="1" s="1"/>
  <c r="P1069" i="1"/>
  <c r="T1069" i="1"/>
  <c r="U1069" i="1" s="1"/>
  <c r="P1070" i="1"/>
  <c r="T1070" i="1"/>
  <c r="U1070" i="1" s="1"/>
  <c r="P1071" i="1"/>
  <c r="T1071" i="1"/>
  <c r="P1072" i="1"/>
  <c r="T1072" i="1"/>
  <c r="U1072" i="1" s="1"/>
  <c r="P1073" i="1"/>
  <c r="T1073" i="1"/>
  <c r="P1074" i="1"/>
  <c r="T1074" i="1"/>
  <c r="U1074" i="1"/>
  <c r="P1075" i="1"/>
  <c r="T1075" i="1"/>
  <c r="P1076" i="1"/>
  <c r="T1076" i="1"/>
  <c r="U1076" i="1" s="1"/>
  <c r="P1077" i="1"/>
  <c r="T1077" i="1"/>
  <c r="P1078" i="1"/>
  <c r="T1078" i="1"/>
  <c r="P1079" i="1"/>
  <c r="T1079" i="1"/>
  <c r="U1079" i="1" s="1"/>
  <c r="P1080" i="1"/>
  <c r="T1080" i="1"/>
  <c r="P1081" i="1"/>
  <c r="T1081" i="1"/>
  <c r="P1055" i="1"/>
  <c r="T1055" i="1"/>
  <c r="P1056" i="1"/>
  <c r="T1056" i="1"/>
  <c r="P1057" i="1"/>
  <c r="T1057" i="1"/>
  <c r="E1061" i="1"/>
  <c r="I1061" i="1"/>
  <c r="E1062" i="1"/>
  <c r="I1062" i="1"/>
  <c r="E1052" i="1"/>
  <c r="I1052" i="1"/>
  <c r="E1053" i="1"/>
  <c r="H1087" i="1"/>
  <c r="G1087" i="1"/>
  <c r="F1087" i="1"/>
  <c r="D1087" i="1"/>
  <c r="C1087" i="1"/>
  <c r="B1087" i="1"/>
  <c r="S1087" i="1"/>
  <c r="R1087" i="1"/>
  <c r="Q1087" i="1"/>
  <c r="O1087" i="1"/>
  <c r="N1087" i="1"/>
  <c r="M1087" i="1"/>
  <c r="I1085" i="1"/>
  <c r="E1085" i="1"/>
  <c r="I1084" i="1"/>
  <c r="E1084" i="1"/>
  <c r="T1083" i="1"/>
  <c r="P1083" i="1"/>
  <c r="I1083" i="1"/>
  <c r="E1083" i="1"/>
  <c r="T1082" i="1"/>
  <c r="P1082" i="1"/>
  <c r="I1082" i="1"/>
  <c r="E1082" i="1"/>
  <c r="I1081" i="1"/>
  <c r="E1081" i="1"/>
  <c r="I1080" i="1"/>
  <c r="E1080" i="1"/>
  <c r="I1079" i="1"/>
  <c r="E1079" i="1"/>
  <c r="I1078" i="1"/>
  <c r="E1078" i="1"/>
  <c r="I1077" i="1"/>
  <c r="E1077" i="1"/>
  <c r="I1076" i="1"/>
  <c r="E1076" i="1"/>
  <c r="I1075" i="1"/>
  <c r="E1075" i="1"/>
  <c r="I1074" i="1"/>
  <c r="E1074" i="1"/>
  <c r="I1073" i="1"/>
  <c r="E1073" i="1"/>
  <c r="I1072" i="1"/>
  <c r="E1072" i="1"/>
  <c r="I1071" i="1"/>
  <c r="E1071" i="1"/>
  <c r="I1070" i="1"/>
  <c r="E1070" i="1"/>
  <c r="I1069" i="1"/>
  <c r="E1069" i="1"/>
  <c r="I1068" i="1"/>
  <c r="E1068" i="1"/>
  <c r="I1067" i="1"/>
  <c r="E1067" i="1"/>
  <c r="I1066" i="1"/>
  <c r="E1066" i="1"/>
  <c r="I1065" i="1"/>
  <c r="E1065" i="1"/>
  <c r="I1064" i="1"/>
  <c r="E1064" i="1"/>
  <c r="I1063" i="1"/>
  <c r="E1063" i="1"/>
  <c r="T1059" i="1"/>
  <c r="P1059" i="1"/>
  <c r="I1059" i="1"/>
  <c r="E1059" i="1"/>
  <c r="I1058" i="1"/>
  <c r="E1058" i="1"/>
  <c r="I1056" i="1"/>
  <c r="E1056" i="1"/>
  <c r="I1055" i="1"/>
  <c r="E1055" i="1"/>
  <c r="I1054" i="1"/>
  <c r="E1054" i="1"/>
  <c r="E1052" i="4"/>
  <c r="I1052" i="4"/>
  <c r="E1053" i="4"/>
  <c r="I1053" i="4"/>
  <c r="E1061" i="4"/>
  <c r="I1061" i="4"/>
  <c r="E1062" i="4"/>
  <c r="I1062" i="4"/>
  <c r="P1084" i="4"/>
  <c r="T1084" i="4"/>
  <c r="P1085" i="4"/>
  <c r="T1085" i="4"/>
  <c r="U1085" i="4" s="1"/>
  <c r="P1086" i="4"/>
  <c r="T1086" i="4"/>
  <c r="P1061" i="4"/>
  <c r="T1061" i="4"/>
  <c r="P1062" i="4"/>
  <c r="T1062" i="4"/>
  <c r="P1064" i="4"/>
  <c r="T1064" i="4"/>
  <c r="P1065" i="4"/>
  <c r="T1065" i="4"/>
  <c r="P1066" i="4"/>
  <c r="T1066" i="4"/>
  <c r="P1067" i="4"/>
  <c r="T1067" i="4"/>
  <c r="P1068" i="4"/>
  <c r="T1068" i="4"/>
  <c r="P1069" i="4"/>
  <c r="T1069" i="4"/>
  <c r="P1070" i="4"/>
  <c r="T1070" i="4"/>
  <c r="P1071" i="4"/>
  <c r="T1071" i="4"/>
  <c r="P1072" i="4"/>
  <c r="T1072" i="4"/>
  <c r="P1073" i="4"/>
  <c r="T1073" i="4"/>
  <c r="P1074" i="4"/>
  <c r="T1074" i="4"/>
  <c r="U1074" i="4" s="1"/>
  <c r="P1075" i="4"/>
  <c r="T1075" i="4"/>
  <c r="P1076" i="4"/>
  <c r="T1076" i="4"/>
  <c r="P1078" i="4"/>
  <c r="T1078" i="4"/>
  <c r="P1079" i="4"/>
  <c r="T1079" i="4"/>
  <c r="P1080" i="4"/>
  <c r="T1080" i="4"/>
  <c r="P1081" i="4"/>
  <c r="T1081" i="4"/>
  <c r="P1053" i="4"/>
  <c r="T1053" i="4"/>
  <c r="P1054" i="4"/>
  <c r="T1054" i="4"/>
  <c r="P1055" i="4"/>
  <c r="T1055" i="4"/>
  <c r="P1056" i="4"/>
  <c r="T1056" i="4"/>
  <c r="H1087" i="4"/>
  <c r="G1087" i="4"/>
  <c r="F1087" i="4"/>
  <c r="D1087" i="4"/>
  <c r="C1087" i="4"/>
  <c r="B1087" i="4"/>
  <c r="I1086" i="4"/>
  <c r="E1086" i="4"/>
  <c r="S1087" i="4"/>
  <c r="R1087" i="4"/>
  <c r="Q1087" i="4"/>
  <c r="O1087" i="4"/>
  <c r="N1087" i="4"/>
  <c r="M1087" i="4"/>
  <c r="I1085" i="4"/>
  <c r="E1085" i="4"/>
  <c r="I1084" i="4"/>
  <c r="E1084" i="4"/>
  <c r="T1083" i="4"/>
  <c r="P1083" i="4"/>
  <c r="I1083" i="4"/>
  <c r="E1083" i="4"/>
  <c r="T1082" i="4"/>
  <c r="P1082" i="4"/>
  <c r="I1082" i="4"/>
  <c r="E1082" i="4"/>
  <c r="I1081" i="4"/>
  <c r="E1081" i="4"/>
  <c r="I1080" i="4"/>
  <c r="E1080" i="4"/>
  <c r="I1079" i="4"/>
  <c r="E1079" i="4"/>
  <c r="I1078" i="4"/>
  <c r="E1078" i="4"/>
  <c r="I1077" i="4"/>
  <c r="E1077" i="4"/>
  <c r="I1076" i="4"/>
  <c r="E1076" i="4"/>
  <c r="I1075" i="4"/>
  <c r="E1075" i="4"/>
  <c r="I1074" i="4"/>
  <c r="E1074" i="4"/>
  <c r="I1073" i="4"/>
  <c r="E1073" i="4"/>
  <c r="I1072" i="4"/>
  <c r="E1072" i="4"/>
  <c r="I1071" i="4"/>
  <c r="E1071" i="4"/>
  <c r="I1070" i="4"/>
  <c r="E1070" i="4"/>
  <c r="I1069" i="4"/>
  <c r="E1069" i="4"/>
  <c r="I1068" i="4"/>
  <c r="E1068" i="4"/>
  <c r="I1067" i="4"/>
  <c r="E1067" i="4"/>
  <c r="I1066" i="4"/>
  <c r="E1066" i="4"/>
  <c r="I1065" i="4"/>
  <c r="E1065" i="4"/>
  <c r="I1064" i="4"/>
  <c r="E1064" i="4"/>
  <c r="I1063" i="4"/>
  <c r="E1063" i="4"/>
  <c r="T1059" i="4"/>
  <c r="P1059" i="4"/>
  <c r="I1059" i="4"/>
  <c r="E1059" i="4"/>
  <c r="I1058" i="4"/>
  <c r="E1058" i="4"/>
  <c r="T1057" i="4"/>
  <c r="P1057" i="4"/>
  <c r="I1057" i="4"/>
  <c r="E1057" i="4"/>
  <c r="I1056" i="4"/>
  <c r="E1056" i="4"/>
  <c r="I1055" i="4"/>
  <c r="E1055" i="4"/>
  <c r="I1054" i="4"/>
  <c r="E1054" i="4"/>
  <c r="T1009" i="4"/>
  <c r="P1009" i="4"/>
  <c r="T1009" i="1"/>
  <c r="P1009" i="1"/>
  <c r="P1042" i="1"/>
  <c r="T1042" i="4"/>
  <c r="P1042" i="4"/>
  <c r="P843" i="1"/>
  <c r="T843" i="1"/>
  <c r="P1041" i="4"/>
  <c r="T1041" i="4"/>
  <c r="T1041" i="1"/>
  <c r="T1020" i="4"/>
  <c r="P1020" i="4"/>
  <c r="T1019" i="1"/>
  <c r="P1019" i="1"/>
  <c r="T1019" i="4"/>
  <c r="T1011" i="4"/>
  <c r="P1011" i="4"/>
  <c r="P1041" i="1"/>
  <c r="Q1044" i="1"/>
  <c r="O1044" i="1"/>
  <c r="N1044" i="1"/>
  <c r="M1044" i="1"/>
  <c r="H1044" i="1"/>
  <c r="G1044" i="1"/>
  <c r="F1044" i="1"/>
  <c r="D1044" i="1"/>
  <c r="C1044" i="1"/>
  <c r="B1044" i="1"/>
  <c r="T1043" i="1"/>
  <c r="P1043" i="1"/>
  <c r="I1043" i="1"/>
  <c r="E1043" i="1"/>
  <c r="I1042" i="1"/>
  <c r="E1042" i="1"/>
  <c r="I1041" i="1"/>
  <c r="E1041" i="1"/>
  <c r="T1040" i="1"/>
  <c r="P1040" i="1"/>
  <c r="I1040" i="1"/>
  <c r="E1040" i="1"/>
  <c r="T1039" i="1"/>
  <c r="P1039" i="1"/>
  <c r="I1039" i="1"/>
  <c r="E1039" i="1"/>
  <c r="T1038" i="1"/>
  <c r="P1038" i="1"/>
  <c r="I1038" i="1"/>
  <c r="E1038" i="1"/>
  <c r="T1037" i="1"/>
  <c r="P1037" i="1"/>
  <c r="I1037" i="1"/>
  <c r="J1037" i="1" s="1"/>
  <c r="E1037" i="1"/>
  <c r="T1036" i="1"/>
  <c r="P1036" i="1"/>
  <c r="I1036" i="1"/>
  <c r="E1036" i="1"/>
  <c r="T1035" i="1"/>
  <c r="P1035" i="1"/>
  <c r="I1035" i="1"/>
  <c r="E1035" i="1"/>
  <c r="J1035" i="1" s="1"/>
  <c r="T1034" i="1"/>
  <c r="P1034" i="1"/>
  <c r="I1034" i="1"/>
  <c r="E1034" i="1"/>
  <c r="T1033" i="1"/>
  <c r="P1033" i="1"/>
  <c r="I1033" i="1"/>
  <c r="E1033" i="1"/>
  <c r="T1032" i="1"/>
  <c r="P1032" i="1"/>
  <c r="I1032" i="1"/>
  <c r="E1032" i="1"/>
  <c r="J1032" i="1" s="1"/>
  <c r="T1031" i="1"/>
  <c r="P1031" i="1"/>
  <c r="I1031" i="1"/>
  <c r="E1031" i="1"/>
  <c r="T1030" i="1"/>
  <c r="P1030" i="1"/>
  <c r="I1030" i="1"/>
  <c r="E1030" i="1"/>
  <c r="T1029" i="1"/>
  <c r="P1029" i="1"/>
  <c r="I1029" i="1"/>
  <c r="E1029" i="1"/>
  <c r="T1028" i="1"/>
  <c r="P1028" i="1"/>
  <c r="I1028" i="1"/>
  <c r="E1028" i="1"/>
  <c r="T1027" i="1"/>
  <c r="P1027" i="1"/>
  <c r="I1027" i="1"/>
  <c r="E1027" i="1"/>
  <c r="J1027" i="1" s="1"/>
  <c r="T1026" i="1"/>
  <c r="P1026" i="1"/>
  <c r="I1026" i="1"/>
  <c r="E1026" i="1"/>
  <c r="T1025" i="1"/>
  <c r="P1025" i="1"/>
  <c r="I1025" i="1"/>
  <c r="E1025" i="1"/>
  <c r="J1025" i="1" s="1"/>
  <c r="T1024" i="1"/>
  <c r="P1024" i="1"/>
  <c r="I1024" i="1"/>
  <c r="E1024" i="1"/>
  <c r="J1024" i="1" s="1"/>
  <c r="T1023" i="1"/>
  <c r="P1023" i="1"/>
  <c r="I1023" i="1"/>
  <c r="E1023" i="1"/>
  <c r="J1023" i="1" s="1"/>
  <c r="T1022" i="1"/>
  <c r="P1022" i="1"/>
  <c r="I1022" i="1"/>
  <c r="E1022" i="1"/>
  <c r="J1022" i="1" s="1"/>
  <c r="T1021" i="1"/>
  <c r="P1021" i="1"/>
  <c r="I1021" i="1"/>
  <c r="E1021" i="1"/>
  <c r="T1020" i="1"/>
  <c r="P1020" i="1"/>
  <c r="I1020" i="1"/>
  <c r="E1020" i="1"/>
  <c r="I1019" i="1"/>
  <c r="E1019" i="1"/>
  <c r="T1018" i="1"/>
  <c r="P1018" i="1"/>
  <c r="I1018" i="1"/>
  <c r="E1018" i="1"/>
  <c r="T1016" i="1"/>
  <c r="P1016" i="1"/>
  <c r="U1016" i="1" s="1"/>
  <c r="I1016" i="1"/>
  <c r="E1016" i="1"/>
  <c r="T1015" i="1"/>
  <c r="P1015" i="1"/>
  <c r="I1015" i="1"/>
  <c r="E1015" i="1"/>
  <c r="T1014" i="1"/>
  <c r="P1014" i="1"/>
  <c r="I1014" i="1"/>
  <c r="E1014" i="1"/>
  <c r="T1013" i="1"/>
  <c r="P1013" i="1"/>
  <c r="I1013" i="1"/>
  <c r="E1013" i="1"/>
  <c r="T1012" i="1"/>
  <c r="P1012" i="1"/>
  <c r="I1012" i="1"/>
  <c r="E1012" i="1"/>
  <c r="T1011" i="1"/>
  <c r="P1011" i="1"/>
  <c r="I1011" i="1"/>
  <c r="E1011" i="1"/>
  <c r="T1010" i="1"/>
  <c r="P1010" i="1"/>
  <c r="I1010" i="1"/>
  <c r="E1010" i="1"/>
  <c r="I1009" i="1"/>
  <c r="E1009" i="1"/>
  <c r="E966" i="1"/>
  <c r="I966" i="1"/>
  <c r="E967" i="1"/>
  <c r="I967" i="1"/>
  <c r="P967" i="1"/>
  <c r="U967" i="1" s="1"/>
  <c r="T967" i="1"/>
  <c r="P975" i="1"/>
  <c r="T975" i="1"/>
  <c r="P976" i="1"/>
  <c r="U976" i="1" s="1"/>
  <c r="T976" i="1"/>
  <c r="P977" i="1"/>
  <c r="T977" i="1"/>
  <c r="P978" i="1"/>
  <c r="U978" i="1" s="1"/>
  <c r="T978" i="1"/>
  <c r="P979" i="1"/>
  <c r="T979" i="1"/>
  <c r="P980" i="1"/>
  <c r="T980" i="1"/>
  <c r="P981" i="1"/>
  <c r="T981" i="1"/>
  <c r="P982" i="1"/>
  <c r="T982" i="1"/>
  <c r="U982" i="1"/>
  <c r="P983" i="1"/>
  <c r="T983" i="1"/>
  <c r="P984" i="1"/>
  <c r="T984" i="1"/>
  <c r="P985" i="1"/>
  <c r="T985" i="1"/>
  <c r="P986" i="1"/>
  <c r="T986" i="1"/>
  <c r="U986" i="1" s="1"/>
  <c r="P987" i="1"/>
  <c r="T987" i="1"/>
  <c r="U987" i="1" s="1"/>
  <c r="P988" i="1"/>
  <c r="U988" i="1" s="1"/>
  <c r="T988" i="1"/>
  <c r="S1001" i="1"/>
  <c r="R1001" i="1"/>
  <c r="Q1001" i="1"/>
  <c r="O1001" i="1"/>
  <c r="N1001" i="1"/>
  <c r="M1001" i="1"/>
  <c r="H1001" i="1"/>
  <c r="G1001" i="1"/>
  <c r="F1001" i="1"/>
  <c r="D1001" i="1"/>
  <c r="C1001" i="1"/>
  <c r="B1001" i="1"/>
  <c r="T1000" i="1"/>
  <c r="P1000" i="1"/>
  <c r="I1000" i="1"/>
  <c r="E1000" i="1"/>
  <c r="T999" i="1"/>
  <c r="P999" i="1"/>
  <c r="I999" i="1"/>
  <c r="E999" i="1"/>
  <c r="T998" i="1"/>
  <c r="P998" i="1"/>
  <c r="I998" i="1"/>
  <c r="E998" i="1"/>
  <c r="T997" i="1"/>
  <c r="P997" i="1"/>
  <c r="I997" i="1"/>
  <c r="E997" i="1"/>
  <c r="T996" i="1"/>
  <c r="U996" i="1" s="1"/>
  <c r="P996" i="1"/>
  <c r="I996" i="1"/>
  <c r="E996" i="1"/>
  <c r="T995" i="1"/>
  <c r="P995" i="1"/>
  <c r="I995" i="1"/>
  <c r="E995" i="1"/>
  <c r="T994" i="1"/>
  <c r="P994" i="1"/>
  <c r="I994" i="1"/>
  <c r="E994" i="1"/>
  <c r="T993" i="1"/>
  <c r="P993" i="1"/>
  <c r="I993" i="1"/>
  <c r="E993" i="1"/>
  <c r="T992" i="1"/>
  <c r="P992" i="1"/>
  <c r="I992" i="1"/>
  <c r="E992" i="1"/>
  <c r="T991" i="1"/>
  <c r="P991" i="1"/>
  <c r="I991" i="1"/>
  <c r="E991" i="1"/>
  <c r="T990" i="1"/>
  <c r="P990" i="1"/>
  <c r="I990" i="1"/>
  <c r="E990" i="1"/>
  <c r="T989" i="1"/>
  <c r="P989" i="1"/>
  <c r="I989" i="1"/>
  <c r="E989" i="1"/>
  <c r="I988" i="1"/>
  <c r="E988" i="1"/>
  <c r="I987" i="1"/>
  <c r="E987" i="1"/>
  <c r="I986" i="1"/>
  <c r="E986" i="1"/>
  <c r="I985" i="1"/>
  <c r="E985" i="1"/>
  <c r="I984" i="1"/>
  <c r="E984" i="1"/>
  <c r="I983" i="1"/>
  <c r="E983" i="1"/>
  <c r="I982" i="1"/>
  <c r="E982" i="1"/>
  <c r="I981" i="1"/>
  <c r="E981" i="1"/>
  <c r="I980" i="1"/>
  <c r="E980" i="1"/>
  <c r="I979" i="1"/>
  <c r="E979" i="1"/>
  <c r="I978" i="1"/>
  <c r="E978" i="1"/>
  <c r="I977" i="1"/>
  <c r="J977" i="1" s="1"/>
  <c r="E977" i="1"/>
  <c r="I976" i="1"/>
  <c r="E976" i="1"/>
  <c r="I975" i="1"/>
  <c r="E975" i="1"/>
  <c r="T973" i="1"/>
  <c r="P973" i="1"/>
  <c r="I973" i="1"/>
  <c r="E973" i="1"/>
  <c r="T972" i="1"/>
  <c r="P972" i="1"/>
  <c r="I972" i="1"/>
  <c r="E972" i="1"/>
  <c r="T971" i="1"/>
  <c r="P971" i="1"/>
  <c r="I971" i="1"/>
  <c r="J971" i="1" s="1"/>
  <c r="E971" i="1"/>
  <c r="T970" i="1"/>
  <c r="P970" i="1"/>
  <c r="I970" i="1"/>
  <c r="E970" i="1"/>
  <c r="T969" i="1"/>
  <c r="P969" i="1"/>
  <c r="I969" i="1"/>
  <c r="E969" i="1"/>
  <c r="J969" i="1" s="1"/>
  <c r="T968" i="1"/>
  <c r="P968" i="1"/>
  <c r="I968" i="1"/>
  <c r="E968" i="1"/>
  <c r="T966" i="1"/>
  <c r="P966" i="1"/>
  <c r="S1044" i="4"/>
  <c r="O1044" i="4"/>
  <c r="N1044" i="4"/>
  <c r="M1044" i="4"/>
  <c r="H1044" i="4"/>
  <c r="G1044" i="4"/>
  <c r="F1044" i="4"/>
  <c r="D1044" i="4"/>
  <c r="C1044" i="4"/>
  <c r="B1044" i="4"/>
  <c r="T1043" i="4"/>
  <c r="P1043" i="4"/>
  <c r="I1043" i="4"/>
  <c r="E1043" i="4"/>
  <c r="I1042" i="4"/>
  <c r="E1042" i="4"/>
  <c r="I1041" i="4"/>
  <c r="E1041" i="4"/>
  <c r="T1040" i="4"/>
  <c r="P1040" i="4"/>
  <c r="I1040" i="4"/>
  <c r="E1040" i="4"/>
  <c r="T1039" i="4"/>
  <c r="P1039" i="4"/>
  <c r="I1039" i="4"/>
  <c r="E1039" i="4"/>
  <c r="T1038" i="4"/>
  <c r="P1038" i="4"/>
  <c r="I1038" i="4"/>
  <c r="E1038" i="4"/>
  <c r="T1037" i="4"/>
  <c r="P1037" i="4"/>
  <c r="I1037" i="4"/>
  <c r="E1037" i="4"/>
  <c r="T1036" i="4"/>
  <c r="P1036" i="4"/>
  <c r="I1036" i="4"/>
  <c r="E1036" i="4"/>
  <c r="T1035" i="4"/>
  <c r="P1035" i="4"/>
  <c r="I1035" i="4"/>
  <c r="J1035" i="4" s="1"/>
  <c r="E1035" i="4"/>
  <c r="T1034" i="4"/>
  <c r="P1034" i="4"/>
  <c r="I1034" i="4"/>
  <c r="E1034" i="4"/>
  <c r="T1033" i="4"/>
  <c r="P1033" i="4"/>
  <c r="I1033" i="4"/>
  <c r="E1033" i="4"/>
  <c r="J1033" i="4" s="1"/>
  <c r="T1032" i="4"/>
  <c r="P1032" i="4"/>
  <c r="I1032" i="4"/>
  <c r="E1032" i="4"/>
  <c r="T1031" i="4"/>
  <c r="P1031" i="4"/>
  <c r="I1031" i="4"/>
  <c r="E1031" i="4"/>
  <c r="T1030" i="4"/>
  <c r="P1030" i="4"/>
  <c r="I1030" i="4"/>
  <c r="E1030" i="4"/>
  <c r="T1029" i="4"/>
  <c r="P1029" i="4"/>
  <c r="I1029" i="4"/>
  <c r="E1029" i="4"/>
  <c r="T1028" i="4"/>
  <c r="P1028" i="4"/>
  <c r="I1028" i="4"/>
  <c r="E1028" i="4"/>
  <c r="J1028" i="4" s="1"/>
  <c r="T1027" i="4"/>
  <c r="P1027" i="4"/>
  <c r="I1027" i="4"/>
  <c r="E1027" i="4"/>
  <c r="T1026" i="4"/>
  <c r="P1026" i="4"/>
  <c r="I1026" i="4"/>
  <c r="E1026" i="4"/>
  <c r="T1025" i="4"/>
  <c r="P1025" i="4"/>
  <c r="I1025" i="4"/>
  <c r="E1025" i="4"/>
  <c r="J1025" i="4" s="1"/>
  <c r="T1024" i="4"/>
  <c r="P1024" i="4"/>
  <c r="I1024" i="4"/>
  <c r="E1024" i="4"/>
  <c r="J1024" i="4" s="1"/>
  <c r="T1023" i="4"/>
  <c r="P1023" i="4"/>
  <c r="I1023" i="4"/>
  <c r="E1023" i="4"/>
  <c r="J1023" i="4" s="1"/>
  <c r="T1022" i="4"/>
  <c r="P1022" i="4"/>
  <c r="I1022" i="4"/>
  <c r="E1022" i="4"/>
  <c r="T1021" i="4"/>
  <c r="P1021" i="4"/>
  <c r="I1021" i="4"/>
  <c r="E1021" i="4"/>
  <c r="J1021" i="4" s="1"/>
  <c r="I1020" i="4"/>
  <c r="E1020" i="4"/>
  <c r="P1019" i="4"/>
  <c r="U1019" i="4" s="1"/>
  <c r="I1019" i="4"/>
  <c r="E1019" i="4"/>
  <c r="T1018" i="4"/>
  <c r="P1018" i="4"/>
  <c r="I1018" i="4"/>
  <c r="E1018" i="4"/>
  <c r="T1016" i="4"/>
  <c r="P1016" i="4"/>
  <c r="I1016" i="4"/>
  <c r="E1016" i="4"/>
  <c r="T1015" i="4"/>
  <c r="P1015" i="4"/>
  <c r="I1015" i="4"/>
  <c r="E1015" i="4"/>
  <c r="T1014" i="4"/>
  <c r="P1014" i="4"/>
  <c r="I1014" i="4"/>
  <c r="E1014" i="4"/>
  <c r="T1013" i="4"/>
  <c r="U1013" i="4" s="1"/>
  <c r="P1013" i="4"/>
  <c r="I1013" i="4"/>
  <c r="E1013" i="4"/>
  <c r="T1012" i="4"/>
  <c r="P1012" i="4"/>
  <c r="I1012" i="4"/>
  <c r="E1012" i="4"/>
  <c r="I1011" i="4"/>
  <c r="E1011" i="4"/>
  <c r="T1010" i="4"/>
  <c r="P1010" i="4"/>
  <c r="I1010" i="4"/>
  <c r="E1010" i="4"/>
  <c r="I1009" i="4"/>
  <c r="E1009" i="4"/>
  <c r="P975" i="4"/>
  <c r="T975" i="4"/>
  <c r="P976" i="4"/>
  <c r="T976" i="4"/>
  <c r="P977" i="4"/>
  <c r="T977" i="4"/>
  <c r="P978" i="4"/>
  <c r="T978" i="4"/>
  <c r="P979" i="4"/>
  <c r="U979" i="4" s="1"/>
  <c r="T979" i="4"/>
  <c r="P980" i="4"/>
  <c r="T980" i="4"/>
  <c r="P981" i="4"/>
  <c r="T981" i="4"/>
  <c r="P982" i="4"/>
  <c r="T982" i="4"/>
  <c r="P983" i="4"/>
  <c r="T983" i="4"/>
  <c r="P984" i="4"/>
  <c r="T984" i="4"/>
  <c r="P985" i="4"/>
  <c r="T985" i="4"/>
  <c r="P986" i="4"/>
  <c r="T986" i="4"/>
  <c r="P987" i="4"/>
  <c r="U987" i="4" s="1"/>
  <c r="T987" i="4"/>
  <c r="P988" i="4"/>
  <c r="T988" i="4"/>
  <c r="P989" i="4"/>
  <c r="T989" i="4"/>
  <c r="P990" i="4"/>
  <c r="T990" i="4"/>
  <c r="P991" i="4"/>
  <c r="T991" i="4"/>
  <c r="P992" i="4"/>
  <c r="T992" i="4"/>
  <c r="P993" i="4"/>
  <c r="T993" i="4"/>
  <c r="S1001" i="4"/>
  <c r="R1001" i="4"/>
  <c r="Q1001" i="4"/>
  <c r="O1001" i="4"/>
  <c r="N1001" i="4"/>
  <c r="M1001" i="4"/>
  <c r="H1001" i="4"/>
  <c r="G1001" i="4"/>
  <c r="F1001" i="4"/>
  <c r="D1001" i="4"/>
  <c r="C1001" i="4"/>
  <c r="B1001" i="4"/>
  <c r="T1000" i="4"/>
  <c r="P1000" i="4"/>
  <c r="I1000" i="4"/>
  <c r="E1000" i="4"/>
  <c r="T999" i="4"/>
  <c r="P999" i="4"/>
  <c r="I999" i="4"/>
  <c r="E999" i="4"/>
  <c r="T998" i="4"/>
  <c r="P998" i="4"/>
  <c r="I998" i="4"/>
  <c r="E998" i="4"/>
  <c r="T997" i="4"/>
  <c r="P997" i="4"/>
  <c r="I997" i="4"/>
  <c r="E997" i="4"/>
  <c r="T996" i="4"/>
  <c r="P996" i="4"/>
  <c r="I996" i="4"/>
  <c r="E996" i="4"/>
  <c r="T995" i="4"/>
  <c r="P995" i="4"/>
  <c r="I995" i="4"/>
  <c r="E995" i="4"/>
  <c r="T994" i="4"/>
  <c r="P994" i="4"/>
  <c r="I994" i="4"/>
  <c r="E994" i="4"/>
  <c r="I993" i="4"/>
  <c r="E993" i="4"/>
  <c r="I992" i="4"/>
  <c r="E992" i="4"/>
  <c r="I991" i="4"/>
  <c r="E991" i="4"/>
  <c r="I990" i="4"/>
  <c r="J990" i="4" s="1"/>
  <c r="E990" i="4"/>
  <c r="I989" i="4"/>
  <c r="E989" i="4"/>
  <c r="I988" i="4"/>
  <c r="E988" i="4"/>
  <c r="I987" i="4"/>
  <c r="E987" i="4"/>
  <c r="I986" i="4"/>
  <c r="E986" i="4"/>
  <c r="J986" i="4" s="1"/>
  <c r="I985" i="4"/>
  <c r="E985" i="4"/>
  <c r="I984" i="4"/>
  <c r="E984" i="4"/>
  <c r="I983" i="4"/>
  <c r="E983" i="4"/>
  <c r="I982" i="4"/>
  <c r="E982" i="4"/>
  <c r="I981" i="4"/>
  <c r="E981" i="4"/>
  <c r="I980" i="4"/>
  <c r="E980" i="4"/>
  <c r="I979" i="4"/>
  <c r="E979" i="4"/>
  <c r="I978" i="4"/>
  <c r="E978" i="4"/>
  <c r="I977" i="4"/>
  <c r="E977" i="4"/>
  <c r="I976" i="4"/>
  <c r="E976" i="4"/>
  <c r="I975" i="4"/>
  <c r="E975" i="4"/>
  <c r="T973" i="4"/>
  <c r="P973" i="4"/>
  <c r="I973" i="4"/>
  <c r="E973" i="4"/>
  <c r="T972" i="4"/>
  <c r="P972" i="4"/>
  <c r="I972" i="4"/>
  <c r="E972" i="4"/>
  <c r="T971" i="4"/>
  <c r="P971" i="4"/>
  <c r="I971" i="4"/>
  <c r="E971" i="4"/>
  <c r="T970" i="4"/>
  <c r="P970" i="4"/>
  <c r="I970" i="4"/>
  <c r="E970" i="4"/>
  <c r="T969" i="4"/>
  <c r="P969" i="4"/>
  <c r="I969" i="4"/>
  <c r="E969" i="4"/>
  <c r="T968" i="4"/>
  <c r="P968" i="4"/>
  <c r="I968" i="4"/>
  <c r="E968" i="4"/>
  <c r="T967" i="4"/>
  <c r="P967" i="4"/>
  <c r="I967" i="4"/>
  <c r="E967" i="4"/>
  <c r="T966" i="4"/>
  <c r="P966" i="4"/>
  <c r="I966" i="4"/>
  <c r="E966" i="4"/>
  <c r="E932" i="1"/>
  <c r="I932" i="1"/>
  <c r="P956" i="1"/>
  <c r="T956" i="1"/>
  <c r="P957" i="1"/>
  <c r="T957" i="1"/>
  <c r="P932" i="1"/>
  <c r="T932" i="1"/>
  <c r="P933" i="1"/>
  <c r="T933" i="1"/>
  <c r="P934" i="1"/>
  <c r="T934" i="1"/>
  <c r="P935" i="1"/>
  <c r="T935" i="1"/>
  <c r="P936" i="1"/>
  <c r="T936" i="1"/>
  <c r="P937" i="1"/>
  <c r="T937" i="1"/>
  <c r="P938" i="1"/>
  <c r="T938" i="1"/>
  <c r="P939" i="1"/>
  <c r="T939" i="1"/>
  <c r="P940" i="1"/>
  <c r="T940" i="1"/>
  <c r="P941" i="1"/>
  <c r="T941" i="1"/>
  <c r="P942" i="1"/>
  <c r="T942" i="1"/>
  <c r="P943" i="1"/>
  <c r="T943" i="1"/>
  <c r="P944" i="1"/>
  <c r="T944" i="1"/>
  <c r="P945" i="1"/>
  <c r="T945" i="1"/>
  <c r="P946" i="1"/>
  <c r="T946" i="1"/>
  <c r="P947" i="1"/>
  <c r="T947" i="1"/>
  <c r="P948" i="1"/>
  <c r="T948" i="1"/>
  <c r="P949" i="1"/>
  <c r="T949" i="1"/>
  <c r="P950" i="1"/>
  <c r="T950" i="1"/>
  <c r="P951" i="1"/>
  <c r="T951" i="1"/>
  <c r="P952" i="1"/>
  <c r="T952" i="1"/>
  <c r="P953" i="1"/>
  <c r="T953" i="1"/>
  <c r="P923" i="1"/>
  <c r="T923" i="1"/>
  <c r="S958" i="1"/>
  <c r="R958" i="1"/>
  <c r="Q958" i="1"/>
  <c r="O958" i="1"/>
  <c r="N958" i="1"/>
  <c r="M958" i="1"/>
  <c r="H958" i="1"/>
  <c r="G958" i="1"/>
  <c r="F958" i="1"/>
  <c r="D958" i="1"/>
  <c r="C958" i="1"/>
  <c r="B958" i="1"/>
  <c r="I957" i="1"/>
  <c r="E957" i="1"/>
  <c r="I956" i="1"/>
  <c r="E956" i="1"/>
  <c r="T955" i="1"/>
  <c r="P955" i="1"/>
  <c r="I955" i="1"/>
  <c r="E955" i="1"/>
  <c r="T954" i="1"/>
  <c r="P954" i="1"/>
  <c r="I954" i="1"/>
  <c r="E954" i="1"/>
  <c r="I953" i="1"/>
  <c r="E953" i="1"/>
  <c r="I952" i="1"/>
  <c r="E952" i="1"/>
  <c r="I951" i="1"/>
  <c r="E951" i="1"/>
  <c r="I950" i="1"/>
  <c r="E950" i="1"/>
  <c r="I949" i="1"/>
  <c r="E949" i="1"/>
  <c r="I948" i="1"/>
  <c r="E948" i="1"/>
  <c r="I947" i="1"/>
  <c r="E947" i="1"/>
  <c r="I946" i="1"/>
  <c r="E946" i="1"/>
  <c r="I945" i="1"/>
  <c r="E945" i="1"/>
  <c r="I944" i="1"/>
  <c r="E944" i="1"/>
  <c r="I943" i="1"/>
  <c r="E943" i="1"/>
  <c r="I942" i="1"/>
  <c r="E942" i="1"/>
  <c r="I941" i="1"/>
  <c r="E941" i="1"/>
  <c r="I940" i="1"/>
  <c r="E940" i="1"/>
  <c r="I939" i="1"/>
  <c r="E939" i="1"/>
  <c r="I938" i="1"/>
  <c r="E938" i="1"/>
  <c r="I937" i="1"/>
  <c r="E937" i="1"/>
  <c r="I936" i="1"/>
  <c r="E936" i="1"/>
  <c r="I935" i="1"/>
  <c r="E935" i="1"/>
  <c r="I934" i="1"/>
  <c r="E934" i="1"/>
  <c r="I933" i="1"/>
  <c r="E933" i="1"/>
  <c r="T930" i="1"/>
  <c r="P930" i="1"/>
  <c r="I930" i="1"/>
  <c r="E930" i="1"/>
  <c r="T929" i="1"/>
  <c r="P929" i="1"/>
  <c r="I929" i="1"/>
  <c r="E929" i="1"/>
  <c r="T928" i="1"/>
  <c r="P928" i="1"/>
  <c r="I928" i="1"/>
  <c r="E928" i="1"/>
  <c r="T927" i="1"/>
  <c r="P927" i="1"/>
  <c r="I927" i="1"/>
  <c r="E927" i="1"/>
  <c r="T926" i="1"/>
  <c r="P926" i="1"/>
  <c r="I926" i="1"/>
  <c r="E926" i="1"/>
  <c r="T925" i="1"/>
  <c r="P925" i="1"/>
  <c r="I925" i="1"/>
  <c r="E925" i="1"/>
  <c r="T924" i="1"/>
  <c r="P924" i="1"/>
  <c r="I924" i="1"/>
  <c r="E924" i="1"/>
  <c r="I923" i="1"/>
  <c r="E923" i="1"/>
  <c r="U1339" i="4" l="1"/>
  <c r="J1312" i="4"/>
  <c r="U1385" i="1"/>
  <c r="U1386" i="1"/>
  <c r="S1389" i="4"/>
  <c r="T1388" i="4"/>
  <c r="U1387" i="4"/>
  <c r="U1387" i="1"/>
  <c r="T1388" i="1"/>
  <c r="P1388" i="1"/>
  <c r="U1388" i="1" s="1"/>
  <c r="U1356" i="1"/>
  <c r="J1363" i="1"/>
  <c r="J1363" i="4"/>
  <c r="U1356" i="4"/>
  <c r="O1304" i="1"/>
  <c r="N1304" i="1"/>
  <c r="U1364" i="1"/>
  <c r="U1364" i="4"/>
  <c r="P1388" i="4"/>
  <c r="U1338" i="1"/>
  <c r="U1336" i="1"/>
  <c r="U1335" i="1"/>
  <c r="U1333" i="1"/>
  <c r="U1354" i="4"/>
  <c r="G1389" i="4"/>
  <c r="J1388" i="4"/>
  <c r="U1354" i="1"/>
  <c r="J1388" i="1"/>
  <c r="H1346" i="4"/>
  <c r="J1320" i="4"/>
  <c r="U1331" i="1"/>
  <c r="U1310" i="1"/>
  <c r="C1346" i="1"/>
  <c r="E1345" i="1"/>
  <c r="J1321" i="1"/>
  <c r="E1345" i="4"/>
  <c r="U1329" i="1"/>
  <c r="U1301" i="1"/>
  <c r="U1327" i="1"/>
  <c r="U1328" i="4"/>
  <c r="J1319" i="1"/>
  <c r="U1325" i="4"/>
  <c r="J1310" i="4"/>
  <c r="P1345" i="4"/>
  <c r="P1304" i="4" s="1"/>
  <c r="U1319" i="1"/>
  <c r="T1345" i="4"/>
  <c r="D1346" i="4"/>
  <c r="I1345" i="4"/>
  <c r="J1345" i="4" s="1"/>
  <c r="E1318" i="4"/>
  <c r="B1346" i="4"/>
  <c r="B1352" i="4" s="1"/>
  <c r="B1361" i="4" s="1"/>
  <c r="E1361" i="4" s="1"/>
  <c r="I1318" i="4"/>
  <c r="F1346" i="4"/>
  <c r="F1352" i="4" s="1"/>
  <c r="F1361" i="4" s="1"/>
  <c r="I1361" i="4" s="1"/>
  <c r="P1345" i="1"/>
  <c r="T1345" i="1"/>
  <c r="G1346" i="1"/>
  <c r="I1345" i="1"/>
  <c r="J1345" i="1" s="1"/>
  <c r="E1318" i="1"/>
  <c r="B1346" i="1"/>
  <c r="B1352" i="1" s="1"/>
  <c r="B1361" i="1" s="1"/>
  <c r="E1361" i="1" s="1"/>
  <c r="I1318" i="1"/>
  <c r="F1346" i="1"/>
  <c r="F1352" i="1" s="1"/>
  <c r="F1361" i="1" s="1"/>
  <c r="I1361" i="1" s="1"/>
  <c r="U1315" i="1"/>
  <c r="U1317" i="1"/>
  <c r="U1292" i="1"/>
  <c r="U1300" i="4"/>
  <c r="U1291" i="1"/>
  <c r="U1299" i="1"/>
  <c r="U1299" i="4"/>
  <c r="U1289" i="1"/>
  <c r="U1287" i="4"/>
  <c r="J1276" i="4"/>
  <c r="U1281" i="1"/>
  <c r="U1278" i="1"/>
  <c r="U1267" i="4"/>
  <c r="J1235" i="1"/>
  <c r="U1267" i="1"/>
  <c r="U1253" i="4"/>
  <c r="U1253" i="1"/>
  <c r="U1258" i="4"/>
  <c r="U1251" i="4"/>
  <c r="U1252" i="1"/>
  <c r="S1175" i="4"/>
  <c r="E1302" i="4"/>
  <c r="U978" i="4"/>
  <c r="J1012" i="4"/>
  <c r="J1013" i="4"/>
  <c r="J1015" i="4"/>
  <c r="J1016" i="4"/>
  <c r="U1040" i="4"/>
  <c r="U1055" i="4"/>
  <c r="J1139" i="4"/>
  <c r="J1152" i="4"/>
  <c r="J1153" i="4"/>
  <c r="J1154" i="4"/>
  <c r="J1157" i="4"/>
  <c r="J1164" i="4"/>
  <c r="J1168" i="4"/>
  <c r="U1168" i="4"/>
  <c r="J1169" i="4"/>
  <c r="J1170" i="4"/>
  <c r="P1172" i="4"/>
  <c r="J1149" i="4"/>
  <c r="U1147" i="4"/>
  <c r="J1183" i="4"/>
  <c r="J1187" i="4"/>
  <c r="J1193" i="4"/>
  <c r="J1209" i="4"/>
  <c r="U1282" i="4"/>
  <c r="J1272" i="4"/>
  <c r="J1290" i="4"/>
  <c r="U1187" i="4"/>
  <c r="J1188" i="4"/>
  <c r="U1188" i="4"/>
  <c r="J1190" i="4"/>
  <c r="J1191" i="4"/>
  <c r="J1192" i="4"/>
  <c r="U1193" i="4"/>
  <c r="J1198" i="4"/>
  <c r="J1199" i="4"/>
  <c r="J1200" i="4"/>
  <c r="U1200" i="4"/>
  <c r="U1201" i="4"/>
  <c r="J1206" i="4"/>
  <c r="U1206" i="4"/>
  <c r="J1207" i="4"/>
  <c r="U1207" i="4"/>
  <c r="J1208" i="4"/>
  <c r="U1208" i="4"/>
  <c r="U1209" i="4"/>
  <c r="J1214" i="4"/>
  <c r="J1215" i="4"/>
  <c r="U1225" i="4"/>
  <c r="U1227" i="4"/>
  <c r="U1229" i="4"/>
  <c r="U1231" i="4"/>
  <c r="U1233" i="4"/>
  <c r="U1249" i="4"/>
  <c r="U1250" i="4"/>
  <c r="U1252" i="4"/>
  <c r="U1256" i="4"/>
  <c r="U1145" i="4"/>
  <c r="J1229" i="4"/>
  <c r="J1230" i="4"/>
  <c r="J1236" i="4"/>
  <c r="J1243" i="4"/>
  <c r="U1171" i="4"/>
  <c r="U1184" i="4"/>
  <c r="U1228" i="4"/>
  <c r="U1230" i="4"/>
  <c r="U1274" i="4"/>
  <c r="U1277" i="4"/>
  <c r="U1280" i="4"/>
  <c r="U1281" i="4"/>
  <c r="U1284" i="4"/>
  <c r="U1285" i="4"/>
  <c r="U1288" i="4"/>
  <c r="U1289" i="4"/>
  <c r="U1292" i="4"/>
  <c r="U1293" i="4"/>
  <c r="U1296" i="4"/>
  <c r="U1297" i="4"/>
  <c r="U1271" i="4"/>
  <c r="U1270" i="4"/>
  <c r="J1267" i="4"/>
  <c r="J1269" i="4"/>
  <c r="J1270" i="4"/>
  <c r="J1277" i="4"/>
  <c r="J1279" i="4"/>
  <c r="J1280" i="4"/>
  <c r="J1285" i="4"/>
  <c r="J1287" i="4"/>
  <c r="J1288" i="4"/>
  <c r="J1293" i="4"/>
  <c r="J1295" i="4"/>
  <c r="J1296" i="4"/>
  <c r="J1301" i="4"/>
  <c r="I1302" i="4"/>
  <c r="U1257" i="4"/>
  <c r="U1250" i="1"/>
  <c r="U1248" i="4"/>
  <c r="U1247" i="4"/>
  <c r="U1246" i="4"/>
  <c r="U1245" i="4"/>
  <c r="U1243" i="4"/>
  <c r="U1244" i="1"/>
  <c r="U1242" i="4"/>
  <c r="U1243" i="1"/>
  <c r="U1241" i="4"/>
  <c r="U1240" i="4"/>
  <c r="U1239" i="4"/>
  <c r="U1238" i="4"/>
  <c r="U1237" i="4"/>
  <c r="U1236" i="4"/>
  <c r="U1237" i="1"/>
  <c r="J1224" i="4"/>
  <c r="U1235" i="4"/>
  <c r="U1257" i="1"/>
  <c r="U1234" i="4"/>
  <c r="U1203" i="4"/>
  <c r="P1233" i="1"/>
  <c r="U1202" i="4"/>
  <c r="U1201" i="1"/>
  <c r="U1199" i="4"/>
  <c r="U1187" i="1"/>
  <c r="J1181" i="4"/>
  <c r="J1181" i="1"/>
  <c r="T1259" i="4"/>
  <c r="U1198" i="4"/>
  <c r="U1215" i="1"/>
  <c r="U1197" i="1"/>
  <c r="U1197" i="4"/>
  <c r="U1196" i="4"/>
  <c r="U1195" i="1"/>
  <c r="U1194" i="4"/>
  <c r="U1193" i="1"/>
  <c r="U1192" i="4"/>
  <c r="U1213" i="1"/>
  <c r="U1191" i="4"/>
  <c r="U1190" i="4"/>
  <c r="J1015" i="1"/>
  <c r="J1150" i="1"/>
  <c r="N1175" i="1"/>
  <c r="U1181" i="1"/>
  <c r="J1187" i="1"/>
  <c r="J1191" i="1"/>
  <c r="J1195" i="1"/>
  <c r="J1199" i="1"/>
  <c r="I1302" i="1"/>
  <c r="U969" i="1"/>
  <c r="U971" i="1"/>
  <c r="J976" i="1"/>
  <c r="J978" i="1"/>
  <c r="J982" i="1"/>
  <c r="J983" i="1"/>
  <c r="J987" i="1"/>
  <c r="J989" i="1"/>
  <c r="J990" i="1"/>
  <c r="J991" i="1"/>
  <c r="J994" i="1"/>
  <c r="J995" i="1"/>
  <c r="J996" i="1"/>
  <c r="J997" i="1"/>
  <c r="J998" i="1"/>
  <c r="J999" i="1"/>
  <c r="U999" i="1"/>
  <c r="P1001" i="1"/>
  <c r="U985" i="1"/>
  <c r="U983" i="1"/>
  <c r="J1010" i="1"/>
  <c r="J1011" i="1"/>
  <c r="J1012" i="1"/>
  <c r="J1029" i="1"/>
  <c r="J1043" i="1"/>
  <c r="U1019" i="1"/>
  <c r="J1053" i="1"/>
  <c r="U1057" i="1"/>
  <c r="U1066" i="1"/>
  <c r="U1064" i="1"/>
  <c r="U1095" i="1"/>
  <c r="U1097" i="1"/>
  <c r="J1099" i="1"/>
  <c r="J1100" i="1"/>
  <c r="J1101" i="1"/>
  <c r="J1102" i="1"/>
  <c r="J1107" i="1"/>
  <c r="J1109" i="1"/>
  <c r="J1111" i="1"/>
  <c r="J1113" i="1"/>
  <c r="J1115" i="1"/>
  <c r="J1117" i="1"/>
  <c r="J1119" i="1"/>
  <c r="J1121" i="1"/>
  <c r="J1123" i="1"/>
  <c r="J1125" i="1"/>
  <c r="U1126" i="1"/>
  <c r="U1127" i="1"/>
  <c r="U1128" i="1"/>
  <c r="U1129" i="1"/>
  <c r="J1097" i="1"/>
  <c r="J1104" i="1"/>
  <c r="U1124" i="1"/>
  <c r="U1122" i="1"/>
  <c r="U1121" i="1"/>
  <c r="U1116" i="1"/>
  <c r="U1114" i="1"/>
  <c r="J1138" i="1"/>
  <c r="U1144" i="1"/>
  <c r="J1147" i="1"/>
  <c r="J1148" i="1"/>
  <c r="U1148" i="1"/>
  <c r="J1152" i="1"/>
  <c r="U1155" i="1"/>
  <c r="J1161" i="1"/>
  <c r="J1162" i="1"/>
  <c r="J1163" i="1"/>
  <c r="J1164" i="1"/>
  <c r="J1165" i="1"/>
  <c r="J1168" i="1"/>
  <c r="J1184" i="1"/>
  <c r="J1186" i="1"/>
  <c r="U1186" i="1"/>
  <c r="J1188" i="1"/>
  <c r="U1188" i="1"/>
  <c r="J1190" i="1"/>
  <c r="J1192" i="1"/>
  <c r="U1192" i="1"/>
  <c r="J1194" i="1"/>
  <c r="U1194" i="1"/>
  <c r="J1196" i="1"/>
  <c r="U1196" i="1"/>
  <c r="J1198" i="1"/>
  <c r="U1198" i="1"/>
  <c r="J1200" i="1"/>
  <c r="U1200" i="1"/>
  <c r="J1202" i="1"/>
  <c r="U1202" i="1"/>
  <c r="J1204" i="1"/>
  <c r="U1204" i="1"/>
  <c r="J1206" i="1"/>
  <c r="U1206" i="1"/>
  <c r="J1208" i="1"/>
  <c r="U1208" i="1"/>
  <c r="J1210" i="1"/>
  <c r="U1210" i="1"/>
  <c r="J1212" i="1"/>
  <c r="U1212" i="1"/>
  <c r="U1235" i="1"/>
  <c r="U1251" i="1"/>
  <c r="T1259" i="1"/>
  <c r="J1229" i="1"/>
  <c r="J1239" i="1"/>
  <c r="J1255" i="1"/>
  <c r="E1259" i="1"/>
  <c r="U1268" i="1"/>
  <c r="U1290" i="1"/>
  <c r="J1286" i="1"/>
  <c r="E1216" i="1"/>
  <c r="U1224" i="1"/>
  <c r="U1227" i="1"/>
  <c r="U1229" i="1"/>
  <c r="U1231" i="1"/>
  <c r="U1233" i="1"/>
  <c r="U1238" i="1"/>
  <c r="U1240" i="1"/>
  <c r="U1241" i="1"/>
  <c r="U1246" i="1"/>
  <c r="U1248" i="1"/>
  <c r="U1249" i="1"/>
  <c r="U1254" i="1"/>
  <c r="U1256" i="1"/>
  <c r="J1224" i="1"/>
  <c r="J1226" i="1"/>
  <c r="J1227" i="1"/>
  <c r="J1234" i="1"/>
  <c r="J1236" i="1"/>
  <c r="J1237" i="1"/>
  <c r="J1242" i="1"/>
  <c r="J1244" i="1"/>
  <c r="J1245" i="1"/>
  <c r="J1250" i="1"/>
  <c r="J1252" i="1"/>
  <c r="J1253" i="1"/>
  <c r="J1258" i="1"/>
  <c r="I1259" i="1"/>
  <c r="U1226" i="1"/>
  <c r="U1145" i="1"/>
  <c r="U1258" i="1"/>
  <c r="U1277" i="1"/>
  <c r="U1279" i="1"/>
  <c r="U1280" i="1"/>
  <c r="U1285" i="1"/>
  <c r="U1287" i="1"/>
  <c r="U1288" i="1"/>
  <c r="U1293" i="1"/>
  <c r="U1295" i="1"/>
  <c r="U1296" i="1"/>
  <c r="T1302" i="1"/>
  <c r="J1271" i="1"/>
  <c r="J1273" i="1"/>
  <c r="J1274" i="1"/>
  <c r="J1276" i="1"/>
  <c r="J1281" i="1"/>
  <c r="J1283" i="1"/>
  <c r="J1284" i="1"/>
  <c r="J1289" i="1"/>
  <c r="J1291" i="1"/>
  <c r="J1292" i="1"/>
  <c r="J1297" i="1"/>
  <c r="J1299" i="1"/>
  <c r="J1300" i="1"/>
  <c r="E1302" i="1"/>
  <c r="J1302" i="1" s="1"/>
  <c r="T1172" i="1"/>
  <c r="R1173" i="1"/>
  <c r="U1269" i="4"/>
  <c r="T1302" i="4"/>
  <c r="P1302" i="4"/>
  <c r="P1302" i="1"/>
  <c r="P1259" i="1"/>
  <c r="U1167" i="4"/>
  <c r="U1166" i="1"/>
  <c r="T1172" i="4"/>
  <c r="U1164" i="1"/>
  <c r="U1163" i="4"/>
  <c r="U1158" i="1"/>
  <c r="U1159" i="4"/>
  <c r="U1215" i="4"/>
  <c r="U1214" i="4"/>
  <c r="U1213" i="4"/>
  <c r="U1156" i="1"/>
  <c r="U1156" i="4"/>
  <c r="U1184" i="1"/>
  <c r="U1171" i="1"/>
  <c r="U1153" i="1"/>
  <c r="T1216" i="1"/>
  <c r="P1216" i="1"/>
  <c r="P1216" i="4"/>
  <c r="T1216" i="4"/>
  <c r="U1152" i="4"/>
  <c r="U1151" i="4"/>
  <c r="U1150" i="4"/>
  <c r="U998" i="4"/>
  <c r="J1029" i="4"/>
  <c r="J1057" i="4"/>
  <c r="J1058" i="4"/>
  <c r="J1066" i="4"/>
  <c r="J1068" i="4"/>
  <c r="J1070" i="4"/>
  <c r="J1072" i="4"/>
  <c r="J1074" i="4"/>
  <c r="J1076" i="4"/>
  <c r="J1078" i="4"/>
  <c r="J1080" i="4"/>
  <c r="J1082" i="4"/>
  <c r="J1083" i="4"/>
  <c r="J1084" i="4"/>
  <c r="J1062" i="4"/>
  <c r="U1125" i="4"/>
  <c r="U1117" i="4"/>
  <c r="U1113" i="4"/>
  <c r="J1140" i="4"/>
  <c r="J1142" i="4"/>
  <c r="J1144" i="4"/>
  <c r="J1151" i="4"/>
  <c r="J1155" i="4"/>
  <c r="U1157" i="4"/>
  <c r="U1158" i="4"/>
  <c r="J1163" i="4"/>
  <c r="U1165" i="4"/>
  <c r="U1166" i="4"/>
  <c r="J1171" i="4"/>
  <c r="I1173" i="4"/>
  <c r="J1147" i="4"/>
  <c r="U1149" i="4"/>
  <c r="J1182" i="4"/>
  <c r="U1185" i="4"/>
  <c r="U1186" i="4"/>
  <c r="I1216" i="4"/>
  <c r="U1224" i="4"/>
  <c r="P1259" i="4"/>
  <c r="U1143" i="4"/>
  <c r="J1231" i="4"/>
  <c r="J1233" i="4"/>
  <c r="J1235" i="4"/>
  <c r="J1237" i="4"/>
  <c r="J1239" i="4"/>
  <c r="J1248" i="4"/>
  <c r="J1252" i="4"/>
  <c r="I1259" i="4"/>
  <c r="O1175" i="4"/>
  <c r="U1122" i="4"/>
  <c r="U1118" i="4"/>
  <c r="U1114" i="4"/>
  <c r="U1110" i="4"/>
  <c r="T1173" i="4"/>
  <c r="E1216" i="4"/>
  <c r="J966" i="4"/>
  <c r="J969" i="4"/>
  <c r="J970" i="4"/>
  <c r="J971" i="4"/>
  <c r="J972" i="4"/>
  <c r="J973" i="4"/>
  <c r="J977" i="4"/>
  <c r="J981" i="4"/>
  <c r="J985" i="4"/>
  <c r="U1032" i="4"/>
  <c r="J1056" i="4"/>
  <c r="J1059" i="4"/>
  <c r="J1063" i="4"/>
  <c r="J1065" i="4"/>
  <c r="J1067" i="4"/>
  <c r="J1069" i="4"/>
  <c r="J1071" i="4"/>
  <c r="J1073" i="4"/>
  <c r="J1075" i="4"/>
  <c r="J1077" i="4"/>
  <c r="J1079" i="4"/>
  <c r="J1081" i="4"/>
  <c r="J1085" i="4"/>
  <c r="J1086" i="4"/>
  <c r="U1056" i="4"/>
  <c r="U1079" i="4"/>
  <c r="U1076" i="4"/>
  <c r="J1138" i="4"/>
  <c r="U1153" i="4"/>
  <c r="U1154" i="4"/>
  <c r="J1159" i="4"/>
  <c r="U1161" i="4"/>
  <c r="U1162" i="4"/>
  <c r="J1167" i="4"/>
  <c r="U1169" i="4"/>
  <c r="U1170" i="4"/>
  <c r="J1148" i="4"/>
  <c r="U1148" i="4"/>
  <c r="U1182" i="4"/>
  <c r="J1186" i="4"/>
  <c r="U1142" i="4"/>
  <c r="J1228" i="4"/>
  <c r="J1242" i="4"/>
  <c r="J1247" i="4"/>
  <c r="J1226" i="4"/>
  <c r="J1234" i="4"/>
  <c r="J1241" i="4"/>
  <c r="J1244" i="4"/>
  <c r="J1250" i="4"/>
  <c r="J1257" i="4"/>
  <c r="E1259" i="4"/>
  <c r="J1259" i="4" s="1"/>
  <c r="J1240" i="4"/>
  <c r="J1256" i="4"/>
  <c r="J1227" i="4"/>
  <c r="J1238" i="4"/>
  <c r="J1245" i="4"/>
  <c r="J1254" i="4"/>
  <c r="U1140" i="4"/>
  <c r="U1172" i="4"/>
  <c r="P1173" i="4"/>
  <c r="M1175" i="4"/>
  <c r="T1173" i="1"/>
  <c r="U1172" i="1"/>
  <c r="O1175" i="1"/>
  <c r="P1175" i="1" s="1"/>
  <c r="P1173" i="1"/>
  <c r="U1105" i="1"/>
  <c r="U1109" i="4"/>
  <c r="J1095" i="4"/>
  <c r="U1141" i="4"/>
  <c r="U1139" i="4"/>
  <c r="U1138" i="4"/>
  <c r="J1216" i="4"/>
  <c r="E1173" i="4"/>
  <c r="J968" i="4"/>
  <c r="J989" i="4"/>
  <c r="J993" i="4"/>
  <c r="U996" i="4"/>
  <c r="U1025" i="4"/>
  <c r="J1098" i="4"/>
  <c r="U966" i="4"/>
  <c r="J978" i="4"/>
  <c r="J980" i="4"/>
  <c r="J982" i="4"/>
  <c r="C1130" i="4"/>
  <c r="E1130" i="4" s="1"/>
  <c r="J994" i="4"/>
  <c r="J995" i="4"/>
  <c r="J996" i="4"/>
  <c r="J997" i="4"/>
  <c r="J998" i="4"/>
  <c r="J999" i="4"/>
  <c r="J1000" i="4"/>
  <c r="J1109" i="4"/>
  <c r="J1111" i="4"/>
  <c r="J1113" i="4"/>
  <c r="J1115" i="4"/>
  <c r="J1117" i="4"/>
  <c r="J1119" i="4"/>
  <c r="J1121" i="4"/>
  <c r="J1123" i="4"/>
  <c r="J1125" i="4"/>
  <c r="J1127" i="4"/>
  <c r="J1128" i="4"/>
  <c r="U1129" i="4"/>
  <c r="U1119" i="4"/>
  <c r="J1129" i="4"/>
  <c r="U990" i="4"/>
  <c r="U986" i="4"/>
  <c r="U980" i="4"/>
  <c r="E1001" i="4"/>
  <c r="U985" i="4"/>
  <c r="U1016" i="4"/>
  <c r="J1027" i="4"/>
  <c r="J1032" i="4"/>
  <c r="U1033" i="4"/>
  <c r="T1096" i="4"/>
  <c r="U1096" i="4" s="1"/>
  <c r="J992" i="4"/>
  <c r="U988" i="4"/>
  <c r="U982" i="4"/>
  <c r="U1029" i="4"/>
  <c r="U1058" i="4"/>
  <c r="J967" i="4"/>
  <c r="U968" i="4"/>
  <c r="U972" i="4"/>
  <c r="J976" i="4"/>
  <c r="J984" i="4"/>
  <c r="U994" i="4"/>
  <c r="J1020" i="4"/>
  <c r="U1024" i="4"/>
  <c r="U1028" i="4"/>
  <c r="J1036" i="4"/>
  <c r="J1037" i="4"/>
  <c r="J1039" i="4"/>
  <c r="J1040" i="4"/>
  <c r="J1041" i="4"/>
  <c r="U1053" i="4"/>
  <c r="U1080" i="4"/>
  <c r="U1078" i="4"/>
  <c r="J1108" i="4"/>
  <c r="J1110" i="4"/>
  <c r="J1112" i="4"/>
  <c r="J1114" i="4"/>
  <c r="J1116" i="4"/>
  <c r="J1118" i="4"/>
  <c r="J1120" i="4"/>
  <c r="J1122" i="4"/>
  <c r="J1124" i="4"/>
  <c r="J1126" i="4"/>
  <c r="U1127" i="4"/>
  <c r="U1128" i="4"/>
  <c r="J1096" i="4"/>
  <c r="U1126" i="4"/>
  <c r="U1123" i="4"/>
  <c r="U1121" i="4"/>
  <c r="U1115" i="4"/>
  <c r="U1111" i="4"/>
  <c r="U1147" i="1"/>
  <c r="J1216" i="1"/>
  <c r="J985" i="1"/>
  <c r="J1013" i="1"/>
  <c r="J1021" i="1"/>
  <c r="U1029" i="1"/>
  <c r="U1055" i="1"/>
  <c r="U1085" i="1"/>
  <c r="U1143" i="1"/>
  <c r="U1149" i="1"/>
  <c r="U1157" i="1"/>
  <c r="U1165" i="1"/>
  <c r="J968" i="1"/>
  <c r="J984" i="1"/>
  <c r="J986" i="1"/>
  <c r="U989" i="1"/>
  <c r="J993" i="1"/>
  <c r="J1033" i="1"/>
  <c r="U1037" i="1"/>
  <c r="U1009" i="1"/>
  <c r="U1109" i="1"/>
  <c r="U1107" i="1"/>
  <c r="J1149" i="1"/>
  <c r="U1151" i="1"/>
  <c r="U1152" i="1"/>
  <c r="U1159" i="1"/>
  <c r="U1160" i="1"/>
  <c r="U1167" i="1"/>
  <c r="E1173" i="1"/>
  <c r="J1173" i="1" s="1"/>
  <c r="J972" i="1"/>
  <c r="J973" i="1"/>
  <c r="J979" i="1"/>
  <c r="J981" i="1"/>
  <c r="U991" i="1"/>
  <c r="U993" i="1"/>
  <c r="U997" i="1"/>
  <c r="I1001" i="1"/>
  <c r="U977" i="1"/>
  <c r="J1009" i="1"/>
  <c r="U1012" i="1"/>
  <c r="U1014" i="1"/>
  <c r="U1028" i="1"/>
  <c r="J1038" i="1"/>
  <c r="J1039" i="1"/>
  <c r="J1040" i="1"/>
  <c r="J1041" i="1"/>
  <c r="J1058" i="1"/>
  <c r="J1064" i="1"/>
  <c r="J1070" i="1"/>
  <c r="J1072" i="1"/>
  <c r="J1074" i="1"/>
  <c r="J1076" i="1"/>
  <c r="J1078" i="1"/>
  <c r="J1080" i="1"/>
  <c r="J1082" i="1"/>
  <c r="J1083" i="1"/>
  <c r="J1084" i="1"/>
  <c r="U1123" i="1"/>
  <c r="U1110" i="1"/>
  <c r="U1108" i="1"/>
  <c r="U1139" i="1"/>
  <c r="U1140" i="1"/>
  <c r="J1145" i="1"/>
  <c r="J1151" i="1"/>
  <c r="U1154" i="1"/>
  <c r="J1159" i="1"/>
  <c r="U1161" i="1"/>
  <c r="U1162" i="1"/>
  <c r="J1167" i="1"/>
  <c r="U1169" i="1"/>
  <c r="U1170" i="1"/>
  <c r="U966" i="1"/>
  <c r="U968" i="1"/>
  <c r="U990" i="1"/>
  <c r="U998" i="1"/>
  <c r="E1001" i="1"/>
  <c r="U981" i="1"/>
  <c r="U979" i="1"/>
  <c r="J966" i="1"/>
  <c r="U970" i="1"/>
  <c r="U992" i="1"/>
  <c r="U1000" i="1"/>
  <c r="U984" i="1"/>
  <c r="U975" i="1"/>
  <c r="U1078" i="1"/>
  <c r="J1098" i="1"/>
  <c r="U1115" i="1"/>
  <c r="J970" i="1"/>
  <c r="U972" i="1"/>
  <c r="U973" i="1"/>
  <c r="J980" i="1"/>
  <c r="J988" i="1"/>
  <c r="J992" i="1"/>
  <c r="U994" i="1"/>
  <c r="U995" i="1"/>
  <c r="J1000" i="1"/>
  <c r="U980" i="1"/>
  <c r="J967" i="1"/>
  <c r="J1030" i="1"/>
  <c r="J1031" i="1"/>
  <c r="J1042" i="1"/>
  <c r="U1056" i="1"/>
  <c r="U1062" i="1"/>
  <c r="U1118" i="1"/>
  <c r="U1010" i="1"/>
  <c r="J1014" i="1"/>
  <c r="U1015" i="1"/>
  <c r="J1019" i="1"/>
  <c r="U1022" i="1"/>
  <c r="J1026" i="1"/>
  <c r="J1034" i="1"/>
  <c r="U1058" i="1"/>
  <c r="I1130" i="1"/>
  <c r="U1106" i="1"/>
  <c r="J1016" i="1"/>
  <c r="J1020" i="1"/>
  <c r="U1024" i="1"/>
  <c r="J1028" i="1"/>
  <c r="U1032" i="1"/>
  <c r="J1036" i="1"/>
  <c r="U1040" i="1"/>
  <c r="E1044" i="1"/>
  <c r="U843" i="1"/>
  <c r="J1056" i="1"/>
  <c r="J1059" i="1"/>
  <c r="J1063" i="1"/>
  <c r="J1065" i="1"/>
  <c r="J1067" i="1"/>
  <c r="J1071" i="1"/>
  <c r="J1073" i="1"/>
  <c r="J1075" i="1"/>
  <c r="J1077" i="1"/>
  <c r="J1079" i="1"/>
  <c r="J1081" i="1"/>
  <c r="U1083" i="1"/>
  <c r="J1085" i="1"/>
  <c r="J1052" i="1"/>
  <c r="J1061" i="1"/>
  <c r="U1080" i="1"/>
  <c r="U1073" i="1"/>
  <c r="J1086" i="1"/>
  <c r="U1099" i="1"/>
  <c r="U1101" i="1"/>
  <c r="J1108" i="1"/>
  <c r="J1110" i="1"/>
  <c r="J1112" i="1"/>
  <c r="J1114" i="1"/>
  <c r="J1116" i="1"/>
  <c r="J1118" i="1"/>
  <c r="J1120" i="1"/>
  <c r="J1122" i="1"/>
  <c r="J1124" i="1"/>
  <c r="J1126" i="1"/>
  <c r="J1127" i="1"/>
  <c r="J1128" i="1"/>
  <c r="J1129" i="1"/>
  <c r="J1106" i="1"/>
  <c r="U1120" i="1"/>
  <c r="U1112" i="1"/>
  <c r="U1104" i="1"/>
  <c r="U1052" i="1"/>
  <c r="J1095" i="1"/>
  <c r="U1054" i="1"/>
  <c r="U1000" i="4"/>
  <c r="P1001" i="4"/>
  <c r="J1011" i="4"/>
  <c r="J1043" i="4"/>
  <c r="U970" i="4"/>
  <c r="J988" i="4"/>
  <c r="J1031" i="4"/>
  <c r="U969" i="4"/>
  <c r="U973" i="4"/>
  <c r="J975" i="4"/>
  <c r="J983" i="4"/>
  <c r="J991" i="4"/>
  <c r="U995" i="4"/>
  <c r="U999" i="4"/>
  <c r="T1001" i="4"/>
  <c r="U993" i="4"/>
  <c r="U991" i="4"/>
  <c r="U989" i="4"/>
  <c r="U984" i="4"/>
  <c r="U977" i="4"/>
  <c r="U975" i="4"/>
  <c r="U1010" i="4"/>
  <c r="U1014" i="4"/>
  <c r="J1022" i="4"/>
  <c r="J1030" i="4"/>
  <c r="J1038" i="4"/>
  <c r="J1042" i="4"/>
  <c r="U1020" i="4"/>
  <c r="U1041" i="4"/>
  <c r="U1009" i="4"/>
  <c r="U1072" i="4"/>
  <c r="U1070" i="4"/>
  <c r="U1068" i="4"/>
  <c r="U1066" i="4"/>
  <c r="U1064" i="4"/>
  <c r="U1063" i="4"/>
  <c r="U1097" i="4"/>
  <c r="J1099" i="4"/>
  <c r="J1100" i="4"/>
  <c r="J1101" i="4"/>
  <c r="J1102" i="4"/>
  <c r="U1120" i="4"/>
  <c r="U1112" i="4"/>
  <c r="U1106" i="4"/>
  <c r="U1104" i="4"/>
  <c r="U1095" i="4"/>
  <c r="U967" i="4"/>
  <c r="U971" i="4"/>
  <c r="J979" i="4"/>
  <c r="J987" i="4"/>
  <c r="U997" i="4"/>
  <c r="I1001" i="4"/>
  <c r="U992" i="4"/>
  <c r="U983" i="4"/>
  <c r="U981" i="4"/>
  <c r="U976" i="4"/>
  <c r="J1014" i="4"/>
  <c r="U1015" i="4"/>
  <c r="J1018" i="4"/>
  <c r="U1022" i="4"/>
  <c r="J1026" i="4"/>
  <c r="J1034" i="4"/>
  <c r="U1011" i="4"/>
  <c r="I1087" i="4"/>
  <c r="U1054" i="4"/>
  <c r="U1069" i="4"/>
  <c r="U1067" i="4"/>
  <c r="U1065" i="4"/>
  <c r="U1062" i="4"/>
  <c r="U1086" i="4"/>
  <c r="U1077" i="4"/>
  <c r="U1099" i="4"/>
  <c r="U1101" i="4"/>
  <c r="I1107" i="4"/>
  <c r="J1107" i="4" s="1"/>
  <c r="J1097" i="4"/>
  <c r="U1124" i="4"/>
  <c r="U1116" i="4"/>
  <c r="U1108" i="4"/>
  <c r="U1105" i="4"/>
  <c r="U1052" i="4"/>
  <c r="U1107" i="4"/>
  <c r="I1130" i="4"/>
  <c r="P1130" i="1"/>
  <c r="J1106" i="4"/>
  <c r="J1069" i="1"/>
  <c r="P1130" i="4"/>
  <c r="U1086" i="1"/>
  <c r="J1105" i="4"/>
  <c r="J1068" i="1"/>
  <c r="J1104" i="4"/>
  <c r="J1064" i="4"/>
  <c r="U1084" i="1"/>
  <c r="U1084" i="4"/>
  <c r="J1066" i="1"/>
  <c r="J1055" i="4"/>
  <c r="J1061" i="4"/>
  <c r="T1130" i="1"/>
  <c r="E1130" i="1"/>
  <c r="U1096" i="1"/>
  <c r="U1098" i="1"/>
  <c r="U1100" i="1"/>
  <c r="U1102" i="1"/>
  <c r="T1130" i="4"/>
  <c r="U1098" i="4"/>
  <c r="U1100" i="4"/>
  <c r="U1102" i="4"/>
  <c r="U1083" i="4"/>
  <c r="U1082" i="4"/>
  <c r="U1082" i="1"/>
  <c r="J1054" i="4"/>
  <c r="J1055" i="1"/>
  <c r="U1081" i="4"/>
  <c r="U1081" i="1"/>
  <c r="U1077" i="1"/>
  <c r="U1075" i="1"/>
  <c r="U1075" i="4"/>
  <c r="J1053" i="4"/>
  <c r="J1054" i="1"/>
  <c r="U1073" i="4"/>
  <c r="U1071" i="1"/>
  <c r="U1071" i="4"/>
  <c r="J1062" i="1"/>
  <c r="J1052" i="4"/>
  <c r="E1087" i="1"/>
  <c r="P1087" i="1"/>
  <c r="U1065" i="1"/>
  <c r="U1063" i="1"/>
  <c r="U1061" i="4"/>
  <c r="U1061" i="1"/>
  <c r="U1039" i="4"/>
  <c r="U1039" i="1"/>
  <c r="I1087" i="1"/>
  <c r="U1059" i="1"/>
  <c r="T1087" i="1"/>
  <c r="E1087" i="4"/>
  <c r="J1087" i="4" s="1"/>
  <c r="P1087" i="4"/>
  <c r="U1057" i="4"/>
  <c r="U1059" i="4"/>
  <c r="T1087" i="4"/>
  <c r="U1038" i="4"/>
  <c r="U1038" i="1"/>
  <c r="J1019" i="4"/>
  <c r="U1037" i="4"/>
  <c r="U1036" i="1"/>
  <c r="U1042" i="4"/>
  <c r="U1036" i="4"/>
  <c r="U1042" i="1"/>
  <c r="U1035" i="1"/>
  <c r="J1010" i="4"/>
  <c r="I1044" i="4"/>
  <c r="E1044" i="4"/>
  <c r="U1035" i="4"/>
  <c r="U1034" i="1"/>
  <c r="U1034" i="4"/>
  <c r="U1033" i="1"/>
  <c r="I1044" i="1"/>
  <c r="J1018" i="1"/>
  <c r="U1031" i="1"/>
  <c r="U1031" i="4"/>
  <c r="U1030" i="1"/>
  <c r="U1030" i="4"/>
  <c r="U1027" i="1"/>
  <c r="U1027" i="4"/>
  <c r="U1026" i="1"/>
  <c r="U1026" i="4"/>
  <c r="U1025" i="1"/>
  <c r="Q1044" i="4"/>
  <c r="Q1175" i="4" s="1"/>
  <c r="U1023" i="1"/>
  <c r="U1023" i="4"/>
  <c r="U1021" i="1"/>
  <c r="U1041" i="1"/>
  <c r="R1044" i="1"/>
  <c r="T1044" i="1" s="1"/>
  <c r="R1044" i="4"/>
  <c r="R1175" i="4" s="1"/>
  <c r="U1021" i="4"/>
  <c r="U1020" i="1"/>
  <c r="U1013" i="1"/>
  <c r="J1009" i="4"/>
  <c r="U1018" i="1"/>
  <c r="U1018" i="4"/>
  <c r="U1012" i="4"/>
  <c r="P1044" i="4"/>
  <c r="U1043" i="4"/>
  <c r="P1044" i="1"/>
  <c r="U1043" i="1"/>
  <c r="U1011" i="1"/>
  <c r="J975" i="1"/>
  <c r="T1001" i="1"/>
  <c r="U1001" i="1" s="1"/>
  <c r="U940" i="1"/>
  <c r="U951" i="1"/>
  <c r="U942" i="1"/>
  <c r="U924" i="1"/>
  <c r="J926" i="1"/>
  <c r="U927" i="1"/>
  <c r="J929" i="1"/>
  <c r="U930" i="1"/>
  <c r="J935" i="1"/>
  <c r="J938" i="1"/>
  <c r="J941" i="1"/>
  <c r="J944" i="1"/>
  <c r="J947" i="1"/>
  <c r="J950" i="1"/>
  <c r="J953" i="1"/>
  <c r="J955" i="1"/>
  <c r="J957" i="1"/>
  <c r="U953" i="1"/>
  <c r="U941" i="1"/>
  <c r="U935" i="1"/>
  <c r="U932" i="1"/>
  <c r="U936" i="1"/>
  <c r="U944" i="1"/>
  <c r="U956" i="1"/>
  <c r="U950" i="1"/>
  <c r="U934" i="1"/>
  <c r="I958" i="1"/>
  <c r="U947" i="1"/>
  <c r="U946" i="1"/>
  <c r="U923" i="1"/>
  <c r="U945" i="1"/>
  <c r="U937" i="1"/>
  <c r="U933" i="1"/>
  <c r="U948" i="1"/>
  <c r="J923" i="1"/>
  <c r="J925" i="1"/>
  <c r="U926" i="1"/>
  <c r="J928" i="1"/>
  <c r="U929" i="1"/>
  <c r="J933" i="1"/>
  <c r="J936" i="1"/>
  <c r="J939" i="1"/>
  <c r="J942" i="1"/>
  <c r="J945" i="1"/>
  <c r="J948" i="1"/>
  <c r="J951" i="1"/>
  <c r="J954" i="1"/>
  <c r="U955" i="1"/>
  <c r="U949" i="1"/>
  <c r="U939" i="1"/>
  <c r="U938" i="1"/>
  <c r="J932" i="1"/>
  <c r="U952" i="1"/>
  <c r="J924" i="1"/>
  <c r="U925" i="1"/>
  <c r="J927" i="1"/>
  <c r="U928" i="1"/>
  <c r="J930" i="1"/>
  <c r="J934" i="1"/>
  <c r="J937" i="1"/>
  <c r="J940" i="1"/>
  <c r="J943" i="1"/>
  <c r="J946" i="1"/>
  <c r="J949" i="1"/>
  <c r="J952" i="1"/>
  <c r="U954" i="1"/>
  <c r="J956" i="1"/>
  <c r="U943" i="1"/>
  <c r="U957" i="1"/>
  <c r="E958" i="1"/>
  <c r="T958" i="1"/>
  <c r="P958" i="1"/>
  <c r="E881" i="4"/>
  <c r="I881" i="4"/>
  <c r="E882" i="4"/>
  <c r="I882" i="4"/>
  <c r="S881" i="4"/>
  <c r="O881" i="4"/>
  <c r="F1389" i="1" l="1"/>
  <c r="I1389" i="1" s="1"/>
  <c r="B1389" i="1"/>
  <c r="E1389" i="1" s="1"/>
  <c r="U1388" i="4"/>
  <c r="P1304" i="1"/>
  <c r="U1345" i="4"/>
  <c r="F1389" i="4"/>
  <c r="I1389" i="4" s="1"/>
  <c r="B1389" i="4"/>
  <c r="E1389" i="4" s="1"/>
  <c r="J1361" i="1"/>
  <c r="O1305" i="4"/>
  <c r="M1305" i="4"/>
  <c r="P1305" i="4"/>
  <c r="N1305" i="4"/>
  <c r="J1361" i="4"/>
  <c r="J1389" i="1"/>
  <c r="I1346" i="4"/>
  <c r="I1352" i="4" s="1"/>
  <c r="E1346" i="1"/>
  <c r="E1352" i="1" s="1"/>
  <c r="U1345" i="1"/>
  <c r="E1346" i="4"/>
  <c r="J1318" i="4"/>
  <c r="I1346" i="1"/>
  <c r="J1318" i="1"/>
  <c r="J1302" i="4"/>
  <c r="U1302" i="4"/>
  <c r="U1259" i="4"/>
  <c r="U1302" i="1"/>
  <c r="J1259" i="1"/>
  <c r="U1259" i="1"/>
  <c r="U1173" i="4"/>
  <c r="U1216" i="1"/>
  <c r="U1216" i="4"/>
  <c r="U1173" i="1"/>
  <c r="J1001" i="4"/>
  <c r="J1173" i="4"/>
  <c r="P1175" i="4"/>
  <c r="P1176" i="4" s="1"/>
  <c r="P1176" i="1"/>
  <c r="N1176" i="1"/>
  <c r="M1176" i="1"/>
  <c r="O1176" i="1"/>
  <c r="J1130" i="4"/>
  <c r="J1044" i="4"/>
  <c r="J1001" i="1"/>
  <c r="J1044" i="1"/>
  <c r="J1130" i="1"/>
  <c r="U1130" i="1"/>
  <c r="U1001" i="4"/>
  <c r="U1130" i="4"/>
  <c r="U1087" i="1"/>
  <c r="J1087" i="1"/>
  <c r="U1087" i="4"/>
  <c r="T1044" i="4"/>
  <c r="U1044" i="4" s="1"/>
  <c r="U1044" i="1"/>
  <c r="J958" i="1"/>
  <c r="J881" i="4"/>
  <c r="U958" i="1"/>
  <c r="J882" i="4"/>
  <c r="P923" i="4"/>
  <c r="T923" i="4"/>
  <c r="P924" i="4"/>
  <c r="T924" i="4"/>
  <c r="P932" i="4"/>
  <c r="T932" i="4"/>
  <c r="P933" i="4"/>
  <c r="T933" i="4"/>
  <c r="P934" i="4"/>
  <c r="T934" i="4"/>
  <c r="P935" i="4"/>
  <c r="T935" i="4"/>
  <c r="P936" i="4"/>
  <c r="T936" i="4"/>
  <c r="P937" i="4"/>
  <c r="T937" i="4"/>
  <c r="P938" i="4"/>
  <c r="T938" i="4"/>
  <c r="P939" i="4"/>
  <c r="T939" i="4"/>
  <c r="P940" i="4"/>
  <c r="T940" i="4"/>
  <c r="P941" i="4"/>
  <c r="T941" i="4"/>
  <c r="P942" i="4"/>
  <c r="T942" i="4"/>
  <c r="P943" i="4"/>
  <c r="T943" i="4"/>
  <c r="P944" i="4"/>
  <c r="T944" i="4"/>
  <c r="P945" i="4"/>
  <c r="T945" i="4"/>
  <c r="P946" i="4"/>
  <c r="T946" i="4"/>
  <c r="P947" i="4"/>
  <c r="T947" i="4"/>
  <c r="P948" i="4"/>
  <c r="T948" i="4"/>
  <c r="P949" i="4"/>
  <c r="T949" i="4"/>
  <c r="P950" i="4"/>
  <c r="T950" i="4"/>
  <c r="P951" i="4"/>
  <c r="T951" i="4"/>
  <c r="P953" i="4"/>
  <c r="T953" i="4"/>
  <c r="P954" i="4"/>
  <c r="T954" i="4"/>
  <c r="P955" i="4"/>
  <c r="T955" i="4"/>
  <c r="P956" i="4"/>
  <c r="T956" i="4"/>
  <c r="E932" i="4"/>
  <c r="I932" i="4"/>
  <c r="E933" i="4"/>
  <c r="I933" i="4"/>
  <c r="E923" i="4"/>
  <c r="I923" i="4"/>
  <c r="S958" i="4"/>
  <c r="R958" i="4"/>
  <c r="Q958" i="4"/>
  <c r="O958" i="4"/>
  <c r="N958" i="4"/>
  <c r="M958" i="4"/>
  <c r="H958" i="4"/>
  <c r="G958" i="4"/>
  <c r="F958" i="4"/>
  <c r="D958" i="4"/>
  <c r="C958" i="4"/>
  <c r="B958" i="4"/>
  <c r="T957" i="4"/>
  <c r="P957" i="4"/>
  <c r="I957" i="4"/>
  <c r="E957" i="4"/>
  <c r="I956" i="4"/>
  <c r="E956" i="4"/>
  <c r="I955" i="4"/>
  <c r="E955" i="4"/>
  <c r="I954" i="4"/>
  <c r="E954" i="4"/>
  <c r="I953" i="4"/>
  <c r="E953" i="4"/>
  <c r="T952" i="4"/>
  <c r="P952" i="4"/>
  <c r="I952" i="4"/>
  <c r="E952" i="4"/>
  <c r="I951" i="4"/>
  <c r="E951" i="4"/>
  <c r="I950" i="4"/>
  <c r="E950" i="4"/>
  <c r="I949" i="4"/>
  <c r="E949" i="4"/>
  <c r="I948" i="4"/>
  <c r="E948" i="4"/>
  <c r="I947" i="4"/>
  <c r="E947" i="4"/>
  <c r="I946" i="4"/>
  <c r="E946" i="4"/>
  <c r="I945" i="4"/>
  <c r="E945" i="4"/>
  <c r="I944" i="4"/>
  <c r="E944" i="4"/>
  <c r="I943" i="4"/>
  <c r="E943" i="4"/>
  <c r="I942" i="4"/>
  <c r="E942" i="4"/>
  <c r="I941" i="4"/>
  <c r="E941" i="4"/>
  <c r="I940" i="4"/>
  <c r="E940" i="4"/>
  <c r="I939" i="4"/>
  <c r="E939" i="4"/>
  <c r="I938" i="4"/>
  <c r="E938" i="4"/>
  <c r="I937" i="4"/>
  <c r="E937" i="4"/>
  <c r="I936" i="4"/>
  <c r="E936" i="4"/>
  <c r="I935" i="4"/>
  <c r="E935" i="4"/>
  <c r="I934" i="4"/>
  <c r="E934" i="4"/>
  <c r="T930" i="4"/>
  <c r="P930" i="4"/>
  <c r="I930" i="4"/>
  <c r="E930" i="4"/>
  <c r="T929" i="4"/>
  <c r="P929" i="4"/>
  <c r="I929" i="4"/>
  <c r="E929" i="4"/>
  <c r="T928" i="4"/>
  <c r="P928" i="4"/>
  <c r="I928" i="4"/>
  <c r="E928" i="4"/>
  <c r="T927" i="4"/>
  <c r="P927" i="4"/>
  <c r="I927" i="4"/>
  <c r="E927" i="4"/>
  <c r="T926" i="4"/>
  <c r="P926" i="4"/>
  <c r="I926" i="4"/>
  <c r="E926" i="4"/>
  <c r="T925" i="4"/>
  <c r="P925" i="4"/>
  <c r="I925" i="4"/>
  <c r="E925" i="4"/>
  <c r="I924" i="4"/>
  <c r="E924" i="4"/>
  <c r="J1389" i="4" l="1"/>
  <c r="J1346" i="4"/>
  <c r="E1352" i="4"/>
  <c r="J1352" i="4" s="1"/>
  <c r="J1346" i="1"/>
  <c r="J1352" i="1" s="1"/>
  <c r="I1352" i="1"/>
  <c r="N1176" i="4"/>
  <c r="O1176" i="4"/>
  <c r="M1176" i="4"/>
  <c r="U1175" i="4"/>
  <c r="T1175" i="4"/>
  <c r="J925" i="4"/>
  <c r="J941" i="4"/>
  <c r="J944" i="4"/>
  <c r="U952" i="4"/>
  <c r="J955" i="4"/>
  <c r="U947" i="4"/>
  <c r="U938" i="4"/>
  <c r="U941" i="4"/>
  <c r="J924" i="4"/>
  <c r="J926" i="4"/>
  <c r="U927" i="4"/>
  <c r="U930" i="4"/>
  <c r="J948" i="4"/>
  <c r="J951" i="4"/>
  <c r="J956" i="4"/>
  <c r="U926" i="4"/>
  <c r="J954" i="4"/>
  <c r="U933" i="4"/>
  <c r="U936" i="4"/>
  <c r="J928" i="4"/>
  <c r="J945" i="4"/>
  <c r="J923" i="4"/>
  <c r="U925" i="4"/>
  <c r="J934" i="4"/>
  <c r="J937" i="4"/>
  <c r="J940" i="4"/>
  <c r="J957" i="4"/>
  <c r="P958" i="4"/>
  <c r="U950" i="4"/>
  <c r="U928" i="4"/>
  <c r="J930" i="4"/>
  <c r="J943" i="4"/>
  <c r="J946" i="4"/>
  <c r="J949" i="4"/>
  <c r="J952" i="4"/>
  <c r="U956" i="4"/>
  <c r="U940" i="4"/>
  <c r="U929" i="4"/>
  <c r="J935" i="4"/>
  <c r="J936" i="4"/>
  <c r="J939" i="4"/>
  <c r="J947" i="4"/>
  <c r="U957" i="4"/>
  <c r="U955" i="4"/>
  <c r="U948" i="4"/>
  <c r="U942" i="4"/>
  <c r="U934" i="4"/>
  <c r="J927" i="4"/>
  <c r="J938" i="4"/>
  <c r="J950" i="4"/>
  <c r="U954" i="4"/>
  <c r="U945" i="4"/>
  <c r="U937" i="4"/>
  <c r="U924" i="4"/>
  <c r="U953" i="4"/>
  <c r="U944" i="4"/>
  <c r="J929" i="4"/>
  <c r="J942" i="4"/>
  <c r="J953" i="4"/>
  <c r="J933" i="4"/>
  <c r="U951" i="4"/>
  <c r="U943" i="4"/>
  <c r="U923" i="4"/>
  <c r="U932" i="4"/>
  <c r="E958" i="4"/>
  <c r="U946" i="4"/>
  <c r="U935" i="4"/>
  <c r="J932" i="4"/>
  <c r="I958" i="4"/>
  <c r="U949" i="4"/>
  <c r="U939" i="4"/>
  <c r="T958" i="4"/>
  <c r="P906" i="4"/>
  <c r="T906" i="4"/>
  <c r="P904" i="1"/>
  <c r="T904" i="1"/>
  <c r="J958" i="4" l="1"/>
  <c r="U958" i="4"/>
  <c r="U904" i="1"/>
  <c r="U906" i="4"/>
  <c r="E914" i="1"/>
  <c r="I914" i="1"/>
  <c r="E912" i="4"/>
  <c r="I912" i="4"/>
  <c r="E913" i="4"/>
  <c r="I913" i="4"/>
  <c r="E914" i="4"/>
  <c r="I914" i="4"/>
  <c r="P885" i="4"/>
  <c r="T885" i="4"/>
  <c r="P886" i="4"/>
  <c r="T886" i="4"/>
  <c r="T880" i="4"/>
  <c r="P880" i="4"/>
  <c r="J913" i="4" l="1"/>
  <c r="J914" i="4"/>
  <c r="J912" i="4"/>
  <c r="J914" i="1"/>
  <c r="U886" i="4"/>
  <c r="U885" i="4"/>
  <c r="U880" i="4"/>
  <c r="P886" i="1"/>
  <c r="T886" i="1"/>
  <c r="T880" i="1"/>
  <c r="P880" i="1"/>
  <c r="P912" i="1"/>
  <c r="T912" i="1"/>
  <c r="P909" i="4"/>
  <c r="T909" i="4"/>
  <c r="U912" i="1" l="1"/>
  <c r="U909" i="4"/>
  <c r="U880" i="1"/>
  <c r="U886" i="1"/>
  <c r="E889" i="4" l="1"/>
  <c r="I889" i="4"/>
  <c r="E890" i="4"/>
  <c r="I890" i="4"/>
  <c r="E891" i="4"/>
  <c r="I891" i="4"/>
  <c r="E892" i="4"/>
  <c r="I892" i="4"/>
  <c r="E893" i="4"/>
  <c r="I893" i="4"/>
  <c r="J891" i="4" l="1"/>
  <c r="J893" i="4"/>
  <c r="J889" i="4"/>
  <c r="J890" i="4"/>
  <c r="J892" i="4"/>
  <c r="I848" i="1"/>
  <c r="P875" i="1" l="1"/>
  <c r="P910" i="1" l="1"/>
  <c r="T910" i="1"/>
  <c r="P911" i="1"/>
  <c r="T911" i="1"/>
  <c r="T914" i="1"/>
  <c r="P914" i="1"/>
  <c r="T913" i="1"/>
  <c r="P913" i="1"/>
  <c r="P889" i="1"/>
  <c r="T889" i="1"/>
  <c r="P890" i="1"/>
  <c r="T890" i="1"/>
  <c r="P891" i="1"/>
  <c r="T891" i="1"/>
  <c r="P892" i="1"/>
  <c r="T892" i="1"/>
  <c r="P893" i="1"/>
  <c r="T893" i="1"/>
  <c r="P894" i="1"/>
  <c r="T894" i="1"/>
  <c r="P895" i="1"/>
  <c r="T895" i="1"/>
  <c r="P896" i="1"/>
  <c r="T896" i="1"/>
  <c r="P897" i="1"/>
  <c r="T897" i="1"/>
  <c r="P898" i="1"/>
  <c r="T898" i="1"/>
  <c r="P899" i="1"/>
  <c r="T899" i="1"/>
  <c r="P900" i="1"/>
  <c r="T900" i="1"/>
  <c r="P901" i="1"/>
  <c r="T901" i="1"/>
  <c r="P902" i="1"/>
  <c r="T902" i="1"/>
  <c r="P903" i="1"/>
  <c r="T903" i="1"/>
  <c r="P905" i="1"/>
  <c r="T905" i="1"/>
  <c r="P906" i="1"/>
  <c r="T906" i="1"/>
  <c r="P907" i="1"/>
  <c r="T907" i="1"/>
  <c r="P908" i="1"/>
  <c r="T908" i="1"/>
  <c r="P869" i="1"/>
  <c r="T869" i="1"/>
  <c r="P870" i="1"/>
  <c r="T870" i="1"/>
  <c r="P871" i="1"/>
  <c r="T871" i="1"/>
  <c r="P867" i="1"/>
  <c r="T867" i="1"/>
  <c r="P868" i="1"/>
  <c r="T868" i="1"/>
  <c r="E889" i="1"/>
  <c r="I889" i="1"/>
  <c r="E880" i="1"/>
  <c r="I880" i="1"/>
  <c r="E871" i="1"/>
  <c r="I871" i="1"/>
  <c r="S915" i="1"/>
  <c r="R915" i="1"/>
  <c r="Q915" i="1"/>
  <c r="O915" i="1"/>
  <c r="N915" i="1"/>
  <c r="M915" i="1"/>
  <c r="H915" i="1"/>
  <c r="G915" i="1"/>
  <c r="F915" i="1"/>
  <c r="D915" i="1"/>
  <c r="C915" i="1"/>
  <c r="B915" i="1"/>
  <c r="I913" i="1"/>
  <c r="E913" i="1"/>
  <c r="I912" i="1"/>
  <c r="E912" i="1"/>
  <c r="I911" i="1"/>
  <c r="E911" i="1"/>
  <c r="I910" i="1"/>
  <c r="E910" i="1"/>
  <c r="T909" i="1"/>
  <c r="P909" i="1"/>
  <c r="I909" i="1"/>
  <c r="E909" i="1"/>
  <c r="I908" i="1"/>
  <c r="E908" i="1"/>
  <c r="I907" i="1"/>
  <c r="E907" i="1"/>
  <c r="I906" i="1"/>
  <c r="E906" i="1"/>
  <c r="I905" i="1"/>
  <c r="E905" i="1"/>
  <c r="I904" i="1"/>
  <c r="E904" i="1"/>
  <c r="I903" i="1"/>
  <c r="E903" i="1"/>
  <c r="I902" i="1"/>
  <c r="E902" i="1"/>
  <c r="I901" i="1"/>
  <c r="E901" i="1"/>
  <c r="I900" i="1"/>
  <c r="E900" i="1"/>
  <c r="I899" i="1"/>
  <c r="E899" i="1"/>
  <c r="I898" i="1"/>
  <c r="E898" i="1"/>
  <c r="I897" i="1"/>
  <c r="E897" i="1"/>
  <c r="I896" i="1"/>
  <c r="E896" i="1"/>
  <c r="I895" i="1"/>
  <c r="E895" i="1"/>
  <c r="I894" i="1"/>
  <c r="E894" i="1"/>
  <c r="I893" i="1"/>
  <c r="E893" i="1"/>
  <c r="I892" i="1"/>
  <c r="E892" i="1"/>
  <c r="I891" i="1"/>
  <c r="E891" i="1"/>
  <c r="I890" i="1"/>
  <c r="E890" i="1"/>
  <c r="T887" i="1"/>
  <c r="P887" i="1"/>
  <c r="I887" i="1"/>
  <c r="E887" i="1"/>
  <c r="I886" i="1"/>
  <c r="E886" i="1"/>
  <c r="T885" i="1"/>
  <c r="P885" i="1"/>
  <c r="I885" i="1"/>
  <c r="E885" i="1"/>
  <c r="T884" i="1"/>
  <c r="P884" i="1"/>
  <c r="I884" i="1"/>
  <c r="E884" i="1"/>
  <c r="T883" i="1"/>
  <c r="P883" i="1"/>
  <c r="I883" i="1"/>
  <c r="E883" i="1"/>
  <c r="T882" i="1"/>
  <c r="P882" i="1"/>
  <c r="I882" i="1"/>
  <c r="E882" i="1"/>
  <c r="T881" i="1"/>
  <c r="P881" i="1"/>
  <c r="I881" i="1"/>
  <c r="E881" i="1"/>
  <c r="J890" i="1" l="1"/>
  <c r="J893" i="1"/>
  <c r="J896" i="1"/>
  <c r="J882" i="1"/>
  <c r="U883" i="1"/>
  <c r="J885" i="1"/>
  <c r="U867" i="1"/>
  <c r="U894" i="1"/>
  <c r="J899" i="1"/>
  <c r="U911" i="1"/>
  <c r="J871" i="1"/>
  <c r="U907" i="1"/>
  <c r="U905" i="1"/>
  <c r="U902" i="1"/>
  <c r="U890" i="1"/>
  <c r="U889" i="1"/>
  <c r="J880" i="1"/>
  <c r="U895" i="1"/>
  <c r="U871" i="1"/>
  <c r="U881" i="1"/>
  <c r="J883" i="1"/>
  <c r="U884" i="1"/>
  <c r="J886" i="1"/>
  <c r="U887" i="1"/>
  <c r="J892" i="1"/>
  <c r="J895" i="1"/>
  <c r="J898" i="1"/>
  <c r="J901" i="1"/>
  <c r="J904" i="1"/>
  <c r="J907" i="1"/>
  <c r="U909" i="1"/>
  <c r="J912" i="1"/>
  <c r="U910" i="1"/>
  <c r="U869" i="1"/>
  <c r="J889" i="1"/>
  <c r="U903" i="1"/>
  <c r="U897" i="1"/>
  <c r="J902" i="1"/>
  <c r="J905" i="1"/>
  <c r="J908" i="1"/>
  <c r="J910" i="1"/>
  <c r="J913" i="1"/>
  <c r="U898" i="1"/>
  <c r="U870" i="1"/>
  <c r="E915" i="1"/>
  <c r="P915" i="1"/>
  <c r="U899" i="1"/>
  <c r="U896" i="1"/>
  <c r="U891" i="1"/>
  <c r="U913" i="1"/>
  <c r="T915" i="1"/>
  <c r="U868" i="1"/>
  <c r="U906" i="1"/>
  <c r="U901" i="1"/>
  <c r="U893" i="1"/>
  <c r="U914" i="1"/>
  <c r="J881" i="1"/>
  <c r="U882" i="1"/>
  <c r="J884" i="1"/>
  <c r="U885" i="1"/>
  <c r="J887" i="1"/>
  <c r="J891" i="1"/>
  <c r="J894" i="1"/>
  <c r="J897" i="1"/>
  <c r="J900" i="1"/>
  <c r="J903" i="1"/>
  <c r="J906" i="1"/>
  <c r="J909" i="1"/>
  <c r="J911" i="1"/>
  <c r="U908" i="1"/>
  <c r="U900" i="1"/>
  <c r="U892" i="1"/>
  <c r="I915" i="1"/>
  <c r="P843" i="4"/>
  <c r="T843" i="4"/>
  <c r="P889" i="4"/>
  <c r="T889" i="4"/>
  <c r="P890" i="4"/>
  <c r="T890" i="4"/>
  <c r="P891" i="4"/>
  <c r="T891" i="4"/>
  <c r="P892" i="4"/>
  <c r="T892" i="4"/>
  <c r="P893" i="4"/>
  <c r="T893" i="4"/>
  <c r="P894" i="4"/>
  <c r="T894" i="4"/>
  <c r="P895" i="4"/>
  <c r="T895" i="4"/>
  <c r="P896" i="4"/>
  <c r="T896" i="4"/>
  <c r="P897" i="4"/>
  <c r="T897" i="4"/>
  <c r="P898" i="4"/>
  <c r="T898" i="4"/>
  <c r="P899" i="4"/>
  <c r="T899" i="4"/>
  <c r="P900" i="4"/>
  <c r="T900" i="4"/>
  <c r="P901" i="4"/>
  <c r="T901" i="4"/>
  <c r="P902" i="4"/>
  <c r="T902" i="4"/>
  <c r="P903" i="4"/>
  <c r="T903" i="4"/>
  <c r="P904" i="4"/>
  <c r="T904" i="4"/>
  <c r="P905" i="4"/>
  <c r="T905" i="4"/>
  <c r="P907" i="4"/>
  <c r="T907" i="4"/>
  <c r="P908" i="4"/>
  <c r="T908" i="4"/>
  <c r="P869" i="4"/>
  <c r="T869" i="4"/>
  <c r="P867" i="4"/>
  <c r="T867" i="4"/>
  <c r="P868" i="4"/>
  <c r="T868" i="4"/>
  <c r="E871" i="4"/>
  <c r="I871" i="4"/>
  <c r="E880" i="4"/>
  <c r="I880" i="4"/>
  <c r="S915" i="4"/>
  <c r="R915" i="4"/>
  <c r="Q915" i="4"/>
  <c r="O915" i="4"/>
  <c r="N915" i="4"/>
  <c r="M915" i="4"/>
  <c r="H915" i="4"/>
  <c r="G915" i="4"/>
  <c r="F915" i="4"/>
  <c r="D915" i="4"/>
  <c r="C915" i="4"/>
  <c r="B915" i="4"/>
  <c r="T914" i="4"/>
  <c r="P914" i="4"/>
  <c r="T913" i="4"/>
  <c r="P913" i="4"/>
  <c r="T912" i="4"/>
  <c r="P912" i="4"/>
  <c r="T911" i="4"/>
  <c r="P911" i="4"/>
  <c r="I911" i="4"/>
  <c r="E911" i="4"/>
  <c r="T910" i="4"/>
  <c r="P910" i="4"/>
  <c r="I910" i="4"/>
  <c r="E910" i="4"/>
  <c r="I909" i="4"/>
  <c r="E909" i="4"/>
  <c r="I908" i="4"/>
  <c r="E908" i="4"/>
  <c r="I907" i="4"/>
  <c r="E907" i="4"/>
  <c r="I906" i="4"/>
  <c r="E906" i="4"/>
  <c r="I905" i="4"/>
  <c r="E905" i="4"/>
  <c r="I904" i="4"/>
  <c r="E904" i="4"/>
  <c r="I903" i="4"/>
  <c r="E903" i="4"/>
  <c r="I902" i="4"/>
  <c r="E902" i="4"/>
  <c r="I901" i="4"/>
  <c r="E901" i="4"/>
  <c r="I900" i="4"/>
  <c r="E900" i="4"/>
  <c r="I899" i="4"/>
  <c r="E899" i="4"/>
  <c r="I898" i="4"/>
  <c r="E898" i="4"/>
  <c r="I897" i="4"/>
  <c r="E897" i="4"/>
  <c r="I896" i="4"/>
  <c r="E896" i="4"/>
  <c r="I895" i="4"/>
  <c r="E895" i="4"/>
  <c r="I894" i="4"/>
  <c r="E894" i="4"/>
  <c r="T887" i="4"/>
  <c r="P887" i="4"/>
  <c r="I887" i="4"/>
  <c r="E887" i="4"/>
  <c r="I886" i="4"/>
  <c r="E886" i="4"/>
  <c r="I885" i="4"/>
  <c r="E885" i="4"/>
  <c r="T884" i="4"/>
  <c r="P884" i="4"/>
  <c r="I884" i="4"/>
  <c r="E884" i="4"/>
  <c r="T883" i="4"/>
  <c r="P883" i="4"/>
  <c r="I883" i="4"/>
  <c r="E883" i="4"/>
  <c r="T882" i="4"/>
  <c r="P882" i="4"/>
  <c r="T881" i="4"/>
  <c r="P881" i="4"/>
  <c r="U894" i="4" l="1"/>
  <c r="U899" i="4"/>
  <c r="U901" i="4"/>
  <c r="U867" i="4"/>
  <c r="U889" i="4"/>
  <c r="U891" i="4"/>
  <c r="U843" i="4"/>
  <c r="U869" i="4"/>
  <c r="U882" i="4"/>
  <c r="J884" i="4"/>
  <c r="J887" i="4"/>
  <c r="J895" i="4"/>
  <c r="J898" i="4"/>
  <c r="J901" i="4"/>
  <c r="J904" i="4"/>
  <c r="J907" i="4"/>
  <c r="J911" i="4"/>
  <c r="U912" i="4"/>
  <c r="J871" i="4"/>
  <c r="U895" i="4"/>
  <c r="U868" i="4"/>
  <c r="J880" i="4"/>
  <c r="U904" i="4"/>
  <c r="U903" i="4"/>
  <c r="U907" i="4"/>
  <c r="U896" i="4"/>
  <c r="U897" i="4"/>
  <c r="U881" i="4"/>
  <c r="J883" i="4"/>
  <c r="U884" i="4"/>
  <c r="J886" i="4"/>
  <c r="U887" i="4"/>
  <c r="J896" i="4"/>
  <c r="J899" i="4"/>
  <c r="J902" i="4"/>
  <c r="J905" i="4"/>
  <c r="J908" i="4"/>
  <c r="J910" i="4"/>
  <c r="U911" i="4"/>
  <c r="U914" i="4"/>
  <c r="U893" i="4"/>
  <c r="U883" i="4"/>
  <c r="J885" i="4"/>
  <c r="J894" i="4"/>
  <c r="J897" i="4"/>
  <c r="J900" i="4"/>
  <c r="J903" i="4"/>
  <c r="J906" i="4"/>
  <c r="J909" i="4"/>
  <c r="U910" i="4"/>
  <c r="U913" i="4"/>
  <c r="U908" i="4"/>
  <c r="U905" i="4"/>
  <c r="U900" i="4"/>
  <c r="U892" i="4"/>
  <c r="J915" i="1"/>
  <c r="T915" i="4"/>
  <c r="U898" i="4"/>
  <c r="U902" i="4"/>
  <c r="U890" i="4"/>
  <c r="U915" i="1"/>
  <c r="P915" i="4"/>
  <c r="I915" i="4"/>
  <c r="E915" i="4"/>
  <c r="E849" i="4"/>
  <c r="I849" i="4"/>
  <c r="E850" i="4"/>
  <c r="I850" i="4"/>
  <c r="E851" i="4"/>
  <c r="I851" i="4"/>
  <c r="E852" i="4"/>
  <c r="I852" i="4"/>
  <c r="E853" i="4"/>
  <c r="I853" i="4"/>
  <c r="E854" i="4"/>
  <c r="I854" i="4"/>
  <c r="E855" i="4"/>
  <c r="I855" i="4"/>
  <c r="E856" i="4"/>
  <c r="I856" i="4"/>
  <c r="E857" i="4"/>
  <c r="I857" i="4"/>
  <c r="E858" i="4"/>
  <c r="I858" i="4"/>
  <c r="E859" i="4"/>
  <c r="I859" i="4"/>
  <c r="E860" i="4"/>
  <c r="I860" i="4"/>
  <c r="E861" i="4"/>
  <c r="I861" i="4"/>
  <c r="E862" i="4"/>
  <c r="I862" i="4"/>
  <c r="E863" i="4"/>
  <c r="I863" i="4"/>
  <c r="E864" i="4"/>
  <c r="I864" i="4"/>
  <c r="E865" i="4"/>
  <c r="I865" i="4"/>
  <c r="E866" i="4"/>
  <c r="I866" i="4"/>
  <c r="E867" i="4"/>
  <c r="I867" i="4"/>
  <c r="E868" i="4"/>
  <c r="I868" i="4"/>
  <c r="E869" i="4"/>
  <c r="I869" i="4"/>
  <c r="E870" i="4"/>
  <c r="I870" i="4"/>
  <c r="U915" i="4" l="1"/>
  <c r="J858" i="4"/>
  <c r="J915" i="4"/>
  <c r="J850" i="4"/>
  <c r="J866" i="4"/>
  <c r="J854" i="4"/>
  <c r="J856" i="4"/>
  <c r="J870" i="4"/>
  <c r="J867" i="4"/>
  <c r="J861" i="4"/>
  <c r="J855" i="4"/>
  <c r="J860" i="4"/>
  <c r="J852" i="4"/>
  <c r="J868" i="4"/>
  <c r="J857" i="4"/>
  <c r="J862" i="4"/>
  <c r="J864" i="4"/>
  <c r="J849" i="4"/>
  <c r="J863" i="4"/>
  <c r="J851" i="4"/>
  <c r="J865" i="4"/>
  <c r="J853" i="4"/>
  <c r="J869" i="4"/>
  <c r="J859" i="4"/>
  <c r="T850" i="1"/>
  <c r="P850" i="1"/>
  <c r="E801" i="4"/>
  <c r="I801" i="4"/>
  <c r="I796" i="4"/>
  <c r="E796" i="4"/>
  <c r="J796" i="4" l="1"/>
  <c r="U850" i="1"/>
  <c r="J801" i="4"/>
  <c r="S872" i="1"/>
  <c r="S960" i="1" s="1"/>
  <c r="R872" i="4"/>
  <c r="R960" i="4" s="1"/>
  <c r="O872" i="4"/>
  <c r="O960" i="4" s="1"/>
  <c r="T795" i="1"/>
  <c r="P795" i="1"/>
  <c r="T795" i="4"/>
  <c r="P795" i="4"/>
  <c r="R872" i="1"/>
  <c r="R960" i="1" s="1"/>
  <c r="Q872" i="1"/>
  <c r="Q960" i="1" s="1"/>
  <c r="O872" i="1"/>
  <c r="N872" i="1"/>
  <c r="M872" i="1"/>
  <c r="H872" i="1"/>
  <c r="G872" i="1"/>
  <c r="F872" i="1"/>
  <c r="D872" i="1"/>
  <c r="C872" i="1"/>
  <c r="B872" i="1"/>
  <c r="I870" i="1"/>
  <c r="E870" i="1"/>
  <c r="I869" i="1"/>
  <c r="E869" i="1"/>
  <c r="I868" i="1"/>
  <c r="E868" i="1"/>
  <c r="I867" i="1"/>
  <c r="E867" i="1"/>
  <c r="T866" i="1"/>
  <c r="P866" i="1"/>
  <c r="I866" i="1"/>
  <c r="E866" i="1"/>
  <c r="T865" i="1"/>
  <c r="P865" i="1"/>
  <c r="I865" i="1"/>
  <c r="E865" i="1"/>
  <c r="T864" i="1"/>
  <c r="P864" i="1"/>
  <c r="I864" i="1"/>
  <c r="E864" i="1"/>
  <c r="T863" i="1"/>
  <c r="P863" i="1"/>
  <c r="I863" i="1"/>
  <c r="E863" i="1"/>
  <c r="T862" i="1"/>
  <c r="P862" i="1"/>
  <c r="I862" i="1"/>
  <c r="E862" i="1"/>
  <c r="T861" i="1"/>
  <c r="P861" i="1"/>
  <c r="I861" i="1"/>
  <c r="E861" i="1"/>
  <c r="T860" i="1"/>
  <c r="P860" i="1"/>
  <c r="I860" i="1"/>
  <c r="E860" i="1"/>
  <c r="T859" i="1"/>
  <c r="P859" i="1"/>
  <c r="I859" i="1"/>
  <c r="E859" i="1"/>
  <c r="T858" i="1"/>
  <c r="P858" i="1"/>
  <c r="I858" i="1"/>
  <c r="E858" i="1"/>
  <c r="T857" i="1"/>
  <c r="P857" i="1"/>
  <c r="I857" i="1"/>
  <c r="E857" i="1"/>
  <c r="T856" i="1"/>
  <c r="P856" i="1"/>
  <c r="I856" i="1"/>
  <c r="E856" i="1"/>
  <c r="T855" i="1"/>
  <c r="P855" i="1"/>
  <c r="I855" i="1"/>
  <c r="E855" i="1"/>
  <c r="T854" i="1"/>
  <c r="P854" i="1"/>
  <c r="I854" i="1"/>
  <c r="E854" i="1"/>
  <c r="T853" i="1"/>
  <c r="P853" i="1"/>
  <c r="I853" i="1"/>
  <c r="E853" i="1"/>
  <c r="T852" i="1"/>
  <c r="P852" i="1"/>
  <c r="I852" i="1"/>
  <c r="E852" i="1"/>
  <c r="T851" i="1"/>
  <c r="P851" i="1"/>
  <c r="I851" i="1"/>
  <c r="E851" i="1"/>
  <c r="I850" i="1"/>
  <c r="E850" i="1"/>
  <c r="T849" i="1"/>
  <c r="P849" i="1"/>
  <c r="I849" i="1"/>
  <c r="E849" i="1"/>
  <c r="T848" i="1"/>
  <c r="P848" i="1"/>
  <c r="E848" i="1"/>
  <c r="T847" i="1"/>
  <c r="P847" i="1"/>
  <c r="I847" i="1"/>
  <c r="E847" i="1"/>
  <c r="T846" i="1"/>
  <c r="P846" i="1"/>
  <c r="I846" i="1"/>
  <c r="E846" i="1"/>
  <c r="T844" i="1"/>
  <c r="P844" i="1"/>
  <c r="I844" i="1"/>
  <c r="E844" i="1"/>
  <c r="I843" i="1"/>
  <c r="E843" i="1"/>
  <c r="T842" i="1"/>
  <c r="P842" i="1"/>
  <c r="I842" i="1"/>
  <c r="E842" i="1"/>
  <c r="T841" i="1"/>
  <c r="P841" i="1"/>
  <c r="I841" i="1"/>
  <c r="E841" i="1"/>
  <c r="T840" i="1"/>
  <c r="P840" i="1"/>
  <c r="I840" i="1"/>
  <c r="E840" i="1"/>
  <c r="T839" i="1"/>
  <c r="P839" i="1"/>
  <c r="I839" i="1"/>
  <c r="E839" i="1"/>
  <c r="T838" i="1"/>
  <c r="P838" i="1"/>
  <c r="I838" i="1"/>
  <c r="E838" i="1"/>
  <c r="T837" i="1"/>
  <c r="P837" i="1"/>
  <c r="I837" i="1"/>
  <c r="E837" i="1"/>
  <c r="S872" i="4"/>
  <c r="S960" i="4" s="1"/>
  <c r="Q872" i="4"/>
  <c r="Q960" i="4" s="1"/>
  <c r="N872" i="4"/>
  <c r="N960" i="4" s="1"/>
  <c r="M872" i="4"/>
  <c r="M960" i="4" s="1"/>
  <c r="H872" i="4"/>
  <c r="G872" i="4"/>
  <c r="F872" i="4"/>
  <c r="D872" i="4"/>
  <c r="C872" i="4"/>
  <c r="B872" i="4"/>
  <c r="P871" i="4"/>
  <c r="T870" i="4"/>
  <c r="P870" i="4"/>
  <c r="T866" i="4"/>
  <c r="P866" i="4"/>
  <c r="T865" i="4"/>
  <c r="P865" i="4"/>
  <c r="T864" i="4"/>
  <c r="P864" i="4"/>
  <c r="T863" i="4"/>
  <c r="P863" i="4"/>
  <c r="T862" i="4"/>
  <c r="P862" i="4"/>
  <c r="T861" i="4"/>
  <c r="P861" i="4"/>
  <c r="T860" i="4"/>
  <c r="P860" i="4"/>
  <c r="T859" i="4"/>
  <c r="P859" i="4"/>
  <c r="T858" i="4"/>
  <c r="P858" i="4"/>
  <c r="T857" i="4"/>
  <c r="P857" i="4"/>
  <c r="T856" i="4"/>
  <c r="P856" i="4"/>
  <c r="T855" i="4"/>
  <c r="P855" i="4"/>
  <c r="T854" i="4"/>
  <c r="P854" i="4"/>
  <c r="T853" i="4"/>
  <c r="P853" i="4"/>
  <c r="T852" i="4"/>
  <c r="P852" i="4"/>
  <c r="T851" i="4"/>
  <c r="P851" i="4"/>
  <c r="T849" i="4"/>
  <c r="P849" i="4"/>
  <c r="T848" i="4"/>
  <c r="P848" i="4"/>
  <c r="I848" i="4"/>
  <c r="E848" i="4"/>
  <c r="T847" i="4"/>
  <c r="P847" i="4"/>
  <c r="I847" i="4"/>
  <c r="E847" i="4"/>
  <c r="T846" i="4"/>
  <c r="P846" i="4"/>
  <c r="I846" i="4"/>
  <c r="E846" i="4"/>
  <c r="T844" i="4"/>
  <c r="P844" i="4"/>
  <c r="I844" i="4"/>
  <c r="E844" i="4"/>
  <c r="I843" i="4"/>
  <c r="E843" i="4"/>
  <c r="T842" i="4"/>
  <c r="P842" i="4"/>
  <c r="I842" i="4"/>
  <c r="E842" i="4"/>
  <c r="T841" i="4"/>
  <c r="P841" i="4"/>
  <c r="I841" i="4"/>
  <c r="E841" i="4"/>
  <c r="T840" i="4"/>
  <c r="P840" i="4"/>
  <c r="I840" i="4"/>
  <c r="E840" i="4"/>
  <c r="T839" i="4"/>
  <c r="P839" i="4"/>
  <c r="I839" i="4"/>
  <c r="E839" i="4"/>
  <c r="T838" i="4"/>
  <c r="P838" i="4"/>
  <c r="I838" i="4"/>
  <c r="E838" i="4"/>
  <c r="T837" i="4"/>
  <c r="P837" i="4"/>
  <c r="I837" i="4"/>
  <c r="E837" i="4"/>
  <c r="M917" i="1" l="1"/>
  <c r="M960" i="1"/>
  <c r="N917" i="1"/>
  <c r="N960" i="1"/>
  <c r="O917" i="1"/>
  <c r="O960" i="1"/>
  <c r="U837" i="1"/>
  <c r="U840" i="1"/>
  <c r="U853" i="1"/>
  <c r="U856" i="1"/>
  <c r="U859" i="1"/>
  <c r="U862" i="1"/>
  <c r="U865" i="1"/>
  <c r="U855" i="1"/>
  <c r="U858" i="1"/>
  <c r="U861" i="1"/>
  <c r="U864" i="1"/>
  <c r="U838" i="4"/>
  <c r="U841" i="4"/>
  <c r="U844" i="4"/>
  <c r="U857" i="4"/>
  <c r="U860" i="4"/>
  <c r="U863" i="4"/>
  <c r="U866" i="4"/>
  <c r="U847" i="1"/>
  <c r="U839" i="4"/>
  <c r="U842" i="4"/>
  <c r="U855" i="4"/>
  <c r="U858" i="4"/>
  <c r="U861" i="4"/>
  <c r="U864" i="4"/>
  <c r="U841" i="1"/>
  <c r="U844" i="1"/>
  <c r="U795" i="4"/>
  <c r="T871" i="4"/>
  <c r="U871" i="4" s="1"/>
  <c r="U870" i="4"/>
  <c r="U795" i="1"/>
  <c r="P872" i="1"/>
  <c r="J842" i="4"/>
  <c r="J844" i="1"/>
  <c r="J847" i="1"/>
  <c r="J850" i="1"/>
  <c r="J853" i="1"/>
  <c r="J856" i="1"/>
  <c r="J859" i="1"/>
  <c r="J862" i="1"/>
  <c r="J865" i="1"/>
  <c r="J868" i="1"/>
  <c r="J848" i="1"/>
  <c r="J851" i="1"/>
  <c r="J854" i="1"/>
  <c r="J857" i="1"/>
  <c r="J860" i="1"/>
  <c r="J863" i="1"/>
  <c r="J866" i="1"/>
  <c r="J869" i="1"/>
  <c r="E872" i="1"/>
  <c r="J841" i="4"/>
  <c r="J844" i="4"/>
  <c r="J843" i="1"/>
  <c r="U848" i="1"/>
  <c r="U851" i="1"/>
  <c r="U857" i="1"/>
  <c r="U860" i="1"/>
  <c r="U863" i="1"/>
  <c r="U866" i="1"/>
  <c r="J843" i="4"/>
  <c r="U837" i="4"/>
  <c r="U840" i="4"/>
  <c r="U856" i="4"/>
  <c r="U859" i="4"/>
  <c r="U862" i="4"/>
  <c r="U865" i="4"/>
  <c r="I872" i="4"/>
  <c r="U839" i="1"/>
  <c r="U842" i="1"/>
  <c r="J849" i="1"/>
  <c r="J852" i="1"/>
  <c r="J855" i="1"/>
  <c r="J858" i="1"/>
  <c r="J861" i="1"/>
  <c r="J864" i="1"/>
  <c r="J867" i="1"/>
  <c r="J870" i="1"/>
  <c r="I872" i="1"/>
  <c r="U846" i="1"/>
  <c r="U849" i="1"/>
  <c r="U852" i="1"/>
  <c r="U854" i="1"/>
  <c r="T872" i="1"/>
  <c r="T960" i="1" s="1"/>
  <c r="U838" i="1"/>
  <c r="J846" i="1"/>
  <c r="J837" i="1"/>
  <c r="J840" i="1"/>
  <c r="J839" i="1"/>
  <c r="J842" i="1"/>
  <c r="J838" i="1"/>
  <c r="J841" i="1"/>
  <c r="U846" i="4"/>
  <c r="U849" i="4"/>
  <c r="U852" i="4"/>
  <c r="U848" i="4"/>
  <c r="U851" i="4"/>
  <c r="U854" i="4"/>
  <c r="T872" i="4"/>
  <c r="T960" i="4" s="1"/>
  <c r="U847" i="4"/>
  <c r="U853" i="4"/>
  <c r="P872" i="4"/>
  <c r="P960" i="4" s="1"/>
  <c r="P961" i="4" s="1"/>
  <c r="J847" i="4"/>
  <c r="J846" i="4"/>
  <c r="J848" i="4"/>
  <c r="E872" i="4"/>
  <c r="J837" i="4"/>
  <c r="J840" i="4"/>
  <c r="J839" i="4"/>
  <c r="J838" i="4"/>
  <c r="P808" i="4"/>
  <c r="T808" i="4"/>
  <c r="I804" i="4"/>
  <c r="E804" i="4"/>
  <c r="M961" i="4" l="1"/>
  <c r="P917" i="1"/>
  <c r="P918" i="1" s="1"/>
  <c r="P960" i="1"/>
  <c r="P961" i="1" s="1"/>
  <c r="O961" i="1"/>
  <c r="N961" i="4"/>
  <c r="O961" i="4"/>
  <c r="M918" i="1"/>
  <c r="J872" i="1"/>
  <c r="J872" i="4"/>
  <c r="J804" i="4"/>
  <c r="U872" i="4"/>
  <c r="U960" i="4" s="1"/>
  <c r="U872" i="1"/>
  <c r="U808" i="4"/>
  <c r="O918" i="1" l="1"/>
  <c r="N918" i="1"/>
  <c r="M961" i="1"/>
  <c r="N961" i="1"/>
  <c r="P784" i="1"/>
  <c r="T784" i="1"/>
  <c r="P785" i="1"/>
  <c r="T785" i="1"/>
  <c r="T828" i="1"/>
  <c r="P828" i="1"/>
  <c r="H829" i="4"/>
  <c r="G829" i="4"/>
  <c r="F829" i="4"/>
  <c r="D829" i="4"/>
  <c r="C829" i="4"/>
  <c r="B829" i="4"/>
  <c r="I828" i="4"/>
  <c r="E828" i="4"/>
  <c r="I827" i="4"/>
  <c r="E827" i="4"/>
  <c r="I826" i="4"/>
  <c r="E826" i="4"/>
  <c r="I825" i="4"/>
  <c r="E825" i="4"/>
  <c r="I824" i="4"/>
  <c r="E824" i="4"/>
  <c r="I823" i="4"/>
  <c r="E823" i="4"/>
  <c r="I822" i="4"/>
  <c r="E822" i="4"/>
  <c r="I821" i="4"/>
  <c r="E821" i="4"/>
  <c r="I820" i="4"/>
  <c r="E820" i="4"/>
  <c r="I819" i="4"/>
  <c r="E819" i="4"/>
  <c r="I818" i="4"/>
  <c r="E818" i="4"/>
  <c r="I817" i="4"/>
  <c r="E817" i="4"/>
  <c r="I816" i="4"/>
  <c r="E816" i="4"/>
  <c r="I815" i="4"/>
  <c r="E815" i="4"/>
  <c r="I814" i="4"/>
  <c r="E814" i="4"/>
  <c r="I813" i="4"/>
  <c r="E813" i="4"/>
  <c r="I812" i="4"/>
  <c r="E812" i="4"/>
  <c r="I811" i="4"/>
  <c r="E811" i="4"/>
  <c r="I810" i="4"/>
  <c r="E810" i="4"/>
  <c r="I809" i="4"/>
  <c r="E809" i="4"/>
  <c r="I808" i="4"/>
  <c r="E808" i="4"/>
  <c r="I807" i="4"/>
  <c r="E807" i="4"/>
  <c r="I806" i="4"/>
  <c r="E806" i="4"/>
  <c r="I805" i="4"/>
  <c r="E805" i="4"/>
  <c r="I803" i="4"/>
  <c r="E803" i="4"/>
  <c r="I800" i="4"/>
  <c r="E800" i="4"/>
  <c r="I799" i="4"/>
  <c r="E799" i="4"/>
  <c r="I798" i="4"/>
  <c r="E798" i="4"/>
  <c r="I797" i="4"/>
  <c r="E797" i="4"/>
  <c r="I795" i="4"/>
  <c r="E795" i="4"/>
  <c r="I794" i="4"/>
  <c r="E794" i="4"/>
  <c r="U784" i="1" l="1"/>
  <c r="J795" i="4"/>
  <c r="J807" i="4"/>
  <c r="J813" i="4"/>
  <c r="J819" i="4"/>
  <c r="J822" i="4"/>
  <c r="J799" i="4"/>
  <c r="J805" i="4"/>
  <c r="J808" i="4"/>
  <c r="J811" i="4"/>
  <c r="J814" i="4"/>
  <c r="J817" i="4"/>
  <c r="J820" i="4"/>
  <c r="J823" i="4"/>
  <c r="J826" i="4"/>
  <c r="J794" i="4"/>
  <c r="J797" i="4"/>
  <c r="J800" i="4"/>
  <c r="J806" i="4"/>
  <c r="J809" i="4"/>
  <c r="J812" i="4"/>
  <c r="J815" i="4"/>
  <c r="J818" i="4"/>
  <c r="J821" i="4"/>
  <c r="J824" i="4"/>
  <c r="J827" i="4"/>
  <c r="I829" i="4"/>
  <c r="U785" i="1"/>
  <c r="J798" i="4"/>
  <c r="J810" i="4"/>
  <c r="J816" i="4"/>
  <c r="J825" i="4"/>
  <c r="J828" i="4"/>
  <c r="U828" i="1"/>
  <c r="J803" i="4"/>
  <c r="E829" i="4"/>
  <c r="T828" i="4"/>
  <c r="P828" i="4"/>
  <c r="S829" i="4"/>
  <c r="R829" i="4"/>
  <c r="Q829" i="4"/>
  <c r="O829" i="4"/>
  <c r="N829" i="4"/>
  <c r="M829" i="4"/>
  <c r="T827" i="4"/>
  <c r="P827" i="4"/>
  <c r="T826" i="4"/>
  <c r="P826" i="4"/>
  <c r="T825" i="4"/>
  <c r="P825" i="4"/>
  <c r="T824" i="4"/>
  <c r="P824" i="4"/>
  <c r="T823" i="4"/>
  <c r="P823" i="4"/>
  <c r="T822" i="4"/>
  <c r="P822" i="4"/>
  <c r="T821" i="4"/>
  <c r="P821" i="4"/>
  <c r="T820" i="4"/>
  <c r="P820" i="4"/>
  <c r="T819" i="4"/>
  <c r="P819" i="4"/>
  <c r="T818" i="4"/>
  <c r="P818" i="4"/>
  <c r="T817" i="4"/>
  <c r="P817" i="4"/>
  <c r="T816" i="4"/>
  <c r="P816" i="4"/>
  <c r="T815" i="4"/>
  <c r="P815" i="4"/>
  <c r="T814" i="4"/>
  <c r="P814" i="4"/>
  <c r="T813" i="4"/>
  <c r="P813" i="4"/>
  <c r="T812" i="4"/>
  <c r="P812" i="4"/>
  <c r="T811" i="4"/>
  <c r="P811" i="4"/>
  <c r="T810" i="4"/>
  <c r="P810" i="4"/>
  <c r="T809" i="4"/>
  <c r="P809" i="4"/>
  <c r="T807" i="4"/>
  <c r="P807" i="4"/>
  <c r="T806" i="4"/>
  <c r="P806" i="4"/>
  <c r="T805" i="4"/>
  <c r="P805" i="4"/>
  <c r="T804" i="4"/>
  <c r="P804" i="4"/>
  <c r="T803" i="4"/>
  <c r="P803" i="4"/>
  <c r="T801" i="4"/>
  <c r="P801" i="4"/>
  <c r="T800" i="4"/>
  <c r="P800" i="4"/>
  <c r="T799" i="4"/>
  <c r="P799" i="4"/>
  <c r="T798" i="4"/>
  <c r="P798" i="4"/>
  <c r="T797" i="4"/>
  <c r="P797" i="4"/>
  <c r="T796" i="4"/>
  <c r="P796" i="4"/>
  <c r="T794" i="4"/>
  <c r="P794" i="4"/>
  <c r="U810" i="4" l="1"/>
  <c r="U800" i="4"/>
  <c r="U816" i="4"/>
  <c r="U822" i="4"/>
  <c r="U796" i="4"/>
  <c r="U806" i="4"/>
  <c r="U812" i="4"/>
  <c r="U818" i="4"/>
  <c r="U824" i="4"/>
  <c r="U794" i="4"/>
  <c r="U828" i="4"/>
  <c r="U804" i="4"/>
  <c r="U798" i="4"/>
  <c r="J829" i="4"/>
  <c r="U801" i="4"/>
  <c r="U799" i="4"/>
  <c r="U827" i="4"/>
  <c r="U797" i="4"/>
  <c r="T829" i="4"/>
  <c r="U814" i="4"/>
  <c r="U820" i="4"/>
  <c r="U826" i="4"/>
  <c r="U805" i="4"/>
  <c r="U823" i="4"/>
  <c r="U817" i="4"/>
  <c r="U803" i="4"/>
  <c r="U809" i="4"/>
  <c r="U815" i="4"/>
  <c r="U821" i="4"/>
  <c r="U811" i="4"/>
  <c r="U807" i="4"/>
  <c r="U813" i="4"/>
  <c r="U819" i="4"/>
  <c r="U825" i="4"/>
  <c r="P829" i="4"/>
  <c r="P751" i="1"/>
  <c r="T751" i="1"/>
  <c r="P752" i="1"/>
  <c r="T752" i="1"/>
  <c r="P812" i="1"/>
  <c r="T812" i="1"/>
  <c r="P813" i="1"/>
  <c r="T813" i="1"/>
  <c r="P814" i="1"/>
  <c r="T814" i="1"/>
  <c r="P815" i="1"/>
  <c r="T815" i="1"/>
  <c r="P816" i="1"/>
  <c r="T816" i="1"/>
  <c r="P817" i="1"/>
  <c r="T817" i="1"/>
  <c r="P818" i="1"/>
  <c r="T818" i="1"/>
  <c r="P819" i="1"/>
  <c r="T819" i="1"/>
  <c r="P820" i="1"/>
  <c r="T820" i="1"/>
  <c r="P821" i="1"/>
  <c r="T821" i="1"/>
  <c r="P822" i="1"/>
  <c r="T822" i="1"/>
  <c r="P823" i="1"/>
  <c r="T823" i="1"/>
  <c r="P824" i="1"/>
  <c r="T824" i="1"/>
  <c r="P825" i="1"/>
  <c r="T825" i="1"/>
  <c r="P826" i="1"/>
  <c r="T826" i="1"/>
  <c r="P827" i="1"/>
  <c r="T827" i="1"/>
  <c r="S829" i="1"/>
  <c r="R829" i="1"/>
  <c r="Q829" i="1"/>
  <c r="O829" i="1"/>
  <c r="N829" i="1"/>
  <c r="M829" i="1"/>
  <c r="H829" i="1"/>
  <c r="G829" i="1"/>
  <c r="F829" i="1"/>
  <c r="D829" i="1"/>
  <c r="C829" i="1"/>
  <c r="B829" i="1"/>
  <c r="I828" i="1"/>
  <c r="E828" i="1"/>
  <c r="I827" i="1"/>
  <c r="E827" i="1"/>
  <c r="I826" i="1"/>
  <c r="E826" i="1"/>
  <c r="I825" i="1"/>
  <c r="E825" i="1"/>
  <c r="I824" i="1"/>
  <c r="E824" i="1"/>
  <c r="I823" i="1"/>
  <c r="E823" i="1"/>
  <c r="I822" i="1"/>
  <c r="E822" i="1"/>
  <c r="I821" i="1"/>
  <c r="E821" i="1"/>
  <c r="I820" i="1"/>
  <c r="E820" i="1"/>
  <c r="I819" i="1"/>
  <c r="E819" i="1"/>
  <c r="I818" i="1"/>
  <c r="E818" i="1"/>
  <c r="I817" i="1"/>
  <c r="E817" i="1"/>
  <c r="I816" i="1"/>
  <c r="E816" i="1"/>
  <c r="I815" i="1"/>
  <c r="E815" i="1"/>
  <c r="I814" i="1"/>
  <c r="E814" i="1"/>
  <c r="I813" i="1"/>
  <c r="E813" i="1"/>
  <c r="I812" i="1"/>
  <c r="E812" i="1"/>
  <c r="T811" i="1"/>
  <c r="P811" i="1"/>
  <c r="I811" i="1"/>
  <c r="E811" i="1"/>
  <c r="T810" i="1"/>
  <c r="P810" i="1"/>
  <c r="I810" i="1"/>
  <c r="E810" i="1"/>
  <c r="T809" i="1"/>
  <c r="P809" i="1"/>
  <c r="I809" i="1"/>
  <c r="E809" i="1"/>
  <c r="T808" i="1"/>
  <c r="P808" i="1"/>
  <c r="I808" i="1"/>
  <c r="E808" i="1"/>
  <c r="T807" i="1"/>
  <c r="P807" i="1"/>
  <c r="I807" i="1"/>
  <c r="E807" i="1"/>
  <c r="T806" i="1"/>
  <c r="P806" i="1"/>
  <c r="I806" i="1"/>
  <c r="E806" i="1"/>
  <c r="T805" i="1"/>
  <c r="P805" i="1"/>
  <c r="I805" i="1"/>
  <c r="E805" i="1"/>
  <c r="T804" i="1"/>
  <c r="P804" i="1"/>
  <c r="I804" i="1"/>
  <c r="E804" i="1"/>
  <c r="T803" i="1"/>
  <c r="P803" i="1"/>
  <c r="I803" i="1"/>
  <c r="E803" i="1"/>
  <c r="T801" i="1"/>
  <c r="P801" i="1"/>
  <c r="I801" i="1"/>
  <c r="E801" i="1"/>
  <c r="T800" i="1"/>
  <c r="P800" i="1"/>
  <c r="I800" i="1"/>
  <c r="E800" i="1"/>
  <c r="T799" i="1"/>
  <c r="P799" i="1"/>
  <c r="I799" i="1"/>
  <c r="E799" i="1"/>
  <c r="T798" i="1"/>
  <c r="P798" i="1"/>
  <c r="I798" i="1"/>
  <c r="E798" i="1"/>
  <c r="T797" i="1"/>
  <c r="P797" i="1"/>
  <c r="I797" i="1"/>
  <c r="E797" i="1"/>
  <c r="T796" i="1"/>
  <c r="P796" i="1"/>
  <c r="I796" i="1"/>
  <c r="E796" i="1"/>
  <c r="I795" i="1"/>
  <c r="E795" i="1"/>
  <c r="T794" i="1"/>
  <c r="P794" i="1"/>
  <c r="I794" i="1"/>
  <c r="E794" i="1"/>
  <c r="T783" i="4"/>
  <c r="P783" i="4"/>
  <c r="T783" i="1"/>
  <c r="P783" i="1"/>
  <c r="T785" i="4"/>
  <c r="P785" i="4"/>
  <c r="U813" i="1" l="1"/>
  <c r="J797" i="1"/>
  <c r="J800" i="1"/>
  <c r="U801" i="1"/>
  <c r="J804" i="1"/>
  <c r="J807" i="1"/>
  <c r="J810" i="1"/>
  <c r="J814" i="1"/>
  <c r="J820" i="1"/>
  <c r="J826" i="1"/>
  <c r="U821" i="1"/>
  <c r="U815" i="1"/>
  <c r="U819" i="1"/>
  <c r="J817" i="1"/>
  <c r="U825" i="1"/>
  <c r="U785" i="4"/>
  <c r="U798" i="1"/>
  <c r="J823" i="1"/>
  <c r="U783" i="1"/>
  <c r="U794" i="1"/>
  <c r="J796" i="1"/>
  <c r="U797" i="1"/>
  <c r="J799" i="1"/>
  <c r="U800" i="1"/>
  <c r="J803" i="1"/>
  <c r="J806" i="1"/>
  <c r="U807" i="1"/>
  <c r="J809" i="1"/>
  <c r="U810" i="1"/>
  <c r="J812" i="1"/>
  <c r="J815" i="1"/>
  <c r="J818" i="1"/>
  <c r="J821" i="1"/>
  <c r="J824" i="1"/>
  <c r="J827" i="1"/>
  <c r="U752" i="1"/>
  <c r="U804" i="1"/>
  <c r="U822" i="1"/>
  <c r="U817" i="1"/>
  <c r="U827" i="1"/>
  <c r="U816" i="1"/>
  <c r="U823" i="1"/>
  <c r="U751" i="1"/>
  <c r="U824" i="1"/>
  <c r="U812" i="1"/>
  <c r="U783" i="4"/>
  <c r="U796" i="1"/>
  <c r="J798" i="1"/>
  <c r="U799" i="1"/>
  <c r="J801" i="1"/>
  <c r="U803" i="1"/>
  <c r="J805" i="1"/>
  <c r="U806" i="1"/>
  <c r="J808" i="1"/>
  <c r="U809" i="1"/>
  <c r="J811" i="1"/>
  <c r="J813" i="1"/>
  <c r="J816" i="1"/>
  <c r="J819" i="1"/>
  <c r="J822" i="1"/>
  <c r="J825" i="1"/>
  <c r="J828" i="1"/>
  <c r="U826" i="1"/>
  <c r="U814" i="1"/>
  <c r="U829" i="4"/>
  <c r="E829" i="1"/>
  <c r="U818" i="1"/>
  <c r="U820" i="1"/>
  <c r="J794" i="1"/>
  <c r="J795" i="1"/>
  <c r="P829" i="1"/>
  <c r="I829" i="1"/>
  <c r="T829" i="1"/>
  <c r="U805" i="1"/>
  <c r="U808" i="1"/>
  <c r="U811" i="1"/>
  <c r="T782" i="1"/>
  <c r="P782" i="1"/>
  <c r="J829" i="1" l="1"/>
  <c r="U829" i="1"/>
  <c r="U782" i="1"/>
  <c r="T776" i="1"/>
  <c r="P776" i="1"/>
  <c r="P775" i="1"/>
  <c r="T775" i="1"/>
  <c r="T776" i="4"/>
  <c r="P776" i="4"/>
  <c r="U776" i="1" l="1"/>
  <c r="U775" i="1"/>
  <c r="U776" i="4"/>
  <c r="E709" i="1" l="1"/>
  <c r="I709" i="1"/>
  <c r="E761" i="1"/>
  <c r="I761" i="1"/>
  <c r="J761" i="1" l="1"/>
  <c r="J709" i="1"/>
  <c r="P767" i="4"/>
  <c r="T767" i="4"/>
  <c r="P765" i="1"/>
  <c r="T765" i="1"/>
  <c r="U767" i="4" l="1"/>
  <c r="U765" i="1"/>
  <c r="H786" i="1"/>
  <c r="G786" i="1"/>
  <c r="F786" i="1"/>
  <c r="D786" i="1"/>
  <c r="C786" i="1"/>
  <c r="B786" i="1"/>
  <c r="I785" i="1"/>
  <c r="E785" i="1"/>
  <c r="I784" i="1"/>
  <c r="E784" i="1"/>
  <c r="I783" i="1"/>
  <c r="E783" i="1"/>
  <c r="I782" i="1"/>
  <c r="E782" i="1"/>
  <c r="I781" i="1"/>
  <c r="E781" i="1"/>
  <c r="I780" i="1"/>
  <c r="E780" i="1"/>
  <c r="I779" i="1"/>
  <c r="E779" i="1"/>
  <c r="I778" i="1"/>
  <c r="E778" i="1"/>
  <c r="I777" i="1"/>
  <c r="E777" i="1"/>
  <c r="I776" i="1"/>
  <c r="E776" i="1"/>
  <c r="I775" i="1"/>
  <c r="E775" i="1"/>
  <c r="I774" i="1"/>
  <c r="E774" i="1"/>
  <c r="I773" i="1"/>
  <c r="E773" i="1"/>
  <c r="I772" i="1"/>
  <c r="E772" i="1"/>
  <c r="I771" i="1"/>
  <c r="E771" i="1"/>
  <c r="I770" i="1"/>
  <c r="E770" i="1"/>
  <c r="I769" i="1"/>
  <c r="E769" i="1"/>
  <c r="I768" i="1"/>
  <c r="E768" i="1"/>
  <c r="I767" i="1"/>
  <c r="E767" i="1"/>
  <c r="I766" i="1"/>
  <c r="E766" i="1"/>
  <c r="I765" i="1"/>
  <c r="E765" i="1"/>
  <c r="I764" i="1"/>
  <c r="E764" i="1"/>
  <c r="I763" i="1"/>
  <c r="E763" i="1"/>
  <c r="I762" i="1"/>
  <c r="E762" i="1"/>
  <c r="I760" i="1"/>
  <c r="E760" i="1"/>
  <c r="I758" i="1"/>
  <c r="E758" i="1"/>
  <c r="I757" i="1"/>
  <c r="E757" i="1"/>
  <c r="I756" i="1"/>
  <c r="E756" i="1"/>
  <c r="I755" i="1"/>
  <c r="E755" i="1"/>
  <c r="I754" i="1"/>
  <c r="E754" i="1"/>
  <c r="I753" i="1"/>
  <c r="E753" i="1"/>
  <c r="I752" i="1"/>
  <c r="E752" i="1"/>
  <c r="I751" i="1"/>
  <c r="E751" i="1"/>
  <c r="T742" i="1"/>
  <c r="P742" i="1"/>
  <c r="S786" i="1"/>
  <c r="R786" i="1"/>
  <c r="Q786" i="1"/>
  <c r="O786" i="1"/>
  <c r="N786" i="1"/>
  <c r="M786" i="1"/>
  <c r="T781" i="1"/>
  <c r="P781" i="1"/>
  <c r="T780" i="1"/>
  <c r="P780" i="1"/>
  <c r="T779" i="1"/>
  <c r="P779" i="1"/>
  <c r="T778" i="1"/>
  <c r="P778" i="1"/>
  <c r="T777" i="1"/>
  <c r="P777" i="1"/>
  <c r="T774" i="1"/>
  <c r="P774" i="1"/>
  <c r="T773" i="1"/>
  <c r="P773" i="1"/>
  <c r="T772" i="1"/>
  <c r="P772" i="1"/>
  <c r="T771" i="1"/>
  <c r="P771" i="1"/>
  <c r="T770" i="1"/>
  <c r="P770" i="1"/>
  <c r="T769" i="1"/>
  <c r="P769" i="1"/>
  <c r="T768" i="1"/>
  <c r="P768" i="1"/>
  <c r="T767" i="1"/>
  <c r="P767" i="1"/>
  <c r="T766" i="1"/>
  <c r="P766" i="1"/>
  <c r="T764" i="1"/>
  <c r="P764" i="1"/>
  <c r="T763" i="1"/>
  <c r="P763" i="1"/>
  <c r="T762" i="1"/>
  <c r="P762" i="1"/>
  <c r="T761" i="1"/>
  <c r="P761" i="1"/>
  <c r="T760" i="1"/>
  <c r="P760" i="1"/>
  <c r="T758" i="1"/>
  <c r="P758" i="1"/>
  <c r="T757" i="1"/>
  <c r="P757" i="1"/>
  <c r="T756" i="1"/>
  <c r="P756" i="1"/>
  <c r="T755" i="1"/>
  <c r="P755" i="1"/>
  <c r="T754" i="1"/>
  <c r="P754" i="1"/>
  <c r="T753" i="1"/>
  <c r="P753" i="1"/>
  <c r="H786" i="4"/>
  <c r="G786" i="4"/>
  <c r="F786" i="4"/>
  <c r="D786" i="4"/>
  <c r="C786" i="4"/>
  <c r="B786" i="4"/>
  <c r="I785" i="4"/>
  <c r="E785" i="4"/>
  <c r="I784" i="4"/>
  <c r="E784" i="4"/>
  <c r="I783" i="4"/>
  <c r="E783" i="4"/>
  <c r="I782" i="4"/>
  <c r="E782" i="4"/>
  <c r="I781" i="4"/>
  <c r="E781" i="4"/>
  <c r="I780" i="4"/>
  <c r="E780" i="4"/>
  <c r="I779" i="4"/>
  <c r="E779" i="4"/>
  <c r="I778" i="4"/>
  <c r="E778" i="4"/>
  <c r="I777" i="4"/>
  <c r="E777" i="4"/>
  <c r="I776" i="4"/>
  <c r="E776" i="4"/>
  <c r="I775" i="4"/>
  <c r="E775" i="4"/>
  <c r="I774" i="4"/>
  <c r="E774" i="4"/>
  <c r="I773" i="4"/>
  <c r="E773" i="4"/>
  <c r="I772" i="4"/>
  <c r="E772" i="4"/>
  <c r="I771" i="4"/>
  <c r="E771" i="4"/>
  <c r="I770" i="4"/>
  <c r="E770" i="4"/>
  <c r="I769" i="4"/>
  <c r="E769" i="4"/>
  <c r="I768" i="4"/>
  <c r="E768" i="4"/>
  <c r="I767" i="4"/>
  <c r="E767" i="4"/>
  <c r="I766" i="4"/>
  <c r="E766" i="4"/>
  <c r="I765" i="4"/>
  <c r="E765" i="4"/>
  <c r="I764" i="4"/>
  <c r="E764" i="4"/>
  <c r="I763" i="4"/>
  <c r="E763" i="4"/>
  <c r="I762" i="4"/>
  <c r="E762" i="4"/>
  <c r="I761" i="4"/>
  <c r="E761" i="4"/>
  <c r="I760" i="4"/>
  <c r="E760" i="4"/>
  <c r="I758" i="4"/>
  <c r="E758" i="4"/>
  <c r="I757" i="4"/>
  <c r="E757" i="4"/>
  <c r="I756" i="4"/>
  <c r="E756" i="4"/>
  <c r="I755" i="4"/>
  <c r="E755" i="4"/>
  <c r="I754" i="4"/>
  <c r="E754" i="4"/>
  <c r="I753" i="4"/>
  <c r="E753" i="4"/>
  <c r="I752" i="4"/>
  <c r="E752" i="4"/>
  <c r="I751" i="4"/>
  <c r="E751" i="4"/>
  <c r="T742" i="4"/>
  <c r="P742" i="4"/>
  <c r="S786" i="4"/>
  <c r="R786" i="4"/>
  <c r="Q786" i="4"/>
  <c r="O786" i="4"/>
  <c r="N786" i="4"/>
  <c r="M786" i="4"/>
  <c r="T784" i="4"/>
  <c r="P784" i="4"/>
  <c r="T782" i="4"/>
  <c r="P782" i="4"/>
  <c r="T781" i="4"/>
  <c r="P781" i="4"/>
  <c r="T780" i="4"/>
  <c r="P780" i="4"/>
  <c r="T779" i="4"/>
  <c r="P779" i="4"/>
  <c r="T778" i="4"/>
  <c r="P778" i="4"/>
  <c r="T777" i="4"/>
  <c r="P777" i="4"/>
  <c r="T775" i="4"/>
  <c r="P775" i="4"/>
  <c r="T774" i="4"/>
  <c r="P774" i="4"/>
  <c r="T773" i="4"/>
  <c r="P773" i="4"/>
  <c r="T772" i="4"/>
  <c r="P772" i="4"/>
  <c r="T771" i="4"/>
  <c r="P771" i="4"/>
  <c r="T770" i="4"/>
  <c r="P770" i="4"/>
  <c r="T769" i="4"/>
  <c r="P769" i="4"/>
  <c r="T768" i="4"/>
  <c r="P768" i="4"/>
  <c r="T766" i="4"/>
  <c r="P766" i="4"/>
  <c r="T765" i="4"/>
  <c r="P765" i="4"/>
  <c r="T764" i="4"/>
  <c r="P764" i="4"/>
  <c r="T763" i="4"/>
  <c r="P763" i="4"/>
  <c r="T762" i="4"/>
  <c r="P762" i="4"/>
  <c r="T761" i="4"/>
  <c r="P761" i="4"/>
  <c r="T760" i="4"/>
  <c r="P760" i="4"/>
  <c r="T758" i="4"/>
  <c r="P758" i="4"/>
  <c r="T757" i="4"/>
  <c r="P757" i="4"/>
  <c r="T756" i="4"/>
  <c r="P756" i="4"/>
  <c r="T755" i="4"/>
  <c r="P755" i="4"/>
  <c r="T754" i="4"/>
  <c r="P754" i="4"/>
  <c r="T753" i="4"/>
  <c r="P753" i="4"/>
  <c r="T752" i="4"/>
  <c r="P752" i="4"/>
  <c r="T751" i="4"/>
  <c r="P751" i="4"/>
  <c r="J767" i="4" l="1"/>
  <c r="J779" i="4"/>
  <c r="J764" i="1"/>
  <c r="J776" i="1"/>
  <c r="J765" i="1"/>
  <c r="J771" i="1"/>
  <c r="J777" i="1"/>
  <c r="U781" i="4"/>
  <c r="U784" i="4"/>
  <c r="J783" i="1"/>
  <c r="J757" i="4"/>
  <c r="J770" i="4"/>
  <c r="J761" i="4"/>
  <c r="J773" i="4"/>
  <c r="J770" i="1"/>
  <c r="J782" i="1"/>
  <c r="J776" i="4"/>
  <c r="J764" i="4"/>
  <c r="J756" i="1"/>
  <c r="J784" i="1"/>
  <c r="U742" i="4"/>
  <c r="U755" i="1"/>
  <c r="U771" i="1"/>
  <c r="J758" i="4"/>
  <c r="J762" i="4"/>
  <c r="J765" i="4"/>
  <c r="J768" i="4"/>
  <c r="J771" i="4"/>
  <c r="J774" i="4"/>
  <c r="J777" i="4"/>
  <c r="J780" i="4"/>
  <c r="J783" i="4"/>
  <c r="J758" i="1"/>
  <c r="U777" i="1"/>
  <c r="U742" i="1"/>
  <c r="J763" i="1"/>
  <c r="J769" i="1"/>
  <c r="J775" i="1"/>
  <c r="J751" i="1"/>
  <c r="J757" i="1"/>
  <c r="J782" i="4"/>
  <c r="U756" i="1"/>
  <c r="J762" i="1"/>
  <c r="J768" i="1"/>
  <c r="U762" i="4"/>
  <c r="U765" i="4"/>
  <c r="U768" i="4"/>
  <c r="U771" i="4"/>
  <c r="U774" i="4"/>
  <c r="U777" i="4"/>
  <c r="U780" i="4"/>
  <c r="J763" i="4"/>
  <c r="J766" i="4"/>
  <c r="J769" i="4"/>
  <c r="J772" i="4"/>
  <c r="J775" i="4"/>
  <c r="J778" i="4"/>
  <c r="J781" i="4"/>
  <c r="J784" i="4"/>
  <c r="U758" i="1"/>
  <c r="U780" i="1"/>
  <c r="J781" i="1"/>
  <c r="J774" i="1"/>
  <c r="U753" i="1"/>
  <c r="U763" i="1"/>
  <c r="U769" i="1"/>
  <c r="U781" i="1"/>
  <c r="J755" i="1"/>
  <c r="J766" i="1"/>
  <c r="J772" i="1"/>
  <c r="J778" i="1"/>
  <c r="J780" i="1"/>
  <c r="T786" i="4"/>
  <c r="T786" i="1"/>
  <c r="J767" i="1"/>
  <c r="J773" i="1"/>
  <c r="J779" i="1"/>
  <c r="J785" i="1"/>
  <c r="I786" i="1"/>
  <c r="U757" i="1"/>
  <c r="U761" i="1"/>
  <c r="U767" i="1"/>
  <c r="U773" i="1"/>
  <c r="U779" i="1"/>
  <c r="J753" i="1"/>
  <c r="J760" i="1"/>
  <c r="E786" i="1"/>
  <c r="J754" i="1"/>
  <c r="J752" i="1"/>
  <c r="U760" i="1"/>
  <c r="U766" i="1"/>
  <c r="U772" i="1"/>
  <c r="U778" i="1"/>
  <c r="U764" i="1"/>
  <c r="U770" i="1"/>
  <c r="U762" i="1"/>
  <c r="U768" i="1"/>
  <c r="U774" i="1"/>
  <c r="P786" i="1"/>
  <c r="U754" i="1"/>
  <c r="I786" i="4"/>
  <c r="J785" i="4"/>
  <c r="E786" i="4"/>
  <c r="J760" i="4"/>
  <c r="J751" i="4"/>
  <c r="J754" i="4"/>
  <c r="J752" i="4"/>
  <c r="J755" i="4"/>
  <c r="J753" i="4"/>
  <c r="J756" i="4"/>
  <c r="U753" i="4"/>
  <c r="U756" i="4"/>
  <c r="U751" i="4"/>
  <c r="U754" i="4"/>
  <c r="U757" i="4"/>
  <c r="U752" i="4"/>
  <c r="U755" i="4"/>
  <c r="U758" i="4"/>
  <c r="U760" i="4"/>
  <c r="U763" i="4"/>
  <c r="U766" i="4"/>
  <c r="U769" i="4"/>
  <c r="U772" i="4"/>
  <c r="U775" i="4"/>
  <c r="U778" i="4"/>
  <c r="U761" i="4"/>
  <c r="U764" i="4"/>
  <c r="U770" i="4"/>
  <c r="U773" i="4"/>
  <c r="U779" i="4"/>
  <c r="P786" i="4"/>
  <c r="U782" i="4"/>
  <c r="E742" i="1"/>
  <c r="I742" i="1"/>
  <c r="U786" i="4" l="1"/>
  <c r="J786" i="1"/>
  <c r="J742" i="1"/>
  <c r="J786" i="4"/>
  <c r="U786" i="1"/>
  <c r="T739" i="1"/>
  <c r="P739" i="1"/>
  <c r="P633" i="4"/>
  <c r="T633" i="4"/>
  <c r="T674" i="4"/>
  <c r="P674" i="4"/>
  <c r="P655" i="4"/>
  <c r="T655" i="4"/>
  <c r="P656" i="4"/>
  <c r="T656" i="4"/>
  <c r="T699" i="4"/>
  <c r="P699" i="4"/>
  <c r="T698" i="4"/>
  <c r="P698" i="4"/>
  <c r="P667" i="4"/>
  <c r="T667" i="4"/>
  <c r="S743" i="4"/>
  <c r="R743" i="4"/>
  <c r="Q743" i="4"/>
  <c r="O743" i="4"/>
  <c r="N743" i="4"/>
  <c r="M743" i="4"/>
  <c r="H743" i="4"/>
  <c r="G743" i="4"/>
  <c r="F743" i="4"/>
  <c r="D743" i="4"/>
  <c r="C743" i="4"/>
  <c r="B743" i="4"/>
  <c r="I742" i="4"/>
  <c r="E742" i="4"/>
  <c r="T741" i="4"/>
  <c r="P741" i="4"/>
  <c r="I741" i="4"/>
  <c r="E741" i="4"/>
  <c r="T740" i="4"/>
  <c r="P740" i="4"/>
  <c r="I740" i="4"/>
  <c r="E740" i="4"/>
  <c r="T739" i="4"/>
  <c r="P739" i="4"/>
  <c r="I739" i="4"/>
  <c r="E739" i="4"/>
  <c r="T738" i="4"/>
  <c r="P738" i="4"/>
  <c r="I738" i="4"/>
  <c r="E738" i="4"/>
  <c r="T737" i="4"/>
  <c r="P737" i="4"/>
  <c r="I737" i="4"/>
  <c r="E737" i="4"/>
  <c r="T736" i="4"/>
  <c r="P736" i="4"/>
  <c r="I736" i="4"/>
  <c r="E736" i="4"/>
  <c r="T735" i="4"/>
  <c r="P735" i="4"/>
  <c r="I735" i="4"/>
  <c r="E735" i="4"/>
  <c r="T734" i="4"/>
  <c r="P734" i="4"/>
  <c r="I734" i="4"/>
  <c r="E734" i="4"/>
  <c r="T733" i="4"/>
  <c r="P733" i="4"/>
  <c r="I733" i="4"/>
  <c r="E733" i="4"/>
  <c r="T732" i="4"/>
  <c r="P732" i="4"/>
  <c r="I732" i="4"/>
  <c r="E732" i="4"/>
  <c r="T731" i="4"/>
  <c r="P731" i="4"/>
  <c r="I731" i="4"/>
  <c r="E731" i="4"/>
  <c r="T730" i="4"/>
  <c r="P730" i="4"/>
  <c r="I730" i="4"/>
  <c r="E730" i="4"/>
  <c r="T729" i="4"/>
  <c r="P729" i="4"/>
  <c r="I729" i="4"/>
  <c r="E729" i="4"/>
  <c r="T728" i="4"/>
  <c r="P728" i="4"/>
  <c r="I728" i="4"/>
  <c r="E728" i="4"/>
  <c r="T727" i="4"/>
  <c r="P727" i="4"/>
  <c r="I727" i="4"/>
  <c r="E727" i="4"/>
  <c r="T726" i="4"/>
  <c r="P726" i="4"/>
  <c r="I726" i="4"/>
  <c r="E726" i="4"/>
  <c r="T725" i="4"/>
  <c r="P725" i="4"/>
  <c r="I725" i="4"/>
  <c r="E725" i="4"/>
  <c r="T724" i="4"/>
  <c r="P724" i="4"/>
  <c r="I724" i="4"/>
  <c r="E724" i="4"/>
  <c r="T723" i="4"/>
  <c r="P723" i="4"/>
  <c r="I723" i="4"/>
  <c r="E723" i="4"/>
  <c r="T722" i="4"/>
  <c r="P722" i="4"/>
  <c r="I722" i="4"/>
  <c r="E722" i="4"/>
  <c r="T721" i="4"/>
  <c r="P721" i="4"/>
  <c r="I721" i="4"/>
  <c r="E721" i="4"/>
  <c r="T720" i="4"/>
  <c r="P720" i="4"/>
  <c r="I720" i="4"/>
  <c r="E720" i="4"/>
  <c r="T719" i="4"/>
  <c r="P719" i="4"/>
  <c r="I719" i="4"/>
  <c r="E719" i="4"/>
  <c r="T718" i="4"/>
  <c r="P718" i="4"/>
  <c r="I718" i="4"/>
  <c r="E718" i="4"/>
  <c r="T717" i="4"/>
  <c r="P717" i="4"/>
  <c r="I717" i="4"/>
  <c r="E717" i="4"/>
  <c r="T715" i="4"/>
  <c r="P715" i="4"/>
  <c r="I715" i="4"/>
  <c r="E715" i="4"/>
  <c r="T714" i="4"/>
  <c r="P714" i="4"/>
  <c r="I714" i="4"/>
  <c r="E714" i="4"/>
  <c r="T713" i="4"/>
  <c r="P713" i="4"/>
  <c r="I713" i="4"/>
  <c r="E713" i="4"/>
  <c r="T712" i="4"/>
  <c r="P712" i="4"/>
  <c r="I712" i="4"/>
  <c r="E712" i="4"/>
  <c r="T711" i="4"/>
  <c r="P711" i="4"/>
  <c r="I711" i="4"/>
  <c r="E711" i="4"/>
  <c r="T710" i="4"/>
  <c r="P710" i="4"/>
  <c r="I710" i="4"/>
  <c r="E710" i="4"/>
  <c r="T709" i="4"/>
  <c r="P709" i="4"/>
  <c r="I709" i="4"/>
  <c r="E709" i="4"/>
  <c r="T708" i="4"/>
  <c r="P708" i="4"/>
  <c r="I708" i="4"/>
  <c r="E708" i="4"/>
  <c r="P655" i="1"/>
  <c r="T655" i="1"/>
  <c r="P656" i="1"/>
  <c r="T656" i="1"/>
  <c r="T699" i="1"/>
  <c r="P699" i="1"/>
  <c r="T698" i="1"/>
  <c r="P698" i="1"/>
  <c r="P633" i="1"/>
  <c r="T633" i="1"/>
  <c r="T674" i="1"/>
  <c r="P674" i="1"/>
  <c r="P667" i="1"/>
  <c r="T667" i="1"/>
  <c r="P668" i="1"/>
  <c r="T668" i="1"/>
  <c r="P669" i="1"/>
  <c r="T669" i="1"/>
  <c r="P670" i="1"/>
  <c r="T670" i="1"/>
  <c r="S743" i="1"/>
  <c r="R743" i="1"/>
  <c r="Q743" i="1"/>
  <c r="O743" i="1"/>
  <c r="N743" i="1"/>
  <c r="M743" i="1"/>
  <c r="H743" i="1"/>
  <c r="G743" i="1"/>
  <c r="F743" i="1"/>
  <c r="D743" i="1"/>
  <c r="C743" i="1"/>
  <c r="B743" i="1"/>
  <c r="T741" i="1"/>
  <c r="P741" i="1"/>
  <c r="I741" i="1"/>
  <c r="E741" i="1"/>
  <c r="T740" i="1"/>
  <c r="P740" i="1"/>
  <c r="I740" i="1"/>
  <c r="E740" i="1"/>
  <c r="I739" i="1"/>
  <c r="E739" i="1"/>
  <c r="T738" i="1"/>
  <c r="P738" i="1"/>
  <c r="I738" i="1"/>
  <c r="E738" i="1"/>
  <c r="T737" i="1"/>
  <c r="P737" i="1"/>
  <c r="I737" i="1"/>
  <c r="E737" i="1"/>
  <c r="T736" i="1"/>
  <c r="P736" i="1"/>
  <c r="I736" i="1"/>
  <c r="E736" i="1"/>
  <c r="T735" i="1"/>
  <c r="P735" i="1"/>
  <c r="I735" i="1"/>
  <c r="E735" i="1"/>
  <c r="T734" i="1"/>
  <c r="P734" i="1"/>
  <c r="I734" i="1"/>
  <c r="E734" i="1"/>
  <c r="T733" i="1"/>
  <c r="P733" i="1"/>
  <c r="I733" i="1"/>
  <c r="E733" i="1"/>
  <c r="T732" i="1"/>
  <c r="P732" i="1"/>
  <c r="I732" i="1"/>
  <c r="E732" i="1"/>
  <c r="T731" i="1"/>
  <c r="P731" i="1"/>
  <c r="I731" i="1"/>
  <c r="E731" i="1"/>
  <c r="T730" i="1"/>
  <c r="P730" i="1"/>
  <c r="I730" i="1"/>
  <c r="E730" i="1"/>
  <c r="T729" i="1"/>
  <c r="P729" i="1"/>
  <c r="I729" i="1"/>
  <c r="E729" i="1"/>
  <c r="T728" i="1"/>
  <c r="P728" i="1"/>
  <c r="I728" i="1"/>
  <c r="E728" i="1"/>
  <c r="T727" i="1"/>
  <c r="P727" i="1"/>
  <c r="I727" i="1"/>
  <c r="E727" i="1"/>
  <c r="T726" i="1"/>
  <c r="P726" i="1"/>
  <c r="I726" i="1"/>
  <c r="E726" i="1"/>
  <c r="T725" i="1"/>
  <c r="P725" i="1"/>
  <c r="I725" i="1"/>
  <c r="E725" i="1"/>
  <c r="T724" i="1"/>
  <c r="P724" i="1"/>
  <c r="I724" i="1"/>
  <c r="E724" i="1"/>
  <c r="T723" i="1"/>
  <c r="P723" i="1"/>
  <c r="I723" i="1"/>
  <c r="E723" i="1"/>
  <c r="T722" i="1"/>
  <c r="P722" i="1"/>
  <c r="I722" i="1"/>
  <c r="E722" i="1"/>
  <c r="T721" i="1"/>
  <c r="P721" i="1"/>
  <c r="I721" i="1"/>
  <c r="E721" i="1"/>
  <c r="T720" i="1"/>
  <c r="P720" i="1"/>
  <c r="I720" i="1"/>
  <c r="E720" i="1"/>
  <c r="T719" i="1"/>
  <c r="P719" i="1"/>
  <c r="I719" i="1"/>
  <c r="E719" i="1"/>
  <c r="T718" i="1"/>
  <c r="P718" i="1"/>
  <c r="I718" i="1"/>
  <c r="E718" i="1"/>
  <c r="T717" i="1"/>
  <c r="P717" i="1"/>
  <c r="I717" i="1"/>
  <c r="E717" i="1"/>
  <c r="T715" i="1"/>
  <c r="P715" i="1"/>
  <c r="I715" i="1"/>
  <c r="E715" i="1"/>
  <c r="T714" i="1"/>
  <c r="P714" i="1"/>
  <c r="I714" i="1"/>
  <c r="E714" i="1"/>
  <c r="T713" i="1"/>
  <c r="P713" i="1"/>
  <c r="I713" i="1"/>
  <c r="E713" i="1"/>
  <c r="T712" i="1"/>
  <c r="P712" i="1"/>
  <c r="I712" i="1"/>
  <c r="E712" i="1"/>
  <c r="T711" i="1"/>
  <c r="P711" i="1"/>
  <c r="I711" i="1"/>
  <c r="E711" i="1"/>
  <c r="T710" i="1"/>
  <c r="P710" i="1"/>
  <c r="I710" i="1"/>
  <c r="E710" i="1"/>
  <c r="T709" i="1"/>
  <c r="P709" i="1"/>
  <c r="T708" i="1"/>
  <c r="P708" i="1"/>
  <c r="I708" i="1"/>
  <c r="E708" i="1"/>
  <c r="U739" i="1" l="1"/>
  <c r="J713" i="1"/>
  <c r="J720" i="1"/>
  <c r="J726" i="1"/>
  <c r="J732" i="1"/>
  <c r="J738" i="1"/>
  <c r="U656" i="1"/>
  <c r="J710" i="4"/>
  <c r="U711" i="4"/>
  <c r="J717" i="4"/>
  <c r="U718" i="4"/>
  <c r="J723" i="4"/>
  <c r="U724" i="4"/>
  <c r="J729" i="4"/>
  <c r="U730" i="4"/>
  <c r="J735" i="4"/>
  <c r="U736" i="4"/>
  <c r="J741" i="4"/>
  <c r="U699" i="4"/>
  <c r="U674" i="4"/>
  <c r="J715" i="1"/>
  <c r="J722" i="1"/>
  <c r="J728" i="1"/>
  <c r="J734" i="1"/>
  <c r="J740" i="1"/>
  <c r="U670" i="1"/>
  <c r="U655" i="1"/>
  <c r="J712" i="4"/>
  <c r="U713" i="4"/>
  <c r="J719" i="4"/>
  <c r="U720" i="4"/>
  <c r="J725" i="4"/>
  <c r="U726" i="4"/>
  <c r="J731" i="4"/>
  <c r="U732" i="4"/>
  <c r="J737" i="4"/>
  <c r="U738" i="4"/>
  <c r="U655" i="4"/>
  <c r="U656" i="4"/>
  <c r="U633" i="1"/>
  <c r="J711" i="1"/>
  <c r="J718" i="1"/>
  <c r="J724" i="1"/>
  <c r="J730" i="1"/>
  <c r="J736" i="1"/>
  <c r="J708" i="4"/>
  <c r="U709" i="4"/>
  <c r="J714" i="4"/>
  <c r="U715" i="4"/>
  <c r="J721" i="4"/>
  <c r="U722" i="4"/>
  <c r="J727" i="4"/>
  <c r="U728" i="4"/>
  <c r="J733" i="4"/>
  <c r="U734" i="4"/>
  <c r="J739" i="4"/>
  <c r="U633" i="4"/>
  <c r="U669" i="1"/>
  <c r="U667" i="4"/>
  <c r="U668" i="1"/>
  <c r="E743" i="4"/>
  <c r="U708" i="1"/>
  <c r="U710" i="1"/>
  <c r="U712" i="1"/>
  <c r="U714" i="1"/>
  <c r="U717" i="1"/>
  <c r="U719" i="1"/>
  <c r="U721" i="1"/>
  <c r="U723" i="1"/>
  <c r="U725" i="1"/>
  <c r="U727" i="1"/>
  <c r="U729" i="1"/>
  <c r="U731" i="1"/>
  <c r="U733" i="1"/>
  <c r="U735" i="1"/>
  <c r="U737" i="1"/>
  <c r="U667" i="1"/>
  <c r="U699" i="1"/>
  <c r="U741" i="1"/>
  <c r="P743" i="1"/>
  <c r="T743" i="4"/>
  <c r="T743" i="1"/>
  <c r="U740" i="4"/>
  <c r="P743" i="4"/>
  <c r="I743" i="1"/>
  <c r="U698" i="1"/>
  <c r="U698" i="4"/>
  <c r="U709" i="1"/>
  <c r="U711" i="1"/>
  <c r="U713" i="1"/>
  <c r="U715" i="1"/>
  <c r="U718" i="1"/>
  <c r="U720" i="1"/>
  <c r="U722" i="1"/>
  <c r="U724" i="1"/>
  <c r="U726" i="1"/>
  <c r="U728" i="1"/>
  <c r="U730" i="1"/>
  <c r="U732" i="1"/>
  <c r="U734" i="1"/>
  <c r="U736" i="1"/>
  <c r="U738" i="1"/>
  <c r="U740" i="1"/>
  <c r="U674" i="1"/>
  <c r="U708" i="4"/>
  <c r="U710" i="4"/>
  <c r="U712" i="4"/>
  <c r="U714" i="4"/>
  <c r="U717" i="4"/>
  <c r="U719" i="4"/>
  <c r="U721" i="4"/>
  <c r="U723" i="4"/>
  <c r="U725" i="4"/>
  <c r="U727" i="4"/>
  <c r="U729" i="4"/>
  <c r="U731" i="4"/>
  <c r="U733" i="4"/>
  <c r="U735" i="4"/>
  <c r="U737" i="4"/>
  <c r="U739" i="4"/>
  <c r="U741" i="4"/>
  <c r="I743" i="4"/>
  <c r="J708" i="1"/>
  <c r="J710" i="1"/>
  <c r="J712" i="1"/>
  <c r="J714" i="1"/>
  <c r="J717" i="1"/>
  <c r="J719" i="1"/>
  <c r="J721" i="1"/>
  <c r="J723" i="1"/>
  <c r="J725" i="1"/>
  <c r="J727" i="1"/>
  <c r="J729" i="1"/>
  <c r="J731" i="1"/>
  <c r="J733" i="1"/>
  <c r="J735" i="1"/>
  <c r="J737" i="1"/>
  <c r="J739" i="1"/>
  <c r="J741" i="1"/>
  <c r="E743" i="1"/>
  <c r="J709" i="4"/>
  <c r="J711" i="4"/>
  <c r="J713" i="4"/>
  <c r="J715" i="4"/>
  <c r="J718" i="4"/>
  <c r="J720" i="4"/>
  <c r="J722" i="4"/>
  <c r="J724" i="4"/>
  <c r="J726" i="4"/>
  <c r="J728" i="4"/>
  <c r="J730" i="4"/>
  <c r="J732" i="4"/>
  <c r="J734" i="4"/>
  <c r="J736" i="4"/>
  <c r="J738" i="4"/>
  <c r="J740" i="4"/>
  <c r="J742" i="4"/>
  <c r="P613" i="1"/>
  <c r="J743" i="4" l="1"/>
  <c r="J743" i="1"/>
  <c r="U743" i="1"/>
  <c r="U743" i="4"/>
  <c r="T624" i="1"/>
  <c r="P624" i="1"/>
  <c r="U624" i="1" l="1"/>
  <c r="S700" i="4"/>
  <c r="R700" i="4"/>
  <c r="Q700" i="4"/>
  <c r="O700" i="4"/>
  <c r="N700" i="4"/>
  <c r="M700" i="4"/>
  <c r="H700" i="4"/>
  <c r="G700" i="4"/>
  <c r="F700" i="4"/>
  <c r="D700" i="4"/>
  <c r="C700" i="4"/>
  <c r="B700" i="4"/>
  <c r="I699" i="4"/>
  <c r="E699" i="4"/>
  <c r="I698" i="4"/>
  <c r="E698" i="4"/>
  <c r="T697" i="4"/>
  <c r="P697" i="4"/>
  <c r="I697" i="4"/>
  <c r="E697" i="4"/>
  <c r="T696" i="4"/>
  <c r="P696" i="4"/>
  <c r="I696" i="4"/>
  <c r="E696" i="4"/>
  <c r="T695" i="4"/>
  <c r="P695" i="4"/>
  <c r="I695" i="4"/>
  <c r="E695" i="4"/>
  <c r="T694" i="4"/>
  <c r="P694" i="4"/>
  <c r="I694" i="4"/>
  <c r="E694" i="4"/>
  <c r="T693" i="4"/>
  <c r="P693" i="4"/>
  <c r="I693" i="4"/>
  <c r="E693" i="4"/>
  <c r="T692" i="4"/>
  <c r="P692" i="4"/>
  <c r="I692" i="4"/>
  <c r="E692" i="4"/>
  <c r="T691" i="4"/>
  <c r="P691" i="4"/>
  <c r="I691" i="4"/>
  <c r="E691" i="4"/>
  <c r="T690" i="4"/>
  <c r="P690" i="4"/>
  <c r="I690" i="4"/>
  <c r="E690" i="4"/>
  <c r="T689" i="4"/>
  <c r="P689" i="4"/>
  <c r="I689" i="4"/>
  <c r="E689" i="4"/>
  <c r="T688" i="4"/>
  <c r="P688" i="4"/>
  <c r="I688" i="4"/>
  <c r="E688" i="4"/>
  <c r="T687" i="4"/>
  <c r="P687" i="4"/>
  <c r="I687" i="4"/>
  <c r="E687" i="4"/>
  <c r="T686" i="4"/>
  <c r="P686" i="4"/>
  <c r="I686" i="4"/>
  <c r="E686" i="4"/>
  <c r="T685" i="4"/>
  <c r="P685" i="4"/>
  <c r="I685" i="4"/>
  <c r="E685" i="4"/>
  <c r="T684" i="4"/>
  <c r="P684" i="4"/>
  <c r="I684" i="4"/>
  <c r="E684" i="4"/>
  <c r="T683" i="4"/>
  <c r="P683" i="4"/>
  <c r="I683" i="4"/>
  <c r="E683" i="4"/>
  <c r="T682" i="4"/>
  <c r="P682" i="4"/>
  <c r="I682" i="4"/>
  <c r="E682" i="4"/>
  <c r="T681" i="4"/>
  <c r="P681" i="4"/>
  <c r="I681" i="4"/>
  <c r="E681" i="4"/>
  <c r="T680" i="4"/>
  <c r="P680" i="4"/>
  <c r="I680" i="4"/>
  <c r="E680" i="4"/>
  <c r="T679" i="4"/>
  <c r="P679" i="4"/>
  <c r="I679" i="4"/>
  <c r="E679" i="4"/>
  <c r="T678" i="4"/>
  <c r="P678" i="4"/>
  <c r="I678" i="4"/>
  <c r="E678" i="4"/>
  <c r="T677" i="4"/>
  <c r="P677" i="4"/>
  <c r="I677" i="4"/>
  <c r="E677" i="4"/>
  <c r="T676" i="4"/>
  <c r="P676" i="4"/>
  <c r="I676" i="4"/>
  <c r="E676" i="4"/>
  <c r="T675" i="4"/>
  <c r="P675" i="4"/>
  <c r="I675" i="4"/>
  <c r="E675" i="4"/>
  <c r="I674" i="4"/>
  <c r="E674" i="4"/>
  <c r="T672" i="4"/>
  <c r="P672" i="4"/>
  <c r="I672" i="4"/>
  <c r="E672" i="4"/>
  <c r="T671" i="4"/>
  <c r="P671" i="4"/>
  <c r="I671" i="4"/>
  <c r="E671" i="4"/>
  <c r="T670" i="4"/>
  <c r="P670" i="4"/>
  <c r="I670" i="4"/>
  <c r="E670" i="4"/>
  <c r="T669" i="4"/>
  <c r="P669" i="4"/>
  <c r="I669" i="4"/>
  <c r="E669" i="4"/>
  <c r="T668" i="4"/>
  <c r="P668" i="4"/>
  <c r="I668" i="4"/>
  <c r="E668" i="4"/>
  <c r="I667" i="4"/>
  <c r="E667" i="4"/>
  <c r="T666" i="4"/>
  <c r="P666" i="4"/>
  <c r="I666" i="4"/>
  <c r="E666" i="4"/>
  <c r="T665" i="4"/>
  <c r="P665" i="4"/>
  <c r="I665" i="4"/>
  <c r="E665" i="4"/>
  <c r="U665" i="4" l="1"/>
  <c r="J669" i="4"/>
  <c r="U670" i="4"/>
  <c r="J672" i="4"/>
  <c r="J667" i="4"/>
  <c r="U675" i="4"/>
  <c r="J677" i="4"/>
  <c r="J680" i="4"/>
  <c r="U681" i="4"/>
  <c r="J683" i="4"/>
  <c r="U668" i="4"/>
  <c r="J670" i="4"/>
  <c r="U671" i="4"/>
  <c r="J676" i="4"/>
  <c r="J679" i="4"/>
  <c r="J682" i="4"/>
  <c r="J685" i="4"/>
  <c r="J688" i="4"/>
  <c r="U689" i="4"/>
  <c r="J691" i="4"/>
  <c r="U692" i="4"/>
  <c r="J697" i="4"/>
  <c r="U686" i="4"/>
  <c r="J694" i="4"/>
  <c r="U695" i="4"/>
  <c r="U684" i="4"/>
  <c r="U683" i="4"/>
  <c r="U680" i="4"/>
  <c r="J686" i="4"/>
  <c r="U687" i="4"/>
  <c r="J689" i="4"/>
  <c r="U690" i="4"/>
  <c r="J692" i="4"/>
  <c r="U693" i="4"/>
  <c r="J695" i="4"/>
  <c r="U696" i="4"/>
  <c r="J698" i="4"/>
  <c r="U678" i="4"/>
  <c r="U677" i="4"/>
  <c r="J674" i="4"/>
  <c r="J666" i="4"/>
  <c r="E700" i="4"/>
  <c r="P700" i="4"/>
  <c r="I700" i="4"/>
  <c r="T700" i="4"/>
  <c r="J665" i="4"/>
  <c r="U666" i="4"/>
  <c r="J668" i="4"/>
  <c r="U669" i="4"/>
  <c r="J671" i="4"/>
  <c r="U672" i="4"/>
  <c r="J675" i="4"/>
  <c r="U676" i="4"/>
  <c r="J678" i="4"/>
  <c r="U679" i="4"/>
  <c r="J681" i="4"/>
  <c r="U682" i="4"/>
  <c r="J684" i="4"/>
  <c r="U685" i="4"/>
  <c r="J687" i="4"/>
  <c r="U688" i="4"/>
  <c r="J690" i="4"/>
  <c r="U691" i="4"/>
  <c r="J693" i="4"/>
  <c r="U694" i="4"/>
  <c r="J696" i="4"/>
  <c r="U697" i="4"/>
  <c r="J699" i="4"/>
  <c r="S700" i="1"/>
  <c r="R700" i="1"/>
  <c r="Q700" i="1"/>
  <c r="O700" i="1"/>
  <c r="N700" i="1"/>
  <c r="M700" i="1"/>
  <c r="H700" i="1"/>
  <c r="G700" i="1"/>
  <c r="F700" i="1"/>
  <c r="D700" i="1"/>
  <c r="C700" i="1"/>
  <c r="B700" i="1"/>
  <c r="I699" i="1"/>
  <c r="E699" i="1"/>
  <c r="I698" i="1"/>
  <c r="E698" i="1"/>
  <c r="T697" i="1"/>
  <c r="P697" i="1"/>
  <c r="I697" i="1"/>
  <c r="E697" i="1"/>
  <c r="T696" i="1"/>
  <c r="P696" i="1"/>
  <c r="I696" i="1"/>
  <c r="E696" i="1"/>
  <c r="T695" i="1"/>
  <c r="P695" i="1"/>
  <c r="I695" i="1"/>
  <c r="E695" i="1"/>
  <c r="T694" i="1"/>
  <c r="P694" i="1"/>
  <c r="I694" i="1"/>
  <c r="E694" i="1"/>
  <c r="T693" i="1"/>
  <c r="P693" i="1"/>
  <c r="I693" i="1"/>
  <c r="E693" i="1"/>
  <c r="T692" i="1"/>
  <c r="P692" i="1"/>
  <c r="I692" i="1"/>
  <c r="E692" i="1"/>
  <c r="T691" i="1"/>
  <c r="P691" i="1"/>
  <c r="I691" i="1"/>
  <c r="E691" i="1"/>
  <c r="T690" i="1"/>
  <c r="P690" i="1"/>
  <c r="I690" i="1"/>
  <c r="E690" i="1"/>
  <c r="T689" i="1"/>
  <c r="P689" i="1"/>
  <c r="I689" i="1"/>
  <c r="E689" i="1"/>
  <c r="T688" i="1"/>
  <c r="P688" i="1"/>
  <c r="I688" i="1"/>
  <c r="E688" i="1"/>
  <c r="T687" i="1"/>
  <c r="P687" i="1"/>
  <c r="I687" i="1"/>
  <c r="E687" i="1"/>
  <c r="T686" i="1"/>
  <c r="P686" i="1"/>
  <c r="I686" i="1"/>
  <c r="E686" i="1"/>
  <c r="T685" i="1"/>
  <c r="P685" i="1"/>
  <c r="I685" i="1"/>
  <c r="E685" i="1"/>
  <c r="T684" i="1"/>
  <c r="P684" i="1"/>
  <c r="I684" i="1"/>
  <c r="E684" i="1"/>
  <c r="T683" i="1"/>
  <c r="P683" i="1"/>
  <c r="I683" i="1"/>
  <c r="E683" i="1"/>
  <c r="T682" i="1"/>
  <c r="P682" i="1"/>
  <c r="I682" i="1"/>
  <c r="E682" i="1"/>
  <c r="T681" i="1"/>
  <c r="P681" i="1"/>
  <c r="I681" i="1"/>
  <c r="E681" i="1"/>
  <c r="T680" i="1"/>
  <c r="P680" i="1"/>
  <c r="I680" i="1"/>
  <c r="E680" i="1"/>
  <c r="T679" i="1"/>
  <c r="P679" i="1"/>
  <c r="I679" i="1"/>
  <c r="E679" i="1"/>
  <c r="T678" i="1"/>
  <c r="P678" i="1"/>
  <c r="I678" i="1"/>
  <c r="E678" i="1"/>
  <c r="T677" i="1"/>
  <c r="P677" i="1"/>
  <c r="I677" i="1"/>
  <c r="E677" i="1"/>
  <c r="T676" i="1"/>
  <c r="P676" i="1"/>
  <c r="I676" i="1"/>
  <c r="E676" i="1"/>
  <c r="T675" i="1"/>
  <c r="P675" i="1"/>
  <c r="I675" i="1"/>
  <c r="E675" i="1"/>
  <c r="I674" i="1"/>
  <c r="E674" i="1"/>
  <c r="T672" i="1"/>
  <c r="P672" i="1"/>
  <c r="I672" i="1"/>
  <c r="E672" i="1"/>
  <c r="T671" i="1"/>
  <c r="P671" i="1"/>
  <c r="I671" i="1"/>
  <c r="E671" i="1"/>
  <c r="I670" i="1"/>
  <c r="E670" i="1"/>
  <c r="I669" i="1"/>
  <c r="E669" i="1"/>
  <c r="I668" i="1"/>
  <c r="E668" i="1"/>
  <c r="I667" i="1"/>
  <c r="E667" i="1"/>
  <c r="T666" i="1"/>
  <c r="P666" i="1"/>
  <c r="I666" i="1"/>
  <c r="E666" i="1"/>
  <c r="T665" i="1"/>
  <c r="P665" i="1"/>
  <c r="I665" i="1"/>
  <c r="E665" i="1"/>
  <c r="J675" i="1" l="1"/>
  <c r="J668" i="1"/>
  <c r="U672" i="1"/>
  <c r="U679" i="1"/>
  <c r="J681" i="1"/>
  <c r="U685" i="1"/>
  <c r="J687" i="1"/>
  <c r="U691" i="1"/>
  <c r="J693" i="1"/>
  <c r="U697" i="1"/>
  <c r="J699" i="1"/>
  <c r="J700" i="4"/>
  <c r="J665" i="1"/>
  <c r="U676" i="1"/>
  <c r="U682" i="1"/>
  <c r="U688" i="1"/>
  <c r="U694" i="1"/>
  <c r="U666" i="1"/>
  <c r="J671" i="1"/>
  <c r="J678" i="1"/>
  <c r="J684" i="1"/>
  <c r="J690" i="1"/>
  <c r="J696" i="1"/>
  <c r="U700" i="4"/>
  <c r="E700" i="1"/>
  <c r="T700" i="1"/>
  <c r="J666" i="1"/>
  <c r="J669" i="1"/>
  <c r="J672" i="1"/>
  <c r="J676" i="1"/>
  <c r="U677" i="1"/>
  <c r="J679" i="1"/>
  <c r="U680" i="1"/>
  <c r="J682" i="1"/>
  <c r="U683" i="1"/>
  <c r="J685" i="1"/>
  <c r="U686" i="1"/>
  <c r="J688" i="1"/>
  <c r="U689" i="1"/>
  <c r="J691" i="1"/>
  <c r="U692" i="1"/>
  <c r="J694" i="1"/>
  <c r="U695" i="1"/>
  <c r="J697" i="1"/>
  <c r="P700" i="1"/>
  <c r="I700" i="1"/>
  <c r="U665" i="1"/>
  <c r="J667" i="1"/>
  <c r="J670" i="1"/>
  <c r="U671" i="1"/>
  <c r="J674" i="1"/>
  <c r="U675" i="1"/>
  <c r="J677" i="1"/>
  <c r="U678" i="1"/>
  <c r="J680" i="1"/>
  <c r="U681" i="1"/>
  <c r="J683" i="1"/>
  <c r="U684" i="1"/>
  <c r="J686" i="1"/>
  <c r="U687" i="1"/>
  <c r="J689" i="1"/>
  <c r="U690" i="1"/>
  <c r="J692" i="1"/>
  <c r="U693" i="1"/>
  <c r="J695" i="1"/>
  <c r="U696" i="1"/>
  <c r="J698" i="1"/>
  <c r="S657" i="4"/>
  <c r="R657" i="4"/>
  <c r="Q657" i="4"/>
  <c r="O657" i="4"/>
  <c r="N657" i="4"/>
  <c r="M657" i="4"/>
  <c r="H657" i="4"/>
  <c r="G657" i="4"/>
  <c r="F657" i="4"/>
  <c r="D657" i="4"/>
  <c r="C657" i="4"/>
  <c r="B657" i="4"/>
  <c r="I656" i="4"/>
  <c r="E656" i="4"/>
  <c r="I655" i="4"/>
  <c r="E655" i="4"/>
  <c r="T654" i="4"/>
  <c r="P654" i="4"/>
  <c r="I654" i="4"/>
  <c r="E654" i="4"/>
  <c r="T653" i="4"/>
  <c r="P653" i="4"/>
  <c r="I653" i="4"/>
  <c r="E653" i="4"/>
  <c r="T652" i="4"/>
  <c r="P652" i="4"/>
  <c r="I652" i="4"/>
  <c r="E652" i="4"/>
  <c r="T651" i="4"/>
  <c r="P651" i="4"/>
  <c r="I651" i="4"/>
  <c r="E651" i="4"/>
  <c r="T650" i="4"/>
  <c r="P650" i="4"/>
  <c r="I650" i="4"/>
  <c r="E650" i="4"/>
  <c r="T649" i="4"/>
  <c r="P649" i="4"/>
  <c r="I649" i="4"/>
  <c r="E649" i="4"/>
  <c r="T648" i="4"/>
  <c r="P648" i="4"/>
  <c r="I648" i="4"/>
  <c r="E648" i="4"/>
  <c r="T647" i="4"/>
  <c r="P647" i="4"/>
  <c r="I647" i="4"/>
  <c r="E647" i="4"/>
  <c r="T646" i="4"/>
  <c r="P646" i="4"/>
  <c r="I646" i="4"/>
  <c r="E646" i="4"/>
  <c r="T645" i="4"/>
  <c r="P645" i="4"/>
  <c r="I645" i="4"/>
  <c r="E645" i="4"/>
  <c r="T644" i="4"/>
  <c r="P644" i="4"/>
  <c r="I644" i="4"/>
  <c r="E644" i="4"/>
  <c r="T643" i="4"/>
  <c r="P643" i="4"/>
  <c r="I643" i="4"/>
  <c r="E643" i="4"/>
  <c r="T642" i="4"/>
  <c r="P642" i="4"/>
  <c r="I642" i="4"/>
  <c r="E642" i="4"/>
  <c r="T641" i="4"/>
  <c r="P641" i="4"/>
  <c r="I641" i="4"/>
  <c r="E641" i="4"/>
  <c r="T640" i="4"/>
  <c r="P640" i="4"/>
  <c r="I640" i="4"/>
  <c r="E640" i="4"/>
  <c r="T639" i="4"/>
  <c r="P639" i="4"/>
  <c r="I639" i="4"/>
  <c r="E639" i="4"/>
  <c r="T638" i="4"/>
  <c r="P638" i="4"/>
  <c r="I638" i="4"/>
  <c r="E638" i="4"/>
  <c r="T637" i="4"/>
  <c r="P637" i="4"/>
  <c r="I637" i="4"/>
  <c r="E637" i="4"/>
  <c r="T636" i="4"/>
  <c r="P636" i="4"/>
  <c r="I636" i="4"/>
  <c r="E636" i="4"/>
  <c r="T635" i="4"/>
  <c r="P635" i="4"/>
  <c r="I635" i="4"/>
  <c r="E635" i="4"/>
  <c r="T634" i="4"/>
  <c r="P634" i="4"/>
  <c r="I634" i="4"/>
  <c r="E634" i="4"/>
  <c r="I633" i="4"/>
  <c r="E633" i="4"/>
  <c r="T632" i="4"/>
  <c r="P632" i="4"/>
  <c r="I632" i="4"/>
  <c r="E632" i="4"/>
  <c r="T631" i="4"/>
  <c r="P631" i="4"/>
  <c r="I631" i="4"/>
  <c r="E631" i="4"/>
  <c r="T629" i="4"/>
  <c r="P629" i="4"/>
  <c r="I629" i="4"/>
  <c r="E629" i="4"/>
  <c r="T628" i="4"/>
  <c r="P628" i="4"/>
  <c r="I628" i="4"/>
  <c r="E628" i="4"/>
  <c r="T627" i="4"/>
  <c r="P627" i="4"/>
  <c r="I627" i="4"/>
  <c r="E627" i="4"/>
  <c r="T626" i="4"/>
  <c r="P626" i="4"/>
  <c r="I626" i="4"/>
  <c r="E626" i="4"/>
  <c r="T625" i="4"/>
  <c r="P625" i="4"/>
  <c r="I625" i="4"/>
  <c r="E625" i="4"/>
  <c r="T624" i="4"/>
  <c r="P624" i="4"/>
  <c r="I624" i="4"/>
  <c r="E624" i="4"/>
  <c r="T623" i="4"/>
  <c r="P623" i="4"/>
  <c r="I623" i="4"/>
  <c r="E623" i="4"/>
  <c r="T622" i="4"/>
  <c r="P622" i="4"/>
  <c r="I622" i="4"/>
  <c r="E622" i="4"/>
  <c r="J700" i="1" l="1"/>
  <c r="U700" i="1"/>
  <c r="J627" i="4"/>
  <c r="J640" i="4"/>
  <c r="J643" i="4"/>
  <c r="J646" i="4"/>
  <c r="J649" i="4"/>
  <c r="J652" i="4"/>
  <c r="J655" i="4"/>
  <c r="J626" i="4"/>
  <c r="J629" i="4"/>
  <c r="J639" i="4"/>
  <c r="J642" i="4"/>
  <c r="J645" i="4"/>
  <c r="J648" i="4"/>
  <c r="J651" i="4"/>
  <c r="J654" i="4"/>
  <c r="U626" i="4"/>
  <c r="U629" i="4"/>
  <c r="U636" i="4"/>
  <c r="U639" i="4"/>
  <c r="U642" i="4"/>
  <c r="U645" i="4"/>
  <c r="U648" i="4"/>
  <c r="U651" i="4"/>
  <c r="U654" i="4"/>
  <c r="U623" i="4"/>
  <c r="U624" i="4"/>
  <c r="U627" i="4"/>
  <c r="J628" i="4"/>
  <c r="J638" i="4"/>
  <c r="J641" i="4"/>
  <c r="J644" i="4"/>
  <c r="J647" i="4"/>
  <c r="J650" i="4"/>
  <c r="J653" i="4"/>
  <c r="J656" i="4"/>
  <c r="I657" i="4"/>
  <c r="T657" i="4"/>
  <c r="U622" i="4"/>
  <c r="U625" i="4"/>
  <c r="U628" i="4"/>
  <c r="U632" i="4"/>
  <c r="U635" i="4"/>
  <c r="U638" i="4"/>
  <c r="U641" i="4"/>
  <c r="U644" i="4"/>
  <c r="U647" i="4"/>
  <c r="U650" i="4"/>
  <c r="U653" i="4"/>
  <c r="U631" i="4"/>
  <c r="U634" i="4"/>
  <c r="U637" i="4"/>
  <c r="U640" i="4"/>
  <c r="U643" i="4"/>
  <c r="U646" i="4"/>
  <c r="U649" i="4"/>
  <c r="U652" i="4"/>
  <c r="P657" i="4"/>
  <c r="J632" i="4"/>
  <c r="J635" i="4"/>
  <c r="J631" i="4"/>
  <c r="J634" i="4"/>
  <c r="J637" i="4"/>
  <c r="J633" i="4"/>
  <c r="J636" i="4"/>
  <c r="E657" i="4"/>
  <c r="J624" i="4"/>
  <c r="J623" i="4"/>
  <c r="J622" i="4"/>
  <c r="J625" i="4"/>
  <c r="T623" i="1"/>
  <c r="T622" i="1"/>
  <c r="P622" i="1"/>
  <c r="P623" i="1"/>
  <c r="S657" i="1"/>
  <c r="R657" i="1"/>
  <c r="Q657" i="1"/>
  <c r="O657" i="1"/>
  <c r="N657" i="1"/>
  <c r="M657" i="1"/>
  <c r="H657" i="1"/>
  <c r="G657" i="1"/>
  <c r="F657" i="1"/>
  <c r="D657" i="1"/>
  <c r="C657" i="1"/>
  <c r="B657" i="1"/>
  <c r="I656" i="1"/>
  <c r="E656" i="1"/>
  <c r="I655" i="1"/>
  <c r="E655" i="1"/>
  <c r="T654" i="1"/>
  <c r="P654" i="1"/>
  <c r="I654" i="1"/>
  <c r="E654" i="1"/>
  <c r="T653" i="1"/>
  <c r="P653" i="1"/>
  <c r="I653" i="1"/>
  <c r="E653" i="1"/>
  <c r="T652" i="1"/>
  <c r="P652" i="1"/>
  <c r="I652" i="1"/>
  <c r="E652" i="1"/>
  <c r="T651" i="1"/>
  <c r="P651" i="1"/>
  <c r="I651" i="1"/>
  <c r="E651" i="1"/>
  <c r="T650" i="1"/>
  <c r="P650" i="1"/>
  <c r="I650" i="1"/>
  <c r="E650" i="1"/>
  <c r="T649" i="1"/>
  <c r="P649" i="1"/>
  <c r="I649" i="1"/>
  <c r="E649" i="1"/>
  <c r="T648" i="1"/>
  <c r="P648" i="1"/>
  <c r="I648" i="1"/>
  <c r="E648" i="1"/>
  <c r="T647" i="1"/>
  <c r="P647" i="1"/>
  <c r="I647" i="1"/>
  <c r="E647" i="1"/>
  <c r="T646" i="1"/>
  <c r="P646" i="1"/>
  <c r="I646" i="1"/>
  <c r="E646" i="1"/>
  <c r="T645" i="1"/>
  <c r="P645" i="1"/>
  <c r="I645" i="1"/>
  <c r="E645" i="1"/>
  <c r="T644" i="1"/>
  <c r="P644" i="1"/>
  <c r="I644" i="1"/>
  <c r="E644" i="1"/>
  <c r="T643" i="1"/>
  <c r="P643" i="1"/>
  <c r="I643" i="1"/>
  <c r="E643" i="1"/>
  <c r="T642" i="1"/>
  <c r="P642" i="1"/>
  <c r="I642" i="1"/>
  <c r="E642" i="1"/>
  <c r="T641" i="1"/>
  <c r="P641" i="1"/>
  <c r="I641" i="1"/>
  <c r="E641" i="1"/>
  <c r="T640" i="1"/>
  <c r="P640" i="1"/>
  <c r="I640" i="1"/>
  <c r="E640" i="1"/>
  <c r="T639" i="1"/>
  <c r="P639" i="1"/>
  <c r="I639" i="1"/>
  <c r="E639" i="1"/>
  <c r="T638" i="1"/>
  <c r="P638" i="1"/>
  <c r="I638" i="1"/>
  <c r="E638" i="1"/>
  <c r="T637" i="1"/>
  <c r="P637" i="1"/>
  <c r="I637" i="1"/>
  <c r="E637" i="1"/>
  <c r="T636" i="1"/>
  <c r="P636" i="1"/>
  <c r="I636" i="1"/>
  <c r="E636" i="1"/>
  <c r="T635" i="1"/>
  <c r="P635" i="1"/>
  <c r="I635" i="1"/>
  <c r="E635" i="1"/>
  <c r="T634" i="1"/>
  <c r="P634" i="1"/>
  <c r="I634" i="1"/>
  <c r="E634" i="1"/>
  <c r="I633" i="1"/>
  <c r="E633" i="1"/>
  <c r="T632" i="1"/>
  <c r="P632" i="1"/>
  <c r="I632" i="1"/>
  <c r="E632" i="1"/>
  <c r="T631" i="1"/>
  <c r="P631" i="1"/>
  <c r="I631" i="1"/>
  <c r="E631" i="1"/>
  <c r="T629" i="1"/>
  <c r="P629" i="1"/>
  <c r="I629" i="1"/>
  <c r="E629" i="1"/>
  <c r="T628" i="1"/>
  <c r="P628" i="1"/>
  <c r="I628" i="1"/>
  <c r="E628" i="1"/>
  <c r="T627" i="1"/>
  <c r="P627" i="1"/>
  <c r="I627" i="1"/>
  <c r="E627" i="1"/>
  <c r="T626" i="1"/>
  <c r="P626" i="1"/>
  <c r="I626" i="1"/>
  <c r="E626" i="1"/>
  <c r="T625" i="1"/>
  <c r="P625" i="1"/>
  <c r="I625" i="1"/>
  <c r="E625" i="1"/>
  <c r="I624" i="1"/>
  <c r="E624" i="1"/>
  <c r="I623" i="1"/>
  <c r="E623" i="1"/>
  <c r="I622" i="1"/>
  <c r="E622" i="1"/>
  <c r="J643" i="1" l="1"/>
  <c r="U650" i="1"/>
  <c r="J652" i="1"/>
  <c r="J655" i="1"/>
  <c r="J640" i="1"/>
  <c r="U638" i="1"/>
  <c r="U625" i="1"/>
  <c r="J627" i="1"/>
  <c r="U628" i="1"/>
  <c r="J628" i="1"/>
  <c r="U627" i="1"/>
  <c r="J629" i="1"/>
  <c r="J633" i="1"/>
  <c r="U634" i="1"/>
  <c r="J636" i="1"/>
  <c r="U637" i="1"/>
  <c r="U640" i="1"/>
  <c r="U643" i="1"/>
  <c r="U646" i="1"/>
  <c r="U622" i="1"/>
  <c r="J649" i="1"/>
  <c r="J651" i="1"/>
  <c r="J654" i="1"/>
  <c r="J644" i="1"/>
  <c r="J647" i="1"/>
  <c r="J650" i="1"/>
  <c r="J653" i="1"/>
  <c r="J631" i="1"/>
  <c r="J637" i="1"/>
  <c r="U644" i="1"/>
  <c r="J646" i="1"/>
  <c r="J656" i="1"/>
  <c r="I657" i="1"/>
  <c r="J639" i="1"/>
  <c r="J642" i="1"/>
  <c r="U626" i="1"/>
  <c r="U629" i="1"/>
  <c r="J635" i="1"/>
  <c r="J638" i="1"/>
  <c r="J641" i="1"/>
  <c r="J645" i="1"/>
  <c r="J648" i="1"/>
  <c r="U649" i="1"/>
  <c r="U652" i="1"/>
  <c r="E657" i="1"/>
  <c r="U631" i="1"/>
  <c r="U642" i="1"/>
  <c r="U648" i="1"/>
  <c r="U654" i="1"/>
  <c r="J657" i="4"/>
  <c r="J632" i="1"/>
  <c r="J624" i="1"/>
  <c r="U632" i="1"/>
  <c r="U635" i="1"/>
  <c r="U639" i="1"/>
  <c r="U645" i="1"/>
  <c r="U651" i="1"/>
  <c r="U657" i="4"/>
  <c r="T657" i="1"/>
  <c r="U623" i="1"/>
  <c r="U636" i="1"/>
  <c r="U641" i="1"/>
  <c r="U647" i="1"/>
  <c r="U653" i="1"/>
  <c r="P657" i="1"/>
  <c r="J623" i="1"/>
  <c r="J626" i="1"/>
  <c r="J622" i="1"/>
  <c r="J625" i="1"/>
  <c r="J634" i="1"/>
  <c r="M614" i="4"/>
  <c r="J657" i="1" l="1"/>
  <c r="U657" i="1"/>
  <c r="P571" i="1"/>
  <c r="T571" i="1"/>
  <c r="P572" i="1"/>
  <c r="T572" i="1"/>
  <c r="T612" i="1"/>
  <c r="P612" i="1"/>
  <c r="S614" i="1"/>
  <c r="R614" i="1"/>
  <c r="Q614" i="1"/>
  <c r="O614" i="1"/>
  <c r="N614" i="1"/>
  <c r="M614" i="1"/>
  <c r="H614" i="1"/>
  <c r="G614" i="1"/>
  <c r="F614" i="1"/>
  <c r="D614" i="1"/>
  <c r="C614" i="1"/>
  <c r="B614" i="1"/>
  <c r="T613" i="1"/>
  <c r="I613" i="1"/>
  <c r="E613" i="1"/>
  <c r="I612" i="1"/>
  <c r="E612" i="1"/>
  <c r="T611" i="1"/>
  <c r="P611" i="1"/>
  <c r="I611" i="1"/>
  <c r="E611" i="1"/>
  <c r="T610" i="1"/>
  <c r="P610" i="1"/>
  <c r="I610" i="1"/>
  <c r="E610" i="1"/>
  <c r="T609" i="1"/>
  <c r="P609" i="1"/>
  <c r="I609" i="1"/>
  <c r="E609" i="1"/>
  <c r="T608" i="1"/>
  <c r="P608" i="1"/>
  <c r="I608" i="1"/>
  <c r="E608" i="1"/>
  <c r="T607" i="1"/>
  <c r="P607" i="1"/>
  <c r="I607" i="1"/>
  <c r="E607" i="1"/>
  <c r="T606" i="1"/>
  <c r="P606" i="1"/>
  <c r="I606" i="1"/>
  <c r="E606" i="1"/>
  <c r="T605" i="1"/>
  <c r="P605" i="1"/>
  <c r="I605" i="1"/>
  <c r="E605" i="1"/>
  <c r="T604" i="1"/>
  <c r="P604" i="1"/>
  <c r="I604" i="1"/>
  <c r="E604" i="1"/>
  <c r="T603" i="1"/>
  <c r="P603" i="1"/>
  <c r="I603" i="1"/>
  <c r="E603" i="1"/>
  <c r="T602" i="1"/>
  <c r="P602" i="1"/>
  <c r="I602" i="1"/>
  <c r="E602" i="1"/>
  <c r="T601" i="1"/>
  <c r="P601" i="1"/>
  <c r="I601" i="1"/>
  <c r="E601" i="1"/>
  <c r="T600" i="1"/>
  <c r="P600" i="1"/>
  <c r="I600" i="1"/>
  <c r="E600" i="1"/>
  <c r="T599" i="1"/>
  <c r="P599" i="1"/>
  <c r="I599" i="1"/>
  <c r="E599" i="1"/>
  <c r="T598" i="1"/>
  <c r="P598" i="1"/>
  <c r="I598" i="1"/>
  <c r="E598" i="1"/>
  <c r="T597" i="1"/>
  <c r="P597" i="1"/>
  <c r="I597" i="1"/>
  <c r="E597" i="1"/>
  <c r="T596" i="1"/>
  <c r="P596" i="1"/>
  <c r="I596" i="1"/>
  <c r="E596" i="1"/>
  <c r="T595" i="1"/>
  <c r="P595" i="1"/>
  <c r="I595" i="1"/>
  <c r="E595" i="1"/>
  <c r="T594" i="1"/>
  <c r="P594" i="1"/>
  <c r="I594" i="1"/>
  <c r="E594" i="1"/>
  <c r="T593" i="1"/>
  <c r="P593" i="1"/>
  <c r="I593" i="1"/>
  <c r="E593" i="1"/>
  <c r="T592" i="1"/>
  <c r="P592" i="1"/>
  <c r="I592" i="1"/>
  <c r="E592" i="1"/>
  <c r="T591" i="1"/>
  <c r="P591" i="1"/>
  <c r="I591" i="1"/>
  <c r="E591" i="1"/>
  <c r="T590" i="1"/>
  <c r="P590" i="1"/>
  <c r="I590" i="1"/>
  <c r="E590" i="1"/>
  <c r="T589" i="1"/>
  <c r="P589" i="1"/>
  <c r="I589" i="1"/>
  <c r="E589" i="1"/>
  <c r="T588" i="1"/>
  <c r="P588" i="1"/>
  <c r="I588" i="1"/>
  <c r="E588" i="1"/>
  <c r="T586" i="1"/>
  <c r="P586" i="1"/>
  <c r="I586" i="1"/>
  <c r="E586" i="1"/>
  <c r="T585" i="1"/>
  <c r="P585" i="1"/>
  <c r="I585" i="1"/>
  <c r="E585" i="1"/>
  <c r="T584" i="1"/>
  <c r="P584" i="1"/>
  <c r="I584" i="1"/>
  <c r="E584" i="1"/>
  <c r="T583" i="1"/>
  <c r="P583" i="1"/>
  <c r="I583" i="1"/>
  <c r="E583" i="1"/>
  <c r="T582" i="1"/>
  <c r="P582" i="1"/>
  <c r="I582" i="1"/>
  <c r="E582" i="1"/>
  <c r="T581" i="1"/>
  <c r="P581" i="1"/>
  <c r="I581" i="1"/>
  <c r="E581" i="1"/>
  <c r="T580" i="1"/>
  <c r="P580" i="1"/>
  <c r="I580" i="1"/>
  <c r="E580" i="1"/>
  <c r="T579" i="1"/>
  <c r="P579" i="1"/>
  <c r="I579" i="1"/>
  <c r="E579" i="1"/>
  <c r="J584" i="1" l="1"/>
  <c r="J594" i="1"/>
  <c r="J597" i="1"/>
  <c r="J600" i="1"/>
  <c r="J603" i="1"/>
  <c r="J606" i="1"/>
  <c r="J609" i="1"/>
  <c r="J612" i="1"/>
  <c r="U581" i="1"/>
  <c r="U584" i="1"/>
  <c r="U588" i="1"/>
  <c r="U591" i="1"/>
  <c r="U594" i="1"/>
  <c r="U597" i="1"/>
  <c r="U600" i="1"/>
  <c r="U603" i="1"/>
  <c r="U606" i="1"/>
  <c r="U609" i="1"/>
  <c r="J581" i="1"/>
  <c r="U580" i="1"/>
  <c r="U583" i="1"/>
  <c r="U586" i="1"/>
  <c r="U590" i="1"/>
  <c r="U593" i="1"/>
  <c r="U596" i="1"/>
  <c r="U599" i="1"/>
  <c r="U602" i="1"/>
  <c r="U605" i="1"/>
  <c r="U608" i="1"/>
  <c r="U611" i="1"/>
  <c r="U613" i="1"/>
  <c r="U571" i="1"/>
  <c r="J583" i="1"/>
  <c r="J586" i="1"/>
  <c r="J590" i="1"/>
  <c r="J593" i="1"/>
  <c r="J596" i="1"/>
  <c r="J599" i="1"/>
  <c r="J602" i="1"/>
  <c r="J605" i="1"/>
  <c r="J608" i="1"/>
  <c r="J611" i="1"/>
  <c r="J613" i="1"/>
  <c r="I614" i="1"/>
  <c r="T614" i="1"/>
  <c r="U572" i="1"/>
  <c r="J585" i="1"/>
  <c r="J592" i="1"/>
  <c r="J595" i="1"/>
  <c r="J598" i="1"/>
  <c r="J601" i="1"/>
  <c r="J604" i="1"/>
  <c r="J607" i="1"/>
  <c r="J610" i="1"/>
  <c r="U579" i="1"/>
  <c r="U582" i="1"/>
  <c r="U585" i="1"/>
  <c r="U589" i="1"/>
  <c r="U592" i="1"/>
  <c r="U595" i="1"/>
  <c r="U598" i="1"/>
  <c r="U601" i="1"/>
  <c r="U604" i="1"/>
  <c r="U607" i="1"/>
  <c r="U610" i="1"/>
  <c r="U612" i="1"/>
  <c r="J580" i="1"/>
  <c r="J579" i="1"/>
  <c r="J582" i="1"/>
  <c r="J589" i="1"/>
  <c r="J588" i="1"/>
  <c r="J591" i="1"/>
  <c r="E614" i="1"/>
  <c r="P614" i="1"/>
  <c r="T572" i="4"/>
  <c r="P572" i="4"/>
  <c r="H614" i="4"/>
  <c r="G614" i="4"/>
  <c r="F614" i="4"/>
  <c r="D614" i="4"/>
  <c r="C614" i="4"/>
  <c r="B614" i="4"/>
  <c r="I613" i="4"/>
  <c r="E613" i="4"/>
  <c r="I612" i="4"/>
  <c r="E612" i="4"/>
  <c r="I611" i="4"/>
  <c r="E611" i="4"/>
  <c r="I610" i="4"/>
  <c r="E610" i="4"/>
  <c r="I609" i="4"/>
  <c r="E609" i="4"/>
  <c r="I608" i="4"/>
  <c r="E608" i="4"/>
  <c r="I607" i="4"/>
  <c r="E607" i="4"/>
  <c r="I606" i="4"/>
  <c r="E606" i="4"/>
  <c r="I605" i="4"/>
  <c r="E605" i="4"/>
  <c r="I604" i="4"/>
  <c r="E604" i="4"/>
  <c r="I603" i="4"/>
  <c r="E603" i="4"/>
  <c r="I602" i="4"/>
  <c r="E602" i="4"/>
  <c r="I601" i="4"/>
  <c r="E601" i="4"/>
  <c r="I600" i="4"/>
  <c r="E600" i="4"/>
  <c r="I599" i="4"/>
  <c r="E599" i="4"/>
  <c r="I598" i="4"/>
  <c r="E598" i="4"/>
  <c r="I597" i="4"/>
  <c r="E597" i="4"/>
  <c r="I596" i="4"/>
  <c r="E596" i="4"/>
  <c r="I595" i="4"/>
  <c r="E595" i="4"/>
  <c r="I594" i="4"/>
  <c r="E594" i="4"/>
  <c r="I593" i="4"/>
  <c r="E593" i="4"/>
  <c r="I592" i="4"/>
  <c r="E592" i="4"/>
  <c r="I591" i="4"/>
  <c r="E591" i="4"/>
  <c r="I590" i="4"/>
  <c r="E590" i="4"/>
  <c r="I589" i="4"/>
  <c r="E589" i="4"/>
  <c r="I588" i="4"/>
  <c r="E588" i="4"/>
  <c r="I586" i="4"/>
  <c r="E586" i="4"/>
  <c r="I585" i="4"/>
  <c r="E585" i="4"/>
  <c r="I584" i="4"/>
  <c r="E584" i="4"/>
  <c r="I583" i="4"/>
  <c r="E583" i="4"/>
  <c r="I582" i="4"/>
  <c r="E582" i="4"/>
  <c r="I581" i="4"/>
  <c r="E581" i="4"/>
  <c r="I580" i="4"/>
  <c r="E580" i="4"/>
  <c r="I579" i="4"/>
  <c r="E579" i="4"/>
  <c r="T612" i="4"/>
  <c r="P612" i="4"/>
  <c r="S614" i="4"/>
  <c r="R614" i="4"/>
  <c r="Q614" i="4"/>
  <c r="O614" i="4"/>
  <c r="N614" i="4"/>
  <c r="T613" i="4"/>
  <c r="P613" i="4"/>
  <c r="T611" i="4"/>
  <c r="P611" i="4"/>
  <c r="T610" i="4"/>
  <c r="P610" i="4"/>
  <c r="T609" i="4"/>
  <c r="P609" i="4"/>
  <c r="T608" i="4"/>
  <c r="P608" i="4"/>
  <c r="T607" i="4"/>
  <c r="P607" i="4"/>
  <c r="T606" i="4"/>
  <c r="P606" i="4"/>
  <c r="T605" i="4"/>
  <c r="P605" i="4"/>
  <c r="T604" i="4"/>
  <c r="P604" i="4"/>
  <c r="T603" i="4"/>
  <c r="P603" i="4"/>
  <c r="T602" i="4"/>
  <c r="P602" i="4"/>
  <c r="T601" i="4"/>
  <c r="P601" i="4"/>
  <c r="T600" i="4"/>
  <c r="P600" i="4"/>
  <c r="T599" i="4"/>
  <c r="P599" i="4"/>
  <c r="T598" i="4"/>
  <c r="P598" i="4"/>
  <c r="T597" i="4"/>
  <c r="P597" i="4"/>
  <c r="T596" i="4"/>
  <c r="P596" i="4"/>
  <c r="T595" i="4"/>
  <c r="P595" i="4"/>
  <c r="T594" i="4"/>
  <c r="P594" i="4"/>
  <c r="T593" i="4"/>
  <c r="P593" i="4"/>
  <c r="T592" i="4"/>
  <c r="P592" i="4"/>
  <c r="T591" i="4"/>
  <c r="P591" i="4"/>
  <c r="T590" i="4"/>
  <c r="P590" i="4"/>
  <c r="T589" i="4"/>
  <c r="P589" i="4"/>
  <c r="T588" i="4"/>
  <c r="P588" i="4"/>
  <c r="T586" i="4"/>
  <c r="P586" i="4"/>
  <c r="T585" i="4"/>
  <c r="P585" i="4"/>
  <c r="T584" i="4"/>
  <c r="P584" i="4"/>
  <c r="T583" i="4"/>
  <c r="P583" i="4"/>
  <c r="T582" i="4"/>
  <c r="P582" i="4"/>
  <c r="T581" i="4"/>
  <c r="P581" i="4"/>
  <c r="T580" i="4"/>
  <c r="P580" i="4"/>
  <c r="T579" i="4"/>
  <c r="P579" i="4"/>
  <c r="U614" i="1" l="1"/>
  <c r="U586" i="4"/>
  <c r="U590" i="4"/>
  <c r="U593" i="4"/>
  <c r="U596" i="4"/>
  <c r="U599" i="4"/>
  <c r="U602" i="4"/>
  <c r="U605" i="4"/>
  <c r="U608" i="4"/>
  <c r="J579" i="4"/>
  <c r="J582" i="4"/>
  <c r="J585" i="4"/>
  <c r="J595" i="4"/>
  <c r="J598" i="4"/>
  <c r="J601" i="4"/>
  <c r="J604" i="4"/>
  <c r="J607" i="4"/>
  <c r="J610" i="4"/>
  <c r="J613" i="4"/>
  <c r="J614" i="1"/>
  <c r="U585" i="4"/>
  <c r="U589" i="4"/>
  <c r="U592" i="4"/>
  <c r="U595" i="4"/>
  <c r="U598" i="4"/>
  <c r="U601" i="4"/>
  <c r="U604" i="4"/>
  <c r="U607" i="4"/>
  <c r="P614" i="4"/>
  <c r="U612" i="4"/>
  <c r="J581" i="4"/>
  <c r="J584" i="4"/>
  <c r="J594" i="4"/>
  <c r="J597" i="4"/>
  <c r="J600" i="4"/>
  <c r="J603" i="4"/>
  <c r="J606" i="4"/>
  <c r="J609" i="4"/>
  <c r="J612" i="4"/>
  <c r="I614" i="4"/>
  <c r="U588" i="4"/>
  <c r="U591" i="4"/>
  <c r="U594" i="4"/>
  <c r="U597" i="4"/>
  <c r="U600" i="4"/>
  <c r="U603" i="4"/>
  <c r="U606" i="4"/>
  <c r="U609" i="4"/>
  <c r="U613" i="4"/>
  <c r="J580" i="4"/>
  <c r="J583" i="4"/>
  <c r="J586" i="4"/>
  <c r="J593" i="4"/>
  <c r="J596" i="4"/>
  <c r="J599" i="4"/>
  <c r="J602" i="4"/>
  <c r="J605" i="4"/>
  <c r="J608" i="4"/>
  <c r="J611" i="4"/>
  <c r="U572" i="4"/>
  <c r="E614" i="4"/>
  <c r="J588" i="4"/>
  <c r="J589" i="4"/>
  <c r="J590" i="4"/>
  <c r="J591" i="4"/>
  <c r="J592" i="4"/>
  <c r="U610" i="4"/>
  <c r="U611" i="4"/>
  <c r="T614" i="4"/>
  <c r="U579" i="4"/>
  <c r="U580" i="4"/>
  <c r="U581" i="4"/>
  <c r="U582" i="4"/>
  <c r="U583" i="4"/>
  <c r="U584" i="4"/>
  <c r="T569" i="1"/>
  <c r="P569" i="1"/>
  <c r="T569" i="4"/>
  <c r="P569" i="4"/>
  <c r="T539" i="4"/>
  <c r="P539" i="4"/>
  <c r="T542" i="1"/>
  <c r="P542" i="1"/>
  <c r="T550" i="4"/>
  <c r="P550" i="4"/>
  <c r="T549" i="4"/>
  <c r="P549" i="4"/>
  <c r="T548" i="4"/>
  <c r="P548" i="4"/>
  <c r="T550" i="1"/>
  <c r="P550" i="1"/>
  <c r="T549" i="1"/>
  <c r="P549" i="1"/>
  <c r="T548" i="1"/>
  <c r="P548" i="1"/>
  <c r="U550" i="1" l="1"/>
  <c r="U614" i="4"/>
  <c r="J614" i="4"/>
  <c r="U548" i="1"/>
  <c r="U548" i="4"/>
  <c r="U542" i="1"/>
  <c r="U569" i="1"/>
  <c r="U569" i="4"/>
  <c r="U549" i="1"/>
  <c r="U539" i="4"/>
  <c r="U549" i="4"/>
  <c r="U550" i="4"/>
  <c r="T520" i="4"/>
  <c r="P520" i="4"/>
  <c r="T519" i="1"/>
  <c r="P519" i="1"/>
  <c r="T511" i="4"/>
  <c r="P511" i="4"/>
  <c r="T510" i="4"/>
  <c r="P510" i="4"/>
  <c r="T510" i="1"/>
  <c r="P510" i="1"/>
  <c r="U519" i="1" l="1"/>
  <c r="U520" i="4"/>
  <c r="U511" i="4"/>
  <c r="U510" i="1"/>
  <c r="U510" i="4"/>
  <c r="T570" i="1"/>
  <c r="P570" i="1"/>
  <c r="T570" i="4"/>
  <c r="P570" i="4"/>
  <c r="T530" i="1"/>
  <c r="P530" i="1"/>
  <c r="P530" i="4"/>
  <c r="T530" i="4"/>
  <c r="P531" i="4"/>
  <c r="T531" i="4"/>
  <c r="T571" i="4"/>
  <c r="P571" i="4"/>
  <c r="T529" i="4"/>
  <c r="P529" i="4"/>
  <c r="U570" i="1" l="1"/>
  <c r="U570" i="4"/>
  <c r="U530" i="1"/>
  <c r="U529" i="4"/>
  <c r="U530" i="4"/>
  <c r="U571" i="4"/>
  <c r="U531" i="4"/>
  <c r="P458" i="1"/>
  <c r="T458" i="1"/>
  <c r="U458" i="1" l="1"/>
  <c r="T531" i="1"/>
  <c r="P531" i="1"/>
  <c r="T489" i="4"/>
  <c r="P489" i="4"/>
  <c r="T489" i="1"/>
  <c r="P489" i="1"/>
  <c r="T499" i="1"/>
  <c r="P499" i="1"/>
  <c r="T541" i="1"/>
  <c r="P541" i="1"/>
  <c r="T540" i="1"/>
  <c r="P540" i="1"/>
  <c r="U531" i="1" l="1"/>
  <c r="U541" i="1"/>
  <c r="U489" i="4"/>
  <c r="U540" i="1"/>
  <c r="U489" i="1"/>
  <c r="U499" i="1"/>
  <c r="T490" i="1"/>
  <c r="P490" i="1"/>
  <c r="U490" i="1" l="1"/>
  <c r="T499" i="4"/>
  <c r="P499" i="4"/>
  <c r="T544" i="4"/>
  <c r="P544" i="4"/>
  <c r="T543" i="4"/>
  <c r="P543" i="4"/>
  <c r="T498" i="4"/>
  <c r="P498" i="4"/>
  <c r="T490" i="4"/>
  <c r="P490" i="4"/>
  <c r="U499" i="4" l="1"/>
  <c r="U543" i="4"/>
  <c r="U544" i="4"/>
  <c r="U490" i="4"/>
  <c r="U498" i="4"/>
  <c r="S573" i="4"/>
  <c r="R573" i="4"/>
  <c r="Q573" i="4"/>
  <c r="O573" i="4"/>
  <c r="N573" i="4"/>
  <c r="M573" i="4"/>
  <c r="H573" i="4"/>
  <c r="G573" i="4"/>
  <c r="F573" i="4"/>
  <c r="D573" i="4"/>
  <c r="C573" i="4"/>
  <c r="B573" i="4"/>
  <c r="I572" i="4"/>
  <c r="E572" i="4"/>
  <c r="I571" i="4"/>
  <c r="E571" i="4"/>
  <c r="I570" i="4"/>
  <c r="E570" i="4"/>
  <c r="I569" i="4"/>
  <c r="E569" i="4"/>
  <c r="T568" i="4"/>
  <c r="P568" i="4"/>
  <c r="I568" i="4"/>
  <c r="E568" i="4"/>
  <c r="T567" i="4"/>
  <c r="P567" i="4"/>
  <c r="I567" i="4"/>
  <c r="E567" i="4"/>
  <c r="T566" i="4"/>
  <c r="P566" i="4"/>
  <c r="I566" i="4"/>
  <c r="E566" i="4"/>
  <c r="T565" i="4"/>
  <c r="P565" i="4"/>
  <c r="I565" i="4"/>
  <c r="E565" i="4"/>
  <c r="T564" i="4"/>
  <c r="P564" i="4"/>
  <c r="I564" i="4"/>
  <c r="E564" i="4"/>
  <c r="T563" i="4"/>
  <c r="P563" i="4"/>
  <c r="I563" i="4"/>
  <c r="E563" i="4"/>
  <c r="T562" i="4"/>
  <c r="P562" i="4"/>
  <c r="I562" i="4"/>
  <c r="E562" i="4"/>
  <c r="T561" i="4"/>
  <c r="P561" i="4"/>
  <c r="I561" i="4"/>
  <c r="E561" i="4"/>
  <c r="T560" i="4"/>
  <c r="P560" i="4"/>
  <c r="I560" i="4"/>
  <c r="E560" i="4"/>
  <c r="T559" i="4"/>
  <c r="P559" i="4"/>
  <c r="I559" i="4"/>
  <c r="E559" i="4"/>
  <c r="T558" i="4"/>
  <c r="P558" i="4"/>
  <c r="I558" i="4"/>
  <c r="E558" i="4"/>
  <c r="T557" i="4"/>
  <c r="P557" i="4"/>
  <c r="I557" i="4"/>
  <c r="E557" i="4"/>
  <c r="T556" i="4"/>
  <c r="P556" i="4"/>
  <c r="I556" i="4"/>
  <c r="E556" i="4"/>
  <c r="T555" i="4"/>
  <c r="P555" i="4"/>
  <c r="I555" i="4"/>
  <c r="E555" i="4"/>
  <c r="T554" i="4"/>
  <c r="P554" i="4"/>
  <c r="I554" i="4"/>
  <c r="E554" i="4"/>
  <c r="T553" i="4"/>
  <c r="P553" i="4"/>
  <c r="I553" i="4"/>
  <c r="E553" i="4"/>
  <c r="T552" i="4"/>
  <c r="P552" i="4"/>
  <c r="I552" i="4"/>
  <c r="E552" i="4"/>
  <c r="T551" i="4"/>
  <c r="P551" i="4"/>
  <c r="I551" i="4"/>
  <c r="E551" i="4"/>
  <c r="I550" i="4"/>
  <c r="E550" i="4"/>
  <c r="I549" i="4"/>
  <c r="E549" i="4"/>
  <c r="I548" i="4"/>
  <c r="E548" i="4"/>
  <c r="T547" i="4"/>
  <c r="P547" i="4"/>
  <c r="I547" i="4"/>
  <c r="E547" i="4"/>
  <c r="T545" i="4"/>
  <c r="P545" i="4"/>
  <c r="I545" i="4"/>
  <c r="E545" i="4"/>
  <c r="I544" i="4"/>
  <c r="E544" i="4"/>
  <c r="I543" i="4"/>
  <c r="E543" i="4"/>
  <c r="T542" i="4"/>
  <c r="P542" i="4"/>
  <c r="I542" i="4"/>
  <c r="E542" i="4"/>
  <c r="T541" i="4"/>
  <c r="P541" i="4"/>
  <c r="I541" i="4"/>
  <c r="E541" i="4"/>
  <c r="T540" i="4"/>
  <c r="P540" i="4"/>
  <c r="I540" i="4"/>
  <c r="E540" i="4"/>
  <c r="I539" i="4"/>
  <c r="E539" i="4"/>
  <c r="T538" i="4"/>
  <c r="P538" i="4"/>
  <c r="I538" i="4"/>
  <c r="E538" i="4"/>
  <c r="J538" i="4" l="1"/>
  <c r="J541" i="4"/>
  <c r="U542" i="4"/>
  <c r="J545" i="4"/>
  <c r="U547" i="4"/>
  <c r="J549" i="4"/>
  <c r="J552" i="4"/>
  <c r="U553" i="4"/>
  <c r="J555" i="4"/>
  <c r="U556" i="4"/>
  <c r="J558" i="4"/>
  <c r="U559" i="4"/>
  <c r="J561" i="4"/>
  <c r="U562" i="4"/>
  <c r="J564" i="4"/>
  <c r="U565" i="4"/>
  <c r="J567" i="4"/>
  <c r="U568" i="4"/>
  <c r="J570" i="4"/>
  <c r="U538" i="4"/>
  <c r="J540" i="4"/>
  <c r="U541" i="4"/>
  <c r="J543" i="4"/>
  <c r="U545" i="4"/>
  <c r="J548" i="4"/>
  <c r="J551" i="4"/>
  <c r="U552" i="4"/>
  <c r="J554" i="4"/>
  <c r="U555" i="4"/>
  <c r="J557" i="4"/>
  <c r="U558" i="4"/>
  <c r="J560" i="4"/>
  <c r="U561" i="4"/>
  <c r="J563" i="4"/>
  <c r="U564" i="4"/>
  <c r="J566" i="4"/>
  <c r="U567" i="4"/>
  <c r="J569" i="4"/>
  <c r="J572" i="4"/>
  <c r="J539" i="4"/>
  <c r="U540" i="4"/>
  <c r="J542" i="4"/>
  <c r="J544" i="4"/>
  <c r="J547" i="4"/>
  <c r="J550" i="4"/>
  <c r="U551" i="4"/>
  <c r="J553" i="4"/>
  <c r="U554" i="4"/>
  <c r="J556" i="4"/>
  <c r="U557" i="4"/>
  <c r="J559" i="4"/>
  <c r="U560" i="4"/>
  <c r="J562" i="4"/>
  <c r="U563" i="4"/>
  <c r="J565" i="4"/>
  <c r="U566" i="4"/>
  <c r="J568" i="4"/>
  <c r="J571" i="4"/>
  <c r="E573" i="4"/>
  <c r="T573" i="4"/>
  <c r="I573" i="4"/>
  <c r="P573" i="4"/>
  <c r="T460" i="4"/>
  <c r="P460" i="4"/>
  <c r="T460" i="1"/>
  <c r="P460" i="1"/>
  <c r="U460" i="1" l="1"/>
  <c r="J573" i="4"/>
  <c r="U460" i="4"/>
  <c r="U573" i="4"/>
  <c r="S573" i="1"/>
  <c r="R573" i="1"/>
  <c r="Q573" i="1"/>
  <c r="O573" i="1"/>
  <c r="N573" i="1"/>
  <c r="M573" i="1"/>
  <c r="H573" i="1"/>
  <c r="G573" i="1"/>
  <c r="F573" i="1"/>
  <c r="D573" i="1"/>
  <c r="C573" i="1"/>
  <c r="B573" i="1"/>
  <c r="I572" i="1"/>
  <c r="E572" i="1"/>
  <c r="I571" i="1"/>
  <c r="E571" i="1"/>
  <c r="I570" i="1"/>
  <c r="E570" i="1"/>
  <c r="I569" i="1"/>
  <c r="E569" i="1"/>
  <c r="T568" i="1"/>
  <c r="P568" i="1"/>
  <c r="I568" i="1"/>
  <c r="E568" i="1"/>
  <c r="T567" i="1"/>
  <c r="P567" i="1"/>
  <c r="I567" i="1"/>
  <c r="E567" i="1"/>
  <c r="T566" i="1"/>
  <c r="P566" i="1"/>
  <c r="I566" i="1"/>
  <c r="E566" i="1"/>
  <c r="T565" i="1"/>
  <c r="P565" i="1"/>
  <c r="I565" i="1"/>
  <c r="E565" i="1"/>
  <c r="T564" i="1"/>
  <c r="P564" i="1"/>
  <c r="I564" i="1"/>
  <c r="E564" i="1"/>
  <c r="T563" i="1"/>
  <c r="P563" i="1"/>
  <c r="I563" i="1"/>
  <c r="E563" i="1"/>
  <c r="T562" i="1"/>
  <c r="P562" i="1"/>
  <c r="I562" i="1"/>
  <c r="E562" i="1"/>
  <c r="T561" i="1"/>
  <c r="P561" i="1"/>
  <c r="I561" i="1"/>
  <c r="E561" i="1"/>
  <c r="T560" i="1"/>
  <c r="P560" i="1"/>
  <c r="I560" i="1"/>
  <c r="E560" i="1"/>
  <c r="T559" i="1"/>
  <c r="P559" i="1"/>
  <c r="I559" i="1"/>
  <c r="E559" i="1"/>
  <c r="T558" i="1"/>
  <c r="P558" i="1"/>
  <c r="I558" i="1"/>
  <c r="E558" i="1"/>
  <c r="T557" i="1"/>
  <c r="P557" i="1"/>
  <c r="I557" i="1"/>
  <c r="E557" i="1"/>
  <c r="T556" i="1"/>
  <c r="P556" i="1"/>
  <c r="I556" i="1"/>
  <c r="E556" i="1"/>
  <c r="T555" i="1"/>
  <c r="P555" i="1"/>
  <c r="I555" i="1"/>
  <c r="E555" i="1"/>
  <c r="T554" i="1"/>
  <c r="P554" i="1"/>
  <c r="I554" i="1"/>
  <c r="E554" i="1"/>
  <c r="T553" i="1"/>
  <c r="P553" i="1"/>
  <c r="I553" i="1"/>
  <c r="E553" i="1"/>
  <c r="T552" i="1"/>
  <c r="P552" i="1"/>
  <c r="I552" i="1"/>
  <c r="E552" i="1"/>
  <c r="T551" i="1"/>
  <c r="P551" i="1"/>
  <c r="I551" i="1"/>
  <c r="E551" i="1"/>
  <c r="I550" i="1"/>
  <c r="E550" i="1"/>
  <c r="I549" i="1"/>
  <c r="E549" i="1"/>
  <c r="I548" i="1"/>
  <c r="E548" i="1"/>
  <c r="T547" i="1"/>
  <c r="P547" i="1"/>
  <c r="I547" i="1"/>
  <c r="E547" i="1"/>
  <c r="T545" i="1"/>
  <c r="P545" i="1"/>
  <c r="I545" i="1"/>
  <c r="E545" i="1"/>
  <c r="T544" i="1"/>
  <c r="P544" i="1"/>
  <c r="I544" i="1"/>
  <c r="E544" i="1"/>
  <c r="T543" i="1"/>
  <c r="P543" i="1"/>
  <c r="I543" i="1"/>
  <c r="E543" i="1"/>
  <c r="I542" i="1"/>
  <c r="E542" i="1"/>
  <c r="I541" i="1"/>
  <c r="E541" i="1"/>
  <c r="I540" i="1"/>
  <c r="E540" i="1"/>
  <c r="T539" i="1"/>
  <c r="P539" i="1"/>
  <c r="I539" i="1"/>
  <c r="E539" i="1"/>
  <c r="T538" i="1"/>
  <c r="P538" i="1"/>
  <c r="I538" i="1"/>
  <c r="E538" i="1"/>
  <c r="S532" i="1"/>
  <c r="R532" i="1"/>
  <c r="Q532" i="1"/>
  <c r="O532" i="1"/>
  <c r="N532" i="1"/>
  <c r="M532" i="1"/>
  <c r="H532" i="1"/>
  <c r="G532" i="1"/>
  <c r="F532" i="1"/>
  <c r="D532" i="1"/>
  <c r="C532" i="1"/>
  <c r="B532" i="1"/>
  <c r="I531" i="1"/>
  <c r="E531" i="1"/>
  <c r="I530" i="1"/>
  <c r="E530" i="1"/>
  <c r="T529" i="1"/>
  <c r="P529" i="1"/>
  <c r="I529" i="1"/>
  <c r="E529" i="1"/>
  <c r="T528" i="1"/>
  <c r="P528" i="1"/>
  <c r="I528" i="1"/>
  <c r="E528" i="1"/>
  <c r="T527" i="1"/>
  <c r="P527" i="1"/>
  <c r="I527" i="1"/>
  <c r="E527" i="1"/>
  <c r="T526" i="1"/>
  <c r="P526" i="1"/>
  <c r="I526" i="1"/>
  <c r="E526" i="1"/>
  <c r="T525" i="1"/>
  <c r="P525" i="1"/>
  <c r="I525" i="1"/>
  <c r="E525" i="1"/>
  <c r="T524" i="1"/>
  <c r="P524" i="1"/>
  <c r="I524" i="1"/>
  <c r="E524" i="1"/>
  <c r="T523" i="1"/>
  <c r="P523" i="1"/>
  <c r="I523" i="1"/>
  <c r="E523" i="1"/>
  <c r="T522" i="1"/>
  <c r="P522" i="1"/>
  <c r="I522" i="1"/>
  <c r="E522" i="1"/>
  <c r="T521" i="1"/>
  <c r="P521" i="1"/>
  <c r="I521" i="1"/>
  <c r="E521" i="1"/>
  <c r="T520" i="1"/>
  <c r="P520" i="1"/>
  <c r="I520" i="1"/>
  <c r="E520" i="1"/>
  <c r="I519" i="1"/>
  <c r="E519" i="1"/>
  <c r="T518" i="1"/>
  <c r="P518" i="1"/>
  <c r="I518" i="1"/>
  <c r="E518" i="1"/>
  <c r="T517" i="1"/>
  <c r="P517" i="1"/>
  <c r="I517" i="1"/>
  <c r="E517" i="1"/>
  <c r="T516" i="1"/>
  <c r="P516" i="1"/>
  <c r="I516" i="1"/>
  <c r="E516" i="1"/>
  <c r="T515" i="1"/>
  <c r="P515" i="1"/>
  <c r="I515" i="1"/>
  <c r="E515" i="1"/>
  <c r="T514" i="1"/>
  <c r="P514" i="1"/>
  <c r="I514" i="1"/>
  <c r="E514" i="1"/>
  <c r="T513" i="1"/>
  <c r="P513" i="1"/>
  <c r="I513" i="1"/>
  <c r="E513" i="1"/>
  <c r="T512" i="1"/>
  <c r="P512" i="1"/>
  <c r="I512" i="1"/>
  <c r="E512" i="1"/>
  <c r="T511" i="1"/>
  <c r="P511" i="1"/>
  <c r="I511" i="1"/>
  <c r="E511" i="1"/>
  <c r="I510" i="1"/>
  <c r="E510" i="1"/>
  <c r="T509" i="1"/>
  <c r="P509" i="1"/>
  <c r="I509" i="1"/>
  <c r="E509" i="1"/>
  <c r="T508" i="1"/>
  <c r="P508" i="1"/>
  <c r="I508" i="1"/>
  <c r="E508" i="1"/>
  <c r="T507" i="1"/>
  <c r="P507" i="1"/>
  <c r="I507" i="1"/>
  <c r="E507" i="1"/>
  <c r="T506" i="1"/>
  <c r="P506" i="1"/>
  <c r="I506" i="1"/>
  <c r="E506" i="1"/>
  <c r="T504" i="1"/>
  <c r="P504" i="1"/>
  <c r="I504" i="1"/>
  <c r="E504" i="1"/>
  <c r="T503" i="1"/>
  <c r="P503" i="1"/>
  <c r="I503" i="1"/>
  <c r="E503" i="1"/>
  <c r="T502" i="1"/>
  <c r="P502" i="1"/>
  <c r="I502" i="1"/>
  <c r="E502" i="1"/>
  <c r="T501" i="1"/>
  <c r="P501" i="1"/>
  <c r="I501" i="1"/>
  <c r="E501" i="1"/>
  <c r="T500" i="1"/>
  <c r="P500" i="1"/>
  <c r="I500" i="1"/>
  <c r="E500" i="1"/>
  <c r="I499" i="1"/>
  <c r="E499" i="1"/>
  <c r="T498" i="1"/>
  <c r="P498" i="1"/>
  <c r="I498" i="1"/>
  <c r="E498" i="1"/>
  <c r="T497" i="1"/>
  <c r="P497" i="1"/>
  <c r="I497" i="1"/>
  <c r="E497" i="1"/>
  <c r="S491" i="1"/>
  <c r="R491" i="1"/>
  <c r="Q491" i="1"/>
  <c r="O491" i="1"/>
  <c r="N491" i="1"/>
  <c r="M491" i="1"/>
  <c r="H491" i="1"/>
  <c r="G491" i="1"/>
  <c r="F491" i="1"/>
  <c r="D491" i="1"/>
  <c r="C491" i="1"/>
  <c r="B491" i="1"/>
  <c r="I490" i="1"/>
  <c r="E490" i="1"/>
  <c r="I489" i="1"/>
  <c r="E489" i="1"/>
  <c r="T488" i="1"/>
  <c r="P488" i="1"/>
  <c r="I488" i="1"/>
  <c r="E488" i="1"/>
  <c r="T487" i="1"/>
  <c r="P487" i="1"/>
  <c r="I487" i="1"/>
  <c r="E487" i="1"/>
  <c r="T486" i="1"/>
  <c r="P486" i="1"/>
  <c r="I486" i="1"/>
  <c r="E486" i="1"/>
  <c r="T485" i="1"/>
  <c r="P485" i="1"/>
  <c r="I485" i="1"/>
  <c r="E485" i="1"/>
  <c r="T484" i="1"/>
  <c r="P484" i="1"/>
  <c r="I484" i="1"/>
  <c r="E484" i="1"/>
  <c r="T483" i="1"/>
  <c r="P483" i="1"/>
  <c r="I483" i="1"/>
  <c r="E483" i="1"/>
  <c r="T482" i="1"/>
  <c r="P482" i="1"/>
  <c r="I482" i="1"/>
  <c r="E482" i="1"/>
  <c r="T481" i="1"/>
  <c r="P481" i="1"/>
  <c r="I481" i="1"/>
  <c r="E481" i="1"/>
  <c r="T480" i="1"/>
  <c r="P480" i="1"/>
  <c r="I480" i="1"/>
  <c r="E480" i="1"/>
  <c r="T479" i="1"/>
  <c r="P479" i="1"/>
  <c r="I479" i="1"/>
  <c r="E479" i="1"/>
  <c r="T478" i="1"/>
  <c r="P478" i="1"/>
  <c r="I478" i="1"/>
  <c r="E478" i="1"/>
  <c r="T477" i="1"/>
  <c r="P477" i="1"/>
  <c r="I477" i="1"/>
  <c r="E477" i="1"/>
  <c r="T476" i="1"/>
  <c r="P476" i="1"/>
  <c r="I476" i="1"/>
  <c r="E476" i="1"/>
  <c r="T475" i="1"/>
  <c r="P475" i="1"/>
  <c r="I475" i="1"/>
  <c r="E475" i="1"/>
  <c r="T474" i="1"/>
  <c r="P474" i="1"/>
  <c r="I474" i="1"/>
  <c r="E474" i="1"/>
  <c r="T473" i="1"/>
  <c r="P473" i="1"/>
  <c r="I473" i="1"/>
  <c r="E473" i="1"/>
  <c r="T472" i="1"/>
  <c r="P472" i="1"/>
  <c r="I472" i="1"/>
  <c r="E472" i="1"/>
  <c r="T471" i="1"/>
  <c r="P471" i="1"/>
  <c r="I471" i="1"/>
  <c r="E471" i="1"/>
  <c r="T470" i="1"/>
  <c r="P470" i="1"/>
  <c r="I470" i="1"/>
  <c r="E470" i="1"/>
  <c r="T469" i="1"/>
  <c r="P469" i="1"/>
  <c r="I469" i="1"/>
  <c r="E469" i="1"/>
  <c r="T468" i="1"/>
  <c r="P468" i="1"/>
  <c r="I468" i="1"/>
  <c r="E468" i="1"/>
  <c r="T467" i="1"/>
  <c r="P467" i="1"/>
  <c r="I467" i="1"/>
  <c r="E467" i="1"/>
  <c r="T466" i="1"/>
  <c r="P466" i="1"/>
  <c r="I466" i="1"/>
  <c r="E466" i="1"/>
  <c r="T465" i="1"/>
  <c r="P465" i="1"/>
  <c r="I465" i="1"/>
  <c r="E465" i="1"/>
  <c r="T463" i="1"/>
  <c r="P463" i="1"/>
  <c r="I463" i="1"/>
  <c r="E463" i="1"/>
  <c r="T462" i="1"/>
  <c r="P462" i="1"/>
  <c r="I462" i="1"/>
  <c r="E462" i="1"/>
  <c r="T461" i="1"/>
  <c r="P461" i="1"/>
  <c r="I461" i="1"/>
  <c r="E461" i="1"/>
  <c r="I460" i="1"/>
  <c r="E460" i="1"/>
  <c r="T459" i="1"/>
  <c r="P459" i="1"/>
  <c r="I459" i="1"/>
  <c r="E459" i="1"/>
  <c r="I458" i="1"/>
  <c r="E458" i="1"/>
  <c r="T457" i="1"/>
  <c r="P457" i="1"/>
  <c r="I457" i="1"/>
  <c r="E457" i="1"/>
  <c r="T456" i="1"/>
  <c r="P456" i="1"/>
  <c r="I456" i="1"/>
  <c r="E456" i="1"/>
  <c r="S532" i="4"/>
  <c r="R532" i="4"/>
  <c r="Q532" i="4"/>
  <c r="O532" i="4"/>
  <c r="N532" i="4"/>
  <c r="M532" i="4"/>
  <c r="H532" i="4"/>
  <c r="G532" i="4"/>
  <c r="F532" i="4"/>
  <c r="D532" i="4"/>
  <c r="C532" i="4"/>
  <c r="B532" i="4"/>
  <c r="I531" i="4"/>
  <c r="E531" i="4"/>
  <c r="I530" i="4"/>
  <c r="E530" i="4"/>
  <c r="I529" i="4"/>
  <c r="E529" i="4"/>
  <c r="T528" i="4"/>
  <c r="P528" i="4"/>
  <c r="I528" i="4"/>
  <c r="E528" i="4"/>
  <c r="T527" i="4"/>
  <c r="P527" i="4"/>
  <c r="I527" i="4"/>
  <c r="E527" i="4"/>
  <c r="T526" i="4"/>
  <c r="P526" i="4"/>
  <c r="I526" i="4"/>
  <c r="E526" i="4"/>
  <c r="T525" i="4"/>
  <c r="P525" i="4"/>
  <c r="I525" i="4"/>
  <c r="E525" i="4"/>
  <c r="T524" i="4"/>
  <c r="P524" i="4"/>
  <c r="I524" i="4"/>
  <c r="E524" i="4"/>
  <c r="T523" i="4"/>
  <c r="P523" i="4"/>
  <c r="I523" i="4"/>
  <c r="E523" i="4"/>
  <c r="T522" i="4"/>
  <c r="P522" i="4"/>
  <c r="I522" i="4"/>
  <c r="E522" i="4"/>
  <c r="T521" i="4"/>
  <c r="P521" i="4"/>
  <c r="I521" i="4"/>
  <c r="E521" i="4"/>
  <c r="I520" i="4"/>
  <c r="E520" i="4"/>
  <c r="T519" i="4"/>
  <c r="P519" i="4"/>
  <c r="I519" i="4"/>
  <c r="E519" i="4"/>
  <c r="T518" i="4"/>
  <c r="P518" i="4"/>
  <c r="I518" i="4"/>
  <c r="E518" i="4"/>
  <c r="T517" i="4"/>
  <c r="P517" i="4"/>
  <c r="I517" i="4"/>
  <c r="E517" i="4"/>
  <c r="T516" i="4"/>
  <c r="P516" i="4"/>
  <c r="I516" i="4"/>
  <c r="E516" i="4"/>
  <c r="T515" i="4"/>
  <c r="P515" i="4"/>
  <c r="I515" i="4"/>
  <c r="E515" i="4"/>
  <c r="T514" i="4"/>
  <c r="P514" i="4"/>
  <c r="I514" i="4"/>
  <c r="E514" i="4"/>
  <c r="T513" i="4"/>
  <c r="P513" i="4"/>
  <c r="I513" i="4"/>
  <c r="E513" i="4"/>
  <c r="T512" i="4"/>
  <c r="P512" i="4"/>
  <c r="I512" i="4"/>
  <c r="E512" i="4"/>
  <c r="I511" i="4"/>
  <c r="E511" i="4"/>
  <c r="I510" i="4"/>
  <c r="E510" i="4"/>
  <c r="T509" i="4"/>
  <c r="P509" i="4"/>
  <c r="I509" i="4"/>
  <c r="E509" i="4"/>
  <c r="T508" i="4"/>
  <c r="P508" i="4"/>
  <c r="I508" i="4"/>
  <c r="E508" i="4"/>
  <c r="T507" i="4"/>
  <c r="P507" i="4"/>
  <c r="I507" i="4"/>
  <c r="E507" i="4"/>
  <c r="T506" i="4"/>
  <c r="P506" i="4"/>
  <c r="I506" i="4"/>
  <c r="E506" i="4"/>
  <c r="T504" i="4"/>
  <c r="P504" i="4"/>
  <c r="I504" i="4"/>
  <c r="E504" i="4"/>
  <c r="T503" i="4"/>
  <c r="P503" i="4"/>
  <c r="I503" i="4"/>
  <c r="E503" i="4"/>
  <c r="T502" i="4"/>
  <c r="P502" i="4"/>
  <c r="I502" i="4"/>
  <c r="E502" i="4"/>
  <c r="T501" i="4"/>
  <c r="P501" i="4"/>
  <c r="I501" i="4"/>
  <c r="E501" i="4"/>
  <c r="T500" i="4"/>
  <c r="P500" i="4"/>
  <c r="I500" i="4"/>
  <c r="E500" i="4"/>
  <c r="I499" i="4"/>
  <c r="E499" i="4"/>
  <c r="I498" i="4"/>
  <c r="E498" i="4"/>
  <c r="T497" i="4"/>
  <c r="P497" i="4"/>
  <c r="I497" i="4"/>
  <c r="E497" i="4"/>
  <c r="S491" i="4"/>
  <c r="R491" i="4"/>
  <c r="Q491" i="4"/>
  <c r="O491" i="4"/>
  <c r="N491" i="4"/>
  <c r="M491" i="4"/>
  <c r="H491" i="4"/>
  <c r="G491" i="4"/>
  <c r="F491" i="4"/>
  <c r="D491" i="4"/>
  <c r="C491" i="4"/>
  <c r="B491" i="4"/>
  <c r="I490" i="4"/>
  <c r="E490" i="4"/>
  <c r="I489" i="4"/>
  <c r="E489" i="4"/>
  <c r="T488" i="4"/>
  <c r="P488" i="4"/>
  <c r="I488" i="4"/>
  <c r="E488" i="4"/>
  <c r="T487" i="4"/>
  <c r="P487" i="4"/>
  <c r="I487" i="4"/>
  <c r="E487" i="4"/>
  <c r="T486" i="4"/>
  <c r="P486" i="4"/>
  <c r="I486" i="4"/>
  <c r="E486" i="4"/>
  <c r="T485" i="4"/>
  <c r="P485" i="4"/>
  <c r="I485" i="4"/>
  <c r="E485" i="4"/>
  <c r="T484" i="4"/>
  <c r="P484" i="4"/>
  <c r="I484" i="4"/>
  <c r="E484" i="4"/>
  <c r="T483" i="4"/>
  <c r="P483" i="4"/>
  <c r="I483" i="4"/>
  <c r="E483" i="4"/>
  <c r="T482" i="4"/>
  <c r="P482" i="4"/>
  <c r="I482" i="4"/>
  <c r="E482" i="4"/>
  <c r="T481" i="4"/>
  <c r="P481" i="4"/>
  <c r="I481" i="4"/>
  <c r="E481" i="4"/>
  <c r="T480" i="4"/>
  <c r="P480" i="4"/>
  <c r="I480" i="4"/>
  <c r="E480" i="4"/>
  <c r="T479" i="4"/>
  <c r="P479" i="4"/>
  <c r="I479" i="4"/>
  <c r="E479" i="4"/>
  <c r="T478" i="4"/>
  <c r="P478" i="4"/>
  <c r="I478" i="4"/>
  <c r="E478" i="4"/>
  <c r="T477" i="4"/>
  <c r="P477" i="4"/>
  <c r="I477" i="4"/>
  <c r="E477" i="4"/>
  <c r="T476" i="4"/>
  <c r="P476" i="4"/>
  <c r="I476" i="4"/>
  <c r="E476" i="4"/>
  <c r="T475" i="4"/>
  <c r="P475" i="4"/>
  <c r="I475" i="4"/>
  <c r="E475" i="4"/>
  <c r="T474" i="4"/>
  <c r="P474" i="4"/>
  <c r="I474" i="4"/>
  <c r="E474" i="4"/>
  <c r="T473" i="4"/>
  <c r="P473" i="4"/>
  <c r="I473" i="4"/>
  <c r="E473" i="4"/>
  <c r="T472" i="4"/>
  <c r="P472" i="4"/>
  <c r="I472" i="4"/>
  <c r="E472" i="4"/>
  <c r="T471" i="4"/>
  <c r="P471" i="4"/>
  <c r="I471" i="4"/>
  <c r="E471" i="4"/>
  <c r="T470" i="4"/>
  <c r="P470" i="4"/>
  <c r="I470" i="4"/>
  <c r="E470" i="4"/>
  <c r="T469" i="4"/>
  <c r="P469" i="4"/>
  <c r="I469" i="4"/>
  <c r="E469" i="4"/>
  <c r="T468" i="4"/>
  <c r="P468" i="4"/>
  <c r="I468" i="4"/>
  <c r="E468" i="4"/>
  <c r="T467" i="4"/>
  <c r="P467" i="4"/>
  <c r="I467" i="4"/>
  <c r="E467" i="4"/>
  <c r="T466" i="4"/>
  <c r="P466" i="4"/>
  <c r="I466" i="4"/>
  <c r="E466" i="4"/>
  <c r="T465" i="4"/>
  <c r="P465" i="4"/>
  <c r="I465" i="4"/>
  <c r="E465" i="4"/>
  <c r="T463" i="4"/>
  <c r="P463" i="4"/>
  <c r="I463" i="4"/>
  <c r="E463" i="4"/>
  <c r="T462" i="4"/>
  <c r="P462" i="4"/>
  <c r="I462" i="4"/>
  <c r="E462" i="4"/>
  <c r="T461" i="4"/>
  <c r="P461" i="4"/>
  <c r="I461" i="4"/>
  <c r="E461" i="4"/>
  <c r="I460" i="4"/>
  <c r="E460" i="4"/>
  <c r="T459" i="4"/>
  <c r="P459" i="4"/>
  <c r="I459" i="4"/>
  <c r="E459" i="4"/>
  <c r="T458" i="4"/>
  <c r="P458" i="4"/>
  <c r="I458" i="4"/>
  <c r="E458" i="4"/>
  <c r="T457" i="4"/>
  <c r="P457" i="4"/>
  <c r="I457" i="4"/>
  <c r="E457" i="4"/>
  <c r="T456" i="4"/>
  <c r="P456" i="4"/>
  <c r="I456" i="4"/>
  <c r="E456" i="4"/>
  <c r="Q616" i="4" l="1"/>
  <c r="S616" i="4"/>
  <c r="O616" i="4"/>
  <c r="M616" i="4"/>
  <c r="R616" i="4"/>
  <c r="N616" i="4"/>
  <c r="M616" i="1"/>
  <c r="N616" i="1"/>
  <c r="Q616" i="1"/>
  <c r="R616" i="1"/>
  <c r="O616" i="1"/>
  <c r="S616" i="1"/>
  <c r="U457" i="4"/>
  <c r="J456" i="4"/>
  <c r="J459" i="4"/>
  <c r="J462" i="4"/>
  <c r="U456" i="4"/>
  <c r="J458" i="4"/>
  <c r="U459" i="4"/>
  <c r="J461" i="4"/>
  <c r="U462" i="4"/>
  <c r="J465" i="4"/>
  <c r="U466" i="4"/>
  <c r="J468" i="4"/>
  <c r="U469" i="4"/>
  <c r="J471" i="4"/>
  <c r="U472" i="4"/>
  <c r="J474" i="4"/>
  <c r="U475" i="4"/>
  <c r="J477" i="4"/>
  <c r="U478" i="4"/>
  <c r="J480" i="4"/>
  <c r="U481" i="4"/>
  <c r="J483" i="4"/>
  <c r="U484" i="4"/>
  <c r="J486" i="4"/>
  <c r="U487" i="4"/>
  <c r="J489" i="4"/>
  <c r="J456" i="1"/>
  <c r="U457" i="1"/>
  <c r="J459" i="1"/>
  <c r="J462" i="1"/>
  <c r="U463" i="1"/>
  <c r="J466" i="1"/>
  <c r="U467" i="1"/>
  <c r="J469" i="1"/>
  <c r="U470" i="1"/>
  <c r="J472" i="1"/>
  <c r="U473" i="1"/>
  <c r="J475" i="1"/>
  <c r="U476" i="1"/>
  <c r="J478" i="1"/>
  <c r="U479" i="1"/>
  <c r="J481" i="1"/>
  <c r="U482" i="1"/>
  <c r="J484" i="1"/>
  <c r="U485" i="1"/>
  <c r="J487" i="1"/>
  <c r="U488" i="1"/>
  <c r="J490" i="1"/>
  <c r="U497" i="1"/>
  <c r="J499" i="1"/>
  <c r="U500" i="1"/>
  <c r="J502" i="1"/>
  <c r="U503" i="1"/>
  <c r="J506" i="1"/>
  <c r="U507" i="1"/>
  <c r="J509" i="1"/>
  <c r="J512" i="1"/>
  <c r="U513" i="1"/>
  <c r="J515" i="1"/>
  <c r="U516" i="1"/>
  <c r="J518" i="1"/>
  <c r="J521" i="1"/>
  <c r="U522" i="1"/>
  <c r="J524" i="1"/>
  <c r="U525" i="1"/>
  <c r="J527" i="1"/>
  <c r="U528" i="1"/>
  <c r="J530" i="1"/>
  <c r="U463" i="4"/>
  <c r="J466" i="4"/>
  <c r="I573" i="1"/>
  <c r="J457" i="4"/>
  <c r="J460" i="4"/>
  <c r="U461" i="4"/>
  <c r="J463" i="4"/>
  <c r="U465" i="4"/>
  <c r="J467" i="4"/>
  <c r="U468" i="4"/>
  <c r="J470" i="4"/>
  <c r="U471" i="4"/>
  <c r="J473" i="4"/>
  <c r="U474" i="4"/>
  <c r="J476" i="4"/>
  <c r="U477" i="4"/>
  <c r="J479" i="4"/>
  <c r="U480" i="4"/>
  <c r="J482" i="4"/>
  <c r="U483" i="4"/>
  <c r="J485" i="4"/>
  <c r="U486" i="4"/>
  <c r="J488" i="4"/>
  <c r="J497" i="4"/>
  <c r="J500" i="4"/>
  <c r="U501" i="4"/>
  <c r="J503" i="4"/>
  <c r="U504" i="4"/>
  <c r="J507" i="4"/>
  <c r="U508" i="4"/>
  <c r="J510" i="4"/>
  <c r="J513" i="4"/>
  <c r="U514" i="4"/>
  <c r="J516" i="4"/>
  <c r="U517" i="4"/>
  <c r="J519" i="4"/>
  <c r="J522" i="4"/>
  <c r="U523" i="4"/>
  <c r="J525" i="4"/>
  <c r="U526" i="4"/>
  <c r="J528" i="4"/>
  <c r="J531" i="4"/>
  <c r="J498" i="1"/>
  <c r="J501" i="1"/>
  <c r="U502" i="1"/>
  <c r="J504" i="1"/>
  <c r="U506" i="1"/>
  <c r="J508" i="1"/>
  <c r="U509" i="1"/>
  <c r="J511" i="1"/>
  <c r="U512" i="1"/>
  <c r="J514" i="1"/>
  <c r="U515" i="1"/>
  <c r="J517" i="1"/>
  <c r="U518" i="1"/>
  <c r="J520" i="1"/>
  <c r="U521" i="1"/>
  <c r="J523" i="1"/>
  <c r="U524" i="1"/>
  <c r="J526" i="1"/>
  <c r="U527" i="1"/>
  <c r="J529" i="1"/>
  <c r="U467" i="4"/>
  <c r="J469" i="4"/>
  <c r="U470" i="4"/>
  <c r="J472" i="4"/>
  <c r="U473" i="4"/>
  <c r="J475" i="4"/>
  <c r="U476" i="4"/>
  <c r="J478" i="4"/>
  <c r="U479" i="4"/>
  <c r="J481" i="4"/>
  <c r="U482" i="4"/>
  <c r="J484" i="4"/>
  <c r="U485" i="4"/>
  <c r="J487" i="4"/>
  <c r="U488" i="4"/>
  <c r="J490" i="4"/>
  <c r="U497" i="4"/>
  <c r="J499" i="4"/>
  <c r="U500" i="4"/>
  <c r="J502" i="4"/>
  <c r="U503" i="4"/>
  <c r="J506" i="4"/>
  <c r="U507" i="4"/>
  <c r="J509" i="4"/>
  <c r="J512" i="4"/>
  <c r="U513" i="4"/>
  <c r="J515" i="4"/>
  <c r="U516" i="4"/>
  <c r="J518" i="4"/>
  <c r="U519" i="4"/>
  <c r="J521" i="4"/>
  <c r="U522" i="4"/>
  <c r="J524" i="4"/>
  <c r="U525" i="4"/>
  <c r="J527" i="4"/>
  <c r="U528" i="4"/>
  <c r="J530" i="4"/>
  <c r="J457" i="1"/>
  <c r="J460" i="1"/>
  <c r="U461" i="1"/>
  <c r="J463" i="1"/>
  <c r="U465" i="1"/>
  <c r="J467" i="1"/>
  <c r="U468" i="1"/>
  <c r="J470" i="1"/>
  <c r="U471" i="1"/>
  <c r="J473" i="1"/>
  <c r="U474" i="1"/>
  <c r="J476" i="1"/>
  <c r="U477" i="1"/>
  <c r="J479" i="1"/>
  <c r="U480" i="1"/>
  <c r="J482" i="1"/>
  <c r="U483" i="1"/>
  <c r="J485" i="1"/>
  <c r="U486" i="1"/>
  <c r="J488" i="1"/>
  <c r="I491" i="4"/>
  <c r="T491" i="4"/>
  <c r="I532" i="1"/>
  <c r="U458" i="4"/>
  <c r="E532" i="1"/>
  <c r="J538" i="1"/>
  <c r="U539" i="1"/>
  <c r="J541" i="1"/>
  <c r="J544" i="1"/>
  <c r="U545" i="1"/>
  <c r="J548" i="1"/>
  <c r="J551" i="1"/>
  <c r="U552" i="1"/>
  <c r="J554" i="1"/>
  <c r="U555" i="1"/>
  <c r="J557" i="1"/>
  <c r="U558" i="1"/>
  <c r="J560" i="1"/>
  <c r="U561" i="1"/>
  <c r="J563" i="1"/>
  <c r="U564" i="1"/>
  <c r="J566" i="1"/>
  <c r="U567" i="1"/>
  <c r="J569" i="1"/>
  <c r="J572" i="1"/>
  <c r="P491" i="1"/>
  <c r="T532" i="1"/>
  <c r="E491" i="4"/>
  <c r="P491" i="4"/>
  <c r="J498" i="4"/>
  <c r="J501" i="4"/>
  <c r="U502" i="4"/>
  <c r="J504" i="4"/>
  <c r="U506" i="4"/>
  <c r="J508" i="4"/>
  <c r="U509" i="4"/>
  <c r="J511" i="4"/>
  <c r="U512" i="4"/>
  <c r="J514" i="4"/>
  <c r="U515" i="4"/>
  <c r="P532" i="1"/>
  <c r="U538" i="1"/>
  <c r="J540" i="1"/>
  <c r="J543" i="1"/>
  <c r="U544" i="1"/>
  <c r="J547" i="1"/>
  <c r="J550" i="1"/>
  <c r="U551" i="1"/>
  <c r="J553" i="1"/>
  <c r="U554" i="1"/>
  <c r="J556" i="1"/>
  <c r="U557" i="1"/>
  <c r="J559" i="1"/>
  <c r="U560" i="1"/>
  <c r="J562" i="1"/>
  <c r="U563" i="1"/>
  <c r="J565" i="1"/>
  <c r="U566" i="1"/>
  <c r="J568" i="1"/>
  <c r="J571" i="1"/>
  <c r="T491" i="1"/>
  <c r="J517" i="4"/>
  <c r="U518" i="4"/>
  <c r="J520" i="4"/>
  <c r="U521" i="4"/>
  <c r="J523" i="4"/>
  <c r="U524" i="4"/>
  <c r="J526" i="4"/>
  <c r="U527" i="4"/>
  <c r="J529" i="4"/>
  <c r="E532" i="4"/>
  <c r="P532" i="4"/>
  <c r="U456" i="1"/>
  <c r="J458" i="1"/>
  <c r="U459" i="1"/>
  <c r="J461" i="1"/>
  <c r="U462" i="1"/>
  <c r="J465" i="1"/>
  <c r="U466" i="1"/>
  <c r="J468" i="1"/>
  <c r="U469" i="1"/>
  <c r="J471" i="1"/>
  <c r="U472" i="1"/>
  <c r="J474" i="1"/>
  <c r="U475" i="1"/>
  <c r="J477" i="1"/>
  <c r="U478" i="1"/>
  <c r="J480" i="1"/>
  <c r="U481" i="1"/>
  <c r="J483" i="1"/>
  <c r="U484" i="1"/>
  <c r="J486" i="1"/>
  <c r="U487" i="1"/>
  <c r="J489" i="1"/>
  <c r="I491" i="1"/>
  <c r="J497" i="1"/>
  <c r="U498" i="1"/>
  <c r="J500" i="1"/>
  <c r="U501" i="1"/>
  <c r="J503" i="1"/>
  <c r="U504" i="1"/>
  <c r="J507" i="1"/>
  <c r="U508" i="1"/>
  <c r="J510" i="1"/>
  <c r="U511" i="1"/>
  <c r="J513" i="1"/>
  <c r="U514" i="1"/>
  <c r="J516" i="1"/>
  <c r="U517" i="1"/>
  <c r="J519" i="1"/>
  <c r="U520" i="1"/>
  <c r="J522" i="1"/>
  <c r="U523" i="1"/>
  <c r="J525" i="1"/>
  <c r="U526" i="1"/>
  <c r="J528" i="1"/>
  <c r="U529" i="1"/>
  <c r="J531" i="1"/>
  <c r="J539" i="1"/>
  <c r="J542" i="1"/>
  <c r="U543" i="1"/>
  <c r="J545" i="1"/>
  <c r="U547" i="1"/>
  <c r="J549" i="1"/>
  <c r="J552" i="1"/>
  <c r="U553" i="1"/>
  <c r="J555" i="1"/>
  <c r="U556" i="1"/>
  <c r="J558" i="1"/>
  <c r="U559" i="1"/>
  <c r="J561" i="1"/>
  <c r="U562" i="1"/>
  <c r="J564" i="1"/>
  <c r="U565" i="1"/>
  <c r="J567" i="1"/>
  <c r="U568" i="1"/>
  <c r="J570" i="1"/>
  <c r="E573" i="1"/>
  <c r="P573" i="1"/>
  <c r="I532" i="4"/>
  <c r="T532" i="4"/>
  <c r="E491" i="1"/>
  <c r="T573" i="1"/>
  <c r="T449" i="1"/>
  <c r="P449" i="1"/>
  <c r="S450" i="1"/>
  <c r="R450" i="1"/>
  <c r="Q450" i="1"/>
  <c r="O450" i="1"/>
  <c r="N450" i="1"/>
  <c r="M450" i="1"/>
  <c r="H450" i="1"/>
  <c r="G450" i="1"/>
  <c r="F450" i="1"/>
  <c r="D450" i="1"/>
  <c r="C450" i="1"/>
  <c r="B450" i="1"/>
  <c r="I449" i="1"/>
  <c r="E449" i="1"/>
  <c r="T448" i="1"/>
  <c r="P448" i="1"/>
  <c r="I448" i="1"/>
  <c r="E448" i="1"/>
  <c r="T447" i="1"/>
  <c r="P447" i="1"/>
  <c r="I447" i="1"/>
  <c r="E447" i="1"/>
  <c r="T446" i="1"/>
  <c r="P446" i="1"/>
  <c r="I446" i="1"/>
  <c r="E446" i="1"/>
  <c r="T445" i="1"/>
  <c r="P445" i="1"/>
  <c r="I445" i="1"/>
  <c r="E445" i="1"/>
  <c r="T444" i="1"/>
  <c r="P444" i="1"/>
  <c r="I444" i="1"/>
  <c r="E444" i="1"/>
  <c r="T443" i="1"/>
  <c r="P443" i="1"/>
  <c r="I443" i="1"/>
  <c r="E443" i="1"/>
  <c r="T442" i="1"/>
  <c r="P442" i="1"/>
  <c r="I442" i="1"/>
  <c r="E442" i="1"/>
  <c r="T441" i="1"/>
  <c r="P441" i="1"/>
  <c r="I441" i="1"/>
  <c r="E441" i="1"/>
  <c r="T440" i="1"/>
  <c r="P440" i="1"/>
  <c r="I440" i="1"/>
  <c r="E440" i="1"/>
  <c r="T439" i="1"/>
  <c r="P439" i="1"/>
  <c r="I439" i="1"/>
  <c r="E439" i="1"/>
  <c r="T438" i="1"/>
  <c r="P438" i="1"/>
  <c r="I438" i="1"/>
  <c r="E438" i="1"/>
  <c r="T437" i="1"/>
  <c r="P437" i="1"/>
  <c r="I437" i="1"/>
  <c r="E437" i="1"/>
  <c r="T436" i="1"/>
  <c r="P436" i="1"/>
  <c r="I436" i="1"/>
  <c r="E436" i="1"/>
  <c r="T435" i="1"/>
  <c r="P435" i="1"/>
  <c r="I435" i="1"/>
  <c r="E435" i="1"/>
  <c r="T434" i="1"/>
  <c r="P434" i="1"/>
  <c r="I434" i="1"/>
  <c r="E434" i="1"/>
  <c r="T433" i="1"/>
  <c r="P433" i="1"/>
  <c r="I433" i="1"/>
  <c r="E433" i="1"/>
  <c r="T432" i="1"/>
  <c r="P432" i="1"/>
  <c r="I432" i="1"/>
  <c r="E432" i="1"/>
  <c r="T431" i="1"/>
  <c r="P431" i="1"/>
  <c r="I431" i="1"/>
  <c r="E431" i="1"/>
  <c r="T430" i="1"/>
  <c r="P430" i="1"/>
  <c r="I430" i="1"/>
  <c r="E430" i="1"/>
  <c r="T429" i="1"/>
  <c r="P429" i="1"/>
  <c r="I429" i="1"/>
  <c r="E429" i="1"/>
  <c r="T428" i="1"/>
  <c r="P428" i="1"/>
  <c r="I428" i="1"/>
  <c r="E428" i="1"/>
  <c r="T427" i="1"/>
  <c r="P427" i="1"/>
  <c r="I427" i="1"/>
  <c r="E427" i="1"/>
  <c r="T426" i="1"/>
  <c r="P426" i="1"/>
  <c r="I426" i="1"/>
  <c r="E426" i="1"/>
  <c r="T425" i="1"/>
  <c r="P425" i="1"/>
  <c r="I425" i="1"/>
  <c r="E425" i="1"/>
  <c r="T424" i="1"/>
  <c r="P424" i="1"/>
  <c r="I424" i="1"/>
  <c r="E424" i="1"/>
  <c r="T422" i="1"/>
  <c r="P422" i="1"/>
  <c r="I422" i="1"/>
  <c r="E422" i="1"/>
  <c r="T421" i="1"/>
  <c r="P421" i="1"/>
  <c r="I421" i="1"/>
  <c r="E421" i="1"/>
  <c r="T420" i="1"/>
  <c r="P420" i="1"/>
  <c r="I420" i="1"/>
  <c r="E420" i="1"/>
  <c r="T419" i="1"/>
  <c r="P419" i="1"/>
  <c r="I419" i="1"/>
  <c r="E419" i="1"/>
  <c r="T418" i="1"/>
  <c r="P418" i="1"/>
  <c r="I418" i="1"/>
  <c r="E418" i="1"/>
  <c r="T417" i="1"/>
  <c r="P417" i="1"/>
  <c r="I417" i="1"/>
  <c r="E417" i="1"/>
  <c r="T416" i="1"/>
  <c r="P416" i="1"/>
  <c r="I416" i="1"/>
  <c r="E416" i="1"/>
  <c r="T415" i="1"/>
  <c r="P415" i="1"/>
  <c r="I415" i="1"/>
  <c r="E415" i="1"/>
  <c r="T449" i="4"/>
  <c r="P449" i="4"/>
  <c r="S450" i="4"/>
  <c r="R450" i="4"/>
  <c r="Q450" i="4"/>
  <c r="O450" i="4"/>
  <c r="N450" i="4"/>
  <c r="M450" i="4"/>
  <c r="H450" i="4"/>
  <c r="G450" i="4"/>
  <c r="F450" i="4"/>
  <c r="D450" i="4"/>
  <c r="C450" i="4"/>
  <c r="B450" i="4"/>
  <c r="I449" i="4"/>
  <c r="E449" i="4"/>
  <c r="T448" i="4"/>
  <c r="P448" i="4"/>
  <c r="I448" i="4"/>
  <c r="E448" i="4"/>
  <c r="T447" i="4"/>
  <c r="P447" i="4"/>
  <c r="I447" i="4"/>
  <c r="E447" i="4"/>
  <c r="T446" i="4"/>
  <c r="P446" i="4"/>
  <c r="I446" i="4"/>
  <c r="E446" i="4"/>
  <c r="T445" i="4"/>
  <c r="P445" i="4"/>
  <c r="I445" i="4"/>
  <c r="E445" i="4"/>
  <c r="T444" i="4"/>
  <c r="P444" i="4"/>
  <c r="I444" i="4"/>
  <c r="E444" i="4"/>
  <c r="T443" i="4"/>
  <c r="P443" i="4"/>
  <c r="I443" i="4"/>
  <c r="E443" i="4"/>
  <c r="T442" i="4"/>
  <c r="P442" i="4"/>
  <c r="I442" i="4"/>
  <c r="E442" i="4"/>
  <c r="T441" i="4"/>
  <c r="P441" i="4"/>
  <c r="I441" i="4"/>
  <c r="E441" i="4"/>
  <c r="T440" i="4"/>
  <c r="P440" i="4"/>
  <c r="I440" i="4"/>
  <c r="E440" i="4"/>
  <c r="T439" i="4"/>
  <c r="P439" i="4"/>
  <c r="I439" i="4"/>
  <c r="E439" i="4"/>
  <c r="T438" i="4"/>
  <c r="P438" i="4"/>
  <c r="I438" i="4"/>
  <c r="E438" i="4"/>
  <c r="T437" i="4"/>
  <c r="P437" i="4"/>
  <c r="I437" i="4"/>
  <c r="E437" i="4"/>
  <c r="T436" i="4"/>
  <c r="P436" i="4"/>
  <c r="I436" i="4"/>
  <c r="E436" i="4"/>
  <c r="T435" i="4"/>
  <c r="P435" i="4"/>
  <c r="I435" i="4"/>
  <c r="E435" i="4"/>
  <c r="T434" i="4"/>
  <c r="P434" i="4"/>
  <c r="I434" i="4"/>
  <c r="E434" i="4"/>
  <c r="T433" i="4"/>
  <c r="P433" i="4"/>
  <c r="I433" i="4"/>
  <c r="E433" i="4"/>
  <c r="T432" i="4"/>
  <c r="P432" i="4"/>
  <c r="I432" i="4"/>
  <c r="E432" i="4"/>
  <c r="T431" i="4"/>
  <c r="P431" i="4"/>
  <c r="I431" i="4"/>
  <c r="E431" i="4"/>
  <c r="T430" i="4"/>
  <c r="P430" i="4"/>
  <c r="I430" i="4"/>
  <c r="E430" i="4"/>
  <c r="T429" i="4"/>
  <c r="P429" i="4"/>
  <c r="I429" i="4"/>
  <c r="E429" i="4"/>
  <c r="T428" i="4"/>
  <c r="P428" i="4"/>
  <c r="I428" i="4"/>
  <c r="E428" i="4"/>
  <c r="T427" i="4"/>
  <c r="P427" i="4"/>
  <c r="I427" i="4"/>
  <c r="E427" i="4"/>
  <c r="T426" i="4"/>
  <c r="P426" i="4"/>
  <c r="I426" i="4"/>
  <c r="E426" i="4"/>
  <c r="T425" i="4"/>
  <c r="P425" i="4"/>
  <c r="I425" i="4"/>
  <c r="E425" i="4"/>
  <c r="T424" i="4"/>
  <c r="P424" i="4"/>
  <c r="I424" i="4"/>
  <c r="E424" i="4"/>
  <c r="T422" i="4"/>
  <c r="P422" i="4"/>
  <c r="I422" i="4"/>
  <c r="E422" i="4"/>
  <c r="T421" i="4"/>
  <c r="P421" i="4"/>
  <c r="I421" i="4"/>
  <c r="E421" i="4"/>
  <c r="T420" i="4"/>
  <c r="P420" i="4"/>
  <c r="I420" i="4"/>
  <c r="E420" i="4"/>
  <c r="T419" i="4"/>
  <c r="P419" i="4"/>
  <c r="I419" i="4"/>
  <c r="E419" i="4"/>
  <c r="T418" i="4"/>
  <c r="P418" i="4"/>
  <c r="I418" i="4"/>
  <c r="E418" i="4"/>
  <c r="T417" i="4"/>
  <c r="P417" i="4"/>
  <c r="I417" i="4"/>
  <c r="E417" i="4"/>
  <c r="T416" i="4"/>
  <c r="P416" i="4"/>
  <c r="I416" i="4"/>
  <c r="E416" i="4"/>
  <c r="T415" i="4"/>
  <c r="P415" i="4"/>
  <c r="I415" i="4"/>
  <c r="E415" i="4"/>
  <c r="T616" i="4" l="1"/>
  <c r="P616" i="4"/>
  <c r="P617" i="4" s="1"/>
  <c r="T616" i="1"/>
  <c r="T617" i="1" s="1"/>
  <c r="P616" i="1"/>
  <c r="U491" i="4"/>
  <c r="J573" i="1"/>
  <c r="J491" i="4"/>
  <c r="J415" i="4"/>
  <c r="J418" i="4"/>
  <c r="J421" i="4"/>
  <c r="U422" i="4"/>
  <c r="J431" i="4"/>
  <c r="J434" i="4"/>
  <c r="J437" i="4"/>
  <c r="J440" i="4"/>
  <c r="J443" i="4"/>
  <c r="J446" i="4"/>
  <c r="U447" i="4"/>
  <c r="J449" i="4"/>
  <c r="U418" i="1"/>
  <c r="J420" i="1"/>
  <c r="U421" i="1"/>
  <c r="U425" i="1"/>
  <c r="J430" i="1"/>
  <c r="J433" i="1"/>
  <c r="U434" i="1"/>
  <c r="J436" i="1"/>
  <c r="U437" i="1"/>
  <c r="J439" i="1"/>
  <c r="U440" i="1"/>
  <c r="J442" i="1"/>
  <c r="U443" i="1"/>
  <c r="J445" i="1"/>
  <c r="U446" i="1"/>
  <c r="J448" i="1"/>
  <c r="J427" i="1"/>
  <c r="U431" i="1"/>
  <c r="U532" i="1"/>
  <c r="J532" i="1"/>
  <c r="U428" i="1"/>
  <c r="U491" i="1"/>
  <c r="I450" i="4"/>
  <c r="U573" i="1"/>
  <c r="J491" i="1"/>
  <c r="J532" i="4"/>
  <c r="U532" i="4"/>
  <c r="J416" i="4"/>
  <c r="J419" i="4"/>
  <c r="J422" i="4"/>
  <c r="J432" i="4"/>
  <c r="J435" i="4"/>
  <c r="J438" i="4"/>
  <c r="J441" i="4"/>
  <c r="J444" i="4"/>
  <c r="U445" i="4"/>
  <c r="J447" i="4"/>
  <c r="U448" i="4"/>
  <c r="J418" i="1"/>
  <c r="U419" i="1"/>
  <c r="J421" i="1"/>
  <c r="U422" i="1"/>
  <c r="U426" i="1"/>
  <c r="J428" i="1"/>
  <c r="U429" i="1"/>
  <c r="J431" i="1"/>
  <c r="U432" i="1"/>
  <c r="J434" i="1"/>
  <c r="U435" i="1"/>
  <c r="J437" i="1"/>
  <c r="U438" i="1"/>
  <c r="J440" i="1"/>
  <c r="U441" i="1"/>
  <c r="J443" i="1"/>
  <c r="U444" i="1"/>
  <c r="J446" i="1"/>
  <c r="U447" i="1"/>
  <c r="J449" i="1"/>
  <c r="J417" i="4"/>
  <c r="J420" i="4"/>
  <c r="U421" i="4"/>
  <c r="J430" i="4"/>
  <c r="J433" i="4"/>
  <c r="J436" i="4"/>
  <c r="J439" i="4"/>
  <c r="J442" i="4"/>
  <c r="J445" i="4"/>
  <c r="J448" i="4"/>
  <c r="E450" i="4"/>
  <c r="U449" i="4"/>
  <c r="J419" i="1"/>
  <c r="U420" i="1"/>
  <c r="J422" i="1"/>
  <c r="U424" i="1"/>
  <c r="U427" i="1"/>
  <c r="J429" i="1"/>
  <c r="U430" i="1"/>
  <c r="J432" i="1"/>
  <c r="U433" i="1"/>
  <c r="J435" i="1"/>
  <c r="U436" i="1"/>
  <c r="J438" i="1"/>
  <c r="U439" i="1"/>
  <c r="J441" i="1"/>
  <c r="U442" i="1"/>
  <c r="J444" i="1"/>
  <c r="U445" i="1"/>
  <c r="J447" i="1"/>
  <c r="U448" i="1"/>
  <c r="I450" i="1"/>
  <c r="E450" i="1"/>
  <c r="U449" i="1"/>
  <c r="T450" i="1"/>
  <c r="P450" i="1"/>
  <c r="U415" i="1"/>
  <c r="U416" i="1"/>
  <c r="U417" i="1"/>
  <c r="J424" i="1"/>
  <c r="J425" i="1"/>
  <c r="J426" i="1"/>
  <c r="J415" i="1"/>
  <c r="J416" i="1"/>
  <c r="J417" i="1"/>
  <c r="U446" i="4"/>
  <c r="P450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T450" i="4"/>
  <c r="U415" i="4"/>
  <c r="U416" i="4"/>
  <c r="U417" i="4"/>
  <c r="U418" i="4"/>
  <c r="U419" i="4"/>
  <c r="U420" i="4"/>
  <c r="J424" i="4"/>
  <c r="J425" i="4"/>
  <c r="J426" i="4"/>
  <c r="J427" i="4"/>
  <c r="J428" i="4"/>
  <c r="J429" i="4"/>
  <c r="I383" i="4"/>
  <c r="E383" i="4"/>
  <c r="O617" i="4" l="1"/>
  <c r="N617" i="4"/>
  <c r="M617" i="4"/>
  <c r="U616" i="4"/>
  <c r="S617" i="1"/>
  <c r="R617" i="1"/>
  <c r="Q617" i="1"/>
  <c r="U616" i="1"/>
  <c r="P617" i="1"/>
  <c r="M617" i="1"/>
  <c r="N617" i="1"/>
  <c r="O617" i="1"/>
  <c r="J450" i="4"/>
  <c r="J383" i="4"/>
  <c r="J450" i="1"/>
  <c r="U450" i="4"/>
  <c r="U450" i="1"/>
  <c r="T405" i="1"/>
  <c r="P405" i="1"/>
  <c r="T405" i="4"/>
  <c r="P405" i="4"/>
  <c r="U405" i="4" l="1"/>
  <c r="U405" i="1"/>
  <c r="T407" i="4"/>
  <c r="P407" i="4"/>
  <c r="P406" i="4"/>
  <c r="T406" i="4"/>
  <c r="T383" i="4"/>
  <c r="P383" i="4"/>
  <c r="T365" i="4"/>
  <c r="P365" i="4"/>
  <c r="P406" i="1"/>
  <c r="T406" i="1"/>
  <c r="P407" i="1"/>
  <c r="T407" i="1"/>
  <c r="T383" i="1"/>
  <c r="P383" i="1"/>
  <c r="T365" i="1"/>
  <c r="P365" i="1"/>
  <c r="U365" i="1" l="1"/>
  <c r="U406" i="1"/>
  <c r="U383" i="1"/>
  <c r="U407" i="1"/>
  <c r="U406" i="4"/>
  <c r="U383" i="4"/>
  <c r="U365" i="4"/>
  <c r="U407" i="4"/>
  <c r="T361" i="1"/>
  <c r="P361" i="1"/>
  <c r="U361" i="1" l="1"/>
  <c r="T367" i="1" l="1"/>
  <c r="P367" i="1"/>
  <c r="T366" i="1"/>
  <c r="P366" i="1"/>
  <c r="S409" i="1"/>
  <c r="R409" i="1"/>
  <c r="Q409" i="1"/>
  <c r="O409" i="1"/>
  <c r="N409" i="1"/>
  <c r="M409" i="1"/>
  <c r="H409" i="1"/>
  <c r="G409" i="1"/>
  <c r="F409" i="1"/>
  <c r="D409" i="1"/>
  <c r="C409" i="1"/>
  <c r="B409" i="1"/>
  <c r="T408" i="1"/>
  <c r="P408" i="1"/>
  <c r="I408" i="1"/>
  <c r="E408" i="1"/>
  <c r="I407" i="1"/>
  <c r="E407" i="1"/>
  <c r="I406" i="1"/>
  <c r="E406" i="1"/>
  <c r="I405" i="1"/>
  <c r="E405" i="1"/>
  <c r="T404" i="1"/>
  <c r="P404" i="1"/>
  <c r="I404" i="1"/>
  <c r="E404" i="1"/>
  <c r="T403" i="1"/>
  <c r="P403" i="1"/>
  <c r="I403" i="1"/>
  <c r="E403" i="1"/>
  <c r="T402" i="1"/>
  <c r="P402" i="1"/>
  <c r="I402" i="1"/>
  <c r="E402" i="1"/>
  <c r="T401" i="1"/>
  <c r="P401" i="1"/>
  <c r="I401" i="1"/>
  <c r="E401" i="1"/>
  <c r="T400" i="1"/>
  <c r="P400" i="1"/>
  <c r="I400" i="1"/>
  <c r="E400" i="1"/>
  <c r="T399" i="1"/>
  <c r="P399" i="1"/>
  <c r="I399" i="1"/>
  <c r="E399" i="1"/>
  <c r="T398" i="1"/>
  <c r="P398" i="1"/>
  <c r="I398" i="1"/>
  <c r="E398" i="1"/>
  <c r="T397" i="1"/>
  <c r="P397" i="1"/>
  <c r="I397" i="1"/>
  <c r="E397" i="1"/>
  <c r="T396" i="1"/>
  <c r="P396" i="1"/>
  <c r="I396" i="1"/>
  <c r="E396" i="1"/>
  <c r="T395" i="1"/>
  <c r="P395" i="1"/>
  <c r="I395" i="1"/>
  <c r="E395" i="1"/>
  <c r="T394" i="1"/>
  <c r="P394" i="1"/>
  <c r="I394" i="1"/>
  <c r="E394" i="1"/>
  <c r="T393" i="1"/>
  <c r="P393" i="1"/>
  <c r="I393" i="1"/>
  <c r="E393" i="1"/>
  <c r="T392" i="1"/>
  <c r="P392" i="1"/>
  <c r="I392" i="1"/>
  <c r="E392" i="1"/>
  <c r="T391" i="1"/>
  <c r="P391" i="1"/>
  <c r="I391" i="1"/>
  <c r="E391" i="1"/>
  <c r="T390" i="1"/>
  <c r="P390" i="1"/>
  <c r="I390" i="1"/>
  <c r="E390" i="1"/>
  <c r="T389" i="1"/>
  <c r="P389" i="1"/>
  <c r="I389" i="1"/>
  <c r="E389" i="1"/>
  <c r="T388" i="1"/>
  <c r="P388" i="1"/>
  <c r="I388" i="1"/>
  <c r="E388" i="1"/>
  <c r="T387" i="1"/>
  <c r="P387" i="1"/>
  <c r="I387" i="1"/>
  <c r="E387" i="1"/>
  <c r="T386" i="1"/>
  <c r="P386" i="1"/>
  <c r="I386" i="1"/>
  <c r="E386" i="1"/>
  <c r="T385" i="1"/>
  <c r="P385" i="1"/>
  <c r="I385" i="1"/>
  <c r="E385" i="1"/>
  <c r="T384" i="1"/>
  <c r="P384" i="1"/>
  <c r="I384" i="1"/>
  <c r="E384" i="1"/>
  <c r="I383" i="1"/>
  <c r="E383" i="1"/>
  <c r="T381" i="1"/>
  <c r="P381" i="1"/>
  <c r="I381" i="1"/>
  <c r="E381" i="1"/>
  <c r="T380" i="1"/>
  <c r="P380" i="1"/>
  <c r="I380" i="1"/>
  <c r="E380" i="1"/>
  <c r="T379" i="1"/>
  <c r="P379" i="1"/>
  <c r="I379" i="1"/>
  <c r="E379" i="1"/>
  <c r="T378" i="1"/>
  <c r="P378" i="1"/>
  <c r="I378" i="1"/>
  <c r="E378" i="1"/>
  <c r="T377" i="1"/>
  <c r="P377" i="1"/>
  <c r="I377" i="1"/>
  <c r="E377" i="1"/>
  <c r="T376" i="1"/>
  <c r="P376" i="1"/>
  <c r="I376" i="1"/>
  <c r="E376" i="1"/>
  <c r="T375" i="1"/>
  <c r="P375" i="1"/>
  <c r="I375" i="1"/>
  <c r="E375" i="1"/>
  <c r="T374" i="1"/>
  <c r="P374" i="1"/>
  <c r="I374" i="1"/>
  <c r="E374" i="1"/>
  <c r="T367" i="4"/>
  <c r="P367" i="4"/>
  <c r="T366" i="4"/>
  <c r="P366" i="4"/>
  <c r="S409" i="4"/>
  <c r="R409" i="4"/>
  <c r="Q409" i="4"/>
  <c r="O409" i="4"/>
  <c r="N409" i="4"/>
  <c r="M409" i="4"/>
  <c r="H409" i="4"/>
  <c r="G409" i="4"/>
  <c r="F409" i="4"/>
  <c r="D409" i="4"/>
  <c r="C409" i="4"/>
  <c r="B409" i="4"/>
  <c r="T408" i="4"/>
  <c r="P408" i="4"/>
  <c r="I408" i="4"/>
  <c r="E408" i="4"/>
  <c r="I407" i="4"/>
  <c r="E407" i="4"/>
  <c r="I406" i="4"/>
  <c r="E406" i="4"/>
  <c r="I405" i="4"/>
  <c r="E405" i="4"/>
  <c r="T404" i="4"/>
  <c r="P404" i="4"/>
  <c r="I404" i="4"/>
  <c r="E404" i="4"/>
  <c r="T403" i="4"/>
  <c r="P403" i="4"/>
  <c r="I403" i="4"/>
  <c r="E403" i="4"/>
  <c r="T402" i="4"/>
  <c r="P402" i="4"/>
  <c r="I402" i="4"/>
  <c r="E402" i="4"/>
  <c r="T401" i="4"/>
  <c r="P401" i="4"/>
  <c r="I401" i="4"/>
  <c r="E401" i="4"/>
  <c r="T400" i="4"/>
  <c r="P400" i="4"/>
  <c r="I400" i="4"/>
  <c r="E400" i="4"/>
  <c r="T399" i="4"/>
  <c r="P399" i="4"/>
  <c r="I399" i="4"/>
  <c r="E399" i="4"/>
  <c r="T398" i="4"/>
  <c r="P398" i="4"/>
  <c r="I398" i="4"/>
  <c r="E398" i="4"/>
  <c r="T397" i="4"/>
  <c r="P397" i="4"/>
  <c r="I397" i="4"/>
  <c r="E397" i="4"/>
  <c r="T396" i="4"/>
  <c r="P396" i="4"/>
  <c r="I396" i="4"/>
  <c r="E396" i="4"/>
  <c r="T395" i="4"/>
  <c r="P395" i="4"/>
  <c r="I395" i="4"/>
  <c r="E395" i="4"/>
  <c r="T394" i="4"/>
  <c r="P394" i="4"/>
  <c r="I394" i="4"/>
  <c r="E394" i="4"/>
  <c r="T393" i="4"/>
  <c r="P393" i="4"/>
  <c r="I393" i="4"/>
  <c r="E393" i="4"/>
  <c r="T392" i="4"/>
  <c r="P392" i="4"/>
  <c r="I392" i="4"/>
  <c r="E392" i="4"/>
  <c r="T391" i="4"/>
  <c r="P391" i="4"/>
  <c r="I391" i="4"/>
  <c r="E391" i="4"/>
  <c r="T390" i="4"/>
  <c r="P390" i="4"/>
  <c r="I390" i="4"/>
  <c r="E390" i="4"/>
  <c r="T389" i="4"/>
  <c r="P389" i="4"/>
  <c r="I389" i="4"/>
  <c r="E389" i="4"/>
  <c r="T388" i="4"/>
  <c r="P388" i="4"/>
  <c r="I388" i="4"/>
  <c r="E388" i="4"/>
  <c r="T387" i="4"/>
  <c r="P387" i="4"/>
  <c r="I387" i="4"/>
  <c r="E387" i="4"/>
  <c r="T386" i="4"/>
  <c r="P386" i="4"/>
  <c r="I386" i="4"/>
  <c r="E386" i="4"/>
  <c r="T385" i="4"/>
  <c r="P385" i="4"/>
  <c r="I385" i="4"/>
  <c r="E385" i="4"/>
  <c r="T384" i="4"/>
  <c r="P384" i="4"/>
  <c r="I384" i="4"/>
  <c r="E384" i="4"/>
  <c r="T381" i="4"/>
  <c r="P381" i="4"/>
  <c r="I381" i="4"/>
  <c r="E381" i="4"/>
  <c r="T380" i="4"/>
  <c r="P380" i="4"/>
  <c r="I380" i="4"/>
  <c r="E380" i="4"/>
  <c r="T379" i="4"/>
  <c r="P379" i="4"/>
  <c r="I379" i="4"/>
  <c r="E379" i="4"/>
  <c r="T378" i="4"/>
  <c r="P378" i="4"/>
  <c r="I378" i="4"/>
  <c r="E378" i="4"/>
  <c r="T377" i="4"/>
  <c r="P377" i="4"/>
  <c r="I377" i="4"/>
  <c r="E377" i="4"/>
  <c r="T376" i="4"/>
  <c r="P376" i="4"/>
  <c r="I376" i="4"/>
  <c r="E376" i="4"/>
  <c r="T375" i="4"/>
  <c r="P375" i="4"/>
  <c r="I375" i="4"/>
  <c r="E375" i="4"/>
  <c r="T374" i="4"/>
  <c r="P374" i="4"/>
  <c r="I374" i="4"/>
  <c r="E374" i="4"/>
  <c r="J375" i="4" l="1"/>
  <c r="J378" i="4"/>
  <c r="J381" i="4"/>
  <c r="J386" i="4"/>
  <c r="J389" i="4"/>
  <c r="J392" i="4"/>
  <c r="J398" i="4"/>
  <c r="J404" i="4"/>
  <c r="J406" i="4"/>
  <c r="J380" i="1"/>
  <c r="U402" i="1"/>
  <c r="J386" i="1"/>
  <c r="J392" i="1"/>
  <c r="J398" i="1"/>
  <c r="J395" i="4"/>
  <c r="J401" i="4"/>
  <c r="U381" i="1"/>
  <c r="J406" i="1"/>
  <c r="U402" i="4"/>
  <c r="J377" i="1"/>
  <c r="J389" i="1"/>
  <c r="J377" i="4"/>
  <c r="J380" i="4"/>
  <c r="U381" i="4"/>
  <c r="J385" i="4"/>
  <c r="J388" i="4"/>
  <c r="J391" i="4"/>
  <c r="J394" i="4"/>
  <c r="J397" i="4"/>
  <c r="J400" i="4"/>
  <c r="U401" i="4"/>
  <c r="J403" i="4"/>
  <c r="U404" i="4"/>
  <c r="J407" i="4"/>
  <c r="U366" i="4"/>
  <c r="J376" i="1"/>
  <c r="U377" i="1"/>
  <c r="J379" i="1"/>
  <c r="U380" i="1"/>
  <c r="J385" i="1"/>
  <c r="J388" i="1"/>
  <c r="J391" i="1"/>
  <c r="J394" i="1"/>
  <c r="J400" i="1"/>
  <c r="U401" i="1"/>
  <c r="U404" i="1"/>
  <c r="J376" i="4"/>
  <c r="J379" i="4"/>
  <c r="U380" i="4"/>
  <c r="J387" i="4"/>
  <c r="J390" i="4"/>
  <c r="J393" i="4"/>
  <c r="J396" i="4"/>
  <c r="J399" i="4"/>
  <c r="J402" i="4"/>
  <c r="U403" i="4"/>
  <c r="J405" i="4"/>
  <c r="J408" i="4"/>
  <c r="U367" i="4"/>
  <c r="J375" i="1"/>
  <c r="U376" i="1"/>
  <c r="J378" i="1"/>
  <c r="J381" i="1"/>
  <c r="J387" i="1"/>
  <c r="J390" i="1"/>
  <c r="J396" i="1"/>
  <c r="J402" i="1"/>
  <c r="U403" i="1"/>
  <c r="J408" i="1"/>
  <c r="U408" i="4"/>
  <c r="U375" i="1"/>
  <c r="U374" i="1"/>
  <c r="J404" i="1"/>
  <c r="J407" i="1"/>
  <c r="I409" i="4"/>
  <c r="J393" i="1"/>
  <c r="J395" i="1"/>
  <c r="J397" i="1"/>
  <c r="J399" i="1"/>
  <c r="J401" i="1"/>
  <c r="J403" i="1"/>
  <c r="J405" i="1"/>
  <c r="U408" i="1"/>
  <c r="T409" i="4"/>
  <c r="P409" i="1"/>
  <c r="T409" i="1"/>
  <c r="U366" i="1"/>
  <c r="U367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378" i="1"/>
  <c r="U379" i="1"/>
  <c r="I409" i="1"/>
  <c r="J383" i="1"/>
  <c r="J384" i="1"/>
  <c r="E409" i="1"/>
  <c r="J374" i="1"/>
  <c r="U374" i="4"/>
  <c r="U375" i="4"/>
  <c r="U376" i="4"/>
  <c r="U377" i="4"/>
  <c r="U378" i="4"/>
  <c r="U379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P409" i="4"/>
  <c r="J384" i="4"/>
  <c r="E409" i="4"/>
  <c r="J374" i="4"/>
  <c r="P363" i="1"/>
  <c r="T363" i="1"/>
  <c r="P364" i="1"/>
  <c r="T364" i="1"/>
  <c r="T364" i="4"/>
  <c r="P364" i="4"/>
  <c r="T363" i="4"/>
  <c r="P363" i="4"/>
  <c r="J409" i="4" l="1"/>
  <c r="U364" i="4"/>
  <c r="U409" i="4"/>
  <c r="U363" i="1"/>
  <c r="U363" i="4"/>
  <c r="U409" i="1"/>
  <c r="U364" i="1"/>
  <c r="J409" i="1"/>
  <c r="P354" i="1" l="1"/>
  <c r="T354" i="1"/>
  <c r="U354" i="1" l="1"/>
  <c r="T362" i="1" l="1"/>
  <c r="P362" i="1"/>
  <c r="U362" i="1" l="1"/>
  <c r="T298" i="1"/>
  <c r="P298" i="1"/>
  <c r="P294" i="1"/>
  <c r="T294" i="1"/>
  <c r="T298" i="4"/>
  <c r="P298" i="4"/>
  <c r="U298" i="1" l="1"/>
  <c r="U294" i="1"/>
  <c r="U298" i="4"/>
  <c r="T318" i="1"/>
  <c r="P318" i="1"/>
  <c r="T316" i="4"/>
  <c r="P316" i="4"/>
  <c r="U318" i="1" l="1"/>
  <c r="U316" i="4"/>
  <c r="H368" i="4"/>
  <c r="G368" i="4"/>
  <c r="F368" i="4"/>
  <c r="D368" i="4"/>
  <c r="C368" i="4"/>
  <c r="B368" i="4"/>
  <c r="I367" i="4"/>
  <c r="E367" i="4"/>
  <c r="I366" i="4"/>
  <c r="E366" i="4"/>
  <c r="I365" i="4"/>
  <c r="E365" i="4"/>
  <c r="I364" i="4"/>
  <c r="E364" i="4"/>
  <c r="I363" i="4"/>
  <c r="E363" i="4"/>
  <c r="I362" i="4"/>
  <c r="E362" i="4"/>
  <c r="I361" i="4"/>
  <c r="E361" i="4"/>
  <c r="I360" i="4"/>
  <c r="E360" i="4"/>
  <c r="I359" i="4"/>
  <c r="E359" i="4"/>
  <c r="I358" i="4"/>
  <c r="E358" i="4"/>
  <c r="I357" i="4"/>
  <c r="E357" i="4"/>
  <c r="I356" i="4"/>
  <c r="E356" i="4"/>
  <c r="I355" i="4"/>
  <c r="E355" i="4"/>
  <c r="I354" i="4"/>
  <c r="E354" i="4"/>
  <c r="I353" i="4"/>
  <c r="E353" i="4"/>
  <c r="I352" i="4"/>
  <c r="E352" i="4"/>
  <c r="I351" i="4"/>
  <c r="E351" i="4"/>
  <c r="I350" i="4"/>
  <c r="E350" i="4"/>
  <c r="I349" i="4"/>
  <c r="E349" i="4"/>
  <c r="I348" i="4"/>
  <c r="E348" i="4"/>
  <c r="I347" i="4"/>
  <c r="E347" i="4"/>
  <c r="I346" i="4"/>
  <c r="E346" i="4"/>
  <c r="I345" i="4"/>
  <c r="E345" i="4"/>
  <c r="I344" i="4"/>
  <c r="E344" i="4"/>
  <c r="I343" i="4"/>
  <c r="E343" i="4"/>
  <c r="I342" i="4"/>
  <c r="E342" i="4"/>
  <c r="I340" i="4"/>
  <c r="E340" i="4"/>
  <c r="I339" i="4"/>
  <c r="E339" i="4"/>
  <c r="I338" i="4"/>
  <c r="E338" i="4"/>
  <c r="I337" i="4"/>
  <c r="E337" i="4"/>
  <c r="I336" i="4"/>
  <c r="E336" i="4"/>
  <c r="I335" i="4"/>
  <c r="E335" i="4"/>
  <c r="I334" i="4"/>
  <c r="E334" i="4"/>
  <c r="I333" i="4"/>
  <c r="E333" i="4"/>
  <c r="S368" i="4"/>
  <c r="R368" i="4"/>
  <c r="Q368" i="4"/>
  <c r="O368" i="4"/>
  <c r="N368" i="4"/>
  <c r="M368" i="4"/>
  <c r="T362" i="4"/>
  <c r="P362" i="4"/>
  <c r="T361" i="4"/>
  <c r="P361" i="4"/>
  <c r="T360" i="4"/>
  <c r="P360" i="4"/>
  <c r="T359" i="4"/>
  <c r="P359" i="4"/>
  <c r="T358" i="4"/>
  <c r="P358" i="4"/>
  <c r="T357" i="4"/>
  <c r="P357" i="4"/>
  <c r="T356" i="4"/>
  <c r="P356" i="4"/>
  <c r="T355" i="4"/>
  <c r="P355" i="4"/>
  <c r="T354" i="4"/>
  <c r="P354" i="4"/>
  <c r="T353" i="4"/>
  <c r="P353" i="4"/>
  <c r="T352" i="4"/>
  <c r="P352" i="4"/>
  <c r="T351" i="4"/>
  <c r="P351" i="4"/>
  <c r="T350" i="4"/>
  <c r="P350" i="4"/>
  <c r="U350" i="4" s="1"/>
  <c r="T349" i="4"/>
  <c r="P349" i="4"/>
  <c r="T348" i="4"/>
  <c r="P348" i="4"/>
  <c r="T347" i="4"/>
  <c r="P347" i="4"/>
  <c r="T346" i="4"/>
  <c r="P346" i="4"/>
  <c r="T345" i="4"/>
  <c r="P345" i="4"/>
  <c r="T344" i="4"/>
  <c r="P344" i="4"/>
  <c r="T343" i="4"/>
  <c r="P343" i="4"/>
  <c r="T342" i="4"/>
  <c r="P342" i="4"/>
  <c r="T340" i="4"/>
  <c r="P340" i="4"/>
  <c r="T339" i="4"/>
  <c r="P339" i="4"/>
  <c r="T338" i="4"/>
  <c r="P338" i="4"/>
  <c r="T337" i="4"/>
  <c r="P337" i="4"/>
  <c r="T336" i="4"/>
  <c r="P336" i="4"/>
  <c r="T335" i="4"/>
  <c r="P335" i="4"/>
  <c r="T334" i="4"/>
  <c r="P334" i="4"/>
  <c r="T333" i="4"/>
  <c r="P333" i="4"/>
  <c r="J354" i="4" l="1"/>
  <c r="U356" i="4"/>
  <c r="J366" i="4"/>
  <c r="J345" i="4"/>
  <c r="J357" i="4"/>
  <c r="U335" i="4"/>
  <c r="U348" i="4"/>
  <c r="J346" i="4"/>
  <c r="J349" i="4"/>
  <c r="J358" i="4"/>
  <c r="J361" i="4"/>
  <c r="U336" i="4"/>
  <c r="U339" i="4"/>
  <c r="U346" i="4"/>
  <c r="J337" i="4"/>
  <c r="J350" i="4"/>
  <c r="J353" i="4"/>
  <c r="J362" i="4"/>
  <c r="J365" i="4"/>
  <c r="J338" i="4"/>
  <c r="J347" i="4"/>
  <c r="J351" i="4"/>
  <c r="J355" i="4"/>
  <c r="J359" i="4"/>
  <c r="J363" i="4"/>
  <c r="J367" i="4"/>
  <c r="U362" i="4"/>
  <c r="J334" i="4"/>
  <c r="U340" i="4"/>
  <c r="U360" i="4"/>
  <c r="U358" i="4"/>
  <c r="U349" i="4"/>
  <c r="U353" i="4"/>
  <c r="U357" i="4"/>
  <c r="U361" i="4"/>
  <c r="U354" i="4"/>
  <c r="U352" i="4"/>
  <c r="E368" i="4"/>
  <c r="J343" i="4"/>
  <c r="J335" i="4"/>
  <c r="J339" i="4"/>
  <c r="U338" i="4"/>
  <c r="U347" i="4"/>
  <c r="U351" i="4"/>
  <c r="U355" i="4"/>
  <c r="U359" i="4"/>
  <c r="J336" i="4"/>
  <c r="J340" i="4"/>
  <c r="J344" i="4"/>
  <c r="J348" i="4"/>
  <c r="J352" i="4"/>
  <c r="J356" i="4"/>
  <c r="J360" i="4"/>
  <c r="J364" i="4"/>
  <c r="J333" i="4"/>
  <c r="U345" i="4"/>
  <c r="J342" i="4"/>
  <c r="I368" i="4"/>
  <c r="U333" i="4"/>
  <c r="U337" i="4"/>
  <c r="U334" i="4"/>
  <c r="T368" i="4"/>
  <c r="U342" i="4"/>
  <c r="U343" i="4"/>
  <c r="U344" i="4"/>
  <c r="P368" i="4"/>
  <c r="H368" i="1"/>
  <c r="G368" i="1"/>
  <c r="F368" i="1"/>
  <c r="D368" i="1"/>
  <c r="C368" i="1"/>
  <c r="B368" i="1"/>
  <c r="I367" i="1"/>
  <c r="E367" i="1"/>
  <c r="I366" i="1"/>
  <c r="E366" i="1"/>
  <c r="I365" i="1"/>
  <c r="E365" i="1"/>
  <c r="I364" i="1"/>
  <c r="E364" i="1"/>
  <c r="I363" i="1"/>
  <c r="E363" i="1"/>
  <c r="I362" i="1"/>
  <c r="E362" i="1"/>
  <c r="I361" i="1"/>
  <c r="E361" i="1"/>
  <c r="I360" i="1"/>
  <c r="E360" i="1"/>
  <c r="I359" i="1"/>
  <c r="E359" i="1"/>
  <c r="I358" i="1"/>
  <c r="E358" i="1"/>
  <c r="I357" i="1"/>
  <c r="E357" i="1"/>
  <c r="I356" i="1"/>
  <c r="E356" i="1"/>
  <c r="I355" i="1"/>
  <c r="E355" i="1"/>
  <c r="I354" i="1"/>
  <c r="E354" i="1"/>
  <c r="I353" i="1"/>
  <c r="E353" i="1"/>
  <c r="I352" i="1"/>
  <c r="E352" i="1"/>
  <c r="I351" i="1"/>
  <c r="E351" i="1"/>
  <c r="I350" i="1"/>
  <c r="E350" i="1"/>
  <c r="I349" i="1"/>
  <c r="E349" i="1"/>
  <c r="I348" i="1"/>
  <c r="E348" i="1"/>
  <c r="I347" i="1"/>
  <c r="E347" i="1"/>
  <c r="I346" i="1"/>
  <c r="E346" i="1"/>
  <c r="I345" i="1"/>
  <c r="E345" i="1"/>
  <c r="I344" i="1"/>
  <c r="E344" i="1"/>
  <c r="I343" i="1"/>
  <c r="E343" i="1"/>
  <c r="I342" i="1"/>
  <c r="E342" i="1"/>
  <c r="I340" i="1"/>
  <c r="E340" i="1"/>
  <c r="I339" i="1"/>
  <c r="E339" i="1"/>
  <c r="I338" i="1"/>
  <c r="E338" i="1"/>
  <c r="I337" i="1"/>
  <c r="E337" i="1"/>
  <c r="I336" i="1"/>
  <c r="E336" i="1"/>
  <c r="I335" i="1"/>
  <c r="E335" i="1"/>
  <c r="I334" i="1"/>
  <c r="E334" i="1"/>
  <c r="I333" i="1"/>
  <c r="E333" i="1"/>
  <c r="S368" i="1"/>
  <c r="R368" i="1"/>
  <c r="Q368" i="1"/>
  <c r="O368" i="1"/>
  <c r="N368" i="1"/>
  <c r="M368" i="1"/>
  <c r="T360" i="1"/>
  <c r="P360" i="1"/>
  <c r="T359" i="1"/>
  <c r="P359" i="1"/>
  <c r="T358" i="1"/>
  <c r="P358" i="1"/>
  <c r="T357" i="1"/>
  <c r="P357" i="1"/>
  <c r="T356" i="1"/>
  <c r="P356" i="1"/>
  <c r="T355" i="1"/>
  <c r="P355" i="1"/>
  <c r="T353" i="1"/>
  <c r="P353" i="1"/>
  <c r="T352" i="1"/>
  <c r="P352" i="1"/>
  <c r="T351" i="1"/>
  <c r="P351" i="1"/>
  <c r="T350" i="1"/>
  <c r="P350" i="1"/>
  <c r="T349" i="1"/>
  <c r="P349" i="1"/>
  <c r="T348" i="1"/>
  <c r="P348" i="1"/>
  <c r="T347" i="1"/>
  <c r="P347" i="1"/>
  <c r="T346" i="1"/>
  <c r="P346" i="1"/>
  <c r="T345" i="1"/>
  <c r="P345" i="1"/>
  <c r="T344" i="1"/>
  <c r="P344" i="1"/>
  <c r="T343" i="1"/>
  <c r="P343" i="1"/>
  <c r="T342" i="1"/>
  <c r="P342" i="1"/>
  <c r="T340" i="1"/>
  <c r="P340" i="1"/>
  <c r="T339" i="1"/>
  <c r="P339" i="1"/>
  <c r="T338" i="1"/>
  <c r="P338" i="1"/>
  <c r="T337" i="1"/>
  <c r="P337" i="1"/>
  <c r="T336" i="1"/>
  <c r="P336" i="1"/>
  <c r="T335" i="1"/>
  <c r="P335" i="1"/>
  <c r="T334" i="1"/>
  <c r="P334" i="1"/>
  <c r="T333" i="1"/>
  <c r="P333" i="1"/>
  <c r="J339" i="1" l="1"/>
  <c r="J352" i="1"/>
  <c r="J335" i="1"/>
  <c r="J348" i="1"/>
  <c r="J360" i="1"/>
  <c r="J364" i="1"/>
  <c r="U333" i="1"/>
  <c r="U346" i="1"/>
  <c r="J356" i="1"/>
  <c r="J334" i="1"/>
  <c r="J338" i="1"/>
  <c r="J347" i="1"/>
  <c r="J351" i="1"/>
  <c r="J355" i="1"/>
  <c r="J359" i="1"/>
  <c r="J363" i="1"/>
  <c r="J367" i="1"/>
  <c r="U347" i="1"/>
  <c r="U351" i="1"/>
  <c r="J344" i="1"/>
  <c r="J368" i="4"/>
  <c r="U359" i="1"/>
  <c r="U358" i="1"/>
  <c r="U360" i="1"/>
  <c r="U335" i="1"/>
  <c r="U339" i="1"/>
  <c r="U352" i="1"/>
  <c r="J336" i="1"/>
  <c r="J340" i="1"/>
  <c r="J345" i="1"/>
  <c r="J349" i="1"/>
  <c r="J353" i="1"/>
  <c r="J357" i="1"/>
  <c r="J361" i="1"/>
  <c r="J365" i="1"/>
  <c r="U356" i="1"/>
  <c r="U355" i="1"/>
  <c r="U338" i="1"/>
  <c r="J343" i="1"/>
  <c r="U336" i="1"/>
  <c r="U340" i="1"/>
  <c r="U345" i="1"/>
  <c r="U349" i="1"/>
  <c r="U353" i="1"/>
  <c r="U357" i="1"/>
  <c r="J337" i="1"/>
  <c r="J346" i="1"/>
  <c r="J350" i="1"/>
  <c r="J354" i="1"/>
  <c r="J358" i="1"/>
  <c r="J362" i="1"/>
  <c r="J366" i="1"/>
  <c r="U350" i="1"/>
  <c r="U348" i="1"/>
  <c r="I368" i="1"/>
  <c r="U368" i="4"/>
  <c r="E368" i="1"/>
  <c r="J333" i="1"/>
  <c r="J342" i="1"/>
  <c r="U344" i="1"/>
  <c r="U337" i="1"/>
  <c r="U334" i="1"/>
  <c r="T368" i="1"/>
  <c r="U342" i="1"/>
  <c r="U343" i="1"/>
  <c r="P368" i="1"/>
  <c r="T323" i="1"/>
  <c r="P323" i="1"/>
  <c r="T323" i="4"/>
  <c r="P323" i="4"/>
  <c r="J368" i="1" l="1"/>
  <c r="U323" i="4"/>
  <c r="U323" i="1"/>
  <c r="U368" i="1"/>
  <c r="T324" i="1"/>
  <c r="P324" i="1"/>
  <c r="U324" i="1" l="1"/>
  <c r="T325" i="1"/>
  <c r="S327" i="1"/>
  <c r="S411" i="1" s="1"/>
  <c r="R327" i="1"/>
  <c r="R411" i="1" s="1"/>
  <c r="Q327" i="1"/>
  <c r="Q411" i="1" s="1"/>
  <c r="H327" i="1"/>
  <c r="G327" i="1"/>
  <c r="F327" i="1"/>
  <c r="D327" i="1"/>
  <c r="C327" i="1"/>
  <c r="B327" i="1"/>
  <c r="T326" i="1"/>
  <c r="P326" i="1"/>
  <c r="I326" i="1"/>
  <c r="E326" i="1"/>
  <c r="P325" i="1"/>
  <c r="I325" i="1"/>
  <c r="E325" i="1"/>
  <c r="I324" i="1"/>
  <c r="E324" i="1"/>
  <c r="I323" i="1"/>
  <c r="E323" i="1"/>
  <c r="T322" i="1"/>
  <c r="P322" i="1"/>
  <c r="I322" i="1"/>
  <c r="E322" i="1"/>
  <c r="T321" i="1"/>
  <c r="P321" i="1"/>
  <c r="I321" i="1"/>
  <c r="E321" i="1"/>
  <c r="T320" i="1"/>
  <c r="P320" i="1"/>
  <c r="I320" i="1"/>
  <c r="E320" i="1"/>
  <c r="T319" i="1"/>
  <c r="P319" i="1"/>
  <c r="I319" i="1"/>
  <c r="E319" i="1"/>
  <c r="I318" i="1"/>
  <c r="E318" i="1"/>
  <c r="T317" i="1"/>
  <c r="P317" i="1"/>
  <c r="I317" i="1"/>
  <c r="E317" i="1"/>
  <c r="T316" i="1"/>
  <c r="P316" i="1"/>
  <c r="I316" i="1"/>
  <c r="E316" i="1"/>
  <c r="T315" i="1"/>
  <c r="P315" i="1"/>
  <c r="I315" i="1"/>
  <c r="E315" i="1"/>
  <c r="T314" i="1"/>
  <c r="P314" i="1"/>
  <c r="I314" i="1"/>
  <c r="E314" i="1"/>
  <c r="T313" i="1"/>
  <c r="P313" i="1"/>
  <c r="I313" i="1"/>
  <c r="E313" i="1"/>
  <c r="T312" i="1"/>
  <c r="P312" i="1"/>
  <c r="I312" i="1"/>
  <c r="E312" i="1"/>
  <c r="T311" i="1"/>
  <c r="P311" i="1"/>
  <c r="I311" i="1"/>
  <c r="E311" i="1"/>
  <c r="T310" i="1"/>
  <c r="P310" i="1"/>
  <c r="I310" i="1"/>
  <c r="E310" i="1"/>
  <c r="T309" i="1"/>
  <c r="P309" i="1"/>
  <c r="I309" i="1"/>
  <c r="E309" i="1"/>
  <c r="T308" i="1"/>
  <c r="P308" i="1"/>
  <c r="I308" i="1"/>
  <c r="E308" i="1"/>
  <c r="T307" i="1"/>
  <c r="P307" i="1"/>
  <c r="I307" i="1"/>
  <c r="E307" i="1"/>
  <c r="T306" i="1"/>
  <c r="P306" i="1"/>
  <c r="I306" i="1"/>
  <c r="E306" i="1"/>
  <c r="T305" i="1"/>
  <c r="P305" i="1"/>
  <c r="I305" i="1"/>
  <c r="E305" i="1"/>
  <c r="T304" i="1"/>
  <c r="P304" i="1"/>
  <c r="I304" i="1"/>
  <c r="E304" i="1"/>
  <c r="T303" i="1"/>
  <c r="P303" i="1"/>
  <c r="I303" i="1"/>
  <c r="E303" i="1"/>
  <c r="T302" i="1"/>
  <c r="I302" i="1"/>
  <c r="E302" i="1"/>
  <c r="T301" i="1"/>
  <c r="P301" i="1"/>
  <c r="I301" i="1"/>
  <c r="E301" i="1"/>
  <c r="T299" i="1"/>
  <c r="P299" i="1"/>
  <c r="I299" i="1"/>
  <c r="E299" i="1"/>
  <c r="I298" i="1"/>
  <c r="E298" i="1"/>
  <c r="T297" i="1"/>
  <c r="P297" i="1"/>
  <c r="I297" i="1"/>
  <c r="E297" i="1"/>
  <c r="T296" i="1"/>
  <c r="P296" i="1"/>
  <c r="I296" i="1"/>
  <c r="E296" i="1"/>
  <c r="T295" i="1"/>
  <c r="P295" i="1"/>
  <c r="I295" i="1"/>
  <c r="E295" i="1"/>
  <c r="I294" i="1"/>
  <c r="E294" i="1"/>
  <c r="T293" i="1"/>
  <c r="P293" i="1"/>
  <c r="I293" i="1"/>
  <c r="E293" i="1"/>
  <c r="T292" i="1"/>
  <c r="P292" i="1"/>
  <c r="I292" i="1"/>
  <c r="E292" i="1"/>
  <c r="S327" i="4"/>
  <c r="S411" i="4" s="1"/>
  <c r="R327" i="4"/>
  <c r="R411" i="4" s="1"/>
  <c r="Q327" i="4"/>
  <c r="Q411" i="4" s="1"/>
  <c r="H327" i="4"/>
  <c r="G327" i="4"/>
  <c r="F327" i="4"/>
  <c r="D327" i="4"/>
  <c r="C327" i="4"/>
  <c r="B327" i="4"/>
  <c r="T326" i="4"/>
  <c r="P326" i="4"/>
  <c r="I326" i="4"/>
  <c r="E326" i="4"/>
  <c r="T325" i="4"/>
  <c r="P325" i="4"/>
  <c r="I325" i="4"/>
  <c r="E325" i="4"/>
  <c r="T324" i="4"/>
  <c r="P324" i="4"/>
  <c r="I324" i="4"/>
  <c r="E324" i="4"/>
  <c r="I323" i="4"/>
  <c r="E323" i="4"/>
  <c r="T322" i="4"/>
  <c r="P322" i="4"/>
  <c r="I322" i="4"/>
  <c r="E322" i="4"/>
  <c r="T321" i="4"/>
  <c r="P321" i="4"/>
  <c r="I321" i="4"/>
  <c r="E321" i="4"/>
  <c r="T320" i="4"/>
  <c r="P320" i="4"/>
  <c r="I320" i="4"/>
  <c r="E320" i="4"/>
  <c r="T319" i="4"/>
  <c r="P319" i="4"/>
  <c r="I319" i="4"/>
  <c r="E319" i="4"/>
  <c r="T318" i="4"/>
  <c r="P318" i="4"/>
  <c r="I318" i="4"/>
  <c r="E318" i="4"/>
  <c r="T317" i="4"/>
  <c r="P317" i="4"/>
  <c r="I317" i="4"/>
  <c r="E317" i="4"/>
  <c r="I316" i="4"/>
  <c r="E316" i="4"/>
  <c r="T315" i="4"/>
  <c r="P315" i="4"/>
  <c r="I315" i="4"/>
  <c r="E315" i="4"/>
  <c r="T314" i="4"/>
  <c r="P314" i="4"/>
  <c r="I314" i="4"/>
  <c r="E314" i="4"/>
  <c r="T313" i="4"/>
  <c r="P313" i="4"/>
  <c r="I313" i="4"/>
  <c r="E313" i="4"/>
  <c r="T312" i="4"/>
  <c r="P312" i="4"/>
  <c r="I312" i="4"/>
  <c r="E312" i="4"/>
  <c r="T311" i="4"/>
  <c r="P311" i="4"/>
  <c r="I311" i="4"/>
  <c r="E311" i="4"/>
  <c r="T310" i="4"/>
  <c r="P310" i="4"/>
  <c r="I310" i="4"/>
  <c r="E310" i="4"/>
  <c r="T309" i="4"/>
  <c r="P309" i="4"/>
  <c r="I309" i="4"/>
  <c r="E309" i="4"/>
  <c r="T308" i="4"/>
  <c r="P308" i="4"/>
  <c r="I308" i="4"/>
  <c r="E308" i="4"/>
  <c r="T307" i="4"/>
  <c r="P307" i="4"/>
  <c r="I307" i="4"/>
  <c r="E307" i="4"/>
  <c r="T306" i="4"/>
  <c r="P306" i="4"/>
  <c r="I306" i="4"/>
  <c r="E306" i="4"/>
  <c r="T305" i="4"/>
  <c r="P305" i="4"/>
  <c r="I305" i="4"/>
  <c r="E305" i="4"/>
  <c r="T304" i="4"/>
  <c r="P304" i="4"/>
  <c r="I304" i="4"/>
  <c r="E304" i="4"/>
  <c r="T303" i="4"/>
  <c r="P303" i="4"/>
  <c r="I303" i="4"/>
  <c r="E303" i="4"/>
  <c r="T302" i="4"/>
  <c r="P302" i="4"/>
  <c r="I302" i="4"/>
  <c r="E302" i="4"/>
  <c r="T301" i="4"/>
  <c r="I301" i="4"/>
  <c r="E301" i="4"/>
  <c r="T299" i="4"/>
  <c r="P299" i="4"/>
  <c r="I299" i="4"/>
  <c r="E299" i="4"/>
  <c r="I298" i="4"/>
  <c r="E298" i="4"/>
  <c r="T297" i="4"/>
  <c r="P297" i="4"/>
  <c r="I297" i="4"/>
  <c r="E297" i="4"/>
  <c r="T296" i="4"/>
  <c r="P296" i="4"/>
  <c r="I296" i="4"/>
  <c r="E296" i="4"/>
  <c r="T295" i="4"/>
  <c r="P295" i="4"/>
  <c r="I295" i="4"/>
  <c r="E295" i="4"/>
  <c r="T294" i="4"/>
  <c r="P294" i="4"/>
  <c r="I294" i="4"/>
  <c r="E294" i="4"/>
  <c r="T293" i="4"/>
  <c r="P293" i="4"/>
  <c r="I293" i="4"/>
  <c r="E293" i="4"/>
  <c r="T292" i="4"/>
  <c r="P292" i="4"/>
  <c r="I292" i="4"/>
  <c r="E292" i="4"/>
  <c r="J305" i="4" l="1"/>
  <c r="J308" i="4"/>
  <c r="J311" i="4"/>
  <c r="J314" i="4"/>
  <c r="J324" i="4"/>
  <c r="J304" i="1"/>
  <c r="J310" i="1"/>
  <c r="J316" i="1"/>
  <c r="J319" i="4"/>
  <c r="J321" i="1"/>
  <c r="J307" i="1"/>
  <c r="J313" i="1"/>
  <c r="J322" i="4"/>
  <c r="J325" i="1"/>
  <c r="U325" i="1"/>
  <c r="J303" i="4"/>
  <c r="J306" i="4"/>
  <c r="J304" i="4"/>
  <c r="J307" i="4"/>
  <c r="J310" i="4"/>
  <c r="J313" i="4"/>
  <c r="J316" i="4"/>
  <c r="J318" i="4"/>
  <c r="J321" i="4"/>
  <c r="J326" i="4"/>
  <c r="J303" i="1"/>
  <c r="J306" i="1"/>
  <c r="J309" i="1"/>
  <c r="J312" i="1"/>
  <c r="J315" i="1"/>
  <c r="J318" i="1"/>
  <c r="J323" i="1"/>
  <c r="J309" i="4"/>
  <c r="J312" i="4"/>
  <c r="J315" i="4"/>
  <c r="J317" i="4"/>
  <c r="J320" i="4"/>
  <c r="J323" i="4"/>
  <c r="J325" i="4"/>
  <c r="J305" i="1"/>
  <c r="J308" i="1"/>
  <c r="J311" i="1"/>
  <c r="J314" i="1"/>
  <c r="J317" i="1"/>
  <c r="J319" i="1"/>
  <c r="J322" i="1"/>
  <c r="J324" i="1"/>
  <c r="I327" i="1"/>
  <c r="J320" i="1"/>
  <c r="I327" i="4"/>
  <c r="J326" i="1"/>
  <c r="U326" i="1"/>
  <c r="U326" i="4"/>
  <c r="U294" i="4"/>
  <c r="J295" i="4"/>
  <c r="U295" i="4"/>
  <c r="J296" i="4"/>
  <c r="J297" i="4"/>
  <c r="U297" i="4"/>
  <c r="J298" i="4"/>
  <c r="J299" i="4"/>
  <c r="U299" i="4"/>
  <c r="E327" i="4"/>
  <c r="J292" i="1"/>
  <c r="U292" i="1"/>
  <c r="J293" i="1"/>
  <c r="J294" i="1"/>
  <c r="J295" i="1"/>
  <c r="J296" i="1"/>
  <c r="J297" i="1"/>
  <c r="J298" i="1"/>
  <c r="J299" i="1"/>
  <c r="J301" i="1"/>
  <c r="J302" i="1"/>
  <c r="E327" i="1"/>
  <c r="U296" i="1"/>
  <c r="U296" i="4"/>
  <c r="U304" i="1"/>
  <c r="U306" i="1"/>
  <c r="U308" i="1"/>
  <c r="U310" i="1"/>
  <c r="U312" i="1"/>
  <c r="U313" i="1"/>
  <c r="U314" i="1"/>
  <c r="U315" i="1"/>
  <c r="U316" i="1"/>
  <c r="U317" i="1"/>
  <c r="U319" i="1"/>
  <c r="U320" i="1"/>
  <c r="U321" i="1"/>
  <c r="U322" i="1"/>
  <c r="T327" i="1"/>
  <c r="T411" i="1" s="1"/>
  <c r="U293" i="1"/>
  <c r="U295" i="1"/>
  <c r="U297" i="1"/>
  <c r="U299" i="1"/>
  <c r="U301" i="1"/>
  <c r="U303" i="1"/>
  <c r="U305" i="1"/>
  <c r="U307" i="1"/>
  <c r="U309" i="1"/>
  <c r="U311" i="1"/>
  <c r="U293" i="4"/>
  <c r="J292" i="4"/>
  <c r="J293" i="4"/>
  <c r="J294" i="4"/>
  <c r="J301" i="4"/>
  <c r="J302" i="4"/>
  <c r="T327" i="4"/>
  <c r="T411" i="4" s="1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7" i="4"/>
  <c r="U318" i="4"/>
  <c r="U319" i="4"/>
  <c r="U320" i="4"/>
  <c r="U321" i="4"/>
  <c r="U322" i="4"/>
  <c r="U324" i="4"/>
  <c r="U325" i="4"/>
  <c r="U292" i="4"/>
  <c r="T273" i="1"/>
  <c r="P273" i="1"/>
  <c r="J327" i="1" l="1"/>
  <c r="J327" i="4"/>
  <c r="U273" i="1"/>
  <c r="N327" i="1"/>
  <c r="N411" i="1" s="1"/>
  <c r="N452" i="1" s="1"/>
  <c r="O327" i="1"/>
  <c r="O411" i="1" s="1"/>
  <c r="O452" i="1" s="1"/>
  <c r="N327" i="4"/>
  <c r="N411" i="4" s="1"/>
  <c r="N452" i="4" s="1"/>
  <c r="O327" i="4"/>
  <c r="O411" i="4" s="1"/>
  <c r="O452" i="4" s="1"/>
  <c r="T244" i="1"/>
  <c r="P244" i="1"/>
  <c r="T243" i="1"/>
  <c r="P243" i="1"/>
  <c r="S286" i="1"/>
  <c r="R286" i="1"/>
  <c r="Q286" i="1"/>
  <c r="O286" i="1"/>
  <c r="N286" i="1"/>
  <c r="H286" i="1"/>
  <c r="G286" i="1"/>
  <c r="F286" i="1"/>
  <c r="D286" i="1"/>
  <c r="C286" i="1"/>
  <c r="B286" i="1"/>
  <c r="T285" i="1"/>
  <c r="P285" i="1"/>
  <c r="I285" i="1"/>
  <c r="E285" i="1"/>
  <c r="T284" i="1"/>
  <c r="P284" i="1"/>
  <c r="I284" i="1"/>
  <c r="E284" i="1"/>
  <c r="T283" i="1"/>
  <c r="P283" i="1"/>
  <c r="I283" i="1"/>
  <c r="E283" i="1"/>
  <c r="T282" i="1"/>
  <c r="I282" i="1"/>
  <c r="E282" i="1"/>
  <c r="T281" i="1"/>
  <c r="P281" i="1"/>
  <c r="I281" i="1"/>
  <c r="E281" i="1"/>
  <c r="T280" i="1"/>
  <c r="P280" i="1"/>
  <c r="I280" i="1"/>
  <c r="E280" i="1"/>
  <c r="T279" i="1"/>
  <c r="P279" i="1"/>
  <c r="I279" i="1"/>
  <c r="E279" i="1"/>
  <c r="T278" i="1"/>
  <c r="P278" i="1"/>
  <c r="I278" i="1"/>
  <c r="E278" i="1"/>
  <c r="T277" i="1"/>
  <c r="P277" i="1"/>
  <c r="I277" i="1"/>
  <c r="E277" i="1"/>
  <c r="T276" i="1"/>
  <c r="P276" i="1"/>
  <c r="I276" i="1"/>
  <c r="E276" i="1"/>
  <c r="T275" i="1"/>
  <c r="P275" i="1"/>
  <c r="I275" i="1"/>
  <c r="E275" i="1"/>
  <c r="T274" i="1"/>
  <c r="P274" i="1"/>
  <c r="I274" i="1"/>
  <c r="E274" i="1"/>
  <c r="I273" i="1"/>
  <c r="E273" i="1"/>
  <c r="T272" i="1"/>
  <c r="P272" i="1"/>
  <c r="I272" i="1"/>
  <c r="E272" i="1"/>
  <c r="T271" i="1"/>
  <c r="P271" i="1"/>
  <c r="I271" i="1"/>
  <c r="E271" i="1"/>
  <c r="T270" i="1"/>
  <c r="P270" i="1"/>
  <c r="I270" i="1"/>
  <c r="E270" i="1"/>
  <c r="T269" i="1"/>
  <c r="P269" i="1"/>
  <c r="I269" i="1"/>
  <c r="E269" i="1"/>
  <c r="T268" i="1"/>
  <c r="P268" i="1"/>
  <c r="I268" i="1"/>
  <c r="E268" i="1"/>
  <c r="T267" i="1"/>
  <c r="P267" i="1"/>
  <c r="I267" i="1"/>
  <c r="E267" i="1"/>
  <c r="T266" i="1"/>
  <c r="P266" i="1"/>
  <c r="I266" i="1"/>
  <c r="E266" i="1"/>
  <c r="T265" i="1"/>
  <c r="P265" i="1"/>
  <c r="I265" i="1"/>
  <c r="E265" i="1"/>
  <c r="T264" i="1"/>
  <c r="P264" i="1"/>
  <c r="I264" i="1"/>
  <c r="E264" i="1"/>
  <c r="T263" i="1"/>
  <c r="P263" i="1"/>
  <c r="I263" i="1"/>
  <c r="E263" i="1"/>
  <c r="T262" i="1"/>
  <c r="P262" i="1"/>
  <c r="I262" i="1"/>
  <c r="E262" i="1"/>
  <c r="T261" i="1"/>
  <c r="P261" i="1"/>
  <c r="I261" i="1"/>
  <c r="E261" i="1"/>
  <c r="T260" i="1"/>
  <c r="P260" i="1"/>
  <c r="I260" i="1"/>
  <c r="E260" i="1"/>
  <c r="T258" i="1"/>
  <c r="P258" i="1"/>
  <c r="I258" i="1"/>
  <c r="E258" i="1"/>
  <c r="T257" i="1"/>
  <c r="P257" i="1"/>
  <c r="I257" i="1"/>
  <c r="E257" i="1"/>
  <c r="T256" i="1"/>
  <c r="P256" i="1"/>
  <c r="I256" i="1"/>
  <c r="E256" i="1"/>
  <c r="T255" i="1"/>
  <c r="P255" i="1"/>
  <c r="I255" i="1"/>
  <c r="E255" i="1"/>
  <c r="T254" i="1"/>
  <c r="P254" i="1"/>
  <c r="I254" i="1"/>
  <c r="E254" i="1"/>
  <c r="T253" i="1"/>
  <c r="P253" i="1"/>
  <c r="I253" i="1"/>
  <c r="E253" i="1"/>
  <c r="T252" i="1"/>
  <c r="P252" i="1"/>
  <c r="I252" i="1"/>
  <c r="E252" i="1"/>
  <c r="T251" i="1"/>
  <c r="P251" i="1"/>
  <c r="I251" i="1"/>
  <c r="E251" i="1"/>
  <c r="T244" i="4"/>
  <c r="P244" i="4"/>
  <c r="T243" i="4"/>
  <c r="P243" i="4"/>
  <c r="S286" i="4"/>
  <c r="R286" i="4"/>
  <c r="Q286" i="4"/>
  <c r="O286" i="4"/>
  <c r="N286" i="4"/>
  <c r="M286" i="4"/>
  <c r="H286" i="4"/>
  <c r="G286" i="4"/>
  <c r="F286" i="4"/>
  <c r="D286" i="4"/>
  <c r="C286" i="4"/>
  <c r="B286" i="4"/>
  <c r="T285" i="4"/>
  <c r="P285" i="4"/>
  <c r="I285" i="4"/>
  <c r="E285" i="4"/>
  <c r="T284" i="4"/>
  <c r="P284" i="4"/>
  <c r="I284" i="4"/>
  <c r="E284" i="4"/>
  <c r="T283" i="4"/>
  <c r="P283" i="4"/>
  <c r="I283" i="4"/>
  <c r="E283" i="4"/>
  <c r="T282" i="4"/>
  <c r="P282" i="4"/>
  <c r="I282" i="4"/>
  <c r="E282" i="4"/>
  <c r="T281" i="4"/>
  <c r="P281" i="4"/>
  <c r="I281" i="4"/>
  <c r="E281" i="4"/>
  <c r="T280" i="4"/>
  <c r="P280" i="4"/>
  <c r="I280" i="4"/>
  <c r="E280" i="4"/>
  <c r="T279" i="4"/>
  <c r="P279" i="4"/>
  <c r="I279" i="4"/>
  <c r="E279" i="4"/>
  <c r="T278" i="4"/>
  <c r="P278" i="4"/>
  <c r="I278" i="4"/>
  <c r="E278" i="4"/>
  <c r="T277" i="4"/>
  <c r="P277" i="4"/>
  <c r="I277" i="4"/>
  <c r="E277" i="4"/>
  <c r="T276" i="4"/>
  <c r="P276" i="4"/>
  <c r="I276" i="4"/>
  <c r="E276" i="4"/>
  <c r="T275" i="4"/>
  <c r="P275" i="4"/>
  <c r="I275" i="4"/>
  <c r="E275" i="4"/>
  <c r="T274" i="4"/>
  <c r="P274" i="4"/>
  <c r="I274" i="4"/>
  <c r="E274" i="4"/>
  <c r="T273" i="4"/>
  <c r="P273" i="4"/>
  <c r="I273" i="4"/>
  <c r="E273" i="4"/>
  <c r="T272" i="4"/>
  <c r="P272" i="4"/>
  <c r="I272" i="4"/>
  <c r="E272" i="4"/>
  <c r="T271" i="4"/>
  <c r="P271" i="4"/>
  <c r="I271" i="4"/>
  <c r="E271" i="4"/>
  <c r="T270" i="4"/>
  <c r="P270" i="4"/>
  <c r="I270" i="4"/>
  <c r="E270" i="4"/>
  <c r="T269" i="4"/>
  <c r="P269" i="4"/>
  <c r="I269" i="4"/>
  <c r="E269" i="4"/>
  <c r="T268" i="4"/>
  <c r="P268" i="4"/>
  <c r="I268" i="4"/>
  <c r="E268" i="4"/>
  <c r="T267" i="4"/>
  <c r="P267" i="4"/>
  <c r="I267" i="4"/>
  <c r="E267" i="4"/>
  <c r="T266" i="4"/>
  <c r="P266" i="4"/>
  <c r="I266" i="4"/>
  <c r="E266" i="4"/>
  <c r="T265" i="4"/>
  <c r="P265" i="4"/>
  <c r="I265" i="4"/>
  <c r="E265" i="4"/>
  <c r="T264" i="4"/>
  <c r="P264" i="4"/>
  <c r="I264" i="4"/>
  <c r="E264" i="4"/>
  <c r="T263" i="4"/>
  <c r="P263" i="4"/>
  <c r="I263" i="4"/>
  <c r="E263" i="4"/>
  <c r="T262" i="4"/>
  <c r="P262" i="4"/>
  <c r="I262" i="4"/>
  <c r="E262" i="4"/>
  <c r="T261" i="4"/>
  <c r="P261" i="4"/>
  <c r="I261" i="4"/>
  <c r="E261" i="4"/>
  <c r="T260" i="4"/>
  <c r="P260" i="4"/>
  <c r="I260" i="4"/>
  <c r="E260" i="4"/>
  <c r="T258" i="4"/>
  <c r="P258" i="4"/>
  <c r="I258" i="4"/>
  <c r="E258" i="4"/>
  <c r="T257" i="4"/>
  <c r="P257" i="4"/>
  <c r="I257" i="4"/>
  <c r="E257" i="4"/>
  <c r="T256" i="4"/>
  <c r="P256" i="4"/>
  <c r="I256" i="4"/>
  <c r="E256" i="4"/>
  <c r="T255" i="4"/>
  <c r="P255" i="4"/>
  <c r="I255" i="4"/>
  <c r="E255" i="4"/>
  <c r="T254" i="4"/>
  <c r="P254" i="4"/>
  <c r="I254" i="4"/>
  <c r="E254" i="4"/>
  <c r="T253" i="4"/>
  <c r="P253" i="4"/>
  <c r="I253" i="4"/>
  <c r="E253" i="4"/>
  <c r="T252" i="4"/>
  <c r="P252" i="4"/>
  <c r="I252" i="4"/>
  <c r="E252" i="4"/>
  <c r="T251" i="4"/>
  <c r="P251" i="4"/>
  <c r="I251" i="4"/>
  <c r="E251" i="4"/>
  <c r="J258" i="4" l="1"/>
  <c r="J267" i="4"/>
  <c r="U255" i="4"/>
  <c r="U257" i="4"/>
  <c r="U282" i="4"/>
  <c r="U251" i="1"/>
  <c r="U253" i="1"/>
  <c r="U255" i="1"/>
  <c r="U257" i="1"/>
  <c r="J275" i="1"/>
  <c r="J277" i="1"/>
  <c r="J279" i="1"/>
  <c r="J281" i="1"/>
  <c r="U244" i="1"/>
  <c r="J269" i="4"/>
  <c r="J271" i="4"/>
  <c r="J273" i="4"/>
  <c r="J275" i="4"/>
  <c r="J277" i="4"/>
  <c r="J279" i="4"/>
  <c r="J281" i="4"/>
  <c r="J283" i="4"/>
  <c r="J285" i="4"/>
  <c r="U243" i="4"/>
  <c r="J254" i="1"/>
  <c r="J256" i="1"/>
  <c r="J258" i="1"/>
  <c r="J263" i="1"/>
  <c r="J265" i="1"/>
  <c r="J267" i="1"/>
  <c r="J269" i="1"/>
  <c r="U254" i="4"/>
  <c r="U256" i="4"/>
  <c r="U258" i="4"/>
  <c r="U281" i="4"/>
  <c r="U283" i="4"/>
  <c r="U244" i="4"/>
  <c r="U254" i="1"/>
  <c r="U256" i="1"/>
  <c r="U258" i="1"/>
  <c r="J274" i="1"/>
  <c r="J276" i="1"/>
  <c r="J278" i="1"/>
  <c r="J280" i="1"/>
  <c r="J282" i="1"/>
  <c r="J271" i="1"/>
  <c r="J255" i="4"/>
  <c r="J257" i="4"/>
  <c r="J266" i="4"/>
  <c r="J268" i="4"/>
  <c r="J270" i="4"/>
  <c r="J272" i="4"/>
  <c r="J274" i="4"/>
  <c r="J276" i="4"/>
  <c r="J278" i="4"/>
  <c r="J280" i="4"/>
  <c r="J282" i="4"/>
  <c r="J284" i="4"/>
  <c r="J273" i="1"/>
  <c r="U281" i="1"/>
  <c r="J251" i="1"/>
  <c r="J255" i="1"/>
  <c r="J257" i="1"/>
  <c r="J264" i="1"/>
  <c r="J266" i="1"/>
  <c r="J268" i="1"/>
  <c r="J270" i="1"/>
  <c r="J272" i="1"/>
  <c r="U243" i="1"/>
  <c r="J265" i="4"/>
  <c r="J251" i="4"/>
  <c r="J256" i="4"/>
  <c r="U252" i="1"/>
  <c r="J262" i="1"/>
  <c r="J252" i="4"/>
  <c r="J254" i="4"/>
  <c r="J261" i="4"/>
  <c r="J264" i="4"/>
  <c r="J283" i="1"/>
  <c r="U283" i="1"/>
  <c r="J284" i="1"/>
  <c r="J285" i="1"/>
  <c r="E286" i="1"/>
  <c r="U253" i="4"/>
  <c r="J263" i="4"/>
  <c r="I286" i="4"/>
  <c r="U280" i="4"/>
  <c r="J253" i="1"/>
  <c r="U252" i="4"/>
  <c r="J262" i="4"/>
  <c r="E286" i="4"/>
  <c r="J253" i="4"/>
  <c r="J252" i="1"/>
  <c r="J261" i="1"/>
  <c r="J260" i="1"/>
  <c r="I286" i="1"/>
  <c r="M327" i="1"/>
  <c r="P302" i="1"/>
  <c r="U302" i="1" s="1"/>
  <c r="M327" i="4"/>
  <c r="M411" i="4" s="1"/>
  <c r="M452" i="4" s="1"/>
  <c r="P301" i="4"/>
  <c r="U301" i="4" s="1"/>
  <c r="U285" i="4"/>
  <c r="U285" i="1"/>
  <c r="U251" i="4"/>
  <c r="U284" i="4"/>
  <c r="U284" i="1"/>
  <c r="P286" i="4"/>
  <c r="T286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4" i="1"/>
  <c r="U275" i="1"/>
  <c r="U276" i="1"/>
  <c r="U277" i="1"/>
  <c r="U278" i="1"/>
  <c r="U279" i="1"/>
  <c r="U280" i="1"/>
  <c r="U261" i="4"/>
  <c r="U263" i="4"/>
  <c r="U265" i="4"/>
  <c r="U267" i="4"/>
  <c r="U269" i="4"/>
  <c r="U271" i="4"/>
  <c r="U273" i="4"/>
  <c r="U275" i="4"/>
  <c r="U277" i="4"/>
  <c r="U279" i="4"/>
  <c r="T286" i="4"/>
  <c r="U260" i="4"/>
  <c r="U262" i="4"/>
  <c r="U264" i="4"/>
  <c r="U266" i="4"/>
  <c r="U268" i="4"/>
  <c r="U270" i="4"/>
  <c r="U272" i="4"/>
  <c r="U274" i="4"/>
  <c r="U276" i="4"/>
  <c r="U278" i="4"/>
  <c r="J260" i="4"/>
  <c r="T234" i="1"/>
  <c r="P234" i="1"/>
  <c r="T235" i="4"/>
  <c r="P235" i="4"/>
  <c r="P327" i="1" l="1"/>
  <c r="M411" i="1"/>
  <c r="M452" i="1" s="1"/>
  <c r="U234" i="1"/>
  <c r="U235" i="4"/>
  <c r="J286" i="1"/>
  <c r="J286" i="4"/>
  <c r="P327" i="4"/>
  <c r="U286" i="4"/>
  <c r="T219" i="1"/>
  <c r="P219" i="1"/>
  <c r="T238" i="1"/>
  <c r="P238" i="1"/>
  <c r="T219" i="4"/>
  <c r="P219" i="4"/>
  <c r="T238" i="4"/>
  <c r="P238" i="4"/>
  <c r="U219" i="4" l="1"/>
  <c r="U327" i="4"/>
  <c r="P411" i="4"/>
  <c r="P452" i="4" s="1"/>
  <c r="U327" i="1"/>
  <c r="P411" i="1"/>
  <c r="P452" i="1" s="1"/>
  <c r="U219" i="1"/>
  <c r="U238" i="1"/>
  <c r="U238" i="4"/>
  <c r="T202" i="1"/>
  <c r="P202" i="1"/>
  <c r="U202" i="1" l="1"/>
  <c r="P453" i="1"/>
  <c r="O453" i="1"/>
  <c r="N453" i="1"/>
  <c r="P453" i="4"/>
  <c r="N453" i="4"/>
  <c r="O453" i="4"/>
  <c r="M453" i="4"/>
  <c r="M453" i="1"/>
  <c r="I179" i="1"/>
  <c r="E179" i="1"/>
  <c r="J179" i="1" l="1"/>
  <c r="T242" i="1"/>
  <c r="P242" i="1"/>
  <c r="T241" i="1"/>
  <c r="P241" i="1"/>
  <c r="T239" i="1"/>
  <c r="P239" i="1"/>
  <c r="T239" i="4"/>
  <c r="P239" i="4"/>
  <c r="T241" i="4"/>
  <c r="P241" i="4"/>
  <c r="T242" i="4"/>
  <c r="P242" i="4"/>
  <c r="U239" i="1" l="1"/>
  <c r="U242" i="1"/>
  <c r="U242" i="4"/>
  <c r="U241" i="1"/>
  <c r="U241" i="4"/>
  <c r="U239" i="4"/>
  <c r="S245" i="4"/>
  <c r="R245" i="4"/>
  <c r="Q245" i="4"/>
  <c r="O245" i="4"/>
  <c r="N245" i="4"/>
  <c r="M245" i="4"/>
  <c r="H245" i="4"/>
  <c r="G245" i="4"/>
  <c r="F245" i="4"/>
  <c r="D245" i="4"/>
  <c r="C245" i="4"/>
  <c r="B245" i="4"/>
  <c r="I244" i="4"/>
  <c r="E244" i="4"/>
  <c r="I243" i="4"/>
  <c r="E243" i="4"/>
  <c r="I242" i="4"/>
  <c r="E242" i="4"/>
  <c r="I241" i="4"/>
  <c r="E241" i="4"/>
  <c r="T240" i="4"/>
  <c r="P240" i="4"/>
  <c r="I240" i="4"/>
  <c r="E240" i="4"/>
  <c r="I239" i="4"/>
  <c r="E239" i="4"/>
  <c r="I238" i="4"/>
  <c r="E238" i="4"/>
  <c r="T237" i="4"/>
  <c r="P237" i="4"/>
  <c r="I237" i="4"/>
  <c r="E237" i="4"/>
  <c r="T236" i="4"/>
  <c r="P236" i="4"/>
  <c r="I236" i="4"/>
  <c r="E236" i="4"/>
  <c r="I235" i="4"/>
  <c r="E235" i="4"/>
  <c r="T234" i="4"/>
  <c r="P234" i="4"/>
  <c r="I234" i="4"/>
  <c r="E234" i="4"/>
  <c r="T233" i="4"/>
  <c r="P233" i="4"/>
  <c r="I233" i="4"/>
  <c r="E233" i="4"/>
  <c r="T232" i="4"/>
  <c r="P232" i="4"/>
  <c r="I232" i="4"/>
  <c r="E232" i="4"/>
  <c r="T231" i="4"/>
  <c r="P231" i="4"/>
  <c r="I231" i="4"/>
  <c r="E231" i="4"/>
  <c r="T230" i="4"/>
  <c r="P230" i="4"/>
  <c r="I230" i="4"/>
  <c r="E230" i="4"/>
  <c r="T229" i="4"/>
  <c r="P229" i="4"/>
  <c r="I229" i="4"/>
  <c r="E229" i="4"/>
  <c r="T228" i="4"/>
  <c r="P228" i="4"/>
  <c r="I228" i="4"/>
  <c r="E228" i="4"/>
  <c r="T227" i="4"/>
  <c r="P227" i="4"/>
  <c r="I227" i="4"/>
  <c r="E227" i="4"/>
  <c r="T226" i="4"/>
  <c r="P226" i="4"/>
  <c r="I226" i="4"/>
  <c r="E226" i="4"/>
  <c r="T225" i="4"/>
  <c r="P225" i="4"/>
  <c r="I225" i="4"/>
  <c r="E225" i="4"/>
  <c r="T224" i="4"/>
  <c r="P224" i="4"/>
  <c r="I224" i="4"/>
  <c r="E224" i="4"/>
  <c r="T223" i="4"/>
  <c r="P223" i="4"/>
  <c r="I223" i="4"/>
  <c r="E223" i="4"/>
  <c r="T222" i="4"/>
  <c r="P222" i="4"/>
  <c r="I222" i="4"/>
  <c r="E222" i="4"/>
  <c r="T221" i="4"/>
  <c r="P221" i="4"/>
  <c r="I221" i="4"/>
  <c r="E221" i="4"/>
  <c r="T220" i="4"/>
  <c r="P220" i="4"/>
  <c r="I220" i="4"/>
  <c r="E220" i="4"/>
  <c r="I219" i="4"/>
  <c r="E219" i="4"/>
  <c r="T217" i="4"/>
  <c r="P217" i="4"/>
  <c r="I217" i="4"/>
  <c r="E217" i="4"/>
  <c r="T216" i="4"/>
  <c r="P216" i="4"/>
  <c r="I216" i="4"/>
  <c r="E216" i="4"/>
  <c r="T215" i="4"/>
  <c r="P215" i="4"/>
  <c r="I215" i="4"/>
  <c r="E215" i="4"/>
  <c r="T214" i="4"/>
  <c r="P214" i="4"/>
  <c r="I214" i="4"/>
  <c r="E214" i="4"/>
  <c r="T213" i="4"/>
  <c r="P213" i="4"/>
  <c r="I213" i="4"/>
  <c r="E213" i="4"/>
  <c r="T212" i="4"/>
  <c r="P212" i="4"/>
  <c r="I212" i="4"/>
  <c r="E212" i="4"/>
  <c r="T211" i="4"/>
  <c r="P211" i="4"/>
  <c r="I211" i="4"/>
  <c r="E211" i="4"/>
  <c r="T210" i="4"/>
  <c r="P210" i="4"/>
  <c r="I210" i="4"/>
  <c r="E210" i="4"/>
  <c r="S245" i="1"/>
  <c r="R245" i="1"/>
  <c r="Q245" i="1"/>
  <c r="O245" i="1"/>
  <c r="N245" i="1"/>
  <c r="M245" i="1"/>
  <c r="H245" i="1"/>
  <c r="G245" i="1"/>
  <c r="F245" i="1"/>
  <c r="D245" i="1"/>
  <c r="C245" i="1"/>
  <c r="B245" i="1"/>
  <c r="I244" i="1"/>
  <c r="E244" i="1"/>
  <c r="I243" i="1"/>
  <c r="E243" i="1"/>
  <c r="I242" i="1"/>
  <c r="E242" i="1"/>
  <c r="I241" i="1"/>
  <c r="E241" i="1"/>
  <c r="T240" i="1"/>
  <c r="P240" i="1"/>
  <c r="I240" i="1"/>
  <c r="E240" i="1"/>
  <c r="I239" i="1"/>
  <c r="E239" i="1"/>
  <c r="I238" i="1"/>
  <c r="E238" i="1"/>
  <c r="T237" i="1"/>
  <c r="P237" i="1"/>
  <c r="I237" i="1"/>
  <c r="E237" i="1"/>
  <c r="T236" i="1"/>
  <c r="P236" i="1"/>
  <c r="I236" i="1"/>
  <c r="E236" i="1"/>
  <c r="T235" i="1"/>
  <c r="P235" i="1"/>
  <c r="I235" i="1"/>
  <c r="E235" i="1"/>
  <c r="I234" i="1"/>
  <c r="E234" i="1"/>
  <c r="T233" i="1"/>
  <c r="P233" i="1"/>
  <c r="I233" i="1"/>
  <c r="E233" i="1"/>
  <c r="T232" i="1"/>
  <c r="P232" i="1"/>
  <c r="I232" i="1"/>
  <c r="E232" i="1"/>
  <c r="T231" i="1"/>
  <c r="P231" i="1"/>
  <c r="I231" i="1"/>
  <c r="E231" i="1"/>
  <c r="T230" i="1"/>
  <c r="P230" i="1"/>
  <c r="I230" i="1"/>
  <c r="E230" i="1"/>
  <c r="T229" i="1"/>
  <c r="P229" i="1"/>
  <c r="I229" i="1"/>
  <c r="E229" i="1"/>
  <c r="T228" i="1"/>
  <c r="P228" i="1"/>
  <c r="I228" i="1"/>
  <c r="E228" i="1"/>
  <c r="T227" i="1"/>
  <c r="P227" i="1"/>
  <c r="I227" i="1"/>
  <c r="E227" i="1"/>
  <c r="T226" i="1"/>
  <c r="P226" i="1"/>
  <c r="I226" i="1"/>
  <c r="E226" i="1"/>
  <c r="T225" i="1"/>
  <c r="P225" i="1"/>
  <c r="I225" i="1"/>
  <c r="E225" i="1"/>
  <c r="T224" i="1"/>
  <c r="P224" i="1"/>
  <c r="I224" i="1"/>
  <c r="E224" i="1"/>
  <c r="T223" i="1"/>
  <c r="P223" i="1"/>
  <c r="I223" i="1"/>
  <c r="E223" i="1"/>
  <c r="T222" i="1"/>
  <c r="P222" i="1"/>
  <c r="I222" i="1"/>
  <c r="E222" i="1"/>
  <c r="T221" i="1"/>
  <c r="P221" i="1"/>
  <c r="I221" i="1"/>
  <c r="E221" i="1"/>
  <c r="T220" i="1"/>
  <c r="P220" i="1"/>
  <c r="I220" i="1"/>
  <c r="E220" i="1"/>
  <c r="I219" i="1"/>
  <c r="E219" i="1"/>
  <c r="T217" i="1"/>
  <c r="P217" i="1"/>
  <c r="I217" i="1"/>
  <c r="E217" i="1"/>
  <c r="T216" i="1"/>
  <c r="P216" i="1"/>
  <c r="I216" i="1"/>
  <c r="E216" i="1"/>
  <c r="T215" i="1"/>
  <c r="P215" i="1"/>
  <c r="I215" i="1"/>
  <c r="E215" i="1"/>
  <c r="T214" i="1"/>
  <c r="P214" i="1"/>
  <c r="I214" i="1"/>
  <c r="E214" i="1"/>
  <c r="T213" i="1"/>
  <c r="P213" i="1"/>
  <c r="I213" i="1"/>
  <c r="E213" i="1"/>
  <c r="T212" i="1"/>
  <c r="P212" i="1"/>
  <c r="I212" i="1"/>
  <c r="E212" i="1"/>
  <c r="T211" i="1"/>
  <c r="P211" i="1"/>
  <c r="I211" i="1"/>
  <c r="E211" i="1"/>
  <c r="T210" i="1"/>
  <c r="P210" i="1"/>
  <c r="I210" i="1"/>
  <c r="E210" i="1"/>
  <c r="I245" i="4" l="1"/>
  <c r="J210" i="1"/>
  <c r="J211" i="1"/>
  <c r="J212" i="1"/>
  <c r="J213" i="1"/>
  <c r="J214" i="1"/>
  <c r="U214" i="1"/>
  <c r="J215" i="1"/>
  <c r="U215" i="1"/>
  <c r="J216" i="1"/>
  <c r="U216" i="1"/>
  <c r="J217" i="1"/>
  <c r="U217" i="1"/>
  <c r="J219" i="1"/>
  <c r="J220" i="1"/>
  <c r="J221" i="1"/>
  <c r="J222" i="1"/>
  <c r="J223" i="1"/>
  <c r="J224" i="1"/>
  <c r="J225" i="1"/>
  <c r="J226" i="1"/>
  <c r="J227" i="1"/>
  <c r="U227" i="1"/>
  <c r="J228" i="1"/>
  <c r="U228" i="1"/>
  <c r="J229" i="1"/>
  <c r="U229" i="1"/>
  <c r="J230" i="1"/>
  <c r="U230" i="1"/>
  <c r="J231" i="1"/>
  <c r="U231" i="1"/>
  <c r="J232" i="1"/>
  <c r="U232" i="1"/>
  <c r="J233" i="1"/>
  <c r="U233" i="1"/>
  <c r="J234" i="1"/>
  <c r="J235" i="1"/>
  <c r="U235" i="1"/>
  <c r="J236" i="1"/>
  <c r="U236" i="1"/>
  <c r="J237" i="1"/>
  <c r="U237" i="1"/>
  <c r="J238" i="1"/>
  <c r="J239" i="1"/>
  <c r="J240" i="1"/>
  <c r="U240" i="1"/>
  <c r="J241" i="1"/>
  <c r="J242" i="1"/>
  <c r="J243" i="1"/>
  <c r="J244" i="1"/>
  <c r="E245" i="1"/>
  <c r="J210" i="4"/>
  <c r="U210" i="4"/>
  <c r="J211" i="4"/>
  <c r="J212" i="4"/>
  <c r="J213" i="4"/>
  <c r="J214" i="4"/>
  <c r="U214" i="4"/>
  <c r="J215" i="4"/>
  <c r="U215" i="4"/>
  <c r="J216" i="4"/>
  <c r="U216" i="4"/>
  <c r="J217" i="4"/>
  <c r="U217" i="4"/>
  <c r="J219" i="4"/>
  <c r="J220" i="4"/>
  <c r="J221" i="4"/>
  <c r="J222" i="4"/>
  <c r="J223" i="4"/>
  <c r="J224" i="4"/>
  <c r="J225" i="4"/>
  <c r="J226" i="4"/>
  <c r="J227" i="4"/>
  <c r="J228" i="4"/>
  <c r="J229" i="4"/>
  <c r="U229" i="4"/>
  <c r="J230" i="4"/>
  <c r="U230" i="4"/>
  <c r="J231" i="4"/>
  <c r="U231" i="4"/>
  <c r="J232" i="4"/>
  <c r="U232" i="4"/>
  <c r="J233" i="4"/>
  <c r="U233" i="4"/>
  <c r="J234" i="4"/>
  <c r="U234" i="4"/>
  <c r="J235" i="4"/>
  <c r="J236" i="4"/>
  <c r="U236" i="4"/>
  <c r="J237" i="4"/>
  <c r="U237" i="4"/>
  <c r="J238" i="4"/>
  <c r="J239" i="4"/>
  <c r="J240" i="4"/>
  <c r="U240" i="4"/>
  <c r="J241" i="4"/>
  <c r="J242" i="4"/>
  <c r="J243" i="4"/>
  <c r="J244" i="4"/>
  <c r="I245" i="1"/>
  <c r="E245" i="4"/>
  <c r="U211" i="4"/>
  <c r="U212" i="4"/>
  <c r="U213" i="4"/>
  <c r="T245" i="4"/>
  <c r="P245" i="4"/>
  <c r="U220" i="4"/>
  <c r="U221" i="4"/>
  <c r="U222" i="4"/>
  <c r="U223" i="4"/>
  <c r="U224" i="4"/>
  <c r="U225" i="4"/>
  <c r="U226" i="4"/>
  <c r="U227" i="4"/>
  <c r="U228" i="4"/>
  <c r="T245" i="1"/>
  <c r="U210" i="1"/>
  <c r="U211" i="1"/>
  <c r="U212" i="1"/>
  <c r="U213" i="1"/>
  <c r="U226" i="1"/>
  <c r="U220" i="1"/>
  <c r="U221" i="1"/>
  <c r="U222" i="1"/>
  <c r="U223" i="1"/>
  <c r="U224" i="1"/>
  <c r="U225" i="1"/>
  <c r="P245" i="1"/>
  <c r="T201" i="1"/>
  <c r="P201" i="1"/>
  <c r="J245" i="1" l="1"/>
  <c r="J245" i="4"/>
  <c r="U245" i="4"/>
  <c r="U201" i="1"/>
  <c r="U245" i="1"/>
  <c r="T170" i="4"/>
  <c r="P170" i="4"/>
  <c r="S204" i="4"/>
  <c r="R204" i="4"/>
  <c r="Q204" i="4"/>
  <c r="O204" i="4"/>
  <c r="N204" i="4"/>
  <c r="M204" i="4"/>
  <c r="H204" i="4"/>
  <c r="G204" i="4"/>
  <c r="F204" i="4"/>
  <c r="D204" i="4"/>
  <c r="C204" i="4"/>
  <c r="B204" i="4"/>
  <c r="T203" i="4"/>
  <c r="P203" i="4"/>
  <c r="I203" i="4"/>
  <c r="E203" i="4"/>
  <c r="T202" i="4"/>
  <c r="P202" i="4"/>
  <c r="I202" i="4"/>
  <c r="E202" i="4"/>
  <c r="T201" i="4"/>
  <c r="P201" i="4"/>
  <c r="I201" i="4"/>
  <c r="E201" i="4"/>
  <c r="T200" i="4"/>
  <c r="P200" i="4"/>
  <c r="I200" i="4"/>
  <c r="E200" i="4"/>
  <c r="T199" i="4"/>
  <c r="P199" i="4"/>
  <c r="I199" i="4"/>
  <c r="E199" i="4"/>
  <c r="T198" i="4"/>
  <c r="P198" i="4"/>
  <c r="I198" i="4"/>
  <c r="E198" i="4"/>
  <c r="T197" i="4"/>
  <c r="P197" i="4"/>
  <c r="I197" i="4"/>
  <c r="E197" i="4"/>
  <c r="T196" i="4"/>
  <c r="P196" i="4"/>
  <c r="I196" i="4"/>
  <c r="E196" i="4"/>
  <c r="T195" i="4"/>
  <c r="P195" i="4"/>
  <c r="I195" i="4"/>
  <c r="E195" i="4"/>
  <c r="T194" i="4"/>
  <c r="P194" i="4"/>
  <c r="I194" i="4"/>
  <c r="E194" i="4"/>
  <c r="T193" i="4"/>
  <c r="P193" i="4"/>
  <c r="I193" i="4"/>
  <c r="E193" i="4"/>
  <c r="T192" i="4"/>
  <c r="P192" i="4"/>
  <c r="I192" i="4"/>
  <c r="E192" i="4"/>
  <c r="T191" i="4"/>
  <c r="P191" i="4"/>
  <c r="I191" i="4"/>
  <c r="E191" i="4"/>
  <c r="T190" i="4"/>
  <c r="P190" i="4"/>
  <c r="I190" i="4"/>
  <c r="E190" i="4"/>
  <c r="T189" i="4"/>
  <c r="P189" i="4"/>
  <c r="I189" i="4"/>
  <c r="E189" i="4"/>
  <c r="T188" i="4"/>
  <c r="P188" i="4"/>
  <c r="I188" i="4"/>
  <c r="E188" i="4"/>
  <c r="T187" i="4"/>
  <c r="P187" i="4"/>
  <c r="I187" i="4"/>
  <c r="E187" i="4"/>
  <c r="T186" i="4"/>
  <c r="P186" i="4"/>
  <c r="I186" i="4"/>
  <c r="E186" i="4"/>
  <c r="T185" i="4"/>
  <c r="P185" i="4"/>
  <c r="I185" i="4"/>
  <c r="E185" i="4"/>
  <c r="T184" i="4"/>
  <c r="P184" i="4"/>
  <c r="I184" i="4"/>
  <c r="E184" i="4"/>
  <c r="T183" i="4"/>
  <c r="P183" i="4"/>
  <c r="I183" i="4"/>
  <c r="E183" i="4"/>
  <c r="T182" i="4"/>
  <c r="P182" i="4"/>
  <c r="I182" i="4"/>
  <c r="E182" i="4"/>
  <c r="T181" i="4"/>
  <c r="P181" i="4"/>
  <c r="I181" i="4"/>
  <c r="E181" i="4"/>
  <c r="T180" i="4"/>
  <c r="P180" i="4"/>
  <c r="I180" i="4"/>
  <c r="E180" i="4"/>
  <c r="T179" i="4"/>
  <c r="P179" i="4"/>
  <c r="I179" i="4"/>
  <c r="E179" i="4"/>
  <c r="T178" i="4"/>
  <c r="P178" i="4"/>
  <c r="I178" i="4"/>
  <c r="E178" i="4"/>
  <c r="T176" i="4"/>
  <c r="P176" i="4"/>
  <c r="I176" i="4"/>
  <c r="E176" i="4"/>
  <c r="T175" i="4"/>
  <c r="P175" i="4"/>
  <c r="I175" i="4"/>
  <c r="E175" i="4"/>
  <c r="T174" i="4"/>
  <c r="P174" i="4"/>
  <c r="I174" i="4"/>
  <c r="E174" i="4"/>
  <c r="T173" i="4"/>
  <c r="P173" i="4"/>
  <c r="I173" i="4"/>
  <c r="E173" i="4"/>
  <c r="T172" i="4"/>
  <c r="P172" i="4"/>
  <c r="I172" i="4"/>
  <c r="E172" i="4"/>
  <c r="T171" i="4"/>
  <c r="P171" i="4"/>
  <c r="I171" i="4"/>
  <c r="E171" i="4"/>
  <c r="I170" i="4"/>
  <c r="E170" i="4"/>
  <c r="T169" i="4"/>
  <c r="P169" i="4"/>
  <c r="I169" i="4"/>
  <c r="E169" i="4"/>
  <c r="T170" i="1"/>
  <c r="P170" i="1"/>
  <c r="S204" i="1"/>
  <c r="R204" i="1"/>
  <c r="Q204" i="1"/>
  <c r="O204" i="1"/>
  <c r="N204" i="1"/>
  <c r="M204" i="1"/>
  <c r="H204" i="1"/>
  <c r="G204" i="1"/>
  <c r="F204" i="1"/>
  <c r="D204" i="1"/>
  <c r="C204" i="1"/>
  <c r="B204" i="1"/>
  <c r="T203" i="1"/>
  <c r="P203" i="1"/>
  <c r="I203" i="1"/>
  <c r="E203" i="1"/>
  <c r="I202" i="1"/>
  <c r="E202" i="1"/>
  <c r="I201" i="1"/>
  <c r="E201" i="1"/>
  <c r="T200" i="1"/>
  <c r="P200" i="1"/>
  <c r="I200" i="1"/>
  <c r="E200" i="1"/>
  <c r="T199" i="1"/>
  <c r="P199" i="1"/>
  <c r="I199" i="1"/>
  <c r="E199" i="1"/>
  <c r="T198" i="1"/>
  <c r="P198" i="1"/>
  <c r="I198" i="1"/>
  <c r="E198" i="1"/>
  <c r="T197" i="1"/>
  <c r="P197" i="1"/>
  <c r="I197" i="1"/>
  <c r="E197" i="1"/>
  <c r="T196" i="1"/>
  <c r="P196" i="1"/>
  <c r="I196" i="1"/>
  <c r="E196" i="1"/>
  <c r="T195" i="1"/>
  <c r="P195" i="1"/>
  <c r="I195" i="1"/>
  <c r="E195" i="1"/>
  <c r="T194" i="1"/>
  <c r="P194" i="1"/>
  <c r="I194" i="1"/>
  <c r="E194" i="1"/>
  <c r="T193" i="1"/>
  <c r="P193" i="1"/>
  <c r="I193" i="1"/>
  <c r="E193" i="1"/>
  <c r="T192" i="1"/>
  <c r="P192" i="1"/>
  <c r="I192" i="1"/>
  <c r="E192" i="1"/>
  <c r="T191" i="1"/>
  <c r="P191" i="1"/>
  <c r="I191" i="1"/>
  <c r="E191" i="1"/>
  <c r="T190" i="1"/>
  <c r="P190" i="1"/>
  <c r="I190" i="1"/>
  <c r="E190" i="1"/>
  <c r="T189" i="1"/>
  <c r="P189" i="1"/>
  <c r="I189" i="1"/>
  <c r="E189" i="1"/>
  <c r="T188" i="1"/>
  <c r="P188" i="1"/>
  <c r="I188" i="1"/>
  <c r="E188" i="1"/>
  <c r="T187" i="1"/>
  <c r="P187" i="1"/>
  <c r="I187" i="1"/>
  <c r="E187" i="1"/>
  <c r="T186" i="1"/>
  <c r="P186" i="1"/>
  <c r="I186" i="1"/>
  <c r="E186" i="1"/>
  <c r="T185" i="1"/>
  <c r="P185" i="1"/>
  <c r="I185" i="1"/>
  <c r="E185" i="1"/>
  <c r="T184" i="1"/>
  <c r="P184" i="1"/>
  <c r="I184" i="1"/>
  <c r="E184" i="1"/>
  <c r="T183" i="1"/>
  <c r="P183" i="1"/>
  <c r="I183" i="1"/>
  <c r="E183" i="1"/>
  <c r="T182" i="1"/>
  <c r="P182" i="1"/>
  <c r="I182" i="1"/>
  <c r="E182" i="1"/>
  <c r="T181" i="1"/>
  <c r="P181" i="1"/>
  <c r="I181" i="1"/>
  <c r="E181" i="1"/>
  <c r="T180" i="1"/>
  <c r="P180" i="1"/>
  <c r="I180" i="1"/>
  <c r="E180" i="1"/>
  <c r="T179" i="1"/>
  <c r="P179" i="1"/>
  <c r="T178" i="1"/>
  <c r="P178" i="1"/>
  <c r="I178" i="1"/>
  <c r="E178" i="1"/>
  <c r="T176" i="1"/>
  <c r="P176" i="1"/>
  <c r="I176" i="1"/>
  <c r="E176" i="1"/>
  <c r="T175" i="1"/>
  <c r="P175" i="1"/>
  <c r="I175" i="1"/>
  <c r="E175" i="1"/>
  <c r="T174" i="1"/>
  <c r="P174" i="1"/>
  <c r="I174" i="1"/>
  <c r="E174" i="1"/>
  <c r="T173" i="1"/>
  <c r="P173" i="1"/>
  <c r="I173" i="1"/>
  <c r="E173" i="1"/>
  <c r="T172" i="1"/>
  <c r="P172" i="1"/>
  <c r="I172" i="1"/>
  <c r="E172" i="1"/>
  <c r="T171" i="1"/>
  <c r="P171" i="1"/>
  <c r="I171" i="1"/>
  <c r="E171" i="1"/>
  <c r="I170" i="1"/>
  <c r="E170" i="1"/>
  <c r="T169" i="1"/>
  <c r="P169" i="1"/>
  <c r="I169" i="1"/>
  <c r="E169" i="1"/>
  <c r="P118" i="1"/>
  <c r="T118" i="1"/>
  <c r="P119" i="1"/>
  <c r="T119" i="1"/>
  <c r="P120" i="1"/>
  <c r="T120" i="1"/>
  <c r="P121" i="1"/>
  <c r="T121" i="1"/>
  <c r="P118" i="4"/>
  <c r="T118" i="4"/>
  <c r="P119" i="4"/>
  <c r="T119" i="4"/>
  <c r="P120" i="4"/>
  <c r="T120" i="4"/>
  <c r="P121" i="4"/>
  <c r="T121" i="4"/>
  <c r="U121" i="1" l="1"/>
  <c r="U120" i="1"/>
  <c r="U119" i="1"/>
  <c r="U169" i="1"/>
  <c r="J170" i="1"/>
  <c r="J171" i="1"/>
  <c r="J172" i="1"/>
  <c r="U172" i="1"/>
  <c r="J173" i="1"/>
  <c r="U173" i="1"/>
  <c r="J174" i="1"/>
  <c r="U174" i="1"/>
  <c r="J175" i="1"/>
  <c r="U175" i="1"/>
  <c r="J176" i="1"/>
  <c r="U176" i="1"/>
  <c r="J178" i="1"/>
  <c r="J180" i="1"/>
  <c r="J181" i="1"/>
  <c r="J182" i="1"/>
  <c r="J183" i="1"/>
  <c r="J184" i="1"/>
  <c r="U184" i="1"/>
  <c r="J185" i="1"/>
  <c r="J186" i="1"/>
  <c r="J187" i="1"/>
  <c r="U187" i="1"/>
  <c r="J188" i="1"/>
  <c r="U188" i="1"/>
  <c r="J189" i="1"/>
  <c r="U189" i="1"/>
  <c r="J190" i="1"/>
  <c r="U190" i="1"/>
  <c r="J191" i="1"/>
  <c r="J192" i="1"/>
  <c r="U192" i="1"/>
  <c r="J193" i="1"/>
  <c r="U193" i="1"/>
  <c r="J194" i="1"/>
  <c r="U194" i="1"/>
  <c r="J195" i="1"/>
  <c r="J196" i="1"/>
  <c r="J197" i="1"/>
  <c r="J198" i="1"/>
  <c r="U198" i="1"/>
  <c r="J199" i="1"/>
  <c r="U199" i="1"/>
  <c r="J200" i="1"/>
  <c r="U200" i="1"/>
  <c r="J201" i="1"/>
  <c r="J202" i="1"/>
  <c r="J203" i="1"/>
  <c r="J169" i="4"/>
  <c r="U169" i="4"/>
  <c r="J170" i="4"/>
  <c r="J171" i="4"/>
  <c r="J172" i="4"/>
  <c r="U172" i="4"/>
  <c r="J173" i="4"/>
  <c r="U173" i="4"/>
  <c r="J174" i="4"/>
  <c r="U174" i="4"/>
  <c r="J175" i="4"/>
  <c r="U175" i="4"/>
  <c r="J176" i="4"/>
  <c r="U176" i="4"/>
  <c r="J178" i="4"/>
  <c r="J179" i="4"/>
  <c r="J169" i="1"/>
  <c r="J180" i="4"/>
  <c r="J181" i="4"/>
  <c r="U197" i="1"/>
  <c r="U196" i="1"/>
  <c r="I204" i="1"/>
  <c r="U195" i="1"/>
  <c r="I204" i="4"/>
  <c r="U191" i="1"/>
  <c r="J182" i="4"/>
  <c r="J183" i="4"/>
  <c r="J184" i="4"/>
  <c r="U186" i="1"/>
  <c r="U185" i="1"/>
  <c r="U171" i="4"/>
  <c r="U171" i="1"/>
  <c r="U170" i="1"/>
  <c r="J185" i="4"/>
  <c r="U185" i="4"/>
  <c r="J186" i="4"/>
  <c r="U186" i="4"/>
  <c r="J187" i="4"/>
  <c r="U187" i="4"/>
  <c r="J188" i="4"/>
  <c r="U188" i="4"/>
  <c r="J189" i="4"/>
  <c r="U189" i="4"/>
  <c r="J190" i="4"/>
  <c r="U190" i="4"/>
  <c r="J191" i="4"/>
  <c r="U191" i="4"/>
  <c r="J192" i="4"/>
  <c r="U192" i="4"/>
  <c r="J193" i="4"/>
  <c r="U184" i="4"/>
  <c r="U183" i="4"/>
  <c r="U183" i="1"/>
  <c r="U182" i="4"/>
  <c r="U182" i="1"/>
  <c r="U193" i="4"/>
  <c r="U181" i="4"/>
  <c r="U181" i="1"/>
  <c r="J194" i="4"/>
  <c r="U180" i="4"/>
  <c r="U180" i="1"/>
  <c r="U179" i="4"/>
  <c r="U179" i="1"/>
  <c r="U194" i="4"/>
  <c r="J195" i="4"/>
  <c r="U195" i="4"/>
  <c r="U178" i="4"/>
  <c r="U178" i="1"/>
  <c r="J196" i="4"/>
  <c r="U196" i="4"/>
  <c r="U203" i="1"/>
  <c r="P204" i="1"/>
  <c r="J197" i="4"/>
  <c r="U197" i="4"/>
  <c r="J198" i="4"/>
  <c r="U198" i="4"/>
  <c r="J199" i="4"/>
  <c r="U199" i="4"/>
  <c r="J200" i="4"/>
  <c r="U200" i="4"/>
  <c r="J201" i="4"/>
  <c r="J202" i="4"/>
  <c r="J203" i="4"/>
  <c r="U170" i="4"/>
  <c r="E204" i="4"/>
  <c r="E204" i="1"/>
  <c r="U201" i="4"/>
  <c r="U202" i="4"/>
  <c r="U203" i="4"/>
  <c r="T204" i="4"/>
  <c r="P204" i="4"/>
  <c r="T204" i="1"/>
  <c r="U119" i="4"/>
  <c r="U118" i="4"/>
  <c r="U118" i="1"/>
  <c r="U121" i="4"/>
  <c r="U120" i="4"/>
  <c r="T129" i="1"/>
  <c r="P129" i="1"/>
  <c r="T133" i="1"/>
  <c r="P133" i="1"/>
  <c r="T92" i="1"/>
  <c r="P92" i="1"/>
  <c r="T162" i="1"/>
  <c r="P162" i="1"/>
  <c r="T162" i="4"/>
  <c r="P162" i="4"/>
  <c r="T129" i="4"/>
  <c r="P129" i="4"/>
  <c r="T134" i="4"/>
  <c r="P134" i="4"/>
  <c r="T91" i="4"/>
  <c r="P91" i="4"/>
  <c r="T88" i="4"/>
  <c r="P88" i="4"/>
  <c r="T130" i="4"/>
  <c r="P130" i="4"/>
  <c r="S163" i="4"/>
  <c r="R163" i="4"/>
  <c r="Q163" i="4"/>
  <c r="O163" i="4"/>
  <c r="N163" i="4"/>
  <c r="M163" i="4"/>
  <c r="H163" i="4"/>
  <c r="G163" i="4"/>
  <c r="F163" i="4"/>
  <c r="D163" i="4"/>
  <c r="C163" i="4"/>
  <c r="B163" i="4"/>
  <c r="I162" i="4"/>
  <c r="E162" i="4"/>
  <c r="T161" i="4"/>
  <c r="P161" i="4"/>
  <c r="I161" i="4"/>
  <c r="E161" i="4"/>
  <c r="T160" i="4"/>
  <c r="P160" i="4"/>
  <c r="I160" i="4"/>
  <c r="E160" i="4"/>
  <c r="T159" i="4"/>
  <c r="P159" i="4"/>
  <c r="I159" i="4"/>
  <c r="E159" i="4"/>
  <c r="T158" i="4"/>
  <c r="P158" i="4"/>
  <c r="I158" i="4"/>
  <c r="E158" i="4"/>
  <c r="T157" i="4"/>
  <c r="P157" i="4"/>
  <c r="I157" i="4"/>
  <c r="E157" i="4"/>
  <c r="T156" i="4"/>
  <c r="P156" i="4"/>
  <c r="I156" i="4"/>
  <c r="E156" i="4"/>
  <c r="T155" i="4"/>
  <c r="P155" i="4"/>
  <c r="I155" i="4"/>
  <c r="E155" i="4"/>
  <c r="T154" i="4"/>
  <c r="P154" i="4"/>
  <c r="I154" i="4"/>
  <c r="E154" i="4"/>
  <c r="T153" i="4"/>
  <c r="P153" i="4"/>
  <c r="I153" i="4"/>
  <c r="E153" i="4"/>
  <c r="T152" i="4"/>
  <c r="P152" i="4"/>
  <c r="I152" i="4"/>
  <c r="E152" i="4"/>
  <c r="T151" i="4"/>
  <c r="P151" i="4"/>
  <c r="I151" i="4"/>
  <c r="E151" i="4"/>
  <c r="T150" i="4"/>
  <c r="P150" i="4"/>
  <c r="I150" i="4"/>
  <c r="E150" i="4"/>
  <c r="T149" i="4"/>
  <c r="P149" i="4"/>
  <c r="I149" i="4"/>
  <c r="E149" i="4"/>
  <c r="T148" i="4"/>
  <c r="P148" i="4"/>
  <c r="I148" i="4"/>
  <c r="E148" i="4"/>
  <c r="T147" i="4"/>
  <c r="P147" i="4"/>
  <c r="I147" i="4"/>
  <c r="E147" i="4"/>
  <c r="T146" i="4"/>
  <c r="P146" i="4"/>
  <c r="I146" i="4"/>
  <c r="E146" i="4"/>
  <c r="T145" i="4"/>
  <c r="P145" i="4"/>
  <c r="I145" i="4"/>
  <c r="E145" i="4"/>
  <c r="T144" i="4"/>
  <c r="P144" i="4"/>
  <c r="I144" i="4"/>
  <c r="E144" i="4"/>
  <c r="T143" i="4"/>
  <c r="P143" i="4"/>
  <c r="I143" i="4"/>
  <c r="E143" i="4"/>
  <c r="T142" i="4"/>
  <c r="P142" i="4"/>
  <c r="I142" i="4"/>
  <c r="E142" i="4"/>
  <c r="T141" i="4"/>
  <c r="P141" i="4"/>
  <c r="I141" i="4"/>
  <c r="E141" i="4"/>
  <c r="T140" i="4"/>
  <c r="P140" i="4"/>
  <c r="I140" i="4"/>
  <c r="E140" i="4"/>
  <c r="T139" i="4"/>
  <c r="P139" i="4"/>
  <c r="I139" i="4"/>
  <c r="E139" i="4"/>
  <c r="T138" i="4"/>
  <c r="P138" i="4"/>
  <c r="I138" i="4"/>
  <c r="E138" i="4"/>
  <c r="T137" i="4"/>
  <c r="P137" i="4"/>
  <c r="I137" i="4"/>
  <c r="E137" i="4"/>
  <c r="T135" i="4"/>
  <c r="P135" i="4"/>
  <c r="I135" i="4"/>
  <c r="E135" i="4"/>
  <c r="I134" i="4"/>
  <c r="E134" i="4"/>
  <c r="T133" i="4"/>
  <c r="P133" i="4"/>
  <c r="I133" i="4"/>
  <c r="E133" i="4"/>
  <c r="T132" i="4"/>
  <c r="P132" i="4"/>
  <c r="I132" i="4"/>
  <c r="E132" i="4"/>
  <c r="T131" i="4"/>
  <c r="P131" i="4"/>
  <c r="I131" i="4"/>
  <c r="E131" i="4"/>
  <c r="I130" i="4"/>
  <c r="E130" i="4"/>
  <c r="I129" i="4"/>
  <c r="E129" i="4"/>
  <c r="T128" i="4"/>
  <c r="P128" i="4"/>
  <c r="I128" i="4"/>
  <c r="E128" i="4"/>
  <c r="S163" i="1"/>
  <c r="R163" i="1"/>
  <c r="Q163" i="1"/>
  <c r="O163" i="1"/>
  <c r="N163" i="1"/>
  <c r="M163" i="1"/>
  <c r="H163" i="1"/>
  <c r="G163" i="1"/>
  <c r="F163" i="1"/>
  <c r="D163" i="1"/>
  <c r="C163" i="1"/>
  <c r="B163" i="1"/>
  <c r="I162" i="1"/>
  <c r="E162" i="1"/>
  <c r="T161" i="1"/>
  <c r="P161" i="1"/>
  <c r="I161" i="1"/>
  <c r="E161" i="1"/>
  <c r="T160" i="1"/>
  <c r="P160" i="1"/>
  <c r="I160" i="1"/>
  <c r="E160" i="1"/>
  <c r="T159" i="1"/>
  <c r="P159" i="1"/>
  <c r="I159" i="1"/>
  <c r="E159" i="1"/>
  <c r="T158" i="1"/>
  <c r="P158" i="1"/>
  <c r="I158" i="1"/>
  <c r="E158" i="1"/>
  <c r="T157" i="1"/>
  <c r="P157" i="1"/>
  <c r="I157" i="1"/>
  <c r="E157" i="1"/>
  <c r="T156" i="1"/>
  <c r="P156" i="1"/>
  <c r="I156" i="1"/>
  <c r="E156" i="1"/>
  <c r="T155" i="1"/>
  <c r="P155" i="1"/>
  <c r="I155" i="1"/>
  <c r="E155" i="1"/>
  <c r="T154" i="1"/>
  <c r="P154" i="1"/>
  <c r="I154" i="1"/>
  <c r="E154" i="1"/>
  <c r="T153" i="1"/>
  <c r="P153" i="1"/>
  <c r="I153" i="1"/>
  <c r="E153" i="1"/>
  <c r="T152" i="1"/>
  <c r="P152" i="1"/>
  <c r="I152" i="1"/>
  <c r="E152" i="1"/>
  <c r="T151" i="1"/>
  <c r="P151" i="1"/>
  <c r="I151" i="1"/>
  <c r="E151" i="1"/>
  <c r="T150" i="1"/>
  <c r="P150" i="1"/>
  <c r="I150" i="1"/>
  <c r="E150" i="1"/>
  <c r="T149" i="1"/>
  <c r="P149" i="1"/>
  <c r="I149" i="1"/>
  <c r="E149" i="1"/>
  <c r="T148" i="1"/>
  <c r="P148" i="1"/>
  <c r="I148" i="1"/>
  <c r="E148" i="1"/>
  <c r="T147" i="1"/>
  <c r="P147" i="1"/>
  <c r="I147" i="1"/>
  <c r="E147" i="1"/>
  <c r="T146" i="1"/>
  <c r="P146" i="1"/>
  <c r="I146" i="1"/>
  <c r="E146" i="1"/>
  <c r="T145" i="1"/>
  <c r="P145" i="1"/>
  <c r="I145" i="1"/>
  <c r="E145" i="1"/>
  <c r="T144" i="1"/>
  <c r="P144" i="1"/>
  <c r="I144" i="1"/>
  <c r="E144" i="1"/>
  <c r="T143" i="1"/>
  <c r="P143" i="1"/>
  <c r="I143" i="1"/>
  <c r="E143" i="1"/>
  <c r="T142" i="1"/>
  <c r="P142" i="1"/>
  <c r="I142" i="1"/>
  <c r="E142" i="1"/>
  <c r="T141" i="1"/>
  <c r="P141" i="1"/>
  <c r="I141" i="1"/>
  <c r="E141" i="1"/>
  <c r="T140" i="1"/>
  <c r="P140" i="1"/>
  <c r="I140" i="1"/>
  <c r="E140" i="1"/>
  <c r="T139" i="1"/>
  <c r="P139" i="1"/>
  <c r="I139" i="1"/>
  <c r="E139" i="1"/>
  <c r="T138" i="1"/>
  <c r="P138" i="1"/>
  <c r="I138" i="1"/>
  <c r="E138" i="1"/>
  <c r="T137" i="1"/>
  <c r="P137" i="1"/>
  <c r="I137" i="1"/>
  <c r="E137" i="1"/>
  <c r="T135" i="1"/>
  <c r="P135" i="1"/>
  <c r="I135" i="1"/>
  <c r="E135" i="1"/>
  <c r="T134" i="1"/>
  <c r="P134" i="1"/>
  <c r="I134" i="1"/>
  <c r="E134" i="1"/>
  <c r="I133" i="1"/>
  <c r="E133" i="1"/>
  <c r="T132" i="1"/>
  <c r="P132" i="1"/>
  <c r="I132" i="1"/>
  <c r="E132" i="1"/>
  <c r="T131" i="1"/>
  <c r="P131" i="1"/>
  <c r="I131" i="1"/>
  <c r="E131" i="1"/>
  <c r="T130" i="1"/>
  <c r="P130" i="1"/>
  <c r="I130" i="1"/>
  <c r="E130" i="1"/>
  <c r="I129" i="1"/>
  <c r="E129" i="1"/>
  <c r="T128" i="1"/>
  <c r="P128" i="1"/>
  <c r="I128" i="1"/>
  <c r="E128" i="1"/>
  <c r="S122" i="4"/>
  <c r="R122" i="4"/>
  <c r="Q122" i="4"/>
  <c r="O122" i="4"/>
  <c r="N122" i="4"/>
  <c r="M122" i="4"/>
  <c r="H122" i="4"/>
  <c r="G122" i="4"/>
  <c r="F122" i="4"/>
  <c r="D122" i="4"/>
  <c r="C122" i="4"/>
  <c r="B122" i="4"/>
  <c r="I121" i="4"/>
  <c r="E121" i="4"/>
  <c r="I120" i="4"/>
  <c r="E120" i="4"/>
  <c r="I119" i="4"/>
  <c r="E119" i="4"/>
  <c r="I118" i="4"/>
  <c r="E118" i="4"/>
  <c r="T117" i="4"/>
  <c r="P117" i="4"/>
  <c r="I117" i="4"/>
  <c r="E117" i="4"/>
  <c r="T116" i="4"/>
  <c r="P116" i="4"/>
  <c r="I116" i="4"/>
  <c r="E116" i="4"/>
  <c r="T115" i="4"/>
  <c r="P115" i="4"/>
  <c r="I115" i="4"/>
  <c r="E115" i="4"/>
  <c r="T114" i="4"/>
  <c r="P114" i="4"/>
  <c r="I114" i="4"/>
  <c r="E114" i="4"/>
  <c r="T113" i="4"/>
  <c r="P113" i="4"/>
  <c r="I113" i="4"/>
  <c r="E113" i="4"/>
  <c r="T112" i="4"/>
  <c r="P112" i="4"/>
  <c r="I112" i="4"/>
  <c r="E112" i="4"/>
  <c r="T111" i="4"/>
  <c r="P111" i="4"/>
  <c r="I111" i="4"/>
  <c r="E111" i="4"/>
  <c r="T110" i="4"/>
  <c r="P110" i="4"/>
  <c r="I110" i="4"/>
  <c r="E110" i="4"/>
  <c r="T109" i="4"/>
  <c r="P109" i="4"/>
  <c r="I109" i="4"/>
  <c r="E109" i="4"/>
  <c r="T108" i="4"/>
  <c r="P108" i="4"/>
  <c r="I108" i="4"/>
  <c r="E108" i="4"/>
  <c r="T107" i="4"/>
  <c r="P107" i="4"/>
  <c r="I107" i="4"/>
  <c r="E107" i="4"/>
  <c r="T106" i="4"/>
  <c r="P106" i="4"/>
  <c r="I106" i="4"/>
  <c r="E106" i="4"/>
  <c r="T105" i="4"/>
  <c r="P105" i="4"/>
  <c r="I105" i="4"/>
  <c r="E105" i="4"/>
  <c r="T104" i="4"/>
  <c r="P104" i="4"/>
  <c r="I104" i="4"/>
  <c r="E104" i="4"/>
  <c r="T103" i="4"/>
  <c r="P103" i="4"/>
  <c r="I103" i="4"/>
  <c r="E103" i="4"/>
  <c r="T102" i="4"/>
  <c r="P102" i="4"/>
  <c r="I102" i="4"/>
  <c r="E102" i="4"/>
  <c r="T101" i="4"/>
  <c r="P101" i="4"/>
  <c r="I101" i="4"/>
  <c r="E101" i="4"/>
  <c r="T100" i="4"/>
  <c r="P100" i="4"/>
  <c r="I100" i="4"/>
  <c r="E100" i="4"/>
  <c r="T99" i="4"/>
  <c r="P99" i="4"/>
  <c r="I99" i="4"/>
  <c r="E99" i="4"/>
  <c r="T98" i="4"/>
  <c r="P98" i="4"/>
  <c r="I98" i="4"/>
  <c r="E98" i="4"/>
  <c r="T97" i="4"/>
  <c r="P97" i="4"/>
  <c r="I97" i="4"/>
  <c r="E97" i="4"/>
  <c r="T96" i="4"/>
  <c r="P96" i="4"/>
  <c r="I96" i="4"/>
  <c r="E96" i="4"/>
  <c r="T94" i="4"/>
  <c r="P94" i="4"/>
  <c r="I94" i="4"/>
  <c r="E94" i="4"/>
  <c r="T93" i="4"/>
  <c r="P93" i="4"/>
  <c r="I93" i="4"/>
  <c r="E93" i="4"/>
  <c r="T92" i="4"/>
  <c r="P92" i="4"/>
  <c r="I92" i="4"/>
  <c r="E92" i="4"/>
  <c r="I91" i="4"/>
  <c r="E91" i="4"/>
  <c r="T90" i="4"/>
  <c r="P90" i="4"/>
  <c r="I90" i="4"/>
  <c r="E90" i="4"/>
  <c r="T89" i="4"/>
  <c r="P89" i="4"/>
  <c r="I89" i="4"/>
  <c r="E89" i="4"/>
  <c r="I88" i="4"/>
  <c r="E88" i="4"/>
  <c r="T87" i="4"/>
  <c r="P87" i="4"/>
  <c r="I87" i="4"/>
  <c r="E87" i="4"/>
  <c r="S122" i="1"/>
  <c r="R122" i="1"/>
  <c r="Q122" i="1"/>
  <c r="O122" i="1"/>
  <c r="N122" i="1"/>
  <c r="M122" i="1"/>
  <c r="H122" i="1"/>
  <c r="G122" i="1"/>
  <c r="F122" i="1"/>
  <c r="D122" i="1"/>
  <c r="C122" i="1"/>
  <c r="B122" i="1"/>
  <c r="I121" i="1"/>
  <c r="E121" i="1"/>
  <c r="I120" i="1"/>
  <c r="E120" i="1"/>
  <c r="I119" i="1"/>
  <c r="E119" i="1"/>
  <c r="I118" i="1"/>
  <c r="E118" i="1"/>
  <c r="T117" i="1"/>
  <c r="P117" i="1"/>
  <c r="I117" i="1"/>
  <c r="E117" i="1"/>
  <c r="T116" i="1"/>
  <c r="P116" i="1"/>
  <c r="I116" i="1"/>
  <c r="E116" i="1"/>
  <c r="T115" i="1"/>
  <c r="P115" i="1"/>
  <c r="I115" i="1"/>
  <c r="E115" i="1"/>
  <c r="T114" i="1"/>
  <c r="P114" i="1"/>
  <c r="I114" i="1"/>
  <c r="E114" i="1"/>
  <c r="T113" i="1"/>
  <c r="P113" i="1"/>
  <c r="I113" i="1"/>
  <c r="E113" i="1"/>
  <c r="T112" i="1"/>
  <c r="P112" i="1"/>
  <c r="I112" i="1"/>
  <c r="E112" i="1"/>
  <c r="T111" i="1"/>
  <c r="P111" i="1"/>
  <c r="I111" i="1"/>
  <c r="E111" i="1"/>
  <c r="T110" i="1"/>
  <c r="P110" i="1"/>
  <c r="I110" i="1"/>
  <c r="E110" i="1"/>
  <c r="T109" i="1"/>
  <c r="P109" i="1"/>
  <c r="I109" i="1"/>
  <c r="E109" i="1"/>
  <c r="T108" i="1"/>
  <c r="P108" i="1"/>
  <c r="I108" i="1"/>
  <c r="E108" i="1"/>
  <c r="T107" i="1"/>
  <c r="P107" i="1"/>
  <c r="I107" i="1"/>
  <c r="E107" i="1"/>
  <c r="T106" i="1"/>
  <c r="P106" i="1"/>
  <c r="I106" i="1"/>
  <c r="E106" i="1"/>
  <c r="T105" i="1"/>
  <c r="P105" i="1"/>
  <c r="I105" i="1"/>
  <c r="E105" i="1"/>
  <c r="T104" i="1"/>
  <c r="P104" i="1"/>
  <c r="I104" i="1"/>
  <c r="E104" i="1"/>
  <c r="T103" i="1"/>
  <c r="P103" i="1"/>
  <c r="I103" i="1"/>
  <c r="E103" i="1"/>
  <c r="T102" i="1"/>
  <c r="P102" i="1"/>
  <c r="I102" i="1"/>
  <c r="E102" i="1"/>
  <c r="T101" i="1"/>
  <c r="P101" i="1"/>
  <c r="I101" i="1"/>
  <c r="E101" i="1"/>
  <c r="T100" i="1"/>
  <c r="P100" i="1"/>
  <c r="I100" i="1"/>
  <c r="E100" i="1"/>
  <c r="T99" i="1"/>
  <c r="P99" i="1"/>
  <c r="I99" i="1"/>
  <c r="E99" i="1"/>
  <c r="T98" i="1"/>
  <c r="P98" i="1"/>
  <c r="I98" i="1"/>
  <c r="E98" i="1"/>
  <c r="T97" i="1"/>
  <c r="P97" i="1"/>
  <c r="I97" i="1"/>
  <c r="E97" i="1"/>
  <c r="T96" i="1"/>
  <c r="P96" i="1"/>
  <c r="I96" i="1"/>
  <c r="E96" i="1"/>
  <c r="T94" i="1"/>
  <c r="P94" i="1"/>
  <c r="I94" i="1"/>
  <c r="E94" i="1"/>
  <c r="T93" i="1"/>
  <c r="P93" i="1"/>
  <c r="I93" i="1"/>
  <c r="E93" i="1"/>
  <c r="I92" i="1"/>
  <c r="E92" i="1"/>
  <c r="T91" i="1"/>
  <c r="P91" i="1"/>
  <c r="I91" i="1"/>
  <c r="E91" i="1"/>
  <c r="T90" i="1"/>
  <c r="P90" i="1"/>
  <c r="I90" i="1"/>
  <c r="E90" i="1"/>
  <c r="T89" i="1"/>
  <c r="P89" i="1"/>
  <c r="I89" i="1"/>
  <c r="E89" i="1"/>
  <c r="T88" i="1"/>
  <c r="P88" i="1"/>
  <c r="I88" i="1"/>
  <c r="E88" i="1"/>
  <c r="T87" i="1"/>
  <c r="P87" i="1"/>
  <c r="I87" i="1"/>
  <c r="E87" i="1"/>
  <c r="U204" i="1" l="1"/>
  <c r="J128" i="1"/>
  <c r="U128" i="1"/>
  <c r="J129" i="1"/>
  <c r="J130" i="1"/>
  <c r="U130" i="1"/>
  <c r="J131" i="1"/>
  <c r="U131" i="1"/>
  <c r="J132" i="1"/>
  <c r="U132" i="1"/>
  <c r="J133" i="1"/>
  <c r="J134" i="1"/>
  <c r="U134" i="1"/>
  <c r="J135" i="1"/>
  <c r="U135" i="1"/>
  <c r="J137" i="1"/>
  <c r="J138" i="1"/>
  <c r="U138" i="1"/>
  <c r="U139" i="1"/>
  <c r="J140" i="1"/>
  <c r="U140" i="1"/>
  <c r="J141" i="1"/>
  <c r="U141" i="1"/>
  <c r="J142" i="1"/>
  <c r="U142" i="1"/>
  <c r="J143" i="1"/>
  <c r="J144" i="1"/>
  <c r="U144" i="1"/>
  <c r="J145" i="1"/>
  <c r="J146" i="1"/>
  <c r="U146" i="1"/>
  <c r="J147" i="1"/>
  <c r="U147" i="1"/>
  <c r="J148" i="1"/>
  <c r="J149" i="1"/>
  <c r="J150" i="1"/>
  <c r="J151" i="1"/>
  <c r="U151" i="1"/>
  <c r="J152" i="1"/>
  <c r="J153" i="1"/>
  <c r="J154" i="1"/>
  <c r="J155" i="1"/>
  <c r="J156" i="1"/>
  <c r="J157" i="1"/>
  <c r="J158" i="1"/>
  <c r="J159" i="1"/>
  <c r="U159" i="1"/>
  <c r="J160" i="1"/>
  <c r="U160" i="1"/>
  <c r="J161" i="1"/>
  <c r="U161" i="1"/>
  <c r="J162" i="1"/>
  <c r="E163" i="1"/>
  <c r="J128" i="4"/>
  <c r="U128" i="4"/>
  <c r="J129" i="4"/>
  <c r="J130" i="4"/>
  <c r="J131" i="4"/>
  <c r="U131" i="4"/>
  <c r="J132" i="4"/>
  <c r="U132" i="4"/>
  <c r="J133" i="4"/>
  <c r="U133" i="4"/>
  <c r="J134" i="4"/>
  <c r="J135" i="4"/>
  <c r="U135" i="4"/>
  <c r="J137" i="4"/>
  <c r="J138" i="4"/>
  <c r="U138" i="4"/>
  <c r="U139" i="4"/>
  <c r="U140" i="4"/>
  <c r="U141" i="4"/>
  <c r="J142" i="4"/>
  <c r="U142" i="4"/>
  <c r="J143" i="4"/>
  <c r="J204" i="4"/>
  <c r="U143" i="4"/>
  <c r="J144" i="4"/>
  <c r="J145" i="4"/>
  <c r="U145" i="4"/>
  <c r="J146" i="4"/>
  <c r="U146" i="4"/>
  <c r="J204" i="1"/>
  <c r="J147" i="4"/>
  <c r="U147" i="4"/>
  <c r="J148" i="4"/>
  <c r="U148" i="4"/>
  <c r="J149" i="4"/>
  <c r="J150" i="4"/>
  <c r="U150" i="4"/>
  <c r="J151" i="4"/>
  <c r="J152" i="4"/>
  <c r="J153" i="4"/>
  <c r="J154" i="4"/>
  <c r="J155" i="4"/>
  <c r="J156" i="4"/>
  <c r="J157" i="4"/>
  <c r="J158" i="4"/>
  <c r="J159" i="4"/>
  <c r="U159" i="4"/>
  <c r="J160" i="4"/>
  <c r="U160" i="4"/>
  <c r="J161" i="4"/>
  <c r="U161" i="4"/>
  <c r="J162" i="4"/>
  <c r="U158" i="4"/>
  <c r="U158" i="1"/>
  <c r="U157" i="4"/>
  <c r="U157" i="1"/>
  <c r="U156" i="4"/>
  <c r="U156" i="1"/>
  <c r="U152" i="4"/>
  <c r="U204" i="4"/>
  <c r="U155" i="4"/>
  <c r="U155" i="1"/>
  <c r="U154" i="4"/>
  <c r="U154" i="1"/>
  <c r="U153" i="4"/>
  <c r="U153" i="1"/>
  <c r="J141" i="4"/>
  <c r="U151" i="4"/>
  <c r="U152" i="1"/>
  <c r="J140" i="4"/>
  <c r="J139" i="1"/>
  <c r="J139" i="4"/>
  <c r="U149" i="4"/>
  <c r="U150" i="1"/>
  <c r="U149" i="1"/>
  <c r="U148" i="1"/>
  <c r="U144" i="4"/>
  <c r="U145" i="1"/>
  <c r="U143" i="1"/>
  <c r="U130" i="4"/>
  <c r="U88" i="4"/>
  <c r="U134" i="4"/>
  <c r="U133" i="1"/>
  <c r="U129" i="1"/>
  <c r="U162" i="4"/>
  <c r="U137" i="4"/>
  <c r="P163" i="4"/>
  <c r="U162" i="1"/>
  <c r="U137" i="1"/>
  <c r="E163" i="4"/>
  <c r="I122" i="4"/>
  <c r="I163" i="1"/>
  <c r="I163" i="4"/>
  <c r="U92" i="1"/>
  <c r="U129" i="4"/>
  <c r="T163" i="4"/>
  <c r="U91" i="4"/>
  <c r="P163" i="1"/>
  <c r="T163" i="1"/>
  <c r="J87" i="1"/>
  <c r="U87" i="1"/>
  <c r="J88" i="1"/>
  <c r="J89" i="1"/>
  <c r="U89" i="1"/>
  <c r="J90" i="1"/>
  <c r="U90" i="1"/>
  <c r="J91" i="1"/>
  <c r="U91" i="1"/>
  <c r="J92" i="1"/>
  <c r="J93" i="1"/>
  <c r="U93" i="1"/>
  <c r="J94" i="1"/>
  <c r="U94" i="1"/>
  <c r="J96" i="1"/>
  <c r="U96" i="1"/>
  <c r="J97" i="1"/>
  <c r="U97" i="1"/>
  <c r="J98" i="1"/>
  <c r="U98" i="1"/>
  <c r="J99" i="1"/>
  <c r="U99" i="1"/>
  <c r="J100" i="1"/>
  <c r="U100" i="1"/>
  <c r="J101" i="1"/>
  <c r="U101" i="1"/>
  <c r="J102" i="1"/>
  <c r="U102" i="1"/>
  <c r="J103" i="1"/>
  <c r="U103" i="1"/>
  <c r="J104" i="1"/>
  <c r="U104" i="1"/>
  <c r="J105" i="1"/>
  <c r="U105" i="1"/>
  <c r="J106" i="1"/>
  <c r="U106" i="1"/>
  <c r="J107" i="1"/>
  <c r="U107" i="1"/>
  <c r="J108" i="1"/>
  <c r="U108" i="1"/>
  <c r="J109" i="1"/>
  <c r="U109" i="1"/>
  <c r="J110" i="1"/>
  <c r="U110" i="1"/>
  <c r="J111" i="1"/>
  <c r="U111" i="1"/>
  <c r="J112" i="1"/>
  <c r="U112" i="1"/>
  <c r="J113" i="1"/>
  <c r="U113" i="1"/>
  <c r="J114" i="1"/>
  <c r="U114" i="1"/>
  <c r="J115" i="1"/>
  <c r="U115" i="1"/>
  <c r="J116" i="1"/>
  <c r="U116" i="1"/>
  <c r="J117" i="1"/>
  <c r="U117" i="1"/>
  <c r="J118" i="1"/>
  <c r="J119" i="1"/>
  <c r="J120" i="1"/>
  <c r="J121" i="1"/>
  <c r="I122" i="1"/>
  <c r="J87" i="4"/>
  <c r="U87" i="4"/>
  <c r="J88" i="4"/>
  <c r="J89" i="4"/>
  <c r="U89" i="4"/>
  <c r="J90" i="4"/>
  <c r="U90" i="4"/>
  <c r="J91" i="4"/>
  <c r="J92" i="4"/>
  <c r="U92" i="4"/>
  <c r="J93" i="4"/>
  <c r="U93" i="4"/>
  <c r="J94" i="4"/>
  <c r="U94" i="4"/>
  <c r="J96" i="4"/>
  <c r="U96" i="4"/>
  <c r="J97" i="4"/>
  <c r="U97" i="4"/>
  <c r="U98" i="4"/>
  <c r="U99" i="4"/>
  <c r="U100" i="4"/>
  <c r="U101" i="4"/>
  <c r="U102" i="4"/>
  <c r="U103" i="4"/>
  <c r="U104" i="4"/>
  <c r="U105" i="4"/>
  <c r="J106" i="4"/>
  <c r="U106" i="4"/>
  <c r="J107" i="4"/>
  <c r="U107" i="4"/>
  <c r="J108" i="4"/>
  <c r="U108" i="4"/>
  <c r="J109" i="4"/>
  <c r="U109" i="4"/>
  <c r="J110" i="4"/>
  <c r="U110" i="4"/>
  <c r="J111" i="4"/>
  <c r="U111" i="4"/>
  <c r="J112" i="4"/>
  <c r="U112" i="4"/>
  <c r="J113" i="4"/>
  <c r="U113" i="4"/>
  <c r="J114" i="4"/>
  <c r="U114" i="4"/>
  <c r="J115" i="4"/>
  <c r="U115" i="4"/>
  <c r="J116" i="4"/>
  <c r="U116" i="4"/>
  <c r="J117" i="4"/>
  <c r="U117" i="4"/>
  <c r="J118" i="4"/>
  <c r="J119" i="4"/>
  <c r="J120" i="4"/>
  <c r="J121" i="4"/>
  <c r="E122" i="4"/>
  <c r="P122" i="4"/>
  <c r="T122" i="4"/>
  <c r="J98" i="4"/>
  <c r="J99" i="4"/>
  <c r="J100" i="4"/>
  <c r="J101" i="4"/>
  <c r="J102" i="4"/>
  <c r="J103" i="4"/>
  <c r="J104" i="4"/>
  <c r="J105" i="4"/>
  <c r="U88" i="1"/>
  <c r="T122" i="1"/>
  <c r="P122" i="1"/>
  <c r="E122" i="1"/>
  <c r="I59" i="1"/>
  <c r="E59" i="1"/>
  <c r="I57" i="4"/>
  <c r="E57" i="4"/>
  <c r="J122" i="4" l="1"/>
  <c r="J163" i="1"/>
  <c r="J122" i="1"/>
  <c r="U163" i="4"/>
  <c r="J163" i="4"/>
  <c r="U163" i="1"/>
  <c r="U122" i="1"/>
  <c r="U122" i="4"/>
  <c r="J57" i="4"/>
  <c r="J59" i="1"/>
  <c r="T55" i="4"/>
  <c r="P55" i="4"/>
  <c r="T55" i="1"/>
  <c r="P55" i="1"/>
  <c r="U55" i="1" l="1"/>
  <c r="U55" i="4"/>
  <c r="I58" i="1"/>
  <c r="E58" i="1"/>
  <c r="J58" i="1" l="1"/>
  <c r="I19" i="4"/>
  <c r="T20" i="1" l="1"/>
  <c r="P20" i="1"/>
  <c r="T20" i="4"/>
  <c r="P20" i="4"/>
  <c r="U20" i="4" l="1"/>
  <c r="U20" i="1"/>
  <c r="T19" i="1"/>
  <c r="P19" i="1"/>
  <c r="U19" i="1" l="1"/>
  <c r="P80" i="1"/>
  <c r="T80" i="1"/>
  <c r="T78" i="4"/>
  <c r="P78" i="4"/>
  <c r="U78" i="4" l="1"/>
  <c r="U80" i="1"/>
  <c r="T5" i="4"/>
  <c r="P5" i="4"/>
  <c r="P6" i="4"/>
  <c r="T6" i="4"/>
  <c r="U5" i="4" l="1"/>
  <c r="U6" i="4"/>
  <c r="T77" i="1"/>
  <c r="P77" i="1"/>
  <c r="U77" i="1" l="1"/>
  <c r="I15" i="1"/>
  <c r="E15" i="1"/>
  <c r="J15" i="1" l="1"/>
  <c r="T76" i="4"/>
  <c r="P76" i="4"/>
  <c r="U76" i="4" l="1"/>
  <c r="S81" i="1"/>
  <c r="R81" i="1"/>
  <c r="Q81" i="1"/>
  <c r="O81" i="1"/>
  <c r="N81" i="1"/>
  <c r="M81" i="1"/>
  <c r="H81" i="1"/>
  <c r="G81" i="1"/>
  <c r="F81" i="1"/>
  <c r="D81" i="1"/>
  <c r="C81" i="1"/>
  <c r="B81" i="1"/>
  <c r="I80" i="1"/>
  <c r="E80" i="1"/>
  <c r="T79" i="1"/>
  <c r="P79" i="1"/>
  <c r="I79" i="1"/>
  <c r="E79" i="1"/>
  <c r="T78" i="1"/>
  <c r="P78" i="1"/>
  <c r="I78" i="1"/>
  <c r="E78" i="1"/>
  <c r="I77" i="1"/>
  <c r="E77" i="1"/>
  <c r="T76" i="1"/>
  <c r="P76" i="1"/>
  <c r="I76" i="1"/>
  <c r="E76" i="1"/>
  <c r="T75" i="1"/>
  <c r="P75" i="1"/>
  <c r="I75" i="1"/>
  <c r="E75" i="1"/>
  <c r="T74" i="1"/>
  <c r="P74" i="1"/>
  <c r="I74" i="1"/>
  <c r="E74" i="1"/>
  <c r="T73" i="1"/>
  <c r="P73" i="1"/>
  <c r="I73" i="1"/>
  <c r="E73" i="1"/>
  <c r="T72" i="1"/>
  <c r="P72" i="1"/>
  <c r="I72" i="1"/>
  <c r="E72" i="1"/>
  <c r="T71" i="1"/>
  <c r="P71" i="1"/>
  <c r="I71" i="1"/>
  <c r="E71" i="1"/>
  <c r="T70" i="1"/>
  <c r="P70" i="1"/>
  <c r="I70" i="1"/>
  <c r="E70" i="1"/>
  <c r="T69" i="1"/>
  <c r="P69" i="1"/>
  <c r="I69" i="1"/>
  <c r="E69" i="1"/>
  <c r="T68" i="1"/>
  <c r="P68" i="1"/>
  <c r="I68" i="1"/>
  <c r="E68" i="1"/>
  <c r="T67" i="1"/>
  <c r="P67" i="1"/>
  <c r="I67" i="1"/>
  <c r="E67" i="1"/>
  <c r="T66" i="1"/>
  <c r="P66" i="1"/>
  <c r="I66" i="1"/>
  <c r="E66" i="1"/>
  <c r="T65" i="1"/>
  <c r="P65" i="1"/>
  <c r="I65" i="1"/>
  <c r="E65" i="1"/>
  <c r="T64" i="1"/>
  <c r="P64" i="1"/>
  <c r="I64" i="1"/>
  <c r="E64" i="1"/>
  <c r="T63" i="1"/>
  <c r="P63" i="1"/>
  <c r="I63" i="1"/>
  <c r="E63" i="1"/>
  <c r="T62" i="1"/>
  <c r="P62" i="1"/>
  <c r="I62" i="1"/>
  <c r="E62" i="1"/>
  <c r="T61" i="1"/>
  <c r="P61" i="1"/>
  <c r="I61" i="1"/>
  <c r="E61" i="1"/>
  <c r="T60" i="1"/>
  <c r="P60" i="1"/>
  <c r="I60" i="1"/>
  <c r="E60" i="1"/>
  <c r="T59" i="1"/>
  <c r="P59" i="1"/>
  <c r="T58" i="1"/>
  <c r="P58" i="1"/>
  <c r="T57" i="1"/>
  <c r="P57" i="1"/>
  <c r="I57" i="1"/>
  <c r="E57" i="1"/>
  <c r="T56" i="1"/>
  <c r="P56" i="1"/>
  <c r="I56" i="1"/>
  <c r="E56" i="1"/>
  <c r="I55" i="1"/>
  <c r="E55" i="1"/>
  <c r="T53" i="1"/>
  <c r="P53" i="1"/>
  <c r="I53" i="1"/>
  <c r="E53" i="1"/>
  <c r="T52" i="1"/>
  <c r="P52" i="1"/>
  <c r="I52" i="1"/>
  <c r="E52" i="1"/>
  <c r="T51" i="1"/>
  <c r="P51" i="1"/>
  <c r="I51" i="1"/>
  <c r="E51" i="1"/>
  <c r="T50" i="1"/>
  <c r="P50" i="1"/>
  <c r="I50" i="1"/>
  <c r="E50" i="1"/>
  <c r="T49" i="1"/>
  <c r="P49" i="1"/>
  <c r="I49" i="1"/>
  <c r="E49" i="1"/>
  <c r="T48" i="1"/>
  <c r="P48" i="1"/>
  <c r="I48" i="1"/>
  <c r="E48" i="1"/>
  <c r="T47" i="1"/>
  <c r="P47" i="1"/>
  <c r="I47" i="1"/>
  <c r="E47" i="1"/>
  <c r="T46" i="1"/>
  <c r="P46" i="1"/>
  <c r="I46" i="1"/>
  <c r="E46" i="1"/>
  <c r="S81" i="4"/>
  <c r="R81" i="4"/>
  <c r="Q81" i="4"/>
  <c r="O81" i="4"/>
  <c r="N81" i="4"/>
  <c r="M81" i="4"/>
  <c r="H81" i="4"/>
  <c r="G81" i="4"/>
  <c r="F81" i="4"/>
  <c r="D81" i="4"/>
  <c r="C81" i="4"/>
  <c r="B81" i="4"/>
  <c r="T80" i="4"/>
  <c r="P80" i="4"/>
  <c r="I80" i="4"/>
  <c r="E80" i="4"/>
  <c r="T79" i="4"/>
  <c r="P79" i="4"/>
  <c r="I79" i="4"/>
  <c r="E79" i="4"/>
  <c r="I78" i="4"/>
  <c r="E78" i="4"/>
  <c r="T77" i="4"/>
  <c r="P77" i="4"/>
  <c r="I77" i="4"/>
  <c r="E77" i="4"/>
  <c r="I76" i="4"/>
  <c r="E76" i="4"/>
  <c r="T75" i="4"/>
  <c r="P75" i="4"/>
  <c r="I75" i="4"/>
  <c r="E75" i="4"/>
  <c r="T74" i="4"/>
  <c r="P74" i="4"/>
  <c r="I74" i="4"/>
  <c r="E74" i="4"/>
  <c r="T73" i="4"/>
  <c r="P73" i="4"/>
  <c r="I73" i="4"/>
  <c r="E73" i="4"/>
  <c r="T72" i="4"/>
  <c r="P72" i="4"/>
  <c r="I72" i="4"/>
  <c r="E72" i="4"/>
  <c r="T71" i="4"/>
  <c r="P71" i="4"/>
  <c r="I71" i="4"/>
  <c r="E71" i="4"/>
  <c r="T70" i="4"/>
  <c r="P70" i="4"/>
  <c r="I70" i="4"/>
  <c r="E70" i="4"/>
  <c r="T69" i="4"/>
  <c r="P69" i="4"/>
  <c r="I69" i="4"/>
  <c r="E69" i="4"/>
  <c r="T68" i="4"/>
  <c r="P68" i="4"/>
  <c r="I68" i="4"/>
  <c r="E68" i="4"/>
  <c r="T67" i="4"/>
  <c r="P67" i="4"/>
  <c r="I67" i="4"/>
  <c r="E67" i="4"/>
  <c r="T66" i="4"/>
  <c r="P66" i="4"/>
  <c r="I66" i="4"/>
  <c r="E66" i="4"/>
  <c r="T65" i="4"/>
  <c r="P65" i="4"/>
  <c r="I65" i="4"/>
  <c r="E65" i="4"/>
  <c r="T64" i="4"/>
  <c r="P64" i="4"/>
  <c r="I64" i="4"/>
  <c r="E64" i="4"/>
  <c r="T63" i="4"/>
  <c r="P63" i="4"/>
  <c r="I63" i="4"/>
  <c r="E63" i="4"/>
  <c r="T62" i="4"/>
  <c r="P62" i="4"/>
  <c r="I62" i="4"/>
  <c r="E62" i="4"/>
  <c r="T61" i="4"/>
  <c r="P61" i="4"/>
  <c r="I61" i="4"/>
  <c r="E61" i="4"/>
  <c r="T60" i="4"/>
  <c r="P60" i="4"/>
  <c r="I60" i="4"/>
  <c r="E60" i="4"/>
  <c r="T59" i="4"/>
  <c r="P59" i="4"/>
  <c r="I59" i="4"/>
  <c r="E59" i="4"/>
  <c r="T58" i="4"/>
  <c r="P58" i="4"/>
  <c r="I58" i="4"/>
  <c r="E58" i="4"/>
  <c r="T57" i="4"/>
  <c r="P57" i="4"/>
  <c r="T56" i="4"/>
  <c r="P56" i="4"/>
  <c r="I56" i="4"/>
  <c r="E56" i="4"/>
  <c r="I55" i="4"/>
  <c r="E55" i="4"/>
  <c r="T53" i="4"/>
  <c r="P53" i="4"/>
  <c r="I53" i="4"/>
  <c r="E53" i="4"/>
  <c r="T52" i="4"/>
  <c r="P52" i="4"/>
  <c r="I52" i="4"/>
  <c r="E52" i="4"/>
  <c r="T51" i="4"/>
  <c r="P51" i="4"/>
  <c r="I51" i="4"/>
  <c r="E51" i="4"/>
  <c r="T50" i="4"/>
  <c r="P50" i="4"/>
  <c r="I50" i="4"/>
  <c r="E50" i="4"/>
  <c r="T49" i="4"/>
  <c r="P49" i="4"/>
  <c r="I49" i="4"/>
  <c r="E49" i="4"/>
  <c r="T48" i="4"/>
  <c r="P48" i="4"/>
  <c r="I48" i="4"/>
  <c r="E48" i="4"/>
  <c r="T47" i="4"/>
  <c r="P47" i="4"/>
  <c r="I47" i="4"/>
  <c r="E47" i="4"/>
  <c r="T46" i="4"/>
  <c r="P46" i="4"/>
  <c r="I46" i="4"/>
  <c r="E46" i="4"/>
  <c r="P14" i="4"/>
  <c r="T14" i="4"/>
  <c r="P15" i="4"/>
  <c r="T15" i="4"/>
  <c r="P16" i="4"/>
  <c r="T16" i="4"/>
  <c r="T16" i="1"/>
  <c r="P16" i="1"/>
  <c r="T15" i="1"/>
  <c r="P15" i="1"/>
  <c r="T14" i="1"/>
  <c r="P14" i="1"/>
  <c r="P39" i="4"/>
  <c r="T81" i="1" l="1"/>
  <c r="U47" i="1"/>
  <c r="J48" i="1"/>
  <c r="U48" i="1"/>
  <c r="J49" i="1"/>
  <c r="U49" i="1"/>
  <c r="J50" i="1"/>
  <c r="U50" i="1"/>
  <c r="J51" i="1"/>
  <c r="U51" i="1"/>
  <c r="J52" i="1"/>
  <c r="U52" i="1"/>
  <c r="J53" i="1"/>
  <c r="U53" i="1"/>
  <c r="J55" i="1"/>
  <c r="J56" i="1"/>
  <c r="J57" i="1"/>
  <c r="U59" i="1"/>
  <c r="J60" i="1"/>
  <c r="U60" i="1"/>
  <c r="J61" i="1"/>
  <c r="U61" i="1"/>
  <c r="J62" i="1"/>
  <c r="U62" i="1"/>
  <c r="J63" i="1"/>
  <c r="U63" i="1"/>
  <c r="J64" i="1"/>
  <c r="U64" i="1"/>
  <c r="J65" i="1"/>
  <c r="U65" i="1"/>
  <c r="J66" i="1"/>
  <c r="U66" i="1"/>
  <c r="J67" i="1"/>
  <c r="U67" i="1"/>
  <c r="J68" i="1"/>
  <c r="U68" i="1"/>
  <c r="J69" i="1"/>
  <c r="U69" i="1"/>
  <c r="J70" i="1"/>
  <c r="U70" i="1"/>
  <c r="J71" i="1"/>
  <c r="U71" i="1"/>
  <c r="J72" i="1"/>
  <c r="U72" i="1"/>
  <c r="J73" i="1"/>
  <c r="U73" i="1"/>
  <c r="J74" i="1"/>
  <c r="U74" i="1"/>
  <c r="J75" i="1"/>
  <c r="U75" i="1"/>
  <c r="J76" i="1"/>
  <c r="U76" i="1"/>
  <c r="J77" i="1"/>
  <c r="J78" i="1"/>
  <c r="U78" i="1"/>
  <c r="E81" i="4"/>
  <c r="T81" i="4"/>
  <c r="J79" i="1"/>
  <c r="E81" i="1"/>
  <c r="J46" i="4"/>
  <c r="J47" i="4"/>
  <c r="U47" i="4"/>
  <c r="J48" i="4"/>
  <c r="U48" i="4"/>
  <c r="J49" i="4"/>
  <c r="U49" i="4"/>
  <c r="J50" i="4"/>
  <c r="U50" i="4"/>
  <c r="J51" i="4"/>
  <c r="U51" i="4"/>
  <c r="J52" i="4"/>
  <c r="U52" i="4"/>
  <c r="J53" i="4"/>
  <c r="U53" i="4"/>
  <c r="J55" i="4"/>
  <c r="J56" i="4"/>
  <c r="J58" i="4"/>
  <c r="J59" i="4"/>
  <c r="U59" i="4"/>
  <c r="J60" i="4"/>
  <c r="U60" i="4"/>
  <c r="J61" i="4"/>
  <c r="U61" i="4"/>
  <c r="J62" i="4"/>
  <c r="U62" i="4"/>
  <c r="J63" i="4"/>
  <c r="U63" i="4"/>
  <c r="J64" i="4"/>
  <c r="U64" i="4"/>
  <c r="J65" i="4"/>
  <c r="U65" i="4"/>
  <c r="J66" i="4"/>
  <c r="U66" i="4"/>
  <c r="J67" i="4"/>
  <c r="U67" i="4"/>
  <c r="J68" i="4"/>
  <c r="U68" i="4"/>
  <c r="J69" i="4"/>
  <c r="U69" i="4"/>
  <c r="J70" i="4"/>
  <c r="U70" i="4"/>
  <c r="J71" i="4"/>
  <c r="U71" i="4"/>
  <c r="J72" i="4"/>
  <c r="U72" i="4"/>
  <c r="J73" i="4"/>
  <c r="U73" i="4"/>
  <c r="J74" i="4"/>
  <c r="U74" i="4"/>
  <c r="J75" i="4"/>
  <c r="U75" i="4"/>
  <c r="J76" i="4"/>
  <c r="J77" i="4"/>
  <c r="U77" i="4"/>
  <c r="J78" i="4"/>
  <c r="J79" i="4"/>
  <c r="U79" i="4"/>
  <c r="J80" i="4"/>
  <c r="I81" i="4"/>
  <c r="J46" i="1"/>
  <c r="U46" i="1"/>
  <c r="J47" i="1"/>
  <c r="U79" i="1"/>
  <c r="J80" i="1"/>
  <c r="I81" i="1"/>
  <c r="U46" i="4"/>
  <c r="U56" i="1"/>
  <c r="U57" i="1"/>
  <c r="U58" i="1"/>
  <c r="P81" i="1"/>
  <c r="U15" i="1"/>
  <c r="U16" i="1"/>
  <c r="U80" i="4"/>
  <c r="U56" i="4"/>
  <c r="U57" i="4"/>
  <c r="U58" i="4"/>
  <c r="P81" i="4"/>
  <c r="U16" i="4"/>
  <c r="U15" i="4"/>
  <c r="U14" i="4"/>
  <c r="U14" i="1"/>
  <c r="S40" i="4"/>
  <c r="R40" i="4"/>
  <c r="Q40" i="4"/>
  <c r="O40" i="4"/>
  <c r="N40" i="4"/>
  <c r="M40" i="4"/>
  <c r="H40" i="4"/>
  <c r="G40" i="4"/>
  <c r="F40" i="4"/>
  <c r="D40" i="4"/>
  <c r="C40" i="4"/>
  <c r="B40" i="4"/>
  <c r="T39" i="4"/>
  <c r="I39" i="4"/>
  <c r="E39" i="4"/>
  <c r="T38" i="4"/>
  <c r="P38" i="4"/>
  <c r="I38" i="4"/>
  <c r="E38" i="4"/>
  <c r="T37" i="4"/>
  <c r="P37" i="4"/>
  <c r="I37" i="4"/>
  <c r="E37" i="4"/>
  <c r="T36" i="4"/>
  <c r="P36" i="4"/>
  <c r="I36" i="4"/>
  <c r="E36" i="4"/>
  <c r="T35" i="4"/>
  <c r="P35" i="4"/>
  <c r="I35" i="4"/>
  <c r="E35" i="4"/>
  <c r="T34" i="4"/>
  <c r="P34" i="4"/>
  <c r="I34" i="4"/>
  <c r="E34" i="4"/>
  <c r="T33" i="4"/>
  <c r="P33" i="4"/>
  <c r="I33" i="4"/>
  <c r="E33" i="4"/>
  <c r="T32" i="4"/>
  <c r="P32" i="4"/>
  <c r="I32" i="4"/>
  <c r="E32" i="4"/>
  <c r="T31" i="4"/>
  <c r="P31" i="4"/>
  <c r="I31" i="4"/>
  <c r="E31" i="4"/>
  <c r="T30" i="4"/>
  <c r="P30" i="4"/>
  <c r="I30" i="4"/>
  <c r="E30" i="4"/>
  <c r="T29" i="4"/>
  <c r="P29" i="4"/>
  <c r="I29" i="4"/>
  <c r="E29" i="4"/>
  <c r="T28" i="4"/>
  <c r="P28" i="4"/>
  <c r="I28" i="4"/>
  <c r="E28" i="4"/>
  <c r="T27" i="4"/>
  <c r="P27" i="4"/>
  <c r="I27" i="4"/>
  <c r="E27" i="4"/>
  <c r="T26" i="4"/>
  <c r="P26" i="4"/>
  <c r="I26" i="4"/>
  <c r="E26" i="4"/>
  <c r="T25" i="4"/>
  <c r="P25" i="4"/>
  <c r="I25" i="4"/>
  <c r="E25" i="4"/>
  <c r="T24" i="4"/>
  <c r="P24" i="4"/>
  <c r="I24" i="4"/>
  <c r="E24" i="4"/>
  <c r="T23" i="4"/>
  <c r="P23" i="4"/>
  <c r="I23" i="4"/>
  <c r="E23" i="4"/>
  <c r="T22" i="4"/>
  <c r="P22" i="4"/>
  <c r="I22" i="4"/>
  <c r="E22" i="4"/>
  <c r="T21" i="4"/>
  <c r="P21" i="4"/>
  <c r="I21" i="4"/>
  <c r="E21" i="4"/>
  <c r="I20" i="4"/>
  <c r="E20" i="4"/>
  <c r="T19" i="4"/>
  <c r="P19" i="4"/>
  <c r="E19" i="4"/>
  <c r="T18" i="4"/>
  <c r="P18" i="4"/>
  <c r="I18" i="4"/>
  <c r="E18" i="4"/>
  <c r="T17" i="4"/>
  <c r="P17" i="4"/>
  <c r="I17" i="4"/>
  <c r="E17" i="4"/>
  <c r="I16" i="4"/>
  <c r="E16" i="4"/>
  <c r="I15" i="4"/>
  <c r="E15" i="4"/>
  <c r="I14" i="4"/>
  <c r="E14" i="4"/>
  <c r="S13" i="4"/>
  <c r="R13" i="4"/>
  <c r="Q13" i="4"/>
  <c r="O13" i="4"/>
  <c r="N13" i="4"/>
  <c r="M13" i="4"/>
  <c r="H13" i="4"/>
  <c r="G13" i="4"/>
  <c r="F13" i="4"/>
  <c r="D13" i="4"/>
  <c r="C13" i="4"/>
  <c r="B13" i="4"/>
  <c r="T12" i="4"/>
  <c r="P12" i="4"/>
  <c r="I12" i="4"/>
  <c r="E12" i="4"/>
  <c r="T11" i="4"/>
  <c r="P11" i="4"/>
  <c r="I11" i="4"/>
  <c r="E11" i="4"/>
  <c r="T10" i="4"/>
  <c r="P10" i="4"/>
  <c r="I10" i="4"/>
  <c r="E10" i="4"/>
  <c r="T9" i="4"/>
  <c r="P9" i="4"/>
  <c r="I9" i="4"/>
  <c r="E9" i="4"/>
  <c r="T8" i="4"/>
  <c r="P8" i="4"/>
  <c r="I8" i="4"/>
  <c r="E8" i="4"/>
  <c r="T7" i="4"/>
  <c r="P7" i="4"/>
  <c r="I7" i="4"/>
  <c r="E7" i="4"/>
  <c r="I6" i="4"/>
  <c r="E6" i="4"/>
  <c r="I5" i="4"/>
  <c r="E5" i="4"/>
  <c r="T4" i="4"/>
  <c r="P4" i="4"/>
  <c r="I4" i="4"/>
  <c r="E4" i="4"/>
  <c r="U81" i="1" l="1"/>
  <c r="J81" i="4"/>
  <c r="U81" i="4"/>
  <c r="J81" i="1"/>
  <c r="C41" i="4"/>
  <c r="C45" i="4" s="1"/>
  <c r="C54" i="4" s="1"/>
  <c r="C82" i="4" s="1"/>
  <c r="C86" i="4" s="1"/>
  <c r="C95" i="4" s="1"/>
  <c r="C123" i="4" s="1"/>
  <c r="C127" i="4" s="1"/>
  <c r="C136" i="4" s="1"/>
  <c r="C164" i="4" s="1"/>
  <c r="C168" i="4" s="1"/>
  <c r="C177" i="4" s="1"/>
  <c r="C205" i="4" s="1"/>
  <c r="C209" i="4" s="1"/>
  <c r="C218" i="4" s="1"/>
  <c r="C246" i="4" s="1"/>
  <c r="C250" i="4" s="1"/>
  <c r="C259" i="4" s="1"/>
  <c r="C287" i="4" s="1"/>
  <c r="C291" i="4" s="1"/>
  <c r="C300" i="4" s="1"/>
  <c r="C328" i="4" s="1"/>
  <c r="C332" i="4" s="1"/>
  <c r="E40" i="4"/>
  <c r="F41" i="4"/>
  <c r="F45" i="4" s="1"/>
  <c r="F54" i="4" s="1"/>
  <c r="F82" i="4" s="1"/>
  <c r="F86" i="4" s="1"/>
  <c r="H41" i="4"/>
  <c r="H45" i="4" s="1"/>
  <c r="H54" i="4" s="1"/>
  <c r="H82" i="4" s="1"/>
  <c r="H86" i="4" s="1"/>
  <c r="H95" i="4" s="1"/>
  <c r="H123" i="4" s="1"/>
  <c r="H127" i="4" s="1"/>
  <c r="H136" i="4" s="1"/>
  <c r="H164" i="4" s="1"/>
  <c r="H168" i="4" s="1"/>
  <c r="H177" i="4" s="1"/>
  <c r="H205" i="4" s="1"/>
  <c r="H209" i="4" s="1"/>
  <c r="H218" i="4" s="1"/>
  <c r="H246" i="4" s="1"/>
  <c r="H250" i="4" s="1"/>
  <c r="H259" i="4" s="1"/>
  <c r="H287" i="4" s="1"/>
  <c r="H291" i="4" s="1"/>
  <c r="H300" i="4" s="1"/>
  <c r="H328" i="4" s="1"/>
  <c r="H332" i="4" s="1"/>
  <c r="H341" i="4" s="1"/>
  <c r="H369" i="4" s="1"/>
  <c r="H373" i="4" s="1"/>
  <c r="H382" i="4" s="1"/>
  <c r="H410" i="4" s="1"/>
  <c r="H414" i="4" s="1"/>
  <c r="H423" i="4" s="1"/>
  <c r="H451" i="4" s="1"/>
  <c r="H455" i="4" s="1"/>
  <c r="H464" i="4" s="1"/>
  <c r="H492" i="4" s="1"/>
  <c r="H496" i="4" s="1"/>
  <c r="H505" i="4" s="1"/>
  <c r="H533" i="4" s="1"/>
  <c r="H537" i="4" s="1"/>
  <c r="H546" i="4" s="1"/>
  <c r="H574" i="4" s="1"/>
  <c r="H578" i="4" s="1"/>
  <c r="H587" i="4" s="1"/>
  <c r="H615" i="4" s="1"/>
  <c r="H621" i="4" s="1"/>
  <c r="H630" i="4" s="1"/>
  <c r="H658" i="4" s="1"/>
  <c r="H664" i="4" s="1"/>
  <c r="H673" i="4" s="1"/>
  <c r="H701" i="4" s="1"/>
  <c r="H707" i="4" s="1"/>
  <c r="H716" i="4" s="1"/>
  <c r="H744" i="4" s="1"/>
  <c r="H750" i="4" s="1"/>
  <c r="H759" i="4" s="1"/>
  <c r="H787" i="4" s="1"/>
  <c r="H793" i="4" s="1"/>
  <c r="H802" i="4" s="1"/>
  <c r="H830" i="4" s="1"/>
  <c r="H836" i="4" s="1"/>
  <c r="H845" i="4" s="1"/>
  <c r="H873" i="4" s="1"/>
  <c r="H879" i="4" s="1"/>
  <c r="H888" i="4" s="1"/>
  <c r="H916" i="4" s="1"/>
  <c r="H922" i="4" s="1"/>
  <c r="H931" i="4" s="1"/>
  <c r="H959" i="4" s="1"/>
  <c r="H965" i="4" s="1"/>
  <c r="H974" i="4" s="1"/>
  <c r="H1002" i="4" s="1"/>
  <c r="H1008" i="4" s="1"/>
  <c r="H1017" i="4" s="1"/>
  <c r="H1045" i="4" s="1"/>
  <c r="H1051" i="4" s="1"/>
  <c r="H1060" i="4" s="1"/>
  <c r="H1088" i="4" s="1"/>
  <c r="H1094" i="4" s="1"/>
  <c r="H1103" i="4" s="1"/>
  <c r="H1131" i="4" s="1"/>
  <c r="H1137" i="4" s="1"/>
  <c r="H1146" i="4" s="1"/>
  <c r="S41" i="4"/>
  <c r="S45" i="4" s="1"/>
  <c r="S54" i="4" s="1"/>
  <c r="S82" i="4" s="1"/>
  <c r="S86" i="4" s="1"/>
  <c r="S95" i="4" s="1"/>
  <c r="S123" i="4" s="1"/>
  <c r="S127" i="4" s="1"/>
  <c r="S136" i="4" s="1"/>
  <c r="S164" i="4" s="1"/>
  <c r="S168" i="4" s="1"/>
  <c r="S177" i="4" s="1"/>
  <c r="S205" i="4" s="1"/>
  <c r="S209" i="4" s="1"/>
  <c r="S218" i="4" s="1"/>
  <c r="S246" i="4" s="1"/>
  <c r="S250" i="4" s="1"/>
  <c r="S259" i="4" s="1"/>
  <c r="S287" i="4" s="1"/>
  <c r="S291" i="4" s="1"/>
  <c r="S300" i="4" s="1"/>
  <c r="S328" i="4" s="1"/>
  <c r="S332" i="4" s="1"/>
  <c r="S341" i="4" s="1"/>
  <c r="S369" i="4" s="1"/>
  <c r="S373" i="4" s="1"/>
  <c r="S382" i="4" s="1"/>
  <c r="S410" i="4" s="1"/>
  <c r="S414" i="4" s="1"/>
  <c r="S423" i="4" s="1"/>
  <c r="S451" i="4" s="1"/>
  <c r="S455" i="4" s="1"/>
  <c r="S464" i="4" s="1"/>
  <c r="S492" i="4" s="1"/>
  <c r="S496" i="4" s="1"/>
  <c r="S505" i="4" s="1"/>
  <c r="S533" i="4" s="1"/>
  <c r="S537" i="4" s="1"/>
  <c r="S546" i="4" s="1"/>
  <c r="S574" i="4" s="1"/>
  <c r="S578" i="4" s="1"/>
  <c r="S587" i="4" s="1"/>
  <c r="S615" i="4" s="1"/>
  <c r="S621" i="4" s="1"/>
  <c r="S630" i="4" s="1"/>
  <c r="S658" i="4" s="1"/>
  <c r="S664" i="4" s="1"/>
  <c r="S673" i="4" s="1"/>
  <c r="S701" i="4" s="1"/>
  <c r="S707" i="4" s="1"/>
  <c r="S716" i="4" s="1"/>
  <c r="S744" i="4" s="1"/>
  <c r="S750" i="4" s="1"/>
  <c r="S759" i="4" s="1"/>
  <c r="S787" i="4" s="1"/>
  <c r="S793" i="4" s="1"/>
  <c r="S802" i="4" s="1"/>
  <c r="S830" i="4" s="1"/>
  <c r="S836" i="4" s="1"/>
  <c r="S845" i="4" s="1"/>
  <c r="S873" i="4" s="1"/>
  <c r="S879" i="4" s="1"/>
  <c r="S888" i="4" s="1"/>
  <c r="S916" i="4" s="1"/>
  <c r="S922" i="4" s="1"/>
  <c r="S931" i="4" s="1"/>
  <c r="S959" i="4" s="1"/>
  <c r="S965" i="4" s="1"/>
  <c r="S974" i="4" s="1"/>
  <c r="S1002" i="4" s="1"/>
  <c r="S1008" i="4" s="1"/>
  <c r="S1017" i="4" s="1"/>
  <c r="S1045" i="4" s="1"/>
  <c r="S1051" i="4" s="1"/>
  <c r="S1060" i="4" s="1"/>
  <c r="S1088" i="4" s="1"/>
  <c r="S1094" i="4" s="1"/>
  <c r="S1103" i="4" s="1"/>
  <c r="S1131" i="4" s="1"/>
  <c r="S1137" i="4" s="1"/>
  <c r="S1146" i="4" s="1"/>
  <c r="N41" i="4"/>
  <c r="N45" i="4" s="1"/>
  <c r="N54" i="4" s="1"/>
  <c r="N82" i="4" s="1"/>
  <c r="N86" i="4" s="1"/>
  <c r="N95" i="4" s="1"/>
  <c r="N123" i="4" s="1"/>
  <c r="N127" i="4" s="1"/>
  <c r="N136" i="4" s="1"/>
  <c r="N164" i="4" s="1"/>
  <c r="N168" i="4" s="1"/>
  <c r="N177" i="4" s="1"/>
  <c r="N205" i="4" s="1"/>
  <c r="N209" i="4" s="1"/>
  <c r="N218" i="4" s="1"/>
  <c r="N246" i="4" s="1"/>
  <c r="N250" i="4" s="1"/>
  <c r="N259" i="4" s="1"/>
  <c r="N287" i="4" s="1"/>
  <c r="N291" i="4" s="1"/>
  <c r="J4" i="4"/>
  <c r="J5" i="4"/>
  <c r="J6" i="4"/>
  <c r="J7" i="4"/>
  <c r="U7" i="4"/>
  <c r="J8" i="4"/>
  <c r="U8" i="4"/>
  <c r="J9" i="4"/>
  <c r="U9" i="4"/>
  <c r="J10" i="4"/>
  <c r="U10" i="4"/>
  <c r="J11" i="4"/>
  <c r="U11" i="4"/>
  <c r="J12" i="4"/>
  <c r="U12" i="4"/>
  <c r="B41" i="4"/>
  <c r="B45" i="4" s="1"/>
  <c r="D41" i="4"/>
  <c r="G41" i="4"/>
  <c r="M41" i="4"/>
  <c r="M45" i="4" s="1"/>
  <c r="O41" i="4"/>
  <c r="O45" i="4" s="1"/>
  <c r="O54" i="4" s="1"/>
  <c r="O82" i="4" s="1"/>
  <c r="O86" i="4" s="1"/>
  <c r="O95" i="4" s="1"/>
  <c r="O123" i="4" s="1"/>
  <c r="O127" i="4" s="1"/>
  <c r="O136" i="4" s="1"/>
  <c r="O164" i="4" s="1"/>
  <c r="O168" i="4" s="1"/>
  <c r="O177" i="4" s="1"/>
  <c r="O205" i="4" s="1"/>
  <c r="O209" i="4" s="1"/>
  <c r="O218" i="4" s="1"/>
  <c r="O246" i="4" s="1"/>
  <c r="O250" i="4" s="1"/>
  <c r="O259" i="4" s="1"/>
  <c r="O287" i="4" s="1"/>
  <c r="O291" i="4" s="1"/>
  <c r="O300" i="4" s="1"/>
  <c r="O328" i="4" s="1"/>
  <c r="O332" i="4" s="1"/>
  <c r="O341" i="4" s="1"/>
  <c r="O369" i="4" s="1"/>
  <c r="O373" i="4" s="1"/>
  <c r="O382" i="4" s="1"/>
  <c r="O410" i="4" s="1"/>
  <c r="O414" i="4" s="1"/>
  <c r="O423" i="4" s="1"/>
  <c r="O451" i="4" s="1"/>
  <c r="O455" i="4" s="1"/>
  <c r="O464" i="4" s="1"/>
  <c r="O492" i="4" s="1"/>
  <c r="R41" i="4"/>
  <c r="R45" i="4" s="1"/>
  <c r="R54" i="4" s="1"/>
  <c r="R82" i="4" s="1"/>
  <c r="R86" i="4" s="1"/>
  <c r="R95" i="4" s="1"/>
  <c r="R123" i="4" s="1"/>
  <c r="R127" i="4" s="1"/>
  <c r="R136" i="4" s="1"/>
  <c r="R164" i="4" s="1"/>
  <c r="R168" i="4" s="1"/>
  <c r="R177" i="4" s="1"/>
  <c r="R205" i="4" s="1"/>
  <c r="R209" i="4" s="1"/>
  <c r="R218" i="4" s="1"/>
  <c r="R246" i="4" s="1"/>
  <c r="R250" i="4" s="1"/>
  <c r="R259" i="4" s="1"/>
  <c r="R287" i="4" s="1"/>
  <c r="R291" i="4" s="1"/>
  <c r="J14" i="4"/>
  <c r="J15" i="4"/>
  <c r="J16" i="4"/>
  <c r="J17" i="4"/>
  <c r="U17" i="4"/>
  <c r="J18" i="4"/>
  <c r="U18" i="4"/>
  <c r="J19" i="4"/>
  <c r="U19" i="4"/>
  <c r="J20" i="4"/>
  <c r="J21" i="4"/>
  <c r="U21" i="4"/>
  <c r="J22" i="4"/>
  <c r="U22" i="4"/>
  <c r="J23" i="4"/>
  <c r="U23" i="4"/>
  <c r="J24" i="4"/>
  <c r="U24" i="4"/>
  <c r="J25" i="4"/>
  <c r="U25" i="4"/>
  <c r="J26" i="4"/>
  <c r="U26" i="4"/>
  <c r="J27" i="4"/>
  <c r="U27" i="4"/>
  <c r="J28" i="4"/>
  <c r="U28" i="4"/>
  <c r="J29" i="4"/>
  <c r="U29" i="4"/>
  <c r="J30" i="4"/>
  <c r="U30" i="4"/>
  <c r="J31" i="4"/>
  <c r="U31" i="4"/>
  <c r="J32" i="4"/>
  <c r="U32" i="4"/>
  <c r="J33" i="4"/>
  <c r="U33" i="4"/>
  <c r="J34" i="4"/>
  <c r="U34" i="4"/>
  <c r="J35" i="4"/>
  <c r="U35" i="4"/>
  <c r="J36" i="4"/>
  <c r="U36" i="4"/>
  <c r="J37" i="4"/>
  <c r="U37" i="4"/>
  <c r="J38" i="4"/>
  <c r="J39" i="4"/>
  <c r="Q41" i="4"/>
  <c r="Q45" i="4" s="1"/>
  <c r="U38" i="4"/>
  <c r="I40" i="4"/>
  <c r="T40" i="4"/>
  <c r="U4" i="4"/>
  <c r="U39" i="4"/>
  <c r="P40" i="4"/>
  <c r="E13" i="4"/>
  <c r="I13" i="4"/>
  <c r="P13" i="4"/>
  <c r="T13" i="4"/>
  <c r="T39" i="1"/>
  <c r="P39" i="1"/>
  <c r="S1174" i="4" l="1"/>
  <c r="H1174" i="4"/>
  <c r="O496" i="4"/>
  <c r="O505" i="4" s="1"/>
  <c r="O533" i="4" s="1"/>
  <c r="O537" i="4" s="1"/>
  <c r="O546" i="4" s="1"/>
  <c r="O574" i="4" s="1"/>
  <c r="O578" i="4" s="1"/>
  <c r="O587" i="4" s="1"/>
  <c r="O615" i="4" s="1"/>
  <c r="O621" i="4" s="1"/>
  <c r="O630" i="4" s="1"/>
  <c r="O658" i="4" s="1"/>
  <c r="O664" i="4" s="1"/>
  <c r="O673" i="4" s="1"/>
  <c r="O701" i="4" s="1"/>
  <c r="O707" i="4" s="1"/>
  <c r="O716" i="4" s="1"/>
  <c r="O744" i="4" s="1"/>
  <c r="O750" i="4" s="1"/>
  <c r="O759" i="4" s="1"/>
  <c r="O787" i="4" s="1"/>
  <c r="O793" i="4" s="1"/>
  <c r="O802" i="4" s="1"/>
  <c r="O830" i="4" s="1"/>
  <c r="O836" i="4" s="1"/>
  <c r="O845" i="4" s="1"/>
  <c r="O873" i="4" s="1"/>
  <c r="O879" i="4" s="1"/>
  <c r="O888" i="4" s="1"/>
  <c r="O916" i="4" s="1"/>
  <c r="O922" i="4" s="1"/>
  <c r="O931" i="4" s="1"/>
  <c r="O959" i="4" s="1"/>
  <c r="O965" i="4" s="1"/>
  <c r="O974" i="4" s="1"/>
  <c r="O1002" i="4" s="1"/>
  <c r="O1008" i="4" s="1"/>
  <c r="O1017" i="4" s="1"/>
  <c r="O1045" i="4" s="1"/>
  <c r="O1051" i="4" s="1"/>
  <c r="O1060" i="4" s="1"/>
  <c r="O1088" i="4" s="1"/>
  <c r="O1094" i="4" s="1"/>
  <c r="O1103" i="4" s="1"/>
  <c r="O1131" i="4" s="1"/>
  <c r="O1137" i="4" s="1"/>
  <c r="O1146" i="4" s="1"/>
  <c r="C341" i="4"/>
  <c r="R300" i="4"/>
  <c r="N300" i="4"/>
  <c r="F95" i="4"/>
  <c r="J40" i="4"/>
  <c r="I41" i="4"/>
  <c r="G45" i="4"/>
  <c r="Q54" i="4"/>
  <c r="T45" i="4"/>
  <c r="M54" i="4"/>
  <c r="P45" i="4"/>
  <c r="E41" i="4"/>
  <c r="D45" i="4"/>
  <c r="D54" i="4" s="1"/>
  <c r="D82" i="4" s="1"/>
  <c r="D86" i="4" s="1"/>
  <c r="D95" i="4" s="1"/>
  <c r="D123" i="4" s="1"/>
  <c r="D127" i="4" s="1"/>
  <c r="D136" i="4" s="1"/>
  <c r="D164" i="4" s="1"/>
  <c r="D168" i="4" s="1"/>
  <c r="D177" i="4" s="1"/>
  <c r="D205" i="4" s="1"/>
  <c r="D209" i="4" s="1"/>
  <c r="D218" i="4" s="1"/>
  <c r="D246" i="4" s="1"/>
  <c r="D250" i="4" s="1"/>
  <c r="D259" i="4" s="1"/>
  <c r="D287" i="4" s="1"/>
  <c r="D291" i="4" s="1"/>
  <c r="D300" i="4" s="1"/>
  <c r="D328" i="4" s="1"/>
  <c r="D332" i="4" s="1"/>
  <c r="D341" i="4" s="1"/>
  <c r="D369" i="4" s="1"/>
  <c r="D373" i="4" s="1"/>
  <c r="D382" i="4" s="1"/>
  <c r="D410" i="4" s="1"/>
  <c r="D414" i="4" s="1"/>
  <c r="D423" i="4" s="1"/>
  <c r="D451" i="4" s="1"/>
  <c r="D455" i="4" s="1"/>
  <c r="D464" i="4" s="1"/>
  <c r="D492" i="4" s="1"/>
  <c r="D496" i="4" s="1"/>
  <c r="D505" i="4" s="1"/>
  <c r="D533" i="4" s="1"/>
  <c r="D537" i="4" s="1"/>
  <c r="D546" i="4" s="1"/>
  <c r="D574" i="4" s="1"/>
  <c r="D578" i="4" s="1"/>
  <c r="D587" i="4" s="1"/>
  <c r="D615" i="4" s="1"/>
  <c r="D621" i="4" s="1"/>
  <c r="D630" i="4" s="1"/>
  <c r="D658" i="4" s="1"/>
  <c r="D664" i="4" s="1"/>
  <c r="D673" i="4" s="1"/>
  <c r="D701" i="4" s="1"/>
  <c r="D707" i="4" s="1"/>
  <c r="D716" i="4" s="1"/>
  <c r="D744" i="4" s="1"/>
  <c r="D750" i="4" s="1"/>
  <c r="D759" i="4" s="1"/>
  <c r="D787" i="4" s="1"/>
  <c r="D793" i="4" s="1"/>
  <c r="D802" i="4" s="1"/>
  <c r="D830" i="4" s="1"/>
  <c r="D836" i="4" s="1"/>
  <c r="D845" i="4" s="1"/>
  <c r="D873" i="4" s="1"/>
  <c r="D879" i="4" s="1"/>
  <c r="D888" i="4" s="1"/>
  <c r="D916" i="4" s="1"/>
  <c r="D922" i="4" s="1"/>
  <c r="D931" i="4" s="1"/>
  <c r="D959" i="4" s="1"/>
  <c r="D965" i="4" s="1"/>
  <c r="D974" i="4" s="1"/>
  <c r="D1002" i="4" s="1"/>
  <c r="D1008" i="4" s="1"/>
  <c r="D1017" i="4" s="1"/>
  <c r="D1045" i="4" s="1"/>
  <c r="D1051" i="4" s="1"/>
  <c r="D1060" i="4" s="1"/>
  <c r="D1088" i="4" s="1"/>
  <c r="D1094" i="4" s="1"/>
  <c r="D1103" i="4" s="1"/>
  <c r="D1131" i="4" s="1"/>
  <c r="D1137" i="4" s="1"/>
  <c r="D1146" i="4" s="1"/>
  <c r="B54" i="4"/>
  <c r="T41" i="4"/>
  <c r="P41" i="4"/>
  <c r="U40" i="4"/>
  <c r="U13" i="4"/>
  <c r="J13" i="4"/>
  <c r="U39" i="1"/>
  <c r="T38" i="1"/>
  <c r="P38" i="1"/>
  <c r="S1180" i="4" l="1"/>
  <c r="S1189" i="4" s="1"/>
  <c r="O1174" i="4"/>
  <c r="H1180" i="4"/>
  <c r="H1189" i="4" s="1"/>
  <c r="D1174" i="4"/>
  <c r="C369" i="4"/>
  <c r="C373" i="4" s="1"/>
  <c r="N328" i="4"/>
  <c r="N332" i="4" s="1"/>
  <c r="N341" i="4" s="1"/>
  <c r="N369" i="4" s="1"/>
  <c r="N373" i="4" s="1"/>
  <c r="N382" i="4" s="1"/>
  <c r="N410" i="4" s="1"/>
  <c r="N414" i="4" s="1"/>
  <c r="N423" i="4" s="1"/>
  <c r="N451" i="4" s="1"/>
  <c r="N455" i="4" s="1"/>
  <c r="N464" i="4" s="1"/>
  <c r="N492" i="4" s="1"/>
  <c r="R328" i="4"/>
  <c r="R332" i="4" s="1"/>
  <c r="R341" i="4" s="1"/>
  <c r="R369" i="4" s="1"/>
  <c r="R373" i="4" s="1"/>
  <c r="R382" i="4" s="1"/>
  <c r="R410" i="4" s="1"/>
  <c r="R414" i="4" s="1"/>
  <c r="R423" i="4" s="1"/>
  <c r="R451" i="4" s="1"/>
  <c r="R455" i="4" s="1"/>
  <c r="R464" i="4" s="1"/>
  <c r="R492" i="4" s="1"/>
  <c r="R496" i="4" s="1"/>
  <c r="R505" i="4" s="1"/>
  <c r="R533" i="4" s="1"/>
  <c r="R537" i="4" s="1"/>
  <c r="R546" i="4" s="1"/>
  <c r="R574" i="4" s="1"/>
  <c r="R578" i="4" s="1"/>
  <c r="R587" i="4" s="1"/>
  <c r="R615" i="4" s="1"/>
  <c r="R621" i="4" s="1"/>
  <c r="R630" i="4" s="1"/>
  <c r="R658" i="4" s="1"/>
  <c r="R664" i="4" s="1"/>
  <c r="R673" i="4" s="1"/>
  <c r="R701" i="4" s="1"/>
  <c r="R707" i="4" s="1"/>
  <c r="R716" i="4" s="1"/>
  <c r="R744" i="4" s="1"/>
  <c r="R750" i="4" s="1"/>
  <c r="R759" i="4" s="1"/>
  <c r="R787" i="4" s="1"/>
  <c r="R793" i="4" s="1"/>
  <c r="R802" i="4" s="1"/>
  <c r="R830" i="4" s="1"/>
  <c r="R836" i="4" s="1"/>
  <c r="R845" i="4" s="1"/>
  <c r="R873" i="4" s="1"/>
  <c r="R879" i="4" s="1"/>
  <c r="R888" i="4" s="1"/>
  <c r="R916" i="4" s="1"/>
  <c r="R922" i="4" s="1"/>
  <c r="R931" i="4" s="1"/>
  <c r="R959" i="4" s="1"/>
  <c r="R965" i="4" s="1"/>
  <c r="R974" i="4" s="1"/>
  <c r="R1002" i="4" s="1"/>
  <c r="R1008" i="4" s="1"/>
  <c r="R1017" i="4" s="1"/>
  <c r="R1045" i="4" s="1"/>
  <c r="R1051" i="4" s="1"/>
  <c r="R1060" i="4" s="1"/>
  <c r="R1088" i="4" s="1"/>
  <c r="R1094" i="4" s="1"/>
  <c r="R1103" i="4" s="1"/>
  <c r="R1131" i="4" s="1"/>
  <c r="R1137" i="4" s="1"/>
  <c r="R1146" i="4" s="1"/>
  <c r="R1174" i="4" s="1"/>
  <c r="R1180" i="4" s="1"/>
  <c r="R1189" i="4" s="1"/>
  <c r="R1217" i="4" s="1"/>
  <c r="R1223" i="4" s="1"/>
  <c r="R1232" i="4" s="1"/>
  <c r="R1260" i="4" s="1"/>
  <c r="R1266" i="4" s="1"/>
  <c r="R1275" i="4" s="1"/>
  <c r="R1303" i="4" s="1"/>
  <c r="R1309" i="4" s="1"/>
  <c r="R1318" i="4" s="1"/>
  <c r="F123" i="4"/>
  <c r="F127" i="4" s="1"/>
  <c r="E45" i="4"/>
  <c r="J41" i="4"/>
  <c r="U45" i="4"/>
  <c r="G54" i="4"/>
  <c r="I45" i="4"/>
  <c r="Q82" i="4"/>
  <c r="T54" i="4"/>
  <c r="M82" i="4"/>
  <c r="P54" i="4"/>
  <c r="B82" i="4"/>
  <c r="E54" i="4"/>
  <c r="U41" i="4"/>
  <c r="U38" i="1"/>
  <c r="I39" i="1"/>
  <c r="E39" i="1"/>
  <c r="I38" i="1"/>
  <c r="E38" i="1"/>
  <c r="S40" i="1"/>
  <c r="R40" i="1"/>
  <c r="Q40" i="1"/>
  <c r="O40" i="1"/>
  <c r="N40" i="1"/>
  <c r="M40" i="1"/>
  <c r="T37" i="1"/>
  <c r="P37" i="1"/>
  <c r="T36" i="1"/>
  <c r="P36" i="1"/>
  <c r="T35" i="1"/>
  <c r="P35" i="1"/>
  <c r="T34" i="1"/>
  <c r="P34" i="1"/>
  <c r="T33" i="1"/>
  <c r="P33" i="1"/>
  <c r="T32" i="1"/>
  <c r="P32" i="1"/>
  <c r="T31" i="1"/>
  <c r="P31" i="1"/>
  <c r="T30" i="1"/>
  <c r="P30" i="1"/>
  <c r="T29" i="1"/>
  <c r="P29" i="1"/>
  <c r="T28" i="1"/>
  <c r="P28" i="1"/>
  <c r="T27" i="1"/>
  <c r="P27" i="1"/>
  <c r="T26" i="1"/>
  <c r="P26" i="1"/>
  <c r="T25" i="1"/>
  <c r="P25" i="1"/>
  <c r="T24" i="1"/>
  <c r="P24" i="1"/>
  <c r="T23" i="1"/>
  <c r="P23" i="1"/>
  <c r="T22" i="1"/>
  <c r="P22" i="1"/>
  <c r="T21" i="1"/>
  <c r="P21" i="1"/>
  <c r="T18" i="1"/>
  <c r="P18" i="1"/>
  <c r="T17" i="1"/>
  <c r="P17" i="1"/>
  <c r="S13" i="1"/>
  <c r="R13" i="1"/>
  <c r="Q13" i="1"/>
  <c r="O13" i="1"/>
  <c r="N13" i="1"/>
  <c r="M13" i="1"/>
  <c r="T12" i="1"/>
  <c r="P12" i="1"/>
  <c r="T11" i="1"/>
  <c r="P11" i="1"/>
  <c r="T10" i="1"/>
  <c r="P10" i="1"/>
  <c r="T9" i="1"/>
  <c r="P9" i="1"/>
  <c r="T8" i="1"/>
  <c r="P8" i="1"/>
  <c r="T7" i="1"/>
  <c r="P7" i="1"/>
  <c r="T6" i="1"/>
  <c r="P6" i="1"/>
  <c r="T5" i="1"/>
  <c r="P5" i="1"/>
  <c r="T4" i="1"/>
  <c r="P4" i="1"/>
  <c r="R1346" i="4" l="1"/>
  <c r="R1352" i="4" s="1"/>
  <c r="R1361" i="4" s="1"/>
  <c r="S1217" i="4"/>
  <c r="O1180" i="4"/>
  <c r="O1189" i="4" s="1"/>
  <c r="H1217" i="4"/>
  <c r="D1180" i="4"/>
  <c r="D1189" i="4" s="1"/>
  <c r="N496" i="4"/>
  <c r="N505" i="4" s="1"/>
  <c r="N533" i="4" s="1"/>
  <c r="N537" i="4" s="1"/>
  <c r="N546" i="4" s="1"/>
  <c r="N574" i="4" s="1"/>
  <c r="N578" i="4" s="1"/>
  <c r="N587" i="4" s="1"/>
  <c r="N615" i="4" s="1"/>
  <c r="N621" i="4" s="1"/>
  <c r="N630" i="4" s="1"/>
  <c r="N658" i="4" s="1"/>
  <c r="N664" i="4" s="1"/>
  <c r="N673" i="4" s="1"/>
  <c r="N701" i="4" s="1"/>
  <c r="N707" i="4" s="1"/>
  <c r="N716" i="4" s="1"/>
  <c r="N744" i="4" s="1"/>
  <c r="N750" i="4" s="1"/>
  <c r="N759" i="4" s="1"/>
  <c r="N787" i="4" s="1"/>
  <c r="N793" i="4" s="1"/>
  <c r="N802" i="4" s="1"/>
  <c r="N830" i="4" s="1"/>
  <c r="N836" i="4" s="1"/>
  <c r="N845" i="4" s="1"/>
  <c r="N873" i="4" s="1"/>
  <c r="N879" i="4" s="1"/>
  <c r="N888" i="4" s="1"/>
  <c r="N916" i="4" s="1"/>
  <c r="N922" i="4" s="1"/>
  <c r="N931" i="4" s="1"/>
  <c r="N959" i="4" s="1"/>
  <c r="N965" i="4" s="1"/>
  <c r="N974" i="4" s="1"/>
  <c r="N1002" i="4" s="1"/>
  <c r="N1008" i="4" s="1"/>
  <c r="N1017" i="4" s="1"/>
  <c r="N1045" i="4" s="1"/>
  <c r="N1051" i="4" s="1"/>
  <c r="N1060" i="4" s="1"/>
  <c r="N1088" i="4" s="1"/>
  <c r="N1094" i="4" s="1"/>
  <c r="N1103" i="4" s="1"/>
  <c r="N1131" i="4" s="1"/>
  <c r="N1137" i="4" s="1"/>
  <c r="N1146" i="4" s="1"/>
  <c r="N1174" i="4" s="1"/>
  <c r="N1180" i="4" s="1"/>
  <c r="N1189" i="4" s="1"/>
  <c r="N1217" i="4" s="1"/>
  <c r="N1223" i="4" s="1"/>
  <c r="N1232" i="4" s="1"/>
  <c r="N1260" i="4" s="1"/>
  <c r="N1266" i="4" s="1"/>
  <c r="N1275" i="4" s="1"/>
  <c r="N1303" i="4" s="1"/>
  <c r="N1309" i="4" s="1"/>
  <c r="N1318" i="4" s="1"/>
  <c r="O41" i="1"/>
  <c r="O45" i="1" s="1"/>
  <c r="O54" i="1" s="1"/>
  <c r="O82" i="1" s="1"/>
  <c r="O86" i="1" s="1"/>
  <c r="O95" i="1" s="1"/>
  <c r="O123" i="1" s="1"/>
  <c r="O127" i="1" s="1"/>
  <c r="O136" i="1" s="1"/>
  <c r="O164" i="1" s="1"/>
  <c r="O168" i="1" s="1"/>
  <c r="O177" i="1" s="1"/>
  <c r="O205" i="1" s="1"/>
  <c r="O209" i="1" s="1"/>
  <c r="O218" i="1" s="1"/>
  <c r="O246" i="1" s="1"/>
  <c r="O250" i="1" s="1"/>
  <c r="O259" i="1" s="1"/>
  <c r="O287" i="1" s="1"/>
  <c r="O291" i="1" s="1"/>
  <c r="O300" i="1" s="1"/>
  <c r="O328" i="1" s="1"/>
  <c r="O332" i="1" s="1"/>
  <c r="O341" i="1" s="1"/>
  <c r="O369" i="1" s="1"/>
  <c r="O373" i="1" s="1"/>
  <c r="O382" i="1" s="1"/>
  <c r="O410" i="1" s="1"/>
  <c r="O414" i="1" s="1"/>
  <c r="O423" i="1" s="1"/>
  <c r="O451" i="1" s="1"/>
  <c r="O455" i="1" s="1"/>
  <c r="O464" i="1" s="1"/>
  <c r="O492" i="1" s="1"/>
  <c r="O496" i="1" s="1"/>
  <c r="O505" i="1" s="1"/>
  <c r="O533" i="1" s="1"/>
  <c r="O537" i="1" s="1"/>
  <c r="O546" i="1" s="1"/>
  <c r="O574" i="1" s="1"/>
  <c r="O578" i="1" s="1"/>
  <c r="O587" i="1" s="1"/>
  <c r="O615" i="1" s="1"/>
  <c r="O621" i="1" s="1"/>
  <c r="O630" i="1" s="1"/>
  <c r="O658" i="1" s="1"/>
  <c r="O664" i="1" s="1"/>
  <c r="O673" i="1" s="1"/>
  <c r="O701" i="1" s="1"/>
  <c r="O707" i="1" s="1"/>
  <c r="O716" i="1" s="1"/>
  <c r="O744" i="1" s="1"/>
  <c r="O750" i="1" s="1"/>
  <c r="O759" i="1" s="1"/>
  <c r="O787" i="1" s="1"/>
  <c r="O793" i="1" s="1"/>
  <c r="O802" i="1" s="1"/>
  <c r="O830" i="1" s="1"/>
  <c r="O836" i="1" s="1"/>
  <c r="O845" i="1" s="1"/>
  <c r="O873" i="1" s="1"/>
  <c r="O879" i="1" s="1"/>
  <c r="O888" i="1" s="1"/>
  <c r="O916" i="1" s="1"/>
  <c r="O922" i="1" s="1"/>
  <c r="O931" i="1" s="1"/>
  <c r="O959" i="1" s="1"/>
  <c r="O965" i="1" s="1"/>
  <c r="O974" i="1" s="1"/>
  <c r="O1002" i="1" s="1"/>
  <c r="O1008" i="1" s="1"/>
  <c r="O1017" i="1" s="1"/>
  <c r="O1045" i="1" s="1"/>
  <c r="O1051" i="1" s="1"/>
  <c r="O1060" i="1" s="1"/>
  <c r="O1088" i="1" s="1"/>
  <c r="O1094" i="1" s="1"/>
  <c r="O1103" i="1" s="1"/>
  <c r="O1131" i="1" s="1"/>
  <c r="O1137" i="1" s="1"/>
  <c r="O1146" i="1" s="1"/>
  <c r="O1174" i="1" s="1"/>
  <c r="O1180" i="1" s="1"/>
  <c r="O1189" i="1" s="1"/>
  <c r="O1217" i="1" s="1"/>
  <c r="O1223" i="1" s="1"/>
  <c r="O1232" i="1" s="1"/>
  <c r="O1260" i="1" s="1"/>
  <c r="O1266" i="1" s="1"/>
  <c r="O1275" i="1" s="1"/>
  <c r="O1303" i="1" s="1"/>
  <c r="O1309" i="1" s="1"/>
  <c r="O1318" i="1" s="1"/>
  <c r="O1346" i="1" s="1"/>
  <c r="O1352" i="1" s="1"/>
  <c r="O1361" i="1" s="1"/>
  <c r="C382" i="4"/>
  <c r="U54" i="4"/>
  <c r="Q41" i="1"/>
  <c r="Q45" i="1" s="1"/>
  <c r="Q54" i="1" s="1"/>
  <c r="J45" i="4"/>
  <c r="F136" i="4"/>
  <c r="E82" i="4"/>
  <c r="B86" i="4"/>
  <c r="P82" i="4"/>
  <c r="M86" i="4"/>
  <c r="T82" i="4"/>
  <c r="Q86" i="4"/>
  <c r="G82" i="4"/>
  <c r="I54" i="4"/>
  <c r="J54" i="4" s="1"/>
  <c r="S41" i="1"/>
  <c r="S45" i="1" s="1"/>
  <c r="S54" i="1" s="1"/>
  <c r="S82" i="1" s="1"/>
  <c r="S86" i="1" s="1"/>
  <c r="S95" i="1" s="1"/>
  <c r="S123" i="1" s="1"/>
  <c r="S127" i="1" s="1"/>
  <c r="S136" i="1" s="1"/>
  <c r="S164" i="1" s="1"/>
  <c r="S168" i="1" s="1"/>
  <c r="S177" i="1" s="1"/>
  <c r="S205" i="1" s="1"/>
  <c r="S209" i="1" s="1"/>
  <c r="S218" i="1" s="1"/>
  <c r="S246" i="1" s="1"/>
  <c r="S250" i="1" s="1"/>
  <c r="S259" i="1" s="1"/>
  <c r="S287" i="1" s="1"/>
  <c r="S291" i="1" s="1"/>
  <c r="U5" i="1"/>
  <c r="U6" i="1"/>
  <c r="U7" i="1"/>
  <c r="U8" i="1"/>
  <c r="U9" i="1"/>
  <c r="U10" i="1"/>
  <c r="U11" i="1"/>
  <c r="U12" i="1"/>
  <c r="U17" i="1"/>
  <c r="U18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M41" i="1"/>
  <c r="M45" i="1" s="1"/>
  <c r="J38" i="1"/>
  <c r="R41" i="1"/>
  <c r="R45" i="1" s="1"/>
  <c r="R54" i="1" s="1"/>
  <c r="R82" i="1" s="1"/>
  <c r="R86" i="1" s="1"/>
  <c r="R95" i="1" s="1"/>
  <c r="R123" i="1" s="1"/>
  <c r="R127" i="1" s="1"/>
  <c r="R136" i="1" s="1"/>
  <c r="R164" i="1" s="1"/>
  <c r="R168" i="1" s="1"/>
  <c r="R177" i="1" s="1"/>
  <c r="R205" i="1" s="1"/>
  <c r="R209" i="1" s="1"/>
  <c r="R218" i="1" s="1"/>
  <c r="R246" i="1" s="1"/>
  <c r="R250" i="1" s="1"/>
  <c r="R259" i="1" s="1"/>
  <c r="R287" i="1" s="1"/>
  <c r="R291" i="1" s="1"/>
  <c r="R300" i="1" s="1"/>
  <c r="R328" i="1" s="1"/>
  <c r="R332" i="1" s="1"/>
  <c r="R341" i="1" s="1"/>
  <c r="R369" i="1" s="1"/>
  <c r="R373" i="1" s="1"/>
  <c r="R382" i="1" s="1"/>
  <c r="R410" i="1" s="1"/>
  <c r="R414" i="1" s="1"/>
  <c r="R423" i="1" s="1"/>
  <c r="R451" i="1" s="1"/>
  <c r="R455" i="1" s="1"/>
  <c r="N41" i="1"/>
  <c r="N45" i="1" s="1"/>
  <c r="N54" i="1" s="1"/>
  <c r="N82" i="1" s="1"/>
  <c r="N86" i="1" s="1"/>
  <c r="N95" i="1" s="1"/>
  <c r="N123" i="1" s="1"/>
  <c r="N127" i="1" s="1"/>
  <c r="N136" i="1" s="1"/>
  <c r="N164" i="1" s="1"/>
  <c r="N168" i="1" s="1"/>
  <c r="N177" i="1" s="1"/>
  <c r="N205" i="1" s="1"/>
  <c r="N209" i="1" s="1"/>
  <c r="N218" i="1" s="1"/>
  <c r="N246" i="1" s="1"/>
  <c r="N250" i="1" s="1"/>
  <c r="N259" i="1" s="1"/>
  <c r="N287" i="1" s="1"/>
  <c r="N291" i="1" s="1"/>
  <c r="N300" i="1" s="1"/>
  <c r="N328" i="1" s="1"/>
  <c r="N332" i="1" s="1"/>
  <c r="N341" i="1" s="1"/>
  <c r="N369" i="1" s="1"/>
  <c r="N373" i="1" s="1"/>
  <c r="N382" i="1" s="1"/>
  <c r="N410" i="1" s="1"/>
  <c r="N414" i="1" s="1"/>
  <c r="N423" i="1" s="1"/>
  <c r="N451" i="1" s="1"/>
  <c r="N455" i="1" s="1"/>
  <c r="J39" i="1"/>
  <c r="T40" i="1"/>
  <c r="P40" i="1"/>
  <c r="U4" i="1"/>
  <c r="P13" i="1"/>
  <c r="T13" i="1"/>
  <c r="I18" i="1"/>
  <c r="E18" i="1"/>
  <c r="O1389" i="1" l="1"/>
  <c r="R1389" i="4"/>
  <c r="N1346" i="4"/>
  <c r="N1352" i="4" s="1"/>
  <c r="N1361" i="4" s="1"/>
  <c r="H1223" i="4"/>
  <c r="H1232" i="4" s="1"/>
  <c r="H1260" i="4" s="1"/>
  <c r="H1266" i="4" s="1"/>
  <c r="H1275" i="4" s="1"/>
  <c r="H1303" i="4" s="1"/>
  <c r="S1223" i="4"/>
  <c r="S1232" i="4" s="1"/>
  <c r="O1217" i="4"/>
  <c r="D1217" i="4"/>
  <c r="N464" i="1"/>
  <c r="R464" i="1"/>
  <c r="C410" i="4"/>
  <c r="C414" i="4" s="1"/>
  <c r="C423" i="4" s="1"/>
  <c r="C451" i="4" s="1"/>
  <c r="C455" i="4" s="1"/>
  <c r="S300" i="1"/>
  <c r="U82" i="4"/>
  <c r="F164" i="4"/>
  <c r="F168" i="4" s="1"/>
  <c r="I82" i="4"/>
  <c r="J82" i="4" s="1"/>
  <c r="G86" i="4"/>
  <c r="T86" i="4"/>
  <c r="Q95" i="4"/>
  <c r="P86" i="4"/>
  <c r="M95" i="4"/>
  <c r="B95" i="4"/>
  <c r="E86" i="4"/>
  <c r="Q82" i="1"/>
  <c r="T54" i="1"/>
  <c r="T45" i="1"/>
  <c r="M54" i="1"/>
  <c r="P45" i="1"/>
  <c r="P41" i="1"/>
  <c r="T41" i="1"/>
  <c r="U40" i="1"/>
  <c r="U13" i="1"/>
  <c r="J18" i="1"/>
  <c r="H40" i="1"/>
  <c r="G40" i="1"/>
  <c r="F40" i="1"/>
  <c r="D40" i="1"/>
  <c r="C40" i="1"/>
  <c r="B40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7" i="1"/>
  <c r="E17" i="1"/>
  <c r="I16" i="1"/>
  <c r="E16" i="1"/>
  <c r="I14" i="1"/>
  <c r="E14" i="1"/>
  <c r="H13" i="1"/>
  <c r="G13" i="1"/>
  <c r="F13" i="1"/>
  <c r="D13" i="1"/>
  <c r="C13" i="1"/>
  <c r="B13" i="1"/>
  <c r="I12" i="1"/>
  <c r="E12" i="1"/>
  <c r="I11" i="1"/>
  <c r="E11" i="1"/>
  <c r="I10" i="1"/>
  <c r="E10" i="1"/>
  <c r="I9" i="1"/>
  <c r="E9" i="1"/>
  <c r="I8" i="1"/>
  <c r="E8" i="1"/>
  <c r="I7" i="1"/>
  <c r="E7" i="1"/>
  <c r="I6" i="1"/>
  <c r="E6" i="1"/>
  <c r="I5" i="1"/>
  <c r="E5" i="1"/>
  <c r="I4" i="1"/>
  <c r="E4" i="1"/>
  <c r="N1389" i="4" l="1"/>
  <c r="D1223" i="4"/>
  <c r="D1232" i="4" s="1"/>
  <c r="D1260" i="4" s="1"/>
  <c r="D1266" i="4" s="1"/>
  <c r="D1275" i="4" s="1"/>
  <c r="D1303" i="4" s="1"/>
  <c r="S1260" i="4"/>
  <c r="S1266" i="4" s="1"/>
  <c r="S1275" i="4" s="1"/>
  <c r="S1303" i="4" s="1"/>
  <c r="S1309" i="4" s="1"/>
  <c r="S1318" i="4" s="1"/>
  <c r="S1346" i="4" s="1"/>
  <c r="O1223" i="4"/>
  <c r="O1232" i="4" s="1"/>
  <c r="C464" i="4"/>
  <c r="R492" i="1"/>
  <c r="N492" i="1"/>
  <c r="U45" i="1"/>
  <c r="S328" i="1"/>
  <c r="S332" i="1" s="1"/>
  <c r="S341" i="1" s="1"/>
  <c r="S369" i="1" s="1"/>
  <c r="S373" i="1" s="1"/>
  <c r="S382" i="1" s="1"/>
  <c r="S410" i="1" s="1"/>
  <c r="S414" i="1" s="1"/>
  <c r="S423" i="1" s="1"/>
  <c r="S451" i="1" s="1"/>
  <c r="S455" i="1" s="1"/>
  <c r="S464" i="1" s="1"/>
  <c r="S492" i="1" s="1"/>
  <c r="S496" i="1" s="1"/>
  <c r="S505" i="1" s="1"/>
  <c r="S533" i="1" s="1"/>
  <c r="S537" i="1" s="1"/>
  <c r="S546" i="1" s="1"/>
  <c r="S574" i="1" s="1"/>
  <c r="S578" i="1" s="1"/>
  <c r="S587" i="1" s="1"/>
  <c r="S615" i="1" s="1"/>
  <c r="S621" i="1" s="1"/>
  <c r="S630" i="1" s="1"/>
  <c r="S658" i="1" s="1"/>
  <c r="S664" i="1" s="1"/>
  <c r="S673" i="1" s="1"/>
  <c r="S701" i="1" s="1"/>
  <c r="S707" i="1" s="1"/>
  <c r="S716" i="1" s="1"/>
  <c r="S744" i="1" s="1"/>
  <c r="S750" i="1" s="1"/>
  <c r="S759" i="1" s="1"/>
  <c r="S787" i="1" s="1"/>
  <c r="S793" i="1" s="1"/>
  <c r="S802" i="1" s="1"/>
  <c r="S830" i="1" s="1"/>
  <c r="S836" i="1" s="1"/>
  <c r="S845" i="1" s="1"/>
  <c r="S873" i="1" s="1"/>
  <c r="S879" i="1" s="1"/>
  <c r="S888" i="1" s="1"/>
  <c r="S916" i="1" s="1"/>
  <c r="S922" i="1" s="1"/>
  <c r="S931" i="1" s="1"/>
  <c r="S959" i="1" s="1"/>
  <c r="S965" i="1" s="1"/>
  <c r="S974" i="1" s="1"/>
  <c r="S1002" i="1" s="1"/>
  <c r="S1008" i="1" s="1"/>
  <c r="S1017" i="1" s="1"/>
  <c r="S1045" i="1" s="1"/>
  <c r="S1051" i="1" s="1"/>
  <c r="S1060" i="1" s="1"/>
  <c r="S1088" i="1" s="1"/>
  <c r="S1094" i="1" s="1"/>
  <c r="S1103" i="1" s="1"/>
  <c r="S1131" i="1" s="1"/>
  <c r="S1137" i="1" s="1"/>
  <c r="S1146" i="1" s="1"/>
  <c r="S1174" i="1" s="1"/>
  <c r="S1180" i="1" s="1"/>
  <c r="S1189" i="1" s="1"/>
  <c r="S1217" i="1" s="1"/>
  <c r="S1223" i="1" s="1"/>
  <c r="S1232" i="1" s="1"/>
  <c r="S1260" i="1" s="1"/>
  <c r="S1266" i="1" s="1"/>
  <c r="S1275" i="1" s="1"/>
  <c r="S1303" i="1" s="1"/>
  <c r="S1309" i="1" s="1"/>
  <c r="S1318" i="1" s="1"/>
  <c r="S1346" i="1" s="1"/>
  <c r="S1352" i="1" s="1"/>
  <c r="S1361" i="1" s="1"/>
  <c r="U86" i="4"/>
  <c r="F177" i="4"/>
  <c r="P95" i="4"/>
  <c r="M123" i="4"/>
  <c r="M127" i="4" s="1"/>
  <c r="T95" i="4"/>
  <c r="Q123" i="4"/>
  <c r="G95" i="4"/>
  <c r="I86" i="4"/>
  <c r="J86" i="4" s="1"/>
  <c r="T82" i="1"/>
  <c r="Q86" i="1"/>
  <c r="B123" i="4"/>
  <c r="E95" i="4"/>
  <c r="B41" i="1"/>
  <c r="B45" i="1" s="1"/>
  <c r="B54" i="1" s="1"/>
  <c r="M82" i="1"/>
  <c r="P54" i="1"/>
  <c r="U54" i="1" s="1"/>
  <c r="U41" i="1"/>
  <c r="G41" i="1"/>
  <c r="G45" i="1" s="1"/>
  <c r="G54" i="1" s="1"/>
  <c r="G82" i="1" s="1"/>
  <c r="G86" i="1" s="1"/>
  <c r="G95" i="1" s="1"/>
  <c r="G123" i="1" s="1"/>
  <c r="G127" i="1" s="1"/>
  <c r="G136" i="1" s="1"/>
  <c r="G164" i="1" s="1"/>
  <c r="G168" i="1" s="1"/>
  <c r="G177" i="1" s="1"/>
  <c r="G205" i="1" s="1"/>
  <c r="G209" i="1" s="1"/>
  <c r="G218" i="1" s="1"/>
  <c r="G246" i="1" s="1"/>
  <c r="G250" i="1" s="1"/>
  <c r="G259" i="1" s="1"/>
  <c r="G287" i="1" s="1"/>
  <c r="G291" i="1" s="1"/>
  <c r="G300" i="1" s="1"/>
  <c r="G328" i="1" s="1"/>
  <c r="G332" i="1" s="1"/>
  <c r="H41" i="1"/>
  <c r="H45" i="1" s="1"/>
  <c r="H54" i="1" s="1"/>
  <c r="H82" i="1" s="1"/>
  <c r="H86" i="1" s="1"/>
  <c r="H95" i="1" s="1"/>
  <c r="H123" i="1" s="1"/>
  <c r="H127" i="1" s="1"/>
  <c r="H136" i="1" s="1"/>
  <c r="H164" i="1" s="1"/>
  <c r="H168" i="1" s="1"/>
  <c r="H177" i="1" s="1"/>
  <c r="H205" i="1" s="1"/>
  <c r="H209" i="1" s="1"/>
  <c r="H218" i="1" s="1"/>
  <c r="H246" i="1" s="1"/>
  <c r="H250" i="1" s="1"/>
  <c r="H259" i="1" s="1"/>
  <c r="H287" i="1" s="1"/>
  <c r="H291" i="1" s="1"/>
  <c r="H300" i="1" s="1"/>
  <c r="H328" i="1" s="1"/>
  <c r="H332" i="1" s="1"/>
  <c r="H341" i="1" s="1"/>
  <c r="H369" i="1" s="1"/>
  <c r="H373" i="1" s="1"/>
  <c r="H382" i="1" s="1"/>
  <c r="H410" i="1" s="1"/>
  <c r="H414" i="1" s="1"/>
  <c r="H423" i="1" s="1"/>
  <c r="H451" i="1" s="1"/>
  <c r="H455" i="1" s="1"/>
  <c r="H464" i="1" s="1"/>
  <c r="H492" i="1" s="1"/>
  <c r="H496" i="1" s="1"/>
  <c r="H505" i="1" s="1"/>
  <c r="H533" i="1" s="1"/>
  <c r="H537" i="1" s="1"/>
  <c r="H546" i="1" s="1"/>
  <c r="H574" i="1" s="1"/>
  <c r="H578" i="1" s="1"/>
  <c r="F41" i="1"/>
  <c r="F45" i="1" s="1"/>
  <c r="D41" i="1"/>
  <c r="D45" i="1" s="1"/>
  <c r="D54" i="1" s="1"/>
  <c r="D82" i="1" s="1"/>
  <c r="D86" i="1" s="1"/>
  <c r="D95" i="1" s="1"/>
  <c r="D123" i="1" s="1"/>
  <c r="D127" i="1" s="1"/>
  <c r="D136" i="1" s="1"/>
  <c r="D164" i="1" s="1"/>
  <c r="D168" i="1" s="1"/>
  <c r="D177" i="1" s="1"/>
  <c r="D205" i="1" s="1"/>
  <c r="D209" i="1" s="1"/>
  <c r="D218" i="1" s="1"/>
  <c r="D246" i="1" s="1"/>
  <c r="D250" i="1" s="1"/>
  <c r="D259" i="1" s="1"/>
  <c r="D287" i="1" s="1"/>
  <c r="D291" i="1" s="1"/>
  <c r="D300" i="1" s="1"/>
  <c r="D328" i="1" s="1"/>
  <c r="D332" i="1" s="1"/>
  <c r="D341" i="1" s="1"/>
  <c r="D369" i="1" s="1"/>
  <c r="D373" i="1" s="1"/>
  <c r="D382" i="1" s="1"/>
  <c r="D410" i="1" s="1"/>
  <c r="D414" i="1" s="1"/>
  <c r="D423" i="1" s="1"/>
  <c r="D451" i="1" s="1"/>
  <c r="D455" i="1" s="1"/>
  <c r="D464" i="1" s="1"/>
  <c r="D492" i="1" s="1"/>
  <c r="D496" i="1" s="1"/>
  <c r="D505" i="1" s="1"/>
  <c r="D533" i="1" s="1"/>
  <c r="D537" i="1" s="1"/>
  <c r="D546" i="1" s="1"/>
  <c r="D574" i="1" s="1"/>
  <c r="D578" i="1" s="1"/>
  <c r="C41" i="1"/>
  <c r="C45" i="1" s="1"/>
  <c r="C54" i="1" s="1"/>
  <c r="C82" i="1" s="1"/>
  <c r="C86" i="1" s="1"/>
  <c r="C95" i="1" s="1"/>
  <c r="C123" i="1" s="1"/>
  <c r="C127" i="1" s="1"/>
  <c r="C136" i="1" s="1"/>
  <c r="C164" i="1" s="1"/>
  <c r="C168" i="1" s="1"/>
  <c r="C177" i="1" s="1"/>
  <c r="C205" i="1" s="1"/>
  <c r="C209" i="1" s="1"/>
  <c r="C218" i="1" s="1"/>
  <c r="C246" i="1" s="1"/>
  <c r="C250" i="1" s="1"/>
  <c r="C259" i="1" s="1"/>
  <c r="C287" i="1" s="1"/>
  <c r="C291" i="1" s="1"/>
  <c r="C300" i="1" s="1"/>
  <c r="C328" i="1" s="1"/>
  <c r="C332" i="1" s="1"/>
  <c r="J4" i="1"/>
  <c r="J5" i="1"/>
  <c r="J6" i="1"/>
  <c r="J7" i="1"/>
  <c r="J8" i="1"/>
  <c r="J9" i="1"/>
  <c r="J10" i="1"/>
  <c r="J11" i="1"/>
  <c r="J12" i="1"/>
  <c r="J16" i="1"/>
  <c r="J17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14" i="1"/>
  <c r="I40" i="1"/>
  <c r="E40" i="1"/>
  <c r="E13" i="1"/>
  <c r="I13" i="1"/>
  <c r="S1389" i="1" l="1"/>
  <c r="O1260" i="4"/>
  <c r="O1266" i="4" s="1"/>
  <c r="O1275" i="4" s="1"/>
  <c r="O1303" i="4" s="1"/>
  <c r="O1309" i="4" s="1"/>
  <c r="O1318" i="4" s="1"/>
  <c r="O1346" i="4" s="1"/>
  <c r="O1352" i="4" s="1"/>
  <c r="O1361" i="4" s="1"/>
  <c r="O1389" i="4" s="1"/>
  <c r="H587" i="1"/>
  <c r="D587" i="1"/>
  <c r="C492" i="4"/>
  <c r="N496" i="1"/>
  <c r="R496" i="1"/>
  <c r="C341" i="1"/>
  <c r="G341" i="1"/>
  <c r="F205" i="4"/>
  <c r="F209" i="4" s="1"/>
  <c r="E123" i="4"/>
  <c r="B127" i="4"/>
  <c r="T123" i="4"/>
  <c r="Q127" i="4"/>
  <c r="P127" i="4"/>
  <c r="M136" i="4"/>
  <c r="T86" i="1"/>
  <c r="Q95" i="1"/>
  <c r="P123" i="4"/>
  <c r="P82" i="1"/>
  <c r="U82" i="1" s="1"/>
  <c r="M86" i="1"/>
  <c r="G123" i="4"/>
  <c r="I95" i="4"/>
  <c r="J95" i="4" s="1"/>
  <c r="U95" i="4"/>
  <c r="F54" i="1"/>
  <c r="I45" i="1"/>
  <c r="E45" i="1"/>
  <c r="B82" i="1"/>
  <c r="E54" i="1"/>
  <c r="I41" i="1"/>
  <c r="E41" i="1"/>
  <c r="J40" i="1"/>
  <c r="J13" i="1"/>
  <c r="H615" i="1" l="1"/>
  <c r="H621" i="1" s="1"/>
  <c r="H630" i="1" s="1"/>
  <c r="H658" i="1" s="1"/>
  <c r="H664" i="1" s="1"/>
  <c r="H673" i="1" s="1"/>
  <c r="H701" i="1" s="1"/>
  <c r="D615" i="1"/>
  <c r="D621" i="1" s="1"/>
  <c r="D630" i="1" s="1"/>
  <c r="D658" i="1" s="1"/>
  <c r="D664" i="1" s="1"/>
  <c r="D673" i="1" s="1"/>
  <c r="D701" i="1" s="1"/>
  <c r="C496" i="4"/>
  <c r="R505" i="1"/>
  <c r="N505" i="1"/>
  <c r="G369" i="1"/>
  <c r="G373" i="1" s="1"/>
  <c r="G382" i="1" s="1"/>
  <c r="G410" i="1" s="1"/>
  <c r="G414" i="1" s="1"/>
  <c r="G423" i="1" s="1"/>
  <c r="G451" i="1" s="1"/>
  <c r="G455" i="1" s="1"/>
  <c r="C369" i="1"/>
  <c r="C373" i="1" s="1"/>
  <c r="C382" i="1" s="1"/>
  <c r="C410" i="1" s="1"/>
  <c r="C414" i="1" s="1"/>
  <c r="C423" i="1" s="1"/>
  <c r="C451" i="1" s="1"/>
  <c r="C455" i="1" s="1"/>
  <c r="F218" i="4"/>
  <c r="I123" i="4"/>
  <c r="J123" i="4" s="1"/>
  <c r="G127" i="4"/>
  <c r="B136" i="4"/>
  <c r="E127" i="4"/>
  <c r="T127" i="4"/>
  <c r="U127" i="4" s="1"/>
  <c r="Q136" i="4"/>
  <c r="P136" i="4"/>
  <c r="M164" i="4"/>
  <c r="U123" i="4"/>
  <c r="E82" i="1"/>
  <c r="B86" i="1"/>
  <c r="P86" i="1"/>
  <c r="U86" i="1" s="1"/>
  <c r="M95" i="1"/>
  <c r="T95" i="1"/>
  <c r="Q123" i="1"/>
  <c r="J45" i="1"/>
  <c r="F82" i="1"/>
  <c r="I54" i="1"/>
  <c r="J54" i="1" s="1"/>
  <c r="J41" i="1"/>
  <c r="H707" i="1" l="1"/>
  <c r="H716" i="1" s="1"/>
  <c r="H744" i="1" s="1"/>
  <c r="H750" i="1" s="1"/>
  <c r="H759" i="1" s="1"/>
  <c r="D707" i="1"/>
  <c r="D716" i="1" s="1"/>
  <c r="D744" i="1" s="1"/>
  <c r="D750" i="1" s="1"/>
  <c r="D759" i="1" s="1"/>
  <c r="C505" i="4"/>
  <c r="G464" i="1"/>
  <c r="C464" i="1"/>
  <c r="N533" i="1"/>
  <c r="R533" i="1"/>
  <c r="F246" i="4"/>
  <c r="F250" i="4" s="1"/>
  <c r="P164" i="4"/>
  <c r="M168" i="4"/>
  <c r="G136" i="4"/>
  <c r="I127" i="4"/>
  <c r="J127" i="4" s="1"/>
  <c r="B164" i="4"/>
  <c r="E136" i="4"/>
  <c r="T136" i="4"/>
  <c r="U136" i="4" s="1"/>
  <c r="Q164" i="4"/>
  <c r="T123" i="1"/>
  <c r="Q127" i="1"/>
  <c r="I82" i="1"/>
  <c r="J82" i="1" s="1"/>
  <c r="F86" i="1"/>
  <c r="P95" i="1"/>
  <c r="U95" i="1" s="1"/>
  <c r="M123" i="1"/>
  <c r="B95" i="1"/>
  <c r="E86" i="1"/>
  <c r="H787" i="1" l="1"/>
  <c r="H793" i="1" s="1"/>
  <c r="H802" i="1" s="1"/>
  <c r="H830" i="1" s="1"/>
  <c r="H836" i="1" s="1"/>
  <c r="H845" i="1" s="1"/>
  <c r="H873" i="1" s="1"/>
  <c r="H879" i="1" s="1"/>
  <c r="H888" i="1" s="1"/>
  <c r="H916" i="1" s="1"/>
  <c r="H922" i="1" s="1"/>
  <c r="H931" i="1" s="1"/>
  <c r="H959" i="1" s="1"/>
  <c r="H965" i="1" s="1"/>
  <c r="H974" i="1" s="1"/>
  <c r="H1002" i="1" s="1"/>
  <c r="H1008" i="1" s="1"/>
  <c r="H1017" i="1" s="1"/>
  <c r="H1045" i="1" s="1"/>
  <c r="H1051" i="1" s="1"/>
  <c r="H1060" i="1" s="1"/>
  <c r="H1088" i="1" s="1"/>
  <c r="H1094" i="1" s="1"/>
  <c r="H1103" i="1" s="1"/>
  <c r="H1131" i="1" s="1"/>
  <c r="H1137" i="1" s="1"/>
  <c r="H1146" i="1" s="1"/>
  <c r="H1174" i="1" s="1"/>
  <c r="H1180" i="1" s="1"/>
  <c r="H1189" i="1" s="1"/>
  <c r="D787" i="1"/>
  <c r="D793" i="1" s="1"/>
  <c r="D802" i="1" s="1"/>
  <c r="D830" i="1" s="1"/>
  <c r="D836" i="1" s="1"/>
  <c r="D845" i="1" s="1"/>
  <c r="D873" i="1" s="1"/>
  <c r="D879" i="1" s="1"/>
  <c r="D888" i="1" s="1"/>
  <c r="D916" i="1" s="1"/>
  <c r="D922" i="1" s="1"/>
  <c r="D931" i="1" s="1"/>
  <c r="D959" i="1" s="1"/>
  <c r="D965" i="1" s="1"/>
  <c r="D974" i="1" s="1"/>
  <c r="D1002" i="1" s="1"/>
  <c r="D1008" i="1" s="1"/>
  <c r="D1017" i="1" s="1"/>
  <c r="D1045" i="1" s="1"/>
  <c r="D1051" i="1" s="1"/>
  <c r="D1060" i="1" s="1"/>
  <c r="D1088" i="1" s="1"/>
  <c r="D1094" i="1" s="1"/>
  <c r="D1103" i="1" s="1"/>
  <c r="D1131" i="1" s="1"/>
  <c r="D1137" i="1" s="1"/>
  <c r="D1146" i="1" s="1"/>
  <c r="D1174" i="1" s="1"/>
  <c r="D1180" i="1" s="1"/>
  <c r="D1189" i="1" s="1"/>
  <c r="C533" i="4"/>
  <c r="C537" i="4" s="1"/>
  <c r="C546" i="4" s="1"/>
  <c r="C574" i="4" s="1"/>
  <c r="C578" i="4" s="1"/>
  <c r="C587" i="4" s="1"/>
  <c r="C615" i="4" s="1"/>
  <c r="C621" i="4" s="1"/>
  <c r="C630" i="4" s="1"/>
  <c r="C658" i="4" s="1"/>
  <c r="C664" i="4" s="1"/>
  <c r="C673" i="4" s="1"/>
  <c r="C701" i="4" s="1"/>
  <c r="C707" i="4" s="1"/>
  <c r="C716" i="4" s="1"/>
  <c r="C744" i="4" s="1"/>
  <c r="C750" i="4" s="1"/>
  <c r="C759" i="4" s="1"/>
  <c r="C787" i="4" s="1"/>
  <c r="C793" i="4" s="1"/>
  <c r="C802" i="4" s="1"/>
  <c r="C830" i="4" s="1"/>
  <c r="C836" i="4" s="1"/>
  <c r="C845" i="4" s="1"/>
  <c r="C873" i="4" s="1"/>
  <c r="C879" i="4" s="1"/>
  <c r="C888" i="4" s="1"/>
  <c r="C916" i="4" s="1"/>
  <c r="C922" i="4" s="1"/>
  <c r="C931" i="4" s="1"/>
  <c r="C959" i="4" s="1"/>
  <c r="C965" i="4" s="1"/>
  <c r="C974" i="4" s="1"/>
  <c r="G492" i="1"/>
  <c r="C492" i="1"/>
  <c r="R537" i="1"/>
  <c r="N537" i="1"/>
  <c r="F259" i="4"/>
  <c r="E164" i="4"/>
  <c r="B168" i="4"/>
  <c r="T164" i="4"/>
  <c r="U164" i="4" s="1"/>
  <c r="Q168" i="4"/>
  <c r="P168" i="4"/>
  <c r="M177" i="4"/>
  <c r="G164" i="4"/>
  <c r="I136" i="4"/>
  <c r="J136" i="4" s="1"/>
  <c r="T127" i="1"/>
  <c r="Q136" i="1"/>
  <c r="P123" i="1"/>
  <c r="U123" i="1" s="1"/>
  <c r="M127" i="1"/>
  <c r="B123" i="1"/>
  <c r="E95" i="1"/>
  <c r="F95" i="1"/>
  <c r="I86" i="1"/>
  <c r="J86" i="1" s="1"/>
  <c r="H1217" i="1" l="1"/>
  <c r="D1217" i="1"/>
  <c r="C1002" i="4"/>
  <c r="G496" i="1"/>
  <c r="C496" i="1"/>
  <c r="N546" i="1"/>
  <c r="R546" i="1"/>
  <c r="F287" i="4"/>
  <c r="I164" i="4"/>
  <c r="J164" i="4" s="1"/>
  <c r="G168" i="4"/>
  <c r="B177" i="4"/>
  <c r="E168" i="4"/>
  <c r="T168" i="4"/>
  <c r="U168" i="4" s="1"/>
  <c r="Q177" i="4"/>
  <c r="P177" i="4"/>
  <c r="M205" i="4"/>
  <c r="E123" i="1"/>
  <c r="B127" i="1"/>
  <c r="Q164" i="1"/>
  <c r="T136" i="1"/>
  <c r="P127" i="1"/>
  <c r="U127" i="1" s="1"/>
  <c r="M136" i="1"/>
  <c r="I95" i="1"/>
  <c r="J95" i="1" s="1"/>
  <c r="F123" i="1"/>
  <c r="D1223" i="1" l="1"/>
  <c r="D1232" i="1" s="1"/>
  <c r="D1260" i="1" s="1"/>
  <c r="D1266" i="1" s="1"/>
  <c r="D1275" i="1" s="1"/>
  <c r="D1303" i="1" s="1"/>
  <c r="H1223" i="1"/>
  <c r="H1232" i="1" s="1"/>
  <c r="H1260" i="1" s="1"/>
  <c r="H1266" i="1" s="1"/>
  <c r="H1275" i="1" s="1"/>
  <c r="H1303" i="1" s="1"/>
  <c r="C1008" i="4"/>
  <c r="C1017" i="4" s="1"/>
  <c r="G505" i="1"/>
  <c r="C505" i="1"/>
  <c r="R574" i="1"/>
  <c r="R578" i="1" s="1"/>
  <c r="R587" i="1" s="1"/>
  <c r="R615" i="1" s="1"/>
  <c r="R621" i="1" s="1"/>
  <c r="R630" i="1" s="1"/>
  <c r="R658" i="1" s="1"/>
  <c r="R664" i="1" s="1"/>
  <c r="R673" i="1" s="1"/>
  <c r="R701" i="1" s="1"/>
  <c r="R707" i="1" s="1"/>
  <c r="R716" i="1" s="1"/>
  <c r="R744" i="1" s="1"/>
  <c r="R750" i="1" s="1"/>
  <c r="R759" i="1" s="1"/>
  <c r="R787" i="1" s="1"/>
  <c r="R793" i="1" s="1"/>
  <c r="R802" i="1" s="1"/>
  <c r="R830" i="1" s="1"/>
  <c r="R836" i="1" s="1"/>
  <c r="R845" i="1" s="1"/>
  <c r="R873" i="1" s="1"/>
  <c r="R879" i="1" s="1"/>
  <c r="R888" i="1" s="1"/>
  <c r="R916" i="1" s="1"/>
  <c r="R922" i="1" s="1"/>
  <c r="R931" i="1" s="1"/>
  <c r="N574" i="1"/>
  <c r="N578" i="1" s="1"/>
  <c r="N587" i="1" s="1"/>
  <c r="N615" i="1" s="1"/>
  <c r="N621" i="1" s="1"/>
  <c r="N630" i="1" s="1"/>
  <c r="N658" i="1" s="1"/>
  <c r="N664" i="1" s="1"/>
  <c r="N673" i="1" s="1"/>
  <c r="N701" i="1" s="1"/>
  <c r="N707" i="1" s="1"/>
  <c r="N716" i="1" s="1"/>
  <c r="N744" i="1" s="1"/>
  <c r="N750" i="1" s="1"/>
  <c r="N759" i="1" s="1"/>
  <c r="N787" i="1" s="1"/>
  <c r="N793" i="1" s="1"/>
  <c r="N802" i="1" s="1"/>
  <c r="N830" i="1" s="1"/>
  <c r="N836" i="1" s="1"/>
  <c r="N845" i="1" s="1"/>
  <c r="N873" i="1" s="1"/>
  <c r="N879" i="1" s="1"/>
  <c r="N888" i="1" s="1"/>
  <c r="N916" i="1" s="1"/>
  <c r="N922" i="1" s="1"/>
  <c r="N931" i="1" s="1"/>
  <c r="F291" i="4"/>
  <c r="P205" i="4"/>
  <c r="M209" i="4"/>
  <c r="G177" i="4"/>
  <c r="I168" i="4"/>
  <c r="J168" i="4" s="1"/>
  <c r="E177" i="4"/>
  <c r="B205" i="4"/>
  <c r="Q205" i="4"/>
  <c r="T177" i="4"/>
  <c r="U177" i="4" s="1"/>
  <c r="T164" i="1"/>
  <c r="Q168" i="1"/>
  <c r="I123" i="1"/>
  <c r="J123" i="1" s="1"/>
  <c r="F127" i="1"/>
  <c r="B136" i="1"/>
  <c r="E127" i="1"/>
  <c r="P136" i="1"/>
  <c r="U136" i="1" s="1"/>
  <c r="M164" i="1"/>
  <c r="C1045" i="4" l="1"/>
  <c r="R959" i="1"/>
  <c r="R965" i="1" s="1"/>
  <c r="R974" i="1" s="1"/>
  <c r="R1002" i="1" s="1"/>
  <c r="R1008" i="1" s="1"/>
  <c r="R1017" i="1" s="1"/>
  <c r="R1045" i="1" s="1"/>
  <c r="R1051" i="1" s="1"/>
  <c r="R1060" i="1" s="1"/>
  <c r="R1088" i="1" s="1"/>
  <c r="R1094" i="1" s="1"/>
  <c r="R1103" i="1" s="1"/>
  <c r="R1131" i="1" s="1"/>
  <c r="R1137" i="1" s="1"/>
  <c r="R1146" i="1" s="1"/>
  <c r="R1174" i="1" s="1"/>
  <c r="R1180" i="1" s="1"/>
  <c r="R1189" i="1" s="1"/>
  <c r="R1217" i="1" s="1"/>
  <c r="R1223" i="1" s="1"/>
  <c r="R1232" i="1" s="1"/>
  <c r="R1260" i="1" s="1"/>
  <c r="R1266" i="1" s="1"/>
  <c r="R1275" i="1" s="1"/>
  <c r="R1303" i="1" s="1"/>
  <c r="R1309" i="1" s="1"/>
  <c r="R1318" i="1" s="1"/>
  <c r="R1346" i="1" s="1"/>
  <c r="R1352" i="1" s="1"/>
  <c r="R1361" i="1" s="1"/>
  <c r="N959" i="1"/>
  <c r="N965" i="1" s="1"/>
  <c r="N974" i="1" s="1"/>
  <c r="N1002" i="1" s="1"/>
  <c r="N1008" i="1" s="1"/>
  <c r="N1017" i="1" s="1"/>
  <c r="N1045" i="1" s="1"/>
  <c r="N1051" i="1" s="1"/>
  <c r="N1060" i="1" s="1"/>
  <c r="N1088" i="1" s="1"/>
  <c r="N1094" i="1" s="1"/>
  <c r="N1103" i="1" s="1"/>
  <c r="N1131" i="1" s="1"/>
  <c r="N1137" i="1" s="1"/>
  <c r="N1146" i="1" s="1"/>
  <c r="N1174" i="1" s="1"/>
  <c r="G533" i="1"/>
  <c r="C533" i="1"/>
  <c r="F300" i="4"/>
  <c r="E205" i="4"/>
  <c r="B209" i="4"/>
  <c r="T205" i="4"/>
  <c r="U205" i="4" s="1"/>
  <c r="Q209" i="4"/>
  <c r="M218" i="4"/>
  <c r="P209" i="4"/>
  <c r="G205" i="4"/>
  <c r="I177" i="4"/>
  <c r="J177" i="4" s="1"/>
  <c r="T168" i="1"/>
  <c r="Q177" i="1"/>
  <c r="P164" i="1"/>
  <c r="U164" i="1" s="1"/>
  <c r="M168" i="1"/>
  <c r="F136" i="1"/>
  <c r="I127" i="1"/>
  <c r="J127" i="1" s="1"/>
  <c r="B164" i="1"/>
  <c r="E136" i="1"/>
  <c r="R1389" i="1" l="1"/>
  <c r="N1180" i="1"/>
  <c r="N1189" i="1" s="1"/>
  <c r="N1217" i="1" s="1"/>
  <c r="N1223" i="1" s="1"/>
  <c r="N1232" i="1" s="1"/>
  <c r="N1260" i="1" s="1"/>
  <c r="N1266" i="1" s="1"/>
  <c r="N1275" i="1" s="1"/>
  <c r="N1303" i="1" s="1"/>
  <c r="N1309" i="1" s="1"/>
  <c r="N1318" i="1" s="1"/>
  <c r="N1346" i="1" s="1"/>
  <c r="N1352" i="1" s="1"/>
  <c r="N1361" i="1" s="1"/>
  <c r="C1051" i="4"/>
  <c r="C1060" i="4" s="1"/>
  <c r="C1088" i="4" s="1"/>
  <c r="C1094" i="4" s="1"/>
  <c r="C1103" i="4" s="1"/>
  <c r="C1131" i="4" s="1"/>
  <c r="C1137" i="4" s="1"/>
  <c r="C1146" i="4" s="1"/>
  <c r="C1174" i="4" s="1"/>
  <c r="C1180" i="4" s="1"/>
  <c r="C1189" i="4" s="1"/>
  <c r="C1217" i="4" s="1"/>
  <c r="C1223" i="4" s="1"/>
  <c r="C1232" i="4" s="1"/>
  <c r="C1260" i="4" s="1"/>
  <c r="C1266" i="4" s="1"/>
  <c r="C1275" i="4" s="1"/>
  <c r="G537" i="1"/>
  <c r="C537" i="1"/>
  <c r="F328" i="4"/>
  <c r="F332" i="4" s="1"/>
  <c r="F341" i="4" s="1"/>
  <c r="F369" i="4" s="1"/>
  <c r="F373" i="4" s="1"/>
  <c r="F382" i="4" s="1"/>
  <c r="F410" i="4" s="1"/>
  <c r="F414" i="4" s="1"/>
  <c r="E209" i="4"/>
  <c r="B218" i="4"/>
  <c r="I205" i="4"/>
  <c r="J205" i="4" s="1"/>
  <c r="G209" i="4"/>
  <c r="Q218" i="4"/>
  <c r="T209" i="4"/>
  <c r="U209" i="4" s="1"/>
  <c r="M246" i="4"/>
  <c r="P218" i="4"/>
  <c r="E164" i="1"/>
  <c r="B168" i="1"/>
  <c r="T177" i="1"/>
  <c r="Q205" i="1"/>
  <c r="P168" i="1"/>
  <c r="U168" i="1" s="1"/>
  <c r="M177" i="1"/>
  <c r="F164" i="1"/>
  <c r="I136" i="1"/>
  <c r="J136" i="1" s="1"/>
  <c r="N1389" i="1" l="1"/>
  <c r="C1303" i="4"/>
  <c r="G546" i="1"/>
  <c r="C546" i="1"/>
  <c r="F423" i="4"/>
  <c r="P246" i="4"/>
  <c r="M250" i="4"/>
  <c r="G218" i="4"/>
  <c r="I209" i="4"/>
  <c r="J209" i="4" s="1"/>
  <c r="B246" i="4"/>
  <c r="E218" i="4"/>
  <c r="Q246" i="4"/>
  <c r="T218" i="4"/>
  <c r="U218" i="4" s="1"/>
  <c r="T205" i="1"/>
  <c r="Q209" i="1"/>
  <c r="I164" i="1"/>
  <c r="J164" i="1" s="1"/>
  <c r="F168" i="1"/>
  <c r="B177" i="1"/>
  <c r="E168" i="1"/>
  <c r="M205" i="1"/>
  <c r="P177" i="1"/>
  <c r="U177" i="1" s="1"/>
  <c r="G574" i="1" l="1"/>
  <c r="G578" i="1" s="1"/>
  <c r="G587" i="1" s="1"/>
  <c r="G615" i="1" s="1"/>
  <c r="G621" i="1" s="1"/>
  <c r="G630" i="1" s="1"/>
  <c r="G658" i="1" s="1"/>
  <c r="G664" i="1" s="1"/>
  <c r="G673" i="1" s="1"/>
  <c r="G701" i="1" s="1"/>
  <c r="C574" i="1"/>
  <c r="C578" i="1" s="1"/>
  <c r="C587" i="1" s="1"/>
  <c r="C615" i="1" s="1"/>
  <c r="C621" i="1" s="1"/>
  <c r="C630" i="1" s="1"/>
  <c r="C658" i="1" s="1"/>
  <c r="C664" i="1" s="1"/>
  <c r="C673" i="1" s="1"/>
  <c r="C701" i="1" s="1"/>
  <c r="F451" i="4"/>
  <c r="F455" i="4" s="1"/>
  <c r="F464" i="4" s="1"/>
  <c r="F492" i="4" s="1"/>
  <c r="F496" i="4" s="1"/>
  <c r="F505" i="4" s="1"/>
  <c r="F533" i="4" s="1"/>
  <c r="F537" i="4" s="1"/>
  <c r="E246" i="4"/>
  <c r="B250" i="4"/>
  <c r="T246" i="4"/>
  <c r="U246" i="4" s="1"/>
  <c r="Q250" i="4"/>
  <c r="M259" i="4"/>
  <c r="P250" i="4"/>
  <c r="G246" i="4"/>
  <c r="I218" i="4"/>
  <c r="J218" i="4" s="1"/>
  <c r="Q218" i="1"/>
  <c r="T209" i="1"/>
  <c r="P205" i="1"/>
  <c r="U205" i="1" s="1"/>
  <c r="M209" i="1"/>
  <c r="B205" i="1"/>
  <c r="E177" i="1"/>
  <c r="F177" i="1"/>
  <c r="I168" i="1"/>
  <c r="J168" i="1" s="1"/>
  <c r="C707" i="1" l="1"/>
  <c r="C716" i="1" s="1"/>
  <c r="C744" i="1" s="1"/>
  <c r="C750" i="1" s="1"/>
  <c r="C759" i="1" s="1"/>
  <c r="C787" i="1" s="1"/>
  <c r="C793" i="1" s="1"/>
  <c r="C802" i="1" s="1"/>
  <c r="C830" i="1" s="1"/>
  <c r="C836" i="1" s="1"/>
  <c r="C845" i="1" s="1"/>
  <c r="C873" i="1" s="1"/>
  <c r="C879" i="1" s="1"/>
  <c r="C888" i="1" s="1"/>
  <c r="C916" i="1" s="1"/>
  <c r="C922" i="1" s="1"/>
  <c r="C931" i="1" s="1"/>
  <c r="C959" i="1" s="1"/>
  <c r="C965" i="1" s="1"/>
  <c r="C974" i="1" s="1"/>
  <c r="G707" i="1"/>
  <c r="G716" i="1" s="1"/>
  <c r="G744" i="1" s="1"/>
  <c r="G750" i="1" s="1"/>
  <c r="G759" i="1" s="1"/>
  <c r="G787" i="1" s="1"/>
  <c r="G793" i="1" s="1"/>
  <c r="G802" i="1" s="1"/>
  <c r="G830" i="1" s="1"/>
  <c r="G836" i="1" s="1"/>
  <c r="G845" i="1" s="1"/>
  <c r="G873" i="1" s="1"/>
  <c r="G879" i="1" s="1"/>
  <c r="G888" i="1" s="1"/>
  <c r="G916" i="1" s="1"/>
  <c r="G922" i="1" s="1"/>
  <c r="G931" i="1" s="1"/>
  <c r="G959" i="1" s="1"/>
  <c r="G965" i="1" s="1"/>
  <c r="G974" i="1" s="1"/>
  <c r="F546" i="4"/>
  <c r="B259" i="4"/>
  <c r="E250" i="4"/>
  <c r="I246" i="4"/>
  <c r="J246" i="4" s="1"/>
  <c r="G250" i="4"/>
  <c r="Q259" i="4"/>
  <c r="T250" i="4"/>
  <c r="U250" i="4" s="1"/>
  <c r="M287" i="4"/>
  <c r="P259" i="4"/>
  <c r="E205" i="1"/>
  <c r="B209" i="1"/>
  <c r="Q246" i="1"/>
  <c r="T218" i="1"/>
  <c r="M218" i="1"/>
  <c r="P209" i="1"/>
  <c r="U209" i="1" s="1"/>
  <c r="I177" i="1"/>
  <c r="J177" i="1" s="1"/>
  <c r="F205" i="1"/>
  <c r="G1002" i="1" l="1"/>
  <c r="C1002" i="1"/>
  <c r="F574" i="4"/>
  <c r="F578" i="4" s="1"/>
  <c r="G259" i="4"/>
  <c r="I250" i="4"/>
  <c r="J250" i="4" s="1"/>
  <c r="B287" i="4"/>
  <c r="E259" i="4"/>
  <c r="P287" i="4"/>
  <c r="M291" i="4"/>
  <c r="T246" i="1"/>
  <c r="Q250" i="1"/>
  <c r="Q287" i="4"/>
  <c r="T259" i="4"/>
  <c r="U259" i="4" s="1"/>
  <c r="I205" i="1"/>
  <c r="J205" i="1" s="1"/>
  <c r="F209" i="1"/>
  <c r="E209" i="1"/>
  <c r="B218" i="1"/>
  <c r="M246" i="1"/>
  <c r="P218" i="1"/>
  <c r="U218" i="1" s="1"/>
  <c r="G1008" i="1" l="1"/>
  <c r="G1017" i="1" s="1"/>
  <c r="C1008" i="1"/>
  <c r="C1017" i="1" s="1"/>
  <c r="F587" i="4"/>
  <c r="B291" i="4"/>
  <c r="E287" i="4"/>
  <c r="G287" i="4"/>
  <c r="I259" i="4"/>
  <c r="J259" i="4" s="1"/>
  <c r="T287" i="4"/>
  <c r="U287" i="4" s="1"/>
  <c r="Q291" i="4"/>
  <c r="M300" i="4"/>
  <c r="P291" i="4"/>
  <c r="Q259" i="1"/>
  <c r="T250" i="1"/>
  <c r="P246" i="1"/>
  <c r="U246" i="1" s="1"/>
  <c r="M250" i="1"/>
  <c r="B246" i="1"/>
  <c r="E218" i="1"/>
  <c r="I209" i="1"/>
  <c r="J209" i="1" s="1"/>
  <c r="F218" i="1"/>
  <c r="G1045" i="1" l="1"/>
  <c r="C1045" i="1"/>
  <c r="F615" i="4"/>
  <c r="F621" i="4" s="1"/>
  <c r="F630" i="4" s="1"/>
  <c r="G291" i="4"/>
  <c r="I287" i="4"/>
  <c r="J287" i="4" s="1"/>
  <c r="E246" i="1"/>
  <c r="B250" i="1"/>
  <c r="B300" i="4"/>
  <c r="E291" i="4"/>
  <c r="M328" i="4"/>
  <c r="P300" i="4"/>
  <c r="Q300" i="4"/>
  <c r="T291" i="4"/>
  <c r="U291" i="4" s="1"/>
  <c r="Q287" i="1"/>
  <c r="T259" i="1"/>
  <c r="M259" i="1"/>
  <c r="P250" i="1"/>
  <c r="U250" i="1" s="1"/>
  <c r="F246" i="1"/>
  <c r="I218" i="1"/>
  <c r="J218" i="1" s="1"/>
  <c r="C1051" i="1" l="1"/>
  <c r="C1060" i="1" s="1"/>
  <c r="C1088" i="1" s="1"/>
  <c r="C1094" i="1" s="1"/>
  <c r="C1103" i="1" s="1"/>
  <c r="C1131" i="1" s="1"/>
  <c r="C1137" i="1" s="1"/>
  <c r="C1146" i="1" s="1"/>
  <c r="C1174" i="1" s="1"/>
  <c r="C1180" i="1" s="1"/>
  <c r="C1189" i="1" s="1"/>
  <c r="C1217" i="1" s="1"/>
  <c r="C1223" i="1" s="1"/>
  <c r="C1232" i="1" s="1"/>
  <c r="C1260" i="1" s="1"/>
  <c r="C1266" i="1" s="1"/>
  <c r="C1275" i="1" s="1"/>
  <c r="C1303" i="1" s="1"/>
  <c r="G1051" i="1"/>
  <c r="G1060" i="1" s="1"/>
  <c r="G1088" i="1" s="1"/>
  <c r="G1094" i="1" s="1"/>
  <c r="G1103" i="1" s="1"/>
  <c r="G1131" i="1" s="1"/>
  <c r="G1137" i="1" s="1"/>
  <c r="G1146" i="1" s="1"/>
  <c r="G1174" i="1" s="1"/>
  <c r="G1180" i="1" s="1"/>
  <c r="G1189" i="1" s="1"/>
  <c r="G1217" i="1" s="1"/>
  <c r="G1223" i="1" s="1"/>
  <c r="G1232" i="1" s="1"/>
  <c r="G1260" i="1" s="1"/>
  <c r="G1266" i="1" s="1"/>
  <c r="G1275" i="1" s="1"/>
  <c r="G1303" i="1" s="1"/>
  <c r="F658" i="4"/>
  <c r="F664" i="4" s="1"/>
  <c r="F673" i="4" s="1"/>
  <c r="P328" i="4"/>
  <c r="M332" i="4"/>
  <c r="I246" i="1"/>
  <c r="J246" i="1" s="1"/>
  <c r="F250" i="1"/>
  <c r="B328" i="4"/>
  <c r="E300" i="4"/>
  <c r="E250" i="1"/>
  <c r="B259" i="1"/>
  <c r="G300" i="4"/>
  <c r="I291" i="4"/>
  <c r="J291" i="4" s="1"/>
  <c r="T287" i="1"/>
  <c r="Q291" i="1"/>
  <c r="Q328" i="4"/>
  <c r="T300" i="4"/>
  <c r="U300" i="4" s="1"/>
  <c r="P259" i="1"/>
  <c r="U259" i="1" s="1"/>
  <c r="P282" i="1"/>
  <c r="U282" i="1" s="1"/>
  <c r="M286" i="1"/>
  <c r="F701" i="4" l="1"/>
  <c r="F707" i="4" s="1"/>
  <c r="F716" i="4" s="1"/>
  <c r="E328" i="4"/>
  <c r="B332" i="4"/>
  <c r="T328" i="4"/>
  <c r="U328" i="4" s="1"/>
  <c r="Q332" i="4"/>
  <c r="M341" i="4"/>
  <c r="P332" i="4"/>
  <c r="B287" i="1"/>
  <c r="E259" i="1"/>
  <c r="I250" i="1"/>
  <c r="J250" i="1" s="1"/>
  <c r="F259" i="1"/>
  <c r="M287" i="1"/>
  <c r="P287" i="1" s="1"/>
  <c r="U287" i="1" s="1"/>
  <c r="G328" i="4"/>
  <c r="I300" i="4"/>
  <c r="J300" i="4" s="1"/>
  <c r="Q300" i="1"/>
  <c r="T291" i="1"/>
  <c r="P286" i="1"/>
  <c r="F744" i="4" l="1"/>
  <c r="F750" i="4" s="1"/>
  <c r="F759" i="4" s="1"/>
  <c r="B341" i="4"/>
  <c r="E332" i="4"/>
  <c r="I328" i="4"/>
  <c r="J328" i="4" s="1"/>
  <c r="G332" i="4"/>
  <c r="Q341" i="4"/>
  <c r="T332" i="4"/>
  <c r="U332" i="4" s="1"/>
  <c r="P341" i="4"/>
  <c r="M369" i="4"/>
  <c r="M291" i="1"/>
  <c r="P291" i="1" s="1"/>
  <c r="U291" i="1" s="1"/>
  <c r="F287" i="1"/>
  <c r="I259" i="1"/>
  <c r="J259" i="1" s="1"/>
  <c r="E287" i="1"/>
  <c r="B291" i="1"/>
  <c r="Q328" i="1"/>
  <c r="T300" i="1"/>
  <c r="U286" i="1"/>
  <c r="F787" i="4" l="1"/>
  <c r="F793" i="4" s="1"/>
  <c r="F802" i="4" s="1"/>
  <c r="M300" i="1"/>
  <c r="P300" i="1" s="1"/>
  <c r="U300" i="1" s="1"/>
  <c r="P369" i="4"/>
  <c r="M373" i="4"/>
  <c r="B369" i="4"/>
  <c r="E341" i="4"/>
  <c r="G341" i="4"/>
  <c r="I332" i="4"/>
  <c r="J332" i="4" s="1"/>
  <c r="T341" i="4"/>
  <c r="U341" i="4" s="1"/>
  <c r="Q369" i="4"/>
  <c r="T328" i="1"/>
  <c r="Q332" i="1"/>
  <c r="E291" i="1"/>
  <c r="B300" i="1"/>
  <c r="I287" i="1"/>
  <c r="J287" i="1" s="1"/>
  <c r="F291" i="1"/>
  <c r="F830" i="4" l="1"/>
  <c r="F836" i="4" s="1"/>
  <c r="F845" i="4" s="1"/>
  <c r="M328" i="1"/>
  <c r="P328" i="1" s="1"/>
  <c r="U328" i="1" s="1"/>
  <c r="E369" i="4"/>
  <c r="B373" i="4"/>
  <c r="M382" i="4"/>
  <c r="P373" i="4"/>
  <c r="T369" i="4"/>
  <c r="U369" i="4" s="1"/>
  <c r="Q373" i="4"/>
  <c r="G369" i="4"/>
  <c r="I341" i="4"/>
  <c r="J341" i="4" s="1"/>
  <c r="Q341" i="1"/>
  <c r="T332" i="1"/>
  <c r="I291" i="1"/>
  <c r="J291" i="1" s="1"/>
  <c r="F300" i="1"/>
  <c r="B328" i="1"/>
  <c r="E300" i="1"/>
  <c r="F873" i="4" l="1"/>
  <c r="F879" i="4" s="1"/>
  <c r="F888" i="4" s="1"/>
  <c r="M332" i="1"/>
  <c r="M341" i="1" s="1"/>
  <c r="B382" i="4"/>
  <c r="E373" i="4"/>
  <c r="I369" i="4"/>
  <c r="J369" i="4" s="1"/>
  <c r="G373" i="4"/>
  <c r="Q382" i="4"/>
  <c r="T373" i="4"/>
  <c r="U373" i="4" s="1"/>
  <c r="P382" i="4"/>
  <c r="M410" i="4"/>
  <c r="E328" i="1"/>
  <c r="B332" i="1"/>
  <c r="T341" i="1"/>
  <c r="Q369" i="1"/>
  <c r="F328" i="1"/>
  <c r="I300" i="1"/>
  <c r="J300" i="1" s="1"/>
  <c r="F916" i="4" l="1"/>
  <c r="F922" i="4" s="1"/>
  <c r="F931" i="4" s="1"/>
  <c r="P332" i="1"/>
  <c r="U332" i="1" s="1"/>
  <c r="P410" i="4"/>
  <c r="M414" i="4"/>
  <c r="B410" i="4"/>
  <c r="E382" i="4"/>
  <c r="G382" i="4"/>
  <c r="I373" i="4"/>
  <c r="J373" i="4" s="1"/>
  <c r="T369" i="1"/>
  <c r="Q373" i="1"/>
  <c r="T382" i="4"/>
  <c r="U382" i="4" s="1"/>
  <c r="Q410" i="4"/>
  <c r="I328" i="1"/>
  <c r="J328" i="1" s="1"/>
  <c r="F332" i="1"/>
  <c r="B341" i="1"/>
  <c r="E332" i="1"/>
  <c r="P341" i="1"/>
  <c r="U341" i="1" s="1"/>
  <c r="M369" i="1"/>
  <c r="F959" i="4" l="1"/>
  <c r="F965" i="4" s="1"/>
  <c r="F974" i="4" s="1"/>
  <c r="E410" i="4"/>
  <c r="B414" i="4"/>
  <c r="T410" i="4"/>
  <c r="U410" i="4" s="1"/>
  <c r="Q414" i="4"/>
  <c r="M423" i="4"/>
  <c r="P414" i="4"/>
  <c r="G410" i="4"/>
  <c r="I382" i="4"/>
  <c r="J382" i="4" s="1"/>
  <c r="Q382" i="1"/>
  <c r="T373" i="1"/>
  <c r="P369" i="1"/>
  <c r="U369" i="1" s="1"/>
  <c r="M373" i="1"/>
  <c r="F341" i="1"/>
  <c r="I332" i="1"/>
  <c r="J332" i="1" s="1"/>
  <c r="B369" i="1"/>
  <c r="E341" i="1"/>
  <c r="F1002" i="4" l="1"/>
  <c r="E414" i="4"/>
  <c r="B423" i="4"/>
  <c r="I410" i="4"/>
  <c r="J410" i="4" s="1"/>
  <c r="G414" i="4"/>
  <c r="Q423" i="4"/>
  <c r="T414" i="4"/>
  <c r="U414" i="4" s="1"/>
  <c r="M451" i="4"/>
  <c r="P423" i="4"/>
  <c r="E369" i="1"/>
  <c r="B373" i="1"/>
  <c r="M382" i="1"/>
  <c r="P373" i="1"/>
  <c r="U373" i="1" s="1"/>
  <c r="T382" i="1"/>
  <c r="Q410" i="1"/>
  <c r="F369" i="1"/>
  <c r="I341" i="1"/>
  <c r="J341" i="1" s="1"/>
  <c r="F1008" i="4" l="1"/>
  <c r="F1017" i="4" s="1"/>
  <c r="P451" i="4"/>
  <c r="M455" i="4"/>
  <c r="E423" i="4"/>
  <c r="B451" i="4"/>
  <c r="G423" i="4"/>
  <c r="I414" i="4"/>
  <c r="J414" i="4" s="1"/>
  <c r="T410" i="1"/>
  <c r="Q414" i="1"/>
  <c r="T423" i="4"/>
  <c r="U423" i="4" s="1"/>
  <c r="Q451" i="4"/>
  <c r="I369" i="1"/>
  <c r="J369" i="1" s="1"/>
  <c r="F373" i="1"/>
  <c r="E373" i="1"/>
  <c r="B382" i="1"/>
  <c r="P382" i="1"/>
  <c r="U382" i="1" s="1"/>
  <c r="M410" i="1"/>
  <c r="F1045" i="4" l="1"/>
  <c r="E451" i="4"/>
  <c r="B455" i="4"/>
  <c r="T451" i="4"/>
  <c r="U451" i="4" s="1"/>
  <c r="Q455" i="4"/>
  <c r="M464" i="4"/>
  <c r="P455" i="4"/>
  <c r="G451" i="4"/>
  <c r="I423" i="4"/>
  <c r="J423" i="4" s="1"/>
  <c r="Q423" i="1"/>
  <c r="T414" i="1"/>
  <c r="P410" i="1"/>
  <c r="U410" i="1" s="1"/>
  <c r="M414" i="1"/>
  <c r="E382" i="1"/>
  <c r="B410" i="1"/>
  <c r="I373" i="1"/>
  <c r="J373" i="1" s="1"/>
  <c r="F382" i="1"/>
  <c r="F1051" i="4" l="1"/>
  <c r="F1060" i="4" s="1"/>
  <c r="B464" i="4"/>
  <c r="E455" i="4"/>
  <c r="I451" i="4"/>
  <c r="J451" i="4" s="1"/>
  <c r="G455" i="4"/>
  <c r="Q464" i="4"/>
  <c r="T455" i="4"/>
  <c r="U455" i="4" s="1"/>
  <c r="P464" i="4"/>
  <c r="M492" i="4"/>
  <c r="E410" i="1"/>
  <c r="B414" i="1"/>
  <c r="T423" i="1"/>
  <c r="Q451" i="1"/>
  <c r="M423" i="1"/>
  <c r="P414" i="1"/>
  <c r="U414" i="1" s="1"/>
  <c r="I382" i="1"/>
  <c r="J382" i="1" s="1"/>
  <c r="F410" i="1"/>
  <c r="F1088" i="4" l="1"/>
  <c r="B492" i="4"/>
  <c r="E464" i="4"/>
  <c r="G464" i="4"/>
  <c r="I455" i="4"/>
  <c r="J455" i="4" s="1"/>
  <c r="T451" i="1"/>
  <c r="Q455" i="1"/>
  <c r="Q492" i="4"/>
  <c r="T464" i="4"/>
  <c r="U464" i="4" s="1"/>
  <c r="P492" i="4"/>
  <c r="M496" i="4"/>
  <c r="B423" i="1"/>
  <c r="E414" i="1"/>
  <c r="I410" i="1"/>
  <c r="J410" i="1" s="1"/>
  <c r="F414" i="1"/>
  <c r="M451" i="1"/>
  <c r="P423" i="1"/>
  <c r="U423" i="1" s="1"/>
  <c r="F1094" i="4" l="1"/>
  <c r="F1103" i="4" s="1"/>
  <c r="B496" i="4"/>
  <c r="E492" i="4"/>
  <c r="G492" i="4"/>
  <c r="I464" i="4"/>
  <c r="J464" i="4" s="1"/>
  <c r="Q464" i="1"/>
  <c r="T455" i="1"/>
  <c r="P451" i="1"/>
  <c r="U451" i="1" s="1"/>
  <c r="M455" i="1"/>
  <c r="Q496" i="4"/>
  <c r="T492" i="4"/>
  <c r="U492" i="4" s="1"/>
  <c r="M505" i="4"/>
  <c r="P496" i="4"/>
  <c r="I414" i="1"/>
  <c r="J414" i="1" s="1"/>
  <c r="F423" i="1"/>
  <c r="E423" i="1"/>
  <c r="B451" i="1"/>
  <c r="F1131" i="4" l="1"/>
  <c r="F1137" i="4" s="1"/>
  <c r="F1146" i="4" s="1"/>
  <c r="E451" i="1"/>
  <c r="B455" i="1"/>
  <c r="B505" i="4"/>
  <c r="E496" i="4"/>
  <c r="G496" i="4"/>
  <c r="I492" i="4"/>
  <c r="J492" i="4" s="1"/>
  <c r="Q492" i="1"/>
  <c r="T464" i="1"/>
  <c r="M464" i="1"/>
  <c r="P455" i="1"/>
  <c r="U455" i="1" s="1"/>
  <c r="T496" i="4"/>
  <c r="U496" i="4" s="1"/>
  <c r="Q505" i="4"/>
  <c r="M533" i="4"/>
  <c r="P505" i="4"/>
  <c r="I423" i="1"/>
  <c r="J423" i="1" s="1"/>
  <c r="F451" i="1"/>
  <c r="F1174" i="4" l="1"/>
  <c r="P533" i="4"/>
  <c r="M537" i="4"/>
  <c r="B533" i="4"/>
  <c r="E505" i="4"/>
  <c r="I451" i="1"/>
  <c r="J451" i="1" s="1"/>
  <c r="F455" i="1"/>
  <c r="B464" i="1"/>
  <c r="E455" i="1"/>
  <c r="G505" i="4"/>
  <c r="I496" i="4"/>
  <c r="J496" i="4" s="1"/>
  <c r="Q496" i="1"/>
  <c r="T492" i="1"/>
  <c r="M492" i="1"/>
  <c r="P464" i="1"/>
  <c r="U464" i="1" s="1"/>
  <c r="T505" i="4"/>
  <c r="U505" i="4" s="1"/>
  <c r="Q533" i="4"/>
  <c r="F1180" i="4" l="1"/>
  <c r="F1189" i="4" s="1"/>
  <c r="M546" i="4"/>
  <c r="P537" i="4"/>
  <c r="T533" i="4"/>
  <c r="U533" i="4" s="1"/>
  <c r="Q537" i="4"/>
  <c r="E533" i="4"/>
  <c r="B537" i="4"/>
  <c r="B492" i="1"/>
  <c r="E464" i="1"/>
  <c r="F464" i="1"/>
  <c r="I455" i="1"/>
  <c r="J455" i="1" s="1"/>
  <c r="G533" i="4"/>
  <c r="I505" i="4"/>
  <c r="J505" i="4" s="1"/>
  <c r="Q505" i="1"/>
  <c r="T496" i="1"/>
  <c r="M496" i="1"/>
  <c r="P492" i="1"/>
  <c r="M493" i="1" s="1"/>
  <c r="F1217" i="4" l="1"/>
  <c r="Q546" i="4"/>
  <c r="T537" i="4"/>
  <c r="U537" i="4" s="1"/>
  <c r="E537" i="4"/>
  <c r="B546" i="4"/>
  <c r="I533" i="4"/>
  <c r="J533" i="4" s="1"/>
  <c r="G537" i="4"/>
  <c r="M574" i="4"/>
  <c r="P546" i="4"/>
  <c r="U492" i="1"/>
  <c r="P493" i="1"/>
  <c r="O493" i="1"/>
  <c r="N493" i="1"/>
  <c r="F492" i="1"/>
  <c r="I464" i="1"/>
  <c r="J464" i="1" s="1"/>
  <c r="B496" i="1"/>
  <c r="E492" i="1"/>
  <c r="Q533" i="1"/>
  <c r="T505" i="1"/>
  <c r="M505" i="1"/>
  <c r="P496" i="1"/>
  <c r="U496" i="1" s="1"/>
  <c r="F1223" i="4" l="1"/>
  <c r="F1232" i="4" s="1"/>
  <c r="P574" i="4"/>
  <c r="M578" i="4"/>
  <c r="E546" i="4"/>
  <c r="B574" i="4"/>
  <c r="G546" i="4"/>
  <c r="I537" i="4"/>
  <c r="J537" i="4" s="1"/>
  <c r="Q574" i="4"/>
  <c r="T546" i="4"/>
  <c r="U546" i="4" s="1"/>
  <c r="B505" i="1"/>
  <c r="E496" i="1"/>
  <c r="F496" i="1"/>
  <c r="I492" i="1"/>
  <c r="J492" i="1" s="1"/>
  <c r="Q537" i="1"/>
  <c r="T533" i="1"/>
  <c r="M533" i="1"/>
  <c r="P505" i="1"/>
  <c r="U505" i="1" s="1"/>
  <c r="F1260" i="4" l="1"/>
  <c r="F1266" i="4" s="1"/>
  <c r="F1275" i="4" s="1"/>
  <c r="F1303" i="4" s="1"/>
  <c r="E574" i="4"/>
  <c r="B578" i="4"/>
  <c r="T574" i="4"/>
  <c r="U574" i="4" s="1"/>
  <c r="Q578" i="4"/>
  <c r="M587" i="4"/>
  <c r="P578" i="4"/>
  <c r="G574" i="4"/>
  <c r="I546" i="4"/>
  <c r="J546" i="4" s="1"/>
  <c r="F505" i="1"/>
  <c r="I496" i="1"/>
  <c r="J496" i="1" s="1"/>
  <c r="B533" i="1"/>
  <c r="E505" i="1"/>
  <c r="Q546" i="1"/>
  <c r="T537" i="1"/>
  <c r="M537" i="1"/>
  <c r="P533" i="1"/>
  <c r="U533" i="1" s="1"/>
  <c r="I574" i="4" l="1"/>
  <c r="J574" i="4" s="1"/>
  <c r="G578" i="4"/>
  <c r="B587" i="4"/>
  <c r="E578" i="4"/>
  <c r="Q587" i="4"/>
  <c r="T578" i="4"/>
  <c r="U578" i="4" s="1"/>
  <c r="M615" i="4"/>
  <c r="P587" i="4"/>
  <c r="B537" i="1"/>
  <c r="E533" i="1"/>
  <c r="F533" i="1"/>
  <c r="I505" i="1"/>
  <c r="J505" i="1" s="1"/>
  <c r="Q574" i="1"/>
  <c r="T546" i="1"/>
  <c r="M546" i="1"/>
  <c r="P537" i="1"/>
  <c r="U537" i="1" s="1"/>
  <c r="P615" i="4" l="1"/>
  <c r="P621" i="4" s="1"/>
  <c r="M621" i="4"/>
  <c r="M630" i="4" s="1"/>
  <c r="T574" i="1"/>
  <c r="Q578" i="1"/>
  <c r="B615" i="4"/>
  <c r="E587" i="4"/>
  <c r="G587" i="4"/>
  <c r="I578" i="4"/>
  <c r="J578" i="4" s="1"/>
  <c r="Q615" i="4"/>
  <c r="T587" i="4"/>
  <c r="U587" i="4" s="1"/>
  <c r="B546" i="1"/>
  <c r="E537" i="1"/>
  <c r="F537" i="1"/>
  <c r="I533" i="1"/>
  <c r="J533" i="1" s="1"/>
  <c r="M574" i="1"/>
  <c r="P546" i="1"/>
  <c r="U546" i="1" s="1"/>
  <c r="E615" i="4" l="1"/>
  <c r="E621" i="4" s="1"/>
  <c r="B621" i="4"/>
  <c r="B630" i="4" s="1"/>
  <c r="T615" i="4"/>
  <c r="Q621" i="4"/>
  <c r="Q630" i="4" s="1"/>
  <c r="M658" i="4"/>
  <c r="M664" i="4" s="1"/>
  <c r="M673" i="4" s="1"/>
  <c r="P630" i="4"/>
  <c r="Q587" i="1"/>
  <c r="T578" i="1"/>
  <c r="P574" i="1"/>
  <c r="U574" i="1" s="1"/>
  <c r="M578" i="1"/>
  <c r="G615" i="4"/>
  <c r="I587" i="4"/>
  <c r="J587" i="4" s="1"/>
  <c r="F546" i="1"/>
  <c r="I537" i="1"/>
  <c r="J537" i="1" s="1"/>
  <c r="B574" i="1"/>
  <c r="E546" i="1"/>
  <c r="P673" i="4" l="1"/>
  <c r="M701" i="4"/>
  <c r="P658" i="4"/>
  <c r="U615" i="4"/>
  <c r="U621" i="4" s="1"/>
  <c r="T621" i="4"/>
  <c r="I615" i="4"/>
  <c r="G621" i="4"/>
  <c r="G630" i="4" s="1"/>
  <c r="Q658" i="4"/>
  <c r="T630" i="4"/>
  <c r="U630" i="4" s="1"/>
  <c r="B658" i="4"/>
  <c r="E630" i="4"/>
  <c r="E574" i="1"/>
  <c r="B578" i="1"/>
  <c r="T587" i="1"/>
  <c r="Q615" i="1"/>
  <c r="M587" i="1"/>
  <c r="P578" i="1"/>
  <c r="U578" i="1" s="1"/>
  <c r="F574" i="1"/>
  <c r="I546" i="1"/>
  <c r="J546" i="1" s="1"/>
  <c r="P701" i="4" l="1"/>
  <c r="P707" i="4" s="1"/>
  <c r="M707" i="4"/>
  <c r="M716" i="4" s="1"/>
  <c r="E658" i="4"/>
  <c r="E664" i="4" s="1"/>
  <c r="B664" i="4"/>
  <c r="B673" i="4" s="1"/>
  <c r="T658" i="4"/>
  <c r="T664" i="4" s="1"/>
  <c r="Q664" i="4"/>
  <c r="Q673" i="4" s="1"/>
  <c r="P664" i="4"/>
  <c r="J615" i="4"/>
  <c r="I621" i="4"/>
  <c r="J621" i="4" s="1"/>
  <c r="T615" i="1"/>
  <c r="T621" i="1" s="1"/>
  <c r="Q621" i="1"/>
  <c r="Q630" i="1" s="1"/>
  <c r="G658" i="4"/>
  <c r="I630" i="4"/>
  <c r="J630" i="4" s="1"/>
  <c r="I574" i="1"/>
  <c r="J574" i="1" s="1"/>
  <c r="F578" i="1"/>
  <c r="B587" i="1"/>
  <c r="E578" i="1"/>
  <c r="M615" i="1"/>
  <c r="P587" i="1"/>
  <c r="U587" i="1" s="1"/>
  <c r="M744" i="4" l="1"/>
  <c r="P716" i="4"/>
  <c r="U658" i="4"/>
  <c r="U664" i="4" s="1"/>
  <c r="I658" i="4"/>
  <c r="G664" i="4"/>
  <c r="G673" i="4" s="1"/>
  <c r="E673" i="4"/>
  <c r="B701" i="4"/>
  <c r="T673" i="4"/>
  <c r="U673" i="4" s="1"/>
  <c r="Q701" i="4"/>
  <c r="Q658" i="1"/>
  <c r="T630" i="1"/>
  <c r="P615" i="1"/>
  <c r="M621" i="1"/>
  <c r="M630" i="1" s="1"/>
  <c r="F587" i="1"/>
  <c r="I578" i="1"/>
  <c r="J578" i="1" s="1"/>
  <c r="B615" i="1"/>
  <c r="E587" i="1"/>
  <c r="P744" i="4" l="1"/>
  <c r="P750" i="4" s="1"/>
  <c r="M750" i="4"/>
  <c r="M759" i="4" s="1"/>
  <c r="E701" i="4"/>
  <c r="E707" i="4" s="1"/>
  <c r="B707" i="4"/>
  <c r="B716" i="4" s="1"/>
  <c r="T701" i="4"/>
  <c r="Q707" i="4"/>
  <c r="Q716" i="4" s="1"/>
  <c r="G701" i="4"/>
  <c r="I673" i="4"/>
  <c r="J673" i="4" s="1"/>
  <c r="J658" i="4"/>
  <c r="I664" i="4"/>
  <c r="J664" i="4" s="1"/>
  <c r="T658" i="1"/>
  <c r="T664" i="1" s="1"/>
  <c r="Q664" i="1"/>
  <c r="Q673" i="1" s="1"/>
  <c r="M658" i="1"/>
  <c r="M664" i="1" s="1"/>
  <c r="M673" i="1" s="1"/>
  <c r="P630" i="1"/>
  <c r="U630" i="1" s="1"/>
  <c r="U615" i="1"/>
  <c r="U621" i="1" s="1"/>
  <c r="P621" i="1"/>
  <c r="E615" i="1"/>
  <c r="E621" i="1" s="1"/>
  <c r="B621" i="1"/>
  <c r="B630" i="1" s="1"/>
  <c r="F615" i="1"/>
  <c r="I587" i="1"/>
  <c r="J587" i="1" s="1"/>
  <c r="M787" i="4" l="1"/>
  <c r="P759" i="4"/>
  <c r="I701" i="4"/>
  <c r="G707" i="4"/>
  <c r="G716" i="4" s="1"/>
  <c r="E716" i="4"/>
  <c r="B744" i="4"/>
  <c r="U701" i="4"/>
  <c r="U707" i="4" s="1"/>
  <c r="T707" i="4"/>
  <c r="Q744" i="4"/>
  <c r="T716" i="4"/>
  <c r="U716" i="4" s="1"/>
  <c r="T673" i="1"/>
  <c r="Q701" i="1"/>
  <c r="M701" i="1"/>
  <c r="P673" i="1"/>
  <c r="E630" i="1"/>
  <c r="B658" i="1"/>
  <c r="I615" i="1"/>
  <c r="F621" i="1"/>
  <c r="F630" i="1" s="1"/>
  <c r="P658" i="1"/>
  <c r="P664" i="1" s="1"/>
  <c r="P787" i="4" l="1"/>
  <c r="P793" i="4" s="1"/>
  <c r="M793" i="4"/>
  <c r="M802" i="4" s="1"/>
  <c r="E744" i="4"/>
  <c r="E750" i="4" s="1"/>
  <c r="B750" i="4"/>
  <c r="B759" i="4" s="1"/>
  <c r="T744" i="4"/>
  <c r="Q750" i="4"/>
  <c r="Q759" i="4" s="1"/>
  <c r="G744" i="4"/>
  <c r="I716" i="4"/>
  <c r="J716" i="4" s="1"/>
  <c r="J701" i="4"/>
  <c r="I707" i="4"/>
  <c r="J707" i="4" s="1"/>
  <c r="T701" i="1"/>
  <c r="T707" i="1" s="1"/>
  <c r="Q707" i="1"/>
  <c r="Q716" i="1" s="1"/>
  <c r="P701" i="1"/>
  <c r="P707" i="1" s="1"/>
  <c r="M707" i="1"/>
  <c r="M716" i="1" s="1"/>
  <c r="E658" i="1"/>
  <c r="E664" i="1" s="1"/>
  <c r="B664" i="1"/>
  <c r="B673" i="1" s="1"/>
  <c r="U673" i="1"/>
  <c r="J615" i="1"/>
  <c r="J621" i="1" s="1"/>
  <c r="I621" i="1"/>
  <c r="U658" i="1"/>
  <c r="U664" i="1" s="1"/>
  <c r="F658" i="1"/>
  <c r="I630" i="1"/>
  <c r="J630" i="1" s="1"/>
  <c r="P802" i="4" l="1"/>
  <c r="M830" i="4"/>
  <c r="I744" i="4"/>
  <c r="G750" i="4"/>
  <c r="G759" i="4" s="1"/>
  <c r="B787" i="4"/>
  <c r="E759" i="4"/>
  <c r="Q787" i="4"/>
  <c r="T759" i="4"/>
  <c r="U759" i="4" s="1"/>
  <c r="U744" i="4"/>
  <c r="U750" i="4" s="1"/>
  <c r="T750" i="4"/>
  <c r="U701" i="1"/>
  <c r="U707" i="1" s="1"/>
  <c r="M744" i="1"/>
  <c r="P716" i="1"/>
  <c r="Q744" i="1"/>
  <c r="T716" i="1"/>
  <c r="E673" i="1"/>
  <c r="B701" i="1"/>
  <c r="B707" i="1" s="1"/>
  <c r="I658" i="1"/>
  <c r="F664" i="1"/>
  <c r="F673" i="1" s="1"/>
  <c r="P830" i="4" l="1"/>
  <c r="P836" i="4" s="1"/>
  <c r="M836" i="4"/>
  <c r="M845" i="4" s="1"/>
  <c r="E787" i="4"/>
  <c r="E793" i="4" s="1"/>
  <c r="B793" i="4"/>
  <c r="B802" i="4" s="1"/>
  <c r="T787" i="4"/>
  <c r="Q793" i="4"/>
  <c r="Q802" i="4" s="1"/>
  <c r="T744" i="1"/>
  <c r="T750" i="1" s="1"/>
  <c r="Q750" i="1"/>
  <c r="Q759" i="1" s="1"/>
  <c r="P744" i="1"/>
  <c r="P750" i="1" s="1"/>
  <c r="M750" i="1"/>
  <c r="M759" i="1" s="1"/>
  <c r="G787" i="4"/>
  <c r="I759" i="4"/>
  <c r="J759" i="4" s="1"/>
  <c r="J744" i="4"/>
  <c r="I750" i="4"/>
  <c r="J750" i="4" s="1"/>
  <c r="E701" i="1"/>
  <c r="E707" i="1" s="1"/>
  <c r="B716" i="1"/>
  <c r="U716" i="1"/>
  <c r="F701" i="1"/>
  <c r="F707" i="1" s="1"/>
  <c r="I673" i="1"/>
  <c r="J673" i="1" s="1"/>
  <c r="I664" i="1"/>
  <c r="J658" i="1"/>
  <c r="J664" i="1" s="1"/>
  <c r="M873" i="4" l="1"/>
  <c r="P845" i="4"/>
  <c r="B830" i="4"/>
  <c r="E802" i="4"/>
  <c r="I787" i="4"/>
  <c r="G793" i="4"/>
  <c r="G802" i="4" s="1"/>
  <c r="T802" i="4"/>
  <c r="U802" i="4" s="1"/>
  <c r="Q830" i="4"/>
  <c r="U787" i="4"/>
  <c r="U793" i="4" s="1"/>
  <c r="T793" i="4"/>
  <c r="U744" i="1"/>
  <c r="U750" i="1" s="1"/>
  <c r="P759" i="1"/>
  <c r="M787" i="1"/>
  <c r="T759" i="1"/>
  <c r="Q787" i="1"/>
  <c r="E716" i="1"/>
  <c r="B744" i="1"/>
  <c r="I701" i="1"/>
  <c r="F716" i="1"/>
  <c r="P873" i="4" l="1"/>
  <c r="P879" i="4" s="1"/>
  <c r="M879" i="4"/>
  <c r="M888" i="4" s="1"/>
  <c r="E830" i="4"/>
  <c r="E836" i="4" s="1"/>
  <c r="B836" i="4"/>
  <c r="B845" i="4" s="1"/>
  <c r="T830" i="4"/>
  <c r="Q836" i="4"/>
  <c r="Q845" i="4" s="1"/>
  <c r="G830" i="4"/>
  <c r="I802" i="4"/>
  <c r="J802" i="4" s="1"/>
  <c r="J787" i="4"/>
  <c r="I793" i="4"/>
  <c r="J793" i="4" s="1"/>
  <c r="T787" i="1"/>
  <c r="T793" i="1" s="1"/>
  <c r="Q793" i="1"/>
  <c r="Q802" i="1" s="1"/>
  <c r="P787" i="1"/>
  <c r="P793" i="1" s="1"/>
  <c r="M793" i="1"/>
  <c r="M802" i="1" s="1"/>
  <c r="E744" i="1"/>
  <c r="E750" i="1" s="1"/>
  <c r="B750" i="1"/>
  <c r="B759" i="1" s="1"/>
  <c r="U759" i="1"/>
  <c r="I716" i="1"/>
  <c r="J716" i="1" s="1"/>
  <c r="F744" i="1"/>
  <c r="J701" i="1"/>
  <c r="J707" i="1" s="1"/>
  <c r="I707" i="1"/>
  <c r="P888" i="4" l="1"/>
  <c r="M916" i="4"/>
  <c r="U830" i="4"/>
  <c r="U836" i="4" s="1"/>
  <c r="T836" i="4"/>
  <c r="T845" i="4"/>
  <c r="U845" i="4" s="1"/>
  <c r="Q873" i="4"/>
  <c r="B873" i="4"/>
  <c r="E845" i="4"/>
  <c r="I830" i="4"/>
  <c r="G836" i="4"/>
  <c r="G845" i="4" s="1"/>
  <c r="Q830" i="1"/>
  <c r="T802" i="1"/>
  <c r="M830" i="1"/>
  <c r="P802" i="1"/>
  <c r="U787" i="1"/>
  <c r="U793" i="1" s="1"/>
  <c r="I744" i="1"/>
  <c r="I750" i="1" s="1"/>
  <c r="F750" i="1"/>
  <c r="F759" i="1" s="1"/>
  <c r="B787" i="1"/>
  <c r="E759" i="1"/>
  <c r="P916" i="4" l="1"/>
  <c r="P922" i="4" s="1"/>
  <c r="M922" i="4"/>
  <c r="M931" i="4" s="1"/>
  <c r="T873" i="4"/>
  <c r="Q879" i="4"/>
  <c r="Q888" i="4" s="1"/>
  <c r="E873" i="4"/>
  <c r="E879" i="4" s="1"/>
  <c r="B879" i="4"/>
  <c r="B888" i="4" s="1"/>
  <c r="U802" i="1"/>
  <c r="G873" i="4"/>
  <c r="I845" i="4"/>
  <c r="J845" i="4" s="1"/>
  <c r="P830" i="1"/>
  <c r="P836" i="1" s="1"/>
  <c r="M836" i="1"/>
  <c r="M845" i="1" s="1"/>
  <c r="T830" i="1"/>
  <c r="T836" i="1" s="1"/>
  <c r="Q836" i="1"/>
  <c r="Q845" i="1" s="1"/>
  <c r="J830" i="4"/>
  <c r="I836" i="4"/>
  <c r="J836" i="4" s="1"/>
  <c r="E787" i="1"/>
  <c r="E793" i="1" s="1"/>
  <c r="B793" i="1"/>
  <c r="B802" i="1" s="1"/>
  <c r="J744" i="1"/>
  <c r="J750" i="1" s="1"/>
  <c r="F787" i="1"/>
  <c r="I759" i="1"/>
  <c r="J759" i="1" s="1"/>
  <c r="M959" i="4" l="1"/>
  <c r="P931" i="4"/>
  <c r="T888" i="4"/>
  <c r="U888" i="4" s="1"/>
  <c r="Q916" i="4"/>
  <c r="U873" i="4"/>
  <c r="U879" i="4" s="1"/>
  <c r="T879" i="4"/>
  <c r="I873" i="4"/>
  <c r="G879" i="4"/>
  <c r="G888" i="4" s="1"/>
  <c r="E888" i="4"/>
  <c r="B916" i="4"/>
  <c r="U830" i="1"/>
  <c r="U836" i="1" s="1"/>
  <c r="M873" i="1"/>
  <c r="P845" i="1"/>
  <c r="Q873" i="1"/>
  <c r="T845" i="1"/>
  <c r="I787" i="1"/>
  <c r="F793" i="1"/>
  <c r="F802" i="1" s="1"/>
  <c r="E802" i="1"/>
  <c r="B830" i="1"/>
  <c r="P959" i="4" l="1"/>
  <c r="P965" i="4" s="1"/>
  <c r="M965" i="4"/>
  <c r="M974" i="4" s="1"/>
  <c r="T916" i="4"/>
  <c r="Q922" i="4"/>
  <c r="Q931" i="4" s="1"/>
  <c r="E916" i="4"/>
  <c r="E922" i="4" s="1"/>
  <c r="B922" i="4"/>
  <c r="B931" i="4" s="1"/>
  <c r="P873" i="1"/>
  <c r="P879" i="1" s="1"/>
  <c r="M879" i="1"/>
  <c r="M888" i="1" s="1"/>
  <c r="T873" i="1"/>
  <c r="T879" i="1" s="1"/>
  <c r="Q879" i="1"/>
  <c r="Q888" i="1" s="1"/>
  <c r="G916" i="4"/>
  <c r="I888" i="4"/>
  <c r="J888" i="4" s="1"/>
  <c r="J873" i="4"/>
  <c r="I879" i="4"/>
  <c r="J879" i="4" s="1"/>
  <c r="U845" i="1"/>
  <c r="E830" i="1"/>
  <c r="E836" i="1" s="1"/>
  <c r="B836" i="1"/>
  <c r="B845" i="1" s="1"/>
  <c r="F830" i="1"/>
  <c r="I802" i="1"/>
  <c r="J802" i="1" s="1"/>
  <c r="J787" i="1"/>
  <c r="J793" i="1" s="1"/>
  <c r="I793" i="1"/>
  <c r="P974" i="4" l="1"/>
  <c r="M1002" i="4"/>
  <c r="I916" i="4"/>
  <c r="G922" i="4"/>
  <c r="G931" i="4" s="1"/>
  <c r="E931" i="4"/>
  <c r="B959" i="4"/>
  <c r="Q959" i="4"/>
  <c r="T931" i="4"/>
  <c r="U931" i="4" s="1"/>
  <c r="U916" i="4"/>
  <c r="U922" i="4" s="1"/>
  <c r="T922" i="4"/>
  <c r="U873" i="1"/>
  <c r="U879" i="1" s="1"/>
  <c r="Q916" i="1"/>
  <c r="T888" i="1"/>
  <c r="M916" i="1"/>
  <c r="P888" i="1"/>
  <c r="I830" i="1"/>
  <c r="F836" i="1"/>
  <c r="F845" i="1" s="1"/>
  <c r="B873" i="1"/>
  <c r="E845" i="1"/>
  <c r="E959" i="4" l="1"/>
  <c r="E965" i="4" s="1"/>
  <c r="B965" i="4"/>
  <c r="B974" i="4" s="1"/>
  <c r="T959" i="4"/>
  <c r="Q965" i="4"/>
  <c r="Q974" i="4" s="1"/>
  <c r="P1002" i="4"/>
  <c r="M1008" i="4"/>
  <c r="M1017" i="4" s="1"/>
  <c r="T916" i="1"/>
  <c r="T922" i="1" s="1"/>
  <c r="Q922" i="1"/>
  <c r="Q931" i="1" s="1"/>
  <c r="P916" i="1"/>
  <c r="P922" i="1" s="1"/>
  <c r="M922" i="1"/>
  <c r="M931" i="1" s="1"/>
  <c r="G959" i="4"/>
  <c r="I931" i="4"/>
  <c r="J931" i="4" s="1"/>
  <c r="J916" i="4"/>
  <c r="I922" i="4"/>
  <c r="J922" i="4" s="1"/>
  <c r="U888" i="1"/>
  <c r="E873" i="1"/>
  <c r="E879" i="1" s="1"/>
  <c r="B879" i="1"/>
  <c r="B888" i="1" s="1"/>
  <c r="F873" i="1"/>
  <c r="I845" i="1"/>
  <c r="J845" i="1" s="1"/>
  <c r="J830" i="1"/>
  <c r="J836" i="1" s="1"/>
  <c r="I836" i="1"/>
  <c r="B1002" i="4" l="1"/>
  <c r="E974" i="4"/>
  <c r="I959" i="4"/>
  <c r="G965" i="4"/>
  <c r="G974" i="4" s="1"/>
  <c r="Q1002" i="4"/>
  <c r="T974" i="4"/>
  <c r="U974" i="4" s="1"/>
  <c r="U959" i="4"/>
  <c r="U965" i="4" s="1"/>
  <c r="T965" i="4"/>
  <c r="P1008" i="4"/>
  <c r="M1045" i="4"/>
  <c r="M1051" i="4" s="1"/>
  <c r="M1060" i="4" s="1"/>
  <c r="P1017" i="4"/>
  <c r="U916" i="1"/>
  <c r="U922" i="1" s="1"/>
  <c r="M959" i="1"/>
  <c r="P931" i="1"/>
  <c r="Q959" i="1"/>
  <c r="T931" i="1"/>
  <c r="B916" i="1"/>
  <c r="E888" i="1"/>
  <c r="I873" i="1"/>
  <c r="F879" i="1"/>
  <c r="F888" i="1" s="1"/>
  <c r="G1002" i="4" l="1"/>
  <c r="I974" i="4"/>
  <c r="J974" i="4" s="1"/>
  <c r="J959" i="4"/>
  <c r="I965" i="4"/>
  <c r="J965" i="4" s="1"/>
  <c r="B1008" i="4"/>
  <c r="B1017" i="4" s="1"/>
  <c r="E1002" i="4"/>
  <c r="M1088" i="4"/>
  <c r="P1060" i="4"/>
  <c r="Q1008" i="4"/>
  <c r="Q1017" i="4" s="1"/>
  <c r="T1002" i="4"/>
  <c r="P1045" i="4"/>
  <c r="P1051" i="4" s="1"/>
  <c r="T959" i="1"/>
  <c r="T965" i="1" s="1"/>
  <c r="Q965" i="1"/>
  <c r="Q974" i="1" s="1"/>
  <c r="P959" i="1"/>
  <c r="P965" i="1" s="1"/>
  <c r="M965" i="1"/>
  <c r="M974" i="1" s="1"/>
  <c r="E916" i="1"/>
  <c r="E922" i="1" s="1"/>
  <c r="B922" i="1"/>
  <c r="B931" i="1" s="1"/>
  <c r="U931" i="1"/>
  <c r="F916" i="1"/>
  <c r="I888" i="1"/>
  <c r="J888" i="1" s="1"/>
  <c r="J873" i="1"/>
  <c r="J879" i="1" s="1"/>
  <c r="I879" i="1"/>
  <c r="E1008" i="4" l="1"/>
  <c r="B1045" i="4"/>
  <c r="E1017" i="4"/>
  <c r="G1008" i="4"/>
  <c r="G1017" i="4" s="1"/>
  <c r="I1002" i="4"/>
  <c r="I1008" i="4" s="1"/>
  <c r="P1088" i="4"/>
  <c r="P1094" i="4" s="1"/>
  <c r="M1094" i="4"/>
  <c r="M1103" i="4" s="1"/>
  <c r="U959" i="1"/>
  <c r="U965" i="1" s="1"/>
  <c r="Q1045" i="4"/>
  <c r="T1017" i="4"/>
  <c r="U1017" i="4" s="1"/>
  <c r="T1008" i="4"/>
  <c r="U1002" i="4"/>
  <c r="U1008" i="4" s="1"/>
  <c r="O1046" i="4"/>
  <c r="P1046" i="4"/>
  <c r="N1046" i="4"/>
  <c r="M1046" i="4"/>
  <c r="Q1002" i="1"/>
  <c r="T974" i="1"/>
  <c r="P974" i="1"/>
  <c r="M1002" i="1"/>
  <c r="I916" i="1"/>
  <c r="F922" i="1"/>
  <c r="F931" i="1" s="1"/>
  <c r="E931" i="1"/>
  <c r="B959" i="1"/>
  <c r="E959" i="1" l="1"/>
  <c r="E965" i="1" s="1"/>
  <c r="B965" i="1"/>
  <c r="B974" i="1" s="1"/>
  <c r="B1051" i="4"/>
  <c r="B1060" i="4" s="1"/>
  <c r="E1045" i="4"/>
  <c r="J1008" i="4"/>
  <c r="G1045" i="4"/>
  <c r="I1017" i="4"/>
  <c r="J1017" i="4" s="1"/>
  <c r="J1002" i="4"/>
  <c r="M1131" i="4"/>
  <c r="M1137" i="4" s="1"/>
  <c r="M1146" i="4" s="1"/>
  <c r="P1103" i="4"/>
  <c r="T1045" i="4"/>
  <c r="Q1051" i="4"/>
  <c r="Q1060" i="4" s="1"/>
  <c r="U974" i="1"/>
  <c r="T1002" i="1"/>
  <c r="T1008" i="1" s="1"/>
  <c r="Q1008" i="1"/>
  <c r="Q1017" i="1" s="1"/>
  <c r="P1002" i="1"/>
  <c r="M1008" i="1"/>
  <c r="M1017" i="1" s="1"/>
  <c r="I931" i="1"/>
  <c r="J931" i="1" s="1"/>
  <c r="F959" i="1"/>
  <c r="J916" i="1"/>
  <c r="J922" i="1" s="1"/>
  <c r="I922" i="1"/>
  <c r="M1174" i="4" l="1"/>
  <c r="P1146" i="4"/>
  <c r="I959" i="1"/>
  <c r="F965" i="1"/>
  <c r="F974" i="1" s="1"/>
  <c r="B1002" i="1"/>
  <c r="E974" i="1"/>
  <c r="P1131" i="4"/>
  <c r="P1137" i="4" s="1"/>
  <c r="E1051" i="4"/>
  <c r="E1060" i="4"/>
  <c r="B1088" i="4"/>
  <c r="G1051" i="4"/>
  <c r="G1060" i="4" s="1"/>
  <c r="I1045" i="4"/>
  <c r="I1051" i="4" s="1"/>
  <c r="Q1088" i="4"/>
  <c r="T1060" i="4"/>
  <c r="U1060" i="4" s="1"/>
  <c r="U1045" i="4"/>
  <c r="U1051" i="4" s="1"/>
  <c r="T1051" i="4"/>
  <c r="Q1045" i="1"/>
  <c r="T1017" i="1"/>
  <c r="P1017" i="1"/>
  <c r="M1045" i="1"/>
  <c r="U1002" i="1"/>
  <c r="U1008" i="1" s="1"/>
  <c r="P1008" i="1"/>
  <c r="J959" i="1"/>
  <c r="J965" i="1" s="1"/>
  <c r="I965" i="1"/>
  <c r="M1180" i="4" l="1"/>
  <c r="M1189" i="4" s="1"/>
  <c r="P1174" i="4"/>
  <c r="J1045" i="4"/>
  <c r="B1008" i="1"/>
  <c r="B1017" i="1" s="1"/>
  <c r="E1002" i="1"/>
  <c r="F1002" i="1"/>
  <c r="I974" i="1"/>
  <c r="J974" i="1" s="1"/>
  <c r="J1051" i="4"/>
  <c r="G1088" i="4"/>
  <c r="I1060" i="4"/>
  <c r="J1060" i="4" s="1"/>
  <c r="E1088" i="4"/>
  <c r="B1094" i="4"/>
  <c r="B1103" i="4" s="1"/>
  <c r="T1088" i="4"/>
  <c r="Q1094" i="4"/>
  <c r="Q1103" i="4" s="1"/>
  <c r="T1045" i="1"/>
  <c r="T1051" i="1" s="1"/>
  <c r="Q1051" i="1"/>
  <c r="Q1060" i="1" s="1"/>
  <c r="P1045" i="1"/>
  <c r="P1051" i="1" s="1"/>
  <c r="M1051" i="1"/>
  <c r="M1060" i="1" s="1"/>
  <c r="U1017" i="1"/>
  <c r="P1180" i="4" l="1"/>
  <c r="M1217" i="4"/>
  <c r="P1189" i="4"/>
  <c r="F1008" i="1"/>
  <c r="F1017" i="1" s="1"/>
  <c r="I1002" i="1"/>
  <c r="I1008" i="1" s="1"/>
  <c r="E1008" i="1"/>
  <c r="B1045" i="1"/>
  <c r="E1017" i="1"/>
  <c r="B1131" i="4"/>
  <c r="B1137" i="4" s="1"/>
  <c r="B1146" i="4" s="1"/>
  <c r="E1103" i="4"/>
  <c r="G1094" i="4"/>
  <c r="G1103" i="4" s="1"/>
  <c r="I1088" i="4"/>
  <c r="I1094" i="4" s="1"/>
  <c r="E1094" i="4"/>
  <c r="J1094" i="4" s="1"/>
  <c r="J1088" i="4"/>
  <c r="Q1131" i="4"/>
  <c r="Q1137" i="4" s="1"/>
  <c r="Q1146" i="4" s="1"/>
  <c r="T1103" i="4"/>
  <c r="U1103" i="4" s="1"/>
  <c r="U1088" i="4"/>
  <c r="U1094" i="4" s="1"/>
  <c r="T1094" i="4"/>
  <c r="O1046" i="1"/>
  <c r="U1045" i="1"/>
  <c r="U1051" i="1" s="1"/>
  <c r="Q1088" i="1"/>
  <c r="T1060" i="1"/>
  <c r="N1046" i="1"/>
  <c r="P1046" i="1"/>
  <c r="M1046" i="1"/>
  <c r="M1088" i="1"/>
  <c r="P1060" i="1"/>
  <c r="Q1174" i="4" l="1"/>
  <c r="T1146" i="4"/>
  <c r="U1146" i="4" s="1"/>
  <c r="M1223" i="4"/>
  <c r="M1232" i="4" s="1"/>
  <c r="P1217" i="4"/>
  <c r="B1174" i="4"/>
  <c r="E1146" i="4"/>
  <c r="J1002" i="1"/>
  <c r="J1008" i="1" s="1"/>
  <c r="B1051" i="1"/>
  <c r="B1060" i="1" s="1"/>
  <c r="E1045" i="1"/>
  <c r="F1045" i="1"/>
  <c r="I1017" i="1"/>
  <c r="J1017" i="1" s="1"/>
  <c r="T1131" i="4"/>
  <c r="T1137" i="4" s="1"/>
  <c r="G1131" i="4"/>
  <c r="G1137" i="4" s="1"/>
  <c r="G1146" i="4" s="1"/>
  <c r="I1103" i="4"/>
  <c r="J1103" i="4" s="1"/>
  <c r="E1131" i="4"/>
  <c r="E1137" i="4" s="1"/>
  <c r="P1088" i="1"/>
  <c r="P1094" i="1" s="1"/>
  <c r="M1094" i="1"/>
  <c r="M1103" i="1" s="1"/>
  <c r="T1088" i="1"/>
  <c r="T1094" i="1" s="1"/>
  <c r="Q1094" i="1"/>
  <c r="Q1103" i="1" s="1"/>
  <c r="U1060" i="1"/>
  <c r="M1260" i="4" l="1"/>
  <c r="M1266" i="4" s="1"/>
  <c r="M1275" i="4" s="1"/>
  <c r="P1232" i="4"/>
  <c r="B1180" i="4"/>
  <c r="B1189" i="4" s="1"/>
  <c r="E1174" i="4"/>
  <c r="G1174" i="4"/>
  <c r="I1146" i="4"/>
  <c r="J1146" i="4" s="1"/>
  <c r="P1223" i="4"/>
  <c r="Q1180" i="4"/>
  <c r="Q1189" i="4" s="1"/>
  <c r="T1174" i="4"/>
  <c r="F1051" i="1"/>
  <c r="F1060" i="1" s="1"/>
  <c r="I1045" i="1"/>
  <c r="I1051" i="1" s="1"/>
  <c r="E1051" i="1"/>
  <c r="J1045" i="1"/>
  <c r="J1051" i="1" s="1"/>
  <c r="E1060" i="1"/>
  <c r="B1088" i="1"/>
  <c r="I1131" i="4"/>
  <c r="I1137" i="4" s="1"/>
  <c r="J1137" i="4" s="1"/>
  <c r="U1131" i="4"/>
  <c r="U1137" i="4" s="1"/>
  <c r="U1088" i="1"/>
  <c r="U1094" i="1" s="1"/>
  <c r="Q1131" i="1"/>
  <c r="T1103" i="1"/>
  <c r="M1131" i="1"/>
  <c r="P1103" i="1"/>
  <c r="M1303" i="4" l="1"/>
  <c r="M1309" i="4" s="1"/>
  <c r="M1318" i="4" s="1"/>
  <c r="P1275" i="4"/>
  <c r="P1260" i="4"/>
  <c r="B1217" i="4"/>
  <c r="E1189" i="4"/>
  <c r="T1180" i="4"/>
  <c r="U1174" i="4"/>
  <c r="U1180" i="4" s="1"/>
  <c r="Q1217" i="4"/>
  <c r="T1189" i="4"/>
  <c r="U1189" i="4" s="1"/>
  <c r="G1180" i="4"/>
  <c r="G1189" i="4" s="1"/>
  <c r="I1174" i="4"/>
  <c r="I1180" i="4" s="1"/>
  <c r="E1180" i="4"/>
  <c r="J1180" i="4" s="1"/>
  <c r="J1131" i="4"/>
  <c r="P1131" i="1"/>
  <c r="M1137" i="1"/>
  <c r="M1146" i="1" s="1"/>
  <c r="T1131" i="1"/>
  <c r="T1137" i="1" s="1"/>
  <c r="Q1137" i="1"/>
  <c r="Q1146" i="1" s="1"/>
  <c r="E1088" i="1"/>
  <c r="B1094" i="1"/>
  <c r="B1103" i="1" s="1"/>
  <c r="I1060" i="1"/>
  <c r="J1060" i="1" s="1"/>
  <c r="F1088" i="1"/>
  <c r="U1103" i="1"/>
  <c r="M1346" i="4" l="1"/>
  <c r="P1318" i="4"/>
  <c r="J1174" i="4"/>
  <c r="M1261" i="4"/>
  <c r="P1266" i="4"/>
  <c r="P1303" i="4"/>
  <c r="N1261" i="4"/>
  <c r="O1261" i="4"/>
  <c r="P1261" i="4"/>
  <c r="G1217" i="4"/>
  <c r="I1189" i="4"/>
  <c r="J1189" i="4" s="1"/>
  <c r="Q1223" i="4"/>
  <c r="Q1232" i="4" s="1"/>
  <c r="T1217" i="4"/>
  <c r="B1223" i="4"/>
  <c r="B1232" i="4" s="1"/>
  <c r="E1217" i="4"/>
  <c r="T1146" i="1"/>
  <c r="Q1174" i="1"/>
  <c r="P1146" i="1"/>
  <c r="M1174" i="1"/>
  <c r="U1131" i="1"/>
  <c r="U1137" i="1" s="1"/>
  <c r="P1137" i="1"/>
  <c r="B1131" i="1"/>
  <c r="E1103" i="1"/>
  <c r="F1094" i="1"/>
  <c r="F1103" i="1" s="1"/>
  <c r="I1088" i="1"/>
  <c r="I1094" i="1" s="1"/>
  <c r="E1094" i="1"/>
  <c r="P1346" i="4" l="1"/>
  <c r="P1352" i="4" s="1"/>
  <c r="M1352" i="4"/>
  <c r="M1361" i="4" s="1"/>
  <c r="P1309" i="4"/>
  <c r="Q1260" i="4"/>
  <c r="T1232" i="4"/>
  <c r="U1232" i="4" s="1"/>
  <c r="E1223" i="4"/>
  <c r="B1260" i="4"/>
  <c r="E1232" i="4"/>
  <c r="T1223" i="4"/>
  <c r="U1217" i="4"/>
  <c r="U1223" i="4" s="1"/>
  <c r="G1223" i="4"/>
  <c r="G1232" i="4" s="1"/>
  <c r="I1217" i="4"/>
  <c r="I1223" i="4" s="1"/>
  <c r="U1146" i="1"/>
  <c r="T1174" i="1"/>
  <c r="T1180" i="1" s="1"/>
  <c r="Q1180" i="1"/>
  <c r="Q1189" i="1" s="1"/>
  <c r="P1174" i="1"/>
  <c r="M1180" i="1"/>
  <c r="M1189" i="1" s="1"/>
  <c r="E1131" i="1"/>
  <c r="E1137" i="1" s="1"/>
  <c r="B1137" i="1"/>
  <c r="B1146" i="1" s="1"/>
  <c r="I1103" i="1"/>
  <c r="J1103" i="1" s="1"/>
  <c r="F1131" i="1"/>
  <c r="J1088" i="1"/>
  <c r="J1094" i="1" s="1"/>
  <c r="M1389" i="4" l="1"/>
  <c r="P1361" i="4"/>
  <c r="E1260" i="4"/>
  <c r="E1266" i="4" s="1"/>
  <c r="B1266" i="4"/>
  <c r="B1275" i="4" s="1"/>
  <c r="T1260" i="4"/>
  <c r="Q1266" i="4"/>
  <c r="Q1275" i="4" s="1"/>
  <c r="J1223" i="4"/>
  <c r="J1217" i="4"/>
  <c r="G1260" i="4"/>
  <c r="I1232" i="4"/>
  <c r="J1232" i="4" s="1"/>
  <c r="Q1217" i="1"/>
  <c r="T1189" i="1"/>
  <c r="M1217" i="1"/>
  <c r="P1189" i="1"/>
  <c r="U1174" i="1"/>
  <c r="U1180" i="1" s="1"/>
  <c r="P1180" i="1"/>
  <c r="I1131" i="1"/>
  <c r="F1137" i="1"/>
  <c r="F1146" i="1" s="1"/>
  <c r="E1146" i="1"/>
  <c r="B1174" i="1"/>
  <c r="P1389" i="4" l="1"/>
  <c r="B1303" i="4"/>
  <c r="E1303" i="4" s="1"/>
  <c r="E1275" i="4"/>
  <c r="I1260" i="4"/>
  <c r="G1266" i="4"/>
  <c r="G1275" i="4" s="1"/>
  <c r="E1174" i="1"/>
  <c r="E1180" i="1" s="1"/>
  <c r="B1180" i="1"/>
  <c r="B1189" i="1" s="1"/>
  <c r="U1260" i="4"/>
  <c r="U1266" i="4" s="1"/>
  <c r="T1266" i="4"/>
  <c r="Q1303" i="4"/>
  <c r="T1275" i="4"/>
  <c r="U1275" i="4" s="1"/>
  <c r="T1217" i="1"/>
  <c r="T1223" i="1" s="1"/>
  <c r="Q1223" i="1"/>
  <c r="Q1232" i="1" s="1"/>
  <c r="P1217" i="1"/>
  <c r="M1223" i="1"/>
  <c r="M1232" i="1" s="1"/>
  <c r="U1189" i="1"/>
  <c r="F1174" i="1"/>
  <c r="I1146" i="1"/>
  <c r="J1146" i="1" s="1"/>
  <c r="J1131" i="1"/>
  <c r="J1137" i="1" s="1"/>
  <c r="I1137" i="1"/>
  <c r="N1390" i="4" l="1"/>
  <c r="O1390" i="4"/>
  <c r="P1390" i="4"/>
  <c r="M1390" i="4"/>
  <c r="T1303" i="4"/>
  <c r="T1309" i="4" s="1"/>
  <c r="Q1309" i="4"/>
  <c r="Q1318" i="4" s="1"/>
  <c r="U1303" i="4"/>
  <c r="U1309" i="4" s="1"/>
  <c r="I1266" i="4"/>
  <c r="J1266" i="4" s="1"/>
  <c r="J1260" i="4"/>
  <c r="G1303" i="4"/>
  <c r="I1303" i="4" s="1"/>
  <c r="J1303" i="4" s="1"/>
  <c r="I1275" i="4"/>
  <c r="J1275" i="4" s="1"/>
  <c r="B1217" i="1"/>
  <c r="E1189" i="1"/>
  <c r="I1174" i="1"/>
  <c r="F1180" i="1"/>
  <c r="F1189" i="1" s="1"/>
  <c r="M1260" i="1"/>
  <c r="M1266" i="1" s="1"/>
  <c r="M1275" i="1" s="1"/>
  <c r="P1232" i="1"/>
  <c r="U1217" i="1"/>
  <c r="U1223" i="1" s="1"/>
  <c r="P1223" i="1"/>
  <c r="Q1260" i="1"/>
  <c r="T1232" i="1"/>
  <c r="Q1346" i="4" l="1"/>
  <c r="T1318" i="4"/>
  <c r="U1318" i="4" s="1"/>
  <c r="F1217" i="1"/>
  <c r="I1189" i="1"/>
  <c r="J1189" i="1" s="1"/>
  <c r="I1180" i="1"/>
  <c r="J1174" i="1"/>
  <c r="J1180" i="1" s="1"/>
  <c r="B1223" i="1"/>
  <c r="B1232" i="1" s="1"/>
  <c r="E1217" i="1"/>
  <c r="T1260" i="1"/>
  <c r="T1266" i="1" s="1"/>
  <c r="Q1266" i="1"/>
  <c r="Q1275" i="1" s="1"/>
  <c r="P1275" i="1"/>
  <c r="M1303" i="1"/>
  <c r="P1260" i="1"/>
  <c r="U1232" i="1"/>
  <c r="T1346" i="4" l="1"/>
  <c r="T1352" i="4" s="1"/>
  <c r="Q1352" i="4"/>
  <c r="Q1361" i="4" s="1"/>
  <c r="U1346" i="4"/>
  <c r="U1352" i="4" s="1"/>
  <c r="P1303" i="1"/>
  <c r="P1309" i="1" s="1"/>
  <c r="M1309" i="1"/>
  <c r="M1318" i="1" s="1"/>
  <c r="E1232" i="1"/>
  <c r="B1260" i="1"/>
  <c r="E1223" i="1"/>
  <c r="F1223" i="1"/>
  <c r="F1232" i="1" s="1"/>
  <c r="I1217" i="1"/>
  <c r="I1223" i="1" s="1"/>
  <c r="T1275" i="1"/>
  <c r="U1275" i="1" s="1"/>
  <c r="Q1303" i="1"/>
  <c r="M1261" i="1"/>
  <c r="P1266" i="1"/>
  <c r="U1260" i="1"/>
  <c r="U1266" i="1" s="1"/>
  <c r="N1261" i="1"/>
  <c r="O1261" i="1"/>
  <c r="P1261" i="1"/>
  <c r="Q1389" i="4" l="1"/>
  <c r="T1389" i="4" s="1"/>
  <c r="U1389" i="4" s="1"/>
  <c r="T1361" i="4"/>
  <c r="U1361" i="4" s="1"/>
  <c r="T1303" i="1"/>
  <c r="Q1309" i="1"/>
  <c r="Q1318" i="1" s="1"/>
  <c r="M1346" i="1"/>
  <c r="P1318" i="1"/>
  <c r="J1217" i="1"/>
  <c r="J1223" i="1" s="1"/>
  <c r="E1260" i="1"/>
  <c r="B1266" i="1"/>
  <c r="B1275" i="1" s="1"/>
  <c r="I1232" i="1"/>
  <c r="J1232" i="1" s="1"/>
  <c r="F1260" i="1"/>
  <c r="P1346" i="1" l="1"/>
  <c r="P1352" i="1" s="1"/>
  <c r="M1352" i="1"/>
  <c r="M1361" i="1" s="1"/>
  <c r="Q1346" i="1"/>
  <c r="T1318" i="1"/>
  <c r="U1318" i="1" s="1"/>
  <c r="U1303" i="1"/>
  <c r="U1309" i="1" s="1"/>
  <c r="T1309" i="1"/>
  <c r="E1275" i="1"/>
  <c r="B1303" i="1"/>
  <c r="E1303" i="1" s="1"/>
  <c r="I1260" i="1"/>
  <c r="I1266" i="1" s="1"/>
  <c r="F1266" i="1"/>
  <c r="F1275" i="1" s="1"/>
  <c r="E1266" i="1"/>
  <c r="T1346" i="1" l="1"/>
  <c r="T1352" i="1" s="1"/>
  <c r="Q1352" i="1"/>
  <c r="Q1361" i="1" s="1"/>
  <c r="M1389" i="1"/>
  <c r="P1361" i="1"/>
  <c r="U1346" i="1"/>
  <c r="U1352" i="1" s="1"/>
  <c r="J1260" i="1"/>
  <c r="J1266" i="1" s="1"/>
  <c r="I1275" i="1"/>
  <c r="J1275" i="1" s="1"/>
  <c r="F1303" i="1"/>
  <c r="I1303" i="1" s="1"/>
  <c r="J1303" i="1" s="1"/>
  <c r="Q1389" i="1" l="1"/>
  <c r="T1389" i="1" s="1"/>
  <c r="T1361" i="1"/>
  <c r="U1361" i="1" s="1"/>
  <c r="P1389" i="1"/>
  <c r="M1390" i="1" s="1"/>
  <c r="O1390" i="1" l="1"/>
  <c r="P1390" i="1"/>
  <c r="N1390" i="1"/>
  <c r="U1389" i="1"/>
</calcChain>
</file>

<file path=xl/sharedStrings.xml><?xml version="1.0" encoding="utf-8"?>
<sst xmlns="http://schemas.openxmlformats.org/spreadsheetml/2006/main" count="4815" uniqueCount="1011">
  <si>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</si>
  <si>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</si>
  <si>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</si>
  <si>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</si>
  <si>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</si>
  <si>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</si>
  <si>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</si>
  <si>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</si>
  <si>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</si>
  <si>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</si>
  <si>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</si>
  <si>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</si>
  <si>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</si>
  <si>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</si>
  <si>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</si>
  <si>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</si>
  <si>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</si>
  <si>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7"/>
  </si>
  <si>
    <t>＜AR両起毛当付き　８分袖インナー　No.1060-208　夢販在庫＞</t>
    <rPh sb="3" eb="6">
      <t>リョウキモウ</t>
    </rPh>
    <rPh sb="6" eb="7">
      <t>ア</t>
    </rPh>
    <rPh sb="7" eb="8">
      <t>ツ</t>
    </rPh>
    <rPh sb="11" eb="12">
      <t>ブ</t>
    </rPh>
    <rPh sb="12" eb="13">
      <t>ソデ</t>
    </rPh>
    <rPh sb="30" eb="32">
      <t>ユメハン</t>
    </rPh>
    <rPh sb="32" eb="34">
      <t>ザイコ</t>
    </rPh>
    <phoneticPr fontId="2"/>
  </si>
  <si>
    <t>＜AR両起毛当付き　８分袖インナー　No.1060-208　K-PORT在庫＞</t>
    <rPh sb="36" eb="38">
      <t>ザイコ</t>
    </rPh>
    <phoneticPr fontId="2"/>
  </si>
  <si>
    <t>＜AR両起毛当付き　スラ下　No.1060-218　夢販在庫＞</t>
    <rPh sb="3" eb="4">
      <t>リョウ</t>
    </rPh>
    <rPh sb="4" eb="6">
      <t>キモウ</t>
    </rPh>
    <rPh sb="6" eb="7">
      <t>トウ</t>
    </rPh>
    <rPh sb="7" eb="8">
      <t>ツ</t>
    </rPh>
    <rPh sb="12" eb="13">
      <t>シタ</t>
    </rPh>
    <rPh sb="26" eb="28">
      <t>ユメハン</t>
    </rPh>
    <rPh sb="28" eb="30">
      <t>ザイコ</t>
    </rPh>
    <phoneticPr fontId="2"/>
  </si>
  <si>
    <t>＜AR両起毛当付き　スラ下　No.1060-218　K-PORT在庫＞</t>
    <rPh sb="32" eb="34">
      <t>ザイコ</t>
    </rPh>
    <phoneticPr fontId="2"/>
  </si>
  <si>
    <t>ローズ</t>
    <phoneticPr fontId="7"/>
  </si>
  <si>
    <t>グレージュ</t>
    <phoneticPr fontId="7"/>
  </si>
  <si>
    <t>ローズ</t>
    <phoneticPr fontId="7"/>
  </si>
  <si>
    <t>グレージュ</t>
    <phoneticPr fontId="7"/>
  </si>
  <si>
    <t>JOD特別版1108（表4）</t>
    <rPh sb="3" eb="5">
      <t>トクベツ</t>
    </rPh>
    <rPh sb="5" eb="6">
      <t>バン</t>
    </rPh>
    <rPh sb="11" eb="12">
      <t>ヒョウ</t>
    </rPh>
    <phoneticPr fontId="7"/>
  </si>
  <si>
    <t>11/8～</t>
    <phoneticPr fontId="7"/>
  </si>
  <si>
    <t>12/10～</t>
    <phoneticPr fontId="7"/>
  </si>
  <si>
    <t>夢販</t>
    <rPh sb="0" eb="2">
      <t>ユメハン</t>
    </rPh>
    <phoneticPr fontId="7"/>
  </si>
  <si>
    <t>JOD特別版1108①</t>
    <rPh sb="3" eb="5">
      <t>トクベツ</t>
    </rPh>
    <rPh sb="5" eb="6">
      <t>バン</t>
    </rPh>
    <phoneticPr fontId="7"/>
  </si>
  <si>
    <t>夢販</t>
    <rPh sb="0" eb="2">
      <t>ユメハン</t>
    </rPh>
    <phoneticPr fontId="7"/>
  </si>
  <si>
    <t>追加</t>
    <rPh sb="0" eb="2">
      <t>ツイカ</t>
    </rPh>
    <phoneticPr fontId="7"/>
  </si>
  <si>
    <t>JOD特別版1108②</t>
    <rPh sb="3" eb="5">
      <t>トクベツ</t>
    </rPh>
    <rPh sb="5" eb="6">
      <t>バン</t>
    </rPh>
    <phoneticPr fontId="7"/>
  </si>
  <si>
    <t>JOD特別版1108③</t>
    <rPh sb="3" eb="5">
      <t>トクベツ</t>
    </rPh>
    <rPh sb="5" eb="6">
      <t>バン</t>
    </rPh>
    <phoneticPr fontId="7"/>
  </si>
  <si>
    <t>JOD特別版1108④</t>
    <rPh sb="3" eb="5">
      <t>トクベツ</t>
    </rPh>
    <rPh sb="5" eb="6">
      <t>バン</t>
    </rPh>
    <phoneticPr fontId="7"/>
  </si>
  <si>
    <t>12/14～</t>
    <phoneticPr fontId="7"/>
  </si>
  <si>
    <t>JOD特別版1108⑤</t>
    <rPh sb="3" eb="5">
      <t>トクベツ</t>
    </rPh>
    <rPh sb="5" eb="6">
      <t>バン</t>
    </rPh>
    <phoneticPr fontId="7"/>
  </si>
  <si>
    <t>JOD特別版1108⑥</t>
    <rPh sb="3" eb="5">
      <t>トクベツ</t>
    </rPh>
    <rPh sb="5" eb="6">
      <t>バン</t>
    </rPh>
    <phoneticPr fontId="7"/>
  </si>
  <si>
    <t>JOD特別版1108⑦</t>
    <rPh sb="3" eb="5">
      <t>トクベツ</t>
    </rPh>
    <rPh sb="5" eb="6">
      <t>バン</t>
    </rPh>
    <phoneticPr fontId="7"/>
  </si>
  <si>
    <t>JOD特別版1108⑧</t>
    <rPh sb="3" eb="5">
      <t>トクベツ</t>
    </rPh>
    <rPh sb="5" eb="6">
      <t>バン</t>
    </rPh>
    <phoneticPr fontId="7"/>
  </si>
  <si>
    <t>JOD特別版1108⑨</t>
    <rPh sb="3" eb="5">
      <t>トクベツ</t>
    </rPh>
    <rPh sb="5" eb="6">
      <t>バン</t>
    </rPh>
    <phoneticPr fontId="7"/>
  </si>
  <si>
    <t>JOD特別版1108⑤残</t>
    <rPh sb="3" eb="5">
      <t>トクベツ</t>
    </rPh>
    <rPh sb="5" eb="6">
      <t>バン</t>
    </rPh>
    <rPh sb="11" eb="12">
      <t>ザン</t>
    </rPh>
    <phoneticPr fontId="7"/>
  </si>
  <si>
    <t>追加</t>
    <rPh sb="0" eb="2">
      <t>ツイカ</t>
    </rPh>
    <phoneticPr fontId="7"/>
  </si>
  <si>
    <t>JOD特別版1108⑩</t>
    <rPh sb="3" eb="5">
      <t>トクベツ</t>
    </rPh>
    <rPh sb="5" eb="6">
      <t>バン</t>
    </rPh>
    <phoneticPr fontId="7"/>
  </si>
  <si>
    <t>JOD特別版1108⑪</t>
    <rPh sb="3" eb="5">
      <t>トクベツ</t>
    </rPh>
    <rPh sb="5" eb="6">
      <t>バン</t>
    </rPh>
    <phoneticPr fontId="7"/>
  </si>
  <si>
    <t>JOD特別版1108⑫</t>
    <rPh sb="3" eb="5">
      <t>トクベツ</t>
    </rPh>
    <rPh sb="5" eb="6">
      <t>バン</t>
    </rPh>
    <phoneticPr fontId="7"/>
  </si>
  <si>
    <t>JOD特別版1108⑬</t>
    <rPh sb="3" eb="5">
      <t>トクベツ</t>
    </rPh>
    <rPh sb="5" eb="6">
      <t>バン</t>
    </rPh>
    <phoneticPr fontId="7"/>
  </si>
  <si>
    <t>JOD特別版1108⑭</t>
    <rPh sb="3" eb="5">
      <t>トクベツ</t>
    </rPh>
    <rPh sb="5" eb="6">
      <t>バン</t>
    </rPh>
    <phoneticPr fontId="7"/>
  </si>
  <si>
    <t>JOD特別版1108⑮</t>
    <rPh sb="3" eb="5">
      <t>トクベツ</t>
    </rPh>
    <rPh sb="5" eb="6">
      <t>バン</t>
    </rPh>
    <phoneticPr fontId="7"/>
  </si>
  <si>
    <t>JOD特別版1108⑯</t>
    <rPh sb="3" eb="5">
      <t>トクベツ</t>
    </rPh>
    <rPh sb="5" eb="6">
      <t>バン</t>
    </rPh>
    <phoneticPr fontId="7"/>
  </si>
  <si>
    <t>JOD特別版1108⑰</t>
    <rPh sb="3" eb="5">
      <t>トクベツ</t>
    </rPh>
    <rPh sb="5" eb="6">
      <t>バン</t>
    </rPh>
    <phoneticPr fontId="7"/>
  </si>
  <si>
    <t>JOD返品</t>
    <rPh sb="3" eb="5">
      <t>ヘンピン</t>
    </rPh>
    <phoneticPr fontId="7"/>
  </si>
  <si>
    <t>ＪＯＤ返品</t>
    <rPh sb="3" eb="5">
      <t>ヘンピン</t>
    </rPh>
    <phoneticPr fontId="7"/>
  </si>
  <si>
    <t>JOD特別版1108⑱</t>
    <rPh sb="3" eb="5">
      <t>トクベツ</t>
    </rPh>
    <rPh sb="5" eb="6">
      <t>バン</t>
    </rPh>
    <phoneticPr fontId="7"/>
  </si>
  <si>
    <t>JOD特別版1108⑲</t>
    <rPh sb="3" eb="5">
      <t>トクベツ</t>
    </rPh>
    <rPh sb="5" eb="6">
      <t>バン</t>
    </rPh>
    <phoneticPr fontId="7"/>
  </si>
  <si>
    <t>JOD特別版1108⑳</t>
    <rPh sb="3" eb="5">
      <t>トクベツ</t>
    </rPh>
    <rPh sb="5" eb="6">
      <t>バン</t>
    </rPh>
    <phoneticPr fontId="7"/>
  </si>
  <si>
    <t>JOD特別版1210中止</t>
    <rPh sb="3" eb="5">
      <t>トクベツ</t>
    </rPh>
    <rPh sb="5" eb="6">
      <t>バン</t>
    </rPh>
    <rPh sb="10" eb="12">
      <t>チュウシ</t>
    </rPh>
    <phoneticPr fontId="7"/>
  </si>
  <si>
    <t>JOD特別版1214中止</t>
    <rPh sb="3" eb="5">
      <t>トクベツ</t>
    </rPh>
    <rPh sb="5" eb="6">
      <t>バン</t>
    </rPh>
    <rPh sb="10" eb="12">
      <t>チュウシ</t>
    </rPh>
    <phoneticPr fontId="7"/>
  </si>
  <si>
    <t>JOD特別号9598中止</t>
    <rPh sb="3" eb="5">
      <t>トクベツ</t>
    </rPh>
    <rPh sb="5" eb="6">
      <t>ゴウ</t>
    </rPh>
    <rPh sb="10" eb="12">
      <t>チュウシ</t>
    </rPh>
    <phoneticPr fontId="7"/>
  </si>
  <si>
    <t>JOD特別版1108㉑</t>
    <rPh sb="3" eb="5">
      <t>トクベツ</t>
    </rPh>
    <rPh sb="5" eb="6">
      <t>バン</t>
    </rPh>
    <phoneticPr fontId="7"/>
  </si>
  <si>
    <t>JOD特別版1108㉒</t>
    <rPh sb="3" eb="5">
      <t>トクベツ</t>
    </rPh>
    <rPh sb="5" eb="6">
      <t>バン</t>
    </rPh>
    <phoneticPr fontId="7"/>
  </si>
  <si>
    <t>追加</t>
    <rPh sb="0" eb="2">
      <t>ツイカ</t>
    </rPh>
    <phoneticPr fontId="7"/>
  </si>
  <si>
    <t>JOD特別版1108㉓</t>
    <rPh sb="3" eb="5">
      <t>トクベツ</t>
    </rPh>
    <rPh sb="5" eb="6">
      <t>バン</t>
    </rPh>
    <phoneticPr fontId="7"/>
  </si>
  <si>
    <t>JOD返品</t>
    <rPh sb="3" eb="5">
      <t>ヘンピン</t>
    </rPh>
    <phoneticPr fontId="7"/>
  </si>
  <si>
    <t>JOD特別版1108㉔</t>
    <rPh sb="3" eb="5">
      <t>トクベツ</t>
    </rPh>
    <rPh sb="5" eb="6">
      <t>バン</t>
    </rPh>
    <phoneticPr fontId="7"/>
  </si>
  <si>
    <t>JOD特別版1108㉕</t>
    <rPh sb="3" eb="5">
      <t>トクベツ</t>
    </rPh>
    <rPh sb="5" eb="6">
      <t>バン</t>
    </rPh>
    <phoneticPr fontId="7"/>
  </si>
  <si>
    <t>JOD特別版1108㉖</t>
    <rPh sb="3" eb="5">
      <t>トクベツ</t>
    </rPh>
    <rPh sb="5" eb="6">
      <t>バン</t>
    </rPh>
    <phoneticPr fontId="7"/>
  </si>
  <si>
    <t>JOD特別版1108㉗</t>
    <rPh sb="3" eb="5">
      <t>トクベツ</t>
    </rPh>
    <rPh sb="5" eb="6">
      <t>バン</t>
    </rPh>
    <phoneticPr fontId="7"/>
  </si>
  <si>
    <t>JOD返品</t>
    <rPh sb="3" eb="5">
      <t>ヘンピン</t>
    </rPh>
    <phoneticPr fontId="7"/>
  </si>
  <si>
    <t>JOD特別版1108㉘</t>
    <rPh sb="3" eb="5">
      <t>トクベツ</t>
    </rPh>
    <rPh sb="5" eb="6">
      <t>バン</t>
    </rPh>
    <phoneticPr fontId="7"/>
  </si>
  <si>
    <t>JOD特別版1108㉙</t>
    <rPh sb="3" eb="5">
      <t>トクベツ</t>
    </rPh>
    <rPh sb="5" eb="6">
      <t>バン</t>
    </rPh>
    <phoneticPr fontId="7"/>
  </si>
  <si>
    <t>JOD特別版1108㉚</t>
    <rPh sb="3" eb="5">
      <t>トクベツ</t>
    </rPh>
    <rPh sb="5" eb="6">
      <t>バン</t>
    </rPh>
    <phoneticPr fontId="7"/>
  </si>
  <si>
    <t>JOD特別版1108㉛</t>
    <rPh sb="3" eb="5">
      <t>トクベツ</t>
    </rPh>
    <rPh sb="5" eb="6">
      <t>バン</t>
    </rPh>
    <phoneticPr fontId="7"/>
  </si>
  <si>
    <t>JOD特別版1108㉜</t>
    <rPh sb="3" eb="5">
      <t>トクベツ</t>
    </rPh>
    <rPh sb="5" eb="6">
      <t>バン</t>
    </rPh>
    <phoneticPr fontId="7"/>
  </si>
  <si>
    <t>11/8～</t>
    <phoneticPr fontId="7"/>
  </si>
  <si>
    <t>12/10～</t>
    <phoneticPr fontId="7"/>
  </si>
  <si>
    <t>12/14～</t>
    <phoneticPr fontId="7"/>
  </si>
  <si>
    <t>JOD特別版1108㉝</t>
    <rPh sb="3" eb="5">
      <t>トクベツ</t>
    </rPh>
    <rPh sb="5" eb="6">
      <t>バン</t>
    </rPh>
    <phoneticPr fontId="7"/>
  </si>
  <si>
    <t>JOD特別版1108㉞</t>
    <rPh sb="3" eb="5">
      <t>トクベツ</t>
    </rPh>
    <rPh sb="5" eb="6">
      <t>バン</t>
    </rPh>
    <phoneticPr fontId="7"/>
  </si>
  <si>
    <t>JOD特別版1108㉟</t>
    <rPh sb="3" eb="5">
      <t>トクベツ</t>
    </rPh>
    <rPh sb="5" eb="6">
      <t>バン</t>
    </rPh>
    <phoneticPr fontId="7"/>
  </si>
  <si>
    <t>JOD特別版1108㊱</t>
    <rPh sb="3" eb="5">
      <t>トクベツ</t>
    </rPh>
    <rPh sb="5" eb="6">
      <t>バン</t>
    </rPh>
    <phoneticPr fontId="7"/>
  </si>
  <si>
    <t>JOD特別版1108㊲</t>
    <rPh sb="3" eb="5">
      <t>トクベツ</t>
    </rPh>
    <rPh sb="5" eb="6">
      <t>バン</t>
    </rPh>
    <phoneticPr fontId="7"/>
  </si>
  <si>
    <t>KPORT移動</t>
    <rPh sb="5" eb="7">
      <t>イドウ</t>
    </rPh>
    <phoneticPr fontId="7"/>
  </si>
  <si>
    <t>夢販移動</t>
    <rPh sb="0" eb="2">
      <t>ユメハン</t>
    </rPh>
    <rPh sb="2" eb="4">
      <t>イドウ</t>
    </rPh>
    <phoneticPr fontId="2"/>
  </si>
  <si>
    <t>JOD特別版1108㊳</t>
    <rPh sb="3" eb="5">
      <t>トクベツ</t>
    </rPh>
    <rPh sb="5" eb="6">
      <t>バン</t>
    </rPh>
    <phoneticPr fontId="7"/>
  </si>
  <si>
    <t>夢販</t>
    <rPh sb="0" eb="2">
      <t>ユメハン</t>
    </rPh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</si>
  <si>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</si>
  <si>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</si>
  <si>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追加</t>
    <rPh sb="0" eb="2">
      <t>ツイカ</t>
    </rPh>
    <phoneticPr fontId="7"/>
  </si>
  <si>
    <t>はぴねすくらぶsample</t>
    <phoneticPr fontId="7"/>
  </si>
  <si>
    <t>なごみサンプル</t>
    <phoneticPr fontId="7"/>
  </si>
  <si>
    <t>JODアクセス7064</t>
    <phoneticPr fontId="7"/>
  </si>
  <si>
    <t>10/2～</t>
    <phoneticPr fontId="7"/>
  </si>
  <si>
    <t>　</t>
    <phoneticPr fontId="7"/>
  </si>
  <si>
    <t>JOD特別版0928</t>
    <rPh sb="3" eb="5">
      <t>トクベツ</t>
    </rPh>
    <rPh sb="5" eb="6">
      <t>バン</t>
    </rPh>
    <phoneticPr fontId="7"/>
  </si>
  <si>
    <t>9/27～</t>
    <phoneticPr fontId="7"/>
  </si>
  <si>
    <t>JOD特別版0928</t>
    <rPh sb="3" eb="6">
      <t>トクベツバン</t>
    </rPh>
    <phoneticPr fontId="7"/>
  </si>
  <si>
    <t>追加２　３-３</t>
    <rPh sb="0" eb="2">
      <t>ツイカ</t>
    </rPh>
    <phoneticPr fontId="2"/>
  </si>
  <si>
    <t>追加２　３-２</t>
    <rPh sb="0" eb="2">
      <t>ツイカ</t>
    </rPh>
    <phoneticPr fontId="2"/>
  </si>
  <si>
    <t>追加２　３-１</t>
    <rPh sb="0" eb="2">
      <t>ツイカ</t>
    </rPh>
    <phoneticPr fontId="2"/>
  </si>
  <si>
    <t>追加２ ３-３</t>
    <rPh sb="0" eb="2">
      <t>ツイカ</t>
    </rPh>
    <phoneticPr fontId="2"/>
  </si>
  <si>
    <t>11月</t>
    <rPh sb="2" eb="3">
      <t>ガツ</t>
    </rPh>
    <phoneticPr fontId="7"/>
  </si>
  <si>
    <t>宇治田原（なごみ）１１月号</t>
    <rPh sb="0" eb="4">
      <t>ウジタワラ</t>
    </rPh>
    <rPh sb="11" eb="13">
      <t>ガツゴウ</t>
    </rPh>
    <phoneticPr fontId="7"/>
  </si>
  <si>
    <t>宇治田原（なごみ）11月号</t>
    <rPh sb="0" eb="4">
      <t>ウジタワラ</t>
    </rPh>
    <rPh sb="11" eb="13">
      <t>ガツゴウ</t>
    </rPh>
    <phoneticPr fontId="7"/>
  </si>
  <si>
    <t>なごみ色校検品用サンプル</t>
    <rPh sb="3" eb="5">
      <t>イロコウ</t>
    </rPh>
    <rPh sb="5" eb="8">
      <t>ケンピンヨウ</t>
    </rPh>
    <phoneticPr fontId="7"/>
  </si>
  <si>
    <t>JOD特別版1006</t>
    <rPh sb="3" eb="6">
      <t>トクベツバン</t>
    </rPh>
    <phoneticPr fontId="7"/>
  </si>
  <si>
    <t>10/5～</t>
    <phoneticPr fontId="7"/>
  </si>
  <si>
    <t>JOD特別版1006</t>
    <rPh sb="3" eb="5">
      <t>トクベツ</t>
    </rPh>
    <rPh sb="5" eb="6">
      <t>バン</t>
    </rPh>
    <phoneticPr fontId="7"/>
  </si>
  <si>
    <t>ネット</t>
    <phoneticPr fontId="7"/>
  </si>
  <si>
    <t>JOD①</t>
    <phoneticPr fontId="7"/>
  </si>
  <si>
    <t>JOD①</t>
    <phoneticPr fontId="7"/>
  </si>
  <si>
    <t>2019/10/1伝数</t>
    <rPh sb="9" eb="10">
      <t>デン</t>
    </rPh>
    <rPh sb="10" eb="11">
      <t>スウ</t>
    </rPh>
    <phoneticPr fontId="7"/>
  </si>
  <si>
    <t>JOD②</t>
    <phoneticPr fontId="7"/>
  </si>
  <si>
    <t>JOD②</t>
    <phoneticPr fontId="7"/>
  </si>
  <si>
    <t>JOD③</t>
    <phoneticPr fontId="7"/>
  </si>
  <si>
    <t>JOD③</t>
    <phoneticPr fontId="7"/>
  </si>
  <si>
    <t>JOD④</t>
    <phoneticPr fontId="7"/>
  </si>
  <si>
    <t>JOD⑤</t>
    <phoneticPr fontId="7"/>
  </si>
  <si>
    <t>9/27～</t>
    <phoneticPr fontId="7"/>
  </si>
  <si>
    <t>JODアクセス7064</t>
    <phoneticPr fontId="7"/>
  </si>
  <si>
    <t>10/2～</t>
    <phoneticPr fontId="7"/>
  </si>
  <si>
    <t>JOD⑥</t>
    <phoneticPr fontId="7"/>
  </si>
  <si>
    <t>JOD⑥</t>
    <phoneticPr fontId="7"/>
  </si>
  <si>
    <t>JODアクセス7065</t>
    <phoneticPr fontId="7"/>
  </si>
  <si>
    <t>11/14～</t>
    <phoneticPr fontId="7"/>
  </si>
  <si>
    <t>JOD⑦</t>
    <phoneticPr fontId="7"/>
  </si>
  <si>
    <t>JOD⑧</t>
    <phoneticPr fontId="7"/>
  </si>
  <si>
    <t>JOD⑧</t>
    <phoneticPr fontId="7"/>
  </si>
  <si>
    <t>JOD⑨</t>
    <phoneticPr fontId="7"/>
  </si>
  <si>
    <t>はぴねす大藪さんサンプル</t>
    <rPh sb="4" eb="6">
      <t>オオヤブ</t>
    </rPh>
    <phoneticPr fontId="7"/>
  </si>
  <si>
    <t>JOD⑩</t>
    <phoneticPr fontId="7"/>
  </si>
  <si>
    <t>JOD特別号9611</t>
    <rPh sb="3" eb="5">
      <t>トクベツ</t>
    </rPh>
    <rPh sb="5" eb="6">
      <t>ゴウ</t>
    </rPh>
    <phoneticPr fontId="7"/>
  </si>
  <si>
    <t>JOD⑪</t>
    <phoneticPr fontId="7"/>
  </si>
  <si>
    <t>JOD⑫</t>
    <phoneticPr fontId="7"/>
  </si>
  <si>
    <t>JOD⑬</t>
    <phoneticPr fontId="7"/>
  </si>
  <si>
    <t>JOD⑬</t>
    <phoneticPr fontId="7"/>
  </si>
  <si>
    <t>JOD⑭</t>
    <phoneticPr fontId="7"/>
  </si>
  <si>
    <t>JOD⑭</t>
    <phoneticPr fontId="7"/>
  </si>
  <si>
    <t>JOD⑮</t>
    <phoneticPr fontId="7"/>
  </si>
  <si>
    <t>JOD⑮</t>
    <phoneticPr fontId="7"/>
  </si>
  <si>
    <t>JOD⑯</t>
    <phoneticPr fontId="7"/>
  </si>
  <si>
    <t>JOD⑯</t>
    <phoneticPr fontId="7"/>
  </si>
  <si>
    <t>JOD⑰</t>
    <phoneticPr fontId="7"/>
  </si>
  <si>
    <t>JOD⑱</t>
    <phoneticPr fontId="7"/>
  </si>
  <si>
    <t>JOD⑱</t>
    <phoneticPr fontId="7"/>
  </si>
  <si>
    <t>JOD⑲</t>
    <phoneticPr fontId="7"/>
  </si>
  <si>
    <t>JOD⑲</t>
    <phoneticPr fontId="7"/>
  </si>
  <si>
    <t>夢販</t>
    <rPh sb="0" eb="2">
      <t>ユメハン</t>
    </rPh>
    <phoneticPr fontId="7"/>
  </si>
  <si>
    <t>追加</t>
    <rPh sb="0" eb="2">
      <t>ツイカ</t>
    </rPh>
    <phoneticPr fontId="7"/>
  </si>
  <si>
    <t>JOD⑳</t>
    <phoneticPr fontId="7"/>
  </si>
  <si>
    <t>JOD⑳</t>
    <phoneticPr fontId="7"/>
  </si>
  <si>
    <t>ネット</t>
    <phoneticPr fontId="7"/>
  </si>
  <si>
    <t>ネット</t>
    <phoneticPr fontId="7"/>
  </si>
  <si>
    <t>JOD㉑</t>
    <phoneticPr fontId="7"/>
  </si>
  <si>
    <t>JOD返品</t>
    <rPh sb="3" eb="5">
      <t>ヘンピン</t>
    </rPh>
    <phoneticPr fontId="7"/>
  </si>
  <si>
    <t>JOD㉒</t>
    <phoneticPr fontId="7"/>
  </si>
  <si>
    <t>JOD㉑</t>
    <phoneticPr fontId="7"/>
  </si>
  <si>
    <t>JODメルシー1026</t>
    <phoneticPr fontId="7"/>
  </si>
  <si>
    <t>10/26～</t>
    <phoneticPr fontId="7"/>
  </si>
  <si>
    <t>JODメルシー1026</t>
    <phoneticPr fontId="7"/>
  </si>
  <si>
    <t>10/26～</t>
    <phoneticPr fontId="7"/>
  </si>
  <si>
    <t>JOD㉓</t>
    <phoneticPr fontId="7"/>
  </si>
  <si>
    <t>JOD㉒</t>
    <phoneticPr fontId="7"/>
  </si>
  <si>
    <t>JOD㉔</t>
    <phoneticPr fontId="7"/>
  </si>
  <si>
    <t>JOD㉓</t>
    <phoneticPr fontId="7"/>
  </si>
  <si>
    <t>JOD㉕</t>
    <phoneticPr fontId="7"/>
  </si>
  <si>
    <t>JOD㉔</t>
    <phoneticPr fontId="7"/>
  </si>
  <si>
    <t>JOD㉖</t>
    <phoneticPr fontId="7"/>
  </si>
  <si>
    <t>JOD㉕</t>
    <phoneticPr fontId="7"/>
  </si>
  <si>
    <t>2019/11/6伝数</t>
    <rPh sb="9" eb="10">
      <t>デン</t>
    </rPh>
    <rPh sb="10" eb="11">
      <t>スウ</t>
    </rPh>
    <phoneticPr fontId="7"/>
  </si>
  <si>
    <t>JOD㉗</t>
    <phoneticPr fontId="7"/>
  </si>
  <si>
    <t>JOD㉘</t>
    <phoneticPr fontId="7"/>
  </si>
  <si>
    <t>JOD㉖</t>
    <phoneticPr fontId="7"/>
  </si>
  <si>
    <t>JOD㉗</t>
    <phoneticPr fontId="7"/>
  </si>
  <si>
    <t>JOD㉙</t>
    <phoneticPr fontId="7"/>
  </si>
  <si>
    <t>JOD㉘</t>
    <phoneticPr fontId="7"/>
  </si>
  <si>
    <t>宇治田原（なごみ）１１月号②</t>
    <rPh sb="0" eb="4">
      <t>ウジタワラ</t>
    </rPh>
    <rPh sb="11" eb="13">
      <t>ガツゴウ</t>
    </rPh>
    <phoneticPr fontId="7"/>
  </si>
  <si>
    <t>宇治田原（なごみ）11月号②</t>
    <rPh sb="0" eb="4">
      <t>ウジタワラ</t>
    </rPh>
    <rPh sb="11" eb="13">
      <t>ガツゴウ</t>
    </rPh>
    <phoneticPr fontId="7"/>
  </si>
  <si>
    <t>JOD㉚</t>
    <phoneticPr fontId="7"/>
  </si>
  <si>
    <t>JOD㉙</t>
    <phoneticPr fontId="7"/>
  </si>
  <si>
    <t>JOD㉛</t>
    <phoneticPr fontId="7"/>
  </si>
  <si>
    <t>JOD㉚</t>
    <phoneticPr fontId="7"/>
  </si>
  <si>
    <t>JOD㉛(西濃）</t>
    <rPh sb="5" eb="7">
      <t>セイノウ</t>
    </rPh>
    <phoneticPr fontId="7"/>
  </si>
  <si>
    <t>JOD㉚（西濃）</t>
    <rPh sb="5" eb="7">
      <t>セイノウ</t>
    </rPh>
    <phoneticPr fontId="7"/>
  </si>
  <si>
    <t>JOD㉜</t>
    <phoneticPr fontId="7"/>
  </si>
  <si>
    <t>JOD㉛</t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</si>
  <si>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</si>
  <si>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</si>
  <si>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ネット</t>
    <phoneticPr fontId="7"/>
  </si>
  <si>
    <t>ネット</t>
    <phoneticPr fontId="7"/>
  </si>
  <si>
    <t>はぴねすくらぶsample返却</t>
    <rPh sb="13" eb="15">
      <t>ヘンキャク</t>
    </rPh>
    <phoneticPr fontId="7"/>
  </si>
  <si>
    <t>はぴねす大藪さんsample返却</t>
    <rPh sb="4" eb="6">
      <t>オオヤブ</t>
    </rPh>
    <rPh sb="14" eb="16">
      <t>ヘンキャク</t>
    </rPh>
    <phoneticPr fontId="7"/>
  </si>
  <si>
    <t>宇治田原（なごみ）１１月号③</t>
    <rPh sb="0" eb="4">
      <t>ウジタワラ</t>
    </rPh>
    <rPh sb="11" eb="13">
      <t>ガツゴウ</t>
    </rPh>
    <phoneticPr fontId="7"/>
  </si>
  <si>
    <t>宇治田原（なごみ）11月号③</t>
    <rPh sb="0" eb="4">
      <t>ウジタワラ</t>
    </rPh>
    <rPh sb="11" eb="13">
      <t>ガツゴウ</t>
    </rPh>
    <phoneticPr fontId="7"/>
  </si>
  <si>
    <t>JOD㉜</t>
    <phoneticPr fontId="7"/>
  </si>
  <si>
    <t>JODアクセス7066</t>
    <phoneticPr fontId="7"/>
  </si>
  <si>
    <t>1/15～</t>
    <phoneticPr fontId="7"/>
  </si>
  <si>
    <t>JOD㉝</t>
    <phoneticPr fontId="7"/>
  </si>
  <si>
    <t>JOD㉝</t>
    <phoneticPr fontId="7"/>
  </si>
  <si>
    <t>JOD㉞</t>
    <phoneticPr fontId="7"/>
  </si>
  <si>
    <t>JOD㉞</t>
    <phoneticPr fontId="7"/>
  </si>
  <si>
    <t>宇治田原（なごみ）１１月号④</t>
    <rPh sb="0" eb="4">
      <t>ウジタワラ</t>
    </rPh>
    <rPh sb="11" eb="13">
      <t>ガツゴウ</t>
    </rPh>
    <phoneticPr fontId="7"/>
  </si>
  <si>
    <t>宇治田原（なごみ）11月号④</t>
    <rPh sb="0" eb="4">
      <t>ウジタワラ</t>
    </rPh>
    <rPh sb="11" eb="13">
      <t>ガツゴウ</t>
    </rPh>
    <phoneticPr fontId="7"/>
  </si>
  <si>
    <t>JOD㉟</t>
    <phoneticPr fontId="7"/>
  </si>
  <si>
    <t>JOD㉟</t>
    <phoneticPr fontId="7"/>
  </si>
  <si>
    <t>宇治田原（なごみ）１１月号⑤</t>
    <rPh sb="0" eb="4">
      <t>ウジタワラ</t>
    </rPh>
    <rPh sb="11" eb="13">
      <t>ガツゴウ</t>
    </rPh>
    <phoneticPr fontId="7"/>
  </si>
  <si>
    <t>宇治田原（なごみ）11月号⑤</t>
    <rPh sb="0" eb="4">
      <t>ウジタワラ</t>
    </rPh>
    <rPh sb="11" eb="13">
      <t>ガツゴウ</t>
    </rPh>
    <phoneticPr fontId="7"/>
  </si>
  <si>
    <t>宇治田原（なごみ）１１月号⑥</t>
    <rPh sb="0" eb="4">
      <t>ウジタワラ</t>
    </rPh>
    <rPh sb="11" eb="13">
      <t>ガツゴウ</t>
    </rPh>
    <phoneticPr fontId="7"/>
  </si>
  <si>
    <t>宇治田原（なごみ）11月号⑥</t>
    <rPh sb="0" eb="4">
      <t>ウジタワラ</t>
    </rPh>
    <rPh sb="11" eb="13">
      <t>ガツゴウ</t>
    </rPh>
    <phoneticPr fontId="7"/>
  </si>
  <si>
    <t>JOD㊱　</t>
    <phoneticPr fontId="7"/>
  </si>
  <si>
    <t>JOD㊱</t>
    <phoneticPr fontId="7"/>
  </si>
  <si>
    <t>宇治田原（なごみ）１１月号⑦</t>
    <rPh sb="0" eb="4">
      <t>ウジタワラ</t>
    </rPh>
    <rPh sb="11" eb="13">
      <t>ガツゴウ</t>
    </rPh>
    <phoneticPr fontId="7"/>
  </si>
  <si>
    <t>宇治田原（なごみ）11月号⑦</t>
    <rPh sb="0" eb="4">
      <t>ウジタワラ</t>
    </rPh>
    <rPh sb="11" eb="13">
      <t>ガツゴウ</t>
    </rPh>
    <phoneticPr fontId="7"/>
  </si>
  <si>
    <t>JOD㊲</t>
    <phoneticPr fontId="7"/>
  </si>
  <si>
    <t>JOD㊲</t>
    <phoneticPr fontId="7"/>
  </si>
  <si>
    <t>宇治田原（なごみ）１１月号①</t>
    <rPh sb="0" eb="4">
      <t>ウジタワラ</t>
    </rPh>
    <rPh sb="11" eb="13">
      <t>ガツゴウ</t>
    </rPh>
    <phoneticPr fontId="7"/>
  </si>
  <si>
    <t>JOD㊳</t>
    <phoneticPr fontId="7"/>
  </si>
  <si>
    <t>JOD㊳</t>
    <phoneticPr fontId="7"/>
  </si>
  <si>
    <t>JOD特別版1225</t>
    <rPh sb="3" eb="5">
      <t>トクベツ</t>
    </rPh>
    <rPh sb="5" eb="6">
      <t>バン</t>
    </rPh>
    <phoneticPr fontId="7"/>
  </si>
  <si>
    <t>12/24～</t>
    <phoneticPr fontId="7"/>
  </si>
  <si>
    <t>ＪＯＤ特別版1225</t>
    <rPh sb="3" eb="6">
      <t>トクベツバン</t>
    </rPh>
    <phoneticPr fontId="7"/>
  </si>
  <si>
    <t>JOD㊴</t>
    <phoneticPr fontId="7"/>
  </si>
  <si>
    <t>JOD㊴</t>
    <phoneticPr fontId="7"/>
  </si>
  <si>
    <t>JOD㊵</t>
    <phoneticPr fontId="7"/>
  </si>
  <si>
    <t>JOD㊵</t>
    <phoneticPr fontId="7"/>
  </si>
  <si>
    <t>JOD㊶</t>
    <phoneticPr fontId="7"/>
  </si>
  <si>
    <t>宇治田原（なごみ）１１月号⑧</t>
    <rPh sb="0" eb="4">
      <t>ウジタワラ</t>
    </rPh>
    <rPh sb="11" eb="13">
      <t>ガツゴウ</t>
    </rPh>
    <phoneticPr fontId="7"/>
  </si>
  <si>
    <t>宇治田原（なごみ）11月号⑧</t>
    <rPh sb="0" eb="4">
      <t>ウジタワラ</t>
    </rPh>
    <rPh sb="11" eb="13">
      <t>ガツゴウ</t>
    </rPh>
    <phoneticPr fontId="7"/>
  </si>
  <si>
    <t>JOD㊶</t>
    <phoneticPr fontId="7"/>
  </si>
  <si>
    <t>JOD㊷</t>
    <phoneticPr fontId="7"/>
  </si>
  <si>
    <t>JODメルシー0128</t>
    <phoneticPr fontId="7"/>
  </si>
  <si>
    <t>1/28～</t>
    <phoneticPr fontId="7"/>
  </si>
  <si>
    <t>2019/12/2伝数</t>
    <rPh sb="9" eb="10">
      <t>デン</t>
    </rPh>
    <rPh sb="10" eb="11">
      <t>スウ</t>
    </rPh>
    <phoneticPr fontId="7"/>
  </si>
  <si>
    <t>宇治田原（なごみ）２月号</t>
    <rPh sb="0" eb="4">
      <t>ウジタワラ</t>
    </rPh>
    <rPh sb="10" eb="12">
      <t>ガツゴウ</t>
    </rPh>
    <phoneticPr fontId="7"/>
  </si>
  <si>
    <t>2/1～3/20</t>
    <phoneticPr fontId="7"/>
  </si>
  <si>
    <t>宇治田原（なごみ）２月号①</t>
    <rPh sb="0" eb="4">
      <t>ウジタワラ</t>
    </rPh>
    <rPh sb="10" eb="12">
      <t>ガツゴウ</t>
    </rPh>
    <phoneticPr fontId="7"/>
  </si>
  <si>
    <t>JOD㊷</t>
    <phoneticPr fontId="7"/>
  </si>
  <si>
    <t>JOD㊸</t>
    <phoneticPr fontId="7"/>
  </si>
  <si>
    <t>JOD㊸</t>
    <phoneticPr fontId="7"/>
  </si>
  <si>
    <t>JOD㊹</t>
    <phoneticPr fontId="7"/>
  </si>
  <si>
    <t>JOD</t>
    <phoneticPr fontId="7"/>
  </si>
  <si>
    <t>JOD㊹</t>
    <phoneticPr fontId="7"/>
  </si>
  <si>
    <t>JOD㊺</t>
    <phoneticPr fontId="7"/>
  </si>
  <si>
    <t>JOD㊺</t>
    <phoneticPr fontId="7"/>
  </si>
  <si>
    <t>JOD㊻</t>
    <phoneticPr fontId="7"/>
  </si>
  <si>
    <t>JOD㊻</t>
    <phoneticPr fontId="7"/>
  </si>
  <si>
    <t>JOD㊼</t>
    <phoneticPr fontId="7"/>
  </si>
  <si>
    <t>JOD㊼</t>
    <phoneticPr fontId="7"/>
  </si>
  <si>
    <t>JOD㊽</t>
    <phoneticPr fontId="7"/>
  </si>
  <si>
    <t>JOD㊽</t>
    <phoneticPr fontId="7"/>
  </si>
  <si>
    <t>JOD㊾</t>
    <phoneticPr fontId="7"/>
  </si>
  <si>
    <t>JOD返品</t>
    <rPh sb="3" eb="5">
      <t>ヘンピン</t>
    </rPh>
    <phoneticPr fontId="7"/>
  </si>
  <si>
    <t>JOD50</t>
    <phoneticPr fontId="7"/>
  </si>
  <si>
    <t>JOD㊾</t>
    <phoneticPr fontId="7"/>
  </si>
  <si>
    <t>JOD51</t>
    <phoneticPr fontId="7"/>
  </si>
  <si>
    <t>JOD50</t>
    <phoneticPr fontId="7"/>
  </si>
  <si>
    <t>JOD52</t>
  </si>
  <si>
    <t>宇治田原（なごみ）１１月号⑨</t>
    <rPh sb="0" eb="4">
      <t>ウジタワラ</t>
    </rPh>
    <rPh sb="11" eb="13">
      <t>ガツゴウ</t>
    </rPh>
    <phoneticPr fontId="7"/>
  </si>
  <si>
    <t>宇治田原（なごみ）11月号⑨</t>
    <rPh sb="0" eb="4">
      <t>ウジタワラ</t>
    </rPh>
    <rPh sb="11" eb="13">
      <t>ガツゴウ</t>
    </rPh>
    <phoneticPr fontId="7"/>
  </si>
  <si>
    <t>JOD53</t>
    <phoneticPr fontId="7"/>
  </si>
  <si>
    <t>JOD51</t>
    <phoneticPr fontId="7"/>
  </si>
  <si>
    <t>JOD54</t>
  </si>
  <si>
    <t>JOD55</t>
  </si>
  <si>
    <t>JOD53</t>
  </si>
  <si>
    <t>追加</t>
    <rPh sb="0" eb="2">
      <t>ツイカ</t>
    </rPh>
    <phoneticPr fontId="7"/>
  </si>
  <si>
    <t>夢販</t>
    <rPh sb="0" eb="2">
      <t>ユメハン</t>
    </rPh>
    <phoneticPr fontId="7"/>
  </si>
  <si>
    <t>JOD54</t>
    <phoneticPr fontId="7"/>
  </si>
  <si>
    <t>JOD56</t>
    <phoneticPr fontId="7"/>
  </si>
  <si>
    <t>JOD55</t>
    <phoneticPr fontId="7"/>
  </si>
  <si>
    <t>JOD57</t>
    <phoneticPr fontId="7"/>
  </si>
  <si>
    <t>JOD56</t>
  </si>
  <si>
    <t>JOD57</t>
  </si>
  <si>
    <t>JOD58</t>
    <phoneticPr fontId="7"/>
  </si>
  <si>
    <t>JOD58</t>
  </si>
  <si>
    <t>JOD59</t>
  </si>
  <si>
    <t>JOD60</t>
  </si>
  <si>
    <t>JOD61</t>
  </si>
  <si>
    <t>JOD62</t>
  </si>
  <si>
    <t>JOD63</t>
  </si>
  <si>
    <t>JOD64</t>
  </si>
  <si>
    <t>JOD65</t>
  </si>
  <si>
    <t>ネット</t>
    <phoneticPr fontId="7"/>
  </si>
  <si>
    <t>JOD66</t>
  </si>
  <si>
    <t>JOD67</t>
  </si>
  <si>
    <t>JOD68</t>
  </si>
  <si>
    <t>JOD69</t>
  </si>
  <si>
    <t>JOD70</t>
  </si>
  <si>
    <t>JOD71</t>
  </si>
  <si>
    <t>JOD72</t>
  </si>
  <si>
    <t>JOD73</t>
  </si>
  <si>
    <t>JOD72</t>
    <phoneticPr fontId="7"/>
  </si>
  <si>
    <t>JOD74</t>
    <phoneticPr fontId="7"/>
  </si>
  <si>
    <t>JOD75</t>
  </si>
  <si>
    <t>JOD74</t>
  </si>
  <si>
    <t>JOD76</t>
  </si>
  <si>
    <t>JOD77</t>
  </si>
  <si>
    <t>JOD76</t>
    <phoneticPr fontId="7"/>
  </si>
  <si>
    <t>JOD78</t>
    <phoneticPr fontId="7"/>
  </si>
  <si>
    <t>JOD79</t>
  </si>
  <si>
    <t>JOD78</t>
  </si>
  <si>
    <t>JOD80</t>
  </si>
  <si>
    <t>JOD81</t>
  </si>
  <si>
    <t>宇治田原（なごみ）２月号②</t>
    <rPh sb="0" eb="4">
      <t>ウジタワラ</t>
    </rPh>
    <rPh sb="10" eb="12">
      <t>ガツゴウ</t>
    </rPh>
    <phoneticPr fontId="7"/>
  </si>
  <si>
    <t>JOD80</t>
    <phoneticPr fontId="7"/>
  </si>
  <si>
    <t>JOD82</t>
    <phoneticPr fontId="7"/>
  </si>
  <si>
    <t>JOD83</t>
  </si>
  <si>
    <t>JOD84</t>
  </si>
  <si>
    <t>JOD82</t>
  </si>
  <si>
    <t>JOD85</t>
  </si>
  <si>
    <t>JOD86</t>
  </si>
  <si>
    <t>JOD返品</t>
    <rPh sb="3" eb="5">
      <t>ヘンピン</t>
    </rPh>
    <phoneticPr fontId="7"/>
  </si>
  <si>
    <t>夢販</t>
    <rPh sb="0" eb="2">
      <t>ユメハン</t>
    </rPh>
    <phoneticPr fontId="2"/>
  </si>
  <si>
    <t>JOD87</t>
  </si>
  <si>
    <t>JOD88</t>
  </si>
  <si>
    <t>JOD89</t>
  </si>
  <si>
    <t>宇治田原（なごみ）２月号③</t>
    <rPh sb="0" eb="4">
      <t>ウジタワラ</t>
    </rPh>
    <rPh sb="10" eb="12">
      <t>ガツゴウ</t>
    </rPh>
    <phoneticPr fontId="7"/>
  </si>
  <si>
    <t>JOD86</t>
    <phoneticPr fontId="7"/>
  </si>
  <si>
    <t>JOD90</t>
    <phoneticPr fontId="7"/>
  </si>
  <si>
    <t>JOD91</t>
  </si>
  <si>
    <t>JOD90</t>
  </si>
  <si>
    <t>JOD92</t>
  </si>
  <si>
    <t>JOD93</t>
  </si>
  <si>
    <t>JOD返品</t>
    <rPh sb="3" eb="5">
      <t>ヘンピン</t>
    </rPh>
    <phoneticPr fontId="7"/>
  </si>
  <si>
    <t>JOD94</t>
  </si>
  <si>
    <t>JOD95</t>
  </si>
  <si>
    <t>JOD91</t>
    <phoneticPr fontId="7"/>
  </si>
  <si>
    <t>JOD96</t>
    <phoneticPr fontId="7"/>
  </si>
  <si>
    <t>.</t>
    <phoneticPr fontId="7"/>
  </si>
  <si>
    <t>追加２  2-1</t>
    <rPh sb="0" eb="2">
      <t>ツイカ</t>
    </rPh>
    <phoneticPr fontId="2"/>
  </si>
  <si>
    <t>追加５  2-2</t>
    <rPh sb="0" eb="2">
      <t>ツイカ</t>
    </rPh>
    <phoneticPr fontId="2"/>
  </si>
  <si>
    <t>なごみ返品</t>
    <rPh sb="3" eb="5">
      <t>ヘンピン</t>
    </rPh>
    <phoneticPr fontId="7"/>
  </si>
  <si>
    <t>JOD96</t>
  </si>
  <si>
    <t>ネット</t>
    <phoneticPr fontId="7"/>
  </si>
  <si>
    <t>在庫確認</t>
    <rPh sb="0" eb="2">
      <t>ザイコ</t>
    </rPh>
    <rPh sb="2" eb="4">
      <t>カクニン</t>
    </rPh>
    <phoneticPr fontId="7"/>
  </si>
  <si>
    <t>JOD特別版1010</t>
    <rPh sb="3" eb="5">
      <t>トクベツ</t>
    </rPh>
    <rPh sb="5" eb="6">
      <t>バン</t>
    </rPh>
    <phoneticPr fontId="7"/>
  </si>
  <si>
    <t>10/9～</t>
    <phoneticPr fontId="7"/>
  </si>
  <si>
    <t>10/27～</t>
    <phoneticPr fontId="7"/>
  </si>
  <si>
    <t>10/27～</t>
    <phoneticPr fontId="7"/>
  </si>
  <si>
    <t>JODメルシー1027</t>
    <phoneticPr fontId="7"/>
  </si>
  <si>
    <t>JOD特別版1107</t>
    <rPh sb="3" eb="5">
      <t>トクベツ</t>
    </rPh>
    <rPh sb="5" eb="6">
      <t>バン</t>
    </rPh>
    <phoneticPr fontId="7"/>
  </si>
  <si>
    <t>11/6～</t>
    <phoneticPr fontId="7"/>
  </si>
  <si>
    <t>ネット</t>
    <phoneticPr fontId="7"/>
  </si>
  <si>
    <t>JOD特別号9570</t>
    <rPh sb="3" eb="5">
      <t>トクベツ</t>
    </rPh>
    <rPh sb="5" eb="6">
      <t>ゴウ</t>
    </rPh>
    <phoneticPr fontId="7"/>
  </si>
  <si>
    <t>11/21～</t>
    <phoneticPr fontId="7"/>
  </si>
  <si>
    <t>11/12～</t>
    <phoneticPr fontId="7"/>
  </si>
  <si>
    <t>JOD-①</t>
    <phoneticPr fontId="7"/>
  </si>
  <si>
    <t>JOD-②</t>
    <phoneticPr fontId="7"/>
  </si>
  <si>
    <t>JOD-①</t>
    <phoneticPr fontId="7"/>
  </si>
  <si>
    <t>JOD-②</t>
    <phoneticPr fontId="7"/>
  </si>
  <si>
    <t>JOD-③</t>
    <phoneticPr fontId="7"/>
  </si>
  <si>
    <t>JOD-③</t>
    <phoneticPr fontId="7"/>
  </si>
  <si>
    <t>JOD-④</t>
    <phoneticPr fontId="7"/>
  </si>
  <si>
    <t>JOD-⑤</t>
    <phoneticPr fontId="7"/>
  </si>
  <si>
    <t>JOD-⑥</t>
    <phoneticPr fontId="7"/>
  </si>
  <si>
    <t>JOD-⑦</t>
    <phoneticPr fontId="7"/>
  </si>
  <si>
    <t>JOD-⑧</t>
    <phoneticPr fontId="7"/>
  </si>
  <si>
    <t>JOD-⑨</t>
    <phoneticPr fontId="7"/>
  </si>
  <si>
    <t>JOD-⑩</t>
    <phoneticPr fontId="7"/>
  </si>
  <si>
    <t>JOD-⑪</t>
    <phoneticPr fontId="7"/>
  </si>
  <si>
    <t>JOD返品</t>
    <rPh sb="3" eb="5">
      <t>ヘンピン</t>
    </rPh>
    <phoneticPr fontId="7"/>
  </si>
  <si>
    <t>JOD-⑫</t>
    <phoneticPr fontId="7"/>
  </si>
  <si>
    <t>KPORT</t>
    <phoneticPr fontId="7"/>
  </si>
  <si>
    <t>JOD-⑬</t>
    <phoneticPr fontId="7"/>
  </si>
  <si>
    <t>JOD-⑭</t>
    <phoneticPr fontId="7"/>
  </si>
  <si>
    <t>2020/11/4伝数</t>
    <rPh sb="9" eb="10">
      <t>デン</t>
    </rPh>
    <rPh sb="10" eb="11">
      <t>スウ</t>
    </rPh>
    <phoneticPr fontId="7"/>
  </si>
  <si>
    <t>JOD-⑮</t>
    <phoneticPr fontId="7"/>
  </si>
  <si>
    <t>JOD-⑯</t>
    <phoneticPr fontId="7"/>
  </si>
  <si>
    <t>JOD-⑰</t>
    <phoneticPr fontId="7"/>
  </si>
  <si>
    <t>JOD-⑱</t>
    <phoneticPr fontId="7"/>
  </si>
  <si>
    <t>JOD-⑰</t>
    <phoneticPr fontId="7"/>
  </si>
  <si>
    <t>JOD-⑲</t>
    <phoneticPr fontId="7"/>
  </si>
  <si>
    <t>ネット</t>
    <phoneticPr fontId="7"/>
  </si>
  <si>
    <t>JOD-⑳</t>
    <phoneticPr fontId="7"/>
  </si>
  <si>
    <t>JOD返品</t>
    <rPh sb="3" eb="5">
      <t>ヘンピン</t>
    </rPh>
    <phoneticPr fontId="7"/>
  </si>
  <si>
    <t>JOD-㉑</t>
    <phoneticPr fontId="7"/>
  </si>
  <si>
    <t>JOD-㉒</t>
    <phoneticPr fontId="7"/>
  </si>
  <si>
    <t>JOD-㉓</t>
    <phoneticPr fontId="7"/>
  </si>
  <si>
    <t>JOD-㉔</t>
    <phoneticPr fontId="7"/>
  </si>
  <si>
    <t>JOD-㉕</t>
    <phoneticPr fontId="7"/>
  </si>
  <si>
    <t>JOD-㉖</t>
    <phoneticPr fontId="7"/>
  </si>
  <si>
    <t>JOD-㉔</t>
    <phoneticPr fontId="7"/>
  </si>
  <si>
    <t>KPORT</t>
    <phoneticPr fontId="7"/>
  </si>
  <si>
    <t>ＫＰＯＲＴ</t>
    <phoneticPr fontId="7"/>
  </si>
  <si>
    <t>JOD-㉗</t>
    <phoneticPr fontId="7"/>
  </si>
  <si>
    <t>JOD-㉘</t>
    <phoneticPr fontId="7"/>
  </si>
  <si>
    <t>JOD-㉙</t>
    <phoneticPr fontId="7"/>
  </si>
  <si>
    <t>JOD返品</t>
    <rPh sb="3" eb="5">
      <t>ヘンピン</t>
    </rPh>
    <phoneticPr fontId="7"/>
  </si>
  <si>
    <t>JODアクセス7074</t>
    <phoneticPr fontId="7"/>
  </si>
  <si>
    <t>JOD-㉚</t>
    <phoneticPr fontId="7"/>
  </si>
  <si>
    <t>JOD-㉘</t>
    <phoneticPr fontId="7"/>
  </si>
  <si>
    <t>JOD-㉛</t>
    <phoneticPr fontId="7"/>
  </si>
  <si>
    <t>JOD-㉙</t>
    <phoneticPr fontId="7"/>
  </si>
  <si>
    <t>JOD-㉜</t>
    <phoneticPr fontId="7"/>
  </si>
  <si>
    <t>JOD-㉝</t>
    <phoneticPr fontId="7"/>
  </si>
  <si>
    <t>JOD-㉛</t>
    <phoneticPr fontId="7"/>
  </si>
  <si>
    <t>12/1伝数</t>
    <rPh sb="4" eb="5">
      <t>デン</t>
    </rPh>
    <rPh sb="5" eb="6">
      <t>スウ</t>
    </rPh>
    <phoneticPr fontId="7"/>
  </si>
  <si>
    <t>2020/12/1伝数</t>
    <rPh sb="9" eb="10">
      <t>デン</t>
    </rPh>
    <rPh sb="10" eb="11">
      <t>スウ</t>
    </rPh>
    <phoneticPr fontId="7"/>
  </si>
  <si>
    <t>JOD-㉞</t>
    <phoneticPr fontId="7"/>
  </si>
  <si>
    <t>JOD-㉟</t>
    <phoneticPr fontId="7"/>
  </si>
  <si>
    <t>JOD-㉝</t>
    <phoneticPr fontId="7"/>
  </si>
  <si>
    <t>JOD-㊱</t>
    <phoneticPr fontId="7"/>
  </si>
  <si>
    <t>JOD-㊲</t>
    <phoneticPr fontId="7"/>
  </si>
  <si>
    <t>JOD-㊳</t>
    <phoneticPr fontId="7"/>
  </si>
  <si>
    <t>JODメルシー0127</t>
    <phoneticPr fontId="7"/>
  </si>
  <si>
    <t>1/27～</t>
    <phoneticPr fontId="7"/>
  </si>
  <si>
    <t>JOD-㊴</t>
    <phoneticPr fontId="7"/>
  </si>
  <si>
    <t>JOD-㊲</t>
    <phoneticPr fontId="7"/>
  </si>
  <si>
    <t>JOD-㊵</t>
    <phoneticPr fontId="7"/>
  </si>
  <si>
    <t>JOD-㊶</t>
    <phoneticPr fontId="7"/>
  </si>
  <si>
    <t>JOD-㊴</t>
    <phoneticPr fontId="7"/>
  </si>
  <si>
    <t>JOD-㊷</t>
    <phoneticPr fontId="7"/>
  </si>
  <si>
    <t>ネット</t>
    <phoneticPr fontId="7"/>
  </si>
  <si>
    <t>JOD特別号9580</t>
    <rPh sb="3" eb="5">
      <t>トクベツ</t>
    </rPh>
    <rPh sb="5" eb="6">
      <t>ゴウ</t>
    </rPh>
    <phoneticPr fontId="7"/>
  </si>
  <si>
    <t>1/22～</t>
    <phoneticPr fontId="7"/>
  </si>
  <si>
    <t>JOD-㊸</t>
    <phoneticPr fontId="7"/>
  </si>
  <si>
    <t>JOD-㊹</t>
    <phoneticPr fontId="7"/>
  </si>
  <si>
    <t>JOD-㊺</t>
    <phoneticPr fontId="7"/>
  </si>
  <si>
    <t>ネット</t>
    <phoneticPr fontId="7"/>
  </si>
  <si>
    <t>JOD-㊻</t>
    <phoneticPr fontId="7"/>
  </si>
  <si>
    <t>JODアクセス7075</t>
    <phoneticPr fontId="7"/>
  </si>
  <si>
    <t>2/19～</t>
    <phoneticPr fontId="7"/>
  </si>
  <si>
    <t>JOD-㊼</t>
    <phoneticPr fontId="7"/>
  </si>
  <si>
    <t>JOD-㊽</t>
    <phoneticPr fontId="7"/>
  </si>
  <si>
    <t>JOD-㊾</t>
    <phoneticPr fontId="7"/>
  </si>
  <si>
    <t>JOD-50</t>
    <phoneticPr fontId="7"/>
  </si>
  <si>
    <t>JOD-51</t>
  </si>
  <si>
    <t>JOD返品</t>
    <rPh sb="3" eb="5">
      <t>ヘンピン</t>
    </rPh>
    <phoneticPr fontId="7"/>
  </si>
  <si>
    <t>JOD-52</t>
  </si>
  <si>
    <t>JOD-53</t>
  </si>
  <si>
    <t>KPORT</t>
    <phoneticPr fontId="7"/>
  </si>
  <si>
    <t>JOD-54</t>
  </si>
  <si>
    <t>JOD-55</t>
  </si>
  <si>
    <t>JOD-56</t>
  </si>
  <si>
    <t>JOD-57</t>
  </si>
  <si>
    <t>JOD-58</t>
  </si>
  <si>
    <t>JOD-59</t>
  </si>
  <si>
    <t>JOD-60</t>
  </si>
  <si>
    <t>JOD-61</t>
  </si>
  <si>
    <t>JOD-62</t>
  </si>
  <si>
    <t>JOD-63</t>
  </si>
  <si>
    <t>JOD-64</t>
  </si>
  <si>
    <t>JOD-65</t>
  </si>
  <si>
    <t>JOD-66</t>
  </si>
  <si>
    <t>JOD-67</t>
  </si>
  <si>
    <t>JOD-66</t>
    <phoneticPr fontId="7"/>
  </si>
  <si>
    <t>JOD-68</t>
    <phoneticPr fontId="7"/>
  </si>
  <si>
    <t>JOD-68</t>
  </si>
  <si>
    <t>JOD-69</t>
  </si>
  <si>
    <t>JOD返品</t>
    <rPh sb="3" eb="5">
      <t>ヘンピン</t>
    </rPh>
    <phoneticPr fontId="7"/>
  </si>
  <si>
    <t>JOD-70</t>
  </si>
  <si>
    <t>JOD-71</t>
  </si>
  <si>
    <t>KPORT</t>
    <phoneticPr fontId="7"/>
  </si>
  <si>
    <t>JOD-72</t>
  </si>
  <si>
    <t>JOD-73</t>
  </si>
  <si>
    <t>JOD-74</t>
  </si>
  <si>
    <t>JOD-72</t>
    <phoneticPr fontId="7"/>
  </si>
  <si>
    <t>JOD-73</t>
    <phoneticPr fontId="7"/>
  </si>
  <si>
    <t>KPORT</t>
  </si>
  <si>
    <t>KPORT</t>
    <phoneticPr fontId="7"/>
  </si>
  <si>
    <t>JOD-75</t>
  </si>
  <si>
    <t>JOD-76</t>
  </si>
  <si>
    <t>JOD-77</t>
  </si>
  <si>
    <t>シンエイサンプル</t>
    <phoneticPr fontId="7"/>
  </si>
  <si>
    <t>JOD-78</t>
  </si>
  <si>
    <t>JOD-79</t>
  </si>
  <si>
    <t>JOD-80</t>
  </si>
  <si>
    <t>JOD-81</t>
  </si>
  <si>
    <t>JOD(西濃）</t>
    <rPh sb="4" eb="6">
      <t>セイノウ</t>
    </rPh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</si>
  <si>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</si>
  <si>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</si>
  <si>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伝12/1</t>
    <rPh sb="0" eb="1">
      <t>デン</t>
    </rPh>
    <phoneticPr fontId="7"/>
  </si>
  <si>
    <t>JOD-80</t>
    <phoneticPr fontId="7"/>
  </si>
  <si>
    <t>JOD-82</t>
  </si>
  <si>
    <t>JOD-83</t>
  </si>
  <si>
    <t>JOD-84</t>
  </si>
  <si>
    <t>JOD特別版0914</t>
    <rPh sb="3" eb="6">
      <t>トクベツバン</t>
    </rPh>
    <phoneticPr fontId="7"/>
  </si>
  <si>
    <t>9/13～</t>
    <phoneticPr fontId="7"/>
  </si>
  <si>
    <t>追加2-2</t>
    <rPh sb="0" eb="2">
      <t>ツイカ</t>
    </rPh>
    <phoneticPr fontId="2"/>
  </si>
  <si>
    <t>追加2</t>
    <rPh sb="0" eb="2">
      <t>ツイカ</t>
    </rPh>
    <phoneticPr fontId="2"/>
  </si>
  <si>
    <t>追加2-1</t>
    <rPh sb="0" eb="2">
      <t>ツイカ</t>
    </rPh>
    <phoneticPr fontId="2"/>
  </si>
  <si>
    <t>JOD-1</t>
    <phoneticPr fontId="7"/>
  </si>
  <si>
    <t>JOD-2</t>
  </si>
  <si>
    <t>JOD-1</t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</si>
  <si>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</si>
  <si>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</si>
  <si>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JOD-3</t>
    <phoneticPr fontId="7"/>
  </si>
  <si>
    <t>JOD-2</t>
    <phoneticPr fontId="7"/>
  </si>
  <si>
    <t>JOD-4</t>
  </si>
  <si>
    <t>JOD-3</t>
  </si>
  <si>
    <t>JOD-5</t>
  </si>
  <si>
    <t>JOD-6</t>
  </si>
  <si>
    <t>JOD-7</t>
  </si>
  <si>
    <t>JOD-8</t>
    <phoneticPr fontId="7"/>
  </si>
  <si>
    <t>JOD-9</t>
  </si>
  <si>
    <t>JOD-8</t>
  </si>
  <si>
    <t>京都生協12月3回（不透明袋）</t>
    <rPh sb="0" eb="4">
      <t>キョウトセイキョウ</t>
    </rPh>
    <rPh sb="6" eb="7">
      <t>ガツ</t>
    </rPh>
    <rPh sb="8" eb="9">
      <t>カイ</t>
    </rPh>
    <rPh sb="10" eb="14">
      <t>フトウメイフクロ</t>
    </rPh>
    <phoneticPr fontId="7"/>
  </si>
  <si>
    <t>11/5～</t>
    <phoneticPr fontId="7"/>
  </si>
  <si>
    <t>JOD特別版1106（表4）</t>
    <rPh sb="3" eb="6">
      <t>トクベツバン</t>
    </rPh>
    <rPh sb="11" eb="12">
      <t>ヒョウ</t>
    </rPh>
    <phoneticPr fontId="7"/>
  </si>
  <si>
    <t>ネット単品</t>
    <rPh sb="3" eb="5">
      <t>タンピン</t>
    </rPh>
    <phoneticPr fontId="7"/>
  </si>
  <si>
    <t>JOD-10</t>
  </si>
  <si>
    <t>JOD-11</t>
  </si>
  <si>
    <t>JOD特別号9510</t>
    <rPh sb="3" eb="6">
      <t>トクベツゴウ</t>
    </rPh>
    <phoneticPr fontId="7"/>
  </si>
  <si>
    <t>11/20～</t>
    <phoneticPr fontId="7"/>
  </si>
  <si>
    <t>JOD-12</t>
  </si>
  <si>
    <t>JOD-13</t>
    <phoneticPr fontId="7"/>
  </si>
  <si>
    <t>JOD-14</t>
    <phoneticPr fontId="7"/>
  </si>
  <si>
    <t>JOD-13</t>
  </si>
  <si>
    <t>JOD-15</t>
  </si>
  <si>
    <t>JOD-14</t>
  </si>
  <si>
    <t>JOD-16</t>
  </si>
  <si>
    <t>JOD-17</t>
  </si>
  <si>
    <t>ネット</t>
    <phoneticPr fontId="7"/>
  </si>
  <si>
    <t>JOD-18</t>
  </si>
  <si>
    <t>JOD-19</t>
    <phoneticPr fontId="7"/>
  </si>
  <si>
    <t>JOD-20</t>
  </si>
  <si>
    <t>JOD-19</t>
  </si>
  <si>
    <t>JOD-21</t>
  </si>
  <si>
    <t>JOD-22</t>
  </si>
  <si>
    <t>JOD-23</t>
  </si>
  <si>
    <t>JOD-24</t>
    <phoneticPr fontId="7"/>
  </si>
  <si>
    <t>JOD-23</t>
    <phoneticPr fontId="7"/>
  </si>
  <si>
    <t>JOD-25</t>
    <phoneticPr fontId="7"/>
  </si>
  <si>
    <t>JOD-24</t>
  </si>
  <si>
    <t>JOD-26</t>
  </si>
  <si>
    <t>JOD-25</t>
  </si>
  <si>
    <t>JOD-27</t>
  </si>
  <si>
    <t>JOD-28</t>
    <phoneticPr fontId="7"/>
  </si>
  <si>
    <t>JOD-27</t>
    <phoneticPr fontId="7"/>
  </si>
  <si>
    <t>JOD-28</t>
  </si>
  <si>
    <t>JOD-29</t>
    <phoneticPr fontId="7"/>
  </si>
  <si>
    <t>JOD-29</t>
    <phoneticPr fontId="7"/>
  </si>
  <si>
    <t>2021/11/25伝数</t>
    <rPh sb="10" eb="11">
      <t>デン</t>
    </rPh>
    <rPh sb="11" eb="12">
      <t>スウ</t>
    </rPh>
    <phoneticPr fontId="7"/>
  </si>
  <si>
    <t>JOD-30</t>
  </si>
  <si>
    <t>JOD返品</t>
    <rPh sb="3" eb="5">
      <t>ヘンピン</t>
    </rPh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</si>
  <si>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</si>
  <si>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</si>
  <si>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JOD-31</t>
    <phoneticPr fontId="7"/>
  </si>
  <si>
    <t>JOD-31</t>
    <phoneticPr fontId="7"/>
  </si>
  <si>
    <t>JOD-32</t>
  </si>
  <si>
    <t>JOD-33</t>
  </si>
  <si>
    <t>JOD-34</t>
  </si>
  <si>
    <t>JOD-35</t>
  </si>
  <si>
    <t>JOD-35(西濃）</t>
    <rPh sb="7" eb="9">
      <t>セイノウ</t>
    </rPh>
    <phoneticPr fontId="7"/>
  </si>
  <si>
    <t>JOD-35（西濃）</t>
    <rPh sb="7" eb="9">
      <t>セイノウ</t>
    </rPh>
    <phoneticPr fontId="7"/>
  </si>
  <si>
    <t>ネット</t>
    <phoneticPr fontId="7"/>
  </si>
  <si>
    <t>JOD-36(西濃）</t>
    <rPh sb="7" eb="9">
      <t>セイノウ</t>
    </rPh>
    <phoneticPr fontId="7"/>
  </si>
  <si>
    <t>JOD-36（西濃）</t>
    <rPh sb="7" eb="9">
      <t>セイノウ</t>
    </rPh>
    <phoneticPr fontId="7"/>
  </si>
  <si>
    <t>JOD-37</t>
    <phoneticPr fontId="7"/>
  </si>
  <si>
    <t>JOD-38</t>
  </si>
  <si>
    <t>JOD特別号9520</t>
    <rPh sb="3" eb="5">
      <t>トクベツ</t>
    </rPh>
    <rPh sb="5" eb="6">
      <t>ゴウ</t>
    </rPh>
    <phoneticPr fontId="7"/>
  </si>
  <si>
    <t>JOD-39</t>
  </si>
  <si>
    <t>京都生協12月3回（不透明袋）①</t>
    <rPh sb="0" eb="4">
      <t>キョウトセイキョウ</t>
    </rPh>
    <rPh sb="6" eb="7">
      <t>ガツ</t>
    </rPh>
    <rPh sb="8" eb="9">
      <t>カイ</t>
    </rPh>
    <rPh sb="10" eb="14">
      <t>フトウメイフクロ</t>
    </rPh>
    <phoneticPr fontId="7"/>
  </si>
  <si>
    <t>JOD-40</t>
  </si>
  <si>
    <t>JOD-40</t>
    <phoneticPr fontId="7"/>
  </si>
  <si>
    <t>JOD-41</t>
  </si>
  <si>
    <t>JOD-42</t>
  </si>
  <si>
    <t>JOD-43</t>
  </si>
  <si>
    <t>K-PORT</t>
    <phoneticPr fontId="7"/>
  </si>
  <si>
    <t>ネット</t>
    <phoneticPr fontId="7"/>
  </si>
  <si>
    <t>JOD-44</t>
    <phoneticPr fontId="7"/>
  </si>
  <si>
    <t>JOD返品</t>
    <rPh sb="3" eb="5">
      <t>ヘンピン</t>
    </rPh>
    <phoneticPr fontId="7"/>
  </si>
  <si>
    <t>JOD-45</t>
  </si>
  <si>
    <t>JOD特別版0202</t>
    <rPh sb="3" eb="5">
      <t>トクベツ</t>
    </rPh>
    <rPh sb="5" eb="6">
      <t>バン</t>
    </rPh>
    <phoneticPr fontId="7"/>
  </si>
  <si>
    <t>2/1～</t>
    <phoneticPr fontId="7"/>
  </si>
  <si>
    <t>JOD-44</t>
  </si>
  <si>
    <t>JOD返品</t>
    <rPh sb="3" eb="5">
      <t>ヘンピン</t>
    </rPh>
    <phoneticPr fontId="7"/>
  </si>
  <si>
    <t>JOD-46</t>
  </si>
  <si>
    <t>JOD-46</t>
    <phoneticPr fontId="7"/>
  </si>
  <si>
    <t>JOD-47</t>
  </si>
  <si>
    <t>JOD-48</t>
    <phoneticPr fontId="7"/>
  </si>
  <si>
    <t>JOD-48</t>
    <phoneticPr fontId="7"/>
  </si>
  <si>
    <t>JOD-49</t>
    <phoneticPr fontId="7"/>
  </si>
  <si>
    <t>JOD-49</t>
    <phoneticPr fontId="7"/>
  </si>
  <si>
    <t>JOD-50</t>
  </si>
  <si>
    <t>追加</t>
    <rPh sb="0" eb="2">
      <t>ツイカ</t>
    </rPh>
    <phoneticPr fontId="7"/>
  </si>
  <si>
    <t>夢販</t>
    <rPh sb="0" eb="2">
      <t>ユメハン</t>
    </rPh>
    <phoneticPr fontId="7"/>
  </si>
  <si>
    <t>JOD-51</t>
    <phoneticPr fontId="7"/>
  </si>
  <si>
    <t>JOD-60</t>
    <phoneticPr fontId="7"/>
  </si>
  <si>
    <t>シンエイ返品</t>
    <rPh sb="4" eb="6">
      <t>ヘンピン</t>
    </rPh>
    <phoneticPr fontId="7"/>
  </si>
  <si>
    <t>JOD-61</t>
    <phoneticPr fontId="7"/>
  </si>
  <si>
    <t>追加</t>
    <rPh sb="0" eb="2">
      <t>ツイカ</t>
    </rPh>
    <phoneticPr fontId="7"/>
  </si>
  <si>
    <t>JOD-60</t>
    <phoneticPr fontId="7"/>
  </si>
  <si>
    <t>JOD-61</t>
    <phoneticPr fontId="7"/>
  </si>
  <si>
    <t>JOD-61</t>
    <phoneticPr fontId="7"/>
  </si>
  <si>
    <t>JOD交換</t>
    <rPh sb="3" eb="5">
      <t>コウカン</t>
    </rPh>
    <phoneticPr fontId="7"/>
  </si>
  <si>
    <t>JOD-67(西濃）</t>
    <rPh sb="7" eb="9">
      <t>セイノウ</t>
    </rPh>
    <phoneticPr fontId="7"/>
  </si>
  <si>
    <t>JOD-67</t>
    <phoneticPr fontId="7"/>
  </si>
  <si>
    <t>実績JOD1月2色組131セット</t>
    <rPh sb="0" eb="2">
      <t>ジッセキ</t>
    </rPh>
    <rPh sb="6" eb="7">
      <t>ガツ</t>
    </rPh>
    <rPh sb="8" eb="10">
      <t>ショクグミ</t>
    </rPh>
    <phoneticPr fontId="7"/>
  </si>
  <si>
    <t>実績JOD1月2色組144セット</t>
    <rPh sb="0" eb="2">
      <t>ジッセキ</t>
    </rPh>
    <rPh sb="6" eb="7">
      <t>ガツ</t>
    </rPh>
    <rPh sb="8" eb="10">
      <t>ショクグミ</t>
    </rPh>
    <phoneticPr fontId="7"/>
  </si>
  <si>
    <t>実績JOD12月2色組68セット</t>
    <rPh sb="0" eb="2">
      <t>ジッセキ</t>
    </rPh>
    <rPh sb="7" eb="8">
      <t>ガツ</t>
    </rPh>
    <rPh sb="9" eb="11">
      <t>ショクグミ</t>
    </rPh>
    <phoneticPr fontId="7"/>
  </si>
  <si>
    <t>実績JOD12月2色組92セット</t>
    <rPh sb="0" eb="2">
      <t>ジッセキ</t>
    </rPh>
    <rPh sb="7" eb="8">
      <t>ガツ</t>
    </rPh>
    <rPh sb="9" eb="11">
      <t>ショクグミ</t>
    </rPh>
    <phoneticPr fontId="7"/>
  </si>
  <si>
    <t>実績JOD11月2色組353セット</t>
    <rPh sb="0" eb="2">
      <t>ジッセキ</t>
    </rPh>
    <rPh sb="7" eb="8">
      <t>ガツ</t>
    </rPh>
    <rPh sb="9" eb="11">
      <t>ショクグミ</t>
    </rPh>
    <phoneticPr fontId="7"/>
  </si>
  <si>
    <t>実績JOD11月2色組331セット</t>
    <rPh sb="0" eb="2">
      <t>ジッセキ</t>
    </rPh>
    <rPh sb="7" eb="8">
      <t>ガツ</t>
    </rPh>
    <rPh sb="9" eb="11">
      <t>ショクグミ</t>
    </rPh>
    <phoneticPr fontId="7"/>
  </si>
  <si>
    <t>実績JOD9月2色組46セット</t>
    <rPh sb="0" eb="2">
      <t>ジッセキ</t>
    </rPh>
    <rPh sb="6" eb="7">
      <t>ガツ</t>
    </rPh>
    <rPh sb="8" eb="10">
      <t>ショクグミ</t>
    </rPh>
    <phoneticPr fontId="7"/>
  </si>
  <si>
    <t>実績JOD9月2色組51セット</t>
    <rPh sb="0" eb="2">
      <t>ジッセキ</t>
    </rPh>
    <rPh sb="6" eb="7">
      <t>ガツ</t>
    </rPh>
    <rPh sb="8" eb="10">
      <t>ショクグミ</t>
    </rPh>
    <phoneticPr fontId="7"/>
  </si>
  <si>
    <t>実績JOD10月2色組8セット</t>
    <rPh sb="0" eb="2">
      <t>ジッセキ</t>
    </rPh>
    <rPh sb="7" eb="8">
      <t>ガツ</t>
    </rPh>
    <rPh sb="9" eb="11">
      <t>ショクグミ</t>
    </rPh>
    <phoneticPr fontId="7"/>
  </si>
  <si>
    <t>JOD返品</t>
    <rPh sb="3" eb="5">
      <t>ヘンピン</t>
    </rPh>
    <phoneticPr fontId="7"/>
  </si>
  <si>
    <t>JOD-78</t>
    <phoneticPr fontId="7"/>
  </si>
  <si>
    <t>ネット単品</t>
    <rPh sb="3" eb="5">
      <t>タンピン</t>
    </rPh>
    <phoneticPr fontId="7"/>
  </si>
  <si>
    <t>JOD-79</t>
    <phoneticPr fontId="7"/>
  </si>
  <si>
    <t>JOD-80</t>
    <phoneticPr fontId="7"/>
  </si>
  <si>
    <t>JOD-81</t>
    <phoneticPr fontId="7"/>
  </si>
  <si>
    <t>JOD-83(西濃）</t>
    <rPh sb="7" eb="9">
      <t>セイノウ</t>
    </rPh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</si>
  <si>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</si>
  <si>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</si>
  <si>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JOD-84</t>
    <phoneticPr fontId="7"/>
  </si>
  <si>
    <t>JOD-85</t>
    <phoneticPr fontId="7"/>
  </si>
  <si>
    <t>JOD-86</t>
    <phoneticPr fontId="7"/>
  </si>
  <si>
    <t>JOD-83</t>
    <phoneticPr fontId="7"/>
  </si>
  <si>
    <t>JOD-86</t>
    <phoneticPr fontId="7"/>
  </si>
  <si>
    <t>JOD返品</t>
    <rPh sb="3" eb="5">
      <t>ヘンピン</t>
    </rPh>
    <phoneticPr fontId="7"/>
  </si>
  <si>
    <t>JOD-87</t>
  </si>
  <si>
    <t>JOD-84</t>
    <phoneticPr fontId="7"/>
  </si>
  <si>
    <t>JOD-85</t>
    <phoneticPr fontId="7"/>
  </si>
  <si>
    <t>JOD-88</t>
    <phoneticPr fontId="7"/>
  </si>
  <si>
    <t>追加３ 1-1</t>
    <rPh sb="0" eb="2">
      <t>ツイカ</t>
    </rPh>
    <phoneticPr fontId="2"/>
  </si>
  <si>
    <t>JOD-86</t>
  </si>
  <si>
    <t>JOD返品</t>
    <rPh sb="3" eb="5">
      <t>ヘンピン</t>
    </rPh>
    <phoneticPr fontId="7"/>
  </si>
  <si>
    <t>JOD-89</t>
  </si>
  <si>
    <t>JOD-87</t>
    <phoneticPr fontId="7"/>
  </si>
  <si>
    <t>JOD特別版0913</t>
    <rPh sb="3" eb="6">
      <t>トクベツバン</t>
    </rPh>
    <phoneticPr fontId="7"/>
  </si>
  <si>
    <t>9/12～</t>
    <phoneticPr fontId="7"/>
  </si>
  <si>
    <t>JODアクセス7088</t>
    <phoneticPr fontId="7"/>
  </si>
  <si>
    <t>10/1～</t>
    <phoneticPr fontId="7"/>
  </si>
  <si>
    <t>棚卸</t>
    <rPh sb="0" eb="2">
      <t>タナオロシ</t>
    </rPh>
    <phoneticPr fontId="7"/>
  </si>
  <si>
    <t>ＪＯＤ①</t>
    <phoneticPr fontId="7"/>
  </si>
  <si>
    <t>ＪＯＤ②</t>
    <phoneticPr fontId="7"/>
  </si>
  <si>
    <t>JOD②</t>
    <phoneticPr fontId="7"/>
  </si>
  <si>
    <t>JOD③</t>
    <phoneticPr fontId="7"/>
  </si>
  <si>
    <t>ＪＯＤ③</t>
    <phoneticPr fontId="7"/>
  </si>
  <si>
    <t>シンエイsample</t>
    <phoneticPr fontId="7"/>
  </si>
  <si>
    <t>ＪＯＤ④</t>
    <phoneticPr fontId="7"/>
  </si>
  <si>
    <t>JOD④</t>
    <phoneticPr fontId="7"/>
  </si>
  <si>
    <t>ＪＯＤ⑤</t>
    <phoneticPr fontId="7"/>
  </si>
  <si>
    <t>JOD⑤</t>
    <phoneticPr fontId="7"/>
  </si>
  <si>
    <t>ＪＯＤ⑥</t>
    <phoneticPr fontId="7"/>
  </si>
  <si>
    <t>JOD⑥</t>
    <phoneticPr fontId="7"/>
  </si>
  <si>
    <t>ＪＯＤ⑦</t>
    <phoneticPr fontId="7"/>
  </si>
  <si>
    <t>JOD⑦</t>
    <phoneticPr fontId="7"/>
  </si>
  <si>
    <t>ＪＯＤ⑧</t>
    <phoneticPr fontId="7"/>
  </si>
  <si>
    <t>JOD⑧</t>
    <phoneticPr fontId="7"/>
  </si>
  <si>
    <t>ＪＯＤ⑨</t>
    <phoneticPr fontId="7"/>
  </si>
  <si>
    <t>JOD⑨</t>
    <phoneticPr fontId="7"/>
  </si>
  <si>
    <t>ＪＯＤ⑩</t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</si>
  <si>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</si>
  <si>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</si>
  <si>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確保</t>
    <rPh sb="0" eb="2">
      <t>カクホ</t>
    </rPh>
    <phoneticPr fontId="2"/>
  </si>
  <si>
    <t>ＪＯＤ⑪</t>
    <phoneticPr fontId="7"/>
  </si>
  <si>
    <t>JOD⑫</t>
    <phoneticPr fontId="7"/>
  </si>
  <si>
    <t>ＪＯＤ⑫（西濃）</t>
    <rPh sb="5" eb="7">
      <t>セイノウ</t>
    </rPh>
    <phoneticPr fontId="7"/>
  </si>
  <si>
    <t>JOD⑬（西濃）</t>
    <rPh sb="5" eb="7">
      <t>セイノウ</t>
    </rPh>
    <phoneticPr fontId="7"/>
  </si>
  <si>
    <t>ＪＯＤ⑫</t>
    <phoneticPr fontId="7"/>
  </si>
  <si>
    <t>JOD⑬</t>
    <phoneticPr fontId="7"/>
  </si>
  <si>
    <t>ＪＯＤ⑬</t>
    <phoneticPr fontId="7"/>
  </si>
  <si>
    <t>JOD⑭</t>
    <phoneticPr fontId="7"/>
  </si>
  <si>
    <t>ＪＯＤ⑭</t>
    <phoneticPr fontId="7"/>
  </si>
  <si>
    <t>JOD⑮</t>
    <phoneticPr fontId="7"/>
  </si>
  <si>
    <t>JOD返品</t>
    <rPh sb="3" eb="5">
      <t>ヘンピン</t>
    </rPh>
    <phoneticPr fontId="7"/>
  </si>
  <si>
    <t>ＪＯＤ⑮</t>
    <phoneticPr fontId="7"/>
  </si>
  <si>
    <t>JOD⑯</t>
    <phoneticPr fontId="7"/>
  </si>
  <si>
    <t>JOD特別版1126</t>
    <rPh sb="3" eb="5">
      <t>トクベツ</t>
    </rPh>
    <rPh sb="5" eb="6">
      <t>バン</t>
    </rPh>
    <phoneticPr fontId="7"/>
  </si>
  <si>
    <t>11/25～</t>
    <phoneticPr fontId="7"/>
  </si>
  <si>
    <t>JOD特別版1126</t>
    <rPh sb="3" eb="6">
      <t>トクベツバン</t>
    </rPh>
    <phoneticPr fontId="7"/>
  </si>
  <si>
    <t>ＪＯＤ⑯</t>
    <phoneticPr fontId="7"/>
  </si>
  <si>
    <t>JOD⑰</t>
    <phoneticPr fontId="7"/>
  </si>
  <si>
    <t>JOD⑱</t>
    <phoneticPr fontId="7"/>
  </si>
  <si>
    <t>ＪＯＤ⑰</t>
    <phoneticPr fontId="7"/>
  </si>
  <si>
    <t>ＪＯＤ⑱</t>
    <phoneticPr fontId="7"/>
  </si>
  <si>
    <t>JOD⑲</t>
    <phoneticPr fontId="7"/>
  </si>
  <si>
    <t>ＪＯＤ⑲</t>
    <phoneticPr fontId="7"/>
  </si>
  <si>
    <t>JOD⑳</t>
    <phoneticPr fontId="7"/>
  </si>
  <si>
    <t>ＪＯＤ⑳</t>
    <phoneticPr fontId="7"/>
  </si>
  <si>
    <t>JOD㉑</t>
    <phoneticPr fontId="7"/>
  </si>
  <si>
    <t>ＪＯＤ㉑</t>
    <phoneticPr fontId="7"/>
  </si>
  <si>
    <t>JOD㉒</t>
    <phoneticPr fontId="7"/>
  </si>
  <si>
    <t>過入荷分</t>
    <rPh sb="0" eb="4">
      <t>カニュウカブン</t>
    </rPh>
    <phoneticPr fontId="2"/>
  </si>
  <si>
    <t>＜AR両起毛当付き　８分袖インナー　No.4615-500～502K-PORT在庫＞</t>
    <rPh sb="39" eb="41">
      <t>ザイコ</t>
    </rPh>
    <phoneticPr fontId="2"/>
  </si>
  <si>
    <t>＜AR両起毛当付き　８分袖インナー　No.4615-500～502　夢販在庫＞</t>
    <rPh sb="3" eb="6">
      <t>リョウキモウ</t>
    </rPh>
    <rPh sb="6" eb="7">
      <t>ア</t>
    </rPh>
    <rPh sb="7" eb="8">
      <t>ツ</t>
    </rPh>
    <rPh sb="11" eb="12">
      <t>ブ</t>
    </rPh>
    <rPh sb="12" eb="13">
      <t>ソデ</t>
    </rPh>
    <rPh sb="34" eb="36">
      <t>ユメハン</t>
    </rPh>
    <rPh sb="36" eb="38">
      <t>ザイコ</t>
    </rPh>
    <phoneticPr fontId="2"/>
  </si>
  <si>
    <t>＜AR両起毛当付き　スラ下　No.4615-503～505　夢販在庫＞</t>
    <rPh sb="3" eb="4">
      <t>リョウ</t>
    </rPh>
    <rPh sb="4" eb="6">
      <t>キモウ</t>
    </rPh>
    <rPh sb="6" eb="7">
      <t>トウ</t>
    </rPh>
    <rPh sb="7" eb="8">
      <t>ツ</t>
    </rPh>
    <rPh sb="12" eb="13">
      <t>シタ</t>
    </rPh>
    <rPh sb="30" eb="32">
      <t>ユメハン</t>
    </rPh>
    <rPh sb="32" eb="34">
      <t>ザイコ</t>
    </rPh>
    <phoneticPr fontId="2"/>
  </si>
  <si>
    <t>＜AR両起毛当付き　スラ下　No.4615-503～505　K-PORT在庫＞</t>
    <rPh sb="36" eb="38">
      <t>ザイコ</t>
    </rPh>
    <phoneticPr fontId="2"/>
  </si>
  <si>
    <t>ＪＯＤ㉒</t>
    <phoneticPr fontId="7"/>
  </si>
  <si>
    <t>JOD㉓</t>
    <phoneticPr fontId="7"/>
  </si>
  <si>
    <t>ＪＯＤ㉓</t>
    <phoneticPr fontId="7"/>
  </si>
  <si>
    <t>JOD㉔</t>
    <phoneticPr fontId="7"/>
  </si>
  <si>
    <t>JOD返品</t>
    <rPh sb="3" eb="5">
      <t>ヘンピン</t>
    </rPh>
    <phoneticPr fontId="7"/>
  </si>
  <si>
    <t>ＪＯＤ㉔</t>
    <phoneticPr fontId="7"/>
  </si>
  <si>
    <t>ＪＯＤ㉕</t>
    <phoneticPr fontId="7"/>
  </si>
  <si>
    <t>JOD㉕</t>
    <phoneticPr fontId="7"/>
  </si>
  <si>
    <t>ＪＯＤ㉖</t>
    <phoneticPr fontId="7"/>
  </si>
  <si>
    <t>JOD㉖</t>
    <phoneticPr fontId="7"/>
  </si>
  <si>
    <t>ＪＯＤ㉗</t>
    <phoneticPr fontId="7"/>
  </si>
  <si>
    <t>JOD㉗</t>
    <phoneticPr fontId="7"/>
  </si>
  <si>
    <t>ＪＯＤ㉘</t>
    <phoneticPr fontId="7"/>
  </si>
  <si>
    <t>JOD㉘</t>
    <phoneticPr fontId="7"/>
  </si>
  <si>
    <t>2022/11/4数伝</t>
    <rPh sb="9" eb="10">
      <t>スウ</t>
    </rPh>
    <rPh sb="10" eb="11">
      <t>デン</t>
    </rPh>
    <phoneticPr fontId="7"/>
  </si>
  <si>
    <t>JOD㉙</t>
    <phoneticPr fontId="7"/>
  </si>
  <si>
    <t>ＪＯＤ㉙</t>
    <phoneticPr fontId="7"/>
  </si>
  <si>
    <t>JOD㉚</t>
    <phoneticPr fontId="7"/>
  </si>
  <si>
    <t>ＪＯＤ㉚</t>
    <phoneticPr fontId="7"/>
  </si>
  <si>
    <t>JOD㉛</t>
    <phoneticPr fontId="7"/>
  </si>
  <si>
    <t>ＪＯＤ㉛</t>
    <phoneticPr fontId="7"/>
  </si>
  <si>
    <t>JOD㉜</t>
    <phoneticPr fontId="7"/>
  </si>
  <si>
    <t>JOD返品</t>
    <rPh sb="3" eb="5">
      <t>ヘンピン</t>
    </rPh>
    <phoneticPr fontId="7"/>
  </si>
  <si>
    <t>ＪＯＤ㉜</t>
    <phoneticPr fontId="7"/>
  </si>
  <si>
    <t>JOD㉝</t>
    <phoneticPr fontId="7"/>
  </si>
  <si>
    <t>ＪＯＤ㉝</t>
    <phoneticPr fontId="7"/>
  </si>
  <si>
    <t>JOD㉞</t>
    <phoneticPr fontId="7"/>
  </si>
  <si>
    <t>ＪＯＤ㉞</t>
    <phoneticPr fontId="7"/>
  </si>
  <si>
    <t>JOD㉟</t>
    <phoneticPr fontId="7"/>
  </si>
  <si>
    <t>ＪＯＤ㉟</t>
    <phoneticPr fontId="7"/>
  </si>
  <si>
    <t>ＪＯＤ㊱</t>
    <phoneticPr fontId="7"/>
  </si>
  <si>
    <t>JOD㊱</t>
    <phoneticPr fontId="7"/>
  </si>
  <si>
    <t>ＪＯＤ㊲</t>
    <phoneticPr fontId="7"/>
  </si>
  <si>
    <t>JOD㊲</t>
    <phoneticPr fontId="7"/>
  </si>
  <si>
    <t>ＪＯＤ㊳</t>
    <phoneticPr fontId="7"/>
  </si>
  <si>
    <t>JOD㊳</t>
    <phoneticPr fontId="7"/>
  </si>
  <si>
    <t>ＪＯＤ㊴</t>
    <phoneticPr fontId="7"/>
  </si>
  <si>
    <t>JOD㊴</t>
    <phoneticPr fontId="7"/>
  </si>
  <si>
    <t>ＪＯＤ㊵</t>
    <phoneticPr fontId="7"/>
  </si>
  <si>
    <t>JOD㊵</t>
    <phoneticPr fontId="7"/>
  </si>
  <si>
    <t>JOD㊶</t>
    <phoneticPr fontId="7"/>
  </si>
  <si>
    <t>ＪＯＤ㊶</t>
    <phoneticPr fontId="7"/>
  </si>
  <si>
    <t>JOD㊷</t>
    <phoneticPr fontId="7"/>
  </si>
  <si>
    <t>ＪＯＤ㊷</t>
    <phoneticPr fontId="7"/>
  </si>
  <si>
    <t>JOD㊸</t>
    <phoneticPr fontId="7"/>
  </si>
  <si>
    <t>ＪＯＤ㊸</t>
    <phoneticPr fontId="7"/>
  </si>
  <si>
    <t>JOD㊹</t>
    <phoneticPr fontId="7"/>
  </si>
  <si>
    <t>ＪＯＤ㊹</t>
    <phoneticPr fontId="7"/>
  </si>
  <si>
    <t>JOD㊺</t>
    <phoneticPr fontId="7"/>
  </si>
  <si>
    <t>ＪＯＤ㊺</t>
    <phoneticPr fontId="7"/>
  </si>
  <si>
    <t>JOD㊻</t>
    <phoneticPr fontId="7"/>
  </si>
  <si>
    <t>ＪＯＤ㊻</t>
    <phoneticPr fontId="7"/>
  </si>
  <si>
    <t>JOD㊼</t>
    <phoneticPr fontId="7"/>
  </si>
  <si>
    <t>ＪＯＤ㊼</t>
    <phoneticPr fontId="7"/>
  </si>
  <si>
    <t>JOD㊽</t>
    <phoneticPr fontId="7"/>
  </si>
  <si>
    <t>ＪＯＤ㊽</t>
    <phoneticPr fontId="7"/>
  </si>
  <si>
    <t>JOD㊾</t>
    <phoneticPr fontId="7"/>
  </si>
  <si>
    <t>ＪＯＤ㊾</t>
    <phoneticPr fontId="7"/>
  </si>
  <si>
    <t>JOD㊿</t>
    <phoneticPr fontId="7"/>
  </si>
  <si>
    <t>JOD特別号R9879</t>
    <rPh sb="3" eb="6">
      <t>トクベツゴウ</t>
    </rPh>
    <phoneticPr fontId="7"/>
  </si>
  <si>
    <t>1/12～</t>
    <phoneticPr fontId="7"/>
  </si>
  <si>
    <t>ＪＯＤ㊿</t>
    <phoneticPr fontId="7"/>
  </si>
  <si>
    <t>JOD51</t>
    <phoneticPr fontId="7"/>
  </si>
  <si>
    <t>ＪＯＤ51</t>
    <phoneticPr fontId="7"/>
  </si>
  <si>
    <t>ＪＯＤ52</t>
  </si>
  <si>
    <t>ネット</t>
    <phoneticPr fontId="7"/>
  </si>
  <si>
    <t>ＪＯＤ53</t>
  </si>
  <si>
    <t>ＪＯＤ54</t>
  </si>
  <si>
    <t>ＪＯＤ55</t>
  </si>
  <si>
    <t>ＪＯＤ56</t>
  </si>
  <si>
    <t>ＪＯＤ57</t>
  </si>
  <si>
    <t>ＪＯＤ58</t>
    <phoneticPr fontId="7"/>
  </si>
  <si>
    <r>
      <t>コープ北陸1-3ｗ</t>
    </r>
    <r>
      <rPr>
        <b/>
        <sz val="11"/>
        <rFont val="ＭＳ Ｐゴシック"/>
        <family val="3"/>
        <charset val="128"/>
      </rPr>
      <t>（不透明袋）①</t>
    </r>
    <rPh sb="3" eb="5">
      <t>ホクリク</t>
    </rPh>
    <rPh sb="10" eb="14">
      <t>フトウメイフクロ</t>
    </rPh>
    <phoneticPr fontId="7"/>
  </si>
  <si>
    <t>ＪＯＤ59</t>
  </si>
  <si>
    <r>
      <t>コープ北陸1-3ｗ</t>
    </r>
    <r>
      <rPr>
        <b/>
        <sz val="11"/>
        <rFont val="ＭＳ Ｐゴシック"/>
        <family val="3"/>
        <charset val="128"/>
      </rPr>
      <t>(不透明袋)①</t>
    </r>
    <rPh sb="3" eb="5">
      <t>ホクリク</t>
    </rPh>
    <rPh sb="10" eb="14">
      <t>フトウメイフクロ</t>
    </rPh>
    <phoneticPr fontId="7"/>
  </si>
  <si>
    <t>JOD62</t>
    <phoneticPr fontId="7"/>
  </si>
  <si>
    <r>
      <t>コープ北陸1-3ｗ</t>
    </r>
    <r>
      <rPr>
        <b/>
        <sz val="11"/>
        <rFont val="ＭＳ Ｐゴシック"/>
        <family val="3"/>
        <charset val="128"/>
      </rPr>
      <t>(不透明袋)②</t>
    </r>
    <rPh sb="3" eb="5">
      <t>ホクリク</t>
    </rPh>
    <rPh sb="10" eb="14">
      <t>フトウメイフクロ</t>
    </rPh>
    <phoneticPr fontId="7"/>
  </si>
  <si>
    <t>ＪＯＤ60</t>
  </si>
  <si>
    <r>
      <t>コープ北陸1-3ｗ</t>
    </r>
    <r>
      <rPr>
        <b/>
        <sz val="11"/>
        <rFont val="ＭＳ Ｐゴシック"/>
        <family val="3"/>
        <charset val="128"/>
      </rPr>
      <t>（不透明袋）②</t>
    </r>
    <rPh sb="3" eb="5">
      <t>ホクリク</t>
    </rPh>
    <rPh sb="10" eb="14">
      <t>フトウメイフクロ</t>
    </rPh>
    <phoneticPr fontId="7"/>
  </si>
  <si>
    <r>
      <t>コープ北陸1-3ｗ</t>
    </r>
    <r>
      <rPr>
        <b/>
        <sz val="11"/>
        <rFont val="ＭＳ Ｐゴシック"/>
        <family val="3"/>
        <charset val="128"/>
      </rPr>
      <t>(不透明袋)</t>
    </r>
    <rPh sb="3" eb="5">
      <t>ホクリク</t>
    </rPh>
    <rPh sb="10" eb="14">
      <t>フトウメイフクロ</t>
    </rPh>
    <phoneticPr fontId="7"/>
  </si>
  <si>
    <r>
      <t>コープ北陸1-3ｗ</t>
    </r>
    <r>
      <rPr>
        <b/>
        <sz val="11"/>
        <rFont val="ＭＳ Ｐゴシック"/>
        <family val="3"/>
        <charset val="128"/>
      </rPr>
      <t>（不透明袋）③</t>
    </r>
    <rPh sb="3" eb="5">
      <t>ホクリク</t>
    </rPh>
    <rPh sb="10" eb="14">
      <t>フトウメイフクロ</t>
    </rPh>
    <phoneticPr fontId="7"/>
  </si>
  <si>
    <t>ＪＯＤ61</t>
    <phoneticPr fontId="7"/>
  </si>
  <si>
    <t>JOD返品</t>
    <rPh sb="3" eb="5">
      <t>ヘンピン</t>
    </rPh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</si>
  <si>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</si>
  <si>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</si>
  <si>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ＪＯＤ62</t>
    <phoneticPr fontId="7"/>
  </si>
  <si>
    <r>
      <t>コープ北陸1-3ｗ</t>
    </r>
    <r>
      <rPr>
        <b/>
        <sz val="11"/>
        <rFont val="ＭＳ Ｐゴシック"/>
        <family val="3"/>
        <charset val="128"/>
      </rPr>
      <t>（不透明袋）</t>
    </r>
    <rPh sb="3" eb="5">
      <t>ホクリク</t>
    </rPh>
    <rPh sb="10" eb="14">
      <t>フトウメイフクロ</t>
    </rPh>
    <phoneticPr fontId="7"/>
  </si>
  <si>
    <t>ＪＯＤ63</t>
  </si>
  <si>
    <t>JOD63</t>
    <phoneticPr fontId="7"/>
  </si>
  <si>
    <r>
      <t>コープ北陸1-3ｗ</t>
    </r>
    <r>
      <rPr>
        <b/>
        <sz val="11"/>
        <rFont val="ＭＳ Ｐゴシック"/>
        <family val="3"/>
        <charset val="128"/>
      </rPr>
      <t>（不透明袋）④</t>
    </r>
    <rPh sb="3" eb="5">
      <t>ホクリク</t>
    </rPh>
    <rPh sb="10" eb="14">
      <t>フトウメイフクロ</t>
    </rPh>
    <phoneticPr fontId="7"/>
  </si>
  <si>
    <t>ＪＯＤ64</t>
  </si>
  <si>
    <t>ＪＯＤ65</t>
    <phoneticPr fontId="7"/>
  </si>
  <si>
    <t>JOD65</t>
    <phoneticPr fontId="7"/>
  </si>
  <si>
    <t>在庫確認</t>
    <rPh sb="0" eb="4">
      <t>ザイコカクニン</t>
    </rPh>
    <phoneticPr fontId="2"/>
  </si>
  <si>
    <t>JOD66</t>
    <phoneticPr fontId="7"/>
  </si>
  <si>
    <r>
      <t>コープ北陸1-3ｗ</t>
    </r>
    <r>
      <rPr>
        <b/>
        <sz val="11"/>
        <rFont val="ＭＳ Ｐゴシック"/>
        <family val="3"/>
        <charset val="128"/>
      </rPr>
      <t>（不透明袋)④再送分</t>
    </r>
    <rPh sb="3" eb="5">
      <t>ホクリク</t>
    </rPh>
    <rPh sb="10" eb="14">
      <t>フトウメイフクロ</t>
    </rPh>
    <rPh sb="16" eb="19">
      <t>サイソウブン</t>
    </rPh>
    <phoneticPr fontId="7"/>
  </si>
  <si>
    <r>
      <t>コープ北陸1-3ｗ</t>
    </r>
    <r>
      <rPr>
        <b/>
        <sz val="11"/>
        <rFont val="ＭＳ Ｐゴシック"/>
        <family val="3"/>
        <charset val="128"/>
      </rPr>
      <t>（不透明袋）③再送分</t>
    </r>
    <rPh sb="3" eb="5">
      <t>ホクリク</t>
    </rPh>
    <rPh sb="10" eb="14">
      <t>フトウメイフクロ</t>
    </rPh>
    <rPh sb="16" eb="19">
      <t>サイソウブン</t>
    </rPh>
    <phoneticPr fontId="7"/>
  </si>
  <si>
    <t>ＪＯＤ66</t>
    <phoneticPr fontId="7"/>
  </si>
  <si>
    <t>JOD67</t>
    <phoneticPr fontId="7"/>
  </si>
  <si>
    <t>ＪＯＤ67</t>
    <phoneticPr fontId="7"/>
  </si>
  <si>
    <t>JOD68</t>
    <phoneticPr fontId="7"/>
  </si>
  <si>
    <t>ＪＯＤ68</t>
  </si>
  <si>
    <t>シンエイ返品</t>
    <rPh sb="4" eb="6">
      <t>ヘンピン</t>
    </rPh>
    <phoneticPr fontId="2"/>
  </si>
  <si>
    <t>ＪＯＤ69</t>
    <phoneticPr fontId="7"/>
  </si>
  <si>
    <t>JOD70</t>
    <phoneticPr fontId="7"/>
  </si>
  <si>
    <t>JOD特別号R9881</t>
    <rPh sb="3" eb="6">
      <t>トクベツゴウ</t>
    </rPh>
    <phoneticPr fontId="7"/>
  </si>
  <si>
    <t>3/7～</t>
    <phoneticPr fontId="7"/>
  </si>
  <si>
    <t>ＪＯＤ70</t>
    <phoneticPr fontId="7"/>
  </si>
  <si>
    <t>JOD71</t>
    <phoneticPr fontId="7"/>
  </si>
  <si>
    <t>JOD返品</t>
    <rPh sb="3" eb="5">
      <t>ヘンピン</t>
    </rPh>
    <phoneticPr fontId="7"/>
  </si>
  <si>
    <r>
      <t>京都生協2-2ｗ</t>
    </r>
    <r>
      <rPr>
        <b/>
        <sz val="11"/>
        <rFont val="ＭＳ Ｐゴシック"/>
        <family val="3"/>
        <charset val="128"/>
      </rPr>
      <t>（不透明袋）①</t>
    </r>
    <rPh sb="0" eb="4">
      <t>キョウトセイキョウ</t>
    </rPh>
    <phoneticPr fontId="7"/>
  </si>
  <si>
    <r>
      <t>京都生協2-2ｗ</t>
    </r>
    <r>
      <rPr>
        <b/>
        <sz val="11"/>
        <rFont val="ＭＳ Ｐゴシック"/>
        <family val="3"/>
        <charset val="128"/>
      </rPr>
      <t>（不透明袋）</t>
    </r>
    <rPh sb="0" eb="4">
      <t>キョウトセイキョウ</t>
    </rPh>
    <phoneticPr fontId="7"/>
  </si>
  <si>
    <t>JOD74</t>
    <phoneticPr fontId="7"/>
  </si>
  <si>
    <t>シンエイ返品</t>
    <rPh sb="4" eb="6">
      <t>ヘンピン</t>
    </rPh>
    <phoneticPr fontId="7"/>
  </si>
  <si>
    <t>ＪＯＤ71</t>
  </si>
  <si>
    <t>ＪＯＤ72</t>
  </si>
  <si>
    <t>ＪＯＤ73</t>
  </si>
  <si>
    <t>JOD77</t>
    <phoneticPr fontId="7"/>
  </si>
  <si>
    <t>シンエイ返品</t>
    <rPh sb="4" eb="6">
      <t>ヘンピン</t>
    </rPh>
    <phoneticPr fontId="7"/>
  </si>
  <si>
    <t>K-PORT</t>
    <phoneticPr fontId="7"/>
  </si>
  <si>
    <t>夢販移動</t>
    <rPh sb="0" eb="4">
      <t>ユメハンイドウ</t>
    </rPh>
    <phoneticPr fontId="2"/>
  </si>
  <si>
    <t>在庫調整</t>
    <rPh sb="0" eb="4">
      <t>ザイコチョウセイ</t>
    </rPh>
    <phoneticPr fontId="7"/>
  </si>
  <si>
    <t>JOD2022実績5回</t>
    <rPh sb="7" eb="9">
      <t>ジッセキ</t>
    </rPh>
    <rPh sb="10" eb="11">
      <t>カイ</t>
    </rPh>
    <phoneticPr fontId="7"/>
  </si>
  <si>
    <t>ＪＯＤ74</t>
  </si>
  <si>
    <t>JOD78</t>
    <phoneticPr fontId="7"/>
  </si>
  <si>
    <t>ＪＯＤ75</t>
  </si>
  <si>
    <t>JOD特別版0926</t>
    <rPh sb="3" eb="6">
      <t>トクベツバン</t>
    </rPh>
    <phoneticPr fontId="7"/>
  </si>
  <si>
    <t>9/25～</t>
    <phoneticPr fontId="7"/>
  </si>
  <si>
    <t>在庫確認</t>
    <rPh sb="0" eb="4">
      <t>ザイコカクニン</t>
    </rPh>
    <phoneticPr fontId="7"/>
  </si>
  <si>
    <t>JOD特別版1027</t>
    <rPh sb="3" eb="6">
      <t>トクベツバン</t>
    </rPh>
    <phoneticPr fontId="7"/>
  </si>
  <si>
    <t>JOD①</t>
    <phoneticPr fontId="7"/>
  </si>
  <si>
    <t>JOD①</t>
    <phoneticPr fontId="7"/>
  </si>
  <si>
    <t>JOD②</t>
    <phoneticPr fontId="7"/>
  </si>
  <si>
    <t>JOD②</t>
    <phoneticPr fontId="7"/>
  </si>
  <si>
    <t>JOD③</t>
    <phoneticPr fontId="7"/>
  </si>
  <si>
    <t>JOD④</t>
    <phoneticPr fontId="7"/>
  </si>
  <si>
    <t>夢販</t>
    <rPh sb="0" eb="2">
      <t>ユメハン</t>
    </rPh>
    <phoneticPr fontId="7"/>
  </si>
  <si>
    <t>JOD⑤</t>
    <phoneticPr fontId="7"/>
  </si>
  <si>
    <t>JOD⑤</t>
    <phoneticPr fontId="7"/>
  </si>
  <si>
    <t>JOD⑥</t>
    <phoneticPr fontId="7"/>
  </si>
  <si>
    <t>JOD⑦</t>
    <phoneticPr fontId="7"/>
  </si>
  <si>
    <t>JOD⑧</t>
    <phoneticPr fontId="7"/>
  </si>
  <si>
    <t>JOD⑨</t>
    <phoneticPr fontId="7"/>
  </si>
  <si>
    <t>JOD特別号R9889</t>
    <rPh sb="3" eb="5">
      <t>トクベツ</t>
    </rPh>
    <rPh sb="5" eb="6">
      <t>ゴウ</t>
    </rPh>
    <phoneticPr fontId="7"/>
  </si>
  <si>
    <t>11/4～</t>
    <phoneticPr fontId="7"/>
  </si>
  <si>
    <t>JOD⑩</t>
    <phoneticPr fontId="7"/>
  </si>
  <si>
    <t>JOD⑪</t>
    <phoneticPr fontId="7"/>
  </si>
  <si>
    <t>JOD⑫</t>
    <phoneticPr fontId="7"/>
  </si>
  <si>
    <t>JOD⑬</t>
    <phoneticPr fontId="7"/>
  </si>
  <si>
    <t>JOD⑭</t>
    <phoneticPr fontId="7"/>
  </si>
  <si>
    <t>JOD⑭</t>
    <phoneticPr fontId="7"/>
  </si>
  <si>
    <t>JOD⑮西濃</t>
    <rPh sb="4" eb="6">
      <t>セイノウ</t>
    </rPh>
    <phoneticPr fontId="7"/>
  </si>
  <si>
    <t>JOD⑮</t>
    <phoneticPr fontId="7"/>
  </si>
  <si>
    <t>JOD⑮</t>
    <phoneticPr fontId="7"/>
  </si>
  <si>
    <t>JOD特別号9581</t>
    <rPh sb="3" eb="5">
      <t>トクベツ</t>
    </rPh>
    <rPh sb="5" eb="6">
      <t>ゴウ</t>
    </rPh>
    <phoneticPr fontId="7"/>
  </si>
  <si>
    <t>夢販</t>
    <rPh sb="0" eb="1">
      <t>ユメ</t>
    </rPh>
    <rPh sb="1" eb="2">
      <t>ハン</t>
    </rPh>
    <phoneticPr fontId="7"/>
  </si>
  <si>
    <t>JOD⑯</t>
    <phoneticPr fontId="7"/>
  </si>
  <si>
    <t>JOD⑰</t>
    <phoneticPr fontId="7"/>
  </si>
  <si>
    <t>JOD⑱</t>
    <phoneticPr fontId="7"/>
  </si>
  <si>
    <t>JOD⑱</t>
    <phoneticPr fontId="7"/>
  </si>
  <si>
    <t>JOD⑲</t>
    <phoneticPr fontId="7"/>
  </si>
  <si>
    <t>JOD⑲</t>
    <phoneticPr fontId="7"/>
  </si>
  <si>
    <t>JOD⑳</t>
    <phoneticPr fontId="7"/>
  </si>
  <si>
    <t>JOD⑳</t>
    <phoneticPr fontId="7"/>
  </si>
  <si>
    <t>JOD㉑</t>
    <phoneticPr fontId="7"/>
  </si>
  <si>
    <t>JOD㉑</t>
    <phoneticPr fontId="7"/>
  </si>
  <si>
    <t>JOD㉒</t>
    <phoneticPr fontId="7"/>
  </si>
  <si>
    <t>JOD㉒</t>
    <phoneticPr fontId="7"/>
  </si>
  <si>
    <t>JOD㉓</t>
    <phoneticPr fontId="7"/>
  </si>
  <si>
    <t>JOD㉓</t>
    <phoneticPr fontId="7"/>
  </si>
  <si>
    <t>JOD㉔</t>
    <phoneticPr fontId="7"/>
  </si>
  <si>
    <t>JOD㉕</t>
    <phoneticPr fontId="7"/>
  </si>
  <si>
    <t>JOD㉔</t>
    <phoneticPr fontId="7"/>
  </si>
  <si>
    <t>JOD㉖</t>
    <phoneticPr fontId="7"/>
  </si>
  <si>
    <t>JOD㉕</t>
    <phoneticPr fontId="7"/>
  </si>
  <si>
    <t>JOD㉗</t>
    <phoneticPr fontId="7"/>
  </si>
  <si>
    <t>JOD㉖</t>
    <phoneticPr fontId="7"/>
  </si>
  <si>
    <t>JOD㉘</t>
    <phoneticPr fontId="7"/>
  </si>
  <si>
    <t>JOD㉗</t>
    <phoneticPr fontId="7"/>
  </si>
  <si>
    <t>JOD㉙</t>
    <phoneticPr fontId="7"/>
  </si>
  <si>
    <t>JOD㉘</t>
    <phoneticPr fontId="7"/>
  </si>
  <si>
    <t>JOD㉚</t>
    <phoneticPr fontId="7"/>
  </si>
  <si>
    <t>JOD㉙</t>
    <phoneticPr fontId="7"/>
  </si>
  <si>
    <t>JOD㉛</t>
    <phoneticPr fontId="7"/>
  </si>
  <si>
    <t>JOD㉚</t>
    <phoneticPr fontId="7"/>
  </si>
  <si>
    <t>JOD㉜</t>
    <phoneticPr fontId="7"/>
  </si>
  <si>
    <t>JOD㉛</t>
    <phoneticPr fontId="7"/>
  </si>
  <si>
    <t>JOD㉜</t>
    <phoneticPr fontId="7"/>
  </si>
  <si>
    <t>JOD㉝</t>
    <phoneticPr fontId="7"/>
  </si>
  <si>
    <t>JOD㉞</t>
    <phoneticPr fontId="7"/>
  </si>
  <si>
    <t>JOD㉟</t>
    <phoneticPr fontId="7"/>
  </si>
  <si>
    <t>K-PORT</t>
    <phoneticPr fontId="7"/>
  </si>
  <si>
    <t>JOD㉝</t>
    <phoneticPr fontId="7"/>
  </si>
  <si>
    <t>JOD㊱</t>
    <phoneticPr fontId="7"/>
  </si>
  <si>
    <t>JOD㉞</t>
    <phoneticPr fontId="7"/>
  </si>
  <si>
    <t>JOD㉟</t>
    <phoneticPr fontId="7"/>
  </si>
  <si>
    <t>JOD㊲</t>
    <phoneticPr fontId="7"/>
  </si>
  <si>
    <t>JOD㊱</t>
    <phoneticPr fontId="7"/>
  </si>
  <si>
    <t>JOD㊳</t>
    <phoneticPr fontId="7"/>
  </si>
  <si>
    <t>JOD㊳</t>
    <phoneticPr fontId="7"/>
  </si>
  <si>
    <t>JOD㊵</t>
    <phoneticPr fontId="7"/>
  </si>
  <si>
    <t>JOD㊴</t>
    <phoneticPr fontId="7"/>
  </si>
  <si>
    <t>JOD㊶</t>
    <phoneticPr fontId="7"/>
  </si>
  <si>
    <t>JOD㊷</t>
    <phoneticPr fontId="7"/>
  </si>
  <si>
    <t>JOD返品</t>
    <rPh sb="3" eb="5">
      <t>ヘンピン</t>
    </rPh>
    <phoneticPr fontId="2"/>
  </si>
  <si>
    <t>JOD㊵</t>
    <phoneticPr fontId="7"/>
  </si>
  <si>
    <t>JOD㊸</t>
    <phoneticPr fontId="7"/>
  </si>
  <si>
    <t>KPORT</t>
    <phoneticPr fontId="2"/>
  </si>
  <si>
    <t>JOD㊶</t>
    <phoneticPr fontId="7"/>
  </si>
  <si>
    <t>JOD㊹</t>
    <phoneticPr fontId="7"/>
  </si>
  <si>
    <t>JOD㊷</t>
    <phoneticPr fontId="7"/>
  </si>
  <si>
    <t>JOD㊺</t>
    <phoneticPr fontId="7"/>
  </si>
  <si>
    <t>JOD㊸</t>
    <phoneticPr fontId="7"/>
  </si>
  <si>
    <t>JOD㊹</t>
    <phoneticPr fontId="7"/>
  </si>
  <si>
    <t>2023年12月8日までの実績</t>
    <rPh sb="4" eb="5">
      <t>ネン</t>
    </rPh>
    <rPh sb="7" eb="8">
      <t>ガツ</t>
    </rPh>
    <rPh sb="9" eb="10">
      <t>カ</t>
    </rPh>
    <rPh sb="13" eb="15">
      <t>ジッセキ</t>
    </rPh>
    <phoneticPr fontId="7"/>
  </si>
  <si>
    <t>JOD㊺</t>
    <phoneticPr fontId="7"/>
  </si>
  <si>
    <t>JOD㊻</t>
    <phoneticPr fontId="7"/>
  </si>
  <si>
    <t>JOD㊻</t>
    <phoneticPr fontId="7"/>
  </si>
  <si>
    <t>JOD㊼</t>
    <phoneticPr fontId="7"/>
  </si>
  <si>
    <t>JOD㊼</t>
    <phoneticPr fontId="7"/>
  </si>
  <si>
    <t>JOD㊽</t>
    <phoneticPr fontId="7"/>
  </si>
  <si>
    <t>JOD㊽</t>
    <phoneticPr fontId="7"/>
  </si>
  <si>
    <t>JOD㊾</t>
    <phoneticPr fontId="7"/>
  </si>
  <si>
    <t>JOD㊾</t>
    <phoneticPr fontId="7"/>
  </si>
  <si>
    <t>JOD㊿</t>
    <phoneticPr fontId="7"/>
  </si>
  <si>
    <t>JOD51</t>
    <phoneticPr fontId="7"/>
  </si>
  <si>
    <t>JOD59</t>
    <phoneticPr fontId="7"/>
  </si>
  <si>
    <t>＜AR両起毛当付き　スラ下　No.4615-503～505　夢販在庫＞</t>
    <phoneticPr fontId="2"/>
  </si>
  <si>
    <t>ここから２０２４年AW</t>
    <rPh sb="8" eb="9">
      <t>ネン</t>
    </rPh>
    <phoneticPr fontId="7"/>
  </si>
  <si>
    <t>クライム</t>
    <phoneticPr fontId="7"/>
  </si>
  <si>
    <t>10月伝票</t>
    <rPh sb="2" eb="3">
      <t>ガツ</t>
    </rPh>
    <rPh sb="3" eb="5">
      <t>デンピョウ</t>
    </rPh>
    <phoneticPr fontId="7"/>
  </si>
  <si>
    <t>10月伝票</t>
    <rPh sb="2" eb="5">
      <t>ガツデンピョウ</t>
    </rPh>
    <phoneticPr fontId="7"/>
  </si>
  <si>
    <t>9/24～</t>
    <phoneticPr fontId="7"/>
  </si>
  <si>
    <t>JOD特別版0925(表4)</t>
    <rPh sb="3" eb="6">
      <t>トクベツバン</t>
    </rPh>
    <rPh sb="11" eb="12">
      <t>ヒョウ</t>
    </rPh>
    <phoneticPr fontId="7"/>
  </si>
  <si>
    <t>JOD特別版0925（表4）</t>
    <rPh sb="3" eb="6">
      <t>トクベツバン</t>
    </rPh>
    <rPh sb="11" eb="12">
      <t>ヒョウ</t>
    </rPh>
    <phoneticPr fontId="7"/>
  </si>
  <si>
    <t>9/14ship</t>
    <phoneticPr fontId="7"/>
  </si>
  <si>
    <t>9/14ship</t>
    <phoneticPr fontId="7"/>
  </si>
  <si>
    <t>追加５ 不足分</t>
    <rPh sb="0" eb="2">
      <t>ツイカ</t>
    </rPh>
    <rPh sb="4" eb="7">
      <t>フソクブン</t>
    </rPh>
    <phoneticPr fontId="2"/>
  </si>
  <si>
    <t>追加５　不足分</t>
    <rPh sb="0" eb="2">
      <t>ツイカ</t>
    </rPh>
    <rPh sb="4" eb="7">
      <t>フソクブン</t>
    </rPh>
    <phoneticPr fontId="2"/>
  </si>
  <si>
    <t>2024/9/25数伝</t>
    <rPh sb="9" eb="11">
      <t>スウデン</t>
    </rPh>
    <phoneticPr fontId="7"/>
  </si>
  <si>
    <t>2024/9/25数伝</t>
    <rPh sb="9" eb="11">
      <t>スウデン</t>
    </rPh>
    <phoneticPr fontId="7"/>
  </si>
  <si>
    <t>JOD①</t>
    <phoneticPr fontId="7"/>
  </si>
  <si>
    <t>JOD①</t>
    <phoneticPr fontId="7"/>
  </si>
  <si>
    <t>夢販</t>
    <rPh sb="0" eb="2">
      <t>ユメハン</t>
    </rPh>
    <phoneticPr fontId="7"/>
  </si>
  <si>
    <t>夢販</t>
    <rPh sb="0" eb="2">
      <t>ユメハン</t>
    </rPh>
    <phoneticPr fontId="7"/>
  </si>
  <si>
    <t>2024/10/4伝数</t>
    <rPh sb="9" eb="10">
      <t>デン</t>
    </rPh>
    <rPh sb="10" eb="11">
      <t>スウ</t>
    </rPh>
    <phoneticPr fontId="7"/>
  </si>
  <si>
    <t>JOD特別号R9801</t>
    <rPh sb="3" eb="6">
      <t>トクベツゴウ</t>
    </rPh>
    <phoneticPr fontId="7"/>
  </si>
  <si>
    <t>K-PORT</t>
    <phoneticPr fontId="7"/>
  </si>
  <si>
    <t>JODへ確認分</t>
    <rPh sb="4" eb="7">
      <t>カクニンブン</t>
    </rPh>
    <phoneticPr fontId="2"/>
  </si>
  <si>
    <t>JODへ確認分返却</t>
    <rPh sb="4" eb="7">
      <t>カクニンブン</t>
    </rPh>
    <rPh sb="7" eb="9">
      <t>ヘンキャク</t>
    </rPh>
    <phoneticPr fontId="2"/>
  </si>
  <si>
    <t>JOD52</t>
    <phoneticPr fontId="7"/>
  </si>
  <si>
    <t>JOD2/末まで</t>
    <rPh sb="5" eb="6">
      <t>マツ</t>
    </rPh>
    <phoneticPr fontId="7"/>
  </si>
  <si>
    <t>クライム返品</t>
    <rPh sb="4" eb="6">
      <t>ヘンピン</t>
    </rPh>
    <phoneticPr fontId="7"/>
  </si>
  <si>
    <t>２０２４年度実績</t>
    <rPh sb="4" eb="5">
      <t>ネン</t>
    </rPh>
    <rPh sb="5" eb="6">
      <t>ド</t>
    </rPh>
    <rPh sb="6" eb="8">
      <t>ジッセキ</t>
    </rPh>
    <phoneticPr fontId="7"/>
  </si>
  <si>
    <t>追加２ 2-1</t>
    <rPh sb="0" eb="2">
      <t>ツイカ</t>
    </rPh>
    <phoneticPr fontId="2"/>
  </si>
  <si>
    <t>追加２　2-1</t>
    <rPh sb="0" eb="2">
      <t>ツイカ</t>
    </rPh>
    <phoneticPr fontId="2"/>
  </si>
  <si>
    <t>8/30ship</t>
    <phoneticPr fontId="7"/>
  </si>
  <si>
    <t>夢販</t>
    <rPh sb="0" eb="2">
      <t>ユメハン</t>
    </rPh>
    <phoneticPr fontId="7"/>
  </si>
  <si>
    <t>JOD特別版0925</t>
    <rPh sb="3" eb="6">
      <t>トクベツバン</t>
    </rPh>
    <phoneticPr fontId="7"/>
  </si>
  <si>
    <t>２０２５年度AW～ レース変更</t>
    <rPh sb="4" eb="5">
      <t>ネン</t>
    </rPh>
    <rPh sb="5" eb="6">
      <t>ド</t>
    </rPh>
    <rPh sb="13" eb="15">
      <t>ヘンコウ</t>
    </rPh>
    <phoneticPr fontId="7"/>
  </si>
  <si>
    <t>２０２５年度AW～レース変更</t>
    <rPh sb="4" eb="5">
      <t>ネン</t>
    </rPh>
    <rPh sb="5" eb="6">
      <t>ド</t>
    </rPh>
    <rPh sb="12" eb="14">
      <t>ヘンコウ</t>
    </rPh>
    <phoneticPr fontId="7"/>
  </si>
  <si>
    <t>追加３　2-2</t>
    <rPh sb="0" eb="2">
      <t>ツイカ</t>
    </rPh>
    <phoneticPr fontId="2"/>
  </si>
  <si>
    <t>追加３ 2-2</t>
    <rPh sb="0" eb="2">
      <t>ツイカ</t>
    </rPh>
    <phoneticPr fontId="2"/>
  </si>
  <si>
    <t>2025/9/9数伝</t>
    <rPh sb="8" eb="10">
      <t>スウデン</t>
    </rPh>
    <phoneticPr fontId="7"/>
  </si>
  <si>
    <t>JOD特別版1028(表4)</t>
    <rPh sb="3" eb="6">
      <t>トクベツバン</t>
    </rPh>
    <rPh sb="11" eb="12">
      <t>ヒョウ</t>
    </rPh>
    <phoneticPr fontId="7"/>
  </si>
  <si>
    <t>JODメルシー1106</t>
    <phoneticPr fontId="7"/>
  </si>
  <si>
    <t>JOD特別版1028（表4）</t>
    <rPh sb="3" eb="6">
      <t>トクベツバン</t>
    </rPh>
    <rPh sb="11" eb="12">
      <t>ヒョウ</t>
    </rPh>
    <phoneticPr fontId="7"/>
  </si>
  <si>
    <t>JOD特別号R9814</t>
    <rPh sb="3" eb="6">
      <t>トクベツゴウ</t>
    </rPh>
    <phoneticPr fontId="7"/>
  </si>
  <si>
    <t>JOD特別号9546</t>
    <rPh sb="3" eb="6">
      <t>トクベツゴウ</t>
    </rPh>
    <phoneticPr fontId="7"/>
  </si>
  <si>
    <t>入荷済み分</t>
    <rPh sb="0" eb="3">
      <t>ニュウカズ</t>
    </rPh>
    <rPh sb="4" eb="5">
      <t>ブン</t>
    </rPh>
    <phoneticPr fontId="2"/>
  </si>
  <si>
    <t>11/22ship</t>
    <phoneticPr fontId="7"/>
  </si>
  <si>
    <t>JODメルシー1204</t>
    <phoneticPr fontId="7"/>
  </si>
  <si>
    <t>12/4～</t>
    <phoneticPr fontId="7"/>
  </si>
  <si>
    <t>実績構成比</t>
    <rPh sb="0" eb="2">
      <t>ジッセキ</t>
    </rPh>
    <rPh sb="2" eb="5">
      <t>コウセイヒ</t>
    </rPh>
    <phoneticPr fontId="7"/>
  </si>
  <si>
    <t>在庫構成比</t>
    <rPh sb="0" eb="2">
      <t>ザイコ</t>
    </rPh>
    <rPh sb="2" eb="5">
      <t>コウセイヒ</t>
    </rPh>
    <phoneticPr fontId="7"/>
  </si>
  <si>
    <t>2025/11/12数伝</t>
    <rPh sb="10" eb="12">
      <t>スウデン</t>
    </rPh>
    <phoneticPr fontId="7"/>
  </si>
  <si>
    <t>JOD特別版1225</t>
    <rPh sb="3" eb="6">
      <t>トクベツバン</t>
    </rPh>
    <phoneticPr fontId="7"/>
  </si>
  <si>
    <t>KPORT</t>
    <phoneticPr fontId="7"/>
  </si>
  <si>
    <t>JOD残</t>
    <rPh sb="3" eb="4">
      <t>ザン</t>
    </rPh>
    <phoneticPr fontId="7"/>
  </si>
  <si>
    <t>JOD特別号9816</t>
    <rPh sb="3" eb="6">
      <t>トクベツゴウ</t>
    </rPh>
    <phoneticPr fontId="7"/>
  </si>
  <si>
    <t>1/9～</t>
    <phoneticPr fontId="7"/>
  </si>
  <si>
    <t>JOD特別号R9816</t>
    <rPh sb="3" eb="6">
      <t>トクベツゴウ</t>
    </rPh>
    <phoneticPr fontId="7"/>
  </si>
  <si>
    <t>2025/12/8数伝</t>
    <rPh sb="9" eb="11">
      <t>スウデン</t>
    </rPh>
    <phoneticPr fontId="7"/>
  </si>
  <si>
    <t>2025/1/10→12/8数伝</t>
    <rPh sb="14" eb="16">
      <t>スウデン</t>
    </rPh>
    <phoneticPr fontId="7"/>
  </si>
  <si>
    <t>→12/8数伝</t>
    <rPh sb="5" eb="7">
      <t>スウデン</t>
    </rPh>
    <phoneticPr fontId="7"/>
  </si>
  <si>
    <t>JOD特別号9553</t>
    <rPh sb="3" eb="6">
      <t>トクベツゴウ</t>
    </rPh>
    <phoneticPr fontId="7"/>
  </si>
  <si>
    <t>1/29～</t>
    <phoneticPr fontId="7"/>
  </si>
  <si>
    <t>KPORT</t>
    <phoneticPr fontId="7"/>
  </si>
  <si>
    <t>ゆめはん移動</t>
    <rPh sb="4" eb="6">
      <t>イドウ</t>
    </rPh>
    <phoneticPr fontId="2"/>
  </si>
  <si>
    <t>JOD特別版0211</t>
    <rPh sb="3" eb="5">
      <t>トクベツ</t>
    </rPh>
    <rPh sb="5" eb="6">
      <t>バン</t>
    </rPh>
    <phoneticPr fontId="7"/>
  </si>
  <si>
    <t>2/10～</t>
    <phoneticPr fontId="7"/>
  </si>
  <si>
    <t>2025/1/10数伝</t>
    <rPh sb="9" eb="11">
      <t>スウデン</t>
    </rPh>
    <phoneticPr fontId="7"/>
  </si>
  <si>
    <t>JOD特別版0226</t>
    <rPh sb="3" eb="5">
      <t>トクベツ</t>
    </rPh>
    <rPh sb="5" eb="6">
      <t>バン</t>
    </rPh>
    <phoneticPr fontId="7"/>
  </si>
  <si>
    <t>2/25～</t>
    <phoneticPr fontId="7"/>
  </si>
  <si>
    <t>JOD61</t>
    <phoneticPr fontId="7"/>
  </si>
  <si>
    <t>KPORT</t>
    <phoneticPr fontId="7"/>
  </si>
  <si>
    <t>KPORT</t>
    <phoneticPr fontId="7"/>
  </si>
  <si>
    <t>JOD80</t>
    <phoneticPr fontId="7"/>
  </si>
  <si>
    <t>JOD82</t>
    <phoneticPr fontId="7"/>
  </si>
  <si>
    <t>→ここまで在庫確認済2/26</t>
    <rPh sb="0" eb="10">
      <t>ヤジルシココマデザイコカクニンスミ</t>
    </rPh>
    <phoneticPr fontId="7"/>
  </si>
  <si>
    <t>在庫確認</t>
    <rPh sb="0" eb="2">
      <t>ザイコ</t>
    </rPh>
    <rPh sb="2" eb="4">
      <t>カクニン</t>
    </rPh>
    <phoneticPr fontId="7"/>
  </si>
  <si>
    <t>JOD88</t>
    <phoneticPr fontId="7"/>
  </si>
  <si>
    <t>JOD94</t>
    <phoneticPr fontId="7"/>
  </si>
  <si>
    <t>JOD94</t>
    <phoneticPr fontId="7"/>
  </si>
  <si>
    <t>KPORT</t>
    <phoneticPr fontId="7"/>
  </si>
  <si>
    <t xml:space="preserve">２０２６年度AW～ </t>
    <rPh sb="4" eb="5">
      <t>ネン</t>
    </rPh>
    <rPh sb="5" eb="6">
      <t>ド</t>
    </rPh>
    <phoneticPr fontId="7"/>
  </si>
  <si>
    <t>２０２６年度AW～</t>
    <rPh sb="4" eb="5">
      <t>ネン</t>
    </rPh>
    <rPh sb="5" eb="6">
      <t>ド</t>
    </rPh>
    <phoneticPr fontId="7"/>
  </si>
  <si>
    <t>２０２５年実績</t>
    <rPh sb="4" eb="5">
      <t>ネン</t>
    </rPh>
    <rPh sb="5" eb="7">
      <t>ジッセキ</t>
    </rPh>
    <phoneticPr fontId="7"/>
  </si>
  <si>
    <t>JOD97</t>
  </si>
  <si>
    <t>JOD97</t>
    <phoneticPr fontId="7"/>
  </si>
  <si>
    <t>ゆめはん</t>
    <phoneticPr fontId="2"/>
  </si>
  <si>
    <t>JOD98</t>
    <phoneticPr fontId="7"/>
  </si>
  <si>
    <t>＜AR両起毛当付き　８分袖インナー@520　No.4615-500～502K-PORT在庫＞</t>
    <rPh sb="43" eb="45">
      <t>ザイコ</t>
    </rPh>
    <phoneticPr fontId="2"/>
  </si>
  <si>
    <t>＜AR両起毛当付き　スラ下@520　No.4615-503～505　K-PORT在庫＞</t>
    <rPh sb="40" eb="42">
      <t>ザイコ</t>
    </rPh>
    <phoneticPr fontId="2"/>
  </si>
  <si>
    <t>営業sample</t>
    <rPh sb="0" eb="2">
      <t>エイギョウ</t>
    </rPh>
    <phoneticPr fontId="7"/>
  </si>
  <si>
    <t>JOD99</t>
  </si>
  <si>
    <t>JOD100</t>
  </si>
  <si>
    <t>サクラマチsample</t>
    <phoneticPr fontId="7"/>
  </si>
  <si>
    <t>追加２ 3-1</t>
    <rPh sb="0" eb="2">
      <t>ツイカ</t>
    </rPh>
    <phoneticPr fontId="2"/>
  </si>
  <si>
    <t>追加２ 3-2</t>
    <rPh sb="0" eb="2">
      <t>ツイカ</t>
    </rPh>
    <phoneticPr fontId="2"/>
  </si>
  <si>
    <t>追加４ 3-3</t>
    <rPh sb="0" eb="2">
      <t>ツイカ</t>
    </rPh>
    <phoneticPr fontId="2"/>
  </si>
  <si>
    <t>1/初旬</t>
    <rPh sb="2" eb="4">
      <t>ショジュン</t>
    </rPh>
    <phoneticPr fontId="7"/>
  </si>
  <si>
    <t>追加２ 3-3</t>
    <rPh sb="0" eb="2">
      <t>ツイカ</t>
    </rPh>
    <phoneticPr fontId="2"/>
  </si>
  <si>
    <t>予定</t>
    <rPh sb="0" eb="2">
      <t>ヨテイ</t>
    </rPh>
    <phoneticPr fontId="7"/>
  </si>
  <si>
    <t>サクラマチ（こうべ）　2色組</t>
    <rPh sb="12" eb="13">
      <t>ショク</t>
    </rPh>
    <rPh sb="13" eb="14">
      <t>グミ</t>
    </rPh>
    <phoneticPr fontId="7"/>
  </si>
  <si>
    <t>サクラマチ（ユーコープ）2色組</t>
    <phoneticPr fontId="7"/>
  </si>
  <si>
    <t>JOD2026年度2色組</t>
    <rPh sb="7" eb="9">
      <t>ネンド</t>
    </rPh>
    <phoneticPr fontId="7"/>
  </si>
  <si>
    <t>サクラマチ（こうべ）2色組</t>
    <phoneticPr fontId="7"/>
  </si>
  <si>
    <t>ゆめはん</t>
    <phoneticPr fontId="7"/>
  </si>
  <si>
    <t>宇治田原（なごみ）11月号①</t>
    <rPh sb="0" eb="4">
      <t>ウジタワラ</t>
    </rPh>
    <rPh sb="11" eb="13">
      <t>ガツゴウ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</si>
</sst>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i/>
      <sz val="26"/>
      <color theme="1"/>
      <name val="ＭＳ Ｐゴシック"/>
      <family val="3"/>
      <charset val="128"/>
      <scheme val="minor"/>
    </font>
    <font>
      <b/>
      <sz val="2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4">
    <xf numFmtId="0" fontId="0" fillId="0" borderId="0" xfId="0">
      <alignment vertical="center"/>
    </xf>
    <xf numFmtId="0" fontId="1" fillId="0" borderId="0" xfId="1"/>
    <xf numFmtId="0" fontId="6" fillId="0" borderId="14" xfId="1" applyFont="1" applyBorder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10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1" fillId="0" borderId="24" xfId="1" applyBorder="1"/>
    <xf numFmtId="0" fontId="1" fillId="0" borderId="25" xfId="1" applyBorder="1"/>
    <xf numFmtId="0" fontId="5" fillId="0" borderId="27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6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6" fillId="0" borderId="27" xfId="1" applyNumberFormat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6" fillId="0" borderId="11" xfId="1" applyFont="1" applyBorder="1"/>
    <xf numFmtId="0" fontId="1" fillId="0" borderId="28" xfId="1" applyBorder="1"/>
    <xf numFmtId="0" fontId="1" fillId="0" borderId="29" xfId="1" applyBorder="1"/>
    <xf numFmtId="0" fontId="1" fillId="0" borderId="32" xfId="1" applyBorder="1"/>
    <xf numFmtId="0" fontId="6" fillId="0" borderId="27" xfId="1" applyFont="1" applyBorder="1" applyAlignment="1">
      <alignment horizontal="center" vertical="center"/>
    </xf>
    <xf numFmtId="0" fontId="6" fillId="0" borderId="15" xfId="1" applyFont="1" applyBorder="1"/>
    <xf numFmtId="0" fontId="1" fillId="0" borderId="33" xfId="1" applyBorder="1"/>
    <xf numFmtId="0" fontId="6" fillId="0" borderId="12" xfId="1" applyFont="1" applyBorder="1"/>
    <xf numFmtId="0" fontId="6" fillId="0" borderId="13" xfId="1" applyFont="1" applyBorder="1"/>
    <xf numFmtId="0" fontId="8" fillId="0" borderId="0" xfId="0" applyFont="1">
      <alignment vertical="center"/>
    </xf>
    <xf numFmtId="0" fontId="1" fillId="0" borderId="27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31" xfId="1" applyBorder="1"/>
    <xf numFmtId="0" fontId="1" fillId="0" borderId="11" xfId="1" applyBorder="1"/>
    <xf numFmtId="0" fontId="1" fillId="0" borderId="1" xfId="1" applyBorder="1"/>
    <xf numFmtId="0" fontId="1" fillId="0" borderId="2" xfId="1" applyBorder="1"/>
    <xf numFmtId="0" fontId="1" fillId="0" borderId="15" xfId="1" applyBorder="1"/>
    <xf numFmtId="0" fontId="1" fillId="0" borderId="5" xfId="1" applyBorder="1"/>
    <xf numFmtId="0" fontId="5" fillId="0" borderId="34" xfId="1" applyFont="1" applyBorder="1"/>
    <xf numFmtId="0" fontId="1" fillId="0" borderId="40" xfId="1" applyBorder="1"/>
    <xf numFmtId="0" fontId="1" fillId="0" borderId="39" xfId="1" applyBorder="1"/>
    <xf numFmtId="0" fontId="1" fillId="0" borderId="41" xfId="1" applyBorder="1"/>
    <xf numFmtId="0" fontId="1" fillId="0" borderId="42" xfId="1" applyBorder="1"/>
    <xf numFmtId="0" fontId="5" fillId="0" borderId="30" xfId="1" applyFont="1" applyBorder="1"/>
    <xf numFmtId="0" fontId="5" fillId="0" borderId="36" xfId="1" applyFont="1" applyBorder="1"/>
    <xf numFmtId="0" fontId="5" fillId="0" borderId="43" xfId="1" applyFont="1" applyBorder="1"/>
    <xf numFmtId="0" fontId="1" fillId="0" borderId="3" xfId="1" applyBorder="1"/>
    <xf numFmtId="0" fontId="1" fillId="0" borderId="38" xfId="1" applyBorder="1"/>
    <xf numFmtId="0" fontId="1" fillId="0" borderId="14" xfId="1" applyBorder="1"/>
    <xf numFmtId="0" fontId="1" fillId="0" borderId="35" xfId="1" applyBorder="1"/>
    <xf numFmtId="56" fontId="9" fillId="0" borderId="0" xfId="0" applyNumberFormat="1" applyFont="1">
      <alignment vertical="center"/>
    </xf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56" fontId="9" fillId="0" borderId="37" xfId="0" applyNumberFormat="1" applyFont="1" applyBorder="1">
      <alignment vertical="center"/>
    </xf>
    <xf numFmtId="0" fontId="9" fillId="0" borderId="0" xfId="0" applyFont="1">
      <alignment vertical="center"/>
    </xf>
    <xf numFmtId="0" fontId="9" fillId="0" borderId="46" xfId="0" applyFont="1" applyBorder="1">
      <alignment vertical="center"/>
    </xf>
    <xf numFmtId="56" fontId="1" fillId="0" borderId="27" xfId="1" applyNumberFormat="1" applyBorder="1" applyAlignment="1">
      <alignment horizontal="center" vertical="center"/>
    </xf>
    <xf numFmtId="0" fontId="6" fillId="0" borderId="6" xfId="1" applyFont="1" applyBorder="1"/>
    <xf numFmtId="0" fontId="6" fillId="0" borderId="7" xfId="1" applyFont="1" applyBorder="1"/>
    <xf numFmtId="0" fontId="6" fillId="0" borderId="39" xfId="1" applyFont="1" applyBorder="1"/>
    <xf numFmtId="0" fontId="6" fillId="0" borderId="10" xfId="1" applyFont="1" applyBorder="1"/>
    <xf numFmtId="0" fontId="1" fillId="0" borderId="47" xfId="1" applyBorder="1"/>
    <xf numFmtId="0" fontId="1" fillId="0" borderId="48" xfId="1" applyBorder="1"/>
    <xf numFmtId="0" fontId="1" fillId="0" borderId="49" xfId="1" applyBorder="1"/>
    <xf numFmtId="0" fontId="1" fillId="0" borderId="23" xfId="1" applyBorder="1"/>
    <xf numFmtId="0" fontId="1" fillId="0" borderId="50" xfId="1" applyBorder="1"/>
    <xf numFmtId="0" fontId="1" fillId="0" borderId="51" xfId="1" applyBorder="1"/>
    <xf numFmtId="0" fontId="1" fillId="0" borderId="52" xfId="1" applyBorder="1"/>
    <xf numFmtId="0" fontId="1" fillId="0" borderId="53" xfId="1" applyBorder="1"/>
    <xf numFmtId="0" fontId="1" fillId="0" borderId="48" xfId="1" applyBorder="1" applyAlignment="1">
      <alignment horizontal="center" vertical="center" shrinkToFit="1"/>
    </xf>
    <xf numFmtId="0" fontId="9" fillId="0" borderId="46" xfId="0" applyFont="1" applyBorder="1" applyAlignment="1">
      <alignment horizontal="center" vertical="center"/>
    </xf>
    <xf numFmtId="0" fontId="4" fillId="0" borderId="16" xfId="1" applyFont="1" applyBorder="1"/>
    <xf numFmtId="0" fontId="4" fillId="0" borderId="6" xfId="1" applyFont="1" applyBorder="1"/>
    <xf numFmtId="56" fontId="6" fillId="0" borderId="26" xfId="1" applyNumberFormat="1" applyFont="1" applyBorder="1" applyAlignment="1">
      <alignment horizontal="center" vertical="center"/>
    </xf>
    <xf numFmtId="0" fontId="1" fillId="0" borderId="54" xfId="1" applyBorder="1" applyAlignment="1">
      <alignment horizontal="center" vertical="center" shrinkToFit="1"/>
    </xf>
    <xf numFmtId="0" fontId="1" fillId="0" borderId="46" xfId="1" applyBorder="1"/>
    <xf numFmtId="0" fontId="6" fillId="0" borderId="0" xfId="1" applyFont="1"/>
    <xf numFmtId="0" fontId="6" fillId="0" borderId="9" xfId="1" applyFont="1" applyBorder="1"/>
    <xf numFmtId="0" fontId="6" fillId="0" borderId="8" xfId="1" applyFont="1" applyBorder="1"/>
    <xf numFmtId="1" fontId="1" fillId="0" borderId="47" xfId="1" applyNumberFormat="1" applyBorder="1"/>
    <xf numFmtId="1" fontId="1" fillId="0" borderId="48" xfId="1" applyNumberFormat="1" applyBorder="1"/>
    <xf numFmtId="176" fontId="1" fillId="0" borderId="49" xfId="1" applyNumberFormat="1" applyBorder="1"/>
    <xf numFmtId="1" fontId="1" fillId="0" borderId="6" xfId="1" applyNumberFormat="1" applyBorder="1"/>
    <xf numFmtId="1" fontId="1" fillId="0" borderId="7" xfId="1" applyNumberFormat="1" applyBorder="1"/>
    <xf numFmtId="1" fontId="1" fillId="0" borderId="39" xfId="1" applyNumberFormat="1" applyBorder="1"/>
    <xf numFmtId="0" fontId="0" fillId="0" borderId="0" xfId="0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34" xfId="1" applyBorder="1"/>
    <xf numFmtId="0" fontId="1" fillId="0" borderId="36" xfId="1" applyBorder="1"/>
    <xf numFmtId="0" fontId="1" fillId="0" borderId="43" xfId="1" applyBorder="1"/>
    <xf numFmtId="0" fontId="1" fillId="0" borderId="55" xfId="1" applyBorder="1"/>
    <xf numFmtId="0" fontId="1" fillId="0" borderId="56" xfId="1" applyBorder="1"/>
    <xf numFmtId="0" fontId="1" fillId="0" borderId="57" xfId="1" applyBorder="1"/>
    <xf numFmtId="0" fontId="1" fillId="0" borderId="5" xfId="1" applyBorder="1" applyAlignment="1">
      <alignment horizontal="center" vertical="center" shrinkToFit="1"/>
    </xf>
    <xf numFmtId="1" fontId="1" fillId="0" borderId="49" xfId="1" applyNumberFormat="1" applyBorder="1"/>
    <xf numFmtId="0" fontId="1" fillId="0" borderId="25" xfId="1" applyBorder="1" applyAlignment="1">
      <alignment horizontal="center" vertical="center" shrinkToFit="1"/>
    </xf>
    <xf numFmtId="0" fontId="1" fillId="0" borderId="26" xfId="1" applyBorder="1" applyAlignment="1">
      <alignment horizontal="center" vertical="center" shrinkToFit="1"/>
    </xf>
    <xf numFmtId="0" fontId="3" fillId="0" borderId="45" xfId="1" applyFont="1" applyBorder="1"/>
    <xf numFmtId="0" fontId="1" fillId="0" borderId="30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4" fillId="0" borderId="58" xfId="1" applyFont="1" applyBorder="1"/>
    <xf numFmtId="176" fontId="10" fillId="0" borderId="60" xfId="1" applyNumberFormat="1" applyFont="1" applyBorder="1" applyAlignment="1">
      <alignment vertical="center"/>
    </xf>
    <xf numFmtId="176" fontId="10" fillId="0" borderId="0" xfId="1" applyNumberFormat="1" applyFont="1"/>
    <xf numFmtId="0" fontId="4" fillId="0" borderId="0" xfId="1" applyFont="1"/>
    <xf numFmtId="56" fontId="8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176" fontId="12" fillId="0" borderId="0" xfId="0" applyNumberFormat="1" applyFont="1">
      <alignment vertical="center"/>
    </xf>
    <xf numFmtId="0" fontId="6" fillId="0" borderId="61" xfId="1" applyFont="1" applyBorder="1"/>
    <xf numFmtId="0" fontId="6" fillId="0" borderId="45" xfId="1" applyFont="1" applyBorder="1"/>
    <xf numFmtId="56" fontId="1" fillId="0" borderId="11" xfId="1" applyNumberFormat="1" applyBorder="1" applyAlignment="1">
      <alignment horizontal="center" vertical="center"/>
    </xf>
    <xf numFmtId="0" fontId="3" fillId="0" borderId="60" xfId="1" applyFont="1" applyBorder="1"/>
    <xf numFmtId="0" fontId="0" fillId="0" borderId="60" xfId="0" applyBorder="1">
      <alignment vertical="center"/>
    </xf>
    <xf numFmtId="176" fontId="12" fillId="0" borderId="60" xfId="0" applyNumberFormat="1" applyFont="1" applyBorder="1">
      <alignment vertical="center"/>
    </xf>
    <xf numFmtId="56" fontId="10" fillId="0" borderId="26" xfId="1" applyNumberFormat="1" applyFont="1" applyBorder="1" applyAlignment="1">
      <alignment horizontal="center" vertical="center"/>
    </xf>
    <xf numFmtId="0" fontId="10" fillId="0" borderId="6" xfId="1" applyFont="1" applyBorder="1"/>
    <xf numFmtId="0" fontId="10" fillId="0" borderId="7" xfId="1" applyFont="1" applyBorder="1"/>
    <xf numFmtId="0" fontId="10" fillId="0" borderId="39" xfId="1" applyFont="1" applyBorder="1"/>
    <xf numFmtId="0" fontId="10" fillId="0" borderId="10" xfId="1" applyFont="1" applyBorder="1"/>
    <xf numFmtId="0" fontId="10" fillId="0" borderId="9" xfId="1" applyFont="1" applyBorder="1"/>
    <xf numFmtId="0" fontId="10" fillId="0" borderId="8" xfId="1" applyFont="1" applyBorder="1"/>
    <xf numFmtId="56" fontId="12" fillId="0" borderId="0" xfId="0" applyNumberFormat="1" applyFont="1">
      <alignment vertical="center"/>
    </xf>
    <xf numFmtId="56" fontId="6" fillId="0" borderId="11" xfId="1" applyNumberFormat="1" applyFont="1" applyBorder="1" applyAlignment="1">
      <alignment horizontal="center" vertical="center"/>
    </xf>
    <xf numFmtId="56" fontId="1" fillId="0" borderId="62" xfId="1" applyNumberFormat="1" applyBorder="1" applyAlignment="1">
      <alignment horizontal="center" vertical="center"/>
    </xf>
    <xf numFmtId="56" fontId="1" fillId="0" borderId="10" xfId="1" applyNumberFormat="1" applyBorder="1" applyAlignment="1">
      <alignment horizontal="center" vertical="center" shrinkToFit="1"/>
    </xf>
    <xf numFmtId="56" fontId="9" fillId="0" borderId="0" xfId="0" applyNumberFormat="1" applyFont="1" applyAlignment="1">
      <alignment horizontal="right" vertical="center"/>
    </xf>
    <xf numFmtId="56" fontId="1" fillId="0" borderId="54" xfId="1" applyNumberFormat="1" applyBorder="1" applyAlignment="1">
      <alignment horizontal="center" vertical="center"/>
    </xf>
    <xf numFmtId="0" fontId="1" fillId="0" borderId="63" xfId="1" applyBorder="1"/>
    <xf numFmtId="56" fontId="1" fillId="0" borderId="5" xfId="1" applyNumberFormat="1" applyBorder="1" applyAlignment="1">
      <alignment horizontal="center" vertical="center" shrinkToFit="1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176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56" fontId="17" fillId="0" borderId="26" xfId="1" applyNumberFormat="1" applyFont="1" applyBorder="1" applyAlignment="1">
      <alignment horizontal="center" vertical="center"/>
    </xf>
    <xf numFmtId="0" fontId="17" fillId="0" borderId="6" xfId="1" applyFont="1" applyBorder="1"/>
    <xf numFmtId="0" fontId="17" fillId="0" borderId="7" xfId="1" applyFont="1" applyBorder="1"/>
    <xf numFmtId="0" fontId="17" fillId="0" borderId="39" xfId="1" applyFont="1" applyBorder="1"/>
    <xf numFmtId="0" fontId="17" fillId="0" borderId="10" xfId="1" applyFont="1" applyBorder="1"/>
    <xf numFmtId="0" fontId="17" fillId="0" borderId="9" xfId="1" applyFont="1" applyBorder="1"/>
    <xf numFmtId="0" fontId="17" fillId="0" borderId="8" xfId="1" applyFont="1" applyBorder="1"/>
    <xf numFmtId="56" fontId="18" fillId="0" borderId="0" xfId="0" applyNumberFormat="1" applyFont="1">
      <alignment vertical="center"/>
    </xf>
    <xf numFmtId="0" fontId="6" fillId="0" borderId="20" xfId="1" applyFont="1" applyBorder="1"/>
    <xf numFmtId="0" fontId="6" fillId="0" borderId="21" xfId="1" applyFont="1" applyBorder="1"/>
    <xf numFmtId="0" fontId="6" fillId="0" borderId="40" xfId="1" applyFont="1" applyBorder="1"/>
    <xf numFmtId="0" fontId="6" fillId="0" borderId="5" xfId="1" applyFont="1" applyBorder="1"/>
    <xf numFmtId="0" fontId="3" fillId="0" borderId="60" xfId="1" applyFont="1" applyBorder="1" applyAlignment="1">
      <alignment horizontal="center"/>
    </xf>
    <xf numFmtId="0" fontId="4" fillId="0" borderId="27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4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92"/>
  <sheetViews>
    <sheetView topLeftCell="C1311" zoomScaleNormal="100" workbookViewId="0">
      <selection activeCell="V1341" sqref="V1341"/>
    </sheetView>
  </sheetViews>
  <sheetFormatPr defaultRowHeight="13.5" x14ac:dyDescent="0.15"/>
  <cols>
    <col min="1" max="1" width="20.625" customWidth="1"/>
    <col min="11" max="11" width="9.25" bestFit="1" customWidth="1"/>
    <col min="12" max="12" width="26.5" customWidth="1"/>
    <col min="22" max="22" width="9" style="97" customWidth="1"/>
  </cols>
  <sheetData>
    <row r="1" spans="1:22" ht="19.5" thickBot="1" x14ac:dyDescent="0.25">
      <c r="A1" s="3" t="s">
        <v>18</v>
      </c>
      <c r="B1" s="1"/>
      <c r="C1" s="1"/>
      <c r="D1" s="1"/>
      <c r="E1" s="1"/>
      <c r="F1" s="1"/>
      <c r="G1" s="1"/>
      <c r="H1" s="1"/>
      <c r="I1" s="1"/>
      <c r="J1" s="1"/>
      <c r="L1" s="3" t="s">
        <v>19</v>
      </c>
      <c r="M1" s="1"/>
      <c r="N1" s="1"/>
      <c r="O1" s="1"/>
      <c r="P1" s="1"/>
      <c r="Q1" s="1"/>
      <c r="R1" s="1"/>
      <c r="S1" s="1"/>
      <c r="T1" s="1"/>
      <c r="U1" s="1"/>
    </row>
    <row r="2" spans="1:22" ht="14.25" thickBot="1" x14ac:dyDescent="0.2">
      <c r="A2" s="7"/>
      <c r="B2" s="176" t="s">
        <v>22</v>
      </c>
      <c r="C2" s="177"/>
      <c r="D2" s="177"/>
      <c r="E2" s="178"/>
      <c r="F2" s="176" t="s">
        <v>23</v>
      </c>
      <c r="G2" s="177"/>
      <c r="H2" s="177"/>
      <c r="I2" s="179"/>
      <c r="J2" s="174" t="s">
        <v>0</v>
      </c>
      <c r="L2" s="7"/>
      <c r="M2" s="169" t="s">
        <v>24</v>
      </c>
      <c r="N2" s="170"/>
      <c r="O2" s="170"/>
      <c r="P2" s="171"/>
      <c r="Q2" s="169" t="s">
        <v>25</v>
      </c>
      <c r="R2" s="170"/>
      <c r="S2" s="170"/>
      <c r="T2" s="171"/>
      <c r="U2" s="174" t="s">
        <v>0</v>
      </c>
    </row>
    <row r="3" spans="1:22" ht="14.25" thickBot="1" x14ac:dyDescent="0.2">
      <c r="A3" s="7" t="s">
        <v>1</v>
      </c>
      <c r="B3" s="4" t="s">
        <v>2</v>
      </c>
      <c r="C3" s="5" t="s">
        <v>3</v>
      </c>
      <c r="D3" s="6" t="s">
        <v>4</v>
      </c>
      <c r="E3" s="7" t="s">
        <v>5</v>
      </c>
      <c r="F3" s="4" t="s">
        <v>2</v>
      </c>
      <c r="G3" s="5" t="s">
        <v>3</v>
      </c>
      <c r="H3" s="6" t="s">
        <v>4</v>
      </c>
      <c r="I3" s="7" t="s">
        <v>5</v>
      </c>
      <c r="J3" s="175"/>
      <c r="L3" s="7" t="s">
        <v>1</v>
      </c>
      <c r="M3" s="4" t="s">
        <v>2</v>
      </c>
      <c r="N3" s="5" t="s">
        <v>3</v>
      </c>
      <c r="O3" s="6" t="s">
        <v>4</v>
      </c>
      <c r="P3" s="7" t="s">
        <v>5</v>
      </c>
      <c r="Q3" s="4" t="s">
        <v>2</v>
      </c>
      <c r="R3" s="5" t="s">
        <v>3</v>
      </c>
      <c r="S3" s="6" t="s">
        <v>4</v>
      </c>
      <c r="T3" s="7" t="s">
        <v>5</v>
      </c>
      <c r="U3" s="175"/>
    </row>
    <row r="4" spans="1:22" ht="14.25" thickBot="1" x14ac:dyDescent="0.2">
      <c r="A4" s="68" t="s">
        <v>6</v>
      </c>
      <c r="B4" s="42">
        <v>10</v>
      </c>
      <c r="C4" s="43">
        <v>10</v>
      </c>
      <c r="D4" s="60">
        <v>10</v>
      </c>
      <c r="E4" s="48">
        <f>SUM(B4:D4)</f>
        <v>30</v>
      </c>
      <c r="F4" s="42">
        <v>10</v>
      </c>
      <c r="G4" s="43">
        <v>10</v>
      </c>
      <c r="H4" s="60">
        <v>10</v>
      </c>
      <c r="I4" s="48">
        <f>SUM(F4:H4)</f>
        <v>30</v>
      </c>
      <c r="J4" s="48">
        <f>E4+I4</f>
        <v>60</v>
      </c>
      <c r="K4" s="62">
        <v>43412</v>
      </c>
      <c r="L4" s="68" t="s">
        <v>6</v>
      </c>
      <c r="M4" s="42">
        <v>100</v>
      </c>
      <c r="N4" s="43">
        <v>100</v>
      </c>
      <c r="O4" s="60">
        <v>80</v>
      </c>
      <c r="P4" s="48">
        <f>SUM(M4:O4)</f>
        <v>280</v>
      </c>
      <c r="Q4" s="42">
        <v>100</v>
      </c>
      <c r="R4" s="43">
        <v>100</v>
      </c>
      <c r="S4" s="60">
        <v>80</v>
      </c>
      <c r="T4" s="48">
        <f>SUM(Q4:S4)</f>
        <v>280</v>
      </c>
      <c r="U4" s="48">
        <f>P4+T4</f>
        <v>560</v>
      </c>
      <c r="V4" s="98">
        <v>43405</v>
      </c>
    </row>
    <row r="5" spans="1:22" x14ac:dyDescent="0.15">
      <c r="A5" s="25" t="s">
        <v>32</v>
      </c>
      <c r="B5" s="42">
        <v>5</v>
      </c>
      <c r="C5" s="43">
        <v>5</v>
      </c>
      <c r="D5" s="44">
        <v>5</v>
      </c>
      <c r="E5" s="48">
        <f>SUM(B5:D5)</f>
        <v>15</v>
      </c>
      <c r="F5" s="59">
        <v>5</v>
      </c>
      <c r="G5" s="43">
        <v>5</v>
      </c>
      <c r="H5" s="60">
        <v>5</v>
      </c>
      <c r="I5" s="48">
        <f>SUM(F5:H5)</f>
        <v>15</v>
      </c>
      <c r="J5" s="48">
        <f>E5+I5</f>
        <v>30</v>
      </c>
      <c r="K5" s="62">
        <v>43417</v>
      </c>
      <c r="L5" s="25" t="s">
        <v>7</v>
      </c>
      <c r="M5" s="42">
        <v>100</v>
      </c>
      <c r="N5" s="43">
        <v>100</v>
      </c>
      <c r="O5" s="44">
        <v>70</v>
      </c>
      <c r="P5" s="48">
        <f>SUM(M5:O5)</f>
        <v>270</v>
      </c>
      <c r="Q5" s="59">
        <v>100</v>
      </c>
      <c r="R5" s="43">
        <v>100</v>
      </c>
      <c r="S5" s="60">
        <v>70</v>
      </c>
      <c r="T5" s="48">
        <f>SUM(Q5:S5)</f>
        <v>270</v>
      </c>
      <c r="U5" s="48">
        <f>P5+T5</f>
        <v>540</v>
      </c>
      <c r="V5" s="98">
        <v>43420</v>
      </c>
    </row>
    <row r="6" spans="1:22" x14ac:dyDescent="0.15">
      <c r="A6" s="25" t="s">
        <v>32</v>
      </c>
      <c r="B6" s="8"/>
      <c r="C6" s="9">
        <v>20</v>
      </c>
      <c r="D6" s="52">
        <v>10</v>
      </c>
      <c r="E6" s="11">
        <f>SUM(B6:D6)</f>
        <v>30</v>
      </c>
      <c r="F6" s="12"/>
      <c r="G6" s="9">
        <v>20</v>
      </c>
      <c r="H6" s="10">
        <v>10</v>
      </c>
      <c r="I6" s="11">
        <f>SUM(F6:H6)</f>
        <v>30</v>
      </c>
      <c r="J6" s="11">
        <f>E6+I6</f>
        <v>60</v>
      </c>
      <c r="K6" s="62">
        <v>43418</v>
      </c>
      <c r="L6" s="25" t="s">
        <v>8</v>
      </c>
      <c r="M6" s="8"/>
      <c r="N6" s="9">
        <v>100</v>
      </c>
      <c r="O6" s="52">
        <v>34</v>
      </c>
      <c r="P6" s="11">
        <f>SUM(M6:O6)</f>
        <v>134</v>
      </c>
      <c r="Q6" s="12"/>
      <c r="R6" s="9">
        <v>100</v>
      </c>
      <c r="S6" s="10">
        <v>34</v>
      </c>
      <c r="T6" s="11">
        <f>SUM(Q6:S6)</f>
        <v>134</v>
      </c>
      <c r="U6" s="11">
        <f>P6+T6</f>
        <v>268</v>
      </c>
      <c r="V6" s="98">
        <v>43420</v>
      </c>
    </row>
    <row r="7" spans="1:22" x14ac:dyDescent="0.15">
      <c r="A7" s="25" t="s">
        <v>32</v>
      </c>
      <c r="B7" s="17">
        <v>15</v>
      </c>
      <c r="C7" s="18">
        <v>20</v>
      </c>
      <c r="D7" s="51">
        <v>10</v>
      </c>
      <c r="E7" s="11">
        <f t="shared" ref="E7:E12" si="0">SUM(B7:D7)</f>
        <v>45</v>
      </c>
      <c r="F7" s="20">
        <v>15</v>
      </c>
      <c r="G7" s="18">
        <v>20</v>
      </c>
      <c r="H7" s="19">
        <v>10</v>
      </c>
      <c r="I7" s="11">
        <f t="shared" ref="I7:I12" si="1">SUM(F7:H7)</f>
        <v>45</v>
      </c>
      <c r="J7" s="11">
        <f t="shared" ref="J7:J12" si="2">E7+I7</f>
        <v>90</v>
      </c>
      <c r="K7" s="62">
        <v>43419</v>
      </c>
      <c r="L7" s="25" t="s">
        <v>9</v>
      </c>
      <c r="M7" s="17"/>
      <c r="N7" s="18"/>
      <c r="O7" s="51"/>
      <c r="P7" s="11">
        <f t="shared" ref="P7:P12" si="3">SUM(M7:O7)</f>
        <v>0</v>
      </c>
      <c r="Q7" s="20"/>
      <c r="R7" s="18"/>
      <c r="S7" s="19"/>
      <c r="T7" s="11">
        <f t="shared" ref="T7:T12" si="4">SUM(Q7:S7)</f>
        <v>0</v>
      </c>
      <c r="U7" s="11">
        <f t="shared" ref="U7:U12" si="5">P7+T7</f>
        <v>0</v>
      </c>
    </row>
    <row r="8" spans="1:22" x14ac:dyDescent="0.15">
      <c r="A8" s="25" t="s">
        <v>32</v>
      </c>
      <c r="B8" s="8">
        <v>20</v>
      </c>
      <c r="C8" s="9">
        <v>20</v>
      </c>
      <c r="D8" s="52">
        <v>15</v>
      </c>
      <c r="E8" s="11">
        <f t="shared" si="0"/>
        <v>55</v>
      </c>
      <c r="F8" s="12">
        <v>20</v>
      </c>
      <c r="G8" s="9">
        <v>20</v>
      </c>
      <c r="H8" s="10">
        <v>15</v>
      </c>
      <c r="I8" s="11">
        <f t="shared" si="1"/>
        <v>55</v>
      </c>
      <c r="J8" s="11">
        <f t="shared" si="2"/>
        <v>110</v>
      </c>
      <c r="K8" s="62">
        <v>43420</v>
      </c>
      <c r="L8" s="25" t="s">
        <v>10</v>
      </c>
      <c r="M8" s="8"/>
      <c r="N8" s="9"/>
      <c r="O8" s="52"/>
      <c r="P8" s="11">
        <f t="shared" si="3"/>
        <v>0</v>
      </c>
      <c r="Q8" s="12"/>
      <c r="R8" s="9"/>
      <c r="S8" s="10"/>
      <c r="T8" s="11">
        <f t="shared" si="4"/>
        <v>0</v>
      </c>
      <c r="U8" s="11">
        <f t="shared" si="5"/>
        <v>0</v>
      </c>
    </row>
    <row r="9" spans="1:22" x14ac:dyDescent="0.15">
      <c r="A9" s="25" t="s">
        <v>32</v>
      </c>
      <c r="B9" s="8">
        <v>40</v>
      </c>
      <c r="C9" s="9">
        <v>40</v>
      </c>
      <c r="D9" s="52">
        <v>30</v>
      </c>
      <c r="E9" s="11">
        <f t="shared" si="0"/>
        <v>110</v>
      </c>
      <c r="F9" s="12">
        <v>40</v>
      </c>
      <c r="G9" s="9">
        <v>40</v>
      </c>
      <c r="H9" s="10">
        <v>30</v>
      </c>
      <c r="I9" s="11">
        <f t="shared" si="1"/>
        <v>110</v>
      </c>
      <c r="J9" s="11">
        <f t="shared" si="2"/>
        <v>220</v>
      </c>
      <c r="K9" s="62">
        <v>43421</v>
      </c>
      <c r="L9" s="25" t="s">
        <v>11</v>
      </c>
      <c r="M9" s="8"/>
      <c r="N9" s="9"/>
      <c r="O9" s="52"/>
      <c r="P9" s="11">
        <f t="shared" si="3"/>
        <v>0</v>
      </c>
      <c r="Q9" s="12"/>
      <c r="R9" s="9"/>
      <c r="S9" s="10"/>
      <c r="T9" s="11">
        <f t="shared" si="4"/>
        <v>0</v>
      </c>
      <c r="U9" s="11">
        <f t="shared" si="5"/>
        <v>0</v>
      </c>
    </row>
    <row r="10" spans="1:22" x14ac:dyDescent="0.15">
      <c r="A10" s="25" t="s">
        <v>32</v>
      </c>
      <c r="B10" s="8"/>
      <c r="C10" s="9"/>
      <c r="D10" s="52">
        <v>10</v>
      </c>
      <c r="E10" s="11">
        <f t="shared" si="0"/>
        <v>10</v>
      </c>
      <c r="F10" s="12"/>
      <c r="G10" s="9"/>
      <c r="H10" s="10">
        <v>10</v>
      </c>
      <c r="I10" s="11">
        <f t="shared" si="1"/>
        <v>10</v>
      </c>
      <c r="J10" s="11">
        <f t="shared" si="2"/>
        <v>20</v>
      </c>
      <c r="K10" s="62">
        <v>43434</v>
      </c>
      <c r="L10" s="25" t="s">
        <v>12</v>
      </c>
      <c r="M10" s="8"/>
      <c r="N10" s="9"/>
      <c r="O10" s="52"/>
      <c r="P10" s="11">
        <f t="shared" si="3"/>
        <v>0</v>
      </c>
      <c r="Q10" s="12"/>
      <c r="R10" s="9"/>
      <c r="S10" s="10"/>
      <c r="T10" s="11">
        <f t="shared" si="4"/>
        <v>0</v>
      </c>
      <c r="U10" s="11">
        <f t="shared" si="5"/>
        <v>0</v>
      </c>
    </row>
    <row r="11" spans="1:22" x14ac:dyDescent="0.15">
      <c r="A11" s="25" t="s">
        <v>32</v>
      </c>
      <c r="B11" s="13">
        <v>10</v>
      </c>
      <c r="C11" s="14">
        <v>5</v>
      </c>
      <c r="D11" s="53"/>
      <c r="E11" s="11">
        <f t="shared" si="0"/>
        <v>15</v>
      </c>
      <c r="F11" s="16">
        <v>10</v>
      </c>
      <c r="G11" s="14">
        <v>5</v>
      </c>
      <c r="H11" s="15"/>
      <c r="I11" s="11">
        <f t="shared" si="1"/>
        <v>15</v>
      </c>
      <c r="J11" s="11">
        <f t="shared" si="2"/>
        <v>30</v>
      </c>
      <c r="K11" s="64">
        <v>43440</v>
      </c>
      <c r="L11" s="25" t="s">
        <v>13</v>
      </c>
      <c r="M11" s="13"/>
      <c r="N11" s="14"/>
      <c r="O11" s="53"/>
      <c r="P11" s="11">
        <f t="shared" si="3"/>
        <v>0</v>
      </c>
      <c r="Q11" s="16"/>
      <c r="R11" s="14"/>
      <c r="S11" s="15"/>
      <c r="T11" s="11">
        <f t="shared" si="4"/>
        <v>0</v>
      </c>
      <c r="U11" s="11">
        <f t="shared" si="5"/>
        <v>0</v>
      </c>
    </row>
    <row r="12" spans="1:22" ht="14.25" thickBot="1" x14ac:dyDescent="0.2">
      <c r="A12" s="25" t="s">
        <v>52</v>
      </c>
      <c r="B12" s="32"/>
      <c r="C12" s="33">
        <v>1</v>
      </c>
      <c r="D12" s="54"/>
      <c r="E12" s="61">
        <f t="shared" si="0"/>
        <v>1</v>
      </c>
      <c r="F12" s="34"/>
      <c r="G12" s="34">
        <v>1</v>
      </c>
      <c r="H12" s="37"/>
      <c r="I12" s="61">
        <f t="shared" si="1"/>
        <v>1</v>
      </c>
      <c r="J12" s="21">
        <f t="shared" si="2"/>
        <v>2</v>
      </c>
      <c r="K12" s="62">
        <v>43441</v>
      </c>
      <c r="L12" s="25" t="s">
        <v>14</v>
      </c>
      <c r="M12" s="32"/>
      <c r="N12" s="33"/>
      <c r="O12" s="54"/>
      <c r="P12" s="61">
        <f t="shared" si="3"/>
        <v>0</v>
      </c>
      <c r="Q12" s="34"/>
      <c r="R12" s="34"/>
      <c r="S12" s="37"/>
      <c r="T12" s="61">
        <f t="shared" si="4"/>
        <v>0</v>
      </c>
      <c r="U12" s="21">
        <f t="shared" si="5"/>
        <v>0</v>
      </c>
    </row>
    <row r="13" spans="1:22" ht="14.25" thickBot="1" x14ac:dyDescent="0.2">
      <c r="A13" s="35" t="s">
        <v>15</v>
      </c>
      <c r="B13" s="28">
        <f>SUM(B4:B12)</f>
        <v>100</v>
      </c>
      <c r="C13" s="29">
        <f>SUM(C4:C12)</f>
        <v>121</v>
      </c>
      <c r="D13" s="30">
        <f>SUM(D4:D12)</f>
        <v>90</v>
      </c>
      <c r="E13" s="31">
        <f>SUM(B13:D13)</f>
        <v>311</v>
      </c>
      <c r="F13" s="28">
        <f>SUM(F4:F12)</f>
        <v>100</v>
      </c>
      <c r="G13" s="29">
        <f>SUM(G4:G12)</f>
        <v>121</v>
      </c>
      <c r="H13" s="30">
        <f>SUM(H4:H12)</f>
        <v>90</v>
      </c>
      <c r="I13" s="31">
        <f>SUM(F13:H13)</f>
        <v>311</v>
      </c>
      <c r="J13" s="31">
        <f>E13+I13</f>
        <v>622</v>
      </c>
      <c r="L13" s="35" t="s">
        <v>15</v>
      </c>
      <c r="M13" s="28">
        <f>SUM(M4:M12)</f>
        <v>200</v>
      </c>
      <c r="N13" s="29">
        <f>SUM(N4:N12)</f>
        <v>300</v>
      </c>
      <c r="O13" s="30">
        <f>SUM(O4:O12)</f>
        <v>184</v>
      </c>
      <c r="P13" s="31">
        <f>SUM(M13:O13)</f>
        <v>684</v>
      </c>
      <c r="Q13" s="28">
        <f>SUM(Q4:Q12)</f>
        <v>200</v>
      </c>
      <c r="R13" s="29">
        <f>SUM(R4:R12)</f>
        <v>300</v>
      </c>
      <c r="S13" s="30">
        <f>SUM(S4:S12)</f>
        <v>184</v>
      </c>
      <c r="T13" s="31">
        <f>SUM(Q13:S13)</f>
        <v>684</v>
      </c>
      <c r="U13" s="31">
        <f>P13+T13</f>
        <v>1368</v>
      </c>
    </row>
    <row r="14" spans="1:22" x14ac:dyDescent="0.15">
      <c r="A14" s="26" t="s">
        <v>30</v>
      </c>
      <c r="B14" s="13">
        <v>1</v>
      </c>
      <c r="C14" s="14">
        <v>1</v>
      </c>
      <c r="D14" s="15">
        <v>2</v>
      </c>
      <c r="E14" s="49">
        <f>SUM(B14:D14)</f>
        <v>4</v>
      </c>
      <c r="F14" s="16">
        <v>1</v>
      </c>
      <c r="G14" s="14">
        <v>1</v>
      </c>
      <c r="H14" s="15">
        <v>2</v>
      </c>
      <c r="I14" s="49">
        <f>SUM(F14:H14)</f>
        <v>4</v>
      </c>
      <c r="J14" s="11">
        <f>E14+I14</f>
        <v>8</v>
      </c>
      <c r="K14" s="62">
        <v>43417</v>
      </c>
      <c r="L14" s="23" t="s">
        <v>29</v>
      </c>
      <c r="M14" s="13">
        <v>10</v>
      </c>
      <c r="N14" s="14">
        <v>10</v>
      </c>
      <c r="O14" s="15">
        <v>10</v>
      </c>
      <c r="P14" s="49">
        <f>SUM(M14:O14)</f>
        <v>30</v>
      </c>
      <c r="Q14" s="16">
        <v>10</v>
      </c>
      <c r="R14" s="14">
        <v>10</v>
      </c>
      <c r="S14" s="15">
        <v>10</v>
      </c>
      <c r="T14" s="49">
        <f>SUM(Q14:S14)</f>
        <v>30</v>
      </c>
      <c r="U14" s="11">
        <f>P14+T14</f>
        <v>60</v>
      </c>
      <c r="V14" s="98">
        <v>43412</v>
      </c>
    </row>
    <row r="15" spans="1:22" x14ac:dyDescent="0.15">
      <c r="A15" s="26" t="s">
        <v>33</v>
      </c>
      <c r="B15" s="8">
        <v>1</v>
      </c>
      <c r="C15" s="9">
        <v>14</v>
      </c>
      <c r="D15" s="10">
        <v>7</v>
      </c>
      <c r="E15" s="49">
        <f t="shared" ref="E15" si="6">SUM(B15:D15)</f>
        <v>22</v>
      </c>
      <c r="F15" s="12">
        <v>1</v>
      </c>
      <c r="G15" s="9">
        <v>14</v>
      </c>
      <c r="H15" s="10">
        <v>7</v>
      </c>
      <c r="I15" s="49">
        <f t="shared" ref="I15" si="7">SUM(F15:H15)</f>
        <v>22</v>
      </c>
      <c r="J15" s="11">
        <f t="shared" ref="J15" si="8">E15+I15</f>
        <v>44</v>
      </c>
      <c r="K15" s="62">
        <v>43418</v>
      </c>
      <c r="L15" s="23" t="s">
        <v>29</v>
      </c>
      <c r="M15" s="8">
        <v>5</v>
      </c>
      <c r="N15" s="9">
        <v>5</v>
      </c>
      <c r="O15" s="10">
        <v>5</v>
      </c>
      <c r="P15" s="49">
        <f t="shared" ref="P15" si="9">SUM(M15:O15)</f>
        <v>15</v>
      </c>
      <c r="Q15" s="12">
        <v>5</v>
      </c>
      <c r="R15" s="9">
        <v>5</v>
      </c>
      <c r="S15" s="10">
        <v>5</v>
      </c>
      <c r="T15" s="49">
        <f t="shared" ref="T15" si="10">SUM(Q15:S15)</f>
        <v>15</v>
      </c>
      <c r="U15" s="11">
        <f t="shared" ref="U15" si="11">P15+T15</f>
        <v>30</v>
      </c>
      <c r="V15" s="98">
        <v>43417</v>
      </c>
    </row>
    <row r="16" spans="1:22" x14ac:dyDescent="0.15">
      <c r="A16" s="26" t="s">
        <v>34</v>
      </c>
      <c r="B16" s="8">
        <v>13</v>
      </c>
      <c r="C16" s="9">
        <v>20</v>
      </c>
      <c r="D16" s="10">
        <v>10</v>
      </c>
      <c r="E16" s="49">
        <f t="shared" ref="E16:E40" si="12">SUM(B16:D16)</f>
        <v>43</v>
      </c>
      <c r="F16" s="12">
        <v>13</v>
      </c>
      <c r="G16" s="9">
        <v>20</v>
      </c>
      <c r="H16" s="10">
        <v>10</v>
      </c>
      <c r="I16" s="49">
        <f t="shared" ref="I16:I40" si="13">SUM(F16:H16)</f>
        <v>43</v>
      </c>
      <c r="J16" s="11">
        <f t="shared" ref="J16:J38" si="14">E16+I16</f>
        <v>86</v>
      </c>
      <c r="K16" s="62">
        <v>43419</v>
      </c>
      <c r="L16" s="23" t="s">
        <v>29</v>
      </c>
      <c r="M16" s="13"/>
      <c r="N16" s="14">
        <v>20</v>
      </c>
      <c r="O16" s="15">
        <v>10</v>
      </c>
      <c r="P16" s="49">
        <f>SUM(M16:O16)</f>
        <v>30</v>
      </c>
      <c r="Q16" s="16"/>
      <c r="R16" s="14">
        <v>20</v>
      </c>
      <c r="S16" s="15">
        <v>10</v>
      </c>
      <c r="T16" s="49">
        <f>SUM(Q16:S16)</f>
        <v>30</v>
      </c>
      <c r="U16" s="11">
        <f>P16+T16</f>
        <v>60</v>
      </c>
      <c r="V16" s="98">
        <v>43418</v>
      </c>
    </row>
    <row r="17" spans="1:22" x14ac:dyDescent="0.15">
      <c r="A17" s="26" t="s">
        <v>35</v>
      </c>
      <c r="B17" s="8">
        <v>15</v>
      </c>
      <c r="C17" s="9">
        <v>18</v>
      </c>
      <c r="D17" s="10">
        <v>12</v>
      </c>
      <c r="E17" s="49">
        <f t="shared" si="12"/>
        <v>45</v>
      </c>
      <c r="F17" s="12">
        <v>15</v>
      </c>
      <c r="G17" s="9">
        <v>18</v>
      </c>
      <c r="H17" s="10">
        <v>12</v>
      </c>
      <c r="I17" s="49">
        <f t="shared" si="13"/>
        <v>45</v>
      </c>
      <c r="J17" s="11">
        <f t="shared" si="14"/>
        <v>90</v>
      </c>
      <c r="K17" s="62">
        <v>43420</v>
      </c>
      <c r="L17" s="23" t="s">
        <v>29</v>
      </c>
      <c r="M17" s="8">
        <v>15</v>
      </c>
      <c r="N17" s="9">
        <v>20</v>
      </c>
      <c r="O17" s="10">
        <v>10</v>
      </c>
      <c r="P17" s="49">
        <f t="shared" ref="P17:P38" si="15">SUM(M17:O17)</f>
        <v>45</v>
      </c>
      <c r="Q17" s="12">
        <v>15</v>
      </c>
      <c r="R17" s="9">
        <v>20</v>
      </c>
      <c r="S17" s="10">
        <v>10</v>
      </c>
      <c r="T17" s="49">
        <f t="shared" ref="T17:T38" si="16">SUM(Q17:S17)</f>
        <v>45</v>
      </c>
      <c r="U17" s="11">
        <f t="shared" ref="U17:U38" si="17">P17+T17</f>
        <v>90</v>
      </c>
      <c r="V17" s="98">
        <v>43419</v>
      </c>
    </row>
    <row r="18" spans="1:22" x14ac:dyDescent="0.15">
      <c r="A18" s="26" t="s">
        <v>37</v>
      </c>
      <c r="B18" s="8">
        <v>20</v>
      </c>
      <c r="C18" s="9">
        <v>22</v>
      </c>
      <c r="D18" s="10">
        <v>19</v>
      </c>
      <c r="E18" s="49">
        <f t="shared" si="12"/>
        <v>61</v>
      </c>
      <c r="F18" s="12">
        <v>20</v>
      </c>
      <c r="G18" s="9">
        <v>22</v>
      </c>
      <c r="H18" s="10">
        <v>19</v>
      </c>
      <c r="I18" s="49">
        <f t="shared" si="13"/>
        <v>61</v>
      </c>
      <c r="J18" s="11">
        <f t="shared" si="14"/>
        <v>122</v>
      </c>
      <c r="K18" s="62">
        <v>43421</v>
      </c>
      <c r="L18" s="23" t="s">
        <v>29</v>
      </c>
      <c r="M18" s="8">
        <v>20</v>
      </c>
      <c r="N18" s="9">
        <v>20</v>
      </c>
      <c r="O18" s="10">
        <v>15</v>
      </c>
      <c r="P18" s="49">
        <f t="shared" si="15"/>
        <v>55</v>
      </c>
      <c r="Q18" s="12">
        <v>20</v>
      </c>
      <c r="R18" s="9">
        <v>20</v>
      </c>
      <c r="S18" s="10">
        <v>15</v>
      </c>
      <c r="T18" s="49">
        <f t="shared" si="16"/>
        <v>55</v>
      </c>
      <c r="U18" s="11">
        <f t="shared" si="17"/>
        <v>110</v>
      </c>
      <c r="V18" s="98">
        <v>43420</v>
      </c>
    </row>
    <row r="19" spans="1:22" x14ac:dyDescent="0.15">
      <c r="A19" s="26" t="s">
        <v>38</v>
      </c>
      <c r="B19" s="8"/>
      <c r="C19" s="9">
        <v>5</v>
      </c>
      <c r="D19" s="10">
        <v>3</v>
      </c>
      <c r="E19" s="49">
        <f t="shared" si="12"/>
        <v>8</v>
      </c>
      <c r="F19" s="12"/>
      <c r="G19" s="9">
        <v>5</v>
      </c>
      <c r="H19" s="10">
        <v>3</v>
      </c>
      <c r="I19" s="49">
        <f t="shared" si="13"/>
        <v>8</v>
      </c>
      <c r="J19" s="11">
        <f t="shared" si="14"/>
        <v>16</v>
      </c>
      <c r="K19" s="62">
        <v>43424</v>
      </c>
      <c r="L19" s="23" t="s">
        <v>29</v>
      </c>
      <c r="M19" s="8">
        <v>40</v>
      </c>
      <c r="N19" s="9">
        <v>40</v>
      </c>
      <c r="O19" s="52">
        <v>30</v>
      </c>
      <c r="P19" s="11">
        <f t="shared" si="15"/>
        <v>110</v>
      </c>
      <c r="Q19" s="12">
        <v>40</v>
      </c>
      <c r="R19" s="9">
        <v>40</v>
      </c>
      <c r="S19" s="10">
        <v>30</v>
      </c>
      <c r="T19" s="11">
        <f t="shared" si="16"/>
        <v>110</v>
      </c>
      <c r="U19" s="11">
        <f t="shared" si="17"/>
        <v>220</v>
      </c>
      <c r="V19" s="98">
        <v>43421</v>
      </c>
    </row>
    <row r="20" spans="1:22" x14ac:dyDescent="0.15">
      <c r="A20" s="26" t="s">
        <v>39</v>
      </c>
      <c r="B20" s="8">
        <v>10</v>
      </c>
      <c r="C20" s="9">
        <v>4</v>
      </c>
      <c r="D20" s="10">
        <v>6</v>
      </c>
      <c r="E20" s="49">
        <f t="shared" si="12"/>
        <v>20</v>
      </c>
      <c r="F20" s="12">
        <v>10</v>
      </c>
      <c r="G20" s="9">
        <v>4</v>
      </c>
      <c r="H20" s="10">
        <v>6</v>
      </c>
      <c r="I20" s="49">
        <f t="shared" si="13"/>
        <v>20</v>
      </c>
      <c r="J20" s="11">
        <f t="shared" si="14"/>
        <v>40</v>
      </c>
      <c r="K20" s="62">
        <v>43425</v>
      </c>
      <c r="L20" s="26" t="s">
        <v>42</v>
      </c>
      <c r="M20" s="8">
        <v>19</v>
      </c>
      <c r="N20" s="9">
        <v>33</v>
      </c>
      <c r="O20" s="10"/>
      <c r="P20" s="49">
        <f t="shared" si="15"/>
        <v>52</v>
      </c>
      <c r="Q20" s="12">
        <v>19</v>
      </c>
      <c r="R20" s="9">
        <v>33</v>
      </c>
      <c r="S20" s="10"/>
      <c r="T20" s="49">
        <f t="shared" si="16"/>
        <v>52</v>
      </c>
      <c r="U20" s="11">
        <f t="shared" si="17"/>
        <v>104</v>
      </c>
      <c r="V20" s="98">
        <v>43423</v>
      </c>
    </row>
    <row r="21" spans="1:22" x14ac:dyDescent="0.15">
      <c r="A21" s="26" t="s">
        <v>40</v>
      </c>
      <c r="B21" s="8">
        <v>4</v>
      </c>
      <c r="C21" s="9">
        <v>9</v>
      </c>
      <c r="D21" s="10">
        <v>2</v>
      </c>
      <c r="E21" s="49">
        <f t="shared" si="12"/>
        <v>15</v>
      </c>
      <c r="F21" s="12">
        <v>4</v>
      </c>
      <c r="G21" s="9">
        <v>9</v>
      </c>
      <c r="H21" s="10">
        <v>2</v>
      </c>
      <c r="I21" s="49">
        <f t="shared" si="13"/>
        <v>15</v>
      </c>
      <c r="J21" s="11">
        <f t="shared" si="14"/>
        <v>30</v>
      </c>
      <c r="K21" s="62">
        <v>43426</v>
      </c>
      <c r="L21" s="23" t="s">
        <v>29</v>
      </c>
      <c r="M21" s="8"/>
      <c r="N21" s="9"/>
      <c r="O21" s="10">
        <v>10</v>
      </c>
      <c r="P21" s="49">
        <f t="shared" si="15"/>
        <v>10</v>
      </c>
      <c r="Q21" s="12"/>
      <c r="R21" s="9"/>
      <c r="S21" s="10">
        <v>10</v>
      </c>
      <c r="T21" s="49">
        <f t="shared" si="16"/>
        <v>10</v>
      </c>
      <c r="U21" s="11">
        <f t="shared" si="17"/>
        <v>20</v>
      </c>
      <c r="V21" s="98">
        <v>43434</v>
      </c>
    </row>
    <row r="22" spans="1:22" x14ac:dyDescent="0.15">
      <c r="A22" s="26" t="s">
        <v>41</v>
      </c>
      <c r="B22" s="8">
        <v>5</v>
      </c>
      <c r="C22" s="9">
        <v>5</v>
      </c>
      <c r="D22" s="10">
        <v>3</v>
      </c>
      <c r="E22" s="49">
        <f t="shared" si="12"/>
        <v>13</v>
      </c>
      <c r="F22" s="12">
        <v>5</v>
      </c>
      <c r="G22" s="9">
        <v>5</v>
      </c>
      <c r="H22" s="10">
        <v>3</v>
      </c>
      <c r="I22" s="49">
        <f t="shared" si="13"/>
        <v>13</v>
      </c>
      <c r="J22" s="11">
        <f t="shared" si="14"/>
        <v>26</v>
      </c>
      <c r="K22" s="62">
        <v>43428</v>
      </c>
      <c r="L22" s="23" t="s">
        <v>29</v>
      </c>
      <c r="M22" s="8">
        <v>10</v>
      </c>
      <c r="N22" s="9">
        <v>5</v>
      </c>
      <c r="O22" s="10"/>
      <c r="P22" s="49">
        <f t="shared" si="15"/>
        <v>15</v>
      </c>
      <c r="Q22" s="12">
        <v>10</v>
      </c>
      <c r="R22" s="9">
        <v>5</v>
      </c>
      <c r="S22" s="10"/>
      <c r="T22" s="49">
        <f t="shared" si="16"/>
        <v>15</v>
      </c>
      <c r="U22" s="11">
        <f t="shared" si="17"/>
        <v>30</v>
      </c>
      <c r="V22" s="98">
        <v>43440</v>
      </c>
    </row>
    <row r="23" spans="1:22" x14ac:dyDescent="0.15">
      <c r="A23" s="26" t="s">
        <v>44</v>
      </c>
      <c r="B23" s="13">
        <v>3</v>
      </c>
      <c r="C23" s="14">
        <v>6</v>
      </c>
      <c r="D23" s="15"/>
      <c r="E23" s="49">
        <f t="shared" si="12"/>
        <v>9</v>
      </c>
      <c r="F23" s="16">
        <v>3</v>
      </c>
      <c r="G23" s="14">
        <v>6</v>
      </c>
      <c r="H23" s="15"/>
      <c r="I23" s="49">
        <f t="shared" si="13"/>
        <v>9</v>
      </c>
      <c r="J23" s="11">
        <f t="shared" si="14"/>
        <v>18</v>
      </c>
      <c r="K23" s="62">
        <v>43431</v>
      </c>
      <c r="L23" s="23" t="s">
        <v>29</v>
      </c>
      <c r="M23" s="13">
        <v>5</v>
      </c>
      <c r="N23" s="14"/>
      <c r="O23" s="15"/>
      <c r="P23" s="49">
        <f t="shared" si="15"/>
        <v>5</v>
      </c>
      <c r="Q23" s="16">
        <v>5</v>
      </c>
      <c r="R23" s="14"/>
      <c r="S23" s="15"/>
      <c r="T23" s="49">
        <f t="shared" si="16"/>
        <v>5</v>
      </c>
      <c r="U23" s="11">
        <f t="shared" si="17"/>
        <v>10</v>
      </c>
      <c r="V23" s="98">
        <v>43449</v>
      </c>
    </row>
    <row r="24" spans="1:22" x14ac:dyDescent="0.15">
      <c r="A24" s="26" t="s">
        <v>45</v>
      </c>
      <c r="B24" s="8"/>
      <c r="C24" s="9">
        <v>3</v>
      </c>
      <c r="D24" s="10">
        <v>4</v>
      </c>
      <c r="E24" s="49">
        <f t="shared" si="12"/>
        <v>7</v>
      </c>
      <c r="F24" s="12"/>
      <c r="G24" s="9">
        <v>3</v>
      </c>
      <c r="H24" s="10">
        <v>4</v>
      </c>
      <c r="I24" s="49">
        <f t="shared" si="13"/>
        <v>7</v>
      </c>
      <c r="J24" s="11">
        <f t="shared" si="14"/>
        <v>14</v>
      </c>
      <c r="K24" s="62">
        <v>43432</v>
      </c>
      <c r="L24" s="26"/>
      <c r="M24" s="8"/>
      <c r="N24" s="9"/>
      <c r="O24" s="10"/>
      <c r="P24" s="49">
        <f t="shared" si="15"/>
        <v>0</v>
      </c>
      <c r="Q24" s="12"/>
      <c r="R24" s="9"/>
      <c r="S24" s="10"/>
      <c r="T24" s="49">
        <f t="shared" si="16"/>
        <v>0</v>
      </c>
      <c r="U24" s="11">
        <f t="shared" si="17"/>
        <v>0</v>
      </c>
      <c r="V24" s="100"/>
    </row>
    <row r="25" spans="1:22" x14ac:dyDescent="0.15">
      <c r="A25" s="26" t="s">
        <v>46</v>
      </c>
      <c r="B25" s="8">
        <v>2</v>
      </c>
      <c r="C25" s="9">
        <v>2</v>
      </c>
      <c r="D25" s="10">
        <v>1</v>
      </c>
      <c r="E25" s="49">
        <f t="shared" si="12"/>
        <v>5</v>
      </c>
      <c r="F25" s="12">
        <v>2</v>
      </c>
      <c r="G25" s="9">
        <v>2</v>
      </c>
      <c r="H25" s="10">
        <v>1</v>
      </c>
      <c r="I25" s="49">
        <f t="shared" si="13"/>
        <v>5</v>
      </c>
      <c r="J25" s="11">
        <f t="shared" si="14"/>
        <v>10</v>
      </c>
      <c r="K25" s="62">
        <v>43433</v>
      </c>
      <c r="L25" s="26"/>
      <c r="M25" s="8"/>
      <c r="N25" s="9"/>
      <c r="O25" s="10"/>
      <c r="P25" s="49">
        <f t="shared" si="15"/>
        <v>0</v>
      </c>
      <c r="Q25" s="12"/>
      <c r="R25" s="9"/>
      <c r="S25" s="10"/>
      <c r="T25" s="49">
        <f t="shared" si="16"/>
        <v>0</v>
      </c>
      <c r="U25" s="11">
        <f t="shared" si="17"/>
        <v>0</v>
      </c>
    </row>
    <row r="26" spans="1:22" x14ac:dyDescent="0.15">
      <c r="A26" s="26" t="s">
        <v>47</v>
      </c>
      <c r="B26" s="8">
        <v>2</v>
      </c>
      <c r="C26" s="9"/>
      <c r="D26" s="10">
        <v>2</v>
      </c>
      <c r="E26" s="49">
        <f t="shared" si="12"/>
        <v>4</v>
      </c>
      <c r="F26" s="12">
        <v>2</v>
      </c>
      <c r="G26" s="9"/>
      <c r="H26" s="10">
        <v>2</v>
      </c>
      <c r="I26" s="49">
        <f t="shared" si="13"/>
        <v>4</v>
      </c>
      <c r="J26" s="11">
        <f t="shared" si="14"/>
        <v>8</v>
      </c>
      <c r="K26" s="62">
        <v>43434</v>
      </c>
      <c r="L26" s="24"/>
      <c r="M26" s="8"/>
      <c r="N26" s="9"/>
      <c r="O26" s="10"/>
      <c r="P26" s="49">
        <f t="shared" si="15"/>
        <v>0</v>
      </c>
      <c r="Q26" s="12"/>
      <c r="R26" s="9"/>
      <c r="S26" s="10"/>
      <c r="T26" s="49">
        <f t="shared" si="16"/>
        <v>0</v>
      </c>
      <c r="U26" s="11">
        <f t="shared" si="17"/>
        <v>0</v>
      </c>
    </row>
    <row r="27" spans="1:22" x14ac:dyDescent="0.15">
      <c r="A27" s="26" t="s">
        <v>48</v>
      </c>
      <c r="B27" s="8">
        <v>3</v>
      </c>
      <c r="C27" s="9">
        <v>3</v>
      </c>
      <c r="D27" s="10">
        <v>2</v>
      </c>
      <c r="E27" s="49">
        <f t="shared" si="12"/>
        <v>8</v>
      </c>
      <c r="F27" s="12">
        <v>3</v>
      </c>
      <c r="G27" s="9">
        <v>3</v>
      </c>
      <c r="H27" s="10">
        <v>2</v>
      </c>
      <c r="I27" s="49">
        <f t="shared" si="13"/>
        <v>8</v>
      </c>
      <c r="J27" s="11">
        <f t="shared" si="14"/>
        <v>16</v>
      </c>
      <c r="K27" s="62">
        <v>43435</v>
      </c>
      <c r="L27" s="26"/>
      <c r="M27" s="8"/>
      <c r="N27" s="9"/>
      <c r="O27" s="10"/>
      <c r="P27" s="49">
        <f t="shared" si="15"/>
        <v>0</v>
      </c>
      <c r="Q27" s="12"/>
      <c r="R27" s="9"/>
      <c r="S27" s="10"/>
      <c r="T27" s="49">
        <f t="shared" si="16"/>
        <v>0</v>
      </c>
      <c r="U27" s="11">
        <f t="shared" si="17"/>
        <v>0</v>
      </c>
    </row>
    <row r="28" spans="1:22" x14ac:dyDescent="0.15">
      <c r="A28" s="26" t="s">
        <v>49</v>
      </c>
      <c r="B28" s="8">
        <v>1</v>
      </c>
      <c r="C28" s="9"/>
      <c r="D28" s="10"/>
      <c r="E28" s="49">
        <f t="shared" si="12"/>
        <v>1</v>
      </c>
      <c r="F28" s="12">
        <v>1</v>
      </c>
      <c r="G28" s="9"/>
      <c r="H28" s="10"/>
      <c r="I28" s="49">
        <f t="shared" si="13"/>
        <v>1</v>
      </c>
      <c r="J28" s="11">
        <f t="shared" si="14"/>
        <v>2</v>
      </c>
      <c r="K28" s="62">
        <v>43437</v>
      </c>
      <c r="L28" s="26"/>
      <c r="M28" s="8"/>
      <c r="N28" s="9"/>
      <c r="O28" s="10"/>
      <c r="P28" s="49">
        <f t="shared" si="15"/>
        <v>0</v>
      </c>
      <c r="Q28" s="12"/>
      <c r="R28" s="9"/>
      <c r="S28" s="10"/>
      <c r="T28" s="49">
        <f t="shared" si="16"/>
        <v>0</v>
      </c>
      <c r="U28" s="11">
        <f t="shared" si="17"/>
        <v>0</v>
      </c>
    </row>
    <row r="29" spans="1:22" x14ac:dyDescent="0.15">
      <c r="A29" s="26" t="s">
        <v>50</v>
      </c>
      <c r="B29" s="8">
        <v>3</v>
      </c>
      <c r="C29" s="9"/>
      <c r="D29" s="10"/>
      <c r="E29" s="49">
        <f t="shared" si="12"/>
        <v>3</v>
      </c>
      <c r="F29" s="12">
        <v>3</v>
      </c>
      <c r="G29" s="9"/>
      <c r="H29" s="10"/>
      <c r="I29" s="49">
        <f t="shared" si="13"/>
        <v>3</v>
      </c>
      <c r="J29" s="11">
        <f t="shared" si="14"/>
        <v>6</v>
      </c>
      <c r="K29" s="62">
        <v>43439</v>
      </c>
      <c r="L29" s="24"/>
      <c r="M29" s="8"/>
      <c r="N29" s="9"/>
      <c r="O29" s="10"/>
      <c r="P29" s="49">
        <f t="shared" si="15"/>
        <v>0</v>
      </c>
      <c r="Q29" s="12"/>
      <c r="R29" s="9"/>
      <c r="S29" s="10"/>
      <c r="T29" s="49">
        <f t="shared" si="16"/>
        <v>0</v>
      </c>
      <c r="U29" s="11">
        <f t="shared" si="17"/>
        <v>0</v>
      </c>
    </row>
    <row r="30" spans="1:22" x14ac:dyDescent="0.15">
      <c r="A30" s="26" t="s">
        <v>51</v>
      </c>
      <c r="B30" s="8">
        <v>1</v>
      </c>
      <c r="C30" s="9"/>
      <c r="D30" s="10"/>
      <c r="E30" s="49">
        <f t="shared" si="12"/>
        <v>1</v>
      </c>
      <c r="F30" s="12">
        <v>1</v>
      </c>
      <c r="G30" s="9"/>
      <c r="H30" s="10"/>
      <c r="I30" s="49">
        <f t="shared" si="13"/>
        <v>1</v>
      </c>
      <c r="J30" s="11">
        <f t="shared" si="14"/>
        <v>2</v>
      </c>
      <c r="K30" s="62">
        <v>43441</v>
      </c>
      <c r="L30" s="26"/>
      <c r="M30" s="8"/>
      <c r="N30" s="9"/>
      <c r="O30" s="10"/>
      <c r="P30" s="49">
        <f t="shared" si="15"/>
        <v>0</v>
      </c>
      <c r="Q30" s="12"/>
      <c r="R30" s="9"/>
      <c r="S30" s="10"/>
      <c r="T30" s="49">
        <f t="shared" si="16"/>
        <v>0</v>
      </c>
      <c r="U30" s="11">
        <f t="shared" si="17"/>
        <v>0</v>
      </c>
    </row>
    <row r="31" spans="1:22" x14ac:dyDescent="0.15">
      <c r="A31" s="26" t="s">
        <v>54</v>
      </c>
      <c r="B31" s="8">
        <v>1</v>
      </c>
      <c r="C31" s="9"/>
      <c r="D31" s="10"/>
      <c r="E31" s="49">
        <f t="shared" si="12"/>
        <v>1</v>
      </c>
      <c r="F31" s="12">
        <v>1</v>
      </c>
      <c r="G31" s="9"/>
      <c r="H31" s="10"/>
      <c r="I31" s="49">
        <f t="shared" si="13"/>
        <v>1</v>
      </c>
      <c r="J31" s="11">
        <f t="shared" si="14"/>
        <v>2</v>
      </c>
      <c r="K31" s="62">
        <v>43445</v>
      </c>
      <c r="L31" s="24"/>
      <c r="M31" s="8"/>
      <c r="N31" s="9"/>
      <c r="O31" s="10"/>
      <c r="P31" s="49">
        <f t="shared" si="15"/>
        <v>0</v>
      </c>
      <c r="Q31" s="12"/>
      <c r="R31" s="9"/>
      <c r="S31" s="10"/>
      <c r="T31" s="49">
        <f t="shared" si="16"/>
        <v>0</v>
      </c>
      <c r="U31" s="11">
        <f t="shared" si="17"/>
        <v>0</v>
      </c>
    </row>
    <row r="32" spans="1:22" x14ac:dyDescent="0.15">
      <c r="A32" s="26" t="s">
        <v>55</v>
      </c>
      <c r="B32" s="8"/>
      <c r="C32" s="9">
        <v>1</v>
      </c>
      <c r="D32" s="10"/>
      <c r="E32" s="49">
        <f t="shared" si="12"/>
        <v>1</v>
      </c>
      <c r="F32" s="12"/>
      <c r="G32" s="9">
        <v>1</v>
      </c>
      <c r="H32" s="10"/>
      <c r="I32" s="49">
        <f t="shared" si="13"/>
        <v>1</v>
      </c>
      <c r="J32" s="11">
        <f t="shared" si="14"/>
        <v>2</v>
      </c>
      <c r="K32" s="62">
        <v>43447</v>
      </c>
      <c r="L32" s="23"/>
      <c r="M32" s="8"/>
      <c r="N32" s="9"/>
      <c r="O32" s="10"/>
      <c r="P32" s="49">
        <f t="shared" si="15"/>
        <v>0</v>
      </c>
      <c r="Q32" s="12"/>
      <c r="R32" s="9"/>
      <c r="S32" s="10"/>
      <c r="T32" s="49">
        <f t="shared" si="16"/>
        <v>0</v>
      </c>
      <c r="U32" s="11">
        <f t="shared" si="17"/>
        <v>0</v>
      </c>
    </row>
    <row r="33" spans="1:23" x14ac:dyDescent="0.15">
      <c r="A33" s="26" t="s">
        <v>56</v>
      </c>
      <c r="B33" s="8">
        <v>1</v>
      </c>
      <c r="C33" s="9">
        <v>4</v>
      </c>
      <c r="D33" s="10">
        <v>2</v>
      </c>
      <c r="E33" s="49">
        <f t="shared" si="12"/>
        <v>7</v>
      </c>
      <c r="F33" s="12">
        <v>1</v>
      </c>
      <c r="G33" s="9">
        <v>4</v>
      </c>
      <c r="H33" s="10">
        <v>2</v>
      </c>
      <c r="I33" s="49">
        <f t="shared" si="13"/>
        <v>7</v>
      </c>
      <c r="J33" s="11">
        <f t="shared" si="14"/>
        <v>14</v>
      </c>
      <c r="K33" s="62">
        <v>43448</v>
      </c>
      <c r="L33" s="24"/>
      <c r="M33" s="8"/>
      <c r="N33" s="9"/>
      <c r="O33" s="10"/>
      <c r="P33" s="49">
        <f t="shared" si="15"/>
        <v>0</v>
      </c>
      <c r="Q33" s="12"/>
      <c r="R33" s="9"/>
      <c r="S33" s="10"/>
      <c r="T33" s="49">
        <f t="shared" si="16"/>
        <v>0</v>
      </c>
      <c r="U33" s="11">
        <f t="shared" si="17"/>
        <v>0</v>
      </c>
    </row>
    <row r="34" spans="1:23" x14ac:dyDescent="0.15">
      <c r="A34" s="26" t="s">
        <v>60</v>
      </c>
      <c r="B34" s="8">
        <v>4</v>
      </c>
      <c r="C34" s="9"/>
      <c r="D34" s="10"/>
      <c r="E34" s="49">
        <f t="shared" si="12"/>
        <v>4</v>
      </c>
      <c r="F34" s="12">
        <v>4</v>
      </c>
      <c r="G34" s="9"/>
      <c r="H34" s="10"/>
      <c r="I34" s="49">
        <f t="shared" si="13"/>
        <v>4</v>
      </c>
      <c r="J34" s="11">
        <f t="shared" si="14"/>
        <v>8</v>
      </c>
      <c r="K34" s="62">
        <v>43449</v>
      </c>
      <c r="L34" s="26"/>
      <c r="M34" s="8"/>
      <c r="N34" s="9"/>
      <c r="O34" s="10"/>
      <c r="P34" s="49">
        <f t="shared" si="15"/>
        <v>0</v>
      </c>
      <c r="Q34" s="12"/>
      <c r="R34" s="9"/>
      <c r="S34" s="10"/>
      <c r="T34" s="49">
        <f t="shared" si="16"/>
        <v>0</v>
      </c>
      <c r="U34" s="11">
        <f t="shared" si="17"/>
        <v>0</v>
      </c>
    </row>
    <row r="35" spans="1:23" x14ac:dyDescent="0.15">
      <c r="A35" s="26" t="s">
        <v>61</v>
      </c>
      <c r="B35" s="13">
        <v>1</v>
      </c>
      <c r="C35" s="14"/>
      <c r="D35" s="15"/>
      <c r="E35" s="49">
        <f t="shared" si="12"/>
        <v>1</v>
      </c>
      <c r="F35" s="16">
        <v>1</v>
      </c>
      <c r="G35" s="14"/>
      <c r="H35" s="15"/>
      <c r="I35" s="49">
        <f t="shared" si="13"/>
        <v>1</v>
      </c>
      <c r="J35" s="11">
        <f t="shared" si="14"/>
        <v>2</v>
      </c>
      <c r="K35" s="65">
        <v>43451</v>
      </c>
      <c r="L35" s="67"/>
      <c r="M35" s="13"/>
      <c r="N35" s="14"/>
      <c r="O35" s="15"/>
      <c r="P35" s="49">
        <f t="shared" si="15"/>
        <v>0</v>
      </c>
      <c r="Q35" s="16"/>
      <c r="R35" s="14"/>
      <c r="S35" s="15"/>
      <c r="T35" s="49">
        <f t="shared" si="16"/>
        <v>0</v>
      </c>
      <c r="U35" s="11">
        <f t="shared" si="17"/>
        <v>0</v>
      </c>
    </row>
    <row r="36" spans="1:23" x14ac:dyDescent="0.15">
      <c r="A36" s="26" t="s">
        <v>62</v>
      </c>
      <c r="B36" s="8">
        <v>-5</v>
      </c>
      <c r="C36" s="9"/>
      <c r="D36" s="10"/>
      <c r="E36" s="49">
        <f t="shared" si="12"/>
        <v>-5</v>
      </c>
      <c r="F36" s="12">
        <v>-5</v>
      </c>
      <c r="G36" s="9"/>
      <c r="H36" s="10"/>
      <c r="I36" s="49">
        <f t="shared" si="13"/>
        <v>-5</v>
      </c>
      <c r="J36" s="11">
        <f t="shared" si="14"/>
        <v>-10</v>
      </c>
      <c r="K36" s="62">
        <v>43449</v>
      </c>
      <c r="L36" s="26"/>
      <c r="M36" s="8"/>
      <c r="N36" s="9"/>
      <c r="O36" s="10"/>
      <c r="P36" s="49">
        <f t="shared" si="15"/>
        <v>0</v>
      </c>
      <c r="Q36" s="12"/>
      <c r="R36" s="9"/>
      <c r="S36" s="10"/>
      <c r="T36" s="49">
        <f t="shared" si="16"/>
        <v>0</v>
      </c>
      <c r="U36" s="11">
        <f t="shared" si="17"/>
        <v>0</v>
      </c>
    </row>
    <row r="37" spans="1:23" x14ac:dyDescent="0.15">
      <c r="A37" s="26" t="s">
        <v>63</v>
      </c>
      <c r="B37" s="8">
        <v>2</v>
      </c>
      <c r="C37" s="9"/>
      <c r="D37" s="10"/>
      <c r="E37" s="49">
        <f t="shared" si="12"/>
        <v>2</v>
      </c>
      <c r="F37" s="12">
        <v>2</v>
      </c>
      <c r="G37" s="9"/>
      <c r="H37" s="10"/>
      <c r="I37" s="49">
        <f t="shared" si="13"/>
        <v>2</v>
      </c>
      <c r="J37" s="11">
        <f t="shared" si="14"/>
        <v>4</v>
      </c>
      <c r="K37" s="62">
        <v>43453</v>
      </c>
      <c r="L37" s="26"/>
      <c r="M37" s="8"/>
      <c r="N37" s="9"/>
      <c r="O37" s="10"/>
      <c r="P37" s="49">
        <f t="shared" si="15"/>
        <v>0</v>
      </c>
      <c r="Q37" s="12"/>
      <c r="R37" s="9"/>
      <c r="S37" s="10"/>
      <c r="T37" s="49">
        <f t="shared" si="16"/>
        <v>0</v>
      </c>
      <c r="U37" s="11">
        <f t="shared" si="17"/>
        <v>0</v>
      </c>
    </row>
    <row r="38" spans="1:23" x14ac:dyDescent="0.15">
      <c r="A38" s="26" t="s">
        <v>64</v>
      </c>
      <c r="B38" s="8"/>
      <c r="C38" s="9">
        <v>-1</v>
      </c>
      <c r="D38" s="10">
        <v>-1</v>
      </c>
      <c r="E38" s="49">
        <f t="shared" si="12"/>
        <v>-2</v>
      </c>
      <c r="F38" s="12"/>
      <c r="G38" s="9">
        <v>-1</v>
      </c>
      <c r="H38" s="10">
        <v>-1</v>
      </c>
      <c r="I38" s="49">
        <f t="shared" si="13"/>
        <v>-2</v>
      </c>
      <c r="J38" s="11">
        <f t="shared" si="14"/>
        <v>-4</v>
      </c>
      <c r="K38" s="62">
        <v>43453</v>
      </c>
      <c r="L38" s="26"/>
      <c r="M38" s="8"/>
      <c r="N38" s="9"/>
      <c r="O38" s="10"/>
      <c r="P38" s="49">
        <f t="shared" si="15"/>
        <v>0</v>
      </c>
      <c r="Q38" s="12"/>
      <c r="R38" s="9"/>
      <c r="S38" s="10"/>
      <c r="T38" s="49">
        <f t="shared" si="16"/>
        <v>0</v>
      </c>
      <c r="U38" s="11">
        <f t="shared" si="17"/>
        <v>0</v>
      </c>
      <c r="V38" s="121"/>
    </row>
    <row r="39" spans="1:23" ht="14.25" thickBot="1" x14ac:dyDescent="0.2">
      <c r="A39" s="26" t="s">
        <v>65</v>
      </c>
      <c r="B39" s="13">
        <v>3</v>
      </c>
      <c r="C39" s="14"/>
      <c r="D39" s="15"/>
      <c r="E39" s="49">
        <f>SUM(B39:D39)</f>
        <v>3</v>
      </c>
      <c r="F39" s="16">
        <v>3</v>
      </c>
      <c r="G39" s="14"/>
      <c r="H39" s="15"/>
      <c r="I39" s="49">
        <f>SUM(F39:H39)</f>
        <v>3</v>
      </c>
      <c r="J39" s="11">
        <f>E39+I39</f>
        <v>6</v>
      </c>
      <c r="K39" s="62">
        <v>43456</v>
      </c>
      <c r="L39" s="26"/>
      <c r="M39" s="8"/>
      <c r="N39" s="9"/>
      <c r="O39" s="10"/>
      <c r="P39" s="49">
        <f t="shared" ref="P39" si="18">SUM(M39:O39)</f>
        <v>0</v>
      </c>
      <c r="Q39" s="12"/>
      <c r="R39" s="9"/>
      <c r="S39" s="10"/>
      <c r="T39" s="49">
        <f t="shared" ref="T39" si="19">SUM(Q39:S39)</f>
        <v>0</v>
      </c>
      <c r="U39" s="11">
        <f t="shared" ref="U39" si="20">P39+T39</f>
        <v>0</v>
      </c>
      <c r="V39" s="121"/>
    </row>
    <row r="40" spans="1:23" ht="14.25" thickBot="1" x14ac:dyDescent="0.2">
      <c r="A40" s="41" t="s">
        <v>17</v>
      </c>
      <c r="B40" s="46">
        <f>SUM(B14:B39)</f>
        <v>91</v>
      </c>
      <c r="C40" s="47">
        <f t="shared" ref="C40:D40" si="21">SUM(C14:C39)</f>
        <v>116</v>
      </c>
      <c r="D40" s="58">
        <f t="shared" si="21"/>
        <v>74</v>
      </c>
      <c r="E40" s="45">
        <f t="shared" si="12"/>
        <v>281</v>
      </c>
      <c r="F40" s="46">
        <f>SUM(F14:F39)</f>
        <v>91</v>
      </c>
      <c r="G40" s="47">
        <f t="shared" ref="G40:H40" si="22">SUM(G14:G39)</f>
        <v>116</v>
      </c>
      <c r="H40" s="58">
        <f t="shared" si="22"/>
        <v>74</v>
      </c>
      <c r="I40" s="45">
        <f t="shared" si="13"/>
        <v>281</v>
      </c>
      <c r="J40" s="45">
        <f>E40+I40</f>
        <v>562</v>
      </c>
      <c r="K40" s="40"/>
      <c r="L40" s="41" t="s">
        <v>17</v>
      </c>
      <c r="M40" s="46">
        <f>SUM(M14:M39)</f>
        <v>124</v>
      </c>
      <c r="N40" s="47">
        <f t="shared" ref="N40:O40" si="23">SUM(N14:N39)</f>
        <v>153</v>
      </c>
      <c r="O40" s="58">
        <f t="shared" si="23"/>
        <v>90</v>
      </c>
      <c r="P40" s="45">
        <f t="shared" ref="P40" si="24">SUM(M40:O40)</f>
        <v>367</v>
      </c>
      <c r="Q40" s="46">
        <f>SUM(Q14:Q39)</f>
        <v>124</v>
      </c>
      <c r="R40" s="47">
        <f t="shared" ref="R40:S40" si="25">SUM(R14:R39)</f>
        <v>153</v>
      </c>
      <c r="S40" s="58">
        <f t="shared" si="25"/>
        <v>90</v>
      </c>
      <c r="T40" s="45">
        <f t="shared" ref="T40" si="26">SUM(Q40:S40)</f>
        <v>367</v>
      </c>
      <c r="U40" s="45">
        <f>P40+T40</f>
        <v>734</v>
      </c>
    </row>
    <row r="41" spans="1:23" ht="14.25" thickBot="1" x14ac:dyDescent="0.2">
      <c r="A41" s="22" t="s">
        <v>16</v>
      </c>
      <c r="B41" s="50">
        <f>B13-B40</f>
        <v>9</v>
      </c>
      <c r="C41" s="56">
        <f t="shared" ref="C41:D41" si="27">C13-C40</f>
        <v>5</v>
      </c>
      <c r="D41" s="57">
        <f t="shared" si="27"/>
        <v>16</v>
      </c>
      <c r="E41" s="55">
        <f>SUM(B41:D41)</f>
        <v>30</v>
      </c>
      <c r="F41" s="50">
        <f>F13-F40</f>
        <v>9</v>
      </c>
      <c r="G41" s="56">
        <f t="shared" ref="G41:H41" si="28">G13-G40</f>
        <v>5</v>
      </c>
      <c r="H41" s="57">
        <f t="shared" si="28"/>
        <v>16</v>
      </c>
      <c r="I41" s="55">
        <f>SUM(F41:H41)</f>
        <v>30</v>
      </c>
      <c r="J41" s="31">
        <f>E41+I41</f>
        <v>60</v>
      </c>
      <c r="L41" s="22" t="s">
        <v>16</v>
      </c>
      <c r="M41" s="50">
        <f>M13-M40</f>
        <v>76</v>
      </c>
      <c r="N41" s="56">
        <f t="shared" ref="N41:O41" si="29">N13-N40</f>
        <v>147</v>
      </c>
      <c r="O41" s="57">
        <f t="shared" si="29"/>
        <v>94</v>
      </c>
      <c r="P41" s="55">
        <f>SUM(M41:O41)</f>
        <v>317</v>
      </c>
      <c r="Q41" s="50">
        <f>Q13-Q40</f>
        <v>76</v>
      </c>
      <c r="R41" s="56">
        <f t="shared" ref="R41:S41" si="30">R13-R40</f>
        <v>147</v>
      </c>
      <c r="S41" s="57">
        <f t="shared" si="30"/>
        <v>94</v>
      </c>
      <c r="T41" s="55">
        <f>SUM(Q41:S41)</f>
        <v>317</v>
      </c>
      <c r="U41" s="31">
        <f>P41+T41</f>
        <v>634</v>
      </c>
    </row>
    <row r="42" spans="1:23" ht="19.5" thickBot="1" x14ac:dyDescent="0.25">
      <c r="A42" s="3" t="s">
        <v>18</v>
      </c>
      <c r="B42" s="1"/>
      <c r="C42" s="1"/>
      <c r="D42" s="1"/>
      <c r="E42" s="1"/>
      <c r="F42" s="1"/>
      <c r="G42" s="1"/>
      <c r="H42" s="1"/>
      <c r="I42" s="1"/>
      <c r="J42" s="1"/>
      <c r="L42" s="3" t="s">
        <v>19</v>
      </c>
      <c r="M42" s="1"/>
      <c r="N42" s="1"/>
      <c r="O42" s="1"/>
      <c r="P42" s="1"/>
      <c r="Q42" s="1"/>
      <c r="R42" s="1"/>
      <c r="S42" s="1"/>
      <c r="T42" s="1"/>
      <c r="U42" s="1"/>
    </row>
    <row r="43" spans="1:23" ht="14.25" thickBot="1" x14ac:dyDescent="0.2">
      <c r="A43" s="7"/>
      <c r="B43" s="176" t="s">
        <v>22</v>
      </c>
      <c r="C43" s="177"/>
      <c r="D43" s="177"/>
      <c r="E43" s="178"/>
      <c r="F43" s="176" t="s">
        <v>23</v>
      </c>
      <c r="G43" s="177"/>
      <c r="H43" s="177"/>
      <c r="I43" s="179"/>
      <c r="J43" s="174" t="s">
        <v>0</v>
      </c>
      <c r="L43" s="7"/>
      <c r="M43" s="169" t="s">
        <v>24</v>
      </c>
      <c r="N43" s="170"/>
      <c r="O43" s="170"/>
      <c r="P43" s="171"/>
      <c r="Q43" s="169" t="s">
        <v>25</v>
      </c>
      <c r="R43" s="170"/>
      <c r="S43" s="170"/>
      <c r="T43" s="171"/>
      <c r="U43" s="174" t="s">
        <v>0</v>
      </c>
    </row>
    <row r="44" spans="1:23" ht="14.25" thickBot="1" x14ac:dyDescent="0.2">
      <c r="A44" s="7" t="s">
        <v>1</v>
      </c>
      <c r="B44" s="4" t="s">
        <v>2</v>
      </c>
      <c r="C44" s="5" t="s">
        <v>3</v>
      </c>
      <c r="D44" s="6" t="s">
        <v>4</v>
      </c>
      <c r="E44" s="7" t="s">
        <v>5</v>
      </c>
      <c r="F44" s="4" t="s">
        <v>2</v>
      </c>
      <c r="G44" s="5" t="s">
        <v>3</v>
      </c>
      <c r="H44" s="6" t="s">
        <v>4</v>
      </c>
      <c r="I44" s="7" t="s">
        <v>5</v>
      </c>
      <c r="J44" s="175"/>
      <c r="L44" s="7" t="s">
        <v>1</v>
      </c>
      <c r="M44" s="4" t="s">
        <v>2</v>
      </c>
      <c r="N44" s="5" t="s">
        <v>3</v>
      </c>
      <c r="O44" s="6" t="s">
        <v>4</v>
      </c>
      <c r="P44" s="7" t="s">
        <v>5</v>
      </c>
      <c r="Q44" s="4" t="s">
        <v>2</v>
      </c>
      <c r="R44" s="5" t="s">
        <v>3</v>
      </c>
      <c r="S44" s="6" t="s">
        <v>4</v>
      </c>
      <c r="T44" s="7" t="s">
        <v>5</v>
      </c>
      <c r="U44" s="175"/>
    </row>
    <row r="45" spans="1:23" ht="14.25" thickBot="1" x14ac:dyDescent="0.2">
      <c r="A45" s="27" t="s">
        <v>16</v>
      </c>
      <c r="B45" s="38">
        <f>B41</f>
        <v>9</v>
      </c>
      <c r="C45" s="39">
        <f>C41</f>
        <v>5</v>
      </c>
      <c r="D45" s="2">
        <f>D41</f>
        <v>16</v>
      </c>
      <c r="E45" s="36">
        <f>SUM(B45:D45)</f>
        <v>30</v>
      </c>
      <c r="F45" s="38">
        <f>F41</f>
        <v>9</v>
      </c>
      <c r="G45" s="39">
        <f>G41</f>
        <v>5</v>
      </c>
      <c r="H45" s="2">
        <f>H41</f>
        <v>16</v>
      </c>
      <c r="I45" s="36">
        <f>SUM(F45:H45)</f>
        <v>30</v>
      </c>
      <c r="J45" s="36">
        <f>E45+I45</f>
        <v>60</v>
      </c>
      <c r="K45" s="63"/>
      <c r="L45" s="68" t="s">
        <v>16</v>
      </c>
      <c r="M45" s="42">
        <f>M41</f>
        <v>76</v>
      </c>
      <c r="N45" s="43">
        <f>N41</f>
        <v>147</v>
      </c>
      <c r="O45" s="60">
        <f>O41</f>
        <v>94</v>
      </c>
      <c r="P45" s="48">
        <f>SUM(M45:O45)</f>
        <v>317</v>
      </c>
      <c r="Q45" s="42">
        <f>Q41</f>
        <v>76</v>
      </c>
      <c r="R45" s="43">
        <f>R41</f>
        <v>147</v>
      </c>
      <c r="S45" s="60">
        <f>S41</f>
        <v>94</v>
      </c>
      <c r="T45" s="48">
        <f>SUM(Q45:S45)</f>
        <v>317</v>
      </c>
      <c r="U45" s="48">
        <f>P45+T45</f>
        <v>634</v>
      </c>
      <c r="V45" s="98"/>
      <c r="W45" s="66"/>
    </row>
    <row r="46" spans="1:23" x14ac:dyDescent="0.15">
      <c r="A46" s="25" t="s">
        <v>69</v>
      </c>
      <c r="B46" s="42"/>
      <c r="C46" s="43"/>
      <c r="D46" s="44">
        <v>1</v>
      </c>
      <c r="E46" s="48">
        <f>SUM(B46:D46)</f>
        <v>1</v>
      </c>
      <c r="F46" s="59"/>
      <c r="G46" s="43"/>
      <c r="H46" s="60">
        <v>1</v>
      </c>
      <c r="I46" s="48">
        <f>SUM(F46:H46)</f>
        <v>1</v>
      </c>
      <c r="J46" s="48">
        <f>E46+I46</f>
        <v>2</v>
      </c>
      <c r="K46" s="62">
        <v>43473</v>
      </c>
      <c r="L46" s="25" t="s">
        <v>84</v>
      </c>
      <c r="M46" s="42">
        <v>3</v>
      </c>
      <c r="N46" s="43"/>
      <c r="O46" s="44">
        <v>15</v>
      </c>
      <c r="P46" s="48">
        <f>SUM(M46:O46)</f>
        <v>18</v>
      </c>
      <c r="Q46" s="59">
        <v>3</v>
      </c>
      <c r="R46" s="43"/>
      <c r="S46" s="60">
        <v>15</v>
      </c>
      <c r="T46" s="48">
        <f>SUM(Q46:S46)</f>
        <v>18</v>
      </c>
      <c r="U46" s="48">
        <f>P46+T46</f>
        <v>36</v>
      </c>
      <c r="V46" s="98">
        <v>43526</v>
      </c>
      <c r="W46" s="66"/>
    </row>
    <row r="47" spans="1:23" x14ac:dyDescent="0.15">
      <c r="A47" s="25" t="s">
        <v>89</v>
      </c>
      <c r="B47" s="8">
        <v>2</v>
      </c>
      <c r="C47" s="9">
        <v>1</v>
      </c>
      <c r="D47" s="52"/>
      <c r="E47" s="11">
        <f>SUM(B47:D47)</f>
        <v>3</v>
      </c>
      <c r="F47" s="12">
        <v>2</v>
      </c>
      <c r="G47" s="9">
        <v>1</v>
      </c>
      <c r="H47" s="10"/>
      <c r="I47" s="11">
        <f>SUM(F47:H47)</f>
        <v>3</v>
      </c>
      <c r="J47" s="11">
        <f>E47+I47</f>
        <v>6</v>
      </c>
      <c r="K47" s="62">
        <v>43650</v>
      </c>
      <c r="L47" s="25" t="s">
        <v>8</v>
      </c>
      <c r="M47" s="8"/>
      <c r="N47" s="9"/>
      <c r="O47" s="52"/>
      <c r="P47" s="11">
        <f>SUM(M47:O47)</f>
        <v>0</v>
      </c>
      <c r="Q47" s="12"/>
      <c r="R47" s="9"/>
      <c r="S47" s="10"/>
      <c r="T47" s="11">
        <f>SUM(Q47:S47)</f>
        <v>0</v>
      </c>
      <c r="U47" s="11">
        <f>P47+T47</f>
        <v>0</v>
      </c>
      <c r="V47" s="98"/>
    </row>
    <row r="48" spans="1:23" x14ac:dyDescent="0.15">
      <c r="A48" s="25" t="s">
        <v>32</v>
      </c>
      <c r="B48" s="17">
        <v>2</v>
      </c>
      <c r="C48" s="18">
        <v>2</v>
      </c>
      <c r="D48" s="51">
        <v>2</v>
      </c>
      <c r="E48" s="11">
        <f t="shared" ref="E48:E53" si="31">SUM(B48:D48)</f>
        <v>6</v>
      </c>
      <c r="F48" s="20">
        <v>2</v>
      </c>
      <c r="G48" s="18">
        <v>2</v>
      </c>
      <c r="H48" s="19">
        <v>2</v>
      </c>
      <c r="I48" s="11">
        <f t="shared" ref="I48:I53" si="32">SUM(F48:H48)</f>
        <v>6</v>
      </c>
      <c r="J48" s="11">
        <f t="shared" ref="J48:J53" si="33">E48+I48</f>
        <v>12</v>
      </c>
      <c r="K48" s="62">
        <v>43714</v>
      </c>
      <c r="L48" s="25" t="s">
        <v>9</v>
      </c>
      <c r="M48" s="17"/>
      <c r="N48" s="18"/>
      <c r="O48" s="51"/>
      <c r="P48" s="11">
        <f t="shared" ref="P48:P53" si="34">SUM(M48:O48)</f>
        <v>0</v>
      </c>
      <c r="Q48" s="20"/>
      <c r="R48" s="18"/>
      <c r="S48" s="19"/>
      <c r="T48" s="11">
        <f t="shared" ref="T48:T53" si="35">SUM(Q48:S48)</f>
        <v>0</v>
      </c>
      <c r="U48" s="11">
        <f t="shared" ref="U48:U53" si="36">P48+T48</f>
        <v>0</v>
      </c>
    </row>
    <row r="49" spans="1:23" x14ac:dyDescent="0.15">
      <c r="A49" s="25"/>
      <c r="B49" s="8"/>
      <c r="C49" s="9"/>
      <c r="D49" s="52"/>
      <c r="E49" s="11">
        <f t="shared" si="31"/>
        <v>0</v>
      </c>
      <c r="F49" s="12"/>
      <c r="G49" s="9"/>
      <c r="H49" s="10"/>
      <c r="I49" s="11">
        <f t="shared" si="32"/>
        <v>0</v>
      </c>
      <c r="J49" s="11">
        <f t="shared" si="33"/>
        <v>0</v>
      </c>
      <c r="K49" s="62"/>
      <c r="L49" s="25" t="s">
        <v>10</v>
      </c>
      <c r="M49" s="8"/>
      <c r="N49" s="9"/>
      <c r="O49" s="52"/>
      <c r="P49" s="11">
        <f t="shared" si="34"/>
        <v>0</v>
      </c>
      <c r="Q49" s="12"/>
      <c r="R49" s="9"/>
      <c r="S49" s="10"/>
      <c r="T49" s="11">
        <f t="shared" si="35"/>
        <v>0</v>
      </c>
      <c r="U49" s="11">
        <f t="shared" si="36"/>
        <v>0</v>
      </c>
    </row>
    <row r="50" spans="1:23" x14ac:dyDescent="0.15">
      <c r="A50" s="25"/>
      <c r="B50" s="8"/>
      <c r="C50" s="9"/>
      <c r="D50" s="52"/>
      <c r="E50" s="11">
        <f t="shared" si="31"/>
        <v>0</v>
      </c>
      <c r="F50" s="12"/>
      <c r="G50" s="9"/>
      <c r="H50" s="10"/>
      <c r="I50" s="11">
        <f t="shared" si="32"/>
        <v>0</v>
      </c>
      <c r="J50" s="11">
        <f t="shared" si="33"/>
        <v>0</v>
      </c>
      <c r="K50" s="62"/>
      <c r="L50" s="25" t="s">
        <v>11</v>
      </c>
      <c r="M50" s="8"/>
      <c r="N50" s="9"/>
      <c r="O50" s="52"/>
      <c r="P50" s="11">
        <f t="shared" si="34"/>
        <v>0</v>
      </c>
      <c r="Q50" s="12"/>
      <c r="R50" s="9"/>
      <c r="S50" s="10"/>
      <c r="T50" s="11">
        <f t="shared" si="35"/>
        <v>0</v>
      </c>
      <c r="U50" s="11">
        <f t="shared" si="36"/>
        <v>0</v>
      </c>
    </row>
    <row r="51" spans="1:23" x14ac:dyDescent="0.15">
      <c r="A51" s="25"/>
      <c r="B51" s="8"/>
      <c r="C51" s="9"/>
      <c r="D51" s="52"/>
      <c r="E51" s="11">
        <f t="shared" si="31"/>
        <v>0</v>
      </c>
      <c r="F51" s="12"/>
      <c r="G51" s="9"/>
      <c r="H51" s="10"/>
      <c r="I51" s="11">
        <f t="shared" si="32"/>
        <v>0</v>
      </c>
      <c r="J51" s="11">
        <f t="shared" si="33"/>
        <v>0</v>
      </c>
      <c r="K51" s="62"/>
      <c r="L51" s="25" t="s">
        <v>12</v>
      </c>
      <c r="M51" s="8"/>
      <c r="N51" s="9"/>
      <c r="O51" s="52"/>
      <c r="P51" s="11">
        <f t="shared" si="34"/>
        <v>0</v>
      </c>
      <c r="Q51" s="12"/>
      <c r="R51" s="9"/>
      <c r="S51" s="10"/>
      <c r="T51" s="11">
        <f t="shared" si="35"/>
        <v>0</v>
      </c>
      <c r="U51" s="11">
        <f t="shared" si="36"/>
        <v>0</v>
      </c>
    </row>
    <row r="52" spans="1:23" x14ac:dyDescent="0.15">
      <c r="A52" s="25"/>
      <c r="B52" s="13"/>
      <c r="C52" s="14"/>
      <c r="D52" s="53"/>
      <c r="E52" s="11">
        <f t="shared" si="31"/>
        <v>0</v>
      </c>
      <c r="F52" s="16"/>
      <c r="G52" s="14"/>
      <c r="H52" s="15"/>
      <c r="I52" s="11">
        <f t="shared" si="32"/>
        <v>0</v>
      </c>
      <c r="J52" s="11">
        <f t="shared" si="33"/>
        <v>0</v>
      </c>
      <c r="K52" s="64"/>
      <c r="L52" s="25" t="s">
        <v>13</v>
      </c>
      <c r="M52" s="13"/>
      <c r="N52" s="14"/>
      <c r="O52" s="53"/>
      <c r="P52" s="11">
        <f t="shared" si="34"/>
        <v>0</v>
      </c>
      <c r="Q52" s="16"/>
      <c r="R52" s="14"/>
      <c r="S52" s="15"/>
      <c r="T52" s="11">
        <f t="shared" si="35"/>
        <v>0</v>
      </c>
      <c r="U52" s="11">
        <f t="shared" si="36"/>
        <v>0</v>
      </c>
    </row>
    <row r="53" spans="1:23" ht="14.25" thickBot="1" x14ac:dyDescent="0.2">
      <c r="A53" s="25"/>
      <c r="B53" s="32"/>
      <c r="C53" s="33"/>
      <c r="D53" s="54"/>
      <c r="E53" s="61">
        <f t="shared" si="31"/>
        <v>0</v>
      </c>
      <c r="F53" s="34"/>
      <c r="G53" s="34"/>
      <c r="H53" s="37"/>
      <c r="I53" s="61">
        <f t="shared" si="32"/>
        <v>0</v>
      </c>
      <c r="J53" s="21">
        <f t="shared" si="33"/>
        <v>0</v>
      </c>
      <c r="K53" s="62"/>
      <c r="L53" s="25" t="s">
        <v>14</v>
      </c>
      <c r="M53" s="32"/>
      <c r="N53" s="33"/>
      <c r="O53" s="54"/>
      <c r="P53" s="61">
        <f t="shared" si="34"/>
        <v>0</v>
      </c>
      <c r="Q53" s="34"/>
      <c r="R53" s="34"/>
      <c r="S53" s="37"/>
      <c r="T53" s="61">
        <f t="shared" si="35"/>
        <v>0</v>
      </c>
      <c r="U53" s="21">
        <f t="shared" si="36"/>
        <v>0</v>
      </c>
    </row>
    <row r="54" spans="1:23" ht="14.25" thickBot="1" x14ac:dyDescent="0.2">
      <c r="A54" s="35" t="s">
        <v>15</v>
      </c>
      <c r="B54" s="28">
        <f>SUM(B45:B53)</f>
        <v>13</v>
      </c>
      <c r="C54" s="29">
        <f>SUM(C45:C53)</f>
        <v>8</v>
      </c>
      <c r="D54" s="30">
        <f>SUM(D45:D53)</f>
        <v>19</v>
      </c>
      <c r="E54" s="31">
        <f>SUM(B54:D54)</f>
        <v>40</v>
      </c>
      <c r="F54" s="28">
        <f>SUM(F45:F53)</f>
        <v>13</v>
      </c>
      <c r="G54" s="29">
        <f>SUM(G45:G53)</f>
        <v>8</v>
      </c>
      <c r="H54" s="30">
        <f>SUM(H45:H53)</f>
        <v>19</v>
      </c>
      <c r="I54" s="31">
        <f>SUM(F54:H54)</f>
        <v>40</v>
      </c>
      <c r="J54" s="31">
        <f>E54+I54</f>
        <v>80</v>
      </c>
      <c r="L54" s="35" t="s">
        <v>15</v>
      </c>
      <c r="M54" s="28">
        <f>SUM(M45:M53)</f>
        <v>79</v>
      </c>
      <c r="N54" s="29">
        <f>SUM(N45:N53)</f>
        <v>147</v>
      </c>
      <c r="O54" s="30">
        <f>SUM(O45:O53)</f>
        <v>109</v>
      </c>
      <c r="P54" s="31">
        <f>SUM(M54:O54)</f>
        <v>335</v>
      </c>
      <c r="Q54" s="28">
        <f>SUM(Q45:Q53)</f>
        <v>79</v>
      </c>
      <c r="R54" s="29">
        <f>SUM(R45:R53)</f>
        <v>147</v>
      </c>
      <c r="S54" s="30">
        <f>SUM(S45:S53)</f>
        <v>109</v>
      </c>
      <c r="T54" s="31">
        <f>SUM(Q54:S54)</f>
        <v>335</v>
      </c>
      <c r="U54" s="31">
        <f>P54+T54</f>
        <v>670</v>
      </c>
    </row>
    <row r="55" spans="1:23" x14ac:dyDescent="0.15">
      <c r="A55" s="26" t="s">
        <v>66</v>
      </c>
      <c r="B55" s="13">
        <v>4</v>
      </c>
      <c r="C55" s="14">
        <v>3</v>
      </c>
      <c r="D55" s="15"/>
      <c r="E55" s="49">
        <f>SUM(B55:D55)</f>
        <v>7</v>
      </c>
      <c r="F55" s="16">
        <v>4</v>
      </c>
      <c r="G55" s="14">
        <v>3</v>
      </c>
      <c r="H55" s="15"/>
      <c r="I55" s="49">
        <f>SUM(F55:H55)</f>
        <v>7</v>
      </c>
      <c r="J55" s="11">
        <f>E55+I55</f>
        <v>14</v>
      </c>
      <c r="K55" s="62">
        <v>43462</v>
      </c>
      <c r="L55" s="26" t="s">
        <v>70</v>
      </c>
      <c r="M55" s="13">
        <v>1</v>
      </c>
      <c r="N55" s="14"/>
      <c r="O55" s="15"/>
      <c r="P55" s="49">
        <f>SUM(M55:O55)</f>
        <v>1</v>
      </c>
      <c r="Q55" s="16">
        <v>1</v>
      </c>
      <c r="R55" s="14"/>
      <c r="S55" s="15"/>
      <c r="T55" s="49">
        <f>SUM(Q55:S55)</f>
        <v>1</v>
      </c>
      <c r="U55" s="11">
        <f>P55+T55</f>
        <v>2</v>
      </c>
      <c r="V55" s="98">
        <v>43481</v>
      </c>
      <c r="W55" s="66"/>
    </row>
    <row r="56" spans="1:23" x14ac:dyDescent="0.15">
      <c r="A56" s="26" t="s">
        <v>67</v>
      </c>
      <c r="B56" s="8">
        <v>1</v>
      </c>
      <c r="C56" s="9"/>
      <c r="D56" s="10"/>
      <c r="E56" s="49">
        <f t="shared" ref="E56:E79" si="37">SUM(B56:D56)</f>
        <v>1</v>
      </c>
      <c r="F56" s="12">
        <v>1</v>
      </c>
      <c r="G56" s="9"/>
      <c r="H56" s="10"/>
      <c r="I56" s="49">
        <f t="shared" ref="I56:I79" si="38">SUM(F56:H56)</f>
        <v>1</v>
      </c>
      <c r="J56" s="11">
        <f t="shared" ref="J56:J79" si="39">E56+I56</f>
        <v>2</v>
      </c>
      <c r="K56" s="62">
        <v>43105</v>
      </c>
      <c r="L56" s="26" t="s">
        <v>72</v>
      </c>
      <c r="M56" s="8">
        <v>1</v>
      </c>
      <c r="N56" s="9">
        <v>2</v>
      </c>
      <c r="O56" s="10">
        <v>1</v>
      </c>
      <c r="P56" s="49">
        <f t="shared" ref="P56" si="40">SUM(M56:O56)</f>
        <v>4</v>
      </c>
      <c r="Q56" s="12">
        <v>1</v>
      </c>
      <c r="R56" s="9">
        <v>2</v>
      </c>
      <c r="S56" s="10">
        <v>1</v>
      </c>
      <c r="T56" s="49">
        <f t="shared" ref="T56" si="41">SUM(Q56:S56)</f>
        <v>4</v>
      </c>
      <c r="U56" s="11">
        <f t="shared" ref="U56" si="42">P56+T56</f>
        <v>8</v>
      </c>
      <c r="V56" s="98">
        <v>43488</v>
      </c>
    </row>
    <row r="57" spans="1:23" x14ac:dyDescent="0.15">
      <c r="A57" s="26" t="s">
        <v>68</v>
      </c>
      <c r="B57" s="8">
        <v>1</v>
      </c>
      <c r="C57" s="9"/>
      <c r="D57" s="10"/>
      <c r="E57" s="49">
        <f t="shared" si="37"/>
        <v>1</v>
      </c>
      <c r="F57" s="12">
        <v>1</v>
      </c>
      <c r="G57" s="9"/>
      <c r="H57" s="10"/>
      <c r="I57" s="49">
        <f t="shared" si="38"/>
        <v>1</v>
      </c>
      <c r="J57" s="11">
        <f t="shared" si="39"/>
        <v>2</v>
      </c>
      <c r="K57" s="62">
        <v>43473</v>
      </c>
      <c r="L57" s="26" t="s">
        <v>73</v>
      </c>
      <c r="M57" s="13"/>
      <c r="N57" s="14"/>
      <c r="O57" s="15">
        <v>1</v>
      </c>
      <c r="P57" s="49">
        <f>SUM(M57:O57)</f>
        <v>1</v>
      </c>
      <c r="Q57" s="16"/>
      <c r="R57" s="14"/>
      <c r="S57" s="15">
        <v>1</v>
      </c>
      <c r="T57" s="49">
        <f>SUM(Q57:S57)</f>
        <v>1</v>
      </c>
      <c r="U57" s="11">
        <f>P57+T57</f>
        <v>2</v>
      </c>
      <c r="V57" s="98">
        <v>43489</v>
      </c>
    </row>
    <row r="58" spans="1:23" x14ac:dyDescent="0.15">
      <c r="A58" s="26" t="s">
        <v>71</v>
      </c>
      <c r="B58" s="13"/>
      <c r="C58" s="14"/>
      <c r="D58" s="15">
        <v>1</v>
      </c>
      <c r="E58" s="49">
        <f>SUM(B58:D58)</f>
        <v>1</v>
      </c>
      <c r="F58" s="16"/>
      <c r="G58" s="14"/>
      <c r="H58" s="15">
        <v>1</v>
      </c>
      <c r="I58" s="49">
        <f>SUM(F58:H58)</f>
        <v>1</v>
      </c>
      <c r="J58" s="11">
        <f>E58+I58</f>
        <v>2</v>
      </c>
      <c r="K58" s="62">
        <v>43486</v>
      </c>
      <c r="L58" s="26" t="s">
        <v>74</v>
      </c>
      <c r="M58" s="8">
        <v>1</v>
      </c>
      <c r="N58" s="9">
        <v>1</v>
      </c>
      <c r="O58" s="10">
        <v>1</v>
      </c>
      <c r="P58" s="49">
        <f t="shared" ref="P58:P81" si="43">SUM(M58:O58)</f>
        <v>3</v>
      </c>
      <c r="Q58" s="12">
        <v>1</v>
      </c>
      <c r="R58" s="9">
        <v>1</v>
      </c>
      <c r="S58" s="10">
        <v>1</v>
      </c>
      <c r="T58" s="49">
        <f t="shared" ref="T58:T81" si="44">SUM(Q58:S58)</f>
        <v>3</v>
      </c>
      <c r="U58" s="11">
        <f t="shared" ref="U58:U79" si="45">P58+T58</f>
        <v>6</v>
      </c>
      <c r="V58" s="98">
        <v>43491</v>
      </c>
    </row>
    <row r="59" spans="1:23" x14ac:dyDescent="0.15">
      <c r="A59" s="26" t="s">
        <v>79</v>
      </c>
      <c r="B59" s="8"/>
      <c r="C59" s="9">
        <v>1</v>
      </c>
      <c r="D59" s="10"/>
      <c r="E59" s="49">
        <f t="shared" ref="E59" si="46">SUM(B59:D59)</f>
        <v>1</v>
      </c>
      <c r="F59" s="12"/>
      <c r="G59" s="9">
        <v>1</v>
      </c>
      <c r="H59" s="10"/>
      <c r="I59" s="49">
        <f t="shared" ref="I59" si="47">SUM(F59:H59)</f>
        <v>1</v>
      </c>
      <c r="J59" s="11">
        <f t="shared" ref="J59" si="48">E59+I59</f>
        <v>2</v>
      </c>
      <c r="K59" s="62">
        <v>43504</v>
      </c>
      <c r="L59" s="26" t="s">
        <v>78</v>
      </c>
      <c r="M59" s="8">
        <v>1</v>
      </c>
      <c r="N59" s="9"/>
      <c r="O59" s="10"/>
      <c r="P59" s="49">
        <f t="shared" si="43"/>
        <v>1</v>
      </c>
      <c r="Q59" s="12">
        <v>1</v>
      </c>
      <c r="R59" s="9"/>
      <c r="S59" s="10"/>
      <c r="T59" s="49">
        <f t="shared" si="44"/>
        <v>1</v>
      </c>
      <c r="U59" s="11">
        <f t="shared" si="45"/>
        <v>2</v>
      </c>
      <c r="V59" s="98">
        <v>43503</v>
      </c>
    </row>
    <row r="60" spans="1:23" x14ac:dyDescent="0.15">
      <c r="A60" s="26" t="s">
        <v>80</v>
      </c>
      <c r="B60" s="8"/>
      <c r="C60" s="9"/>
      <c r="D60" s="10">
        <v>1</v>
      </c>
      <c r="E60" s="49">
        <f t="shared" si="37"/>
        <v>1</v>
      </c>
      <c r="F60" s="12"/>
      <c r="G60" s="9"/>
      <c r="H60" s="10">
        <v>1</v>
      </c>
      <c r="I60" s="49">
        <f t="shared" si="38"/>
        <v>1</v>
      </c>
      <c r="J60" s="11">
        <f t="shared" si="39"/>
        <v>2</v>
      </c>
      <c r="K60" s="62">
        <v>43510</v>
      </c>
      <c r="L60" s="26" t="s">
        <v>82</v>
      </c>
      <c r="M60" s="8"/>
      <c r="N60" s="9">
        <v>1</v>
      </c>
      <c r="O60" s="10"/>
      <c r="P60" s="49">
        <f t="shared" si="43"/>
        <v>1</v>
      </c>
      <c r="Q60" s="12"/>
      <c r="R60" s="9">
        <v>1</v>
      </c>
      <c r="S60" s="10"/>
      <c r="T60" s="49">
        <f t="shared" si="44"/>
        <v>1</v>
      </c>
      <c r="U60" s="11">
        <f t="shared" si="45"/>
        <v>2</v>
      </c>
      <c r="V60" s="98">
        <v>43525</v>
      </c>
    </row>
    <row r="61" spans="1:23" x14ac:dyDescent="0.15">
      <c r="A61" s="26" t="s">
        <v>81</v>
      </c>
      <c r="B61" s="8"/>
      <c r="C61" s="9">
        <v>1</v>
      </c>
      <c r="D61" s="10"/>
      <c r="E61" s="49">
        <f t="shared" si="37"/>
        <v>1</v>
      </c>
      <c r="F61" s="12"/>
      <c r="G61" s="9">
        <v>1</v>
      </c>
      <c r="H61" s="10"/>
      <c r="I61" s="49">
        <f t="shared" si="38"/>
        <v>1</v>
      </c>
      <c r="J61" s="11">
        <f t="shared" si="39"/>
        <v>2</v>
      </c>
      <c r="K61" s="62">
        <v>43514</v>
      </c>
      <c r="L61" s="26" t="s">
        <v>85</v>
      </c>
      <c r="M61" s="8"/>
      <c r="N61" s="9">
        <v>2</v>
      </c>
      <c r="O61" s="10"/>
      <c r="P61" s="49">
        <f t="shared" si="43"/>
        <v>2</v>
      </c>
      <c r="Q61" s="12"/>
      <c r="R61" s="9">
        <v>2</v>
      </c>
      <c r="S61" s="10"/>
      <c r="T61" s="49">
        <f t="shared" si="44"/>
        <v>2</v>
      </c>
      <c r="U61" s="11">
        <f t="shared" si="45"/>
        <v>4</v>
      </c>
      <c r="V61" s="98">
        <v>43532</v>
      </c>
      <c r="W61" s="66"/>
    </row>
    <row r="62" spans="1:23" x14ac:dyDescent="0.15">
      <c r="A62" s="26" t="s">
        <v>83</v>
      </c>
      <c r="B62" s="8">
        <v>3</v>
      </c>
      <c r="C62" s="9"/>
      <c r="D62" s="10">
        <v>15</v>
      </c>
      <c r="E62" s="49">
        <f t="shared" si="37"/>
        <v>18</v>
      </c>
      <c r="F62" s="12">
        <v>3</v>
      </c>
      <c r="G62" s="9"/>
      <c r="H62" s="10">
        <v>15</v>
      </c>
      <c r="I62" s="49">
        <f t="shared" si="38"/>
        <v>18</v>
      </c>
      <c r="J62" s="11">
        <f t="shared" si="39"/>
        <v>36</v>
      </c>
      <c r="K62" s="62">
        <v>43526</v>
      </c>
      <c r="L62" s="26" t="s">
        <v>88</v>
      </c>
      <c r="M62" s="8">
        <v>2</v>
      </c>
      <c r="N62" s="9">
        <v>1</v>
      </c>
      <c r="O62" s="10"/>
      <c r="P62" s="49">
        <f t="shared" si="43"/>
        <v>3</v>
      </c>
      <c r="Q62" s="12">
        <v>2</v>
      </c>
      <c r="R62" s="9">
        <v>1</v>
      </c>
      <c r="S62" s="10"/>
      <c r="T62" s="49">
        <f t="shared" si="44"/>
        <v>3</v>
      </c>
      <c r="U62" s="11">
        <f t="shared" si="45"/>
        <v>6</v>
      </c>
      <c r="V62" s="99">
        <v>43650</v>
      </c>
    </row>
    <row r="63" spans="1:23" x14ac:dyDescent="0.15">
      <c r="A63" s="26" t="s">
        <v>90</v>
      </c>
      <c r="B63" s="8">
        <v>1</v>
      </c>
      <c r="C63" s="9"/>
      <c r="D63" s="10"/>
      <c r="E63" s="49">
        <f t="shared" si="37"/>
        <v>1</v>
      </c>
      <c r="F63" s="12">
        <v>1</v>
      </c>
      <c r="G63" s="9"/>
      <c r="H63" s="10"/>
      <c r="I63" s="49">
        <f t="shared" si="38"/>
        <v>1</v>
      </c>
      <c r="J63" s="11">
        <f t="shared" si="39"/>
        <v>2</v>
      </c>
      <c r="K63" s="62">
        <v>43654</v>
      </c>
      <c r="L63" s="26" t="s">
        <v>29</v>
      </c>
      <c r="M63" s="8">
        <v>2</v>
      </c>
      <c r="N63" s="9">
        <v>2</v>
      </c>
      <c r="O63" s="10">
        <v>2</v>
      </c>
      <c r="P63" s="49">
        <f t="shared" si="43"/>
        <v>6</v>
      </c>
      <c r="Q63" s="12">
        <v>2</v>
      </c>
      <c r="R63" s="9">
        <v>2</v>
      </c>
      <c r="S63" s="10">
        <v>2</v>
      </c>
      <c r="T63" s="49">
        <f t="shared" si="44"/>
        <v>6</v>
      </c>
      <c r="U63" s="11">
        <f t="shared" si="45"/>
        <v>12</v>
      </c>
      <c r="V63" s="98">
        <v>43714</v>
      </c>
    </row>
    <row r="64" spans="1:23" x14ac:dyDescent="0.15">
      <c r="A64" s="26" t="s">
        <v>91</v>
      </c>
      <c r="B64" s="13">
        <v>1</v>
      </c>
      <c r="C64" s="14"/>
      <c r="D64" s="15"/>
      <c r="E64" s="49">
        <f t="shared" si="37"/>
        <v>1</v>
      </c>
      <c r="F64" s="16">
        <v>1</v>
      </c>
      <c r="G64" s="14"/>
      <c r="H64" s="15"/>
      <c r="I64" s="49">
        <f t="shared" si="38"/>
        <v>1</v>
      </c>
      <c r="J64" s="11">
        <f t="shared" si="39"/>
        <v>2</v>
      </c>
      <c r="K64" s="62">
        <v>43704</v>
      </c>
      <c r="L64" s="26"/>
      <c r="M64" s="13"/>
      <c r="N64" s="14"/>
      <c r="O64" s="15"/>
      <c r="P64" s="49">
        <f t="shared" si="43"/>
        <v>0</v>
      </c>
      <c r="Q64" s="16"/>
      <c r="R64" s="14"/>
      <c r="S64" s="15"/>
      <c r="T64" s="49">
        <f t="shared" si="44"/>
        <v>0</v>
      </c>
      <c r="U64" s="11">
        <f t="shared" si="45"/>
        <v>0</v>
      </c>
      <c r="V64" s="100"/>
    </row>
    <row r="65" spans="1:22" x14ac:dyDescent="0.15">
      <c r="A65" s="26" t="s">
        <v>105</v>
      </c>
      <c r="B65" s="8">
        <v>1</v>
      </c>
      <c r="C65" s="9">
        <v>1</v>
      </c>
      <c r="D65" s="10">
        <v>1</v>
      </c>
      <c r="E65" s="49">
        <f t="shared" si="37"/>
        <v>3</v>
      </c>
      <c r="F65" s="12">
        <v>1</v>
      </c>
      <c r="G65" s="9">
        <v>1</v>
      </c>
      <c r="H65" s="10">
        <v>1</v>
      </c>
      <c r="I65" s="49">
        <f t="shared" si="38"/>
        <v>3</v>
      </c>
      <c r="J65" s="11">
        <f t="shared" si="39"/>
        <v>6</v>
      </c>
      <c r="K65" s="62">
        <v>43715</v>
      </c>
      <c r="L65" s="26"/>
      <c r="M65" s="8"/>
      <c r="N65" s="9"/>
      <c r="O65" s="10"/>
      <c r="P65" s="49">
        <f t="shared" si="43"/>
        <v>0</v>
      </c>
      <c r="Q65" s="12"/>
      <c r="R65" s="9"/>
      <c r="S65" s="10"/>
      <c r="T65" s="49">
        <f t="shared" si="44"/>
        <v>0</v>
      </c>
      <c r="U65" s="11">
        <f t="shared" si="45"/>
        <v>0</v>
      </c>
    </row>
    <row r="66" spans="1:22" x14ac:dyDescent="0.15">
      <c r="A66" s="26" t="s">
        <v>109</v>
      </c>
      <c r="B66" s="8">
        <v>1</v>
      </c>
      <c r="C66" s="9"/>
      <c r="D66" s="10"/>
      <c r="E66" s="49">
        <f t="shared" si="37"/>
        <v>1</v>
      </c>
      <c r="F66" s="12">
        <v>1</v>
      </c>
      <c r="G66" s="9"/>
      <c r="H66" s="10"/>
      <c r="I66" s="49">
        <f t="shared" si="38"/>
        <v>1</v>
      </c>
      <c r="J66" s="11">
        <f t="shared" si="39"/>
        <v>2</v>
      </c>
      <c r="K66" s="62">
        <v>43732</v>
      </c>
      <c r="L66" s="26"/>
      <c r="M66" s="8"/>
      <c r="N66" s="9"/>
      <c r="O66" s="10"/>
      <c r="P66" s="49">
        <f t="shared" si="43"/>
        <v>0</v>
      </c>
      <c r="Q66" s="12"/>
      <c r="R66" s="9"/>
      <c r="S66" s="10"/>
      <c r="T66" s="49">
        <f t="shared" si="44"/>
        <v>0</v>
      </c>
      <c r="U66" s="11">
        <f t="shared" si="45"/>
        <v>0</v>
      </c>
    </row>
    <row r="67" spans="1:22" x14ac:dyDescent="0.15">
      <c r="A67" s="26"/>
      <c r="B67" s="8"/>
      <c r="C67" s="9"/>
      <c r="D67" s="10"/>
      <c r="E67" s="49">
        <f t="shared" si="37"/>
        <v>0</v>
      </c>
      <c r="F67" s="12"/>
      <c r="G67" s="9"/>
      <c r="H67" s="10"/>
      <c r="I67" s="49">
        <f t="shared" si="38"/>
        <v>0</v>
      </c>
      <c r="J67" s="11">
        <f t="shared" si="39"/>
        <v>0</v>
      </c>
      <c r="K67" s="62"/>
      <c r="L67" s="24"/>
      <c r="M67" s="8"/>
      <c r="N67" s="9"/>
      <c r="O67" s="10"/>
      <c r="P67" s="49">
        <f t="shared" si="43"/>
        <v>0</v>
      </c>
      <c r="Q67" s="12"/>
      <c r="R67" s="9"/>
      <c r="S67" s="10"/>
      <c r="T67" s="49">
        <f t="shared" si="44"/>
        <v>0</v>
      </c>
      <c r="U67" s="11">
        <f t="shared" si="45"/>
        <v>0</v>
      </c>
    </row>
    <row r="68" spans="1:22" x14ac:dyDescent="0.15">
      <c r="A68" s="26"/>
      <c r="B68" s="8"/>
      <c r="C68" s="9"/>
      <c r="D68" s="10"/>
      <c r="E68" s="49">
        <f t="shared" si="37"/>
        <v>0</v>
      </c>
      <c r="F68" s="12"/>
      <c r="G68" s="9"/>
      <c r="H68" s="10"/>
      <c r="I68" s="49">
        <f t="shared" si="38"/>
        <v>0</v>
      </c>
      <c r="J68" s="11">
        <f t="shared" si="39"/>
        <v>0</v>
      </c>
      <c r="K68" s="62"/>
      <c r="L68" s="26"/>
      <c r="M68" s="8"/>
      <c r="N68" s="9"/>
      <c r="O68" s="10"/>
      <c r="P68" s="49">
        <f t="shared" si="43"/>
        <v>0</v>
      </c>
      <c r="Q68" s="12"/>
      <c r="R68" s="9"/>
      <c r="S68" s="10"/>
      <c r="T68" s="49">
        <f t="shared" si="44"/>
        <v>0</v>
      </c>
      <c r="U68" s="11">
        <f t="shared" si="45"/>
        <v>0</v>
      </c>
    </row>
    <row r="69" spans="1:22" x14ac:dyDescent="0.15">
      <c r="A69" s="26"/>
      <c r="B69" s="8"/>
      <c r="C69" s="9"/>
      <c r="D69" s="10"/>
      <c r="E69" s="49">
        <f t="shared" si="37"/>
        <v>0</v>
      </c>
      <c r="F69" s="12"/>
      <c r="G69" s="9"/>
      <c r="H69" s="10"/>
      <c r="I69" s="49">
        <f t="shared" si="38"/>
        <v>0</v>
      </c>
      <c r="J69" s="11">
        <f t="shared" si="39"/>
        <v>0</v>
      </c>
      <c r="K69" s="62"/>
      <c r="L69" s="26"/>
      <c r="M69" s="8"/>
      <c r="N69" s="9"/>
      <c r="O69" s="10"/>
      <c r="P69" s="49">
        <f t="shared" si="43"/>
        <v>0</v>
      </c>
      <c r="Q69" s="12"/>
      <c r="R69" s="9"/>
      <c r="S69" s="10"/>
      <c r="T69" s="49">
        <f t="shared" si="44"/>
        <v>0</v>
      </c>
      <c r="U69" s="11">
        <f t="shared" si="45"/>
        <v>0</v>
      </c>
    </row>
    <row r="70" spans="1:22" x14ac:dyDescent="0.15">
      <c r="A70" s="26"/>
      <c r="B70" s="8"/>
      <c r="C70" s="9"/>
      <c r="D70" s="10"/>
      <c r="E70" s="49">
        <f t="shared" si="37"/>
        <v>0</v>
      </c>
      <c r="F70" s="12"/>
      <c r="G70" s="9"/>
      <c r="H70" s="10"/>
      <c r="I70" s="49">
        <f t="shared" si="38"/>
        <v>0</v>
      </c>
      <c r="J70" s="11">
        <f t="shared" si="39"/>
        <v>0</v>
      </c>
      <c r="K70" s="62"/>
      <c r="L70" s="24"/>
      <c r="M70" s="8"/>
      <c r="N70" s="9"/>
      <c r="O70" s="10"/>
      <c r="P70" s="49">
        <f t="shared" si="43"/>
        <v>0</v>
      </c>
      <c r="Q70" s="12"/>
      <c r="R70" s="9"/>
      <c r="S70" s="10"/>
      <c r="T70" s="49">
        <f t="shared" si="44"/>
        <v>0</v>
      </c>
      <c r="U70" s="11">
        <f t="shared" si="45"/>
        <v>0</v>
      </c>
    </row>
    <row r="71" spans="1:22" x14ac:dyDescent="0.15">
      <c r="A71" s="26"/>
      <c r="B71" s="8"/>
      <c r="C71" s="9"/>
      <c r="D71" s="10"/>
      <c r="E71" s="49">
        <f t="shared" si="37"/>
        <v>0</v>
      </c>
      <c r="F71" s="12"/>
      <c r="G71" s="9"/>
      <c r="H71" s="10"/>
      <c r="I71" s="49">
        <f t="shared" si="38"/>
        <v>0</v>
      </c>
      <c r="J71" s="11">
        <f t="shared" si="39"/>
        <v>0</v>
      </c>
      <c r="K71" s="62"/>
      <c r="L71" s="26"/>
      <c r="M71" s="8"/>
      <c r="N71" s="9"/>
      <c r="O71" s="10"/>
      <c r="P71" s="49">
        <f t="shared" si="43"/>
        <v>0</v>
      </c>
      <c r="Q71" s="12"/>
      <c r="R71" s="9"/>
      <c r="S71" s="10"/>
      <c r="T71" s="49">
        <f t="shared" si="44"/>
        <v>0</v>
      </c>
      <c r="U71" s="11">
        <f t="shared" si="45"/>
        <v>0</v>
      </c>
    </row>
    <row r="72" spans="1:22" x14ac:dyDescent="0.15">
      <c r="A72" s="24"/>
      <c r="B72" s="8"/>
      <c r="C72" s="9"/>
      <c r="D72" s="10"/>
      <c r="E72" s="49">
        <f t="shared" si="37"/>
        <v>0</v>
      </c>
      <c r="F72" s="12"/>
      <c r="G72" s="9"/>
      <c r="H72" s="10"/>
      <c r="I72" s="49">
        <f t="shared" si="38"/>
        <v>0</v>
      </c>
      <c r="J72" s="11">
        <f t="shared" si="39"/>
        <v>0</v>
      </c>
      <c r="K72" s="62"/>
      <c r="L72" s="24"/>
      <c r="M72" s="8"/>
      <c r="N72" s="9"/>
      <c r="O72" s="10"/>
      <c r="P72" s="49">
        <f t="shared" si="43"/>
        <v>0</v>
      </c>
      <c r="Q72" s="12"/>
      <c r="R72" s="9"/>
      <c r="S72" s="10"/>
      <c r="T72" s="49">
        <f t="shared" si="44"/>
        <v>0</v>
      </c>
      <c r="U72" s="11">
        <f t="shared" si="45"/>
        <v>0</v>
      </c>
    </row>
    <row r="73" spans="1:22" x14ac:dyDescent="0.15">
      <c r="A73" s="25"/>
      <c r="B73" s="8"/>
      <c r="C73" s="9"/>
      <c r="D73" s="10"/>
      <c r="E73" s="49">
        <f t="shared" si="37"/>
        <v>0</v>
      </c>
      <c r="F73" s="12"/>
      <c r="G73" s="9"/>
      <c r="H73" s="10"/>
      <c r="I73" s="49">
        <f t="shared" si="38"/>
        <v>0</v>
      </c>
      <c r="J73" s="11">
        <f t="shared" si="39"/>
        <v>0</v>
      </c>
      <c r="K73" s="64"/>
      <c r="L73" s="23"/>
      <c r="M73" s="8"/>
      <c r="N73" s="9"/>
      <c r="O73" s="10"/>
      <c r="P73" s="49">
        <f t="shared" si="43"/>
        <v>0</v>
      </c>
      <c r="Q73" s="12"/>
      <c r="R73" s="9"/>
      <c r="S73" s="10"/>
      <c r="T73" s="49">
        <f t="shared" si="44"/>
        <v>0</v>
      </c>
      <c r="U73" s="11">
        <f t="shared" si="45"/>
        <v>0</v>
      </c>
    </row>
    <row r="74" spans="1:22" x14ac:dyDescent="0.15">
      <c r="A74" s="26"/>
      <c r="B74" s="8"/>
      <c r="C74" s="9"/>
      <c r="D74" s="10"/>
      <c r="E74" s="49">
        <f t="shared" si="37"/>
        <v>0</v>
      </c>
      <c r="F74" s="12"/>
      <c r="G74" s="9"/>
      <c r="H74" s="10"/>
      <c r="I74" s="49">
        <f t="shared" si="38"/>
        <v>0</v>
      </c>
      <c r="J74" s="11">
        <f t="shared" si="39"/>
        <v>0</v>
      </c>
      <c r="K74" s="62"/>
      <c r="L74" s="24"/>
      <c r="M74" s="8"/>
      <c r="N74" s="9"/>
      <c r="O74" s="10"/>
      <c r="P74" s="49">
        <f t="shared" si="43"/>
        <v>0</v>
      </c>
      <c r="Q74" s="12"/>
      <c r="R74" s="9"/>
      <c r="S74" s="10"/>
      <c r="T74" s="49">
        <f t="shared" si="44"/>
        <v>0</v>
      </c>
      <c r="U74" s="11">
        <f t="shared" si="45"/>
        <v>0</v>
      </c>
    </row>
    <row r="75" spans="1:22" x14ac:dyDescent="0.15">
      <c r="A75" s="24"/>
      <c r="B75" s="8"/>
      <c r="C75" s="9"/>
      <c r="D75" s="10"/>
      <c r="E75" s="49">
        <f t="shared" si="37"/>
        <v>0</v>
      </c>
      <c r="F75" s="12"/>
      <c r="G75" s="9"/>
      <c r="H75" s="10"/>
      <c r="I75" s="49">
        <f t="shared" si="38"/>
        <v>0</v>
      </c>
      <c r="J75" s="11">
        <f t="shared" si="39"/>
        <v>0</v>
      </c>
      <c r="K75" s="62"/>
      <c r="L75" s="26"/>
      <c r="M75" s="8"/>
      <c r="N75" s="9"/>
      <c r="O75" s="10"/>
      <c r="P75" s="49">
        <f t="shared" si="43"/>
        <v>0</v>
      </c>
      <c r="Q75" s="12"/>
      <c r="R75" s="9"/>
      <c r="S75" s="10"/>
      <c r="T75" s="49">
        <f t="shared" si="44"/>
        <v>0</v>
      </c>
      <c r="U75" s="11">
        <f t="shared" si="45"/>
        <v>0</v>
      </c>
    </row>
    <row r="76" spans="1:22" x14ac:dyDescent="0.15">
      <c r="B76" s="13"/>
      <c r="C76" s="14"/>
      <c r="D76" s="15"/>
      <c r="E76" s="49">
        <f t="shared" si="37"/>
        <v>0</v>
      </c>
      <c r="F76" s="16"/>
      <c r="G76" s="14"/>
      <c r="H76" s="15"/>
      <c r="I76" s="49">
        <f t="shared" si="38"/>
        <v>0</v>
      </c>
      <c r="J76" s="11">
        <f t="shared" si="39"/>
        <v>0</v>
      </c>
      <c r="K76" s="65"/>
      <c r="L76" s="67"/>
      <c r="M76" s="13"/>
      <c r="N76" s="14"/>
      <c r="O76" s="15"/>
      <c r="P76" s="49">
        <f t="shared" si="43"/>
        <v>0</v>
      </c>
      <c r="Q76" s="16"/>
      <c r="R76" s="14"/>
      <c r="S76" s="15"/>
      <c r="T76" s="49">
        <f t="shared" si="44"/>
        <v>0</v>
      </c>
      <c r="U76" s="11">
        <f t="shared" si="45"/>
        <v>0</v>
      </c>
    </row>
    <row r="77" spans="1:22" x14ac:dyDescent="0.15">
      <c r="A77" s="26"/>
      <c r="B77" s="8"/>
      <c r="C77" s="9"/>
      <c r="D77" s="10"/>
      <c r="E77" s="49">
        <f t="shared" si="37"/>
        <v>0</v>
      </c>
      <c r="F77" s="12"/>
      <c r="G77" s="9"/>
      <c r="H77" s="10"/>
      <c r="I77" s="49">
        <f t="shared" si="38"/>
        <v>0</v>
      </c>
      <c r="J77" s="11">
        <f t="shared" si="39"/>
        <v>0</v>
      </c>
      <c r="K77" s="62"/>
      <c r="L77" s="26" t="s">
        <v>26</v>
      </c>
      <c r="M77" s="8"/>
      <c r="N77" s="9"/>
      <c r="O77" s="10"/>
      <c r="P77" s="49">
        <f t="shared" si="43"/>
        <v>0</v>
      </c>
      <c r="Q77" s="12"/>
      <c r="R77" s="9"/>
      <c r="S77" s="10"/>
      <c r="T77" s="49">
        <f t="shared" si="44"/>
        <v>0</v>
      </c>
      <c r="U77" s="11">
        <f t="shared" si="45"/>
        <v>0</v>
      </c>
      <c r="V77" s="98" t="s">
        <v>27</v>
      </c>
    </row>
    <row r="78" spans="1:22" x14ac:dyDescent="0.15">
      <c r="A78" s="26"/>
      <c r="B78" s="8"/>
      <c r="C78" s="9"/>
      <c r="D78" s="10"/>
      <c r="E78" s="49">
        <f t="shared" si="37"/>
        <v>0</v>
      </c>
      <c r="F78" s="12"/>
      <c r="G78" s="9"/>
      <c r="H78" s="10"/>
      <c r="I78" s="49">
        <f t="shared" si="38"/>
        <v>0</v>
      </c>
      <c r="J78" s="11">
        <f t="shared" si="39"/>
        <v>0</v>
      </c>
      <c r="K78" s="62"/>
      <c r="L78" s="26"/>
      <c r="M78" s="8"/>
      <c r="N78" s="9"/>
      <c r="O78" s="10"/>
      <c r="P78" s="49">
        <f t="shared" si="43"/>
        <v>0</v>
      </c>
      <c r="Q78" s="12"/>
      <c r="R78" s="9"/>
      <c r="S78" s="10"/>
      <c r="T78" s="49">
        <f t="shared" si="44"/>
        <v>0</v>
      </c>
      <c r="U78" s="11">
        <f t="shared" si="45"/>
        <v>0</v>
      </c>
      <c r="V78" s="100"/>
    </row>
    <row r="79" spans="1:22" x14ac:dyDescent="0.15">
      <c r="A79" s="26"/>
      <c r="B79" s="8"/>
      <c r="C79" s="9"/>
      <c r="D79" s="10"/>
      <c r="E79" s="49">
        <f t="shared" si="37"/>
        <v>0</v>
      </c>
      <c r="F79" s="12"/>
      <c r="G79" s="9"/>
      <c r="H79" s="10"/>
      <c r="I79" s="49">
        <f t="shared" si="38"/>
        <v>0</v>
      </c>
      <c r="J79" s="11">
        <f t="shared" si="39"/>
        <v>0</v>
      </c>
      <c r="K79" s="62"/>
      <c r="L79" s="26" t="s">
        <v>57</v>
      </c>
      <c r="M79" s="8"/>
      <c r="N79" s="9"/>
      <c r="O79" s="10"/>
      <c r="P79" s="49">
        <f t="shared" si="43"/>
        <v>0</v>
      </c>
      <c r="Q79" s="12"/>
      <c r="R79" s="9"/>
      <c r="S79" s="10"/>
      <c r="T79" s="49">
        <f t="shared" si="44"/>
        <v>0</v>
      </c>
      <c r="U79" s="11">
        <f t="shared" si="45"/>
        <v>0</v>
      </c>
      <c r="V79" s="98" t="s">
        <v>28</v>
      </c>
    </row>
    <row r="80" spans="1:22" ht="14.25" thickBot="1" x14ac:dyDescent="0.2">
      <c r="A80" s="23"/>
      <c r="B80" s="13"/>
      <c r="C80" s="14"/>
      <c r="D80" s="15"/>
      <c r="E80" s="49">
        <f>SUM(B80:D80)</f>
        <v>0</v>
      </c>
      <c r="F80" s="16"/>
      <c r="G80" s="14"/>
      <c r="H80" s="15"/>
      <c r="I80" s="49">
        <f>SUM(F80:H80)</f>
        <v>0</v>
      </c>
      <c r="J80" s="11">
        <f>E80+I80</f>
        <v>0</v>
      </c>
      <c r="K80" s="62"/>
      <c r="L80" s="26" t="s">
        <v>58</v>
      </c>
      <c r="M80" s="8"/>
      <c r="N80" s="9"/>
      <c r="O80" s="10"/>
      <c r="P80" s="49">
        <f t="shared" ref="P80" si="49">SUM(M80:O80)</f>
        <v>0</v>
      </c>
      <c r="Q80" s="12"/>
      <c r="R80" s="9"/>
      <c r="S80" s="10"/>
      <c r="T80" s="49">
        <f t="shared" ref="T80" si="50">SUM(Q80:S80)</f>
        <v>0</v>
      </c>
      <c r="U80" s="11">
        <f t="shared" ref="U80" si="51">P80+T80</f>
        <v>0</v>
      </c>
      <c r="V80" s="98" t="s">
        <v>36</v>
      </c>
    </row>
    <row r="81" spans="1:22" ht="14.25" thickBot="1" x14ac:dyDescent="0.2">
      <c r="A81" s="41" t="s">
        <v>17</v>
      </c>
      <c r="B81" s="46">
        <f>SUM(B55:B80)</f>
        <v>13</v>
      </c>
      <c r="C81" s="47">
        <f t="shared" ref="C81:D81" si="52">SUM(C55:C80)</f>
        <v>6</v>
      </c>
      <c r="D81" s="58">
        <f t="shared" si="52"/>
        <v>18</v>
      </c>
      <c r="E81" s="45">
        <f t="shared" ref="E81" si="53">SUM(B81:D81)</f>
        <v>37</v>
      </c>
      <c r="F81" s="46">
        <f>SUM(F55:F80)</f>
        <v>13</v>
      </c>
      <c r="G81" s="47">
        <f t="shared" ref="G81:H81" si="54">SUM(G55:G80)</f>
        <v>6</v>
      </c>
      <c r="H81" s="58">
        <f t="shared" si="54"/>
        <v>18</v>
      </c>
      <c r="I81" s="45">
        <f t="shared" ref="I81" si="55">SUM(F81:H81)</f>
        <v>37</v>
      </c>
      <c r="J81" s="45">
        <f>E81+I81</f>
        <v>74</v>
      </c>
      <c r="K81" s="40"/>
      <c r="L81" s="41" t="s">
        <v>17</v>
      </c>
      <c r="M81" s="46">
        <f>SUM(M55:M80)</f>
        <v>8</v>
      </c>
      <c r="N81" s="47">
        <f t="shared" ref="N81:O81" si="56">SUM(N55:N80)</f>
        <v>9</v>
      </c>
      <c r="O81" s="58">
        <f t="shared" si="56"/>
        <v>5</v>
      </c>
      <c r="P81" s="45">
        <f t="shared" si="43"/>
        <v>22</v>
      </c>
      <c r="Q81" s="46">
        <f>SUM(Q55:Q80)</f>
        <v>8</v>
      </c>
      <c r="R81" s="47">
        <f t="shared" ref="R81:S81" si="57">SUM(R55:R80)</f>
        <v>9</v>
      </c>
      <c r="S81" s="58">
        <f t="shared" si="57"/>
        <v>5</v>
      </c>
      <c r="T81" s="45">
        <f t="shared" si="44"/>
        <v>22</v>
      </c>
      <c r="U81" s="45">
        <f>P81+T81</f>
        <v>44</v>
      </c>
    </row>
    <row r="82" spans="1:22" ht="14.25" thickBot="1" x14ac:dyDescent="0.2">
      <c r="A82" s="22" t="s">
        <v>16</v>
      </c>
      <c r="B82" s="50">
        <f>B54-B81</f>
        <v>0</v>
      </c>
      <c r="C82" s="56">
        <f t="shared" ref="C82:D82" si="58">C54-C81</f>
        <v>2</v>
      </c>
      <c r="D82" s="57">
        <f t="shared" si="58"/>
        <v>1</v>
      </c>
      <c r="E82" s="55">
        <f>SUM(B82:D82)</f>
        <v>3</v>
      </c>
      <c r="F82" s="50">
        <f>F54-F81</f>
        <v>0</v>
      </c>
      <c r="G82" s="56">
        <f t="shared" ref="G82:H82" si="59">G54-G81</f>
        <v>2</v>
      </c>
      <c r="H82" s="57">
        <f t="shared" si="59"/>
        <v>1</v>
      </c>
      <c r="I82" s="55">
        <f>SUM(F82:H82)</f>
        <v>3</v>
      </c>
      <c r="J82" s="31">
        <f>E82+I82</f>
        <v>6</v>
      </c>
      <c r="L82" s="22" t="s">
        <v>16</v>
      </c>
      <c r="M82" s="50">
        <f>M54-M81</f>
        <v>71</v>
      </c>
      <c r="N82" s="56">
        <f t="shared" ref="N82:O82" si="60">N54-N81</f>
        <v>138</v>
      </c>
      <c r="O82" s="57">
        <f t="shared" si="60"/>
        <v>104</v>
      </c>
      <c r="P82" s="55">
        <f>SUM(M82:O82)</f>
        <v>313</v>
      </c>
      <c r="Q82" s="50">
        <f>Q54-Q81</f>
        <v>71</v>
      </c>
      <c r="R82" s="56">
        <f t="shared" ref="R82:S82" si="61">R54-R81</f>
        <v>138</v>
      </c>
      <c r="S82" s="57">
        <f t="shared" si="61"/>
        <v>104</v>
      </c>
      <c r="T82" s="55">
        <f>SUM(Q82:S82)</f>
        <v>313</v>
      </c>
      <c r="U82" s="31">
        <f>P82+T82</f>
        <v>626</v>
      </c>
    </row>
    <row r="83" spans="1:22" ht="19.5" thickBot="1" x14ac:dyDescent="0.25">
      <c r="A83" s="3" t="s">
        <v>18</v>
      </c>
      <c r="B83" s="1"/>
      <c r="C83" s="1"/>
      <c r="D83" s="1"/>
      <c r="E83" s="1"/>
      <c r="F83" s="1"/>
      <c r="G83" s="1"/>
      <c r="H83" s="1"/>
      <c r="I83" s="1"/>
      <c r="J83" s="1"/>
      <c r="L83" s="3" t="s">
        <v>19</v>
      </c>
      <c r="M83" s="1"/>
      <c r="N83" s="1"/>
      <c r="O83" s="1"/>
      <c r="P83" s="1"/>
      <c r="Q83" s="1"/>
      <c r="R83" s="1"/>
      <c r="S83" s="1"/>
      <c r="T83" s="1"/>
      <c r="U83" s="1"/>
    </row>
    <row r="84" spans="1:22" ht="14.25" thickBot="1" x14ac:dyDescent="0.2">
      <c r="A84" s="7"/>
      <c r="B84" s="176" t="s">
        <v>22</v>
      </c>
      <c r="C84" s="177"/>
      <c r="D84" s="177"/>
      <c r="E84" s="178"/>
      <c r="F84" s="176" t="s">
        <v>23</v>
      </c>
      <c r="G84" s="177"/>
      <c r="H84" s="177"/>
      <c r="I84" s="179"/>
      <c r="J84" s="174" t="s">
        <v>0</v>
      </c>
      <c r="L84" s="7"/>
      <c r="M84" s="169" t="s">
        <v>22</v>
      </c>
      <c r="N84" s="170"/>
      <c r="O84" s="170"/>
      <c r="P84" s="171"/>
      <c r="Q84" s="169" t="s">
        <v>23</v>
      </c>
      <c r="R84" s="170"/>
      <c r="S84" s="170"/>
      <c r="T84" s="171"/>
      <c r="U84" s="174" t="s">
        <v>0</v>
      </c>
    </row>
    <row r="85" spans="1:22" ht="14.25" thickBot="1" x14ac:dyDescent="0.2">
      <c r="A85" s="7" t="s">
        <v>1</v>
      </c>
      <c r="B85" s="4" t="s">
        <v>2</v>
      </c>
      <c r="C85" s="5" t="s">
        <v>3</v>
      </c>
      <c r="D85" s="6" t="s">
        <v>4</v>
      </c>
      <c r="E85" s="7" t="s">
        <v>5</v>
      </c>
      <c r="F85" s="4" t="s">
        <v>2</v>
      </c>
      <c r="G85" s="5" t="s">
        <v>3</v>
      </c>
      <c r="H85" s="6" t="s">
        <v>4</v>
      </c>
      <c r="I85" s="7" t="s">
        <v>5</v>
      </c>
      <c r="J85" s="175"/>
      <c r="L85" s="7" t="s">
        <v>1</v>
      </c>
      <c r="M85" s="4" t="s">
        <v>2</v>
      </c>
      <c r="N85" s="5" t="s">
        <v>3</v>
      </c>
      <c r="O85" s="6" t="s">
        <v>4</v>
      </c>
      <c r="P85" s="7" t="s">
        <v>5</v>
      </c>
      <c r="Q85" s="4" t="s">
        <v>2</v>
      </c>
      <c r="R85" s="5" t="s">
        <v>3</v>
      </c>
      <c r="S85" s="6" t="s">
        <v>4</v>
      </c>
      <c r="T85" s="7" t="s">
        <v>5</v>
      </c>
      <c r="U85" s="175"/>
    </row>
    <row r="86" spans="1:22" ht="14.25" thickBot="1" x14ac:dyDescent="0.2">
      <c r="A86" s="27" t="s">
        <v>16</v>
      </c>
      <c r="B86" s="38">
        <f>B82</f>
        <v>0</v>
      </c>
      <c r="C86" s="39">
        <f>C82</f>
        <v>2</v>
      </c>
      <c r="D86" s="2">
        <f>D82</f>
        <v>1</v>
      </c>
      <c r="E86" s="36">
        <f>SUM(B86:D86)</f>
        <v>3</v>
      </c>
      <c r="F86" s="38">
        <f>F82</f>
        <v>0</v>
      </c>
      <c r="G86" s="39">
        <f>G82</f>
        <v>2</v>
      </c>
      <c r="H86" s="2">
        <f>H82</f>
        <v>1</v>
      </c>
      <c r="I86" s="36">
        <f>SUM(F86:H86)</f>
        <v>3</v>
      </c>
      <c r="J86" s="36">
        <f>E86+I86</f>
        <v>6</v>
      </c>
      <c r="K86" s="63"/>
      <c r="L86" s="68" t="s">
        <v>16</v>
      </c>
      <c r="M86" s="42">
        <f>M82</f>
        <v>71</v>
      </c>
      <c r="N86" s="43">
        <f>N82</f>
        <v>138</v>
      </c>
      <c r="O86" s="60">
        <f>O82</f>
        <v>104</v>
      </c>
      <c r="P86" s="48">
        <f>SUM(M86:O86)</f>
        <v>313</v>
      </c>
      <c r="Q86" s="42">
        <f>Q82</f>
        <v>71</v>
      </c>
      <c r="R86" s="43">
        <f>R82</f>
        <v>138</v>
      </c>
      <c r="S86" s="60">
        <f>S82</f>
        <v>104</v>
      </c>
      <c r="T86" s="48">
        <f>SUM(Q86:S86)</f>
        <v>313</v>
      </c>
      <c r="U86" s="48">
        <f>P86+T86</f>
        <v>626</v>
      </c>
    </row>
    <row r="87" spans="1:22" x14ac:dyDescent="0.15">
      <c r="A87" s="25" t="s">
        <v>149</v>
      </c>
      <c r="B87" s="42">
        <v>3</v>
      </c>
      <c r="C87" s="43"/>
      <c r="D87" s="44"/>
      <c r="E87" s="48">
        <f>SUM(B87:D87)</f>
        <v>3</v>
      </c>
      <c r="F87" s="59">
        <v>3</v>
      </c>
      <c r="G87" s="43"/>
      <c r="H87" s="60"/>
      <c r="I87" s="48">
        <f>SUM(F87:H87)</f>
        <v>3</v>
      </c>
      <c r="J87" s="48">
        <f>E87+I87</f>
        <v>6</v>
      </c>
      <c r="K87" s="62">
        <v>43767</v>
      </c>
      <c r="L87" s="25" t="s">
        <v>7</v>
      </c>
      <c r="M87" s="42"/>
      <c r="N87" s="43"/>
      <c r="O87" s="44"/>
      <c r="P87" s="48">
        <f>SUM(M87:O87)</f>
        <v>0</v>
      </c>
      <c r="Q87" s="59"/>
      <c r="R87" s="43"/>
      <c r="S87" s="60"/>
      <c r="T87" s="48">
        <f>SUM(Q87:S87)</f>
        <v>0</v>
      </c>
      <c r="U87" s="48">
        <f>P87+T87</f>
        <v>0</v>
      </c>
    </row>
    <row r="88" spans="1:22" x14ac:dyDescent="0.15">
      <c r="A88" s="26" t="s">
        <v>191</v>
      </c>
      <c r="B88" s="8">
        <v>1</v>
      </c>
      <c r="C88" s="9"/>
      <c r="D88" s="52"/>
      <c r="E88" s="11">
        <f>SUM(B88:D88)</f>
        <v>1</v>
      </c>
      <c r="F88" s="12">
        <v>1</v>
      </c>
      <c r="G88" s="9"/>
      <c r="H88" s="10"/>
      <c r="I88" s="11">
        <f>SUM(F88:H88)</f>
        <v>1</v>
      </c>
      <c r="J88" s="11">
        <f>E88+I88</f>
        <v>2</v>
      </c>
      <c r="K88" s="62">
        <v>43787</v>
      </c>
      <c r="L88" s="25" t="s">
        <v>100</v>
      </c>
      <c r="M88" s="8">
        <v>100</v>
      </c>
      <c r="N88" s="9">
        <v>100</v>
      </c>
      <c r="O88" s="52">
        <v>100</v>
      </c>
      <c r="P88" s="11">
        <f>SUM(M88:O88)</f>
        <v>300</v>
      </c>
      <c r="Q88" s="8">
        <v>100</v>
      </c>
      <c r="R88" s="9">
        <v>100</v>
      </c>
      <c r="S88" s="52">
        <v>100</v>
      </c>
      <c r="T88" s="11">
        <f>SUM(Q88:S88)</f>
        <v>300</v>
      </c>
      <c r="U88" s="11">
        <f>P88+T88</f>
        <v>600</v>
      </c>
      <c r="V88" s="98" t="s">
        <v>112</v>
      </c>
    </row>
    <row r="89" spans="1:22" x14ac:dyDescent="0.15">
      <c r="A89" s="26" t="s">
        <v>192</v>
      </c>
      <c r="B89" s="17"/>
      <c r="C89" s="18">
        <v>1</v>
      </c>
      <c r="D89" s="51"/>
      <c r="E89" s="11">
        <f t="shared" ref="E89:E94" si="62">SUM(B89:D89)</f>
        <v>1</v>
      </c>
      <c r="F89" s="20"/>
      <c r="G89" s="18">
        <v>1</v>
      </c>
      <c r="H89" s="19"/>
      <c r="I89" s="11">
        <f t="shared" ref="I89:I94" si="63">SUM(F89:H89)</f>
        <v>1</v>
      </c>
      <c r="J89" s="11">
        <f t="shared" ref="J89:J94" si="64">E89+I89</f>
        <v>2</v>
      </c>
      <c r="K89" s="62">
        <v>43787</v>
      </c>
      <c r="L89" s="25" t="s">
        <v>9</v>
      </c>
      <c r="M89" s="17"/>
      <c r="N89" s="18"/>
      <c r="O89" s="51"/>
      <c r="P89" s="11">
        <f t="shared" ref="P89:P94" si="65">SUM(M89:O89)</f>
        <v>0</v>
      </c>
      <c r="Q89" s="17"/>
      <c r="R89" s="18"/>
      <c r="S89" s="51"/>
      <c r="T89" s="11">
        <f t="shared" ref="T89:T94" si="66">SUM(Q89:S89)</f>
        <v>0</v>
      </c>
      <c r="U89" s="11">
        <f t="shared" ref="U89:U94" si="67">P89+T89</f>
        <v>0</v>
      </c>
      <c r="V89" s="98"/>
    </row>
    <row r="90" spans="1:22" x14ac:dyDescent="0.15">
      <c r="A90" s="25"/>
      <c r="B90" s="8"/>
      <c r="C90" s="9"/>
      <c r="D90" s="52"/>
      <c r="E90" s="11">
        <f t="shared" si="62"/>
        <v>0</v>
      </c>
      <c r="F90" s="12"/>
      <c r="G90" s="9"/>
      <c r="H90" s="10"/>
      <c r="I90" s="11">
        <f t="shared" si="63"/>
        <v>0</v>
      </c>
      <c r="J90" s="11">
        <f t="shared" si="64"/>
        <v>0</v>
      </c>
      <c r="K90" s="62"/>
      <c r="L90" s="25" t="s">
        <v>10</v>
      </c>
      <c r="M90" s="8"/>
      <c r="N90" s="9"/>
      <c r="O90" s="52"/>
      <c r="P90" s="11">
        <f t="shared" si="65"/>
        <v>0</v>
      </c>
      <c r="Q90" s="12"/>
      <c r="R90" s="9"/>
      <c r="S90" s="10"/>
      <c r="T90" s="11">
        <f t="shared" si="66"/>
        <v>0</v>
      </c>
      <c r="U90" s="11">
        <f t="shared" si="67"/>
        <v>0</v>
      </c>
    </row>
    <row r="91" spans="1:22" x14ac:dyDescent="0.15">
      <c r="A91" s="25"/>
      <c r="B91" s="8"/>
      <c r="C91" s="9"/>
      <c r="D91" s="52"/>
      <c r="E91" s="11">
        <f t="shared" si="62"/>
        <v>0</v>
      </c>
      <c r="F91" s="12"/>
      <c r="G91" s="9"/>
      <c r="H91" s="10"/>
      <c r="I91" s="11">
        <f t="shared" si="63"/>
        <v>0</v>
      </c>
      <c r="J91" s="11">
        <f t="shared" si="64"/>
        <v>0</v>
      </c>
      <c r="K91" s="62"/>
      <c r="L91" s="25" t="s">
        <v>11</v>
      </c>
      <c r="M91" s="8"/>
      <c r="N91" s="9"/>
      <c r="O91" s="52"/>
      <c r="P91" s="11">
        <f t="shared" si="65"/>
        <v>0</v>
      </c>
      <c r="Q91" s="12"/>
      <c r="R91" s="9"/>
      <c r="S91" s="10"/>
      <c r="T91" s="11">
        <f t="shared" si="66"/>
        <v>0</v>
      </c>
      <c r="U91" s="11">
        <f t="shared" si="67"/>
        <v>0</v>
      </c>
    </row>
    <row r="92" spans="1:22" x14ac:dyDescent="0.15">
      <c r="A92" s="25"/>
      <c r="B92" s="8"/>
      <c r="C92" s="9"/>
      <c r="D92" s="52"/>
      <c r="E92" s="11">
        <f t="shared" si="62"/>
        <v>0</v>
      </c>
      <c r="F92" s="12"/>
      <c r="G92" s="9"/>
      <c r="H92" s="10"/>
      <c r="I92" s="11">
        <f t="shared" si="63"/>
        <v>0</v>
      </c>
      <c r="J92" s="11">
        <f t="shared" si="64"/>
        <v>0</v>
      </c>
      <c r="K92" s="62"/>
      <c r="L92" s="25" t="s">
        <v>12</v>
      </c>
      <c r="M92" s="8"/>
      <c r="N92" s="9"/>
      <c r="O92" s="52"/>
      <c r="P92" s="11">
        <f>SUM(M92:O92)</f>
        <v>0</v>
      </c>
      <c r="Q92" s="8"/>
      <c r="R92" s="9"/>
      <c r="S92" s="52"/>
      <c r="T92" s="11">
        <f>SUM(Q92:S92)</f>
        <v>0</v>
      </c>
      <c r="U92" s="11">
        <f>P92+T92</f>
        <v>0</v>
      </c>
      <c r="V92" s="98"/>
    </row>
    <row r="93" spans="1:22" x14ac:dyDescent="0.15">
      <c r="A93" s="25"/>
      <c r="B93" s="13"/>
      <c r="C93" s="14"/>
      <c r="D93" s="53"/>
      <c r="E93" s="11">
        <f t="shared" si="62"/>
        <v>0</v>
      </c>
      <c r="F93" s="16"/>
      <c r="G93" s="14"/>
      <c r="H93" s="15"/>
      <c r="I93" s="11">
        <f t="shared" si="63"/>
        <v>0</v>
      </c>
      <c r="J93" s="11">
        <f t="shared" si="64"/>
        <v>0</v>
      </c>
      <c r="K93" s="64"/>
      <c r="L93" s="25" t="s">
        <v>13</v>
      </c>
      <c r="M93" s="13"/>
      <c r="N93" s="14"/>
      <c r="O93" s="53"/>
      <c r="P93" s="11">
        <f t="shared" si="65"/>
        <v>0</v>
      </c>
      <c r="Q93" s="16"/>
      <c r="R93" s="14"/>
      <c r="S93" s="15"/>
      <c r="T93" s="11">
        <f t="shared" si="66"/>
        <v>0</v>
      </c>
      <c r="U93" s="11">
        <f t="shared" si="67"/>
        <v>0</v>
      </c>
    </row>
    <row r="94" spans="1:22" ht="14.25" thickBot="1" x14ac:dyDescent="0.2">
      <c r="A94" s="25"/>
      <c r="B94" s="32"/>
      <c r="C94" s="33"/>
      <c r="D94" s="54"/>
      <c r="E94" s="61">
        <f t="shared" si="62"/>
        <v>0</v>
      </c>
      <c r="F94" s="34"/>
      <c r="G94" s="34"/>
      <c r="H94" s="37"/>
      <c r="I94" s="61">
        <f t="shared" si="63"/>
        <v>0</v>
      </c>
      <c r="J94" s="21">
        <f t="shared" si="64"/>
        <v>0</v>
      </c>
      <c r="K94" s="62"/>
      <c r="L94" s="25" t="s">
        <v>14</v>
      </c>
      <c r="M94" s="32"/>
      <c r="N94" s="33"/>
      <c r="O94" s="54"/>
      <c r="P94" s="61">
        <f t="shared" si="65"/>
        <v>0</v>
      </c>
      <c r="Q94" s="34"/>
      <c r="R94" s="34"/>
      <c r="S94" s="37"/>
      <c r="T94" s="61">
        <f t="shared" si="66"/>
        <v>0</v>
      </c>
      <c r="U94" s="21">
        <f t="shared" si="67"/>
        <v>0</v>
      </c>
    </row>
    <row r="95" spans="1:22" ht="14.25" thickBot="1" x14ac:dyDescent="0.2">
      <c r="A95" s="35" t="s">
        <v>15</v>
      </c>
      <c r="B95" s="28">
        <f>SUM(B86:B94)</f>
        <v>4</v>
      </c>
      <c r="C95" s="29">
        <f>SUM(C86:C94)</f>
        <v>3</v>
      </c>
      <c r="D95" s="30">
        <f>SUM(D86:D94)</f>
        <v>1</v>
      </c>
      <c r="E95" s="31">
        <f>SUM(B95:D95)</f>
        <v>8</v>
      </c>
      <c r="F95" s="28">
        <f>SUM(F86:F94)</f>
        <v>4</v>
      </c>
      <c r="G95" s="29">
        <f>SUM(G86:G94)</f>
        <v>3</v>
      </c>
      <c r="H95" s="30">
        <f>SUM(H86:H94)</f>
        <v>1</v>
      </c>
      <c r="I95" s="31">
        <f>SUM(F95:H95)</f>
        <v>8</v>
      </c>
      <c r="J95" s="31">
        <f>E95+I95</f>
        <v>16</v>
      </c>
      <c r="L95" s="35" t="s">
        <v>15</v>
      </c>
      <c r="M95" s="28">
        <f>SUM(M86:M94)</f>
        <v>171</v>
      </c>
      <c r="N95" s="29">
        <f>SUM(N86:N94)</f>
        <v>238</v>
      </c>
      <c r="O95" s="30">
        <f>SUM(O86:O94)</f>
        <v>204</v>
      </c>
      <c r="P95" s="31">
        <f>SUM(M95:O95)</f>
        <v>613</v>
      </c>
      <c r="Q95" s="28">
        <f>SUM(Q86:Q94)</f>
        <v>171</v>
      </c>
      <c r="R95" s="29">
        <f>SUM(R86:R94)</f>
        <v>238</v>
      </c>
      <c r="S95" s="30">
        <f>SUM(S86:S94)</f>
        <v>204</v>
      </c>
      <c r="T95" s="31">
        <f>SUM(Q95:S95)</f>
        <v>613</v>
      </c>
      <c r="U95" s="31">
        <f>P95+T95</f>
        <v>1226</v>
      </c>
    </row>
    <row r="96" spans="1:22" x14ac:dyDescent="0.15">
      <c r="A96" s="26" t="s">
        <v>130</v>
      </c>
      <c r="B96" s="79"/>
      <c r="C96" s="81">
        <v>1</v>
      </c>
      <c r="D96" s="80"/>
      <c r="E96" s="49">
        <f>SUM(B96:D96)</f>
        <v>1</v>
      </c>
      <c r="F96" s="16"/>
      <c r="G96" s="14">
        <v>1</v>
      </c>
      <c r="H96" s="15"/>
      <c r="I96" s="49">
        <f>SUM(F96:H96)</f>
        <v>1</v>
      </c>
      <c r="J96" s="11">
        <f>E96+I96</f>
        <v>2</v>
      </c>
      <c r="K96" s="62">
        <v>43749</v>
      </c>
      <c r="L96" s="26" t="s">
        <v>111</v>
      </c>
      <c r="M96" s="13"/>
      <c r="N96" s="14"/>
      <c r="O96" s="15">
        <v>2</v>
      </c>
      <c r="P96" s="49">
        <f>SUM(M96:O96)</f>
        <v>2</v>
      </c>
      <c r="Q96" s="16"/>
      <c r="R96" s="14"/>
      <c r="S96" s="15">
        <v>2</v>
      </c>
      <c r="T96" s="49">
        <f>SUM(Q96:S96)</f>
        <v>2</v>
      </c>
      <c r="U96" s="11">
        <f>P96+T96</f>
        <v>4</v>
      </c>
      <c r="V96" s="98">
        <v>43740</v>
      </c>
    </row>
    <row r="97" spans="1:23" x14ac:dyDescent="0.15">
      <c r="A97" s="26" t="s">
        <v>152</v>
      </c>
      <c r="B97" s="8">
        <v>1</v>
      </c>
      <c r="C97" s="9"/>
      <c r="D97" s="10"/>
      <c r="E97" s="49">
        <f t="shared" ref="E97:E98" si="68">SUM(B97:D97)</f>
        <v>1</v>
      </c>
      <c r="F97" s="12">
        <v>1</v>
      </c>
      <c r="G97" s="9"/>
      <c r="H97" s="10"/>
      <c r="I97" s="49">
        <f t="shared" ref="I97:I98" si="69">SUM(F97:H97)</f>
        <v>1</v>
      </c>
      <c r="J97" s="11">
        <f t="shared" ref="J97:J98" si="70">E97+I97</f>
        <v>2</v>
      </c>
      <c r="K97" s="62">
        <v>43767</v>
      </c>
      <c r="L97" s="26" t="s">
        <v>113</v>
      </c>
      <c r="M97" s="8">
        <v>2</v>
      </c>
      <c r="N97" s="9">
        <v>13</v>
      </c>
      <c r="O97" s="10">
        <v>1</v>
      </c>
      <c r="P97" s="49">
        <f t="shared" ref="P97" si="71">SUM(M97:O97)</f>
        <v>16</v>
      </c>
      <c r="Q97" s="12">
        <v>2</v>
      </c>
      <c r="R97" s="9">
        <v>13</v>
      </c>
      <c r="S97" s="10">
        <v>1</v>
      </c>
      <c r="T97" s="49">
        <f t="shared" ref="T97" si="72">SUM(Q97:S97)</f>
        <v>16</v>
      </c>
      <c r="U97" s="11">
        <f t="shared" ref="U97" si="73">P97+T97</f>
        <v>32</v>
      </c>
      <c r="V97" s="98">
        <v>43741</v>
      </c>
    </row>
    <row r="98" spans="1:23" x14ac:dyDescent="0.15">
      <c r="A98" s="26"/>
      <c r="B98" s="8"/>
      <c r="C98" s="9"/>
      <c r="D98" s="10"/>
      <c r="E98" s="49">
        <f t="shared" si="68"/>
        <v>0</v>
      </c>
      <c r="F98" s="12"/>
      <c r="G98" s="9"/>
      <c r="H98" s="10"/>
      <c r="I98" s="49">
        <f t="shared" si="69"/>
        <v>0</v>
      </c>
      <c r="J98" s="11">
        <f t="shared" si="70"/>
        <v>0</v>
      </c>
      <c r="K98" s="62"/>
      <c r="L98" s="26" t="s">
        <v>116</v>
      </c>
      <c r="M98" s="13"/>
      <c r="N98" s="14">
        <v>1</v>
      </c>
      <c r="O98" s="15">
        <v>4</v>
      </c>
      <c r="P98" s="49">
        <f>SUM(M98:O98)</f>
        <v>5</v>
      </c>
      <c r="Q98" s="16"/>
      <c r="R98" s="14">
        <v>1</v>
      </c>
      <c r="S98" s="15">
        <v>4</v>
      </c>
      <c r="T98" s="49">
        <f>SUM(Q98:S98)</f>
        <v>5</v>
      </c>
      <c r="U98" s="11">
        <f>P98+T98</f>
        <v>10</v>
      </c>
      <c r="V98" s="98">
        <v>43742</v>
      </c>
    </row>
    <row r="99" spans="1:23" x14ac:dyDescent="0.15">
      <c r="A99" s="26"/>
      <c r="B99" s="13"/>
      <c r="C99" s="14"/>
      <c r="D99" s="15"/>
      <c r="E99" s="49">
        <f>SUM(B99:D99)</f>
        <v>0</v>
      </c>
      <c r="F99" s="16"/>
      <c r="G99" s="14"/>
      <c r="H99" s="15"/>
      <c r="I99" s="49">
        <f>SUM(F99:H99)</f>
        <v>0</v>
      </c>
      <c r="J99" s="11">
        <f>E99+I99</f>
        <v>0</v>
      </c>
      <c r="K99" s="62"/>
      <c r="L99" s="26" t="s">
        <v>117</v>
      </c>
      <c r="M99" s="8"/>
      <c r="N99" s="9">
        <v>5</v>
      </c>
      <c r="O99" s="10">
        <v>4</v>
      </c>
      <c r="P99" s="49">
        <f t="shared" ref="P99:P122" si="74">SUM(M99:O99)</f>
        <v>9</v>
      </c>
      <c r="Q99" s="12"/>
      <c r="R99" s="9">
        <v>5</v>
      </c>
      <c r="S99" s="10">
        <v>4</v>
      </c>
      <c r="T99" s="49">
        <f t="shared" ref="T99:T122" si="75">SUM(Q99:S99)</f>
        <v>9</v>
      </c>
      <c r="U99" s="11">
        <f t="shared" ref="U99:U117" si="76">P99+T99</f>
        <v>18</v>
      </c>
      <c r="V99" s="98">
        <v>43743</v>
      </c>
    </row>
    <row r="100" spans="1:23" x14ac:dyDescent="0.15">
      <c r="A100" s="26"/>
      <c r="B100" s="8"/>
      <c r="C100" s="9"/>
      <c r="D100" s="10"/>
      <c r="E100" s="49">
        <f t="shared" ref="E100:E120" si="77">SUM(B100:D100)</f>
        <v>0</v>
      </c>
      <c r="F100" s="12"/>
      <c r="G100" s="9"/>
      <c r="H100" s="10"/>
      <c r="I100" s="49">
        <f t="shared" ref="I100:I120" si="78">SUM(F100:H100)</f>
        <v>0</v>
      </c>
      <c r="J100" s="11">
        <f t="shared" ref="J100:J120" si="79">E100+I100</f>
        <v>0</v>
      </c>
      <c r="K100" s="62"/>
      <c r="L100" s="26" t="s">
        <v>118</v>
      </c>
      <c r="M100" s="8"/>
      <c r="N100" s="9">
        <v>3</v>
      </c>
      <c r="O100" s="10"/>
      <c r="P100" s="49">
        <f t="shared" si="74"/>
        <v>3</v>
      </c>
      <c r="Q100" s="12"/>
      <c r="R100" s="9">
        <v>3</v>
      </c>
      <c r="S100" s="10"/>
      <c r="T100" s="49">
        <f t="shared" si="75"/>
        <v>3</v>
      </c>
      <c r="U100" s="11">
        <f t="shared" si="76"/>
        <v>6</v>
      </c>
      <c r="V100" s="98">
        <v>43746</v>
      </c>
    </row>
    <row r="101" spans="1:23" x14ac:dyDescent="0.15">
      <c r="A101" s="26"/>
      <c r="B101" s="8"/>
      <c r="C101" s="9"/>
      <c r="D101" s="10"/>
      <c r="E101" s="49">
        <f t="shared" si="77"/>
        <v>0</v>
      </c>
      <c r="F101" s="12"/>
      <c r="G101" s="9"/>
      <c r="H101" s="10"/>
      <c r="I101" s="49">
        <f t="shared" si="78"/>
        <v>0</v>
      </c>
      <c r="J101" s="11">
        <f t="shared" si="79"/>
        <v>0</v>
      </c>
      <c r="K101" s="62"/>
      <c r="L101" s="26" t="s">
        <v>122</v>
      </c>
      <c r="M101" s="8">
        <v>13</v>
      </c>
      <c r="N101" s="9">
        <v>1</v>
      </c>
      <c r="O101" s="10"/>
      <c r="P101" s="49">
        <f t="shared" si="74"/>
        <v>14</v>
      </c>
      <c r="Q101" s="12">
        <v>13</v>
      </c>
      <c r="R101" s="9">
        <v>1</v>
      </c>
      <c r="S101" s="10"/>
      <c r="T101" s="49">
        <f t="shared" si="75"/>
        <v>14</v>
      </c>
      <c r="U101" s="11">
        <f t="shared" si="76"/>
        <v>28</v>
      </c>
      <c r="V101" s="98">
        <v>43747</v>
      </c>
    </row>
    <row r="102" spans="1:23" x14ac:dyDescent="0.15">
      <c r="A102" s="26"/>
      <c r="B102" s="8"/>
      <c r="C102" s="9"/>
      <c r="D102" s="10"/>
      <c r="E102" s="49">
        <f t="shared" si="77"/>
        <v>0</v>
      </c>
      <c r="F102" s="12"/>
      <c r="G102" s="9"/>
      <c r="H102" s="10"/>
      <c r="I102" s="49">
        <f t="shared" si="78"/>
        <v>0</v>
      </c>
      <c r="J102" s="11">
        <f t="shared" si="79"/>
        <v>0</v>
      </c>
      <c r="K102" s="62"/>
      <c r="L102" s="26" t="s">
        <v>126</v>
      </c>
      <c r="M102" s="8">
        <v>2</v>
      </c>
      <c r="N102" s="9">
        <v>1</v>
      </c>
      <c r="O102" s="10"/>
      <c r="P102" s="49">
        <f t="shared" si="74"/>
        <v>3</v>
      </c>
      <c r="Q102" s="12">
        <v>2</v>
      </c>
      <c r="R102" s="9">
        <v>1</v>
      </c>
      <c r="S102" s="10"/>
      <c r="T102" s="49">
        <f t="shared" si="75"/>
        <v>3</v>
      </c>
      <c r="U102" s="11">
        <f t="shared" si="76"/>
        <v>6</v>
      </c>
      <c r="V102" s="98">
        <v>43748</v>
      </c>
    </row>
    <row r="103" spans="1:23" x14ac:dyDescent="0.15">
      <c r="A103" s="26"/>
      <c r="B103" s="8"/>
      <c r="C103" s="9"/>
      <c r="D103" s="10"/>
      <c r="E103" s="49">
        <f t="shared" si="77"/>
        <v>0</v>
      </c>
      <c r="F103" s="12"/>
      <c r="G103" s="9"/>
      <c r="H103" s="10"/>
      <c r="I103" s="49">
        <f t="shared" si="78"/>
        <v>0</v>
      </c>
      <c r="J103" s="11">
        <f t="shared" si="79"/>
        <v>0</v>
      </c>
      <c r="K103" s="62"/>
      <c r="L103" s="26" t="s">
        <v>127</v>
      </c>
      <c r="M103" s="8">
        <v>2</v>
      </c>
      <c r="N103" s="9"/>
      <c r="O103" s="10"/>
      <c r="P103" s="49">
        <f t="shared" si="74"/>
        <v>2</v>
      </c>
      <c r="Q103" s="12">
        <v>2</v>
      </c>
      <c r="R103" s="9"/>
      <c r="S103" s="10"/>
      <c r="T103" s="49">
        <f t="shared" si="75"/>
        <v>2</v>
      </c>
      <c r="U103" s="11">
        <f t="shared" si="76"/>
        <v>4</v>
      </c>
      <c r="V103" s="98">
        <v>43749</v>
      </c>
    </row>
    <row r="104" spans="1:23" x14ac:dyDescent="0.15">
      <c r="A104" s="26"/>
      <c r="B104" s="8"/>
      <c r="C104" s="9"/>
      <c r="D104" s="10"/>
      <c r="E104" s="49">
        <f t="shared" si="77"/>
        <v>0</v>
      </c>
      <c r="F104" s="12"/>
      <c r="G104" s="9"/>
      <c r="H104" s="10"/>
      <c r="I104" s="49">
        <f t="shared" si="78"/>
        <v>0</v>
      </c>
      <c r="J104" s="11">
        <f t="shared" si="79"/>
        <v>0</v>
      </c>
      <c r="K104" s="62"/>
      <c r="L104" s="26" t="s">
        <v>129</v>
      </c>
      <c r="M104" s="8">
        <v>9</v>
      </c>
      <c r="N104" s="9">
        <v>1</v>
      </c>
      <c r="O104" s="10">
        <v>1</v>
      </c>
      <c r="P104" s="49">
        <f t="shared" si="74"/>
        <v>11</v>
      </c>
      <c r="Q104" s="12">
        <v>9</v>
      </c>
      <c r="R104" s="9">
        <v>1</v>
      </c>
      <c r="S104" s="10">
        <v>1</v>
      </c>
      <c r="T104" s="49">
        <f t="shared" si="75"/>
        <v>11</v>
      </c>
      <c r="U104" s="11">
        <f t="shared" si="76"/>
        <v>22</v>
      </c>
      <c r="V104" s="98">
        <v>43750</v>
      </c>
    </row>
    <row r="105" spans="1:23" x14ac:dyDescent="0.15">
      <c r="A105" s="26"/>
      <c r="B105" s="13"/>
      <c r="C105" s="14"/>
      <c r="D105" s="15"/>
      <c r="E105" s="49">
        <f t="shared" si="77"/>
        <v>0</v>
      </c>
      <c r="F105" s="16"/>
      <c r="G105" s="14"/>
      <c r="H105" s="15"/>
      <c r="I105" s="49">
        <f t="shared" si="78"/>
        <v>0</v>
      </c>
      <c r="J105" s="11">
        <f t="shared" si="79"/>
        <v>0</v>
      </c>
      <c r="K105" s="62"/>
      <c r="L105" s="26" t="s">
        <v>131</v>
      </c>
      <c r="M105" s="13"/>
      <c r="N105" s="14">
        <v>7</v>
      </c>
      <c r="O105" s="15">
        <v>1</v>
      </c>
      <c r="P105" s="49">
        <f t="shared" si="74"/>
        <v>8</v>
      </c>
      <c r="Q105" s="16"/>
      <c r="R105" s="14">
        <v>7</v>
      </c>
      <c r="S105" s="15">
        <v>1</v>
      </c>
      <c r="T105" s="49">
        <f t="shared" si="75"/>
        <v>8</v>
      </c>
      <c r="U105" s="11">
        <f t="shared" si="76"/>
        <v>16</v>
      </c>
      <c r="V105" s="98">
        <v>43754</v>
      </c>
    </row>
    <row r="106" spans="1:23" x14ac:dyDescent="0.15">
      <c r="A106" s="26"/>
      <c r="B106" s="8"/>
      <c r="C106" s="9"/>
      <c r="D106" s="10"/>
      <c r="E106" s="49">
        <f t="shared" si="77"/>
        <v>0</v>
      </c>
      <c r="F106" s="12"/>
      <c r="G106" s="9"/>
      <c r="H106" s="10"/>
      <c r="I106" s="49">
        <f t="shared" si="78"/>
        <v>0</v>
      </c>
      <c r="J106" s="11">
        <f t="shared" si="79"/>
        <v>0</v>
      </c>
      <c r="K106" s="62"/>
      <c r="L106" s="26" t="s">
        <v>133</v>
      </c>
      <c r="M106" s="8">
        <v>8</v>
      </c>
      <c r="N106" s="9">
        <v>4</v>
      </c>
      <c r="O106" s="10">
        <v>7</v>
      </c>
      <c r="P106" s="49">
        <f t="shared" si="74"/>
        <v>19</v>
      </c>
      <c r="Q106" s="12">
        <v>8</v>
      </c>
      <c r="R106" s="9">
        <v>4</v>
      </c>
      <c r="S106" s="10">
        <v>7</v>
      </c>
      <c r="T106" s="49">
        <f t="shared" si="75"/>
        <v>19</v>
      </c>
      <c r="U106" s="11">
        <f t="shared" si="76"/>
        <v>38</v>
      </c>
      <c r="V106" s="98">
        <v>43755</v>
      </c>
    </row>
    <row r="107" spans="1:23" x14ac:dyDescent="0.15">
      <c r="A107" s="26"/>
      <c r="B107" s="8"/>
      <c r="C107" s="9"/>
      <c r="D107" s="10"/>
      <c r="E107" s="49">
        <f t="shared" si="77"/>
        <v>0</v>
      </c>
      <c r="F107" s="12"/>
      <c r="G107" s="9"/>
      <c r="H107" s="10"/>
      <c r="I107" s="49">
        <f t="shared" si="78"/>
        <v>0</v>
      </c>
      <c r="J107" s="11">
        <f t="shared" si="79"/>
        <v>0</v>
      </c>
      <c r="K107" s="62"/>
      <c r="L107" s="26" t="s">
        <v>134</v>
      </c>
      <c r="M107" s="8"/>
      <c r="N107" s="9">
        <v>4</v>
      </c>
      <c r="O107" s="10"/>
      <c r="P107" s="49">
        <f t="shared" si="74"/>
        <v>4</v>
      </c>
      <c r="Q107" s="12"/>
      <c r="R107" s="9">
        <v>4</v>
      </c>
      <c r="S107" s="10"/>
      <c r="T107" s="49">
        <f t="shared" si="75"/>
        <v>4</v>
      </c>
      <c r="U107" s="11">
        <f t="shared" si="76"/>
        <v>8</v>
      </c>
      <c r="V107" s="98">
        <v>43756</v>
      </c>
    </row>
    <row r="108" spans="1:23" x14ac:dyDescent="0.15">
      <c r="A108" s="26"/>
      <c r="B108" s="8"/>
      <c r="C108" s="9"/>
      <c r="D108" s="10"/>
      <c r="E108" s="49">
        <f t="shared" si="77"/>
        <v>0</v>
      </c>
      <c r="F108" s="12"/>
      <c r="G108" s="9"/>
      <c r="H108" s="10"/>
      <c r="I108" s="49">
        <f t="shared" si="78"/>
        <v>0</v>
      </c>
      <c r="J108" s="11">
        <f t="shared" si="79"/>
        <v>0</v>
      </c>
      <c r="K108" s="62"/>
      <c r="L108" s="26" t="s">
        <v>135</v>
      </c>
      <c r="M108" s="8"/>
      <c r="N108" s="9">
        <v>2</v>
      </c>
      <c r="O108" s="10"/>
      <c r="P108" s="49">
        <f t="shared" si="74"/>
        <v>2</v>
      </c>
      <c r="Q108" s="12"/>
      <c r="R108" s="9">
        <v>2</v>
      </c>
      <c r="S108" s="10"/>
      <c r="T108" s="49">
        <f t="shared" si="75"/>
        <v>2</v>
      </c>
      <c r="U108" s="11">
        <f t="shared" si="76"/>
        <v>4</v>
      </c>
      <c r="V108" s="98">
        <v>43757</v>
      </c>
    </row>
    <row r="109" spans="1:23" x14ac:dyDescent="0.15">
      <c r="A109" s="26"/>
      <c r="B109" s="8"/>
      <c r="C109" s="9"/>
      <c r="D109" s="10"/>
      <c r="E109" s="49">
        <f t="shared" si="77"/>
        <v>0</v>
      </c>
      <c r="F109" s="12"/>
      <c r="G109" s="9"/>
      <c r="H109" s="10"/>
      <c r="I109" s="49">
        <f t="shared" si="78"/>
        <v>0</v>
      </c>
      <c r="J109" s="11">
        <f t="shared" si="79"/>
        <v>0</v>
      </c>
      <c r="K109" s="62"/>
      <c r="L109" s="26" t="s">
        <v>137</v>
      </c>
      <c r="M109" s="8">
        <v>3</v>
      </c>
      <c r="N109" s="9">
        <v>2</v>
      </c>
      <c r="O109" s="10">
        <v>2</v>
      </c>
      <c r="P109" s="49">
        <f t="shared" si="74"/>
        <v>7</v>
      </c>
      <c r="Q109" s="12">
        <v>3</v>
      </c>
      <c r="R109" s="9">
        <v>2</v>
      </c>
      <c r="S109" s="10">
        <v>2</v>
      </c>
      <c r="T109" s="49">
        <f t="shared" si="75"/>
        <v>7</v>
      </c>
      <c r="U109" s="11">
        <f t="shared" si="76"/>
        <v>14</v>
      </c>
      <c r="V109" s="98">
        <v>43759</v>
      </c>
    </row>
    <row r="110" spans="1:23" x14ac:dyDescent="0.15">
      <c r="A110" s="26"/>
      <c r="B110" s="8"/>
      <c r="C110" s="9"/>
      <c r="D110" s="10"/>
      <c r="E110" s="49">
        <f t="shared" si="77"/>
        <v>0</v>
      </c>
      <c r="F110" s="12"/>
      <c r="G110" s="9"/>
      <c r="H110" s="10"/>
      <c r="I110" s="49">
        <f t="shared" si="78"/>
        <v>0</v>
      </c>
      <c r="J110" s="11">
        <f t="shared" si="79"/>
        <v>0</v>
      </c>
      <c r="K110" s="62"/>
      <c r="L110" s="26" t="s">
        <v>139</v>
      </c>
      <c r="M110" s="8"/>
      <c r="N110" s="9">
        <v>2</v>
      </c>
      <c r="O110" s="10">
        <v>1</v>
      </c>
      <c r="P110" s="49">
        <f t="shared" si="74"/>
        <v>3</v>
      </c>
      <c r="Q110" s="12"/>
      <c r="R110" s="9">
        <v>2</v>
      </c>
      <c r="S110" s="10">
        <v>1</v>
      </c>
      <c r="T110" s="49">
        <f t="shared" si="75"/>
        <v>3</v>
      </c>
      <c r="U110" s="11">
        <f t="shared" si="76"/>
        <v>6</v>
      </c>
      <c r="V110" s="98">
        <v>43761</v>
      </c>
    </row>
    <row r="111" spans="1:23" x14ac:dyDescent="0.15">
      <c r="A111" s="26"/>
      <c r="B111" s="8"/>
      <c r="C111" s="9"/>
      <c r="D111" s="10"/>
      <c r="E111" s="49">
        <f t="shared" si="77"/>
        <v>0</v>
      </c>
      <c r="F111" s="12"/>
      <c r="G111" s="9"/>
      <c r="H111" s="10"/>
      <c r="I111" s="49">
        <f t="shared" si="78"/>
        <v>0</v>
      </c>
      <c r="J111" s="11">
        <f t="shared" si="79"/>
        <v>0</v>
      </c>
      <c r="K111" s="62"/>
      <c r="L111" s="26" t="s">
        <v>141</v>
      </c>
      <c r="M111" s="8">
        <v>2</v>
      </c>
      <c r="N111" s="9">
        <v>3</v>
      </c>
      <c r="O111" s="10"/>
      <c r="P111" s="49">
        <f t="shared" si="74"/>
        <v>5</v>
      </c>
      <c r="Q111" s="12">
        <v>2</v>
      </c>
      <c r="R111" s="9">
        <v>3</v>
      </c>
      <c r="S111" s="10"/>
      <c r="T111" s="49">
        <f t="shared" si="75"/>
        <v>5</v>
      </c>
      <c r="U111" s="11">
        <f t="shared" si="76"/>
        <v>10</v>
      </c>
      <c r="V111" s="98">
        <v>43762</v>
      </c>
    </row>
    <row r="112" spans="1:23" x14ac:dyDescent="0.15">
      <c r="A112" s="26"/>
      <c r="B112" s="8"/>
      <c r="C112" s="9"/>
      <c r="D112" s="10"/>
      <c r="E112" s="49">
        <f t="shared" si="77"/>
        <v>0</v>
      </c>
      <c r="F112" s="12"/>
      <c r="G112" s="9"/>
      <c r="H112" s="10"/>
      <c r="I112" s="49">
        <f t="shared" si="78"/>
        <v>0</v>
      </c>
      <c r="J112" s="11">
        <f t="shared" si="79"/>
        <v>0</v>
      </c>
      <c r="K112" s="62"/>
      <c r="L112" s="26" t="s">
        <v>143</v>
      </c>
      <c r="M112" s="8">
        <v>1</v>
      </c>
      <c r="N112" s="9">
        <v>1</v>
      </c>
      <c r="O112" s="10">
        <v>1</v>
      </c>
      <c r="P112" s="49">
        <f t="shared" si="74"/>
        <v>3</v>
      </c>
      <c r="Q112" s="12">
        <v>1</v>
      </c>
      <c r="R112" s="9">
        <v>1</v>
      </c>
      <c r="S112" s="10">
        <v>1</v>
      </c>
      <c r="T112" s="49">
        <f t="shared" si="75"/>
        <v>3</v>
      </c>
      <c r="U112" s="11">
        <f t="shared" si="76"/>
        <v>6</v>
      </c>
      <c r="V112" s="98">
        <v>43763</v>
      </c>
      <c r="W112" s="66"/>
    </row>
    <row r="113" spans="1:23" x14ac:dyDescent="0.15">
      <c r="A113" s="24"/>
      <c r="B113" s="8"/>
      <c r="C113" s="9"/>
      <c r="D113" s="10"/>
      <c r="E113" s="49">
        <f t="shared" si="77"/>
        <v>0</v>
      </c>
      <c r="F113" s="12"/>
      <c r="G113" s="9"/>
      <c r="H113" s="10"/>
      <c r="I113" s="49">
        <f t="shared" si="78"/>
        <v>0</v>
      </c>
      <c r="J113" s="11">
        <f t="shared" si="79"/>
        <v>0</v>
      </c>
      <c r="K113" s="62"/>
      <c r="L113" s="26" t="s">
        <v>144</v>
      </c>
      <c r="M113" s="8">
        <v>1</v>
      </c>
      <c r="N113" s="9">
        <v>3</v>
      </c>
      <c r="O113" s="10"/>
      <c r="P113" s="49">
        <f t="shared" si="74"/>
        <v>4</v>
      </c>
      <c r="Q113" s="12">
        <v>1</v>
      </c>
      <c r="R113" s="9">
        <v>3</v>
      </c>
      <c r="S113" s="10"/>
      <c r="T113" s="49">
        <f t="shared" si="75"/>
        <v>4</v>
      </c>
      <c r="U113" s="11">
        <f t="shared" si="76"/>
        <v>8</v>
      </c>
      <c r="V113" s="98">
        <v>43764</v>
      </c>
      <c r="W113" s="66"/>
    </row>
    <row r="114" spans="1:23" x14ac:dyDescent="0.15">
      <c r="A114" s="25"/>
      <c r="B114" s="8"/>
      <c r="C114" s="9"/>
      <c r="D114" s="10"/>
      <c r="E114" s="49">
        <f t="shared" si="77"/>
        <v>0</v>
      </c>
      <c r="F114" s="12"/>
      <c r="G114" s="9"/>
      <c r="H114" s="10"/>
      <c r="I114" s="49">
        <f t="shared" si="78"/>
        <v>0</v>
      </c>
      <c r="J114" s="11">
        <f t="shared" si="79"/>
        <v>0</v>
      </c>
      <c r="K114" s="64"/>
      <c r="L114" s="26" t="s">
        <v>146</v>
      </c>
      <c r="M114" s="8">
        <v>2</v>
      </c>
      <c r="N114" s="9">
        <v>1</v>
      </c>
      <c r="O114" s="10">
        <v>2</v>
      </c>
      <c r="P114" s="49">
        <f t="shared" si="74"/>
        <v>5</v>
      </c>
      <c r="Q114" s="12">
        <v>2</v>
      </c>
      <c r="R114" s="9">
        <v>1</v>
      </c>
      <c r="S114" s="10">
        <v>2</v>
      </c>
      <c r="T114" s="49">
        <f t="shared" si="75"/>
        <v>5</v>
      </c>
      <c r="U114" s="11">
        <f t="shared" si="76"/>
        <v>10</v>
      </c>
      <c r="V114" s="98">
        <v>43767</v>
      </c>
      <c r="W114" s="66"/>
    </row>
    <row r="115" spans="1:23" x14ac:dyDescent="0.15">
      <c r="A115" s="26"/>
      <c r="B115" s="8"/>
      <c r="C115" s="9"/>
      <c r="D115" s="10"/>
      <c r="E115" s="49">
        <f t="shared" si="77"/>
        <v>0</v>
      </c>
      <c r="F115" s="12"/>
      <c r="G115" s="9"/>
      <c r="H115" s="10"/>
      <c r="I115" s="49">
        <f t="shared" si="78"/>
        <v>0</v>
      </c>
      <c r="J115" s="11">
        <f t="shared" si="79"/>
        <v>0</v>
      </c>
      <c r="K115" s="62"/>
      <c r="L115" s="24" t="s">
        <v>148</v>
      </c>
      <c r="M115" s="8">
        <v>3</v>
      </c>
      <c r="N115" s="9"/>
      <c r="O115" s="10"/>
      <c r="P115" s="49">
        <f t="shared" si="74"/>
        <v>3</v>
      </c>
      <c r="Q115" s="12">
        <v>3</v>
      </c>
      <c r="R115" s="9"/>
      <c r="S115" s="10"/>
      <c r="T115" s="49">
        <f t="shared" si="75"/>
        <v>3</v>
      </c>
      <c r="U115" s="11">
        <f t="shared" si="76"/>
        <v>6</v>
      </c>
      <c r="V115" s="98">
        <v>43767</v>
      </c>
    </row>
    <row r="116" spans="1:23" x14ac:dyDescent="0.15">
      <c r="A116" s="24"/>
      <c r="B116" s="8"/>
      <c r="C116" s="9"/>
      <c r="D116" s="10"/>
      <c r="E116" s="49">
        <f t="shared" si="77"/>
        <v>0</v>
      </c>
      <c r="F116" s="12"/>
      <c r="G116" s="9"/>
      <c r="H116" s="10"/>
      <c r="I116" s="49">
        <f t="shared" si="78"/>
        <v>0</v>
      </c>
      <c r="J116" s="11">
        <f t="shared" si="79"/>
        <v>0</v>
      </c>
      <c r="K116" s="62"/>
      <c r="L116" s="26" t="s">
        <v>150</v>
      </c>
      <c r="M116" s="8">
        <v>1</v>
      </c>
      <c r="N116" s="9">
        <v>3</v>
      </c>
      <c r="O116" s="10"/>
      <c r="P116" s="49">
        <f t="shared" si="74"/>
        <v>4</v>
      </c>
      <c r="Q116" s="12">
        <v>1</v>
      </c>
      <c r="R116" s="9">
        <v>3</v>
      </c>
      <c r="S116" s="10"/>
      <c r="T116" s="49">
        <f t="shared" si="75"/>
        <v>4</v>
      </c>
      <c r="U116" s="11">
        <f t="shared" si="76"/>
        <v>8</v>
      </c>
      <c r="V116" s="98">
        <v>43768</v>
      </c>
    </row>
    <row r="117" spans="1:23" x14ac:dyDescent="0.15">
      <c r="B117" s="13"/>
      <c r="C117" s="14"/>
      <c r="D117" s="15"/>
      <c r="E117" s="49">
        <f t="shared" si="77"/>
        <v>0</v>
      </c>
      <c r="F117" s="16"/>
      <c r="G117" s="14"/>
      <c r="H117" s="15"/>
      <c r="I117" s="49">
        <f t="shared" si="78"/>
        <v>0</v>
      </c>
      <c r="J117" s="11">
        <f t="shared" si="79"/>
        <v>0</v>
      </c>
      <c r="K117" s="65"/>
      <c r="L117" s="26"/>
      <c r="M117" s="13"/>
      <c r="N117" s="14"/>
      <c r="O117" s="15"/>
      <c r="P117" s="49">
        <f t="shared" si="74"/>
        <v>0</v>
      </c>
      <c r="Q117" s="16"/>
      <c r="R117" s="14"/>
      <c r="S117" s="15"/>
      <c r="T117" s="49">
        <f t="shared" si="75"/>
        <v>0</v>
      </c>
      <c r="U117" s="11">
        <f t="shared" si="76"/>
        <v>0</v>
      </c>
      <c r="V117" s="100"/>
    </row>
    <row r="118" spans="1:23" x14ac:dyDescent="0.15">
      <c r="A118" s="26"/>
      <c r="B118" s="8"/>
      <c r="C118" s="9"/>
      <c r="D118" s="10"/>
      <c r="E118" s="49">
        <f t="shared" si="77"/>
        <v>0</v>
      </c>
      <c r="F118" s="12"/>
      <c r="G118" s="9"/>
      <c r="H118" s="10"/>
      <c r="I118" s="49">
        <f t="shared" si="78"/>
        <v>0</v>
      </c>
      <c r="J118" s="11">
        <f t="shared" si="79"/>
        <v>0</v>
      </c>
      <c r="K118" s="62"/>
      <c r="L118" s="26" t="s">
        <v>160</v>
      </c>
      <c r="M118" s="13"/>
      <c r="N118" s="14"/>
      <c r="O118" s="15"/>
      <c r="P118" s="49">
        <f t="shared" ref="P118:P120" si="80">SUM(M118:O118)</f>
        <v>0</v>
      </c>
      <c r="Q118" s="16"/>
      <c r="R118" s="14"/>
      <c r="S118" s="15"/>
      <c r="T118" s="49">
        <f t="shared" ref="T118:T120" si="81">SUM(Q118:S118)</f>
        <v>0</v>
      </c>
      <c r="U118" s="11">
        <f t="shared" ref="U118:U121" si="82">P118+T118</f>
        <v>0</v>
      </c>
      <c r="V118" s="100" t="s">
        <v>161</v>
      </c>
    </row>
    <row r="119" spans="1:23" x14ac:dyDescent="0.15">
      <c r="A119" s="26"/>
      <c r="B119" s="8"/>
      <c r="C119" s="9"/>
      <c r="D119" s="10"/>
      <c r="E119" s="49">
        <f t="shared" si="77"/>
        <v>0</v>
      </c>
      <c r="F119" s="12"/>
      <c r="G119" s="9"/>
      <c r="H119" s="10"/>
      <c r="I119" s="49">
        <f t="shared" si="78"/>
        <v>0</v>
      </c>
      <c r="J119" s="11">
        <f t="shared" si="79"/>
        <v>0</v>
      </c>
      <c r="K119" s="62"/>
      <c r="L119" s="26" t="s">
        <v>106</v>
      </c>
      <c r="M119" s="8"/>
      <c r="N119" s="9"/>
      <c r="O119" s="10"/>
      <c r="P119" s="49">
        <f t="shared" si="80"/>
        <v>0</v>
      </c>
      <c r="Q119" s="12"/>
      <c r="R119" s="9"/>
      <c r="S119" s="10"/>
      <c r="T119" s="49">
        <f t="shared" si="81"/>
        <v>0</v>
      </c>
      <c r="U119" s="11">
        <f t="shared" si="82"/>
        <v>0</v>
      </c>
      <c r="V119" s="100" t="s">
        <v>107</v>
      </c>
    </row>
    <row r="120" spans="1:23" x14ac:dyDescent="0.15">
      <c r="A120" s="26"/>
      <c r="B120" s="8"/>
      <c r="C120" s="9"/>
      <c r="D120" s="10"/>
      <c r="E120" s="49">
        <f t="shared" si="77"/>
        <v>0</v>
      </c>
      <c r="F120" s="12"/>
      <c r="G120" s="9"/>
      <c r="H120" s="10"/>
      <c r="I120" s="49">
        <f t="shared" si="78"/>
        <v>0</v>
      </c>
      <c r="J120" s="11">
        <f t="shared" si="79"/>
        <v>0</v>
      </c>
      <c r="K120" s="62"/>
      <c r="L120" s="26" t="s">
        <v>97</v>
      </c>
      <c r="M120" s="8"/>
      <c r="N120" s="9"/>
      <c r="O120" s="10"/>
      <c r="P120" s="49">
        <f t="shared" si="80"/>
        <v>0</v>
      </c>
      <c r="Q120" s="12"/>
      <c r="R120" s="9"/>
      <c r="S120" s="10"/>
      <c r="T120" s="49">
        <f t="shared" si="81"/>
        <v>0</v>
      </c>
      <c r="U120" s="11">
        <f t="shared" si="82"/>
        <v>0</v>
      </c>
      <c r="V120" s="100" t="s">
        <v>119</v>
      </c>
    </row>
    <row r="121" spans="1:23" ht="14.25" thickBot="1" x14ac:dyDescent="0.2">
      <c r="A121" s="23"/>
      <c r="B121" s="13"/>
      <c r="C121" s="14"/>
      <c r="D121" s="15"/>
      <c r="E121" s="49">
        <f>SUM(B121:D121)</f>
        <v>0</v>
      </c>
      <c r="F121" s="16"/>
      <c r="G121" s="14"/>
      <c r="H121" s="15"/>
      <c r="I121" s="49">
        <f>SUM(F121:H121)</f>
        <v>0</v>
      </c>
      <c r="J121" s="11">
        <f>E121+I121</f>
        <v>0</v>
      </c>
      <c r="K121" s="62"/>
      <c r="L121" s="26" t="s">
        <v>120</v>
      </c>
      <c r="M121" s="8"/>
      <c r="N121" s="9"/>
      <c r="O121" s="10"/>
      <c r="P121" s="49">
        <f t="shared" si="74"/>
        <v>0</v>
      </c>
      <c r="Q121" s="12"/>
      <c r="R121" s="9"/>
      <c r="S121" s="10"/>
      <c r="T121" s="49">
        <f t="shared" si="75"/>
        <v>0</v>
      </c>
      <c r="U121" s="11">
        <f t="shared" si="82"/>
        <v>0</v>
      </c>
      <c r="V121" s="100" t="s">
        <v>121</v>
      </c>
    </row>
    <row r="122" spans="1:23" ht="14.25" thickBot="1" x14ac:dyDescent="0.2">
      <c r="A122" s="41" t="s">
        <v>17</v>
      </c>
      <c r="B122" s="46">
        <f>SUM(B96:B121)</f>
        <v>1</v>
      </c>
      <c r="C122" s="47">
        <f t="shared" ref="C122:D122" si="83">SUM(C96:C121)</f>
        <v>1</v>
      </c>
      <c r="D122" s="58">
        <f t="shared" si="83"/>
        <v>0</v>
      </c>
      <c r="E122" s="45">
        <f t="shared" ref="E122" si="84">SUM(B122:D122)</f>
        <v>2</v>
      </c>
      <c r="F122" s="46">
        <f>SUM(F96:F121)</f>
        <v>1</v>
      </c>
      <c r="G122" s="47">
        <f t="shared" ref="G122:H122" si="85">SUM(G96:G121)</f>
        <v>1</v>
      </c>
      <c r="H122" s="58">
        <f t="shared" si="85"/>
        <v>0</v>
      </c>
      <c r="I122" s="45">
        <f t="shared" ref="I122" si="86">SUM(F122:H122)</f>
        <v>2</v>
      </c>
      <c r="J122" s="45">
        <f>E122+I122</f>
        <v>4</v>
      </c>
      <c r="K122" s="40"/>
      <c r="L122" s="41" t="s">
        <v>17</v>
      </c>
      <c r="M122" s="46">
        <f>SUM(M96:M121)</f>
        <v>49</v>
      </c>
      <c r="N122" s="47">
        <f t="shared" ref="N122:O122" si="87">SUM(N96:N121)</f>
        <v>57</v>
      </c>
      <c r="O122" s="58">
        <f t="shared" si="87"/>
        <v>26</v>
      </c>
      <c r="P122" s="45">
        <f t="shared" si="74"/>
        <v>132</v>
      </c>
      <c r="Q122" s="46">
        <f>SUM(Q96:Q121)</f>
        <v>49</v>
      </c>
      <c r="R122" s="47">
        <f t="shared" ref="R122:S122" si="88">SUM(R96:R121)</f>
        <v>57</v>
      </c>
      <c r="S122" s="58">
        <f t="shared" si="88"/>
        <v>26</v>
      </c>
      <c r="T122" s="45">
        <f t="shared" si="75"/>
        <v>132</v>
      </c>
      <c r="U122" s="45">
        <f>P122+T122</f>
        <v>264</v>
      </c>
    </row>
    <row r="123" spans="1:23" ht="14.25" thickBot="1" x14ac:dyDescent="0.2">
      <c r="A123" s="22" t="s">
        <v>16</v>
      </c>
      <c r="B123" s="50">
        <f>B95-B122</f>
        <v>3</v>
      </c>
      <c r="C123" s="56">
        <f t="shared" ref="C123:D123" si="89">C95-C122</f>
        <v>2</v>
      </c>
      <c r="D123" s="57">
        <f t="shared" si="89"/>
        <v>1</v>
      </c>
      <c r="E123" s="55">
        <f>SUM(B123:D123)</f>
        <v>6</v>
      </c>
      <c r="F123" s="50">
        <f>F95-F122</f>
        <v>3</v>
      </c>
      <c r="G123" s="56">
        <f t="shared" ref="G123:H123" si="90">G95-G122</f>
        <v>2</v>
      </c>
      <c r="H123" s="57">
        <f t="shared" si="90"/>
        <v>1</v>
      </c>
      <c r="I123" s="55">
        <f>SUM(F123:H123)</f>
        <v>6</v>
      </c>
      <c r="J123" s="31">
        <f>E123+I123</f>
        <v>12</v>
      </c>
      <c r="L123" s="22" t="s">
        <v>16</v>
      </c>
      <c r="M123" s="50">
        <f>M95-M122</f>
        <v>122</v>
      </c>
      <c r="N123" s="56">
        <f t="shared" ref="N123:O123" si="91">N95-N122</f>
        <v>181</v>
      </c>
      <c r="O123" s="57">
        <f t="shared" si="91"/>
        <v>178</v>
      </c>
      <c r="P123" s="55">
        <f>SUM(M123:O123)</f>
        <v>481</v>
      </c>
      <c r="Q123" s="50">
        <f>Q95-Q122</f>
        <v>122</v>
      </c>
      <c r="R123" s="56">
        <f t="shared" ref="R123:S123" si="92">R95-R122</f>
        <v>181</v>
      </c>
      <c r="S123" s="57">
        <f t="shared" si="92"/>
        <v>178</v>
      </c>
      <c r="T123" s="55">
        <f>SUM(Q123:S123)</f>
        <v>481</v>
      </c>
      <c r="U123" s="31">
        <f>P123+T123</f>
        <v>962</v>
      </c>
    </row>
    <row r="124" spans="1:23" ht="19.5" thickBot="1" x14ac:dyDescent="0.25">
      <c r="A124" s="3" t="s">
        <v>18</v>
      </c>
      <c r="B124" s="1"/>
      <c r="C124" s="1"/>
      <c r="D124" s="1"/>
      <c r="E124" s="1"/>
      <c r="F124" s="1"/>
      <c r="G124" s="1"/>
      <c r="H124" s="1"/>
      <c r="I124" s="1"/>
      <c r="J124" s="1"/>
      <c r="L124" s="3" t="s">
        <v>19</v>
      </c>
      <c r="M124" s="1"/>
      <c r="N124" s="1"/>
      <c r="O124" s="1"/>
      <c r="P124" s="1"/>
      <c r="Q124" s="1"/>
      <c r="R124" s="1"/>
      <c r="S124" s="1"/>
      <c r="T124" s="1"/>
      <c r="U124" s="1"/>
    </row>
    <row r="125" spans="1:23" ht="14.25" thickBot="1" x14ac:dyDescent="0.2">
      <c r="A125" s="7"/>
      <c r="B125" s="176" t="s">
        <v>22</v>
      </c>
      <c r="C125" s="177"/>
      <c r="D125" s="177"/>
      <c r="E125" s="178"/>
      <c r="F125" s="176" t="s">
        <v>23</v>
      </c>
      <c r="G125" s="177"/>
      <c r="H125" s="177"/>
      <c r="I125" s="179"/>
      <c r="J125" s="174" t="s">
        <v>0</v>
      </c>
      <c r="L125" s="7"/>
      <c r="M125" s="169" t="s">
        <v>22</v>
      </c>
      <c r="N125" s="170"/>
      <c r="O125" s="170"/>
      <c r="P125" s="171"/>
      <c r="Q125" s="169" t="s">
        <v>23</v>
      </c>
      <c r="R125" s="170"/>
      <c r="S125" s="170"/>
      <c r="T125" s="171"/>
      <c r="U125" s="174" t="s">
        <v>0</v>
      </c>
    </row>
    <row r="126" spans="1:23" ht="14.25" thickBot="1" x14ac:dyDescent="0.2">
      <c r="A126" s="7" t="s">
        <v>1</v>
      </c>
      <c r="B126" s="4" t="s">
        <v>2</v>
      </c>
      <c r="C126" s="5" t="s">
        <v>3</v>
      </c>
      <c r="D126" s="6" t="s">
        <v>4</v>
      </c>
      <c r="E126" s="7" t="s">
        <v>5</v>
      </c>
      <c r="F126" s="4" t="s">
        <v>2</v>
      </c>
      <c r="G126" s="5" t="s">
        <v>3</v>
      </c>
      <c r="H126" s="6" t="s">
        <v>4</v>
      </c>
      <c r="I126" s="7" t="s">
        <v>5</v>
      </c>
      <c r="J126" s="175"/>
      <c r="L126" s="7" t="s">
        <v>1</v>
      </c>
      <c r="M126" s="4" t="s">
        <v>2</v>
      </c>
      <c r="N126" s="5" t="s">
        <v>3</v>
      </c>
      <c r="O126" s="6" t="s">
        <v>4</v>
      </c>
      <c r="P126" s="7" t="s">
        <v>5</v>
      </c>
      <c r="Q126" s="4" t="s">
        <v>2</v>
      </c>
      <c r="R126" s="5" t="s">
        <v>3</v>
      </c>
      <c r="S126" s="6" t="s">
        <v>4</v>
      </c>
      <c r="T126" s="7" t="s">
        <v>5</v>
      </c>
      <c r="U126" s="175"/>
    </row>
    <row r="127" spans="1:23" ht="14.25" thickBot="1" x14ac:dyDescent="0.2">
      <c r="A127" s="27" t="s">
        <v>16</v>
      </c>
      <c r="B127" s="38">
        <f>B123</f>
        <v>3</v>
      </c>
      <c r="C127" s="39">
        <f>C123</f>
        <v>2</v>
      </c>
      <c r="D127" s="2">
        <f>D123</f>
        <v>1</v>
      </c>
      <c r="E127" s="36">
        <f>SUM(B127:D127)</f>
        <v>6</v>
      </c>
      <c r="F127" s="38">
        <f>F123</f>
        <v>3</v>
      </c>
      <c r="G127" s="39">
        <f>G123</f>
        <v>2</v>
      </c>
      <c r="H127" s="2">
        <f>H123</f>
        <v>1</v>
      </c>
      <c r="I127" s="36">
        <f>SUM(F127:H127)</f>
        <v>6</v>
      </c>
      <c r="J127" s="36">
        <f>E127+I127</f>
        <v>12</v>
      </c>
      <c r="K127" s="63"/>
      <c r="L127" s="68" t="s">
        <v>16</v>
      </c>
      <c r="M127" s="42">
        <f>M123</f>
        <v>122</v>
      </c>
      <c r="N127" s="43">
        <f>N123</f>
        <v>181</v>
      </c>
      <c r="O127" s="60">
        <f>O123</f>
        <v>178</v>
      </c>
      <c r="P127" s="48">
        <f>SUM(M127:O127)</f>
        <v>481</v>
      </c>
      <c r="Q127" s="42">
        <f>Q123</f>
        <v>122</v>
      </c>
      <c r="R127" s="43">
        <f>R123</f>
        <v>181</v>
      </c>
      <c r="S127" s="60">
        <f>S123</f>
        <v>178</v>
      </c>
      <c r="T127" s="48">
        <f>SUM(Q127:S127)</f>
        <v>481</v>
      </c>
      <c r="U127" s="48">
        <f>P127+T127</f>
        <v>962</v>
      </c>
    </row>
    <row r="128" spans="1:23" x14ac:dyDescent="0.15">
      <c r="A128" s="25" t="s">
        <v>155</v>
      </c>
      <c r="B128" s="42"/>
      <c r="C128" s="43"/>
      <c r="D128" s="44">
        <v>1</v>
      </c>
      <c r="E128" s="48">
        <f>SUM(B128:D128)</f>
        <v>1</v>
      </c>
      <c r="F128" s="59"/>
      <c r="G128" s="43"/>
      <c r="H128" s="60">
        <v>1</v>
      </c>
      <c r="I128" s="48">
        <f>SUM(F128:H128)</f>
        <v>1</v>
      </c>
      <c r="J128" s="48">
        <f>E128+I128</f>
        <v>2</v>
      </c>
      <c r="K128" s="62">
        <v>43768</v>
      </c>
      <c r="L128" s="25" t="s">
        <v>7</v>
      </c>
      <c r="M128" s="73"/>
      <c r="N128" s="74"/>
      <c r="O128" s="75"/>
      <c r="P128" s="76">
        <f>SUM(M128:O128)</f>
        <v>0</v>
      </c>
      <c r="Q128" s="77"/>
      <c r="R128" s="74"/>
      <c r="S128" s="78"/>
      <c r="T128" s="76">
        <f>SUM(Q128:S128)</f>
        <v>0</v>
      </c>
      <c r="U128" s="48">
        <f>P128+T128</f>
        <v>0</v>
      </c>
    </row>
    <row r="129" spans="1:23" x14ac:dyDescent="0.15">
      <c r="A129" s="25" t="s">
        <v>187</v>
      </c>
      <c r="B129" s="8">
        <v>1</v>
      </c>
      <c r="C129" s="9">
        <v>2</v>
      </c>
      <c r="D129" s="52"/>
      <c r="E129" s="11">
        <f>SUM(B129:D129)</f>
        <v>3</v>
      </c>
      <c r="F129" s="12">
        <v>1</v>
      </c>
      <c r="G129" s="9">
        <v>2</v>
      </c>
      <c r="H129" s="10"/>
      <c r="I129" s="11">
        <f>SUM(F129:H129)</f>
        <v>3</v>
      </c>
      <c r="J129" s="11">
        <f>E129+I129</f>
        <v>6</v>
      </c>
      <c r="K129" s="62">
        <v>43785</v>
      </c>
      <c r="L129" s="25" t="s">
        <v>99</v>
      </c>
      <c r="M129" s="8">
        <v>100</v>
      </c>
      <c r="N129" s="9">
        <v>150</v>
      </c>
      <c r="O129" s="52">
        <v>50</v>
      </c>
      <c r="P129" s="11">
        <f>SUM(M129:O129)</f>
        <v>300</v>
      </c>
      <c r="Q129" s="8">
        <v>100</v>
      </c>
      <c r="R129" s="9">
        <v>150</v>
      </c>
      <c r="S129" s="52">
        <v>50</v>
      </c>
      <c r="T129" s="11">
        <f>SUM(Q129:S129)</f>
        <v>300</v>
      </c>
      <c r="U129" s="11">
        <f>P129+T129</f>
        <v>600</v>
      </c>
      <c r="V129" s="98" t="s">
        <v>170</v>
      </c>
    </row>
    <row r="130" spans="1:23" x14ac:dyDescent="0.15">
      <c r="A130" s="25"/>
      <c r="B130" s="17"/>
      <c r="C130" s="18"/>
      <c r="D130" s="51"/>
      <c r="E130" s="11">
        <f t="shared" ref="E130:E135" si="93">SUM(B130:D130)</f>
        <v>0</v>
      </c>
      <c r="F130" s="20"/>
      <c r="G130" s="18"/>
      <c r="H130" s="19"/>
      <c r="I130" s="11">
        <f t="shared" ref="I130:I135" si="94">SUM(F130:H130)</f>
        <v>0</v>
      </c>
      <c r="J130" s="11">
        <f t="shared" ref="J130:J135" si="95">E130+I130</f>
        <v>0</v>
      </c>
      <c r="K130" s="62"/>
      <c r="L130" s="25" t="s">
        <v>9</v>
      </c>
      <c r="M130" s="17"/>
      <c r="N130" s="18"/>
      <c r="O130" s="51"/>
      <c r="P130" s="11">
        <f t="shared" ref="P130:P135" si="96">SUM(M130:O130)</f>
        <v>0</v>
      </c>
      <c r="Q130" s="20"/>
      <c r="R130" s="18"/>
      <c r="S130" s="19"/>
      <c r="T130" s="11">
        <f t="shared" ref="T130:T135" si="97">SUM(Q130:S130)</f>
        <v>0</v>
      </c>
      <c r="U130" s="11">
        <f t="shared" ref="U130:U135" si="98">P130+T130</f>
        <v>0</v>
      </c>
    </row>
    <row r="131" spans="1:23" x14ac:dyDescent="0.15">
      <c r="A131" s="25"/>
      <c r="B131" s="8"/>
      <c r="C131" s="9"/>
      <c r="D131" s="52"/>
      <c r="E131" s="11">
        <f t="shared" si="93"/>
        <v>0</v>
      </c>
      <c r="F131" s="12"/>
      <c r="G131" s="9"/>
      <c r="H131" s="10"/>
      <c r="I131" s="11">
        <f t="shared" si="94"/>
        <v>0</v>
      </c>
      <c r="J131" s="11">
        <f t="shared" si="95"/>
        <v>0</v>
      </c>
      <c r="K131" s="62"/>
      <c r="L131" s="25" t="s">
        <v>10</v>
      </c>
      <c r="M131" s="8"/>
      <c r="N131" s="9"/>
      <c r="O131" s="52"/>
      <c r="P131" s="11">
        <f t="shared" si="96"/>
        <v>0</v>
      </c>
      <c r="Q131" s="12"/>
      <c r="R131" s="9"/>
      <c r="S131" s="10"/>
      <c r="T131" s="11">
        <f t="shared" si="97"/>
        <v>0</v>
      </c>
      <c r="U131" s="11">
        <f t="shared" si="98"/>
        <v>0</v>
      </c>
    </row>
    <row r="132" spans="1:23" x14ac:dyDescent="0.15">
      <c r="A132" s="25"/>
      <c r="B132" s="8"/>
      <c r="C132" s="9"/>
      <c r="D132" s="52"/>
      <c r="E132" s="11">
        <f t="shared" si="93"/>
        <v>0</v>
      </c>
      <c r="F132" s="12"/>
      <c r="G132" s="9"/>
      <c r="H132" s="10"/>
      <c r="I132" s="11">
        <f t="shared" si="94"/>
        <v>0</v>
      </c>
      <c r="J132" s="11">
        <f t="shared" si="95"/>
        <v>0</v>
      </c>
      <c r="K132" s="62"/>
      <c r="L132" s="25" t="s">
        <v>11</v>
      </c>
      <c r="M132" s="8"/>
      <c r="N132" s="9"/>
      <c r="O132" s="52"/>
      <c r="P132" s="11">
        <f t="shared" si="96"/>
        <v>0</v>
      </c>
      <c r="Q132" s="12"/>
      <c r="R132" s="9"/>
      <c r="S132" s="10"/>
      <c r="T132" s="11">
        <f t="shared" si="97"/>
        <v>0</v>
      </c>
      <c r="U132" s="11">
        <f t="shared" si="98"/>
        <v>0</v>
      </c>
    </row>
    <row r="133" spans="1:23" x14ac:dyDescent="0.15">
      <c r="A133" s="25"/>
      <c r="B133" s="8"/>
      <c r="C133" s="9"/>
      <c r="D133" s="52"/>
      <c r="E133" s="11">
        <f t="shared" si="93"/>
        <v>0</v>
      </c>
      <c r="F133" s="12"/>
      <c r="G133" s="9"/>
      <c r="H133" s="10"/>
      <c r="I133" s="11">
        <f t="shared" si="94"/>
        <v>0</v>
      </c>
      <c r="J133" s="11">
        <f t="shared" si="95"/>
        <v>0</v>
      </c>
      <c r="K133" s="62"/>
      <c r="L133" s="25" t="s">
        <v>12</v>
      </c>
      <c r="M133" s="17"/>
      <c r="N133" s="18"/>
      <c r="O133" s="51"/>
      <c r="P133" s="49">
        <f t="shared" si="96"/>
        <v>0</v>
      </c>
      <c r="Q133" s="17"/>
      <c r="R133" s="18"/>
      <c r="S133" s="51"/>
      <c r="T133" s="49">
        <f t="shared" si="97"/>
        <v>0</v>
      </c>
      <c r="U133" s="11">
        <f t="shared" si="98"/>
        <v>0</v>
      </c>
      <c r="V133" s="98"/>
    </row>
    <row r="134" spans="1:23" x14ac:dyDescent="0.15">
      <c r="A134" s="25"/>
      <c r="B134" s="13"/>
      <c r="C134" s="14"/>
      <c r="D134" s="53"/>
      <c r="E134" s="11">
        <f t="shared" si="93"/>
        <v>0</v>
      </c>
      <c r="F134" s="16"/>
      <c r="G134" s="14"/>
      <c r="H134" s="15"/>
      <c r="I134" s="11">
        <f t="shared" si="94"/>
        <v>0</v>
      </c>
      <c r="J134" s="11">
        <f t="shared" si="95"/>
        <v>0</v>
      </c>
      <c r="K134" s="64"/>
      <c r="L134" s="25" t="s">
        <v>13</v>
      </c>
      <c r="M134" s="13"/>
      <c r="N134" s="14"/>
      <c r="O134" s="53"/>
      <c r="P134" s="11">
        <f t="shared" si="96"/>
        <v>0</v>
      </c>
      <c r="Q134" s="16"/>
      <c r="R134" s="14"/>
      <c r="S134" s="15"/>
      <c r="T134" s="11">
        <f t="shared" si="97"/>
        <v>0</v>
      </c>
      <c r="U134" s="11">
        <f t="shared" si="98"/>
        <v>0</v>
      </c>
    </row>
    <row r="135" spans="1:23" ht="14.25" thickBot="1" x14ac:dyDescent="0.2">
      <c r="A135" s="25"/>
      <c r="B135" s="32"/>
      <c r="C135" s="33"/>
      <c r="D135" s="54"/>
      <c r="E135" s="61">
        <f t="shared" si="93"/>
        <v>0</v>
      </c>
      <c r="F135" s="34"/>
      <c r="G135" s="34"/>
      <c r="H135" s="37"/>
      <c r="I135" s="61">
        <f t="shared" si="94"/>
        <v>0</v>
      </c>
      <c r="J135" s="21">
        <f t="shared" si="95"/>
        <v>0</v>
      </c>
      <c r="K135" s="62"/>
      <c r="L135" s="25" t="s">
        <v>14</v>
      </c>
      <c r="M135" s="32"/>
      <c r="N135" s="33"/>
      <c r="O135" s="54"/>
      <c r="P135" s="61">
        <f t="shared" si="96"/>
        <v>0</v>
      </c>
      <c r="Q135" s="34"/>
      <c r="R135" s="34"/>
      <c r="S135" s="37"/>
      <c r="T135" s="61">
        <f t="shared" si="97"/>
        <v>0</v>
      </c>
      <c r="U135" s="21">
        <f t="shared" si="98"/>
        <v>0</v>
      </c>
    </row>
    <row r="136" spans="1:23" ht="14.25" thickBot="1" x14ac:dyDescent="0.2">
      <c r="A136" s="35" t="s">
        <v>15</v>
      </c>
      <c r="B136" s="28">
        <f>SUM(B127:B135)</f>
        <v>4</v>
      </c>
      <c r="C136" s="29">
        <f>SUM(C127:C135)</f>
        <v>4</v>
      </c>
      <c r="D136" s="30">
        <f>SUM(D127:D135)</f>
        <v>2</v>
      </c>
      <c r="E136" s="31">
        <f>SUM(B136:D136)</f>
        <v>10</v>
      </c>
      <c r="F136" s="28">
        <f>SUM(F127:F135)</f>
        <v>4</v>
      </c>
      <c r="G136" s="29">
        <f>SUM(G127:G135)</f>
        <v>4</v>
      </c>
      <c r="H136" s="30">
        <f>SUM(H127:H135)</f>
        <v>2</v>
      </c>
      <c r="I136" s="31">
        <f>SUM(F136:H136)</f>
        <v>10</v>
      </c>
      <c r="J136" s="31">
        <f>E136+I136</f>
        <v>20</v>
      </c>
      <c r="L136" s="35" t="s">
        <v>15</v>
      </c>
      <c r="M136" s="28">
        <f>SUM(M127:M135)</f>
        <v>222</v>
      </c>
      <c r="N136" s="29">
        <f>SUM(N127:N135)</f>
        <v>331</v>
      </c>
      <c r="O136" s="30">
        <f>SUM(O127:O135)</f>
        <v>228</v>
      </c>
      <c r="P136" s="31">
        <f>SUM(M136:O136)</f>
        <v>781</v>
      </c>
      <c r="Q136" s="28">
        <f>SUM(Q127:Q135)</f>
        <v>222</v>
      </c>
      <c r="R136" s="29">
        <f>SUM(R127:R135)</f>
        <v>331</v>
      </c>
      <c r="S136" s="30">
        <f>SUM(S127:S135)</f>
        <v>228</v>
      </c>
      <c r="T136" s="31">
        <f>SUM(Q136:S136)</f>
        <v>781</v>
      </c>
      <c r="U136" s="31">
        <f>P136+T136</f>
        <v>1562</v>
      </c>
    </row>
    <row r="137" spans="1:23" x14ac:dyDescent="0.15">
      <c r="A137" s="26" t="s">
        <v>189</v>
      </c>
      <c r="B137" s="13">
        <v>1</v>
      </c>
      <c r="C137" s="14"/>
      <c r="D137" s="15"/>
      <c r="E137" s="49">
        <f>SUM(B137:D137)</f>
        <v>1</v>
      </c>
      <c r="F137" s="16">
        <v>1</v>
      </c>
      <c r="G137" s="14"/>
      <c r="H137" s="15"/>
      <c r="I137" s="49">
        <f>SUM(F137:H137)</f>
        <v>1</v>
      </c>
      <c r="J137" s="11">
        <f>E137+I137</f>
        <v>2</v>
      </c>
      <c r="K137" s="62">
        <v>43774</v>
      </c>
      <c r="L137" s="26" t="s">
        <v>216</v>
      </c>
      <c r="M137" s="13">
        <v>40</v>
      </c>
      <c r="N137" s="14">
        <v>40</v>
      </c>
      <c r="O137" s="15">
        <v>40</v>
      </c>
      <c r="P137" s="49">
        <f>SUM(M137:O137)</f>
        <v>120</v>
      </c>
      <c r="Q137" s="16">
        <v>40</v>
      </c>
      <c r="R137" s="14">
        <v>40</v>
      </c>
      <c r="S137" s="15">
        <v>40</v>
      </c>
      <c r="T137" s="49">
        <f>SUM(Q137:S137)</f>
        <v>120</v>
      </c>
      <c r="U137" s="11">
        <f>P137+T137</f>
        <v>240</v>
      </c>
      <c r="V137" s="98">
        <v>43767</v>
      </c>
    </row>
    <row r="138" spans="1:23" x14ac:dyDescent="0.15">
      <c r="A138" s="26" t="s">
        <v>183</v>
      </c>
      <c r="B138" s="8"/>
      <c r="C138" s="9">
        <v>1</v>
      </c>
      <c r="D138" s="10"/>
      <c r="E138" s="49">
        <f t="shared" ref="E138:E139" si="99">SUM(B138:D138)</f>
        <v>1</v>
      </c>
      <c r="F138" s="12"/>
      <c r="G138" s="9">
        <v>1</v>
      </c>
      <c r="H138" s="10"/>
      <c r="I138" s="49">
        <f t="shared" ref="I138:I139" si="100">SUM(F138:H138)</f>
        <v>1</v>
      </c>
      <c r="J138" s="11">
        <f t="shared" ref="J138:J139" si="101">E138+I138</f>
        <v>2</v>
      </c>
      <c r="K138" s="62">
        <v>43783</v>
      </c>
      <c r="L138" s="26" t="s">
        <v>154</v>
      </c>
      <c r="M138" s="8"/>
      <c r="N138" s="9"/>
      <c r="O138" s="10">
        <v>1</v>
      </c>
      <c r="P138" s="49">
        <f t="shared" ref="P138" si="102">SUM(M138:O138)</f>
        <v>1</v>
      </c>
      <c r="Q138" s="12"/>
      <c r="R138" s="9"/>
      <c r="S138" s="10">
        <v>1</v>
      </c>
      <c r="T138" s="49">
        <f t="shared" ref="T138" si="103">SUM(Q138:S138)</f>
        <v>1</v>
      </c>
      <c r="U138" s="11">
        <f t="shared" ref="U138" si="104">P138+T138</f>
        <v>2</v>
      </c>
      <c r="V138" s="98">
        <v>43769</v>
      </c>
    </row>
    <row r="139" spans="1:23" x14ac:dyDescent="0.15">
      <c r="A139" s="26" t="s">
        <v>109</v>
      </c>
      <c r="B139" s="8">
        <v>1</v>
      </c>
      <c r="C139" s="9"/>
      <c r="D139" s="10"/>
      <c r="E139" s="49">
        <f t="shared" si="99"/>
        <v>1</v>
      </c>
      <c r="F139" s="12">
        <v>1</v>
      </c>
      <c r="G139" s="9"/>
      <c r="H139" s="10"/>
      <c r="I139" s="49">
        <f t="shared" si="100"/>
        <v>1</v>
      </c>
      <c r="J139" s="11">
        <f t="shared" si="101"/>
        <v>2</v>
      </c>
      <c r="K139" s="62">
        <v>43787</v>
      </c>
      <c r="L139" s="26" t="s">
        <v>156</v>
      </c>
      <c r="M139" s="13"/>
      <c r="N139" s="14">
        <v>2</v>
      </c>
      <c r="O139" s="15"/>
      <c r="P139" s="49">
        <f>SUM(M139:O139)</f>
        <v>2</v>
      </c>
      <c r="Q139" s="16"/>
      <c r="R139" s="14">
        <v>2</v>
      </c>
      <c r="S139" s="15"/>
      <c r="T139" s="49">
        <f>SUM(Q139:S139)</f>
        <v>2</v>
      </c>
      <c r="U139" s="11">
        <f>P139+T139</f>
        <v>4</v>
      </c>
      <c r="V139" s="98">
        <v>43770</v>
      </c>
    </row>
    <row r="140" spans="1:23" x14ac:dyDescent="0.15">
      <c r="A140" s="26" t="s">
        <v>109</v>
      </c>
      <c r="B140" s="13">
        <v>1</v>
      </c>
      <c r="C140" s="14"/>
      <c r="D140" s="15"/>
      <c r="E140" s="49">
        <f>SUM(B140:D140)</f>
        <v>1</v>
      </c>
      <c r="F140" s="16">
        <v>1</v>
      </c>
      <c r="G140" s="14"/>
      <c r="H140" s="15"/>
      <c r="I140" s="49">
        <f>SUM(F140:H140)</f>
        <v>1</v>
      </c>
      <c r="J140" s="11">
        <f>E140+I140</f>
        <v>2</v>
      </c>
      <c r="K140" s="62">
        <v>43788</v>
      </c>
      <c r="L140" s="26" t="s">
        <v>162</v>
      </c>
      <c r="M140" s="8">
        <v>2</v>
      </c>
      <c r="N140" s="9">
        <v>8</v>
      </c>
      <c r="O140" s="10"/>
      <c r="P140" s="49">
        <f t="shared" ref="P140:P163" si="105">SUM(M140:O140)</f>
        <v>10</v>
      </c>
      <c r="Q140" s="12">
        <v>2</v>
      </c>
      <c r="R140" s="9">
        <v>8</v>
      </c>
      <c r="S140" s="10"/>
      <c r="T140" s="49">
        <f t="shared" ref="T140:T163" si="106">SUM(Q140:S140)</f>
        <v>10</v>
      </c>
      <c r="U140" s="11">
        <f t="shared" ref="U140:U162" si="107">P140+T140</f>
        <v>20</v>
      </c>
      <c r="V140" s="98">
        <v>43771</v>
      </c>
    </row>
    <row r="141" spans="1:23" x14ac:dyDescent="0.15">
      <c r="A141" s="26"/>
      <c r="B141" s="8"/>
      <c r="C141" s="9"/>
      <c r="D141" s="10"/>
      <c r="E141" s="49">
        <f t="shared" ref="E141:E161" si="108">SUM(B141:D141)</f>
        <v>0</v>
      </c>
      <c r="F141" s="12"/>
      <c r="G141" s="9"/>
      <c r="H141" s="10"/>
      <c r="I141" s="49">
        <f t="shared" ref="I141:I161" si="109">SUM(F141:H141)</f>
        <v>0</v>
      </c>
      <c r="J141" s="11">
        <f t="shared" ref="J141:J161" si="110">E141+I141</f>
        <v>0</v>
      </c>
      <c r="K141" s="62"/>
      <c r="L141" s="26" t="s">
        <v>164</v>
      </c>
      <c r="M141" s="8">
        <v>1</v>
      </c>
      <c r="N141" s="9">
        <v>3</v>
      </c>
      <c r="O141" s="10"/>
      <c r="P141" s="49">
        <f t="shared" si="105"/>
        <v>4</v>
      </c>
      <c r="Q141" s="12">
        <v>1</v>
      </c>
      <c r="R141" s="9">
        <v>3</v>
      </c>
      <c r="S141" s="10"/>
      <c r="T141" s="49">
        <f t="shared" si="106"/>
        <v>4</v>
      </c>
      <c r="U141" s="11">
        <f t="shared" si="107"/>
        <v>8</v>
      </c>
      <c r="V141" s="98">
        <v>43773</v>
      </c>
    </row>
    <row r="142" spans="1:23" x14ac:dyDescent="0.15">
      <c r="A142" s="26"/>
      <c r="B142" s="8"/>
      <c r="C142" s="9"/>
      <c r="D142" s="10"/>
      <c r="E142" s="49">
        <f t="shared" si="108"/>
        <v>0</v>
      </c>
      <c r="F142" s="12"/>
      <c r="G142" s="9"/>
      <c r="H142" s="10"/>
      <c r="I142" s="49">
        <f t="shared" si="109"/>
        <v>0</v>
      </c>
      <c r="J142" s="11">
        <f t="shared" si="110"/>
        <v>0</v>
      </c>
      <c r="K142" s="62"/>
      <c r="L142" s="26" t="s">
        <v>166</v>
      </c>
      <c r="M142" s="8">
        <v>7</v>
      </c>
      <c r="N142" s="9"/>
      <c r="O142" s="10"/>
      <c r="P142" s="49">
        <f t="shared" si="105"/>
        <v>7</v>
      </c>
      <c r="Q142" s="12">
        <v>7</v>
      </c>
      <c r="R142" s="9"/>
      <c r="S142" s="10"/>
      <c r="T142" s="49">
        <f t="shared" si="106"/>
        <v>7</v>
      </c>
      <c r="U142" s="11">
        <f t="shared" si="107"/>
        <v>14</v>
      </c>
      <c r="V142" s="98">
        <v>43775</v>
      </c>
    </row>
    <row r="143" spans="1:23" x14ac:dyDescent="0.15">
      <c r="A143" s="26"/>
      <c r="B143" s="8"/>
      <c r="C143" s="9"/>
      <c r="D143" s="10"/>
      <c r="E143" s="49">
        <f t="shared" si="108"/>
        <v>0</v>
      </c>
      <c r="F143" s="12"/>
      <c r="G143" s="9"/>
      <c r="H143" s="10"/>
      <c r="I143" s="49">
        <f t="shared" si="109"/>
        <v>0</v>
      </c>
      <c r="J143" s="11">
        <f t="shared" si="110"/>
        <v>0</v>
      </c>
      <c r="K143" s="62"/>
      <c r="L143" s="26" t="s">
        <v>168</v>
      </c>
      <c r="M143" s="8">
        <v>3</v>
      </c>
      <c r="N143" s="9">
        <v>5</v>
      </c>
      <c r="O143" s="10">
        <v>10</v>
      </c>
      <c r="P143" s="49">
        <f t="shared" si="105"/>
        <v>18</v>
      </c>
      <c r="Q143" s="12">
        <v>3</v>
      </c>
      <c r="R143" s="9">
        <v>5</v>
      </c>
      <c r="S143" s="10">
        <v>10</v>
      </c>
      <c r="T143" s="49">
        <f t="shared" si="106"/>
        <v>18</v>
      </c>
      <c r="U143" s="11">
        <f t="shared" si="107"/>
        <v>36</v>
      </c>
      <c r="V143" s="98">
        <v>43776</v>
      </c>
      <c r="W143" s="66"/>
    </row>
    <row r="144" spans="1:23" x14ac:dyDescent="0.15">
      <c r="A144" s="26"/>
      <c r="B144" s="8"/>
      <c r="C144" s="9"/>
      <c r="D144" s="10"/>
      <c r="E144" s="49">
        <f t="shared" si="108"/>
        <v>0</v>
      </c>
      <c r="F144" s="12"/>
      <c r="G144" s="9"/>
      <c r="H144" s="10"/>
      <c r="I144" s="49">
        <f t="shared" si="109"/>
        <v>0</v>
      </c>
      <c r="J144" s="11">
        <f t="shared" si="110"/>
        <v>0</v>
      </c>
      <c r="K144" s="62"/>
      <c r="L144" s="26" t="s">
        <v>171</v>
      </c>
      <c r="M144" s="8">
        <v>8</v>
      </c>
      <c r="N144" s="9">
        <v>9</v>
      </c>
      <c r="O144" s="10">
        <v>2</v>
      </c>
      <c r="P144" s="49">
        <f t="shared" si="105"/>
        <v>19</v>
      </c>
      <c r="Q144" s="12">
        <v>8</v>
      </c>
      <c r="R144" s="9">
        <v>9</v>
      </c>
      <c r="S144" s="10">
        <v>2</v>
      </c>
      <c r="T144" s="49">
        <f t="shared" si="106"/>
        <v>19</v>
      </c>
      <c r="U144" s="11">
        <f t="shared" si="107"/>
        <v>38</v>
      </c>
      <c r="V144" s="98">
        <v>43777</v>
      </c>
    </row>
    <row r="145" spans="1:23" x14ac:dyDescent="0.15">
      <c r="A145" s="26"/>
      <c r="B145" s="8"/>
      <c r="C145" s="9"/>
      <c r="D145" s="10"/>
      <c r="E145" s="49">
        <f t="shared" si="108"/>
        <v>0</v>
      </c>
      <c r="F145" s="12"/>
      <c r="G145" s="9"/>
      <c r="H145" s="10"/>
      <c r="I145" s="49">
        <f t="shared" si="109"/>
        <v>0</v>
      </c>
      <c r="J145" s="11">
        <f t="shared" si="110"/>
        <v>0</v>
      </c>
      <c r="K145" s="62"/>
      <c r="L145" s="26" t="s">
        <v>172</v>
      </c>
      <c r="M145" s="8">
        <v>2</v>
      </c>
      <c r="N145" s="9">
        <v>1</v>
      </c>
      <c r="O145" s="10">
        <v>3</v>
      </c>
      <c r="P145" s="49">
        <f t="shared" si="105"/>
        <v>6</v>
      </c>
      <c r="Q145" s="12">
        <v>2</v>
      </c>
      <c r="R145" s="9">
        <v>1</v>
      </c>
      <c r="S145" s="10">
        <v>3</v>
      </c>
      <c r="T145" s="49">
        <f t="shared" si="106"/>
        <v>6</v>
      </c>
      <c r="U145" s="11">
        <f t="shared" si="107"/>
        <v>12</v>
      </c>
      <c r="V145" s="98">
        <v>43778</v>
      </c>
    </row>
    <row r="146" spans="1:23" x14ac:dyDescent="0.15">
      <c r="A146" s="26"/>
      <c r="B146" s="13"/>
      <c r="C146" s="14"/>
      <c r="D146" s="15"/>
      <c r="E146" s="49">
        <f t="shared" si="108"/>
        <v>0</v>
      </c>
      <c r="F146" s="16"/>
      <c r="G146" s="14"/>
      <c r="H146" s="15"/>
      <c r="I146" s="49">
        <f t="shared" si="109"/>
        <v>0</v>
      </c>
      <c r="J146" s="11">
        <f t="shared" si="110"/>
        <v>0</v>
      </c>
      <c r="K146" s="62"/>
      <c r="L146" s="26" t="s">
        <v>175</v>
      </c>
      <c r="M146" s="13">
        <v>9</v>
      </c>
      <c r="N146" s="14">
        <v>4</v>
      </c>
      <c r="O146" s="15">
        <v>4</v>
      </c>
      <c r="P146" s="49">
        <f t="shared" si="105"/>
        <v>17</v>
      </c>
      <c r="Q146" s="16">
        <v>9</v>
      </c>
      <c r="R146" s="14">
        <v>4</v>
      </c>
      <c r="S146" s="15">
        <v>4</v>
      </c>
      <c r="T146" s="49">
        <f t="shared" si="106"/>
        <v>17</v>
      </c>
      <c r="U146" s="11">
        <f t="shared" si="107"/>
        <v>34</v>
      </c>
      <c r="V146" s="98">
        <v>43781</v>
      </c>
    </row>
    <row r="147" spans="1:23" x14ac:dyDescent="0.15">
      <c r="A147" s="26"/>
      <c r="B147" s="8"/>
      <c r="C147" s="9"/>
      <c r="D147" s="10"/>
      <c r="E147" s="49">
        <f t="shared" si="108"/>
        <v>0</v>
      </c>
      <c r="F147" s="12"/>
      <c r="G147" s="9"/>
      <c r="H147" s="10"/>
      <c r="I147" s="49">
        <f t="shared" si="109"/>
        <v>0</v>
      </c>
      <c r="J147" s="11">
        <f t="shared" si="110"/>
        <v>0</v>
      </c>
      <c r="K147" s="62"/>
      <c r="L147" s="26" t="s">
        <v>177</v>
      </c>
      <c r="M147" s="8">
        <v>20</v>
      </c>
      <c r="N147" s="9">
        <v>10</v>
      </c>
      <c r="O147" s="10"/>
      <c r="P147" s="49">
        <f t="shared" si="105"/>
        <v>30</v>
      </c>
      <c r="Q147" s="12">
        <v>20</v>
      </c>
      <c r="R147" s="9">
        <v>10</v>
      </c>
      <c r="S147" s="10"/>
      <c r="T147" s="49">
        <f t="shared" si="106"/>
        <v>30</v>
      </c>
      <c r="U147" s="11">
        <f t="shared" si="107"/>
        <v>60</v>
      </c>
      <c r="V147" s="98">
        <v>43782</v>
      </c>
    </row>
    <row r="148" spans="1:23" x14ac:dyDescent="0.15">
      <c r="A148" s="26"/>
      <c r="B148" s="8"/>
      <c r="C148" s="9"/>
      <c r="D148" s="10"/>
      <c r="E148" s="49">
        <f t="shared" si="108"/>
        <v>0</v>
      </c>
      <c r="F148" s="12"/>
      <c r="G148" s="9"/>
      <c r="H148" s="10"/>
      <c r="I148" s="49">
        <f t="shared" si="109"/>
        <v>0</v>
      </c>
      <c r="J148" s="11">
        <f t="shared" si="110"/>
        <v>0</v>
      </c>
      <c r="K148" s="62"/>
      <c r="L148" s="26" t="s">
        <v>179</v>
      </c>
      <c r="M148" s="8">
        <v>3</v>
      </c>
      <c r="N148" s="9">
        <v>3</v>
      </c>
      <c r="O148" s="10">
        <v>1</v>
      </c>
      <c r="P148" s="49">
        <f t="shared" si="105"/>
        <v>7</v>
      </c>
      <c r="Q148" s="12">
        <v>3</v>
      </c>
      <c r="R148" s="9">
        <v>3</v>
      </c>
      <c r="S148" s="10">
        <v>1</v>
      </c>
      <c r="T148" s="49">
        <f t="shared" si="106"/>
        <v>7</v>
      </c>
      <c r="U148" s="11">
        <f t="shared" si="107"/>
        <v>14</v>
      </c>
      <c r="V148" s="98">
        <v>43782</v>
      </c>
    </row>
    <row r="149" spans="1:23" x14ac:dyDescent="0.15">
      <c r="A149" s="26"/>
      <c r="B149" s="8"/>
      <c r="C149" s="9"/>
      <c r="D149" s="10"/>
      <c r="E149" s="49">
        <f t="shared" si="108"/>
        <v>0</v>
      </c>
      <c r="F149" s="12"/>
      <c r="G149" s="9"/>
      <c r="H149" s="10"/>
      <c r="I149" s="49">
        <f t="shared" si="109"/>
        <v>0</v>
      </c>
      <c r="J149" s="11">
        <f t="shared" si="110"/>
        <v>0</v>
      </c>
      <c r="K149" s="62"/>
      <c r="L149" s="26" t="s">
        <v>181</v>
      </c>
      <c r="M149" s="8">
        <v>6</v>
      </c>
      <c r="N149" s="9">
        <v>1</v>
      </c>
      <c r="O149" s="10">
        <v>3</v>
      </c>
      <c r="P149" s="49">
        <f t="shared" si="105"/>
        <v>10</v>
      </c>
      <c r="Q149" s="12">
        <v>6</v>
      </c>
      <c r="R149" s="9">
        <v>1</v>
      </c>
      <c r="S149" s="10">
        <v>3</v>
      </c>
      <c r="T149" s="49">
        <f t="shared" si="106"/>
        <v>10</v>
      </c>
      <c r="U149" s="11">
        <f t="shared" si="107"/>
        <v>20</v>
      </c>
      <c r="V149" s="98">
        <v>43783</v>
      </c>
    </row>
    <row r="150" spans="1:23" x14ac:dyDescent="0.15">
      <c r="A150" s="26"/>
      <c r="B150" s="8"/>
      <c r="C150" s="9"/>
      <c r="D150" s="10"/>
      <c r="E150" s="49">
        <f t="shared" si="108"/>
        <v>0</v>
      </c>
      <c r="F150" s="12"/>
      <c r="G150" s="9"/>
      <c r="H150" s="10"/>
      <c r="I150" s="49">
        <f t="shared" si="109"/>
        <v>0</v>
      </c>
      <c r="J150" s="11">
        <f t="shared" si="110"/>
        <v>0</v>
      </c>
      <c r="K150" s="62"/>
      <c r="L150" s="26" t="s">
        <v>185</v>
      </c>
      <c r="M150" s="8">
        <v>8</v>
      </c>
      <c r="N150" s="9">
        <v>8</v>
      </c>
      <c r="O150" s="10">
        <v>3</v>
      </c>
      <c r="P150" s="49">
        <f t="shared" si="105"/>
        <v>19</v>
      </c>
      <c r="Q150" s="12">
        <v>8</v>
      </c>
      <c r="R150" s="9">
        <v>8</v>
      </c>
      <c r="S150" s="10">
        <v>3</v>
      </c>
      <c r="T150" s="49">
        <f t="shared" si="106"/>
        <v>19</v>
      </c>
      <c r="U150" s="11">
        <f t="shared" si="107"/>
        <v>38</v>
      </c>
      <c r="V150" s="98">
        <v>43784</v>
      </c>
    </row>
    <row r="151" spans="1:23" x14ac:dyDescent="0.15">
      <c r="A151" s="26"/>
      <c r="B151" s="8"/>
      <c r="C151" s="9"/>
      <c r="D151" s="10"/>
      <c r="E151" s="49">
        <f t="shared" si="108"/>
        <v>0</v>
      </c>
      <c r="F151" s="12"/>
      <c r="G151" s="9"/>
      <c r="H151" s="10"/>
      <c r="I151" s="49">
        <f t="shared" si="109"/>
        <v>0</v>
      </c>
      <c r="J151" s="11">
        <f t="shared" si="110"/>
        <v>0</v>
      </c>
      <c r="K151" s="62"/>
      <c r="L151" s="26" t="s">
        <v>188</v>
      </c>
      <c r="M151" s="8">
        <v>1</v>
      </c>
      <c r="N151" s="9">
        <v>2</v>
      </c>
      <c r="O151" s="10"/>
      <c r="P151" s="49">
        <f t="shared" si="105"/>
        <v>3</v>
      </c>
      <c r="Q151" s="12">
        <v>1</v>
      </c>
      <c r="R151" s="9">
        <v>2</v>
      </c>
      <c r="S151" s="10"/>
      <c r="T151" s="49">
        <f t="shared" si="106"/>
        <v>3</v>
      </c>
      <c r="U151" s="11">
        <f t="shared" si="107"/>
        <v>6</v>
      </c>
      <c r="V151" s="98">
        <v>43785</v>
      </c>
    </row>
    <row r="152" spans="1:23" x14ac:dyDescent="0.15">
      <c r="A152" s="26"/>
      <c r="B152" s="8"/>
      <c r="C152" s="9"/>
      <c r="D152" s="10"/>
      <c r="E152" s="49">
        <f t="shared" si="108"/>
        <v>0</v>
      </c>
      <c r="F152" s="12"/>
      <c r="G152" s="9"/>
      <c r="H152" s="10"/>
      <c r="I152" s="49">
        <f t="shared" si="109"/>
        <v>0</v>
      </c>
      <c r="J152" s="11">
        <f t="shared" si="110"/>
        <v>0</v>
      </c>
      <c r="K152" s="62"/>
      <c r="L152" s="26" t="s">
        <v>193</v>
      </c>
      <c r="M152" s="8">
        <v>15</v>
      </c>
      <c r="N152" s="9">
        <v>15</v>
      </c>
      <c r="O152" s="10"/>
      <c r="P152" s="49">
        <f t="shared" si="105"/>
        <v>30</v>
      </c>
      <c r="Q152" s="12">
        <v>15</v>
      </c>
      <c r="R152" s="9">
        <v>15</v>
      </c>
      <c r="S152" s="10"/>
      <c r="T152" s="49">
        <f t="shared" si="106"/>
        <v>30</v>
      </c>
      <c r="U152" s="11">
        <f t="shared" si="107"/>
        <v>60</v>
      </c>
      <c r="V152" s="98">
        <v>43789</v>
      </c>
    </row>
    <row r="153" spans="1:23" x14ac:dyDescent="0.15">
      <c r="A153" s="26"/>
      <c r="B153" s="8"/>
      <c r="C153" s="9"/>
      <c r="D153" s="10"/>
      <c r="E153" s="49">
        <f t="shared" si="108"/>
        <v>0</v>
      </c>
      <c r="F153" s="12"/>
      <c r="G153" s="9"/>
      <c r="H153" s="10"/>
      <c r="I153" s="49">
        <f t="shared" si="109"/>
        <v>0</v>
      </c>
      <c r="J153" s="11">
        <f t="shared" si="110"/>
        <v>0</v>
      </c>
      <c r="K153" s="62"/>
      <c r="L153" s="26" t="s">
        <v>198</v>
      </c>
      <c r="M153" s="8">
        <v>8</v>
      </c>
      <c r="N153" s="9"/>
      <c r="O153" s="10">
        <v>8</v>
      </c>
      <c r="P153" s="49">
        <f t="shared" si="105"/>
        <v>16</v>
      </c>
      <c r="Q153" s="12">
        <v>8</v>
      </c>
      <c r="R153" s="9"/>
      <c r="S153" s="10">
        <v>8</v>
      </c>
      <c r="T153" s="49">
        <f t="shared" si="106"/>
        <v>16</v>
      </c>
      <c r="U153" s="11">
        <f t="shared" si="107"/>
        <v>32</v>
      </c>
      <c r="V153" s="98">
        <v>43790</v>
      </c>
    </row>
    <row r="154" spans="1:23" x14ac:dyDescent="0.15">
      <c r="A154" s="24"/>
      <c r="B154" s="8"/>
      <c r="C154" s="9"/>
      <c r="D154" s="10"/>
      <c r="E154" s="49">
        <f t="shared" si="108"/>
        <v>0</v>
      </c>
      <c r="F154" s="12"/>
      <c r="G154" s="9"/>
      <c r="H154" s="10"/>
      <c r="I154" s="49">
        <f t="shared" si="109"/>
        <v>0</v>
      </c>
      <c r="J154" s="11">
        <f t="shared" si="110"/>
        <v>0</v>
      </c>
      <c r="K154" s="62"/>
      <c r="L154" s="26" t="s">
        <v>200</v>
      </c>
      <c r="M154" s="8"/>
      <c r="N154" s="9">
        <v>6</v>
      </c>
      <c r="O154" s="10"/>
      <c r="P154" s="49">
        <f t="shared" si="105"/>
        <v>6</v>
      </c>
      <c r="Q154" s="12"/>
      <c r="R154" s="9">
        <v>6</v>
      </c>
      <c r="S154" s="10"/>
      <c r="T154" s="49">
        <f t="shared" si="106"/>
        <v>6</v>
      </c>
      <c r="U154" s="11">
        <f t="shared" si="107"/>
        <v>12</v>
      </c>
      <c r="V154" s="98">
        <v>43791</v>
      </c>
    </row>
    <row r="155" spans="1:23" x14ac:dyDescent="0.15">
      <c r="A155" s="25"/>
      <c r="B155" s="8"/>
      <c r="C155" s="9"/>
      <c r="D155" s="10"/>
      <c r="E155" s="49">
        <f t="shared" si="108"/>
        <v>0</v>
      </c>
      <c r="F155" s="12"/>
      <c r="G155" s="9"/>
      <c r="H155" s="10"/>
      <c r="I155" s="49">
        <f t="shared" si="109"/>
        <v>0</v>
      </c>
      <c r="J155" s="11">
        <f t="shared" si="110"/>
        <v>0</v>
      </c>
      <c r="K155" s="64"/>
      <c r="L155" s="26" t="s">
        <v>202</v>
      </c>
      <c r="M155" s="8">
        <v>5</v>
      </c>
      <c r="N155" s="9">
        <v>10</v>
      </c>
      <c r="O155" s="10"/>
      <c r="P155" s="49">
        <f t="shared" si="105"/>
        <v>15</v>
      </c>
      <c r="Q155" s="12">
        <v>5</v>
      </c>
      <c r="R155" s="9">
        <v>10</v>
      </c>
      <c r="S155" s="10"/>
      <c r="T155" s="49">
        <f t="shared" si="106"/>
        <v>15</v>
      </c>
      <c r="U155" s="11">
        <f t="shared" si="107"/>
        <v>30</v>
      </c>
      <c r="V155" s="98">
        <v>43791</v>
      </c>
      <c r="W155" s="66"/>
    </row>
    <row r="156" spans="1:23" x14ac:dyDescent="0.15">
      <c r="A156" s="26"/>
      <c r="B156" s="8"/>
      <c r="C156" s="9"/>
      <c r="D156" s="10"/>
      <c r="E156" s="49">
        <f t="shared" si="108"/>
        <v>0</v>
      </c>
      <c r="F156" s="12"/>
      <c r="G156" s="9"/>
      <c r="H156" s="10"/>
      <c r="I156" s="49">
        <f t="shared" si="109"/>
        <v>0</v>
      </c>
      <c r="J156" s="11">
        <f t="shared" si="110"/>
        <v>0</v>
      </c>
      <c r="K156" s="62"/>
      <c r="L156" s="26" t="s">
        <v>204</v>
      </c>
      <c r="M156" s="8"/>
      <c r="N156" s="9">
        <v>7</v>
      </c>
      <c r="O156" s="10"/>
      <c r="P156" s="49">
        <f t="shared" si="105"/>
        <v>7</v>
      </c>
      <c r="Q156" s="12"/>
      <c r="R156" s="9">
        <v>7</v>
      </c>
      <c r="S156" s="10"/>
      <c r="T156" s="49">
        <f t="shared" si="106"/>
        <v>7</v>
      </c>
      <c r="U156" s="11">
        <f t="shared" si="107"/>
        <v>14</v>
      </c>
      <c r="V156" s="98">
        <v>43794</v>
      </c>
      <c r="W156" s="66"/>
    </row>
    <row r="157" spans="1:23" x14ac:dyDescent="0.15">
      <c r="A157" s="24"/>
      <c r="B157" s="8"/>
      <c r="C157" s="9"/>
      <c r="D157" s="10"/>
      <c r="E157" s="49">
        <f t="shared" si="108"/>
        <v>0</v>
      </c>
      <c r="F157" s="12"/>
      <c r="G157" s="9"/>
      <c r="H157" s="10"/>
      <c r="I157" s="49">
        <f t="shared" si="109"/>
        <v>0</v>
      </c>
      <c r="J157" s="11">
        <f t="shared" si="110"/>
        <v>0</v>
      </c>
      <c r="K157" s="62"/>
      <c r="L157" s="26" t="s">
        <v>206</v>
      </c>
      <c r="M157" s="8">
        <v>5</v>
      </c>
      <c r="N157" s="9">
        <v>5</v>
      </c>
      <c r="O157" s="10">
        <v>5</v>
      </c>
      <c r="P157" s="49">
        <f t="shared" si="105"/>
        <v>15</v>
      </c>
      <c r="Q157" s="12">
        <v>5</v>
      </c>
      <c r="R157" s="9">
        <v>5</v>
      </c>
      <c r="S157" s="10">
        <v>5</v>
      </c>
      <c r="T157" s="49">
        <f t="shared" si="106"/>
        <v>15</v>
      </c>
      <c r="U157" s="11">
        <f t="shared" si="107"/>
        <v>30</v>
      </c>
      <c r="V157" s="98">
        <v>43794</v>
      </c>
      <c r="W157" s="66"/>
    </row>
    <row r="158" spans="1:23" x14ac:dyDescent="0.15">
      <c r="B158" s="13"/>
      <c r="C158" s="14"/>
      <c r="D158" s="15"/>
      <c r="E158" s="49">
        <f t="shared" si="108"/>
        <v>0</v>
      </c>
      <c r="F158" s="16"/>
      <c r="G158" s="14"/>
      <c r="H158" s="15"/>
      <c r="I158" s="49">
        <f t="shared" si="109"/>
        <v>0</v>
      </c>
      <c r="J158" s="11">
        <f t="shared" si="110"/>
        <v>0</v>
      </c>
      <c r="K158" s="65"/>
      <c r="L158" s="26" t="s">
        <v>208</v>
      </c>
      <c r="M158" s="13">
        <v>5</v>
      </c>
      <c r="N158" s="14">
        <v>10</v>
      </c>
      <c r="O158" s="15">
        <v>3</v>
      </c>
      <c r="P158" s="49">
        <f t="shared" si="105"/>
        <v>18</v>
      </c>
      <c r="Q158" s="16">
        <v>5</v>
      </c>
      <c r="R158" s="14">
        <v>10</v>
      </c>
      <c r="S158" s="15">
        <v>3</v>
      </c>
      <c r="T158" s="49">
        <f t="shared" si="106"/>
        <v>18</v>
      </c>
      <c r="U158" s="11">
        <f t="shared" si="107"/>
        <v>36</v>
      </c>
      <c r="V158" s="98">
        <v>43795</v>
      </c>
    </row>
    <row r="159" spans="1:23" x14ac:dyDescent="0.15">
      <c r="A159" s="26"/>
      <c r="B159" s="8"/>
      <c r="C159" s="9"/>
      <c r="D159" s="10"/>
      <c r="E159" s="49">
        <f t="shared" si="108"/>
        <v>0</v>
      </c>
      <c r="F159" s="12"/>
      <c r="G159" s="9"/>
      <c r="H159" s="10"/>
      <c r="I159" s="49">
        <f t="shared" si="109"/>
        <v>0</v>
      </c>
      <c r="J159" s="11">
        <f t="shared" si="110"/>
        <v>0</v>
      </c>
      <c r="K159" s="62"/>
      <c r="L159" s="26"/>
      <c r="M159" s="8"/>
      <c r="N159" s="9"/>
      <c r="O159" s="10"/>
      <c r="P159" s="49">
        <f t="shared" si="105"/>
        <v>0</v>
      </c>
      <c r="Q159" s="12"/>
      <c r="R159" s="9"/>
      <c r="S159" s="10"/>
      <c r="T159" s="49">
        <f t="shared" si="106"/>
        <v>0</v>
      </c>
      <c r="U159" s="11">
        <f t="shared" si="107"/>
        <v>0</v>
      </c>
    </row>
    <row r="160" spans="1:23" x14ac:dyDescent="0.15">
      <c r="A160" s="26"/>
      <c r="B160" s="8"/>
      <c r="C160" s="9"/>
      <c r="D160" s="10"/>
      <c r="E160" s="49">
        <f t="shared" si="108"/>
        <v>0</v>
      </c>
      <c r="F160" s="12"/>
      <c r="G160" s="9"/>
      <c r="H160" s="10"/>
      <c r="I160" s="49">
        <f t="shared" si="109"/>
        <v>0</v>
      </c>
      <c r="J160" s="11">
        <f t="shared" si="110"/>
        <v>0</v>
      </c>
      <c r="K160" s="62"/>
      <c r="L160" s="26" t="s">
        <v>132</v>
      </c>
      <c r="M160" s="8"/>
      <c r="N160" s="9"/>
      <c r="O160" s="10"/>
      <c r="P160" s="49">
        <f t="shared" si="105"/>
        <v>0</v>
      </c>
      <c r="Q160" s="12"/>
      <c r="R160" s="9"/>
      <c r="S160" s="10"/>
      <c r="T160" s="49">
        <f t="shared" si="106"/>
        <v>0</v>
      </c>
      <c r="U160" s="11">
        <f t="shared" si="107"/>
        <v>0</v>
      </c>
      <c r="V160" s="100" t="s">
        <v>125</v>
      </c>
    </row>
    <row r="161" spans="1:22" x14ac:dyDescent="0.15">
      <c r="A161" s="26"/>
      <c r="B161" s="8"/>
      <c r="C161" s="9"/>
      <c r="D161" s="10"/>
      <c r="E161" s="49">
        <f t="shared" si="108"/>
        <v>0</v>
      </c>
      <c r="F161" s="12"/>
      <c r="G161" s="9"/>
      <c r="H161" s="10"/>
      <c r="I161" s="49">
        <f t="shared" si="109"/>
        <v>0</v>
      </c>
      <c r="J161" s="11">
        <f t="shared" si="110"/>
        <v>0</v>
      </c>
      <c r="K161" s="62"/>
      <c r="L161" s="26" t="s">
        <v>124</v>
      </c>
      <c r="M161" s="13"/>
      <c r="N161" s="14"/>
      <c r="O161" s="15"/>
      <c r="P161" s="49">
        <f t="shared" si="105"/>
        <v>0</v>
      </c>
      <c r="Q161" s="13"/>
      <c r="R161" s="14"/>
      <c r="S161" s="15"/>
      <c r="T161" s="49">
        <f t="shared" si="106"/>
        <v>0</v>
      </c>
      <c r="U161" s="11">
        <f t="shared" si="107"/>
        <v>0</v>
      </c>
      <c r="V161" s="100" t="s">
        <v>125</v>
      </c>
    </row>
    <row r="162" spans="1:22" ht="14.25" thickBot="1" x14ac:dyDescent="0.2">
      <c r="A162" s="23"/>
      <c r="B162" s="13"/>
      <c r="C162" s="14"/>
      <c r="D162" s="15"/>
      <c r="E162" s="49">
        <f>SUM(B162:D162)</f>
        <v>0</v>
      </c>
      <c r="F162" s="16"/>
      <c r="G162" s="14"/>
      <c r="H162" s="15"/>
      <c r="I162" s="49">
        <f>SUM(F162:H162)</f>
        <v>0</v>
      </c>
      <c r="J162" s="11">
        <f>E162+I162</f>
        <v>0</v>
      </c>
      <c r="K162" s="62"/>
      <c r="L162" s="26" t="s">
        <v>103</v>
      </c>
      <c r="M162" s="8"/>
      <c r="N162" s="9"/>
      <c r="O162" s="10"/>
      <c r="P162" s="49">
        <f t="shared" si="105"/>
        <v>0</v>
      </c>
      <c r="Q162" s="12"/>
      <c r="R162" s="9"/>
      <c r="S162" s="10"/>
      <c r="T162" s="49">
        <f t="shared" si="106"/>
        <v>0</v>
      </c>
      <c r="U162" s="11">
        <f t="shared" si="107"/>
        <v>0</v>
      </c>
      <c r="V162" s="100" t="s">
        <v>102</v>
      </c>
    </row>
    <row r="163" spans="1:22" ht="14.25" thickBot="1" x14ac:dyDescent="0.2">
      <c r="A163" s="41" t="s">
        <v>17</v>
      </c>
      <c r="B163" s="46">
        <f>SUM(B137:B162)</f>
        <v>3</v>
      </c>
      <c r="C163" s="47">
        <f t="shared" ref="C163:D163" si="111">SUM(C137:C162)</f>
        <v>1</v>
      </c>
      <c r="D163" s="58">
        <f t="shared" si="111"/>
        <v>0</v>
      </c>
      <c r="E163" s="45">
        <f t="shared" ref="E163" si="112">SUM(B163:D163)</f>
        <v>4</v>
      </c>
      <c r="F163" s="46">
        <f>SUM(F137:F162)</f>
        <v>3</v>
      </c>
      <c r="G163" s="47">
        <f t="shared" ref="G163:H163" si="113">SUM(G137:G162)</f>
        <v>1</v>
      </c>
      <c r="H163" s="58">
        <f t="shared" si="113"/>
        <v>0</v>
      </c>
      <c r="I163" s="45">
        <f t="shared" ref="I163" si="114">SUM(F163:H163)</f>
        <v>4</v>
      </c>
      <c r="J163" s="45">
        <f>E163+I163</f>
        <v>8</v>
      </c>
      <c r="K163" s="40"/>
      <c r="L163" s="41" t="s">
        <v>17</v>
      </c>
      <c r="M163" s="46">
        <f>SUM(M137:M162)</f>
        <v>148</v>
      </c>
      <c r="N163" s="47">
        <f t="shared" ref="N163:O163" si="115">SUM(N137:N162)</f>
        <v>149</v>
      </c>
      <c r="O163" s="58">
        <f t="shared" si="115"/>
        <v>83</v>
      </c>
      <c r="P163" s="45">
        <f t="shared" si="105"/>
        <v>380</v>
      </c>
      <c r="Q163" s="46">
        <f>SUM(Q137:Q162)</f>
        <v>148</v>
      </c>
      <c r="R163" s="47">
        <f t="shared" ref="R163:S163" si="116">SUM(R137:R162)</f>
        <v>149</v>
      </c>
      <c r="S163" s="58">
        <f t="shared" si="116"/>
        <v>83</v>
      </c>
      <c r="T163" s="45">
        <f t="shared" si="106"/>
        <v>380</v>
      </c>
      <c r="U163" s="45">
        <f>P163+T163</f>
        <v>760</v>
      </c>
    </row>
    <row r="164" spans="1:22" ht="14.25" thickBot="1" x14ac:dyDescent="0.2">
      <c r="A164" s="22" t="s">
        <v>16</v>
      </c>
      <c r="B164" s="50">
        <f>B136-B163</f>
        <v>1</v>
      </c>
      <c r="C164" s="56">
        <f t="shared" ref="C164:D164" si="117">C136-C163</f>
        <v>3</v>
      </c>
      <c r="D164" s="57">
        <f t="shared" si="117"/>
        <v>2</v>
      </c>
      <c r="E164" s="55">
        <f>SUM(B164:D164)</f>
        <v>6</v>
      </c>
      <c r="F164" s="50">
        <f>F136-F163</f>
        <v>1</v>
      </c>
      <c r="G164" s="56">
        <f t="shared" ref="G164:H164" si="118">G136-G163</f>
        <v>3</v>
      </c>
      <c r="H164" s="57">
        <f t="shared" si="118"/>
        <v>2</v>
      </c>
      <c r="I164" s="55">
        <f>SUM(F164:H164)</f>
        <v>6</v>
      </c>
      <c r="J164" s="31">
        <f>E164+I164</f>
        <v>12</v>
      </c>
      <c r="L164" s="22" t="s">
        <v>16</v>
      </c>
      <c r="M164" s="50">
        <f>M136-M163</f>
        <v>74</v>
      </c>
      <c r="N164" s="56">
        <f t="shared" ref="N164:O164" si="119">N136-N163</f>
        <v>182</v>
      </c>
      <c r="O164" s="57">
        <f t="shared" si="119"/>
        <v>145</v>
      </c>
      <c r="P164" s="55">
        <f>SUM(M164:O164)</f>
        <v>401</v>
      </c>
      <c r="Q164" s="50">
        <f>Q136-Q163</f>
        <v>74</v>
      </c>
      <c r="R164" s="56">
        <f t="shared" ref="R164:S164" si="120">R136-R163</f>
        <v>182</v>
      </c>
      <c r="S164" s="57">
        <f t="shared" si="120"/>
        <v>145</v>
      </c>
      <c r="T164" s="55">
        <f>SUM(Q164:S164)</f>
        <v>401</v>
      </c>
      <c r="U164" s="31">
        <f>P164+T164</f>
        <v>802</v>
      </c>
    </row>
    <row r="165" spans="1:22" ht="19.5" thickBot="1" x14ac:dyDescent="0.25">
      <c r="A165" s="3" t="s">
        <v>18</v>
      </c>
      <c r="B165" s="1"/>
      <c r="C165" s="1"/>
      <c r="D165" s="1"/>
      <c r="E165" s="1"/>
      <c r="F165" s="1"/>
      <c r="G165" s="1"/>
      <c r="H165" s="1"/>
      <c r="I165" s="1"/>
      <c r="J165" s="1"/>
      <c r="L165" s="3" t="s">
        <v>19</v>
      </c>
      <c r="M165" s="1"/>
      <c r="N165" s="1"/>
      <c r="O165" s="1"/>
      <c r="P165" s="1"/>
      <c r="Q165" s="1"/>
      <c r="R165" s="1"/>
      <c r="S165" s="1"/>
      <c r="T165" s="1"/>
      <c r="U165" s="1"/>
    </row>
    <row r="166" spans="1:22" ht="14.25" thickBot="1" x14ac:dyDescent="0.2">
      <c r="A166" s="7"/>
      <c r="B166" s="176" t="s">
        <v>22</v>
      </c>
      <c r="C166" s="177"/>
      <c r="D166" s="177"/>
      <c r="E166" s="178"/>
      <c r="F166" s="176" t="s">
        <v>23</v>
      </c>
      <c r="G166" s="177"/>
      <c r="H166" s="177"/>
      <c r="I166" s="179"/>
      <c r="J166" s="174" t="s">
        <v>0</v>
      </c>
      <c r="L166" s="7"/>
      <c r="M166" s="169" t="s">
        <v>22</v>
      </c>
      <c r="N166" s="170"/>
      <c r="O166" s="170"/>
      <c r="P166" s="171"/>
      <c r="Q166" s="169" t="s">
        <v>23</v>
      </c>
      <c r="R166" s="170"/>
      <c r="S166" s="170"/>
      <c r="T166" s="171"/>
      <c r="U166" s="174" t="s">
        <v>0</v>
      </c>
    </row>
    <row r="167" spans="1:22" ht="14.25" thickBot="1" x14ac:dyDescent="0.2">
      <c r="A167" s="7" t="s">
        <v>1</v>
      </c>
      <c r="B167" s="4" t="s">
        <v>2</v>
      </c>
      <c r="C167" s="5" t="s">
        <v>3</v>
      </c>
      <c r="D167" s="6" t="s">
        <v>4</v>
      </c>
      <c r="E167" s="7" t="s">
        <v>5</v>
      </c>
      <c r="F167" s="4" t="s">
        <v>2</v>
      </c>
      <c r="G167" s="5" t="s">
        <v>3</v>
      </c>
      <c r="H167" s="6" t="s">
        <v>4</v>
      </c>
      <c r="I167" s="7" t="s">
        <v>5</v>
      </c>
      <c r="J167" s="175"/>
      <c r="L167" s="7" t="s">
        <v>1</v>
      </c>
      <c r="M167" s="4" t="s">
        <v>2</v>
      </c>
      <c r="N167" s="5" t="s">
        <v>3</v>
      </c>
      <c r="O167" s="6" t="s">
        <v>4</v>
      </c>
      <c r="P167" s="7" t="s">
        <v>5</v>
      </c>
      <c r="Q167" s="4" t="s">
        <v>2</v>
      </c>
      <c r="R167" s="5" t="s">
        <v>3</v>
      </c>
      <c r="S167" s="6" t="s">
        <v>4</v>
      </c>
      <c r="T167" s="7" t="s">
        <v>5</v>
      </c>
      <c r="U167" s="175"/>
    </row>
    <row r="168" spans="1:22" ht="14.25" thickBot="1" x14ac:dyDescent="0.2">
      <c r="A168" s="27" t="s">
        <v>16</v>
      </c>
      <c r="B168" s="38">
        <f>B164</f>
        <v>1</v>
      </c>
      <c r="C168" s="39">
        <f>C164</f>
        <v>3</v>
      </c>
      <c r="D168" s="2">
        <f>D164</f>
        <v>2</v>
      </c>
      <c r="E168" s="36">
        <f>SUM(B168:D168)</f>
        <v>6</v>
      </c>
      <c r="F168" s="38">
        <f>F164</f>
        <v>1</v>
      </c>
      <c r="G168" s="39">
        <f>G164</f>
        <v>3</v>
      </c>
      <c r="H168" s="2">
        <f>H164</f>
        <v>2</v>
      </c>
      <c r="I168" s="36">
        <f>SUM(F168:H168)</f>
        <v>6</v>
      </c>
      <c r="J168" s="36">
        <f>E168+I168</f>
        <v>12</v>
      </c>
      <c r="K168" s="63"/>
      <c r="L168" s="68" t="s">
        <v>16</v>
      </c>
      <c r="M168" s="42">
        <f>M164</f>
        <v>74</v>
      </c>
      <c r="N168" s="43">
        <f>N164</f>
        <v>182</v>
      </c>
      <c r="O168" s="60">
        <f>O164</f>
        <v>145</v>
      </c>
      <c r="P168" s="48">
        <f>SUM(M168:O168)</f>
        <v>401</v>
      </c>
      <c r="Q168" s="42">
        <f>Q164</f>
        <v>74</v>
      </c>
      <c r="R168" s="43">
        <f>R164</f>
        <v>182</v>
      </c>
      <c r="S168" s="60">
        <f>S164</f>
        <v>145</v>
      </c>
      <c r="T168" s="48">
        <f>SUM(Q168:S168)</f>
        <v>401</v>
      </c>
      <c r="U168" s="48">
        <f>P168+T168</f>
        <v>802</v>
      </c>
    </row>
    <row r="169" spans="1:22" x14ac:dyDescent="0.15">
      <c r="A169" s="25" t="s">
        <v>252</v>
      </c>
      <c r="B169" s="42">
        <v>3</v>
      </c>
      <c r="C169" s="43">
        <v>1</v>
      </c>
      <c r="D169" s="44">
        <v>1</v>
      </c>
      <c r="E169" s="48">
        <f>SUM(B169:D169)</f>
        <v>5</v>
      </c>
      <c r="F169" s="59">
        <v>3</v>
      </c>
      <c r="G169" s="43">
        <v>1</v>
      </c>
      <c r="H169" s="60">
        <v>1</v>
      </c>
      <c r="I169" s="48">
        <f>SUM(F169:H169)</f>
        <v>5</v>
      </c>
      <c r="J169" s="48">
        <f>E169+I169</f>
        <v>10</v>
      </c>
      <c r="K169" s="62">
        <v>43810</v>
      </c>
      <c r="L169" s="25" t="s">
        <v>7</v>
      </c>
      <c r="M169" s="73"/>
      <c r="N169" s="74"/>
      <c r="O169" s="75"/>
      <c r="P169" s="76">
        <f>SUM(M169:O169)</f>
        <v>0</v>
      </c>
      <c r="Q169" s="77"/>
      <c r="R169" s="74"/>
      <c r="S169" s="78"/>
      <c r="T169" s="76">
        <f>SUM(Q169:S169)</f>
        <v>0</v>
      </c>
      <c r="U169" s="48">
        <f>P169+T169</f>
        <v>0</v>
      </c>
    </row>
    <row r="170" spans="1:22" x14ac:dyDescent="0.15">
      <c r="A170" s="25" t="s">
        <v>265</v>
      </c>
      <c r="B170" s="8"/>
      <c r="C170" s="9">
        <v>2</v>
      </c>
      <c r="D170" s="52"/>
      <c r="E170" s="11">
        <f>SUM(B170:D170)</f>
        <v>2</v>
      </c>
      <c r="F170" s="12"/>
      <c r="G170" s="9">
        <v>2</v>
      </c>
      <c r="H170" s="10"/>
      <c r="I170" s="11">
        <f>SUM(F170:H170)</f>
        <v>2</v>
      </c>
      <c r="J170" s="11">
        <f>E170+I170</f>
        <v>4</v>
      </c>
      <c r="K170" s="62">
        <v>43820</v>
      </c>
      <c r="L170" s="25" t="s">
        <v>101</v>
      </c>
      <c r="M170" s="17">
        <v>219</v>
      </c>
      <c r="N170" s="18">
        <v>253</v>
      </c>
      <c r="O170" s="51">
        <v>155</v>
      </c>
      <c r="P170" s="49">
        <f t="shared" ref="P170" si="121">SUM(M170:O170)</f>
        <v>627</v>
      </c>
      <c r="Q170" s="17">
        <v>219</v>
      </c>
      <c r="R170" s="18">
        <v>253</v>
      </c>
      <c r="S170" s="51">
        <v>155</v>
      </c>
      <c r="T170" s="49">
        <f t="shared" ref="T170" si="122">SUM(Q170:S170)</f>
        <v>627</v>
      </c>
      <c r="U170" s="11">
        <f t="shared" ref="U170" si="123">P170+T170</f>
        <v>1254</v>
      </c>
      <c r="V170" s="98" t="s">
        <v>233</v>
      </c>
    </row>
    <row r="171" spans="1:22" x14ac:dyDescent="0.15">
      <c r="A171" s="25" t="s">
        <v>32</v>
      </c>
      <c r="B171" s="17"/>
      <c r="C171" s="18">
        <v>2</v>
      </c>
      <c r="D171" s="51">
        <v>3</v>
      </c>
      <c r="E171" s="11">
        <f t="shared" ref="E171:E176" si="124">SUM(B171:D171)</f>
        <v>5</v>
      </c>
      <c r="F171" s="20"/>
      <c r="G171" s="18">
        <v>2</v>
      </c>
      <c r="H171" s="19">
        <v>3</v>
      </c>
      <c r="I171" s="11">
        <f t="shared" ref="I171:I176" si="125">SUM(F171:H171)</f>
        <v>5</v>
      </c>
      <c r="J171" s="11">
        <f t="shared" ref="J171:J176" si="126">E171+I171</f>
        <v>10</v>
      </c>
      <c r="K171" s="62">
        <v>43824</v>
      </c>
      <c r="L171" s="25" t="s">
        <v>9</v>
      </c>
      <c r="M171" s="17"/>
      <c r="N171" s="18"/>
      <c r="O171" s="51"/>
      <c r="P171" s="11">
        <f t="shared" ref="P171:P176" si="127">SUM(M171:O171)</f>
        <v>0</v>
      </c>
      <c r="Q171" s="20"/>
      <c r="R171" s="18"/>
      <c r="S171" s="19"/>
      <c r="T171" s="11">
        <f t="shared" ref="T171:T176" si="128">SUM(Q171:S171)</f>
        <v>0</v>
      </c>
      <c r="U171" s="11">
        <f t="shared" ref="U171:U176" si="129">P171+T171</f>
        <v>0</v>
      </c>
      <c r="V171" s="100"/>
    </row>
    <row r="172" spans="1:22" x14ac:dyDescent="0.15">
      <c r="A172" s="25"/>
      <c r="B172" s="8"/>
      <c r="C172" s="9"/>
      <c r="D172" s="52"/>
      <c r="E172" s="11">
        <f t="shared" si="124"/>
        <v>0</v>
      </c>
      <c r="F172" s="12"/>
      <c r="G172" s="9"/>
      <c r="H172" s="10"/>
      <c r="I172" s="11">
        <f t="shared" si="125"/>
        <v>0</v>
      </c>
      <c r="J172" s="11">
        <f t="shared" si="126"/>
        <v>0</v>
      </c>
      <c r="K172" s="62"/>
      <c r="L172" s="25" t="s">
        <v>10</v>
      </c>
      <c r="M172" s="8"/>
      <c r="N172" s="9"/>
      <c r="O172" s="52"/>
      <c r="P172" s="11">
        <f t="shared" si="127"/>
        <v>0</v>
      </c>
      <c r="Q172" s="12"/>
      <c r="R172" s="9"/>
      <c r="S172" s="10"/>
      <c r="T172" s="11">
        <f t="shared" si="128"/>
        <v>0</v>
      </c>
      <c r="U172" s="11">
        <f t="shared" si="129"/>
        <v>0</v>
      </c>
    </row>
    <row r="173" spans="1:22" x14ac:dyDescent="0.15">
      <c r="A173" s="25"/>
      <c r="B173" s="8"/>
      <c r="C173" s="9"/>
      <c r="D173" s="52"/>
      <c r="E173" s="11">
        <f t="shared" si="124"/>
        <v>0</v>
      </c>
      <c r="F173" s="12"/>
      <c r="G173" s="9"/>
      <c r="H173" s="10"/>
      <c r="I173" s="11">
        <f t="shared" si="125"/>
        <v>0</v>
      </c>
      <c r="J173" s="11">
        <f t="shared" si="126"/>
        <v>0</v>
      </c>
      <c r="K173" s="62"/>
      <c r="L173" s="25" t="s">
        <v>11</v>
      </c>
      <c r="M173" s="8"/>
      <c r="N173" s="9"/>
      <c r="O173" s="52"/>
      <c r="P173" s="11">
        <f t="shared" si="127"/>
        <v>0</v>
      </c>
      <c r="Q173" s="12"/>
      <c r="R173" s="9"/>
      <c r="S173" s="10"/>
      <c r="T173" s="11">
        <f t="shared" si="128"/>
        <v>0</v>
      </c>
      <c r="U173" s="11">
        <f t="shared" si="129"/>
        <v>0</v>
      </c>
    </row>
    <row r="174" spans="1:22" x14ac:dyDescent="0.15">
      <c r="A174" s="25"/>
      <c r="B174" s="8"/>
      <c r="C174" s="9"/>
      <c r="D174" s="52"/>
      <c r="E174" s="11">
        <f t="shared" si="124"/>
        <v>0</v>
      </c>
      <c r="F174" s="12"/>
      <c r="G174" s="9"/>
      <c r="H174" s="10"/>
      <c r="I174" s="11">
        <f t="shared" si="125"/>
        <v>0</v>
      </c>
      <c r="J174" s="11">
        <f t="shared" si="126"/>
        <v>0</v>
      </c>
      <c r="K174" s="62"/>
      <c r="L174" s="25" t="s">
        <v>12</v>
      </c>
      <c r="M174" s="17"/>
      <c r="N174" s="18"/>
      <c r="O174" s="51"/>
      <c r="P174" s="49">
        <f t="shared" si="127"/>
        <v>0</v>
      </c>
      <c r="Q174" s="17"/>
      <c r="R174" s="18"/>
      <c r="S174" s="51"/>
      <c r="T174" s="49">
        <f t="shared" si="128"/>
        <v>0</v>
      </c>
      <c r="U174" s="11">
        <f t="shared" si="129"/>
        <v>0</v>
      </c>
      <c r="V174" s="98"/>
    </row>
    <row r="175" spans="1:22" x14ac:dyDescent="0.15">
      <c r="A175" s="25"/>
      <c r="B175" s="13"/>
      <c r="C175" s="14"/>
      <c r="D175" s="53"/>
      <c r="E175" s="11">
        <f t="shared" si="124"/>
        <v>0</v>
      </c>
      <c r="F175" s="16"/>
      <c r="G175" s="14"/>
      <c r="H175" s="15"/>
      <c r="I175" s="11">
        <f t="shared" si="125"/>
        <v>0</v>
      </c>
      <c r="J175" s="11">
        <f t="shared" si="126"/>
        <v>0</v>
      </c>
      <c r="K175" s="64"/>
      <c r="L175" s="25" t="s">
        <v>13</v>
      </c>
      <c r="M175" s="13"/>
      <c r="N175" s="14"/>
      <c r="O175" s="53"/>
      <c r="P175" s="11">
        <f t="shared" si="127"/>
        <v>0</v>
      </c>
      <c r="Q175" s="16"/>
      <c r="R175" s="14"/>
      <c r="S175" s="15"/>
      <c r="T175" s="11">
        <f t="shared" si="128"/>
        <v>0</v>
      </c>
      <c r="U175" s="11">
        <f t="shared" si="129"/>
        <v>0</v>
      </c>
    </row>
    <row r="176" spans="1:22" ht="14.25" thickBot="1" x14ac:dyDescent="0.2">
      <c r="A176" s="25"/>
      <c r="B176" s="32"/>
      <c r="C176" s="33"/>
      <c r="D176" s="54"/>
      <c r="E176" s="61">
        <f t="shared" si="124"/>
        <v>0</v>
      </c>
      <c r="F176" s="34"/>
      <c r="G176" s="34"/>
      <c r="H176" s="37"/>
      <c r="I176" s="61">
        <f t="shared" si="125"/>
        <v>0</v>
      </c>
      <c r="J176" s="21">
        <f t="shared" si="126"/>
        <v>0</v>
      </c>
      <c r="K176" s="62"/>
      <c r="L176" s="25" t="s">
        <v>14</v>
      </c>
      <c r="M176" s="32"/>
      <c r="N176" s="33"/>
      <c r="O176" s="54"/>
      <c r="P176" s="61">
        <f t="shared" si="127"/>
        <v>0</v>
      </c>
      <c r="Q176" s="34"/>
      <c r="R176" s="34"/>
      <c r="S176" s="37"/>
      <c r="T176" s="61">
        <f t="shared" si="128"/>
        <v>0</v>
      </c>
      <c r="U176" s="21">
        <f t="shared" si="129"/>
        <v>0</v>
      </c>
    </row>
    <row r="177" spans="1:23" ht="14.25" thickBot="1" x14ac:dyDescent="0.2">
      <c r="A177" s="35" t="s">
        <v>15</v>
      </c>
      <c r="B177" s="28">
        <f>SUM(B168:B176)</f>
        <v>4</v>
      </c>
      <c r="C177" s="29">
        <f>SUM(C168:C176)</f>
        <v>8</v>
      </c>
      <c r="D177" s="30">
        <f>SUM(D168:D176)</f>
        <v>6</v>
      </c>
      <c r="E177" s="31">
        <f>SUM(B177:D177)</f>
        <v>18</v>
      </c>
      <c r="F177" s="28">
        <f>SUM(F168:F176)</f>
        <v>4</v>
      </c>
      <c r="G177" s="29">
        <f>SUM(G168:G176)</f>
        <v>8</v>
      </c>
      <c r="H177" s="30">
        <f>SUM(H168:H176)</f>
        <v>6</v>
      </c>
      <c r="I177" s="31">
        <f>SUM(F177:H177)</f>
        <v>18</v>
      </c>
      <c r="J177" s="31">
        <f>E177+I177</f>
        <v>36</v>
      </c>
      <c r="L177" s="35" t="s">
        <v>15</v>
      </c>
      <c r="M177" s="28">
        <f>SUM(M168:M176)</f>
        <v>293</v>
      </c>
      <c r="N177" s="29">
        <f>SUM(N168:N176)</f>
        <v>435</v>
      </c>
      <c r="O177" s="30">
        <f>SUM(O168:O176)</f>
        <v>300</v>
      </c>
      <c r="P177" s="31">
        <f>SUM(M177:O177)</f>
        <v>1028</v>
      </c>
      <c r="Q177" s="28">
        <f>SUM(Q168:Q176)</f>
        <v>293</v>
      </c>
      <c r="R177" s="29">
        <f>SUM(R168:R176)</f>
        <v>435</v>
      </c>
      <c r="S177" s="30">
        <f>SUM(S168:S176)</f>
        <v>300</v>
      </c>
      <c r="T177" s="31">
        <f>SUM(Q177:S177)</f>
        <v>1028</v>
      </c>
      <c r="U177" s="31">
        <f>P177+T177</f>
        <v>2056</v>
      </c>
    </row>
    <row r="178" spans="1:23" x14ac:dyDescent="0.15">
      <c r="A178" s="26" t="s">
        <v>109</v>
      </c>
      <c r="B178" s="13"/>
      <c r="C178" s="14">
        <v>1</v>
      </c>
      <c r="D178" s="15"/>
      <c r="E178" s="49">
        <f>SUM(B178:D178)</f>
        <v>1</v>
      </c>
      <c r="F178" s="16"/>
      <c r="G178" s="14">
        <v>1</v>
      </c>
      <c r="H178" s="15"/>
      <c r="I178" s="49">
        <f>SUM(F178:H178)</f>
        <v>1</v>
      </c>
      <c r="J178" s="11">
        <f>E178+I178</f>
        <v>2</v>
      </c>
      <c r="K178" s="62">
        <v>43815</v>
      </c>
      <c r="L178" s="26" t="s">
        <v>210</v>
      </c>
      <c r="M178" s="13">
        <v>9</v>
      </c>
      <c r="N178" s="14">
        <v>24</v>
      </c>
      <c r="O178" s="15">
        <v>8</v>
      </c>
      <c r="P178" s="49">
        <f>SUM(M178:O178)</f>
        <v>41</v>
      </c>
      <c r="Q178" s="16">
        <v>9</v>
      </c>
      <c r="R178" s="14">
        <v>24</v>
      </c>
      <c r="S178" s="15">
        <v>8</v>
      </c>
      <c r="T178" s="49">
        <f>SUM(Q178:S178)</f>
        <v>41</v>
      </c>
      <c r="U178" s="11">
        <f>P178+T178</f>
        <v>82</v>
      </c>
      <c r="V178" s="98">
        <v>43796</v>
      </c>
    </row>
    <row r="179" spans="1:23" x14ac:dyDescent="0.15">
      <c r="A179" s="26" t="s">
        <v>255</v>
      </c>
      <c r="B179" s="8">
        <v>1</v>
      </c>
      <c r="C179" s="9">
        <v>2</v>
      </c>
      <c r="D179" s="10">
        <v>1</v>
      </c>
      <c r="E179" s="49">
        <f t="shared" ref="E179" si="130">SUM(B179:D179)</f>
        <v>4</v>
      </c>
      <c r="F179" s="12">
        <v>1</v>
      </c>
      <c r="G179" s="9">
        <v>2</v>
      </c>
      <c r="H179" s="10">
        <v>1</v>
      </c>
      <c r="I179" s="49">
        <f t="shared" ref="I179" si="131">SUM(F179:H179)</f>
        <v>4</v>
      </c>
      <c r="J179" s="11">
        <f t="shared" ref="J179" si="132">E179+I179</f>
        <v>8</v>
      </c>
      <c r="K179" s="62">
        <v>43817</v>
      </c>
      <c r="L179" s="26" t="s">
        <v>212</v>
      </c>
      <c r="M179" s="8">
        <v>5</v>
      </c>
      <c r="N179" s="9">
        <v>10</v>
      </c>
      <c r="O179" s="10">
        <v>5</v>
      </c>
      <c r="P179" s="49">
        <f t="shared" ref="P179" si="133">SUM(M179:O179)</f>
        <v>20</v>
      </c>
      <c r="Q179" s="12">
        <v>5</v>
      </c>
      <c r="R179" s="9">
        <v>10</v>
      </c>
      <c r="S179" s="10">
        <v>5</v>
      </c>
      <c r="T179" s="49">
        <f t="shared" ref="T179" si="134">SUM(Q179:S179)</f>
        <v>20</v>
      </c>
      <c r="U179" s="11">
        <f t="shared" ref="U179" si="135">P179+T179</f>
        <v>40</v>
      </c>
      <c r="V179" s="98">
        <v>43797</v>
      </c>
    </row>
    <row r="180" spans="1:23" x14ac:dyDescent="0.15">
      <c r="A180" s="26" t="s">
        <v>109</v>
      </c>
      <c r="B180" s="8"/>
      <c r="C180" s="9">
        <v>1</v>
      </c>
      <c r="D180" s="10"/>
      <c r="E180" s="49">
        <f t="shared" ref="E180" si="136">SUM(B180:D180)</f>
        <v>1</v>
      </c>
      <c r="F180" s="12"/>
      <c r="G180" s="9">
        <v>1</v>
      </c>
      <c r="H180" s="10"/>
      <c r="I180" s="49">
        <f t="shared" ref="I180" si="137">SUM(F180:H180)</f>
        <v>1</v>
      </c>
      <c r="J180" s="11">
        <f t="shared" ref="J180" si="138">E180+I180</f>
        <v>2</v>
      </c>
      <c r="K180" s="62">
        <v>43816</v>
      </c>
      <c r="L180" s="26" t="s">
        <v>214</v>
      </c>
      <c r="M180" s="13">
        <v>9</v>
      </c>
      <c r="N180" s="14">
        <v>10</v>
      </c>
      <c r="O180" s="15">
        <v>7</v>
      </c>
      <c r="P180" s="49">
        <f>SUM(M180:O180)</f>
        <v>26</v>
      </c>
      <c r="Q180" s="16">
        <v>9</v>
      </c>
      <c r="R180" s="14">
        <v>10</v>
      </c>
      <c r="S180" s="15">
        <v>7</v>
      </c>
      <c r="T180" s="49">
        <f>SUM(Q180:S180)</f>
        <v>26</v>
      </c>
      <c r="U180" s="11">
        <f>P180+T180</f>
        <v>52</v>
      </c>
      <c r="V180" s="98">
        <v>43797</v>
      </c>
    </row>
    <row r="181" spans="1:23" x14ac:dyDescent="0.15">
      <c r="A181" s="26" t="s">
        <v>269</v>
      </c>
      <c r="B181" s="13"/>
      <c r="C181" s="14">
        <v>1</v>
      </c>
      <c r="D181" s="15">
        <v>1</v>
      </c>
      <c r="E181" s="49">
        <f>SUM(B181:D181)</f>
        <v>2</v>
      </c>
      <c r="F181" s="16"/>
      <c r="G181" s="14">
        <v>1</v>
      </c>
      <c r="H181" s="15">
        <v>1</v>
      </c>
      <c r="I181" s="49">
        <f>SUM(F181:H181)</f>
        <v>2</v>
      </c>
      <c r="J181" s="11">
        <f>E181+I181</f>
        <v>4</v>
      </c>
      <c r="K181" s="62">
        <v>43823</v>
      </c>
      <c r="L181" s="26" t="s">
        <v>217</v>
      </c>
      <c r="M181" s="8">
        <v>5</v>
      </c>
      <c r="N181" s="9">
        <v>6</v>
      </c>
      <c r="O181" s="10">
        <v>4</v>
      </c>
      <c r="P181" s="49">
        <f t="shared" ref="P181:P204" si="139">SUM(M181:O181)</f>
        <v>15</v>
      </c>
      <c r="Q181" s="12">
        <v>5</v>
      </c>
      <c r="R181" s="9">
        <v>6</v>
      </c>
      <c r="S181" s="10">
        <v>4</v>
      </c>
      <c r="T181" s="49">
        <f t="shared" ref="T181:T204" si="140">SUM(Q181:S181)</f>
        <v>15</v>
      </c>
      <c r="U181" s="11">
        <f t="shared" ref="U181:U203" si="141">P181+T181</f>
        <v>30</v>
      </c>
      <c r="V181" s="98">
        <v>43798</v>
      </c>
    </row>
    <row r="182" spans="1:23" x14ac:dyDescent="0.15">
      <c r="A182" s="26" t="s">
        <v>109</v>
      </c>
      <c r="B182" s="8"/>
      <c r="C182" s="9"/>
      <c r="D182" s="10">
        <v>1</v>
      </c>
      <c r="E182" s="49">
        <f t="shared" ref="E182:E202" si="142">SUM(B182:D182)</f>
        <v>1</v>
      </c>
      <c r="F182" s="12"/>
      <c r="G182" s="9"/>
      <c r="H182" s="10">
        <v>1</v>
      </c>
      <c r="I182" s="49">
        <f t="shared" ref="I182:I202" si="143">SUM(F182:H182)</f>
        <v>1</v>
      </c>
      <c r="J182" s="11">
        <f t="shared" ref="J182:J202" si="144">E182+I182</f>
        <v>2</v>
      </c>
      <c r="K182" s="62">
        <v>43824</v>
      </c>
      <c r="L182" s="26" t="s">
        <v>222</v>
      </c>
      <c r="M182" s="8">
        <v>10</v>
      </c>
      <c r="N182" s="9">
        <v>5</v>
      </c>
      <c r="O182" s="10"/>
      <c r="P182" s="49">
        <f t="shared" si="139"/>
        <v>15</v>
      </c>
      <c r="Q182" s="12">
        <v>10</v>
      </c>
      <c r="R182" s="9">
        <v>5</v>
      </c>
      <c r="S182" s="10"/>
      <c r="T182" s="49">
        <f t="shared" si="140"/>
        <v>15</v>
      </c>
      <c r="U182" s="11">
        <f t="shared" si="141"/>
        <v>30</v>
      </c>
      <c r="V182" s="98">
        <v>43799</v>
      </c>
      <c r="W182" s="66"/>
    </row>
    <row r="183" spans="1:23" x14ac:dyDescent="0.15">
      <c r="A183" s="26"/>
      <c r="B183" s="8"/>
      <c r="C183" s="9"/>
      <c r="D183" s="10"/>
      <c r="E183" s="49">
        <f t="shared" si="142"/>
        <v>0</v>
      </c>
      <c r="F183" s="12"/>
      <c r="G183" s="9"/>
      <c r="H183" s="10"/>
      <c r="I183" s="49">
        <f t="shared" si="143"/>
        <v>0</v>
      </c>
      <c r="J183" s="11">
        <f t="shared" si="144"/>
        <v>0</v>
      </c>
      <c r="K183" s="62"/>
      <c r="L183" s="26" t="s">
        <v>224</v>
      </c>
      <c r="M183" s="8">
        <v>5</v>
      </c>
      <c r="N183" s="9">
        <v>6</v>
      </c>
      <c r="O183" s="10">
        <v>4</v>
      </c>
      <c r="P183" s="49">
        <f t="shared" si="139"/>
        <v>15</v>
      </c>
      <c r="Q183" s="12">
        <v>5</v>
      </c>
      <c r="R183" s="9">
        <v>6</v>
      </c>
      <c r="S183" s="10">
        <v>4</v>
      </c>
      <c r="T183" s="49">
        <f t="shared" si="140"/>
        <v>15</v>
      </c>
      <c r="U183" s="11">
        <f t="shared" si="141"/>
        <v>30</v>
      </c>
      <c r="V183" s="98">
        <v>43801</v>
      </c>
      <c r="W183" s="66"/>
    </row>
    <row r="184" spans="1:23" x14ac:dyDescent="0.15">
      <c r="A184" s="26"/>
      <c r="B184" s="8"/>
      <c r="C184" s="9"/>
      <c r="D184" s="10"/>
      <c r="E184" s="49">
        <f t="shared" si="142"/>
        <v>0</v>
      </c>
      <c r="F184" s="12"/>
      <c r="G184" s="9"/>
      <c r="H184" s="10"/>
      <c r="I184" s="49">
        <f t="shared" si="143"/>
        <v>0</v>
      </c>
      <c r="J184" s="11">
        <f t="shared" si="144"/>
        <v>0</v>
      </c>
      <c r="K184" s="62"/>
      <c r="L184" s="26" t="s">
        <v>227</v>
      </c>
      <c r="M184" s="8"/>
      <c r="N184" s="9"/>
      <c r="O184" s="10">
        <v>5</v>
      </c>
      <c r="P184" s="49">
        <f t="shared" si="139"/>
        <v>5</v>
      </c>
      <c r="Q184" s="12"/>
      <c r="R184" s="9"/>
      <c r="S184" s="10">
        <v>5</v>
      </c>
      <c r="T184" s="49">
        <f t="shared" si="140"/>
        <v>5</v>
      </c>
      <c r="U184" s="11">
        <f t="shared" si="141"/>
        <v>10</v>
      </c>
      <c r="V184" s="98">
        <v>43802</v>
      </c>
      <c r="W184" s="66"/>
    </row>
    <row r="185" spans="1:23" x14ac:dyDescent="0.15">
      <c r="A185" s="26"/>
      <c r="B185" s="8"/>
      <c r="C185" s="9"/>
      <c r="D185" s="10"/>
      <c r="E185" s="49">
        <f t="shared" si="142"/>
        <v>0</v>
      </c>
      <c r="F185" s="12"/>
      <c r="G185" s="9"/>
      <c r="H185" s="10"/>
      <c r="I185" s="49">
        <f t="shared" si="143"/>
        <v>0</v>
      </c>
      <c r="J185" s="11">
        <f t="shared" si="144"/>
        <v>0</v>
      </c>
      <c r="K185" s="62"/>
      <c r="L185" s="26" t="s">
        <v>229</v>
      </c>
      <c r="M185" s="8"/>
      <c r="N185" s="9">
        <v>3</v>
      </c>
      <c r="O185" s="10"/>
      <c r="P185" s="49">
        <f t="shared" si="139"/>
        <v>3</v>
      </c>
      <c r="Q185" s="12"/>
      <c r="R185" s="9">
        <v>3</v>
      </c>
      <c r="S185" s="10"/>
      <c r="T185" s="49">
        <f t="shared" si="140"/>
        <v>3</v>
      </c>
      <c r="U185" s="11">
        <f t="shared" si="141"/>
        <v>6</v>
      </c>
      <c r="V185" s="98">
        <v>43803</v>
      </c>
    </row>
    <row r="186" spans="1:23" x14ac:dyDescent="0.15">
      <c r="A186" s="26"/>
      <c r="B186" s="8"/>
      <c r="C186" s="9"/>
      <c r="D186" s="10"/>
      <c r="E186" s="49">
        <f t="shared" si="142"/>
        <v>0</v>
      </c>
      <c r="F186" s="12"/>
      <c r="G186" s="9"/>
      <c r="H186" s="10"/>
      <c r="I186" s="49">
        <f t="shared" si="143"/>
        <v>0</v>
      </c>
      <c r="J186" s="11">
        <f t="shared" si="144"/>
        <v>0</v>
      </c>
      <c r="K186" s="62"/>
      <c r="L186" s="26" t="s">
        <v>237</v>
      </c>
      <c r="M186" s="8">
        <v>6</v>
      </c>
      <c r="N186" s="9">
        <v>3</v>
      </c>
      <c r="O186" s="10">
        <v>2</v>
      </c>
      <c r="P186" s="49">
        <f t="shared" si="139"/>
        <v>11</v>
      </c>
      <c r="Q186" s="12">
        <v>6</v>
      </c>
      <c r="R186" s="9">
        <v>3</v>
      </c>
      <c r="S186" s="10">
        <v>2</v>
      </c>
      <c r="T186" s="49">
        <f t="shared" si="140"/>
        <v>11</v>
      </c>
      <c r="U186" s="11">
        <f t="shared" si="141"/>
        <v>22</v>
      </c>
      <c r="V186" s="98">
        <v>43804</v>
      </c>
    </row>
    <row r="187" spans="1:23" x14ac:dyDescent="0.15">
      <c r="A187" s="26"/>
      <c r="B187" s="13"/>
      <c r="C187" s="14"/>
      <c r="D187" s="15"/>
      <c r="E187" s="49">
        <f t="shared" si="142"/>
        <v>0</v>
      </c>
      <c r="F187" s="16"/>
      <c r="G187" s="14"/>
      <c r="H187" s="15"/>
      <c r="I187" s="49">
        <f t="shared" si="143"/>
        <v>0</v>
      </c>
      <c r="J187" s="11">
        <f t="shared" si="144"/>
        <v>0</v>
      </c>
      <c r="K187" s="62"/>
      <c r="L187" s="26" t="s">
        <v>239</v>
      </c>
      <c r="M187" s="13">
        <v>5</v>
      </c>
      <c r="N187" s="14">
        <v>4</v>
      </c>
      <c r="O187" s="15"/>
      <c r="P187" s="49">
        <f t="shared" si="139"/>
        <v>9</v>
      </c>
      <c r="Q187" s="16">
        <v>5</v>
      </c>
      <c r="R187" s="14">
        <v>4</v>
      </c>
      <c r="S187" s="15"/>
      <c r="T187" s="49">
        <f t="shared" si="140"/>
        <v>9</v>
      </c>
      <c r="U187" s="11">
        <f t="shared" si="141"/>
        <v>18</v>
      </c>
      <c r="V187" s="98">
        <v>43805</v>
      </c>
    </row>
    <row r="188" spans="1:23" x14ac:dyDescent="0.15">
      <c r="A188" s="26"/>
      <c r="B188" s="8"/>
      <c r="C188" s="9"/>
      <c r="D188" s="10"/>
      <c r="E188" s="49">
        <f t="shared" si="142"/>
        <v>0</v>
      </c>
      <c r="F188" s="12"/>
      <c r="G188" s="9"/>
      <c r="H188" s="10"/>
      <c r="I188" s="49">
        <f t="shared" si="143"/>
        <v>0</v>
      </c>
      <c r="J188" s="11">
        <f t="shared" si="144"/>
        <v>0</v>
      </c>
      <c r="K188" s="62"/>
      <c r="L188" s="26" t="s">
        <v>242</v>
      </c>
      <c r="M188" s="8">
        <v>6</v>
      </c>
      <c r="N188" s="9">
        <v>3</v>
      </c>
      <c r="O188" s="10"/>
      <c r="P188" s="49">
        <f t="shared" si="139"/>
        <v>9</v>
      </c>
      <c r="Q188" s="12">
        <v>6</v>
      </c>
      <c r="R188" s="9">
        <v>3</v>
      </c>
      <c r="S188" s="10"/>
      <c r="T188" s="49">
        <f t="shared" si="140"/>
        <v>9</v>
      </c>
      <c r="U188" s="11">
        <f t="shared" si="141"/>
        <v>18</v>
      </c>
      <c r="V188" s="98">
        <v>43806</v>
      </c>
    </row>
    <row r="189" spans="1:23" x14ac:dyDescent="0.15">
      <c r="A189" s="26"/>
      <c r="B189" s="8"/>
      <c r="C189" s="9"/>
      <c r="D189" s="10"/>
      <c r="E189" s="49">
        <f t="shared" si="142"/>
        <v>0</v>
      </c>
      <c r="F189" s="12"/>
      <c r="G189" s="9"/>
      <c r="H189" s="10"/>
      <c r="I189" s="49">
        <f t="shared" si="143"/>
        <v>0</v>
      </c>
      <c r="J189" s="11">
        <f t="shared" si="144"/>
        <v>0</v>
      </c>
      <c r="K189" s="62"/>
      <c r="L189" s="26" t="s">
        <v>244</v>
      </c>
      <c r="M189" s="8">
        <v>5</v>
      </c>
      <c r="N189" s="9"/>
      <c r="O189" s="10"/>
      <c r="P189" s="49">
        <f t="shared" si="139"/>
        <v>5</v>
      </c>
      <c r="Q189" s="12">
        <v>5</v>
      </c>
      <c r="R189" s="9"/>
      <c r="S189" s="10"/>
      <c r="T189" s="49">
        <f t="shared" si="140"/>
        <v>5</v>
      </c>
      <c r="U189" s="11">
        <f t="shared" si="141"/>
        <v>10</v>
      </c>
      <c r="V189" s="98">
        <v>43808</v>
      </c>
      <c r="W189" s="66"/>
    </row>
    <row r="190" spans="1:23" x14ac:dyDescent="0.15">
      <c r="A190" s="26"/>
      <c r="B190" s="8"/>
      <c r="C190" s="9"/>
      <c r="D190" s="10"/>
      <c r="E190" s="49">
        <f t="shared" si="142"/>
        <v>0</v>
      </c>
      <c r="F190" s="12"/>
      <c r="G190" s="9"/>
      <c r="H190" s="10"/>
      <c r="I190" s="49">
        <f t="shared" si="143"/>
        <v>0</v>
      </c>
      <c r="J190" s="11">
        <f t="shared" si="144"/>
        <v>0</v>
      </c>
      <c r="K190" s="62"/>
      <c r="L190" s="26" t="s">
        <v>246</v>
      </c>
      <c r="M190" s="8"/>
      <c r="N190" s="9">
        <v>2</v>
      </c>
      <c r="O190" s="10"/>
      <c r="P190" s="49">
        <f t="shared" si="139"/>
        <v>2</v>
      </c>
      <c r="Q190" s="12"/>
      <c r="R190" s="9">
        <v>2</v>
      </c>
      <c r="S190" s="10"/>
      <c r="T190" s="49">
        <f t="shared" si="140"/>
        <v>2</v>
      </c>
      <c r="U190" s="11">
        <f t="shared" si="141"/>
        <v>4</v>
      </c>
      <c r="V190" s="98">
        <v>43809</v>
      </c>
    </row>
    <row r="191" spans="1:23" x14ac:dyDescent="0.15">
      <c r="A191" s="26"/>
      <c r="B191" s="8"/>
      <c r="C191" s="9"/>
      <c r="D191" s="10"/>
      <c r="E191" s="49">
        <f t="shared" si="142"/>
        <v>0</v>
      </c>
      <c r="F191" s="12"/>
      <c r="G191" s="9"/>
      <c r="H191" s="10"/>
      <c r="I191" s="49">
        <f t="shared" si="143"/>
        <v>0</v>
      </c>
      <c r="J191" s="11">
        <f t="shared" si="144"/>
        <v>0</v>
      </c>
      <c r="K191" s="62"/>
      <c r="L191" s="26" t="s">
        <v>248</v>
      </c>
      <c r="M191" s="8">
        <v>1</v>
      </c>
      <c r="N191" s="9">
        <v>4</v>
      </c>
      <c r="O191" s="10">
        <v>1</v>
      </c>
      <c r="P191" s="49">
        <f t="shared" si="139"/>
        <v>6</v>
      </c>
      <c r="Q191" s="12">
        <v>1</v>
      </c>
      <c r="R191" s="9">
        <v>4</v>
      </c>
      <c r="S191" s="10">
        <v>1</v>
      </c>
      <c r="T191" s="49">
        <f t="shared" si="140"/>
        <v>6</v>
      </c>
      <c r="U191" s="11">
        <f t="shared" si="141"/>
        <v>12</v>
      </c>
      <c r="V191" s="98">
        <v>43810</v>
      </c>
      <c r="W191" s="66"/>
    </row>
    <row r="192" spans="1:23" x14ac:dyDescent="0.15">
      <c r="A192" s="26"/>
      <c r="B192" s="8"/>
      <c r="C192" s="9"/>
      <c r="D192" s="10"/>
      <c r="E192" s="49">
        <f t="shared" si="142"/>
        <v>0</v>
      </c>
      <c r="F192" s="12"/>
      <c r="G192" s="9"/>
      <c r="H192" s="10"/>
      <c r="I192" s="49">
        <f t="shared" si="143"/>
        <v>0</v>
      </c>
      <c r="J192" s="11">
        <f t="shared" si="144"/>
        <v>0</v>
      </c>
      <c r="K192" s="62"/>
      <c r="L192" s="26" t="s">
        <v>250</v>
      </c>
      <c r="M192" s="8">
        <v>4</v>
      </c>
      <c r="N192" s="9">
        <v>1</v>
      </c>
      <c r="O192" s="10"/>
      <c r="P192" s="49">
        <f t="shared" si="139"/>
        <v>5</v>
      </c>
      <c r="Q192" s="12">
        <v>4</v>
      </c>
      <c r="R192" s="9">
        <v>1</v>
      </c>
      <c r="S192" s="10"/>
      <c r="T192" s="49">
        <f t="shared" si="140"/>
        <v>5</v>
      </c>
      <c r="U192" s="11">
        <f t="shared" si="141"/>
        <v>10</v>
      </c>
      <c r="V192" s="98">
        <v>43811</v>
      </c>
    </row>
    <row r="193" spans="1:22" x14ac:dyDescent="0.15">
      <c r="A193" s="26"/>
      <c r="B193" s="8"/>
      <c r="C193" s="9"/>
      <c r="D193" s="10"/>
      <c r="E193" s="49">
        <f t="shared" si="142"/>
        <v>0</v>
      </c>
      <c r="F193" s="12"/>
      <c r="G193" s="9"/>
      <c r="H193" s="10"/>
      <c r="I193" s="49">
        <f t="shared" si="143"/>
        <v>0</v>
      </c>
      <c r="J193" s="11">
        <f t="shared" si="144"/>
        <v>0</v>
      </c>
      <c r="K193" s="62"/>
      <c r="L193" s="26" t="s">
        <v>254</v>
      </c>
      <c r="M193" s="8"/>
      <c r="N193" s="9"/>
      <c r="O193" s="10">
        <v>1</v>
      </c>
      <c r="P193" s="49">
        <f t="shared" si="139"/>
        <v>1</v>
      </c>
      <c r="Q193" s="12"/>
      <c r="R193" s="9"/>
      <c r="S193" s="10">
        <v>1</v>
      </c>
      <c r="T193" s="49">
        <f t="shared" si="140"/>
        <v>1</v>
      </c>
      <c r="U193" s="11">
        <f t="shared" si="141"/>
        <v>2</v>
      </c>
      <c r="V193" s="98">
        <v>43813</v>
      </c>
    </row>
    <row r="194" spans="1:22" x14ac:dyDescent="0.15">
      <c r="A194" s="26"/>
      <c r="B194" s="8"/>
      <c r="C194" s="9"/>
      <c r="D194" s="10"/>
      <c r="E194" s="49">
        <f t="shared" si="142"/>
        <v>0</v>
      </c>
      <c r="F194" s="12"/>
      <c r="G194" s="9"/>
      <c r="H194" s="10"/>
      <c r="I194" s="49">
        <f t="shared" si="143"/>
        <v>0</v>
      </c>
      <c r="J194" s="11">
        <f t="shared" si="144"/>
        <v>0</v>
      </c>
      <c r="K194" s="62"/>
      <c r="L194" s="26" t="s">
        <v>256</v>
      </c>
      <c r="M194" s="8"/>
      <c r="N194" s="9">
        <v>1</v>
      </c>
      <c r="O194" s="10">
        <v>2</v>
      </c>
      <c r="P194" s="49">
        <f t="shared" si="139"/>
        <v>3</v>
      </c>
      <c r="Q194" s="12"/>
      <c r="R194" s="9">
        <v>1</v>
      </c>
      <c r="S194" s="10">
        <v>2</v>
      </c>
      <c r="T194" s="49">
        <f t="shared" si="140"/>
        <v>3</v>
      </c>
      <c r="U194" s="11">
        <f t="shared" si="141"/>
        <v>6</v>
      </c>
      <c r="V194" s="98">
        <v>43816</v>
      </c>
    </row>
    <row r="195" spans="1:22" x14ac:dyDescent="0.15">
      <c r="A195" s="24"/>
      <c r="B195" s="8"/>
      <c r="C195" s="9"/>
      <c r="D195" s="10"/>
      <c r="E195" s="49">
        <f t="shared" si="142"/>
        <v>0</v>
      </c>
      <c r="F195" s="12"/>
      <c r="G195" s="9"/>
      <c r="H195" s="10"/>
      <c r="I195" s="49">
        <f t="shared" si="143"/>
        <v>0</v>
      </c>
      <c r="J195" s="11">
        <f t="shared" si="144"/>
        <v>0</v>
      </c>
      <c r="K195" s="62"/>
      <c r="L195" s="26" t="s">
        <v>258</v>
      </c>
      <c r="M195" s="8"/>
      <c r="N195" s="9">
        <v>5</v>
      </c>
      <c r="O195" s="10">
        <v>5</v>
      </c>
      <c r="P195" s="49">
        <f t="shared" si="139"/>
        <v>10</v>
      </c>
      <c r="Q195" s="12"/>
      <c r="R195" s="9">
        <v>5</v>
      </c>
      <c r="S195" s="10">
        <v>5</v>
      </c>
      <c r="T195" s="49">
        <f t="shared" si="140"/>
        <v>10</v>
      </c>
      <c r="U195" s="11">
        <f t="shared" si="141"/>
        <v>20</v>
      </c>
      <c r="V195" s="98">
        <v>43817</v>
      </c>
    </row>
    <row r="196" spans="1:22" x14ac:dyDescent="0.15">
      <c r="A196" s="25"/>
      <c r="B196" s="8"/>
      <c r="C196" s="9"/>
      <c r="D196" s="10"/>
      <c r="E196" s="49">
        <f t="shared" si="142"/>
        <v>0</v>
      </c>
      <c r="F196" s="12"/>
      <c r="G196" s="9"/>
      <c r="H196" s="10"/>
      <c r="I196" s="49">
        <f t="shared" si="143"/>
        <v>0</v>
      </c>
      <c r="J196" s="11">
        <f t="shared" si="144"/>
        <v>0</v>
      </c>
      <c r="K196" s="64"/>
      <c r="L196" s="26" t="s">
        <v>261</v>
      </c>
      <c r="M196" s="8">
        <v>2</v>
      </c>
      <c r="N196" s="9">
        <v>2</v>
      </c>
      <c r="O196" s="10">
        <v>2</v>
      </c>
      <c r="P196" s="49">
        <f t="shared" si="139"/>
        <v>6</v>
      </c>
      <c r="Q196" s="12">
        <v>2</v>
      </c>
      <c r="R196" s="9">
        <v>2</v>
      </c>
      <c r="S196" s="10">
        <v>2</v>
      </c>
      <c r="T196" s="49">
        <f t="shared" si="140"/>
        <v>6</v>
      </c>
      <c r="U196" s="11">
        <f t="shared" si="141"/>
        <v>12</v>
      </c>
      <c r="V196" s="98">
        <v>43818</v>
      </c>
    </row>
    <row r="197" spans="1:22" x14ac:dyDescent="0.15">
      <c r="A197" s="26"/>
      <c r="B197" s="8"/>
      <c r="C197" s="9"/>
      <c r="D197" s="10"/>
      <c r="E197" s="49">
        <f t="shared" si="142"/>
        <v>0</v>
      </c>
      <c r="F197" s="12"/>
      <c r="G197" s="9"/>
      <c r="H197" s="10"/>
      <c r="I197" s="49">
        <f t="shared" si="143"/>
        <v>0</v>
      </c>
      <c r="J197" s="11">
        <f t="shared" si="144"/>
        <v>0</v>
      </c>
      <c r="K197" s="62"/>
      <c r="L197" s="26" t="s">
        <v>257</v>
      </c>
      <c r="M197" s="8"/>
      <c r="N197" s="9">
        <v>5</v>
      </c>
      <c r="O197" s="10">
        <v>1</v>
      </c>
      <c r="P197" s="49">
        <f t="shared" si="139"/>
        <v>6</v>
      </c>
      <c r="Q197" s="12"/>
      <c r="R197" s="9">
        <v>5</v>
      </c>
      <c r="S197" s="10">
        <v>1</v>
      </c>
      <c r="T197" s="49">
        <f t="shared" si="140"/>
        <v>6</v>
      </c>
      <c r="U197" s="11">
        <f t="shared" si="141"/>
        <v>12</v>
      </c>
      <c r="V197" s="98">
        <v>43819</v>
      </c>
    </row>
    <row r="198" spans="1:22" x14ac:dyDescent="0.15">
      <c r="A198" s="24"/>
      <c r="B198" s="8"/>
      <c r="C198" s="9"/>
      <c r="D198" s="10"/>
      <c r="E198" s="49">
        <f t="shared" si="142"/>
        <v>0</v>
      </c>
      <c r="F198" s="12"/>
      <c r="G198" s="9"/>
      <c r="H198" s="10"/>
      <c r="I198" s="49">
        <f t="shared" si="143"/>
        <v>0</v>
      </c>
      <c r="J198" s="11">
        <f t="shared" si="144"/>
        <v>0</v>
      </c>
      <c r="K198" s="62"/>
      <c r="L198" s="26" t="s">
        <v>264</v>
      </c>
      <c r="M198" s="8">
        <v>1</v>
      </c>
      <c r="N198" s="9"/>
      <c r="O198" s="10"/>
      <c r="P198" s="49">
        <f t="shared" si="139"/>
        <v>1</v>
      </c>
      <c r="Q198" s="12">
        <v>1</v>
      </c>
      <c r="R198" s="9"/>
      <c r="S198" s="10"/>
      <c r="T198" s="49">
        <f t="shared" si="140"/>
        <v>1</v>
      </c>
      <c r="U198" s="11">
        <f t="shared" si="141"/>
        <v>2</v>
      </c>
      <c r="V198" s="98">
        <v>43820</v>
      </c>
    </row>
    <row r="199" spans="1:22" x14ac:dyDescent="0.15">
      <c r="B199" s="13"/>
      <c r="C199" s="14"/>
      <c r="D199" s="15"/>
      <c r="E199" s="49">
        <f t="shared" si="142"/>
        <v>0</v>
      </c>
      <c r="F199" s="16"/>
      <c r="G199" s="14"/>
      <c r="H199" s="15"/>
      <c r="I199" s="49">
        <f t="shared" si="143"/>
        <v>0</v>
      </c>
      <c r="J199" s="11">
        <f t="shared" si="144"/>
        <v>0</v>
      </c>
      <c r="K199" s="65"/>
      <c r="L199" s="82" t="s">
        <v>266</v>
      </c>
      <c r="M199" s="13"/>
      <c r="N199" s="14">
        <v>2</v>
      </c>
      <c r="O199" s="15"/>
      <c r="P199" s="49">
        <f t="shared" si="139"/>
        <v>2</v>
      </c>
      <c r="Q199" s="16"/>
      <c r="R199" s="14">
        <v>2</v>
      </c>
      <c r="S199" s="15"/>
      <c r="T199" s="49">
        <f t="shared" si="140"/>
        <v>2</v>
      </c>
      <c r="U199" s="11">
        <f t="shared" si="141"/>
        <v>4</v>
      </c>
      <c r="V199" s="98">
        <v>43820</v>
      </c>
    </row>
    <row r="200" spans="1:22" x14ac:dyDescent="0.15">
      <c r="A200" s="26"/>
      <c r="B200" s="8"/>
      <c r="C200" s="9"/>
      <c r="D200" s="10"/>
      <c r="E200" s="49">
        <f t="shared" si="142"/>
        <v>0</v>
      </c>
      <c r="F200" s="12"/>
      <c r="G200" s="9"/>
      <c r="H200" s="10"/>
      <c r="I200" s="49">
        <f t="shared" si="143"/>
        <v>0</v>
      </c>
      <c r="J200" s="11">
        <f t="shared" si="144"/>
        <v>0</v>
      </c>
      <c r="K200" s="62"/>
      <c r="L200" s="26" t="s">
        <v>267</v>
      </c>
      <c r="M200" s="8">
        <v>1</v>
      </c>
      <c r="N200" s="9"/>
      <c r="O200" s="10"/>
      <c r="P200" s="49">
        <f t="shared" si="139"/>
        <v>1</v>
      </c>
      <c r="Q200" s="12">
        <v>1</v>
      </c>
      <c r="R200" s="9"/>
      <c r="S200" s="10"/>
      <c r="T200" s="49">
        <f t="shared" si="140"/>
        <v>1</v>
      </c>
      <c r="U200" s="11">
        <f t="shared" si="141"/>
        <v>2</v>
      </c>
      <c r="V200" s="98">
        <v>43822</v>
      </c>
    </row>
    <row r="201" spans="1:22" x14ac:dyDescent="0.15">
      <c r="A201" s="26"/>
      <c r="B201" s="8"/>
      <c r="C201" s="9"/>
      <c r="D201" s="10"/>
      <c r="E201" s="49">
        <f t="shared" si="142"/>
        <v>0</v>
      </c>
      <c r="F201" s="12"/>
      <c r="G201" s="9"/>
      <c r="H201" s="10"/>
      <c r="I201" s="49">
        <f t="shared" si="143"/>
        <v>0</v>
      </c>
      <c r="J201" s="11">
        <f t="shared" si="144"/>
        <v>0</v>
      </c>
      <c r="K201" s="62"/>
      <c r="L201" s="26" t="s">
        <v>29</v>
      </c>
      <c r="M201" s="8"/>
      <c r="N201" s="9">
        <v>2</v>
      </c>
      <c r="O201" s="10">
        <v>3</v>
      </c>
      <c r="P201" s="49">
        <f t="shared" si="139"/>
        <v>5</v>
      </c>
      <c r="Q201" s="12"/>
      <c r="R201" s="9">
        <v>2</v>
      </c>
      <c r="S201" s="10">
        <v>3</v>
      </c>
      <c r="T201" s="49">
        <f t="shared" si="140"/>
        <v>5</v>
      </c>
      <c r="U201" s="11">
        <f t="shared" si="141"/>
        <v>10</v>
      </c>
      <c r="V201" s="98">
        <v>43824</v>
      </c>
    </row>
    <row r="202" spans="1:22" x14ac:dyDescent="0.15">
      <c r="A202" s="26"/>
      <c r="B202" s="8"/>
      <c r="C202" s="9"/>
      <c r="D202" s="10"/>
      <c r="E202" s="49">
        <f t="shared" si="142"/>
        <v>0</v>
      </c>
      <c r="F202" s="12"/>
      <c r="G202" s="9"/>
      <c r="H202" s="10"/>
      <c r="I202" s="49">
        <f t="shared" si="143"/>
        <v>0</v>
      </c>
      <c r="J202" s="11">
        <f t="shared" si="144"/>
        <v>0</v>
      </c>
      <c r="K202" s="62"/>
      <c r="L202" s="26" t="s">
        <v>269</v>
      </c>
      <c r="M202" s="8">
        <v>2</v>
      </c>
      <c r="N202" s="9"/>
      <c r="O202" s="10"/>
      <c r="P202" s="49">
        <f t="shared" ref="P202" si="145">SUM(M202:O202)</f>
        <v>2</v>
      </c>
      <c r="Q202" s="12">
        <v>2</v>
      </c>
      <c r="R202" s="9"/>
      <c r="S202" s="10"/>
      <c r="T202" s="49">
        <f t="shared" ref="T202" si="146">SUM(Q202:S202)</f>
        <v>2</v>
      </c>
      <c r="U202" s="11">
        <f t="shared" ref="U202" si="147">P202+T202</f>
        <v>4</v>
      </c>
      <c r="V202" s="98">
        <v>43825</v>
      </c>
    </row>
    <row r="203" spans="1:22" ht="14.25" thickBot="1" x14ac:dyDescent="0.2">
      <c r="A203" s="23"/>
      <c r="B203" s="13"/>
      <c r="C203" s="14"/>
      <c r="D203" s="15"/>
      <c r="E203" s="49">
        <f>SUM(B203:D203)</f>
        <v>0</v>
      </c>
      <c r="F203" s="16"/>
      <c r="G203" s="14"/>
      <c r="H203" s="15"/>
      <c r="I203" s="49">
        <f>SUM(F203:H203)</f>
        <v>0</v>
      </c>
      <c r="J203" s="11">
        <f>E203+I203</f>
        <v>0</v>
      </c>
      <c r="K203" s="62"/>
      <c r="L203" s="26" t="s">
        <v>271</v>
      </c>
      <c r="M203" s="8">
        <v>2</v>
      </c>
      <c r="N203" s="9">
        <v>2</v>
      </c>
      <c r="O203" s="10"/>
      <c r="P203" s="49">
        <f t="shared" si="139"/>
        <v>4</v>
      </c>
      <c r="Q203" s="12">
        <v>2</v>
      </c>
      <c r="R203" s="9">
        <v>2</v>
      </c>
      <c r="S203" s="10"/>
      <c r="T203" s="49">
        <f t="shared" si="140"/>
        <v>4</v>
      </c>
      <c r="U203" s="11">
        <f t="shared" si="141"/>
        <v>8</v>
      </c>
      <c r="V203" s="98">
        <v>43826</v>
      </c>
    </row>
    <row r="204" spans="1:22" ht="14.25" thickBot="1" x14ac:dyDescent="0.2">
      <c r="A204" s="41" t="s">
        <v>17</v>
      </c>
      <c r="B204" s="46">
        <f>SUM(B178:B203)</f>
        <v>1</v>
      </c>
      <c r="C204" s="47">
        <f t="shared" ref="C204:D204" si="148">SUM(C178:C203)</f>
        <v>5</v>
      </c>
      <c r="D204" s="58">
        <f t="shared" si="148"/>
        <v>3</v>
      </c>
      <c r="E204" s="45">
        <f t="shared" ref="E204" si="149">SUM(B204:D204)</f>
        <v>9</v>
      </c>
      <c r="F204" s="46">
        <f>SUM(F178:F203)</f>
        <v>1</v>
      </c>
      <c r="G204" s="47">
        <f t="shared" ref="G204:H204" si="150">SUM(G178:G203)</f>
        <v>5</v>
      </c>
      <c r="H204" s="58">
        <f t="shared" si="150"/>
        <v>3</v>
      </c>
      <c r="I204" s="45">
        <f t="shared" ref="I204" si="151">SUM(F204:H204)</f>
        <v>9</v>
      </c>
      <c r="J204" s="45">
        <f>E204+I204</f>
        <v>18</v>
      </c>
      <c r="K204" s="40"/>
      <c r="L204" s="41" t="s">
        <v>17</v>
      </c>
      <c r="M204" s="46">
        <f>SUM(M178:M203)</f>
        <v>78</v>
      </c>
      <c r="N204" s="47">
        <f t="shared" ref="N204:O204" si="152">SUM(N178:N203)</f>
        <v>100</v>
      </c>
      <c r="O204" s="58">
        <f t="shared" si="152"/>
        <v>50</v>
      </c>
      <c r="P204" s="45">
        <f t="shared" si="139"/>
        <v>228</v>
      </c>
      <c r="Q204" s="46">
        <f>SUM(Q178:Q203)</f>
        <v>78</v>
      </c>
      <c r="R204" s="47">
        <f t="shared" ref="R204:S204" si="153">SUM(R178:R203)</f>
        <v>100</v>
      </c>
      <c r="S204" s="58">
        <f t="shared" si="153"/>
        <v>50</v>
      </c>
      <c r="T204" s="45">
        <f t="shared" si="140"/>
        <v>228</v>
      </c>
      <c r="U204" s="45">
        <f>P204+T204</f>
        <v>456</v>
      </c>
    </row>
    <row r="205" spans="1:22" ht="14.25" thickBot="1" x14ac:dyDescent="0.2">
      <c r="A205" s="22" t="s">
        <v>16</v>
      </c>
      <c r="B205" s="50">
        <f>B177-B204</f>
        <v>3</v>
      </c>
      <c r="C205" s="56">
        <f t="shared" ref="C205:D205" si="154">C177-C204</f>
        <v>3</v>
      </c>
      <c r="D205" s="57">
        <f t="shared" si="154"/>
        <v>3</v>
      </c>
      <c r="E205" s="55">
        <f>SUM(B205:D205)</f>
        <v>9</v>
      </c>
      <c r="F205" s="50">
        <f>F177-F204</f>
        <v>3</v>
      </c>
      <c r="G205" s="56">
        <f t="shared" ref="G205:H205" si="155">G177-G204</f>
        <v>3</v>
      </c>
      <c r="H205" s="57">
        <f t="shared" si="155"/>
        <v>3</v>
      </c>
      <c r="I205" s="55">
        <f>SUM(F205:H205)</f>
        <v>9</v>
      </c>
      <c r="J205" s="31">
        <f>E205+I205</f>
        <v>18</v>
      </c>
      <c r="L205" s="22" t="s">
        <v>16</v>
      </c>
      <c r="M205" s="50">
        <f>M177-M204</f>
        <v>215</v>
      </c>
      <c r="N205" s="56">
        <f t="shared" ref="N205:O205" si="156">N177-N204</f>
        <v>335</v>
      </c>
      <c r="O205" s="57">
        <f t="shared" si="156"/>
        <v>250</v>
      </c>
      <c r="P205" s="55">
        <f>SUM(M205:O205)</f>
        <v>800</v>
      </c>
      <c r="Q205" s="50">
        <f>Q177-Q204</f>
        <v>215</v>
      </c>
      <c r="R205" s="56">
        <f t="shared" ref="R205:S205" si="157">R177-R204</f>
        <v>335</v>
      </c>
      <c r="S205" s="57">
        <f t="shared" si="157"/>
        <v>250</v>
      </c>
      <c r="T205" s="55">
        <f>SUM(Q205:S205)</f>
        <v>800</v>
      </c>
      <c r="U205" s="31">
        <f>P205+T205</f>
        <v>1600</v>
      </c>
    </row>
    <row r="206" spans="1:22" ht="19.5" thickBot="1" x14ac:dyDescent="0.25">
      <c r="A206" s="3" t="s">
        <v>18</v>
      </c>
      <c r="B206" s="1"/>
      <c r="C206" s="1"/>
      <c r="D206" s="1"/>
      <c r="E206" s="1"/>
      <c r="F206" s="1"/>
      <c r="G206" s="1"/>
      <c r="H206" s="1"/>
      <c r="I206" s="1"/>
      <c r="J206" s="1"/>
      <c r="L206" s="3" t="s">
        <v>19</v>
      </c>
      <c r="M206" s="1"/>
      <c r="N206" s="1"/>
      <c r="O206" s="1"/>
      <c r="P206" s="1"/>
      <c r="Q206" s="1"/>
      <c r="R206" s="1"/>
      <c r="S206" s="1"/>
      <c r="T206" s="1"/>
      <c r="U206" s="1"/>
    </row>
    <row r="207" spans="1:22" ht="14.25" thickBot="1" x14ac:dyDescent="0.2">
      <c r="A207" s="7"/>
      <c r="B207" s="176" t="s">
        <v>22</v>
      </c>
      <c r="C207" s="177"/>
      <c r="D207" s="177"/>
      <c r="E207" s="178"/>
      <c r="F207" s="176" t="s">
        <v>23</v>
      </c>
      <c r="G207" s="177"/>
      <c r="H207" s="177"/>
      <c r="I207" s="179"/>
      <c r="J207" s="174" t="s">
        <v>0</v>
      </c>
      <c r="L207" s="7"/>
      <c r="M207" s="169" t="s">
        <v>22</v>
      </c>
      <c r="N207" s="170"/>
      <c r="O207" s="170"/>
      <c r="P207" s="171"/>
      <c r="Q207" s="169" t="s">
        <v>23</v>
      </c>
      <c r="R207" s="170"/>
      <c r="S207" s="170"/>
      <c r="T207" s="171"/>
      <c r="U207" s="174" t="s">
        <v>0</v>
      </c>
    </row>
    <row r="208" spans="1:22" ht="14.25" thickBot="1" x14ac:dyDescent="0.2">
      <c r="A208" s="7" t="s">
        <v>1</v>
      </c>
      <c r="B208" s="4" t="s">
        <v>2</v>
      </c>
      <c r="C208" s="5" t="s">
        <v>3</v>
      </c>
      <c r="D208" s="6" t="s">
        <v>4</v>
      </c>
      <c r="E208" s="7" t="s">
        <v>5</v>
      </c>
      <c r="F208" s="4" t="s">
        <v>2</v>
      </c>
      <c r="G208" s="5" t="s">
        <v>3</v>
      </c>
      <c r="H208" s="6" t="s">
        <v>4</v>
      </c>
      <c r="I208" s="7" t="s">
        <v>5</v>
      </c>
      <c r="J208" s="175"/>
      <c r="L208" s="7" t="s">
        <v>1</v>
      </c>
      <c r="M208" s="4" t="s">
        <v>2</v>
      </c>
      <c r="N208" s="5" t="s">
        <v>3</v>
      </c>
      <c r="O208" s="6" t="s">
        <v>4</v>
      </c>
      <c r="P208" s="7" t="s">
        <v>5</v>
      </c>
      <c r="Q208" s="4" t="s">
        <v>2</v>
      </c>
      <c r="R208" s="5" t="s">
        <v>3</v>
      </c>
      <c r="S208" s="6" t="s">
        <v>4</v>
      </c>
      <c r="T208" s="7" t="s">
        <v>5</v>
      </c>
      <c r="U208" s="175"/>
    </row>
    <row r="209" spans="1:22" ht="14.25" thickBot="1" x14ac:dyDescent="0.2">
      <c r="A209" s="27" t="s">
        <v>16</v>
      </c>
      <c r="B209" s="38">
        <f>B205</f>
        <v>3</v>
      </c>
      <c r="C209" s="39">
        <f>C205</f>
        <v>3</v>
      </c>
      <c r="D209" s="2">
        <f>D205</f>
        <v>3</v>
      </c>
      <c r="E209" s="36">
        <f>SUM(B209:D209)</f>
        <v>9</v>
      </c>
      <c r="F209" s="38">
        <f>F205</f>
        <v>3</v>
      </c>
      <c r="G209" s="39">
        <f>G205</f>
        <v>3</v>
      </c>
      <c r="H209" s="2">
        <f>H205</f>
        <v>3</v>
      </c>
      <c r="I209" s="36">
        <f>SUM(F209:H209)</f>
        <v>9</v>
      </c>
      <c r="J209" s="36">
        <f>E209+I209</f>
        <v>18</v>
      </c>
      <c r="K209" s="63"/>
      <c r="L209" s="68" t="s">
        <v>16</v>
      </c>
      <c r="M209" s="42">
        <f>M205</f>
        <v>215</v>
      </c>
      <c r="N209" s="43">
        <f>N205</f>
        <v>335</v>
      </c>
      <c r="O209" s="60">
        <f>O205</f>
        <v>250</v>
      </c>
      <c r="P209" s="48">
        <f>SUM(M209:O209)</f>
        <v>800</v>
      </c>
      <c r="Q209" s="42">
        <f>Q205</f>
        <v>215</v>
      </c>
      <c r="R209" s="43">
        <f>R205</f>
        <v>335</v>
      </c>
      <c r="S209" s="60">
        <f>S205</f>
        <v>250</v>
      </c>
      <c r="T209" s="48">
        <f>SUM(Q209:S209)</f>
        <v>800</v>
      </c>
      <c r="U209" s="48">
        <f>P209+T209</f>
        <v>1600</v>
      </c>
    </row>
    <row r="210" spans="1:22" x14ac:dyDescent="0.15">
      <c r="A210" s="25"/>
      <c r="B210" s="42"/>
      <c r="C210" s="43"/>
      <c r="D210" s="44"/>
      <c r="E210" s="48">
        <f>SUM(B210:D210)</f>
        <v>0</v>
      </c>
      <c r="F210" s="59"/>
      <c r="G210" s="43"/>
      <c r="H210" s="60"/>
      <c r="I210" s="48">
        <f>SUM(F210:H210)</f>
        <v>0</v>
      </c>
      <c r="J210" s="48">
        <f>E210+I210</f>
        <v>0</v>
      </c>
      <c r="K210" s="62"/>
      <c r="L210" s="25" t="s">
        <v>7</v>
      </c>
      <c r="M210" s="73"/>
      <c r="N210" s="74"/>
      <c r="O210" s="75"/>
      <c r="P210" s="76">
        <f>SUM(M210:O210)</f>
        <v>0</v>
      </c>
      <c r="Q210" s="77"/>
      <c r="R210" s="74"/>
      <c r="S210" s="78"/>
      <c r="T210" s="76">
        <f>SUM(Q210:S210)</f>
        <v>0</v>
      </c>
      <c r="U210" s="48">
        <f>P210+T210</f>
        <v>0</v>
      </c>
    </row>
    <row r="211" spans="1:22" x14ac:dyDescent="0.15">
      <c r="A211" s="25"/>
      <c r="B211" s="8"/>
      <c r="C211" s="9"/>
      <c r="D211" s="52"/>
      <c r="E211" s="11">
        <f>SUM(B211:D211)</f>
        <v>0</v>
      </c>
      <c r="F211" s="12"/>
      <c r="G211" s="9"/>
      <c r="H211" s="10"/>
      <c r="I211" s="11">
        <f>SUM(F211:H211)</f>
        <v>0</v>
      </c>
      <c r="J211" s="11">
        <f>E211+I211</f>
        <v>0</v>
      </c>
      <c r="K211" s="62"/>
      <c r="L211" s="25" t="s">
        <v>8</v>
      </c>
      <c r="M211" s="17"/>
      <c r="N211" s="18"/>
      <c r="O211" s="51"/>
      <c r="P211" s="49">
        <f t="shared" ref="P211:P217" si="158">SUM(M211:O211)</f>
        <v>0</v>
      </c>
      <c r="Q211" s="17"/>
      <c r="R211" s="18"/>
      <c r="S211" s="51"/>
      <c r="T211" s="49">
        <f t="shared" ref="T211:T217" si="159">SUM(Q211:S211)</f>
        <v>0</v>
      </c>
      <c r="U211" s="11">
        <f t="shared" ref="U211:U217" si="160">P211+T211</f>
        <v>0</v>
      </c>
    </row>
    <row r="212" spans="1:22" x14ac:dyDescent="0.15">
      <c r="A212" s="25"/>
      <c r="B212" s="17"/>
      <c r="C212" s="18"/>
      <c r="D212" s="51"/>
      <c r="E212" s="11">
        <f t="shared" ref="E212:E217" si="161">SUM(B212:D212)</f>
        <v>0</v>
      </c>
      <c r="F212" s="20"/>
      <c r="G212" s="18"/>
      <c r="H212" s="19"/>
      <c r="I212" s="11">
        <f t="shared" ref="I212:I217" si="162">SUM(F212:H212)</f>
        <v>0</v>
      </c>
      <c r="J212" s="11">
        <f t="shared" ref="J212:J217" si="163">E212+I212</f>
        <v>0</v>
      </c>
      <c r="K212" s="62"/>
      <c r="L212" s="25" t="s">
        <v>9</v>
      </c>
      <c r="M212" s="17"/>
      <c r="N212" s="18"/>
      <c r="O212" s="51"/>
      <c r="P212" s="11">
        <f t="shared" si="158"/>
        <v>0</v>
      </c>
      <c r="Q212" s="20"/>
      <c r="R212" s="18"/>
      <c r="S212" s="19"/>
      <c r="T212" s="11">
        <f t="shared" si="159"/>
        <v>0</v>
      </c>
      <c r="U212" s="11">
        <f t="shared" si="160"/>
        <v>0</v>
      </c>
      <c r="V212" s="100"/>
    </row>
    <row r="213" spans="1:22" x14ac:dyDescent="0.15">
      <c r="A213" s="25"/>
      <c r="B213" s="8"/>
      <c r="C213" s="9"/>
      <c r="D213" s="52"/>
      <c r="E213" s="11">
        <f t="shared" si="161"/>
        <v>0</v>
      </c>
      <c r="F213" s="12"/>
      <c r="G213" s="9"/>
      <c r="H213" s="10"/>
      <c r="I213" s="11">
        <f t="shared" si="162"/>
        <v>0</v>
      </c>
      <c r="J213" s="11">
        <f t="shared" si="163"/>
        <v>0</v>
      </c>
      <c r="K213" s="62"/>
      <c r="L213" s="25" t="s">
        <v>10</v>
      </c>
      <c r="M213" s="8"/>
      <c r="N213" s="9"/>
      <c r="O213" s="52"/>
      <c r="P213" s="11">
        <f t="shared" si="158"/>
        <v>0</v>
      </c>
      <c r="Q213" s="12"/>
      <c r="R213" s="9"/>
      <c r="S213" s="10"/>
      <c r="T213" s="11">
        <f t="shared" si="159"/>
        <v>0</v>
      </c>
      <c r="U213" s="11">
        <f t="shared" si="160"/>
        <v>0</v>
      </c>
    </row>
    <row r="214" spans="1:22" x14ac:dyDescent="0.15">
      <c r="A214" s="25"/>
      <c r="B214" s="8"/>
      <c r="C214" s="9"/>
      <c r="D214" s="52"/>
      <c r="E214" s="11">
        <f t="shared" si="161"/>
        <v>0</v>
      </c>
      <c r="F214" s="12"/>
      <c r="G214" s="9"/>
      <c r="H214" s="10"/>
      <c r="I214" s="11">
        <f t="shared" si="162"/>
        <v>0</v>
      </c>
      <c r="J214" s="11">
        <f t="shared" si="163"/>
        <v>0</v>
      </c>
      <c r="K214" s="62"/>
      <c r="L214" s="25" t="s">
        <v>11</v>
      </c>
      <c r="M214" s="8"/>
      <c r="N214" s="9"/>
      <c r="O214" s="52"/>
      <c r="P214" s="11">
        <f t="shared" si="158"/>
        <v>0</v>
      </c>
      <c r="Q214" s="12"/>
      <c r="R214" s="9"/>
      <c r="S214" s="10"/>
      <c r="T214" s="11">
        <f t="shared" si="159"/>
        <v>0</v>
      </c>
      <c r="U214" s="11">
        <f t="shared" si="160"/>
        <v>0</v>
      </c>
    </row>
    <row r="215" spans="1:22" x14ac:dyDescent="0.15">
      <c r="A215" s="25"/>
      <c r="B215" s="8"/>
      <c r="C215" s="9"/>
      <c r="D215" s="52"/>
      <c r="E215" s="11">
        <f t="shared" si="161"/>
        <v>0</v>
      </c>
      <c r="F215" s="12"/>
      <c r="G215" s="9"/>
      <c r="H215" s="10"/>
      <c r="I215" s="11">
        <f t="shared" si="162"/>
        <v>0</v>
      </c>
      <c r="J215" s="11">
        <f t="shared" si="163"/>
        <v>0</v>
      </c>
      <c r="K215" s="62"/>
      <c r="L215" s="25" t="s">
        <v>12</v>
      </c>
      <c r="M215" s="17"/>
      <c r="N215" s="18"/>
      <c r="O215" s="51"/>
      <c r="P215" s="49">
        <f t="shared" si="158"/>
        <v>0</v>
      </c>
      <c r="Q215" s="17"/>
      <c r="R215" s="18"/>
      <c r="S215" s="51"/>
      <c r="T215" s="49">
        <f t="shared" si="159"/>
        <v>0</v>
      </c>
      <c r="U215" s="11">
        <f t="shared" si="160"/>
        <v>0</v>
      </c>
    </row>
    <row r="216" spans="1:22" x14ac:dyDescent="0.15">
      <c r="A216" s="25"/>
      <c r="B216" s="13"/>
      <c r="C216" s="14"/>
      <c r="D216" s="53"/>
      <c r="E216" s="11">
        <f t="shared" si="161"/>
        <v>0</v>
      </c>
      <c r="F216" s="16"/>
      <c r="G216" s="14"/>
      <c r="H216" s="15"/>
      <c r="I216" s="11">
        <f t="shared" si="162"/>
        <v>0</v>
      </c>
      <c r="J216" s="11">
        <f t="shared" si="163"/>
        <v>0</v>
      </c>
      <c r="K216" s="64"/>
      <c r="L216" s="25" t="s">
        <v>13</v>
      </c>
      <c r="M216" s="13"/>
      <c r="N216" s="14"/>
      <c r="O216" s="53"/>
      <c r="P216" s="11">
        <f t="shared" si="158"/>
        <v>0</v>
      </c>
      <c r="Q216" s="16"/>
      <c r="R216" s="14"/>
      <c r="S216" s="15"/>
      <c r="T216" s="11">
        <f t="shared" si="159"/>
        <v>0</v>
      </c>
      <c r="U216" s="11">
        <f t="shared" si="160"/>
        <v>0</v>
      </c>
    </row>
    <row r="217" spans="1:22" ht="14.25" thickBot="1" x14ac:dyDescent="0.2">
      <c r="A217" s="25"/>
      <c r="B217" s="32"/>
      <c r="C217" s="33"/>
      <c r="D217" s="54"/>
      <c r="E217" s="61">
        <f t="shared" si="161"/>
        <v>0</v>
      </c>
      <c r="F217" s="34"/>
      <c r="G217" s="34"/>
      <c r="H217" s="37"/>
      <c r="I217" s="61">
        <f t="shared" si="162"/>
        <v>0</v>
      </c>
      <c r="J217" s="21">
        <f t="shared" si="163"/>
        <v>0</v>
      </c>
      <c r="K217" s="62"/>
      <c r="L217" s="25" t="s">
        <v>14</v>
      </c>
      <c r="M217" s="32"/>
      <c r="N217" s="33"/>
      <c r="O217" s="54"/>
      <c r="P217" s="61">
        <f t="shared" si="158"/>
        <v>0</v>
      </c>
      <c r="Q217" s="34"/>
      <c r="R217" s="34"/>
      <c r="S217" s="37"/>
      <c r="T217" s="61">
        <f t="shared" si="159"/>
        <v>0</v>
      </c>
      <c r="U217" s="21">
        <f t="shared" si="160"/>
        <v>0</v>
      </c>
    </row>
    <row r="218" spans="1:22" ht="14.25" thickBot="1" x14ac:dyDescent="0.2">
      <c r="A218" s="35" t="s">
        <v>15</v>
      </c>
      <c r="B218" s="28">
        <f>SUM(B209:B217)</f>
        <v>3</v>
      </c>
      <c r="C218" s="29">
        <f>SUM(C209:C217)</f>
        <v>3</v>
      </c>
      <c r="D218" s="30">
        <f>SUM(D209:D217)</f>
        <v>3</v>
      </c>
      <c r="E218" s="31">
        <f>SUM(B218:D218)</f>
        <v>9</v>
      </c>
      <c r="F218" s="28">
        <f>SUM(F209:F217)</f>
        <v>3</v>
      </c>
      <c r="G218" s="29">
        <f>SUM(G209:G217)</f>
        <v>3</v>
      </c>
      <c r="H218" s="30">
        <f>SUM(H209:H217)</f>
        <v>3</v>
      </c>
      <c r="I218" s="31">
        <f>SUM(F218:H218)</f>
        <v>9</v>
      </c>
      <c r="J218" s="31">
        <f>E218+I218</f>
        <v>18</v>
      </c>
      <c r="L218" s="35" t="s">
        <v>15</v>
      </c>
      <c r="M218" s="28">
        <f>SUM(M209:M217)</f>
        <v>215</v>
      </c>
      <c r="N218" s="29">
        <f>SUM(N209:N217)</f>
        <v>335</v>
      </c>
      <c r="O218" s="30">
        <f>SUM(O209:O217)</f>
        <v>250</v>
      </c>
      <c r="P218" s="31">
        <f>SUM(M218:O218)</f>
        <v>800</v>
      </c>
      <c r="Q218" s="28">
        <f>SUM(Q209:Q217)</f>
        <v>215</v>
      </c>
      <c r="R218" s="29">
        <f>SUM(R209:R217)</f>
        <v>335</v>
      </c>
      <c r="S218" s="30">
        <f>SUM(S209:S217)</f>
        <v>250</v>
      </c>
      <c r="T218" s="31">
        <f>SUM(Q218:S218)</f>
        <v>800</v>
      </c>
      <c r="U218" s="31">
        <f>P218+T218</f>
        <v>1600</v>
      </c>
    </row>
    <row r="219" spans="1:22" x14ac:dyDescent="0.15">
      <c r="A219" s="26"/>
      <c r="B219" s="13"/>
      <c r="C219" s="14"/>
      <c r="D219" s="15"/>
      <c r="E219" s="49">
        <f>SUM(B219:D219)</f>
        <v>0</v>
      </c>
      <c r="F219" s="16"/>
      <c r="G219" s="14"/>
      <c r="H219" s="15"/>
      <c r="I219" s="49">
        <f>SUM(F219:H219)</f>
        <v>0</v>
      </c>
      <c r="J219" s="11">
        <f>E219+I219</f>
        <v>0</v>
      </c>
      <c r="K219" s="62"/>
      <c r="L219" s="26" t="s">
        <v>270</v>
      </c>
      <c r="M219" s="8">
        <v>8</v>
      </c>
      <c r="N219" s="9">
        <v>5</v>
      </c>
      <c r="O219" s="10">
        <v>4</v>
      </c>
      <c r="P219" s="49">
        <f t="shared" ref="P219" si="164">SUM(M219:O219)</f>
        <v>17</v>
      </c>
      <c r="Q219" s="12">
        <v>8</v>
      </c>
      <c r="R219" s="9">
        <v>5</v>
      </c>
      <c r="S219" s="10">
        <v>4</v>
      </c>
      <c r="T219" s="49">
        <f t="shared" ref="T219" si="165">SUM(Q219:S219)</f>
        <v>17</v>
      </c>
      <c r="U219" s="11">
        <f t="shared" ref="U219" si="166">P219+T219</f>
        <v>34</v>
      </c>
      <c r="V219" s="98">
        <v>43827</v>
      </c>
    </row>
    <row r="220" spans="1:22" x14ac:dyDescent="0.15">
      <c r="A220" s="26"/>
      <c r="B220" s="8"/>
      <c r="C220" s="9"/>
      <c r="D220" s="10"/>
      <c r="E220" s="49">
        <f t="shared" ref="E220:E221" si="167">SUM(B220:D220)</f>
        <v>0</v>
      </c>
      <c r="F220" s="12"/>
      <c r="G220" s="9"/>
      <c r="H220" s="10"/>
      <c r="I220" s="49">
        <f t="shared" ref="I220:I221" si="168">SUM(F220:H220)</f>
        <v>0</v>
      </c>
      <c r="J220" s="11">
        <f t="shared" ref="J220:J221" si="169">E220+I220</f>
        <v>0</v>
      </c>
      <c r="K220" s="62"/>
      <c r="L220" s="26" t="s">
        <v>274</v>
      </c>
      <c r="M220" s="8"/>
      <c r="N220" s="9"/>
      <c r="O220" s="10">
        <v>5</v>
      </c>
      <c r="P220" s="49">
        <f t="shared" ref="P220" si="170">SUM(M220:O220)</f>
        <v>5</v>
      </c>
      <c r="Q220" s="12"/>
      <c r="R220" s="9"/>
      <c r="S220" s="10">
        <v>5</v>
      </c>
      <c r="T220" s="49">
        <f t="shared" ref="T220" si="171">SUM(Q220:S220)</f>
        <v>5</v>
      </c>
      <c r="U220" s="11">
        <f t="shared" ref="U220" si="172">P220+T220</f>
        <v>10</v>
      </c>
      <c r="V220" s="98">
        <v>43838</v>
      </c>
    </row>
    <row r="221" spans="1:22" x14ac:dyDescent="0.15">
      <c r="A221" s="26"/>
      <c r="B221" s="8"/>
      <c r="C221" s="9"/>
      <c r="D221" s="10"/>
      <c r="E221" s="49">
        <f t="shared" si="167"/>
        <v>0</v>
      </c>
      <c r="F221" s="12"/>
      <c r="G221" s="9"/>
      <c r="H221" s="10"/>
      <c r="I221" s="49">
        <f t="shared" si="168"/>
        <v>0</v>
      </c>
      <c r="J221" s="11">
        <f t="shared" si="169"/>
        <v>0</v>
      </c>
      <c r="K221" s="62"/>
      <c r="L221" s="26" t="s">
        <v>275</v>
      </c>
      <c r="M221" s="13">
        <v>2</v>
      </c>
      <c r="N221" s="14"/>
      <c r="O221" s="15">
        <v>1</v>
      </c>
      <c r="P221" s="49">
        <f>SUM(M221:O221)</f>
        <v>3</v>
      </c>
      <c r="Q221" s="16">
        <v>2</v>
      </c>
      <c r="R221" s="14"/>
      <c r="S221" s="15">
        <v>1</v>
      </c>
      <c r="T221" s="49">
        <f>SUM(Q221:S221)</f>
        <v>3</v>
      </c>
      <c r="U221" s="11">
        <f>P221+T221</f>
        <v>6</v>
      </c>
      <c r="V221" s="98">
        <v>43839</v>
      </c>
    </row>
    <row r="222" spans="1:22" x14ac:dyDescent="0.15">
      <c r="A222" s="26"/>
      <c r="B222" s="13"/>
      <c r="C222" s="14"/>
      <c r="D222" s="15"/>
      <c r="E222" s="49">
        <f>SUM(B222:D222)</f>
        <v>0</v>
      </c>
      <c r="F222" s="16"/>
      <c r="G222" s="14"/>
      <c r="H222" s="15"/>
      <c r="I222" s="49">
        <f>SUM(F222:H222)</f>
        <v>0</v>
      </c>
      <c r="J222" s="11">
        <f>E222+I222</f>
        <v>0</v>
      </c>
      <c r="K222" s="62"/>
      <c r="L222" s="26" t="s">
        <v>276</v>
      </c>
      <c r="M222" s="8">
        <v>2</v>
      </c>
      <c r="N222" s="9">
        <v>4</v>
      </c>
      <c r="O222" s="10"/>
      <c r="P222" s="49">
        <f t="shared" ref="P222:P245" si="173">SUM(M222:O222)</f>
        <v>6</v>
      </c>
      <c r="Q222" s="12">
        <v>2</v>
      </c>
      <c r="R222" s="9">
        <v>4</v>
      </c>
      <c r="S222" s="10"/>
      <c r="T222" s="49">
        <f t="shared" ref="T222:T245" si="174">SUM(Q222:S222)</f>
        <v>6</v>
      </c>
      <c r="U222" s="11">
        <f t="shared" ref="U222:U240" si="175">P222+T222</f>
        <v>12</v>
      </c>
      <c r="V222" s="98">
        <v>43840</v>
      </c>
    </row>
    <row r="223" spans="1:22" x14ac:dyDescent="0.15">
      <c r="A223" s="26"/>
      <c r="B223" s="8"/>
      <c r="C223" s="9"/>
      <c r="D223" s="10"/>
      <c r="E223" s="49">
        <f t="shared" ref="E223:E243" si="176">SUM(B223:D223)</f>
        <v>0</v>
      </c>
      <c r="F223" s="12"/>
      <c r="G223" s="9"/>
      <c r="H223" s="10"/>
      <c r="I223" s="49">
        <f t="shared" ref="I223:I243" si="177">SUM(F223:H223)</f>
        <v>0</v>
      </c>
      <c r="J223" s="11">
        <f t="shared" ref="J223:J243" si="178">E223+I223</f>
        <v>0</v>
      </c>
      <c r="K223" s="62"/>
      <c r="L223" s="26" t="s">
        <v>277</v>
      </c>
      <c r="M223" s="8">
        <v>2</v>
      </c>
      <c r="N223" s="9">
        <v>4</v>
      </c>
      <c r="O223" s="10">
        <v>4</v>
      </c>
      <c r="P223" s="49">
        <f t="shared" si="173"/>
        <v>10</v>
      </c>
      <c r="Q223" s="12">
        <v>2</v>
      </c>
      <c r="R223" s="9">
        <v>4</v>
      </c>
      <c r="S223" s="10">
        <v>4</v>
      </c>
      <c r="T223" s="49">
        <f t="shared" si="174"/>
        <v>10</v>
      </c>
      <c r="U223" s="11">
        <f t="shared" si="175"/>
        <v>20</v>
      </c>
      <c r="V223" s="98">
        <v>43841</v>
      </c>
    </row>
    <row r="224" spans="1:22" x14ac:dyDescent="0.15">
      <c r="A224" s="26"/>
      <c r="B224" s="8"/>
      <c r="C224" s="9"/>
      <c r="D224" s="10"/>
      <c r="E224" s="49">
        <f t="shared" si="176"/>
        <v>0</v>
      </c>
      <c r="F224" s="12"/>
      <c r="G224" s="9"/>
      <c r="H224" s="10"/>
      <c r="I224" s="49">
        <f t="shared" si="177"/>
        <v>0</v>
      </c>
      <c r="J224" s="11">
        <f t="shared" si="178"/>
        <v>0</v>
      </c>
      <c r="K224" s="62"/>
      <c r="L224" s="26" t="s">
        <v>278</v>
      </c>
      <c r="M224" s="8">
        <v>3</v>
      </c>
      <c r="N224" s="9">
        <v>3</v>
      </c>
      <c r="O224" s="10">
        <v>4</v>
      </c>
      <c r="P224" s="49">
        <f t="shared" si="173"/>
        <v>10</v>
      </c>
      <c r="Q224" s="12">
        <v>3</v>
      </c>
      <c r="R224" s="9">
        <v>3</v>
      </c>
      <c r="S224" s="10">
        <v>4</v>
      </c>
      <c r="T224" s="49">
        <f t="shared" si="174"/>
        <v>10</v>
      </c>
      <c r="U224" s="11">
        <f t="shared" si="175"/>
        <v>20</v>
      </c>
      <c r="V224" s="98">
        <v>43843</v>
      </c>
    </row>
    <row r="225" spans="1:24" x14ac:dyDescent="0.15">
      <c r="A225" s="26"/>
      <c r="B225" s="8"/>
      <c r="C225" s="9"/>
      <c r="D225" s="10"/>
      <c r="E225" s="49">
        <f t="shared" si="176"/>
        <v>0</v>
      </c>
      <c r="F225" s="12"/>
      <c r="G225" s="9"/>
      <c r="H225" s="10"/>
      <c r="I225" s="49">
        <f t="shared" si="177"/>
        <v>0</v>
      </c>
      <c r="J225" s="11">
        <f t="shared" si="178"/>
        <v>0</v>
      </c>
      <c r="K225" s="62"/>
      <c r="L225" s="26" t="s">
        <v>279</v>
      </c>
      <c r="M225" s="8">
        <v>4</v>
      </c>
      <c r="N225" s="9">
        <v>1</v>
      </c>
      <c r="O225" s="10">
        <v>3</v>
      </c>
      <c r="P225" s="49">
        <f t="shared" si="173"/>
        <v>8</v>
      </c>
      <c r="Q225" s="12">
        <v>4</v>
      </c>
      <c r="R225" s="9">
        <v>1</v>
      </c>
      <c r="S225" s="10">
        <v>3</v>
      </c>
      <c r="T225" s="49">
        <f t="shared" si="174"/>
        <v>8</v>
      </c>
      <c r="U225" s="11">
        <f t="shared" si="175"/>
        <v>16</v>
      </c>
      <c r="V225" s="98">
        <v>43845</v>
      </c>
      <c r="W225" s="66"/>
    </row>
    <row r="226" spans="1:24" x14ac:dyDescent="0.15">
      <c r="A226" s="26"/>
      <c r="B226" s="8"/>
      <c r="C226" s="9"/>
      <c r="D226" s="10"/>
      <c r="E226" s="49">
        <f t="shared" si="176"/>
        <v>0</v>
      </c>
      <c r="F226" s="12"/>
      <c r="G226" s="9"/>
      <c r="H226" s="10"/>
      <c r="I226" s="49">
        <f t="shared" si="177"/>
        <v>0</v>
      </c>
      <c r="J226" s="11">
        <f t="shared" si="178"/>
        <v>0</v>
      </c>
      <c r="K226" s="62"/>
      <c r="L226" s="26" t="s">
        <v>280</v>
      </c>
      <c r="M226" s="8">
        <v>3</v>
      </c>
      <c r="N226" s="9">
        <v>6</v>
      </c>
      <c r="O226" s="10">
        <v>1</v>
      </c>
      <c r="P226" s="49">
        <f t="shared" si="173"/>
        <v>10</v>
      </c>
      <c r="Q226" s="12">
        <v>3</v>
      </c>
      <c r="R226" s="9">
        <v>6</v>
      </c>
      <c r="S226" s="10">
        <v>1</v>
      </c>
      <c r="T226" s="49">
        <f t="shared" si="174"/>
        <v>10</v>
      </c>
      <c r="U226" s="11">
        <f t="shared" si="175"/>
        <v>20</v>
      </c>
      <c r="V226" s="98">
        <v>43846</v>
      </c>
    </row>
    <row r="227" spans="1:24" x14ac:dyDescent="0.15">
      <c r="A227" s="26"/>
      <c r="B227" s="8"/>
      <c r="C227" s="9"/>
      <c r="D227" s="10"/>
      <c r="E227" s="49">
        <f t="shared" si="176"/>
        <v>0</v>
      </c>
      <c r="F227" s="12"/>
      <c r="G227" s="9"/>
      <c r="H227" s="10"/>
      <c r="I227" s="49">
        <f t="shared" si="177"/>
        <v>0</v>
      </c>
      <c r="J227" s="11">
        <f t="shared" si="178"/>
        <v>0</v>
      </c>
      <c r="K227" s="62"/>
      <c r="L227" s="26" t="s">
        <v>281</v>
      </c>
      <c r="M227" s="8">
        <v>2</v>
      </c>
      <c r="N227" s="9">
        <v>1</v>
      </c>
      <c r="O227" s="10">
        <v>1</v>
      </c>
      <c r="P227" s="49">
        <f t="shared" si="173"/>
        <v>4</v>
      </c>
      <c r="Q227" s="12">
        <v>2</v>
      </c>
      <c r="R227" s="9">
        <v>1</v>
      </c>
      <c r="S227" s="10">
        <v>1</v>
      </c>
      <c r="T227" s="49">
        <f t="shared" si="174"/>
        <v>4</v>
      </c>
      <c r="U227" s="11">
        <f t="shared" si="175"/>
        <v>8</v>
      </c>
      <c r="V227" s="98">
        <v>43847</v>
      </c>
    </row>
    <row r="228" spans="1:24" x14ac:dyDescent="0.15">
      <c r="A228" s="26"/>
      <c r="B228" s="13"/>
      <c r="C228" s="14"/>
      <c r="D228" s="15"/>
      <c r="E228" s="49">
        <f t="shared" si="176"/>
        <v>0</v>
      </c>
      <c r="F228" s="16"/>
      <c r="G228" s="14"/>
      <c r="H228" s="15"/>
      <c r="I228" s="49">
        <f t="shared" si="177"/>
        <v>0</v>
      </c>
      <c r="J228" s="11">
        <f t="shared" si="178"/>
        <v>0</v>
      </c>
      <c r="K228" s="62"/>
      <c r="L228" s="26" t="s">
        <v>283</v>
      </c>
      <c r="M228" s="13">
        <v>6</v>
      </c>
      <c r="N228" s="14">
        <v>3</v>
      </c>
      <c r="O228" s="15">
        <v>4</v>
      </c>
      <c r="P228" s="49">
        <f t="shared" si="173"/>
        <v>13</v>
      </c>
      <c r="Q228" s="16">
        <v>6</v>
      </c>
      <c r="R228" s="14">
        <v>3</v>
      </c>
      <c r="S228" s="15">
        <v>4</v>
      </c>
      <c r="T228" s="49">
        <f t="shared" si="174"/>
        <v>13</v>
      </c>
      <c r="U228" s="11">
        <f t="shared" si="175"/>
        <v>26</v>
      </c>
      <c r="V228" s="98">
        <v>43848</v>
      </c>
    </row>
    <row r="229" spans="1:24" x14ac:dyDescent="0.15">
      <c r="A229" s="26"/>
      <c r="B229" s="8"/>
      <c r="C229" s="9"/>
      <c r="D229" s="10"/>
      <c r="E229" s="49">
        <f t="shared" si="176"/>
        <v>0</v>
      </c>
      <c r="F229" s="12"/>
      <c r="G229" s="9"/>
      <c r="H229" s="10"/>
      <c r="I229" s="49">
        <f t="shared" si="177"/>
        <v>0</v>
      </c>
      <c r="J229" s="11">
        <f t="shared" si="178"/>
        <v>0</v>
      </c>
      <c r="K229" s="62"/>
      <c r="L229" s="26" t="s">
        <v>284</v>
      </c>
      <c r="M229" s="8">
        <v>3</v>
      </c>
      <c r="N229" s="9"/>
      <c r="O229" s="10">
        <v>1</v>
      </c>
      <c r="P229" s="49">
        <f t="shared" si="173"/>
        <v>4</v>
      </c>
      <c r="Q229" s="12">
        <v>3</v>
      </c>
      <c r="R229" s="9"/>
      <c r="S229" s="10">
        <v>1</v>
      </c>
      <c r="T229" s="49">
        <f t="shared" si="174"/>
        <v>4</v>
      </c>
      <c r="U229" s="11">
        <f t="shared" si="175"/>
        <v>8</v>
      </c>
      <c r="V229" s="98">
        <v>43850</v>
      </c>
    </row>
    <row r="230" spans="1:24" x14ac:dyDescent="0.15">
      <c r="A230" s="26"/>
      <c r="B230" s="8"/>
      <c r="C230" s="9"/>
      <c r="D230" s="10"/>
      <c r="E230" s="49">
        <f t="shared" si="176"/>
        <v>0</v>
      </c>
      <c r="F230" s="12"/>
      <c r="G230" s="9"/>
      <c r="H230" s="10"/>
      <c r="I230" s="49">
        <f t="shared" si="177"/>
        <v>0</v>
      </c>
      <c r="J230" s="11">
        <f t="shared" si="178"/>
        <v>0</v>
      </c>
      <c r="K230" s="62"/>
      <c r="L230" s="26" t="s">
        <v>285</v>
      </c>
      <c r="M230" s="8"/>
      <c r="N230" s="9">
        <v>2</v>
      </c>
      <c r="O230" s="10">
        <v>1</v>
      </c>
      <c r="P230" s="49">
        <f t="shared" si="173"/>
        <v>3</v>
      </c>
      <c r="Q230" s="12"/>
      <c r="R230" s="9">
        <v>2</v>
      </c>
      <c r="S230" s="10">
        <v>1</v>
      </c>
      <c r="T230" s="49">
        <f t="shared" si="174"/>
        <v>3</v>
      </c>
      <c r="U230" s="11">
        <f t="shared" si="175"/>
        <v>6</v>
      </c>
      <c r="V230" s="98">
        <v>43851</v>
      </c>
      <c r="W230" s="66"/>
      <c r="X230" s="66"/>
    </row>
    <row r="231" spans="1:24" x14ac:dyDescent="0.15">
      <c r="A231" s="26"/>
      <c r="B231" s="8"/>
      <c r="C231" s="9"/>
      <c r="D231" s="10"/>
      <c r="E231" s="49">
        <f t="shared" si="176"/>
        <v>0</v>
      </c>
      <c r="F231" s="12"/>
      <c r="G231" s="9"/>
      <c r="H231" s="10"/>
      <c r="I231" s="49">
        <f t="shared" si="177"/>
        <v>0</v>
      </c>
      <c r="J231" s="11">
        <f t="shared" si="178"/>
        <v>0</v>
      </c>
      <c r="K231" s="62"/>
      <c r="L231" s="26" t="s">
        <v>286</v>
      </c>
      <c r="M231" s="8">
        <v>1</v>
      </c>
      <c r="N231" s="9">
        <v>1</v>
      </c>
      <c r="O231" s="10">
        <v>6</v>
      </c>
      <c r="P231" s="49">
        <f t="shared" si="173"/>
        <v>8</v>
      </c>
      <c r="Q231" s="12">
        <v>1</v>
      </c>
      <c r="R231" s="9">
        <v>1</v>
      </c>
      <c r="S231" s="10">
        <v>6</v>
      </c>
      <c r="T231" s="49">
        <f t="shared" si="174"/>
        <v>8</v>
      </c>
      <c r="U231" s="11">
        <f t="shared" si="175"/>
        <v>16</v>
      </c>
      <c r="V231" s="98">
        <v>43852</v>
      </c>
    </row>
    <row r="232" spans="1:24" x14ac:dyDescent="0.15">
      <c r="A232" s="26"/>
      <c r="B232" s="8"/>
      <c r="C232" s="9"/>
      <c r="D232" s="10"/>
      <c r="E232" s="49">
        <f t="shared" si="176"/>
        <v>0</v>
      </c>
      <c r="F232" s="12"/>
      <c r="G232" s="9"/>
      <c r="H232" s="10"/>
      <c r="I232" s="49">
        <f t="shared" si="177"/>
        <v>0</v>
      </c>
      <c r="J232" s="11">
        <f t="shared" si="178"/>
        <v>0</v>
      </c>
      <c r="K232" s="62"/>
      <c r="L232" s="26" t="s">
        <v>287</v>
      </c>
      <c r="M232" s="8"/>
      <c r="N232" s="9">
        <v>1</v>
      </c>
      <c r="O232" s="10"/>
      <c r="P232" s="49">
        <f t="shared" si="173"/>
        <v>1</v>
      </c>
      <c r="Q232" s="12"/>
      <c r="R232" s="9">
        <v>1</v>
      </c>
      <c r="S232" s="10"/>
      <c r="T232" s="49">
        <f t="shared" si="174"/>
        <v>1</v>
      </c>
      <c r="U232" s="11">
        <f t="shared" si="175"/>
        <v>2</v>
      </c>
      <c r="V232" s="98">
        <v>43853</v>
      </c>
    </row>
    <row r="233" spans="1:24" x14ac:dyDescent="0.15">
      <c r="A233" s="26"/>
      <c r="B233" s="8"/>
      <c r="C233" s="9"/>
      <c r="D233" s="10"/>
      <c r="E233" s="49">
        <f t="shared" si="176"/>
        <v>0</v>
      </c>
      <c r="F233" s="12"/>
      <c r="G233" s="9"/>
      <c r="H233" s="10"/>
      <c r="I233" s="49">
        <f t="shared" si="177"/>
        <v>0</v>
      </c>
      <c r="J233" s="11">
        <f t="shared" si="178"/>
        <v>0</v>
      </c>
      <c r="K233" s="62"/>
      <c r="L233" s="26" t="s">
        <v>288</v>
      </c>
      <c r="M233" s="8">
        <v>1</v>
      </c>
      <c r="N233" s="9"/>
      <c r="O233" s="10">
        <v>2</v>
      </c>
      <c r="P233" s="49">
        <f t="shared" si="173"/>
        <v>3</v>
      </c>
      <c r="Q233" s="12">
        <v>1</v>
      </c>
      <c r="R233" s="9"/>
      <c r="S233" s="10">
        <v>2</v>
      </c>
      <c r="T233" s="49">
        <f t="shared" si="174"/>
        <v>3</v>
      </c>
      <c r="U233" s="11">
        <f t="shared" si="175"/>
        <v>6</v>
      </c>
      <c r="V233" s="98">
        <v>43854</v>
      </c>
    </row>
    <row r="234" spans="1:24" x14ac:dyDescent="0.15">
      <c r="A234" s="26"/>
      <c r="B234" s="8"/>
      <c r="C234" s="9"/>
      <c r="D234" s="10"/>
      <c r="E234" s="49">
        <f t="shared" si="176"/>
        <v>0</v>
      </c>
      <c r="F234" s="12"/>
      <c r="G234" s="9"/>
      <c r="H234" s="10"/>
      <c r="I234" s="49">
        <f t="shared" si="177"/>
        <v>0</v>
      </c>
      <c r="J234" s="11">
        <f t="shared" si="178"/>
        <v>0</v>
      </c>
      <c r="K234" s="62"/>
      <c r="L234" s="26" t="s">
        <v>236</v>
      </c>
      <c r="M234" s="13">
        <v>20</v>
      </c>
      <c r="N234" s="14">
        <v>20</v>
      </c>
      <c r="O234" s="15">
        <v>20</v>
      </c>
      <c r="P234" s="49">
        <f>SUM(M234:O234)</f>
        <v>60</v>
      </c>
      <c r="Q234" s="16">
        <v>20</v>
      </c>
      <c r="R234" s="14">
        <v>20</v>
      </c>
      <c r="S234" s="15">
        <v>20</v>
      </c>
      <c r="T234" s="49">
        <f>SUM(Q234:S234)</f>
        <v>60</v>
      </c>
      <c r="U234" s="11">
        <f>P234+T234</f>
        <v>120</v>
      </c>
      <c r="V234" s="98">
        <v>43495</v>
      </c>
    </row>
    <row r="235" spans="1:24" x14ac:dyDescent="0.15">
      <c r="A235" s="26"/>
      <c r="B235" s="8"/>
      <c r="C235" s="9"/>
      <c r="D235" s="10"/>
      <c r="E235" s="49">
        <f t="shared" si="176"/>
        <v>0</v>
      </c>
      <c r="F235" s="12"/>
      <c r="G235" s="9"/>
      <c r="H235" s="10"/>
      <c r="I235" s="49">
        <f t="shared" si="177"/>
        <v>0</v>
      </c>
      <c r="J235" s="11">
        <f t="shared" si="178"/>
        <v>0</v>
      </c>
      <c r="K235" s="62"/>
      <c r="L235" s="26" t="s">
        <v>291</v>
      </c>
      <c r="M235" s="8">
        <v>3</v>
      </c>
      <c r="N235" s="9">
        <v>2</v>
      </c>
      <c r="O235" s="10">
        <v>2</v>
      </c>
      <c r="P235" s="49">
        <f t="shared" si="173"/>
        <v>7</v>
      </c>
      <c r="Q235" s="12">
        <v>3</v>
      </c>
      <c r="R235" s="9">
        <v>2</v>
      </c>
      <c r="S235" s="10">
        <v>2</v>
      </c>
      <c r="T235" s="49">
        <f t="shared" si="174"/>
        <v>7</v>
      </c>
      <c r="U235" s="11">
        <f t="shared" si="175"/>
        <v>14</v>
      </c>
      <c r="V235" s="98">
        <v>43859</v>
      </c>
    </row>
    <row r="236" spans="1:24" x14ac:dyDescent="0.15">
      <c r="A236" s="24"/>
      <c r="B236" s="8"/>
      <c r="C236" s="9"/>
      <c r="D236" s="10"/>
      <c r="E236" s="49">
        <f t="shared" si="176"/>
        <v>0</v>
      </c>
      <c r="F236" s="12"/>
      <c r="G236" s="9"/>
      <c r="H236" s="10"/>
      <c r="I236" s="49">
        <f t="shared" si="177"/>
        <v>0</v>
      </c>
      <c r="J236" s="11">
        <f t="shared" si="178"/>
        <v>0</v>
      </c>
      <c r="K236" s="62"/>
      <c r="L236" s="26" t="s">
        <v>290</v>
      </c>
      <c r="M236" s="8">
        <v>8</v>
      </c>
      <c r="N236" s="9">
        <v>8</v>
      </c>
      <c r="O236" s="10"/>
      <c r="P236" s="49">
        <f t="shared" si="173"/>
        <v>16</v>
      </c>
      <c r="Q236" s="12">
        <v>8</v>
      </c>
      <c r="R236" s="9">
        <v>8</v>
      </c>
      <c r="S236" s="10"/>
      <c r="T236" s="49">
        <f t="shared" si="174"/>
        <v>16</v>
      </c>
      <c r="U236" s="11">
        <f t="shared" si="175"/>
        <v>32</v>
      </c>
      <c r="V236" s="98">
        <v>43860</v>
      </c>
      <c r="W236" s="66"/>
    </row>
    <row r="237" spans="1:24" x14ac:dyDescent="0.15">
      <c r="A237" s="25"/>
      <c r="B237" s="8"/>
      <c r="C237" s="9"/>
      <c r="D237" s="10"/>
      <c r="E237" s="49">
        <f t="shared" si="176"/>
        <v>0</v>
      </c>
      <c r="F237" s="12"/>
      <c r="G237" s="9"/>
      <c r="H237" s="10"/>
      <c r="I237" s="49">
        <f t="shared" si="177"/>
        <v>0</v>
      </c>
      <c r="J237" s="11">
        <f t="shared" si="178"/>
        <v>0</v>
      </c>
      <c r="K237" s="64"/>
      <c r="L237" s="26" t="s">
        <v>294</v>
      </c>
      <c r="M237" s="8">
        <v>4</v>
      </c>
      <c r="N237" s="9">
        <v>5</v>
      </c>
      <c r="O237" s="10">
        <v>3</v>
      </c>
      <c r="P237" s="49">
        <f t="shared" si="173"/>
        <v>12</v>
      </c>
      <c r="Q237" s="12">
        <v>4</v>
      </c>
      <c r="R237" s="9">
        <v>5</v>
      </c>
      <c r="S237" s="10">
        <v>3</v>
      </c>
      <c r="T237" s="49">
        <f t="shared" si="174"/>
        <v>12</v>
      </c>
      <c r="U237" s="11">
        <f t="shared" si="175"/>
        <v>24</v>
      </c>
      <c r="V237" s="98">
        <v>43861</v>
      </c>
      <c r="W237" s="66"/>
    </row>
    <row r="238" spans="1:24" x14ac:dyDescent="0.15">
      <c r="A238" s="26"/>
      <c r="B238" s="8"/>
      <c r="C238" s="9"/>
      <c r="D238" s="10"/>
      <c r="E238" s="49">
        <f t="shared" si="176"/>
        <v>0</v>
      </c>
      <c r="F238" s="12"/>
      <c r="G238" s="9"/>
      <c r="H238" s="10"/>
      <c r="I238" s="49">
        <f t="shared" si="177"/>
        <v>0</v>
      </c>
      <c r="J238" s="11">
        <f t="shared" si="178"/>
        <v>0</v>
      </c>
      <c r="K238" s="62"/>
      <c r="L238" s="26" t="s">
        <v>293</v>
      </c>
      <c r="M238" s="13"/>
      <c r="N238" s="14">
        <v>1</v>
      </c>
      <c r="O238" s="15"/>
      <c r="P238" s="49">
        <f>SUM(M238:O238)</f>
        <v>1</v>
      </c>
      <c r="Q238" s="16"/>
      <c r="R238" s="14">
        <v>1</v>
      </c>
      <c r="S238" s="15"/>
      <c r="T238" s="49">
        <f>SUM(Q238:S238)</f>
        <v>1</v>
      </c>
      <c r="U238" s="11">
        <f>P238+T238</f>
        <v>2</v>
      </c>
      <c r="V238" s="98">
        <v>43862</v>
      </c>
    </row>
    <row r="239" spans="1:24" x14ac:dyDescent="0.15">
      <c r="A239" s="24"/>
      <c r="B239" s="8"/>
      <c r="C239" s="9"/>
      <c r="D239" s="10"/>
      <c r="E239" s="49">
        <f t="shared" si="176"/>
        <v>0</v>
      </c>
      <c r="F239" s="12"/>
      <c r="G239" s="9"/>
      <c r="H239" s="10"/>
      <c r="I239" s="49">
        <f t="shared" si="177"/>
        <v>0</v>
      </c>
      <c r="J239" s="11">
        <f t="shared" si="178"/>
        <v>0</v>
      </c>
      <c r="K239" s="62"/>
      <c r="L239" s="26"/>
      <c r="M239" s="13"/>
      <c r="N239" s="14"/>
      <c r="O239" s="15"/>
      <c r="P239" s="49">
        <f t="shared" ref="P239" si="179">SUM(M239:O239)</f>
        <v>0</v>
      </c>
      <c r="Q239" s="13"/>
      <c r="R239" s="14"/>
      <c r="S239" s="15"/>
      <c r="T239" s="49">
        <f t="shared" ref="T239" si="180">SUM(Q239:S239)</f>
        <v>0</v>
      </c>
      <c r="U239" s="11">
        <f t="shared" ref="U239" si="181">P239+T239</f>
        <v>0</v>
      </c>
      <c r="V239" s="100"/>
    </row>
    <row r="240" spans="1:24" x14ac:dyDescent="0.15">
      <c r="B240" s="13"/>
      <c r="C240" s="14"/>
      <c r="D240" s="15"/>
      <c r="E240" s="49">
        <f t="shared" si="176"/>
        <v>0</v>
      </c>
      <c r="F240" s="16"/>
      <c r="G240" s="14"/>
      <c r="H240" s="15"/>
      <c r="I240" s="49">
        <f t="shared" si="177"/>
        <v>0</v>
      </c>
      <c r="J240" s="11">
        <f t="shared" si="178"/>
        <v>0</v>
      </c>
      <c r="K240" s="65"/>
      <c r="L240" s="67"/>
      <c r="M240" s="13"/>
      <c r="N240" s="14"/>
      <c r="O240" s="15"/>
      <c r="P240" s="49">
        <f t="shared" si="173"/>
        <v>0</v>
      </c>
      <c r="Q240" s="16"/>
      <c r="R240" s="14"/>
      <c r="S240" s="15"/>
      <c r="T240" s="49">
        <f t="shared" si="174"/>
        <v>0</v>
      </c>
      <c r="U240" s="11">
        <f t="shared" si="175"/>
        <v>0</v>
      </c>
      <c r="V240" s="100"/>
    </row>
    <row r="241" spans="1:22" x14ac:dyDescent="0.15">
      <c r="A241" s="26"/>
      <c r="B241" s="8"/>
      <c r="C241" s="9"/>
      <c r="D241" s="10"/>
      <c r="E241" s="49">
        <f t="shared" si="176"/>
        <v>0</v>
      </c>
      <c r="F241" s="12"/>
      <c r="G241" s="9"/>
      <c r="H241" s="10"/>
      <c r="I241" s="49">
        <f t="shared" si="177"/>
        <v>0</v>
      </c>
      <c r="J241" s="11">
        <f t="shared" si="178"/>
        <v>0</v>
      </c>
      <c r="K241" s="62"/>
      <c r="L241" s="26"/>
      <c r="M241" s="13"/>
      <c r="N241" s="14"/>
      <c r="O241" s="15"/>
      <c r="P241" s="49">
        <f t="shared" ref="P241:P242" si="182">SUM(M241:O241)</f>
        <v>0</v>
      </c>
      <c r="Q241" s="13"/>
      <c r="R241" s="14"/>
      <c r="S241" s="15"/>
      <c r="T241" s="49">
        <f t="shared" ref="T241:T242" si="183">SUM(Q241:S241)</f>
        <v>0</v>
      </c>
      <c r="U241" s="11">
        <f t="shared" ref="U241:U242" si="184">P241+T241</f>
        <v>0</v>
      </c>
      <c r="V241" s="98"/>
    </row>
    <row r="242" spans="1:22" x14ac:dyDescent="0.15">
      <c r="A242" s="26"/>
      <c r="B242" s="8"/>
      <c r="C242" s="9"/>
      <c r="D242" s="10"/>
      <c r="E242" s="49">
        <f t="shared" si="176"/>
        <v>0</v>
      </c>
      <c r="F242" s="12"/>
      <c r="G242" s="9"/>
      <c r="H242" s="10"/>
      <c r="I242" s="49">
        <f t="shared" si="177"/>
        <v>0</v>
      </c>
      <c r="J242" s="11">
        <f t="shared" si="178"/>
        <v>0</v>
      </c>
      <c r="K242" s="62"/>
      <c r="L242" s="26"/>
      <c r="M242" s="8"/>
      <c r="N242" s="9"/>
      <c r="O242" s="10"/>
      <c r="P242" s="49">
        <f t="shared" si="182"/>
        <v>0</v>
      </c>
      <c r="Q242" s="12"/>
      <c r="R242" s="9"/>
      <c r="S242" s="10"/>
      <c r="T242" s="49">
        <f t="shared" si="183"/>
        <v>0</v>
      </c>
      <c r="U242" s="11">
        <f t="shared" si="184"/>
        <v>0</v>
      </c>
      <c r="V242" s="100"/>
    </row>
    <row r="243" spans="1:22" x14ac:dyDescent="0.15">
      <c r="A243" s="26"/>
      <c r="B243" s="8"/>
      <c r="C243" s="9"/>
      <c r="D243" s="10"/>
      <c r="E243" s="49">
        <f t="shared" si="176"/>
        <v>0</v>
      </c>
      <c r="F243" s="12"/>
      <c r="G243" s="9"/>
      <c r="H243" s="10"/>
      <c r="I243" s="49">
        <f t="shared" si="177"/>
        <v>0</v>
      </c>
      <c r="J243" s="11">
        <f t="shared" si="178"/>
        <v>0</v>
      </c>
      <c r="K243" s="62"/>
      <c r="L243" s="26" t="s">
        <v>221</v>
      </c>
      <c r="M243" s="13"/>
      <c r="N243" s="14"/>
      <c r="O243" s="15"/>
      <c r="P243" s="49">
        <f t="shared" ref="P243:P244" si="185">SUM(M243:O243)</f>
        <v>0</v>
      </c>
      <c r="Q243" s="13"/>
      <c r="R243" s="14"/>
      <c r="S243" s="15"/>
      <c r="T243" s="49">
        <f t="shared" ref="T243:T244" si="186">SUM(Q243:S243)</f>
        <v>0</v>
      </c>
      <c r="U243" s="11">
        <f t="shared" ref="U243:U244" si="187">P243+T243</f>
        <v>0</v>
      </c>
      <c r="V243" s="98" t="s">
        <v>220</v>
      </c>
    </row>
    <row r="244" spans="1:22" ht="14.25" thickBot="1" x14ac:dyDescent="0.2">
      <c r="A244" s="23"/>
      <c r="B244" s="13"/>
      <c r="C244" s="14"/>
      <c r="D244" s="15"/>
      <c r="E244" s="49">
        <f>SUM(B244:D244)</f>
        <v>0</v>
      </c>
      <c r="F244" s="16"/>
      <c r="G244" s="14"/>
      <c r="H244" s="15"/>
      <c r="I244" s="49">
        <f>SUM(F244:H244)</f>
        <v>0</v>
      </c>
      <c r="J244" s="11">
        <f>E244+I244</f>
        <v>0</v>
      </c>
      <c r="K244" s="62"/>
      <c r="L244" s="26" t="s">
        <v>196</v>
      </c>
      <c r="M244" s="8"/>
      <c r="N244" s="9"/>
      <c r="O244" s="10"/>
      <c r="P244" s="49">
        <f t="shared" si="185"/>
        <v>0</v>
      </c>
      <c r="Q244" s="12"/>
      <c r="R244" s="9"/>
      <c r="S244" s="10"/>
      <c r="T244" s="49">
        <f t="shared" si="186"/>
        <v>0</v>
      </c>
      <c r="U244" s="11">
        <f t="shared" si="187"/>
        <v>0</v>
      </c>
      <c r="V244" s="100" t="s">
        <v>197</v>
      </c>
    </row>
    <row r="245" spans="1:22" ht="14.25" thickBot="1" x14ac:dyDescent="0.2">
      <c r="A245" s="41" t="s">
        <v>17</v>
      </c>
      <c r="B245" s="46">
        <f>SUM(B219:B244)</f>
        <v>0</v>
      </c>
      <c r="C245" s="47">
        <f t="shared" ref="C245:D245" si="188">SUM(C219:C244)</f>
        <v>0</v>
      </c>
      <c r="D245" s="58">
        <f t="shared" si="188"/>
        <v>0</v>
      </c>
      <c r="E245" s="45">
        <f t="shared" ref="E245" si="189">SUM(B245:D245)</f>
        <v>0</v>
      </c>
      <c r="F245" s="46">
        <f>SUM(F219:F244)</f>
        <v>0</v>
      </c>
      <c r="G245" s="47">
        <f t="shared" ref="G245:H245" si="190">SUM(G219:G244)</f>
        <v>0</v>
      </c>
      <c r="H245" s="58">
        <f t="shared" si="190"/>
        <v>0</v>
      </c>
      <c r="I245" s="45">
        <f t="shared" ref="I245" si="191">SUM(F245:H245)</f>
        <v>0</v>
      </c>
      <c r="J245" s="45">
        <f>E245+I245</f>
        <v>0</v>
      </c>
      <c r="K245" s="40"/>
      <c r="L245" s="41" t="s">
        <v>17</v>
      </c>
      <c r="M245" s="46">
        <f>SUM(M219:M244)</f>
        <v>72</v>
      </c>
      <c r="N245" s="47">
        <f t="shared" ref="N245:O245" si="192">SUM(N219:N244)</f>
        <v>67</v>
      </c>
      <c r="O245" s="58">
        <f t="shared" si="192"/>
        <v>62</v>
      </c>
      <c r="P245" s="45">
        <f t="shared" si="173"/>
        <v>201</v>
      </c>
      <c r="Q245" s="46">
        <f>SUM(Q219:Q244)</f>
        <v>72</v>
      </c>
      <c r="R245" s="47">
        <f t="shared" ref="R245:S245" si="193">SUM(R219:R244)</f>
        <v>67</v>
      </c>
      <c r="S245" s="58">
        <f t="shared" si="193"/>
        <v>62</v>
      </c>
      <c r="T245" s="45">
        <f t="shared" si="174"/>
        <v>201</v>
      </c>
      <c r="U245" s="45">
        <f>P245+T245</f>
        <v>402</v>
      </c>
    </row>
    <row r="246" spans="1:22" ht="14.25" thickBot="1" x14ac:dyDescent="0.2">
      <c r="A246" s="22" t="s">
        <v>16</v>
      </c>
      <c r="B246" s="50">
        <f>B218-B245</f>
        <v>3</v>
      </c>
      <c r="C246" s="56">
        <f t="shared" ref="C246:D246" si="194">C218-C245</f>
        <v>3</v>
      </c>
      <c r="D246" s="57">
        <f t="shared" si="194"/>
        <v>3</v>
      </c>
      <c r="E246" s="55">
        <f>SUM(B246:D246)</f>
        <v>9</v>
      </c>
      <c r="F246" s="50">
        <f>F218-F245</f>
        <v>3</v>
      </c>
      <c r="G246" s="56">
        <f t="shared" ref="G246:H246" si="195">G218-G245</f>
        <v>3</v>
      </c>
      <c r="H246" s="57">
        <f t="shared" si="195"/>
        <v>3</v>
      </c>
      <c r="I246" s="55">
        <f>SUM(F246:H246)</f>
        <v>9</v>
      </c>
      <c r="J246" s="31">
        <f>E246+I246</f>
        <v>18</v>
      </c>
      <c r="L246" s="22" t="s">
        <v>16</v>
      </c>
      <c r="M246" s="50">
        <f>M218-M245</f>
        <v>143</v>
      </c>
      <c r="N246" s="56">
        <f t="shared" ref="N246:O246" si="196">N218-N245</f>
        <v>268</v>
      </c>
      <c r="O246" s="57">
        <f t="shared" si="196"/>
        <v>188</v>
      </c>
      <c r="P246" s="55">
        <f>SUM(M246:O246)</f>
        <v>599</v>
      </c>
      <c r="Q246" s="50">
        <f>Q218-Q245</f>
        <v>143</v>
      </c>
      <c r="R246" s="56">
        <f t="shared" ref="R246:S246" si="197">R218-R245</f>
        <v>268</v>
      </c>
      <c r="S246" s="57">
        <f t="shared" si="197"/>
        <v>188</v>
      </c>
      <c r="T246" s="55">
        <f>SUM(Q246:S246)</f>
        <v>599</v>
      </c>
      <c r="U246" s="31">
        <f>P246+T246</f>
        <v>1198</v>
      </c>
    </row>
    <row r="247" spans="1:22" ht="19.5" thickBot="1" x14ac:dyDescent="0.25">
      <c r="A247" s="3" t="s">
        <v>18</v>
      </c>
      <c r="B247" s="1"/>
      <c r="C247" s="1"/>
      <c r="D247" s="1"/>
      <c r="E247" s="1"/>
      <c r="F247" s="1"/>
      <c r="G247" s="1"/>
      <c r="H247" s="1"/>
      <c r="I247" s="1"/>
      <c r="J247" s="1"/>
      <c r="L247" s="3" t="s">
        <v>19</v>
      </c>
      <c r="M247" s="1"/>
      <c r="N247" s="1"/>
      <c r="O247" s="1"/>
      <c r="P247" s="1"/>
      <c r="Q247" s="1"/>
      <c r="R247" s="1"/>
      <c r="S247" s="1"/>
      <c r="T247" s="1"/>
      <c r="U247" s="1"/>
    </row>
    <row r="248" spans="1:22" ht="14.25" thickBot="1" x14ac:dyDescent="0.2">
      <c r="A248" s="7"/>
      <c r="B248" s="176" t="s">
        <v>22</v>
      </c>
      <c r="C248" s="177"/>
      <c r="D248" s="177"/>
      <c r="E248" s="178"/>
      <c r="F248" s="176" t="s">
        <v>23</v>
      </c>
      <c r="G248" s="177"/>
      <c r="H248" s="177"/>
      <c r="I248" s="179"/>
      <c r="J248" s="174" t="s">
        <v>0</v>
      </c>
      <c r="L248" s="7"/>
      <c r="M248" s="169" t="s">
        <v>22</v>
      </c>
      <c r="N248" s="170"/>
      <c r="O248" s="170"/>
      <c r="P248" s="171"/>
      <c r="Q248" s="169" t="s">
        <v>23</v>
      </c>
      <c r="R248" s="170"/>
      <c r="S248" s="170"/>
      <c r="T248" s="171"/>
      <c r="U248" s="174" t="s">
        <v>0</v>
      </c>
    </row>
    <row r="249" spans="1:22" ht="14.25" thickBot="1" x14ac:dyDescent="0.2">
      <c r="A249" s="7" t="s">
        <v>1</v>
      </c>
      <c r="B249" s="4" t="s">
        <v>2</v>
      </c>
      <c r="C249" s="5" t="s">
        <v>3</v>
      </c>
      <c r="D249" s="6" t="s">
        <v>4</v>
      </c>
      <c r="E249" s="7" t="s">
        <v>5</v>
      </c>
      <c r="F249" s="4" t="s">
        <v>2</v>
      </c>
      <c r="G249" s="5" t="s">
        <v>3</v>
      </c>
      <c r="H249" s="6" t="s">
        <v>4</v>
      </c>
      <c r="I249" s="7" t="s">
        <v>5</v>
      </c>
      <c r="J249" s="175"/>
      <c r="L249" s="7" t="s">
        <v>1</v>
      </c>
      <c r="M249" s="4" t="s">
        <v>2</v>
      </c>
      <c r="N249" s="5" t="s">
        <v>3</v>
      </c>
      <c r="O249" s="6" t="s">
        <v>4</v>
      </c>
      <c r="P249" s="7" t="s">
        <v>5</v>
      </c>
      <c r="Q249" s="4" t="s">
        <v>2</v>
      </c>
      <c r="R249" s="5" t="s">
        <v>3</v>
      </c>
      <c r="S249" s="6" t="s">
        <v>4</v>
      </c>
      <c r="T249" s="7" t="s">
        <v>5</v>
      </c>
      <c r="U249" s="175"/>
    </row>
    <row r="250" spans="1:22" ht="14.25" thickBot="1" x14ac:dyDescent="0.2">
      <c r="A250" s="27" t="s">
        <v>16</v>
      </c>
      <c r="B250" s="38">
        <f>B246</f>
        <v>3</v>
      </c>
      <c r="C250" s="39">
        <f>C246</f>
        <v>3</v>
      </c>
      <c r="D250" s="2">
        <f>D246</f>
        <v>3</v>
      </c>
      <c r="E250" s="36">
        <f>SUM(B250:D250)</f>
        <v>9</v>
      </c>
      <c r="F250" s="38">
        <f>F246</f>
        <v>3</v>
      </c>
      <c r="G250" s="39">
        <f>G246</f>
        <v>3</v>
      </c>
      <c r="H250" s="2">
        <f>H246</f>
        <v>3</v>
      </c>
      <c r="I250" s="36">
        <f>SUM(F250:H250)</f>
        <v>9</v>
      </c>
      <c r="J250" s="36">
        <f>E250+I250</f>
        <v>18</v>
      </c>
      <c r="K250" s="63"/>
      <c r="L250" s="68" t="s">
        <v>16</v>
      </c>
      <c r="M250" s="42">
        <f>M246</f>
        <v>143</v>
      </c>
      <c r="N250" s="43">
        <f>N246</f>
        <v>268</v>
      </c>
      <c r="O250" s="60">
        <f>O246</f>
        <v>188</v>
      </c>
      <c r="P250" s="48">
        <f>SUM(M250:O250)</f>
        <v>599</v>
      </c>
      <c r="Q250" s="42">
        <f>Q246</f>
        <v>143</v>
      </c>
      <c r="R250" s="43">
        <f>R246</f>
        <v>268</v>
      </c>
      <c r="S250" s="60">
        <f>S246</f>
        <v>188</v>
      </c>
      <c r="T250" s="48">
        <f>SUM(Q250:S250)</f>
        <v>599</v>
      </c>
      <c r="U250" s="48">
        <f>P250+T250</f>
        <v>1198</v>
      </c>
    </row>
    <row r="251" spans="1:22" x14ac:dyDescent="0.15">
      <c r="A251" s="25" t="s">
        <v>323</v>
      </c>
      <c r="B251" s="42"/>
      <c r="C251" s="43"/>
      <c r="D251" s="44">
        <v>1</v>
      </c>
      <c r="E251" s="48">
        <f>SUM(B251:D251)</f>
        <v>1</v>
      </c>
      <c r="F251" s="59"/>
      <c r="G251" s="43"/>
      <c r="H251" s="60">
        <v>1</v>
      </c>
      <c r="I251" s="48">
        <f>SUM(F251:H251)</f>
        <v>1</v>
      </c>
      <c r="J251" s="48">
        <f>E251+I251</f>
        <v>2</v>
      </c>
      <c r="K251" s="62">
        <v>43902</v>
      </c>
      <c r="L251" s="25" t="s">
        <v>312</v>
      </c>
      <c r="M251" s="73"/>
      <c r="N251" s="74"/>
      <c r="O251" s="75">
        <v>1</v>
      </c>
      <c r="P251" s="76">
        <f>SUM(M251:O251)</f>
        <v>1</v>
      </c>
      <c r="Q251" s="77"/>
      <c r="R251" s="74"/>
      <c r="S251" s="78">
        <v>1</v>
      </c>
      <c r="T251" s="76">
        <f>SUM(Q251:S251)</f>
        <v>1</v>
      </c>
      <c r="U251" s="48">
        <f>P251+T251</f>
        <v>2</v>
      </c>
      <c r="V251" s="99">
        <v>43925</v>
      </c>
    </row>
    <row r="252" spans="1:22" x14ac:dyDescent="0.15">
      <c r="A252" s="25" t="s">
        <v>331</v>
      </c>
      <c r="B252" s="8">
        <v>10</v>
      </c>
      <c r="C252" s="9">
        <v>8</v>
      </c>
      <c r="D252" s="52">
        <v>15</v>
      </c>
      <c r="E252" s="11">
        <f>SUM(B252:D252)</f>
        <v>33</v>
      </c>
      <c r="F252" s="12">
        <v>10</v>
      </c>
      <c r="G252" s="9">
        <v>8</v>
      </c>
      <c r="H252" s="10">
        <v>15</v>
      </c>
      <c r="I252" s="11">
        <f>SUM(F252:H252)</f>
        <v>33</v>
      </c>
      <c r="J252" s="11">
        <f>E252+I252</f>
        <v>66</v>
      </c>
      <c r="K252" s="62">
        <v>43943</v>
      </c>
      <c r="L252" s="25" t="s">
        <v>312</v>
      </c>
      <c r="M252" s="17">
        <v>11</v>
      </c>
      <c r="N252" s="18">
        <v>8</v>
      </c>
      <c r="O252" s="51">
        <v>16</v>
      </c>
      <c r="P252" s="49">
        <f t="shared" ref="P252:P258" si="198">SUM(M252:O252)</f>
        <v>35</v>
      </c>
      <c r="Q252" s="17">
        <v>11</v>
      </c>
      <c r="R252" s="18">
        <v>8</v>
      </c>
      <c r="S252" s="51">
        <v>16</v>
      </c>
      <c r="T252" s="49">
        <f t="shared" ref="T252:T258" si="199">SUM(Q252:S252)</f>
        <v>35</v>
      </c>
      <c r="U252" s="11">
        <f t="shared" ref="U252:U258" si="200">P252+T252</f>
        <v>70</v>
      </c>
      <c r="V252" s="99">
        <v>43952</v>
      </c>
    </row>
    <row r="253" spans="1:22" x14ac:dyDescent="0.15">
      <c r="A253" s="25" t="s">
        <v>52</v>
      </c>
      <c r="B253" s="17">
        <v>1</v>
      </c>
      <c r="C253" s="18"/>
      <c r="D253" s="51"/>
      <c r="E253" s="11">
        <f t="shared" ref="E253:E258" si="201">SUM(B253:D253)</f>
        <v>1</v>
      </c>
      <c r="F253" s="20">
        <v>1</v>
      </c>
      <c r="G253" s="18"/>
      <c r="H253" s="19"/>
      <c r="I253" s="11">
        <f t="shared" ref="I253:I258" si="202">SUM(F253:H253)</f>
        <v>1</v>
      </c>
      <c r="J253" s="11">
        <f t="shared" ref="J253:J258" si="203">E253+I253</f>
        <v>2</v>
      </c>
      <c r="K253" s="62">
        <v>43959</v>
      </c>
      <c r="L253" s="25" t="s">
        <v>9</v>
      </c>
      <c r="M253" s="17"/>
      <c r="N253" s="18"/>
      <c r="O253" s="51"/>
      <c r="P253" s="11">
        <f t="shared" si="198"/>
        <v>0</v>
      </c>
      <c r="Q253" s="20"/>
      <c r="R253" s="18"/>
      <c r="S253" s="19"/>
      <c r="T253" s="11">
        <f t="shared" si="199"/>
        <v>0</v>
      </c>
      <c r="U253" s="11">
        <f t="shared" si="200"/>
        <v>0</v>
      </c>
      <c r="V253" s="100"/>
    </row>
    <row r="254" spans="1:22" x14ac:dyDescent="0.15">
      <c r="A254" s="25"/>
      <c r="B254" s="8"/>
      <c r="C254" s="9"/>
      <c r="D254" s="52"/>
      <c r="E254" s="11">
        <f t="shared" si="201"/>
        <v>0</v>
      </c>
      <c r="F254" s="12"/>
      <c r="G254" s="9"/>
      <c r="H254" s="10"/>
      <c r="I254" s="11">
        <f t="shared" si="202"/>
        <v>0</v>
      </c>
      <c r="J254" s="11">
        <f t="shared" si="203"/>
        <v>0</v>
      </c>
      <c r="K254" s="62"/>
      <c r="L254" s="25" t="s">
        <v>10</v>
      </c>
      <c r="M254" s="8"/>
      <c r="N254" s="9"/>
      <c r="O254" s="52"/>
      <c r="P254" s="11">
        <f t="shared" si="198"/>
        <v>0</v>
      </c>
      <c r="Q254" s="12"/>
      <c r="R254" s="9"/>
      <c r="S254" s="10"/>
      <c r="T254" s="11">
        <f t="shared" si="199"/>
        <v>0</v>
      </c>
      <c r="U254" s="11">
        <f t="shared" si="200"/>
        <v>0</v>
      </c>
    </row>
    <row r="255" spans="1:22" x14ac:dyDescent="0.15">
      <c r="A255" s="25"/>
      <c r="B255" s="8"/>
      <c r="C255" s="9"/>
      <c r="D255" s="52"/>
      <c r="E255" s="11">
        <f t="shared" si="201"/>
        <v>0</v>
      </c>
      <c r="F255" s="12"/>
      <c r="G255" s="9"/>
      <c r="H255" s="10"/>
      <c r="I255" s="11">
        <f t="shared" si="202"/>
        <v>0</v>
      </c>
      <c r="J255" s="11">
        <f t="shared" si="203"/>
        <v>0</v>
      </c>
      <c r="K255" s="62"/>
      <c r="L255" s="25" t="s">
        <v>11</v>
      </c>
      <c r="M255" s="8"/>
      <c r="N255" s="9"/>
      <c r="O255" s="52"/>
      <c r="P255" s="11">
        <f t="shared" si="198"/>
        <v>0</v>
      </c>
      <c r="Q255" s="12"/>
      <c r="R255" s="9"/>
      <c r="S255" s="10"/>
      <c r="T255" s="11">
        <f t="shared" si="199"/>
        <v>0</v>
      </c>
      <c r="U255" s="11">
        <f t="shared" si="200"/>
        <v>0</v>
      </c>
    </row>
    <row r="256" spans="1:22" x14ac:dyDescent="0.15">
      <c r="A256" s="25"/>
      <c r="B256" s="8"/>
      <c r="C256" s="9"/>
      <c r="D256" s="52"/>
      <c r="E256" s="11">
        <f t="shared" si="201"/>
        <v>0</v>
      </c>
      <c r="F256" s="12"/>
      <c r="G256" s="9"/>
      <c r="H256" s="10"/>
      <c r="I256" s="11">
        <f t="shared" si="202"/>
        <v>0</v>
      </c>
      <c r="J256" s="11">
        <f t="shared" si="203"/>
        <v>0</v>
      </c>
      <c r="K256" s="62"/>
      <c r="L256" s="25" t="s">
        <v>12</v>
      </c>
      <c r="M256" s="17"/>
      <c r="N256" s="18"/>
      <c r="O256" s="51"/>
      <c r="P256" s="49">
        <f t="shared" si="198"/>
        <v>0</v>
      </c>
      <c r="Q256" s="17"/>
      <c r="R256" s="18"/>
      <c r="S256" s="51"/>
      <c r="T256" s="49">
        <f t="shared" si="199"/>
        <v>0</v>
      </c>
      <c r="U256" s="11">
        <f t="shared" si="200"/>
        <v>0</v>
      </c>
    </row>
    <row r="257" spans="1:23" x14ac:dyDescent="0.15">
      <c r="A257" s="25"/>
      <c r="B257" s="13"/>
      <c r="C257" s="14"/>
      <c r="D257" s="53"/>
      <c r="E257" s="11">
        <f t="shared" si="201"/>
        <v>0</v>
      </c>
      <c r="F257" s="16"/>
      <c r="G257" s="14"/>
      <c r="H257" s="15"/>
      <c r="I257" s="11">
        <f t="shared" si="202"/>
        <v>0</v>
      </c>
      <c r="J257" s="11">
        <f t="shared" si="203"/>
        <v>0</v>
      </c>
      <c r="K257" s="64"/>
      <c r="L257" s="25" t="s">
        <v>13</v>
      </c>
      <c r="M257" s="13"/>
      <c r="N257" s="14"/>
      <c r="O257" s="53"/>
      <c r="P257" s="11">
        <f t="shared" si="198"/>
        <v>0</v>
      </c>
      <c r="Q257" s="16"/>
      <c r="R257" s="14"/>
      <c r="S257" s="15"/>
      <c r="T257" s="11">
        <f t="shared" si="199"/>
        <v>0</v>
      </c>
      <c r="U257" s="11">
        <f t="shared" si="200"/>
        <v>0</v>
      </c>
    </row>
    <row r="258" spans="1:23" ht="14.25" thickBot="1" x14ac:dyDescent="0.2">
      <c r="A258" s="25"/>
      <c r="B258" s="32"/>
      <c r="C258" s="33"/>
      <c r="D258" s="54"/>
      <c r="E258" s="61">
        <f t="shared" si="201"/>
        <v>0</v>
      </c>
      <c r="F258" s="34"/>
      <c r="G258" s="34"/>
      <c r="H258" s="37"/>
      <c r="I258" s="61">
        <f t="shared" si="202"/>
        <v>0</v>
      </c>
      <c r="J258" s="21">
        <f t="shared" si="203"/>
        <v>0</v>
      </c>
      <c r="K258" s="62"/>
      <c r="L258" s="25" t="s">
        <v>14</v>
      </c>
      <c r="M258" s="32"/>
      <c r="N258" s="33"/>
      <c r="O258" s="54"/>
      <c r="P258" s="61">
        <f t="shared" si="198"/>
        <v>0</v>
      </c>
      <c r="Q258" s="34"/>
      <c r="R258" s="34"/>
      <c r="S258" s="37"/>
      <c r="T258" s="61">
        <f t="shared" si="199"/>
        <v>0</v>
      </c>
      <c r="U258" s="21">
        <f t="shared" si="200"/>
        <v>0</v>
      </c>
    </row>
    <row r="259" spans="1:23" ht="14.25" thickBot="1" x14ac:dyDescent="0.2">
      <c r="A259" s="35" t="s">
        <v>15</v>
      </c>
      <c r="B259" s="28">
        <f>SUM(B250:B258)</f>
        <v>14</v>
      </c>
      <c r="C259" s="29">
        <f>SUM(C250:C258)</f>
        <v>11</v>
      </c>
      <c r="D259" s="30">
        <f>SUM(D250:D258)</f>
        <v>19</v>
      </c>
      <c r="E259" s="31">
        <f>SUM(B259:D259)</f>
        <v>44</v>
      </c>
      <c r="F259" s="28">
        <f>SUM(F250:F258)</f>
        <v>14</v>
      </c>
      <c r="G259" s="29">
        <f>SUM(G250:G258)</f>
        <v>11</v>
      </c>
      <c r="H259" s="30">
        <f>SUM(H250:H258)</f>
        <v>19</v>
      </c>
      <c r="I259" s="31">
        <f>SUM(F259:H259)</f>
        <v>44</v>
      </c>
      <c r="J259" s="31">
        <f>E259+I259</f>
        <v>88</v>
      </c>
      <c r="L259" s="35" t="s">
        <v>15</v>
      </c>
      <c r="M259" s="28">
        <f>SUM(M250:M258)</f>
        <v>154</v>
      </c>
      <c r="N259" s="29">
        <f>SUM(N250:N258)</f>
        <v>276</v>
      </c>
      <c r="O259" s="30">
        <f>SUM(O250:O258)</f>
        <v>205</v>
      </c>
      <c r="P259" s="31">
        <f>SUM(M259:O259)</f>
        <v>635</v>
      </c>
      <c r="Q259" s="28">
        <f>SUM(Q250:Q258)</f>
        <v>154</v>
      </c>
      <c r="R259" s="29">
        <f>SUM(R250:R258)</f>
        <v>276</v>
      </c>
      <c r="S259" s="30">
        <f>SUM(S250:S258)</f>
        <v>205</v>
      </c>
      <c r="T259" s="31">
        <f>SUM(Q259:S259)</f>
        <v>635</v>
      </c>
      <c r="U259" s="31">
        <f>P259+T259</f>
        <v>1270</v>
      </c>
    </row>
    <row r="260" spans="1:23" x14ac:dyDescent="0.15">
      <c r="A260" s="26" t="s">
        <v>326</v>
      </c>
      <c r="B260" s="13"/>
      <c r="C260" s="14">
        <v>1</v>
      </c>
      <c r="D260" s="15"/>
      <c r="E260" s="49">
        <f>SUM(B260:D260)</f>
        <v>1</v>
      </c>
      <c r="F260" s="16"/>
      <c r="G260" s="14">
        <v>1</v>
      </c>
      <c r="H260" s="15"/>
      <c r="I260" s="49">
        <f>SUM(F260:H260)</f>
        <v>1</v>
      </c>
      <c r="J260" s="11">
        <f>E260+I260</f>
        <v>2</v>
      </c>
      <c r="K260" s="62">
        <v>43923</v>
      </c>
      <c r="L260" s="26" t="s">
        <v>297</v>
      </c>
      <c r="M260" s="8">
        <v>6</v>
      </c>
      <c r="N260" s="9">
        <v>3</v>
      </c>
      <c r="O260" s="10">
        <v>1</v>
      </c>
      <c r="P260" s="49">
        <f t="shared" ref="P260:P261" si="204">SUM(M260:O260)</f>
        <v>10</v>
      </c>
      <c r="Q260" s="12">
        <v>6</v>
      </c>
      <c r="R260" s="9">
        <v>3</v>
      </c>
      <c r="S260" s="10">
        <v>1</v>
      </c>
      <c r="T260" s="49">
        <f t="shared" ref="T260:T261" si="205">SUM(Q260:S260)</f>
        <v>10</v>
      </c>
      <c r="U260" s="11">
        <f t="shared" ref="U260:U261" si="206">P260+T260</f>
        <v>20</v>
      </c>
      <c r="V260" s="98">
        <v>43864</v>
      </c>
    </row>
    <row r="261" spans="1:23" x14ac:dyDescent="0.15">
      <c r="A261" s="26" t="s">
        <v>83</v>
      </c>
      <c r="B261" s="8"/>
      <c r="C261" s="9"/>
      <c r="D261" s="10">
        <v>1</v>
      </c>
      <c r="E261" s="49">
        <f t="shared" ref="E261:E262" si="207">SUM(B261:D261)</f>
        <v>1</v>
      </c>
      <c r="F261" s="12"/>
      <c r="G261" s="9"/>
      <c r="H261" s="10">
        <v>1</v>
      </c>
      <c r="I261" s="49">
        <f t="shared" ref="I261:I262" si="208">SUM(F261:H261)</f>
        <v>1</v>
      </c>
      <c r="J261" s="11">
        <f t="shared" ref="J261:J262" si="209">E261+I261</f>
        <v>2</v>
      </c>
      <c r="K261" s="62">
        <v>43925</v>
      </c>
      <c r="L261" s="26" t="s">
        <v>296</v>
      </c>
      <c r="M261" s="8"/>
      <c r="N261" s="9">
        <v>3</v>
      </c>
      <c r="O261" s="10">
        <v>1</v>
      </c>
      <c r="P261" s="49">
        <f t="shared" si="204"/>
        <v>4</v>
      </c>
      <c r="Q261" s="12"/>
      <c r="R261" s="9">
        <v>3</v>
      </c>
      <c r="S261" s="10">
        <v>1</v>
      </c>
      <c r="T261" s="49">
        <f t="shared" si="205"/>
        <v>4</v>
      </c>
      <c r="U261" s="11">
        <f t="shared" si="206"/>
        <v>8</v>
      </c>
      <c r="V261" s="98">
        <v>43865</v>
      </c>
    </row>
    <row r="262" spans="1:23" x14ac:dyDescent="0.15">
      <c r="A262" s="26" t="s">
        <v>83</v>
      </c>
      <c r="B262" s="8">
        <v>11</v>
      </c>
      <c r="C262" s="9">
        <v>8</v>
      </c>
      <c r="D262" s="10">
        <v>16</v>
      </c>
      <c r="E262" s="49">
        <f t="shared" si="207"/>
        <v>35</v>
      </c>
      <c r="F262" s="12">
        <v>11</v>
      </c>
      <c r="G262" s="9">
        <v>8</v>
      </c>
      <c r="H262" s="10">
        <v>16</v>
      </c>
      <c r="I262" s="49">
        <f t="shared" si="208"/>
        <v>35</v>
      </c>
      <c r="J262" s="11">
        <f t="shared" si="209"/>
        <v>70</v>
      </c>
      <c r="K262" s="62">
        <v>43952</v>
      </c>
      <c r="L262" s="26" t="s">
        <v>300</v>
      </c>
      <c r="M262" s="13">
        <v>6</v>
      </c>
      <c r="N262" s="14">
        <v>10</v>
      </c>
      <c r="O262" s="15">
        <v>1</v>
      </c>
      <c r="P262" s="49">
        <f>SUM(M262:O262)</f>
        <v>17</v>
      </c>
      <c r="Q262" s="16">
        <v>6</v>
      </c>
      <c r="R262" s="14">
        <v>10</v>
      </c>
      <c r="S262" s="15">
        <v>1</v>
      </c>
      <c r="T262" s="49">
        <f>SUM(Q262:S262)</f>
        <v>17</v>
      </c>
      <c r="U262" s="11">
        <f>P262+T262</f>
        <v>34</v>
      </c>
      <c r="V262" s="98">
        <v>43866</v>
      </c>
    </row>
    <row r="263" spans="1:23" x14ac:dyDescent="0.15">
      <c r="A263" s="26" t="s">
        <v>342</v>
      </c>
      <c r="B263" s="13"/>
      <c r="C263" s="14">
        <v>1</v>
      </c>
      <c r="D263" s="15"/>
      <c r="E263" s="49">
        <f>SUM(B263:D263)</f>
        <v>1</v>
      </c>
      <c r="F263" s="16"/>
      <c r="G263" s="14">
        <v>1</v>
      </c>
      <c r="H263" s="15"/>
      <c r="I263" s="49">
        <f>SUM(F263:H263)</f>
        <v>1</v>
      </c>
      <c r="J263" s="11">
        <f>E263+I263</f>
        <v>2</v>
      </c>
      <c r="K263" s="62">
        <v>44113</v>
      </c>
      <c r="L263" s="26" t="s">
        <v>299</v>
      </c>
      <c r="M263" s="8"/>
      <c r="N263" s="9">
        <v>3</v>
      </c>
      <c r="O263" s="10"/>
      <c r="P263" s="49">
        <f t="shared" ref="P263:P274" si="210">SUM(M263:O263)</f>
        <v>3</v>
      </c>
      <c r="Q263" s="12"/>
      <c r="R263" s="9">
        <v>3</v>
      </c>
      <c r="S263" s="10"/>
      <c r="T263" s="49">
        <f t="shared" ref="T263:T274" si="211">SUM(Q263:S263)</f>
        <v>3</v>
      </c>
      <c r="U263" s="11">
        <f t="shared" ref="U263:U274" si="212">P263+T263</f>
        <v>6</v>
      </c>
      <c r="V263" s="98">
        <v>43868</v>
      </c>
      <c r="W263" s="66"/>
    </row>
    <row r="264" spans="1:23" x14ac:dyDescent="0.15">
      <c r="A264" s="26"/>
      <c r="B264" s="8"/>
      <c r="C264" s="9"/>
      <c r="D264" s="10"/>
      <c r="E264" s="49">
        <f t="shared" ref="E264:E284" si="213">SUM(B264:D264)</f>
        <v>0</v>
      </c>
      <c r="F264" s="12"/>
      <c r="G264" s="9"/>
      <c r="H264" s="10"/>
      <c r="I264" s="49">
        <f t="shared" ref="I264:I284" si="214">SUM(F264:H264)</f>
        <v>0</v>
      </c>
      <c r="J264" s="11">
        <f t="shared" ref="J264:J284" si="215">E264+I264</f>
        <v>0</v>
      </c>
      <c r="K264" s="62"/>
      <c r="L264" s="26" t="s">
        <v>303</v>
      </c>
      <c r="M264" s="8">
        <v>10</v>
      </c>
      <c r="N264" s="9">
        <v>10</v>
      </c>
      <c r="O264" s="10"/>
      <c r="P264" s="49">
        <f t="shared" si="210"/>
        <v>20</v>
      </c>
      <c r="Q264" s="12">
        <v>10</v>
      </c>
      <c r="R264" s="9">
        <v>10</v>
      </c>
      <c r="S264" s="10"/>
      <c r="T264" s="49">
        <f t="shared" si="211"/>
        <v>20</v>
      </c>
      <c r="U264" s="11">
        <f t="shared" si="212"/>
        <v>40</v>
      </c>
      <c r="V264" s="98">
        <v>43868</v>
      </c>
      <c r="W264" s="66"/>
    </row>
    <row r="265" spans="1:23" x14ac:dyDescent="0.15">
      <c r="A265" s="26"/>
      <c r="B265" s="8"/>
      <c r="C265" s="9"/>
      <c r="D265" s="10"/>
      <c r="E265" s="49">
        <f t="shared" si="213"/>
        <v>0</v>
      </c>
      <c r="F265" s="12"/>
      <c r="G265" s="9"/>
      <c r="H265" s="10"/>
      <c r="I265" s="49">
        <f t="shared" si="214"/>
        <v>0</v>
      </c>
      <c r="J265" s="11">
        <f t="shared" si="215"/>
        <v>0</v>
      </c>
      <c r="K265" s="62"/>
      <c r="L265" s="26" t="s">
        <v>304</v>
      </c>
      <c r="M265" s="8"/>
      <c r="N265" s="9">
        <v>3</v>
      </c>
      <c r="O265" s="10"/>
      <c r="P265" s="49">
        <f t="shared" si="210"/>
        <v>3</v>
      </c>
      <c r="Q265" s="12"/>
      <c r="R265" s="9">
        <v>3</v>
      </c>
      <c r="S265" s="10"/>
      <c r="T265" s="49">
        <f t="shared" si="211"/>
        <v>3</v>
      </c>
      <c r="U265" s="11">
        <f t="shared" si="212"/>
        <v>6</v>
      </c>
      <c r="V265" s="98">
        <v>43871</v>
      </c>
      <c r="W265" s="66"/>
    </row>
    <row r="266" spans="1:23" x14ac:dyDescent="0.15">
      <c r="A266" s="26"/>
      <c r="B266" s="8"/>
      <c r="C266" s="9"/>
      <c r="D266" s="10"/>
      <c r="E266" s="49">
        <f t="shared" si="213"/>
        <v>0</v>
      </c>
      <c r="F266" s="12"/>
      <c r="G266" s="9"/>
      <c r="H266" s="10"/>
      <c r="I266" s="49">
        <f t="shared" si="214"/>
        <v>0</v>
      </c>
      <c r="J266" s="11">
        <f t="shared" si="215"/>
        <v>0</v>
      </c>
      <c r="K266" s="62"/>
      <c r="L266" s="26" t="s">
        <v>302</v>
      </c>
      <c r="M266" s="8">
        <v>5</v>
      </c>
      <c r="N266" s="9">
        <v>3</v>
      </c>
      <c r="O266" s="10"/>
      <c r="P266" s="49">
        <f t="shared" si="210"/>
        <v>8</v>
      </c>
      <c r="Q266" s="12">
        <v>5</v>
      </c>
      <c r="R266" s="9">
        <v>3</v>
      </c>
      <c r="S266" s="10"/>
      <c r="T266" s="49">
        <f t="shared" si="211"/>
        <v>8</v>
      </c>
      <c r="U266" s="11">
        <f t="shared" si="212"/>
        <v>16</v>
      </c>
      <c r="V266" s="98">
        <v>43873</v>
      </c>
      <c r="W266" s="66"/>
    </row>
    <row r="267" spans="1:23" x14ac:dyDescent="0.15">
      <c r="A267" s="26"/>
      <c r="B267" s="8"/>
      <c r="C267" s="9"/>
      <c r="D267" s="10"/>
      <c r="E267" s="49">
        <f t="shared" si="213"/>
        <v>0</v>
      </c>
      <c r="F267" s="12"/>
      <c r="G267" s="9"/>
      <c r="H267" s="10"/>
      <c r="I267" s="49">
        <f t="shared" si="214"/>
        <v>0</v>
      </c>
      <c r="J267" s="11">
        <f t="shared" si="215"/>
        <v>0</v>
      </c>
      <c r="K267" s="62"/>
      <c r="L267" s="26" t="s">
        <v>308</v>
      </c>
      <c r="M267" s="8">
        <v>2</v>
      </c>
      <c r="N267" s="9"/>
      <c r="O267" s="10"/>
      <c r="P267" s="49">
        <f t="shared" si="210"/>
        <v>2</v>
      </c>
      <c r="Q267" s="12">
        <v>2</v>
      </c>
      <c r="R267" s="9"/>
      <c r="S267" s="10"/>
      <c r="T267" s="49">
        <f t="shared" si="211"/>
        <v>2</v>
      </c>
      <c r="U267" s="11">
        <f t="shared" si="212"/>
        <v>4</v>
      </c>
      <c r="V267" s="98">
        <v>43875</v>
      </c>
      <c r="W267" s="66"/>
    </row>
    <row r="268" spans="1:23" x14ac:dyDescent="0.15">
      <c r="A268" s="26"/>
      <c r="B268" s="8"/>
      <c r="C268" s="9"/>
      <c r="D268" s="10"/>
      <c r="E268" s="49">
        <f t="shared" si="213"/>
        <v>0</v>
      </c>
      <c r="F268" s="12"/>
      <c r="G268" s="9"/>
      <c r="H268" s="10"/>
      <c r="I268" s="49">
        <f t="shared" si="214"/>
        <v>0</v>
      </c>
      <c r="J268" s="11">
        <f t="shared" si="215"/>
        <v>0</v>
      </c>
      <c r="K268" s="62"/>
      <c r="L268" s="26" t="s">
        <v>306</v>
      </c>
      <c r="M268" s="8">
        <v>4</v>
      </c>
      <c r="N268" s="9"/>
      <c r="O268" s="10">
        <v>2</v>
      </c>
      <c r="P268" s="49">
        <f t="shared" si="210"/>
        <v>6</v>
      </c>
      <c r="Q268" s="12">
        <v>4</v>
      </c>
      <c r="R268" s="9"/>
      <c r="S268" s="10">
        <v>2</v>
      </c>
      <c r="T268" s="49">
        <f t="shared" si="211"/>
        <v>6</v>
      </c>
      <c r="U268" s="11">
        <f t="shared" si="212"/>
        <v>12</v>
      </c>
      <c r="V268" s="98">
        <v>43878</v>
      </c>
    </row>
    <row r="269" spans="1:23" x14ac:dyDescent="0.15">
      <c r="A269" s="26"/>
      <c r="B269" s="13"/>
      <c r="C269" s="14"/>
      <c r="D269" s="15"/>
      <c r="E269" s="49">
        <f t="shared" si="213"/>
        <v>0</v>
      </c>
      <c r="F269" s="16"/>
      <c r="G269" s="14"/>
      <c r="H269" s="15"/>
      <c r="I269" s="49">
        <f t="shared" si="214"/>
        <v>0</v>
      </c>
      <c r="J269" s="11">
        <f t="shared" si="215"/>
        <v>0</v>
      </c>
      <c r="K269" s="62"/>
      <c r="L269" s="26" t="s">
        <v>307</v>
      </c>
      <c r="M269" s="13">
        <v>2</v>
      </c>
      <c r="N269" s="14"/>
      <c r="O269" s="15">
        <v>4</v>
      </c>
      <c r="P269" s="49">
        <f t="shared" si="210"/>
        <v>6</v>
      </c>
      <c r="Q269" s="16">
        <v>2</v>
      </c>
      <c r="R269" s="14"/>
      <c r="S269" s="15">
        <v>4</v>
      </c>
      <c r="T269" s="49">
        <f t="shared" si="211"/>
        <v>6</v>
      </c>
      <c r="U269" s="11">
        <f t="shared" si="212"/>
        <v>12</v>
      </c>
      <c r="V269" s="98">
        <v>43879</v>
      </c>
    </row>
    <row r="270" spans="1:23" x14ac:dyDescent="0.15">
      <c r="A270" s="26"/>
      <c r="B270" s="8"/>
      <c r="C270" s="9"/>
      <c r="D270" s="10"/>
      <c r="E270" s="49">
        <f t="shared" si="213"/>
        <v>0</v>
      </c>
      <c r="F270" s="12"/>
      <c r="G270" s="9"/>
      <c r="H270" s="10"/>
      <c r="I270" s="49">
        <f t="shared" si="214"/>
        <v>0</v>
      </c>
      <c r="J270" s="11">
        <f t="shared" si="215"/>
        <v>0</v>
      </c>
      <c r="K270" s="62"/>
      <c r="L270" s="26" t="s">
        <v>309</v>
      </c>
      <c r="M270" s="8">
        <v>1</v>
      </c>
      <c r="N270" s="9"/>
      <c r="O270" s="10"/>
      <c r="P270" s="49">
        <f t="shared" si="210"/>
        <v>1</v>
      </c>
      <c r="Q270" s="12">
        <v>1</v>
      </c>
      <c r="R270" s="9"/>
      <c r="S270" s="10"/>
      <c r="T270" s="49">
        <f t="shared" si="211"/>
        <v>1</v>
      </c>
      <c r="U270" s="11">
        <f t="shared" si="212"/>
        <v>2</v>
      </c>
      <c r="V270" s="98">
        <v>43880</v>
      </c>
    </row>
    <row r="271" spans="1:23" x14ac:dyDescent="0.15">
      <c r="A271" s="26"/>
      <c r="B271" s="8"/>
      <c r="C271" s="9"/>
      <c r="D271" s="10"/>
      <c r="E271" s="49">
        <f t="shared" si="213"/>
        <v>0</v>
      </c>
      <c r="F271" s="12"/>
      <c r="G271" s="9"/>
      <c r="H271" s="10"/>
      <c r="I271" s="49">
        <f t="shared" si="214"/>
        <v>0</v>
      </c>
      <c r="J271" s="11">
        <f t="shared" si="215"/>
        <v>0</v>
      </c>
      <c r="K271" s="62"/>
      <c r="L271" s="26" t="s">
        <v>316</v>
      </c>
      <c r="M271" s="8"/>
      <c r="N271" s="9">
        <v>5</v>
      </c>
      <c r="O271" s="10">
        <v>5</v>
      </c>
      <c r="P271" s="49">
        <f t="shared" si="210"/>
        <v>10</v>
      </c>
      <c r="Q271" s="12"/>
      <c r="R271" s="9">
        <v>5</v>
      </c>
      <c r="S271" s="10">
        <v>5</v>
      </c>
      <c r="T271" s="49">
        <f t="shared" si="211"/>
        <v>10</v>
      </c>
      <c r="U271" s="11">
        <f t="shared" si="212"/>
        <v>20</v>
      </c>
      <c r="V271" s="98">
        <v>43880</v>
      </c>
    </row>
    <row r="272" spans="1:23" x14ac:dyDescent="0.15">
      <c r="A272" s="26"/>
      <c r="B272" s="8"/>
      <c r="C272" s="9"/>
      <c r="D272" s="10"/>
      <c r="E272" s="49">
        <f t="shared" si="213"/>
        <v>0</v>
      </c>
      <c r="F272" s="12"/>
      <c r="G272" s="9"/>
      <c r="H272" s="10"/>
      <c r="I272" s="49">
        <f t="shared" si="214"/>
        <v>0</v>
      </c>
      <c r="J272" s="11">
        <f t="shared" si="215"/>
        <v>0</v>
      </c>
      <c r="K272" s="62"/>
      <c r="L272" s="26" t="s">
        <v>317</v>
      </c>
      <c r="M272" s="8"/>
      <c r="N272" s="9"/>
      <c r="O272" s="10">
        <v>1</v>
      </c>
      <c r="P272" s="49">
        <f t="shared" si="210"/>
        <v>1</v>
      </c>
      <c r="Q272" s="12"/>
      <c r="R272" s="9"/>
      <c r="S272" s="10">
        <v>1</v>
      </c>
      <c r="T272" s="49">
        <f t="shared" si="211"/>
        <v>1</v>
      </c>
      <c r="U272" s="11">
        <f t="shared" si="212"/>
        <v>2</v>
      </c>
      <c r="V272" s="98">
        <v>43881</v>
      </c>
    </row>
    <row r="273" spans="1:23" x14ac:dyDescent="0.15">
      <c r="A273" s="26"/>
      <c r="B273" s="8"/>
      <c r="C273" s="9"/>
      <c r="D273" s="10"/>
      <c r="E273" s="49">
        <f t="shared" si="213"/>
        <v>0</v>
      </c>
      <c r="F273" s="12"/>
      <c r="G273" s="9"/>
      <c r="H273" s="10"/>
      <c r="I273" s="49">
        <f t="shared" si="214"/>
        <v>0</v>
      </c>
      <c r="J273" s="11">
        <f t="shared" si="215"/>
        <v>0</v>
      </c>
      <c r="K273" s="62"/>
      <c r="L273" s="26" t="s">
        <v>314</v>
      </c>
      <c r="M273" s="8">
        <v>1</v>
      </c>
      <c r="N273" s="9"/>
      <c r="O273" s="10"/>
      <c r="P273" s="49">
        <f t="shared" ref="P273" si="216">SUM(M273:O273)</f>
        <v>1</v>
      </c>
      <c r="Q273" s="12">
        <v>1</v>
      </c>
      <c r="R273" s="9"/>
      <c r="S273" s="10"/>
      <c r="T273" s="49">
        <f t="shared" ref="T273" si="217">SUM(Q273:S273)</f>
        <v>1</v>
      </c>
      <c r="U273" s="11">
        <f t="shared" ref="U273" si="218">P273+T273</f>
        <v>2</v>
      </c>
      <c r="V273" s="98">
        <v>43888</v>
      </c>
    </row>
    <row r="274" spans="1:23" x14ac:dyDescent="0.15">
      <c r="A274" s="26"/>
      <c r="B274" s="8"/>
      <c r="C274" s="9"/>
      <c r="D274" s="10"/>
      <c r="E274" s="49">
        <f t="shared" si="213"/>
        <v>0</v>
      </c>
      <c r="F274" s="12"/>
      <c r="G274" s="9"/>
      <c r="H274" s="10"/>
      <c r="I274" s="49">
        <f t="shared" si="214"/>
        <v>0</v>
      </c>
      <c r="J274" s="11">
        <f t="shared" si="215"/>
        <v>0</v>
      </c>
      <c r="K274" s="62"/>
      <c r="L274" s="26" t="s">
        <v>315</v>
      </c>
      <c r="M274" s="8"/>
      <c r="N274" s="9">
        <v>1</v>
      </c>
      <c r="O274" s="10"/>
      <c r="P274" s="49">
        <f t="shared" si="210"/>
        <v>1</v>
      </c>
      <c r="Q274" s="12"/>
      <c r="R274" s="9">
        <v>1</v>
      </c>
      <c r="S274" s="10"/>
      <c r="T274" s="49">
        <f t="shared" si="211"/>
        <v>1</v>
      </c>
      <c r="U274" s="11">
        <f t="shared" si="212"/>
        <v>2</v>
      </c>
      <c r="V274" s="98">
        <v>43894</v>
      </c>
    </row>
    <row r="275" spans="1:23" x14ac:dyDescent="0.15">
      <c r="A275" s="26"/>
      <c r="B275" s="8"/>
      <c r="C275" s="9"/>
      <c r="D275" s="10"/>
      <c r="E275" s="49">
        <f t="shared" si="213"/>
        <v>0</v>
      </c>
      <c r="F275" s="12"/>
      <c r="G275" s="9"/>
      <c r="H275" s="10"/>
      <c r="I275" s="49">
        <f t="shared" si="214"/>
        <v>0</v>
      </c>
      <c r="J275" s="11">
        <f t="shared" si="215"/>
        <v>0</v>
      </c>
      <c r="K275" s="62"/>
      <c r="L275" s="26" t="s">
        <v>320</v>
      </c>
      <c r="M275" s="13"/>
      <c r="N275" s="14">
        <v>1</v>
      </c>
      <c r="O275" s="15"/>
      <c r="P275" s="49">
        <f>SUM(M275:O275)</f>
        <v>1</v>
      </c>
      <c r="Q275" s="16"/>
      <c r="R275" s="14">
        <v>1</v>
      </c>
      <c r="S275" s="15"/>
      <c r="T275" s="49">
        <f>SUM(Q275:S275)</f>
        <v>1</v>
      </c>
      <c r="U275" s="11">
        <f>P275+T275</f>
        <v>2</v>
      </c>
      <c r="V275" s="98">
        <v>43896</v>
      </c>
    </row>
    <row r="276" spans="1:23" x14ac:dyDescent="0.15">
      <c r="A276" s="26"/>
      <c r="B276" s="8"/>
      <c r="C276" s="9"/>
      <c r="D276" s="10"/>
      <c r="E276" s="49">
        <f t="shared" si="213"/>
        <v>0</v>
      </c>
      <c r="F276" s="12"/>
      <c r="G276" s="9"/>
      <c r="H276" s="10"/>
      <c r="I276" s="49">
        <f t="shared" si="214"/>
        <v>0</v>
      </c>
      <c r="J276" s="11">
        <f t="shared" si="215"/>
        <v>0</v>
      </c>
      <c r="K276" s="62"/>
      <c r="L276" s="26" t="s">
        <v>319</v>
      </c>
      <c r="M276" s="8"/>
      <c r="N276" s="9">
        <v>1</v>
      </c>
      <c r="O276" s="10"/>
      <c r="P276" s="49">
        <f t="shared" ref="P276:P278" si="219">SUM(M276:O276)</f>
        <v>1</v>
      </c>
      <c r="Q276" s="12"/>
      <c r="R276" s="9">
        <v>1</v>
      </c>
      <c r="S276" s="10"/>
      <c r="T276" s="49">
        <f t="shared" ref="T276:T278" si="220">SUM(Q276:S276)</f>
        <v>1</v>
      </c>
      <c r="U276" s="11">
        <f t="shared" ref="U276:U278" si="221">P276+T276</f>
        <v>2</v>
      </c>
      <c r="V276" s="98">
        <v>43937</v>
      </c>
      <c r="W276" s="66"/>
    </row>
    <row r="277" spans="1:23" x14ac:dyDescent="0.15">
      <c r="A277" s="24"/>
      <c r="B277" s="8"/>
      <c r="C277" s="9"/>
      <c r="D277" s="10"/>
      <c r="E277" s="49">
        <f t="shared" si="213"/>
        <v>0</v>
      </c>
      <c r="F277" s="12"/>
      <c r="G277" s="9"/>
      <c r="H277" s="10"/>
      <c r="I277" s="49">
        <f t="shared" si="214"/>
        <v>0</v>
      </c>
      <c r="J277" s="11">
        <f t="shared" si="215"/>
        <v>0</v>
      </c>
      <c r="K277" s="62"/>
      <c r="L277" s="26" t="s">
        <v>321</v>
      </c>
      <c r="M277" s="8"/>
      <c r="N277" s="9"/>
      <c r="O277" s="10">
        <v>1</v>
      </c>
      <c r="P277" s="49">
        <f t="shared" si="219"/>
        <v>1</v>
      </c>
      <c r="Q277" s="12"/>
      <c r="R277" s="9"/>
      <c r="S277" s="10">
        <v>1</v>
      </c>
      <c r="T277" s="49">
        <f t="shared" si="220"/>
        <v>1</v>
      </c>
      <c r="U277" s="11">
        <f t="shared" si="221"/>
        <v>2</v>
      </c>
      <c r="V277" s="98">
        <v>43967</v>
      </c>
    </row>
    <row r="278" spans="1:23" x14ac:dyDescent="0.15">
      <c r="A278" s="25"/>
      <c r="B278" s="8"/>
      <c r="C278" s="9"/>
      <c r="D278" s="10"/>
      <c r="E278" s="49">
        <f t="shared" si="213"/>
        <v>0</v>
      </c>
      <c r="F278" s="12"/>
      <c r="G278" s="9"/>
      <c r="H278" s="10"/>
      <c r="I278" s="49">
        <f t="shared" si="214"/>
        <v>0</v>
      </c>
      <c r="J278" s="11">
        <f t="shared" si="215"/>
        <v>0</v>
      </c>
      <c r="K278" s="64"/>
      <c r="L278" s="26"/>
      <c r="M278" s="8"/>
      <c r="N278" s="9"/>
      <c r="O278" s="10"/>
      <c r="P278" s="49">
        <f t="shared" si="219"/>
        <v>0</v>
      </c>
      <c r="Q278" s="12"/>
      <c r="R278" s="9"/>
      <c r="S278" s="10"/>
      <c r="T278" s="49">
        <f t="shared" si="220"/>
        <v>0</v>
      </c>
      <c r="U278" s="11">
        <f t="shared" si="221"/>
        <v>0</v>
      </c>
      <c r="V278" s="98"/>
    </row>
    <row r="279" spans="1:23" x14ac:dyDescent="0.15">
      <c r="A279" s="26"/>
      <c r="B279" s="8"/>
      <c r="C279" s="9"/>
      <c r="D279" s="10"/>
      <c r="E279" s="49">
        <f t="shared" si="213"/>
        <v>0</v>
      </c>
      <c r="F279" s="12"/>
      <c r="G279" s="9"/>
      <c r="H279" s="10"/>
      <c r="I279" s="49">
        <f t="shared" si="214"/>
        <v>0</v>
      </c>
      <c r="J279" s="11">
        <f t="shared" si="215"/>
        <v>0</v>
      </c>
      <c r="K279" s="62"/>
      <c r="L279" s="26"/>
      <c r="M279" s="13"/>
      <c r="N279" s="14"/>
      <c r="O279" s="15"/>
      <c r="P279" s="49">
        <f>SUM(M279:O279)</f>
        <v>0</v>
      </c>
      <c r="Q279" s="16"/>
      <c r="R279" s="14"/>
      <c r="S279" s="15"/>
      <c r="T279" s="49">
        <f>SUM(Q279:S279)</f>
        <v>0</v>
      </c>
      <c r="U279" s="11">
        <f>P279+T279</f>
        <v>0</v>
      </c>
      <c r="V279" s="98"/>
    </row>
    <row r="280" spans="1:23" x14ac:dyDescent="0.15">
      <c r="A280" s="24"/>
      <c r="B280" s="8"/>
      <c r="C280" s="9"/>
      <c r="D280" s="10"/>
      <c r="E280" s="49">
        <f t="shared" si="213"/>
        <v>0</v>
      </c>
      <c r="F280" s="12"/>
      <c r="G280" s="9"/>
      <c r="H280" s="10"/>
      <c r="I280" s="49">
        <f t="shared" si="214"/>
        <v>0</v>
      </c>
      <c r="J280" s="11">
        <f t="shared" si="215"/>
        <v>0</v>
      </c>
      <c r="K280" s="62"/>
      <c r="L280" s="26"/>
      <c r="M280" s="13"/>
      <c r="N280" s="14"/>
      <c r="O280" s="15"/>
      <c r="P280" s="49">
        <f t="shared" ref="P280:P286" si="222">SUM(M280:O280)</f>
        <v>0</v>
      </c>
      <c r="Q280" s="13"/>
      <c r="R280" s="14"/>
      <c r="S280" s="15"/>
      <c r="T280" s="49">
        <f t="shared" ref="T280:T286" si="223">SUM(Q280:S280)</f>
        <v>0</v>
      </c>
      <c r="U280" s="11">
        <f t="shared" ref="U280:U285" si="224">P280+T280</f>
        <v>0</v>
      </c>
      <c r="V280" s="100"/>
    </row>
    <row r="281" spans="1:23" x14ac:dyDescent="0.15">
      <c r="B281" s="13"/>
      <c r="C281" s="14"/>
      <c r="D281" s="15"/>
      <c r="E281" s="49">
        <f t="shared" si="213"/>
        <v>0</v>
      </c>
      <c r="F281" s="16"/>
      <c r="G281" s="14"/>
      <c r="H281" s="15"/>
      <c r="I281" s="49">
        <f t="shared" si="214"/>
        <v>0</v>
      </c>
      <c r="J281" s="11">
        <f t="shared" si="215"/>
        <v>0</v>
      </c>
      <c r="K281" s="65"/>
      <c r="L281" s="67"/>
      <c r="M281" s="13"/>
      <c r="N281" s="14"/>
      <c r="O281" s="15"/>
      <c r="P281" s="49">
        <f t="shared" si="222"/>
        <v>0</v>
      </c>
      <c r="Q281" s="16"/>
      <c r="R281" s="14"/>
      <c r="S281" s="15"/>
      <c r="T281" s="49">
        <f t="shared" si="223"/>
        <v>0</v>
      </c>
      <c r="U281" s="11">
        <f t="shared" si="224"/>
        <v>0</v>
      </c>
      <c r="V281" s="100"/>
    </row>
    <row r="282" spans="1:23" x14ac:dyDescent="0.15">
      <c r="A282" s="26"/>
      <c r="B282" s="8"/>
      <c r="C282" s="9"/>
      <c r="D282" s="10"/>
      <c r="E282" s="49">
        <f t="shared" si="213"/>
        <v>0</v>
      </c>
      <c r="F282" s="12"/>
      <c r="G282" s="9"/>
      <c r="H282" s="10"/>
      <c r="I282" s="49">
        <f t="shared" si="214"/>
        <v>0</v>
      </c>
      <c r="J282" s="11">
        <f t="shared" si="215"/>
        <v>0</v>
      </c>
      <c r="K282" s="62"/>
      <c r="L282" s="26"/>
      <c r="M282" s="13"/>
      <c r="N282" s="14"/>
      <c r="O282" s="15"/>
      <c r="P282" s="49">
        <f t="shared" si="222"/>
        <v>0</v>
      </c>
      <c r="Q282" s="13"/>
      <c r="R282" s="14"/>
      <c r="S282" s="15"/>
      <c r="T282" s="49">
        <f t="shared" si="223"/>
        <v>0</v>
      </c>
      <c r="U282" s="11">
        <f t="shared" si="224"/>
        <v>0</v>
      </c>
      <c r="V282" s="98"/>
    </row>
    <row r="283" spans="1:23" x14ac:dyDescent="0.15">
      <c r="A283" s="26"/>
      <c r="B283" s="8"/>
      <c r="C283" s="9"/>
      <c r="D283" s="10"/>
      <c r="E283" s="49">
        <f t="shared" si="213"/>
        <v>0</v>
      </c>
      <c r="F283" s="12"/>
      <c r="G283" s="9"/>
      <c r="H283" s="10"/>
      <c r="I283" s="49">
        <f t="shared" si="214"/>
        <v>0</v>
      </c>
      <c r="J283" s="11">
        <f t="shared" si="215"/>
        <v>0</v>
      </c>
      <c r="K283" s="62"/>
      <c r="L283" s="26"/>
      <c r="M283" s="8"/>
      <c r="N283" s="9"/>
      <c r="O283" s="10"/>
      <c r="P283" s="49">
        <f t="shared" si="222"/>
        <v>0</v>
      </c>
      <c r="Q283" s="12"/>
      <c r="R283" s="9"/>
      <c r="S283" s="10"/>
      <c r="T283" s="49">
        <f t="shared" si="223"/>
        <v>0</v>
      </c>
      <c r="U283" s="11">
        <f t="shared" si="224"/>
        <v>0</v>
      </c>
      <c r="V283" s="100"/>
    </row>
    <row r="284" spans="1:23" x14ac:dyDescent="0.15">
      <c r="A284" s="26"/>
      <c r="B284" s="8"/>
      <c r="C284" s="9"/>
      <c r="D284" s="10"/>
      <c r="E284" s="49">
        <f t="shared" si="213"/>
        <v>0</v>
      </c>
      <c r="F284" s="12"/>
      <c r="G284" s="9"/>
      <c r="H284" s="10"/>
      <c r="I284" s="49">
        <f t="shared" si="214"/>
        <v>0</v>
      </c>
      <c r="J284" s="11">
        <f t="shared" si="215"/>
        <v>0</v>
      </c>
      <c r="K284" s="62"/>
      <c r="L284" s="26" t="s">
        <v>231</v>
      </c>
      <c r="M284" s="8"/>
      <c r="N284" s="9"/>
      <c r="O284" s="10"/>
      <c r="P284" s="49">
        <f t="shared" si="222"/>
        <v>0</v>
      </c>
      <c r="Q284" s="12"/>
      <c r="R284" s="9"/>
      <c r="S284" s="10"/>
      <c r="T284" s="49">
        <f t="shared" si="223"/>
        <v>0</v>
      </c>
      <c r="U284" s="11">
        <f t="shared" si="224"/>
        <v>0</v>
      </c>
      <c r="V284" s="100" t="s">
        <v>232</v>
      </c>
    </row>
    <row r="285" spans="1:23" ht="14.25" thickBot="1" x14ac:dyDescent="0.2">
      <c r="A285" s="23"/>
      <c r="B285" s="13"/>
      <c r="C285" s="14"/>
      <c r="D285" s="15"/>
      <c r="E285" s="49">
        <f>SUM(B285:D285)</f>
        <v>0</v>
      </c>
      <c r="F285" s="16"/>
      <c r="G285" s="14"/>
      <c r="H285" s="15"/>
      <c r="I285" s="49">
        <f>SUM(F285:H285)</f>
        <v>0</v>
      </c>
      <c r="J285" s="11">
        <f>E285+I285</f>
        <v>0</v>
      </c>
      <c r="K285" s="62"/>
      <c r="L285" s="26" t="s">
        <v>234</v>
      </c>
      <c r="M285" s="83"/>
      <c r="N285" s="14"/>
      <c r="O285" s="15"/>
      <c r="P285" s="49">
        <f t="shared" si="222"/>
        <v>0</v>
      </c>
      <c r="Q285" s="83"/>
      <c r="R285" s="14"/>
      <c r="S285" s="15"/>
      <c r="T285" s="49">
        <f t="shared" si="223"/>
        <v>0</v>
      </c>
      <c r="U285" s="11">
        <f t="shared" si="224"/>
        <v>0</v>
      </c>
      <c r="V285" s="100" t="s">
        <v>235</v>
      </c>
    </row>
    <row r="286" spans="1:23" ht="14.25" thickBot="1" x14ac:dyDescent="0.2">
      <c r="A286" s="41" t="s">
        <v>17</v>
      </c>
      <c r="B286" s="46">
        <f>SUM(B260:B285)</f>
        <v>11</v>
      </c>
      <c r="C286" s="47">
        <f t="shared" ref="C286:D286" si="225">SUM(C260:C285)</f>
        <v>10</v>
      </c>
      <c r="D286" s="58">
        <f t="shared" si="225"/>
        <v>17</v>
      </c>
      <c r="E286" s="45">
        <f t="shared" ref="E286" si="226">SUM(B286:D286)</f>
        <v>38</v>
      </c>
      <c r="F286" s="46">
        <f>SUM(F260:F285)</f>
        <v>11</v>
      </c>
      <c r="G286" s="47">
        <f t="shared" ref="G286:H286" si="227">SUM(G260:G285)</f>
        <v>10</v>
      </c>
      <c r="H286" s="58">
        <f t="shared" si="227"/>
        <v>17</v>
      </c>
      <c r="I286" s="45">
        <f t="shared" ref="I286" si="228">SUM(F286:H286)</f>
        <v>38</v>
      </c>
      <c r="J286" s="45">
        <f>E286+I286</f>
        <v>76</v>
      </c>
      <c r="K286" s="40"/>
      <c r="L286" s="41" t="s">
        <v>17</v>
      </c>
      <c r="M286" s="46">
        <f>SUM(M260:M285)</f>
        <v>37</v>
      </c>
      <c r="N286" s="47">
        <f t="shared" ref="N286:O286" si="229">SUM(N260:N285)</f>
        <v>43</v>
      </c>
      <c r="O286" s="58">
        <f t="shared" si="229"/>
        <v>16</v>
      </c>
      <c r="P286" s="45">
        <f t="shared" si="222"/>
        <v>96</v>
      </c>
      <c r="Q286" s="46">
        <f>SUM(Q260:Q285)</f>
        <v>37</v>
      </c>
      <c r="R286" s="47">
        <f t="shared" ref="R286:S286" si="230">SUM(R260:R285)</f>
        <v>43</v>
      </c>
      <c r="S286" s="58">
        <f t="shared" si="230"/>
        <v>16</v>
      </c>
      <c r="T286" s="45">
        <f t="shared" si="223"/>
        <v>96</v>
      </c>
      <c r="U286" s="45">
        <f>P286+T286</f>
        <v>192</v>
      </c>
    </row>
    <row r="287" spans="1:23" ht="14.25" thickBot="1" x14ac:dyDescent="0.2">
      <c r="A287" s="22" t="s">
        <v>16</v>
      </c>
      <c r="B287" s="50">
        <f>B259-B286</f>
        <v>3</v>
      </c>
      <c r="C287" s="56">
        <f t="shared" ref="C287:D287" si="231">C259-C286</f>
        <v>1</v>
      </c>
      <c r="D287" s="57">
        <f t="shared" si="231"/>
        <v>2</v>
      </c>
      <c r="E287" s="55">
        <f>SUM(B287:D287)</f>
        <v>6</v>
      </c>
      <c r="F287" s="50">
        <f>F259-F286</f>
        <v>3</v>
      </c>
      <c r="G287" s="56">
        <f t="shared" ref="G287:H287" si="232">G259-G286</f>
        <v>1</v>
      </c>
      <c r="H287" s="57">
        <f t="shared" si="232"/>
        <v>2</v>
      </c>
      <c r="I287" s="55">
        <f>SUM(F287:H287)</f>
        <v>6</v>
      </c>
      <c r="J287" s="31">
        <f>E287+I287</f>
        <v>12</v>
      </c>
      <c r="L287" s="22" t="s">
        <v>16</v>
      </c>
      <c r="M287" s="50">
        <f>M259-M286</f>
        <v>117</v>
      </c>
      <c r="N287" s="56">
        <f t="shared" ref="N287:O287" si="233">N259-N286</f>
        <v>233</v>
      </c>
      <c r="O287" s="57">
        <f t="shared" si="233"/>
        <v>189</v>
      </c>
      <c r="P287" s="55">
        <f>SUM(M287:O287)</f>
        <v>539</v>
      </c>
      <c r="Q287" s="50">
        <f>Q259-Q286</f>
        <v>117</v>
      </c>
      <c r="R287" s="56">
        <f t="shared" ref="R287:S287" si="234">R259-R286</f>
        <v>233</v>
      </c>
      <c r="S287" s="57">
        <f t="shared" si="234"/>
        <v>189</v>
      </c>
      <c r="T287" s="55">
        <f>SUM(Q287:S287)</f>
        <v>539</v>
      </c>
      <c r="U287" s="31">
        <f>P287+T287</f>
        <v>1078</v>
      </c>
    </row>
    <row r="288" spans="1:23" ht="19.5" thickBot="1" x14ac:dyDescent="0.25">
      <c r="A288" s="3" t="s">
        <v>18</v>
      </c>
      <c r="B288" s="1"/>
      <c r="C288" s="1"/>
      <c r="D288" s="1"/>
      <c r="E288" s="1"/>
      <c r="F288" s="1"/>
      <c r="G288" s="1"/>
      <c r="H288" s="1"/>
      <c r="I288" s="1"/>
      <c r="J288" s="1"/>
      <c r="L288" s="3" t="s">
        <v>19</v>
      </c>
      <c r="M288" s="1"/>
      <c r="N288" s="1"/>
      <c r="O288" s="1"/>
      <c r="P288" s="1"/>
      <c r="Q288" s="1"/>
      <c r="R288" s="1"/>
      <c r="S288" s="1"/>
      <c r="T288" s="1"/>
      <c r="U288" s="1"/>
    </row>
    <row r="289" spans="1:25" ht="14.25" thickBot="1" x14ac:dyDescent="0.2">
      <c r="A289" s="7"/>
      <c r="B289" s="169" t="s">
        <v>22</v>
      </c>
      <c r="C289" s="170"/>
      <c r="D289" s="170"/>
      <c r="E289" s="171"/>
      <c r="F289" s="169" t="s">
        <v>23</v>
      </c>
      <c r="G289" s="170"/>
      <c r="H289" s="170"/>
      <c r="I289" s="171"/>
      <c r="J289" s="172" t="s">
        <v>0</v>
      </c>
      <c r="L289" s="7"/>
      <c r="M289" s="169" t="s">
        <v>22</v>
      </c>
      <c r="N289" s="170"/>
      <c r="O289" s="170"/>
      <c r="P289" s="171"/>
      <c r="Q289" s="169" t="s">
        <v>23</v>
      </c>
      <c r="R289" s="170"/>
      <c r="S289" s="170"/>
      <c r="T289" s="171"/>
      <c r="U289" s="172" t="s">
        <v>0</v>
      </c>
    </row>
    <row r="290" spans="1:25" ht="14.25" thickBot="1" x14ac:dyDescent="0.2">
      <c r="A290" s="7" t="s">
        <v>1</v>
      </c>
      <c r="B290" s="4" t="s">
        <v>2</v>
      </c>
      <c r="C290" s="5" t="s">
        <v>3</v>
      </c>
      <c r="D290" s="6" t="s">
        <v>4</v>
      </c>
      <c r="E290" s="7" t="s">
        <v>5</v>
      </c>
      <c r="F290" s="4" t="s">
        <v>2</v>
      </c>
      <c r="G290" s="5" t="s">
        <v>3</v>
      </c>
      <c r="H290" s="6" t="s">
        <v>4</v>
      </c>
      <c r="I290" s="7" t="s">
        <v>5</v>
      </c>
      <c r="J290" s="173"/>
      <c r="L290" s="7" t="s">
        <v>1</v>
      </c>
      <c r="M290" s="4" t="s">
        <v>2</v>
      </c>
      <c r="N290" s="5" t="s">
        <v>3</v>
      </c>
      <c r="O290" s="6" t="s">
        <v>4</v>
      </c>
      <c r="P290" s="7" t="s">
        <v>5</v>
      </c>
      <c r="Q290" s="4" t="s">
        <v>2</v>
      </c>
      <c r="R290" s="5" t="s">
        <v>3</v>
      </c>
      <c r="S290" s="6" t="s">
        <v>4</v>
      </c>
      <c r="T290" s="7" t="s">
        <v>5</v>
      </c>
      <c r="U290" s="173"/>
    </row>
    <row r="291" spans="1:25" ht="14.25" thickBot="1" x14ac:dyDescent="0.2">
      <c r="A291" s="27" t="s">
        <v>16</v>
      </c>
      <c r="B291" s="38">
        <f>B287</f>
        <v>3</v>
      </c>
      <c r="C291" s="39">
        <f>C287</f>
        <v>1</v>
      </c>
      <c r="D291" s="2">
        <f>D287</f>
        <v>2</v>
      </c>
      <c r="E291" s="36">
        <f>SUM(B291:D291)</f>
        <v>6</v>
      </c>
      <c r="F291" s="38">
        <f>F287</f>
        <v>3</v>
      </c>
      <c r="G291" s="39">
        <f>G287</f>
        <v>1</v>
      </c>
      <c r="H291" s="2">
        <f>H287</f>
        <v>2</v>
      </c>
      <c r="I291" s="36">
        <f>SUM(F291:H291)</f>
        <v>6</v>
      </c>
      <c r="J291" s="36">
        <f>E291+I291</f>
        <v>12</v>
      </c>
      <c r="K291" s="63"/>
      <c r="L291" s="68" t="s">
        <v>16</v>
      </c>
      <c r="M291" s="42">
        <f>M287</f>
        <v>117</v>
      </c>
      <c r="N291" s="43">
        <f>N287</f>
        <v>233</v>
      </c>
      <c r="O291" s="60">
        <f>O287</f>
        <v>189</v>
      </c>
      <c r="P291" s="48">
        <f>SUM(M291:O291)</f>
        <v>539</v>
      </c>
      <c r="Q291" s="42">
        <f>Q287</f>
        <v>117</v>
      </c>
      <c r="R291" s="43">
        <f>R287</f>
        <v>233</v>
      </c>
      <c r="S291" s="60">
        <f>S287</f>
        <v>189</v>
      </c>
      <c r="T291" s="48">
        <f>SUM(Q291:S291)</f>
        <v>539</v>
      </c>
      <c r="U291" s="48">
        <f>P291+T291</f>
        <v>1078</v>
      </c>
      <c r="Y291" t="s">
        <v>328</v>
      </c>
    </row>
    <row r="292" spans="1:25" x14ac:dyDescent="0.15">
      <c r="A292" s="25" t="s">
        <v>374</v>
      </c>
      <c r="B292" s="42"/>
      <c r="C292" s="43">
        <v>1</v>
      </c>
      <c r="D292" s="44"/>
      <c r="E292" s="48">
        <f>SUM(B292:D292)</f>
        <v>1</v>
      </c>
      <c r="F292" s="59"/>
      <c r="G292" s="43">
        <v>1</v>
      </c>
      <c r="H292" s="60"/>
      <c r="I292" s="48">
        <f>SUM(F292:H292)</f>
        <v>1</v>
      </c>
      <c r="J292" s="48">
        <f>E292+I292</f>
        <v>2</v>
      </c>
      <c r="K292" s="62">
        <v>44147</v>
      </c>
      <c r="L292" s="25" t="s">
        <v>7</v>
      </c>
      <c r="M292" s="73"/>
      <c r="N292" s="74"/>
      <c r="O292" s="75"/>
      <c r="P292" s="76">
        <f>SUM(M292:O292)</f>
        <v>0</v>
      </c>
      <c r="Q292" s="77"/>
      <c r="R292" s="74"/>
      <c r="S292" s="78"/>
      <c r="T292" s="76">
        <f>SUM(Q292:S292)</f>
        <v>0</v>
      </c>
      <c r="U292" s="48">
        <f>P292+T292</f>
        <v>0</v>
      </c>
      <c r="V292" s="98"/>
    </row>
    <row r="293" spans="1:25" x14ac:dyDescent="0.15">
      <c r="A293" s="25"/>
      <c r="B293" s="8"/>
      <c r="C293" s="9"/>
      <c r="D293" s="52"/>
      <c r="E293" s="11">
        <f>SUM(B293:D293)</f>
        <v>0</v>
      </c>
      <c r="F293" s="12"/>
      <c r="G293" s="9"/>
      <c r="H293" s="10"/>
      <c r="I293" s="11">
        <f>SUM(F293:H293)</f>
        <v>0</v>
      </c>
      <c r="J293" s="11">
        <f>E293+I293</f>
        <v>0</v>
      </c>
      <c r="K293" s="62"/>
      <c r="L293" s="25" t="s">
        <v>8</v>
      </c>
      <c r="M293" s="17"/>
      <c r="N293" s="18"/>
      <c r="O293" s="51"/>
      <c r="P293" s="49">
        <f t="shared" ref="P293:P299" si="235">SUM(M293:O293)</f>
        <v>0</v>
      </c>
      <c r="Q293" s="17"/>
      <c r="R293" s="18"/>
      <c r="S293" s="51"/>
      <c r="T293" s="49">
        <f t="shared" ref="T293:T299" si="236">SUM(Q293:S293)</f>
        <v>0</v>
      </c>
      <c r="U293" s="11">
        <f t="shared" ref="U293:U299" si="237">P293+T293</f>
        <v>0</v>
      </c>
      <c r="V293" s="122"/>
      <c r="W293" s="88"/>
    </row>
    <row r="294" spans="1:25" x14ac:dyDescent="0.15">
      <c r="A294" s="25"/>
      <c r="B294" s="17"/>
      <c r="C294" s="18"/>
      <c r="D294" s="51"/>
      <c r="E294" s="11">
        <f t="shared" ref="E294:E299" si="238">SUM(B294:D294)</f>
        <v>0</v>
      </c>
      <c r="F294" s="20"/>
      <c r="G294" s="18"/>
      <c r="H294" s="19"/>
      <c r="I294" s="11">
        <f t="shared" ref="I294:I299" si="239">SUM(F294:H294)</f>
        <v>0</v>
      </c>
      <c r="J294" s="11">
        <f t="shared" ref="J294:J299" si="240">E294+I294</f>
        <v>0</v>
      </c>
      <c r="K294" s="62"/>
      <c r="L294" s="25" t="s">
        <v>9</v>
      </c>
      <c r="M294" s="17"/>
      <c r="N294" s="18"/>
      <c r="O294" s="51"/>
      <c r="P294" s="11">
        <f t="shared" si="235"/>
        <v>0</v>
      </c>
      <c r="Q294" s="20"/>
      <c r="R294" s="18"/>
      <c r="S294" s="19"/>
      <c r="T294" s="11">
        <f t="shared" si="236"/>
        <v>0</v>
      </c>
      <c r="U294" s="11">
        <f t="shared" si="237"/>
        <v>0</v>
      </c>
      <c r="V294" s="100"/>
    </row>
    <row r="295" spans="1:25" x14ac:dyDescent="0.15">
      <c r="A295" s="25"/>
      <c r="B295" s="8"/>
      <c r="C295" s="9"/>
      <c r="D295" s="52"/>
      <c r="E295" s="11">
        <f t="shared" si="238"/>
        <v>0</v>
      </c>
      <c r="F295" s="12"/>
      <c r="G295" s="9"/>
      <c r="H295" s="10"/>
      <c r="I295" s="11">
        <f t="shared" si="239"/>
        <v>0</v>
      </c>
      <c r="J295" s="11">
        <f t="shared" si="240"/>
        <v>0</v>
      </c>
      <c r="K295" s="62"/>
      <c r="L295" s="25" t="s">
        <v>10</v>
      </c>
      <c r="M295" s="8"/>
      <c r="N295" s="9"/>
      <c r="O295" s="52"/>
      <c r="P295" s="11">
        <f t="shared" si="235"/>
        <v>0</v>
      </c>
      <c r="Q295" s="12"/>
      <c r="R295" s="9"/>
      <c r="S295" s="10"/>
      <c r="T295" s="11">
        <f t="shared" si="236"/>
        <v>0</v>
      </c>
      <c r="U295" s="11">
        <f t="shared" si="237"/>
        <v>0</v>
      </c>
      <c r="V295" s="100"/>
    </row>
    <row r="296" spans="1:25" x14ac:dyDescent="0.15">
      <c r="A296" s="25"/>
      <c r="B296" s="8"/>
      <c r="C296" s="9"/>
      <c r="D296" s="52"/>
      <c r="E296" s="11">
        <f t="shared" si="238"/>
        <v>0</v>
      </c>
      <c r="F296" s="12"/>
      <c r="G296" s="9"/>
      <c r="H296" s="10"/>
      <c r="I296" s="11">
        <f t="shared" si="239"/>
        <v>0</v>
      </c>
      <c r="J296" s="11">
        <f t="shared" si="240"/>
        <v>0</v>
      </c>
      <c r="K296" s="62"/>
      <c r="L296" s="25" t="s">
        <v>11</v>
      </c>
      <c r="M296" s="8"/>
      <c r="N296" s="9"/>
      <c r="O296" s="52"/>
      <c r="P296" s="11">
        <f t="shared" si="235"/>
        <v>0</v>
      </c>
      <c r="Q296" s="12"/>
      <c r="R296" s="9"/>
      <c r="S296" s="10"/>
      <c r="T296" s="11">
        <f t="shared" si="236"/>
        <v>0</v>
      </c>
      <c r="U296" s="11">
        <f t="shared" si="237"/>
        <v>0</v>
      </c>
      <c r="V296" s="98"/>
    </row>
    <row r="297" spans="1:25" x14ac:dyDescent="0.15">
      <c r="A297" s="25"/>
      <c r="B297" s="8"/>
      <c r="C297" s="9"/>
      <c r="D297" s="52"/>
      <c r="E297" s="11">
        <f t="shared" si="238"/>
        <v>0</v>
      </c>
      <c r="F297" s="12"/>
      <c r="G297" s="9"/>
      <c r="H297" s="10"/>
      <c r="I297" s="11">
        <f t="shared" si="239"/>
        <v>0</v>
      </c>
      <c r="J297" s="11">
        <f t="shared" si="240"/>
        <v>0</v>
      </c>
      <c r="K297" s="62"/>
      <c r="L297" s="25" t="s">
        <v>12</v>
      </c>
      <c r="M297" s="17"/>
      <c r="N297" s="18"/>
      <c r="O297" s="51"/>
      <c r="P297" s="49">
        <f t="shared" si="235"/>
        <v>0</v>
      </c>
      <c r="Q297" s="17"/>
      <c r="R297" s="18"/>
      <c r="S297" s="51"/>
      <c r="T297" s="49">
        <f t="shared" si="236"/>
        <v>0</v>
      </c>
      <c r="U297" s="11">
        <f t="shared" si="237"/>
        <v>0</v>
      </c>
    </row>
    <row r="298" spans="1:25" x14ac:dyDescent="0.15">
      <c r="A298" s="25"/>
      <c r="B298" s="13"/>
      <c r="C298" s="14"/>
      <c r="D298" s="53"/>
      <c r="E298" s="11">
        <f t="shared" si="238"/>
        <v>0</v>
      </c>
      <c r="F298" s="16"/>
      <c r="G298" s="14"/>
      <c r="H298" s="15"/>
      <c r="I298" s="11">
        <f t="shared" si="239"/>
        <v>0</v>
      </c>
      <c r="J298" s="11">
        <f t="shared" si="240"/>
        <v>0</v>
      </c>
      <c r="K298" s="64"/>
      <c r="L298" s="25" t="s">
        <v>329</v>
      </c>
      <c r="M298" s="17">
        <v>150</v>
      </c>
      <c r="N298" s="18">
        <v>100</v>
      </c>
      <c r="O298" s="51">
        <v>50</v>
      </c>
      <c r="P298" s="49">
        <f t="shared" si="235"/>
        <v>300</v>
      </c>
      <c r="Q298" s="17">
        <v>150</v>
      </c>
      <c r="R298" s="18">
        <v>100</v>
      </c>
      <c r="S298" s="51">
        <v>50</v>
      </c>
      <c r="T298" s="49">
        <f t="shared" si="236"/>
        <v>300</v>
      </c>
      <c r="U298" s="11">
        <f t="shared" si="237"/>
        <v>600</v>
      </c>
      <c r="V298" s="98" t="s">
        <v>365</v>
      </c>
    </row>
    <row r="299" spans="1:25" ht="14.25" thickBot="1" x14ac:dyDescent="0.2">
      <c r="A299" s="25"/>
      <c r="B299" s="32"/>
      <c r="C299" s="33"/>
      <c r="D299" s="54"/>
      <c r="E299" s="61">
        <f t="shared" si="238"/>
        <v>0</v>
      </c>
      <c r="F299" s="34"/>
      <c r="G299" s="34"/>
      <c r="H299" s="37"/>
      <c r="I299" s="61">
        <f t="shared" si="239"/>
        <v>0</v>
      </c>
      <c r="J299" s="21">
        <f t="shared" si="240"/>
        <v>0</v>
      </c>
      <c r="K299" s="62"/>
      <c r="L299" s="25" t="s">
        <v>14</v>
      </c>
      <c r="M299" s="32"/>
      <c r="N299" s="33"/>
      <c r="O299" s="54"/>
      <c r="P299" s="61">
        <f t="shared" si="235"/>
        <v>0</v>
      </c>
      <c r="Q299" s="34"/>
      <c r="R299" s="34"/>
      <c r="S299" s="37"/>
      <c r="T299" s="61">
        <f t="shared" si="236"/>
        <v>0</v>
      </c>
      <c r="U299" s="21">
        <f t="shared" si="237"/>
        <v>0</v>
      </c>
    </row>
    <row r="300" spans="1:25" ht="14.25" thickBot="1" x14ac:dyDescent="0.2">
      <c r="A300" s="35" t="s">
        <v>15</v>
      </c>
      <c r="B300" s="28">
        <f>SUM(B291:B299)</f>
        <v>3</v>
      </c>
      <c r="C300" s="29">
        <f>SUM(C291:C299)</f>
        <v>2</v>
      </c>
      <c r="D300" s="30">
        <f>SUM(D291:D299)</f>
        <v>2</v>
      </c>
      <c r="E300" s="31">
        <f>SUM(B300:D300)</f>
        <v>7</v>
      </c>
      <c r="F300" s="28">
        <f>SUM(F291:F299)</f>
        <v>3</v>
      </c>
      <c r="G300" s="29">
        <f>SUM(G291:G299)</f>
        <v>2</v>
      </c>
      <c r="H300" s="30">
        <f>SUM(H291:H299)</f>
        <v>2</v>
      </c>
      <c r="I300" s="31">
        <f>SUM(F300:H300)</f>
        <v>7</v>
      </c>
      <c r="J300" s="31">
        <f>E300+I300</f>
        <v>14</v>
      </c>
      <c r="L300" s="35" t="s">
        <v>15</v>
      </c>
      <c r="M300" s="28">
        <f>SUM(M291:M299)</f>
        <v>267</v>
      </c>
      <c r="N300" s="29">
        <f>SUM(N291:N299)</f>
        <v>333</v>
      </c>
      <c r="O300" s="30">
        <f>SUM(O291:O299)</f>
        <v>239</v>
      </c>
      <c r="P300" s="31">
        <f>SUM(M300:O300)</f>
        <v>839</v>
      </c>
      <c r="Q300" s="28">
        <f>SUM(Q291:Q299)</f>
        <v>267</v>
      </c>
      <c r="R300" s="29">
        <f>SUM(R291:R299)</f>
        <v>333</v>
      </c>
      <c r="S300" s="30">
        <f>SUM(S291:S299)</f>
        <v>239</v>
      </c>
      <c r="T300" s="31">
        <f>SUM(Q300:S300)</f>
        <v>839</v>
      </c>
      <c r="U300" s="31">
        <f>P300+T300</f>
        <v>1678</v>
      </c>
    </row>
    <row r="301" spans="1:25" x14ac:dyDescent="0.15">
      <c r="A301" s="26"/>
      <c r="B301" s="13"/>
      <c r="C301" s="14"/>
      <c r="D301" s="15"/>
      <c r="E301" s="49">
        <f>SUM(B301:D301)</f>
        <v>0</v>
      </c>
      <c r="F301" s="16"/>
      <c r="G301" s="14"/>
      <c r="H301" s="15"/>
      <c r="I301" s="49">
        <f>SUM(F301:H301)</f>
        <v>0</v>
      </c>
      <c r="J301" s="11">
        <f>E301+I301</f>
        <v>0</v>
      </c>
      <c r="K301" s="62"/>
      <c r="L301" s="26" t="s">
        <v>348</v>
      </c>
      <c r="M301" s="73"/>
      <c r="N301" s="74">
        <v>2</v>
      </c>
      <c r="O301" s="75"/>
      <c r="P301" s="87">
        <f t="shared" ref="P301:P302" si="241">SUM(M301:O301)</f>
        <v>2</v>
      </c>
      <c r="Q301" s="12"/>
      <c r="R301" s="9">
        <v>2</v>
      </c>
      <c r="S301" s="10"/>
      <c r="T301" s="49">
        <f t="shared" ref="T301:T302" si="242">SUM(Q301:S301)</f>
        <v>2</v>
      </c>
      <c r="U301" s="11">
        <f t="shared" ref="U301:U302" si="243">P301+T301</f>
        <v>4</v>
      </c>
      <c r="V301" s="98">
        <v>44118</v>
      </c>
    </row>
    <row r="302" spans="1:25" x14ac:dyDescent="0.15">
      <c r="A302" s="26"/>
      <c r="B302" s="8"/>
      <c r="C302" s="9"/>
      <c r="D302" s="10"/>
      <c r="E302" s="49">
        <f t="shared" ref="E302:E303" si="244">SUM(B302:D302)</f>
        <v>0</v>
      </c>
      <c r="F302" s="12"/>
      <c r="G302" s="9"/>
      <c r="H302" s="10"/>
      <c r="I302" s="49">
        <f t="shared" ref="I302:I303" si="245">SUM(F302:H302)</f>
        <v>0</v>
      </c>
      <c r="J302" s="11">
        <f t="shared" ref="J302:J303" si="246">E302+I302</f>
        <v>0</v>
      </c>
      <c r="K302" s="62"/>
      <c r="L302" s="26" t="s">
        <v>349</v>
      </c>
      <c r="M302" s="94">
        <v>1</v>
      </c>
      <c r="N302" s="95">
        <v>4</v>
      </c>
      <c r="O302" s="96">
        <v>2</v>
      </c>
      <c r="P302" s="87">
        <f t="shared" si="241"/>
        <v>7</v>
      </c>
      <c r="Q302" s="12">
        <v>1</v>
      </c>
      <c r="R302" s="9">
        <v>4</v>
      </c>
      <c r="S302" s="10">
        <v>2</v>
      </c>
      <c r="T302" s="49">
        <f t="shared" si="242"/>
        <v>7</v>
      </c>
      <c r="U302" s="11">
        <f t="shared" si="243"/>
        <v>14</v>
      </c>
      <c r="V302" s="98">
        <v>44119</v>
      </c>
    </row>
    <row r="303" spans="1:25" x14ac:dyDescent="0.15">
      <c r="A303" s="26"/>
      <c r="B303" s="8"/>
      <c r="C303" s="9"/>
      <c r="D303" s="10"/>
      <c r="E303" s="49">
        <f t="shared" si="244"/>
        <v>0</v>
      </c>
      <c r="F303" s="12"/>
      <c r="G303" s="9"/>
      <c r="H303" s="10"/>
      <c r="I303" s="49">
        <f t="shared" si="245"/>
        <v>0</v>
      </c>
      <c r="J303" s="11">
        <f t="shared" si="246"/>
        <v>0</v>
      </c>
      <c r="K303" s="62"/>
      <c r="L303" s="26" t="s">
        <v>350</v>
      </c>
      <c r="M303" s="13">
        <v>6</v>
      </c>
      <c r="N303" s="14">
        <v>5</v>
      </c>
      <c r="O303" s="53">
        <v>6</v>
      </c>
      <c r="P303" s="87">
        <f>SUM(M303:O303)</f>
        <v>17</v>
      </c>
      <c r="Q303" s="16">
        <v>6</v>
      </c>
      <c r="R303" s="14">
        <v>5</v>
      </c>
      <c r="S303" s="15">
        <v>6</v>
      </c>
      <c r="T303" s="49">
        <f>SUM(Q303:S303)</f>
        <v>17</v>
      </c>
      <c r="U303" s="11">
        <f>P303+T303</f>
        <v>34</v>
      </c>
      <c r="V303" s="99">
        <v>44120</v>
      </c>
    </row>
    <row r="304" spans="1:25" x14ac:dyDescent="0.15">
      <c r="A304" s="26"/>
      <c r="B304" s="13"/>
      <c r="C304" s="14"/>
      <c r="D304" s="15"/>
      <c r="E304" s="49">
        <f>SUM(B304:D304)</f>
        <v>0</v>
      </c>
      <c r="F304" s="16"/>
      <c r="G304" s="14"/>
      <c r="H304" s="15"/>
      <c r="I304" s="49">
        <f>SUM(F304:H304)</f>
        <v>0</v>
      </c>
      <c r="J304" s="11">
        <f>E304+I304</f>
        <v>0</v>
      </c>
      <c r="K304" s="62"/>
      <c r="L304" s="26" t="s">
        <v>352</v>
      </c>
      <c r="M304" s="8">
        <v>8</v>
      </c>
      <c r="N304" s="9">
        <v>4</v>
      </c>
      <c r="O304" s="52">
        <v>1</v>
      </c>
      <c r="P304" s="87">
        <f t="shared" ref="P304:P315" si="247">SUM(M304:O304)</f>
        <v>13</v>
      </c>
      <c r="Q304" s="12">
        <v>8</v>
      </c>
      <c r="R304" s="9">
        <v>4</v>
      </c>
      <c r="S304" s="10">
        <v>1</v>
      </c>
      <c r="T304" s="49">
        <f t="shared" ref="T304:T315" si="248">SUM(Q304:S304)</f>
        <v>13</v>
      </c>
      <c r="U304" s="11">
        <f t="shared" ref="U304:U315" si="249">P304+T304</f>
        <v>26</v>
      </c>
      <c r="V304" s="98">
        <v>44121</v>
      </c>
    </row>
    <row r="305" spans="1:23" x14ac:dyDescent="0.15">
      <c r="A305" s="26"/>
      <c r="B305" s="8"/>
      <c r="C305" s="9"/>
      <c r="D305" s="10"/>
      <c r="E305" s="49">
        <f t="shared" ref="E305:E325" si="250">SUM(B305:D305)</f>
        <v>0</v>
      </c>
      <c r="F305" s="12"/>
      <c r="G305" s="9"/>
      <c r="H305" s="10"/>
      <c r="I305" s="49">
        <f t="shared" ref="I305:I325" si="251">SUM(F305:H305)</f>
        <v>0</v>
      </c>
      <c r="J305" s="11">
        <f t="shared" ref="J305:J325" si="252">E305+I305</f>
        <v>0</v>
      </c>
      <c r="K305" s="62"/>
      <c r="L305" s="26" t="s">
        <v>353</v>
      </c>
      <c r="M305" s="8">
        <v>11</v>
      </c>
      <c r="N305" s="9">
        <v>12</v>
      </c>
      <c r="O305" s="52">
        <v>7</v>
      </c>
      <c r="P305" s="87">
        <f t="shared" si="247"/>
        <v>30</v>
      </c>
      <c r="Q305" s="12">
        <v>11</v>
      </c>
      <c r="R305" s="9">
        <v>12</v>
      </c>
      <c r="S305" s="10">
        <v>7</v>
      </c>
      <c r="T305" s="49">
        <f t="shared" si="248"/>
        <v>30</v>
      </c>
      <c r="U305" s="11">
        <f t="shared" si="249"/>
        <v>60</v>
      </c>
      <c r="V305" s="98">
        <v>44124</v>
      </c>
    </row>
    <row r="306" spans="1:23" x14ac:dyDescent="0.15">
      <c r="A306" s="26"/>
      <c r="B306" s="8"/>
      <c r="C306" s="9"/>
      <c r="D306" s="10"/>
      <c r="E306" s="49">
        <f t="shared" si="250"/>
        <v>0</v>
      </c>
      <c r="F306" s="12"/>
      <c r="G306" s="9"/>
      <c r="H306" s="10"/>
      <c r="I306" s="49">
        <f t="shared" si="251"/>
        <v>0</v>
      </c>
      <c r="J306" s="11">
        <f t="shared" si="252"/>
        <v>0</v>
      </c>
      <c r="K306" s="62"/>
      <c r="L306" s="26" t="s">
        <v>354</v>
      </c>
      <c r="M306" s="8">
        <v>7</v>
      </c>
      <c r="N306" s="9">
        <v>3</v>
      </c>
      <c r="O306" s="52">
        <v>1</v>
      </c>
      <c r="P306" s="87">
        <f t="shared" si="247"/>
        <v>11</v>
      </c>
      <c r="Q306" s="12">
        <v>7</v>
      </c>
      <c r="R306" s="9">
        <v>3</v>
      </c>
      <c r="S306" s="10">
        <v>1</v>
      </c>
      <c r="T306" s="49">
        <f t="shared" si="248"/>
        <v>11</v>
      </c>
      <c r="U306" s="11">
        <f t="shared" si="249"/>
        <v>22</v>
      </c>
      <c r="V306" s="98">
        <v>44125</v>
      </c>
    </row>
    <row r="307" spans="1:23" x14ac:dyDescent="0.15">
      <c r="A307" s="26"/>
      <c r="B307" s="8"/>
      <c r="C307" s="9"/>
      <c r="D307" s="10"/>
      <c r="E307" s="49">
        <f t="shared" si="250"/>
        <v>0</v>
      </c>
      <c r="F307" s="12"/>
      <c r="G307" s="9"/>
      <c r="H307" s="10"/>
      <c r="I307" s="49">
        <f t="shared" si="251"/>
        <v>0</v>
      </c>
      <c r="J307" s="11">
        <f t="shared" si="252"/>
        <v>0</v>
      </c>
      <c r="K307" s="62"/>
      <c r="L307" s="26" t="s">
        <v>355</v>
      </c>
      <c r="M307" s="8">
        <v>3</v>
      </c>
      <c r="N307" s="9">
        <v>3</v>
      </c>
      <c r="O307" s="52">
        <v>2</v>
      </c>
      <c r="P307" s="87">
        <f t="shared" si="247"/>
        <v>8</v>
      </c>
      <c r="Q307" s="12">
        <v>3</v>
      </c>
      <c r="R307" s="9">
        <v>3</v>
      </c>
      <c r="S307" s="10">
        <v>2</v>
      </c>
      <c r="T307" s="49">
        <f t="shared" si="248"/>
        <v>8</v>
      </c>
      <c r="U307" s="11">
        <f t="shared" si="249"/>
        <v>16</v>
      </c>
      <c r="V307" s="98">
        <v>44126</v>
      </c>
      <c r="W307" s="66"/>
    </row>
    <row r="308" spans="1:23" x14ac:dyDescent="0.15">
      <c r="A308" s="26"/>
      <c r="B308" s="8"/>
      <c r="C308" s="9"/>
      <c r="D308" s="10"/>
      <c r="E308" s="49">
        <f t="shared" si="250"/>
        <v>0</v>
      </c>
      <c r="F308" s="12"/>
      <c r="G308" s="9"/>
      <c r="H308" s="10"/>
      <c r="I308" s="49">
        <f t="shared" si="251"/>
        <v>0</v>
      </c>
      <c r="J308" s="11">
        <f t="shared" si="252"/>
        <v>0</v>
      </c>
      <c r="K308" s="62"/>
      <c r="L308" s="26" t="s">
        <v>356</v>
      </c>
      <c r="M308" s="8">
        <v>1</v>
      </c>
      <c r="N308" s="9">
        <v>3</v>
      </c>
      <c r="O308" s="52">
        <v>1</v>
      </c>
      <c r="P308" s="87">
        <f t="shared" si="247"/>
        <v>5</v>
      </c>
      <c r="Q308" s="12">
        <v>1</v>
      </c>
      <c r="R308" s="9">
        <v>3</v>
      </c>
      <c r="S308" s="10">
        <v>1</v>
      </c>
      <c r="T308" s="49">
        <f t="shared" si="248"/>
        <v>5</v>
      </c>
      <c r="U308" s="11">
        <f t="shared" si="249"/>
        <v>10</v>
      </c>
      <c r="V308" s="98">
        <v>44127</v>
      </c>
    </row>
    <row r="309" spans="1:23" x14ac:dyDescent="0.15">
      <c r="A309" s="26"/>
      <c r="B309" s="8"/>
      <c r="C309" s="9"/>
      <c r="D309" s="10"/>
      <c r="E309" s="49">
        <f t="shared" si="250"/>
        <v>0</v>
      </c>
      <c r="F309" s="12"/>
      <c r="G309" s="9"/>
      <c r="H309" s="10"/>
      <c r="I309" s="49">
        <f t="shared" si="251"/>
        <v>0</v>
      </c>
      <c r="J309" s="11">
        <f t="shared" si="252"/>
        <v>0</v>
      </c>
      <c r="K309" s="62"/>
      <c r="L309" s="26" t="s">
        <v>357</v>
      </c>
      <c r="M309" s="8">
        <v>3</v>
      </c>
      <c r="N309" s="9">
        <v>5</v>
      </c>
      <c r="O309" s="52">
        <v>2</v>
      </c>
      <c r="P309" s="87">
        <f t="shared" si="247"/>
        <v>10</v>
      </c>
      <c r="Q309" s="12">
        <v>3</v>
      </c>
      <c r="R309" s="9">
        <v>5</v>
      </c>
      <c r="S309" s="10">
        <v>2</v>
      </c>
      <c r="T309" s="49">
        <f t="shared" si="248"/>
        <v>10</v>
      </c>
      <c r="U309" s="11">
        <f t="shared" si="249"/>
        <v>20</v>
      </c>
      <c r="V309" s="98">
        <v>44128</v>
      </c>
    </row>
    <row r="310" spans="1:23" x14ac:dyDescent="0.15">
      <c r="A310" s="26"/>
      <c r="B310" s="13"/>
      <c r="C310" s="14"/>
      <c r="D310" s="15"/>
      <c r="E310" s="49">
        <f t="shared" si="250"/>
        <v>0</v>
      </c>
      <c r="F310" s="16"/>
      <c r="G310" s="14"/>
      <c r="H310" s="15"/>
      <c r="I310" s="49">
        <f t="shared" si="251"/>
        <v>0</v>
      </c>
      <c r="J310" s="11">
        <f t="shared" si="252"/>
        <v>0</v>
      </c>
      <c r="K310" s="62"/>
      <c r="L310" s="26" t="s">
        <v>358</v>
      </c>
      <c r="M310" s="13"/>
      <c r="N310" s="14">
        <v>1</v>
      </c>
      <c r="O310" s="53">
        <v>1</v>
      </c>
      <c r="P310" s="87">
        <f t="shared" si="247"/>
        <v>2</v>
      </c>
      <c r="Q310" s="16"/>
      <c r="R310" s="14">
        <v>1</v>
      </c>
      <c r="S310" s="15">
        <v>1</v>
      </c>
      <c r="T310" s="49">
        <f t="shared" si="248"/>
        <v>2</v>
      </c>
      <c r="U310" s="11">
        <f t="shared" si="249"/>
        <v>4</v>
      </c>
      <c r="V310" s="98">
        <v>44132</v>
      </c>
    </row>
    <row r="311" spans="1:23" x14ac:dyDescent="0.15">
      <c r="A311" s="26"/>
      <c r="B311" s="8"/>
      <c r="C311" s="9"/>
      <c r="D311" s="10"/>
      <c r="E311" s="49">
        <f t="shared" si="250"/>
        <v>0</v>
      </c>
      <c r="F311" s="12"/>
      <c r="G311" s="9"/>
      <c r="H311" s="10"/>
      <c r="I311" s="49">
        <f t="shared" si="251"/>
        <v>0</v>
      </c>
      <c r="J311" s="11">
        <f t="shared" si="252"/>
        <v>0</v>
      </c>
      <c r="K311" s="62"/>
      <c r="L311" s="26" t="s">
        <v>359</v>
      </c>
      <c r="M311" s="8"/>
      <c r="N311" s="9">
        <v>1</v>
      </c>
      <c r="O311" s="52"/>
      <c r="P311" s="87">
        <f t="shared" si="247"/>
        <v>1</v>
      </c>
      <c r="Q311" s="12"/>
      <c r="R311" s="9">
        <v>1</v>
      </c>
      <c r="S311" s="10"/>
      <c r="T311" s="49">
        <f t="shared" si="248"/>
        <v>1</v>
      </c>
      <c r="U311" s="11">
        <f t="shared" si="249"/>
        <v>2</v>
      </c>
      <c r="V311" s="98">
        <v>44133</v>
      </c>
    </row>
    <row r="312" spans="1:23" x14ac:dyDescent="0.15">
      <c r="A312" s="26"/>
      <c r="B312" s="8"/>
      <c r="C312" s="9"/>
      <c r="D312" s="10"/>
      <c r="E312" s="49">
        <f t="shared" si="250"/>
        <v>0</v>
      </c>
      <c r="F312" s="12"/>
      <c r="G312" s="9"/>
      <c r="H312" s="10"/>
      <c r="I312" s="49">
        <f t="shared" si="251"/>
        <v>0</v>
      </c>
      <c r="J312" s="11">
        <f t="shared" si="252"/>
        <v>0</v>
      </c>
      <c r="K312" s="62"/>
      <c r="L312" s="26" t="s">
        <v>361</v>
      </c>
      <c r="M312" s="8"/>
      <c r="N312" s="9">
        <v>2</v>
      </c>
      <c r="O312" s="52"/>
      <c r="P312" s="87">
        <f t="shared" si="247"/>
        <v>2</v>
      </c>
      <c r="Q312" s="12"/>
      <c r="R312" s="9">
        <v>2</v>
      </c>
      <c r="S312" s="10"/>
      <c r="T312" s="49">
        <f t="shared" si="248"/>
        <v>2</v>
      </c>
      <c r="U312" s="11">
        <f t="shared" si="249"/>
        <v>4</v>
      </c>
      <c r="V312" s="98">
        <v>44134</v>
      </c>
    </row>
    <row r="313" spans="1:23" x14ac:dyDescent="0.15">
      <c r="A313" s="26"/>
      <c r="B313" s="8"/>
      <c r="C313" s="9"/>
      <c r="D313" s="10"/>
      <c r="E313" s="49">
        <f t="shared" si="250"/>
        <v>0</v>
      </c>
      <c r="F313" s="12"/>
      <c r="G313" s="9"/>
      <c r="H313" s="10"/>
      <c r="I313" s="49">
        <f t="shared" si="251"/>
        <v>0</v>
      </c>
      <c r="J313" s="11">
        <f t="shared" si="252"/>
        <v>0</v>
      </c>
      <c r="K313" s="62"/>
      <c r="L313" s="26" t="s">
        <v>363</v>
      </c>
      <c r="M313" s="8"/>
      <c r="N313" s="9">
        <v>2</v>
      </c>
      <c r="O313" s="52"/>
      <c r="P313" s="87">
        <f t="shared" si="247"/>
        <v>2</v>
      </c>
      <c r="Q313" s="12"/>
      <c r="R313" s="9">
        <v>2</v>
      </c>
      <c r="S313" s="10"/>
      <c r="T313" s="49">
        <f t="shared" si="248"/>
        <v>2</v>
      </c>
      <c r="U313" s="11">
        <f t="shared" si="249"/>
        <v>4</v>
      </c>
      <c r="V313" s="98">
        <v>44138</v>
      </c>
    </row>
    <row r="314" spans="1:23" x14ac:dyDescent="0.15">
      <c r="A314" s="26"/>
      <c r="B314" s="8"/>
      <c r="C314" s="9"/>
      <c r="D314" s="10"/>
      <c r="E314" s="49">
        <f t="shared" si="250"/>
        <v>0</v>
      </c>
      <c r="F314" s="12"/>
      <c r="G314" s="9"/>
      <c r="H314" s="10"/>
      <c r="I314" s="49">
        <f t="shared" si="251"/>
        <v>0</v>
      </c>
      <c r="J314" s="11">
        <f t="shared" si="252"/>
        <v>0</v>
      </c>
      <c r="K314" s="62"/>
      <c r="L314" s="26" t="s">
        <v>364</v>
      </c>
      <c r="M314" s="8">
        <v>13</v>
      </c>
      <c r="N314" s="9">
        <v>9</v>
      </c>
      <c r="O314" s="52">
        <v>1</v>
      </c>
      <c r="P314" s="87">
        <f t="shared" si="247"/>
        <v>23</v>
      </c>
      <c r="Q314" s="12">
        <v>13</v>
      </c>
      <c r="R314" s="9">
        <v>9</v>
      </c>
      <c r="S314" s="10">
        <v>1</v>
      </c>
      <c r="T314" s="49">
        <f t="shared" si="248"/>
        <v>23</v>
      </c>
      <c r="U314" s="11">
        <f t="shared" si="249"/>
        <v>46</v>
      </c>
      <c r="V314" s="98">
        <v>44140</v>
      </c>
    </row>
    <row r="315" spans="1:23" x14ac:dyDescent="0.15">
      <c r="A315" s="26"/>
      <c r="B315" s="8"/>
      <c r="C315" s="9"/>
      <c r="D315" s="10"/>
      <c r="E315" s="49">
        <f t="shared" si="250"/>
        <v>0</v>
      </c>
      <c r="F315" s="12"/>
      <c r="G315" s="9"/>
      <c r="H315" s="10"/>
      <c r="I315" s="49">
        <f t="shared" si="251"/>
        <v>0</v>
      </c>
      <c r="J315" s="11">
        <f t="shared" si="252"/>
        <v>0</v>
      </c>
      <c r="K315" s="62"/>
      <c r="L315" s="26" t="s">
        <v>366</v>
      </c>
      <c r="M315" s="8"/>
      <c r="N315" s="9">
        <v>2</v>
      </c>
      <c r="O315" s="52">
        <v>7</v>
      </c>
      <c r="P315" s="87">
        <f t="shared" si="247"/>
        <v>9</v>
      </c>
      <c r="Q315" s="12"/>
      <c r="R315" s="9">
        <v>2</v>
      </c>
      <c r="S315" s="10">
        <v>7</v>
      </c>
      <c r="T315" s="49">
        <f t="shared" si="248"/>
        <v>9</v>
      </c>
      <c r="U315" s="11">
        <f t="shared" si="249"/>
        <v>18</v>
      </c>
      <c r="V315" s="98">
        <v>44141</v>
      </c>
    </row>
    <row r="316" spans="1:23" x14ac:dyDescent="0.15">
      <c r="A316" s="26"/>
      <c r="B316" s="8"/>
      <c r="C316" s="9"/>
      <c r="D316" s="10"/>
      <c r="E316" s="49">
        <f t="shared" si="250"/>
        <v>0</v>
      </c>
      <c r="F316" s="12"/>
      <c r="G316" s="9"/>
      <c r="H316" s="10"/>
      <c r="I316" s="49">
        <f t="shared" si="251"/>
        <v>0</v>
      </c>
      <c r="J316" s="11">
        <f t="shared" si="252"/>
        <v>0</v>
      </c>
      <c r="K316" s="62"/>
      <c r="L316" s="26" t="s">
        <v>367</v>
      </c>
      <c r="M316" s="13">
        <v>5</v>
      </c>
      <c r="N316" s="14">
        <v>6</v>
      </c>
      <c r="O316" s="53">
        <v>3</v>
      </c>
      <c r="P316" s="87">
        <f>SUM(M316:O316)</f>
        <v>14</v>
      </c>
      <c r="Q316" s="16">
        <v>5</v>
      </c>
      <c r="R316" s="14">
        <v>6</v>
      </c>
      <c r="S316" s="15">
        <v>3</v>
      </c>
      <c r="T316" s="49">
        <f>SUM(Q316:S316)</f>
        <v>14</v>
      </c>
      <c r="U316" s="11">
        <f>P316+T316</f>
        <v>28</v>
      </c>
      <c r="V316" s="98">
        <v>44142</v>
      </c>
    </row>
    <row r="317" spans="1:23" x14ac:dyDescent="0.15">
      <c r="A317" s="26"/>
      <c r="B317" s="8"/>
      <c r="C317" s="9"/>
      <c r="D317" s="10"/>
      <c r="E317" s="49">
        <f t="shared" si="250"/>
        <v>0</v>
      </c>
      <c r="F317" s="12"/>
      <c r="G317" s="9"/>
      <c r="H317" s="10"/>
      <c r="I317" s="49">
        <f t="shared" si="251"/>
        <v>0</v>
      </c>
      <c r="J317" s="11">
        <f t="shared" si="252"/>
        <v>0</v>
      </c>
      <c r="K317" s="62"/>
      <c r="L317" s="26" t="s">
        <v>368</v>
      </c>
      <c r="M317" s="8">
        <v>3</v>
      </c>
      <c r="N317" s="9">
        <v>5</v>
      </c>
      <c r="O317" s="52">
        <v>5</v>
      </c>
      <c r="P317" s="87">
        <f t="shared" ref="P317:P319" si="253">SUM(M317:O317)</f>
        <v>13</v>
      </c>
      <c r="Q317" s="12">
        <v>3</v>
      </c>
      <c r="R317" s="9">
        <v>5</v>
      </c>
      <c r="S317" s="10">
        <v>5</v>
      </c>
      <c r="T317" s="49">
        <f t="shared" ref="T317:T319" si="254">SUM(Q317:S317)</f>
        <v>13</v>
      </c>
      <c r="U317" s="11">
        <f t="shared" ref="U317:U319" si="255">P317+T317</f>
        <v>26</v>
      </c>
      <c r="V317" s="98">
        <v>44145</v>
      </c>
    </row>
    <row r="318" spans="1:23" x14ac:dyDescent="0.15">
      <c r="A318" s="24"/>
      <c r="B318" s="8"/>
      <c r="C318" s="9"/>
      <c r="D318" s="10"/>
      <c r="E318" s="49">
        <f t="shared" si="250"/>
        <v>0</v>
      </c>
      <c r="F318" s="12"/>
      <c r="G318" s="9"/>
      <c r="H318" s="10"/>
      <c r="I318" s="49">
        <f t="shared" si="251"/>
        <v>0</v>
      </c>
      <c r="J318" s="11">
        <f t="shared" si="252"/>
        <v>0</v>
      </c>
      <c r="K318" s="62"/>
      <c r="L318" s="26" t="s">
        <v>369</v>
      </c>
      <c r="M318" s="8">
        <v>2</v>
      </c>
      <c r="N318" s="9">
        <v>6</v>
      </c>
      <c r="O318" s="52"/>
      <c r="P318" s="87">
        <f t="shared" ref="P318" si="256">SUM(M318:O318)</f>
        <v>8</v>
      </c>
      <c r="Q318" s="12">
        <v>2</v>
      </c>
      <c r="R318" s="9">
        <v>6</v>
      </c>
      <c r="S318" s="10"/>
      <c r="T318" s="49">
        <f t="shared" ref="T318" si="257">SUM(Q318:S318)</f>
        <v>8</v>
      </c>
      <c r="U318" s="11">
        <f t="shared" ref="U318" si="258">P318+T318</f>
        <v>16</v>
      </c>
      <c r="V318" s="98">
        <v>44146</v>
      </c>
    </row>
    <row r="319" spans="1:23" x14ac:dyDescent="0.15">
      <c r="A319" s="25"/>
      <c r="B319" s="8"/>
      <c r="C319" s="9"/>
      <c r="D319" s="10"/>
      <c r="E319" s="49">
        <f t="shared" si="250"/>
        <v>0</v>
      </c>
      <c r="F319" s="12"/>
      <c r="G319" s="9"/>
      <c r="H319" s="10"/>
      <c r="I319" s="49">
        <f t="shared" si="251"/>
        <v>0</v>
      </c>
      <c r="J319" s="11">
        <f t="shared" si="252"/>
        <v>0</v>
      </c>
      <c r="K319" s="64"/>
      <c r="L319" s="26" t="s">
        <v>371</v>
      </c>
      <c r="M319" s="8">
        <v>5</v>
      </c>
      <c r="N319" s="9">
        <v>5</v>
      </c>
      <c r="O319" s="52">
        <v>1</v>
      </c>
      <c r="P319" s="87">
        <f t="shared" si="253"/>
        <v>11</v>
      </c>
      <c r="Q319" s="12">
        <v>5</v>
      </c>
      <c r="R319" s="9">
        <v>5</v>
      </c>
      <c r="S319" s="10">
        <v>1</v>
      </c>
      <c r="T319" s="49">
        <f t="shared" si="254"/>
        <v>11</v>
      </c>
      <c r="U319" s="11">
        <f t="shared" si="255"/>
        <v>22</v>
      </c>
      <c r="V319" s="98">
        <v>44147</v>
      </c>
    </row>
    <row r="320" spans="1:23" x14ac:dyDescent="0.15">
      <c r="A320" s="26"/>
      <c r="B320" s="8"/>
      <c r="C320" s="9"/>
      <c r="D320" s="10"/>
      <c r="E320" s="49">
        <f t="shared" si="250"/>
        <v>0</v>
      </c>
      <c r="F320" s="12"/>
      <c r="G320" s="9"/>
      <c r="H320" s="10"/>
      <c r="I320" s="49">
        <f t="shared" si="251"/>
        <v>0</v>
      </c>
      <c r="J320" s="11">
        <f t="shared" si="252"/>
        <v>0</v>
      </c>
      <c r="K320" s="62"/>
      <c r="L320" s="26" t="s">
        <v>373</v>
      </c>
      <c r="M320" s="13"/>
      <c r="N320" s="14">
        <v>4</v>
      </c>
      <c r="O320" s="53">
        <v>5</v>
      </c>
      <c r="P320" s="87">
        <f>SUM(M320:O320)</f>
        <v>9</v>
      </c>
      <c r="Q320" s="16"/>
      <c r="R320" s="14">
        <v>4</v>
      </c>
      <c r="S320" s="15">
        <v>5</v>
      </c>
      <c r="T320" s="49">
        <f>SUM(Q320:S320)</f>
        <v>9</v>
      </c>
      <c r="U320" s="11">
        <f>P320+T320</f>
        <v>18</v>
      </c>
      <c r="V320" s="98">
        <v>44148</v>
      </c>
    </row>
    <row r="321" spans="1:23" x14ac:dyDescent="0.15">
      <c r="A321" s="24"/>
      <c r="B321" s="8"/>
      <c r="C321" s="9"/>
      <c r="D321" s="10"/>
      <c r="E321" s="49">
        <f t="shared" si="250"/>
        <v>0</v>
      </c>
      <c r="F321" s="12"/>
      <c r="G321" s="9"/>
      <c r="H321" s="10"/>
      <c r="I321" s="49">
        <f t="shared" si="251"/>
        <v>0</v>
      </c>
      <c r="J321" s="11">
        <f t="shared" si="252"/>
        <v>0</v>
      </c>
      <c r="K321" s="62"/>
      <c r="L321" s="26" t="s">
        <v>375</v>
      </c>
      <c r="M321" s="13">
        <v>4</v>
      </c>
      <c r="N321" s="14">
        <v>1</v>
      </c>
      <c r="O321" s="53">
        <v>6</v>
      </c>
      <c r="P321" s="87">
        <f t="shared" ref="P321:P327" si="259">SUM(M321:O321)</f>
        <v>11</v>
      </c>
      <c r="Q321" s="13">
        <v>4</v>
      </c>
      <c r="R321" s="14">
        <v>1</v>
      </c>
      <c r="S321" s="15">
        <v>6</v>
      </c>
      <c r="T321" s="49">
        <f t="shared" ref="T321:T327" si="260">SUM(Q321:S321)</f>
        <v>11</v>
      </c>
      <c r="U321" s="11">
        <f t="shared" ref="U321:U326" si="261">P321+T321</f>
        <v>22</v>
      </c>
      <c r="V321" s="98">
        <v>44149</v>
      </c>
    </row>
    <row r="322" spans="1:23" x14ac:dyDescent="0.15">
      <c r="B322" s="13"/>
      <c r="C322" s="14"/>
      <c r="D322" s="15"/>
      <c r="E322" s="49">
        <f t="shared" si="250"/>
        <v>0</v>
      </c>
      <c r="F322" s="16"/>
      <c r="G322" s="14"/>
      <c r="H322" s="15"/>
      <c r="I322" s="49">
        <f t="shared" si="251"/>
        <v>0</v>
      </c>
      <c r="J322" s="11">
        <f t="shared" si="252"/>
        <v>0</v>
      </c>
      <c r="K322" s="65"/>
      <c r="L322" s="26" t="s">
        <v>376</v>
      </c>
      <c r="M322" s="13">
        <v>4</v>
      </c>
      <c r="N322" s="14">
        <v>10</v>
      </c>
      <c r="O322" s="53">
        <v>5</v>
      </c>
      <c r="P322" s="87">
        <f t="shared" si="259"/>
        <v>19</v>
      </c>
      <c r="Q322" s="16">
        <v>4</v>
      </c>
      <c r="R322" s="14">
        <v>10</v>
      </c>
      <c r="S322" s="15">
        <v>5</v>
      </c>
      <c r="T322" s="49">
        <f t="shared" si="260"/>
        <v>19</v>
      </c>
      <c r="U322" s="11">
        <f t="shared" si="261"/>
        <v>38</v>
      </c>
      <c r="V322" s="98">
        <v>44152</v>
      </c>
    </row>
    <row r="323" spans="1:23" x14ac:dyDescent="0.15">
      <c r="A323" s="26"/>
      <c r="B323" s="8"/>
      <c r="C323" s="9"/>
      <c r="D323" s="10"/>
      <c r="E323" s="49">
        <f t="shared" si="250"/>
        <v>0</v>
      </c>
      <c r="F323" s="12"/>
      <c r="G323" s="9"/>
      <c r="H323" s="10"/>
      <c r="I323" s="49">
        <f t="shared" si="251"/>
        <v>0</v>
      </c>
      <c r="J323" s="11">
        <f t="shared" si="252"/>
        <v>0</v>
      </c>
      <c r="K323" s="62"/>
      <c r="L323" s="26" t="s">
        <v>377</v>
      </c>
      <c r="M323" s="8">
        <v>10</v>
      </c>
      <c r="N323" s="9">
        <v>2</v>
      </c>
      <c r="O323" s="52"/>
      <c r="P323" s="87">
        <f t="shared" si="259"/>
        <v>12</v>
      </c>
      <c r="Q323" s="12">
        <v>10</v>
      </c>
      <c r="R323" s="9">
        <v>2</v>
      </c>
      <c r="S323" s="10"/>
      <c r="T323" s="49">
        <f t="shared" si="260"/>
        <v>12</v>
      </c>
      <c r="U323" s="11">
        <f t="shared" ref="U323" si="262">P323+T323</f>
        <v>24</v>
      </c>
      <c r="V323" s="98">
        <v>44153</v>
      </c>
    </row>
    <row r="324" spans="1:23" x14ac:dyDescent="0.15">
      <c r="A324" s="26"/>
      <c r="B324" s="8"/>
      <c r="C324" s="9"/>
      <c r="D324" s="10"/>
      <c r="E324" s="49">
        <f t="shared" si="250"/>
        <v>0</v>
      </c>
      <c r="F324" s="12"/>
      <c r="G324" s="9"/>
      <c r="H324" s="10"/>
      <c r="I324" s="49">
        <f t="shared" si="251"/>
        <v>0</v>
      </c>
      <c r="J324" s="11">
        <f t="shared" si="252"/>
        <v>0</v>
      </c>
      <c r="K324" s="62"/>
      <c r="L324" s="86"/>
      <c r="M324" s="8"/>
      <c r="N324" s="9"/>
      <c r="O324" s="52"/>
      <c r="P324" s="87">
        <f t="shared" ref="P324" si="263">SUM(M324:O324)</f>
        <v>0</v>
      </c>
      <c r="Q324" s="12"/>
      <c r="R324" s="9"/>
      <c r="S324" s="10"/>
      <c r="T324" s="49">
        <f t="shared" ref="T324" si="264">SUM(Q324:S324)</f>
        <v>0</v>
      </c>
      <c r="U324" s="11">
        <f t="shared" si="261"/>
        <v>0</v>
      </c>
      <c r="V324" s="100"/>
    </row>
    <row r="325" spans="1:23" x14ac:dyDescent="0.15">
      <c r="A325" s="26"/>
      <c r="B325" s="8"/>
      <c r="C325" s="9"/>
      <c r="D325" s="10"/>
      <c r="E325" s="49">
        <f t="shared" si="250"/>
        <v>0</v>
      </c>
      <c r="F325" s="12"/>
      <c r="G325" s="9"/>
      <c r="H325" s="10"/>
      <c r="I325" s="49">
        <f t="shared" si="251"/>
        <v>0</v>
      </c>
      <c r="J325" s="11">
        <f t="shared" si="252"/>
        <v>0</v>
      </c>
      <c r="K325" s="62"/>
      <c r="L325" s="86" t="s">
        <v>339</v>
      </c>
      <c r="M325" s="8"/>
      <c r="N325" s="9"/>
      <c r="O325" s="52"/>
      <c r="P325" s="87">
        <f t="shared" si="259"/>
        <v>0</v>
      </c>
      <c r="Q325" s="8"/>
      <c r="R325" s="9"/>
      <c r="S325" s="52"/>
      <c r="T325" s="49">
        <f t="shared" si="260"/>
        <v>0</v>
      </c>
      <c r="U325" s="11">
        <f t="shared" si="261"/>
        <v>0</v>
      </c>
      <c r="V325" s="100" t="s">
        <v>338</v>
      </c>
      <c r="W325" s="66"/>
    </row>
    <row r="326" spans="1:23" ht="14.25" thickBot="1" x14ac:dyDescent="0.2">
      <c r="A326" s="23"/>
      <c r="B326" s="13"/>
      <c r="C326" s="14"/>
      <c r="D326" s="15"/>
      <c r="E326" s="49">
        <f>SUM(B326:D326)</f>
        <v>0</v>
      </c>
      <c r="F326" s="16"/>
      <c r="G326" s="14"/>
      <c r="H326" s="15"/>
      <c r="I326" s="49">
        <f>SUM(F326:H326)</f>
        <v>0</v>
      </c>
      <c r="J326" s="11">
        <f>E326+I326</f>
        <v>0</v>
      </c>
      <c r="K326" s="62"/>
      <c r="L326" s="86" t="s">
        <v>335</v>
      </c>
      <c r="M326" s="102"/>
      <c r="N326" s="103"/>
      <c r="O326" s="104"/>
      <c r="P326" s="87">
        <f t="shared" si="259"/>
        <v>0</v>
      </c>
      <c r="Q326" s="105"/>
      <c r="R326" s="106"/>
      <c r="S326" s="107"/>
      <c r="T326" s="49">
        <f t="shared" si="260"/>
        <v>0</v>
      </c>
      <c r="U326" s="11">
        <f t="shared" si="261"/>
        <v>0</v>
      </c>
      <c r="V326" s="100" t="s">
        <v>336</v>
      </c>
    </row>
    <row r="327" spans="1:23" ht="14.25" thickBot="1" x14ac:dyDescent="0.2">
      <c r="A327" s="41" t="s">
        <v>17</v>
      </c>
      <c r="B327" s="46">
        <f>SUM(B301:B326)</f>
        <v>0</v>
      </c>
      <c r="C327" s="47">
        <f t="shared" ref="C327:D327" si="265">SUM(C301:C326)</f>
        <v>0</v>
      </c>
      <c r="D327" s="58">
        <f t="shared" si="265"/>
        <v>0</v>
      </c>
      <c r="E327" s="45">
        <f t="shared" ref="E327" si="266">SUM(B327:D327)</f>
        <v>0</v>
      </c>
      <c r="F327" s="46">
        <f>SUM(F301:F326)</f>
        <v>0</v>
      </c>
      <c r="G327" s="47">
        <f t="shared" ref="G327:H327" si="267">SUM(G301:G326)</f>
        <v>0</v>
      </c>
      <c r="H327" s="58">
        <f t="shared" si="267"/>
        <v>0</v>
      </c>
      <c r="I327" s="45">
        <f t="shared" ref="I327" si="268">SUM(F327:H327)</f>
        <v>0</v>
      </c>
      <c r="J327" s="45">
        <f>E327+I327</f>
        <v>0</v>
      </c>
      <c r="K327" s="40"/>
      <c r="L327" s="41" t="s">
        <v>17</v>
      </c>
      <c r="M327" s="46">
        <f>SUM(M301:M326)</f>
        <v>86</v>
      </c>
      <c r="N327" s="47">
        <f t="shared" ref="N327:O327" si="269">SUM(N301:N326)</f>
        <v>97</v>
      </c>
      <c r="O327" s="58">
        <f t="shared" si="269"/>
        <v>56</v>
      </c>
      <c r="P327" s="45">
        <f t="shared" si="259"/>
        <v>239</v>
      </c>
      <c r="Q327" s="46">
        <f>SUM(Q301:Q326)</f>
        <v>86</v>
      </c>
      <c r="R327" s="47">
        <f t="shared" ref="R327:S327" si="270">SUM(R301:R326)</f>
        <v>97</v>
      </c>
      <c r="S327" s="58">
        <f t="shared" si="270"/>
        <v>56</v>
      </c>
      <c r="T327" s="45">
        <f t="shared" si="260"/>
        <v>239</v>
      </c>
      <c r="U327" s="45">
        <f>P327+T327</f>
        <v>478</v>
      </c>
    </row>
    <row r="328" spans="1:23" ht="14.25" thickBot="1" x14ac:dyDescent="0.2">
      <c r="A328" s="22" t="s">
        <v>16</v>
      </c>
      <c r="B328" s="50">
        <f>B300-B327</f>
        <v>3</v>
      </c>
      <c r="C328" s="56">
        <f t="shared" ref="C328:D328" si="271">C300-C327</f>
        <v>2</v>
      </c>
      <c r="D328" s="57">
        <f t="shared" si="271"/>
        <v>2</v>
      </c>
      <c r="E328" s="55">
        <f>SUM(B328:D328)</f>
        <v>7</v>
      </c>
      <c r="F328" s="50">
        <f>F300-F327</f>
        <v>3</v>
      </c>
      <c r="G328" s="56">
        <f t="shared" ref="G328:H328" si="272">G300-G327</f>
        <v>2</v>
      </c>
      <c r="H328" s="57">
        <f t="shared" si="272"/>
        <v>2</v>
      </c>
      <c r="I328" s="55">
        <f>SUM(F328:H328)</f>
        <v>7</v>
      </c>
      <c r="J328" s="31">
        <f>E328+I328</f>
        <v>14</v>
      </c>
      <c r="L328" s="22" t="s">
        <v>16</v>
      </c>
      <c r="M328" s="50">
        <f>M300-M327</f>
        <v>181</v>
      </c>
      <c r="N328" s="56">
        <f t="shared" ref="N328:O328" si="273">N300-N327</f>
        <v>236</v>
      </c>
      <c r="O328" s="57">
        <f t="shared" si="273"/>
        <v>183</v>
      </c>
      <c r="P328" s="55">
        <f>SUM(M328:O328)</f>
        <v>600</v>
      </c>
      <c r="Q328" s="50">
        <f>Q300-Q327</f>
        <v>181</v>
      </c>
      <c r="R328" s="56">
        <f t="shared" ref="R328:S328" si="274">R300-R327</f>
        <v>236</v>
      </c>
      <c r="S328" s="57">
        <f t="shared" si="274"/>
        <v>183</v>
      </c>
      <c r="T328" s="55">
        <f>SUM(Q328:S328)</f>
        <v>600</v>
      </c>
      <c r="U328" s="31">
        <f>P328+T328</f>
        <v>1200</v>
      </c>
    </row>
    <row r="329" spans="1:23" ht="19.5" thickBot="1" x14ac:dyDescent="0.25">
      <c r="A329" s="3" t="s">
        <v>18</v>
      </c>
      <c r="B329" s="1"/>
      <c r="C329" s="1"/>
      <c r="D329" s="1"/>
      <c r="E329" s="1"/>
      <c r="F329" s="1"/>
      <c r="G329" s="1"/>
      <c r="H329" s="1"/>
      <c r="I329" s="1"/>
      <c r="J329" s="1"/>
      <c r="L329" s="3" t="s">
        <v>19</v>
      </c>
      <c r="M329" s="1"/>
      <c r="N329" s="1"/>
      <c r="O329" s="1"/>
      <c r="P329" s="1"/>
      <c r="Q329" s="1"/>
      <c r="R329" s="1"/>
      <c r="S329" s="1"/>
      <c r="T329" s="1"/>
      <c r="U329" s="1"/>
    </row>
    <row r="330" spans="1:23" ht="14.25" thickBot="1" x14ac:dyDescent="0.2">
      <c r="A330" s="7"/>
      <c r="B330" s="169" t="s">
        <v>22</v>
      </c>
      <c r="C330" s="170"/>
      <c r="D330" s="170"/>
      <c r="E330" s="171"/>
      <c r="F330" s="169" t="s">
        <v>23</v>
      </c>
      <c r="G330" s="170"/>
      <c r="H330" s="170"/>
      <c r="I330" s="171"/>
      <c r="J330" s="172" t="s">
        <v>0</v>
      </c>
      <c r="L330" s="7"/>
      <c r="M330" s="169" t="s">
        <v>22</v>
      </c>
      <c r="N330" s="170"/>
      <c r="O330" s="170"/>
      <c r="P330" s="171"/>
      <c r="Q330" s="169" t="s">
        <v>23</v>
      </c>
      <c r="R330" s="170"/>
      <c r="S330" s="170"/>
      <c r="T330" s="171"/>
      <c r="U330" s="172" t="s">
        <v>0</v>
      </c>
    </row>
    <row r="331" spans="1:23" ht="14.25" thickBot="1" x14ac:dyDescent="0.2">
      <c r="A331" s="7" t="s">
        <v>1</v>
      </c>
      <c r="B331" s="4" t="s">
        <v>2</v>
      </c>
      <c r="C331" s="5" t="s">
        <v>3</v>
      </c>
      <c r="D331" s="6" t="s">
        <v>4</v>
      </c>
      <c r="E331" s="7" t="s">
        <v>5</v>
      </c>
      <c r="F331" s="4" t="s">
        <v>2</v>
      </c>
      <c r="G331" s="5" t="s">
        <v>3</v>
      </c>
      <c r="H331" s="6" t="s">
        <v>4</v>
      </c>
      <c r="I331" s="7" t="s">
        <v>5</v>
      </c>
      <c r="J331" s="173"/>
      <c r="L331" s="7" t="s">
        <v>1</v>
      </c>
      <c r="M331" s="4" t="s">
        <v>2</v>
      </c>
      <c r="N331" s="5" t="s">
        <v>3</v>
      </c>
      <c r="O331" s="6" t="s">
        <v>4</v>
      </c>
      <c r="P331" s="7" t="s">
        <v>5</v>
      </c>
      <c r="Q331" s="4" t="s">
        <v>2</v>
      </c>
      <c r="R331" s="5" t="s">
        <v>3</v>
      </c>
      <c r="S331" s="6" t="s">
        <v>4</v>
      </c>
      <c r="T331" s="7" t="s">
        <v>5</v>
      </c>
      <c r="U331" s="173"/>
    </row>
    <row r="332" spans="1:23" ht="14.25" thickBot="1" x14ac:dyDescent="0.2">
      <c r="A332" s="27" t="s">
        <v>16</v>
      </c>
      <c r="B332" s="38">
        <f>B328</f>
        <v>3</v>
      </c>
      <c r="C332" s="39">
        <f>C328</f>
        <v>2</v>
      </c>
      <c r="D332" s="2">
        <f>D328</f>
        <v>2</v>
      </c>
      <c r="E332" s="36">
        <f>SUM(B332:D332)</f>
        <v>7</v>
      </c>
      <c r="F332" s="38">
        <f>F328</f>
        <v>3</v>
      </c>
      <c r="G332" s="39">
        <f>G328</f>
        <v>2</v>
      </c>
      <c r="H332" s="2">
        <f>H328</f>
        <v>2</v>
      </c>
      <c r="I332" s="36">
        <f>SUM(F332:H332)</f>
        <v>7</v>
      </c>
      <c r="J332" s="36">
        <f>E332+I332</f>
        <v>14</v>
      </c>
      <c r="L332" s="68" t="s">
        <v>16</v>
      </c>
      <c r="M332" s="42">
        <f>M328</f>
        <v>181</v>
      </c>
      <c r="N332" s="43">
        <f>N328</f>
        <v>236</v>
      </c>
      <c r="O332" s="60">
        <f>O328</f>
        <v>183</v>
      </c>
      <c r="P332" s="48">
        <f>SUM(M332:O332)</f>
        <v>600</v>
      </c>
      <c r="Q332" s="42">
        <f>Q328</f>
        <v>181</v>
      </c>
      <c r="R332" s="43">
        <f>R328</f>
        <v>236</v>
      </c>
      <c r="S332" s="60">
        <f>S328</f>
        <v>183</v>
      </c>
      <c r="T332" s="48">
        <f>SUM(Q332:S332)</f>
        <v>600</v>
      </c>
      <c r="U332" s="48">
        <f>P332+T332</f>
        <v>1200</v>
      </c>
    </row>
    <row r="333" spans="1:23" x14ac:dyDescent="0.15">
      <c r="A333" s="25" t="s">
        <v>387</v>
      </c>
      <c r="B333" s="42"/>
      <c r="C333" s="43">
        <v>1</v>
      </c>
      <c r="D333" s="44">
        <v>1</v>
      </c>
      <c r="E333" s="48">
        <f>SUM(B333:D333)</f>
        <v>2</v>
      </c>
      <c r="F333" s="59"/>
      <c r="G333" s="43">
        <v>1</v>
      </c>
      <c r="H333" s="60">
        <v>1</v>
      </c>
      <c r="I333" s="48">
        <f>SUM(F333:H333)</f>
        <v>2</v>
      </c>
      <c r="J333" s="48">
        <f>E333+I333</f>
        <v>4</v>
      </c>
      <c r="K333" s="64">
        <v>44161</v>
      </c>
      <c r="L333" s="25" t="s">
        <v>312</v>
      </c>
      <c r="M333" s="73"/>
      <c r="N333" s="74">
        <v>1</v>
      </c>
      <c r="O333" s="75"/>
      <c r="P333" s="76">
        <f>SUM(M333:O333)</f>
        <v>1</v>
      </c>
      <c r="Q333" s="77"/>
      <c r="R333" s="74">
        <v>1</v>
      </c>
      <c r="S333" s="78"/>
      <c r="T333" s="76">
        <f>SUM(Q333:S333)</f>
        <v>1</v>
      </c>
      <c r="U333" s="48">
        <f>P333+T333</f>
        <v>2</v>
      </c>
      <c r="V333" s="99">
        <v>44156</v>
      </c>
    </row>
    <row r="334" spans="1:23" x14ac:dyDescent="0.15">
      <c r="A334" s="25"/>
      <c r="B334" s="8"/>
      <c r="C334" s="9"/>
      <c r="D334" s="52"/>
      <c r="E334" s="11">
        <f>SUM(B334:D334)</f>
        <v>0</v>
      </c>
      <c r="F334" s="12"/>
      <c r="G334" s="9"/>
      <c r="H334" s="10"/>
      <c r="I334" s="11">
        <f>SUM(F334:H334)</f>
        <v>0</v>
      </c>
      <c r="J334" s="11">
        <f>E334+I334</f>
        <v>0</v>
      </c>
      <c r="L334" s="25" t="s">
        <v>8</v>
      </c>
      <c r="M334" s="17"/>
      <c r="N334" s="18"/>
      <c r="O334" s="51"/>
      <c r="P334" s="49">
        <f t="shared" ref="P334:P340" si="275">SUM(M334:O334)</f>
        <v>0</v>
      </c>
      <c r="Q334" s="17"/>
      <c r="R334" s="18"/>
      <c r="S334" s="51"/>
      <c r="T334" s="49">
        <f t="shared" ref="T334:T340" si="276">SUM(Q334:S334)</f>
        <v>0</v>
      </c>
      <c r="U334" s="11">
        <f t="shared" ref="U334:U340" si="277">P334+T334</f>
        <v>0</v>
      </c>
      <c r="V334" s="98"/>
    </row>
    <row r="335" spans="1:23" x14ac:dyDescent="0.15">
      <c r="A335" s="25"/>
      <c r="B335" s="17"/>
      <c r="C335" s="18"/>
      <c r="D335" s="51"/>
      <c r="E335" s="11">
        <f t="shared" ref="E335:E340" si="278">SUM(B335:D335)</f>
        <v>0</v>
      </c>
      <c r="F335" s="20"/>
      <c r="G335" s="18"/>
      <c r="H335" s="19"/>
      <c r="I335" s="11">
        <f t="shared" ref="I335:I340" si="279">SUM(F335:H335)</f>
        <v>0</v>
      </c>
      <c r="J335" s="11">
        <f t="shared" ref="J335:J340" si="280">E335+I335</f>
        <v>0</v>
      </c>
      <c r="L335" s="25" t="s">
        <v>9</v>
      </c>
      <c r="M335" s="17"/>
      <c r="N335" s="18"/>
      <c r="O335" s="51"/>
      <c r="P335" s="11">
        <f t="shared" si="275"/>
        <v>0</v>
      </c>
      <c r="Q335" s="20"/>
      <c r="R335" s="18"/>
      <c r="S335" s="19"/>
      <c r="T335" s="11">
        <f t="shared" si="276"/>
        <v>0</v>
      </c>
      <c r="U335" s="11">
        <f t="shared" si="277"/>
        <v>0</v>
      </c>
    </row>
    <row r="336" spans="1:23" x14ac:dyDescent="0.15">
      <c r="A336" s="25"/>
      <c r="B336" s="8"/>
      <c r="C336" s="9"/>
      <c r="D336" s="52"/>
      <c r="E336" s="11">
        <f t="shared" si="278"/>
        <v>0</v>
      </c>
      <c r="F336" s="12"/>
      <c r="G336" s="9"/>
      <c r="H336" s="10"/>
      <c r="I336" s="11">
        <f t="shared" si="279"/>
        <v>0</v>
      </c>
      <c r="J336" s="11">
        <f t="shared" si="280"/>
        <v>0</v>
      </c>
      <c r="L336" s="25" t="s">
        <v>10</v>
      </c>
      <c r="M336" s="8"/>
      <c r="N336" s="9"/>
      <c r="O336" s="52"/>
      <c r="P336" s="11">
        <f t="shared" si="275"/>
        <v>0</v>
      </c>
      <c r="Q336" s="12"/>
      <c r="R336" s="9"/>
      <c r="S336" s="10"/>
      <c r="T336" s="11">
        <f t="shared" si="276"/>
        <v>0</v>
      </c>
      <c r="U336" s="11">
        <f t="shared" si="277"/>
        <v>0</v>
      </c>
    </row>
    <row r="337" spans="1:23" x14ac:dyDescent="0.15">
      <c r="A337" s="25"/>
      <c r="B337" s="8"/>
      <c r="C337" s="9"/>
      <c r="D337" s="52"/>
      <c r="E337" s="11">
        <f t="shared" si="278"/>
        <v>0</v>
      </c>
      <c r="F337" s="12"/>
      <c r="G337" s="9"/>
      <c r="H337" s="10"/>
      <c r="I337" s="11">
        <f t="shared" si="279"/>
        <v>0</v>
      </c>
      <c r="J337" s="11">
        <f t="shared" si="280"/>
        <v>0</v>
      </c>
      <c r="L337" s="25" t="s">
        <v>330</v>
      </c>
      <c r="M337" s="8">
        <v>135</v>
      </c>
      <c r="N337" s="9">
        <v>112</v>
      </c>
      <c r="O337" s="52">
        <v>30</v>
      </c>
      <c r="P337" s="11">
        <f t="shared" si="275"/>
        <v>277</v>
      </c>
      <c r="Q337" s="12">
        <v>135</v>
      </c>
      <c r="R337" s="9">
        <v>112</v>
      </c>
      <c r="S337" s="10">
        <v>30</v>
      </c>
      <c r="T337" s="11">
        <f t="shared" si="276"/>
        <v>277</v>
      </c>
      <c r="U337" s="11">
        <f t="shared" si="277"/>
        <v>554</v>
      </c>
      <c r="V337" s="98" t="s">
        <v>397</v>
      </c>
    </row>
    <row r="338" spans="1:23" x14ac:dyDescent="0.15">
      <c r="A338" s="25"/>
      <c r="B338" s="8"/>
      <c r="C338" s="9"/>
      <c r="D338" s="52"/>
      <c r="E338" s="11">
        <f t="shared" si="278"/>
        <v>0</v>
      </c>
      <c r="F338" s="12"/>
      <c r="G338" s="9"/>
      <c r="H338" s="10"/>
      <c r="I338" s="11">
        <f t="shared" si="279"/>
        <v>0</v>
      </c>
      <c r="J338" s="11">
        <f t="shared" si="280"/>
        <v>0</v>
      </c>
      <c r="L338" s="25" t="s">
        <v>312</v>
      </c>
      <c r="M338" s="17"/>
      <c r="N338" s="18">
        <v>1</v>
      </c>
      <c r="O338" s="51">
        <v>1</v>
      </c>
      <c r="P338" s="49">
        <f t="shared" si="275"/>
        <v>2</v>
      </c>
      <c r="Q338" s="17"/>
      <c r="R338" s="18">
        <v>1</v>
      </c>
      <c r="S338" s="51">
        <v>1</v>
      </c>
      <c r="T338" s="49">
        <f t="shared" si="276"/>
        <v>2</v>
      </c>
      <c r="U338" s="11">
        <f t="shared" si="277"/>
        <v>4</v>
      </c>
      <c r="V338" s="99">
        <v>44170</v>
      </c>
    </row>
    <row r="339" spans="1:23" x14ac:dyDescent="0.15">
      <c r="A339" s="25"/>
      <c r="B339" s="13"/>
      <c r="C339" s="14"/>
      <c r="D339" s="53"/>
      <c r="E339" s="11">
        <f t="shared" si="278"/>
        <v>0</v>
      </c>
      <c r="F339" s="16"/>
      <c r="G339" s="14"/>
      <c r="H339" s="15"/>
      <c r="I339" s="11">
        <f t="shared" si="279"/>
        <v>0</v>
      </c>
      <c r="J339" s="11">
        <f t="shared" si="280"/>
        <v>0</v>
      </c>
      <c r="L339" s="25" t="s">
        <v>13</v>
      </c>
      <c r="M339" s="13"/>
      <c r="N339" s="14"/>
      <c r="O339" s="53"/>
      <c r="P339" s="11">
        <f t="shared" si="275"/>
        <v>0</v>
      </c>
      <c r="Q339" s="16"/>
      <c r="R339" s="14"/>
      <c r="S339" s="15"/>
      <c r="T339" s="11">
        <f t="shared" si="276"/>
        <v>0</v>
      </c>
      <c r="U339" s="11">
        <f t="shared" si="277"/>
        <v>0</v>
      </c>
    </row>
    <row r="340" spans="1:23" ht="14.25" thickBot="1" x14ac:dyDescent="0.2">
      <c r="A340" s="25"/>
      <c r="B340" s="32"/>
      <c r="C340" s="33"/>
      <c r="D340" s="54"/>
      <c r="E340" s="61">
        <f t="shared" si="278"/>
        <v>0</v>
      </c>
      <c r="F340" s="34"/>
      <c r="G340" s="34"/>
      <c r="H340" s="37"/>
      <c r="I340" s="61">
        <f t="shared" si="279"/>
        <v>0</v>
      </c>
      <c r="J340" s="21">
        <f t="shared" si="280"/>
        <v>0</v>
      </c>
      <c r="L340" s="25" t="s">
        <v>14</v>
      </c>
      <c r="M340" s="32"/>
      <c r="N340" s="33"/>
      <c r="O340" s="54"/>
      <c r="P340" s="61">
        <f t="shared" si="275"/>
        <v>0</v>
      </c>
      <c r="Q340" s="34"/>
      <c r="R340" s="34"/>
      <c r="S340" s="37"/>
      <c r="T340" s="61">
        <f t="shared" si="276"/>
        <v>0</v>
      </c>
      <c r="U340" s="21">
        <f t="shared" si="277"/>
        <v>0</v>
      </c>
    </row>
    <row r="341" spans="1:23" ht="14.25" thickBot="1" x14ac:dyDescent="0.2">
      <c r="A341" s="35" t="s">
        <v>15</v>
      </c>
      <c r="B341" s="28">
        <f>SUM(B332:B340)</f>
        <v>3</v>
      </c>
      <c r="C341" s="29">
        <f>SUM(C332:C340)</f>
        <v>3</v>
      </c>
      <c r="D341" s="30">
        <f>SUM(D332:D340)</f>
        <v>3</v>
      </c>
      <c r="E341" s="31">
        <f>SUM(B341:D341)</f>
        <v>9</v>
      </c>
      <c r="F341" s="28">
        <f>SUM(F332:F340)</f>
        <v>3</v>
      </c>
      <c r="G341" s="29">
        <f>SUM(G332:G340)</f>
        <v>3</v>
      </c>
      <c r="H341" s="30">
        <f>SUM(H332:H340)</f>
        <v>3</v>
      </c>
      <c r="I341" s="31">
        <f>SUM(F341:H341)</f>
        <v>9</v>
      </c>
      <c r="J341" s="31">
        <f>E341+I341</f>
        <v>18</v>
      </c>
      <c r="L341" s="35" t="s">
        <v>15</v>
      </c>
      <c r="M341" s="28">
        <f>SUM(M332:M340)</f>
        <v>316</v>
      </c>
      <c r="N341" s="29">
        <f>SUM(N332:N340)</f>
        <v>350</v>
      </c>
      <c r="O341" s="30">
        <f>SUM(O332:O340)</f>
        <v>214</v>
      </c>
      <c r="P341" s="31">
        <f>SUM(M341:O341)</f>
        <v>880</v>
      </c>
      <c r="Q341" s="28">
        <f>SUM(Q332:Q340)</f>
        <v>316</v>
      </c>
      <c r="R341" s="29">
        <f>SUM(R332:R340)</f>
        <v>350</v>
      </c>
      <c r="S341" s="30">
        <f>SUM(S332:S340)</f>
        <v>214</v>
      </c>
      <c r="T341" s="31">
        <f>SUM(Q341:S341)</f>
        <v>880</v>
      </c>
      <c r="U341" s="31">
        <f>P341+T341</f>
        <v>1760</v>
      </c>
    </row>
    <row r="342" spans="1:23" x14ac:dyDescent="0.15">
      <c r="A342" s="26" t="s">
        <v>383</v>
      </c>
      <c r="B342" s="13"/>
      <c r="C342" s="14">
        <v>1</v>
      </c>
      <c r="D342" s="15"/>
      <c r="E342" s="49">
        <f>SUM(B342:D342)</f>
        <v>1</v>
      </c>
      <c r="F342" s="16"/>
      <c r="G342" s="14">
        <v>1</v>
      </c>
      <c r="H342" s="15"/>
      <c r="I342" s="49">
        <f>SUM(F342:H342)</f>
        <v>1</v>
      </c>
      <c r="J342" s="11">
        <f>E342+I342</f>
        <v>2</v>
      </c>
      <c r="K342" s="64">
        <v>44156</v>
      </c>
      <c r="L342" s="26" t="s">
        <v>378</v>
      </c>
      <c r="M342" s="73">
        <v>2</v>
      </c>
      <c r="N342" s="74">
        <v>4</v>
      </c>
      <c r="O342" s="75">
        <v>4</v>
      </c>
      <c r="P342" s="87">
        <f t="shared" ref="P342:P343" si="281">SUM(M342:O342)</f>
        <v>10</v>
      </c>
      <c r="Q342" s="12">
        <v>2</v>
      </c>
      <c r="R342" s="9">
        <v>4</v>
      </c>
      <c r="S342" s="10">
        <v>4</v>
      </c>
      <c r="T342" s="49">
        <f t="shared" ref="T342:T343" si="282">SUM(Q342:S342)</f>
        <v>10</v>
      </c>
      <c r="U342" s="11">
        <f t="shared" ref="U342:U343" si="283">P342+T342</f>
        <v>20</v>
      </c>
      <c r="V342" s="98">
        <v>44154</v>
      </c>
    </row>
    <row r="343" spans="1:23" x14ac:dyDescent="0.15">
      <c r="A343" s="26" t="s">
        <v>383</v>
      </c>
      <c r="B343" s="8"/>
      <c r="C343" s="9">
        <v>1</v>
      </c>
      <c r="D343" s="10">
        <v>1</v>
      </c>
      <c r="E343" s="49">
        <f t="shared" ref="E343:E344" si="284">SUM(B343:D343)</f>
        <v>2</v>
      </c>
      <c r="F343" s="12"/>
      <c r="G343" s="9">
        <v>1</v>
      </c>
      <c r="H343" s="10">
        <v>1</v>
      </c>
      <c r="I343" s="49">
        <f t="shared" ref="I343:I344" si="285">SUM(F343:H343)</f>
        <v>2</v>
      </c>
      <c r="J343" s="11">
        <f t="shared" ref="J343:J344" si="286">E343+I343</f>
        <v>4</v>
      </c>
      <c r="K343" s="64">
        <v>44170</v>
      </c>
      <c r="L343" s="26" t="s">
        <v>379</v>
      </c>
      <c r="M343" s="94">
        <v>1</v>
      </c>
      <c r="N343" s="95">
        <v>2</v>
      </c>
      <c r="O343" s="96"/>
      <c r="P343" s="87">
        <f t="shared" si="281"/>
        <v>3</v>
      </c>
      <c r="Q343" s="12">
        <v>1</v>
      </c>
      <c r="R343" s="9">
        <v>2</v>
      </c>
      <c r="S343" s="10"/>
      <c r="T343" s="49">
        <f t="shared" si="282"/>
        <v>3</v>
      </c>
      <c r="U343" s="11">
        <f t="shared" si="283"/>
        <v>6</v>
      </c>
      <c r="V343" s="98">
        <v>44155</v>
      </c>
    </row>
    <row r="344" spans="1:23" x14ac:dyDescent="0.15">
      <c r="A344" s="26" t="s">
        <v>418</v>
      </c>
      <c r="B344" s="8"/>
      <c r="C344" s="9">
        <v>1</v>
      </c>
      <c r="D344" s="10">
        <v>1</v>
      </c>
      <c r="E344" s="49">
        <f t="shared" si="284"/>
        <v>2</v>
      </c>
      <c r="F344" s="12"/>
      <c r="G344" s="9">
        <v>1</v>
      </c>
      <c r="H344" s="10">
        <v>1</v>
      </c>
      <c r="I344" s="49">
        <f t="shared" si="285"/>
        <v>2</v>
      </c>
      <c r="J344" s="11">
        <f t="shared" si="286"/>
        <v>4</v>
      </c>
      <c r="K344" s="64">
        <v>44190</v>
      </c>
      <c r="L344" s="26" t="s">
        <v>380</v>
      </c>
      <c r="M344" s="13">
        <v>1</v>
      </c>
      <c r="N344" s="14">
        <v>3</v>
      </c>
      <c r="O344" s="53">
        <v>3</v>
      </c>
      <c r="P344" s="87">
        <f>SUM(M344:O344)</f>
        <v>7</v>
      </c>
      <c r="Q344" s="16">
        <v>1</v>
      </c>
      <c r="R344" s="14">
        <v>3</v>
      </c>
      <c r="S344" s="15">
        <v>3</v>
      </c>
      <c r="T344" s="49">
        <f>SUM(Q344:S344)</f>
        <v>7</v>
      </c>
      <c r="U344" s="11">
        <f>P344+T344</f>
        <v>14</v>
      </c>
      <c r="V344" s="98">
        <v>44156</v>
      </c>
    </row>
    <row r="345" spans="1:23" x14ac:dyDescent="0.15">
      <c r="A345" s="26"/>
      <c r="B345" s="13"/>
      <c r="C345" s="14"/>
      <c r="D345" s="15"/>
      <c r="E345" s="49">
        <f>SUM(B345:D345)</f>
        <v>0</v>
      </c>
      <c r="F345" s="16"/>
      <c r="G345" s="14"/>
      <c r="H345" s="15"/>
      <c r="I345" s="49">
        <f>SUM(F345:H345)</f>
        <v>0</v>
      </c>
      <c r="J345" s="11">
        <f>E345+I345</f>
        <v>0</v>
      </c>
      <c r="L345" s="26" t="s">
        <v>384</v>
      </c>
      <c r="M345" s="8">
        <v>3</v>
      </c>
      <c r="N345" s="9">
        <v>6</v>
      </c>
      <c r="O345" s="52">
        <v>1</v>
      </c>
      <c r="P345" s="87">
        <f t="shared" ref="P345:P356" si="287">SUM(M345:O345)</f>
        <v>10</v>
      </c>
      <c r="Q345" s="12">
        <v>3</v>
      </c>
      <c r="R345" s="9">
        <v>6</v>
      </c>
      <c r="S345" s="10">
        <v>1</v>
      </c>
      <c r="T345" s="49">
        <f t="shared" ref="T345:T356" si="288">SUM(Q345:S345)</f>
        <v>10</v>
      </c>
      <c r="U345" s="11">
        <f t="shared" ref="U345:U356" si="289">P345+T345</f>
        <v>20</v>
      </c>
      <c r="V345" s="98">
        <v>44160</v>
      </c>
    </row>
    <row r="346" spans="1:23" x14ac:dyDescent="0.15">
      <c r="A346" s="26"/>
      <c r="B346" s="8"/>
      <c r="C346" s="9"/>
      <c r="D346" s="10"/>
      <c r="E346" s="49">
        <f t="shared" ref="E346:E366" si="290">SUM(B346:D346)</f>
        <v>0</v>
      </c>
      <c r="F346" s="12"/>
      <c r="G346" s="9"/>
      <c r="H346" s="10"/>
      <c r="I346" s="49">
        <f t="shared" ref="I346:I366" si="291">SUM(F346:H346)</f>
        <v>0</v>
      </c>
      <c r="J346" s="11">
        <f t="shared" ref="J346:J366" si="292">E346+I346</f>
        <v>0</v>
      </c>
      <c r="L346" s="26" t="s">
        <v>385</v>
      </c>
      <c r="M346" s="8">
        <v>4</v>
      </c>
      <c r="N346" s="9">
        <v>3</v>
      </c>
      <c r="O346" s="52">
        <v>4</v>
      </c>
      <c r="P346" s="87">
        <f t="shared" si="287"/>
        <v>11</v>
      </c>
      <c r="Q346" s="12">
        <v>4</v>
      </c>
      <c r="R346" s="9">
        <v>3</v>
      </c>
      <c r="S346" s="10">
        <v>4</v>
      </c>
      <c r="T346" s="49">
        <f t="shared" si="288"/>
        <v>11</v>
      </c>
      <c r="U346" s="11">
        <f t="shared" si="289"/>
        <v>22</v>
      </c>
      <c r="V346" s="98">
        <v>44161</v>
      </c>
    </row>
    <row r="347" spans="1:23" x14ac:dyDescent="0.15">
      <c r="A347" s="26"/>
      <c r="B347" s="8"/>
      <c r="C347" s="9"/>
      <c r="D347" s="10"/>
      <c r="E347" s="49">
        <f t="shared" si="290"/>
        <v>0</v>
      </c>
      <c r="F347" s="12"/>
      <c r="G347" s="9"/>
      <c r="H347" s="10"/>
      <c r="I347" s="49">
        <f t="shared" si="291"/>
        <v>0</v>
      </c>
      <c r="J347" s="11">
        <f t="shared" si="292"/>
        <v>0</v>
      </c>
      <c r="L347" s="26" t="s">
        <v>386</v>
      </c>
      <c r="M347" s="8">
        <v>6</v>
      </c>
      <c r="N347" s="9">
        <v>1</v>
      </c>
      <c r="O347" s="52">
        <v>1</v>
      </c>
      <c r="P347" s="87">
        <f t="shared" si="287"/>
        <v>8</v>
      </c>
      <c r="Q347" s="12">
        <v>6</v>
      </c>
      <c r="R347" s="9">
        <v>1</v>
      </c>
      <c r="S347" s="10">
        <v>1</v>
      </c>
      <c r="T347" s="49">
        <f t="shared" si="288"/>
        <v>8</v>
      </c>
      <c r="U347" s="11">
        <f t="shared" si="289"/>
        <v>16</v>
      </c>
      <c r="V347" s="98">
        <v>44162</v>
      </c>
    </row>
    <row r="348" spans="1:23" x14ac:dyDescent="0.15">
      <c r="A348" s="26"/>
      <c r="B348" s="8"/>
      <c r="C348" s="9"/>
      <c r="D348" s="10"/>
      <c r="E348" s="49">
        <f t="shared" si="290"/>
        <v>0</v>
      </c>
      <c r="F348" s="12"/>
      <c r="G348" s="9"/>
      <c r="H348" s="10"/>
      <c r="I348" s="49">
        <f t="shared" si="291"/>
        <v>0</v>
      </c>
      <c r="J348" s="11">
        <f t="shared" si="292"/>
        <v>0</v>
      </c>
      <c r="L348" s="26" t="s">
        <v>389</v>
      </c>
      <c r="M348" s="8">
        <v>9</v>
      </c>
      <c r="N348" s="9">
        <v>5</v>
      </c>
      <c r="O348" s="52">
        <v>3</v>
      </c>
      <c r="P348" s="87">
        <f t="shared" si="287"/>
        <v>17</v>
      </c>
      <c r="Q348" s="12">
        <v>9</v>
      </c>
      <c r="R348" s="9">
        <v>5</v>
      </c>
      <c r="S348" s="10">
        <v>3</v>
      </c>
      <c r="T348" s="49">
        <f t="shared" si="288"/>
        <v>17</v>
      </c>
      <c r="U348" s="11">
        <f t="shared" si="289"/>
        <v>34</v>
      </c>
      <c r="V348" s="98">
        <v>44163</v>
      </c>
    </row>
    <row r="349" spans="1:23" x14ac:dyDescent="0.15">
      <c r="A349" s="26"/>
      <c r="B349" s="8"/>
      <c r="C349" s="9"/>
      <c r="D349" s="10"/>
      <c r="E349" s="49">
        <f t="shared" si="290"/>
        <v>0</v>
      </c>
      <c r="F349" s="12"/>
      <c r="G349" s="9"/>
      <c r="H349" s="10"/>
      <c r="I349" s="49">
        <f t="shared" si="291"/>
        <v>0</v>
      </c>
      <c r="J349" s="11">
        <f t="shared" si="292"/>
        <v>0</v>
      </c>
      <c r="L349" s="26" t="s">
        <v>391</v>
      </c>
      <c r="M349" s="8">
        <v>13</v>
      </c>
      <c r="N349" s="9">
        <v>9</v>
      </c>
      <c r="O349" s="52">
        <v>4</v>
      </c>
      <c r="P349" s="87">
        <f t="shared" si="287"/>
        <v>26</v>
      </c>
      <c r="Q349" s="12">
        <v>13</v>
      </c>
      <c r="R349" s="9">
        <v>9</v>
      </c>
      <c r="S349" s="10">
        <v>4</v>
      </c>
      <c r="T349" s="49">
        <f t="shared" si="288"/>
        <v>26</v>
      </c>
      <c r="U349" s="11">
        <f t="shared" si="289"/>
        <v>52</v>
      </c>
      <c r="V349" s="98">
        <v>44166</v>
      </c>
      <c r="W349" s="66"/>
    </row>
    <row r="350" spans="1:23" x14ac:dyDescent="0.15">
      <c r="A350" s="26"/>
      <c r="B350" s="8"/>
      <c r="C350" s="9"/>
      <c r="D350" s="10"/>
      <c r="E350" s="49">
        <f t="shared" si="290"/>
        <v>0</v>
      </c>
      <c r="F350" s="12"/>
      <c r="G350" s="9"/>
      <c r="H350" s="10"/>
      <c r="I350" s="49">
        <f t="shared" si="291"/>
        <v>0</v>
      </c>
      <c r="J350" s="11">
        <f t="shared" si="292"/>
        <v>0</v>
      </c>
      <c r="L350" s="26" t="s">
        <v>393</v>
      </c>
      <c r="M350" s="8">
        <v>4</v>
      </c>
      <c r="N350" s="9"/>
      <c r="O350" s="52">
        <v>9</v>
      </c>
      <c r="P350" s="87">
        <f t="shared" si="287"/>
        <v>13</v>
      </c>
      <c r="Q350" s="12">
        <v>4</v>
      </c>
      <c r="R350" s="9"/>
      <c r="S350" s="10">
        <v>9</v>
      </c>
      <c r="T350" s="49">
        <f t="shared" si="288"/>
        <v>13</v>
      </c>
      <c r="U350" s="11">
        <f t="shared" si="289"/>
        <v>26</v>
      </c>
      <c r="V350" s="98">
        <v>44167</v>
      </c>
    </row>
    <row r="351" spans="1:23" x14ac:dyDescent="0.15">
      <c r="A351" s="26"/>
      <c r="B351" s="13"/>
      <c r="C351" s="14"/>
      <c r="D351" s="15"/>
      <c r="E351" s="49">
        <f t="shared" si="290"/>
        <v>0</v>
      </c>
      <c r="F351" s="16"/>
      <c r="G351" s="14"/>
      <c r="H351" s="15"/>
      <c r="I351" s="49">
        <f t="shared" si="291"/>
        <v>0</v>
      </c>
      <c r="J351" s="11">
        <f t="shared" si="292"/>
        <v>0</v>
      </c>
      <c r="L351" s="26" t="s">
        <v>394</v>
      </c>
      <c r="M351" s="13"/>
      <c r="N351" s="14">
        <v>6</v>
      </c>
      <c r="O351" s="53"/>
      <c r="P351" s="87">
        <f t="shared" si="287"/>
        <v>6</v>
      </c>
      <c r="Q351" s="16"/>
      <c r="R351" s="14">
        <v>6</v>
      </c>
      <c r="S351" s="15"/>
      <c r="T351" s="49">
        <f t="shared" si="288"/>
        <v>6</v>
      </c>
      <c r="U351" s="11">
        <f t="shared" si="289"/>
        <v>12</v>
      </c>
      <c r="V351" s="98">
        <v>44168</v>
      </c>
    </row>
    <row r="352" spans="1:23" x14ac:dyDescent="0.15">
      <c r="A352" s="26"/>
      <c r="B352" s="8"/>
      <c r="C352" s="9"/>
      <c r="D352" s="10"/>
      <c r="E352" s="49">
        <f t="shared" si="290"/>
        <v>0</v>
      </c>
      <c r="F352" s="12"/>
      <c r="G352" s="9"/>
      <c r="H352" s="10"/>
      <c r="I352" s="49">
        <f t="shared" si="291"/>
        <v>0</v>
      </c>
      <c r="J352" s="11">
        <f t="shared" si="292"/>
        <v>0</v>
      </c>
      <c r="L352" s="26" t="s">
        <v>398</v>
      </c>
      <c r="M352" s="8">
        <v>1</v>
      </c>
      <c r="N352" s="9">
        <v>4</v>
      </c>
      <c r="O352" s="52">
        <v>1</v>
      </c>
      <c r="P352" s="87">
        <f t="shared" si="287"/>
        <v>6</v>
      </c>
      <c r="Q352" s="12">
        <v>1</v>
      </c>
      <c r="R352" s="9">
        <v>4</v>
      </c>
      <c r="S352" s="10">
        <v>1</v>
      </c>
      <c r="T352" s="49">
        <f t="shared" si="288"/>
        <v>6</v>
      </c>
      <c r="U352" s="11">
        <f t="shared" si="289"/>
        <v>12</v>
      </c>
      <c r="V352" s="98">
        <v>44169</v>
      </c>
    </row>
    <row r="353" spans="1:22" x14ac:dyDescent="0.15">
      <c r="A353" s="26"/>
      <c r="B353" s="8"/>
      <c r="C353" s="9"/>
      <c r="D353" s="10"/>
      <c r="E353" s="49">
        <f t="shared" si="290"/>
        <v>0</v>
      </c>
      <c r="F353" s="12"/>
      <c r="G353" s="9"/>
      <c r="H353" s="10"/>
      <c r="I353" s="49">
        <f t="shared" si="291"/>
        <v>0</v>
      </c>
      <c r="J353" s="11">
        <f t="shared" si="292"/>
        <v>0</v>
      </c>
      <c r="L353" s="26" t="s">
        <v>399</v>
      </c>
      <c r="M353" s="8">
        <v>2</v>
      </c>
      <c r="N353" s="9">
        <v>1</v>
      </c>
      <c r="O353" s="52"/>
      <c r="P353" s="87">
        <f t="shared" si="287"/>
        <v>3</v>
      </c>
      <c r="Q353" s="12">
        <v>2</v>
      </c>
      <c r="R353" s="9">
        <v>1</v>
      </c>
      <c r="S353" s="10"/>
      <c r="T353" s="49">
        <f t="shared" si="288"/>
        <v>3</v>
      </c>
      <c r="U353" s="11">
        <f t="shared" si="289"/>
        <v>6</v>
      </c>
      <c r="V353" s="98">
        <v>44170</v>
      </c>
    </row>
    <row r="354" spans="1:22" x14ac:dyDescent="0.15">
      <c r="A354" s="26"/>
      <c r="B354" s="8"/>
      <c r="C354" s="9"/>
      <c r="D354" s="10"/>
      <c r="E354" s="49">
        <f t="shared" si="290"/>
        <v>0</v>
      </c>
      <c r="F354" s="12"/>
      <c r="G354" s="9"/>
      <c r="H354" s="10"/>
      <c r="I354" s="49">
        <f t="shared" si="291"/>
        <v>0</v>
      </c>
      <c r="J354" s="11">
        <f t="shared" si="292"/>
        <v>0</v>
      </c>
      <c r="L354" s="26" t="s">
        <v>401</v>
      </c>
      <c r="M354" s="8">
        <v>3</v>
      </c>
      <c r="N354" s="9">
        <v>1</v>
      </c>
      <c r="O354" s="52">
        <v>3</v>
      </c>
      <c r="P354" s="87">
        <f t="shared" si="287"/>
        <v>7</v>
      </c>
      <c r="Q354" s="12">
        <v>3</v>
      </c>
      <c r="R354" s="9">
        <v>1</v>
      </c>
      <c r="S354" s="10">
        <v>3</v>
      </c>
      <c r="T354" s="49">
        <f t="shared" si="288"/>
        <v>7</v>
      </c>
      <c r="U354" s="11">
        <f t="shared" si="289"/>
        <v>14</v>
      </c>
      <c r="V354" s="98">
        <v>44173</v>
      </c>
    </row>
    <row r="355" spans="1:22" x14ac:dyDescent="0.15">
      <c r="A355" s="26"/>
      <c r="B355" s="8"/>
      <c r="C355" s="9"/>
      <c r="D355" s="10"/>
      <c r="E355" s="49">
        <f t="shared" si="290"/>
        <v>0</v>
      </c>
      <c r="F355" s="12"/>
      <c r="G355" s="9"/>
      <c r="H355" s="10"/>
      <c r="I355" s="49">
        <f t="shared" si="291"/>
        <v>0</v>
      </c>
      <c r="J355" s="11">
        <f t="shared" si="292"/>
        <v>0</v>
      </c>
      <c r="L355" s="26" t="s">
        <v>402</v>
      </c>
      <c r="M355" s="8">
        <v>2</v>
      </c>
      <c r="N355" s="9">
        <v>6</v>
      </c>
      <c r="O355" s="52">
        <v>3</v>
      </c>
      <c r="P355" s="87">
        <f t="shared" si="287"/>
        <v>11</v>
      </c>
      <c r="Q355" s="12">
        <v>2</v>
      </c>
      <c r="R355" s="9">
        <v>6</v>
      </c>
      <c r="S355" s="10">
        <v>3</v>
      </c>
      <c r="T355" s="49">
        <f t="shared" si="288"/>
        <v>11</v>
      </c>
      <c r="U355" s="11">
        <f t="shared" si="289"/>
        <v>22</v>
      </c>
      <c r="V355" s="98">
        <v>44174</v>
      </c>
    </row>
    <row r="356" spans="1:22" x14ac:dyDescent="0.15">
      <c r="A356" s="26"/>
      <c r="B356" s="8"/>
      <c r="C356" s="9"/>
      <c r="D356" s="10"/>
      <c r="E356" s="49">
        <f t="shared" si="290"/>
        <v>0</v>
      </c>
      <c r="F356" s="12"/>
      <c r="G356" s="9"/>
      <c r="H356" s="10"/>
      <c r="I356" s="49">
        <f t="shared" si="291"/>
        <v>0</v>
      </c>
      <c r="J356" s="11">
        <f t="shared" si="292"/>
        <v>0</v>
      </c>
      <c r="L356" s="26" t="s">
        <v>403</v>
      </c>
      <c r="M356" s="8"/>
      <c r="N356" s="9">
        <v>2</v>
      </c>
      <c r="O356" s="52">
        <v>3</v>
      </c>
      <c r="P356" s="87">
        <f t="shared" si="287"/>
        <v>5</v>
      </c>
      <c r="Q356" s="12"/>
      <c r="R356" s="9">
        <v>2</v>
      </c>
      <c r="S356" s="10">
        <v>3</v>
      </c>
      <c r="T356" s="49">
        <f t="shared" si="288"/>
        <v>5</v>
      </c>
      <c r="U356" s="11">
        <f t="shared" si="289"/>
        <v>10</v>
      </c>
      <c r="V356" s="98">
        <v>44175</v>
      </c>
    </row>
    <row r="357" spans="1:22" x14ac:dyDescent="0.15">
      <c r="A357" s="26"/>
      <c r="B357" s="8"/>
      <c r="C357" s="9"/>
      <c r="D357" s="10"/>
      <c r="E357" s="49">
        <f t="shared" si="290"/>
        <v>0</v>
      </c>
      <c r="F357" s="12"/>
      <c r="G357" s="9"/>
      <c r="H357" s="10"/>
      <c r="I357" s="49">
        <f t="shared" si="291"/>
        <v>0</v>
      </c>
      <c r="J357" s="11">
        <f t="shared" si="292"/>
        <v>0</v>
      </c>
      <c r="L357" s="26" t="s">
        <v>406</v>
      </c>
      <c r="M357" s="13">
        <v>3</v>
      </c>
      <c r="N357" s="14">
        <v>2</v>
      </c>
      <c r="O357" s="53">
        <v>2</v>
      </c>
      <c r="P357" s="87">
        <f>SUM(M357:O357)</f>
        <v>7</v>
      </c>
      <c r="Q357" s="16">
        <v>3</v>
      </c>
      <c r="R357" s="14">
        <v>2</v>
      </c>
      <c r="S357" s="15">
        <v>2</v>
      </c>
      <c r="T357" s="49">
        <f>SUM(Q357:S357)</f>
        <v>7</v>
      </c>
      <c r="U357" s="11">
        <f>P357+T357</f>
        <v>14</v>
      </c>
      <c r="V357" s="98">
        <v>44176</v>
      </c>
    </row>
    <row r="358" spans="1:22" x14ac:dyDescent="0.15">
      <c r="A358" s="26"/>
      <c r="B358" s="8"/>
      <c r="C358" s="9"/>
      <c r="D358" s="10"/>
      <c r="E358" s="49">
        <f t="shared" si="290"/>
        <v>0</v>
      </c>
      <c r="F358" s="12"/>
      <c r="G358" s="9"/>
      <c r="H358" s="10"/>
      <c r="I358" s="49">
        <f t="shared" si="291"/>
        <v>0</v>
      </c>
      <c r="J358" s="11">
        <f t="shared" si="292"/>
        <v>0</v>
      </c>
      <c r="L358" s="26" t="s">
        <v>408</v>
      </c>
      <c r="M358" s="8"/>
      <c r="N358" s="9">
        <v>6</v>
      </c>
      <c r="O358" s="52"/>
      <c r="P358" s="87">
        <f t="shared" ref="P358:P361" si="293">SUM(M358:O358)</f>
        <v>6</v>
      </c>
      <c r="Q358" s="12"/>
      <c r="R358" s="9">
        <v>6</v>
      </c>
      <c r="S358" s="10"/>
      <c r="T358" s="49">
        <f t="shared" ref="T358:T361" si="294">SUM(Q358:S358)</f>
        <v>6</v>
      </c>
      <c r="U358" s="11">
        <f t="shared" ref="U358:U361" si="295">P358+T358</f>
        <v>12</v>
      </c>
      <c r="V358" s="98">
        <v>44177</v>
      </c>
    </row>
    <row r="359" spans="1:22" x14ac:dyDescent="0.15">
      <c r="A359" s="24"/>
      <c r="B359" s="8"/>
      <c r="C359" s="9"/>
      <c r="D359" s="10"/>
      <c r="E359" s="49">
        <f t="shared" si="290"/>
        <v>0</v>
      </c>
      <c r="F359" s="12"/>
      <c r="G359" s="9"/>
      <c r="H359" s="10"/>
      <c r="I359" s="49">
        <f t="shared" si="291"/>
        <v>0</v>
      </c>
      <c r="J359" s="11">
        <f t="shared" si="292"/>
        <v>0</v>
      </c>
      <c r="L359" s="26" t="s">
        <v>409</v>
      </c>
      <c r="M359" s="8">
        <v>1</v>
      </c>
      <c r="N359" s="9">
        <v>2</v>
      </c>
      <c r="O359" s="52">
        <v>3</v>
      </c>
      <c r="P359" s="87">
        <f t="shared" si="293"/>
        <v>6</v>
      </c>
      <c r="Q359" s="12">
        <v>1</v>
      </c>
      <c r="R359" s="9">
        <v>2</v>
      </c>
      <c r="S359" s="10">
        <v>3</v>
      </c>
      <c r="T359" s="49">
        <f t="shared" si="294"/>
        <v>6</v>
      </c>
      <c r="U359" s="11">
        <f t="shared" si="295"/>
        <v>12</v>
      </c>
      <c r="V359" s="98">
        <v>44180</v>
      </c>
    </row>
    <row r="360" spans="1:22" x14ac:dyDescent="0.15">
      <c r="A360" s="25"/>
      <c r="B360" s="8"/>
      <c r="C360" s="9"/>
      <c r="D360" s="10"/>
      <c r="E360" s="49">
        <f t="shared" si="290"/>
        <v>0</v>
      </c>
      <c r="F360" s="12"/>
      <c r="G360" s="9"/>
      <c r="H360" s="10"/>
      <c r="I360" s="49">
        <f t="shared" si="291"/>
        <v>0</v>
      </c>
      <c r="J360" s="11">
        <f t="shared" si="292"/>
        <v>0</v>
      </c>
      <c r="L360" s="26" t="s">
        <v>411</v>
      </c>
      <c r="M360" s="8">
        <v>2</v>
      </c>
      <c r="N360" s="9"/>
      <c r="O360" s="52">
        <v>6</v>
      </c>
      <c r="P360" s="87">
        <f t="shared" si="293"/>
        <v>8</v>
      </c>
      <c r="Q360" s="12">
        <v>2</v>
      </c>
      <c r="R360" s="9"/>
      <c r="S360" s="10">
        <v>6</v>
      </c>
      <c r="T360" s="49">
        <f t="shared" si="294"/>
        <v>8</v>
      </c>
      <c r="U360" s="11">
        <f t="shared" si="295"/>
        <v>16</v>
      </c>
      <c r="V360" s="98">
        <v>44181</v>
      </c>
    </row>
    <row r="361" spans="1:22" x14ac:dyDescent="0.15">
      <c r="A361" s="26"/>
      <c r="B361" s="8"/>
      <c r="C361" s="9"/>
      <c r="D361" s="10"/>
      <c r="E361" s="49">
        <f t="shared" si="290"/>
        <v>0</v>
      </c>
      <c r="F361" s="12"/>
      <c r="G361" s="9"/>
      <c r="H361" s="10"/>
      <c r="I361" s="49">
        <f t="shared" si="291"/>
        <v>0</v>
      </c>
      <c r="J361" s="11">
        <f t="shared" si="292"/>
        <v>0</v>
      </c>
      <c r="L361" s="26" t="s">
        <v>415</v>
      </c>
      <c r="M361" s="8"/>
      <c r="N361" s="9"/>
      <c r="O361" s="52">
        <v>1</v>
      </c>
      <c r="P361" s="87">
        <f t="shared" si="293"/>
        <v>1</v>
      </c>
      <c r="Q361" s="12"/>
      <c r="R361" s="9"/>
      <c r="S361" s="10">
        <v>1</v>
      </c>
      <c r="T361" s="49">
        <f t="shared" si="294"/>
        <v>1</v>
      </c>
      <c r="U361" s="11">
        <f t="shared" si="295"/>
        <v>2</v>
      </c>
      <c r="V361" s="98">
        <v>44184</v>
      </c>
    </row>
    <row r="362" spans="1:22" x14ac:dyDescent="0.15">
      <c r="A362" s="24"/>
      <c r="B362" s="8"/>
      <c r="C362" s="9"/>
      <c r="D362" s="10"/>
      <c r="E362" s="49">
        <f t="shared" si="290"/>
        <v>0</v>
      </c>
      <c r="F362" s="12"/>
      <c r="G362" s="9"/>
      <c r="H362" s="10"/>
      <c r="I362" s="49">
        <f t="shared" si="291"/>
        <v>0</v>
      </c>
      <c r="J362" s="11">
        <f t="shared" si="292"/>
        <v>0</v>
      </c>
      <c r="L362" s="26" t="s">
        <v>416</v>
      </c>
      <c r="M362" s="8"/>
      <c r="N362" s="9"/>
      <c r="O362" s="52">
        <v>1</v>
      </c>
      <c r="P362" s="87">
        <f t="shared" ref="P362" si="296">SUM(M362:O362)</f>
        <v>1</v>
      </c>
      <c r="Q362" s="12"/>
      <c r="R362" s="9"/>
      <c r="S362" s="10">
        <v>1</v>
      </c>
      <c r="T362" s="49">
        <f t="shared" ref="T362" si="297">SUM(Q362:S362)</f>
        <v>1</v>
      </c>
      <c r="U362" s="11">
        <f t="shared" ref="U362" si="298">P362+T362</f>
        <v>2</v>
      </c>
      <c r="V362" s="98">
        <v>44187</v>
      </c>
    </row>
    <row r="363" spans="1:22" x14ac:dyDescent="0.15">
      <c r="B363" s="13"/>
      <c r="C363" s="14"/>
      <c r="D363" s="15"/>
      <c r="E363" s="49">
        <f t="shared" si="290"/>
        <v>0</v>
      </c>
      <c r="F363" s="16"/>
      <c r="G363" s="14"/>
      <c r="H363" s="15"/>
      <c r="I363" s="49">
        <f t="shared" si="291"/>
        <v>0</v>
      </c>
      <c r="J363" s="11">
        <f t="shared" si="292"/>
        <v>0</v>
      </c>
      <c r="L363" s="26" t="s">
        <v>417</v>
      </c>
      <c r="M363" s="8">
        <v>1</v>
      </c>
      <c r="N363" s="9"/>
      <c r="O363" s="52"/>
      <c r="P363" s="87">
        <f t="shared" ref="P363:P365" si="299">SUM(M363:O363)</f>
        <v>1</v>
      </c>
      <c r="Q363" s="12">
        <v>1</v>
      </c>
      <c r="R363" s="9"/>
      <c r="S363" s="10"/>
      <c r="T363" s="49">
        <f t="shared" ref="T363:T365" si="300">SUM(Q363:S363)</f>
        <v>1</v>
      </c>
      <c r="U363" s="11">
        <f t="shared" ref="U363:U365" si="301">P363+T363</f>
        <v>2</v>
      </c>
      <c r="V363" s="98">
        <v>44190</v>
      </c>
    </row>
    <row r="364" spans="1:22" x14ac:dyDescent="0.15">
      <c r="A364" s="26"/>
      <c r="B364" s="8"/>
      <c r="C364" s="9"/>
      <c r="D364" s="10"/>
      <c r="E364" s="49">
        <f t="shared" si="290"/>
        <v>0</v>
      </c>
      <c r="F364" s="12"/>
      <c r="G364" s="9"/>
      <c r="H364" s="10"/>
      <c r="I364" s="49">
        <f t="shared" si="291"/>
        <v>0</v>
      </c>
      <c r="J364" s="11">
        <f t="shared" si="292"/>
        <v>0</v>
      </c>
      <c r="L364" s="26"/>
      <c r="M364" s="8"/>
      <c r="N364" s="9"/>
      <c r="O364" s="52"/>
      <c r="P364" s="87">
        <f t="shared" si="299"/>
        <v>0</v>
      </c>
      <c r="Q364" s="12"/>
      <c r="R364" s="9"/>
      <c r="S364" s="10"/>
      <c r="T364" s="49">
        <f t="shared" si="300"/>
        <v>0</v>
      </c>
      <c r="U364" s="11">
        <f t="shared" si="301"/>
        <v>0</v>
      </c>
      <c r="V364" s="98"/>
    </row>
    <row r="365" spans="1:22" x14ac:dyDescent="0.15">
      <c r="A365" s="26"/>
      <c r="B365" s="8"/>
      <c r="C365" s="9"/>
      <c r="D365" s="10"/>
      <c r="E365" s="49">
        <f t="shared" si="290"/>
        <v>0</v>
      </c>
      <c r="F365" s="12"/>
      <c r="G365" s="9"/>
      <c r="H365" s="10"/>
      <c r="I365" s="49">
        <f t="shared" si="291"/>
        <v>0</v>
      </c>
      <c r="J365" s="11">
        <f t="shared" si="292"/>
        <v>0</v>
      </c>
      <c r="L365" s="86" t="s">
        <v>219</v>
      </c>
      <c r="M365" s="8"/>
      <c r="N365" s="9"/>
      <c r="O365" s="52"/>
      <c r="P365" s="87">
        <f t="shared" si="299"/>
        <v>0</v>
      </c>
      <c r="Q365" s="12"/>
      <c r="R365" s="9"/>
      <c r="S365" s="10"/>
      <c r="T365" s="49">
        <f t="shared" si="300"/>
        <v>0</v>
      </c>
      <c r="U365" s="11">
        <f t="shared" si="301"/>
        <v>0</v>
      </c>
      <c r="V365" s="100" t="s">
        <v>220</v>
      </c>
    </row>
    <row r="366" spans="1:22" x14ac:dyDescent="0.15">
      <c r="A366" s="26"/>
      <c r="B366" s="8"/>
      <c r="C366" s="9"/>
      <c r="D366" s="10"/>
      <c r="E366" s="49">
        <f t="shared" si="290"/>
        <v>0</v>
      </c>
      <c r="F366" s="12"/>
      <c r="G366" s="9"/>
      <c r="H366" s="10"/>
      <c r="I366" s="49">
        <f t="shared" si="291"/>
        <v>0</v>
      </c>
      <c r="J366" s="11">
        <f t="shared" si="292"/>
        <v>0</v>
      </c>
      <c r="L366" s="26" t="s">
        <v>343</v>
      </c>
      <c r="M366" s="8"/>
      <c r="N366" s="9"/>
      <c r="O366" s="52"/>
      <c r="P366" s="87">
        <f t="shared" ref="P366:P367" si="302">SUM(M366:O366)</f>
        <v>0</v>
      </c>
      <c r="Q366" s="12"/>
      <c r="R366" s="9"/>
      <c r="S366" s="10"/>
      <c r="T366" s="49">
        <f t="shared" ref="T366:T367" si="303">SUM(Q366:S366)</f>
        <v>0</v>
      </c>
      <c r="U366" s="11">
        <f t="shared" ref="U366:U367" si="304">P366+T366</f>
        <v>0</v>
      </c>
      <c r="V366" s="100" t="s">
        <v>345</v>
      </c>
    </row>
    <row r="367" spans="1:22" ht="14.25" thickBot="1" x14ac:dyDescent="0.2">
      <c r="A367" s="23"/>
      <c r="B367" s="13"/>
      <c r="C367" s="14"/>
      <c r="D367" s="15"/>
      <c r="E367" s="49">
        <f>SUM(B367:D367)</f>
        <v>0</v>
      </c>
      <c r="F367" s="16"/>
      <c r="G367" s="14"/>
      <c r="H367" s="15"/>
      <c r="I367" s="49">
        <f>SUM(F367:H367)</f>
        <v>0</v>
      </c>
      <c r="J367" s="11">
        <f>E367+I367</f>
        <v>0</v>
      </c>
      <c r="L367" s="26" t="s">
        <v>340</v>
      </c>
      <c r="M367" s="8"/>
      <c r="N367" s="9"/>
      <c r="O367" s="52"/>
      <c r="P367" s="87">
        <f t="shared" si="302"/>
        <v>0</v>
      </c>
      <c r="Q367" s="12"/>
      <c r="R367" s="9"/>
      <c r="S367" s="10"/>
      <c r="T367" s="49">
        <f t="shared" si="303"/>
        <v>0</v>
      </c>
      <c r="U367" s="11">
        <f t="shared" si="304"/>
        <v>0</v>
      </c>
      <c r="V367" s="100" t="s">
        <v>341</v>
      </c>
    </row>
    <row r="368" spans="1:22" ht="14.25" thickBot="1" x14ac:dyDescent="0.2">
      <c r="A368" s="41" t="s">
        <v>17</v>
      </c>
      <c r="B368" s="46">
        <f>SUM(B342:B367)</f>
        <v>0</v>
      </c>
      <c r="C368" s="47">
        <f t="shared" ref="C368:D368" si="305">SUM(C342:C367)</f>
        <v>3</v>
      </c>
      <c r="D368" s="58">
        <f t="shared" si="305"/>
        <v>2</v>
      </c>
      <c r="E368" s="45">
        <f t="shared" ref="E368" si="306">SUM(B368:D368)</f>
        <v>5</v>
      </c>
      <c r="F368" s="46">
        <f>SUM(F342:F367)</f>
        <v>0</v>
      </c>
      <c r="G368" s="47">
        <f t="shared" ref="G368:H368" si="307">SUM(G342:G367)</f>
        <v>3</v>
      </c>
      <c r="H368" s="58">
        <f t="shared" si="307"/>
        <v>2</v>
      </c>
      <c r="I368" s="45">
        <f t="shared" ref="I368" si="308">SUM(F368:H368)</f>
        <v>5</v>
      </c>
      <c r="J368" s="45">
        <f>E368+I368</f>
        <v>10</v>
      </c>
      <c r="L368" s="41" t="s">
        <v>17</v>
      </c>
      <c r="M368" s="46">
        <f>SUM(M342:M367)</f>
        <v>58</v>
      </c>
      <c r="N368" s="47">
        <f t="shared" ref="N368:O368" si="309">SUM(N342:N367)</f>
        <v>63</v>
      </c>
      <c r="O368" s="58">
        <f t="shared" si="309"/>
        <v>52</v>
      </c>
      <c r="P368" s="45">
        <f t="shared" ref="P368" si="310">SUM(M368:O368)</f>
        <v>173</v>
      </c>
      <c r="Q368" s="46">
        <f>SUM(Q342:Q367)</f>
        <v>58</v>
      </c>
      <c r="R368" s="47">
        <f t="shared" ref="R368:S368" si="311">SUM(R342:R367)</f>
        <v>63</v>
      </c>
      <c r="S368" s="58">
        <f t="shared" si="311"/>
        <v>52</v>
      </c>
      <c r="T368" s="45">
        <f t="shared" ref="T368" si="312">SUM(Q368:S368)</f>
        <v>173</v>
      </c>
      <c r="U368" s="45">
        <f>P368+T368</f>
        <v>346</v>
      </c>
    </row>
    <row r="369" spans="1:22" ht="14.25" thickBot="1" x14ac:dyDescent="0.2">
      <c r="A369" s="22" t="s">
        <v>16</v>
      </c>
      <c r="B369" s="50">
        <f>B341-B368</f>
        <v>3</v>
      </c>
      <c r="C369" s="56">
        <f t="shared" ref="C369:D369" si="313">C341-C368</f>
        <v>0</v>
      </c>
      <c r="D369" s="57">
        <f t="shared" si="313"/>
        <v>1</v>
      </c>
      <c r="E369" s="55">
        <f>SUM(B369:D369)</f>
        <v>4</v>
      </c>
      <c r="F369" s="50">
        <f>F341-F368</f>
        <v>3</v>
      </c>
      <c r="G369" s="56">
        <f t="shared" ref="G369:H369" si="314">G341-G368</f>
        <v>0</v>
      </c>
      <c r="H369" s="57">
        <f t="shared" si="314"/>
        <v>1</v>
      </c>
      <c r="I369" s="55">
        <f>SUM(F369:H369)</f>
        <v>4</v>
      </c>
      <c r="J369" s="31">
        <f>E369+I369</f>
        <v>8</v>
      </c>
      <c r="L369" s="22" t="s">
        <v>16</v>
      </c>
      <c r="M369" s="50">
        <f>M341-M368</f>
        <v>258</v>
      </c>
      <c r="N369" s="56">
        <f t="shared" ref="N369:O369" si="315">N341-N368</f>
        <v>287</v>
      </c>
      <c r="O369" s="57">
        <f t="shared" si="315"/>
        <v>162</v>
      </c>
      <c r="P369" s="55">
        <f>SUM(M369:O369)</f>
        <v>707</v>
      </c>
      <c r="Q369" s="50">
        <f>Q341-Q368</f>
        <v>258</v>
      </c>
      <c r="R369" s="56">
        <f t="shared" ref="R369:S369" si="316">R341-R368</f>
        <v>287</v>
      </c>
      <c r="S369" s="57">
        <f t="shared" si="316"/>
        <v>162</v>
      </c>
      <c r="T369" s="55">
        <f>SUM(Q369:S369)</f>
        <v>707</v>
      </c>
      <c r="U369" s="31">
        <f>P369+T369</f>
        <v>1414</v>
      </c>
    </row>
    <row r="370" spans="1:22" ht="19.5" thickBot="1" x14ac:dyDescent="0.25">
      <c r="A370" s="3" t="s">
        <v>18</v>
      </c>
      <c r="B370" s="1"/>
      <c r="C370" s="1"/>
      <c r="D370" s="1"/>
      <c r="E370" s="1"/>
      <c r="F370" s="1"/>
      <c r="G370" s="1"/>
      <c r="H370" s="1"/>
      <c r="I370" s="1"/>
      <c r="J370" s="1"/>
      <c r="L370" s="3" t="s">
        <v>19</v>
      </c>
      <c r="M370" s="1"/>
      <c r="N370" s="1"/>
      <c r="O370" s="1"/>
      <c r="P370" s="1"/>
      <c r="Q370" s="1"/>
      <c r="R370" s="1"/>
      <c r="S370" s="1"/>
      <c r="T370" s="1"/>
      <c r="U370" s="1"/>
    </row>
    <row r="371" spans="1:22" ht="14.25" thickBot="1" x14ac:dyDescent="0.2">
      <c r="A371" s="7"/>
      <c r="B371" s="169" t="s">
        <v>22</v>
      </c>
      <c r="C371" s="170"/>
      <c r="D371" s="170"/>
      <c r="E371" s="171"/>
      <c r="F371" s="169" t="s">
        <v>23</v>
      </c>
      <c r="G371" s="170"/>
      <c r="H371" s="170"/>
      <c r="I371" s="171"/>
      <c r="J371" s="172" t="s">
        <v>0</v>
      </c>
      <c r="L371" s="7"/>
      <c r="M371" s="169" t="s">
        <v>22</v>
      </c>
      <c r="N371" s="170"/>
      <c r="O371" s="170"/>
      <c r="P371" s="171"/>
      <c r="Q371" s="169" t="s">
        <v>23</v>
      </c>
      <c r="R371" s="170"/>
      <c r="S371" s="170"/>
      <c r="T371" s="171"/>
      <c r="U371" s="172" t="s">
        <v>0</v>
      </c>
    </row>
    <row r="372" spans="1:22" ht="14.25" thickBot="1" x14ac:dyDescent="0.2">
      <c r="A372" s="7" t="s">
        <v>1</v>
      </c>
      <c r="B372" s="4" t="s">
        <v>2</v>
      </c>
      <c r="C372" s="5" t="s">
        <v>3</v>
      </c>
      <c r="D372" s="6" t="s">
        <v>4</v>
      </c>
      <c r="E372" s="7" t="s">
        <v>5</v>
      </c>
      <c r="F372" s="4" t="s">
        <v>2</v>
      </c>
      <c r="G372" s="5" t="s">
        <v>3</v>
      </c>
      <c r="H372" s="6" t="s">
        <v>4</v>
      </c>
      <c r="I372" s="7" t="s">
        <v>5</v>
      </c>
      <c r="J372" s="173"/>
      <c r="L372" s="7" t="s">
        <v>1</v>
      </c>
      <c r="M372" s="4" t="s">
        <v>2</v>
      </c>
      <c r="N372" s="5" t="s">
        <v>3</v>
      </c>
      <c r="O372" s="6" t="s">
        <v>4</v>
      </c>
      <c r="P372" s="7" t="s">
        <v>5</v>
      </c>
      <c r="Q372" s="4" t="s">
        <v>2</v>
      </c>
      <c r="R372" s="5" t="s">
        <v>3</v>
      </c>
      <c r="S372" s="6" t="s">
        <v>4</v>
      </c>
      <c r="T372" s="7" t="s">
        <v>5</v>
      </c>
      <c r="U372" s="173"/>
    </row>
    <row r="373" spans="1:22" ht="14.25" thickBot="1" x14ac:dyDescent="0.2">
      <c r="A373" s="27" t="s">
        <v>16</v>
      </c>
      <c r="B373" s="38">
        <f>B369</f>
        <v>3</v>
      </c>
      <c r="C373" s="39">
        <f>C369</f>
        <v>0</v>
      </c>
      <c r="D373" s="2">
        <f>D369</f>
        <v>1</v>
      </c>
      <c r="E373" s="36">
        <f>SUM(B373:D373)</f>
        <v>4</v>
      </c>
      <c r="F373" s="38">
        <f>F369</f>
        <v>3</v>
      </c>
      <c r="G373" s="39">
        <f>G369</f>
        <v>0</v>
      </c>
      <c r="H373" s="2">
        <f>H369</f>
        <v>1</v>
      </c>
      <c r="I373" s="36">
        <f>SUM(F373:H373)</f>
        <v>4</v>
      </c>
      <c r="J373" s="36">
        <f>E373+I373</f>
        <v>8</v>
      </c>
      <c r="L373" s="68" t="s">
        <v>16</v>
      </c>
      <c r="M373" s="42">
        <f>M369</f>
        <v>258</v>
      </c>
      <c r="N373" s="43">
        <f>N369</f>
        <v>287</v>
      </c>
      <c r="O373" s="60">
        <f>O369</f>
        <v>162</v>
      </c>
      <c r="P373" s="48">
        <f>SUM(M373:O373)</f>
        <v>707</v>
      </c>
      <c r="Q373" s="42">
        <f>Q369</f>
        <v>258</v>
      </c>
      <c r="R373" s="43">
        <f>R369</f>
        <v>287</v>
      </c>
      <c r="S373" s="60">
        <f>S369</f>
        <v>162</v>
      </c>
      <c r="T373" s="48">
        <f>SUM(Q373:S373)</f>
        <v>707</v>
      </c>
      <c r="U373" s="48">
        <f>P373+T373</f>
        <v>1414</v>
      </c>
    </row>
    <row r="374" spans="1:22" x14ac:dyDescent="0.15">
      <c r="A374" s="25" t="s">
        <v>427</v>
      </c>
      <c r="B374" s="42">
        <v>1</v>
      </c>
      <c r="C374" s="43"/>
      <c r="D374" s="44"/>
      <c r="E374" s="48">
        <f>SUM(B374:D374)</f>
        <v>1</v>
      </c>
      <c r="F374" s="59">
        <v>1</v>
      </c>
      <c r="G374" s="43"/>
      <c r="H374" s="60"/>
      <c r="I374" s="48">
        <f>SUM(F374:H374)</f>
        <v>1</v>
      </c>
      <c r="J374" s="48">
        <f>E374+I374</f>
        <v>2</v>
      </c>
      <c r="K374" s="64">
        <v>44210</v>
      </c>
      <c r="L374" s="25" t="s">
        <v>312</v>
      </c>
      <c r="M374" s="73">
        <v>1</v>
      </c>
      <c r="N374" s="74"/>
      <c r="O374" s="75"/>
      <c r="P374" s="76">
        <f>SUM(M374:O374)</f>
        <v>1</v>
      </c>
      <c r="Q374" s="77">
        <v>1</v>
      </c>
      <c r="R374" s="74"/>
      <c r="S374" s="78"/>
      <c r="T374" s="76">
        <f>SUM(Q374:S374)</f>
        <v>1</v>
      </c>
      <c r="U374" s="48">
        <f>P374+T374</f>
        <v>2</v>
      </c>
      <c r="V374" s="99">
        <v>44212</v>
      </c>
    </row>
    <row r="375" spans="1:22" x14ac:dyDescent="0.15">
      <c r="A375" s="25" t="s">
        <v>52</v>
      </c>
      <c r="B375" s="8"/>
      <c r="C375" s="9"/>
      <c r="D375" s="52">
        <v>1</v>
      </c>
      <c r="E375" s="11">
        <f>SUM(B375:D375)</f>
        <v>1</v>
      </c>
      <c r="F375" s="12"/>
      <c r="G375" s="9"/>
      <c r="H375" s="10">
        <v>1</v>
      </c>
      <c r="I375" s="11">
        <f>SUM(F375:H375)</f>
        <v>1</v>
      </c>
      <c r="J375" s="11">
        <f>E375+I375</f>
        <v>2</v>
      </c>
      <c r="K375" s="64">
        <v>44224</v>
      </c>
      <c r="L375" s="25" t="s">
        <v>312</v>
      </c>
      <c r="M375" s="17"/>
      <c r="N375" s="18"/>
      <c r="O375" s="51">
        <v>1</v>
      </c>
      <c r="P375" s="49">
        <f t="shared" ref="P375:P381" si="317">SUM(M375:O375)</f>
        <v>1</v>
      </c>
      <c r="Q375" s="17"/>
      <c r="R375" s="18"/>
      <c r="S375" s="51">
        <v>1</v>
      </c>
      <c r="T375" s="49">
        <f t="shared" ref="T375:T381" si="318">SUM(Q375:S375)</f>
        <v>1</v>
      </c>
      <c r="U375" s="11">
        <f t="shared" ref="U375:U381" si="319">P375+T375</f>
        <v>2</v>
      </c>
      <c r="V375" s="98">
        <v>44226</v>
      </c>
    </row>
    <row r="376" spans="1:22" x14ac:dyDescent="0.15">
      <c r="A376" s="25"/>
      <c r="B376" s="17"/>
      <c r="C376" s="18"/>
      <c r="D376" s="51"/>
      <c r="E376" s="11">
        <f t="shared" ref="E376:E381" si="320">SUM(B376:D376)</f>
        <v>0</v>
      </c>
      <c r="F376" s="20"/>
      <c r="G376" s="18"/>
      <c r="H376" s="19"/>
      <c r="I376" s="11">
        <f t="shared" ref="I376:I381" si="321">SUM(F376:H376)</f>
        <v>0</v>
      </c>
      <c r="J376" s="11">
        <f t="shared" ref="J376:J381" si="322">E376+I376</f>
        <v>0</v>
      </c>
      <c r="L376" s="25" t="s">
        <v>9</v>
      </c>
      <c r="M376" s="17"/>
      <c r="N376" s="18"/>
      <c r="O376" s="51"/>
      <c r="P376" s="11">
        <f t="shared" si="317"/>
        <v>0</v>
      </c>
      <c r="Q376" s="20"/>
      <c r="R376" s="18"/>
      <c r="S376" s="19"/>
      <c r="T376" s="11">
        <f t="shared" si="318"/>
        <v>0</v>
      </c>
      <c r="U376" s="11">
        <f t="shared" si="319"/>
        <v>0</v>
      </c>
    </row>
    <row r="377" spans="1:22" x14ac:dyDescent="0.15">
      <c r="A377" s="25"/>
      <c r="B377" s="8"/>
      <c r="C377" s="9"/>
      <c r="D377" s="52"/>
      <c r="E377" s="11">
        <f t="shared" si="320"/>
        <v>0</v>
      </c>
      <c r="F377" s="12"/>
      <c r="G377" s="9"/>
      <c r="H377" s="10"/>
      <c r="I377" s="11">
        <f t="shared" si="321"/>
        <v>0</v>
      </c>
      <c r="J377" s="11">
        <f t="shared" si="322"/>
        <v>0</v>
      </c>
      <c r="L377" s="25" t="s">
        <v>10</v>
      </c>
      <c r="M377" s="8"/>
      <c r="N377" s="9"/>
      <c r="O377" s="52"/>
      <c r="P377" s="11">
        <f t="shared" si="317"/>
        <v>0</v>
      </c>
      <c r="Q377" s="12"/>
      <c r="R377" s="9"/>
      <c r="S377" s="10"/>
      <c r="T377" s="11">
        <f t="shared" si="318"/>
        <v>0</v>
      </c>
      <c r="U377" s="11">
        <f t="shared" si="319"/>
        <v>0</v>
      </c>
    </row>
    <row r="378" spans="1:22" x14ac:dyDescent="0.15">
      <c r="A378" s="25"/>
      <c r="B378" s="8"/>
      <c r="C378" s="9"/>
      <c r="D378" s="52"/>
      <c r="E378" s="11">
        <f t="shared" si="320"/>
        <v>0</v>
      </c>
      <c r="F378" s="12"/>
      <c r="G378" s="9"/>
      <c r="H378" s="10"/>
      <c r="I378" s="11">
        <f t="shared" si="321"/>
        <v>0</v>
      </c>
      <c r="J378" s="11">
        <f t="shared" si="322"/>
        <v>0</v>
      </c>
      <c r="L378" s="25" t="s">
        <v>11</v>
      </c>
      <c r="M378" s="8"/>
      <c r="N378" s="9"/>
      <c r="O378" s="52"/>
      <c r="P378" s="11">
        <f t="shared" si="317"/>
        <v>0</v>
      </c>
      <c r="Q378" s="12"/>
      <c r="R378" s="9"/>
      <c r="S378" s="10"/>
      <c r="T378" s="11">
        <f t="shared" si="318"/>
        <v>0</v>
      </c>
      <c r="U378" s="11">
        <f t="shared" si="319"/>
        <v>0</v>
      </c>
      <c r="V378" s="98"/>
    </row>
    <row r="379" spans="1:22" x14ac:dyDescent="0.15">
      <c r="A379" s="25"/>
      <c r="B379" s="8"/>
      <c r="C379" s="9"/>
      <c r="D379" s="52"/>
      <c r="E379" s="11">
        <f t="shared" si="320"/>
        <v>0</v>
      </c>
      <c r="F379" s="12"/>
      <c r="G379" s="9"/>
      <c r="H379" s="10"/>
      <c r="I379" s="11">
        <f t="shared" si="321"/>
        <v>0</v>
      </c>
      <c r="J379" s="11">
        <f t="shared" si="322"/>
        <v>0</v>
      </c>
      <c r="L379" s="25" t="s">
        <v>12</v>
      </c>
      <c r="M379" s="17"/>
      <c r="N379" s="18"/>
      <c r="O379" s="51"/>
      <c r="P379" s="49">
        <f t="shared" si="317"/>
        <v>0</v>
      </c>
      <c r="Q379" s="17"/>
      <c r="R379" s="18"/>
      <c r="S379" s="51"/>
      <c r="T379" s="49">
        <f t="shared" si="318"/>
        <v>0</v>
      </c>
      <c r="U379" s="11">
        <f t="shared" si="319"/>
        <v>0</v>
      </c>
      <c r="V379" s="99"/>
    </row>
    <row r="380" spans="1:22" x14ac:dyDescent="0.15">
      <c r="A380" s="25"/>
      <c r="B380" s="13"/>
      <c r="C380" s="14"/>
      <c r="D380" s="53"/>
      <c r="E380" s="11">
        <f t="shared" si="320"/>
        <v>0</v>
      </c>
      <c r="F380" s="16"/>
      <c r="G380" s="14"/>
      <c r="H380" s="15"/>
      <c r="I380" s="11">
        <f t="shared" si="321"/>
        <v>0</v>
      </c>
      <c r="J380" s="11">
        <f t="shared" si="322"/>
        <v>0</v>
      </c>
      <c r="L380" s="25" t="s">
        <v>13</v>
      </c>
      <c r="M380" s="13"/>
      <c r="N380" s="14"/>
      <c r="O380" s="53"/>
      <c r="P380" s="11">
        <f t="shared" si="317"/>
        <v>0</v>
      </c>
      <c r="Q380" s="16"/>
      <c r="R380" s="14"/>
      <c r="S380" s="15"/>
      <c r="T380" s="11">
        <f t="shared" si="318"/>
        <v>0</v>
      </c>
      <c r="U380" s="11">
        <f t="shared" si="319"/>
        <v>0</v>
      </c>
    </row>
    <row r="381" spans="1:22" ht="14.25" thickBot="1" x14ac:dyDescent="0.2">
      <c r="A381" s="25"/>
      <c r="B381" s="32"/>
      <c r="C381" s="33"/>
      <c r="D381" s="54"/>
      <c r="E381" s="61">
        <f t="shared" si="320"/>
        <v>0</v>
      </c>
      <c r="F381" s="34"/>
      <c r="G381" s="34"/>
      <c r="H381" s="37"/>
      <c r="I381" s="61">
        <f t="shared" si="321"/>
        <v>0</v>
      </c>
      <c r="J381" s="21">
        <f t="shared" si="322"/>
        <v>0</v>
      </c>
      <c r="L381" s="25" t="s">
        <v>14</v>
      </c>
      <c r="M381" s="32"/>
      <c r="N381" s="33"/>
      <c r="O381" s="54"/>
      <c r="P381" s="61">
        <f t="shared" si="317"/>
        <v>0</v>
      </c>
      <c r="Q381" s="34"/>
      <c r="R381" s="34"/>
      <c r="S381" s="37"/>
      <c r="T381" s="61">
        <f t="shared" si="318"/>
        <v>0</v>
      </c>
      <c r="U381" s="21">
        <f t="shared" si="319"/>
        <v>0</v>
      </c>
    </row>
    <row r="382" spans="1:22" ht="14.25" thickBot="1" x14ac:dyDescent="0.2">
      <c r="A382" s="35" t="s">
        <v>15</v>
      </c>
      <c r="B382" s="28">
        <f>SUM(B373:B381)</f>
        <v>4</v>
      </c>
      <c r="C382" s="29">
        <f>SUM(C373:C381)</f>
        <v>0</v>
      </c>
      <c r="D382" s="30">
        <f>SUM(D373:D381)</f>
        <v>2</v>
      </c>
      <c r="E382" s="31">
        <f>SUM(B382:D382)</f>
        <v>6</v>
      </c>
      <c r="F382" s="28">
        <f>SUM(F373:F381)</f>
        <v>4</v>
      </c>
      <c r="G382" s="29">
        <f>SUM(G373:G381)</f>
        <v>0</v>
      </c>
      <c r="H382" s="30">
        <f>SUM(H373:H381)</f>
        <v>2</v>
      </c>
      <c r="I382" s="31">
        <f>SUM(F382:H382)</f>
        <v>6</v>
      </c>
      <c r="J382" s="31">
        <f>E382+I382</f>
        <v>12</v>
      </c>
      <c r="L382" s="35" t="s">
        <v>15</v>
      </c>
      <c r="M382" s="28">
        <f>SUM(M373:M381)</f>
        <v>259</v>
      </c>
      <c r="N382" s="29">
        <f>SUM(N373:N381)</f>
        <v>287</v>
      </c>
      <c r="O382" s="30">
        <f>SUM(O373:O381)</f>
        <v>163</v>
      </c>
      <c r="P382" s="31">
        <f>SUM(M382:O382)</f>
        <v>709</v>
      </c>
      <c r="Q382" s="28">
        <f>SUM(Q373:Q381)</f>
        <v>259</v>
      </c>
      <c r="R382" s="29">
        <f>SUM(R373:R381)</f>
        <v>287</v>
      </c>
      <c r="S382" s="30">
        <f>SUM(S373:S381)</f>
        <v>163</v>
      </c>
      <c r="T382" s="31">
        <f>SUM(Q382:S382)</f>
        <v>709</v>
      </c>
      <c r="U382" s="31">
        <f>P382+T382</f>
        <v>1418</v>
      </c>
    </row>
    <row r="383" spans="1:22" x14ac:dyDescent="0.15">
      <c r="A383" s="26" t="s">
        <v>430</v>
      </c>
      <c r="B383" s="13">
        <v>1</v>
      </c>
      <c r="C383" s="14"/>
      <c r="D383" s="15"/>
      <c r="E383" s="49">
        <f>SUM(B383:D383)</f>
        <v>1</v>
      </c>
      <c r="F383" s="16">
        <v>1</v>
      </c>
      <c r="G383" s="14"/>
      <c r="H383" s="15"/>
      <c r="I383" s="49">
        <f>SUM(F383:H383)</f>
        <v>1</v>
      </c>
      <c r="J383" s="11">
        <f>E383+I383</f>
        <v>2</v>
      </c>
      <c r="K383" s="62">
        <v>44212</v>
      </c>
      <c r="L383" s="26" t="s">
        <v>419</v>
      </c>
      <c r="M383" s="8">
        <v>5</v>
      </c>
      <c r="N383" s="9">
        <v>6</v>
      </c>
      <c r="O383" s="52">
        <v>6</v>
      </c>
      <c r="P383" s="87">
        <f t="shared" ref="P383" si="323">SUM(M383:O383)</f>
        <v>17</v>
      </c>
      <c r="Q383" s="12">
        <v>5</v>
      </c>
      <c r="R383" s="9">
        <v>6</v>
      </c>
      <c r="S383" s="10">
        <v>6</v>
      </c>
      <c r="T383" s="49">
        <f t="shared" ref="T383" si="324">SUM(Q383:S383)</f>
        <v>17</v>
      </c>
      <c r="U383" s="11">
        <f t="shared" ref="U383" si="325">P383+T383</f>
        <v>34</v>
      </c>
      <c r="V383" s="98">
        <v>43835</v>
      </c>
    </row>
    <row r="384" spans="1:22" x14ac:dyDescent="0.15">
      <c r="A384" s="26" t="s">
        <v>430</v>
      </c>
      <c r="B384" s="8"/>
      <c r="C384" s="9"/>
      <c r="D384" s="10">
        <v>1</v>
      </c>
      <c r="E384" s="49">
        <f t="shared" ref="E384:E385" si="326">SUM(B384:D384)</f>
        <v>1</v>
      </c>
      <c r="F384" s="12"/>
      <c r="G384" s="9"/>
      <c r="H384" s="10">
        <v>1</v>
      </c>
      <c r="I384" s="49">
        <f t="shared" ref="I384:I385" si="327">SUM(F384:H384)</f>
        <v>1</v>
      </c>
      <c r="J384" s="11">
        <f t="shared" ref="J384:J385" si="328">E384+I384</f>
        <v>2</v>
      </c>
      <c r="K384" s="62">
        <v>44226</v>
      </c>
      <c r="L384" s="26" t="s">
        <v>422</v>
      </c>
      <c r="M384" s="94">
        <v>4</v>
      </c>
      <c r="N384" s="95">
        <v>2</v>
      </c>
      <c r="O384" s="96"/>
      <c r="P384" s="87">
        <f t="shared" ref="P384" si="329">SUM(M384:O384)</f>
        <v>6</v>
      </c>
      <c r="Q384" s="12">
        <v>4</v>
      </c>
      <c r="R384" s="9">
        <v>2</v>
      </c>
      <c r="S384" s="10"/>
      <c r="T384" s="49">
        <f t="shared" ref="T384" si="330">SUM(Q384:S384)</f>
        <v>6</v>
      </c>
      <c r="U384" s="11">
        <f t="shared" ref="U384" si="331">P384+T384</f>
        <v>12</v>
      </c>
      <c r="V384" s="98">
        <v>44203</v>
      </c>
    </row>
    <row r="385" spans="1:23" x14ac:dyDescent="0.15">
      <c r="A385" s="26"/>
      <c r="B385" s="8"/>
      <c r="C385" s="9"/>
      <c r="D385" s="10"/>
      <c r="E385" s="49">
        <f t="shared" si="326"/>
        <v>0</v>
      </c>
      <c r="F385" s="12"/>
      <c r="G385" s="9"/>
      <c r="H385" s="10"/>
      <c r="I385" s="49">
        <f t="shared" si="327"/>
        <v>0</v>
      </c>
      <c r="J385" s="11">
        <f t="shared" si="328"/>
        <v>0</v>
      </c>
      <c r="L385" s="26" t="s">
        <v>423</v>
      </c>
      <c r="M385" s="13">
        <v>21</v>
      </c>
      <c r="N385" s="14">
        <v>17</v>
      </c>
      <c r="O385" s="53"/>
      <c r="P385" s="87">
        <f>SUM(M385:O385)</f>
        <v>38</v>
      </c>
      <c r="Q385" s="16">
        <v>21</v>
      </c>
      <c r="R385" s="14">
        <v>17</v>
      </c>
      <c r="S385" s="15"/>
      <c r="T385" s="49">
        <f>SUM(Q385:S385)</f>
        <v>38</v>
      </c>
      <c r="U385" s="11">
        <f>P385+T385</f>
        <v>76</v>
      </c>
      <c r="V385" s="98">
        <v>44204</v>
      </c>
    </row>
    <row r="386" spans="1:23" x14ac:dyDescent="0.15">
      <c r="A386" s="26"/>
      <c r="B386" s="13"/>
      <c r="C386" s="14"/>
      <c r="D386" s="15"/>
      <c r="E386" s="49">
        <f>SUM(B386:D386)</f>
        <v>0</v>
      </c>
      <c r="F386" s="16"/>
      <c r="G386" s="14"/>
      <c r="H386" s="15"/>
      <c r="I386" s="49">
        <f>SUM(F386:H386)</f>
        <v>0</v>
      </c>
      <c r="J386" s="11">
        <f>E386+I386</f>
        <v>0</v>
      </c>
      <c r="L386" s="26" t="s">
        <v>424</v>
      </c>
      <c r="M386" s="8">
        <v>7</v>
      </c>
      <c r="N386" s="9">
        <v>3</v>
      </c>
      <c r="O386" s="52">
        <v>17</v>
      </c>
      <c r="P386" s="87">
        <f t="shared" ref="P386:P397" si="332">SUM(M386:O386)</f>
        <v>27</v>
      </c>
      <c r="Q386" s="12">
        <v>7</v>
      </c>
      <c r="R386" s="9">
        <v>3</v>
      </c>
      <c r="S386" s="10">
        <v>17</v>
      </c>
      <c r="T386" s="49">
        <f t="shared" ref="T386:T397" si="333">SUM(Q386:S386)</f>
        <v>27</v>
      </c>
      <c r="U386" s="11">
        <f t="shared" ref="U386:U397" si="334">P386+T386</f>
        <v>54</v>
      </c>
      <c r="V386" s="98">
        <v>44205</v>
      </c>
    </row>
    <row r="387" spans="1:23" x14ac:dyDescent="0.15">
      <c r="A387" s="26"/>
      <c r="B387" s="8"/>
      <c r="C387" s="9"/>
      <c r="D387" s="10"/>
      <c r="E387" s="49">
        <f t="shared" ref="E387:E407" si="335">SUM(B387:D387)</f>
        <v>0</v>
      </c>
      <c r="F387" s="12"/>
      <c r="G387" s="9"/>
      <c r="H387" s="10"/>
      <c r="I387" s="49">
        <f t="shared" ref="I387:I407" si="336">SUM(F387:H387)</f>
        <v>0</v>
      </c>
      <c r="J387" s="11">
        <f t="shared" ref="J387:J407" si="337">E387+I387</f>
        <v>0</v>
      </c>
      <c r="L387" s="26" t="s">
        <v>425</v>
      </c>
      <c r="M387" s="8">
        <v>11</v>
      </c>
      <c r="N387" s="9">
        <v>14</v>
      </c>
      <c r="O387" s="52">
        <v>6</v>
      </c>
      <c r="P387" s="87">
        <f t="shared" si="332"/>
        <v>31</v>
      </c>
      <c r="Q387" s="12">
        <v>11</v>
      </c>
      <c r="R387" s="9">
        <v>14</v>
      </c>
      <c r="S387" s="10">
        <v>6</v>
      </c>
      <c r="T387" s="49">
        <f t="shared" si="333"/>
        <v>31</v>
      </c>
      <c r="U387" s="11">
        <f t="shared" si="334"/>
        <v>62</v>
      </c>
      <c r="V387" s="98">
        <v>44209</v>
      </c>
    </row>
    <row r="388" spans="1:23" x14ac:dyDescent="0.15">
      <c r="A388" s="26"/>
      <c r="B388" s="8"/>
      <c r="C388" s="9"/>
      <c r="D388" s="10"/>
      <c r="E388" s="49">
        <f t="shared" si="335"/>
        <v>0</v>
      </c>
      <c r="F388" s="12"/>
      <c r="G388" s="9"/>
      <c r="H388" s="10"/>
      <c r="I388" s="49">
        <f t="shared" si="336"/>
        <v>0</v>
      </c>
      <c r="J388" s="11">
        <f t="shared" si="337"/>
        <v>0</v>
      </c>
      <c r="L388" s="26" t="s">
        <v>426</v>
      </c>
      <c r="M388" s="8">
        <v>8</v>
      </c>
      <c r="N388" s="9">
        <v>10</v>
      </c>
      <c r="O388" s="52">
        <v>3</v>
      </c>
      <c r="P388" s="87">
        <f t="shared" si="332"/>
        <v>21</v>
      </c>
      <c r="Q388" s="12">
        <v>8</v>
      </c>
      <c r="R388" s="9">
        <v>10</v>
      </c>
      <c r="S388" s="10">
        <v>3</v>
      </c>
      <c r="T388" s="49">
        <f t="shared" si="333"/>
        <v>21</v>
      </c>
      <c r="U388" s="11">
        <f t="shared" si="334"/>
        <v>42</v>
      </c>
      <c r="V388" s="98">
        <v>44210</v>
      </c>
    </row>
    <row r="389" spans="1:23" x14ac:dyDescent="0.15">
      <c r="A389" s="26"/>
      <c r="B389" s="8"/>
      <c r="C389" s="9"/>
      <c r="D389" s="10"/>
      <c r="E389" s="49">
        <f t="shared" si="335"/>
        <v>0</v>
      </c>
      <c r="F389" s="12"/>
      <c r="G389" s="9"/>
      <c r="H389" s="10"/>
      <c r="I389" s="49">
        <f t="shared" si="336"/>
        <v>0</v>
      </c>
      <c r="J389" s="11">
        <f t="shared" si="337"/>
        <v>0</v>
      </c>
      <c r="L389" s="26" t="s">
        <v>428</v>
      </c>
      <c r="M389" s="8">
        <v>2</v>
      </c>
      <c r="N389" s="9">
        <v>6</v>
      </c>
      <c r="O389" s="52">
        <v>2</v>
      </c>
      <c r="P389" s="87">
        <f t="shared" si="332"/>
        <v>10</v>
      </c>
      <c r="Q389" s="12">
        <v>2</v>
      </c>
      <c r="R389" s="9">
        <v>6</v>
      </c>
      <c r="S389" s="10">
        <v>2</v>
      </c>
      <c r="T389" s="49">
        <f t="shared" si="333"/>
        <v>10</v>
      </c>
      <c r="U389" s="11">
        <f t="shared" si="334"/>
        <v>20</v>
      </c>
      <c r="V389" s="98">
        <v>44212</v>
      </c>
    </row>
    <row r="390" spans="1:23" x14ac:dyDescent="0.15">
      <c r="A390" s="26"/>
      <c r="B390" s="8"/>
      <c r="C390" s="9"/>
      <c r="D390" s="10"/>
      <c r="E390" s="49">
        <f t="shared" si="335"/>
        <v>0</v>
      </c>
      <c r="F390" s="12"/>
      <c r="G390" s="9"/>
      <c r="H390" s="10"/>
      <c r="I390" s="49">
        <f t="shared" si="336"/>
        <v>0</v>
      </c>
      <c r="J390" s="11">
        <f t="shared" si="337"/>
        <v>0</v>
      </c>
      <c r="L390" s="26" t="s">
        <v>429</v>
      </c>
      <c r="M390" s="8">
        <v>3</v>
      </c>
      <c r="N390" s="9">
        <v>7</v>
      </c>
      <c r="O390" s="52">
        <v>1</v>
      </c>
      <c r="P390" s="87">
        <f t="shared" si="332"/>
        <v>11</v>
      </c>
      <c r="Q390" s="12">
        <v>3</v>
      </c>
      <c r="R390" s="9">
        <v>7</v>
      </c>
      <c r="S390" s="10">
        <v>1</v>
      </c>
      <c r="T390" s="49">
        <f t="shared" si="333"/>
        <v>11</v>
      </c>
      <c r="U390" s="11">
        <f t="shared" si="334"/>
        <v>22</v>
      </c>
      <c r="V390" s="98">
        <v>44215</v>
      </c>
    </row>
    <row r="391" spans="1:23" x14ac:dyDescent="0.15">
      <c r="A391" s="26"/>
      <c r="B391" s="8"/>
      <c r="C391" s="9"/>
      <c r="D391" s="10"/>
      <c r="E391" s="49">
        <f t="shared" si="335"/>
        <v>0</v>
      </c>
      <c r="F391" s="12"/>
      <c r="G391" s="9"/>
      <c r="H391" s="10"/>
      <c r="I391" s="49">
        <f t="shared" si="336"/>
        <v>0</v>
      </c>
      <c r="J391" s="11">
        <f t="shared" si="337"/>
        <v>0</v>
      </c>
      <c r="L391" s="26" t="s">
        <v>431</v>
      </c>
      <c r="M391" s="8">
        <v>13</v>
      </c>
      <c r="N391" s="9">
        <v>2</v>
      </c>
      <c r="O391" s="52"/>
      <c r="P391" s="87">
        <f t="shared" si="332"/>
        <v>15</v>
      </c>
      <c r="Q391" s="12">
        <v>13</v>
      </c>
      <c r="R391" s="9">
        <v>2</v>
      </c>
      <c r="S391" s="10"/>
      <c r="T391" s="49">
        <f t="shared" si="333"/>
        <v>15</v>
      </c>
      <c r="U391" s="11">
        <f t="shared" si="334"/>
        <v>30</v>
      </c>
      <c r="V391" s="98">
        <v>44217</v>
      </c>
    </row>
    <row r="392" spans="1:23" x14ac:dyDescent="0.15">
      <c r="A392" s="26"/>
      <c r="B392" s="13"/>
      <c r="C392" s="14"/>
      <c r="D392" s="15"/>
      <c r="E392" s="49">
        <f t="shared" si="335"/>
        <v>0</v>
      </c>
      <c r="F392" s="16"/>
      <c r="G392" s="14"/>
      <c r="H392" s="15"/>
      <c r="I392" s="49">
        <f t="shared" si="336"/>
        <v>0</v>
      </c>
      <c r="J392" s="11">
        <f t="shared" si="337"/>
        <v>0</v>
      </c>
      <c r="L392" s="26" t="s">
        <v>432</v>
      </c>
      <c r="M392" s="13">
        <v>1</v>
      </c>
      <c r="N392" s="14">
        <v>5</v>
      </c>
      <c r="O392" s="53"/>
      <c r="P392" s="87">
        <f t="shared" si="332"/>
        <v>6</v>
      </c>
      <c r="Q392" s="16">
        <v>1</v>
      </c>
      <c r="R392" s="14">
        <v>5</v>
      </c>
      <c r="S392" s="15"/>
      <c r="T392" s="49">
        <f t="shared" si="333"/>
        <v>6</v>
      </c>
      <c r="U392" s="11">
        <f t="shared" si="334"/>
        <v>12</v>
      </c>
      <c r="V392" s="98">
        <v>44218</v>
      </c>
    </row>
    <row r="393" spans="1:23" x14ac:dyDescent="0.15">
      <c r="A393" s="26"/>
      <c r="B393" s="8"/>
      <c r="C393" s="9"/>
      <c r="D393" s="10"/>
      <c r="E393" s="49">
        <f t="shared" si="335"/>
        <v>0</v>
      </c>
      <c r="F393" s="12"/>
      <c r="G393" s="9"/>
      <c r="H393" s="10"/>
      <c r="I393" s="49">
        <f t="shared" si="336"/>
        <v>0</v>
      </c>
      <c r="J393" s="11">
        <f t="shared" si="337"/>
        <v>0</v>
      </c>
      <c r="L393" s="26" t="s">
        <v>433</v>
      </c>
      <c r="M393" s="8">
        <v>10</v>
      </c>
      <c r="N393" s="9">
        <v>4</v>
      </c>
      <c r="O393" s="52">
        <v>4</v>
      </c>
      <c r="P393" s="87">
        <f t="shared" si="332"/>
        <v>18</v>
      </c>
      <c r="Q393" s="12">
        <v>10</v>
      </c>
      <c r="R393" s="9">
        <v>4</v>
      </c>
      <c r="S393" s="10">
        <v>4</v>
      </c>
      <c r="T393" s="49">
        <f t="shared" si="333"/>
        <v>18</v>
      </c>
      <c r="U393" s="11">
        <f t="shared" si="334"/>
        <v>36</v>
      </c>
      <c r="V393" s="98">
        <v>44219</v>
      </c>
    </row>
    <row r="394" spans="1:23" x14ac:dyDescent="0.15">
      <c r="A394" s="26"/>
      <c r="B394" s="8"/>
      <c r="C394" s="9"/>
      <c r="D394" s="10"/>
      <c r="E394" s="49">
        <f t="shared" si="335"/>
        <v>0</v>
      </c>
      <c r="F394" s="12"/>
      <c r="G394" s="9"/>
      <c r="H394" s="10"/>
      <c r="I394" s="49">
        <f t="shared" si="336"/>
        <v>0</v>
      </c>
      <c r="J394" s="11">
        <f t="shared" si="337"/>
        <v>0</v>
      </c>
      <c r="L394" s="26" t="s">
        <v>434</v>
      </c>
      <c r="M394" s="8">
        <v>6</v>
      </c>
      <c r="N394" s="9">
        <v>5</v>
      </c>
      <c r="O394" s="52">
        <v>3</v>
      </c>
      <c r="P394" s="87">
        <f t="shared" si="332"/>
        <v>14</v>
      </c>
      <c r="Q394" s="12">
        <v>6</v>
      </c>
      <c r="R394" s="9">
        <v>5</v>
      </c>
      <c r="S394" s="10">
        <v>3</v>
      </c>
      <c r="T394" s="49">
        <f t="shared" si="333"/>
        <v>14</v>
      </c>
      <c r="U394" s="11">
        <f t="shared" si="334"/>
        <v>28</v>
      </c>
      <c r="V394" s="98">
        <v>44222</v>
      </c>
    </row>
    <row r="395" spans="1:23" x14ac:dyDescent="0.15">
      <c r="A395" s="26"/>
      <c r="B395" s="8"/>
      <c r="C395" s="9"/>
      <c r="D395" s="10"/>
      <c r="E395" s="49">
        <f t="shared" si="335"/>
        <v>0</v>
      </c>
      <c r="F395" s="12"/>
      <c r="G395" s="9"/>
      <c r="H395" s="10"/>
      <c r="I395" s="49">
        <f t="shared" si="336"/>
        <v>0</v>
      </c>
      <c r="J395" s="11">
        <f t="shared" si="337"/>
        <v>0</v>
      </c>
      <c r="L395" s="26" t="s">
        <v>435</v>
      </c>
      <c r="M395" s="8">
        <v>3</v>
      </c>
      <c r="N395" s="9">
        <v>2</v>
      </c>
      <c r="O395" s="52"/>
      <c r="P395" s="87">
        <f t="shared" si="332"/>
        <v>5</v>
      </c>
      <c r="Q395" s="12">
        <v>3</v>
      </c>
      <c r="R395" s="9">
        <v>2</v>
      </c>
      <c r="S395" s="10"/>
      <c r="T395" s="49">
        <f t="shared" si="333"/>
        <v>5</v>
      </c>
      <c r="U395" s="11">
        <f t="shared" si="334"/>
        <v>10</v>
      </c>
      <c r="V395" s="98">
        <v>44223</v>
      </c>
    </row>
    <row r="396" spans="1:23" x14ac:dyDescent="0.15">
      <c r="A396" s="26"/>
      <c r="B396" s="8"/>
      <c r="C396" s="9"/>
      <c r="D396" s="10"/>
      <c r="E396" s="49">
        <f t="shared" si="335"/>
        <v>0</v>
      </c>
      <c r="F396" s="12"/>
      <c r="G396" s="9"/>
      <c r="H396" s="10"/>
      <c r="I396" s="49">
        <f t="shared" si="336"/>
        <v>0</v>
      </c>
      <c r="J396" s="11">
        <f t="shared" si="337"/>
        <v>0</v>
      </c>
      <c r="L396" s="26" t="s">
        <v>436</v>
      </c>
      <c r="M396" s="8">
        <v>4</v>
      </c>
      <c r="N396" s="9">
        <v>9</v>
      </c>
      <c r="O396" s="52">
        <v>2</v>
      </c>
      <c r="P396" s="87">
        <f t="shared" si="332"/>
        <v>15</v>
      </c>
      <c r="Q396" s="12">
        <v>4</v>
      </c>
      <c r="R396" s="9">
        <v>9</v>
      </c>
      <c r="S396" s="10">
        <v>2</v>
      </c>
      <c r="T396" s="49">
        <f t="shared" si="333"/>
        <v>15</v>
      </c>
      <c r="U396" s="11">
        <f t="shared" si="334"/>
        <v>30</v>
      </c>
      <c r="V396" s="98">
        <v>44224</v>
      </c>
    </row>
    <row r="397" spans="1:23" x14ac:dyDescent="0.15">
      <c r="A397" s="26"/>
      <c r="B397" s="8"/>
      <c r="C397" s="9"/>
      <c r="D397" s="10"/>
      <c r="E397" s="49">
        <f t="shared" si="335"/>
        <v>0</v>
      </c>
      <c r="F397" s="12"/>
      <c r="G397" s="9"/>
      <c r="H397" s="10"/>
      <c r="I397" s="49">
        <f t="shared" si="336"/>
        <v>0</v>
      </c>
      <c r="J397" s="11">
        <f t="shared" si="337"/>
        <v>0</v>
      </c>
      <c r="L397" s="26" t="s">
        <v>437</v>
      </c>
      <c r="M397" s="8">
        <v>7</v>
      </c>
      <c r="N397" s="9">
        <v>19</v>
      </c>
      <c r="O397" s="52">
        <v>9</v>
      </c>
      <c r="P397" s="87">
        <f t="shared" si="332"/>
        <v>35</v>
      </c>
      <c r="Q397" s="12">
        <v>7</v>
      </c>
      <c r="R397" s="9">
        <v>19</v>
      </c>
      <c r="S397" s="10">
        <v>9</v>
      </c>
      <c r="T397" s="49">
        <f t="shared" si="333"/>
        <v>35</v>
      </c>
      <c r="U397" s="11">
        <f t="shared" si="334"/>
        <v>70</v>
      </c>
      <c r="V397" s="98">
        <v>44226</v>
      </c>
    </row>
    <row r="398" spans="1:23" x14ac:dyDescent="0.15">
      <c r="A398" s="26"/>
      <c r="B398" s="8"/>
      <c r="C398" s="9"/>
      <c r="D398" s="10"/>
      <c r="E398" s="49">
        <f t="shared" si="335"/>
        <v>0</v>
      </c>
      <c r="F398" s="12"/>
      <c r="G398" s="9"/>
      <c r="H398" s="10"/>
      <c r="I398" s="49">
        <f t="shared" si="336"/>
        <v>0</v>
      </c>
      <c r="J398" s="11">
        <f t="shared" si="337"/>
        <v>0</v>
      </c>
      <c r="L398" s="26" t="s">
        <v>438</v>
      </c>
      <c r="M398" s="13">
        <v>7</v>
      </c>
      <c r="N398" s="14">
        <v>6</v>
      </c>
      <c r="O398" s="53">
        <v>5</v>
      </c>
      <c r="P398" s="87">
        <f>SUM(M398:O398)</f>
        <v>18</v>
      </c>
      <c r="Q398" s="16">
        <v>7</v>
      </c>
      <c r="R398" s="14">
        <v>6</v>
      </c>
      <c r="S398" s="15">
        <v>5</v>
      </c>
      <c r="T398" s="49">
        <f>SUM(Q398:S398)</f>
        <v>18</v>
      </c>
      <c r="U398" s="11">
        <f>P398+T398</f>
        <v>36</v>
      </c>
      <c r="V398" s="98">
        <v>44229</v>
      </c>
    </row>
    <row r="399" spans="1:23" x14ac:dyDescent="0.15">
      <c r="A399" s="26"/>
      <c r="B399" s="8"/>
      <c r="C399" s="9"/>
      <c r="D399" s="10"/>
      <c r="E399" s="49">
        <f t="shared" si="335"/>
        <v>0</v>
      </c>
      <c r="F399" s="12"/>
      <c r="G399" s="9"/>
      <c r="H399" s="10"/>
      <c r="I399" s="49">
        <f t="shared" si="336"/>
        <v>0</v>
      </c>
      <c r="J399" s="11">
        <f t="shared" si="337"/>
        <v>0</v>
      </c>
      <c r="L399" s="26" t="s">
        <v>439</v>
      </c>
      <c r="M399" s="8">
        <v>4</v>
      </c>
      <c r="N399" s="9">
        <v>9</v>
      </c>
      <c r="O399" s="52">
        <v>4</v>
      </c>
      <c r="P399" s="87">
        <f t="shared" ref="P399:P401" si="338">SUM(M399:O399)</f>
        <v>17</v>
      </c>
      <c r="Q399" s="12">
        <v>4</v>
      </c>
      <c r="R399" s="9">
        <v>9</v>
      </c>
      <c r="S399" s="10">
        <v>4</v>
      </c>
      <c r="T399" s="49">
        <f t="shared" ref="T399:T401" si="339">SUM(Q399:S399)</f>
        <v>17</v>
      </c>
      <c r="U399" s="11">
        <f t="shared" ref="U399:U401" si="340">P399+T399</f>
        <v>34</v>
      </c>
      <c r="V399" s="98">
        <v>44230</v>
      </c>
    </row>
    <row r="400" spans="1:23" x14ac:dyDescent="0.15">
      <c r="A400" s="24"/>
      <c r="B400" s="8"/>
      <c r="C400" s="9"/>
      <c r="D400" s="10"/>
      <c r="E400" s="49">
        <f t="shared" si="335"/>
        <v>0</v>
      </c>
      <c r="F400" s="12"/>
      <c r="G400" s="9"/>
      <c r="H400" s="10"/>
      <c r="I400" s="49">
        <f t="shared" si="336"/>
        <v>0</v>
      </c>
      <c r="J400" s="11">
        <f t="shared" si="337"/>
        <v>0</v>
      </c>
      <c r="L400" s="26" t="s">
        <v>440</v>
      </c>
      <c r="M400" s="8">
        <v>2</v>
      </c>
      <c r="N400" s="9"/>
      <c r="O400" s="52">
        <v>5</v>
      </c>
      <c r="P400" s="87">
        <f t="shared" si="338"/>
        <v>7</v>
      </c>
      <c r="Q400" s="12">
        <v>2</v>
      </c>
      <c r="R400" s="9"/>
      <c r="S400" s="10">
        <v>5</v>
      </c>
      <c r="T400" s="49">
        <f t="shared" si="339"/>
        <v>7</v>
      </c>
      <c r="U400" s="11">
        <f t="shared" si="340"/>
        <v>14</v>
      </c>
      <c r="V400" s="98">
        <v>44231</v>
      </c>
      <c r="W400" s="66"/>
    </row>
    <row r="401" spans="1:22" x14ac:dyDescent="0.15">
      <c r="A401" s="25"/>
      <c r="B401" s="8"/>
      <c r="C401" s="9"/>
      <c r="D401" s="10"/>
      <c r="E401" s="49">
        <f t="shared" si="335"/>
        <v>0</v>
      </c>
      <c r="F401" s="12"/>
      <c r="G401" s="9"/>
      <c r="H401" s="10"/>
      <c r="I401" s="49">
        <f t="shared" si="336"/>
        <v>0</v>
      </c>
      <c r="J401" s="11">
        <f t="shared" si="337"/>
        <v>0</v>
      </c>
      <c r="L401" s="26" t="s">
        <v>441</v>
      </c>
      <c r="M401" s="8">
        <v>5</v>
      </c>
      <c r="N401" s="9">
        <v>1</v>
      </c>
      <c r="O401" s="52">
        <v>1</v>
      </c>
      <c r="P401" s="87">
        <f t="shared" si="338"/>
        <v>7</v>
      </c>
      <c r="Q401" s="12">
        <v>5</v>
      </c>
      <c r="R401" s="9">
        <v>1</v>
      </c>
      <c r="S401" s="10">
        <v>1</v>
      </c>
      <c r="T401" s="49">
        <f t="shared" si="339"/>
        <v>7</v>
      </c>
      <c r="U401" s="11">
        <f t="shared" si="340"/>
        <v>14</v>
      </c>
      <c r="V401" s="98">
        <v>44232</v>
      </c>
    </row>
    <row r="402" spans="1:22" x14ac:dyDescent="0.15">
      <c r="A402" s="26"/>
      <c r="B402" s="8"/>
      <c r="C402" s="9"/>
      <c r="D402" s="10"/>
      <c r="E402" s="49">
        <f t="shared" si="335"/>
        <v>0</v>
      </c>
      <c r="F402" s="12"/>
      <c r="G402" s="9"/>
      <c r="H402" s="10"/>
      <c r="I402" s="49">
        <f t="shared" si="336"/>
        <v>0</v>
      </c>
      <c r="J402" s="11">
        <f t="shared" si="337"/>
        <v>0</v>
      </c>
      <c r="L402" s="26" t="s">
        <v>442</v>
      </c>
      <c r="M402" s="13">
        <v>3</v>
      </c>
      <c r="N402" s="14"/>
      <c r="O402" s="53"/>
      <c r="P402" s="87">
        <f>SUM(M402:O402)</f>
        <v>3</v>
      </c>
      <c r="Q402" s="16">
        <v>3</v>
      </c>
      <c r="R402" s="14"/>
      <c r="S402" s="15"/>
      <c r="T402" s="49">
        <f>SUM(Q402:S402)</f>
        <v>3</v>
      </c>
      <c r="U402" s="11">
        <f>P402+T402</f>
        <v>6</v>
      </c>
      <c r="V402" s="98">
        <v>44233</v>
      </c>
    </row>
    <row r="403" spans="1:22" x14ac:dyDescent="0.15">
      <c r="A403" s="24"/>
      <c r="B403" s="8"/>
      <c r="C403" s="9"/>
      <c r="D403" s="10"/>
      <c r="E403" s="49">
        <f t="shared" si="335"/>
        <v>0</v>
      </c>
      <c r="F403" s="12"/>
      <c r="G403" s="9"/>
      <c r="H403" s="10"/>
      <c r="I403" s="49">
        <f t="shared" si="336"/>
        <v>0</v>
      </c>
      <c r="J403" s="11">
        <f t="shared" si="337"/>
        <v>0</v>
      </c>
      <c r="L403" s="26" t="s">
        <v>443</v>
      </c>
      <c r="M403" s="8">
        <v>4</v>
      </c>
      <c r="N403" s="9">
        <v>8</v>
      </c>
      <c r="O403" s="52">
        <v>1</v>
      </c>
      <c r="P403" s="87">
        <f t="shared" ref="P403:P409" si="341">SUM(M403:O403)</f>
        <v>13</v>
      </c>
      <c r="Q403" s="12">
        <v>4</v>
      </c>
      <c r="R403" s="9">
        <v>8</v>
      </c>
      <c r="S403" s="10">
        <v>1</v>
      </c>
      <c r="T403" s="49">
        <f t="shared" ref="T403:T409" si="342">SUM(Q403:S403)</f>
        <v>13</v>
      </c>
      <c r="U403" s="11">
        <f t="shared" ref="U403:U408" si="343">P403+T403</f>
        <v>26</v>
      </c>
      <c r="V403" s="98">
        <v>44236</v>
      </c>
    </row>
    <row r="404" spans="1:22" x14ac:dyDescent="0.15">
      <c r="B404" s="13"/>
      <c r="C404" s="14"/>
      <c r="D404" s="15"/>
      <c r="E404" s="49">
        <f t="shared" si="335"/>
        <v>0</v>
      </c>
      <c r="F404" s="16"/>
      <c r="G404" s="14"/>
      <c r="H404" s="15"/>
      <c r="I404" s="49">
        <f t="shared" si="336"/>
        <v>0</v>
      </c>
      <c r="J404" s="11">
        <f t="shared" si="337"/>
        <v>0</v>
      </c>
      <c r="L404" s="26" t="s">
        <v>444</v>
      </c>
      <c r="M404" s="8"/>
      <c r="N404" s="9">
        <v>1</v>
      </c>
      <c r="O404" s="52"/>
      <c r="P404" s="87">
        <f t="shared" si="341"/>
        <v>1</v>
      </c>
      <c r="Q404" s="12"/>
      <c r="R404" s="9">
        <v>1</v>
      </c>
      <c r="S404" s="10"/>
      <c r="T404" s="49">
        <f t="shared" si="342"/>
        <v>1</v>
      </c>
      <c r="U404" s="11">
        <f t="shared" si="343"/>
        <v>2</v>
      </c>
      <c r="V404" s="98">
        <v>44245</v>
      </c>
    </row>
    <row r="405" spans="1:22" x14ac:dyDescent="0.15">
      <c r="A405" s="26"/>
      <c r="B405" s="8"/>
      <c r="C405" s="9"/>
      <c r="D405" s="10"/>
      <c r="E405" s="49">
        <f t="shared" si="335"/>
        <v>0</v>
      </c>
      <c r="F405" s="12"/>
      <c r="G405" s="9"/>
      <c r="H405" s="10"/>
      <c r="I405" s="49">
        <f t="shared" si="336"/>
        <v>0</v>
      </c>
      <c r="J405" s="11">
        <f t="shared" si="337"/>
        <v>0</v>
      </c>
      <c r="L405" s="26"/>
      <c r="M405" s="8"/>
      <c r="N405" s="9"/>
      <c r="O405" s="52"/>
      <c r="P405" s="87">
        <f t="shared" ref="P405" si="344">SUM(M405:O405)</f>
        <v>0</v>
      </c>
      <c r="Q405" s="12"/>
      <c r="R405" s="9"/>
      <c r="S405" s="10"/>
      <c r="T405" s="49">
        <f t="shared" ref="T405" si="345">SUM(Q405:S405)</f>
        <v>0</v>
      </c>
      <c r="U405" s="11">
        <f t="shared" ref="U405" si="346">P405+T405</f>
        <v>0</v>
      </c>
      <c r="V405" s="100"/>
    </row>
    <row r="406" spans="1:22" x14ac:dyDescent="0.15">
      <c r="A406" s="26"/>
      <c r="B406" s="8"/>
      <c r="C406" s="9"/>
      <c r="D406" s="10"/>
      <c r="E406" s="49">
        <f t="shared" si="335"/>
        <v>0</v>
      </c>
      <c r="F406" s="12"/>
      <c r="G406" s="9"/>
      <c r="H406" s="10"/>
      <c r="I406" s="49">
        <f t="shared" si="336"/>
        <v>0</v>
      </c>
      <c r="J406" s="11">
        <f t="shared" si="337"/>
        <v>0</v>
      </c>
      <c r="L406" s="111" t="s">
        <v>413</v>
      </c>
      <c r="M406" s="8"/>
      <c r="N406" s="9"/>
      <c r="O406" s="52"/>
      <c r="P406" s="87">
        <f t="shared" ref="P406:P407" si="347">SUM(M406:O406)</f>
        <v>0</v>
      </c>
      <c r="Q406" s="12"/>
      <c r="R406" s="9"/>
      <c r="S406" s="10"/>
      <c r="T406" s="49">
        <f t="shared" ref="T406:T407" si="348">SUM(Q406:S406)</f>
        <v>0</v>
      </c>
      <c r="U406" s="11">
        <f t="shared" ref="U406:U407" si="349">P406+T406</f>
        <v>0</v>
      </c>
      <c r="V406" s="100" t="s">
        <v>414</v>
      </c>
    </row>
    <row r="407" spans="1:22" x14ac:dyDescent="0.15">
      <c r="A407" s="26"/>
      <c r="B407" s="8"/>
      <c r="C407" s="9"/>
      <c r="D407" s="10"/>
      <c r="E407" s="49">
        <f t="shared" si="335"/>
        <v>0</v>
      </c>
      <c r="F407" s="12"/>
      <c r="G407" s="9"/>
      <c r="H407" s="10"/>
      <c r="I407" s="49">
        <f t="shared" si="336"/>
        <v>0</v>
      </c>
      <c r="J407" s="11">
        <f t="shared" si="337"/>
        <v>0</v>
      </c>
      <c r="L407" s="86" t="s">
        <v>404</v>
      </c>
      <c r="M407" s="8"/>
      <c r="N407" s="9"/>
      <c r="O407" s="52"/>
      <c r="P407" s="87">
        <f t="shared" si="347"/>
        <v>0</v>
      </c>
      <c r="Q407" s="12"/>
      <c r="R407" s="9"/>
      <c r="S407" s="10"/>
      <c r="T407" s="49">
        <f t="shared" si="348"/>
        <v>0</v>
      </c>
      <c r="U407" s="11">
        <f t="shared" si="349"/>
        <v>0</v>
      </c>
      <c r="V407" s="100" t="s">
        <v>405</v>
      </c>
    </row>
    <row r="408" spans="1:22" ht="14.25" thickBot="1" x14ac:dyDescent="0.2">
      <c r="A408" s="23"/>
      <c r="B408" s="13"/>
      <c r="C408" s="14"/>
      <c r="D408" s="15"/>
      <c r="E408" s="49">
        <f>SUM(B408:D408)</f>
        <v>0</v>
      </c>
      <c r="F408" s="16"/>
      <c r="G408" s="14"/>
      <c r="H408" s="15"/>
      <c r="I408" s="49">
        <f>SUM(F408:H408)</f>
        <v>0</v>
      </c>
      <c r="J408" s="11">
        <f>E408+I408</f>
        <v>0</v>
      </c>
      <c r="L408" s="110" t="s">
        <v>388</v>
      </c>
      <c r="M408" s="8"/>
      <c r="N408" s="9"/>
      <c r="O408" s="52"/>
      <c r="P408" s="87">
        <f t="shared" si="341"/>
        <v>0</v>
      </c>
      <c r="Q408" s="12"/>
      <c r="R408" s="9"/>
      <c r="S408" s="10"/>
      <c r="T408" s="49">
        <f t="shared" si="342"/>
        <v>0</v>
      </c>
      <c r="U408" s="11">
        <f t="shared" si="343"/>
        <v>0</v>
      </c>
      <c r="V408" s="100" t="s">
        <v>197</v>
      </c>
    </row>
    <row r="409" spans="1:22" ht="14.25" thickBot="1" x14ac:dyDescent="0.2">
      <c r="A409" s="41" t="s">
        <v>17</v>
      </c>
      <c r="B409" s="46">
        <f>SUM(B383:B408)</f>
        <v>1</v>
      </c>
      <c r="C409" s="47">
        <f t="shared" ref="C409:D409" si="350">SUM(C383:C408)</f>
        <v>0</v>
      </c>
      <c r="D409" s="58">
        <f t="shared" si="350"/>
        <v>1</v>
      </c>
      <c r="E409" s="45">
        <f t="shared" ref="E409" si="351">SUM(B409:D409)</f>
        <v>2</v>
      </c>
      <c r="F409" s="46">
        <f>SUM(F383:F408)</f>
        <v>1</v>
      </c>
      <c r="G409" s="47">
        <f t="shared" ref="G409:H409" si="352">SUM(G383:G408)</f>
        <v>0</v>
      </c>
      <c r="H409" s="58">
        <f t="shared" si="352"/>
        <v>1</v>
      </c>
      <c r="I409" s="45">
        <f t="shared" ref="I409" si="353">SUM(F409:H409)</f>
        <v>2</v>
      </c>
      <c r="J409" s="45">
        <f>E409+I409</f>
        <v>4</v>
      </c>
      <c r="L409" s="41" t="s">
        <v>17</v>
      </c>
      <c r="M409" s="46">
        <f>SUM(M383:M408)</f>
        <v>130</v>
      </c>
      <c r="N409" s="47">
        <f t="shared" ref="N409:O409" si="354">SUM(N383:N408)</f>
        <v>136</v>
      </c>
      <c r="O409" s="58">
        <f t="shared" si="354"/>
        <v>69</v>
      </c>
      <c r="P409" s="45">
        <f t="shared" si="341"/>
        <v>335</v>
      </c>
      <c r="Q409" s="46">
        <f>SUM(Q383:Q408)</f>
        <v>130</v>
      </c>
      <c r="R409" s="47">
        <f t="shared" ref="R409:S409" si="355">SUM(R383:R408)</f>
        <v>136</v>
      </c>
      <c r="S409" s="58">
        <f t="shared" si="355"/>
        <v>69</v>
      </c>
      <c r="T409" s="45">
        <f t="shared" si="342"/>
        <v>335</v>
      </c>
      <c r="U409" s="45">
        <f>P409+T409</f>
        <v>670</v>
      </c>
    </row>
    <row r="410" spans="1:22" ht="14.25" thickBot="1" x14ac:dyDescent="0.2">
      <c r="A410" s="22" t="s">
        <v>16</v>
      </c>
      <c r="B410" s="50">
        <f>B382-B409</f>
        <v>3</v>
      </c>
      <c r="C410" s="56">
        <f t="shared" ref="C410:D410" si="356">C382-C409</f>
        <v>0</v>
      </c>
      <c r="D410" s="57">
        <f t="shared" si="356"/>
        <v>1</v>
      </c>
      <c r="E410" s="55">
        <f>SUM(B410:D410)</f>
        <v>4</v>
      </c>
      <c r="F410" s="50">
        <f>F382-F409</f>
        <v>3</v>
      </c>
      <c r="G410" s="56">
        <f t="shared" ref="G410:H410" si="357">G382-G409</f>
        <v>0</v>
      </c>
      <c r="H410" s="57">
        <f t="shared" si="357"/>
        <v>1</v>
      </c>
      <c r="I410" s="55">
        <f>SUM(F410:H410)</f>
        <v>4</v>
      </c>
      <c r="J410" s="31">
        <f>E410+I410</f>
        <v>8</v>
      </c>
      <c r="L410" s="22" t="s">
        <v>16</v>
      </c>
      <c r="M410" s="50">
        <f>M382-M409</f>
        <v>129</v>
      </c>
      <c r="N410" s="56">
        <f t="shared" ref="N410:O410" si="358">N382-N409</f>
        <v>151</v>
      </c>
      <c r="O410" s="57">
        <f t="shared" si="358"/>
        <v>94</v>
      </c>
      <c r="P410" s="55">
        <f>SUM(M410:O410)</f>
        <v>374</v>
      </c>
      <c r="Q410" s="50">
        <f>Q382-Q409</f>
        <v>129</v>
      </c>
      <c r="R410" s="56">
        <f t="shared" ref="R410:S410" si="359">R382-R409</f>
        <v>151</v>
      </c>
      <c r="S410" s="57">
        <f t="shared" si="359"/>
        <v>94</v>
      </c>
      <c r="T410" s="55">
        <f>SUM(Q410:S410)</f>
        <v>374</v>
      </c>
      <c r="U410" s="31">
        <f>P410+T410</f>
        <v>748</v>
      </c>
    </row>
    <row r="411" spans="1:22" ht="19.5" thickBot="1" x14ac:dyDescent="0.25">
      <c r="A411" s="3" t="s">
        <v>18</v>
      </c>
      <c r="B411" s="1"/>
      <c r="C411" s="1"/>
      <c r="D411" s="1"/>
      <c r="E411" s="1"/>
      <c r="F411" s="1"/>
      <c r="G411" s="1"/>
      <c r="H411" s="1"/>
      <c r="I411" s="1"/>
      <c r="J411" s="1"/>
      <c r="L411" s="3"/>
      <c r="M411" s="1">
        <f>M409+M368+M327</f>
        <v>274</v>
      </c>
      <c r="N411" s="1">
        <f t="shared" ref="N411:T411" si="360">N409+N368+N327</f>
        <v>296</v>
      </c>
      <c r="O411" s="1">
        <f t="shared" si="360"/>
        <v>177</v>
      </c>
      <c r="P411" s="1">
        <f t="shared" si="360"/>
        <v>747</v>
      </c>
      <c r="Q411" s="1">
        <f t="shared" si="360"/>
        <v>274</v>
      </c>
      <c r="R411" s="1">
        <f t="shared" si="360"/>
        <v>296</v>
      </c>
      <c r="S411" s="1">
        <f t="shared" si="360"/>
        <v>177</v>
      </c>
      <c r="T411" s="1">
        <f t="shared" si="360"/>
        <v>747</v>
      </c>
      <c r="U411" s="1"/>
    </row>
    <row r="412" spans="1:22" ht="14.25" thickBot="1" x14ac:dyDescent="0.2">
      <c r="A412" s="7"/>
      <c r="B412" s="169" t="s">
        <v>22</v>
      </c>
      <c r="C412" s="170"/>
      <c r="D412" s="170"/>
      <c r="E412" s="171"/>
      <c r="F412" s="169" t="s">
        <v>23</v>
      </c>
      <c r="G412" s="170"/>
      <c r="H412" s="170"/>
      <c r="I412" s="171"/>
      <c r="J412" s="172" t="s">
        <v>0</v>
      </c>
      <c r="L412" s="7"/>
      <c r="M412" s="169" t="s">
        <v>22</v>
      </c>
      <c r="N412" s="170"/>
      <c r="O412" s="170"/>
      <c r="P412" s="171"/>
      <c r="Q412" s="169" t="s">
        <v>23</v>
      </c>
      <c r="R412" s="170"/>
      <c r="S412" s="170"/>
      <c r="T412" s="171"/>
      <c r="U412" s="172" t="s">
        <v>0</v>
      </c>
    </row>
    <row r="413" spans="1:22" ht="14.25" thickBot="1" x14ac:dyDescent="0.2">
      <c r="A413" s="7" t="s">
        <v>1</v>
      </c>
      <c r="B413" s="4" t="s">
        <v>2</v>
      </c>
      <c r="C413" s="5" t="s">
        <v>3</v>
      </c>
      <c r="D413" s="6" t="s">
        <v>4</v>
      </c>
      <c r="E413" s="7" t="s">
        <v>5</v>
      </c>
      <c r="F413" s="4" t="s">
        <v>2</v>
      </c>
      <c r="G413" s="5" t="s">
        <v>3</v>
      </c>
      <c r="H413" s="6" t="s">
        <v>4</v>
      </c>
      <c r="I413" s="7" t="s">
        <v>5</v>
      </c>
      <c r="J413" s="173"/>
      <c r="L413" s="7" t="s">
        <v>1</v>
      </c>
      <c r="M413" s="4" t="s">
        <v>2</v>
      </c>
      <c r="N413" s="5" t="s">
        <v>3</v>
      </c>
      <c r="O413" s="6" t="s">
        <v>4</v>
      </c>
      <c r="P413" s="7" t="s">
        <v>5</v>
      </c>
      <c r="Q413" s="4" t="s">
        <v>2</v>
      </c>
      <c r="R413" s="5" t="s">
        <v>3</v>
      </c>
      <c r="S413" s="6" t="s">
        <v>4</v>
      </c>
      <c r="T413" s="7" t="s">
        <v>5</v>
      </c>
      <c r="U413" s="173"/>
    </row>
    <row r="414" spans="1:22" ht="14.25" thickBot="1" x14ac:dyDescent="0.2">
      <c r="A414" s="27" t="s">
        <v>16</v>
      </c>
      <c r="B414" s="38">
        <f>B410</f>
        <v>3</v>
      </c>
      <c r="C414" s="39">
        <f>C410</f>
        <v>0</v>
      </c>
      <c r="D414" s="2">
        <f>D410</f>
        <v>1</v>
      </c>
      <c r="E414" s="36">
        <f>SUM(B414:D414)</f>
        <v>4</v>
      </c>
      <c r="F414" s="38">
        <f>F410</f>
        <v>3</v>
      </c>
      <c r="G414" s="39">
        <f>G410</f>
        <v>0</v>
      </c>
      <c r="H414" s="2">
        <f>H410</f>
        <v>1</v>
      </c>
      <c r="I414" s="36">
        <f>SUM(F414:H414)</f>
        <v>4</v>
      </c>
      <c r="J414" s="36">
        <f>E414+I414</f>
        <v>8</v>
      </c>
      <c r="L414" s="68" t="s">
        <v>16</v>
      </c>
      <c r="M414" s="42">
        <f>M410</f>
        <v>129</v>
      </c>
      <c r="N414" s="43">
        <f>N410</f>
        <v>151</v>
      </c>
      <c r="O414" s="60">
        <f>O410</f>
        <v>94</v>
      </c>
      <c r="P414" s="48">
        <f>SUM(M414:O414)</f>
        <v>374</v>
      </c>
      <c r="Q414" s="42">
        <f>Q410</f>
        <v>129</v>
      </c>
      <c r="R414" s="43">
        <f>R410</f>
        <v>151</v>
      </c>
      <c r="S414" s="60">
        <f>S410</f>
        <v>94</v>
      </c>
      <c r="T414" s="48">
        <f>SUM(Q414:S414)</f>
        <v>374</v>
      </c>
      <c r="U414" s="48">
        <f>P414+T414</f>
        <v>748</v>
      </c>
    </row>
    <row r="415" spans="1:22" x14ac:dyDescent="0.15">
      <c r="A415" s="25" t="s">
        <v>449</v>
      </c>
      <c r="B415" s="42"/>
      <c r="C415" s="43">
        <v>1</v>
      </c>
      <c r="D415" s="44"/>
      <c r="E415" s="48">
        <f>SUM(B415:D415)</f>
        <v>1</v>
      </c>
      <c r="F415" s="59"/>
      <c r="G415" s="43">
        <v>1</v>
      </c>
      <c r="H415" s="60"/>
      <c r="I415" s="48">
        <f>SUM(F415:H415)</f>
        <v>1</v>
      </c>
      <c r="J415" s="48">
        <f>E415+I415</f>
        <v>2</v>
      </c>
      <c r="K415" s="64">
        <v>44252</v>
      </c>
      <c r="L415" s="25" t="s">
        <v>312</v>
      </c>
      <c r="M415" s="73"/>
      <c r="N415" s="74">
        <v>1</v>
      </c>
      <c r="O415" s="75"/>
      <c r="P415" s="76">
        <f>SUM(M415:O415)</f>
        <v>1</v>
      </c>
      <c r="Q415" s="77"/>
      <c r="R415" s="74">
        <v>1</v>
      </c>
      <c r="S415" s="78"/>
      <c r="T415" s="76">
        <f>SUM(Q415:S415)</f>
        <v>1</v>
      </c>
      <c r="U415" s="48">
        <f>P415+T415</f>
        <v>2</v>
      </c>
      <c r="V415" s="99">
        <v>44259</v>
      </c>
    </row>
    <row r="416" spans="1:22" x14ac:dyDescent="0.15">
      <c r="A416" s="25" t="s">
        <v>52</v>
      </c>
      <c r="B416" s="8"/>
      <c r="C416" s="9">
        <v>1</v>
      </c>
      <c r="D416" s="52"/>
      <c r="E416" s="11">
        <f>SUM(B416:D416)</f>
        <v>1</v>
      </c>
      <c r="F416" s="12"/>
      <c r="G416" s="9">
        <v>1</v>
      </c>
      <c r="H416" s="10"/>
      <c r="I416" s="11">
        <f>SUM(F416:H416)</f>
        <v>1</v>
      </c>
      <c r="J416" s="11">
        <f>E416+I416</f>
        <v>2</v>
      </c>
      <c r="K416" s="64">
        <v>44266</v>
      </c>
      <c r="L416" s="25" t="s">
        <v>312</v>
      </c>
      <c r="M416" s="17"/>
      <c r="N416" s="18">
        <v>1</v>
      </c>
      <c r="O416" s="51"/>
      <c r="P416" s="49">
        <f t="shared" ref="P416:P422" si="361">SUM(M416:O416)</f>
        <v>1</v>
      </c>
      <c r="Q416" s="17"/>
      <c r="R416" s="18">
        <v>1</v>
      </c>
      <c r="S416" s="51"/>
      <c r="T416" s="49">
        <f t="shared" ref="T416:T422" si="362">SUM(Q416:S416)</f>
        <v>1</v>
      </c>
      <c r="U416" s="11">
        <f t="shared" ref="U416:U422" si="363">P416+T416</f>
        <v>2</v>
      </c>
      <c r="V416" s="98">
        <v>44271</v>
      </c>
    </row>
    <row r="417" spans="1:22" x14ac:dyDescent="0.15">
      <c r="A417" s="25"/>
      <c r="B417" s="17"/>
      <c r="C417" s="18"/>
      <c r="D417" s="51"/>
      <c r="E417" s="11">
        <f t="shared" ref="E417:E422" si="364">SUM(B417:D417)</f>
        <v>0</v>
      </c>
      <c r="F417" s="20"/>
      <c r="G417" s="18"/>
      <c r="H417" s="19"/>
      <c r="I417" s="11">
        <f t="shared" ref="I417:I422" si="365">SUM(F417:H417)</f>
        <v>0</v>
      </c>
      <c r="J417" s="11">
        <f t="shared" ref="J417:J422" si="366">E417+I417</f>
        <v>0</v>
      </c>
      <c r="L417" s="25" t="s">
        <v>9</v>
      </c>
      <c r="M417" s="17"/>
      <c r="N417" s="18"/>
      <c r="O417" s="51"/>
      <c r="P417" s="11">
        <f t="shared" si="361"/>
        <v>0</v>
      </c>
      <c r="Q417" s="20"/>
      <c r="R417" s="18"/>
      <c r="S417" s="19"/>
      <c r="T417" s="11">
        <f t="shared" si="362"/>
        <v>0</v>
      </c>
      <c r="U417" s="11">
        <f t="shared" si="363"/>
        <v>0</v>
      </c>
    </row>
    <row r="418" spans="1:22" x14ac:dyDescent="0.15">
      <c r="A418" s="25"/>
      <c r="B418" s="8"/>
      <c r="C418" s="9"/>
      <c r="D418" s="52"/>
      <c r="E418" s="11">
        <f t="shared" si="364"/>
        <v>0</v>
      </c>
      <c r="F418" s="12"/>
      <c r="G418" s="9"/>
      <c r="H418" s="10"/>
      <c r="I418" s="11">
        <f t="shared" si="365"/>
        <v>0</v>
      </c>
      <c r="J418" s="11">
        <f t="shared" si="366"/>
        <v>0</v>
      </c>
      <c r="L418" s="25" t="s">
        <v>10</v>
      </c>
      <c r="M418" s="8"/>
      <c r="N418" s="9"/>
      <c r="O418" s="52"/>
      <c r="P418" s="11">
        <f t="shared" si="361"/>
        <v>0</v>
      </c>
      <c r="Q418" s="12"/>
      <c r="R418" s="9"/>
      <c r="S418" s="10"/>
      <c r="T418" s="11">
        <f t="shared" si="362"/>
        <v>0</v>
      </c>
      <c r="U418" s="11">
        <f t="shared" si="363"/>
        <v>0</v>
      </c>
    </row>
    <row r="419" spans="1:22" x14ac:dyDescent="0.15">
      <c r="A419" s="25"/>
      <c r="B419" s="8"/>
      <c r="C419" s="9"/>
      <c r="D419" s="52"/>
      <c r="E419" s="11">
        <f t="shared" si="364"/>
        <v>0</v>
      </c>
      <c r="F419" s="12"/>
      <c r="G419" s="9"/>
      <c r="H419" s="10"/>
      <c r="I419" s="11">
        <f t="shared" si="365"/>
        <v>0</v>
      </c>
      <c r="J419" s="11">
        <f t="shared" si="366"/>
        <v>0</v>
      </c>
      <c r="L419" s="25" t="s">
        <v>11</v>
      </c>
      <c r="M419" s="8"/>
      <c r="N419" s="9"/>
      <c r="O419" s="52"/>
      <c r="P419" s="11">
        <f t="shared" si="361"/>
        <v>0</v>
      </c>
      <c r="Q419" s="12"/>
      <c r="R419" s="9"/>
      <c r="S419" s="10"/>
      <c r="T419" s="11">
        <f t="shared" si="362"/>
        <v>0</v>
      </c>
      <c r="U419" s="11">
        <f t="shared" si="363"/>
        <v>0</v>
      </c>
      <c r="V419" s="98"/>
    </row>
    <row r="420" spans="1:22" x14ac:dyDescent="0.15">
      <c r="A420" s="25"/>
      <c r="B420" s="8"/>
      <c r="C420" s="9"/>
      <c r="D420" s="52"/>
      <c r="E420" s="11">
        <f t="shared" si="364"/>
        <v>0</v>
      </c>
      <c r="F420" s="12"/>
      <c r="G420" s="9"/>
      <c r="H420" s="10"/>
      <c r="I420" s="11">
        <f t="shared" si="365"/>
        <v>0</v>
      </c>
      <c r="J420" s="11">
        <f t="shared" si="366"/>
        <v>0</v>
      </c>
      <c r="L420" s="25" t="s">
        <v>12</v>
      </c>
      <c r="M420" s="17"/>
      <c r="N420" s="18"/>
      <c r="O420" s="51"/>
      <c r="P420" s="49">
        <f t="shared" si="361"/>
        <v>0</v>
      </c>
      <c r="Q420" s="17"/>
      <c r="R420" s="18"/>
      <c r="S420" s="51"/>
      <c r="T420" s="49">
        <f t="shared" si="362"/>
        <v>0</v>
      </c>
      <c r="U420" s="11">
        <f t="shared" si="363"/>
        <v>0</v>
      </c>
      <c r="V420" s="99"/>
    </row>
    <row r="421" spans="1:22" x14ac:dyDescent="0.15">
      <c r="A421" s="25"/>
      <c r="B421" s="13"/>
      <c r="C421" s="14"/>
      <c r="D421" s="53"/>
      <c r="E421" s="11">
        <f t="shared" si="364"/>
        <v>0</v>
      </c>
      <c r="F421" s="16"/>
      <c r="G421" s="14"/>
      <c r="H421" s="15"/>
      <c r="I421" s="11">
        <f t="shared" si="365"/>
        <v>0</v>
      </c>
      <c r="J421" s="11">
        <f t="shared" si="366"/>
        <v>0</v>
      </c>
      <c r="L421" s="25" t="s">
        <v>13</v>
      </c>
      <c r="M421" s="13"/>
      <c r="N421" s="14"/>
      <c r="O421" s="53"/>
      <c r="P421" s="11">
        <f t="shared" si="361"/>
        <v>0</v>
      </c>
      <c r="Q421" s="16"/>
      <c r="R421" s="14"/>
      <c r="S421" s="15"/>
      <c r="T421" s="11">
        <f t="shared" si="362"/>
        <v>0</v>
      </c>
      <c r="U421" s="11">
        <f t="shared" si="363"/>
        <v>0</v>
      </c>
    </row>
    <row r="422" spans="1:22" ht="14.25" thickBot="1" x14ac:dyDescent="0.2">
      <c r="A422" s="25"/>
      <c r="B422" s="32"/>
      <c r="C422" s="33"/>
      <c r="D422" s="54"/>
      <c r="E422" s="61">
        <f t="shared" si="364"/>
        <v>0</v>
      </c>
      <c r="F422" s="34"/>
      <c r="G422" s="34"/>
      <c r="H422" s="37"/>
      <c r="I422" s="61">
        <f t="shared" si="365"/>
        <v>0</v>
      </c>
      <c r="J422" s="21">
        <f t="shared" si="366"/>
        <v>0</v>
      </c>
      <c r="L422" s="25" t="s">
        <v>14</v>
      </c>
      <c r="M422" s="32"/>
      <c r="N422" s="33"/>
      <c r="O422" s="54"/>
      <c r="P422" s="61">
        <f t="shared" si="361"/>
        <v>0</v>
      </c>
      <c r="Q422" s="34"/>
      <c r="R422" s="34"/>
      <c r="S422" s="37"/>
      <c r="T422" s="61">
        <f t="shared" si="362"/>
        <v>0</v>
      </c>
      <c r="U422" s="21">
        <f t="shared" si="363"/>
        <v>0</v>
      </c>
    </row>
    <row r="423" spans="1:22" ht="14.25" thickBot="1" x14ac:dyDescent="0.2">
      <c r="A423" s="35" t="s">
        <v>15</v>
      </c>
      <c r="B423" s="28">
        <f>SUM(B414:B422)</f>
        <v>3</v>
      </c>
      <c r="C423" s="29">
        <f>SUM(C414:C422)</f>
        <v>2</v>
      </c>
      <c r="D423" s="30">
        <f>SUM(D414:D422)</f>
        <v>1</v>
      </c>
      <c r="E423" s="31">
        <f>SUM(B423:D423)</f>
        <v>6</v>
      </c>
      <c r="F423" s="28">
        <f>SUM(F414:F422)</f>
        <v>3</v>
      </c>
      <c r="G423" s="29">
        <f>SUM(G414:G422)</f>
        <v>2</v>
      </c>
      <c r="H423" s="30">
        <f>SUM(H414:H422)</f>
        <v>1</v>
      </c>
      <c r="I423" s="31">
        <f>SUM(F423:H423)</f>
        <v>6</v>
      </c>
      <c r="J423" s="31">
        <f>E423+I423</f>
        <v>12</v>
      </c>
      <c r="L423" s="35" t="s">
        <v>15</v>
      </c>
      <c r="M423" s="28">
        <f>SUM(M414:M422)</f>
        <v>129</v>
      </c>
      <c r="N423" s="29">
        <f>SUM(N414:N422)</f>
        <v>153</v>
      </c>
      <c r="O423" s="30">
        <f>SUM(O414:O422)</f>
        <v>94</v>
      </c>
      <c r="P423" s="31">
        <f>SUM(M423:O423)</f>
        <v>376</v>
      </c>
      <c r="Q423" s="28">
        <f>SUM(Q414:Q422)</f>
        <v>129</v>
      </c>
      <c r="R423" s="29">
        <f>SUM(R414:R422)</f>
        <v>153</v>
      </c>
      <c r="S423" s="30">
        <f>SUM(S414:S422)</f>
        <v>94</v>
      </c>
      <c r="T423" s="31">
        <f>SUM(Q423:S423)</f>
        <v>376</v>
      </c>
      <c r="U423" s="31">
        <f>P423+T423</f>
        <v>752</v>
      </c>
    </row>
    <row r="424" spans="1:22" x14ac:dyDescent="0.15">
      <c r="A424" s="26" t="s">
        <v>452</v>
      </c>
      <c r="B424" s="13"/>
      <c r="C424" s="14">
        <v>1</v>
      </c>
      <c r="D424" s="15"/>
      <c r="E424" s="49">
        <f>SUM(B424:D424)</f>
        <v>1</v>
      </c>
      <c r="F424" s="16"/>
      <c r="G424" s="14">
        <v>1</v>
      </c>
      <c r="H424" s="15"/>
      <c r="I424" s="49">
        <f>SUM(F424:H424)</f>
        <v>1</v>
      </c>
      <c r="J424" s="11">
        <f>E424+I424</f>
        <v>2</v>
      </c>
      <c r="K424" s="62">
        <v>44259</v>
      </c>
      <c r="L424" s="26" t="s">
        <v>446</v>
      </c>
      <c r="M424" s="8">
        <v>4</v>
      </c>
      <c r="N424" s="9">
        <v>1</v>
      </c>
      <c r="O424" s="52">
        <v>4</v>
      </c>
      <c r="P424" s="87">
        <f t="shared" ref="P424:P425" si="367">SUM(M424:O424)</f>
        <v>9</v>
      </c>
      <c r="Q424" s="12">
        <v>4</v>
      </c>
      <c r="R424" s="9">
        <v>1</v>
      </c>
      <c r="S424" s="10">
        <v>4</v>
      </c>
      <c r="T424" s="49">
        <f t="shared" ref="T424:T425" si="368">SUM(Q424:S424)</f>
        <v>9</v>
      </c>
      <c r="U424" s="11">
        <f t="shared" ref="U424:U425" si="369">P424+T424</f>
        <v>18</v>
      </c>
      <c r="V424" s="98">
        <v>44246</v>
      </c>
    </row>
    <row r="425" spans="1:22" x14ac:dyDescent="0.15">
      <c r="A425" s="26" t="s">
        <v>456</v>
      </c>
      <c r="B425" s="8">
        <v>1</v>
      </c>
      <c r="C425" s="9"/>
      <c r="D425" s="10"/>
      <c r="E425" s="49">
        <f t="shared" ref="E425:E426" si="370">SUM(B425:D425)</f>
        <v>1</v>
      </c>
      <c r="F425" s="12">
        <v>1</v>
      </c>
      <c r="G425" s="9"/>
      <c r="H425" s="10"/>
      <c r="I425" s="49">
        <f t="shared" ref="I425:I426" si="371">SUM(F425:H425)</f>
        <v>1</v>
      </c>
      <c r="J425" s="11">
        <f t="shared" ref="J425:J426" si="372">E425+I425</f>
        <v>2</v>
      </c>
      <c r="K425" s="62">
        <v>44265</v>
      </c>
      <c r="L425" s="26" t="s">
        <v>448</v>
      </c>
      <c r="M425" s="94"/>
      <c r="N425" s="95"/>
      <c r="O425" s="96">
        <v>1</v>
      </c>
      <c r="P425" s="87">
        <f t="shared" si="367"/>
        <v>1</v>
      </c>
      <c r="Q425" s="12"/>
      <c r="R425" s="9"/>
      <c r="S425" s="10">
        <v>1</v>
      </c>
      <c r="T425" s="49">
        <f t="shared" si="368"/>
        <v>1</v>
      </c>
      <c r="U425" s="11">
        <f t="shared" si="369"/>
        <v>2</v>
      </c>
      <c r="V425" s="98">
        <v>44260</v>
      </c>
    </row>
    <row r="426" spans="1:22" x14ac:dyDescent="0.15">
      <c r="A426" s="26" t="s">
        <v>458</v>
      </c>
      <c r="B426" s="8"/>
      <c r="C426" s="9">
        <v>1</v>
      </c>
      <c r="D426" s="10"/>
      <c r="E426" s="49">
        <f t="shared" si="370"/>
        <v>1</v>
      </c>
      <c r="F426" s="12"/>
      <c r="G426" s="9">
        <v>1</v>
      </c>
      <c r="H426" s="10"/>
      <c r="I426" s="49">
        <f t="shared" si="371"/>
        <v>1</v>
      </c>
      <c r="J426" s="11">
        <f t="shared" si="372"/>
        <v>2</v>
      </c>
      <c r="K426" s="64">
        <v>44271</v>
      </c>
      <c r="L426" s="26" t="s">
        <v>450</v>
      </c>
      <c r="M426" s="13"/>
      <c r="N426" s="14"/>
      <c r="O426" s="53">
        <v>1</v>
      </c>
      <c r="P426" s="87">
        <f>SUM(M426:O426)</f>
        <v>1</v>
      </c>
      <c r="Q426" s="16"/>
      <c r="R426" s="14"/>
      <c r="S426" s="15">
        <v>1</v>
      </c>
      <c r="T426" s="49">
        <f>SUM(Q426:S426)</f>
        <v>1</v>
      </c>
      <c r="U426" s="11">
        <f>P426+T426</f>
        <v>2</v>
      </c>
      <c r="V426" s="98">
        <v>44261</v>
      </c>
    </row>
    <row r="427" spans="1:22" x14ac:dyDescent="0.15">
      <c r="A427" s="26" t="s">
        <v>463</v>
      </c>
      <c r="B427" s="13">
        <v>1</v>
      </c>
      <c r="C427" s="14"/>
      <c r="D427" s="15"/>
      <c r="E427" s="49">
        <f>SUM(B427:D427)</f>
        <v>1</v>
      </c>
      <c r="F427" s="16">
        <v>1</v>
      </c>
      <c r="G427" s="14"/>
      <c r="H427" s="15"/>
      <c r="I427" s="49">
        <f>SUM(F427:H427)</f>
        <v>1</v>
      </c>
      <c r="J427" s="11">
        <f>E427+I427</f>
        <v>2</v>
      </c>
      <c r="K427" s="64">
        <v>44286</v>
      </c>
      <c r="L427" s="26" t="s">
        <v>451</v>
      </c>
      <c r="M427" s="8">
        <v>3</v>
      </c>
      <c r="N427" s="9">
        <v>1</v>
      </c>
      <c r="O427" s="52"/>
      <c r="P427" s="87">
        <f t="shared" ref="P427:P438" si="373">SUM(M427:O427)</f>
        <v>4</v>
      </c>
      <c r="Q427" s="12">
        <v>3</v>
      </c>
      <c r="R427" s="9">
        <v>1</v>
      </c>
      <c r="S427" s="10"/>
      <c r="T427" s="49">
        <f t="shared" ref="T427:T438" si="374">SUM(Q427:S427)</f>
        <v>4</v>
      </c>
      <c r="U427" s="11">
        <f t="shared" ref="U427:U438" si="375">P427+T427</f>
        <v>8</v>
      </c>
      <c r="V427" s="98">
        <v>44264</v>
      </c>
    </row>
    <row r="428" spans="1:22" x14ac:dyDescent="0.15">
      <c r="A428" s="26"/>
      <c r="B428" s="8"/>
      <c r="C428" s="9"/>
      <c r="D428" s="10"/>
      <c r="E428" s="49">
        <f t="shared" ref="E428:E448" si="376">SUM(B428:D428)</f>
        <v>0</v>
      </c>
      <c r="F428" s="12"/>
      <c r="G428" s="9"/>
      <c r="H428" s="10"/>
      <c r="I428" s="49">
        <f t="shared" ref="I428:I448" si="377">SUM(F428:H428)</f>
        <v>0</v>
      </c>
      <c r="J428" s="11">
        <f t="shared" ref="J428:J448" si="378">E428+I428</f>
        <v>0</v>
      </c>
      <c r="L428" s="26" t="s">
        <v>457</v>
      </c>
      <c r="M428" s="8"/>
      <c r="N428" s="9">
        <v>1</v>
      </c>
      <c r="O428" s="52"/>
      <c r="P428" s="87">
        <f t="shared" si="373"/>
        <v>1</v>
      </c>
      <c r="Q428" s="12"/>
      <c r="R428" s="9">
        <v>1</v>
      </c>
      <c r="S428" s="10"/>
      <c r="T428" s="49">
        <f t="shared" si="374"/>
        <v>1</v>
      </c>
      <c r="U428" s="11">
        <f t="shared" si="375"/>
        <v>2</v>
      </c>
      <c r="V428" s="98">
        <v>44266</v>
      </c>
    </row>
    <row r="429" spans="1:22" x14ac:dyDescent="0.15">
      <c r="A429" s="26"/>
      <c r="B429" s="8"/>
      <c r="C429" s="9"/>
      <c r="D429" s="10"/>
      <c r="E429" s="49">
        <f t="shared" si="376"/>
        <v>0</v>
      </c>
      <c r="F429" s="12"/>
      <c r="G429" s="9"/>
      <c r="H429" s="10"/>
      <c r="I429" s="49">
        <f t="shared" si="377"/>
        <v>0</v>
      </c>
      <c r="J429" s="11">
        <f t="shared" si="378"/>
        <v>0</v>
      </c>
      <c r="L429" s="26" t="s">
        <v>455</v>
      </c>
      <c r="M429" s="8"/>
      <c r="N429" s="9">
        <v>1</v>
      </c>
      <c r="O429" s="52"/>
      <c r="P429" s="87">
        <f t="shared" si="373"/>
        <v>1</v>
      </c>
      <c r="Q429" s="12"/>
      <c r="R429" s="9">
        <v>1</v>
      </c>
      <c r="S429" s="10"/>
      <c r="T429" s="49">
        <f t="shared" si="374"/>
        <v>1</v>
      </c>
      <c r="U429" s="11">
        <f t="shared" si="375"/>
        <v>2</v>
      </c>
      <c r="V429" s="98">
        <v>44271</v>
      </c>
    </row>
    <row r="430" spans="1:22" x14ac:dyDescent="0.15">
      <c r="A430" s="26"/>
      <c r="B430" s="8"/>
      <c r="C430" s="9"/>
      <c r="D430" s="10"/>
      <c r="E430" s="49">
        <f t="shared" si="376"/>
        <v>0</v>
      </c>
      <c r="F430" s="12"/>
      <c r="G430" s="9"/>
      <c r="H430" s="10"/>
      <c r="I430" s="49">
        <f t="shared" si="377"/>
        <v>0</v>
      </c>
      <c r="J430" s="11">
        <f t="shared" si="378"/>
        <v>0</v>
      </c>
      <c r="L430" s="26" t="s">
        <v>460</v>
      </c>
      <c r="M430" s="8"/>
      <c r="N430" s="9"/>
      <c r="O430" s="52">
        <v>1</v>
      </c>
      <c r="P430" s="87">
        <f t="shared" si="373"/>
        <v>1</v>
      </c>
      <c r="Q430" s="12"/>
      <c r="R430" s="9"/>
      <c r="S430" s="10">
        <v>1</v>
      </c>
      <c r="T430" s="49">
        <f t="shared" si="374"/>
        <v>1</v>
      </c>
      <c r="U430" s="11">
        <f t="shared" si="375"/>
        <v>2</v>
      </c>
      <c r="V430" s="98">
        <v>44273</v>
      </c>
    </row>
    <row r="431" spans="1:22" x14ac:dyDescent="0.15">
      <c r="A431" s="26"/>
      <c r="B431" s="8"/>
      <c r="C431" s="9"/>
      <c r="D431" s="10"/>
      <c r="E431" s="49">
        <f t="shared" si="376"/>
        <v>0</v>
      </c>
      <c r="F431" s="12"/>
      <c r="G431" s="9"/>
      <c r="H431" s="10"/>
      <c r="I431" s="49">
        <f t="shared" si="377"/>
        <v>0</v>
      </c>
      <c r="J431" s="11">
        <f t="shared" si="378"/>
        <v>0</v>
      </c>
      <c r="L431" s="26" t="s">
        <v>461</v>
      </c>
      <c r="M431" s="8"/>
      <c r="N431" s="9">
        <v>1</v>
      </c>
      <c r="O431" s="52"/>
      <c r="P431" s="87">
        <f t="shared" si="373"/>
        <v>1</v>
      </c>
      <c r="Q431" s="12"/>
      <c r="R431" s="9">
        <v>1</v>
      </c>
      <c r="S431" s="10"/>
      <c r="T431" s="49">
        <f t="shared" si="374"/>
        <v>1</v>
      </c>
      <c r="U431" s="11">
        <f t="shared" si="375"/>
        <v>2</v>
      </c>
      <c r="V431" s="98">
        <v>44277</v>
      </c>
    </row>
    <row r="432" spans="1:22" x14ac:dyDescent="0.15">
      <c r="A432" s="26"/>
      <c r="B432" s="8"/>
      <c r="C432" s="9"/>
      <c r="D432" s="10"/>
      <c r="E432" s="49">
        <f t="shared" si="376"/>
        <v>0</v>
      </c>
      <c r="F432" s="12"/>
      <c r="G432" s="9"/>
      <c r="H432" s="10"/>
      <c r="I432" s="49">
        <f t="shared" si="377"/>
        <v>0</v>
      </c>
      <c r="J432" s="11">
        <f t="shared" si="378"/>
        <v>0</v>
      </c>
      <c r="L432" s="26" t="s">
        <v>462</v>
      </c>
      <c r="M432" s="8"/>
      <c r="N432" s="9"/>
      <c r="O432" s="52">
        <v>1</v>
      </c>
      <c r="P432" s="87">
        <f t="shared" si="373"/>
        <v>1</v>
      </c>
      <c r="Q432" s="12"/>
      <c r="R432" s="9"/>
      <c r="S432" s="10">
        <v>1</v>
      </c>
      <c r="T432" s="49">
        <f t="shared" si="374"/>
        <v>1</v>
      </c>
      <c r="U432" s="11">
        <f t="shared" si="375"/>
        <v>2</v>
      </c>
      <c r="V432" s="98">
        <v>44279</v>
      </c>
    </row>
    <row r="433" spans="1:24" x14ac:dyDescent="0.15">
      <c r="A433" s="26"/>
      <c r="B433" s="13"/>
      <c r="C433" s="14"/>
      <c r="D433" s="15"/>
      <c r="E433" s="49">
        <f t="shared" si="376"/>
        <v>0</v>
      </c>
      <c r="F433" s="16"/>
      <c r="G433" s="14"/>
      <c r="H433" s="15"/>
      <c r="I433" s="49">
        <f t="shared" si="377"/>
        <v>0</v>
      </c>
      <c r="J433" s="11">
        <f t="shared" si="378"/>
        <v>0</v>
      </c>
      <c r="L433" s="26" t="s">
        <v>464</v>
      </c>
      <c r="M433" s="13">
        <v>1</v>
      </c>
      <c r="N433" s="14"/>
      <c r="O433" s="53"/>
      <c r="P433" s="87">
        <f t="shared" si="373"/>
        <v>1</v>
      </c>
      <c r="Q433" s="16">
        <v>1</v>
      </c>
      <c r="R433" s="14"/>
      <c r="S433" s="15"/>
      <c r="T433" s="49">
        <f t="shared" si="374"/>
        <v>1</v>
      </c>
      <c r="U433" s="11">
        <f t="shared" si="375"/>
        <v>2</v>
      </c>
      <c r="V433" s="98">
        <v>44288</v>
      </c>
    </row>
    <row r="434" spans="1:24" x14ac:dyDescent="0.15">
      <c r="A434" s="26"/>
      <c r="B434" s="8"/>
      <c r="C434" s="9"/>
      <c r="D434" s="10"/>
      <c r="E434" s="49">
        <f t="shared" si="376"/>
        <v>0</v>
      </c>
      <c r="F434" s="12"/>
      <c r="G434" s="9"/>
      <c r="H434" s="10"/>
      <c r="I434" s="49">
        <f t="shared" si="377"/>
        <v>0</v>
      </c>
      <c r="J434" s="11">
        <f t="shared" si="378"/>
        <v>0</v>
      </c>
      <c r="L434" s="26" t="s">
        <v>465</v>
      </c>
      <c r="M434" s="8"/>
      <c r="N434" s="9">
        <v>1</v>
      </c>
      <c r="O434" s="52"/>
      <c r="P434" s="87">
        <f t="shared" si="373"/>
        <v>1</v>
      </c>
      <c r="Q434" s="12"/>
      <c r="R434" s="9">
        <v>1</v>
      </c>
      <c r="S434" s="10"/>
      <c r="T434" s="49">
        <f t="shared" si="374"/>
        <v>1</v>
      </c>
      <c r="U434" s="11">
        <f t="shared" si="375"/>
        <v>2</v>
      </c>
      <c r="V434" s="98">
        <v>44292</v>
      </c>
    </row>
    <row r="435" spans="1:24" x14ac:dyDescent="0.15">
      <c r="A435" s="26"/>
      <c r="B435" s="8"/>
      <c r="C435" s="9"/>
      <c r="D435" s="10"/>
      <c r="E435" s="49">
        <f t="shared" si="376"/>
        <v>0</v>
      </c>
      <c r="F435" s="12"/>
      <c r="G435" s="9"/>
      <c r="H435" s="10"/>
      <c r="I435" s="49">
        <f t="shared" si="377"/>
        <v>0</v>
      </c>
      <c r="J435" s="11">
        <f t="shared" si="378"/>
        <v>0</v>
      </c>
      <c r="L435" s="26" t="s">
        <v>466</v>
      </c>
      <c r="M435" s="8">
        <v>4</v>
      </c>
      <c r="N435" s="9">
        <v>2</v>
      </c>
      <c r="O435" s="52"/>
      <c r="P435" s="87">
        <f t="shared" si="373"/>
        <v>6</v>
      </c>
      <c r="Q435" s="12">
        <v>4</v>
      </c>
      <c r="R435" s="9">
        <v>2</v>
      </c>
      <c r="S435" s="10"/>
      <c r="T435" s="49">
        <f t="shared" si="374"/>
        <v>6</v>
      </c>
      <c r="U435" s="11">
        <f t="shared" si="375"/>
        <v>12</v>
      </c>
      <c r="V435" s="98">
        <v>44293</v>
      </c>
    </row>
    <row r="436" spans="1:24" x14ac:dyDescent="0.15">
      <c r="A436" s="26"/>
      <c r="B436" s="8"/>
      <c r="C436" s="9"/>
      <c r="D436" s="10"/>
      <c r="E436" s="49">
        <f t="shared" si="376"/>
        <v>0</v>
      </c>
      <c r="F436" s="12"/>
      <c r="G436" s="9"/>
      <c r="H436" s="10"/>
      <c r="I436" s="49">
        <f t="shared" si="377"/>
        <v>0</v>
      </c>
      <c r="J436" s="11">
        <f t="shared" si="378"/>
        <v>0</v>
      </c>
      <c r="L436" s="26" t="s">
        <v>467</v>
      </c>
      <c r="M436" s="8">
        <v>1</v>
      </c>
      <c r="N436" s="9"/>
      <c r="O436" s="52"/>
      <c r="P436" s="87">
        <f t="shared" si="373"/>
        <v>1</v>
      </c>
      <c r="Q436" s="12">
        <v>1</v>
      </c>
      <c r="R436" s="9"/>
      <c r="S436" s="10"/>
      <c r="T436" s="49">
        <f t="shared" si="374"/>
        <v>1</v>
      </c>
      <c r="U436" s="11">
        <f t="shared" si="375"/>
        <v>2</v>
      </c>
      <c r="V436" s="98">
        <v>44296</v>
      </c>
    </row>
    <row r="437" spans="1:24" x14ac:dyDescent="0.15">
      <c r="A437" s="26"/>
      <c r="B437" s="8"/>
      <c r="C437" s="9"/>
      <c r="D437" s="10"/>
      <c r="E437" s="49">
        <f t="shared" si="376"/>
        <v>0</v>
      </c>
      <c r="F437" s="12"/>
      <c r="G437" s="9"/>
      <c r="H437" s="10"/>
      <c r="I437" s="49">
        <f t="shared" si="377"/>
        <v>0</v>
      </c>
      <c r="J437" s="11">
        <f t="shared" si="378"/>
        <v>0</v>
      </c>
      <c r="L437" s="26" t="s">
        <v>473</v>
      </c>
      <c r="M437" s="8"/>
      <c r="N437" s="9"/>
      <c r="O437" s="52">
        <v>1</v>
      </c>
      <c r="P437" s="87">
        <f t="shared" si="373"/>
        <v>1</v>
      </c>
      <c r="Q437" s="12"/>
      <c r="R437" s="9"/>
      <c r="S437" s="10">
        <v>1</v>
      </c>
      <c r="T437" s="49">
        <f t="shared" si="374"/>
        <v>1</v>
      </c>
      <c r="U437" s="11">
        <f t="shared" si="375"/>
        <v>2</v>
      </c>
      <c r="V437" s="98">
        <v>44308</v>
      </c>
    </row>
    <row r="438" spans="1:24" x14ac:dyDescent="0.15">
      <c r="A438" s="26"/>
      <c r="B438" s="8"/>
      <c r="C438" s="9"/>
      <c r="D438" s="10"/>
      <c r="E438" s="49">
        <f t="shared" si="376"/>
        <v>0</v>
      </c>
      <c r="F438" s="12"/>
      <c r="G438" s="9"/>
      <c r="H438" s="10"/>
      <c r="I438" s="49">
        <f t="shared" si="377"/>
        <v>0</v>
      </c>
      <c r="J438" s="11">
        <f t="shared" si="378"/>
        <v>0</v>
      </c>
      <c r="L438" s="26" t="s">
        <v>474</v>
      </c>
      <c r="M438" s="8"/>
      <c r="N438" s="9">
        <v>1</v>
      </c>
      <c r="O438" s="52"/>
      <c r="P438" s="87">
        <f t="shared" si="373"/>
        <v>1</v>
      </c>
      <c r="Q438" s="12"/>
      <c r="R438" s="9">
        <v>1</v>
      </c>
      <c r="S438" s="10"/>
      <c r="T438" s="49">
        <f t="shared" si="374"/>
        <v>1</v>
      </c>
      <c r="U438" s="11">
        <f t="shared" si="375"/>
        <v>2</v>
      </c>
      <c r="V438" s="98">
        <v>44342</v>
      </c>
    </row>
    <row r="439" spans="1:24" x14ac:dyDescent="0.15">
      <c r="A439" s="26"/>
      <c r="B439" s="8"/>
      <c r="C439" s="9"/>
      <c r="D439" s="10"/>
      <c r="E439" s="49">
        <f t="shared" si="376"/>
        <v>0</v>
      </c>
      <c r="F439" s="12"/>
      <c r="G439" s="9"/>
      <c r="H439" s="10"/>
      <c r="I439" s="49">
        <f t="shared" si="377"/>
        <v>0</v>
      </c>
      <c r="J439" s="11">
        <f t="shared" si="378"/>
        <v>0</v>
      </c>
      <c r="L439" s="26" t="s">
        <v>475</v>
      </c>
      <c r="M439" s="13"/>
      <c r="N439" s="14"/>
      <c r="O439" s="53">
        <v>1</v>
      </c>
      <c r="P439" s="87">
        <f>SUM(M439:O439)</f>
        <v>1</v>
      </c>
      <c r="Q439" s="16"/>
      <c r="R439" s="14"/>
      <c r="S439" s="15">
        <v>1</v>
      </c>
      <c r="T439" s="49">
        <f>SUM(Q439:S439)</f>
        <v>1</v>
      </c>
      <c r="U439" s="11">
        <f>P439+T439</f>
        <v>2</v>
      </c>
      <c r="V439" s="98">
        <v>44344</v>
      </c>
      <c r="W439" s="66"/>
      <c r="X439" s="66"/>
    </row>
    <row r="440" spans="1:24" x14ac:dyDescent="0.15">
      <c r="A440" s="26"/>
      <c r="B440" s="8"/>
      <c r="C440" s="9"/>
      <c r="D440" s="10"/>
      <c r="E440" s="49">
        <f t="shared" si="376"/>
        <v>0</v>
      </c>
      <c r="F440" s="12"/>
      <c r="G440" s="9"/>
      <c r="H440" s="10"/>
      <c r="I440" s="49">
        <f t="shared" si="377"/>
        <v>0</v>
      </c>
      <c r="J440" s="11">
        <f t="shared" si="378"/>
        <v>0</v>
      </c>
      <c r="L440" s="26"/>
      <c r="M440" s="8"/>
      <c r="N440" s="9"/>
      <c r="O440" s="52"/>
      <c r="P440" s="87">
        <f t="shared" ref="P440:P442" si="379">SUM(M440:O440)</f>
        <v>0</v>
      </c>
      <c r="Q440" s="12"/>
      <c r="R440" s="9"/>
      <c r="S440" s="10"/>
      <c r="T440" s="49">
        <f t="shared" ref="T440:T442" si="380">SUM(Q440:S440)</f>
        <v>0</v>
      </c>
      <c r="U440" s="11">
        <f t="shared" ref="U440:U442" si="381">P440+T440</f>
        <v>0</v>
      </c>
      <c r="V440" s="98"/>
      <c r="W440" s="66"/>
      <c r="X440" s="66"/>
    </row>
    <row r="441" spans="1:24" x14ac:dyDescent="0.15">
      <c r="A441" s="24"/>
      <c r="B441" s="8"/>
      <c r="C441" s="9"/>
      <c r="D441" s="10"/>
      <c r="E441" s="49">
        <f t="shared" si="376"/>
        <v>0</v>
      </c>
      <c r="F441" s="12"/>
      <c r="G441" s="9"/>
      <c r="H441" s="10"/>
      <c r="I441" s="49">
        <f t="shared" si="377"/>
        <v>0</v>
      </c>
      <c r="J441" s="11">
        <f t="shared" si="378"/>
        <v>0</v>
      </c>
      <c r="L441" s="26"/>
      <c r="M441" s="8"/>
      <c r="N441" s="9"/>
      <c r="O441" s="52"/>
      <c r="P441" s="87">
        <f t="shared" si="379"/>
        <v>0</v>
      </c>
      <c r="Q441" s="12"/>
      <c r="R441" s="9"/>
      <c r="S441" s="10"/>
      <c r="T441" s="49">
        <f t="shared" si="380"/>
        <v>0</v>
      </c>
      <c r="U441" s="11">
        <f t="shared" si="381"/>
        <v>0</v>
      </c>
      <c r="V441" s="98"/>
    </row>
    <row r="442" spans="1:24" x14ac:dyDescent="0.15">
      <c r="A442" s="25"/>
      <c r="B442" s="8"/>
      <c r="C442" s="9"/>
      <c r="D442" s="10"/>
      <c r="E442" s="49">
        <f t="shared" si="376"/>
        <v>0</v>
      </c>
      <c r="F442" s="12"/>
      <c r="G442" s="9"/>
      <c r="H442" s="10"/>
      <c r="I442" s="49">
        <f t="shared" si="377"/>
        <v>0</v>
      </c>
      <c r="J442" s="11">
        <f t="shared" si="378"/>
        <v>0</v>
      </c>
      <c r="L442" s="26"/>
      <c r="M442" s="8"/>
      <c r="N442" s="9"/>
      <c r="O442" s="52"/>
      <c r="P442" s="87">
        <f t="shared" si="379"/>
        <v>0</v>
      </c>
      <c r="Q442" s="12"/>
      <c r="R442" s="9"/>
      <c r="S442" s="10"/>
      <c r="T442" s="49">
        <f t="shared" si="380"/>
        <v>0</v>
      </c>
      <c r="U442" s="11">
        <f t="shared" si="381"/>
        <v>0</v>
      </c>
      <c r="V442" s="98"/>
    </row>
    <row r="443" spans="1:24" x14ac:dyDescent="0.15">
      <c r="A443" s="26"/>
      <c r="B443" s="8"/>
      <c r="C443" s="9"/>
      <c r="D443" s="10"/>
      <c r="E443" s="49">
        <f t="shared" si="376"/>
        <v>0</v>
      </c>
      <c r="F443" s="12"/>
      <c r="G443" s="9"/>
      <c r="H443" s="10"/>
      <c r="I443" s="49">
        <f t="shared" si="377"/>
        <v>0</v>
      </c>
      <c r="J443" s="11">
        <f t="shared" si="378"/>
        <v>0</v>
      </c>
      <c r="L443" s="26"/>
      <c r="M443" s="13"/>
      <c r="N443" s="14"/>
      <c r="O443" s="53"/>
      <c r="P443" s="87">
        <f>SUM(M443:O443)</f>
        <v>0</v>
      </c>
      <c r="Q443" s="16"/>
      <c r="R443" s="14"/>
      <c r="S443" s="15"/>
      <c r="T443" s="49">
        <f>SUM(Q443:S443)</f>
        <v>0</v>
      </c>
      <c r="U443" s="11">
        <f>P443+T443</f>
        <v>0</v>
      </c>
      <c r="V443" s="98"/>
    </row>
    <row r="444" spans="1:24" x14ac:dyDescent="0.15">
      <c r="A444" s="24"/>
      <c r="B444" s="8"/>
      <c r="C444" s="9"/>
      <c r="D444" s="10"/>
      <c r="E444" s="49">
        <f t="shared" si="376"/>
        <v>0</v>
      </c>
      <c r="F444" s="12"/>
      <c r="G444" s="9"/>
      <c r="H444" s="10"/>
      <c r="I444" s="49">
        <f t="shared" si="377"/>
        <v>0</v>
      </c>
      <c r="J444" s="11">
        <f t="shared" si="378"/>
        <v>0</v>
      </c>
      <c r="L444" s="26"/>
      <c r="M444" s="8"/>
      <c r="N444" s="9"/>
      <c r="O444" s="52"/>
      <c r="P444" s="87">
        <f t="shared" ref="P444:P450" si="382">SUM(M444:O444)</f>
        <v>0</v>
      </c>
      <c r="Q444" s="12"/>
      <c r="R444" s="9"/>
      <c r="S444" s="10"/>
      <c r="T444" s="49">
        <f t="shared" ref="T444:T450" si="383">SUM(Q444:S444)</f>
        <v>0</v>
      </c>
      <c r="U444" s="11">
        <f t="shared" ref="U444:U448" si="384">P444+T444</f>
        <v>0</v>
      </c>
      <c r="V444" s="98"/>
    </row>
    <row r="445" spans="1:24" x14ac:dyDescent="0.15">
      <c r="B445" s="13"/>
      <c r="C445" s="14"/>
      <c r="D445" s="15"/>
      <c r="E445" s="49">
        <f t="shared" si="376"/>
        <v>0</v>
      </c>
      <c r="F445" s="16"/>
      <c r="G445" s="14"/>
      <c r="H445" s="15"/>
      <c r="I445" s="49">
        <f t="shared" si="377"/>
        <v>0</v>
      </c>
      <c r="J445" s="11">
        <f t="shared" si="378"/>
        <v>0</v>
      </c>
      <c r="L445" s="26"/>
      <c r="M445" s="8"/>
      <c r="N445" s="9"/>
      <c r="O445" s="52"/>
      <c r="P445" s="87">
        <f t="shared" si="382"/>
        <v>0</v>
      </c>
      <c r="Q445" s="12"/>
      <c r="R445" s="9"/>
      <c r="S445" s="10"/>
      <c r="T445" s="49">
        <f t="shared" si="383"/>
        <v>0</v>
      </c>
      <c r="U445" s="11">
        <f t="shared" si="384"/>
        <v>0</v>
      </c>
      <c r="V445" s="100"/>
    </row>
    <row r="446" spans="1:24" x14ac:dyDescent="0.15">
      <c r="A446" s="26"/>
      <c r="B446" s="8"/>
      <c r="C446" s="9"/>
      <c r="D446" s="10"/>
      <c r="E446" s="49">
        <f t="shared" si="376"/>
        <v>0</v>
      </c>
      <c r="F446" s="12"/>
      <c r="G446" s="9"/>
      <c r="H446" s="10"/>
      <c r="I446" s="49">
        <f t="shared" si="377"/>
        <v>0</v>
      </c>
      <c r="J446" s="11">
        <f t="shared" si="378"/>
        <v>0</v>
      </c>
      <c r="L446" s="26"/>
      <c r="M446" s="8"/>
      <c r="N446" s="9"/>
      <c r="O446" s="52"/>
      <c r="P446" s="87">
        <f t="shared" si="382"/>
        <v>0</v>
      </c>
      <c r="Q446" s="12"/>
      <c r="R446" s="9"/>
      <c r="S446" s="10"/>
      <c r="T446" s="49">
        <f t="shared" si="383"/>
        <v>0</v>
      </c>
      <c r="U446" s="11">
        <f t="shared" si="384"/>
        <v>0</v>
      </c>
      <c r="V446" s="100"/>
    </row>
    <row r="447" spans="1:24" x14ac:dyDescent="0.15">
      <c r="A447" s="26"/>
      <c r="B447" s="8"/>
      <c r="C447" s="9"/>
      <c r="D447" s="10"/>
      <c r="E447" s="49">
        <f t="shared" si="376"/>
        <v>0</v>
      </c>
      <c r="F447" s="12"/>
      <c r="G447" s="9"/>
      <c r="H447" s="10"/>
      <c r="I447" s="49">
        <f t="shared" si="377"/>
        <v>0</v>
      </c>
      <c r="J447" s="11">
        <f t="shared" si="378"/>
        <v>0</v>
      </c>
      <c r="L447" s="111"/>
      <c r="M447" s="8"/>
      <c r="N447" s="9"/>
      <c r="O447" s="52"/>
      <c r="P447" s="87">
        <f t="shared" si="382"/>
        <v>0</v>
      </c>
      <c r="Q447" s="12"/>
      <c r="R447" s="9"/>
      <c r="S447" s="10"/>
      <c r="T447" s="49">
        <f t="shared" si="383"/>
        <v>0</v>
      </c>
      <c r="U447" s="11">
        <f t="shared" si="384"/>
        <v>0</v>
      </c>
      <c r="V447" s="100"/>
    </row>
    <row r="448" spans="1:24" x14ac:dyDescent="0.15">
      <c r="A448" s="26"/>
      <c r="B448" s="8"/>
      <c r="C448" s="9"/>
      <c r="D448" s="10"/>
      <c r="E448" s="49">
        <f t="shared" si="376"/>
        <v>0</v>
      </c>
      <c r="F448" s="12"/>
      <c r="G448" s="9"/>
      <c r="H448" s="10"/>
      <c r="I448" s="49">
        <f t="shared" si="377"/>
        <v>0</v>
      </c>
      <c r="J448" s="11">
        <f t="shared" si="378"/>
        <v>0</v>
      </c>
      <c r="L448" s="86"/>
      <c r="M448" s="8"/>
      <c r="N448" s="9"/>
      <c r="O448" s="52"/>
      <c r="P448" s="87">
        <f t="shared" si="382"/>
        <v>0</v>
      </c>
      <c r="Q448" s="12"/>
      <c r="R448" s="9"/>
      <c r="S448" s="10"/>
      <c r="T448" s="49">
        <f t="shared" si="383"/>
        <v>0</v>
      </c>
      <c r="U448" s="11">
        <f t="shared" si="384"/>
        <v>0</v>
      </c>
      <c r="V448" s="100"/>
    </row>
    <row r="449" spans="1:23" ht="14.25" thickBot="1" x14ac:dyDescent="0.2">
      <c r="A449" s="23"/>
      <c r="B449" s="13"/>
      <c r="C449" s="14"/>
      <c r="D449" s="15"/>
      <c r="E449" s="49">
        <f>SUM(B449:D449)</f>
        <v>0</v>
      </c>
      <c r="F449" s="16"/>
      <c r="G449" s="14"/>
      <c r="H449" s="15"/>
      <c r="I449" s="49">
        <f>SUM(F449:H449)</f>
        <v>0</v>
      </c>
      <c r="J449" s="11">
        <f>E449+I449</f>
        <v>0</v>
      </c>
      <c r="L449" s="26" t="s">
        <v>420</v>
      </c>
      <c r="M449" s="8"/>
      <c r="N449" s="9"/>
      <c r="O449" s="52"/>
      <c r="P449" s="87">
        <f t="shared" ref="P449" si="385">SUM(M449:O449)</f>
        <v>0</v>
      </c>
      <c r="Q449" s="12"/>
      <c r="R449" s="9"/>
      <c r="S449" s="10"/>
      <c r="T449" s="49">
        <f t="shared" ref="T449" si="386">SUM(Q449:S449)</f>
        <v>0</v>
      </c>
      <c r="U449" s="11">
        <f t="shared" ref="U449" si="387">P449+T449</f>
        <v>0</v>
      </c>
      <c r="V449" s="100" t="s">
        <v>421</v>
      </c>
      <c r="W449" s="66"/>
    </row>
    <row r="450" spans="1:23" ht="14.25" thickBot="1" x14ac:dyDescent="0.2">
      <c r="A450" s="41" t="s">
        <v>17</v>
      </c>
      <c r="B450" s="46">
        <f>SUM(B424:B449)</f>
        <v>2</v>
      </c>
      <c r="C450" s="47">
        <f t="shared" ref="C450:D450" si="388">SUM(C424:C449)</f>
        <v>2</v>
      </c>
      <c r="D450" s="58">
        <f t="shared" si="388"/>
        <v>0</v>
      </c>
      <c r="E450" s="45">
        <f t="shared" ref="E450" si="389">SUM(B450:D450)</f>
        <v>4</v>
      </c>
      <c r="F450" s="46">
        <f>SUM(F424:F449)</f>
        <v>2</v>
      </c>
      <c r="G450" s="47">
        <f t="shared" ref="G450:H450" si="390">SUM(G424:G449)</f>
        <v>2</v>
      </c>
      <c r="H450" s="58">
        <f t="shared" si="390"/>
        <v>0</v>
      </c>
      <c r="I450" s="45">
        <f t="shared" ref="I450" si="391">SUM(F450:H450)</f>
        <v>4</v>
      </c>
      <c r="J450" s="45">
        <f>E450+I450</f>
        <v>8</v>
      </c>
      <c r="L450" s="41" t="s">
        <v>17</v>
      </c>
      <c r="M450" s="46">
        <f>SUM(M424:M449)</f>
        <v>13</v>
      </c>
      <c r="N450" s="47">
        <f t="shared" ref="N450:O450" si="392">SUM(N424:N449)</f>
        <v>9</v>
      </c>
      <c r="O450" s="58">
        <f t="shared" si="392"/>
        <v>10</v>
      </c>
      <c r="P450" s="45">
        <f t="shared" si="382"/>
        <v>32</v>
      </c>
      <c r="Q450" s="46">
        <f>SUM(Q424:Q449)</f>
        <v>13</v>
      </c>
      <c r="R450" s="47">
        <f t="shared" ref="R450:S450" si="393">SUM(R424:R449)</f>
        <v>9</v>
      </c>
      <c r="S450" s="58">
        <f t="shared" si="393"/>
        <v>10</v>
      </c>
      <c r="T450" s="45">
        <f t="shared" si="383"/>
        <v>32</v>
      </c>
      <c r="U450" s="45">
        <f>P450+T450</f>
        <v>64</v>
      </c>
    </row>
    <row r="451" spans="1:23" ht="14.25" thickBot="1" x14ac:dyDescent="0.2">
      <c r="A451" s="22" t="s">
        <v>16</v>
      </c>
      <c r="B451" s="50">
        <f>B423-B450</f>
        <v>1</v>
      </c>
      <c r="C451" s="56">
        <f t="shared" ref="C451:D451" si="394">C423-C450</f>
        <v>0</v>
      </c>
      <c r="D451" s="57">
        <f t="shared" si="394"/>
        <v>1</v>
      </c>
      <c r="E451" s="55">
        <f>SUM(B451:D451)</f>
        <v>2</v>
      </c>
      <c r="F451" s="50">
        <f>F423-F450</f>
        <v>1</v>
      </c>
      <c r="G451" s="56">
        <f t="shared" ref="G451:H451" si="395">G423-G450</f>
        <v>0</v>
      </c>
      <c r="H451" s="57">
        <f t="shared" si="395"/>
        <v>1</v>
      </c>
      <c r="I451" s="55">
        <f>SUM(F451:H451)</f>
        <v>2</v>
      </c>
      <c r="J451" s="31">
        <f>E451+I451</f>
        <v>4</v>
      </c>
      <c r="L451" s="22" t="s">
        <v>16</v>
      </c>
      <c r="M451" s="50">
        <f>M423-M450</f>
        <v>116</v>
      </c>
      <c r="N451" s="56">
        <f t="shared" ref="N451:O451" si="396">N423-N450</f>
        <v>144</v>
      </c>
      <c r="O451" s="57">
        <f t="shared" si="396"/>
        <v>84</v>
      </c>
      <c r="P451" s="55">
        <f>SUM(M451:O451)</f>
        <v>344</v>
      </c>
      <c r="Q451" s="50">
        <f>Q423-Q450</f>
        <v>116</v>
      </c>
      <c r="R451" s="56">
        <f t="shared" ref="R451:S451" si="397">R423-R450</f>
        <v>144</v>
      </c>
      <c r="S451" s="57">
        <f t="shared" si="397"/>
        <v>84</v>
      </c>
      <c r="T451" s="55">
        <f>SUM(Q451:S451)</f>
        <v>344</v>
      </c>
      <c r="U451" s="31">
        <f>P451+T451</f>
        <v>688</v>
      </c>
    </row>
    <row r="452" spans="1:23" ht="19.5" thickBot="1" x14ac:dyDescent="0.25">
      <c r="A452" s="3" t="s">
        <v>18</v>
      </c>
      <c r="B452" s="1"/>
      <c r="C452" s="1"/>
      <c r="D452" s="1"/>
      <c r="E452" s="1"/>
      <c r="F452" s="1"/>
      <c r="G452" s="1"/>
      <c r="H452" s="1"/>
      <c r="I452" s="1"/>
      <c r="J452" s="1"/>
      <c r="L452" s="3"/>
      <c r="M452" s="1">
        <f>M450+M411</f>
        <v>287</v>
      </c>
      <c r="N452" s="1">
        <f t="shared" ref="N452:P452" si="398">N450+N411</f>
        <v>305</v>
      </c>
      <c r="O452" s="1">
        <f t="shared" si="398"/>
        <v>187</v>
      </c>
      <c r="P452" s="120">
        <f t="shared" si="398"/>
        <v>779</v>
      </c>
      <c r="Q452" s="1"/>
      <c r="R452" s="1"/>
      <c r="S452" s="1"/>
      <c r="T452" s="1"/>
      <c r="U452" s="1"/>
    </row>
    <row r="453" spans="1:23" ht="14.25" thickBot="1" x14ac:dyDescent="0.2">
      <c r="A453" s="7"/>
      <c r="B453" s="169" t="s">
        <v>22</v>
      </c>
      <c r="C453" s="170"/>
      <c r="D453" s="170"/>
      <c r="E453" s="171"/>
      <c r="F453" s="169" t="s">
        <v>23</v>
      </c>
      <c r="G453" s="170"/>
      <c r="H453" s="170"/>
      <c r="I453" s="171"/>
      <c r="J453" s="172" t="s">
        <v>0</v>
      </c>
      <c r="L453" s="41"/>
      <c r="M453" s="118">
        <f>M452/$P$452*100</f>
        <v>36.84210526315789</v>
      </c>
      <c r="N453" s="118">
        <f t="shared" ref="N453:P453" si="399">N452/$P$452*100</f>
        <v>39.152759948652118</v>
      </c>
      <c r="O453" s="118">
        <f t="shared" si="399"/>
        <v>24.005134788189988</v>
      </c>
      <c r="P453" s="118">
        <f t="shared" si="399"/>
        <v>100</v>
      </c>
      <c r="Q453" s="170" t="s">
        <v>23</v>
      </c>
      <c r="R453" s="170"/>
      <c r="S453" s="170"/>
      <c r="T453" s="171"/>
      <c r="U453" s="172" t="s">
        <v>0</v>
      </c>
    </row>
    <row r="454" spans="1:23" ht="14.25" thickBot="1" x14ac:dyDescent="0.2">
      <c r="A454" s="7" t="s">
        <v>1</v>
      </c>
      <c r="B454" s="4" t="s">
        <v>2</v>
      </c>
      <c r="C454" s="5" t="s">
        <v>3</v>
      </c>
      <c r="D454" s="6" t="s">
        <v>4</v>
      </c>
      <c r="E454" s="7" t="s">
        <v>5</v>
      </c>
      <c r="F454" s="4" t="s">
        <v>2</v>
      </c>
      <c r="G454" s="5" t="s">
        <v>3</v>
      </c>
      <c r="H454" s="6" t="s">
        <v>4</v>
      </c>
      <c r="I454" s="7" t="s">
        <v>5</v>
      </c>
      <c r="J454" s="173"/>
      <c r="L454" s="7" t="s">
        <v>1</v>
      </c>
      <c r="M454" s="114" t="s">
        <v>2</v>
      </c>
      <c r="N454" s="115" t="s">
        <v>3</v>
      </c>
      <c r="O454" s="116" t="s">
        <v>4</v>
      </c>
      <c r="P454" s="113" t="s">
        <v>5</v>
      </c>
      <c r="Q454" s="4" t="s">
        <v>2</v>
      </c>
      <c r="R454" s="5" t="s">
        <v>3</v>
      </c>
      <c r="S454" s="6" t="s">
        <v>4</v>
      </c>
      <c r="T454" s="7" t="s">
        <v>5</v>
      </c>
      <c r="U454" s="173"/>
    </row>
    <row r="455" spans="1:23" ht="14.25" thickBot="1" x14ac:dyDescent="0.2">
      <c r="A455" s="27" t="s">
        <v>16</v>
      </c>
      <c r="B455" s="38">
        <f>B451</f>
        <v>1</v>
      </c>
      <c r="C455" s="39">
        <f>C451</f>
        <v>0</v>
      </c>
      <c r="D455" s="2">
        <f>D451</f>
        <v>1</v>
      </c>
      <c r="E455" s="36">
        <f>SUM(B455:D455)</f>
        <v>2</v>
      </c>
      <c r="F455" s="38">
        <f>F451</f>
        <v>1</v>
      </c>
      <c r="G455" s="39">
        <f>G451</f>
        <v>0</v>
      </c>
      <c r="H455" s="2">
        <f>H451</f>
        <v>1</v>
      </c>
      <c r="I455" s="36">
        <f>SUM(F455:H455)</f>
        <v>2</v>
      </c>
      <c r="J455" s="36">
        <f>E455+I455</f>
        <v>4</v>
      </c>
      <c r="L455" s="68" t="s">
        <v>16</v>
      </c>
      <c r="M455" s="42">
        <f>M451</f>
        <v>116</v>
      </c>
      <c r="N455" s="43">
        <f>N451</f>
        <v>144</v>
      </c>
      <c r="O455" s="60">
        <f>O451</f>
        <v>84</v>
      </c>
      <c r="P455" s="48">
        <f>SUM(M455:O455)</f>
        <v>344</v>
      </c>
      <c r="Q455" s="42">
        <f>Q451</f>
        <v>116</v>
      </c>
      <c r="R455" s="43">
        <f>R451</f>
        <v>144</v>
      </c>
      <c r="S455" s="60">
        <f>S451</f>
        <v>84</v>
      </c>
      <c r="T455" s="48">
        <f>SUM(Q455:S455)</f>
        <v>344</v>
      </c>
      <c r="U455" s="48">
        <f>P455+T455</f>
        <v>688</v>
      </c>
    </row>
    <row r="456" spans="1:23" x14ac:dyDescent="0.15">
      <c r="A456" s="25" t="s">
        <v>484</v>
      </c>
      <c r="B456" s="42">
        <v>3</v>
      </c>
      <c r="C456" s="43">
        <v>3</v>
      </c>
      <c r="D456" s="44">
        <v>3</v>
      </c>
      <c r="E456" s="48">
        <f>SUM(B456:D456)</f>
        <v>9</v>
      </c>
      <c r="F456" s="59">
        <v>3</v>
      </c>
      <c r="G456" s="43">
        <v>3</v>
      </c>
      <c r="H456" s="60">
        <v>3</v>
      </c>
      <c r="I456" s="48">
        <f>SUM(F456:H456)</f>
        <v>9</v>
      </c>
      <c r="J456" s="48">
        <f>E456+I456</f>
        <v>18</v>
      </c>
      <c r="K456" s="62">
        <v>44457</v>
      </c>
      <c r="L456" s="25" t="s">
        <v>7</v>
      </c>
      <c r="M456" s="73"/>
      <c r="N456" s="74"/>
      <c r="O456" s="75"/>
      <c r="P456" s="76">
        <f>SUM(M456:O456)</f>
        <v>0</v>
      </c>
      <c r="Q456" s="77"/>
      <c r="R456" s="74"/>
      <c r="S456" s="78"/>
      <c r="T456" s="76">
        <f>SUM(Q456:S456)</f>
        <v>0</v>
      </c>
      <c r="U456" s="48">
        <f>P456+T456</f>
        <v>0</v>
      </c>
    </row>
    <row r="457" spans="1:23" x14ac:dyDescent="0.15">
      <c r="A457" s="25"/>
      <c r="B457" s="8"/>
      <c r="C457" s="9"/>
      <c r="D457" s="52"/>
      <c r="E457" s="11">
        <f>SUM(B457:D457)</f>
        <v>0</v>
      </c>
      <c r="F457" s="12"/>
      <c r="G457" s="9"/>
      <c r="H457" s="10"/>
      <c r="I457" s="11">
        <f>SUM(F457:H457)</f>
        <v>0</v>
      </c>
      <c r="J457" s="11">
        <f>E457+I457</f>
        <v>0</v>
      </c>
      <c r="K457" s="64"/>
      <c r="L457" s="25" t="s">
        <v>8</v>
      </c>
      <c r="M457" s="17"/>
      <c r="N457" s="18"/>
      <c r="O457" s="51"/>
      <c r="P457" s="49">
        <f t="shared" ref="P457:P463" si="400">SUM(M457:O457)</f>
        <v>0</v>
      </c>
      <c r="Q457" s="17"/>
      <c r="R457" s="18"/>
      <c r="S457" s="51"/>
      <c r="T457" s="49">
        <f t="shared" ref="T457:T463" si="401">SUM(Q457:S457)</f>
        <v>0</v>
      </c>
      <c r="U457" s="11">
        <f t="shared" ref="U457:U463" si="402">P457+T457</f>
        <v>0</v>
      </c>
    </row>
    <row r="458" spans="1:23" x14ac:dyDescent="0.15">
      <c r="A458" s="25"/>
      <c r="B458" s="17"/>
      <c r="C458" s="18"/>
      <c r="D458" s="51"/>
      <c r="E458" s="11">
        <f t="shared" ref="E458:E463" si="403">SUM(B458:D458)</f>
        <v>0</v>
      </c>
      <c r="F458" s="20"/>
      <c r="G458" s="18"/>
      <c r="H458" s="19"/>
      <c r="I458" s="11">
        <f t="shared" ref="I458:I463" si="404">SUM(F458:H458)</f>
        <v>0</v>
      </c>
      <c r="J458" s="11">
        <f t="shared" ref="J458:J463" si="405">E458+I458</f>
        <v>0</v>
      </c>
      <c r="L458" s="25" t="s">
        <v>9</v>
      </c>
      <c r="M458" s="17"/>
      <c r="N458" s="18"/>
      <c r="O458" s="51"/>
      <c r="P458" s="11">
        <f t="shared" si="400"/>
        <v>0</v>
      </c>
      <c r="Q458" s="17"/>
      <c r="R458" s="18"/>
      <c r="S458" s="51"/>
      <c r="T458" s="11">
        <f t="shared" si="401"/>
        <v>0</v>
      </c>
      <c r="U458" s="11">
        <f t="shared" si="402"/>
        <v>0</v>
      </c>
      <c r="V458" s="98"/>
    </row>
    <row r="459" spans="1:23" x14ac:dyDescent="0.15">
      <c r="A459" s="25"/>
      <c r="B459" s="8"/>
      <c r="C459" s="9"/>
      <c r="D459" s="52"/>
      <c r="E459" s="11">
        <f t="shared" si="403"/>
        <v>0</v>
      </c>
      <c r="F459" s="12"/>
      <c r="G459" s="9"/>
      <c r="H459" s="10"/>
      <c r="I459" s="11">
        <f t="shared" si="404"/>
        <v>0</v>
      </c>
      <c r="J459" s="11">
        <f t="shared" si="405"/>
        <v>0</v>
      </c>
      <c r="L459" s="25" t="s">
        <v>10</v>
      </c>
      <c r="M459" s="8"/>
      <c r="N459" s="9"/>
      <c r="O459" s="52"/>
      <c r="P459" s="11">
        <f t="shared" si="400"/>
        <v>0</v>
      </c>
      <c r="Q459" s="12"/>
      <c r="R459" s="9"/>
      <c r="S459" s="10"/>
      <c r="T459" s="11">
        <f t="shared" si="401"/>
        <v>0</v>
      </c>
      <c r="U459" s="11">
        <f t="shared" si="402"/>
        <v>0</v>
      </c>
      <c r="V459" s="100"/>
    </row>
    <row r="460" spans="1:23" x14ac:dyDescent="0.15">
      <c r="A460" s="25"/>
      <c r="B460" s="8"/>
      <c r="C460" s="9"/>
      <c r="D460" s="52"/>
      <c r="E460" s="11">
        <f t="shared" si="403"/>
        <v>0</v>
      </c>
      <c r="F460" s="12"/>
      <c r="G460" s="9"/>
      <c r="H460" s="10"/>
      <c r="I460" s="11">
        <f t="shared" si="404"/>
        <v>0</v>
      </c>
      <c r="J460" s="11">
        <f t="shared" si="405"/>
        <v>0</v>
      </c>
      <c r="L460" s="25" t="s">
        <v>11</v>
      </c>
      <c r="M460" s="17"/>
      <c r="N460" s="18"/>
      <c r="O460" s="51"/>
      <c r="P460" s="11">
        <f t="shared" si="400"/>
        <v>0</v>
      </c>
      <c r="Q460" s="20"/>
      <c r="R460" s="18"/>
      <c r="S460" s="19"/>
      <c r="T460" s="11">
        <f t="shared" si="401"/>
        <v>0</v>
      </c>
      <c r="U460" s="11">
        <f t="shared" si="402"/>
        <v>0</v>
      </c>
      <c r="V460" s="98"/>
    </row>
    <row r="461" spans="1:23" x14ac:dyDescent="0.15">
      <c r="A461" s="25"/>
      <c r="B461" s="8"/>
      <c r="C461" s="9"/>
      <c r="D461" s="52"/>
      <c r="E461" s="11">
        <f t="shared" si="403"/>
        <v>0</v>
      </c>
      <c r="F461" s="12"/>
      <c r="G461" s="9"/>
      <c r="H461" s="10"/>
      <c r="I461" s="11">
        <f t="shared" si="404"/>
        <v>0</v>
      </c>
      <c r="J461" s="11">
        <f t="shared" si="405"/>
        <v>0</v>
      </c>
      <c r="L461" s="25" t="s">
        <v>12</v>
      </c>
      <c r="M461" s="17"/>
      <c r="N461" s="18"/>
      <c r="O461" s="51"/>
      <c r="P461" s="49">
        <f t="shared" si="400"/>
        <v>0</v>
      </c>
      <c r="Q461" s="17"/>
      <c r="R461" s="18"/>
      <c r="S461" s="51"/>
      <c r="T461" s="49">
        <f t="shared" si="401"/>
        <v>0</v>
      </c>
      <c r="U461" s="11">
        <f t="shared" si="402"/>
        <v>0</v>
      </c>
    </row>
    <row r="462" spans="1:23" x14ac:dyDescent="0.15">
      <c r="A462" s="25"/>
      <c r="B462" s="13"/>
      <c r="C462" s="14"/>
      <c r="D462" s="53"/>
      <c r="E462" s="11">
        <f t="shared" si="403"/>
        <v>0</v>
      </c>
      <c r="F462" s="16"/>
      <c r="G462" s="14"/>
      <c r="H462" s="15"/>
      <c r="I462" s="11">
        <f t="shared" si="404"/>
        <v>0</v>
      </c>
      <c r="J462" s="11">
        <f t="shared" si="405"/>
        <v>0</v>
      </c>
      <c r="L462" s="25" t="s">
        <v>13</v>
      </c>
      <c r="M462" s="13"/>
      <c r="N462" s="14"/>
      <c r="O462" s="53"/>
      <c r="P462" s="11">
        <f t="shared" si="400"/>
        <v>0</v>
      </c>
      <c r="Q462" s="16"/>
      <c r="R462" s="14"/>
      <c r="S462" s="15"/>
      <c r="T462" s="11">
        <f t="shared" si="401"/>
        <v>0</v>
      </c>
      <c r="U462" s="11">
        <f t="shared" si="402"/>
        <v>0</v>
      </c>
    </row>
    <row r="463" spans="1:23" ht="14.25" thickBot="1" x14ac:dyDescent="0.2">
      <c r="A463" s="25"/>
      <c r="B463" s="32"/>
      <c r="C463" s="33"/>
      <c r="D463" s="54"/>
      <c r="E463" s="61">
        <f t="shared" si="403"/>
        <v>0</v>
      </c>
      <c r="F463" s="34"/>
      <c r="G463" s="34"/>
      <c r="H463" s="37"/>
      <c r="I463" s="61">
        <f t="shared" si="404"/>
        <v>0</v>
      </c>
      <c r="J463" s="21">
        <f t="shared" si="405"/>
        <v>0</v>
      </c>
      <c r="L463" s="25" t="s">
        <v>14</v>
      </c>
      <c r="M463" s="32"/>
      <c r="N463" s="33"/>
      <c r="O463" s="54"/>
      <c r="P463" s="61">
        <f t="shared" si="400"/>
        <v>0</v>
      </c>
      <c r="Q463" s="34"/>
      <c r="R463" s="34"/>
      <c r="S463" s="37"/>
      <c r="T463" s="61">
        <f t="shared" si="401"/>
        <v>0</v>
      </c>
      <c r="U463" s="21">
        <f t="shared" si="402"/>
        <v>0</v>
      </c>
    </row>
    <row r="464" spans="1:23" ht="14.25" thickBot="1" x14ac:dyDescent="0.2">
      <c r="A464" s="35" t="s">
        <v>15</v>
      </c>
      <c r="B464" s="28">
        <f>SUM(B455:B463)</f>
        <v>4</v>
      </c>
      <c r="C464" s="29">
        <f>SUM(C455:C463)</f>
        <v>3</v>
      </c>
      <c r="D464" s="30">
        <f>SUM(D455:D463)</f>
        <v>4</v>
      </c>
      <c r="E464" s="31">
        <f>SUM(B464:D464)</f>
        <v>11</v>
      </c>
      <c r="F464" s="28">
        <f>SUM(F455:F463)</f>
        <v>4</v>
      </c>
      <c r="G464" s="29">
        <f>SUM(G455:G463)</f>
        <v>3</v>
      </c>
      <c r="H464" s="30">
        <f>SUM(H455:H463)</f>
        <v>4</v>
      </c>
      <c r="I464" s="31">
        <f>SUM(F464:H464)</f>
        <v>11</v>
      </c>
      <c r="J464" s="31">
        <f>E464+I464</f>
        <v>22</v>
      </c>
      <c r="L464" s="35" t="s">
        <v>15</v>
      </c>
      <c r="M464" s="28">
        <f>SUM(M455:M463)</f>
        <v>116</v>
      </c>
      <c r="N464" s="29">
        <f>SUM(N455:N463)</f>
        <v>144</v>
      </c>
      <c r="O464" s="30">
        <f>SUM(O455:O463)</f>
        <v>84</v>
      </c>
      <c r="P464" s="31">
        <f>SUM(M464:O464)</f>
        <v>344</v>
      </c>
      <c r="Q464" s="28">
        <f>SUM(Q455:Q463)</f>
        <v>116</v>
      </c>
      <c r="R464" s="29">
        <f>SUM(R455:R463)</f>
        <v>144</v>
      </c>
      <c r="S464" s="30">
        <f>SUM(S455:S463)</f>
        <v>84</v>
      </c>
      <c r="T464" s="31">
        <f>SUM(Q464:S464)</f>
        <v>344</v>
      </c>
      <c r="U464" s="31">
        <f>P464+T464</f>
        <v>688</v>
      </c>
    </row>
    <row r="465" spans="1:22" x14ac:dyDescent="0.15">
      <c r="A465" s="26" t="s">
        <v>463</v>
      </c>
      <c r="B465" s="13">
        <v>1</v>
      </c>
      <c r="C465" s="14"/>
      <c r="D465" s="15"/>
      <c r="E465" s="49">
        <f>SUM(B465:D465)</f>
        <v>1</v>
      </c>
      <c r="F465" s="16">
        <v>1</v>
      </c>
      <c r="G465" s="14"/>
      <c r="H465" s="15"/>
      <c r="I465" s="49">
        <f>SUM(F465:H465)</f>
        <v>1</v>
      </c>
      <c r="J465" s="11">
        <f>E465+I465</f>
        <v>2</v>
      </c>
      <c r="K465" s="62">
        <v>44470</v>
      </c>
      <c r="L465" s="26" t="s">
        <v>481</v>
      </c>
      <c r="M465" s="8">
        <v>1</v>
      </c>
      <c r="N465" s="9"/>
      <c r="O465" s="52"/>
      <c r="P465" s="87">
        <f t="shared" ref="P465:P466" si="406">SUM(M465:O465)</f>
        <v>1</v>
      </c>
      <c r="Q465" s="12">
        <v>1</v>
      </c>
      <c r="R465" s="9"/>
      <c r="S465" s="10"/>
      <c r="T465" s="49">
        <f t="shared" ref="T465:T466" si="407">SUM(Q465:S465)</f>
        <v>1</v>
      </c>
      <c r="U465" s="11">
        <f t="shared" ref="U465:U466" si="408">P465+T465</f>
        <v>2</v>
      </c>
      <c r="V465" s="98">
        <v>44456</v>
      </c>
    </row>
    <row r="466" spans="1:22" x14ac:dyDescent="0.15">
      <c r="A466" s="26" t="s">
        <v>505</v>
      </c>
      <c r="B466" s="8">
        <v>1</v>
      </c>
      <c r="C466" s="9"/>
      <c r="D466" s="10"/>
      <c r="E466" s="49">
        <f t="shared" ref="E466:E467" si="409">SUM(B466:D466)</f>
        <v>1</v>
      </c>
      <c r="F466" s="12">
        <v>1</v>
      </c>
      <c r="G466" s="9"/>
      <c r="H466" s="10"/>
      <c r="I466" s="49">
        <f t="shared" ref="I466:I467" si="410">SUM(F466:H466)</f>
        <v>1</v>
      </c>
      <c r="J466" s="11">
        <f t="shared" ref="J466:J467" si="411">E466+I466</f>
        <v>2</v>
      </c>
      <c r="K466" s="62">
        <v>44498</v>
      </c>
      <c r="L466" s="26" t="s">
        <v>482</v>
      </c>
      <c r="M466" s="94"/>
      <c r="N466" s="95">
        <v>1</v>
      </c>
      <c r="O466" s="96"/>
      <c r="P466" s="87">
        <f t="shared" si="406"/>
        <v>1</v>
      </c>
      <c r="Q466" s="12"/>
      <c r="R466" s="9">
        <v>1</v>
      </c>
      <c r="S466" s="10"/>
      <c r="T466" s="49">
        <f t="shared" si="407"/>
        <v>1</v>
      </c>
      <c r="U466" s="11">
        <f t="shared" si="408"/>
        <v>2</v>
      </c>
      <c r="V466" s="98">
        <v>44457</v>
      </c>
    </row>
    <row r="467" spans="1:22" x14ac:dyDescent="0.15">
      <c r="A467" s="26"/>
      <c r="B467" s="8"/>
      <c r="C467" s="9"/>
      <c r="D467" s="10"/>
      <c r="E467" s="49">
        <f t="shared" si="409"/>
        <v>0</v>
      </c>
      <c r="F467" s="12"/>
      <c r="G467" s="9"/>
      <c r="H467" s="10"/>
      <c r="I467" s="49">
        <f t="shared" si="410"/>
        <v>0</v>
      </c>
      <c r="J467" s="11">
        <f t="shared" si="411"/>
        <v>0</v>
      </c>
      <c r="L467" s="26" t="s">
        <v>485</v>
      </c>
      <c r="M467" s="13">
        <v>3</v>
      </c>
      <c r="N467" s="14">
        <v>3</v>
      </c>
      <c r="O467" s="53">
        <v>3</v>
      </c>
      <c r="P467" s="87">
        <f>SUM(M467:O467)</f>
        <v>9</v>
      </c>
      <c r="Q467" s="16">
        <v>3</v>
      </c>
      <c r="R467" s="14">
        <v>3</v>
      </c>
      <c r="S467" s="15">
        <v>3</v>
      </c>
      <c r="T467" s="49">
        <f>SUM(Q467:S467)</f>
        <v>9</v>
      </c>
      <c r="U467" s="11">
        <f>P467+T467</f>
        <v>18</v>
      </c>
      <c r="V467" s="98">
        <v>44457</v>
      </c>
    </row>
    <row r="468" spans="1:22" x14ac:dyDescent="0.15">
      <c r="A468" s="26"/>
      <c r="B468" s="13"/>
      <c r="C468" s="14"/>
      <c r="D468" s="15"/>
      <c r="E468" s="49">
        <f>SUM(B468:D468)</f>
        <v>0</v>
      </c>
      <c r="F468" s="16"/>
      <c r="G468" s="14"/>
      <c r="H468" s="15"/>
      <c r="I468" s="49">
        <f>SUM(F468:H468)</f>
        <v>0</v>
      </c>
      <c r="J468" s="11">
        <f>E468+I468</f>
        <v>0</v>
      </c>
      <c r="L468" s="26" t="s">
        <v>486</v>
      </c>
      <c r="M468" s="8">
        <v>16</v>
      </c>
      <c r="N468" s="9">
        <v>7</v>
      </c>
      <c r="O468" s="52">
        <v>6</v>
      </c>
      <c r="P468" s="87">
        <f t="shared" ref="P468:P479" si="412">SUM(M468:O468)</f>
        <v>29</v>
      </c>
      <c r="Q468" s="12">
        <v>16</v>
      </c>
      <c r="R468" s="9">
        <v>7</v>
      </c>
      <c r="S468" s="10">
        <v>6</v>
      </c>
      <c r="T468" s="49">
        <f t="shared" ref="T468:T479" si="413">SUM(Q468:S468)</f>
        <v>29</v>
      </c>
      <c r="U468" s="11">
        <f t="shared" ref="U468:U479" si="414">P468+T468</f>
        <v>58</v>
      </c>
      <c r="V468" s="98">
        <v>44461</v>
      </c>
    </row>
    <row r="469" spans="1:22" x14ac:dyDescent="0.15">
      <c r="A469" s="26"/>
      <c r="B469" s="8"/>
      <c r="C469" s="9"/>
      <c r="D469" s="10"/>
      <c r="E469" s="49">
        <f t="shared" ref="E469:E489" si="415">SUM(B469:D469)</f>
        <v>0</v>
      </c>
      <c r="F469" s="12"/>
      <c r="G469" s="9"/>
      <c r="H469" s="10"/>
      <c r="I469" s="49">
        <f t="shared" ref="I469:I489" si="416">SUM(F469:H469)</f>
        <v>0</v>
      </c>
      <c r="J469" s="11">
        <f t="shared" ref="J469:J489" si="417">E469+I469</f>
        <v>0</v>
      </c>
      <c r="L469" s="26" t="s">
        <v>488</v>
      </c>
      <c r="M469" s="8"/>
      <c r="N469" s="9">
        <v>7</v>
      </c>
      <c r="O469" s="52"/>
      <c r="P469" s="87">
        <f t="shared" si="412"/>
        <v>7</v>
      </c>
      <c r="Q469" s="12"/>
      <c r="R469" s="9">
        <v>7</v>
      </c>
      <c r="S469" s="10"/>
      <c r="T469" s="49">
        <f t="shared" si="413"/>
        <v>7</v>
      </c>
      <c r="U469" s="11">
        <f t="shared" si="414"/>
        <v>14</v>
      </c>
      <c r="V469" s="98">
        <v>44462</v>
      </c>
    </row>
    <row r="470" spans="1:22" x14ac:dyDescent="0.15">
      <c r="A470" s="26"/>
      <c r="B470" s="8"/>
      <c r="C470" s="9"/>
      <c r="D470" s="10"/>
      <c r="E470" s="49">
        <f t="shared" si="415"/>
        <v>0</v>
      </c>
      <c r="F470" s="12"/>
      <c r="G470" s="9"/>
      <c r="H470" s="10"/>
      <c r="I470" s="49">
        <f t="shared" si="416"/>
        <v>0</v>
      </c>
      <c r="J470" s="11">
        <f t="shared" si="417"/>
        <v>0</v>
      </c>
      <c r="L470" s="26" t="s">
        <v>490</v>
      </c>
      <c r="M470" s="8"/>
      <c r="N470" s="9">
        <v>1</v>
      </c>
      <c r="O470" s="52">
        <v>1</v>
      </c>
      <c r="P470" s="87">
        <f t="shared" si="412"/>
        <v>2</v>
      </c>
      <c r="Q470" s="12"/>
      <c r="R470" s="9">
        <v>1</v>
      </c>
      <c r="S470" s="10">
        <v>1</v>
      </c>
      <c r="T470" s="49">
        <f t="shared" si="413"/>
        <v>2</v>
      </c>
      <c r="U470" s="11">
        <f t="shared" si="414"/>
        <v>4</v>
      </c>
      <c r="V470" s="98">
        <v>44464</v>
      </c>
    </row>
    <row r="471" spans="1:22" x14ac:dyDescent="0.15">
      <c r="A471" s="26"/>
      <c r="B471" s="8"/>
      <c r="C471" s="9"/>
      <c r="D471" s="10"/>
      <c r="E471" s="49">
        <f t="shared" si="415"/>
        <v>0</v>
      </c>
      <c r="F471" s="12"/>
      <c r="G471" s="9"/>
      <c r="H471" s="10"/>
      <c r="I471" s="49">
        <f t="shared" si="416"/>
        <v>0</v>
      </c>
      <c r="J471" s="11">
        <f t="shared" si="417"/>
        <v>0</v>
      </c>
      <c r="L471" s="26" t="s">
        <v>491</v>
      </c>
      <c r="M471" s="8"/>
      <c r="N471" s="9"/>
      <c r="O471" s="52">
        <v>2</v>
      </c>
      <c r="P471" s="87">
        <f t="shared" si="412"/>
        <v>2</v>
      </c>
      <c r="Q471" s="12"/>
      <c r="R471" s="9"/>
      <c r="S471" s="10">
        <v>2</v>
      </c>
      <c r="T471" s="49">
        <f t="shared" si="413"/>
        <v>2</v>
      </c>
      <c r="U471" s="11">
        <f t="shared" si="414"/>
        <v>4</v>
      </c>
      <c r="V471" s="98">
        <v>44467</v>
      </c>
    </row>
    <row r="472" spans="1:22" x14ac:dyDescent="0.15">
      <c r="A472" s="26"/>
      <c r="B472" s="8"/>
      <c r="C472" s="9"/>
      <c r="D472" s="10"/>
      <c r="E472" s="49">
        <f t="shared" si="415"/>
        <v>0</v>
      </c>
      <c r="F472" s="12"/>
      <c r="G472" s="9"/>
      <c r="H472" s="10"/>
      <c r="I472" s="49">
        <f t="shared" si="416"/>
        <v>0</v>
      </c>
      <c r="J472" s="11">
        <f t="shared" si="417"/>
        <v>0</v>
      </c>
      <c r="L472" s="26" t="s">
        <v>492</v>
      </c>
      <c r="M472" s="8">
        <v>1</v>
      </c>
      <c r="N472" s="9"/>
      <c r="O472" s="52"/>
      <c r="P472" s="87">
        <f t="shared" si="412"/>
        <v>1</v>
      </c>
      <c r="Q472" s="12">
        <v>1</v>
      </c>
      <c r="R472" s="9"/>
      <c r="S472" s="10"/>
      <c r="T472" s="49">
        <f t="shared" si="413"/>
        <v>1</v>
      </c>
      <c r="U472" s="11">
        <f t="shared" si="414"/>
        <v>2</v>
      </c>
      <c r="V472" s="98">
        <v>44468</v>
      </c>
    </row>
    <row r="473" spans="1:22" x14ac:dyDescent="0.15">
      <c r="A473" s="26"/>
      <c r="B473" s="8"/>
      <c r="C473" s="9"/>
      <c r="D473" s="10"/>
      <c r="E473" s="49">
        <f t="shared" si="415"/>
        <v>0</v>
      </c>
      <c r="F473" s="12"/>
      <c r="G473" s="9"/>
      <c r="H473" s="10"/>
      <c r="I473" s="49">
        <f t="shared" si="416"/>
        <v>0</v>
      </c>
      <c r="J473" s="11">
        <f t="shared" si="417"/>
        <v>0</v>
      </c>
      <c r="L473" s="26" t="s">
        <v>493</v>
      </c>
      <c r="M473" s="8">
        <v>2</v>
      </c>
      <c r="N473" s="9">
        <v>1</v>
      </c>
      <c r="O473" s="52"/>
      <c r="P473" s="87">
        <f t="shared" si="412"/>
        <v>3</v>
      </c>
      <c r="Q473" s="12">
        <v>2</v>
      </c>
      <c r="R473" s="9">
        <v>1</v>
      </c>
      <c r="S473" s="10"/>
      <c r="T473" s="49">
        <f t="shared" si="413"/>
        <v>3</v>
      </c>
      <c r="U473" s="11">
        <f t="shared" si="414"/>
        <v>6</v>
      </c>
      <c r="V473" s="98">
        <v>44470</v>
      </c>
    </row>
    <row r="474" spans="1:22" x14ac:dyDescent="0.15">
      <c r="A474" s="26"/>
      <c r="B474" s="13"/>
      <c r="C474" s="14"/>
      <c r="D474" s="15"/>
      <c r="E474" s="49">
        <f t="shared" si="415"/>
        <v>0</v>
      </c>
      <c r="F474" s="16"/>
      <c r="G474" s="14"/>
      <c r="H474" s="15"/>
      <c r="I474" s="49">
        <f t="shared" si="416"/>
        <v>0</v>
      </c>
      <c r="J474" s="11">
        <f t="shared" si="417"/>
        <v>0</v>
      </c>
      <c r="L474" s="26" t="s">
        <v>494</v>
      </c>
      <c r="M474" s="13"/>
      <c r="N474" s="14"/>
      <c r="O474" s="53">
        <v>1</v>
      </c>
      <c r="P474" s="87">
        <f t="shared" si="412"/>
        <v>1</v>
      </c>
      <c r="Q474" s="16"/>
      <c r="R474" s="14"/>
      <c r="S474" s="15">
        <v>1</v>
      </c>
      <c r="T474" s="49">
        <f t="shared" si="413"/>
        <v>1</v>
      </c>
      <c r="U474" s="11">
        <f t="shared" si="414"/>
        <v>2</v>
      </c>
      <c r="V474" s="98">
        <v>44474</v>
      </c>
    </row>
    <row r="475" spans="1:22" x14ac:dyDescent="0.15">
      <c r="A475" s="26"/>
      <c r="B475" s="8"/>
      <c r="C475" s="9"/>
      <c r="D475" s="10"/>
      <c r="E475" s="49">
        <f t="shared" si="415"/>
        <v>0</v>
      </c>
      <c r="F475" s="12"/>
      <c r="G475" s="9"/>
      <c r="H475" s="10"/>
      <c r="I475" s="49">
        <f t="shared" si="416"/>
        <v>0</v>
      </c>
      <c r="J475" s="11">
        <f t="shared" si="417"/>
        <v>0</v>
      </c>
      <c r="L475" s="26" t="s">
        <v>500</v>
      </c>
      <c r="M475" s="8"/>
      <c r="N475" s="9"/>
      <c r="O475" s="52">
        <v>2</v>
      </c>
      <c r="P475" s="87">
        <f t="shared" si="412"/>
        <v>2</v>
      </c>
      <c r="Q475" s="12"/>
      <c r="R475" s="9"/>
      <c r="S475" s="10">
        <v>2</v>
      </c>
      <c r="T475" s="49">
        <f t="shared" si="413"/>
        <v>2</v>
      </c>
      <c r="U475" s="11">
        <f t="shared" si="414"/>
        <v>4</v>
      </c>
      <c r="V475" s="98">
        <v>44481</v>
      </c>
    </row>
    <row r="476" spans="1:22" x14ac:dyDescent="0.15">
      <c r="A476" s="26"/>
      <c r="B476" s="8"/>
      <c r="C476" s="9"/>
      <c r="D476" s="10"/>
      <c r="E476" s="49">
        <f t="shared" si="415"/>
        <v>0</v>
      </c>
      <c r="F476" s="12"/>
      <c r="G476" s="9"/>
      <c r="H476" s="10"/>
      <c r="I476" s="49">
        <f t="shared" si="416"/>
        <v>0</v>
      </c>
      <c r="J476" s="11">
        <f t="shared" si="417"/>
        <v>0</v>
      </c>
      <c r="L476" s="26" t="s">
        <v>501</v>
      </c>
      <c r="M476" s="8"/>
      <c r="N476" s="9">
        <v>1</v>
      </c>
      <c r="O476" s="52"/>
      <c r="P476" s="87">
        <f t="shared" si="412"/>
        <v>1</v>
      </c>
      <c r="Q476" s="12"/>
      <c r="R476" s="9">
        <v>1</v>
      </c>
      <c r="S476" s="10"/>
      <c r="T476" s="49">
        <f t="shared" si="413"/>
        <v>1</v>
      </c>
      <c r="U476" s="11">
        <f t="shared" si="414"/>
        <v>2</v>
      </c>
      <c r="V476" s="98">
        <v>44483</v>
      </c>
    </row>
    <row r="477" spans="1:22" x14ac:dyDescent="0.15">
      <c r="A477" s="26"/>
      <c r="B477" s="8"/>
      <c r="C477" s="9"/>
      <c r="D477" s="10"/>
      <c r="E477" s="49">
        <f t="shared" si="415"/>
        <v>0</v>
      </c>
      <c r="F477" s="12"/>
      <c r="G477" s="9"/>
      <c r="H477" s="10"/>
      <c r="I477" s="49">
        <f t="shared" si="416"/>
        <v>0</v>
      </c>
      <c r="J477" s="11">
        <f t="shared" si="417"/>
        <v>0</v>
      </c>
      <c r="L477" s="26" t="s">
        <v>504</v>
      </c>
      <c r="M477" s="8"/>
      <c r="N477" s="9"/>
      <c r="O477" s="52">
        <v>1</v>
      </c>
      <c r="P477" s="87">
        <f t="shared" si="412"/>
        <v>1</v>
      </c>
      <c r="Q477" s="12"/>
      <c r="R477" s="9"/>
      <c r="S477" s="10">
        <v>1</v>
      </c>
      <c r="T477" s="49">
        <f t="shared" si="413"/>
        <v>1</v>
      </c>
      <c r="U477" s="11">
        <f t="shared" si="414"/>
        <v>2</v>
      </c>
      <c r="V477" s="98">
        <v>44496</v>
      </c>
    </row>
    <row r="478" spans="1:22" x14ac:dyDescent="0.15">
      <c r="A478" s="26"/>
      <c r="B478" s="8"/>
      <c r="C478" s="9"/>
      <c r="D478" s="10"/>
      <c r="E478" s="49">
        <f t="shared" si="415"/>
        <v>0</v>
      </c>
      <c r="F478" s="12"/>
      <c r="G478" s="9"/>
      <c r="H478" s="10"/>
      <c r="I478" s="49">
        <f t="shared" si="416"/>
        <v>0</v>
      </c>
      <c r="J478" s="11">
        <f t="shared" si="417"/>
        <v>0</v>
      </c>
      <c r="L478" s="26" t="s">
        <v>506</v>
      </c>
      <c r="M478" s="8">
        <v>1</v>
      </c>
      <c r="N478" s="9">
        <v>1</v>
      </c>
      <c r="O478" s="52">
        <v>2</v>
      </c>
      <c r="P478" s="87">
        <f t="shared" si="412"/>
        <v>4</v>
      </c>
      <c r="Q478" s="12">
        <v>1</v>
      </c>
      <c r="R478" s="9">
        <v>1</v>
      </c>
      <c r="S478" s="10">
        <v>2</v>
      </c>
      <c r="T478" s="49">
        <f t="shared" si="413"/>
        <v>4</v>
      </c>
      <c r="U478" s="11">
        <f t="shared" si="414"/>
        <v>8</v>
      </c>
      <c r="V478" s="98">
        <v>44502</v>
      </c>
    </row>
    <row r="479" spans="1:22" x14ac:dyDescent="0.15">
      <c r="A479" s="26"/>
      <c r="B479" s="8"/>
      <c r="C479" s="9"/>
      <c r="D479" s="10"/>
      <c r="E479" s="49">
        <f t="shared" si="415"/>
        <v>0</v>
      </c>
      <c r="F479" s="12"/>
      <c r="G479" s="9"/>
      <c r="H479" s="10"/>
      <c r="I479" s="49">
        <f t="shared" si="416"/>
        <v>0</v>
      </c>
      <c r="J479" s="11">
        <f t="shared" si="417"/>
        <v>0</v>
      </c>
      <c r="L479" s="26" t="s">
        <v>508</v>
      </c>
      <c r="M479" s="8">
        <v>1</v>
      </c>
      <c r="N479" s="9">
        <v>3</v>
      </c>
      <c r="O479" s="52">
        <v>5</v>
      </c>
      <c r="P479" s="87">
        <f t="shared" si="412"/>
        <v>9</v>
      </c>
      <c r="Q479" s="12">
        <v>1</v>
      </c>
      <c r="R479" s="9">
        <v>3</v>
      </c>
      <c r="S479" s="10">
        <v>5</v>
      </c>
      <c r="T479" s="49">
        <f t="shared" si="413"/>
        <v>9</v>
      </c>
      <c r="U479" s="11">
        <f t="shared" si="414"/>
        <v>18</v>
      </c>
      <c r="V479" s="98">
        <v>44503</v>
      </c>
    </row>
    <row r="480" spans="1:22" x14ac:dyDescent="0.15">
      <c r="A480" s="26"/>
      <c r="B480" s="8"/>
      <c r="C480" s="9"/>
      <c r="D480" s="10"/>
      <c r="E480" s="49">
        <f t="shared" si="415"/>
        <v>0</v>
      </c>
      <c r="F480" s="12"/>
      <c r="G480" s="9"/>
      <c r="H480" s="10"/>
      <c r="I480" s="49">
        <f t="shared" si="416"/>
        <v>0</v>
      </c>
      <c r="J480" s="11">
        <f t="shared" si="417"/>
        <v>0</v>
      </c>
      <c r="L480" s="26" t="s">
        <v>510</v>
      </c>
      <c r="M480" s="13">
        <v>4</v>
      </c>
      <c r="N480" s="14">
        <v>1</v>
      </c>
      <c r="O480" s="53">
        <v>1</v>
      </c>
      <c r="P480" s="87">
        <f>SUM(M480:O480)</f>
        <v>6</v>
      </c>
      <c r="Q480" s="16">
        <v>4</v>
      </c>
      <c r="R480" s="14">
        <v>1</v>
      </c>
      <c r="S480" s="15">
        <v>1</v>
      </c>
      <c r="T480" s="49">
        <f>SUM(Q480:S480)</f>
        <v>6</v>
      </c>
      <c r="U480" s="11">
        <f>P480+T480</f>
        <v>12</v>
      </c>
      <c r="V480" s="98">
        <v>44505</v>
      </c>
    </row>
    <row r="481" spans="1:22" x14ac:dyDescent="0.15">
      <c r="A481" s="26"/>
      <c r="B481" s="8"/>
      <c r="C481" s="9"/>
      <c r="D481" s="10"/>
      <c r="E481" s="49">
        <f t="shared" si="415"/>
        <v>0</v>
      </c>
      <c r="F481" s="12"/>
      <c r="G481" s="9"/>
      <c r="H481" s="10"/>
      <c r="I481" s="49">
        <f t="shared" si="416"/>
        <v>0</v>
      </c>
      <c r="J481" s="11">
        <f t="shared" si="417"/>
        <v>0</v>
      </c>
      <c r="L481" s="26" t="s">
        <v>511</v>
      </c>
      <c r="M481" s="8"/>
      <c r="N481" s="9">
        <v>8</v>
      </c>
      <c r="O481" s="52"/>
      <c r="P481" s="87">
        <f t="shared" ref="P481:P483" si="418">SUM(M481:O481)</f>
        <v>8</v>
      </c>
      <c r="Q481" s="12"/>
      <c r="R481" s="9">
        <v>8</v>
      </c>
      <c r="S481" s="10"/>
      <c r="T481" s="49">
        <f t="shared" ref="T481:T483" si="419">SUM(Q481:S481)</f>
        <v>8</v>
      </c>
      <c r="U481" s="11">
        <f t="shared" ref="U481:U483" si="420">P481+T481</f>
        <v>16</v>
      </c>
      <c r="V481" s="98">
        <v>44506</v>
      </c>
    </row>
    <row r="482" spans="1:22" x14ac:dyDescent="0.15">
      <c r="A482" s="24"/>
      <c r="B482" s="8"/>
      <c r="C482" s="9"/>
      <c r="D482" s="10"/>
      <c r="E482" s="49">
        <f t="shared" si="415"/>
        <v>0</v>
      </c>
      <c r="F482" s="12"/>
      <c r="G482" s="9"/>
      <c r="H482" s="10"/>
      <c r="I482" s="49">
        <f t="shared" si="416"/>
        <v>0</v>
      </c>
      <c r="J482" s="11">
        <f t="shared" si="417"/>
        <v>0</v>
      </c>
      <c r="L482" s="26" t="s">
        <v>513</v>
      </c>
      <c r="M482" s="8">
        <v>5</v>
      </c>
      <c r="N482" s="9"/>
      <c r="O482" s="52">
        <v>1</v>
      </c>
      <c r="P482" s="87">
        <f t="shared" si="418"/>
        <v>6</v>
      </c>
      <c r="Q482" s="12">
        <v>5</v>
      </c>
      <c r="R482" s="9"/>
      <c r="S482" s="10">
        <v>1</v>
      </c>
      <c r="T482" s="49">
        <f t="shared" si="419"/>
        <v>6</v>
      </c>
      <c r="U482" s="11">
        <f t="shared" si="420"/>
        <v>12</v>
      </c>
      <c r="V482" s="98">
        <v>44509</v>
      </c>
    </row>
    <row r="483" spans="1:22" x14ac:dyDescent="0.15">
      <c r="A483" s="25"/>
      <c r="B483" s="8"/>
      <c r="C483" s="9"/>
      <c r="D483" s="10"/>
      <c r="E483" s="49">
        <f t="shared" si="415"/>
        <v>0</v>
      </c>
      <c r="F483" s="12"/>
      <c r="G483" s="9"/>
      <c r="H483" s="10"/>
      <c r="I483" s="49">
        <f t="shared" si="416"/>
        <v>0</v>
      </c>
      <c r="J483" s="11">
        <f t="shared" si="417"/>
        <v>0</v>
      </c>
      <c r="L483" s="26" t="s">
        <v>514</v>
      </c>
      <c r="M483" s="8">
        <v>2</v>
      </c>
      <c r="N483" s="9">
        <v>5</v>
      </c>
      <c r="O483" s="52"/>
      <c r="P483" s="87">
        <f t="shared" si="418"/>
        <v>7</v>
      </c>
      <c r="Q483" s="12">
        <v>2</v>
      </c>
      <c r="R483" s="9">
        <v>5</v>
      </c>
      <c r="S483" s="10"/>
      <c r="T483" s="49">
        <f t="shared" si="419"/>
        <v>7</v>
      </c>
      <c r="U483" s="11">
        <f t="shared" si="420"/>
        <v>14</v>
      </c>
      <c r="V483" s="98">
        <v>44510</v>
      </c>
    </row>
    <row r="484" spans="1:22" x14ac:dyDescent="0.15">
      <c r="A484" s="26"/>
      <c r="B484" s="8"/>
      <c r="C484" s="9"/>
      <c r="D484" s="10"/>
      <c r="E484" s="49">
        <f t="shared" si="415"/>
        <v>0</v>
      </c>
      <c r="F484" s="12"/>
      <c r="G484" s="9"/>
      <c r="H484" s="10"/>
      <c r="I484" s="49">
        <f t="shared" si="416"/>
        <v>0</v>
      </c>
      <c r="J484" s="11">
        <f t="shared" si="417"/>
        <v>0</v>
      </c>
      <c r="L484" s="26" t="s">
        <v>515</v>
      </c>
      <c r="M484" s="13">
        <v>7</v>
      </c>
      <c r="N484" s="14">
        <v>17</v>
      </c>
      <c r="O484" s="53">
        <v>15</v>
      </c>
      <c r="P484" s="87">
        <f>SUM(M484:O484)</f>
        <v>39</v>
      </c>
      <c r="Q484" s="16">
        <v>7</v>
      </c>
      <c r="R484" s="14">
        <v>17</v>
      </c>
      <c r="S484" s="15">
        <v>15</v>
      </c>
      <c r="T484" s="49">
        <f>SUM(Q484:S484)</f>
        <v>39</v>
      </c>
      <c r="U484" s="11">
        <f>P484+T484</f>
        <v>78</v>
      </c>
      <c r="V484" s="98">
        <v>44511</v>
      </c>
    </row>
    <row r="485" spans="1:22" x14ac:dyDescent="0.15">
      <c r="A485" s="24"/>
      <c r="B485" s="8"/>
      <c r="C485" s="9"/>
      <c r="D485" s="10"/>
      <c r="E485" s="49">
        <f t="shared" si="415"/>
        <v>0</v>
      </c>
      <c r="F485" s="12"/>
      <c r="G485" s="9"/>
      <c r="H485" s="10"/>
      <c r="I485" s="49">
        <f t="shared" si="416"/>
        <v>0</v>
      </c>
      <c r="J485" s="11">
        <f t="shared" si="417"/>
        <v>0</v>
      </c>
      <c r="L485" s="26" t="s">
        <v>517</v>
      </c>
      <c r="M485" s="8">
        <v>14</v>
      </c>
      <c r="N485" s="9">
        <v>22</v>
      </c>
      <c r="O485" s="52">
        <v>11</v>
      </c>
      <c r="P485" s="87">
        <f t="shared" ref="P485:P491" si="421">SUM(M485:O485)</f>
        <v>47</v>
      </c>
      <c r="Q485" s="12">
        <v>14</v>
      </c>
      <c r="R485" s="9">
        <v>22</v>
      </c>
      <c r="S485" s="10">
        <v>11</v>
      </c>
      <c r="T485" s="49">
        <f t="shared" ref="T485:T491" si="422">SUM(Q485:S485)</f>
        <v>47</v>
      </c>
      <c r="U485" s="11">
        <f t="shared" ref="U485:U490" si="423">P485+T485</f>
        <v>94</v>
      </c>
      <c r="V485" s="98">
        <v>44512</v>
      </c>
    </row>
    <row r="486" spans="1:22" x14ac:dyDescent="0.15">
      <c r="B486" s="13"/>
      <c r="C486" s="14"/>
      <c r="D486" s="15"/>
      <c r="E486" s="49">
        <f t="shared" si="415"/>
        <v>0</v>
      </c>
      <c r="F486" s="16"/>
      <c r="G486" s="14"/>
      <c r="H486" s="15"/>
      <c r="I486" s="49">
        <f t="shared" si="416"/>
        <v>0</v>
      </c>
      <c r="J486" s="11">
        <f t="shared" si="417"/>
        <v>0</v>
      </c>
      <c r="L486" s="26" t="s">
        <v>518</v>
      </c>
      <c r="M486" s="8">
        <v>11</v>
      </c>
      <c r="N486" s="9">
        <v>19</v>
      </c>
      <c r="O486" s="52">
        <v>5</v>
      </c>
      <c r="P486" s="87">
        <f t="shared" si="421"/>
        <v>35</v>
      </c>
      <c r="Q486" s="12">
        <v>11</v>
      </c>
      <c r="R486" s="9">
        <v>19</v>
      </c>
      <c r="S486" s="10">
        <v>5</v>
      </c>
      <c r="T486" s="49">
        <f t="shared" si="422"/>
        <v>35</v>
      </c>
      <c r="U486" s="11">
        <f t="shared" si="423"/>
        <v>70</v>
      </c>
      <c r="V486" s="98">
        <v>44515</v>
      </c>
    </row>
    <row r="487" spans="1:22" x14ac:dyDescent="0.15">
      <c r="A487" s="26"/>
      <c r="B487" s="8"/>
      <c r="C487" s="9"/>
      <c r="D487" s="10"/>
      <c r="E487" s="49">
        <f t="shared" si="415"/>
        <v>0</v>
      </c>
      <c r="F487" s="12"/>
      <c r="G487" s="9"/>
      <c r="H487" s="10"/>
      <c r="I487" s="49">
        <f t="shared" si="416"/>
        <v>0</v>
      </c>
      <c r="J487" s="11">
        <f t="shared" si="417"/>
        <v>0</v>
      </c>
      <c r="L487" s="26" t="s">
        <v>519</v>
      </c>
      <c r="M487" s="8">
        <v>21</v>
      </c>
      <c r="N487" s="9">
        <v>5</v>
      </c>
      <c r="O487" s="52">
        <v>5</v>
      </c>
      <c r="P487" s="87">
        <f t="shared" si="421"/>
        <v>31</v>
      </c>
      <c r="Q487" s="12">
        <v>21</v>
      </c>
      <c r="R487" s="9">
        <v>5</v>
      </c>
      <c r="S487" s="10">
        <v>5</v>
      </c>
      <c r="T487" s="49">
        <f t="shared" si="422"/>
        <v>31</v>
      </c>
      <c r="U487" s="11">
        <f t="shared" si="423"/>
        <v>62</v>
      </c>
      <c r="V487" s="98">
        <v>44516</v>
      </c>
    </row>
    <row r="488" spans="1:22" x14ac:dyDescent="0.15">
      <c r="A488" s="26"/>
      <c r="B488" s="8"/>
      <c r="C488" s="9"/>
      <c r="D488" s="10"/>
      <c r="E488" s="49">
        <f t="shared" si="415"/>
        <v>0</v>
      </c>
      <c r="F488" s="12"/>
      <c r="G488" s="9"/>
      <c r="H488" s="10"/>
      <c r="I488" s="49">
        <f t="shared" si="416"/>
        <v>0</v>
      </c>
      <c r="J488" s="11">
        <f t="shared" si="417"/>
        <v>0</v>
      </c>
      <c r="L488" s="111"/>
      <c r="M488" s="8"/>
      <c r="N488" s="9"/>
      <c r="O488" s="52"/>
      <c r="P488" s="87">
        <f t="shared" si="421"/>
        <v>0</v>
      </c>
      <c r="Q488" s="12"/>
      <c r="R488" s="9"/>
      <c r="S488" s="10"/>
      <c r="T488" s="49">
        <f t="shared" si="422"/>
        <v>0</v>
      </c>
      <c r="U488" s="11">
        <f t="shared" si="423"/>
        <v>0</v>
      </c>
    </row>
    <row r="489" spans="1:22" x14ac:dyDescent="0.15">
      <c r="A489" s="26"/>
      <c r="B489" s="8"/>
      <c r="C489" s="9"/>
      <c r="D489" s="10"/>
      <c r="E489" s="49">
        <f t="shared" si="415"/>
        <v>0</v>
      </c>
      <c r="F489" s="12"/>
      <c r="G489" s="9"/>
      <c r="H489" s="10"/>
      <c r="I489" s="49">
        <f t="shared" si="416"/>
        <v>0</v>
      </c>
      <c r="J489" s="11">
        <f t="shared" si="417"/>
        <v>0</v>
      </c>
      <c r="L489" s="86" t="s">
        <v>339</v>
      </c>
      <c r="M489" s="8"/>
      <c r="N489" s="9"/>
      <c r="O489" s="52"/>
      <c r="P489" s="87">
        <f t="shared" ref="P489" si="424">SUM(M489:O489)</f>
        <v>0</v>
      </c>
      <c r="Q489" s="12"/>
      <c r="R489" s="9"/>
      <c r="S489" s="10"/>
      <c r="T489" s="49">
        <f t="shared" ref="T489" si="425">SUM(Q489:S489)</f>
        <v>0</v>
      </c>
      <c r="U489" s="11">
        <f t="shared" ref="U489" si="426">P489+T489</f>
        <v>0</v>
      </c>
      <c r="V489" s="100" t="s">
        <v>337</v>
      </c>
    </row>
    <row r="490" spans="1:22" ht="14.25" thickBot="1" x14ac:dyDescent="0.2">
      <c r="A490" s="23"/>
      <c r="B490" s="13"/>
      <c r="C490" s="14"/>
      <c r="D490" s="15"/>
      <c r="E490" s="49">
        <f>SUM(B490:D490)</f>
        <v>0</v>
      </c>
      <c r="F490" s="16"/>
      <c r="G490" s="14"/>
      <c r="H490" s="15"/>
      <c r="I490" s="49">
        <f>SUM(F490:H490)</f>
        <v>0</v>
      </c>
      <c r="J490" s="11">
        <f>E490+I490</f>
        <v>0</v>
      </c>
      <c r="L490" s="86" t="s">
        <v>476</v>
      </c>
      <c r="M490" s="8"/>
      <c r="N490" s="9"/>
      <c r="O490" s="52"/>
      <c r="P490" s="87">
        <f t="shared" si="421"/>
        <v>0</v>
      </c>
      <c r="Q490" s="12"/>
      <c r="R490" s="9"/>
      <c r="S490" s="10"/>
      <c r="T490" s="49">
        <f t="shared" si="422"/>
        <v>0</v>
      </c>
      <c r="U490" s="11">
        <f t="shared" si="423"/>
        <v>0</v>
      </c>
      <c r="V490" s="100" t="s">
        <v>477</v>
      </c>
    </row>
    <row r="491" spans="1:22" ht="14.25" thickBot="1" x14ac:dyDescent="0.2">
      <c r="A491" s="41" t="s">
        <v>17</v>
      </c>
      <c r="B491" s="46">
        <f>SUM(B465:B490)</f>
        <v>2</v>
      </c>
      <c r="C491" s="47">
        <f t="shared" ref="C491:D491" si="427">SUM(C465:C490)</f>
        <v>0</v>
      </c>
      <c r="D491" s="58">
        <f t="shared" si="427"/>
        <v>0</v>
      </c>
      <c r="E491" s="45">
        <f t="shared" ref="E491" si="428">SUM(B491:D491)</f>
        <v>2</v>
      </c>
      <c r="F491" s="46">
        <f>SUM(F465:F490)</f>
        <v>2</v>
      </c>
      <c r="G491" s="47">
        <f t="shared" ref="G491:H491" si="429">SUM(G465:G490)</f>
        <v>0</v>
      </c>
      <c r="H491" s="58">
        <f t="shared" si="429"/>
        <v>0</v>
      </c>
      <c r="I491" s="45">
        <f t="shared" ref="I491" si="430">SUM(F491:H491)</f>
        <v>2</v>
      </c>
      <c r="J491" s="45">
        <f>E491+I491</f>
        <v>4</v>
      </c>
      <c r="L491" s="41" t="s">
        <v>17</v>
      </c>
      <c r="M491" s="46">
        <f>SUM(M465:M490)</f>
        <v>89</v>
      </c>
      <c r="N491" s="47">
        <f t="shared" ref="N491:O491" si="431">SUM(N465:N490)</f>
        <v>102</v>
      </c>
      <c r="O491" s="58">
        <f t="shared" si="431"/>
        <v>61</v>
      </c>
      <c r="P491" s="45">
        <f t="shared" si="421"/>
        <v>252</v>
      </c>
      <c r="Q491" s="46">
        <f>SUM(Q465:Q490)</f>
        <v>89</v>
      </c>
      <c r="R491" s="47">
        <f t="shared" ref="R491:S491" si="432">SUM(R465:R490)</f>
        <v>102</v>
      </c>
      <c r="S491" s="58">
        <f t="shared" si="432"/>
        <v>61</v>
      </c>
      <c r="T491" s="45">
        <f t="shared" si="422"/>
        <v>252</v>
      </c>
      <c r="U491" s="45">
        <f>P491+T491</f>
        <v>504</v>
      </c>
    </row>
    <row r="492" spans="1:22" ht="14.25" thickBot="1" x14ac:dyDescent="0.2">
      <c r="A492" s="22" t="s">
        <v>16</v>
      </c>
      <c r="B492" s="50">
        <f>B464-B491</f>
        <v>2</v>
      </c>
      <c r="C492" s="56">
        <f t="shared" ref="C492:D492" si="433">C464-C491</f>
        <v>3</v>
      </c>
      <c r="D492" s="57">
        <f t="shared" si="433"/>
        <v>4</v>
      </c>
      <c r="E492" s="55">
        <f>SUM(B492:D492)</f>
        <v>9</v>
      </c>
      <c r="F492" s="50">
        <f>F464-F491</f>
        <v>2</v>
      </c>
      <c r="G492" s="56">
        <f t="shared" ref="G492:H492" si="434">G464-G491</f>
        <v>3</v>
      </c>
      <c r="H492" s="57">
        <f t="shared" si="434"/>
        <v>4</v>
      </c>
      <c r="I492" s="55">
        <f>SUM(F492:H492)</f>
        <v>9</v>
      </c>
      <c r="J492" s="31">
        <f>E492+I492</f>
        <v>18</v>
      </c>
      <c r="L492" s="22" t="s">
        <v>16</v>
      </c>
      <c r="M492" s="50">
        <f>M464-M491</f>
        <v>27</v>
      </c>
      <c r="N492" s="56">
        <f t="shared" ref="N492:O492" si="435">N464-N491</f>
        <v>42</v>
      </c>
      <c r="O492" s="57">
        <f t="shared" si="435"/>
        <v>23</v>
      </c>
      <c r="P492" s="55">
        <f>SUM(M492:O492)</f>
        <v>92</v>
      </c>
      <c r="Q492" s="50">
        <f>Q464-Q491</f>
        <v>27</v>
      </c>
      <c r="R492" s="56">
        <f t="shared" ref="R492:S492" si="436">R464-R491</f>
        <v>42</v>
      </c>
      <c r="S492" s="57">
        <f t="shared" si="436"/>
        <v>23</v>
      </c>
      <c r="T492" s="55">
        <f>SUM(Q492:S492)</f>
        <v>92</v>
      </c>
      <c r="U492" s="31">
        <f>P492+T492</f>
        <v>184</v>
      </c>
      <c r="V492" s="97" t="s">
        <v>594</v>
      </c>
    </row>
    <row r="493" spans="1:22" ht="19.5" thickBot="1" x14ac:dyDescent="0.25">
      <c r="A493" s="3" t="s">
        <v>18</v>
      </c>
      <c r="B493" s="1"/>
      <c r="C493" s="1"/>
      <c r="D493" s="1"/>
      <c r="E493" s="1"/>
      <c r="F493" s="1"/>
      <c r="G493" s="1"/>
      <c r="H493" s="1"/>
      <c r="I493" s="1"/>
      <c r="J493" s="1"/>
      <c r="L493" s="3"/>
      <c r="M493" s="119">
        <f>M492/$P$492*100</f>
        <v>29.347826086956523</v>
      </c>
      <c r="N493" s="119">
        <f t="shared" ref="N493:O493" si="437">N492/$P$492*100</f>
        <v>45.652173913043477</v>
      </c>
      <c r="O493" s="119">
        <f t="shared" si="437"/>
        <v>25</v>
      </c>
      <c r="P493" s="119">
        <f>P492/$P$492*100</f>
        <v>100</v>
      </c>
      <c r="Q493" s="1"/>
      <c r="R493" s="1"/>
      <c r="S493" s="1"/>
      <c r="T493" s="1"/>
      <c r="U493" s="1"/>
      <c r="V493" s="97" t="s">
        <v>596</v>
      </c>
    </row>
    <row r="494" spans="1:22" ht="14.25" thickBot="1" x14ac:dyDescent="0.2">
      <c r="A494" s="7"/>
      <c r="B494" s="169" t="s">
        <v>22</v>
      </c>
      <c r="C494" s="170"/>
      <c r="D494" s="170"/>
      <c r="E494" s="171"/>
      <c r="F494" s="169" t="s">
        <v>23</v>
      </c>
      <c r="G494" s="170"/>
      <c r="H494" s="170"/>
      <c r="I494" s="171"/>
      <c r="J494" s="172" t="s">
        <v>0</v>
      </c>
      <c r="L494" s="7"/>
      <c r="M494" s="169" t="s">
        <v>22</v>
      </c>
      <c r="N494" s="170"/>
      <c r="O494" s="170"/>
      <c r="P494" s="171"/>
      <c r="Q494" s="169" t="s">
        <v>23</v>
      </c>
      <c r="R494" s="170"/>
      <c r="S494" s="170"/>
      <c r="T494" s="171"/>
      <c r="U494" s="172" t="s">
        <v>0</v>
      </c>
    </row>
    <row r="495" spans="1:22" ht="14.25" thickBot="1" x14ac:dyDescent="0.2">
      <c r="A495" s="7" t="s">
        <v>1</v>
      </c>
      <c r="B495" s="4" t="s">
        <v>2</v>
      </c>
      <c r="C495" s="5" t="s">
        <v>3</v>
      </c>
      <c r="D495" s="6" t="s">
        <v>4</v>
      </c>
      <c r="E495" s="7" t="s">
        <v>5</v>
      </c>
      <c r="F495" s="4" t="s">
        <v>2</v>
      </c>
      <c r="G495" s="5" t="s">
        <v>3</v>
      </c>
      <c r="H495" s="6" t="s">
        <v>4</v>
      </c>
      <c r="I495" s="7" t="s">
        <v>5</v>
      </c>
      <c r="J495" s="173"/>
      <c r="L495" s="7" t="s">
        <v>1</v>
      </c>
      <c r="M495" s="4" t="s">
        <v>2</v>
      </c>
      <c r="N495" s="5" t="s">
        <v>3</v>
      </c>
      <c r="O495" s="6" t="s">
        <v>4</v>
      </c>
      <c r="P495" s="7" t="s">
        <v>5</v>
      </c>
      <c r="Q495" s="4" t="s">
        <v>2</v>
      </c>
      <c r="R495" s="5" t="s">
        <v>3</v>
      </c>
      <c r="S495" s="6" t="s">
        <v>4</v>
      </c>
      <c r="T495" s="7" t="s">
        <v>5</v>
      </c>
      <c r="U495" s="173"/>
    </row>
    <row r="496" spans="1:22" ht="14.25" thickBot="1" x14ac:dyDescent="0.2">
      <c r="A496" s="27" t="s">
        <v>16</v>
      </c>
      <c r="B496" s="38">
        <f>B492</f>
        <v>2</v>
      </c>
      <c r="C496" s="39">
        <f>C492</f>
        <v>3</v>
      </c>
      <c r="D496" s="2">
        <f>D492</f>
        <v>4</v>
      </c>
      <c r="E496" s="36">
        <f>SUM(B496:D496)</f>
        <v>9</v>
      </c>
      <c r="F496" s="38">
        <f>F492</f>
        <v>2</v>
      </c>
      <c r="G496" s="39">
        <f>G492</f>
        <v>3</v>
      </c>
      <c r="H496" s="2">
        <f>H492</f>
        <v>4</v>
      </c>
      <c r="I496" s="36">
        <f>SUM(F496:H496)</f>
        <v>9</v>
      </c>
      <c r="J496" s="36">
        <f>E496+I496</f>
        <v>18</v>
      </c>
      <c r="L496" s="68" t="s">
        <v>16</v>
      </c>
      <c r="M496" s="42">
        <f>M492</f>
        <v>27</v>
      </c>
      <c r="N496" s="43">
        <f>N492</f>
        <v>42</v>
      </c>
      <c r="O496" s="60">
        <f>O492</f>
        <v>23</v>
      </c>
      <c r="P496" s="48">
        <f>SUM(M496:O496)</f>
        <v>92</v>
      </c>
      <c r="Q496" s="42">
        <f>Q492</f>
        <v>27</v>
      </c>
      <c r="R496" s="43">
        <f>R492</f>
        <v>42</v>
      </c>
      <c r="S496" s="60">
        <f>S492</f>
        <v>23</v>
      </c>
      <c r="T496" s="48">
        <f>SUM(Q496:S496)</f>
        <v>92</v>
      </c>
      <c r="U496" s="48">
        <f>P496+T496</f>
        <v>184</v>
      </c>
    </row>
    <row r="497" spans="1:23" x14ac:dyDescent="0.15">
      <c r="A497" s="25" t="s">
        <v>534</v>
      </c>
      <c r="B497" s="42"/>
      <c r="C497" s="43">
        <v>1</v>
      </c>
      <c r="D497" s="44">
        <v>1</v>
      </c>
      <c r="E497" s="48">
        <f>SUM(B497:D497)</f>
        <v>2</v>
      </c>
      <c r="F497" s="59"/>
      <c r="G497" s="43">
        <v>1</v>
      </c>
      <c r="H497" s="60">
        <v>1</v>
      </c>
      <c r="I497" s="48">
        <f>SUM(F497:H497)</f>
        <v>2</v>
      </c>
      <c r="J497" s="48">
        <f>E497+I497</f>
        <v>4</v>
      </c>
      <c r="K497" s="64">
        <v>44526</v>
      </c>
      <c r="L497" s="25" t="s">
        <v>7</v>
      </c>
      <c r="M497" s="73"/>
      <c r="N497" s="74"/>
      <c r="O497" s="75"/>
      <c r="P497" s="76">
        <f>SUM(M497:O497)</f>
        <v>0</v>
      </c>
      <c r="Q497" s="77"/>
      <c r="R497" s="74"/>
      <c r="S497" s="78"/>
      <c r="T497" s="76">
        <f>SUM(Q497:S497)</f>
        <v>0</v>
      </c>
      <c r="U497" s="48">
        <f>P497+T497</f>
        <v>0</v>
      </c>
    </row>
    <row r="498" spans="1:23" x14ac:dyDescent="0.15">
      <c r="A498" s="25" t="s">
        <v>535</v>
      </c>
      <c r="B498" s="8">
        <v>3</v>
      </c>
      <c r="C498" s="9">
        <v>3</v>
      </c>
      <c r="D498" s="52">
        <v>3</v>
      </c>
      <c r="E498" s="11">
        <f>SUM(B498:D498)</f>
        <v>9</v>
      </c>
      <c r="F498" s="12">
        <v>3</v>
      </c>
      <c r="G498" s="9">
        <v>3</v>
      </c>
      <c r="H498" s="10">
        <v>3</v>
      </c>
      <c r="I498" s="11">
        <f>SUM(F498:H498)</f>
        <v>9</v>
      </c>
      <c r="J498" s="11">
        <f>E498+I498</f>
        <v>18</v>
      </c>
      <c r="K498" s="62">
        <v>44529</v>
      </c>
      <c r="L498" s="25" t="s">
        <v>8</v>
      </c>
      <c r="M498" s="17"/>
      <c r="N498" s="18"/>
      <c r="O498" s="51"/>
      <c r="P498" s="49">
        <f t="shared" ref="P498:P504" si="438">SUM(M498:O498)</f>
        <v>0</v>
      </c>
      <c r="Q498" s="17"/>
      <c r="R498" s="18"/>
      <c r="S498" s="51"/>
      <c r="T498" s="49">
        <f t="shared" ref="T498:T504" si="439">SUM(Q498:S498)</f>
        <v>0</v>
      </c>
      <c r="U498" s="11">
        <f t="shared" ref="U498:U504" si="440">P498+T498</f>
        <v>0</v>
      </c>
    </row>
    <row r="499" spans="1:23" x14ac:dyDescent="0.15">
      <c r="A499" s="25" t="s">
        <v>32</v>
      </c>
      <c r="B499" s="17"/>
      <c r="C499" s="18">
        <v>3</v>
      </c>
      <c r="D499" s="51"/>
      <c r="E499" s="11">
        <f t="shared" ref="E499:E504" si="441">SUM(B499:D499)</f>
        <v>3</v>
      </c>
      <c r="F499" s="20"/>
      <c r="G499" s="18">
        <v>3</v>
      </c>
      <c r="H499" s="19"/>
      <c r="I499" s="11">
        <f t="shared" ref="I499:I504" si="442">SUM(F499:H499)</f>
        <v>3</v>
      </c>
      <c r="J499" s="11">
        <f t="shared" ref="J499:J504" si="443">E499+I499</f>
        <v>6</v>
      </c>
      <c r="K499" s="62">
        <v>44539</v>
      </c>
      <c r="L499" s="25" t="s">
        <v>480</v>
      </c>
      <c r="M499" s="17">
        <v>100</v>
      </c>
      <c r="N499" s="18">
        <v>130</v>
      </c>
      <c r="O499" s="51">
        <v>70</v>
      </c>
      <c r="P499" s="11">
        <f t="shared" si="438"/>
        <v>300</v>
      </c>
      <c r="Q499" s="20">
        <v>100</v>
      </c>
      <c r="R499" s="18">
        <v>130</v>
      </c>
      <c r="S499" s="19">
        <v>70</v>
      </c>
      <c r="T499" s="11">
        <f t="shared" si="439"/>
        <v>300</v>
      </c>
      <c r="U499" s="11">
        <f t="shared" si="440"/>
        <v>600</v>
      </c>
      <c r="V499" s="98" t="s">
        <v>532</v>
      </c>
    </row>
    <row r="500" spans="1:23" x14ac:dyDescent="0.15">
      <c r="A500" s="25" t="s">
        <v>52</v>
      </c>
      <c r="B500" s="8"/>
      <c r="C500" s="9"/>
      <c r="D500" s="52">
        <v>5</v>
      </c>
      <c r="E500" s="11">
        <f t="shared" si="441"/>
        <v>5</v>
      </c>
      <c r="F500" s="12"/>
      <c r="G500" s="9"/>
      <c r="H500" s="10">
        <v>5</v>
      </c>
      <c r="I500" s="11">
        <f t="shared" si="442"/>
        <v>5</v>
      </c>
      <c r="J500" s="11">
        <f t="shared" si="443"/>
        <v>10</v>
      </c>
      <c r="K500" s="62">
        <v>44540</v>
      </c>
      <c r="L500" s="25" t="s">
        <v>10</v>
      </c>
      <c r="M500" s="8"/>
      <c r="N500" s="9"/>
      <c r="O500" s="52"/>
      <c r="P500" s="11">
        <f t="shared" si="438"/>
        <v>0</v>
      </c>
      <c r="Q500" s="12"/>
      <c r="R500" s="9"/>
      <c r="S500" s="10"/>
      <c r="T500" s="11">
        <f t="shared" si="439"/>
        <v>0</v>
      </c>
      <c r="U500" s="11">
        <f t="shared" si="440"/>
        <v>0</v>
      </c>
    </row>
    <row r="501" spans="1:23" x14ac:dyDescent="0.15">
      <c r="A501" s="25"/>
      <c r="B501" s="8"/>
      <c r="C501" s="9"/>
      <c r="D501" s="52"/>
      <c r="E501" s="11">
        <f t="shared" si="441"/>
        <v>0</v>
      </c>
      <c r="F501" s="12"/>
      <c r="G501" s="9"/>
      <c r="H501" s="10"/>
      <c r="I501" s="11">
        <f t="shared" si="442"/>
        <v>0</v>
      </c>
      <c r="J501" s="11">
        <f t="shared" si="443"/>
        <v>0</v>
      </c>
      <c r="K501" s="66"/>
      <c r="L501" s="25" t="s">
        <v>11</v>
      </c>
      <c r="M501" s="8"/>
      <c r="N501" s="9"/>
      <c r="O501" s="52"/>
      <c r="P501" s="11">
        <f t="shared" si="438"/>
        <v>0</v>
      </c>
      <c r="Q501" s="12"/>
      <c r="R501" s="9"/>
      <c r="S501" s="10"/>
      <c r="T501" s="11">
        <f t="shared" si="439"/>
        <v>0</v>
      </c>
      <c r="U501" s="11">
        <f t="shared" si="440"/>
        <v>0</v>
      </c>
    </row>
    <row r="502" spans="1:23" x14ac:dyDescent="0.15">
      <c r="A502" s="25"/>
      <c r="B502" s="8"/>
      <c r="C502" s="9"/>
      <c r="D502" s="52"/>
      <c r="E502" s="11">
        <f t="shared" si="441"/>
        <v>0</v>
      </c>
      <c r="F502" s="12"/>
      <c r="G502" s="9"/>
      <c r="H502" s="10"/>
      <c r="I502" s="11">
        <f t="shared" si="442"/>
        <v>0</v>
      </c>
      <c r="J502" s="11">
        <f t="shared" si="443"/>
        <v>0</v>
      </c>
      <c r="K502" s="66"/>
      <c r="L502" s="25" t="s">
        <v>12</v>
      </c>
      <c r="M502" s="17"/>
      <c r="N502" s="18"/>
      <c r="O502" s="51"/>
      <c r="P502" s="49">
        <f t="shared" si="438"/>
        <v>0</v>
      </c>
      <c r="Q502" s="17"/>
      <c r="R502" s="18"/>
      <c r="S502" s="51"/>
      <c r="T502" s="49">
        <f t="shared" si="439"/>
        <v>0</v>
      </c>
      <c r="U502" s="11">
        <f t="shared" si="440"/>
        <v>0</v>
      </c>
    </row>
    <row r="503" spans="1:23" x14ac:dyDescent="0.15">
      <c r="A503" s="25"/>
      <c r="B503" s="13"/>
      <c r="C503" s="14"/>
      <c r="D503" s="53"/>
      <c r="E503" s="11">
        <f t="shared" si="441"/>
        <v>0</v>
      </c>
      <c r="F503" s="16"/>
      <c r="G503" s="14"/>
      <c r="H503" s="15"/>
      <c r="I503" s="11">
        <f t="shared" si="442"/>
        <v>0</v>
      </c>
      <c r="J503" s="11">
        <f t="shared" si="443"/>
        <v>0</v>
      </c>
      <c r="L503" s="25" t="s">
        <v>13</v>
      </c>
      <c r="M503" s="13"/>
      <c r="N503" s="14"/>
      <c r="O503" s="53"/>
      <c r="P503" s="11">
        <f t="shared" si="438"/>
        <v>0</v>
      </c>
      <c r="Q503" s="16"/>
      <c r="R503" s="14"/>
      <c r="S503" s="15"/>
      <c r="T503" s="11">
        <f t="shared" si="439"/>
        <v>0</v>
      </c>
      <c r="U503" s="11">
        <f t="shared" si="440"/>
        <v>0</v>
      </c>
    </row>
    <row r="504" spans="1:23" ht="14.25" thickBot="1" x14ac:dyDescent="0.2">
      <c r="A504" s="25"/>
      <c r="B504" s="32"/>
      <c r="C504" s="33"/>
      <c r="D504" s="54"/>
      <c r="E504" s="61">
        <f t="shared" si="441"/>
        <v>0</v>
      </c>
      <c r="F504" s="34"/>
      <c r="G504" s="34"/>
      <c r="H504" s="37"/>
      <c r="I504" s="61">
        <f t="shared" si="442"/>
        <v>0</v>
      </c>
      <c r="J504" s="21">
        <f t="shared" si="443"/>
        <v>0</v>
      </c>
      <c r="L504" s="25" t="s">
        <v>14</v>
      </c>
      <c r="M504" s="32"/>
      <c r="N504" s="33"/>
      <c r="O504" s="54"/>
      <c r="P504" s="61">
        <f t="shared" si="438"/>
        <v>0</v>
      </c>
      <c r="Q504" s="34"/>
      <c r="R504" s="34"/>
      <c r="S504" s="37"/>
      <c r="T504" s="61">
        <f t="shared" si="439"/>
        <v>0</v>
      </c>
      <c r="U504" s="21">
        <f t="shared" si="440"/>
        <v>0</v>
      </c>
    </row>
    <row r="505" spans="1:23" ht="14.25" thickBot="1" x14ac:dyDescent="0.2">
      <c r="A505" s="35" t="s">
        <v>15</v>
      </c>
      <c r="B505" s="28">
        <f>SUM(B496:B504)</f>
        <v>5</v>
      </c>
      <c r="C505" s="29">
        <f>SUM(C496:C504)</f>
        <v>10</v>
      </c>
      <c r="D505" s="30">
        <f>SUM(D496:D504)</f>
        <v>13</v>
      </c>
      <c r="E505" s="31">
        <f>SUM(B505:D505)</f>
        <v>28</v>
      </c>
      <c r="F505" s="28">
        <f>SUM(F496:F504)</f>
        <v>5</v>
      </c>
      <c r="G505" s="29">
        <f>SUM(G496:G504)</f>
        <v>10</v>
      </c>
      <c r="H505" s="30">
        <f>SUM(H496:H504)</f>
        <v>13</v>
      </c>
      <c r="I505" s="31">
        <f>SUM(F505:H505)</f>
        <v>28</v>
      </c>
      <c r="J505" s="31">
        <f>E505+I505</f>
        <v>56</v>
      </c>
      <c r="L505" s="35" t="s">
        <v>15</v>
      </c>
      <c r="M505" s="28">
        <f>SUM(M496:M504)</f>
        <v>127</v>
      </c>
      <c r="N505" s="29">
        <f>SUM(N496:N504)</f>
        <v>172</v>
      </c>
      <c r="O505" s="30">
        <f>SUM(O496:O504)</f>
        <v>93</v>
      </c>
      <c r="P505" s="31">
        <f>SUM(M505:O505)</f>
        <v>392</v>
      </c>
      <c r="Q505" s="28">
        <f>SUM(Q496:Q504)</f>
        <v>127</v>
      </c>
      <c r="R505" s="29">
        <f>SUM(R496:R504)</f>
        <v>172</v>
      </c>
      <c r="S505" s="30">
        <f>SUM(S496:S504)</f>
        <v>93</v>
      </c>
      <c r="T505" s="31">
        <f>SUM(Q505:S505)</f>
        <v>392</v>
      </c>
      <c r="U505" s="31">
        <f>P505+T505</f>
        <v>784</v>
      </c>
    </row>
    <row r="506" spans="1:23" x14ac:dyDescent="0.15">
      <c r="A506" s="26" t="s">
        <v>526</v>
      </c>
      <c r="B506" s="13">
        <v>2</v>
      </c>
      <c r="C506" s="14"/>
      <c r="D506" s="15"/>
      <c r="E506" s="49">
        <f>SUM(B506:D506)</f>
        <v>2</v>
      </c>
      <c r="F506" s="16">
        <v>2</v>
      </c>
      <c r="G506" s="14"/>
      <c r="H506" s="15"/>
      <c r="I506" s="49">
        <f>SUM(F506:H506)</f>
        <v>2</v>
      </c>
      <c r="J506" s="11">
        <f>E506+I506</f>
        <v>4</v>
      </c>
      <c r="K506" s="62">
        <v>44520</v>
      </c>
      <c r="L506" s="26" t="s">
        <v>520</v>
      </c>
      <c r="M506" s="8">
        <v>3</v>
      </c>
      <c r="N506" s="9">
        <v>5</v>
      </c>
      <c r="O506" s="52">
        <v>1</v>
      </c>
      <c r="P506" s="87">
        <f t="shared" ref="P506:P507" si="444">SUM(M506:O506)</f>
        <v>9</v>
      </c>
      <c r="Q506" s="12">
        <v>3</v>
      </c>
      <c r="R506" s="9">
        <v>5</v>
      </c>
      <c r="S506" s="10">
        <v>1</v>
      </c>
      <c r="T506" s="49">
        <f t="shared" ref="T506:T507" si="445">SUM(Q506:S506)</f>
        <v>9</v>
      </c>
      <c r="U506" s="11">
        <f t="shared" ref="U506:U507" si="446">P506+T506</f>
        <v>18</v>
      </c>
      <c r="V506" s="98">
        <v>44517</v>
      </c>
    </row>
    <row r="507" spans="1:23" x14ac:dyDescent="0.15">
      <c r="A507" s="26" t="s">
        <v>527</v>
      </c>
      <c r="B507" s="8"/>
      <c r="C507" s="9">
        <v>3</v>
      </c>
      <c r="D507" s="10">
        <v>4</v>
      </c>
      <c r="E507" s="49">
        <f t="shared" ref="E507:E508" si="447">SUM(B507:D507)</f>
        <v>7</v>
      </c>
      <c r="F507" s="12"/>
      <c r="G507" s="9">
        <v>3</v>
      </c>
      <c r="H507" s="10">
        <v>4</v>
      </c>
      <c r="I507" s="49">
        <f t="shared" ref="I507:I508" si="448">SUM(F507:H507)</f>
        <v>7</v>
      </c>
      <c r="J507" s="11">
        <f t="shared" ref="J507:J508" si="449">E507+I507</f>
        <v>14</v>
      </c>
      <c r="K507" s="62">
        <v>44524</v>
      </c>
      <c r="L507" s="26" t="s">
        <v>522</v>
      </c>
      <c r="M507" s="94">
        <v>9</v>
      </c>
      <c r="N507" s="95">
        <v>6</v>
      </c>
      <c r="O507" s="96">
        <v>3</v>
      </c>
      <c r="P507" s="87">
        <f t="shared" si="444"/>
        <v>18</v>
      </c>
      <c r="Q507" s="12">
        <v>9</v>
      </c>
      <c r="R507" s="9">
        <v>6</v>
      </c>
      <c r="S507" s="10">
        <v>3</v>
      </c>
      <c r="T507" s="49">
        <f t="shared" si="445"/>
        <v>18</v>
      </c>
      <c r="U507" s="11">
        <f t="shared" si="446"/>
        <v>36</v>
      </c>
      <c r="V507" s="98">
        <v>44518</v>
      </c>
    </row>
    <row r="508" spans="1:23" x14ac:dyDescent="0.15">
      <c r="A508" s="26" t="s">
        <v>109</v>
      </c>
      <c r="B508" s="8"/>
      <c r="C508" s="9"/>
      <c r="D508" s="10">
        <v>1</v>
      </c>
      <c r="E508" s="49">
        <f t="shared" si="447"/>
        <v>1</v>
      </c>
      <c r="F508" s="12"/>
      <c r="G508" s="9"/>
      <c r="H508" s="10">
        <v>1</v>
      </c>
      <c r="I508" s="49">
        <f t="shared" si="448"/>
        <v>1</v>
      </c>
      <c r="J508" s="11">
        <f t="shared" si="449"/>
        <v>2</v>
      </c>
      <c r="K508" s="64">
        <v>44531</v>
      </c>
      <c r="L508" s="26" t="s">
        <v>524</v>
      </c>
      <c r="M508" s="13">
        <v>14</v>
      </c>
      <c r="N508" s="14">
        <v>12</v>
      </c>
      <c r="O508" s="53">
        <v>7</v>
      </c>
      <c r="P508" s="87">
        <f>SUM(M508:O508)</f>
        <v>33</v>
      </c>
      <c r="Q508" s="16">
        <v>14</v>
      </c>
      <c r="R508" s="14">
        <v>12</v>
      </c>
      <c r="S508" s="15">
        <v>7</v>
      </c>
      <c r="T508" s="49">
        <f>SUM(Q508:S508)</f>
        <v>33</v>
      </c>
      <c r="U508" s="11">
        <f>P508+T508</f>
        <v>66</v>
      </c>
      <c r="V508" s="98">
        <v>44519</v>
      </c>
    </row>
    <row r="509" spans="1:23" x14ac:dyDescent="0.15">
      <c r="A509" s="26" t="s">
        <v>543</v>
      </c>
      <c r="B509" s="13"/>
      <c r="C509" s="14">
        <v>1</v>
      </c>
      <c r="D509" s="15"/>
      <c r="E509" s="49">
        <f>SUM(B509:D509)</f>
        <v>1</v>
      </c>
      <c r="F509" s="16"/>
      <c r="G509" s="14">
        <v>1</v>
      </c>
      <c r="H509" s="15"/>
      <c r="I509" s="49">
        <f>SUM(F509:H509)</f>
        <v>1</v>
      </c>
      <c r="J509" s="11">
        <f>E509+I509</f>
        <v>2</v>
      </c>
      <c r="K509" s="62">
        <v>44537</v>
      </c>
      <c r="L509" s="26" t="s">
        <v>526</v>
      </c>
      <c r="M509" s="8">
        <v>1</v>
      </c>
      <c r="N509" s="9">
        <v>11</v>
      </c>
      <c r="O509" s="52">
        <v>3</v>
      </c>
      <c r="P509" s="87">
        <f t="shared" ref="P509:P520" si="450">SUM(M509:O509)</f>
        <v>15</v>
      </c>
      <c r="Q509" s="12">
        <v>1</v>
      </c>
      <c r="R509" s="9">
        <v>11</v>
      </c>
      <c r="S509" s="10">
        <v>3</v>
      </c>
      <c r="T509" s="49">
        <f t="shared" ref="T509:T520" si="451">SUM(Q509:S509)</f>
        <v>15</v>
      </c>
      <c r="U509" s="11">
        <f t="shared" ref="U509:U520" si="452">P509+T509</f>
        <v>30</v>
      </c>
      <c r="V509" s="98">
        <v>44520</v>
      </c>
    </row>
    <row r="510" spans="1:23" x14ac:dyDescent="0.15">
      <c r="A510" s="26" t="s">
        <v>109</v>
      </c>
      <c r="B510" s="8"/>
      <c r="C510" s="9">
        <v>1</v>
      </c>
      <c r="D510" s="10"/>
      <c r="E510" s="49">
        <f t="shared" ref="E510:E530" si="453">SUM(B510:D510)</f>
        <v>1</v>
      </c>
      <c r="F510" s="12"/>
      <c r="G510" s="9">
        <v>1</v>
      </c>
      <c r="H510" s="10"/>
      <c r="I510" s="49">
        <f t="shared" ref="I510:I530" si="454">SUM(F510:H510)</f>
        <v>1</v>
      </c>
      <c r="J510" s="11">
        <f t="shared" ref="J510:J530" si="455">E510+I510</f>
        <v>2</v>
      </c>
      <c r="K510" s="64">
        <v>44536</v>
      </c>
      <c r="L510" s="26" t="s">
        <v>527</v>
      </c>
      <c r="M510" s="8"/>
      <c r="N510" s="9">
        <v>3</v>
      </c>
      <c r="O510" s="52">
        <v>3</v>
      </c>
      <c r="P510" s="87">
        <f t="shared" ref="P510" si="456">SUM(M510:O510)</f>
        <v>6</v>
      </c>
      <c r="Q510" s="12"/>
      <c r="R510" s="9">
        <v>3</v>
      </c>
      <c r="S510" s="10">
        <v>3</v>
      </c>
      <c r="T510" s="49">
        <f t="shared" ref="T510" si="457">SUM(Q510:S510)</f>
        <v>6</v>
      </c>
      <c r="U510" s="11">
        <f t="shared" ref="U510" si="458">P510+T510</f>
        <v>12</v>
      </c>
      <c r="V510" s="98">
        <v>44524</v>
      </c>
    </row>
    <row r="511" spans="1:23" x14ac:dyDescent="0.15">
      <c r="A511" s="26" t="s">
        <v>546</v>
      </c>
      <c r="B511" s="8"/>
      <c r="C511" s="9">
        <v>1</v>
      </c>
      <c r="D511" s="10"/>
      <c r="E511" s="49">
        <f t="shared" si="453"/>
        <v>1</v>
      </c>
      <c r="F511" s="12"/>
      <c r="G511" s="9">
        <v>1</v>
      </c>
      <c r="H511" s="10"/>
      <c r="I511" s="49">
        <f t="shared" si="454"/>
        <v>1</v>
      </c>
      <c r="J511" s="11">
        <f t="shared" si="455"/>
        <v>2</v>
      </c>
      <c r="K511" s="62">
        <v>44538</v>
      </c>
      <c r="L511" s="26" t="s">
        <v>530</v>
      </c>
      <c r="M511" s="8">
        <v>17</v>
      </c>
      <c r="N511" s="9">
        <v>11</v>
      </c>
      <c r="O511" s="52">
        <v>5</v>
      </c>
      <c r="P511" s="87">
        <f t="shared" si="450"/>
        <v>33</v>
      </c>
      <c r="Q511" s="12">
        <v>17</v>
      </c>
      <c r="R511" s="9">
        <v>11</v>
      </c>
      <c r="S511" s="10">
        <v>5</v>
      </c>
      <c r="T511" s="49">
        <f t="shared" si="451"/>
        <v>33</v>
      </c>
      <c r="U511" s="11">
        <f t="shared" si="452"/>
        <v>66</v>
      </c>
      <c r="V511" s="98">
        <v>44526</v>
      </c>
    </row>
    <row r="512" spans="1:23" x14ac:dyDescent="0.15">
      <c r="A512" s="26"/>
      <c r="B512" s="8"/>
      <c r="C512" s="9"/>
      <c r="D512" s="10"/>
      <c r="E512" s="49">
        <f t="shared" si="453"/>
        <v>0</v>
      </c>
      <c r="F512" s="12"/>
      <c r="G512" s="9"/>
      <c r="H512" s="10"/>
      <c r="I512" s="49">
        <f t="shared" si="454"/>
        <v>0</v>
      </c>
      <c r="J512" s="11">
        <f t="shared" si="455"/>
        <v>0</v>
      </c>
      <c r="L512" s="26" t="s">
        <v>533</v>
      </c>
      <c r="M512" s="8">
        <v>10</v>
      </c>
      <c r="N512" s="9">
        <v>9</v>
      </c>
      <c r="O512" s="52">
        <v>5</v>
      </c>
      <c r="P512" s="87">
        <f t="shared" si="450"/>
        <v>24</v>
      </c>
      <c r="Q512" s="12">
        <v>10</v>
      </c>
      <c r="R512" s="9">
        <v>9</v>
      </c>
      <c r="S512" s="10">
        <v>5</v>
      </c>
      <c r="T512" s="49">
        <f t="shared" si="451"/>
        <v>24</v>
      </c>
      <c r="U512" s="11">
        <f t="shared" si="452"/>
        <v>48</v>
      </c>
      <c r="V512" s="98">
        <v>44527</v>
      </c>
      <c r="W512" s="66"/>
    </row>
    <row r="513" spans="1:22" x14ac:dyDescent="0.15">
      <c r="A513" s="26"/>
      <c r="B513" s="8"/>
      <c r="C513" s="9"/>
      <c r="D513" s="10"/>
      <c r="E513" s="49">
        <f t="shared" si="453"/>
        <v>0</v>
      </c>
      <c r="F513" s="12"/>
      <c r="G513" s="9"/>
      <c r="H513" s="10"/>
      <c r="I513" s="49">
        <f t="shared" si="454"/>
        <v>0</v>
      </c>
      <c r="J513" s="11">
        <f t="shared" si="455"/>
        <v>0</v>
      </c>
      <c r="L513" s="26" t="s">
        <v>536</v>
      </c>
      <c r="M513" s="8">
        <v>3</v>
      </c>
      <c r="N513" s="9">
        <v>3</v>
      </c>
      <c r="O513" s="52">
        <v>3</v>
      </c>
      <c r="P513" s="87">
        <f t="shared" si="450"/>
        <v>9</v>
      </c>
      <c r="Q513" s="12">
        <v>3</v>
      </c>
      <c r="R513" s="9">
        <v>3</v>
      </c>
      <c r="S513" s="10">
        <v>3</v>
      </c>
      <c r="T513" s="49">
        <f t="shared" si="451"/>
        <v>9</v>
      </c>
      <c r="U513" s="11">
        <f t="shared" si="452"/>
        <v>18</v>
      </c>
      <c r="V513" s="98">
        <v>44529</v>
      </c>
    </row>
    <row r="514" spans="1:22" x14ac:dyDescent="0.15">
      <c r="A514" s="26"/>
      <c r="B514" s="8"/>
      <c r="C514" s="9"/>
      <c r="D514" s="10"/>
      <c r="E514" s="49">
        <f t="shared" si="453"/>
        <v>0</v>
      </c>
      <c r="F514" s="12"/>
      <c r="G514" s="9"/>
      <c r="H514" s="10"/>
      <c r="I514" s="49">
        <f t="shared" si="454"/>
        <v>0</v>
      </c>
      <c r="J514" s="11">
        <f t="shared" si="455"/>
        <v>0</v>
      </c>
      <c r="L514" s="26" t="s">
        <v>537</v>
      </c>
      <c r="M514" s="8">
        <v>10</v>
      </c>
      <c r="N514" s="9">
        <v>2</v>
      </c>
      <c r="O514" s="52">
        <v>2</v>
      </c>
      <c r="P514" s="87">
        <f t="shared" si="450"/>
        <v>14</v>
      </c>
      <c r="Q514" s="12">
        <v>10</v>
      </c>
      <c r="R514" s="9">
        <v>2</v>
      </c>
      <c r="S514" s="10">
        <v>2</v>
      </c>
      <c r="T514" s="49">
        <f t="shared" si="451"/>
        <v>14</v>
      </c>
      <c r="U514" s="11">
        <f t="shared" si="452"/>
        <v>28</v>
      </c>
      <c r="V514" s="98">
        <v>44531</v>
      </c>
    </row>
    <row r="515" spans="1:22" x14ac:dyDescent="0.15">
      <c r="A515" s="26"/>
      <c r="B515" s="13"/>
      <c r="C515" s="14"/>
      <c r="D515" s="15"/>
      <c r="E515" s="49">
        <f t="shared" si="453"/>
        <v>0</v>
      </c>
      <c r="F515" s="16"/>
      <c r="G515" s="14"/>
      <c r="H515" s="15"/>
      <c r="I515" s="49">
        <f t="shared" si="454"/>
        <v>0</v>
      </c>
      <c r="J515" s="11">
        <f t="shared" si="455"/>
        <v>0</v>
      </c>
      <c r="L515" s="26" t="s">
        <v>539</v>
      </c>
      <c r="M515" s="13">
        <v>5</v>
      </c>
      <c r="N515" s="14">
        <v>6</v>
      </c>
      <c r="O515" s="53">
        <v>7</v>
      </c>
      <c r="P515" s="87">
        <f t="shared" si="450"/>
        <v>18</v>
      </c>
      <c r="Q515" s="16">
        <v>5</v>
      </c>
      <c r="R515" s="14">
        <v>6</v>
      </c>
      <c r="S515" s="15">
        <v>7</v>
      </c>
      <c r="T515" s="49">
        <f t="shared" si="451"/>
        <v>18</v>
      </c>
      <c r="U515" s="11">
        <f t="shared" si="452"/>
        <v>36</v>
      </c>
      <c r="V515" s="98">
        <v>44532</v>
      </c>
    </row>
    <row r="516" spans="1:22" x14ac:dyDescent="0.15">
      <c r="A516" s="26"/>
      <c r="B516" s="8"/>
      <c r="C516" s="9"/>
      <c r="D516" s="10"/>
      <c r="E516" s="49">
        <f t="shared" si="453"/>
        <v>0</v>
      </c>
      <c r="F516" s="12"/>
      <c r="G516" s="9"/>
      <c r="H516" s="10"/>
      <c r="I516" s="49">
        <f t="shared" si="454"/>
        <v>0</v>
      </c>
      <c r="J516" s="11">
        <f t="shared" si="455"/>
        <v>0</v>
      </c>
      <c r="L516" s="26" t="s">
        <v>540</v>
      </c>
      <c r="M516" s="8">
        <v>2</v>
      </c>
      <c r="N516" s="9"/>
      <c r="O516" s="52">
        <v>5</v>
      </c>
      <c r="P516" s="87">
        <f t="shared" si="450"/>
        <v>7</v>
      </c>
      <c r="Q516" s="12">
        <v>2</v>
      </c>
      <c r="R516" s="9"/>
      <c r="S516" s="10">
        <v>5</v>
      </c>
      <c r="T516" s="49">
        <f t="shared" si="451"/>
        <v>7</v>
      </c>
      <c r="U516" s="11">
        <f t="shared" si="452"/>
        <v>14</v>
      </c>
      <c r="V516" s="98">
        <v>44533</v>
      </c>
    </row>
    <row r="517" spans="1:22" x14ac:dyDescent="0.15">
      <c r="A517" s="26"/>
      <c r="B517" s="8"/>
      <c r="C517" s="9"/>
      <c r="D517" s="10"/>
      <c r="E517" s="49">
        <f t="shared" si="453"/>
        <v>0</v>
      </c>
      <c r="F517" s="12"/>
      <c r="G517" s="9"/>
      <c r="H517" s="10"/>
      <c r="I517" s="49">
        <f t="shared" si="454"/>
        <v>0</v>
      </c>
      <c r="J517" s="11">
        <f t="shared" si="455"/>
        <v>0</v>
      </c>
      <c r="L517" s="26" t="s">
        <v>541</v>
      </c>
      <c r="M517" s="8">
        <v>7</v>
      </c>
      <c r="N517" s="9">
        <v>3</v>
      </c>
      <c r="O517" s="52">
        <v>1</v>
      </c>
      <c r="P517" s="87">
        <f t="shared" si="450"/>
        <v>11</v>
      </c>
      <c r="Q517" s="12">
        <v>7</v>
      </c>
      <c r="R517" s="9">
        <v>3</v>
      </c>
      <c r="S517" s="10">
        <v>1</v>
      </c>
      <c r="T517" s="49">
        <f t="shared" si="451"/>
        <v>11</v>
      </c>
      <c r="U517" s="11">
        <f t="shared" si="452"/>
        <v>22</v>
      </c>
      <c r="V517" s="98">
        <v>44534</v>
      </c>
    </row>
    <row r="518" spans="1:22" x14ac:dyDescent="0.15">
      <c r="A518" s="26"/>
      <c r="B518" s="8"/>
      <c r="C518" s="9"/>
      <c r="D518" s="10"/>
      <c r="E518" s="49">
        <f t="shared" si="453"/>
        <v>0</v>
      </c>
      <c r="F518" s="12"/>
      <c r="G518" s="9"/>
      <c r="H518" s="10"/>
      <c r="I518" s="49">
        <f t="shared" si="454"/>
        <v>0</v>
      </c>
      <c r="J518" s="11">
        <f t="shared" si="455"/>
        <v>0</v>
      </c>
      <c r="L518" s="26" t="s">
        <v>542</v>
      </c>
      <c r="M518" s="8">
        <v>8</v>
      </c>
      <c r="N518" s="9">
        <v>9</v>
      </c>
      <c r="O518" s="52">
        <v>4</v>
      </c>
      <c r="P518" s="87">
        <f t="shared" si="450"/>
        <v>21</v>
      </c>
      <c r="Q518" s="12">
        <v>8</v>
      </c>
      <c r="R518" s="9">
        <v>9</v>
      </c>
      <c r="S518" s="10">
        <v>4</v>
      </c>
      <c r="T518" s="49">
        <f t="shared" si="451"/>
        <v>21</v>
      </c>
      <c r="U518" s="11">
        <f t="shared" si="452"/>
        <v>42</v>
      </c>
      <c r="V518" s="98">
        <v>44537</v>
      </c>
    </row>
    <row r="519" spans="1:22" x14ac:dyDescent="0.15">
      <c r="A519" s="26"/>
      <c r="B519" s="8"/>
      <c r="C519" s="9"/>
      <c r="D519" s="10"/>
      <c r="E519" s="49">
        <f t="shared" si="453"/>
        <v>0</v>
      </c>
      <c r="F519" s="12"/>
      <c r="G519" s="9"/>
      <c r="H519" s="10"/>
      <c r="I519" s="49">
        <f t="shared" si="454"/>
        <v>0</v>
      </c>
      <c r="J519" s="11">
        <f t="shared" si="455"/>
        <v>0</v>
      </c>
      <c r="L519" s="26" t="s">
        <v>29</v>
      </c>
      <c r="M519" s="8"/>
      <c r="N519" s="9">
        <v>3</v>
      </c>
      <c r="O519" s="52"/>
      <c r="P519" s="87">
        <f t="shared" si="450"/>
        <v>3</v>
      </c>
      <c r="Q519" s="12"/>
      <c r="R519" s="9">
        <v>3</v>
      </c>
      <c r="S519" s="10"/>
      <c r="T519" s="49">
        <f t="shared" si="451"/>
        <v>3</v>
      </c>
      <c r="U519" s="11">
        <f t="shared" si="452"/>
        <v>6</v>
      </c>
      <c r="V519" s="98">
        <v>44539</v>
      </c>
    </row>
    <row r="520" spans="1:22" x14ac:dyDescent="0.15">
      <c r="A520" s="26"/>
      <c r="B520" s="8"/>
      <c r="C520" s="9"/>
      <c r="D520" s="10"/>
      <c r="E520" s="49">
        <f t="shared" si="453"/>
        <v>0</v>
      </c>
      <c r="F520" s="12"/>
      <c r="G520" s="9"/>
      <c r="H520" s="10"/>
      <c r="I520" s="49">
        <f t="shared" si="454"/>
        <v>0</v>
      </c>
      <c r="J520" s="11">
        <f t="shared" si="455"/>
        <v>0</v>
      </c>
      <c r="L520" s="26" t="s">
        <v>548</v>
      </c>
      <c r="M520" s="8"/>
      <c r="N520" s="9"/>
      <c r="O520" s="52">
        <v>3</v>
      </c>
      <c r="P520" s="87">
        <f t="shared" si="450"/>
        <v>3</v>
      </c>
      <c r="Q520" s="12"/>
      <c r="R520" s="9"/>
      <c r="S520" s="10">
        <v>3</v>
      </c>
      <c r="T520" s="49">
        <f t="shared" si="451"/>
        <v>3</v>
      </c>
      <c r="U520" s="11">
        <f t="shared" si="452"/>
        <v>6</v>
      </c>
      <c r="V520" s="98">
        <v>44540</v>
      </c>
    </row>
    <row r="521" spans="1:22" x14ac:dyDescent="0.15">
      <c r="A521" s="26"/>
      <c r="B521" s="8"/>
      <c r="C521" s="9"/>
      <c r="D521" s="10"/>
      <c r="E521" s="49">
        <f t="shared" si="453"/>
        <v>0</v>
      </c>
      <c r="F521" s="12"/>
      <c r="G521" s="9"/>
      <c r="H521" s="10"/>
      <c r="I521" s="49">
        <f t="shared" si="454"/>
        <v>0</v>
      </c>
      <c r="J521" s="11">
        <f t="shared" si="455"/>
        <v>0</v>
      </c>
      <c r="L521" s="26" t="s">
        <v>549</v>
      </c>
      <c r="M521" s="13"/>
      <c r="N521" s="14">
        <v>1</v>
      </c>
      <c r="O521" s="53"/>
      <c r="P521" s="87">
        <f>SUM(M521:O521)</f>
        <v>1</v>
      </c>
      <c r="Q521" s="16"/>
      <c r="R521" s="14">
        <v>1</v>
      </c>
      <c r="S521" s="15"/>
      <c r="T521" s="49">
        <f>SUM(Q521:S521)</f>
        <v>1</v>
      </c>
      <c r="U521" s="11">
        <f>P521+T521</f>
        <v>2</v>
      </c>
      <c r="V521" s="98">
        <v>44543</v>
      </c>
    </row>
    <row r="522" spans="1:22" x14ac:dyDescent="0.15">
      <c r="A522" s="26"/>
      <c r="B522" s="8"/>
      <c r="C522" s="9"/>
      <c r="D522" s="10"/>
      <c r="E522" s="49">
        <f t="shared" si="453"/>
        <v>0</v>
      </c>
      <c r="F522" s="12"/>
      <c r="G522" s="9"/>
      <c r="H522" s="10"/>
      <c r="I522" s="49">
        <f t="shared" si="454"/>
        <v>0</v>
      </c>
      <c r="J522" s="11">
        <f t="shared" si="455"/>
        <v>0</v>
      </c>
      <c r="L522" s="26"/>
      <c r="M522" s="8"/>
      <c r="N522" s="9"/>
      <c r="O522" s="52"/>
      <c r="P522" s="87">
        <f t="shared" ref="P522:P524" si="459">SUM(M522:O522)</f>
        <v>0</v>
      </c>
      <c r="Q522" s="12"/>
      <c r="R522" s="9"/>
      <c r="S522" s="10"/>
      <c r="T522" s="49">
        <f t="shared" ref="T522:T524" si="460">SUM(Q522:S522)</f>
        <v>0</v>
      </c>
      <c r="U522" s="11">
        <f t="shared" ref="U522:U524" si="461">P522+T522</f>
        <v>0</v>
      </c>
      <c r="V522" s="98"/>
    </row>
    <row r="523" spans="1:22" x14ac:dyDescent="0.15">
      <c r="A523" s="24"/>
      <c r="B523" s="8"/>
      <c r="C523" s="9"/>
      <c r="D523" s="10"/>
      <c r="E523" s="49">
        <f t="shared" si="453"/>
        <v>0</v>
      </c>
      <c r="F523" s="12"/>
      <c r="G523" s="9"/>
      <c r="H523" s="10"/>
      <c r="I523" s="49">
        <f t="shared" si="454"/>
        <v>0</v>
      </c>
      <c r="J523" s="11">
        <f t="shared" si="455"/>
        <v>0</v>
      </c>
      <c r="L523" s="26"/>
      <c r="M523" s="8"/>
      <c r="N523" s="9"/>
      <c r="O523" s="52"/>
      <c r="P523" s="87">
        <f t="shared" si="459"/>
        <v>0</v>
      </c>
      <c r="Q523" s="12"/>
      <c r="R523" s="9"/>
      <c r="S523" s="10"/>
      <c r="T523" s="49">
        <f t="shared" si="460"/>
        <v>0</v>
      </c>
      <c r="U523" s="11">
        <f t="shared" si="461"/>
        <v>0</v>
      </c>
      <c r="V523" s="98"/>
    </row>
    <row r="524" spans="1:22" x14ac:dyDescent="0.15">
      <c r="A524" s="25"/>
      <c r="B524" s="8"/>
      <c r="C524" s="9"/>
      <c r="D524" s="10"/>
      <c r="E524" s="49">
        <f t="shared" si="453"/>
        <v>0</v>
      </c>
      <c r="F524" s="12"/>
      <c r="G524" s="9"/>
      <c r="H524" s="10"/>
      <c r="I524" s="49">
        <f t="shared" si="454"/>
        <v>0</v>
      </c>
      <c r="J524" s="11">
        <f t="shared" si="455"/>
        <v>0</v>
      </c>
      <c r="L524" s="26"/>
      <c r="M524" s="8"/>
      <c r="N524" s="9"/>
      <c r="O524" s="52"/>
      <c r="P524" s="87">
        <f t="shared" si="459"/>
        <v>0</v>
      </c>
      <c r="Q524" s="12"/>
      <c r="R524" s="9"/>
      <c r="S524" s="10"/>
      <c r="T524" s="49">
        <f t="shared" si="460"/>
        <v>0</v>
      </c>
      <c r="U524" s="11">
        <f t="shared" si="461"/>
        <v>0</v>
      </c>
      <c r="V524" s="98"/>
    </row>
    <row r="525" spans="1:22" x14ac:dyDescent="0.15">
      <c r="A525" s="26"/>
      <c r="B525" s="8"/>
      <c r="C525" s="9"/>
      <c r="D525" s="10"/>
      <c r="E525" s="49">
        <f t="shared" si="453"/>
        <v>0</v>
      </c>
      <c r="F525" s="12"/>
      <c r="G525" s="9"/>
      <c r="H525" s="10"/>
      <c r="I525" s="49">
        <f t="shared" si="454"/>
        <v>0</v>
      </c>
      <c r="J525" s="11">
        <f t="shared" si="455"/>
        <v>0</v>
      </c>
      <c r="L525" s="26"/>
      <c r="M525" s="13"/>
      <c r="N525" s="14"/>
      <c r="O525" s="53"/>
      <c r="P525" s="87">
        <f>SUM(M525:O525)</f>
        <v>0</v>
      </c>
      <c r="Q525" s="16"/>
      <c r="R525" s="14"/>
      <c r="S525" s="15"/>
      <c r="T525" s="49">
        <f>SUM(Q525:S525)</f>
        <v>0</v>
      </c>
      <c r="U525" s="11">
        <f>P525+T525</f>
        <v>0</v>
      </c>
    </row>
    <row r="526" spans="1:22" x14ac:dyDescent="0.15">
      <c r="A526" s="24"/>
      <c r="B526" s="8"/>
      <c r="C526" s="9"/>
      <c r="D526" s="10"/>
      <c r="E526" s="49">
        <f t="shared" si="453"/>
        <v>0</v>
      </c>
      <c r="F526" s="12"/>
      <c r="G526" s="9"/>
      <c r="H526" s="10"/>
      <c r="I526" s="49">
        <f t="shared" si="454"/>
        <v>0</v>
      </c>
      <c r="J526" s="11">
        <f t="shared" si="455"/>
        <v>0</v>
      </c>
      <c r="L526" s="26"/>
      <c r="M526" s="8"/>
      <c r="N526" s="9"/>
      <c r="O526" s="52"/>
      <c r="P526" s="87">
        <f t="shared" ref="P526:P532" si="462">SUM(M526:O526)</f>
        <v>0</v>
      </c>
      <c r="Q526" s="12"/>
      <c r="R526" s="9"/>
      <c r="S526" s="10"/>
      <c r="T526" s="49">
        <f t="shared" ref="T526:T532" si="463">SUM(Q526:S526)</f>
        <v>0</v>
      </c>
      <c r="U526" s="11">
        <f t="shared" ref="U526:U531" si="464">P526+T526</f>
        <v>0</v>
      </c>
    </row>
    <row r="527" spans="1:22" x14ac:dyDescent="0.15">
      <c r="B527" s="13"/>
      <c r="C527" s="14"/>
      <c r="D527" s="15"/>
      <c r="E527" s="49">
        <f t="shared" si="453"/>
        <v>0</v>
      </c>
      <c r="F527" s="16"/>
      <c r="G527" s="14"/>
      <c r="H527" s="15"/>
      <c r="I527" s="49">
        <f t="shared" si="454"/>
        <v>0</v>
      </c>
      <c r="J527" s="11">
        <f t="shared" si="455"/>
        <v>0</v>
      </c>
      <c r="L527" s="26"/>
      <c r="M527" s="8"/>
      <c r="N527" s="9"/>
      <c r="O527" s="52"/>
      <c r="P527" s="87">
        <f t="shared" si="462"/>
        <v>0</v>
      </c>
      <c r="Q527" s="12"/>
      <c r="R527" s="9"/>
      <c r="S527" s="10"/>
      <c r="T527" s="49">
        <f t="shared" si="463"/>
        <v>0</v>
      </c>
      <c r="U527" s="11">
        <f t="shared" si="464"/>
        <v>0</v>
      </c>
    </row>
    <row r="528" spans="1:22" x14ac:dyDescent="0.15">
      <c r="A528" s="26"/>
      <c r="B528" s="8"/>
      <c r="C528" s="9"/>
      <c r="D528" s="10"/>
      <c r="E528" s="49">
        <f t="shared" si="453"/>
        <v>0</v>
      </c>
      <c r="F528" s="12"/>
      <c r="G528" s="9"/>
      <c r="H528" s="10"/>
      <c r="I528" s="49">
        <f t="shared" si="454"/>
        <v>0</v>
      </c>
      <c r="J528" s="11">
        <f t="shared" si="455"/>
        <v>0</v>
      </c>
      <c r="L528" s="26"/>
      <c r="M528" s="8"/>
      <c r="N528" s="9"/>
      <c r="O528" s="52"/>
      <c r="P528" s="87">
        <f t="shared" si="462"/>
        <v>0</v>
      </c>
      <c r="Q528" s="12"/>
      <c r="R528" s="9"/>
      <c r="S528" s="10"/>
      <c r="T528" s="49">
        <f t="shared" si="463"/>
        <v>0</v>
      </c>
      <c r="U528" s="11">
        <f t="shared" si="464"/>
        <v>0</v>
      </c>
    </row>
    <row r="529" spans="1:22" x14ac:dyDescent="0.15">
      <c r="A529" s="26"/>
      <c r="B529" s="8"/>
      <c r="C529" s="9"/>
      <c r="D529" s="10"/>
      <c r="E529" s="49">
        <f t="shared" si="453"/>
        <v>0</v>
      </c>
      <c r="F529" s="12"/>
      <c r="G529" s="9"/>
      <c r="H529" s="10"/>
      <c r="I529" s="49">
        <f t="shared" si="454"/>
        <v>0</v>
      </c>
      <c r="J529" s="11">
        <f t="shared" si="455"/>
        <v>0</v>
      </c>
      <c r="L529" s="111"/>
      <c r="M529" s="8"/>
      <c r="N529" s="9"/>
      <c r="O529" s="52"/>
      <c r="P529" s="87">
        <f t="shared" si="462"/>
        <v>0</v>
      </c>
      <c r="Q529" s="12"/>
      <c r="R529" s="9"/>
      <c r="S529" s="10"/>
      <c r="T529" s="49">
        <f t="shared" si="463"/>
        <v>0</v>
      </c>
      <c r="U529" s="11">
        <f t="shared" si="464"/>
        <v>0</v>
      </c>
    </row>
    <row r="530" spans="1:22" x14ac:dyDescent="0.15">
      <c r="A530" s="26"/>
      <c r="B530" s="8"/>
      <c r="C530" s="9"/>
      <c r="D530" s="10"/>
      <c r="E530" s="49">
        <f t="shared" si="453"/>
        <v>0</v>
      </c>
      <c r="F530" s="12"/>
      <c r="G530" s="9"/>
      <c r="H530" s="10"/>
      <c r="I530" s="49">
        <f t="shared" si="454"/>
        <v>0</v>
      </c>
      <c r="J530" s="11">
        <f t="shared" si="455"/>
        <v>0</v>
      </c>
      <c r="L530" s="86" t="s">
        <v>502</v>
      </c>
      <c r="M530" s="8"/>
      <c r="N530" s="9"/>
      <c r="O530" s="52"/>
      <c r="P530" s="87">
        <f t="shared" si="462"/>
        <v>0</v>
      </c>
      <c r="Q530" s="12"/>
      <c r="R530" s="9"/>
      <c r="S530" s="10"/>
      <c r="T530" s="49">
        <f t="shared" si="463"/>
        <v>0</v>
      </c>
      <c r="U530" s="11">
        <f t="shared" si="464"/>
        <v>0</v>
      </c>
      <c r="V530" s="100" t="s">
        <v>503</v>
      </c>
    </row>
    <row r="531" spans="1:22" ht="14.25" thickBot="1" x14ac:dyDescent="0.2">
      <c r="A531" s="23"/>
      <c r="B531" s="13"/>
      <c r="C531" s="14"/>
      <c r="D531" s="15"/>
      <c r="E531" s="49">
        <f>SUM(B531:D531)</f>
        <v>0</v>
      </c>
      <c r="F531" s="16"/>
      <c r="G531" s="14"/>
      <c r="H531" s="15"/>
      <c r="I531" s="49">
        <f>SUM(F531:H531)</f>
        <v>0</v>
      </c>
      <c r="J531" s="11">
        <f>E531+I531</f>
        <v>0</v>
      </c>
      <c r="L531" s="86" t="s">
        <v>498</v>
      </c>
      <c r="M531" s="8"/>
      <c r="N531" s="9"/>
      <c r="O531" s="52"/>
      <c r="P531" s="87">
        <f t="shared" si="462"/>
        <v>0</v>
      </c>
      <c r="Q531" s="12"/>
      <c r="R531" s="9"/>
      <c r="S531" s="10"/>
      <c r="T531" s="49">
        <f t="shared" si="463"/>
        <v>0</v>
      </c>
      <c r="U531" s="11">
        <f t="shared" si="464"/>
        <v>0</v>
      </c>
      <c r="V531" s="100" t="s">
        <v>497</v>
      </c>
    </row>
    <row r="532" spans="1:22" ht="14.25" thickBot="1" x14ac:dyDescent="0.2">
      <c r="A532" s="41" t="s">
        <v>17</v>
      </c>
      <c r="B532" s="46">
        <f>SUM(B506:B531)</f>
        <v>2</v>
      </c>
      <c r="C532" s="47">
        <f t="shared" ref="C532:D532" si="465">SUM(C506:C531)</f>
        <v>6</v>
      </c>
      <c r="D532" s="58">
        <f t="shared" si="465"/>
        <v>5</v>
      </c>
      <c r="E532" s="45">
        <f t="shared" ref="E532" si="466">SUM(B532:D532)</f>
        <v>13</v>
      </c>
      <c r="F532" s="46">
        <f>SUM(F506:F531)</f>
        <v>2</v>
      </c>
      <c r="G532" s="47">
        <f t="shared" ref="G532:H532" si="467">SUM(G506:G531)</f>
        <v>6</v>
      </c>
      <c r="H532" s="58">
        <f t="shared" si="467"/>
        <v>5</v>
      </c>
      <c r="I532" s="45">
        <f t="shared" ref="I532" si="468">SUM(F532:H532)</f>
        <v>13</v>
      </c>
      <c r="J532" s="45">
        <f>E532+I532</f>
        <v>26</v>
      </c>
      <c r="L532" s="41" t="s">
        <v>17</v>
      </c>
      <c r="M532" s="46">
        <f>SUM(M506:M531)</f>
        <v>89</v>
      </c>
      <c r="N532" s="47">
        <f t="shared" ref="N532:O532" si="469">SUM(N506:N531)</f>
        <v>84</v>
      </c>
      <c r="O532" s="58">
        <f t="shared" si="469"/>
        <v>52</v>
      </c>
      <c r="P532" s="45">
        <f t="shared" si="462"/>
        <v>225</v>
      </c>
      <c r="Q532" s="46">
        <f>SUM(Q506:Q531)</f>
        <v>89</v>
      </c>
      <c r="R532" s="47">
        <f t="shared" ref="R532:S532" si="470">SUM(R506:R531)</f>
        <v>84</v>
      </c>
      <c r="S532" s="58">
        <f t="shared" si="470"/>
        <v>52</v>
      </c>
      <c r="T532" s="45">
        <f t="shared" si="463"/>
        <v>225</v>
      </c>
      <c r="U532" s="45">
        <f>P532+T532</f>
        <v>450</v>
      </c>
    </row>
    <row r="533" spans="1:22" ht="14.25" thickBot="1" x14ac:dyDescent="0.2">
      <c r="A533" s="22" t="s">
        <v>16</v>
      </c>
      <c r="B533" s="50">
        <f>B505-B532</f>
        <v>3</v>
      </c>
      <c r="C533" s="56">
        <f t="shared" ref="C533:D533" si="471">C505-C532</f>
        <v>4</v>
      </c>
      <c r="D533" s="57">
        <f t="shared" si="471"/>
        <v>8</v>
      </c>
      <c r="E533" s="55">
        <f>SUM(B533:D533)</f>
        <v>15</v>
      </c>
      <c r="F533" s="50">
        <f>F505-F532</f>
        <v>3</v>
      </c>
      <c r="G533" s="56">
        <f t="shared" ref="G533:H533" si="472">G505-G532</f>
        <v>4</v>
      </c>
      <c r="H533" s="57">
        <f t="shared" si="472"/>
        <v>8</v>
      </c>
      <c r="I533" s="55">
        <f>SUM(F533:H533)</f>
        <v>15</v>
      </c>
      <c r="J533" s="31">
        <f>E533+I533</f>
        <v>30</v>
      </c>
      <c r="L533" s="22" t="s">
        <v>16</v>
      </c>
      <c r="M533" s="50">
        <f>M505-M532</f>
        <v>38</v>
      </c>
      <c r="N533" s="56">
        <f t="shared" ref="N533:O533" si="473">N505-N532</f>
        <v>88</v>
      </c>
      <c r="O533" s="57">
        <f t="shared" si="473"/>
        <v>41</v>
      </c>
      <c r="P533" s="55">
        <f>SUM(M533:O533)</f>
        <v>167</v>
      </c>
      <c r="Q533" s="50">
        <f>Q505-Q532</f>
        <v>38</v>
      </c>
      <c r="R533" s="56">
        <f t="shared" ref="R533:S533" si="474">R505-R532</f>
        <v>88</v>
      </c>
      <c r="S533" s="57">
        <f t="shared" si="474"/>
        <v>41</v>
      </c>
      <c r="T533" s="55">
        <f>SUM(Q533:S533)</f>
        <v>167</v>
      </c>
      <c r="U533" s="31">
        <f>P533+T533</f>
        <v>334</v>
      </c>
    </row>
    <row r="534" spans="1:22" ht="19.5" thickBot="1" x14ac:dyDescent="0.25">
      <c r="A534" s="3" t="s">
        <v>18</v>
      </c>
      <c r="B534" s="1"/>
      <c r="C534" s="1"/>
      <c r="D534" s="1"/>
      <c r="E534" s="1"/>
      <c r="F534" s="1"/>
      <c r="G534" s="1"/>
      <c r="H534" s="1"/>
      <c r="I534" s="1"/>
      <c r="J534" s="1"/>
      <c r="L534" s="3" t="s">
        <v>19</v>
      </c>
      <c r="M534" s="1"/>
      <c r="N534" s="1"/>
      <c r="O534" s="1"/>
      <c r="P534" s="1"/>
      <c r="Q534" s="1"/>
      <c r="R534" s="1"/>
      <c r="S534" s="1"/>
      <c r="T534" s="1"/>
      <c r="U534" s="1"/>
      <c r="V534" s="97" t="s">
        <v>592</v>
      </c>
    </row>
    <row r="535" spans="1:22" ht="14.25" thickBot="1" x14ac:dyDescent="0.2">
      <c r="A535" s="7"/>
      <c r="B535" s="169" t="s">
        <v>22</v>
      </c>
      <c r="C535" s="170"/>
      <c r="D535" s="170"/>
      <c r="E535" s="171"/>
      <c r="F535" s="169" t="s">
        <v>23</v>
      </c>
      <c r="G535" s="170"/>
      <c r="H535" s="170"/>
      <c r="I535" s="171"/>
      <c r="J535" s="172" t="s">
        <v>0</v>
      </c>
      <c r="L535" s="7"/>
      <c r="M535" s="169" t="s">
        <v>22</v>
      </c>
      <c r="N535" s="170"/>
      <c r="O535" s="170"/>
      <c r="P535" s="171"/>
      <c r="Q535" s="169" t="s">
        <v>23</v>
      </c>
      <c r="R535" s="170"/>
      <c r="S535" s="170"/>
      <c r="T535" s="171"/>
      <c r="U535" s="172" t="s">
        <v>0</v>
      </c>
    </row>
    <row r="536" spans="1:22" ht="14.25" thickBot="1" x14ac:dyDescent="0.2">
      <c r="A536" s="7" t="s">
        <v>1</v>
      </c>
      <c r="B536" s="4" t="s">
        <v>2</v>
      </c>
      <c r="C536" s="5" t="s">
        <v>3</v>
      </c>
      <c r="D536" s="6" t="s">
        <v>4</v>
      </c>
      <c r="E536" s="7" t="s">
        <v>5</v>
      </c>
      <c r="F536" s="4" t="s">
        <v>2</v>
      </c>
      <c r="G536" s="5" t="s">
        <v>3</v>
      </c>
      <c r="H536" s="6" t="s">
        <v>4</v>
      </c>
      <c r="I536" s="7" t="s">
        <v>5</v>
      </c>
      <c r="J536" s="173"/>
      <c r="L536" s="7" t="s">
        <v>1</v>
      </c>
      <c r="M536" s="4" t="s">
        <v>2</v>
      </c>
      <c r="N536" s="5" t="s">
        <v>3</v>
      </c>
      <c r="O536" s="6" t="s">
        <v>4</v>
      </c>
      <c r="P536" s="7" t="s">
        <v>5</v>
      </c>
      <c r="Q536" s="4" t="s">
        <v>2</v>
      </c>
      <c r="R536" s="5" t="s">
        <v>3</v>
      </c>
      <c r="S536" s="6" t="s">
        <v>4</v>
      </c>
      <c r="T536" s="7" t="s">
        <v>5</v>
      </c>
      <c r="U536" s="173"/>
    </row>
    <row r="537" spans="1:22" ht="14.25" thickBot="1" x14ac:dyDescent="0.2">
      <c r="A537" s="27" t="s">
        <v>16</v>
      </c>
      <c r="B537" s="38">
        <f>B533</f>
        <v>3</v>
      </c>
      <c r="C537" s="39">
        <f>C533</f>
        <v>4</v>
      </c>
      <c r="D537" s="2">
        <f>D533</f>
        <v>8</v>
      </c>
      <c r="E537" s="36">
        <f>SUM(B537:D537)</f>
        <v>15</v>
      </c>
      <c r="F537" s="38">
        <f>F533</f>
        <v>3</v>
      </c>
      <c r="G537" s="39">
        <f>G533</f>
        <v>4</v>
      </c>
      <c r="H537" s="2">
        <f>H533</f>
        <v>8</v>
      </c>
      <c r="I537" s="36">
        <f>SUM(F537:H537)</f>
        <v>15</v>
      </c>
      <c r="J537" s="36">
        <f>E537+I537</f>
        <v>30</v>
      </c>
      <c r="L537" s="68" t="s">
        <v>16</v>
      </c>
      <c r="M537" s="42">
        <f>M533</f>
        <v>38</v>
      </c>
      <c r="N537" s="43">
        <f>N533</f>
        <v>88</v>
      </c>
      <c r="O537" s="60">
        <f>O533</f>
        <v>41</v>
      </c>
      <c r="P537" s="48">
        <f>SUM(M537:O537)</f>
        <v>167</v>
      </c>
      <c r="Q537" s="42">
        <f>Q533</f>
        <v>38</v>
      </c>
      <c r="R537" s="43">
        <f>R533</f>
        <v>88</v>
      </c>
      <c r="S537" s="60">
        <f>S533</f>
        <v>41</v>
      </c>
      <c r="T537" s="48">
        <f>SUM(Q537:S537)</f>
        <v>167</v>
      </c>
      <c r="U537" s="48">
        <f>P537+T537</f>
        <v>334</v>
      </c>
    </row>
    <row r="538" spans="1:22" x14ac:dyDescent="0.15">
      <c r="A538" s="25" t="s">
        <v>561</v>
      </c>
      <c r="B538" s="42"/>
      <c r="C538" s="43"/>
      <c r="D538" s="44">
        <v>2</v>
      </c>
      <c r="E538" s="48">
        <f>SUM(B538:D538)</f>
        <v>2</v>
      </c>
      <c r="F538" s="59"/>
      <c r="G538" s="43"/>
      <c r="H538" s="60">
        <v>2</v>
      </c>
      <c r="I538" s="48">
        <f>SUM(F538:H538)</f>
        <v>2</v>
      </c>
      <c r="J538" s="48">
        <f>E538+I538</f>
        <v>4</v>
      </c>
      <c r="K538" s="64">
        <v>44551</v>
      </c>
      <c r="L538" s="25" t="s">
        <v>7</v>
      </c>
      <c r="M538" s="73"/>
      <c r="N538" s="74"/>
      <c r="O538" s="75"/>
      <c r="P538" s="76">
        <f>SUM(M538:O538)</f>
        <v>0</v>
      </c>
      <c r="Q538" s="77"/>
      <c r="R538" s="74"/>
      <c r="S538" s="78"/>
      <c r="T538" s="76">
        <f>SUM(Q538:S538)</f>
        <v>0</v>
      </c>
      <c r="U538" s="48">
        <f>P538+T538</f>
        <v>0</v>
      </c>
    </row>
    <row r="539" spans="1:22" x14ac:dyDescent="0.15">
      <c r="A539" s="25" t="s">
        <v>52</v>
      </c>
      <c r="B539" s="8">
        <v>1</v>
      </c>
      <c r="C539" s="9">
        <v>1</v>
      </c>
      <c r="D539" s="52">
        <v>2</v>
      </c>
      <c r="E539" s="11">
        <f>SUM(B539:D539)</f>
        <v>4</v>
      </c>
      <c r="F539" s="12">
        <v>1</v>
      </c>
      <c r="G539" s="9">
        <v>1</v>
      </c>
      <c r="H539" s="10">
        <v>2</v>
      </c>
      <c r="I539" s="11">
        <f>SUM(F539:H539)</f>
        <v>4</v>
      </c>
      <c r="J539" s="11">
        <f>E539+I539</f>
        <v>8</v>
      </c>
      <c r="K539" s="64">
        <v>44553</v>
      </c>
      <c r="L539" s="25" t="s">
        <v>8</v>
      </c>
      <c r="M539" s="17"/>
      <c r="N539" s="18"/>
      <c r="O539" s="51"/>
      <c r="P539" s="49">
        <f t="shared" ref="P539:P545" si="475">SUM(M539:O539)</f>
        <v>0</v>
      </c>
      <c r="Q539" s="17"/>
      <c r="R539" s="18"/>
      <c r="S539" s="51"/>
      <c r="T539" s="49">
        <f t="shared" ref="T539:T545" si="476">SUM(Q539:S539)</f>
        <v>0</v>
      </c>
      <c r="U539" s="11">
        <f t="shared" ref="U539:U545" si="477">P539+T539</f>
        <v>0</v>
      </c>
      <c r="V539" s="100"/>
    </row>
    <row r="540" spans="1:22" x14ac:dyDescent="0.15">
      <c r="A540" s="25" t="s">
        <v>52</v>
      </c>
      <c r="B540" s="17"/>
      <c r="C540" s="18"/>
      <c r="D540" s="51">
        <v>1</v>
      </c>
      <c r="E540" s="11">
        <f t="shared" ref="E540:E545" si="478">SUM(B540:D540)</f>
        <v>1</v>
      </c>
      <c r="F540" s="20"/>
      <c r="G540" s="18"/>
      <c r="H540" s="19">
        <v>1</v>
      </c>
      <c r="I540" s="11">
        <f t="shared" ref="I540:I545" si="479">SUM(F540:H540)</f>
        <v>1</v>
      </c>
      <c r="J540" s="11">
        <f t="shared" ref="J540:J545" si="480">E540+I540</f>
        <v>2</v>
      </c>
      <c r="K540" s="64">
        <v>44574</v>
      </c>
      <c r="L540" s="25" t="s">
        <v>478</v>
      </c>
      <c r="M540" s="17">
        <v>239</v>
      </c>
      <c r="N540" s="18">
        <v>251</v>
      </c>
      <c r="O540" s="51">
        <v>149</v>
      </c>
      <c r="P540" s="11">
        <f t="shared" si="475"/>
        <v>639</v>
      </c>
      <c r="Q540" s="17">
        <v>239</v>
      </c>
      <c r="R540" s="18">
        <v>251</v>
      </c>
      <c r="S540" s="51">
        <v>149</v>
      </c>
      <c r="T540" s="11">
        <f t="shared" si="476"/>
        <v>639</v>
      </c>
      <c r="U540" s="11">
        <f t="shared" si="477"/>
        <v>1278</v>
      </c>
      <c r="V540" s="98" t="s">
        <v>532</v>
      </c>
    </row>
    <row r="541" spans="1:22" x14ac:dyDescent="0.15">
      <c r="A541" s="25" t="s">
        <v>579</v>
      </c>
      <c r="B541" s="8">
        <v>1</v>
      </c>
      <c r="C541" s="9"/>
      <c r="D541" s="52"/>
      <c r="E541" s="11">
        <f t="shared" si="478"/>
        <v>1</v>
      </c>
      <c r="F541" s="12">
        <v>1</v>
      </c>
      <c r="G541" s="9"/>
      <c r="H541" s="10"/>
      <c r="I541" s="11">
        <f t="shared" si="479"/>
        <v>1</v>
      </c>
      <c r="J541" s="11">
        <f t="shared" si="480"/>
        <v>2</v>
      </c>
      <c r="K541" s="64">
        <v>44589</v>
      </c>
      <c r="L541" s="25" t="s">
        <v>10</v>
      </c>
      <c r="M541" s="8"/>
      <c r="N541" s="9"/>
      <c r="O541" s="52"/>
      <c r="P541" s="11">
        <f t="shared" si="475"/>
        <v>0</v>
      </c>
      <c r="Q541" s="12"/>
      <c r="R541" s="9"/>
      <c r="S541" s="10"/>
      <c r="T541" s="11">
        <f t="shared" si="476"/>
        <v>0</v>
      </c>
      <c r="U541" s="11">
        <f t="shared" si="477"/>
        <v>0</v>
      </c>
      <c r="V541" s="100" t="s">
        <v>471</v>
      </c>
    </row>
    <row r="542" spans="1:22" x14ac:dyDescent="0.15">
      <c r="A542" s="25" t="s">
        <v>581</v>
      </c>
      <c r="B542" s="8">
        <v>3</v>
      </c>
      <c r="C542" s="9"/>
      <c r="D542" s="52"/>
      <c r="E542" s="11">
        <f t="shared" si="478"/>
        <v>3</v>
      </c>
      <c r="F542" s="12">
        <v>3</v>
      </c>
      <c r="G542" s="9"/>
      <c r="H542" s="10"/>
      <c r="I542" s="11">
        <f t="shared" si="479"/>
        <v>3</v>
      </c>
      <c r="J542" s="11">
        <f t="shared" si="480"/>
        <v>6</v>
      </c>
      <c r="K542" s="64">
        <v>44593</v>
      </c>
      <c r="L542" s="25" t="s">
        <v>29</v>
      </c>
      <c r="M542" s="8"/>
      <c r="N542" s="9"/>
      <c r="O542" s="52">
        <v>5</v>
      </c>
      <c r="P542" s="11">
        <f>SUM(M542:O542)</f>
        <v>5</v>
      </c>
      <c r="Q542" s="12"/>
      <c r="R542" s="9"/>
      <c r="S542" s="10">
        <v>5</v>
      </c>
      <c r="T542" s="11">
        <f>SUM(Q542:S542)</f>
        <v>5</v>
      </c>
      <c r="U542" s="11">
        <f>P542+T542</f>
        <v>10</v>
      </c>
      <c r="V542" s="99">
        <v>44548</v>
      </c>
    </row>
    <row r="543" spans="1:22" x14ac:dyDescent="0.15">
      <c r="A543" s="25"/>
      <c r="B543" s="8"/>
      <c r="C543" s="9"/>
      <c r="D543" s="52"/>
      <c r="E543" s="11">
        <f t="shared" si="478"/>
        <v>0</v>
      </c>
      <c r="F543" s="12"/>
      <c r="G543" s="9"/>
      <c r="H543" s="10"/>
      <c r="I543" s="11">
        <f t="shared" si="479"/>
        <v>0</v>
      </c>
      <c r="J543" s="11">
        <f t="shared" si="480"/>
        <v>0</v>
      </c>
      <c r="L543" s="25" t="s">
        <v>29</v>
      </c>
      <c r="M543" s="17">
        <v>1</v>
      </c>
      <c r="N543" s="18">
        <v>1</v>
      </c>
      <c r="O543" s="51">
        <v>4</v>
      </c>
      <c r="P543" s="49">
        <f t="shared" si="475"/>
        <v>6</v>
      </c>
      <c r="Q543" s="17">
        <v>1</v>
      </c>
      <c r="R543" s="18">
        <v>1</v>
      </c>
      <c r="S543" s="51">
        <v>4</v>
      </c>
      <c r="T543" s="49">
        <f t="shared" si="476"/>
        <v>6</v>
      </c>
      <c r="U543" s="11">
        <f t="shared" si="477"/>
        <v>12</v>
      </c>
      <c r="V543" s="99">
        <v>44569</v>
      </c>
    </row>
    <row r="544" spans="1:22" x14ac:dyDescent="0.15">
      <c r="A544" s="25"/>
      <c r="B544" s="13"/>
      <c r="C544" s="14"/>
      <c r="D544" s="53"/>
      <c r="E544" s="11">
        <f t="shared" si="478"/>
        <v>0</v>
      </c>
      <c r="F544" s="16"/>
      <c r="G544" s="14"/>
      <c r="H544" s="15"/>
      <c r="I544" s="11">
        <f t="shared" si="479"/>
        <v>0</v>
      </c>
      <c r="J544" s="11">
        <f t="shared" si="480"/>
        <v>0</v>
      </c>
      <c r="L544" s="25" t="s">
        <v>13</v>
      </c>
      <c r="M544" s="13"/>
      <c r="N544" s="14"/>
      <c r="O544" s="53"/>
      <c r="P544" s="11">
        <f t="shared" si="475"/>
        <v>0</v>
      </c>
      <c r="Q544" s="16"/>
      <c r="R544" s="14"/>
      <c r="S544" s="15"/>
      <c r="T544" s="11">
        <f t="shared" si="476"/>
        <v>0</v>
      </c>
      <c r="U544" s="11">
        <f t="shared" si="477"/>
        <v>0</v>
      </c>
    </row>
    <row r="545" spans="1:22" ht="14.25" thickBot="1" x14ac:dyDescent="0.2">
      <c r="A545" s="25"/>
      <c r="B545" s="32"/>
      <c r="C545" s="33">
        <v>1</v>
      </c>
      <c r="D545" s="54"/>
      <c r="E545" s="61">
        <f t="shared" si="478"/>
        <v>1</v>
      </c>
      <c r="F545" s="34"/>
      <c r="G545" s="34">
        <v>2</v>
      </c>
      <c r="H545" s="37"/>
      <c r="I545" s="61">
        <f t="shared" si="479"/>
        <v>2</v>
      </c>
      <c r="J545" s="21">
        <f t="shared" si="480"/>
        <v>3</v>
      </c>
      <c r="L545" s="25" t="s">
        <v>14</v>
      </c>
      <c r="M545" s="32"/>
      <c r="N545" s="33"/>
      <c r="O545" s="54"/>
      <c r="P545" s="61">
        <f t="shared" si="475"/>
        <v>0</v>
      </c>
      <c r="Q545" s="34"/>
      <c r="R545" s="34"/>
      <c r="S545" s="37"/>
      <c r="T545" s="61">
        <f t="shared" si="476"/>
        <v>0</v>
      </c>
      <c r="U545" s="21">
        <f t="shared" si="477"/>
        <v>0</v>
      </c>
    </row>
    <row r="546" spans="1:22" ht="14.25" thickBot="1" x14ac:dyDescent="0.2">
      <c r="A546" s="35" t="s">
        <v>15</v>
      </c>
      <c r="B546" s="28">
        <f>SUM(B537:B545)</f>
        <v>8</v>
      </c>
      <c r="C546" s="29">
        <f>SUM(C537:C545)</f>
        <v>6</v>
      </c>
      <c r="D546" s="30">
        <f>SUM(D537:D545)</f>
        <v>13</v>
      </c>
      <c r="E546" s="31">
        <f>SUM(B546:D546)</f>
        <v>27</v>
      </c>
      <c r="F546" s="28">
        <f>SUM(F537:F545)</f>
        <v>8</v>
      </c>
      <c r="G546" s="29">
        <f>SUM(G537:G545)</f>
        <v>7</v>
      </c>
      <c r="H546" s="30">
        <f>SUM(H537:H545)</f>
        <v>13</v>
      </c>
      <c r="I546" s="31">
        <f>SUM(F546:H546)</f>
        <v>28</v>
      </c>
      <c r="J546" s="31">
        <f>E546+I546</f>
        <v>55</v>
      </c>
      <c r="L546" s="35" t="s">
        <v>15</v>
      </c>
      <c r="M546" s="28">
        <f>SUM(M537:M545)</f>
        <v>278</v>
      </c>
      <c r="N546" s="29">
        <f>SUM(N537:N545)</f>
        <v>340</v>
      </c>
      <c r="O546" s="30">
        <f>SUM(O537:O545)</f>
        <v>199</v>
      </c>
      <c r="P546" s="31">
        <f>SUM(M546:O546)</f>
        <v>817</v>
      </c>
      <c r="Q546" s="28">
        <f>SUM(Q537:Q545)</f>
        <v>278</v>
      </c>
      <c r="R546" s="29">
        <f>SUM(R537:R545)</f>
        <v>340</v>
      </c>
      <c r="S546" s="30">
        <f>SUM(S537:S545)</f>
        <v>199</v>
      </c>
      <c r="T546" s="31">
        <f>SUM(Q546:S546)</f>
        <v>817</v>
      </c>
      <c r="U546" s="31">
        <f>P546+T546</f>
        <v>1634</v>
      </c>
    </row>
    <row r="547" spans="1:22" x14ac:dyDescent="0.15">
      <c r="A547" s="26" t="s">
        <v>558</v>
      </c>
      <c r="B547" s="13"/>
      <c r="C547" s="14"/>
      <c r="D547" s="15">
        <v>5</v>
      </c>
      <c r="E547" s="49">
        <f>SUM(B547:D547)</f>
        <v>5</v>
      </c>
      <c r="F547" s="16"/>
      <c r="G547" s="14"/>
      <c r="H547" s="15">
        <v>5</v>
      </c>
      <c r="I547" s="49">
        <f>SUM(F547:H547)</f>
        <v>5</v>
      </c>
      <c r="J547" s="11">
        <f>E547+I547</f>
        <v>10</v>
      </c>
      <c r="K547" s="62">
        <v>44548</v>
      </c>
      <c r="L547" s="86" t="s">
        <v>552</v>
      </c>
      <c r="M547" s="8">
        <v>21</v>
      </c>
      <c r="N547" s="9">
        <v>13</v>
      </c>
      <c r="O547" s="52">
        <v>6</v>
      </c>
      <c r="P547" s="87">
        <f t="shared" ref="P547:P550" si="481">SUM(M547:O547)</f>
        <v>40</v>
      </c>
      <c r="Q547" s="12">
        <v>21</v>
      </c>
      <c r="R547" s="9">
        <v>13</v>
      </c>
      <c r="S547" s="10">
        <v>6</v>
      </c>
      <c r="T547" s="49">
        <f t="shared" ref="T547:T550" si="482">SUM(Q547:S547)</f>
        <v>40</v>
      </c>
      <c r="U547" s="11">
        <f t="shared" ref="U547:U550" si="483">P547+T547</f>
        <v>80</v>
      </c>
      <c r="V547" s="98">
        <v>44544</v>
      </c>
    </row>
    <row r="548" spans="1:22" x14ac:dyDescent="0.15">
      <c r="A548" s="26" t="s">
        <v>109</v>
      </c>
      <c r="B548" s="8">
        <v>1</v>
      </c>
      <c r="C548" s="9"/>
      <c r="D548" s="10"/>
      <c r="E548" s="49">
        <f t="shared" ref="E548:E549" si="484">SUM(B548:D548)</f>
        <v>1</v>
      </c>
      <c r="F548" s="12">
        <v>1</v>
      </c>
      <c r="G548" s="9"/>
      <c r="H548" s="10"/>
      <c r="I548" s="49">
        <f t="shared" ref="I548:I549" si="485">SUM(F548:H548)</f>
        <v>1</v>
      </c>
      <c r="J548" s="11">
        <f t="shared" ref="J548:J549" si="486">E548+I548</f>
        <v>2</v>
      </c>
      <c r="K548" s="62">
        <v>44550</v>
      </c>
      <c r="L548" s="26" t="s">
        <v>551</v>
      </c>
      <c r="M548" s="8">
        <v>1</v>
      </c>
      <c r="N548" s="9">
        <v>1</v>
      </c>
      <c r="O548" s="52"/>
      <c r="P548" s="87">
        <f t="shared" si="481"/>
        <v>2</v>
      </c>
      <c r="Q548" s="12">
        <v>1</v>
      </c>
      <c r="R548" s="9">
        <v>1</v>
      </c>
      <c r="S548" s="10"/>
      <c r="T548" s="49">
        <f t="shared" si="482"/>
        <v>2</v>
      </c>
      <c r="U548" s="11">
        <f t="shared" si="483"/>
        <v>4</v>
      </c>
      <c r="V548" s="98">
        <v>44544</v>
      </c>
    </row>
    <row r="549" spans="1:22" x14ac:dyDescent="0.15">
      <c r="A549" s="26" t="s">
        <v>570</v>
      </c>
      <c r="B549" s="8"/>
      <c r="C549" s="9">
        <v>1</v>
      </c>
      <c r="D549" s="10"/>
      <c r="E549" s="49">
        <f t="shared" si="484"/>
        <v>1</v>
      </c>
      <c r="F549" s="12"/>
      <c r="G549" s="9">
        <v>1</v>
      </c>
      <c r="H549" s="10"/>
      <c r="I549" s="49">
        <f t="shared" si="485"/>
        <v>1</v>
      </c>
      <c r="J549" s="11">
        <f t="shared" si="486"/>
        <v>2</v>
      </c>
      <c r="K549" s="62">
        <v>44567</v>
      </c>
      <c r="L549" s="26" t="s">
        <v>554</v>
      </c>
      <c r="M549" s="8"/>
      <c r="N549" s="9">
        <v>3</v>
      </c>
      <c r="O549" s="52">
        <v>1</v>
      </c>
      <c r="P549" s="87">
        <f t="shared" si="481"/>
        <v>4</v>
      </c>
      <c r="Q549" s="12"/>
      <c r="R549" s="9">
        <v>3</v>
      </c>
      <c r="S549" s="10">
        <v>1</v>
      </c>
      <c r="T549" s="49">
        <f t="shared" si="482"/>
        <v>4</v>
      </c>
      <c r="U549" s="11">
        <f t="shared" si="483"/>
        <v>8</v>
      </c>
      <c r="V549" s="98">
        <v>44545</v>
      </c>
    </row>
    <row r="550" spans="1:22" x14ac:dyDescent="0.15">
      <c r="A550" s="26" t="s">
        <v>558</v>
      </c>
      <c r="B550" s="13">
        <v>1</v>
      </c>
      <c r="C550" s="14">
        <v>1</v>
      </c>
      <c r="D550" s="15">
        <v>4</v>
      </c>
      <c r="E550" s="49">
        <f>SUM(B550:D550)</f>
        <v>6</v>
      </c>
      <c r="F550" s="16">
        <v>1</v>
      </c>
      <c r="G550" s="14">
        <v>1</v>
      </c>
      <c r="H550" s="15">
        <v>4</v>
      </c>
      <c r="I550" s="49">
        <f>SUM(F550:H550)</f>
        <v>6</v>
      </c>
      <c r="J550" s="11">
        <f>E550+I550</f>
        <v>12</v>
      </c>
      <c r="K550" s="64">
        <v>44569</v>
      </c>
      <c r="L550" s="26" t="s">
        <v>555</v>
      </c>
      <c r="M550" s="8">
        <v>1</v>
      </c>
      <c r="N550" s="9">
        <v>2</v>
      </c>
      <c r="O550" s="52">
        <v>3</v>
      </c>
      <c r="P550" s="87">
        <f t="shared" si="481"/>
        <v>6</v>
      </c>
      <c r="Q550" s="12">
        <v>1</v>
      </c>
      <c r="R550" s="9">
        <v>2</v>
      </c>
      <c r="S550" s="10">
        <v>3</v>
      </c>
      <c r="T550" s="49">
        <f t="shared" si="482"/>
        <v>6</v>
      </c>
      <c r="U550" s="11">
        <f t="shared" si="483"/>
        <v>12</v>
      </c>
      <c r="V550" s="98">
        <v>44546</v>
      </c>
    </row>
    <row r="551" spans="1:22" x14ac:dyDescent="0.15">
      <c r="A551" s="26" t="s">
        <v>578</v>
      </c>
      <c r="B551" s="8"/>
      <c r="C551" s="9"/>
      <c r="D551" s="10">
        <v>1</v>
      </c>
      <c r="E551" s="49">
        <f t="shared" ref="E551:E571" si="487">SUM(B551:D551)</f>
        <v>1</v>
      </c>
      <c r="F551" s="12"/>
      <c r="G551" s="9"/>
      <c r="H551" s="10">
        <v>1</v>
      </c>
      <c r="I551" s="49">
        <f t="shared" ref="I551:I571" si="488">SUM(F551:H551)</f>
        <v>1</v>
      </c>
      <c r="J551" s="11">
        <f t="shared" ref="J551:J571" si="489">E551+I551</f>
        <v>2</v>
      </c>
      <c r="K551" s="62">
        <v>44586</v>
      </c>
      <c r="L551" s="26" t="s">
        <v>556</v>
      </c>
      <c r="M551" s="8">
        <v>2</v>
      </c>
      <c r="N551" s="9">
        <v>1</v>
      </c>
      <c r="O551" s="52"/>
      <c r="P551" s="87">
        <f t="shared" ref="P551:P561" si="490">SUM(M551:O551)</f>
        <v>3</v>
      </c>
      <c r="Q551" s="12">
        <v>2</v>
      </c>
      <c r="R551" s="9">
        <v>1</v>
      </c>
      <c r="S551" s="10"/>
      <c r="T551" s="49">
        <f t="shared" ref="T551:T561" si="491">SUM(Q551:S551)</f>
        <v>3</v>
      </c>
      <c r="U551" s="11">
        <f t="shared" ref="U551:U561" si="492">P551+T551</f>
        <v>6</v>
      </c>
      <c r="V551" s="98">
        <v>44547</v>
      </c>
    </row>
    <row r="552" spans="1:22" x14ac:dyDescent="0.15">
      <c r="A552" s="26" t="s">
        <v>438</v>
      </c>
      <c r="B552" s="8">
        <v>2</v>
      </c>
      <c r="C552" s="9"/>
      <c r="D552" s="10"/>
      <c r="E552" s="49">
        <f t="shared" si="487"/>
        <v>2</v>
      </c>
      <c r="F552" s="12">
        <v>2</v>
      </c>
      <c r="G552" s="9"/>
      <c r="H552" s="10"/>
      <c r="I552" s="49">
        <f t="shared" si="488"/>
        <v>2</v>
      </c>
      <c r="J552" s="11">
        <f t="shared" si="489"/>
        <v>4</v>
      </c>
      <c r="K552" s="62">
        <v>44593</v>
      </c>
      <c r="L552" s="26" t="s">
        <v>557</v>
      </c>
      <c r="M552" s="8">
        <v>1</v>
      </c>
      <c r="N552" s="9">
        <v>2</v>
      </c>
      <c r="O552" s="52">
        <v>4</v>
      </c>
      <c r="P552" s="87">
        <f t="shared" si="490"/>
        <v>7</v>
      </c>
      <c r="Q552" s="12">
        <v>1</v>
      </c>
      <c r="R552" s="9">
        <v>2</v>
      </c>
      <c r="S552" s="10">
        <v>4</v>
      </c>
      <c r="T552" s="49">
        <f t="shared" si="491"/>
        <v>7</v>
      </c>
      <c r="U552" s="11">
        <f t="shared" si="492"/>
        <v>14</v>
      </c>
      <c r="V552" s="98">
        <v>44548</v>
      </c>
    </row>
    <row r="553" spans="1:22" x14ac:dyDescent="0.15">
      <c r="A553" s="26"/>
      <c r="B553" s="8"/>
      <c r="C553" s="9"/>
      <c r="D553" s="10"/>
      <c r="E553" s="49">
        <f t="shared" si="487"/>
        <v>0</v>
      </c>
      <c r="F553" s="12"/>
      <c r="G553" s="9"/>
      <c r="H553" s="10"/>
      <c r="I553" s="49">
        <f t="shared" si="488"/>
        <v>0</v>
      </c>
      <c r="J553" s="11">
        <f t="shared" si="489"/>
        <v>0</v>
      </c>
      <c r="L553" s="26" t="s">
        <v>565</v>
      </c>
      <c r="M553" s="8">
        <v>4</v>
      </c>
      <c r="N553" s="9">
        <v>1</v>
      </c>
      <c r="O553" s="52"/>
      <c r="P553" s="87">
        <f t="shared" si="490"/>
        <v>5</v>
      </c>
      <c r="Q553" s="12">
        <v>4</v>
      </c>
      <c r="R553" s="9">
        <v>1</v>
      </c>
      <c r="S553" s="10"/>
      <c r="T553" s="49">
        <f t="shared" si="491"/>
        <v>5</v>
      </c>
      <c r="U553" s="11">
        <f t="shared" si="492"/>
        <v>10</v>
      </c>
      <c r="V553" s="98">
        <v>44554</v>
      </c>
    </row>
    <row r="554" spans="1:22" x14ac:dyDescent="0.15">
      <c r="A554" s="26"/>
      <c r="B554" s="8"/>
      <c r="C554" s="9"/>
      <c r="D554" s="10"/>
      <c r="E554" s="49">
        <f t="shared" si="487"/>
        <v>0</v>
      </c>
      <c r="F554" s="12"/>
      <c r="G554" s="9"/>
      <c r="H554" s="10"/>
      <c r="I554" s="49">
        <f t="shared" si="488"/>
        <v>0</v>
      </c>
      <c r="J554" s="11">
        <f t="shared" si="489"/>
        <v>0</v>
      </c>
      <c r="L554" s="26" t="s">
        <v>562</v>
      </c>
      <c r="M554" s="8">
        <v>1</v>
      </c>
      <c r="N554" s="9"/>
      <c r="O554" s="52"/>
      <c r="P554" s="87">
        <f t="shared" si="490"/>
        <v>1</v>
      </c>
      <c r="Q554" s="12">
        <v>1</v>
      </c>
      <c r="R554" s="9"/>
      <c r="S554" s="10"/>
      <c r="T554" s="49">
        <f t="shared" si="491"/>
        <v>1</v>
      </c>
      <c r="U554" s="11">
        <f t="shared" si="492"/>
        <v>2</v>
      </c>
      <c r="V554" s="98">
        <v>44557</v>
      </c>
    </row>
    <row r="555" spans="1:22" x14ac:dyDescent="0.15">
      <c r="A555" s="26"/>
      <c r="B555" s="8"/>
      <c r="C555" s="9"/>
      <c r="D555" s="10"/>
      <c r="E555" s="49">
        <f t="shared" si="487"/>
        <v>0</v>
      </c>
      <c r="F555" s="12"/>
      <c r="G555" s="9"/>
      <c r="H555" s="10"/>
      <c r="I555" s="49">
        <f t="shared" si="488"/>
        <v>0</v>
      </c>
      <c r="J555" s="11">
        <f t="shared" si="489"/>
        <v>0</v>
      </c>
      <c r="L555" s="26" t="s">
        <v>567</v>
      </c>
      <c r="M555" s="8"/>
      <c r="N555" s="9">
        <v>1</v>
      </c>
      <c r="O555" s="52"/>
      <c r="P555" s="87">
        <f t="shared" si="490"/>
        <v>1</v>
      </c>
      <c r="Q555" s="12"/>
      <c r="R555" s="9">
        <v>1</v>
      </c>
      <c r="S555" s="10"/>
      <c r="T555" s="49">
        <f t="shared" si="491"/>
        <v>1</v>
      </c>
      <c r="U555" s="11">
        <f t="shared" si="492"/>
        <v>2</v>
      </c>
      <c r="V555" s="98">
        <v>44558</v>
      </c>
    </row>
    <row r="556" spans="1:22" x14ac:dyDescent="0.15">
      <c r="A556" s="26"/>
      <c r="B556" s="13"/>
      <c r="C556" s="14"/>
      <c r="D556" s="15"/>
      <c r="E556" s="49">
        <f t="shared" si="487"/>
        <v>0</v>
      </c>
      <c r="F556" s="16"/>
      <c r="G556" s="14"/>
      <c r="H556" s="15"/>
      <c r="I556" s="49">
        <f t="shared" si="488"/>
        <v>0</v>
      </c>
      <c r="J556" s="11">
        <f t="shared" si="489"/>
        <v>0</v>
      </c>
      <c r="L556" s="26" t="s">
        <v>569</v>
      </c>
      <c r="M556" s="13">
        <v>1</v>
      </c>
      <c r="N556" s="14"/>
      <c r="O556" s="53"/>
      <c r="P556" s="87">
        <f t="shared" si="490"/>
        <v>1</v>
      </c>
      <c r="Q556" s="16">
        <v>1</v>
      </c>
      <c r="R556" s="14"/>
      <c r="S556" s="15"/>
      <c r="T556" s="49">
        <f t="shared" si="491"/>
        <v>1</v>
      </c>
      <c r="U556" s="11">
        <f t="shared" si="492"/>
        <v>2</v>
      </c>
      <c r="V556" s="98">
        <v>44201</v>
      </c>
    </row>
    <row r="557" spans="1:22" x14ac:dyDescent="0.15">
      <c r="A557" s="26"/>
      <c r="B557" s="8"/>
      <c r="C557" s="9"/>
      <c r="D557" s="10"/>
      <c r="E557" s="49">
        <f t="shared" si="487"/>
        <v>0</v>
      </c>
      <c r="F557" s="12"/>
      <c r="G557" s="9"/>
      <c r="H557" s="10"/>
      <c r="I557" s="49">
        <f t="shared" si="488"/>
        <v>0</v>
      </c>
      <c r="J557" s="11">
        <f t="shared" si="489"/>
        <v>0</v>
      </c>
      <c r="L557" s="26" t="s">
        <v>572</v>
      </c>
      <c r="M557" s="8">
        <v>1</v>
      </c>
      <c r="N557" s="9">
        <v>3</v>
      </c>
      <c r="O557" s="52">
        <v>8</v>
      </c>
      <c r="P557" s="87">
        <f t="shared" si="490"/>
        <v>12</v>
      </c>
      <c r="Q557" s="12">
        <v>1</v>
      </c>
      <c r="R557" s="9">
        <v>3</v>
      </c>
      <c r="S557" s="10">
        <v>8</v>
      </c>
      <c r="T557" s="49">
        <f t="shared" si="491"/>
        <v>12</v>
      </c>
      <c r="U557" s="11">
        <f t="shared" si="492"/>
        <v>24</v>
      </c>
      <c r="V557" s="98">
        <v>44568</v>
      </c>
    </row>
    <row r="558" spans="1:22" x14ac:dyDescent="0.15">
      <c r="A558" s="26"/>
      <c r="B558" s="8"/>
      <c r="C558" s="9"/>
      <c r="D558" s="10"/>
      <c r="E558" s="49">
        <f t="shared" si="487"/>
        <v>0</v>
      </c>
      <c r="F558" s="12"/>
      <c r="G558" s="9"/>
      <c r="H558" s="10"/>
      <c r="I558" s="49">
        <f t="shared" si="488"/>
        <v>0</v>
      </c>
      <c r="J558" s="11">
        <f t="shared" si="489"/>
        <v>0</v>
      </c>
      <c r="L558" s="26" t="s">
        <v>574</v>
      </c>
      <c r="M558" s="8">
        <v>13</v>
      </c>
      <c r="N558" s="9">
        <v>10</v>
      </c>
      <c r="O558" s="52">
        <v>13</v>
      </c>
      <c r="P558" s="87">
        <f t="shared" si="490"/>
        <v>36</v>
      </c>
      <c r="Q558" s="12">
        <v>13</v>
      </c>
      <c r="R558" s="9">
        <v>10</v>
      </c>
      <c r="S558" s="10">
        <v>13</v>
      </c>
      <c r="T558" s="49">
        <f t="shared" si="491"/>
        <v>36</v>
      </c>
      <c r="U558" s="11">
        <f t="shared" si="492"/>
        <v>72</v>
      </c>
      <c r="V558" s="98">
        <v>44569</v>
      </c>
    </row>
    <row r="559" spans="1:22" x14ac:dyDescent="0.15">
      <c r="A559" s="26"/>
      <c r="B559" s="8"/>
      <c r="C559" s="9"/>
      <c r="D559" s="10"/>
      <c r="E559" s="49">
        <f t="shared" si="487"/>
        <v>0</v>
      </c>
      <c r="F559" s="12"/>
      <c r="G559" s="9"/>
      <c r="H559" s="10"/>
      <c r="I559" s="49">
        <f t="shared" si="488"/>
        <v>0</v>
      </c>
      <c r="J559" s="11">
        <f t="shared" si="489"/>
        <v>0</v>
      </c>
      <c r="L559" s="26" t="s">
        <v>426</v>
      </c>
      <c r="M559" s="8">
        <v>1</v>
      </c>
      <c r="N559" s="9">
        <v>10</v>
      </c>
      <c r="O559" s="52">
        <v>7</v>
      </c>
      <c r="P559" s="87">
        <f t="shared" si="490"/>
        <v>18</v>
      </c>
      <c r="Q559" s="12">
        <v>1</v>
      </c>
      <c r="R559" s="9">
        <v>10</v>
      </c>
      <c r="S559" s="10">
        <v>7</v>
      </c>
      <c r="T559" s="49">
        <f t="shared" si="491"/>
        <v>18</v>
      </c>
      <c r="U559" s="11">
        <f t="shared" si="492"/>
        <v>36</v>
      </c>
      <c r="V559" s="98">
        <v>44573</v>
      </c>
    </row>
    <row r="560" spans="1:22" x14ac:dyDescent="0.15">
      <c r="A560" s="26"/>
      <c r="B560" s="8"/>
      <c r="C560" s="9"/>
      <c r="D560" s="10"/>
      <c r="E560" s="49">
        <f t="shared" si="487"/>
        <v>0</v>
      </c>
      <c r="F560" s="12"/>
      <c r="G560" s="9"/>
      <c r="H560" s="10"/>
      <c r="I560" s="49">
        <f t="shared" si="488"/>
        <v>0</v>
      </c>
      <c r="J560" s="11">
        <f t="shared" si="489"/>
        <v>0</v>
      </c>
      <c r="L560" s="26" t="s">
        <v>428</v>
      </c>
      <c r="M560" s="8">
        <v>11</v>
      </c>
      <c r="N560" s="9">
        <v>10</v>
      </c>
      <c r="O560" s="52">
        <v>4</v>
      </c>
      <c r="P560" s="87">
        <f t="shared" si="490"/>
        <v>25</v>
      </c>
      <c r="Q560" s="12">
        <v>11</v>
      </c>
      <c r="R560" s="9">
        <v>10</v>
      </c>
      <c r="S560" s="10">
        <v>4</v>
      </c>
      <c r="T560" s="49">
        <f t="shared" si="491"/>
        <v>25</v>
      </c>
      <c r="U560" s="11">
        <f t="shared" si="492"/>
        <v>50</v>
      </c>
      <c r="V560" s="98">
        <v>44574</v>
      </c>
    </row>
    <row r="561" spans="1:22" x14ac:dyDescent="0.15">
      <c r="A561" s="26"/>
      <c r="B561" s="8"/>
      <c r="C561" s="9"/>
      <c r="D561" s="10"/>
      <c r="E561" s="49">
        <f t="shared" si="487"/>
        <v>0</v>
      </c>
      <c r="F561" s="12"/>
      <c r="G561" s="9"/>
      <c r="H561" s="10"/>
      <c r="I561" s="49">
        <f t="shared" si="488"/>
        <v>0</v>
      </c>
      <c r="J561" s="11">
        <f t="shared" si="489"/>
        <v>0</v>
      </c>
      <c r="L561" s="26" t="s">
        <v>429</v>
      </c>
      <c r="M561" s="8">
        <v>13</v>
      </c>
      <c r="N561" s="9">
        <v>10</v>
      </c>
      <c r="O561" s="52">
        <v>5</v>
      </c>
      <c r="P561" s="87">
        <f t="shared" si="490"/>
        <v>28</v>
      </c>
      <c r="Q561" s="12">
        <v>13</v>
      </c>
      <c r="R561" s="9">
        <v>10</v>
      </c>
      <c r="S561" s="10">
        <v>5</v>
      </c>
      <c r="T561" s="49">
        <f t="shared" si="491"/>
        <v>28</v>
      </c>
      <c r="U561" s="11">
        <f t="shared" si="492"/>
        <v>56</v>
      </c>
      <c r="V561" s="98">
        <v>44575</v>
      </c>
    </row>
    <row r="562" spans="1:22" x14ac:dyDescent="0.15">
      <c r="A562" s="26"/>
      <c r="B562" s="8"/>
      <c r="C562" s="9"/>
      <c r="D562" s="10"/>
      <c r="E562" s="49">
        <f t="shared" si="487"/>
        <v>0</v>
      </c>
      <c r="F562" s="12"/>
      <c r="G562" s="9"/>
      <c r="H562" s="10"/>
      <c r="I562" s="49">
        <f t="shared" si="488"/>
        <v>0</v>
      </c>
      <c r="J562" s="11">
        <f t="shared" si="489"/>
        <v>0</v>
      </c>
      <c r="L562" s="26" t="s">
        <v>431</v>
      </c>
      <c r="M562" s="13">
        <v>4</v>
      </c>
      <c r="N562" s="14"/>
      <c r="O562" s="53"/>
      <c r="P562" s="87">
        <f>SUM(M562:O562)</f>
        <v>4</v>
      </c>
      <c r="Q562" s="16">
        <v>4</v>
      </c>
      <c r="R562" s="14"/>
      <c r="S562" s="15"/>
      <c r="T562" s="49">
        <f>SUM(Q562:S562)</f>
        <v>4</v>
      </c>
      <c r="U562" s="11">
        <f>P562+T562</f>
        <v>8</v>
      </c>
      <c r="V562" s="98">
        <v>44578</v>
      </c>
    </row>
    <row r="563" spans="1:22" x14ac:dyDescent="0.15">
      <c r="A563" s="26"/>
      <c r="B563" s="8"/>
      <c r="C563" s="9"/>
      <c r="D563" s="10"/>
      <c r="E563" s="49">
        <f t="shared" si="487"/>
        <v>0</v>
      </c>
      <c r="F563" s="12"/>
      <c r="G563" s="9"/>
      <c r="H563" s="10"/>
      <c r="I563" s="49">
        <f t="shared" si="488"/>
        <v>0</v>
      </c>
      <c r="J563" s="11">
        <f t="shared" si="489"/>
        <v>0</v>
      </c>
      <c r="L563" s="26" t="s">
        <v>432</v>
      </c>
      <c r="M563" s="8">
        <v>2</v>
      </c>
      <c r="N563" s="9"/>
      <c r="O563" s="52">
        <v>2</v>
      </c>
      <c r="P563" s="87">
        <f t="shared" ref="P563:P565" si="493">SUM(M563:O563)</f>
        <v>4</v>
      </c>
      <c r="Q563" s="12">
        <v>2</v>
      </c>
      <c r="R563" s="9"/>
      <c r="S563" s="10">
        <v>2</v>
      </c>
      <c r="T563" s="49">
        <f t="shared" ref="T563:T565" si="494">SUM(Q563:S563)</f>
        <v>4</v>
      </c>
      <c r="U563" s="11">
        <f t="shared" ref="U563:U565" si="495">P563+T563</f>
        <v>8</v>
      </c>
      <c r="V563" s="98">
        <v>44579</v>
      </c>
    </row>
    <row r="564" spans="1:22" x14ac:dyDescent="0.15">
      <c r="A564" s="24"/>
      <c r="B564" s="8"/>
      <c r="C564" s="9"/>
      <c r="D564" s="10"/>
      <c r="E564" s="49">
        <f t="shared" si="487"/>
        <v>0</v>
      </c>
      <c r="F564" s="12"/>
      <c r="G564" s="9"/>
      <c r="H564" s="10"/>
      <c r="I564" s="49">
        <f t="shared" si="488"/>
        <v>0</v>
      </c>
      <c r="J564" s="11">
        <f t="shared" si="489"/>
        <v>0</v>
      </c>
      <c r="L564" s="26" t="s">
        <v>433</v>
      </c>
      <c r="M564" s="8"/>
      <c r="N564" s="9">
        <v>3</v>
      </c>
      <c r="O564" s="52">
        <v>1</v>
      </c>
      <c r="P564" s="87">
        <f t="shared" si="493"/>
        <v>4</v>
      </c>
      <c r="Q564" s="12"/>
      <c r="R564" s="9">
        <v>3</v>
      </c>
      <c r="S564" s="10">
        <v>1</v>
      </c>
      <c r="T564" s="49">
        <f t="shared" si="494"/>
        <v>4</v>
      </c>
      <c r="U564" s="11">
        <f t="shared" si="495"/>
        <v>8</v>
      </c>
      <c r="V564" s="98">
        <v>44580</v>
      </c>
    </row>
    <row r="565" spans="1:22" x14ac:dyDescent="0.15">
      <c r="A565" s="25"/>
      <c r="B565" s="8"/>
      <c r="C565" s="9"/>
      <c r="D565" s="10"/>
      <c r="E565" s="49">
        <f t="shared" si="487"/>
        <v>0</v>
      </c>
      <c r="F565" s="12"/>
      <c r="G565" s="9"/>
      <c r="H565" s="10"/>
      <c r="I565" s="49">
        <f t="shared" si="488"/>
        <v>0</v>
      </c>
      <c r="J565" s="11">
        <f t="shared" si="489"/>
        <v>0</v>
      </c>
      <c r="L565" s="26" t="s">
        <v>434</v>
      </c>
      <c r="M565" s="8">
        <v>7</v>
      </c>
      <c r="N565" s="9">
        <v>6</v>
      </c>
      <c r="O565" s="52">
        <v>5</v>
      </c>
      <c r="P565" s="87">
        <f t="shared" si="493"/>
        <v>18</v>
      </c>
      <c r="Q565" s="12">
        <v>7</v>
      </c>
      <c r="R565" s="9">
        <v>6</v>
      </c>
      <c r="S565" s="10">
        <v>5</v>
      </c>
      <c r="T565" s="49">
        <f t="shared" si="494"/>
        <v>18</v>
      </c>
      <c r="U565" s="11">
        <f t="shared" si="495"/>
        <v>36</v>
      </c>
      <c r="V565" s="98">
        <v>44581</v>
      </c>
    </row>
    <row r="566" spans="1:22" x14ac:dyDescent="0.15">
      <c r="A566" s="26"/>
      <c r="B566" s="8"/>
      <c r="C566" s="9"/>
      <c r="D566" s="10"/>
      <c r="E566" s="49">
        <f t="shared" si="487"/>
        <v>0</v>
      </c>
      <c r="F566" s="12"/>
      <c r="G566" s="9"/>
      <c r="H566" s="10"/>
      <c r="I566" s="49">
        <f t="shared" si="488"/>
        <v>0</v>
      </c>
      <c r="J566" s="11">
        <f t="shared" si="489"/>
        <v>0</v>
      </c>
      <c r="L566" s="26" t="s">
        <v>435</v>
      </c>
      <c r="M566" s="13"/>
      <c r="N566" s="14">
        <v>1</v>
      </c>
      <c r="O566" s="53">
        <v>2</v>
      </c>
      <c r="P566" s="87">
        <f>SUM(M566:O566)</f>
        <v>3</v>
      </c>
      <c r="Q566" s="16"/>
      <c r="R566" s="14">
        <v>1</v>
      </c>
      <c r="S566" s="15">
        <v>2</v>
      </c>
      <c r="T566" s="49">
        <f>SUM(Q566:S566)</f>
        <v>3</v>
      </c>
      <c r="U566" s="11">
        <f>P566+T566</f>
        <v>6</v>
      </c>
      <c r="V566" s="98">
        <v>44582</v>
      </c>
    </row>
    <row r="567" spans="1:22" x14ac:dyDescent="0.15">
      <c r="A567" s="24"/>
      <c r="B567" s="8"/>
      <c r="C567" s="9"/>
      <c r="D567" s="10"/>
      <c r="E567" s="49">
        <f t="shared" si="487"/>
        <v>0</v>
      </c>
      <c r="F567" s="12"/>
      <c r="G567" s="9"/>
      <c r="H567" s="10"/>
      <c r="I567" s="49">
        <f t="shared" si="488"/>
        <v>0</v>
      </c>
      <c r="J567" s="11">
        <f t="shared" si="489"/>
        <v>0</v>
      </c>
      <c r="L567" s="26" t="s">
        <v>436</v>
      </c>
      <c r="M567" s="8"/>
      <c r="N567" s="9">
        <v>1</v>
      </c>
      <c r="O567" s="52"/>
      <c r="P567" s="87">
        <f t="shared" ref="P567:P573" si="496">SUM(M567:O567)</f>
        <v>1</v>
      </c>
      <c r="Q567" s="12"/>
      <c r="R567" s="9">
        <v>1</v>
      </c>
      <c r="S567" s="10"/>
      <c r="T567" s="49">
        <f t="shared" ref="T567:T573" si="497">SUM(Q567:S567)</f>
        <v>1</v>
      </c>
      <c r="U567" s="11">
        <f t="shared" ref="U567:U570" si="498">P567+T567</f>
        <v>2</v>
      </c>
      <c r="V567" s="98">
        <v>44585</v>
      </c>
    </row>
    <row r="568" spans="1:22" x14ac:dyDescent="0.15">
      <c r="B568" s="13"/>
      <c r="C568" s="14"/>
      <c r="D568" s="15"/>
      <c r="E568" s="49">
        <f t="shared" si="487"/>
        <v>0</v>
      </c>
      <c r="F568" s="16"/>
      <c r="G568" s="14"/>
      <c r="H568" s="15"/>
      <c r="I568" s="49">
        <f t="shared" si="488"/>
        <v>0</v>
      </c>
      <c r="J568" s="11">
        <f t="shared" si="489"/>
        <v>0</v>
      </c>
      <c r="L568" s="25" t="s">
        <v>29</v>
      </c>
      <c r="M568" s="8">
        <v>3</v>
      </c>
      <c r="N568" s="9"/>
      <c r="O568" s="52"/>
      <c r="P568" s="87">
        <f t="shared" si="496"/>
        <v>3</v>
      </c>
      <c r="Q568" s="12">
        <v>3</v>
      </c>
      <c r="R568" s="9"/>
      <c r="S568" s="10"/>
      <c r="T568" s="49">
        <f t="shared" si="497"/>
        <v>3</v>
      </c>
      <c r="U568" s="11">
        <f t="shared" si="498"/>
        <v>6</v>
      </c>
      <c r="V568" s="99">
        <v>44593</v>
      </c>
    </row>
    <row r="569" spans="1:22" x14ac:dyDescent="0.15">
      <c r="A569" s="26"/>
      <c r="B569" s="8"/>
      <c r="C569" s="9"/>
      <c r="D569" s="10"/>
      <c r="E569" s="49">
        <f t="shared" si="487"/>
        <v>0</v>
      </c>
      <c r="F569" s="12"/>
      <c r="G569" s="9"/>
      <c r="H569" s="10"/>
      <c r="I569" s="49">
        <f t="shared" si="488"/>
        <v>0</v>
      </c>
      <c r="J569" s="11">
        <f t="shared" si="489"/>
        <v>0</v>
      </c>
      <c r="L569" s="26" t="s">
        <v>582</v>
      </c>
      <c r="M569" s="8">
        <v>2</v>
      </c>
      <c r="N569" s="9">
        <v>4</v>
      </c>
      <c r="O569" s="52"/>
      <c r="P569" s="87">
        <f t="shared" ref="P569" si="499">SUM(M569:O569)</f>
        <v>6</v>
      </c>
      <c r="Q569" s="12">
        <v>2</v>
      </c>
      <c r="R569" s="9">
        <v>4</v>
      </c>
      <c r="S569" s="10"/>
      <c r="T569" s="49">
        <f t="shared" ref="T569" si="500">SUM(Q569:S569)</f>
        <v>6</v>
      </c>
      <c r="U569" s="11">
        <f t="shared" ref="U569" si="501">P569+T569</f>
        <v>12</v>
      </c>
      <c r="V569" s="98">
        <v>44594</v>
      </c>
    </row>
    <row r="570" spans="1:22" x14ac:dyDescent="0.15">
      <c r="A570" s="26"/>
      <c r="B570" s="8"/>
      <c r="C570" s="9"/>
      <c r="D570" s="10"/>
      <c r="E570" s="49">
        <f t="shared" si="487"/>
        <v>0</v>
      </c>
      <c r="F570" s="12"/>
      <c r="G570" s="9"/>
      <c r="H570" s="10"/>
      <c r="I570" s="49">
        <f t="shared" si="488"/>
        <v>0</v>
      </c>
      <c r="J570" s="11">
        <f t="shared" si="489"/>
        <v>0</v>
      </c>
      <c r="L570" s="86"/>
      <c r="M570" s="8"/>
      <c r="N570" s="9"/>
      <c r="O570" s="52"/>
      <c r="P570" s="87">
        <f t="shared" si="496"/>
        <v>0</v>
      </c>
      <c r="Q570" s="12"/>
      <c r="R570" s="9"/>
      <c r="S570" s="10"/>
      <c r="T570" s="49">
        <f t="shared" si="497"/>
        <v>0</v>
      </c>
      <c r="U570" s="11">
        <f t="shared" si="498"/>
        <v>0</v>
      </c>
      <c r="V570" s="100"/>
    </row>
    <row r="571" spans="1:22" x14ac:dyDescent="0.15">
      <c r="A571" s="26"/>
      <c r="B571" s="8"/>
      <c r="C571" s="9"/>
      <c r="D571" s="10"/>
      <c r="E571" s="49">
        <f t="shared" si="487"/>
        <v>0</v>
      </c>
      <c r="F571" s="12"/>
      <c r="G571" s="9"/>
      <c r="H571" s="10"/>
      <c r="I571" s="49">
        <f t="shared" si="488"/>
        <v>0</v>
      </c>
      <c r="J571" s="11">
        <f t="shared" si="489"/>
        <v>0</v>
      </c>
      <c r="L571" s="86" t="s">
        <v>219</v>
      </c>
      <c r="M571" s="8"/>
      <c r="N571" s="9"/>
      <c r="O571" s="52"/>
      <c r="P571" s="87">
        <f t="shared" ref="P571:P572" si="502">SUM(M571:O571)</f>
        <v>0</v>
      </c>
      <c r="Q571" s="12"/>
      <c r="R571" s="9"/>
      <c r="S571" s="10"/>
      <c r="T571" s="49">
        <f t="shared" ref="T571:T572" si="503">SUM(Q571:S571)</f>
        <v>0</v>
      </c>
      <c r="U571" s="11">
        <f t="shared" ref="U571:U572" si="504">P571+T571</f>
        <v>0</v>
      </c>
      <c r="V571" s="100" t="s">
        <v>220</v>
      </c>
    </row>
    <row r="572" spans="1:22" ht="14.25" thickBot="1" x14ac:dyDescent="0.2">
      <c r="A572" s="23"/>
      <c r="B572" s="13"/>
      <c r="C572" s="14"/>
      <c r="D572" s="15"/>
      <c r="E572" s="49">
        <f>SUM(B572:D572)</f>
        <v>0</v>
      </c>
      <c r="F572" s="16"/>
      <c r="G572" s="14"/>
      <c r="H572" s="15"/>
      <c r="I572" s="49">
        <f>SUM(F572:H572)</f>
        <v>0</v>
      </c>
      <c r="J572" s="11">
        <f>E572+I572</f>
        <v>0</v>
      </c>
      <c r="L572" s="86" t="s">
        <v>496</v>
      </c>
      <c r="M572" s="8"/>
      <c r="N572" s="9"/>
      <c r="O572" s="52"/>
      <c r="P572" s="87">
        <f t="shared" si="502"/>
        <v>0</v>
      </c>
      <c r="Q572" s="8"/>
      <c r="R572" s="9"/>
      <c r="S572" s="52"/>
      <c r="T572" s="49">
        <f t="shared" si="503"/>
        <v>0</v>
      </c>
      <c r="U572" s="11">
        <f t="shared" si="504"/>
        <v>0</v>
      </c>
      <c r="V572" s="98">
        <v>44543</v>
      </c>
    </row>
    <row r="573" spans="1:22" ht="14.25" thickBot="1" x14ac:dyDescent="0.2">
      <c r="A573" s="41" t="s">
        <v>17</v>
      </c>
      <c r="B573" s="46">
        <f>SUM(B547:B572)</f>
        <v>4</v>
      </c>
      <c r="C573" s="47">
        <f t="shared" ref="C573:D573" si="505">SUM(C547:C572)</f>
        <v>2</v>
      </c>
      <c r="D573" s="58">
        <f t="shared" si="505"/>
        <v>10</v>
      </c>
      <c r="E573" s="45">
        <f t="shared" ref="E573" si="506">SUM(B573:D573)</f>
        <v>16</v>
      </c>
      <c r="F573" s="46">
        <f>SUM(F547:F572)</f>
        <v>4</v>
      </c>
      <c r="G573" s="47">
        <f t="shared" ref="G573:H573" si="507">SUM(G547:G572)</f>
        <v>2</v>
      </c>
      <c r="H573" s="58">
        <f t="shared" si="507"/>
        <v>10</v>
      </c>
      <c r="I573" s="45">
        <f t="shared" ref="I573" si="508">SUM(F573:H573)</f>
        <v>16</v>
      </c>
      <c r="J573" s="45">
        <f>E573+I573</f>
        <v>32</v>
      </c>
      <c r="L573" s="41" t="s">
        <v>17</v>
      </c>
      <c r="M573" s="46">
        <f>SUM(M547:M572)</f>
        <v>89</v>
      </c>
      <c r="N573" s="47">
        <f t="shared" ref="N573:O573" si="509">SUM(N547:N572)</f>
        <v>82</v>
      </c>
      <c r="O573" s="58">
        <f t="shared" si="509"/>
        <v>61</v>
      </c>
      <c r="P573" s="45">
        <f t="shared" si="496"/>
        <v>232</v>
      </c>
      <c r="Q573" s="46">
        <f>SUM(Q547:Q572)</f>
        <v>89</v>
      </c>
      <c r="R573" s="47">
        <f t="shared" ref="R573:S573" si="510">SUM(R547:R572)</f>
        <v>82</v>
      </c>
      <c r="S573" s="58">
        <f t="shared" si="510"/>
        <v>61</v>
      </c>
      <c r="T573" s="45">
        <f t="shared" si="497"/>
        <v>232</v>
      </c>
      <c r="U573" s="45">
        <f>P573+T573</f>
        <v>464</v>
      </c>
    </row>
    <row r="574" spans="1:22" ht="14.25" thickBot="1" x14ac:dyDescent="0.2">
      <c r="A574" s="22" t="s">
        <v>16</v>
      </c>
      <c r="B574" s="50">
        <f>B546-B573</f>
        <v>4</v>
      </c>
      <c r="C574" s="56">
        <f t="shared" ref="C574:D574" si="511">C546-C573</f>
        <v>4</v>
      </c>
      <c r="D574" s="57">
        <f t="shared" si="511"/>
        <v>3</v>
      </c>
      <c r="E574" s="55">
        <f>SUM(B574:D574)</f>
        <v>11</v>
      </c>
      <c r="F574" s="50">
        <f>F546-F573</f>
        <v>4</v>
      </c>
      <c r="G574" s="56">
        <f t="shared" ref="G574:H574" si="512">G546-G573</f>
        <v>5</v>
      </c>
      <c r="H574" s="57">
        <f t="shared" si="512"/>
        <v>3</v>
      </c>
      <c r="I574" s="55">
        <f>SUM(F574:H574)</f>
        <v>12</v>
      </c>
      <c r="J574" s="31">
        <f>E574+I574</f>
        <v>23</v>
      </c>
      <c r="L574" s="22" t="s">
        <v>16</v>
      </c>
      <c r="M574" s="50">
        <f>M546-M573</f>
        <v>189</v>
      </c>
      <c r="N574" s="56">
        <f t="shared" ref="N574:O574" si="513">N546-N573</f>
        <v>258</v>
      </c>
      <c r="O574" s="57">
        <f t="shared" si="513"/>
        <v>138</v>
      </c>
      <c r="P574" s="55">
        <f>SUM(M574:O574)</f>
        <v>585</v>
      </c>
      <c r="Q574" s="50">
        <f>Q546-Q573</f>
        <v>189</v>
      </c>
      <c r="R574" s="56">
        <f t="shared" ref="R574:S574" si="514">R546-R573</f>
        <v>258</v>
      </c>
      <c r="S574" s="57">
        <f t="shared" si="514"/>
        <v>138</v>
      </c>
      <c r="T574" s="55">
        <f>SUM(Q574:S574)</f>
        <v>585</v>
      </c>
      <c r="U574" s="31">
        <f>P574+T574</f>
        <v>1170</v>
      </c>
      <c r="V574" s="97" t="s">
        <v>591</v>
      </c>
    </row>
    <row r="575" spans="1:22" ht="19.5" thickBot="1" x14ac:dyDescent="0.25">
      <c r="A575" s="3" t="s">
        <v>18</v>
      </c>
      <c r="B575" s="1"/>
      <c r="C575" s="1"/>
      <c r="D575" s="1"/>
      <c r="E575" s="1"/>
      <c r="F575" s="1"/>
      <c r="G575" s="1"/>
      <c r="H575" s="1"/>
      <c r="I575" s="1"/>
      <c r="J575" s="1"/>
      <c r="L575" s="3" t="s">
        <v>19</v>
      </c>
      <c r="M575" s="1"/>
      <c r="N575" s="1"/>
      <c r="O575" s="1"/>
      <c r="P575" s="1"/>
      <c r="Q575" s="1"/>
      <c r="R575" s="1"/>
      <c r="S575" s="1"/>
      <c r="T575" s="1"/>
      <c r="U575" s="1"/>
      <c r="V575" s="97" t="s">
        <v>588</v>
      </c>
    </row>
    <row r="576" spans="1:22" ht="14.25" thickBot="1" x14ac:dyDescent="0.2">
      <c r="A576" s="7"/>
      <c r="B576" s="169" t="s">
        <v>22</v>
      </c>
      <c r="C576" s="170"/>
      <c r="D576" s="170"/>
      <c r="E576" s="171"/>
      <c r="F576" s="169" t="s">
        <v>23</v>
      </c>
      <c r="G576" s="170"/>
      <c r="H576" s="170"/>
      <c r="I576" s="171"/>
      <c r="J576" s="172" t="s">
        <v>0</v>
      </c>
      <c r="L576" s="7"/>
      <c r="M576" s="169" t="s">
        <v>22</v>
      </c>
      <c r="N576" s="170"/>
      <c r="O576" s="170"/>
      <c r="P576" s="171"/>
      <c r="Q576" s="169" t="s">
        <v>23</v>
      </c>
      <c r="R576" s="170"/>
      <c r="S576" s="170"/>
      <c r="T576" s="171"/>
      <c r="U576" s="172" t="s">
        <v>0</v>
      </c>
    </row>
    <row r="577" spans="1:22" ht="14.25" thickBot="1" x14ac:dyDescent="0.2">
      <c r="A577" s="7" t="s">
        <v>1</v>
      </c>
      <c r="B577" s="4" t="s">
        <v>2</v>
      </c>
      <c r="C577" s="5" t="s">
        <v>3</v>
      </c>
      <c r="D577" s="6" t="s">
        <v>4</v>
      </c>
      <c r="E577" s="7" t="s">
        <v>5</v>
      </c>
      <c r="F577" s="4" t="s">
        <v>2</v>
      </c>
      <c r="G577" s="5" t="s">
        <v>3</v>
      </c>
      <c r="H577" s="6" t="s">
        <v>4</v>
      </c>
      <c r="I577" s="7" t="s">
        <v>5</v>
      </c>
      <c r="J577" s="173"/>
      <c r="L577" s="7" t="s">
        <v>1</v>
      </c>
      <c r="M577" s="4" t="s">
        <v>2</v>
      </c>
      <c r="N577" s="5" t="s">
        <v>3</v>
      </c>
      <c r="O577" s="6" t="s">
        <v>4</v>
      </c>
      <c r="P577" s="7" t="s">
        <v>5</v>
      </c>
      <c r="Q577" s="4" t="s">
        <v>2</v>
      </c>
      <c r="R577" s="5" t="s">
        <v>3</v>
      </c>
      <c r="S577" s="6" t="s">
        <v>4</v>
      </c>
      <c r="T577" s="7" t="s">
        <v>5</v>
      </c>
      <c r="U577" s="173"/>
    </row>
    <row r="578" spans="1:22" ht="14.25" thickBot="1" x14ac:dyDescent="0.2">
      <c r="A578" s="27" t="s">
        <v>16</v>
      </c>
      <c r="B578" s="38">
        <f>B574</f>
        <v>4</v>
      </c>
      <c r="C578" s="39">
        <f>C574</f>
        <v>4</v>
      </c>
      <c r="D578" s="2">
        <f>D574</f>
        <v>3</v>
      </c>
      <c r="E578" s="36">
        <f>SUM(B578:D578)</f>
        <v>11</v>
      </c>
      <c r="F578" s="38">
        <f>F574</f>
        <v>4</v>
      </c>
      <c r="G578" s="39">
        <f>G574</f>
        <v>5</v>
      </c>
      <c r="H578" s="2">
        <f>H574</f>
        <v>3</v>
      </c>
      <c r="I578" s="36">
        <f>SUM(F578:H578)</f>
        <v>12</v>
      </c>
      <c r="J578" s="36">
        <f>E578+I578</f>
        <v>23</v>
      </c>
      <c r="L578" s="68" t="s">
        <v>16</v>
      </c>
      <c r="M578" s="42">
        <f>M574</f>
        <v>189</v>
      </c>
      <c r="N578" s="43">
        <f>N574</f>
        <v>258</v>
      </c>
      <c r="O578" s="60">
        <f>O574</f>
        <v>138</v>
      </c>
      <c r="P578" s="48">
        <f>SUM(M578:O578)</f>
        <v>585</v>
      </c>
      <c r="Q578" s="42">
        <f>Q574</f>
        <v>189</v>
      </c>
      <c r="R578" s="43">
        <f>R574</f>
        <v>258</v>
      </c>
      <c r="S578" s="60">
        <f>S574</f>
        <v>138</v>
      </c>
      <c r="T578" s="48">
        <f>SUM(Q578:S578)</f>
        <v>585</v>
      </c>
      <c r="U578" s="48">
        <f>P578+T578</f>
        <v>1170</v>
      </c>
    </row>
    <row r="579" spans="1:22" x14ac:dyDescent="0.15">
      <c r="A579" s="25" t="s">
        <v>597</v>
      </c>
      <c r="B579" s="42"/>
      <c r="C579" s="43">
        <v>1</v>
      </c>
      <c r="D579" s="44"/>
      <c r="E579" s="48">
        <f>SUM(B579:D579)</f>
        <v>1</v>
      </c>
      <c r="F579" s="59"/>
      <c r="G579" s="43">
        <v>1</v>
      </c>
      <c r="H579" s="60"/>
      <c r="I579" s="48">
        <f>SUM(F579:H579)</f>
        <v>1</v>
      </c>
      <c r="J579" s="48">
        <f>E579+I579</f>
        <v>2</v>
      </c>
      <c r="K579" s="64">
        <v>44617</v>
      </c>
      <c r="L579" s="25" t="s">
        <v>312</v>
      </c>
      <c r="M579" s="73">
        <v>2</v>
      </c>
      <c r="N579" s="74">
        <v>1</v>
      </c>
      <c r="O579" s="75">
        <v>1</v>
      </c>
      <c r="P579" s="76">
        <f>SUM(M579:O579)</f>
        <v>4</v>
      </c>
      <c r="Q579" s="77">
        <v>2</v>
      </c>
      <c r="R579" s="74">
        <v>1</v>
      </c>
      <c r="S579" s="78">
        <v>1</v>
      </c>
      <c r="T579" s="76">
        <f>SUM(Q579:S579)</f>
        <v>4</v>
      </c>
      <c r="U579" s="48">
        <f>P579+T579</f>
        <v>8</v>
      </c>
      <c r="V579" s="99">
        <v>44625</v>
      </c>
    </row>
    <row r="580" spans="1:22" x14ac:dyDescent="0.15">
      <c r="A580" s="25" t="s">
        <v>52</v>
      </c>
      <c r="B580" s="8"/>
      <c r="C580" s="9"/>
      <c r="D580" s="52">
        <v>2</v>
      </c>
      <c r="E580" s="11">
        <f>SUM(B580:D580)</f>
        <v>2</v>
      </c>
      <c r="F580" s="12"/>
      <c r="G580" s="9"/>
      <c r="H580" s="10">
        <v>2</v>
      </c>
      <c r="I580" s="11">
        <f>SUM(F580:H580)</f>
        <v>2</v>
      </c>
      <c r="J580" s="11">
        <f>E580+I580</f>
        <v>4</v>
      </c>
      <c r="K580" s="64">
        <v>44629</v>
      </c>
      <c r="L580" s="25" t="s">
        <v>8</v>
      </c>
      <c r="M580" s="17"/>
      <c r="N580" s="18"/>
      <c r="O580" s="51"/>
      <c r="P580" s="49">
        <f t="shared" ref="P580:P582" si="515">SUM(M580:O580)</f>
        <v>0</v>
      </c>
      <c r="Q580" s="17"/>
      <c r="R580" s="18"/>
      <c r="S580" s="51"/>
      <c r="T580" s="49">
        <f t="shared" ref="T580:T582" si="516">SUM(Q580:S580)</f>
        <v>0</v>
      </c>
      <c r="U580" s="11">
        <f t="shared" ref="U580:U582" si="517">P580+T580</f>
        <v>0</v>
      </c>
    </row>
    <row r="581" spans="1:22" x14ac:dyDescent="0.15">
      <c r="A581" s="25" t="s">
        <v>52</v>
      </c>
      <c r="B581" s="17">
        <v>1</v>
      </c>
      <c r="C581" s="18"/>
      <c r="D581" s="51"/>
      <c r="E581" s="11">
        <f t="shared" ref="E581:E586" si="518">SUM(B581:D581)</f>
        <v>1</v>
      </c>
      <c r="F581" s="20">
        <v>1</v>
      </c>
      <c r="G581" s="18"/>
      <c r="H581" s="19"/>
      <c r="I581" s="11">
        <f t="shared" ref="I581:I586" si="519">SUM(F581:H581)</f>
        <v>1</v>
      </c>
      <c r="J581" s="11">
        <f t="shared" ref="J581:J586" si="520">E581+I581</f>
        <v>2</v>
      </c>
      <c r="K581" s="64">
        <v>44631</v>
      </c>
      <c r="L581" s="25" t="s">
        <v>9</v>
      </c>
      <c r="M581" s="17"/>
      <c r="N581" s="18"/>
      <c r="O581" s="51"/>
      <c r="P581" s="11">
        <f t="shared" si="515"/>
        <v>0</v>
      </c>
      <c r="Q581" s="17"/>
      <c r="R581" s="18"/>
      <c r="S581" s="51"/>
      <c r="T581" s="11">
        <f t="shared" si="516"/>
        <v>0</v>
      </c>
      <c r="U581" s="11">
        <f t="shared" si="517"/>
        <v>0</v>
      </c>
    </row>
    <row r="582" spans="1:22" x14ac:dyDescent="0.15">
      <c r="A582" s="25" t="s">
        <v>604</v>
      </c>
      <c r="B582" s="8"/>
      <c r="C582" s="9">
        <v>2</v>
      </c>
      <c r="D582" s="52"/>
      <c r="E582" s="11">
        <f t="shared" si="518"/>
        <v>2</v>
      </c>
      <c r="F582" s="12"/>
      <c r="G582" s="9">
        <v>2</v>
      </c>
      <c r="H582" s="10"/>
      <c r="I582" s="11">
        <f t="shared" si="519"/>
        <v>2</v>
      </c>
      <c r="J582" s="11">
        <f t="shared" si="520"/>
        <v>4</v>
      </c>
      <c r="K582" s="64">
        <v>44639</v>
      </c>
      <c r="L582" s="25" t="s">
        <v>10</v>
      </c>
      <c r="M582" s="8"/>
      <c r="N582" s="9"/>
      <c r="O582" s="52"/>
      <c r="P582" s="11">
        <f t="shared" si="515"/>
        <v>0</v>
      </c>
      <c r="Q582" s="12"/>
      <c r="R582" s="9"/>
      <c r="S582" s="10"/>
      <c r="T582" s="11">
        <f t="shared" si="516"/>
        <v>0</v>
      </c>
      <c r="U582" s="11">
        <f t="shared" si="517"/>
        <v>0</v>
      </c>
    </row>
    <row r="583" spans="1:22" x14ac:dyDescent="0.15">
      <c r="A583" s="25"/>
      <c r="B583" s="8"/>
      <c r="C583" s="9"/>
      <c r="D583" s="52"/>
      <c r="E583" s="11">
        <f t="shared" si="518"/>
        <v>0</v>
      </c>
      <c r="F583" s="12"/>
      <c r="G583" s="9"/>
      <c r="H583" s="10"/>
      <c r="I583" s="11">
        <f t="shared" si="519"/>
        <v>0</v>
      </c>
      <c r="J583" s="11">
        <f t="shared" si="520"/>
        <v>0</v>
      </c>
      <c r="L583" s="25" t="s">
        <v>11</v>
      </c>
      <c r="M583" s="8"/>
      <c r="N583" s="9"/>
      <c r="O583" s="52"/>
      <c r="P583" s="11">
        <f>SUM(M583:O583)</f>
        <v>0</v>
      </c>
      <c r="Q583" s="12"/>
      <c r="R583" s="9"/>
      <c r="S583" s="10"/>
      <c r="T583" s="11">
        <f>SUM(Q583:S583)</f>
        <v>0</v>
      </c>
      <c r="U583" s="11">
        <f>P583+T583</f>
        <v>0</v>
      </c>
    </row>
    <row r="584" spans="1:22" x14ac:dyDescent="0.15">
      <c r="A584" s="25"/>
      <c r="B584" s="8"/>
      <c r="C584" s="9"/>
      <c r="D584" s="52"/>
      <c r="E584" s="11">
        <f t="shared" si="518"/>
        <v>0</v>
      </c>
      <c r="F584" s="12"/>
      <c r="G584" s="9"/>
      <c r="H584" s="10"/>
      <c r="I584" s="11">
        <f t="shared" si="519"/>
        <v>0</v>
      </c>
      <c r="J584" s="11">
        <f t="shared" si="520"/>
        <v>0</v>
      </c>
      <c r="L584" s="25" t="s">
        <v>12</v>
      </c>
      <c r="M584" s="17"/>
      <c r="N584" s="18"/>
      <c r="O584" s="51"/>
      <c r="P584" s="49">
        <f t="shared" ref="P584:P586" si="521">SUM(M584:O584)</f>
        <v>0</v>
      </c>
      <c r="Q584" s="17"/>
      <c r="R584" s="18"/>
      <c r="S584" s="51"/>
      <c r="T584" s="49">
        <f t="shared" ref="T584:T586" si="522">SUM(Q584:S584)</f>
        <v>0</v>
      </c>
      <c r="U584" s="11">
        <f t="shared" ref="U584:U586" si="523">P584+T584</f>
        <v>0</v>
      </c>
    </row>
    <row r="585" spans="1:22" x14ac:dyDescent="0.15">
      <c r="A585" s="25"/>
      <c r="B585" s="13"/>
      <c r="C585" s="14"/>
      <c r="D585" s="53"/>
      <c r="E585" s="11">
        <f t="shared" si="518"/>
        <v>0</v>
      </c>
      <c r="F585" s="16"/>
      <c r="G585" s="14"/>
      <c r="H585" s="15"/>
      <c r="I585" s="11">
        <f t="shared" si="519"/>
        <v>0</v>
      </c>
      <c r="J585" s="11">
        <f t="shared" si="520"/>
        <v>0</v>
      </c>
      <c r="L585" s="25" t="s">
        <v>13</v>
      </c>
      <c r="M585" s="13"/>
      <c r="N585" s="14"/>
      <c r="O585" s="53"/>
      <c r="P585" s="11">
        <f t="shared" si="521"/>
        <v>0</v>
      </c>
      <c r="Q585" s="16"/>
      <c r="R585" s="14"/>
      <c r="S585" s="15"/>
      <c r="T585" s="11">
        <f t="shared" si="522"/>
        <v>0</v>
      </c>
      <c r="U585" s="11">
        <f t="shared" si="523"/>
        <v>0</v>
      </c>
    </row>
    <row r="586" spans="1:22" ht="14.25" thickBot="1" x14ac:dyDescent="0.2">
      <c r="A586" s="25"/>
      <c r="B586" s="32"/>
      <c r="C586" s="33"/>
      <c r="D586" s="54"/>
      <c r="E586" s="61">
        <f t="shared" si="518"/>
        <v>0</v>
      </c>
      <c r="F586" s="34"/>
      <c r="G586" s="34"/>
      <c r="H586" s="37"/>
      <c r="I586" s="61">
        <f t="shared" si="519"/>
        <v>0</v>
      </c>
      <c r="J586" s="21">
        <f t="shared" si="520"/>
        <v>0</v>
      </c>
      <c r="L586" s="25" t="s">
        <v>14</v>
      </c>
      <c r="M586" s="32"/>
      <c r="N586" s="33"/>
      <c r="O586" s="54"/>
      <c r="P586" s="61">
        <f t="shared" si="521"/>
        <v>0</v>
      </c>
      <c r="Q586" s="34"/>
      <c r="R586" s="34"/>
      <c r="S586" s="37"/>
      <c r="T586" s="61">
        <f t="shared" si="522"/>
        <v>0</v>
      </c>
      <c r="U586" s="21">
        <f t="shared" si="523"/>
        <v>0</v>
      </c>
    </row>
    <row r="587" spans="1:22" ht="14.25" thickBot="1" x14ac:dyDescent="0.2">
      <c r="A587" s="35" t="s">
        <v>15</v>
      </c>
      <c r="B587" s="28">
        <f>SUM(B578:B586)</f>
        <v>5</v>
      </c>
      <c r="C587" s="29">
        <f>SUM(C578:C586)</f>
        <v>7</v>
      </c>
      <c r="D587" s="30">
        <f>SUM(D578:D586)</f>
        <v>5</v>
      </c>
      <c r="E587" s="31">
        <f>SUM(B587:D587)</f>
        <v>17</v>
      </c>
      <c r="F587" s="28">
        <f>SUM(F578:F586)</f>
        <v>5</v>
      </c>
      <c r="G587" s="29">
        <f>SUM(G578:G586)</f>
        <v>8</v>
      </c>
      <c r="H587" s="30">
        <f>SUM(H578:H586)</f>
        <v>5</v>
      </c>
      <c r="I587" s="31">
        <f>SUM(F587:H587)</f>
        <v>18</v>
      </c>
      <c r="J587" s="31">
        <f>E587+I587</f>
        <v>35</v>
      </c>
      <c r="L587" s="35" t="s">
        <v>15</v>
      </c>
      <c r="M587" s="28">
        <f>SUM(M578:M586)</f>
        <v>191</v>
      </c>
      <c r="N587" s="29">
        <f>SUM(N578:N586)</f>
        <v>259</v>
      </c>
      <c r="O587" s="30">
        <f>SUM(O578:O586)</f>
        <v>139</v>
      </c>
      <c r="P587" s="31">
        <f>SUM(M587:O587)</f>
        <v>589</v>
      </c>
      <c r="Q587" s="28">
        <f>SUM(Q578:Q586)</f>
        <v>191</v>
      </c>
      <c r="R587" s="29">
        <f>SUM(R578:R586)</f>
        <v>259</v>
      </c>
      <c r="S587" s="30">
        <f>SUM(S578:S586)</f>
        <v>139</v>
      </c>
      <c r="T587" s="31">
        <f>SUM(Q587:S587)</f>
        <v>589</v>
      </c>
      <c r="U587" s="31">
        <f>P587+T587</f>
        <v>1178</v>
      </c>
    </row>
    <row r="588" spans="1:22" x14ac:dyDescent="0.15">
      <c r="A588" s="26" t="s">
        <v>598</v>
      </c>
      <c r="B588" s="13"/>
      <c r="C588" s="14">
        <v>2</v>
      </c>
      <c r="D588" s="15"/>
      <c r="E588" s="49">
        <f>SUM(B588:D588)</f>
        <v>2</v>
      </c>
      <c r="F588" s="16"/>
      <c r="G588" s="14">
        <v>2</v>
      </c>
      <c r="H588" s="15"/>
      <c r="I588" s="49">
        <f>SUM(F588:H588)</f>
        <v>2</v>
      </c>
      <c r="J588" s="11">
        <f>E588+I588</f>
        <v>4</v>
      </c>
      <c r="K588" s="62">
        <v>44623</v>
      </c>
      <c r="L588" s="26" t="s">
        <v>584</v>
      </c>
      <c r="M588" s="8">
        <v>7</v>
      </c>
      <c r="N588" s="9">
        <v>8</v>
      </c>
      <c r="O588" s="52">
        <v>6</v>
      </c>
      <c r="P588" s="87">
        <f t="shared" ref="P588:P602" si="524">SUM(M588:O588)</f>
        <v>21</v>
      </c>
      <c r="Q588" s="12">
        <v>7</v>
      </c>
      <c r="R588" s="9">
        <v>8</v>
      </c>
      <c r="S588" s="10">
        <v>6</v>
      </c>
      <c r="T588" s="49">
        <f t="shared" ref="T588:T602" si="525">SUM(Q588:S588)</f>
        <v>21</v>
      </c>
      <c r="U588" s="11">
        <f t="shared" ref="U588:U602" si="526">P588+T588</f>
        <v>42</v>
      </c>
      <c r="V588" s="98">
        <v>44595</v>
      </c>
    </row>
    <row r="589" spans="1:22" x14ac:dyDescent="0.15">
      <c r="A589" s="26" t="s">
        <v>558</v>
      </c>
      <c r="B589" s="8">
        <v>2</v>
      </c>
      <c r="C589" s="9">
        <v>1</v>
      </c>
      <c r="D589" s="10">
        <v>1</v>
      </c>
      <c r="E589" s="49">
        <f t="shared" ref="E589:E590" si="527">SUM(B589:D589)</f>
        <v>4</v>
      </c>
      <c r="F589" s="12">
        <v>2</v>
      </c>
      <c r="G589" s="9">
        <v>1</v>
      </c>
      <c r="H589" s="10">
        <v>1</v>
      </c>
      <c r="I589" s="49">
        <f t="shared" ref="I589:I590" si="528">SUM(F589:H589)</f>
        <v>4</v>
      </c>
      <c r="J589" s="11">
        <f t="shared" ref="J589:J590" si="529">E589+I589</f>
        <v>8</v>
      </c>
      <c r="K589" s="62">
        <v>44625</v>
      </c>
      <c r="L589" s="26" t="s">
        <v>439</v>
      </c>
      <c r="M589" s="8">
        <v>2</v>
      </c>
      <c r="N589" s="9">
        <v>2</v>
      </c>
      <c r="O589" s="52">
        <v>1</v>
      </c>
      <c r="P589" s="87">
        <f t="shared" si="524"/>
        <v>5</v>
      </c>
      <c r="Q589" s="12">
        <v>2</v>
      </c>
      <c r="R589" s="9">
        <v>2</v>
      </c>
      <c r="S589" s="10">
        <v>1</v>
      </c>
      <c r="T589" s="49">
        <f t="shared" si="525"/>
        <v>5</v>
      </c>
      <c r="U589" s="11">
        <f t="shared" si="526"/>
        <v>10</v>
      </c>
      <c r="V589" s="98">
        <v>44596</v>
      </c>
    </row>
    <row r="590" spans="1:22" x14ac:dyDescent="0.15">
      <c r="A590" s="26" t="s">
        <v>601</v>
      </c>
      <c r="B590" s="8">
        <v>1</v>
      </c>
      <c r="C590" s="9">
        <v>1</v>
      </c>
      <c r="D590" s="10"/>
      <c r="E590" s="49">
        <f t="shared" si="527"/>
        <v>2</v>
      </c>
      <c r="F590" s="12">
        <v>1</v>
      </c>
      <c r="G590" s="9">
        <v>1</v>
      </c>
      <c r="H590" s="10"/>
      <c r="I590" s="49">
        <f t="shared" si="528"/>
        <v>2</v>
      </c>
      <c r="J590" s="11">
        <f t="shared" si="529"/>
        <v>4</v>
      </c>
      <c r="K590" s="62">
        <v>44629</v>
      </c>
      <c r="L590" s="26" t="s">
        <v>440</v>
      </c>
      <c r="M590" s="8">
        <v>3</v>
      </c>
      <c r="N590" s="9">
        <v>2</v>
      </c>
      <c r="O590" s="52">
        <v>5</v>
      </c>
      <c r="P590" s="87">
        <f t="shared" si="524"/>
        <v>10</v>
      </c>
      <c r="Q590" s="12">
        <v>3</v>
      </c>
      <c r="R590" s="9">
        <v>2</v>
      </c>
      <c r="S590" s="10">
        <v>5</v>
      </c>
      <c r="T590" s="49">
        <f t="shared" si="525"/>
        <v>10</v>
      </c>
      <c r="U590" s="11">
        <f t="shared" si="526"/>
        <v>20</v>
      </c>
      <c r="V590" s="98">
        <v>44599</v>
      </c>
    </row>
    <row r="591" spans="1:22" x14ac:dyDescent="0.15">
      <c r="A591" s="26" t="s">
        <v>603</v>
      </c>
      <c r="B591" s="13"/>
      <c r="C591" s="14"/>
      <c r="D591" s="15">
        <v>1</v>
      </c>
      <c r="E591" s="49">
        <f>SUM(B591:D591)</f>
        <v>1</v>
      </c>
      <c r="F591" s="16"/>
      <c r="G591" s="14"/>
      <c r="H591" s="15">
        <v>1</v>
      </c>
      <c r="I591" s="49">
        <f>SUM(F591:H591)</f>
        <v>1</v>
      </c>
      <c r="J591" s="11">
        <f>E591+I591</f>
        <v>2</v>
      </c>
      <c r="K591" s="62">
        <v>44635</v>
      </c>
      <c r="L591" s="26" t="s">
        <v>441</v>
      </c>
      <c r="M591" s="8">
        <v>8</v>
      </c>
      <c r="N591" s="9">
        <v>10</v>
      </c>
      <c r="O591" s="52">
        <v>4</v>
      </c>
      <c r="P591" s="87">
        <f t="shared" si="524"/>
        <v>22</v>
      </c>
      <c r="Q591" s="12">
        <v>8</v>
      </c>
      <c r="R591" s="9">
        <v>10</v>
      </c>
      <c r="S591" s="10">
        <v>4</v>
      </c>
      <c r="T591" s="49">
        <f t="shared" si="525"/>
        <v>22</v>
      </c>
      <c r="U591" s="11">
        <f t="shared" si="526"/>
        <v>44</v>
      </c>
      <c r="V591" s="98">
        <v>44600</v>
      </c>
    </row>
    <row r="592" spans="1:22" x14ac:dyDescent="0.15">
      <c r="A592" s="26" t="s">
        <v>608</v>
      </c>
      <c r="B592" s="8">
        <v>1</v>
      </c>
      <c r="C592" s="9">
        <v>2</v>
      </c>
      <c r="D592" s="10"/>
      <c r="E592" s="49">
        <f t="shared" ref="E592:E612" si="530">SUM(B592:D592)</f>
        <v>3</v>
      </c>
      <c r="F592" s="12">
        <v>1</v>
      </c>
      <c r="G592" s="9">
        <v>2</v>
      </c>
      <c r="H592" s="10"/>
      <c r="I592" s="49">
        <f t="shared" ref="I592:I612" si="531">SUM(F592:H592)</f>
        <v>3</v>
      </c>
      <c r="J592" s="11">
        <f t="shared" ref="J592:J612" si="532">E592+I592</f>
        <v>6</v>
      </c>
      <c r="K592" s="62">
        <v>44650</v>
      </c>
      <c r="L592" s="26" t="s">
        <v>442</v>
      </c>
      <c r="M592" s="8">
        <v>9</v>
      </c>
      <c r="N592" s="9">
        <v>4</v>
      </c>
      <c r="O592" s="52">
        <v>9</v>
      </c>
      <c r="P592" s="87">
        <f t="shared" si="524"/>
        <v>22</v>
      </c>
      <c r="Q592" s="12">
        <v>9</v>
      </c>
      <c r="R592" s="9">
        <v>4</v>
      </c>
      <c r="S592" s="10">
        <v>9</v>
      </c>
      <c r="T592" s="49">
        <f t="shared" si="525"/>
        <v>22</v>
      </c>
      <c r="U592" s="11">
        <f t="shared" si="526"/>
        <v>44</v>
      </c>
      <c r="V592" s="98">
        <v>44601</v>
      </c>
    </row>
    <row r="593" spans="1:23" x14ac:dyDescent="0.15">
      <c r="A593" s="26"/>
      <c r="B593" s="8"/>
      <c r="C593" s="9"/>
      <c r="D593" s="10"/>
      <c r="E593" s="49">
        <f t="shared" si="530"/>
        <v>0</v>
      </c>
      <c r="F593" s="12"/>
      <c r="G593" s="9"/>
      <c r="H593" s="10"/>
      <c r="I593" s="49">
        <f t="shared" si="531"/>
        <v>0</v>
      </c>
      <c r="J593" s="11">
        <f t="shared" si="532"/>
        <v>0</v>
      </c>
      <c r="L593" s="26" t="s">
        <v>443</v>
      </c>
      <c r="M593" s="8">
        <v>9</v>
      </c>
      <c r="N593" s="9">
        <v>9</v>
      </c>
      <c r="O593" s="52"/>
      <c r="P593" s="87">
        <f t="shared" si="524"/>
        <v>18</v>
      </c>
      <c r="Q593" s="12">
        <v>9</v>
      </c>
      <c r="R593" s="9">
        <v>9</v>
      </c>
      <c r="S593" s="10"/>
      <c r="T593" s="49">
        <f t="shared" si="525"/>
        <v>18</v>
      </c>
      <c r="U593" s="11">
        <f t="shared" si="526"/>
        <v>36</v>
      </c>
      <c r="V593" s="98">
        <v>44602</v>
      </c>
    </row>
    <row r="594" spans="1:23" x14ac:dyDescent="0.15">
      <c r="A594" s="26"/>
      <c r="B594" s="8"/>
      <c r="C594" s="9"/>
      <c r="D594" s="10"/>
      <c r="E594" s="49">
        <f t="shared" si="530"/>
        <v>0</v>
      </c>
      <c r="F594" s="12"/>
      <c r="G594" s="9"/>
      <c r="H594" s="10"/>
      <c r="I594" s="49">
        <f t="shared" si="531"/>
        <v>0</v>
      </c>
      <c r="J594" s="11">
        <f t="shared" si="532"/>
        <v>0</v>
      </c>
      <c r="L594" s="26" t="s">
        <v>444</v>
      </c>
      <c r="M594" s="8">
        <v>4</v>
      </c>
      <c r="N594" s="9">
        <v>3</v>
      </c>
      <c r="O594" s="52">
        <v>10</v>
      </c>
      <c r="P594" s="87">
        <f t="shared" si="524"/>
        <v>17</v>
      </c>
      <c r="Q594" s="12">
        <v>4</v>
      </c>
      <c r="R594" s="9">
        <v>3</v>
      </c>
      <c r="S594" s="10">
        <v>10</v>
      </c>
      <c r="T594" s="49">
        <f t="shared" si="525"/>
        <v>17</v>
      </c>
      <c r="U594" s="11">
        <f t="shared" si="526"/>
        <v>34</v>
      </c>
      <c r="V594" s="98">
        <v>44606</v>
      </c>
    </row>
    <row r="595" spans="1:23" x14ac:dyDescent="0.15">
      <c r="A595" s="26"/>
      <c r="B595" s="8"/>
      <c r="C595" s="9"/>
      <c r="D595" s="10"/>
      <c r="E595" s="49">
        <f t="shared" si="530"/>
        <v>0</v>
      </c>
      <c r="F595" s="12"/>
      <c r="G595" s="9"/>
      <c r="H595" s="10"/>
      <c r="I595" s="49">
        <f t="shared" si="531"/>
        <v>0</v>
      </c>
      <c r="J595" s="11">
        <f t="shared" si="532"/>
        <v>0</v>
      </c>
      <c r="L595" s="26" t="s">
        <v>447</v>
      </c>
      <c r="M595" s="8">
        <v>8</v>
      </c>
      <c r="N595" s="9"/>
      <c r="O595" s="52">
        <v>3</v>
      </c>
      <c r="P595" s="87">
        <f t="shared" si="524"/>
        <v>11</v>
      </c>
      <c r="Q595" s="12">
        <v>8</v>
      </c>
      <c r="R595" s="9"/>
      <c r="S595" s="10">
        <v>3</v>
      </c>
      <c r="T595" s="49">
        <f t="shared" si="525"/>
        <v>11</v>
      </c>
      <c r="U595" s="11">
        <f t="shared" si="526"/>
        <v>22</v>
      </c>
      <c r="V595" s="98">
        <v>44607</v>
      </c>
    </row>
    <row r="596" spans="1:23" x14ac:dyDescent="0.15">
      <c r="A596" s="26"/>
      <c r="B596" s="8"/>
      <c r="C596" s="9"/>
      <c r="D596" s="10"/>
      <c r="E596" s="49">
        <f t="shared" si="530"/>
        <v>0</v>
      </c>
      <c r="F596" s="12"/>
      <c r="G596" s="9"/>
      <c r="H596" s="10"/>
      <c r="I596" s="49">
        <f t="shared" si="531"/>
        <v>0</v>
      </c>
      <c r="J596" s="11">
        <f t="shared" si="532"/>
        <v>0</v>
      </c>
      <c r="L596" s="26" t="s">
        <v>448</v>
      </c>
      <c r="M596" s="8">
        <v>3</v>
      </c>
      <c r="N596" s="9">
        <v>5</v>
      </c>
      <c r="O596" s="52">
        <v>1</v>
      </c>
      <c r="P596" s="87">
        <f t="shared" si="524"/>
        <v>9</v>
      </c>
      <c r="Q596" s="12">
        <v>3</v>
      </c>
      <c r="R596" s="9">
        <v>5</v>
      </c>
      <c r="S596" s="10">
        <v>1</v>
      </c>
      <c r="T596" s="49">
        <f t="shared" si="525"/>
        <v>9</v>
      </c>
      <c r="U596" s="11">
        <f t="shared" si="526"/>
        <v>18</v>
      </c>
      <c r="V596" s="98">
        <v>44608</v>
      </c>
    </row>
    <row r="597" spans="1:23" x14ac:dyDescent="0.15">
      <c r="A597" s="26"/>
      <c r="B597" s="13"/>
      <c r="C597" s="14"/>
      <c r="D597" s="15"/>
      <c r="E597" s="49">
        <f t="shared" si="530"/>
        <v>0</v>
      </c>
      <c r="F597" s="16"/>
      <c r="G597" s="14"/>
      <c r="H597" s="15"/>
      <c r="I597" s="49">
        <f t="shared" si="531"/>
        <v>0</v>
      </c>
      <c r="J597" s="11">
        <f t="shared" si="532"/>
        <v>0</v>
      </c>
      <c r="L597" s="26" t="s">
        <v>450</v>
      </c>
      <c r="M597" s="13">
        <v>1</v>
      </c>
      <c r="N597" s="14">
        <v>5</v>
      </c>
      <c r="O597" s="53">
        <v>5</v>
      </c>
      <c r="P597" s="87">
        <f t="shared" si="524"/>
        <v>11</v>
      </c>
      <c r="Q597" s="16">
        <v>1</v>
      </c>
      <c r="R597" s="14">
        <v>5</v>
      </c>
      <c r="S597" s="15">
        <v>5</v>
      </c>
      <c r="T597" s="49">
        <f t="shared" si="525"/>
        <v>11</v>
      </c>
      <c r="U597" s="11">
        <f t="shared" si="526"/>
        <v>22</v>
      </c>
      <c r="V597" s="98">
        <v>44609</v>
      </c>
    </row>
    <row r="598" spans="1:23" x14ac:dyDescent="0.15">
      <c r="A598" s="26"/>
      <c r="B598" s="8"/>
      <c r="C598" s="9"/>
      <c r="D598" s="10"/>
      <c r="E598" s="49">
        <f t="shared" si="530"/>
        <v>0</v>
      </c>
      <c r="F598" s="12"/>
      <c r="G598" s="9"/>
      <c r="H598" s="10"/>
      <c r="I598" s="49">
        <f t="shared" si="531"/>
        <v>0</v>
      </c>
      <c r="J598" s="11">
        <f t="shared" si="532"/>
        <v>0</v>
      </c>
      <c r="L598" s="26" t="s">
        <v>451</v>
      </c>
      <c r="M598" s="8"/>
      <c r="N598" s="9">
        <v>1</v>
      </c>
      <c r="O598" s="52">
        <v>2</v>
      </c>
      <c r="P598" s="87">
        <f t="shared" si="524"/>
        <v>3</v>
      </c>
      <c r="Q598" s="12"/>
      <c r="R598" s="9">
        <v>1</v>
      </c>
      <c r="S598" s="10">
        <v>2</v>
      </c>
      <c r="T598" s="49">
        <f t="shared" si="525"/>
        <v>3</v>
      </c>
      <c r="U598" s="11">
        <f t="shared" si="526"/>
        <v>6</v>
      </c>
      <c r="V598" s="98">
        <v>44613</v>
      </c>
    </row>
    <row r="599" spans="1:23" x14ac:dyDescent="0.15">
      <c r="A599" s="26"/>
      <c r="B599" s="8"/>
      <c r="C599" s="9"/>
      <c r="D599" s="10"/>
      <c r="E599" s="49">
        <f t="shared" si="530"/>
        <v>0</v>
      </c>
      <c r="F599" s="12"/>
      <c r="G599" s="9"/>
      <c r="H599" s="10"/>
      <c r="I599" s="49">
        <f t="shared" si="531"/>
        <v>0</v>
      </c>
      <c r="J599" s="11">
        <f t="shared" si="532"/>
        <v>0</v>
      </c>
      <c r="L599" s="26" t="s">
        <v>453</v>
      </c>
      <c r="M599" s="8">
        <v>1</v>
      </c>
      <c r="N599" s="9">
        <v>1</v>
      </c>
      <c r="O599" s="52">
        <v>3</v>
      </c>
      <c r="P599" s="87">
        <f t="shared" si="524"/>
        <v>5</v>
      </c>
      <c r="Q599" s="12">
        <v>1</v>
      </c>
      <c r="R599" s="9">
        <v>1</v>
      </c>
      <c r="S599" s="10">
        <v>3</v>
      </c>
      <c r="T599" s="49">
        <f t="shared" si="525"/>
        <v>5</v>
      </c>
      <c r="U599" s="11">
        <f t="shared" si="526"/>
        <v>10</v>
      </c>
      <c r="V599" s="98">
        <v>44614</v>
      </c>
    </row>
    <row r="600" spans="1:23" x14ac:dyDescent="0.15">
      <c r="A600" s="26"/>
      <c r="B600" s="8"/>
      <c r="C600" s="9"/>
      <c r="D600" s="10"/>
      <c r="E600" s="49">
        <f t="shared" si="530"/>
        <v>0</v>
      </c>
      <c r="F600" s="12"/>
      <c r="G600" s="9"/>
      <c r="H600" s="10"/>
      <c r="I600" s="49">
        <f t="shared" si="531"/>
        <v>0</v>
      </c>
      <c r="J600" s="11">
        <f t="shared" si="532"/>
        <v>0</v>
      </c>
      <c r="L600" s="26" t="s">
        <v>454</v>
      </c>
      <c r="M600" s="8">
        <v>3</v>
      </c>
      <c r="N600" s="9">
        <v>3</v>
      </c>
      <c r="O600" s="52">
        <v>1</v>
      </c>
      <c r="P600" s="87">
        <f t="shared" si="524"/>
        <v>7</v>
      </c>
      <c r="Q600" s="12">
        <v>3</v>
      </c>
      <c r="R600" s="9">
        <v>3</v>
      </c>
      <c r="S600" s="10">
        <v>1</v>
      </c>
      <c r="T600" s="49">
        <f t="shared" si="525"/>
        <v>7</v>
      </c>
      <c r="U600" s="11">
        <f t="shared" si="526"/>
        <v>14</v>
      </c>
      <c r="V600" s="98">
        <v>44616</v>
      </c>
    </row>
    <row r="601" spans="1:23" x14ac:dyDescent="0.15">
      <c r="A601" s="26"/>
      <c r="B601" s="8"/>
      <c r="C601" s="9"/>
      <c r="D601" s="10"/>
      <c r="E601" s="49">
        <f t="shared" si="530"/>
        <v>0</v>
      </c>
      <c r="F601" s="12"/>
      <c r="G601" s="9"/>
      <c r="H601" s="10"/>
      <c r="I601" s="49">
        <f t="shared" si="531"/>
        <v>0</v>
      </c>
      <c r="J601" s="11">
        <f t="shared" si="532"/>
        <v>0</v>
      </c>
      <c r="L601" s="26" t="s">
        <v>455</v>
      </c>
      <c r="M601" s="8">
        <v>1</v>
      </c>
      <c r="N601" s="9">
        <v>2</v>
      </c>
      <c r="O601" s="52">
        <v>1</v>
      </c>
      <c r="P601" s="87">
        <f t="shared" si="524"/>
        <v>4</v>
      </c>
      <c r="Q601" s="12">
        <v>1</v>
      </c>
      <c r="R601" s="9">
        <v>2</v>
      </c>
      <c r="S601" s="10">
        <v>1</v>
      </c>
      <c r="T601" s="49">
        <f t="shared" si="525"/>
        <v>4</v>
      </c>
      <c r="U601" s="11">
        <f t="shared" si="526"/>
        <v>8</v>
      </c>
      <c r="V601" s="98">
        <v>44617</v>
      </c>
    </row>
    <row r="602" spans="1:23" x14ac:dyDescent="0.15">
      <c r="A602" s="26"/>
      <c r="B602" s="8"/>
      <c r="C602" s="9"/>
      <c r="D602" s="10"/>
      <c r="E602" s="49">
        <f t="shared" si="530"/>
        <v>0</v>
      </c>
      <c r="F602" s="12"/>
      <c r="G602" s="9"/>
      <c r="H602" s="10"/>
      <c r="I602" s="49">
        <f t="shared" si="531"/>
        <v>0</v>
      </c>
      <c r="J602" s="11">
        <f t="shared" si="532"/>
        <v>0</v>
      </c>
      <c r="L602" s="26" t="s">
        <v>460</v>
      </c>
      <c r="M602" s="8"/>
      <c r="N602" s="9"/>
      <c r="O602" s="52">
        <v>1</v>
      </c>
      <c r="P602" s="87">
        <f t="shared" si="524"/>
        <v>1</v>
      </c>
      <c r="Q602" s="12"/>
      <c r="R602" s="9"/>
      <c r="S602" s="10">
        <v>1</v>
      </c>
      <c r="T602" s="49">
        <f t="shared" si="525"/>
        <v>1</v>
      </c>
      <c r="U602" s="11">
        <f t="shared" si="526"/>
        <v>2</v>
      </c>
      <c r="V602" s="98">
        <v>44620</v>
      </c>
    </row>
    <row r="603" spans="1:23" x14ac:dyDescent="0.15">
      <c r="A603" s="26"/>
      <c r="B603" s="8"/>
      <c r="C603" s="9"/>
      <c r="D603" s="10"/>
      <c r="E603" s="49">
        <f t="shared" si="530"/>
        <v>0</v>
      </c>
      <c r="F603" s="12"/>
      <c r="G603" s="9"/>
      <c r="H603" s="10"/>
      <c r="I603" s="49">
        <f t="shared" si="531"/>
        <v>0</v>
      </c>
      <c r="J603" s="11">
        <f t="shared" si="532"/>
        <v>0</v>
      </c>
      <c r="L603" s="26" t="s">
        <v>461</v>
      </c>
      <c r="M603" s="13">
        <v>5</v>
      </c>
      <c r="N603" s="14">
        <v>1</v>
      </c>
      <c r="O603" s="53"/>
      <c r="P603" s="87">
        <f>SUM(M603:O603)</f>
        <v>6</v>
      </c>
      <c r="Q603" s="16">
        <v>5</v>
      </c>
      <c r="R603" s="14">
        <v>1</v>
      </c>
      <c r="S603" s="15"/>
      <c r="T603" s="49">
        <f>SUM(Q603:S603)</f>
        <v>6</v>
      </c>
      <c r="U603" s="11">
        <f>P603+T603</f>
        <v>12</v>
      </c>
      <c r="V603" s="98">
        <v>44621</v>
      </c>
    </row>
    <row r="604" spans="1:23" x14ac:dyDescent="0.15">
      <c r="A604" s="26"/>
      <c r="B604" s="8"/>
      <c r="C604" s="9"/>
      <c r="D604" s="10"/>
      <c r="E604" s="49">
        <f t="shared" si="530"/>
        <v>0</v>
      </c>
      <c r="F604" s="12"/>
      <c r="G604" s="9"/>
      <c r="H604" s="10"/>
      <c r="I604" s="49">
        <f t="shared" si="531"/>
        <v>0</v>
      </c>
      <c r="J604" s="11">
        <f t="shared" si="532"/>
        <v>0</v>
      </c>
      <c r="L604" s="26" t="s">
        <v>462</v>
      </c>
      <c r="M604" s="8"/>
      <c r="N604" s="9">
        <v>1</v>
      </c>
      <c r="O604" s="52"/>
      <c r="P604" s="87">
        <f t="shared" ref="P604:P606" si="533">SUM(M604:O604)</f>
        <v>1</v>
      </c>
      <c r="Q604" s="12"/>
      <c r="R604" s="9">
        <v>1</v>
      </c>
      <c r="S604" s="10"/>
      <c r="T604" s="49">
        <f t="shared" ref="T604:T606" si="534">SUM(Q604:S604)</f>
        <v>1</v>
      </c>
      <c r="U604" s="11">
        <f t="shared" ref="U604:U606" si="535">P604+T604</f>
        <v>2</v>
      </c>
      <c r="V604" s="98">
        <v>44622</v>
      </c>
    </row>
    <row r="605" spans="1:23" x14ac:dyDescent="0.15">
      <c r="A605" s="24"/>
      <c r="B605" s="8"/>
      <c r="C605" s="9"/>
      <c r="D605" s="10"/>
      <c r="E605" s="49">
        <f t="shared" si="530"/>
        <v>0</v>
      </c>
      <c r="F605" s="12"/>
      <c r="G605" s="9"/>
      <c r="H605" s="10"/>
      <c r="I605" s="49">
        <f t="shared" si="531"/>
        <v>0</v>
      </c>
      <c r="J605" s="11">
        <f t="shared" si="532"/>
        <v>0</v>
      </c>
      <c r="L605" s="26" t="s">
        <v>600</v>
      </c>
      <c r="M605" s="8">
        <v>1</v>
      </c>
      <c r="N605" s="9"/>
      <c r="O605" s="52"/>
      <c r="P605" s="87">
        <f t="shared" si="533"/>
        <v>1</v>
      </c>
      <c r="Q605" s="12">
        <v>1</v>
      </c>
      <c r="R605" s="9"/>
      <c r="S605" s="10"/>
      <c r="T605" s="49">
        <f t="shared" si="534"/>
        <v>1</v>
      </c>
      <c r="U605" s="11">
        <f t="shared" si="535"/>
        <v>2</v>
      </c>
      <c r="V605" s="98">
        <v>44627</v>
      </c>
    </row>
    <row r="606" spans="1:23" x14ac:dyDescent="0.15">
      <c r="A606" s="25"/>
      <c r="B606" s="8"/>
      <c r="C606" s="9"/>
      <c r="D606" s="10"/>
      <c r="E606" s="49">
        <f t="shared" si="530"/>
        <v>0</v>
      </c>
      <c r="F606" s="12"/>
      <c r="G606" s="9"/>
      <c r="H606" s="10"/>
      <c r="I606" s="49">
        <f t="shared" si="531"/>
        <v>0</v>
      </c>
      <c r="J606" s="11">
        <f t="shared" si="532"/>
        <v>0</v>
      </c>
      <c r="L606" s="26" t="s">
        <v>602</v>
      </c>
      <c r="M606" s="8">
        <v>1</v>
      </c>
      <c r="N606" s="9"/>
      <c r="O606" s="52"/>
      <c r="P606" s="87">
        <f t="shared" si="533"/>
        <v>1</v>
      </c>
      <c r="Q606" s="12">
        <v>1</v>
      </c>
      <c r="R606" s="9"/>
      <c r="S606" s="10"/>
      <c r="T606" s="49">
        <f t="shared" si="534"/>
        <v>1</v>
      </c>
      <c r="U606" s="11">
        <f t="shared" si="535"/>
        <v>2</v>
      </c>
      <c r="V606" s="98">
        <v>44630</v>
      </c>
    </row>
    <row r="607" spans="1:23" x14ac:dyDescent="0.15">
      <c r="A607" s="26"/>
      <c r="B607" s="8"/>
      <c r="C607" s="9"/>
      <c r="D607" s="10"/>
      <c r="E607" s="49">
        <f t="shared" si="530"/>
        <v>0</v>
      </c>
      <c r="F607" s="12"/>
      <c r="G607" s="9"/>
      <c r="H607" s="10"/>
      <c r="I607" s="49">
        <f t="shared" si="531"/>
        <v>0</v>
      </c>
      <c r="J607" s="11">
        <f t="shared" si="532"/>
        <v>0</v>
      </c>
      <c r="L607" s="26" t="s">
        <v>473</v>
      </c>
      <c r="M607" s="13"/>
      <c r="N607" s="14">
        <v>1</v>
      </c>
      <c r="O607" s="53"/>
      <c r="P607" s="87">
        <f>SUM(M607:O607)</f>
        <v>1</v>
      </c>
      <c r="Q607" s="16"/>
      <c r="R607" s="14">
        <v>1</v>
      </c>
      <c r="S607" s="15"/>
      <c r="T607" s="49">
        <f>SUM(Q607:S607)</f>
        <v>1</v>
      </c>
      <c r="U607" s="11">
        <f>P607+T607</f>
        <v>2</v>
      </c>
      <c r="V607" s="98">
        <v>44634</v>
      </c>
      <c r="W607" s="66"/>
    </row>
    <row r="608" spans="1:23" x14ac:dyDescent="0.15">
      <c r="A608" s="24"/>
      <c r="B608" s="8"/>
      <c r="C608" s="9"/>
      <c r="D608" s="10"/>
      <c r="E608" s="49">
        <f t="shared" si="530"/>
        <v>0</v>
      </c>
      <c r="F608" s="12"/>
      <c r="G608" s="9"/>
      <c r="H608" s="10"/>
      <c r="I608" s="49">
        <f t="shared" si="531"/>
        <v>0</v>
      </c>
      <c r="J608" s="11">
        <f t="shared" si="532"/>
        <v>0</v>
      </c>
      <c r="L608" s="26" t="s">
        <v>474</v>
      </c>
      <c r="M608" s="8"/>
      <c r="N608" s="9"/>
      <c r="O608" s="52">
        <v>1</v>
      </c>
      <c r="P608" s="87">
        <f t="shared" ref="P608:P614" si="536">SUM(M608:O608)</f>
        <v>1</v>
      </c>
      <c r="Q608" s="12"/>
      <c r="R608" s="9"/>
      <c r="S608" s="10">
        <v>1</v>
      </c>
      <c r="T608" s="49">
        <f t="shared" ref="T608:T614" si="537">SUM(Q608:S608)</f>
        <v>1</v>
      </c>
      <c r="U608" s="11">
        <f t="shared" ref="U608:U613" si="538">P608+T608</f>
        <v>2</v>
      </c>
      <c r="V608" s="98">
        <v>44635</v>
      </c>
    </row>
    <row r="609" spans="1:23" x14ac:dyDescent="0.15">
      <c r="B609" s="13"/>
      <c r="C609" s="14"/>
      <c r="D609" s="15"/>
      <c r="E609" s="49">
        <f t="shared" si="530"/>
        <v>0</v>
      </c>
      <c r="F609" s="16"/>
      <c r="G609" s="14"/>
      <c r="H609" s="15"/>
      <c r="I609" s="49">
        <f t="shared" si="531"/>
        <v>0</v>
      </c>
      <c r="J609" s="11">
        <f t="shared" si="532"/>
        <v>0</v>
      </c>
      <c r="L609" s="26" t="s">
        <v>605</v>
      </c>
      <c r="M609" s="8"/>
      <c r="N609" s="9">
        <v>2</v>
      </c>
      <c r="O609" s="52"/>
      <c r="P609" s="87">
        <f t="shared" si="536"/>
        <v>2</v>
      </c>
      <c r="Q609" s="12"/>
      <c r="R609" s="9">
        <v>2</v>
      </c>
      <c r="S609" s="10"/>
      <c r="T609" s="49">
        <f t="shared" si="537"/>
        <v>2</v>
      </c>
      <c r="U609" s="11">
        <f t="shared" si="538"/>
        <v>4</v>
      </c>
      <c r="V609" s="99">
        <v>44639</v>
      </c>
    </row>
    <row r="610" spans="1:23" x14ac:dyDescent="0.15">
      <c r="A610" s="26"/>
      <c r="B610" s="8"/>
      <c r="C610" s="9"/>
      <c r="D610" s="10"/>
      <c r="E610" s="49">
        <f t="shared" si="530"/>
        <v>0</v>
      </c>
      <c r="F610" s="12"/>
      <c r="G610" s="9"/>
      <c r="H610" s="10"/>
      <c r="I610" s="49">
        <f t="shared" si="531"/>
        <v>0</v>
      </c>
      <c r="J610" s="11">
        <f t="shared" si="532"/>
        <v>0</v>
      </c>
      <c r="L610" s="26" t="s">
        <v>606</v>
      </c>
      <c r="M610" s="8">
        <v>1</v>
      </c>
      <c r="N610" s="9"/>
      <c r="O610" s="52"/>
      <c r="P610" s="87">
        <f t="shared" si="536"/>
        <v>1</v>
      </c>
      <c r="Q610" s="12">
        <v>1</v>
      </c>
      <c r="R610" s="9"/>
      <c r="S610" s="10"/>
      <c r="T610" s="49">
        <f t="shared" si="537"/>
        <v>1</v>
      </c>
      <c r="U610" s="11">
        <f t="shared" si="538"/>
        <v>2</v>
      </c>
      <c r="V610" s="98">
        <v>44645</v>
      </c>
    </row>
    <row r="611" spans="1:23" x14ac:dyDescent="0.15">
      <c r="A611" s="26"/>
      <c r="B611" s="8"/>
      <c r="C611" s="9"/>
      <c r="D611" s="10"/>
      <c r="E611" s="49">
        <f t="shared" si="530"/>
        <v>0</v>
      </c>
      <c r="F611" s="12"/>
      <c r="G611" s="9"/>
      <c r="H611" s="10"/>
      <c r="I611" s="49">
        <f t="shared" si="531"/>
        <v>0</v>
      </c>
      <c r="J611" s="11">
        <f t="shared" si="532"/>
        <v>0</v>
      </c>
      <c r="L611" s="26" t="s">
        <v>607</v>
      </c>
      <c r="M611" s="8">
        <v>1</v>
      </c>
      <c r="N611" s="9"/>
      <c r="O611" s="52"/>
      <c r="P611" s="87">
        <f t="shared" si="536"/>
        <v>1</v>
      </c>
      <c r="Q611" s="12">
        <v>1</v>
      </c>
      <c r="R611" s="9"/>
      <c r="S611" s="10"/>
      <c r="T611" s="49">
        <f t="shared" si="537"/>
        <v>1</v>
      </c>
      <c r="U611" s="11">
        <f t="shared" si="538"/>
        <v>2</v>
      </c>
      <c r="V611" s="98">
        <v>44648</v>
      </c>
      <c r="W611" s="66"/>
    </row>
    <row r="612" spans="1:23" x14ac:dyDescent="0.15">
      <c r="A612" s="26"/>
      <c r="B612" s="8"/>
      <c r="C612" s="9"/>
      <c r="D612" s="10"/>
      <c r="E612" s="49">
        <f t="shared" si="530"/>
        <v>0</v>
      </c>
      <c r="F612" s="12"/>
      <c r="G612" s="9"/>
      <c r="H612" s="10"/>
      <c r="I612" s="49">
        <f t="shared" si="531"/>
        <v>0</v>
      </c>
      <c r="J612" s="11">
        <f t="shared" si="532"/>
        <v>0</v>
      </c>
      <c r="L612" s="86" t="s">
        <v>563</v>
      </c>
      <c r="M612" s="8"/>
      <c r="N612" s="9"/>
      <c r="O612" s="52"/>
      <c r="P612" s="87">
        <f t="shared" ref="P612:P613" si="539">SUM(M612:O612)</f>
        <v>0</v>
      </c>
      <c r="Q612" s="12"/>
      <c r="R612" s="9"/>
      <c r="S612" s="10"/>
      <c r="T612" s="49">
        <f t="shared" ref="T612" si="540">SUM(Q612:S612)</f>
        <v>0</v>
      </c>
      <c r="U612" s="11">
        <f t="shared" ref="U612" si="541">P612+T612</f>
        <v>0</v>
      </c>
      <c r="V612" s="100" t="s">
        <v>564</v>
      </c>
    </row>
    <row r="613" spans="1:23" ht="14.25" thickBot="1" x14ac:dyDescent="0.2">
      <c r="A613" s="23"/>
      <c r="B613" s="13"/>
      <c r="C613" s="14"/>
      <c r="D613" s="15"/>
      <c r="E613" s="49">
        <f>SUM(B613:D613)</f>
        <v>0</v>
      </c>
      <c r="F613" s="16"/>
      <c r="G613" s="14"/>
      <c r="H613" s="15"/>
      <c r="I613" s="49">
        <f>SUM(F613:H613)</f>
        <v>0</v>
      </c>
      <c r="J613" s="11">
        <f>E613+I613</f>
        <v>0</v>
      </c>
      <c r="L613" s="86" t="s">
        <v>550</v>
      </c>
      <c r="M613" s="8"/>
      <c r="N613" s="9"/>
      <c r="O613" s="52"/>
      <c r="P613" s="87">
        <f t="shared" si="539"/>
        <v>0</v>
      </c>
      <c r="Q613" s="12"/>
      <c r="R613" s="9"/>
      <c r="S613" s="10"/>
      <c r="T613" s="49">
        <f t="shared" si="537"/>
        <v>0</v>
      </c>
      <c r="U613" s="11">
        <f t="shared" si="538"/>
        <v>0</v>
      </c>
      <c r="V613" s="100" t="s">
        <v>405</v>
      </c>
    </row>
    <row r="614" spans="1:23" ht="14.25" thickBot="1" x14ac:dyDescent="0.2">
      <c r="A614" s="41" t="s">
        <v>17</v>
      </c>
      <c r="B614" s="46">
        <f>SUM(B588:B613)</f>
        <v>4</v>
      </c>
      <c r="C614" s="47">
        <f t="shared" ref="C614:D614" si="542">SUM(C588:C613)</f>
        <v>6</v>
      </c>
      <c r="D614" s="58">
        <f t="shared" si="542"/>
        <v>2</v>
      </c>
      <c r="E614" s="45">
        <f t="shared" ref="E614" si="543">SUM(B614:D614)</f>
        <v>12</v>
      </c>
      <c r="F614" s="46">
        <f>SUM(F588:F613)</f>
        <v>4</v>
      </c>
      <c r="G614" s="47">
        <f t="shared" ref="G614:H614" si="544">SUM(G588:G613)</f>
        <v>6</v>
      </c>
      <c r="H614" s="58">
        <f t="shared" si="544"/>
        <v>2</v>
      </c>
      <c r="I614" s="45">
        <f t="shared" ref="I614" si="545">SUM(F614:H614)</f>
        <v>12</v>
      </c>
      <c r="J614" s="45">
        <f>E614+I614</f>
        <v>24</v>
      </c>
      <c r="L614" s="41" t="s">
        <v>17</v>
      </c>
      <c r="M614" s="46">
        <f>SUM(M588:M613)</f>
        <v>68</v>
      </c>
      <c r="N614" s="47">
        <f t="shared" ref="N614:O614" si="546">SUM(N588:N613)</f>
        <v>60</v>
      </c>
      <c r="O614" s="58">
        <f t="shared" si="546"/>
        <v>53</v>
      </c>
      <c r="P614" s="45">
        <f t="shared" si="536"/>
        <v>181</v>
      </c>
      <c r="Q614" s="46">
        <f>SUM(Q588:Q613)</f>
        <v>68</v>
      </c>
      <c r="R614" s="47">
        <f t="shared" ref="R614:S614" si="547">SUM(R588:R613)</f>
        <v>60</v>
      </c>
      <c r="S614" s="58">
        <f t="shared" si="547"/>
        <v>53</v>
      </c>
      <c r="T614" s="45">
        <f t="shared" si="537"/>
        <v>181</v>
      </c>
      <c r="U614" s="45">
        <f>P614+T614</f>
        <v>362</v>
      </c>
    </row>
    <row r="615" spans="1:23" ht="14.25" thickBot="1" x14ac:dyDescent="0.2">
      <c r="A615" s="22" t="s">
        <v>16</v>
      </c>
      <c r="B615" s="50">
        <f>B587-B614</f>
        <v>1</v>
      </c>
      <c r="C615" s="56">
        <f t="shared" ref="C615:D615" si="548">C587-C614</f>
        <v>1</v>
      </c>
      <c r="D615" s="57">
        <f t="shared" si="548"/>
        <v>3</v>
      </c>
      <c r="E615" s="55">
        <f>SUM(B615:D615)</f>
        <v>5</v>
      </c>
      <c r="F615" s="50">
        <f>F587-F614</f>
        <v>1</v>
      </c>
      <c r="G615" s="56">
        <f t="shared" ref="G615:H615" si="549">G587-G614</f>
        <v>2</v>
      </c>
      <c r="H615" s="57">
        <f t="shared" si="549"/>
        <v>3</v>
      </c>
      <c r="I615" s="55">
        <f>SUM(F615:H615)</f>
        <v>6</v>
      </c>
      <c r="J615" s="31">
        <f>E615+I615</f>
        <v>11</v>
      </c>
      <c r="L615" s="22" t="s">
        <v>16</v>
      </c>
      <c r="M615" s="50">
        <f>M587-M614</f>
        <v>123</v>
      </c>
      <c r="N615" s="56">
        <f t="shared" ref="N615:O615" si="550">N587-N614</f>
        <v>199</v>
      </c>
      <c r="O615" s="57">
        <f t="shared" si="550"/>
        <v>86</v>
      </c>
      <c r="P615" s="55">
        <f>SUM(M615:O615)</f>
        <v>408</v>
      </c>
      <c r="Q615" s="50">
        <f>Q587-Q614</f>
        <v>123</v>
      </c>
      <c r="R615" s="56">
        <f t="shared" ref="R615:S615" si="551">R587-R614</f>
        <v>199</v>
      </c>
      <c r="S615" s="57">
        <f t="shared" si="551"/>
        <v>86</v>
      </c>
      <c r="T615" s="55">
        <f>SUM(Q615:S615)</f>
        <v>408</v>
      </c>
      <c r="U615" s="31">
        <f>P615+T615</f>
        <v>816</v>
      </c>
    </row>
    <row r="616" spans="1:23" x14ac:dyDescent="0.15">
      <c r="M616">
        <f>M614+M573+M532+M491</f>
        <v>335</v>
      </c>
      <c r="N616">
        <f t="shared" ref="N616:U616" si="552">N614+N573+N532+N491</f>
        <v>328</v>
      </c>
      <c r="O616">
        <f t="shared" si="552"/>
        <v>227</v>
      </c>
      <c r="P616">
        <f t="shared" si="552"/>
        <v>890</v>
      </c>
      <c r="Q616">
        <f t="shared" si="552"/>
        <v>335</v>
      </c>
      <c r="R616">
        <f t="shared" si="552"/>
        <v>328</v>
      </c>
      <c r="S616">
        <f t="shared" si="552"/>
        <v>227</v>
      </c>
      <c r="T616">
        <f t="shared" si="552"/>
        <v>890</v>
      </c>
      <c r="U616">
        <f t="shared" si="552"/>
        <v>1780</v>
      </c>
    </row>
    <row r="617" spans="1:23" x14ac:dyDescent="0.15">
      <c r="M617" s="125">
        <f>M616/$P$616*100</f>
        <v>37.640449438202246</v>
      </c>
      <c r="N617" s="125">
        <f t="shared" ref="N617:P617" si="553">N616/$P$616*100</f>
        <v>36.853932584269664</v>
      </c>
      <c r="O617" s="125">
        <f t="shared" si="553"/>
        <v>25.50561797752809</v>
      </c>
      <c r="P617" s="125">
        <f t="shared" si="553"/>
        <v>100</v>
      </c>
      <c r="Q617" s="124">
        <f>Q616/$T$616*100</f>
        <v>37.640449438202246</v>
      </c>
      <c r="R617" s="124">
        <f t="shared" ref="R617:T617" si="554">R616/$T$616*100</f>
        <v>36.853932584269664</v>
      </c>
      <c r="S617" s="124">
        <f t="shared" si="554"/>
        <v>25.50561797752809</v>
      </c>
      <c r="T617" s="124">
        <f t="shared" si="554"/>
        <v>100</v>
      </c>
    </row>
    <row r="618" spans="1:23" ht="19.5" thickBot="1" x14ac:dyDescent="0.25">
      <c r="A618" s="3" t="s">
        <v>18</v>
      </c>
      <c r="B618" s="1"/>
      <c r="C618" s="1"/>
      <c r="D618" s="1"/>
      <c r="E618" s="1"/>
      <c r="F618" s="1"/>
      <c r="G618" s="1"/>
      <c r="H618" s="1"/>
      <c r="I618" s="1"/>
      <c r="J618" s="1"/>
      <c r="L618" s="3" t="s">
        <v>19</v>
      </c>
      <c r="M618" s="1"/>
      <c r="N618" s="1"/>
      <c r="O618" s="1"/>
      <c r="P618" s="1"/>
      <c r="Q618" s="1"/>
      <c r="R618" s="1"/>
      <c r="S618" s="1"/>
      <c r="T618" s="1"/>
      <c r="U618" s="1"/>
    </row>
    <row r="619" spans="1:23" ht="14.25" thickBot="1" x14ac:dyDescent="0.2">
      <c r="A619" s="7"/>
      <c r="B619" s="169" t="s">
        <v>22</v>
      </c>
      <c r="C619" s="170"/>
      <c r="D619" s="170"/>
      <c r="E619" s="171"/>
      <c r="F619" s="169" t="s">
        <v>23</v>
      </c>
      <c r="G619" s="170"/>
      <c r="H619" s="170"/>
      <c r="I619" s="171"/>
      <c r="J619" s="172" t="s">
        <v>0</v>
      </c>
      <c r="L619" s="7"/>
      <c r="M619" s="169" t="s">
        <v>22</v>
      </c>
      <c r="N619" s="170"/>
      <c r="O619" s="170"/>
      <c r="P619" s="171"/>
      <c r="Q619" s="169" t="s">
        <v>23</v>
      </c>
      <c r="R619" s="170"/>
      <c r="S619" s="170"/>
      <c r="T619" s="171"/>
      <c r="U619" s="172" t="s">
        <v>0</v>
      </c>
    </row>
    <row r="620" spans="1:23" ht="14.25" thickBot="1" x14ac:dyDescent="0.2">
      <c r="A620" s="7" t="s">
        <v>1</v>
      </c>
      <c r="B620" s="4" t="s">
        <v>2</v>
      </c>
      <c r="C620" s="5" t="s">
        <v>3</v>
      </c>
      <c r="D620" s="6" t="s">
        <v>4</v>
      </c>
      <c r="E620" s="7" t="s">
        <v>5</v>
      </c>
      <c r="F620" s="4" t="s">
        <v>2</v>
      </c>
      <c r="G620" s="5" t="s">
        <v>3</v>
      </c>
      <c r="H620" s="6" t="s">
        <v>4</v>
      </c>
      <c r="I620" s="7" t="s">
        <v>5</v>
      </c>
      <c r="J620" s="173"/>
      <c r="L620" s="7" t="s">
        <v>1</v>
      </c>
      <c r="M620" s="4" t="s">
        <v>2</v>
      </c>
      <c r="N620" s="5" t="s">
        <v>3</v>
      </c>
      <c r="O620" s="6" t="s">
        <v>4</v>
      </c>
      <c r="P620" s="7" t="s">
        <v>5</v>
      </c>
      <c r="Q620" s="4" t="s">
        <v>2</v>
      </c>
      <c r="R620" s="5" t="s">
        <v>3</v>
      </c>
      <c r="S620" s="6" t="s">
        <v>4</v>
      </c>
      <c r="T620" s="7" t="s">
        <v>5</v>
      </c>
      <c r="U620" s="173"/>
    </row>
    <row r="621" spans="1:23" ht="14.25" thickBot="1" x14ac:dyDescent="0.2">
      <c r="A621" s="27" t="s">
        <v>16</v>
      </c>
      <c r="B621" s="38">
        <f>B615</f>
        <v>1</v>
      </c>
      <c r="C621" s="38">
        <f t="shared" ref="C621:J621" si="555">C615</f>
        <v>1</v>
      </c>
      <c r="D621" s="38">
        <f t="shared" si="555"/>
        <v>3</v>
      </c>
      <c r="E621" s="38">
        <f t="shared" si="555"/>
        <v>5</v>
      </c>
      <c r="F621" s="38">
        <f t="shared" si="555"/>
        <v>1</v>
      </c>
      <c r="G621" s="38">
        <f t="shared" si="555"/>
        <v>2</v>
      </c>
      <c r="H621" s="38">
        <f t="shared" si="555"/>
        <v>3</v>
      </c>
      <c r="I621" s="38">
        <f t="shared" si="555"/>
        <v>6</v>
      </c>
      <c r="J621" s="38">
        <f t="shared" si="555"/>
        <v>11</v>
      </c>
      <c r="L621" s="128" t="s">
        <v>16</v>
      </c>
      <c r="M621" s="126">
        <f>M615</f>
        <v>123</v>
      </c>
      <c r="N621" s="126">
        <f t="shared" ref="N621:U621" si="556">N615</f>
        <v>199</v>
      </c>
      <c r="O621" s="127">
        <f t="shared" si="556"/>
        <v>86</v>
      </c>
      <c r="P621" s="31">
        <f t="shared" si="556"/>
        <v>408</v>
      </c>
      <c r="Q621" s="126">
        <f>Q615</f>
        <v>123</v>
      </c>
      <c r="R621" s="126">
        <f t="shared" si="556"/>
        <v>199</v>
      </c>
      <c r="S621" s="127">
        <f t="shared" si="556"/>
        <v>86</v>
      </c>
      <c r="T621" s="31">
        <f t="shared" si="556"/>
        <v>408</v>
      </c>
      <c r="U621" s="28">
        <f t="shared" si="556"/>
        <v>816</v>
      </c>
    </row>
    <row r="622" spans="1:23" x14ac:dyDescent="0.15">
      <c r="A622" s="25" t="s">
        <v>611</v>
      </c>
      <c r="B622" s="42"/>
      <c r="C622" s="43">
        <v>1</v>
      </c>
      <c r="D622" s="44"/>
      <c r="E622" s="48">
        <f>SUM(B622:D622)</f>
        <v>1</v>
      </c>
      <c r="F622" s="59"/>
      <c r="G622" s="43">
        <v>1</v>
      </c>
      <c r="H622" s="60"/>
      <c r="I622" s="48">
        <f>SUM(F622:H622)</f>
        <v>1</v>
      </c>
      <c r="J622" s="48">
        <f>E622+I622</f>
        <v>2</v>
      </c>
      <c r="K622" s="64">
        <v>44656</v>
      </c>
      <c r="L622" s="25" t="s">
        <v>7</v>
      </c>
      <c r="M622" s="17"/>
      <c r="N622" s="18"/>
      <c r="O622" s="51"/>
      <c r="P622" s="49">
        <f t="shared" ref="P622:P625" si="557">SUM(M622:O622)</f>
        <v>0</v>
      </c>
      <c r="Q622" s="20"/>
      <c r="R622" s="18"/>
      <c r="S622" s="19"/>
      <c r="T622" s="49">
        <f t="shared" ref="T622:T625" si="558">SUM(Q622:S622)</f>
        <v>0</v>
      </c>
      <c r="U622" s="11">
        <f t="shared" ref="U622:U625" si="559">P622+T622</f>
        <v>0</v>
      </c>
      <c r="V622" s="99"/>
    </row>
    <row r="623" spans="1:23" x14ac:dyDescent="0.15">
      <c r="A623" s="132" t="s">
        <v>625</v>
      </c>
      <c r="B623" s="133">
        <v>0</v>
      </c>
      <c r="C623" s="134">
        <v>0</v>
      </c>
      <c r="D623" s="135">
        <v>0</v>
      </c>
      <c r="E623" s="136">
        <f>SUM(B623:D623)</f>
        <v>0</v>
      </c>
      <c r="F623" s="137">
        <v>0</v>
      </c>
      <c r="G623" s="134">
        <v>0</v>
      </c>
      <c r="H623" s="138">
        <v>0</v>
      </c>
      <c r="I623" s="136">
        <f>SUM(F623:H623)</f>
        <v>0</v>
      </c>
      <c r="J623" s="136">
        <f>E623+I623</f>
        <v>0</v>
      </c>
      <c r="K623" s="139">
        <v>44797</v>
      </c>
      <c r="L623" s="25" t="s">
        <v>8</v>
      </c>
      <c r="M623" s="17"/>
      <c r="N623" s="18"/>
      <c r="O623" s="51"/>
      <c r="P623" s="11">
        <f t="shared" si="557"/>
        <v>0</v>
      </c>
      <c r="Q623" s="17"/>
      <c r="R623" s="18"/>
      <c r="S623" s="51"/>
      <c r="T623" s="11">
        <f t="shared" si="558"/>
        <v>0</v>
      </c>
      <c r="U623" s="11">
        <f t="shared" si="559"/>
        <v>0</v>
      </c>
      <c r="V623" s="98"/>
    </row>
    <row r="624" spans="1:23" x14ac:dyDescent="0.15">
      <c r="A624" s="25"/>
      <c r="B624" s="17"/>
      <c r="C624" s="18"/>
      <c r="D624" s="51"/>
      <c r="E624" s="11">
        <f t="shared" ref="E624:E629" si="560">SUM(B624:D624)</f>
        <v>0</v>
      </c>
      <c r="F624" s="20"/>
      <c r="G624" s="18"/>
      <c r="H624" s="19"/>
      <c r="I624" s="11">
        <f t="shared" ref="I624:I629" si="561">SUM(F624:H624)</f>
        <v>0</v>
      </c>
      <c r="J624" s="11">
        <f t="shared" ref="J624:J629" si="562">E624+I624</f>
        <v>0</v>
      </c>
      <c r="K624" s="64"/>
      <c r="L624" s="25" t="s">
        <v>9</v>
      </c>
      <c r="M624" s="17"/>
      <c r="N624" s="18"/>
      <c r="O624" s="51"/>
      <c r="P624" s="11">
        <f t="shared" si="557"/>
        <v>0</v>
      </c>
      <c r="Q624" s="17"/>
      <c r="R624" s="18"/>
      <c r="S624" s="51"/>
      <c r="T624" s="11">
        <f t="shared" si="558"/>
        <v>0</v>
      </c>
      <c r="U624" s="11">
        <f t="shared" si="559"/>
        <v>0</v>
      </c>
      <c r="V624" s="98"/>
    </row>
    <row r="625" spans="1:22" x14ac:dyDescent="0.15">
      <c r="A625" s="25"/>
      <c r="B625" s="8"/>
      <c r="C625" s="9"/>
      <c r="D625" s="52"/>
      <c r="E625" s="11">
        <f t="shared" si="560"/>
        <v>0</v>
      </c>
      <c r="F625" s="12"/>
      <c r="G625" s="9"/>
      <c r="H625" s="10"/>
      <c r="I625" s="11">
        <f t="shared" si="561"/>
        <v>0</v>
      </c>
      <c r="J625" s="11">
        <f t="shared" si="562"/>
        <v>0</v>
      </c>
      <c r="K625" s="64"/>
      <c r="L625" s="25" t="s">
        <v>10</v>
      </c>
      <c r="M625" s="8"/>
      <c r="N625" s="9"/>
      <c r="O625" s="52"/>
      <c r="P625" s="11">
        <f t="shared" si="557"/>
        <v>0</v>
      </c>
      <c r="Q625" s="12"/>
      <c r="R625" s="9"/>
      <c r="S625" s="10"/>
      <c r="T625" s="11">
        <f t="shared" si="558"/>
        <v>0</v>
      </c>
      <c r="U625" s="11">
        <f t="shared" si="559"/>
        <v>0</v>
      </c>
    </row>
    <row r="626" spans="1:22" x14ac:dyDescent="0.15">
      <c r="A626" s="25"/>
      <c r="B626" s="8"/>
      <c r="C626" s="9"/>
      <c r="D626" s="52"/>
      <c r="E626" s="11">
        <f t="shared" si="560"/>
        <v>0</v>
      </c>
      <c r="F626" s="12"/>
      <c r="G626" s="9"/>
      <c r="H626" s="10"/>
      <c r="I626" s="11">
        <f t="shared" si="561"/>
        <v>0</v>
      </c>
      <c r="J626" s="11">
        <f t="shared" si="562"/>
        <v>0</v>
      </c>
      <c r="L626" s="25" t="s">
        <v>11</v>
      </c>
      <c r="M626" s="8"/>
      <c r="N626" s="9"/>
      <c r="O626" s="52"/>
      <c r="P626" s="11">
        <f>SUM(M626:O626)</f>
        <v>0</v>
      </c>
      <c r="Q626" s="12"/>
      <c r="R626" s="9"/>
      <c r="S626" s="10"/>
      <c r="T626" s="11">
        <f>SUM(Q626:S626)</f>
        <v>0</v>
      </c>
      <c r="U626" s="11">
        <f>P626+T626</f>
        <v>0</v>
      </c>
    </row>
    <row r="627" spans="1:22" x14ac:dyDescent="0.15">
      <c r="A627" s="25"/>
      <c r="B627" s="8"/>
      <c r="C627" s="9"/>
      <c r="D627" s="52"/>
      <c r="E627" s="11">
        <f t="shared" si="560"/>
        <v>0</v>
      </c>
      <c r="F627" s="12"/>
      <c r="G627" s="9"/>
      <c r="H627" s="10"/>
      <c r="I627" s="11">
        <f t="shared" si="561"/>
        <v>0</v>
      </c>
      <c r="J627" s="11">
        <f t="shared" si="562"/>
        <v>0</v>
      </c>
      <c r="L627" s="25" t="s">
        <v>12</v>
      </c>
      <c r="M627" s="17"/>
      <c r="N627" s="18"/>
      <c r="O627" s="51"/>
      <c r="P627" s="49">
        <f t="shared" ref="P627:P629" si="563">SUM(M627:O627)</f>
        <v>0</v>
      </c>
      <c r="Q627" s="17"/>
      <c r="R627" s="18"/>
      <c r="S627" s="51"/>
      <c r="T627" s="49">
        <f t="shared" ref="T627:T629" si="564">SUM(Q627:S627)</f>
        <v>0</v>
      </c>
      <c r="U627" s="11">
        <f t="shared" ref="U627:U629" si="565">P627+T627</f>
        <v>0</v>
      </c>
    </row>
    <row r="628" spans="1:22" x14ac:dyDescent="0.15">
      <c r="A628" s="25"/>
      <c r="B628" s="13"/>
      <c r="C628" s="14"/>
      <c r="D628" s="53"/>
      <c r="E628" s="11">
        <f t="shared" si="560"/>
        <v>0</v>
      </c>
      <c r="F628" s="16"/>
      <c r="G628" s="14"/>
      <c r="H628" s="15"/>
      <c r="I628" s="11">
        <f t="shared" si="561"/>
        <v>0</v>
      </c>
      <c r="J628" s="11">
        <f t="shared" si="562"/>
        <v>0</v>
      </c>
      <c r="L628" s="25" t="s">
        <v>13</v>
      </c>
      <c r="M628" s="13"/>
      <c r="N628" s="14"/>
      <c r="O628" s="53"/>
      <c r="P628" s="11">
        <f t="shared" si="563"/>
        <v>0</v>
      </c>
      <c r="Q628" s="16"/>
      <c r="R628" s="14"/>
      <c r="S628" s="15"/>
      <c r="T628" s="11">
        <f t="shared" si="564"/>
        <v>0</v>
      </c>
      <c r="U628" s="11">
        <f t="shared" si="565"/>
        <v>0</v>
      </c>
    </row>
    <row r="629" spans="1:22" ht="14.25" thickBot="1" x14ac:dyDescent="0.2">
      <c r="A629" s="25"/>
      <c r="B629" s="32"/>
      <c r="C629" s="33"/>
      <c r="D629" s="54"/>
      <c r="E629" s="61">
        <f t="shared" si="560"/>
        <v>0</v>
      </c>
      <c r="F629" s="34"/>
      <c r="G629" s="34"/>
      <c r="H629" s="37"/>
      <c r="I629" s="61">
        <f t="shared" si="561"/>
        <v>0</v>
      </c>
      <c r="J629" s="21">
        <f t="shared" si="562"/>
        <v>0</v>
      </c>
      <c r="L629" s="25" t="s">
        <v>14</v>
      </c>
      <c r="M629" s="32"/>
      <c r="N629" s="33"/>
      <c r="O629" s="54"/>
      <c r="P629" s="61">
        <f t="shared" si="563"/>
        <v>0</v>
      </c>
      <c r="Q629" s="34"/>
      <c r="R629" s="34"/>
      <c r="S629" s="37"/>
      <c r="T629" s="61">
        <f t="shared" si="564"/>
        <v>0</v>
      </c>
      <c r="U629" s="21">
        <f t="shared" si="565"/>
        <v>0</v>
      </c>
    </row>
    <row r="630" spans="1:22" ht="14.25" thickBot="1" x14ac:dyDescent="0.2">
      <c r="A630" s="35" t="s">
        <v>15</v>
      </c>
      <c r="B630" s="28">
        <f>SUM(B621:B629)</f>
        <v>1</v>
      </c>
      <c r="C630" s="29">
        <f>SUM(C621:C629)</f>
        <v>2</v>
      </c>
      <c r="D630" s="30">
        <f>SUM(D621:D629)</f>
        <v>3</v>
      </c>
      <c r="E630" s="31">
        <f>SUM(B630:D630)</f>
        <v>6</v>
      </c>
      <c r="F630" s="28">
        <f>SUM(F621:F629)</f>
        <v>1</v>
      </c>
      <c r="G630" s="29">
        <f>SUM(G621:G629)</f>
        <v>3</v>
      </c>
      <c r="H630" s="30">
        <f>SUM(H621:H629)</f>
        <v>3</v>
      </c>
      <c r="I630" s="31">
        <f>SUM(F630:H630)</f>
        <v>7</v>
      </c>
      <c r="J630" s="31">
        <f>E630+I630</f>
        <v>13</v>
      </c>
      <c r="L630" s="35" t="s">
        <v>15</v>
      </c>
      <c r="M630" s="28">
        <f>SUM(M621:M629)</f>
        <v>123</v>
      </c>
      <c r="N630" s="29">
        <f>SUM(N621:N629)</f>
        <v>199</v>
      </c>
      <c r="O630" s="30">
        <f>SUM(O621:O629)</f>
        <v>86</v>
      </c>
      <c r="P630" s="31">
        <f>SUM(M630:O630)</f>
        <v>408</v>
      </c>
      <c r="Q630" s="28">
        <f>SUM(Q621:Q629)</f>
        <v>123</v>
      </c>
      <c r="R630" s="29">
        <f>SUM(R621:R629)</f>
        <v>199</v>
      </c>
      <c r="S630" s="30">
        <f>SUM(S621:S629)</f>
        <v>86</v>
      </c>
      <c r="T630" s="31">
        <f>SUM(Q630:S630)</f>
        <v>408</v>
      </c>
      <c r="U630" s="31">
        <f>P630+T630</f>
        <v>816</v>
      </c>
    </row>
    <row r="631" spans="1:22" x14ac:dyDescent="0.15">
      <c r="A631" s="26" t="s">
        <v>615</v>
      </c>
      <c r="B631" s="13"/>
      <c r="C631" s="14"/>
      <c r="D631" s="15">
        <v>1</v>
      </c>
      <c r="E631" s="49">
        <f>SUM(B631:D631)</f>
        <v>1</v>
      </c>
      <c r="F631" s="16"/>
      <c r="G631" s="14"/>
      <c r="H631" s="15">
        <v>1</v>
      </c>
      <c r="I631" s="49">
        <f>SUM(F631:H631)</f>
        <v>1</v>
      </c>
      <c r="J631" s="11">
        <f>E631+I631</f>
        <v>2</v>
      </c>
      <c r="K631" s="62">
        <v>44662</v>
      </c>
      <c r="L631" s="26" t="s">
        <v>610</v>
      </c>
      <c r="M631" s="8">
        <v>1</v>
      </c>
      <c r="N631" s="9"/>
      <c r="O631" s="52">
        <v>1</v>
      </c>
      <c r="P631" s="87">
        <f t="shared" ref="P631:P645" si="566">SUM(M631:O631)</f>
        <v>2</v>
      </c>
      <c r="Q631" s="12">
        <v>1</v>
      </c>
      <c r="R631" s="9"/>
      <c r="S631" s="10">
        <v>1</v>
      </c>
      <c r="T631" s="49">
        <f t="shared" ref="T631:T645" si="567">SUM(Q631:S631)</f>
        <v>2</v>
      </c>
      <c r="U631" s="11">
        <f t="shared" ref="U631:U645" si="568">P631+T631</f>
        <v>4</v>
      </c>
      <c r="V631" s="98">
        <v>44652</v>
      </c>
    </row>
    <row r="632" spans="1:22" x14ac:dyDescent="0.15">
      <c r="A632" s="26" t="s">
        <v>619</v>
      </c>
      <c r="B632" s="8"/>
      <c r="C632" s="9"/>
      <c r="D632" s="10">
        <v>1</v>
      </c>
      <c r="E632" s="49">
        <f t="shared" ref="E632:E633" si="569">SUM(B632:D632)</f>
        <v>1</v>
      </c>
      <c r="F632" s="12"/>
      <c r="G632" s="9"/>
      <c r="H632" s="10">
        <v>1</v>
      </c>
      <c r="I632" s="49">
        <f t="shared" ref="I632:I633" si="570">SUM(F632:H632)</f>
        <v>1</v>
      </c>
      <c r="J632" s="11">
        <f t="shared" ref="J632:J633" si="571">E632+I632</f>
        <v>2</v>
      </c>
      <c r="K632" s="62">
        <v>44698</v>
      </c>
      <c r="L632" s="26" t="s">
        <v>612</v>
      </c>
      <c r="M632" s="8">
        <v>1</v>
      </c>
      <c r="N632" s="9"/>
      <c r="O632" s="52"/>
      <c r="P632" s="87">
        <f t="shared" si="566"/>
        <v>1</v>
      </c>
      <c r="Q632" s="12">
        <v>1</v>
      </c>
      <c r="R632" s="9"/>
      <c r="S632" s="10"/>
      <c r="T632" s="49">
        <f t="shared" si="567"/>
        <v>1</v>
      </c>
      <c r="U632" s="11">
        <f t="shared" si="568"/>
        <v>2</v>
      </c>
      <c r="V632" s="98">
        <v>44658</v>
      </c>
    </row>
    <row r="633" spans="1:22" x14ac:dyDescent="0.15">
      <c r="A633" s="26"/>
      <c r="B633" s="8"/>
      <c r="C633" s="9"/>
      <c r="D633" s="10"/>
      <c r="E633" s="49">
        <f t="shared" si="569"/>
        <v>0</v>
      </c>
      <c r="F633" s="12"/>
      <c r="G633" s="9"/>
      <c r="H633" s="10"/>
      <c r="I633" s="49">
        <f t="shared" si="570"/>
        <v>0</v>
      </c>
      <c r="J633" s="11">
        <f t="shared" si="571"/>
        <v>0</v>
      </c>
      <c r="K633" s="62"/>
      <c r="L633" s="26"/>
      <c r="M633" s="8"/>
      <c r="N633" s="9"/>
      <c r="O633" s="52"/>
      <c r="P633" s="87">
        <f t="shared" ref="P633" si="572">SUM(M633:O633)</f>
        <v>0</v>
      </c>
      <c r="Q633" s="12"/>
      <c r="R633" s="9"/>
      <c r="S633" s="10"/>
      <c r="T633" s="49">
        <f t="shared" ref="T633" si="573">SUM(Q633:S633)</f>
        <v>0</v>
      </c>
      <c r="U633" s="11">
        <f t="shared" ref="U633" si="574">P633+T633</f>
        <v>0</v>
      </c>
      <c r="V633" s="98"/>
    </row>
    <row r="634" spans="1:22" x14ac:dyDescent="0.15">
      <c r="A634" s="26"/>
      <c r="B634" s="13"/>
      <c r="C634" s="14"/>
      <c r="D634" s="15"/>
      <c r="E634" s="49">
        <f>SUM(B634:D634)</f>
        <v>0</v>
      </c>
      <c r="F634" s="16"/>
      <c r="G634" s="14"/>
      <c r="H634" s="15"/>
      <c r="I634" s="49">
        <f>SUM(F634:H634)</f>
        <v>0</v>
      </c>
      <c r="J634" s="11">
        <f>E634+I634</f>
        <v>0</v>
      </c>
      <c r="K634" s="62"/>
      <c r="L634" s="26"/>
      <c r="M634" s="8"/>
      <c r="N634" s="9"/>
      <c r="O634" s="52"/>
      <c r="P634" s="87">
        <f t="shared" si="566"/>
        <v>0</v>
      </c>
      <c r="Q634" s="12"/>
      <c r="R634" s="9"/>
      <c r="S634" s="10"/>
      <c r="T634" s="49">
        <f t="shared" si="567"/>
        <v>0</v>
      </c>
      <c r="U634" s="11">
        <f t="shared" si="568"/>
        <v>0</v>
      </c>
      <c r="V634" s="98"/>
    </row>
    <row r="635" spans="1:22" x14ac:dyDescent="0.15">
      <c r="A635" s="26"/>
      <c r="B635" s="8"/>
      <c r="C635" s="9"/>
      <c r="D635" s="10"/>
      <c r="E635" s="49">
        <f t="shared" ref="E635:E655" si="575">SUM(B635:D635)</f>
        <v>0</v>
      </c>
      <c r="F635" s="12"/>
      <c r="G635" s="9"/>
      <c r="H635" s="10"/>
      <c r="I635" s="49">
        <f t="shared" ref="I635:I655" si="576">SUM(F635:H635)</f>
        <v>0</v>
      </c>
      <c r="J635" s="11">
        <f t="shared" ref="J635:J655" si="577">E635+I635</f>
        <v>0</v>
      </c>
      <c r="L635" s="26"/>
      <c r="M635" s="8"/>
      <c r="N635" s="9"/>
      <c r="O635" s="52"/>
      <c r="P635" s="87">
        <f t="shared" si="566"/>
        <v>0</v>
      </c>
      <c r="Q635" s="12"/>
      <c r="R635" s="9"/>
      <c r="S635" s="10"/>
      <c r="T635" s="49">
        <f t="shared" si="567"/>
        <v>0</v>
      </c>
      <c r="U635" s="11">
        <f t="shared" si="568"/>
        <v>0</v>
      </c>
      <c r="V635" s="98"/>
    </row>
    <row r="636" spans="1:22" x14ac:dyDescent="0.15">
      <c r="A636" s="26"/>
      <c r="B636" s="8"/>
      <c r="C636" s="9"/>
      <c r="D636" s="10"/>
      <c r="E636" s="49">
        <f t="shared" si="575"/>
        <v>0</v>
      </c>
      <c r="F636" s="12"/>
      <c r="G636" s="9"/>
      <c r="H636" s="10"/>
      <c r="I636" s="49">
        <f t="shared" si="576"/>
        <v>0</v>
      </c>
      <c r="J636" s="11">
        <f t="shared" si="577"/>
        <v>0</v>
      </c>
      <c r="L636" s="26"/>
      <c r="M636" s="8"/>
      <c r="N636" s="9"/>
      <c r="O636" s="52"/>
      <c r="P636" s="87">
        <f t="shared" si="566"/>
        <v>0</v>
      </c>
      <c r="Q636" s="12"/>
      <c r="R636" s="9"/>
      <c r="S636" s="10"/>
      <c r="T636" s="49">
        <f t="shared" si="567"/>
        <v>0</v>
      </c>
      <c r="U636" s="11">
        <f t="shared" si="568"/>
        <v>0</v>
      </c>
      <c r="V636" s="98"/>
    </row>
    <row r="637" spans="1:22" x14ac:dyDescent="0.15">
      <c r="A637" s="26"/>
      <c r="B637" s="8"/>
      <c r="C637" s="9"/>
      <c r="D637" s="10"/>
      <c r="E637" s="49">
        <f t="shared" si="575"/>
        <v>0</v>
      </c>
      <c r="F637" s="12"/>
      <c r="G637" s="9"/>
      <c r="H637" s="10"/>
      <c r="I637" s="49">
        <f t="shared" si="576"/>
        <v>0</v>
      </c>
      <c r="J637" s="11">
        <f t="shared" si="577"/>
        <v>0</v>
      </c>
      <c r="L637" s="26"/>
      <c r="M637" s="8"/>
      <c r="N637" s="9"/>
      <c r="O637" s="52"/>
      <c r="P637" s="87">
        <f t="shared" si="566"/>
        <v>0</v>
      </c>
      <c r="Q637" s="12"/>
      <c r="R637" s="9"/>
      <c r="S637" s="10"/>
      <c r="T637" s="49">
        <f t="shared" si="567"/>
        <v>0</v>
      </c>
      <c r="U637" s="11">
        <f t="shared" si="568"/>
        <v>0</v>
      </c>
      <c r="V637" s="98"/>
    </row>
    <row r="638" spans="1:22" x14ac:dyDescent="0.15">
      <c r="A638" s="26"/>
      <c r="B638" s="8"/>
      <c r="C638" s="9"/>
      <c r="D638" s="10"/>
      <c r="E638" s="49">
        <f t="shared" si="575"/>
        <v>0</v>
      </c>
      <c r="F638" s="12"/>
      <c r="G638" s="9"/>
      <c r="H638" s="10"/>
      <c r="I638" s="49">
        <f t="shared" si="576"/>
        <v>0</v>
      </c>
      <c r="J638" s="11">
        <f t="shared" si="577"/>
        <v>0</v>
      </c>
      <c r="L638" s="26"/>
      <c r="M638" s="8"/>
      <c r="N638" s="9"/>
      <c r="O638" s="52"/>
      <c r="P638" s="87">
        <f t="shared" si="566"/>
        <v>0</v>
      </c>
      <c r="Q638" s="12"/>
      <c r="R638" s="9"/>
      <c r="S638" s="10"/>
      <c r="T638" s="49">
        <f t="shared" si="567"/>
        <v>0</v>
      </c>
      <c r="U638" s="11">
        <f t="shared" si="568"/>
        <v>0</v>
      </c>
      <c r="V638" s="98"/>
    </row>
    <row r="639" spans="1:22" x14ac:dyDescent="0.15">
      <c r="A639" s="26"/>
      <c r="B639" s="8"/>
      <c r="C639" s="9"/>
      <c r="D639" s="10"/>
      <c r="E639" s="49">
        <f t="shared" si="575"/>
        <v>0</v>
      </c>
      <c r="F639" s="12"/>
      <c r="G639" s="9"/>
      <c r="H639" s="10"/>
      <c r="I639" s="49">
        <f t="shared" si="576"/>
        <v>0</v>
      </c>
      <c r="J639" s="11">
        <f t="shared" si="577"/>
        <v>0</v>
      </c>
      <c r="L639" s="26"/>
      <c r="M639" s="8"/>
      <c r="N639" s="9"/>
      <c r="O639" s="52"/>
      <c r="P639" s="87">
        <f t="shared" si="566"/>
        <v>0</v>
      </c>
      <c r="Q639" s="12"/>
      <c r="R639" s="9"/>
      <c r="S639" s="10"/>
      <c r="T639" s="49">
        <f t="shared" si="567"/>
        <v>0</v>
      </c>
      <c r="U639" s="11">
        <f t="shared" si="568"/>
        <v>0</v>
      </c>
      <c r="V639" s="98"/>
    </row>
    <row r="640" spans="1:22" x14ac:dyDescent="0.15">
      <c r="A640" s="26"/>
      <c r="B640" s="13"/>
      <c r="C640" s="14"/>
      <c r="D640" s="15"/>
      <c r="E640" s="49">
        <f t="shared" si="575"/>
        <v>0</v>
      </c>
      <c r="F640" s="16"/>
      <c r="G640" s="14"/>
      <c r="H640" s="15"/>
      <c r="I640" s="49">
        <f t="shared" si="576"/>
        <v>0</v>
      </c>
      <c r="J640" s="11">
        <f t="shared" si="577"/>
        <v>0</v>
      </c>
      <c r="L640" s="26"/>
      <c r="M640" s="13"/>
      <c r="N640" s="14"/>
      <c r="O640" s="53"/>
      <c r="P640" s="87">
        <f t="shared" si="566"/>
        <v>0</v>
      </c>
      <c r="Q640" s="16"/>
      <c r="R640" s="14"/>
      <c r="S640" s="15"/>
      <c r="T640" s="49">
        <f t="shared" si="567"/>
        <v>0</v>
      </c>
      <c r="U640" s="11">
        <f t="shared" si="568"/>
        <v>0</v>
      </c>
      <c r="V640" s="98"/>
    </row>
    <row r="641" spans="1:22" x14ac:dyDescent="0.15">
      <c r="A641" s="26"/>
      <c r="B641" s="8"/>
      <c r="C641" s="9"/>
      <c r="D641" s="10"/>
      <c r="E641" s="49">
        <f t="shared" si="575"/>
        <v>0</v>
      </c>
      <c r="F641" s="12"/>
      <c r="G641" s="9"/>
      <c r="H641" s="10"/>
      <c r="I641" s="49">
        <f t="shared" si="576"/>
        <v>0</v>
      </c>
      <c r="J641" s="11">
        <f t="shared" si="577"/>
        <v>0</v>
      </c>
      <c r="L641" s="26"/>
      <c r="M641" s="8"/>
      <c r="N641" s="9"/>
      <c r="O641" s="52"/>
      <c r="P641" s="87">
        <f t="shared" si="566"/>
        <v>0</v>
      </c>
      <c r="Q641" s="12"/>
      <c r="R641" s="9"/>
      <c r="S641" s="10"/>
      <c r="T641" s="49">
        <f t="shared" si="567"/>
        <v>0</v>
      </c>
      <c r="U641" s="11">
        <f t="shared" si="568"/>
        <v>0</v>
      </c>
      <c r="V641" s="98"/>
    </row>
    <row r="642" spans="1:22" x14ac:dyDescent="0.15">
      <c r="A642" s="26"/>
      <c r="B642" s="8"/>
      <c r="C642" s="9"/>
      <c r="D642" s="10"/>
      <c r="E642" s="49">
        <f t="shared" si="575"/>
        <v>0</v>
      </c>
      <c r="F642" s="12"/>
      <c r="G642" s="9"/>
      <c r="H642" s="10"/>
      <c r="I642" s="49">
        <f t="shared" si="576"/>
        <v>0</v>
      </c>
      <c r="J642" s="11">
        <f t="shared" si="577"/>
        <v>0</v>
      </c>
      <c r="L642" s="26"/>
      <c r="M642" s="8"/>
      <c r="N642" s="9"/>
      <c r="O642" s="52"/>
      <c r="P642" s="87">
        <f t="shared" si="566"/>
        <v>0</v>
      </c>
      <c r="Q642" s="12"/>
      <c r="R642" s="9"/>
      <c r="S642" s="10"/>
      <c r="T642" s="49">
        <f t="shared" si="567"/>
        <v>0</v>
      </c>
      <c r="U642" s="11">
        <f t="shared" si="568"/>
        <v>0</v>
      </c>
      <c r="V642" s="98"/>
    </row>
    <row r="643" spans="1:22" x14ac:dyDescent="0.15">
      <c r="A643" s="26"/>
      <c r="B643" s="8"/>
      <c r="C643" s="9"/>
      <c r="D643" s="10"/>
      <c r="E643" s="49">
        <f t="shared" si="575"/>
        <v>0</v>
      </c>
      <c r="F643" s="12"/>
      <c r="G643" s="9"/>
      <c r="H643" s="10"/>
      <c r="I643" s="49">
        <f t="shared" si="576"/>
        <v>0</v>
      </c>
      <c r="J643" s="11">
        <f t="shared" si="577"/>
        <v>0</v>
      </c>
      <c r="L643" s="26"/>
      <c r="M643" s="8"/>
      <c r="N643" s="9"/>
      <c r="O643" s="52"/>
      <c r="P643" s="87">
        <f t="shared" si="566"/>
        <v>0</v>
      </c>
      <c r="Q643" s="12"/>
      <c r="R643" s="9"/>
      <c r="S643" s="10"/>
      <c r="T643" s="49">
        <f t="shared" si="567"/>
        <v>0</v>
      </c>
      <c r="U643" s="11">
        <f t="shared" si="568"/>
        <v>0</v>
      </c>
      <c r="V643" s="98"/>
    </row>
    <row r="644" spans="1:22" x14ac:dyDescent="0.15">
      <c r="A644" s="26"/>
      <c r="B644" s="8"/>
      <c r="C644" s="9"/>
      <c r="D644" s="10"/>
      <c r="E644" s="49">
        <f t="shared" si="575"/>
        <v>0</v>
      </c>
      <c r="F644" s="12"/>
      <c r="G644" s="9"/>
      <c r="H644" s="10"/>
      <c r="I644" s="49">
        <f t="shared" si="576"/>
        <v>0</v>
      </c>
      <c r="J644" s="11">
        <f t="shared" si="577"/>
        <v>0</v>
      </c>
      <c r="L644" s="26"/>
      <c r="M644" s="8"/>
      <c r="N644" s="9"/>
      <c r="O644" s="52"/>
      <c r="P644" s="87">
        <f t="shared" si="566"/>
        <v>0</v>
      </c>
      <c r="Q644" s="12"/>
      <c r="R644" s="9"/>
      <c r="S644" s="10"/>
      <c r="T644" s="49">
        <f t="shared" si="567"/>
        <v>0</v>
      </c>
      <c r="U644" s="11">
        <f t="shared" si="568"/>
        <v>0</v>
      </c>
      <c r="V644" s="98"/>
    </row>
    <row r="645" spans="1:22" x14ac:dyDescent="0.15">
      <c r="A645" s="26"/>
      <c r="B645" s="8"/>
      <c r="C645" s="9"/>
      <c r="D645" s="10"/>
      <c r="E645" s="49">
        <f t="shared" si="575"/>
        <v>0</v>
      </c>
      <c r="F645" s="12"/>
      <c r="G645" s="9"/>
      <c r="H645" s="10"/>
      <c r="I645" s="49">
        <f t="shared" si="576"/>
        <v>0</v>
      </c>
      <c r="J645" s="11">
        <f t="shared" si="577"/>
        <v>0</v>
      </c>
      <c r="L645" s="26"/>
      <c r="M645" s="8"/>
      <c r="N645" s="9"/>
      <c r="O645" s="52"/>
      <c r="P645" s="87">
        <f t="shared" si="566"/>
        <v>0</v>
      </c>
      <c r="Q645" s="12"/>
      <c r="R645" s="9"/>
      <c r="S645" s="10"/>
      <c r="T645" s="49">
        <f t="shared" si="567"/>
        <v>0</v>
      </c>
      <c r="U645" s="11">
        <f t="shared" si="568"/>
        <v>0</v>
      </c>
      <c r="V645" s="98"/>
    </row>
    <row r="646" spans="1:22" x14ac:dyDescent="0.15">
      <c r="A646" s="26"/>
      <c r="B646" s="8"/>
      <c r="C646" s="9"/>
      <c r="D646" s="10"/>
      <c r="E646" s="49">
        <f t="shared" si="575"/>
        <v>0</v>
      </c>
      <c r="F646" s="12"/>
      <c r="G646" s="9"/>
      <c r="H646" s="10"/>
      <c r="I646" s="49">
        <f t="shared" si="576"/>
        <v>0</v>
      </c>
      <c r="J646" s="11">
        <f t="shared" si="577"/>
        <v>0</v>
      </c>
      <c r="L646" s="26"/>
      <c r="M646" s="13"/>
      <c r="N646" s="14"/>
      <c r="O646" s="53"/>
      <c r="P646" s="87">
        <f>SUM(M646:O646)</f>
        <v>0</v>
      </c>
      <c r="Q646" s="16"/>
      <c r="R646" s="14"/>
      <c r="S646" s="15"/>
      <c r="T646" s="49">
        <f>SUM(Q646:S646)</f>
        <v>0</v>
      </c>
      <c r="U646" s="11">
        <f>P646+T646</f>
        <v>0</v>
      </c>
      <c r="V646" s="98"/>
    </row>
    <row r="647" spans="1:22" x14ac:dyDescent="0.15">
      <c r="A647" s="26"/>
      <c r="B647" s="8"/>
      <c r="C647" s="9"/>
      <c r="D647" s="10"/>
      <c r="E647" s="49">
        <f t="shared" si="575"/>
        <v>0</v>
      </c>
      <c r="F647" s="12"/>
      <c r="G647" s="9"/>
      <c r="H647" s="10"/>
      <c r="I647" s="49">
        <f t="shared" si="576"/>
        <v>0</v>
      </c>
      <c r="J647" s="11">
        <f t="shared" si="577"/>
        <v>0</v>
      </c>
      <c r="L647" s="26"/>
      <c r="M647" s="8"/>
      <c r="N647" s="9"/>
      <c r="O647" s="52"/>
      <c r="P647" s="87">
        <f t="shared" ref="P647:P649" si="578">SUM(M647:O647)</f>
        <v>0</v>
      </c>
      <c r="Q647" s="12"/>
      <c r="R647" s="9"/>
      <c r="S647" s="10"/>
      <c r="T647" s="49">
        <f t="shared" ref="T647:T649" si="579">SUM(Q647:S647)</f>
        <v>0</v>
      </c>
      <c r="U647" s="11">
        <f t="shared" ref="U647:U649" si="580">P647+T647</f>
        <v>0</v>
      </c>
      <c r="V647" s="98"/>
    </row>
    <row r="648" spans="1:22" x14ac:dyDescent="0.15">
      <c r="A648" s="24"/>
      <c r="B648" s="8"/>
      <c r="C648" s="9"/>
      <c r="D648" s="10"/>
      <c r="E648" s="49">
        <f t="shared" si="575"/>
        <v>0</v>
      </c>
      <c r="F648" s="12"/>
      <c r="G648" s="9"/>
      <c r="H648" s="10"/>
      <c r="I648" s="49">
        <f t="shared" si="576"/>
        <v>0</v>
      </c>
      <c r="J648" s="11">
        <f t="shared" si="577"/>
        <v>0</v>
      </c>
      <c r="L648" s="26"/>
      <c r="M648" s="8"/>
      <c r="N648" s="9"/>
      <c r="O648" s="52"/>
      <c r="P648" s="87">
        <f t="shared" si="578"/>
        <v>0</v>
      </c>
      <c r="Q648" s="12"/>
      <c r="R648" s="9"/>
      <c r="S648" s="10"/>
      <c r="T648" s="49">
        <f t="shared" si="579"/>
        <v>0</v>
      </c>
      <c r="U648" s="11">
        <f t="shared" si="580"/>
        <v>0</v>
      </c>
      <c r="V648" s="98"/>
    </row>
    <row r="649" spans="1:22" x14ac:dyDescent="0.15">
      <c r="A649" s="25"/>
      <c r="B649" s="8"/>
      <c r="C649" s="9"/>
      <c r="D649" s="10"/>
      <c r="E649" s="49">
        <f t="shared" si="575"/>
        <v>0</v>
      </c>
      <c r="F649" s="12"/>
      <c r="G649" s="9"/>
      <c r="H649" s="10"/>
      <c r="I649" s="49">
        <f t="shared" si="576"/>
        <v>0</v>
      </c>
      <c r="J649" s="11">
        <f t="shared" si="577"/>
        <v>0</v>
      </c>
      <c r="L649" s="26"/>
      <c r="M649" s="8"/>
      <c r="N649" s="9"/>
      <c r="O649" s="52"/>
      <c r="P649" s="87">
        <f t="shared" si="578"/>
        <v>0</v>
      </c>
      <c r="Q649" s="12"/>
      <c r="R649" s="9"/>
      <c r="S649" s="10"/>
      <c r="T649" s="49">
        <f t="shared" si="579"/>
        <v>0</v>
      </c>
      <c r="U649" s="11">
        <f t="shared" si="580"/>
        <v>0</v>
      </c>
      <c r="V649" s="98"/>
    </row>
    <row r="650" spans="1:22" x14ac:dyDescent="0.15">
      <c r="A650" s="26"/>
      <c r="B650" s="8"/>
      <c r="C650" s="9"/>
      <c r="D650" s="10"/>
      <c r="E650" s="49">
        <f t="shared" si="575"/>
        <v>0</v>
      </c>
      <c r="F650" s="12"/>
      <c r="G650" s="9"/>
      <c r="H650" s="10"/>
      <c r="I650" s="49">
        <f t="shared" si="576"/>
        <v>0</v>
      </c>
      <c r="J650" s="11">
        <f t="shared" si="577"/>
        <v>0</v>
      </c>
      <c r="L650" s="26"/>
      <c r="M650" s="13"/>
      <c r="N650" s="14"/>
      <c r="O650" s="53"/>
      <c r="P650" s="87">
        <f>SUM(M650:O650)</f>
        <v>0</v>
      </c>
      <c r="Q650" s="16"/>
      <c r="R650" s="14"/>
      <c r="S650" s="15"/>
      <c r="T650" s="49">
        <f>SUM(Q650:S650)</f>
        <v>0</v>
      </c>
      <c r="U650" s="11">
        <f>P650+T650</f>
        <v>0</v>
      </c>
      <c r="V650" s="98"/>
    </row>
    <row r="651" spans="1:22" x14ac:dyDescent="0.15">
      <c r="A651" s="24"/>
      <c r="B651" s="8"/>
      <c r="C651" s="9"/>
      <c r="D651" s="10"/>
      <c r="E651" s="49">
        <f t="shared" si="575"/>
        <v>0</v>
      </c>
      <c r="F651" s="12"/>
      <c r="G651" s="9"/>
      <c r="H651" s="10"/>
      <c r="I651" s="49">
        <f t="shared" si="576"/>
        <v>0</v>
      </c>
      <c r="J651" s="11">
        <f t="shared" si="577"/>
        <v>0</v>
      </c>
      <c r="L651" s="26"/>
      <c r="M651" s="8"/>
      <c r="N651" s="9"/>
      <c r="O651" s="52"/>
      <c r="P651" s="87">
        <f t="shared" ref="P651:P654" si="581">SUM(M651:O651)</f>
        <v>0</v>
      </c>
      <c r="Q651" s="12"/>
      <c r="R651" s="9"/>
      <c r="S651" s="10"/>
      <c r="T651" s="49">
        <f t="shared" ref="T651:T657" si="582">SUM(Q651:S651)</f>
        <v>0</v>
      </c>
      <c r="U651" s="11">
        <f t="shared" ref="U651:U654" si="583">P651+T651</f>
        <v>0</v>
      </c>
      <c r="V651" s="98"/>
    </row>
    <row r="652" spans="1:22" x14ac:dyDescent="0.15">
      <c r="B652" s="13"/>
      <c r="C652" s="14"/>
      <c r="D652" s="15"/>
      <c r="E652" s="49">
        <f t="shared" si="575"/>
        <v>0</v>
      </c>
      <c r="F652" s="16"/>
      <c r="G652" s="14"/>
      <c r="H652" s="15"/>
      <c r="I652" s="49">
        <f t="shared" si="576"/>
        <v>0</v>
      </c>
      <c r="J652" s="11">
        <f t="shared" si="577"/>
        <v>0</v>
      </c>
      <c r="L652" s="26"/>
      <c r="M652" s="8"/>
      <c r="N652" s="9"/>
      <c r="O652" s="52"/>
      <c r="P652" s="87">
        <f t="shared" si="581"/>
        <v>0</v>
      </c>
      <c r="Q652" s="12"/>
      <c r="R652" s="9"/>
      <c r="S652" s="10"/>
      <c r="T652" s="49">
        <f t="shared" si="582"/>
        <v>0</v>
      </c>
      <c r="U652" s="11">
        <f t="shared" si="583"/>
        <v>0</v>
      </c>
      <c r="V652" s="99"/>
    </row>
    <row r="653" spans="1:22" x14ac:dyDescent="0.15">
      <c r="A653" s="26"/>
      <c r="B653" s="8"/>
      <c r="C653" s="9"/>
      <c r="D653" s="10"/>
      <c r="E653" s="49">
        <f t="shared" si="575"/>
        <v>0</v>
      </c>
      <c r="F653" s="12"/>
      <c r="G653" s="9"/>
      <c r="H653" s="10"/>
      <c r="I653" s="49">
        <f t="shared" si="576"/>
        <v>0</v>
      </c>
      <c r="J653" s="11">
        <f t="shared" si="577"/>
        <v>0</v>
      </c>
      <c r="L653" s="26"/>
      <c r="M653" s="8"/>
      <c r="N653" s="9"/>
      <c r="O653" s="52"/>
      <c r="P653" s="87">
        <f t="shared" si="581"/>
        <v>0</v>
      </c>
      <c r="Q653" s="12"/>
      <c r="R653" s="9"/>
      <c r="S653" s="10"/>
      <c r="T653" s="49">
        <f t="shared" si="582"/>
        <v>0</v>
      </c>
      <c r="U653" s="11">
        <f t="shared" si="583"/>
        <v>0</v>
      </c>
      <c r="V653" s="98"/>
    </row>
    <row r="654" spans="1:22" x14ac:dyDescent="0.15">
      <c r="A654" s="26"/>
      <c r="B654" s="8"/>
      <c r="C654" s="9"/>
      <c r="D654" s="10"/>
      <c r="E654" s="49">
        <f t="shared" si="575"/>
        <v>0</v>
      </c>
      <c r="F654" s="12"/>
      <c r="G654" s="9"/>
      <c r="H654" s="10"/>
      <c r="I654" s="49">
        <f t="shared" si="576"/>
        <v>0</v>
      </c>
      <c r="J654" s="11">
        <f t="shared" si="577"/>
        <v>0</v>
      </c>
      <c r="L654" s="26"/>
      <c r="M654" s="8"/>
      <c r="N654" s="9"/>
      <c r="O654" s="52"/>
      <c r="P654" s="87">
        <f t="shared" si="581"/>
        <v>0</v>
      </c>
      <c r="Q654" s="12"/>
      <c r="R654" s="9"/>
      <c r="S654" s="10"/>
      <c r="T654" s="49">
        <f t="shared" si="582"/>
        <v>0</v>
      </c>
      <c r="U654" s="11">
        <f t="shared" si="583"/>
        <v>0</v>
      </c>
      <c r="V654" s="98"/>
    </row>
    <row r="655" spans="1:22" x14ac:dyDescent="0.15">
      <c r="A655" s="26"/>
      <c r="B655" s="8"/>
      <c r="C655" s="9"/>
      <c r="D655" s="10"/>
      <c r="E655" s="49">
        <f t="shared" si="575"/>
        <v>0</v>
      </c>
      <c r="F655" s="12"/>
      <c r="G655" s="9"/>
      <c r="H655" s="10"/>
      <c r="I655" s="49">
        <f t="shared" si="576"/>
        <v>0</v>
      </c>
      <c r="J655" s="11">
        <f t="shared" si="577"/>
        <v>0</v>
      </c>
      <c r="L655" s="26"/>
      <c r="M655" s="8"/>
      <c r="N655" s="9"/>
      <c r="O655" s="52"/>
      <c r="P655" s="87">
        <f t="shared" ref="P655:P656" si="584">SUM(M655:O655)</f>
        <v>0</v>
      </c>
      <c r="Q655" s="12"/>
      <c r="R655" s="9"/>
      <c r="S655" s="10"/>
      <c r="T655" s="49">
        <f t="shared" ref="T655:T656" si="585">SUM(Q655:S655)</f>
        <v>0</v>
      </c>
      <c r="U655" s="11">
        <f t="shared" ref="U655:U656" si="586">P655+T655</f>
        <v>0</v>
      </c>
      <c r="V655" s="98"/>
    </row>
    <row r="656" spans="1:22" ht="14.25" thickBot="1" x14ac:dyDescent="0.2">
      <c r="A656" s="23"/>
      <c r="B656" s="13"/>
      <c r="C656" s="14"/>
      <c r="D656" s="15"/>
      <c r="E656" s="49">
        <f>SUM(B656:D656)</f>
        <v>0</v>
      </c>
      <c r="F656" s="16"/>
      <c r="G656" s="14"/>
      <c r="H656" s="15"/>
      <c r="I656" s="49">
        <f>SUM(F656:H656)</f>
        <v>0</v>
      </c>
      <c r="J656" s="11">
        <f>E656+I656</f>
        <v>0</v>
      </c>
      <c r="L656" s="26"/>
      <c r="M656" s="8"/>
      <c r="N656" s="9"/>
      <c r="O656" s="52"/>
      <c r="P656" s="87">
        <f t="shared" si="584"/>
        <v>0</v>
      </c>
      <c r="Q656" s="12"/>
      <c r="R656" s="9"/>
      <c r="S656" s="10"/>
      <c r="T656" s="49">
        <f t="shared" si="585"/>
        <v>0</v>
      </c>
      <c r="U656" s="11">
        <f t="shared" si="586"/>
        <v>0</v>
      </c>
      <c r="V656" s="98"/>
    </row>
    <row r="657" spans="1:22" ht="14.25" thickBot="1" x14ac:dyDescent="0.2">
      <c r="A657" s="41" t="s">
        <v>17</v>
      </c>
      <c r="B657" s="46">
        <f>SUM(B631:B656)</f>
        <v>0</v>
      </c>
      <c r="C657" s="47">
        <f t="shared" ref="C657:D657" si="587">SUM(C631:C656)</f>
        <v>0</v>
      </c>
      <c r="D657" s="58">
        <f t="shared" si="587"/>
        <v>2</v>
      </c>
      <c r="E657" s="45">
        <f t="shared" ref="E657" si="588">SUM(B657:D657)</f>
        <v>2</v>
      </c>
      <c r="F657" s="46">
        <f>SUM(F631:F656)</f>
        <v>0</v>
      </c>
      <c r="G657" s="47">
        <f t="shared" ref="G657:H657" si="589">SUM(G631:G656)</f>
        <v>0</v>
      </c>
      <c r="H657" s="58">
        <f t="shared" si="589"/>
        <v>2</v>
      </c>
      <c r="I657" s="45">
        <f t="shared" ref="I657" si="590">SUM(F657:H657)</f>
        <v>2</v>
      </c>
      <c r="J657" s="45">
        <f>E657+I657</f>
        <v>4</v>
      </c>
      <c r="L657" s="41" t="s">
        <v>17</v>
      </c>
      <c r="M657" s="46">
        <f>SUM(M631:M656)</f>
        <v>2</v>
      </c>
      <c r="N657" s="47">
        <f t="shared" ref="N657:O657" si="591">SUM(N631:N656)</f>
        <v>0</v>
      </c>
      <c r="O657" s="58">
        <f t="shared" si="591"/>
        <v>1</v>
      </c>
      <c r="P657" s="45">
        <f t="shared" ref="P657" si="592">SUM(M657:O657)</f>
        <v>3</v>
      </c>
      <c r="Q657" s="46">
        <f>SUM(Q631:Q656)</f>
        <v>2</v>
      </c>
      <c r="R657" s="47">
        <f t="shared" ref="R657:S657" si="593">SUM(R631:R656)</f>
        <v>0</v>
      </c>
      <c r="S657" s="58">
        <f t="shared" si="593"/>
        <v>1</v>
      </c>
      <c r="T657" s="45">
        <f t="shared" si="582"/>
        <v>3</v>
      </c>
      <c r="U657" s="45">
        <f>P657+T657</f>
        <v>6</v>
      </c>
    </row>
    <row r="658" spans="1:22" ht="14.25" thickBot="1" x14ac:dyDescent="0.2">
      <c r="A658" s="22" t="s">
        <v>16</v>
      </c>
      <c r="B658" s="50">
        <f>B630-B657</f>
        <v>1</v>
      </c>
      <c r="C658" s="56">
        <f t="shared" ref="C658:D658" si="594">C630-C657</f>
        <v>2</v>
      </c>
      <c r="D658" s="57">
        <f t="shared" si="594"/>
        <v>1</v>
      </c>
      <c r="E658" s="55">
        <f>SUM(B658:D658)</f>
        <v>4</v>
      </c>
      <c r="F658" s="50">
        <f>F630-F657</f>
        <v>1</v>
      </c>
      <c r="G658" s="56">
        <f t="shared" ref="G658:H658" si="595">G630-G657</f>
        <v>3</v>
      </c>
      <c r="H658" s="57">
        <f t="shared" si="595"/>
        <v>1</v>
      </c>
      <c r="I658" s="55">
        <f>SUM(F658:H658)</f>
        <v>5</v>
      </c>
      <c r="J658" s="31">
        <f>E658+I658</f>
        <v>9</v>
      </c>
      <c r="L658" s="22" t="s">
        <v>16</v>
      </c>
      <c r="M658" s="50">
        <f>M630-M657</f>
        <v>121</v>
      </c>
      <c r="N658" s="56">
        <f t="shared" ref="N658:O658" si="596">N630-N657</f>
        <v>199</v>
      </c>
      <c r="O658" s="57">
        <f t="shared" si="596"/>
        <v>85</v>
      </c>
      <c r="P658" s="55">
        <f>SUM(M658:O658)</f>
        <v>405</v>
      </c>
      <c r="Q658" s="50">
        <f>Q630-Q657</f>
        <v>121</v>
      </c>
      <c r="R658" s="56">
        <f t="shared" ref="R658:S658" si="597">R630-R657</f>
        <v>199</v>
      </c>
      <c r="S658" s="57">
        <f t="shared" si="597"/>
        <v>85</v>
      </c>
      <c r="T658" s="55">
        <f>SUM(Q658:S658)</f>
        <v>405</v>
      </c>
      <c r="U658" s="31">
        <f>P658+T658</f>
        <v>810</v>
      </c>
    </row>
    <row r="659" spans="1:22" x14ac:dyDescent="0.15">
      <c r="M659" s="124"/>
      <c r="N659" s="124"/>
      <c r="O659" s="124"/>
      <c r="P659" s="124"/>
    </row>
    <row r="661" spans="1:22" ht="19.5" thickBot="1" x14ac:dyDescent="0.25">
      <c r="A661" s="3" t="s">
        <v>18</v>
      </c>
      <c r="B661" s="1"/>
      <c r="C661" s="1"/>
      <c r="D661" s="1"/>
      <c r="E661" s="1"/>
      <c r="F661" s="1"/>
      <c r="G661" s="1"/>
      <c r="H661" s="1"/>
      <c r="I661" s="1"/>
      <c r="J661" s="1"/>
      <c r="L661" s="3" t="s">
        <v>19</v>
      </c>
      <c r="M661" s="1"/>
      <c r="N661" s="1"/>
      <c r="O661" s="1"/>
      <c r="P661" s="1"/>
      <c r="Q661" s="1"/>
      <c r="R661" s="1"/>
      <c r="S661" s="1"/>
      <c r="T661" s="1"/>
      <c r="U661" s="1"/>
    </row>
    <row r="662" spans="1:22" ht="14.25" thickBot="1" x14ac:dyDescent="0.2">
      <c r="A662" s="7"/>
      <c r="B662" s="169" t="s">
        <v>22</v>
      </c>
      <c r="C662" s="170"/>
      <c r="D662" s="170"/>
      <c r="E662" s="171"/>
      <c r="F662" s="169" t="s">
        <v>23</v>
      </c>
      <c r="G662" s="170"/>
      <c r="H662" s="170"/>
      <c r="I662" s="171"/>
      <c r="J662" s="172" t="s">
        <v>0</v>
      </c>
      <c r="L662" s="7"/>
      <c r="M662" s="169" t="s">
        <v>22</v>
      </c>
      <c r="N662" s="170"/>
      <c r="O662" s="170"/>
      <c r="P662" s="171"/>
      <c r="Q662" s="169" t="s">
        <v>23</v>
      </c>
      <c r="R662" s="170"/>
      <c r="S662" s="170"/>
      <c r="T662" s="171"/>
      <c r="U662" s="172" t="s">
        <v>0</v>
      </c>
    </row>
    <row r="663" spans="1:22" ht="14.25" thickBot="1" x14ac:dyDescent="0.2">
      <c r="A663" s="7" t="s">
        <v>1</v>
      </c>
      <c r="B663" s="4" t="s">
        <v>2</v>
      </c>
      <c r="C663" s="5" t="s">
        <v>3</v>
      </c>
      <c r="D663" s="6" t="s">
        <v>4</v>
      </c>
      <c r="E663" s="7" t="s">
        <v>5</v>
      </c>
      <c r="F663" s="4" t="s">
        <v>2</v>
      </c>
      <c r="G663" s="5" t="s">
        <v>3</v>
      </c>
      <c r="H663" s="6" t="s">
        <v>4</v>
      </c>
      <c r="I663" s="7" t="s">
        <v>5</v>
      </c>
      <c r="J663" s="173"/>
      <c r="L663" s="7" t="s">
        <v>1</v>
      </c>
      <c r="M663" s="4" t="s">
        <v>2</v>
      </c>
      <c r="N663" s="5" t="s">
        <v>3</v>
      </c>
      <c r="O663" s="6" t="s">
        <v>4</v>
      </c>
      <c r="P663" s="7" t="s">
        <v>5</v>
      </c>
      <c r="Q663" s="4" t="s">
        <v>2</v>
      </c>
      <c r="R663" s="5" t="s">
        <v>3</v>
      </c>
      <c r="S663" s="6" t="s">
        <v>4</v>
      </c>
      <c r="T663" s="7" t="s">
        <v>5</v>
      </c>
      <c r="U663" s="173"/>
    </row>
    <row r="664" spans="1:22" ht="14.25" thickBot="1" x14ac:dyDescent="0.2">
      <c r="A664" s="27" t="s">
        <v>16</v>
      </c>
      <c r="B664" s="38">
        <f>B658</f>
        <v>1</v>
      </c>
      <c r="C664" s="38">
        <f t="shared" ref="C664:J664" si="598">C658</f>
        <v>2</v>
      </c>
      <c r="D664" s="38">
        <f t="shared" si="598"/>
        <v>1</v>
      </c>
      <c r="E664" s="38">
        <f t="shared" si="598"/>
        <v>4</v>
      </c>
      <c r="F664" s="38">
        <f t="shared" si="598"/>
        <v>1</v>
      </c>
      <c r="G664" s="38">
        <f t="shared" si="598"/>
        <v>3</v>
      </c>
      <c r="H664" s="38">
        <f t="shared" si="598"/>
        <v>1</v>
      </c>
      <c r="I664" s="38">
        <f t="shared" si="598"/>
        <v>5</v>
      </c>
      <c r="J664" s="38">
        <f t="shared" si="598"/>
        <v>9</v>
      </c>
      <c r="L664" s="128" t="s">
        <v>16</v>
      </c>
      <c r="M664" s="126">
        <f>M658</f>
        <v>121</v>
      </c>
      <c r="N664" s="126">
        <f t="shared" ref="N664:P664" si="599">N658</f>
        <v>199</v>
      </c>
      <c r="O664" s="127">
        <f t="shared" si="599"/>
        <v>85</v>
      </c>
      <c r="P664" s="31">
        <f t="shared" si="599"/>
        <v>405</v>
      </c>
      <c r="Q664" s="126">
        <f>Q658</f>
        <v>121</v>
      </c>
      <c r="R664" s="126">
        <f t="shared" ref="R664:U664" si="600">R658</f>
        <v>199</v>
      </c>
      <c r="S664" s="127">
        <f t="shared" si="600"/>
        <v>85</v>
      </c>
      <c r="T664" s="31">
        <f t="shared" si="600"/>
        <v>405</v>
      </c>
      <c r="U664" s="28">
        <f t="shared" si="600"/>
        <v>810</v>
      </c>
    </row>
    <row r="665" spans="1:22" x14ac:dyDescent="0.15">
      <c r="A665" s="25" t="s">
        <v>645</v>
      </c>
      <c r="B665" s="42">
        <v>3</v>
      </c>
      <c r="C665" s="43"/>
      <c r="D665" s="44">
        <v>3</v>
      </c>
      <c r="E665" s="48">
        <f>SUM(B665:D665)</f>
        <v>6</v>
      </c>
      <c r="F665" s="59">
        <v>3</v>
      </c>
      <c r="G665" s="43"/>
      <c r="H665" s="60">
        <v>3</v>
      </c>
      <c r="I665" s="48">
        <f>SUM(F665:H665)</f>
        <v>6</v>
      </c>
      <c r="J665" s="48">
        <f>E665+I665</f>
        <v>12</v>
      </c>
      <c r="K665" s="62">
        <v>44845</v>
      </c>
      <c r="L665" s="25" t="s">
        <v>7</v>
      </c>
      <c r="M665" s="17"/>
      <c r="N665" s="18"/>
      <c r="O665" s="51"/>
      <c r="P665" s="49">
        <f t="shared" ref="P665:P666" si="601">SUM(M665:O665)</f>
        <v>0</v>
      </c>
      <c r="Q665" s="20"/>
      <c r="R665" s="18"/>
      <c r="S665" s="19"/>
      <c r="T665" s="49">
        <f t="shared" ref="T665:T666" si="602">SUM(Q665:S665)</f>
        <v>0</v>
      </c>
      <c r="U665" s="11">
        <f t="shared" ref="U665:U666" si="603">P665+T665</f>
        <v>0</v>
      </c>
      <c r="V665" s="99"/>
    </row>
    <row r="666" spans="1:22" x14ac:dyDescent="0.15">
      <c r="A666" s="25" t="s">
        <v>685</v>
      </c>
      <c r="B666" s="8">
        <v>1</v>
      </c>
      <c r="C666" s="9"/>
      <c r="D666" s="52"/>
      <c r="E666" s="11">
        <f>SUM(B666:D666)</f>
        <v>1</v>
      </c>
      <c r="F666" s="12">
        <v>1</v>
      </c>
      <c r="G666" s="9"/>
      <c r="H666" s="10"/>
      <c r="I666" s="11">
        <f>SUM(F666:H666)</f>
        <v>1</v>
      </c>
      <c r="J666" s="11">
        <f>E666+I666</f>
        <v>2</v>
      </c>
      <c r="K666" s="64">
        <v>44861</v>
      </c>
      <c r="L666" s="25" t="s">
        <v>8</v>
      </c>
      <c r="M666" s="17"/>
      <c r="N666" s="18"/>
      <c r="O666" s="51"/>
      <c r="P666" s="11">
        <f t="shared" si="601"/>
        <v>0</v>
      </c>
      <c r="Q666" s="17"/>
      <c r="R666" s="18"/>
      <c r="S666" s="51"/>
      <c r="T666" s="11">
        <f t="shared" si="602"/>
        <v>0</v>
      </c>
      <c r="U666" s="11">
        <f t="shared" si="603"/>
        <v>0</v>
      </c>
      <c r="V666" s="98"/>
    </row>
    <row r="667" spans="1:22" x14ac:dyDescent="0.15">
      <c r="A667" s="25"/>
      <c r="B667" s="17"/>
      <c r="C667" s="18"/>
      <c r="D667" s="51"/>
      <c r="E667" s="11">
        <f t="shared" ref="E667:E672" si="604">SUM(B667:D667)</f>
        <v>0</v>
      </c>
      <c r="F667" s="20"/>
      <c r="G667" s="18"/>
      <c r="H667" s="19"/>
      <c r="I667" s="11">
        <f t="shared" ref="I667:I672" si="605">SUM(F667:H667)</f>
        <v>0</v>
      </c>
      <c r="J667" s="11">
        <f t="shared" ref="J667:J672" si="606">E667+I667</f>
        <v>0</v>
      </c>
      <c r="K667" s="64"/>
      <c r="L667" s="25" t="s">
        <v>9</v>
      </c>
      <c r="M667" s="17"/>
      <c r="N667" s="18"/>
      <c r="O667" s="51"/>
      <c r="P667" s="49">
        <f t="shared" ref="P667:P670" si="607">SUM(M667:O667)</f>
        <v>0</v>
      </c>
      <c r="Q667" s="20"/>
      <c r="R667" s="18"/>
      <c r="S667" s="19"/>
      <c r="T667" s="49">
        <f t="shared" ref="T667:T670" si="608">SUM(Q667:S667)</f>
        <v>0</v>
      </c>
      <c r="U667" s="11">
        <f t="shared" ref="U667:U670" si="609">P667+T667</f>
        <v>0</v>
      </c>
      <c r="V667" s="99"/>
    </row>
    <row r="668" spans="1:22" x14ac:dyDescent="0.15">
      <c r="A668" s="25"/>
      <c r="B668" s="8"/>
      <c r="C668" s="9"/>
      <c r="D668" s="52"/>
      <c r="E668" s="11">
        <f t="shared" si="604"/>
        <v>0</v>
      </c>
      <c r="F668" s="12"/>
      <c r="G668" s="9"/>
      <c r="H668" s="10"/>
      <c r="I668" s="11">
        <f t="shared" si="605"/>
        <v>0</v>
      </c>
      <c r="J668" s="11">
        <f t="shared" si="606"/>
        <v>0</v>
      </c>
      <c r="K668" s="64"/>
      <c r="L668" s="25" t="s">
        <v>10</v>
      </c>
      <c r="M668" s="17"/>
      <c r="N668" s="18"/>
      <c r="O668" s="51"/>
      <c r="P668" s="11">
        <f t="shared" si="607"/>
        <v>0</v>
      </c>
      <c r="Q668" s="17"/>
      <c r="R668" s="18"/>
      <c r="S668" s="51"/>
      <c r="T668" s="11">
        <f t="shared" si="608"/>
        <v>0</v>
      </c>
      <c r="U668" s="11">
        <f t="shared" si="609"/>
        <v>0</v>
      </c>
      <c r="V668" s="98"/>
    </row>
    <row r="669" spans="1:22" x14ac:dyDescent="0.15">
      <c r="A669" s="25"/>
      <c r="B669" s="8"/>
      <c r="C669" s="9"/>
      <c r="D669" s="52"/>
      <c r="E669" s="11">
        <f t="shared" si="604"/>
        <v>0</v>
      </c>
      <c r="F669" s="12"/>
      <c r="G669" s="9"/>
      <c r="H669" s="10"/>
      <c r="I669" s="11">
        <f t="shared" si="605"/>
        <v>0</v>
      </c>
      <c r="J669" s="11">
        <f t="shared" si="606"/>
        <v>0</v>
      </c>
      <c r="L669" s="25" t="s">
        <v>11</v>
      </c>
      <c r="M669" s="17"/>
      <c r="N669" s="18"/>
      <c r="O669" s="51"/>
      <c r="P669" s="49">
        <f t="shared" si="607"/>
        <v>0</v>
      </c>
      <c r="Q669" s="20"/>
      <c r="R669" s="18"/>
      <c r="S669" s="19"/>
      <c r="T669" s="49">
        <f t="shared" si="608"/>
        <v>0</v>
      </c>
      <c r="U669" s="11">
        <f t="shared" si="609"/>
        <v>0</v>
      </c>
      <c r="V669" s="99"/>
    </row>
    <row r="670" spans="1:22" x14ac:dyDescent="0.15">
      <c r="A670" s="25"/>
      <c r="B670" s="8"/>
      <c r="C670" s="9"/>
      <c r="D670" s="52"/>
      <c r="E670" s="11">
        <f t="shared" si="604"/>
        <v>0</v>
      </c>
      <c r="F670" s="12"/>
      <c r="G670" s="9"/>
      <c r="H670" s="10"/>
      <c r="I670" s="11">
        <f t="shared" si="605"/>
        <v>0</v>
      </c>
      <c r="J670" s="11">
        <f t="shared" si="606"/>
        <v>0</v>
      </c>
      <c r="L670" s="25" t="s">
        <v>12</v>
      </c>
      <c r="M670" s="17"/>
      <c r="N670" s="18"/>
      <c r="O670" s="51"/>
      <c r="P670" s="11">
        <f t="shared" si="607"/>
        <v>0</v>
      </c>
      <c r="Q670" s="17"/>
      <c r="R670" s="18"/>
      <c r="S670" s="51"/>
      <c r="T670" s="11">
        <f t="shared" si="608"/>
        <v>0</v>
      </c>
      <c r="U670" s="11">
        <f t="shared" si="609"/>
        <v>0</v>
      </c>
      <c r="V670" s="98"/>
    </row>
    <row r="671" spans="1:22" x14ac:dyDescent="0.15">
      <c r="A671" s="25"/>
      <c r="B671" s="13"/>
      <c r="C671" s="14"/>
      <c r="D671" s="53"/>
      <c r="E671" s="11">
        <f t="shared" si="604"/>
        <v>0</v>
      </c>
      <c r="F671" s="16"/>
      <c r="G671" s="14"/>
      <c r="H671" s="15"/>
      <c r="I671" s="11">
        <f t="shared" si="605"/>
        <v>0</v>
      </c>
      <c r="J671" s="11">
        <f t="shared" si="606"/>
        <v>0</v>
      </c>
      <c r="L671" s="25" t="s">
        <v>13</v>
      </c>
      <c r="M671" s="13"/>
      <c r="N671" s="14"/>
      <c r="O671" s="53"/>
      <c r="P671" s="11">
        <f t="shared" ref="P671:P672" si="610">SUM(M671:O671)</f>
        <v>0</v>
      </c>
      <c r="Q671" s="16"/>
      <c r="R671" s="14"/>
      <c r="S671" s="15"/>
      <c r="T671" s="11">
        <f t="shared" ref="T671:T672" si="611">SUM(Q671:S671)</f>
        <v>0</v>
      </c>
      <c r="U671" s="11">
        <f t="shared" ref="U671:U672" si="612">P671+T671</f>
        <v>0</v>
      </c>
    </row>
    <row r="672" spans="1:22" ht="14.25" thickBot="1" x14ac:dyDescent="0.2">
      <c r="A672" s="25"/>
      <c r="B672" s="32"/>
      <c r="C672" s="33"/>
      <c r="D672" s="54"/>
      <c r="E672" s="61">
        <f t="shared" si="604"/>
        <v>0</v>
      </c>
      <c r="F672" s="34"/>
      <c r="G672" s="34"/>
      <c r="H672" s="37"/>
      <c r="I672" s="61">
        <f t="shared" si="605"/>
        <v>0</v>
      </c>
      <c r="J672" s="21">
        <f t="shared" si="606"/>
        <v>0</v>
      </c>
      <c r="L672" s="25" t="s">
        <v>14</v>
      </c>
      <c r="M672" s="32"/>
      <c r="N672" s="33"/>
      <c r="O672" s="54"/>
      <c r="P672" s="61">
        <f t="shared" si="610"/>
        <v>0</v>
      </c>
      <c r="Q672" s="34"/>
      <c r="R672" s="34"/>
      <c r="S672" s="37"/>
      <c r="T672" s="61">
        <f t="shared" si="611"/>
        <v>0</v>
      </c>
      <c r="U672" s="21">
        <f t="shared" si="612"/>
        <v>0</v>
      </c>
    </row>
    <row r="673" spans="1:22" ht="14.25" thickBot="1" x14ac:dyDescent="0.2">
      <c r="A673" s="35" t="s">
        <v>15</v>
      </c>
      <c r="B673" s="28">
        <f>SUM(B664:B672)</f>
        <v>5</v>
      </c>
      <c r="C673" s="29">
        <f>SUM(C664:C672)</f>
        <v>2</v>
      </c>
      <c r="D673" s="30">
        <f>SUM(D664:D672)</f>
        <v>4</v>
      </c>
      <c r="E673" s="31">
        <f>SUM(B673:D673)</f>
        <v>11</v>
      </c>
      <c r="F673" s="28">
        <f>SUM(F664:F672)</f>
        <v>5</v>
      </c>
      <c r="G673" s="29">
        <f>SUM(G664:G672)</f>
        <v>3</v>
      </c>
      <c r="H673" s="30">
        <f>SUM(H664:H672)</f>
        <v>4</v>
      </c>
      <c r="I673" s="31">
        <f>SUM(F673:H673)</f>
        <v>12</v>
      </c>
      <c r="J673" s="31">
        <f>E673+I673</f>
        <v>23</v>
      </c>
      <c r="L673" s="35" t="s">
        <v>15</v>
      </c>
      <c r="M673" s="28">
        <f>SUM(M664:M672)</f>
        <v>121</v>
      </c>
      <c r="N673" s="29">
        <f>SUM(N664:N672)</f>
        <v>199</v>
      </c>
      <c r="O673" s="30">
        <f>SUM(O664:O672)</f>
        <v>85</v>
      </c>
      <c r="P673" s="31">
        <f>SUM(M673:O673)</f>
        <v>405</v>
      </c>
      <c r="Q673" s="28">
        <f>SUM(Q664:Q672)</f>
        <v>121</v>
      </c>
      <c r="R673" s="29">
        <f>SUM(R664:R672)</f>
        <v>199</v>
      </c>
      <c r="S673" s="30">
        <f>SUM(S664:S672)</f>
        <v>85</v>
      </c>
      <c r="T673" s="31">
        <f>SUM(Q673:S673)</f>
        <v>405</v>
      </c>
      <c r="U673" s="31">
        <f>P673+T673</f>
        <v>810</v>
      </c>
    </row>
    <row r="674" spans="1:22" x14ac:dyDescent="0.15">
      <c r="A674" s="26" t="s">
        <v>631</v>
      </c>
      <c r="B674" s="13">
        <v>1</v>
      </c>
      <c r="C674" s="14"/>
      <c r="D674" s="15"/>
      <c r="E674" s="49">
        <f>SUM(B674:D674)</f>
        <v>1</v>
      </c>
      <c r="F674" s="16">
        <v>1</v>
      </c>
      <c r="G674" s="14"/>
      <c r="H674" s="15"/>
      <c r="I674" s="49">
        <f>SUM(F674:H674)</f>
        <v>1</v>
      </c>
      <c r="J674" s="11">
        <f>E674+I674</f>
        <v>2</v>
      </c>
      <c r="K674" s="62">
        <v>44826</v>
      </c>
      <c r="L674" s="26" t="s">
        <v>626</v>
      </c>
      <c r="M674" s="8"/>
      <c r="N674" s="9"/>
      <c r="O674" s="52">
        <v>1</v>
      </c>
      <c r="P674" s="87">
        <f t="shared" ref="P674" si="613">SUM(M674:O674)</f>
        <v>1</v>
      </c>
      <c r="Q674" s="12"/>
      <c r="R674" s="9"/>
      <c r="S674" s="10">
        <v>1</v>
      </c>
      <c r="T674" s="49">
        <f t="shared" ref="T674" si="614">SUM(Q674:S674)</f>
        <v>1</v>
      </c>
      <c r="U674" s="11">
        <f t="shared" ref="U674" si="615">P674+T674</f>
        <v>2</v>
      </c>
      <c r="V674" s="98">
        <v>44824</v>
      </c>
    </row>
    <row r="675" spans="1:22" x14ac:dyDescent="0.15">
      <c r="A675" s="26" t="s">
        <v>650</v>
      </c>
      <c r="B675" s="8">
        <v>1</v>
      </c>
      <c r="C675" s="9"/>
      <c r="D675" s="10">
        <v>1</v>
      </c>
      <c r="E675" s="49">
        <f t="shared" ref="E675:E676" si="616">SUM(B675:D675)</f>
        <v>2</v>
      </c>
      <c r="F675" s="12">
        <v>1</v>
      </c>
      <c r="G675" s="9"/>
      <c r="H675" s="10">
        <v>1</v>
      </c>
      <c r="I675" s="49">
        <f t="shared" ref="I675:I676" si="617">SUM(F675:H675)</f>
        <v>2</v>
      </c>
      <c r="J675" s="11">
        <f t="shared" ref="J675:J676" si="618">E675+I675</f>
        <v>4</v>
      </c>
      <c r="K675" s="62">
        <v>44847</v>
      </c>
      <c r="L675" s="26" t="s">
        <v>627</v>
      </c>
      <c r="M675" s="8">
        <v>12</v>
      </c>
      <c r="N675" s="9">
        <v>1</v>
      </c>
      <c r="O675" s="52"/>
      <c r="P675" s="87">
        <f t="shared" ref="P675:P688" si="619">SUM(M675:O675)</f>
        <v>13</v>
      </c>
      <c r="Q675" s="12">
        <v>12</v>
      </c>
      <c r="R675" s="9">
        <v>1</v>
      </c>
      <c r="S675" s="10"/>
      <c r="T675" s="49">
        <f t="shared" ref="T675:T688" si="620">SUM(Q675:S675)</f>
        <v>13</v>
      </c>
      <c r="U675" s="11">
        <f t="shared" ref="U675:U688" si="621">P675+T675</f>
        <v>26</v>
      </c>
      <c r="V675" s="98">
        <v>44825</v>
      </c>
    </row>
    <row r="676" spans="1:22" x14ac:dyDescent="0.15">
      <c r="A676" s="26"/>
      <c r="B676" s="8"/>
      <c r="C676" s="9"/>
      <c r="D676" s="10"/>
      <c r="E676" s="49">
        <f t="shared" si="616"/>
        <v>0</v>
      </c>
      <c r="F676" s="12"/>
      <c r="G676" s="9"/>
      <c r="H676" s="10"/>
      <c r="I676" s="49">
        <f t="shared" si="617"/>
        <v>0</v>
      </c>
      <c r="J676" s="11">
        <f t="shared" si="618"/>
        <v>0</v>
      </c>
      <c r="K676" s="62"/>
      <c r="L676" s="26" t="s">
        <v>630</v>
      </c>
      <c r="M676" s="8"/>
      <c r="N676" s="9">
        <v>5</v>
      </c>
      <c r="O676" s="52">
        <v>5</v>
      </c>
      <c r="P676" s="87">
        <f t="shared" si="619"/>
        <v>10</v>
      </c>
      <c r="Q676" s="12"/>
      <c r="R676" s="9">
        <v>5</v>
      </c>
      <c r="S676" s="10">
        <v>5</v>
      </c>
      <c r="T676" s="49">
        <f t="shared" si="620"/>
        <v>10</v>
      </c>
      <c r="U676" s="11">
        <f t="shared" si="621"/>
        <v>20</v>
      </c>
      <c r="V676" s="98">
        <v>44826</v>
      </c>
    </row>
    <row r="677" spans="1:22" x14ac:dyDescent="0.15">
      <c r="A677" s="26"/>
      <c r="B677" s="13"/>
      <c r="C677" s="14"/>
      <c r="D677" s="15"/>
      <c r="E677" s="49">
        <f>SUM(B677:D677)</f>
        <v>0</v>
      </c>
      <c r="F677" s="16"/>
      <c r="G677" s="14"/>
      <c r="H677" s="15"/>
      <c r="I677" s="49">
        <f>SUM(F677:H677)</f>
        <v>0</v>
      </c>
      <c r="J677" s="11">
        <f>E677+I677</f>
        <v>0</v>
      </c>
      <c r="K677" s="62"/>
      <c r="L677" s="26" t="s">
        <v>632</v>
      </c>
      <c r="M677" s="8"/>
      <c r="N677" s="9">
        <v>8</v>
      </c>
      <c r="O677" s="52">
        <v>1</v>
      </c>
      <c r="P677" s="87">
        <f t="shared" si="619"/>
        <v>9</v>
      </c>
      <c r="Q677" s="12"/>
      <c r="R677" s="9">
        <v>8</v>
      </c>
      <c r="S677" s="10">
        <v>1</v>
      </c>
      <c r="T677" s="49">
        <f t="shared" si="620"/>
        <v>9</v>
      </c>
      <c r="U677" s="11">
        <f t="shared" si="621"/>
        <v>18</v>
      </c>
      <c r="V677" s="98">
        <v>44830</v>
      </c>
    </row>
    <row r="678" spans="1:22" x14ac:dyDescent="0.15">
      <c r="A678" s="26"/>
      <c r="B678" s="8"/>
      <c r="C678" s="9"/>
      <c r="D678" s="10"/>
      <c r="E678" s="49">
        <f t="shared" ref="E678:E698" si="622">SUM(B678:D678)</f>
        <v>0</v>
      </c>
      <c r="F678" s="12"/>
      <c r="G678" s="9"/>
      <c r="H678" s="10"/>
      <c r="I678" s="49">
        <f t="shared" ref="I678:I698" si="623">SUM(F678:H678)</f>
        <v>0</v>
      </c>
      <c r="J678" s="11">
        <f t="shared" ref="J678:J698" si="624">E678+I678</f>
        <v>0</v>
      </c>
      <c r="K678" s="66"/>
      <c r="L678" s="26" t="s">
        <v>634</v>
      </c>
      <c r="M678" s="8">
        <v>2</v>
      </c>
      <c r="N678" s="9">
        <v>2</v>
      </c>
      <c r="O678" s="52"/>
      <c r="P678" s="87">
        <f t="shared" si="619"/>
        <v>4</v>
      </c>
      <c r="Q678" s="12">
        <v>2</v>
      </c>
      <c r="R678" s="9">
        <v>2</v>
      </c>
      <c r="S678" s="10"/>
      <c r="T678" s="49">
        <f t="shared" si="620"/>
        <v>4</v>
      </c>
      <c r="U678" s="11">
        <f t="shared" si="621"/>
        <v>8</v>
      </c>
      <c r="V678" s="98">
        <v>44831</v>
      </c>
    </row>
    <row r="679" spans="1:22" x14ac:dyDescent="0.15">
      <c r="A679" s="26"/>
      <c r="B679" s="8"/>
      <c r="C679" s="9"/>
      <c r="D679" s="10"/>
      <c r="E679" s="49">
        <f t="shared" si="622"/>
        <v>0</v>
      </c>
      <c r="F679" s="12"/>
      <c r="G679" s="9"/>
      <c r="H679" s="10"/>
      <c r="I679" s="49">
        <f t="shared" si="623"/>
        <v>0</v>
      </c>
      <c r="J679" s="11">
        <f t="shared" si="624"/>
        <v>0</v>
      </c>
      <c r="L679" s="26" t="s">
        <v>636</v>
      </c>
      <c r="M679" s="8">
        <v>1</v>
      </c>
      <c r="N679" s="9">
        <v>3</v>
      </c>
      <c r="O679" s="52">
        <v>1</v>
      </c>
      <c r="P679" s="87">
        <f t="shared" si="619"/>
        <v>5</v>
      </c>
      <c r="Q679" s="12">
        <v>1</v>
      </c>
      <c r="R679" s="9">
        <v>3</v>
      </c>
      <c r="S679" s="10">
        <v>1</v>
      </c>
      <c r="T679" s="49">
        <f t="shared" si="620"/>
        <v>5</v>
      </c>
      <c r="U679" s="11">
        <f t="shared" si="621"/>
        <v>10</v>
      </c>
      <c r="V679" s="98">
        <v>44832</v>
      </c>
    </row>
    <row r="680" spans="1:22" x14ac:dyDescent="0.15">
      <c r="A680" s="26"/>
      <c r="B680" s="8"/>
      <c r="C680" s="9"/>
      <c r="D680" s="10"/>
      <c r="E680" s="49">
        <f t="shared" si="622"/>
        <v>0</v>
      </c>
      <c r="F680" s="12"/>
      <c r="G680" s="9"/>
      <c r="H680" s="10"/>
      <c r="I680" s="49">
        <f t="shared" si="623"/>
        <v>0</v>
      </c>
      <c r="J680" s="11">
        <f t="shared" si="624"/>
        <v>0</v>
      </c>
      <c r="L680" s="26" t="s">
        <v>638</v>
      </c>
      <c r="M680" s="8">
        <v>2</v>
      </c>
      <c r="N680" s="9">
        <v>2</v>
      </c>
      <c r="O680" s="52">
        <v>1</v>
      </c>
      <c r="P680" s="87">
        <f t="shared" si="619"/>
        <v>5</v>
      </c>
      <c r="Q680" s="12">
        <v>2</v>
      </c>
      <c r="R680" s="9">
        <v>2</v>
      </c>
      <c r="S680" s="10">
        <v>1</v>
      </c>
      <c r="T680" s="49">
        <f t="shared" si="620"/>
        <v>5</v>
      </c>
      <c r="U680" s="11">
        <f t="shared" si="621"/>
        <v>10</v>
      </c>
      <c r="V680" s="98">
        <v>44833</v>
      </c>
    </row>
    <row r="681" spans="1:22" x14ac:dyDescent="0.15">
      <c r="A681" s="26"/>
      <c r="B681" s="8"/>
      <c r="C681" s="9"/>
      <c r="D681" s="10"/>
      <c r="E681" s="49">
        <f t="shared" si="622"/>
        <v>0</v>
      </c>
      <c r="F681" s="12"/>
      <c r="G681" s="9"/>
      <c r="H681" s="10"/>
      <c r="I681" s="49">
        <f t="shared" si="623"/>
        <v>0</v>
      </c>
      <c r="J681" s="11">
        <f t="shared" si="624"/>
        <v>0</v>
      </c>
      <c r="L681" s="26" t="s">
        <v>640</v>
      </c>
      <c r="M681" s="8"/>
      <c r="N681" s="9">
        <v>2</v>
      </c>
      <c r="O681" s="52">
        <v>2</v>
      </c>
      <c r="P681" s="87">
        <f t="shared" si="619"/>
        <v>4</v>
      </c>
      <c r="Q681" s="12"/>
      <c r="R681" s="9">
        <v>2</v>
      </c>
      <c r="S681" s="10">
        <v>2</v>
      </c>
      <c r="T681" s="49">
        <f t="shared" si="620"/>
        <v>4</v>
      </c>
      <c r="U681" s="11">
        <f t="shared" si="621"/>
        <v>8</v>
      </c>
      <c r="V681" s="98">
        <v>44834</v>
      </c>
    </row>
    <row r="682" spans="1:22" x14ac:dyDescent="0.15">
      <c r="A682" s="26"/>
      <c r="B682" s="8"/>
      <c r="C682" s="9"/>
      <c r="D682" s="10"/>
      <c r="E682" s="49">
        <f t="shared" si="622"/>
        <v>0</v>
      </c>
      <c r="F682" s="12"/>
      <c r="G682" s="9"/>
      <c r="H682" s="10"/>
      <c r="I682" s="49">
        <f t="shared" si="623"/>
        <v>0</v>
      </c>
      <c r="J682" s="11">
        <f t="shared" si="624"/>
        <v>0</v>
      </c>
      <c r="L682" s="26" t="s">
        <v>642</v>
      </c>
      <c r="M682" s="8">
        <v>1</v>
      </c>
      <c r="N682" s="9"/>
      <c r="O682" s="52">
        <v>3</v>
      </c>
      <c r="P682" s="87">
        <f t="shared" si="619"/>
        <v>4</v>
      </c>
      <c r="Q682" s="12">
        <v>1</v>
      </c>
      <c r="R682" s="9"/>
      <c r="S682" s="10">
        <v>3</v>
      </c>
      <c r="T682" s="49">
        <f t="shared" si="620"/>
        <v>4</v>
      </c>
      <c r="U682" s="11">
        <f t="shared" si="621"/>
        <v>8</v>
      </c>
      <c r="V682" s="98">
        <v>44837</v>
      </c>
    </row>
    <row r="683" spans="1:22" x14ac:dyDescent="0.15">
      <c r="A683" s="26"/>
      <c r="B683" s="13"/>
      <c r="C683" s="14"/>
      <c r="D683" s="15"/>
      <c r="E683" s="49">
        <f t="shared" si="622"/>
        <v>0</v>
      </c>
      <c r="F683" s="16"/>
      <c r="G683" s="14"/>
      <c r="H683" s="15"/>
      <c r="I683" s="49">
        <f t="shared" si="623"/>
        <v>0</v>
      </c>
      <c r="J683" s="11">
        <f t="shared" si="624"/>
        <v>0</v>
      </c>
      <c r="L683" s="26" t="s">
        <v>644</v>
      </c>
      <c r="M683" s="13">
        <v>3</v>
      </c>
      <c r="N683" s="14">
        <v>2</v>
      </c>
      <c r="O683" s="53"/>
      <c r="P683" s="87">
        <f t="shared" si="619"/>
        <v>5</v>
      </c>
      <c r="Q683" s="16">
        <v>3</v>
      </c>
      <c r="R683" s="14">
        <v>2</v>
      </c>
      <c r="S683" s="15"/>
      <c r="T683" s="49">
        <f t="shared" si="620"/>
        <v>5</v>
      </c>
      <c r="U683" s="11">
        <f t="shared" si="621"/>
        <v>10</v>
      </c>
      <c r="V683" s="98">
        <v>44838</v>
      </c>
    </row>
    <row r="684" spans="1:22" x14ac:dyDescent="0.15">
      <c r="A684" s="26"/>
      <c r="B684" s="8"/>
      <c r="C684" s="9"/>
      <c r="D684" s="10"/>
      <c r="E684" s="49">
        <f t="shared" si="622"/>
        <v>0</v>
      </c>
      <c r="F684" s="12"/>
      <c r="G684" s="9"/>
      <c r="H684" s="10"/>
      <c r="I684" s="49">
        <f t="shared" si="623"/>
        <v>0</v>
      </c>
      <c r="J684" s="11">
        <f t="shared" si="624"/>
        <v>0</v>
      </c>
      <c r="L684" s="26" t="s">
        <v>646</v>
      </c>
      <c r="M684" s="8">
        <v>3</v>
      </c>
      <c r="N684" s="9"/>
      <c r="O684" s="52">
        <v>3</v>
      </c>
      <c r="P684" s="87">
        <f t="shared" si="619"/>
        <v>6</v>
      </c>
      <c r="Q684" s="12">
        <v>3</v>
      </c>
      <c r="R684" s="9"/>
      <c r="S684" s="10">
        <v>3</v>
      </c>
      <c r="T684" s="49">
        <f t="shared" si="620"/>
        <v>6</v>
      </c>
      <c r="U684" s="11">
        <f t="shared" si="621"/>
        <v>12</v>
      </c>
      <c r="V684" s="98">
        <v>44845</v>
      </c>
    </row>
    <row r="685" spans="1:22" x14ac:dyDescent="0.15">
      <c r="A685" s="26"/>
      <c r="B685" s="8"/>
      <c r="C685" s="9"/>
      <c r="D685" s="10"/>
      <c r="E685" s="49">
        <f t="shared" si="622"/>
        <v>0</v>
      </c>
      <c r="F685" s="12"/>
      <c r="G685" s="9"/>
      <c r="H685" s="10"/>
      <c r="I685" s="49">
        <f t="shared" si="623"/>
        <v>0</v>
      </c>
      <c r="J685" s="11">
        <f t="shared" si="624"/>
        <v>0</v>
      </c>
      <c r="L685" s="26" t="s">
        <v>648</v>
      </c>
      <c r="M685" s="8">
        <v>2</v>
      </c>
      <c r="N685" s="9">
        <v>4</v>
      </c>
      <c r="O685" s="52">
        <v>1</v>
      </c>
      <c r="P685" s="87">
        <f t="shared" si="619"/>
        <v>7</v>
      </c>
      <c r="Q685" s="12">
        <v>2</v>
      </c>
      <c r="R685" s="9">
        <v>4</v>
      </c>
      <c r="S685" s="10">
        <v>1</v>
      </c>
      <c r="T685" s="49">
        <f t="shared" si="620"/>
        <v>7</v>
      </c>
      <c r="U685" s="11">
        <f t="shared" si="621"/>
        <v>14</v>
      </c>
      <c r="V685" s="98">
        <v>44846</v>
      </c>
    </row>
    <row r="686" spans="1:22" x14ac:dyDescent="0.15">
      <c r="A686" s="26"/>
      <c r="B686" s="8"/>
      <c r="C686" s="9"/>
      <c r="D686" s="10"/>
      <c r="E686" s="49">
        <f t="shared" si="622"/>
        <v>0</v>
      </c>
      <c r="F686" s="12"/>
      <c r="G686" s="9"/>
      <c r="H686" s="10"/>
      <c r="I686" s="49">
        <f t="shared" si="623"/>
        <v>0</v>
      </c>
      <c r="J686" s="11">
        <f t="shared" si="624"/>
        <v>0</v>
      </c>
      <c r="L686" s="26" t="s">
        <v>652</v>
      </c>
      <c r="M686" s="8">
        <v>9</v>
      </c>
      <c r="N686" s="9">
        <v>4</v>
      </c>
      <c r="O686" s="52">
        <v>5</v>
      </c>
      <c r="P686" s="87">
        <f t="shared" si="619"/>
        <v>18</v>
      </c>
      <c r="Q686" s="12">
        <v>9</v>
      </c>
      <c r="R686" s="9">
        <v>4</v>
      </c>
      <c r="S686" s="10">
        <v>5</v>
      </c>
      <c r="T686" s="49">
        <f t="shared" si="620"/>
        <v>18</v>
      </c>
      <c r="U686" s="11">
        <f t="shared" si="621"/>
        <v>36</v>
      </c>
      <c r="V686" s="98">
        <v>44847</v>
      </c>
    </row>
    <row r="687" spans="1:22" x14ac:dyDescent="0.15">
      <c r="A687" s="26"/>
      <c r="B687" s="8"/>
      <c r="C687" s="9"/>
      <c r="D687" s="10"/>
      <c r="E687" s="49">
        <f t="shared" si="622"/>
        <v>0</v>
      </c>
      <c r="F687" s="12"/>
      <c r="G687" s="9"/>
      <c r="H687" s="10"/>
      <c r="I687" s="49">
        <f t="shared" si="623"/>
        <v>0</v>
      </c>
      <c r="J687" s="11">
        <f t="shared" si="624"/>
        <v>0</v>
      </c>
      <c r="L687" s="26" t="s">
        <v>654</v>
      </c>
      <c r="M687" s="8">
        <v>5</v>
      </c>
      <c r="N687" s="9">
        <v>4</v>
      </c>
      <c r="O687" s="52">
        <v>2</v>
      </c>
      <c r="P687" s="87">
        <f t="shared" si="619"/>
        <v>11</v>
      </c>
      <c r="Q687" s="12">
        <v>5</v>
      </c>
      <c r="R687" s="9">
        <v>4</v>
      </c>
      <c r="S687" s="10">
        <v>2</v>
      </c>
      <c r="T687" s="49">
        <f t="shared" si="620"/>
        <v>11</v>
      </c>
      <c r="U687" s="11">
        <f t="shared" si="621"/>
        <v>22</v>
      </c>
      <c r="V687" s="98">
        <v>44848</v>
      </c>
    </row>
    <row r="688" spans="1:22" x14ac:dyDescent="0.15">
      <c r="A688" s="26"/>
      <c r="B688" s="8"/>
      <c r="C688" s="9"/>
      <c r="D688" s="10"/>
      <c r="E688" s="49">
        <f t="shared" si="622"/>
        <v>0</v>
      </c>
      <c r="F688" s="12"/>
      <c r="G688" s="9"/>
      <c r="H688" s="10"/>
      <c r="I688" s="49">
        <f t="shared" si="623"/>
        <v>0</v>
      </c>
      <c r="J688" s="11">
        <f t="shared" si="624"/>
        <v>0</v>
      </c>
      <c r="L688" s="26" t="s">
        <v>656</v>
      </c>
      <c r="M688" s="8">
        <v>3</v>
      </c>
      <c r="N688" s="9">
        <v>4</v>
      </c>
      <c r="O688" s="52">
        <v>2</v>
      </c>
      <c r="P688" s="87">
        <f t="shared" si="619"/>
        <v>9</v>
      </c>
      <c r="Q688" s="12">
        <v>3</v>
      </c>
      <c r="R688" s="9">
        <v>4</v>
      </c>
      <c r="S688" s="10">
        <v>2</v>
      </c>
      <c r="T688" s="49">
        <f t="shared" si="620"/>
        <v>9</v>
      </c>
      <c r="U688" s="11">
        <f t="shared" si="621"/>
        <v>18</v>
      </c>
      <c r="V688" s="98">
        <v>44851</v>
      </c>
    </row>
    <row r="689" spans="1:23" x14ac:dyDescent="0.15">
      <c r="A689" s="26"/>
      <c r="B689" s="8"/>
      <c r="C689" s="9"/>
      <c r="D689" s="10"/>
      <c r="E689" s="49">
        <f t="shared" si="622"/>
        <v>0</v>
      </c>
      <c r="F689" s="12"/>
      <c r="G689" s="9"/>
      <c r="H689" s="10"/>
      <c r="I689" s="49">
        <f t="shared" si="623"/>
        <v>0</v>
      </c>
      <c r="J689" s="11">
        <f t="shared" si="624"/>
        <v>0</v>
      </c>
      <c r="L689" s="26" t="s">
        <v>659</v>
      </c>
      <c r="M689" s="13">
        <v>5</v>
      </c>
      <c r="N689" s="14">
        <v>4</v>
      </c>
      <c r="O689" s="53">
        <v>1</v>
      </c>
      <c r="P689" s="87">
        <f>SUM(M689:O689)</f>
        <v>10</v>
      </c>
      <c r="Q689" s="16">
        <v>5</v>
      </c>
      <c r="R689" s="14">
        <v>4</v>
      </c>
      <c r="S689" s="15">
        <v>1</v>
      </c>
      <c r="T689" s="49">
        <f>SUM(Q689:S689)</f>
        <v>10</v>
      </c>
      <c r="U689" s="11">
        <f>P689+T689</f>
        <v>20</v>
      </c>
      <c r="V689" s="98">
        <v>44852</v>
      </c>
    </row>
    <row r="690" spans="1:23" x14ac:dyDescent="0.15">
      <c r="A690" s="26"/>
      <c r="B690" s="8"/>
      <c r="C690" s="9"/>
      <c r="D690" s="10"/>
      <c r="E690" s="49">
        <f t="shared" si="622"/>
        <v>0</v>
      </c>
      <c r="F690" s="12"/>
      <c r="G690" s="9"/>
      <c r="H690" s="10"/>
      <c r="I690" s="49">
        <f t="shared" si="623"/>
        <v>0</v>
      </c>
      <c r="J690" s="11">
        <f t="shared" si="624"/>
        <v>0</v>
      </c>
      <c r="L690" s="26" t="s">
        <v>664</v>
      </c>
      <c r="M690" s="8"/>
      <c r="N690" s="9">
        <v>1</v>
      </c>
      <c r="O690" s="52">
        <v>3</v>
      </c>
      <c r="P690" s="87">
        <f t="shared" ref="P690:P692" si="625">SUM(M690:O690)</f>
        <v>4</v>
      </c>
      <c r="Q690" s="12"/>
      <c r="R690" s="9">
        <v>1</v>
      </c>
      <c r="S690" s="10">
        <v>3</v>
      </c>
      <c r="T690" s="49">
        <f t="shared" ref="T690:T692" si="626">SUM(Q690:S690)</f>
        <v>4</v>
      </c>
      <c r="U690" s="11">
        <f t="shared" ref="U690:U692" si="627">P690+T690</f>
        <v>8</v>
      </c>
      <c r="V690" s="98">
        <v>44853</v>
      </c>
    </row>
    <row r="691" spans="1:23" x14ac:dyDescent="0.15">
      <c r="A691" s="24"/>
      <c r="B691" s="8"/>
      <c r="C691" s="9"/>
      <c r="D691" s="10"/>
      <c r="E691" s="49">
        <f t="shared" si="622"/>
        <v>0</v>
      </c>
      <c r="F691" s="12"/>
      <c r="G691" s="9"/>
      <c r="H691" s="10"/>
      <c r="I691" s="49">
        <f t="shared" si="623"/>
        <v>0</v>
      </c>
      <c r="J691" s="11">
        <f t="shared" si="624"/>
        <v>0</v>
      </c>
      <c r="L691" s="26" t="s">
        <v>667</v>
      </c>
      <c r="M691" s="8"/>
      <c r="N691" s="9">
        <v>2</v>
      </c>
      <c r="O691" s="52">
        <v>1</v>
      </c>
      <c r="P691" s="87">
        <f t="shared" si="625"/>
        <v>3</v>
      </c>
      <c r="Q691" s="12"/>
      <c r="R691" s="9">
        <v>2</v>
      </c>
      <c r="S691" s="10">
        <v>1</v>
      </c>
      <c r="T691" s="49">
        <f t="shared" si="626"/>
        <v>3</v>
      </c>
      <c r="U691" s="11">
        <f t="shared" si="627"/>
        <v>6</v>
      </c>
      <c r="V691" s="98">
        <v>44854</v>
      </c>
      <c r="W691" s="66"/>
    </row>
    <row r="692" spans="1:23" x14ac:dyDescent="0.15">
      <c r="A692" s="25"/>
      <c r="B692" s="8"/>
      <c r="C692" s="9"/>
      <c r="D692" s="10"/>
      <c r="E692" s="49">
        <f t="shared" si="622"/>
        <v>0</v>
      </c>
      <c r="F692" s="12"/>
      <c r="G692" s="9"/>
      <c r="H692" s="10"/>
      <c r="I692" s="49">
        <f t="shared" si="623"/>
        <v>0</v>
      </c>
      <c r="J692" s="11">
        <f t="shared" si="624"/>
        <v>0</v>
      </c>
      <c r="L692" s="26" t="s">
        <v>668</v>
      </c>
      <c r="M692" s="8">
        <v>4</v>
      </c>
      <c r="N692" s="9">
        <v>2</v>
      </c>
      <c r="O692" s="52">
        <v>1</v>
      </c>
      <c r="P692" s="87">
        <f t="shared" si="625"/>
        <v>7</v>
      </c>
      <c r="Q692" s="12">
        <v>4</v>
      </c>
      <c r="R692" s="9">
        <v>2</v>
      </c>
      <c r="S692" s="10">
        <v>1</v>
      </c>
      <c r="T692" s="49">
        <f t="shared" si="626"/>
        <v>7</v>
      </c>
      <c r="U692" s="11">
        <f t="shared" si="627"/>
        <v>14</v>
      </c>
      <c r="V692" s="98">
        <v>44855</v>
      </c>
    </row>
    <row r="693" spans="1:23" x14ac:dyDescent="0.15">
      <c r="A693" s="26"/>
      <c r="B693" s="8"/>
      <c r="C693" s="9"/>
      <c r="D693" s="10"/>
      <c r="E693" s="49">
        <f t="shared" si="622"/>
        <v>0</v>
      </c>
      <c r="F693" s="12"/>
      <c r="G693" s="9"/>
      <c r="H693" s="10"/>
      <c r="I693" s="49">
        <f t="shared" si="623"/>
        <v>0</v>
      </c>
      <c r="J693" s="11">
        <f t="shared" si="624"/>
        <v>0</v>
      </c>
      <c r="L693" s="26" t="s">
        <v>670</v>
      </c>
      <c r="M693" s="13">
        <v>1</v>
      </c>
      <c r="N693" s="14">
        <v>2</v>
      </c>
      <c r="O693" s="53">
        <v>1</v>
      </c>
      <c r="P693" s="87">
        <f>SUM(M693:O693)</f>
        <v>4</v>
      </c>
      <c r="Q693" s="16">
        <v>1</v>
      </c>
      <c r="R693" s="14">
        <v>2</v>
      </c>
      <c r="S693" s="15">
        <v>1</v>
      </c>
      <c r="T693" s="49">
        <f>SUM(Q693:S693)</f>
        <v>4</v>
      </c>
      <c r="U693" s="11">
        <f>P693+T693</f>
        <v>8</v>
      </c>
      <c r="V693" s="98">
        <v>44858</v>
      </c>
      <c r="W693" s="66"/>
    </row>
    <row r="694" spans="1:23" x14ac:dyDescent="0.15">
      <c r="A694" s="24"/>
      <c r="B694" s="8"/>
      <c r="C694" s="9"/>
      <c r="D694" s="10"/>
      <c r="E694" s="49">
        <f t="shared" si="622"/>
        <v>0</v>
      </c>
      <c r="F694" s="12"/>
      <c r="G694" s="9"/>
      <c r="H694" s="10"/>
      <c r="I694" s="49">
        <f t="shared" si="623"/>
        <v>0</v>
      </c>
      <c r="J694" s="11">
        <f t="shared" si="624"/>
        <v>0</v>
      </c>
      <c r="L694" s="26" t="s">
        <v>672</v>
      </c>
      <c r="M694" s="8"/>
      <c r="N694" s="9"/>
      <c r="O694" s="52">
        <v>1</v>
      </c>
      <c r="P694" s="87">
        <f t="shared" ref="P694:P699" si="628">SUM(M694:O694)</f>
        <v>1</v>
      </c>
      <c r="Q694" s="12"/>
      <c r="R694" s="9"/>
      <c r="S694" s="10">
        <v>1</v>
      </c>
      <c r="T694" s="49">
        <f t="shared" ref="T694:T700" si="629">SUM(Q694:S694)</f>
        <v>1</v>
      </c>
      <c r="U694" s="11">
        <f t="shared" ref="U694:U699" si="630">P694+T694</f>
        <v>2</v>
      </c>
      <c r="V694" s="98">
        <v>44859</v>
      </c>
    </row>
    <row r="695" spans="1:23" x14ac:dyDescent="0.15">
      <c r="B695" s="13"/>
      <c r="C695" s="14"/>
      <c r="D695" s="15"/>
      <c r="E695" s="49">
        <f t="shared" si="622"/>
        <v>0</v>
      </c>
      <c r="F695" s="16"/>
      <c r="G695" s="14"/>
      <c r="H695" s="15"/>
      <c r="I695" s="49">
        <f t="shared" si="623"/>
        <v>0</v>
      </c>
      <c r="J695" s="11">
        <f t="shared" si="624"/>
        <v>0</v>
      </c>
      <c r="L695" s="26" t="s">
        <v>674</v>
      </c>
      <c r="M695" s="8">
        <v>1</v>
      </c>
      <c r="N695" s="9">
        <v>1</v>
      </c>
      <c r="O695" s="52">
        <v>1</v>
      </c>
      <c r="P695" s="87">
        <f t="shared" si="628"/>
        <v>3</v>
      </c>
      <c r="Q695" s="12">
        <v>1</v>
      </c>
      <c r="R695" s="9">
        <v>1</v>
      </c>
      <c r="S695" s="10">
        <v>1</v>
      </c>
      <c r="T695" s="49">
        <f t="shared" si="629"/>
        <v>3</v>
      </c>
      <c r="U695" s="11">
        <f t="shared" si="630"/>
        <v>6</v>
      </c>
      <c r="V695" s="98">
        <v>44860</v>
      </c>
    </row>
    <row r="696" spans="1:23" x14ac:dyDescent="0.15">
      <c r="A696" s="26"/>
      <c r="B696" s="8"/>
      <c r="C696" s="9"/>
      <c r="D696" s="10"/>
      <c r="E696" s="49">
        <f t="shared" si="622"/>
        <v>0</v>
      </c>
      <c r="F696" s="12"/>
      <c r="G696" s="9"/>
      <c r="H696" s="10"/>
      <c r="I696" s="49">
        <f t="shared" si="623"/>
        <v>0</v>
      </c>
      <c r="J696" s="11">
        <f t="shared" si="624"/>
        <v>0</v>
      </c>
      <c r="L696" s="26" t="s">
        <v>681</v>
      </c>
      <c r="M696" s="8"/>
      <c r="N696" s="9">
        <v>1</v>
      </c>
      <c r="O696" s="52">
        <v>1</v>
      </c>
      <c r="P696" s="87">
        <f t="shared" si="628"/>
        <v>2</v>
      </c>
      <c r="Q696" s="12"/>
      <c r="R696" s="9">
        <v>1</v>
      </c>
      <c r="S696" s="10">
        <v>1</v>
      </c>
      <c r="T696" s="49">
        <f t="shared" si="629"/>
        <v>2</v>
      </c>
      <c r="U696" s="11">
        <f t="shared" si="630"/>
        <v>4</v>
      </c>
      <c r="V696" s="98">
        <v>44861</v>
      </c>
    </row>
    <row r="697" spans="1:23" x14ac:dyDescent="0.15">
      <c r="A697" s="26"/>
      <c r="B697" s="8"/>
      <c r="C697" s="9"/>
      <c r="D697" s="10"/>
      <c r="E697" s="49">
        <f t="shared" si="622"/>
        <v>0</v>
      </c>
      <c r="F697" s="12"/>
      <c r="G697" s="9"/>
      <c r="H697" s="10"/>
      <c r="I697" s="49">
        <f t="shared" si="623"/>
        <v>0</v>
      </c>
      <c r="J697" s="11">
        <f t="shared" si="624"/>
        <v>0</v>
      </c>
      <c r="L697" s="26"/>
      <c r="M697" s="8"/>
      <c r="N697" s="9"/>
      <c r="O697" s="52"/>
      <c r="P697" s="87">
        <f t="shared" si="628"/>
        <v>0</v>
      </c>
      <c r="Q697" s="12"/>
      <c r="R697" s="9"/>
      <c r="S697" s="10"/>
      <c r="T697" s="49">
        <f t="shared" si="629"/>
        <v>0</v>
      </c>
      <c r="U697" s="11">
        <f t="shared" si="630"/>
        <v>0</v>
      </c>
      <c r="V697" s="98"/>
    </row>
    <row r="698" spans="1:23" x14ac:dyDescent="0.15">
      <c r="A698" s="26"/>
      <c r="B698" s="8"/>
      <c r="C698" s="9"/>
      <c r="D698" s="10"/>
      <c r="E698" s="49">
        <f t="shared" si="622"/>
        <v>0</v>
      </c>
      <c r="F698" s="12"/>
      <c r="G698" s="9"/>
      <c r="H698" s="10"/>
      <c r="I698" s="49">
        <f t="shared" si="623"/>
        <v>0</v>
      </c>
      <c r="J698" s="11">
        <f t="shared" si="624"/>
        <v>0</v>
      </c>
      <c r="L698" s="86" t="s">
        <v>623</v>
      </c>
      <c r="M698" s="8"/>
      <c r="N698" s="9"/>
      <c r="O698" s="52"/>
      <c r="P698" s="87">
        <f t="shared" si="628"/>
        <v>0</v>
      </c>
      <c r="Q698" s="12"/>
      <c r="R698" s="9"/>
      <c r="S698" s="10"/>
      <c r="T698" s="49">
        <f t="shared" si="629"/>
        <v>0</v>
      </c>
      <c r="U698" s="11">
        <f t="shared" si="630"/>
        <v>0</v>
      </c>
      <c r="V698" s="100" t="s">
        <v>624</v>
      </c>
    </row>
    <row r="699" spans="1:23" ht="14.25" thickBot="1" x14ac:dyDescent="0.2">
      <c r="A699" s="23"/>
      <c r="B699" s="13"/>
      <c r="C699" s="14"/>
      <c r="D699" s="15"/>
      <c r="E699" s="49">
        <f>SUM(B699:D699)</f>
        <v>0</v>
      </c>
      <c r="F699" s="16"/>
      <c r="G699" s="14"/>
      <c r="H699" s="15"/>
      <c r="I699" s="49">
        <f>SUM(F699:H699)</f>
        <v>0</v>
      </c>
      <c r="J699" s="11">
        <f>E699+I699</f>
        <v>0</v>
      </c>
      <c r="L699" s="86" t="s">
        <v>621</v>
      </c>
      <c r="M699" s="8"/>
      <c r="N699" s="9"/>
      <c r="O699" s="52"/>
      <c r="P699" s="87">
        <f t="shared" si="628"/>
        <v>0</v>
      </c>
      <c r="Q699" s="12"/>
      <c r="R699" s="9"/>
      <c r="S699" s="10"/>
      <c r="T699" s="49">
        <f t="shared" si="629"/>
        <v>0</v>
      </c>
      <c r="U699" s="11">
        <f t="shared" si="630"/>
        <v>0</v>
      </c>
      <c r="V699" s="100" t="s">
        <v>622</v>
      </c>
    </row>
    <row r="700" spans="1:23" ht="14.25" thickBot="1" x14ac:dyDescent="0.2">
      <c r="A700" s="41" t="s">
        <v>17</v>
      </c>
      <c r="B700" s="46">
        <f>SUM(B674:B699)</f>
        <v>2</v>
      </c>
      <c r="C700" s="47">
        <f t="shared" ref="C700:D700" si="631">SUM(C674:C699)</f>
        <v>0</v>
      </c>
      <c r="D700" s="58">
        <f t="shared" si="631"/>
        <v>1</v>
      </c>
      <c r="E700" s="45">
        <f t="shared" ref="E700" si="632">SUM(B700:D700)</f>
        <v>3</v>
      </c>
      <c r="F700" s="46">
        <f>SUM(F674:F699)</f>
        <v>2</v>
      </c>
      <c r="G700" s="47">
        <f t="shared" ref="G700:H700" si="633">SUM(G674:G699)</f>
        <v>0</v>
      </c>
      <c r="H700" s="58">
        <f t="shared" si="633"/>
        <v>1</v>
      </c>
      <c r="I700" s="45">
        <f t="shared" ref="I700" si="634">SUM(F700:H700)</f>
        <v>3</v>
      </c>
      <c r="J700" s="45">
        <f>E700+I700</f>
        <v>6</v>
      </c>
      <c r="L700" s="41" t="s">
        <v>17</v>
      </c>
      <c r="M700" s="46">
        <f>SUM(M674:M699)</f>
        <v>54</v>
      </c>
      <c r="N700" s="47">
        <f t="shared" ref="N700:O700" si="635">SUM(N674:N699)</f>
        <v>54</v>
      </c>
      <c r="O700" s="58">
        <f t="shared" si="635"/>
        <v>37</v>
      </c>
      <c r="P700" s="45">
        <f t="shared" ref="P700" si="636">SUM(M700:O700)</f>
        <v>145</v>
      </c>
      <c r="Q700" s="46">
        <f>SUM(Q674:Q699)</f>
        <v>54</v>
      </c>
      <c r="R700" s="47">
        <f t="shared" ref="R700:S700" si="637">SUM(R674:R699)</f>
        <v>54</v>
      </c>
      <c r="S700" s="58">
        <f t="shared" si="637"/>
        <v>37</v>
      </c>
      <c r="T700" s="45">
        <f t="shared" si="629"/>
        <v>145</v>
      </c>
      <c r="U700" s="45">
        <f>P700+T700</f>
        <v>290</v>
      </c>
    </row>
    <row r="701" spans="1:23" ht="14.25" thickBot="1" x14ac:dyDescent="0.2">
      <c r="A701" s="22" t="s">
        <v>16</v>
      </c>
      <c r="B701" s="50">
        <f>B673-B700</f>
        <v>3</v>
      </c>
      <c r="C701" s="56">
        <f t="shared" ref="C701:D701" si="638">C673-C700</f>
        <v>2</v>
      </c>
      <c r="D701" s="57">
        <f t="shared" si="638"/>
        <v>3</v>
      </c>
      <c r="E701" s="55">
        <f>SUM(B701:D701)</f>
        <v>8</v>
      </c>
      <c r="F701" s="50">
        <f>F673-F700</f>
        <v>3</v>
      </c>
      <c r="G701" s="56">
        <f t="shared" ref="G701:H701" si="639">G673-G700</f>
        <v>3</v>
      </c>
      <c r="H701" s="57">
        <f t="shared" si="639"/>
        <v>3</v>
      </c>
      <c r="I701" s="55">
        <f>SUM(F701:H701)</f>
        <v>9</v>
      </c>
      <c r="J701" s="31">
        <f>E701+I701</f>
        <v>17</v>
      </c>
      <c r="L701" s="22" t="s">
        <v>16</v>
      </c>
      <c r="M701" s="50">
        <f>M673-M700</f>
        <v>67</v>
      </c>
      <c r="N701" s="56">
        <f t="shared" ref="N701:O701" si="640">N673-N700</f>
        <v>145</v>
      </c>
      <c r="O701" s="57">
        <f t="shared" si="640"/>
        <v>48</v>
      </c>
      <c r="P701" s="55">
        <f>SUM(M701:O701)</f>
        <v>260</v>
      </c>
      <c r="Q701" s="50">
        <f>Q673-Q700</f>
        <v>67</v>
      </c>
      <c r="R701" s="56">
        <f t="shared" ref="R701:S701" si="641">R673-R700</f>
        <v>145</v>
      </c>
      <c r="S701" s="57">
        <f t="shared" si="641"/>
        <v>48</v>
      </c>
      <c r="T701" s="55">
        <f>SUM(Q701:S701)</f>
        <v>260</v>
      </c>
      <c r="U701" s="31">
        <f>P701+T701</f>
        <v>520</v>
      </c>
    </row>
    <row r="702" spans="1:23" x14ac:dyDescent="0.15">
      <c r="M702" s="124"/>
      <c r="N702" s="124"/>
      <c r="O702" s="124"/>
      <c r="P702" s="124"/>
    </row>
    <row r="704" spans="1:23" ht="19.5" thickBot="1" x14ac:dyDescent="0.25">
      <c r="A704" s="3" t="s">
        <v>678</v>
      </c>
      <c r="B704" s="1"/>
      <c r="C704" s="1"/>
      <c r="D704" s="1"/>
      <c r="E704" s="1"/>
      <c r="F704" s="1"/>
      <c r="G704" s="1"/>
      <c r="H704" s="1"/>
      <c r="I704" s="1"/>
      <c r="J704" s="1"/>
      <c r="L704" s="3" t="s">
        <v>677</v>
      </c>
      <c r="M704" s="1"/>
      <c r="N704" s="1"/>
      <c r="O704" s="1"/>
      <c r="P704" s="1"/>
      <c r="Q704" s="1"/>
      <c r="R704" s="1"/>
      <c r="S704" s="1"/>
      <c r="T704" s="1"/>
      <c r="U704" s="1"/>
    </row>
    <row r="705" spans="1:23" ht="14.25" thickBot="1" x14ac:dyDescent="0.2">
      <c r="A705" s="7"/>
      <c r="B705" s="169" t="s">
        <v>22</v>
      </c>
      <c r="C705" s="170"/>
      <c r="D705" s="170"/>
      <c r="E705" s="171"/>
      <c r="F705" s="169" t="s">
        <v>23</v>
      </c>
      <c r="G705" s="170"/>
      <c r="H705" s="170"/>
      <c r="I705" s="171"/>
      <c r="J705" s="172" t="s">
        <v>0</v>
      </c>
      <c r="L705" s="7"/>
      <c r="M705" s="169" t="s">
        <v>22</v>
      </c>
      <c r="N705" s="170"/>
      <c r="O705" s="170"/>
      <c r="P705" s="171"/>
      <c r="Q705" s="169" t="s">
        <v>23</v>
      </c>
      <c r="R705" s="170"/>
      <c r="S705" s="170"/>
      <c r="T705" s="171"/>
      <c r="U705" s="172" t="s">
        <v>0</v>
      </c>
    </row>
    <row r="706" spans="1:23" ht="14.25" thickBot="1" x14ac:dyDescent="0.2">
      <c r="A706" s="7" t="s">
        <v>1</v>
      </c>
      <c r="B706" s="4" t="s">
        <v>2</v>
      </c>
      <c r="C706" s="5" t="s">
        <v>3</v>
      </c>
      <c r="D706" s="6" t="s">
        <v>4</v>
      </c>
      <c r="E706" s="7" t="s">
        <v>5</v>
      </c>
      <c r="F706" s="4" t="s">
        <v>2</v>
      </c>
      <c r="G706" s="5" t="s">
        <v>3</v>
      </c>
      <c r="H706" s="6" t="s">
        <v>4</v>
      </c>
      <c r="I706" s="7" t="s">
        <v>5</v>
      </c>
      <c r="J706" s="173"/>
      <c r="L706" s="7" t="s">
        <v>1</v>
      </c>
      <c r="M706" s="4" t="s">
        <v>2</v>
      </c>
      <c r="N706" s="5" t="s">
        <v>3</v>
      </c>
      <c r="O706" s="6" t="s">
        <v>4</v>
      </c>
      <c r="P706" s="7" t="s">
        <v>5</v>
      </c>
      <c r="Q706" s="4" t="s">
        <v>2</v>
      </c>
      <c r="R706" s="5" t="s">
        <v>3</v>
      </c>
      <c r="S706" s="6" t="s">
        <v>4</v>
      </c>
      <c r="T706" s="7" t="s">
        <v>5</v>
      </c>
      <c r="U706" s="173"/>
    </row>
    <row r="707" spans="1:23" ht="14.25" thickBot="1" x14ac:dyDescent="0.2">
      <c r="A707" s="27" t="s">
        <v>16</v>
      </c>
      <c r="B707" s="126">
        <f>B701</f>
        <v>3</v>
      </c>
      <c r="C707" s="126">
        <f t="shared" ref="C707:D707" si="642">C701</f>
        <v>2</v>
      </c>
      <c r="D707" s="127">
        <f t="shared" si="642"/>
        <v>3</v>
      </c>
      <c r="E707" s="38">
        <f t="shared" ref="E707:J707" si="643">E701</f>
        <v>8</v>
      </c>
      <c r="F707" s="126">
        <f>F701</f>
        <v>3</v>
      </c>
      <c r="G707" s="126">
        <f t="shared" ref="G707:H707" si="644">G701</f>
        <v>3</v>
      </c>
      <c r="H707" s="127">
        <f t="shared" si="644"/>
        <v>3</v>
      </c>
      <c r="I707" s="38">
        <f t="shared" si="643"/>
        <v>9</v>
      </c>
      <c r="J707" s="38">
        <f t="shared" si="643"/>
        <v>17</v>
      </c>
      <c r="L707" s="128" t="s">
        <v>16</v>
      </c>
      <c r="M707" s="126">
        <f>M701</f>
        <v>67</v>
      </c>
      <c r="N707" s="126">
        <f t="shared" ref="N707:P707" si="645">N701</f>
        <v>145</v>
      </c>
      <c r="O707" s="127">
        <f t="shared" si="645"/>
        <v>48</v>
      </c>
      <c r="P707" s="31">
        <f t="shared" si="645"/>
        <v>260</v>
      </c>
      <c r="Q707" s="126">
        <f>Q701</f>
        <v>67</v>
      </c>
      <c r="R707" s="126">
        <f t="shared" ref="R707:U707" si="646">R701</f>
        <v>145</v>
      </c>
      <c r="S707" s="127">
        <f t="shared" si="646"/>
        <v>48</v>
      </c>
      <c r="T707" s="31">
        <f t="shared" si="646"/>
        <v>260</v>
      </c>
      <c r="U707" s="28">
        <f t="shared" si="646"/>
        <v>520</v>
      </c>
    </row>
    <row r="708" spans="1:23" x14ac:dyDescent="0.15">
      <c r="A708" s="141" t="s">
        <v>703</v>
      </c>
      <c r="B708" s="73">
        <v>1</v>
      </c>
      <c r="C708" s="74"/>
      <c r="D708" s="75"/>
      <c r="E708" s="76">
        <f>SUM(B708:D708)</f>
        <v>1</v>
      </c>
      <c r="F708" s="77">
        <v>1</v>
      </c>
      <c r="G708" s="74"/>
      <c r="H708" s="78"/>
      <c r="I708" s="76">
        <f>SUM(F708:H708)</f>
        <v>1</v>
      </c>
      <c r="J708" s="76">
        <f>E708+I708</f>
        <v>2</v>
      </c>
      <c r="K708" s="64">
        <v>44875</v>
      </c>
      <c r="L708" s="25" t="s">
        <v>774</v>
      </c>
      <c r="M708" s="17"/>
      <c r="N708" s="18"/>
      <c r="O708" s="51">
        <v>1</v>
      </c>
      <c r="P708" s="49">
        <f t="shared" ref="P708:P711" si="647">SUM(M708:O708)</f>
        <v>1</v>
      </c>
      <c r="Q708" s="20"/>
      <c r="R708" s="18"/>
      <c r="S708" s="19">
        <v>1</v>
      </c>
      <c r="T708" s="49">
        <f t="shared" ref="T708:T711" si="648">SUM(Q708:S708)</f>
        <v>1</v>
      </c>
      <c r="U708" s="11">
        <f t="shared" ref="U708:U711" si="649">P708+T708</f>
        <v>2</v>
      </c>
      <c r="V708" s="99"/>
    </row>
    <row r="709" spans="1:23" x14ac:dyDescent="0.15">
      <c r="A709" s="25"/>
      <c r="B709" s="17"/>
      <c r="C709" s="18"/>
      <c r="D709" s="51"/>
      <c r="E709" s="49">
        <f t="shared" ref="E709" si="650">SUM(B709:D709)</f>
        <v>0</v>
      </c>
      <c r="F709" s="20"/>
      <c r="G709" s="18"/>
      <c r="H709" s="19"/>
      <c r="I709" s="49">
        <f t="shared" ref="I709" si="651">SUM(F709:H709)</f>
        <v>0</v>
      </c>
      <c r="J709" s="49">
        <f t="shared" ref="J709" si="652">E709+I709</f>
        <v>0</v>
      </c>
      <c r="K709" s="64"/>
      <c r="L709" s="25" t="s">
        <v>8</v>
      </c>
      <c r="M709" s="17"/>
      <c r="N709" s="18"/>
      <c r="O709" s="51"/>
      <c r="P709" s="11">
        <f t="shared" si="647"/>
        <v>0</v>
      </c>
      <c r="Q709" s="17"/>
      <c r="R709" s="18"/>
      <c r="S709" s="51"/>
      <c r="T709" s="11">
        <f t="shared" si="648"/>
        <v>0</v>
      </c>
      <c r="U709" s="11">
        <f t="shared" si="649"/>
        <v>0</v>
      </c>
      <c r="V709" s="98"/>
    </row>
    <row r="710" spans="1:23" x14ac:dyDescent="0.15">
      <c r="A710" s="25"/>
      <c r="B710" s="17"/>
      <c r="C710" s="18"/>
      <c r="D710" s="51"/>
      <c r="E710" s="11">
        <f t="shared" ref="E710:E715" si="653">SUM(B710:D710)</f>
        <v>0</v>
      </c>
      <c r="F710" s="20"/>
      <c r="G710" s="18"/>
      <c r="H710" s="19"/>
      <c r="I710" s="11">
        <f t="shared" ref="I710:I715" si="654">SUM(F710:H710)</f>
        <v>0</v>
      </c>
      <c r="J710" s="11">
        <f t="shared" ref="J710:J715" si="655">E710+I710</f>
        <v>0</v>
      </c>
      <c r="K710" s="64"/>
      <c r="L710" s="25" t="s">
        <v>616</v>
      </c>
      <c r="M710" s="17">
        <v>160</v>
      </c>
      <c r="N710" s="18">
        <v>90</v>
      </c>
      <c r="O710" s="51">
        <v>110</v>
      </c>
      <c r="P710" s="11">
        <f t="shared" si="647"/>
        <v>360</v>
      </c>
      <c r="Q710" s="17">
        <v>160</v>
      </c>
      <c r="R710" s="18">
        <v>90</v>
      </c>
      <c r="S710" s="51">
        <v>110</v>
      </c>
      <c r="T710" s="11">
        <f t="shared" si="648"/>
        <v>360</v>
      </c>
      <c r="U710" s="11">
        <f t="shared" si="649"/>
        <v>720</v>
      </c>
      <c r="V710" s="98" t="s">
        <v>695</v>
      </c>
    </row>
    <row r="711" spans="1:23" x14ac:dyDescent="0.15">
      <c r="A711" s="25"/>
      <c r="B711" s="8"/>
      <c r="C711" s="9"/>
      <c r="D711" s="52"/>
      <c r="E711" s="11">
        <f t="shared" si="653"/>
        <v>0</v>
      </c>
      <c r="F711" s="12"/>
      <c r="G711" s="9"/>
      <c r="H711" s="10"/>
      <c r="I711" s="11">
        <f t="shared" si="654"/>
        <v>0</v>
      </c>
      <c r="J711" s="11">
        <f t="shared" si="655"/>
        <v>0</v>
      </c>
      <c r="K711" s="64"/>
      <c r="L711" s="25" t="s">
        <v>676</v>
      </c>
      <c r="M711" s="8">
        <v>12</v>
      </c>
      <c r="N711" s="9"/>
      <c r="O711" s="52">
        <v>11</v>
      </c>
      <c r="P711" s="11">
        <f t="shared" si="647"/>
        <v>23</v>
      </c>
      <c r="Q711" s="12">
        <v>12</v>
      </c>
      <c r="R711" s="9"/>
      <c r="S711" s="10">
        <v>11</v>
      </c>
      <c r="T711" s="11">
        <f t="shared" si="648"/>
        <v>23</v>
      </c>
      <c r="U711" s="11">
        <f t="shared" si="649"/>
        <v>46</v>
      </c>
      <c r="V711" s="100"/>
    </row>
    <row r="712" spans="1:23" x14ac:dyDescent="0.15">
      <c r="A712" s="25"/>
      <c r="B712" s="8"/>
      <c r="C712" s="9"/>
      <c r="D712" s="52"/>
      <c r="E712" s="11">
        <f t="shared" si="653"/>
        <v>0</v>
      </c>
      <c r="F712" s="12"/>
      <c r="G712" s="9"/>
      <c r="H712" s="10"/>
      <c r="I712" s="11">
        <f t="shared" si="654"/>
        <v>0</v>
      </c>
      <c r="J712" s="11">
        <f t="shared" si="655"/>
        <v>0</v>
      </c>
      <c r="L712" s="25" t="s">
        <v>11</v>
      </c>
      <c r="M712" s="8"/>
      <c r="N712" s="9"/>
      <c r="O712" s="52"/>
      <c r="P712" s="11">
        <f>SUM(M712:O712)</f>
        <v>0</v>
      </c>
      <c r="Q712" s="12"/>
      <c r="R712" s="9"/>
      <c r="S712" s="10"/>
      <c r="T712" s="11">
        <f>SUM(Q712:S712)</f>
        <v>0</v>
      </c>
      <c r="U712" s="11">
        <f>P712+T712</f>
        <v>0</v>
      </c>
    </row>
    <row r="713" spans="1:23" x14ac:dyDescent="0.15">
      <c r="A713" s="25"/>
      <c r="B713" s="8"/>
      <c r="C713" s="9"/>
      <c r="D713" s="52"/>
      <c r="E713" s="11">
        <f t="shared" si="653"/>
        <v>0</v>
      </c>
      <c r="F713" s="12"/>
      <c r="G713" s="9"/>
      <c r="H713" s="10"/>
      <c r="I713" s="11">
        <f t="shared" si="654"/>
        <v>0</v>
      </c>
      <c r="J713" s="11">
        <f t="shared" si="655"/>
        <v>0</v>
      </c>
      <c r="L713" s="25" t="s">
        <v>12</v>
      </c>
      <c r="M713" s="17"/>
      <c r="N713" s="18"/>
      <c r="O713" s="51"/>
      <c r="P713" s="49">
        <f t="shared" ref="P713:P715" si="656">SUM(M713:O713)</f>
        <v>0</v>
      </c>
      <c r="Q713" s="17"/>
      <c r="R713" s="18"/>
      <c r="S713" s="51"/>
      <c r="T713" s="49">
        <f t="shared" ref="T713:T715" si="657">SUM(Q713:S713)</f>
        <v>0</v>
      </c>
      <c r="U713" s="11">
        <f t="shared" ref="U713:U715" si="658">P713+T713</f>
        <v>0</v>
      </c>
    </row>
    <row r="714" spans="1:23" x14ac:dyDescent="0.15">
      <c r="A714" s="25"/>
      <c r="B714" s="13"/>
      <c r="C714" s="14"/>
      <c r="D714" s="53"/>
      <c r="E714" s="11">
        <f t="shared" si="653"/>
        <v>0</v>
      </c>
      <c r="F714" s="16"/>
      <c r="G714" s="14"/>
      <c r="H714" s="15"/>
      <c r="I714" s="11">
        <f t="shared" si="654"/>
        <v>0</v>
      </c>
      <c r="J714" s="11">
        <f t="shared" si="655"/>
        <v>0</v>
      </c>
      <c r="L714" s="25" t="s">
        <v>13</v>
      </c>
      <c r="M714" s="13"/>
      <c r="N714" s="14"/>
      <c r="O714" s="53"/>
      <c r="P714" s="11">
        <f t="shared" si="656"/>
        <v>0</v>
      </c>
      <c r="Q714" s="16"/>
      <c r="R714" s="14"/>
      <c r="S714" s="15"/>
      <c r="T714" s="11">
        <f t="shared" si="657"/>
        <v>0</v>
      </c>
      <c r="U714" s="11">
        <f t="shared" si="658"/>
        <v>0</v>
      </c>
    </row>
    <row r="715" spans="1:23" ht="14.25" thickBot="1" x14ac:dyDescent="0.2">
      <c r="A715" s="25"/>
      <c r="B715" s="32"/>
      <c r="C715" s="33"/>
      <c r="D715" s="54"/>
      <c r="E715" s="61">
        <f t="shared" si="653"/>
        <v>0</v>
      </c>
      <c r="F715" s="34"/>
      <c r="G715" s="34"/>
      <c r="H715" s="37"/>
      <c r="I715" s="61">
        <f t="shared" si="654"/>
        <v>0</v>
      </c>
      <c r="J715" s="21">
        <f t="shared" si="655"/>
        <v>0</v>
      </c>
      <c r="L715" s="25" t="s">
        <v>647</v>
      </c>
      <c r="M715" s="32"/>
      <c r="N715" s="33"/>
      <c r="O715" s="54"/>
      <c r="P715" s="61">
        <f t="shared" si="656"/>
        <v>0</v>
      </c>
      <c r="Q715" s="34"/>
      <c r="R715" s="34"/>
      <c r="S715" s="37"/>
      <c r="T715" s="61">
        <f t="shared" si="657"/>
        <v>0</v>
      </c>
      <c r="U715" s="21">
        <f t="shared" si="658"/>
        <v>0</v>
      </c>
    </row>
    <row r="716" spans="1:23" ht="14.25" thickBot="1" x14ac:dyDescent="0.2">
      <c r="A716" s="35" t="s">
        <v>15</v>
      </c>
      <c r="B716" s="28">
        <f>SUM(B707:B715)</f>
        <v>4</v>
      </c>
      <c r="C716" s="29">
        <f>SUM(C707:C715)</f>
        <v>2</v>
      </c>
      <c r="D716" s="30">
        <f>SUM(D707:D715)</f>
        <v>3</v>
      </c>
      <c r="E716" s="31">
        <f>SUM(B716:D716)</f>
        <v>9</v>
      </c>
      <c r="F716" s="28">
        <f>SUM(F707:F715)</f>
        <v>4</v>
      </c>
      <c r="G716" s="29">
        <f>SUM(G707:G715)</f>
        <v>3</v>
      </c>
      <c r="H716" s="30">
        <f>SUM(H707:H715)</f>
        <v>3</v>
      </c>
      <c r="I716" s="31">
        <f>SUM(F716:H716)</f>
        <v>10</v>
      </c>
      <c r="J716" s="31">
        <f>E716+I716</f>
        <v>19</v>
      </c>
      <c r="L716" s="35" t="s">
        <v>15</v>
      </c>
      <c r="M716" s="28">
        <f>SUM(M707:M715)</f>
        <v>239</v>
      </c>
      <c r="N716" s="29">
        <f>SUM(N707:N715)</f>
        <v>235</v>
      </c>
      <c r="O716" s="30">
        <f>SUM(O707:O715)</f>
        <v>170</v>
      </c>
      <c r="P716" s="31">
        <f>SUM(M716:O716)</f>
        <v>644</v>
      </c>
      <c r="Q716" s="28">
        <f>SUM(Q707:Q715)</f>
        <v>239</v>
      </c>
      <c r="R716" s="29">
        <f>SUM(R707:R715)</f>
        <v>235</v>
      </c>
      <c r="S716" s="30">
        <f>SUM(S707:S715)</f>
        <v>170</v>
      </c>
      <c r="T716" s="31">
        <f>SUM(Q716:S716)</f>
        <v>644</v>
      </c>
      <c r="U716" s="31">
        <f>P716+T716</f>
        <v>1288</v>
      </c>
    </row>
    <row r="717" spans="1:23" x14ac:dyDescent="0.15">
      <c r="A717" s="26" t="s">
        <v>711</v>
      </c>
      <c r="B717" s="13"/>
      <c r="C717" s="14">
        <v>1</v>
      </c>
      <c r="D717" s="15"/>
      <c r="E717" s="49">
        <f>SUM(B717:D717)</f>
        <v>1</v>
      </c>
      <c r="F717" s="16"/>
      <c r="G717" s="14">
        <v>1</v>
      </c>
      <c r="H717" s="15"/>
      <c r="I717" s="49">
        <f>SUM(F717:H717)</f>
        <v>1</v>
      </c>
      <c r="J717" s="11">
        <f>E717+I717</f>
        <v>2</v>
      </c>
      <c r="K717" s="62">
        <v>44883</v>
      </c>
      <c r="L717" s="26" t="s">
        <v>683</v>
      </c>
      <c r="M717" s="8"/>
      <c r="N717" s="9">
        <v>2</v>
      </c>
      <c r="O717" s="52"/>
      <c r="P717" s="87">
        <f t="shared" ref="P717:P731" si="659">SUM(M717:O717)</f>
        <v>2</v>
      </c>
      <c r="Q717" s="12"/>
      <c r="R717" s="9">
        <v>2</v>
      </c>
      <c r="S717" s="10"/>
      <c r="T717" s="49">
        <f t="shared" ref="T717:T731" si="660">SUM(Q717:S717)</f>
        <v>2</v>
      </c>
      <c r="U717" s="11">
        <f t="shared" ref="U717:U731" si="661">P717+T717</f>
        <v>4</v>
      </c>
      <c r="V717" s="98">
        <v>44862</v>
      </c>
    </row>
    <row r="718" spans="1:23" x14ac:dyDescent="0.15">
      <c r="A718" s="26"/>
      <c r="B718" s="8"/>
      <c r="C718" s="9"/>
      <c r="D718" s="10"/>
      <c r="E718" s="49">
        <f t="shared" ref="E718:E719" si="662">SUM(B718:D718)</f>
        <v>0</v>
      </c>
      <c r="F718" s="12"/>
      <c r="G718" s="9"/>
      <c r="H718" s="10"/>
      <c r="I718" s="49">
        <f t="shared" ref="I718:I719" si="663">SUM(F718:H718)</f>
        <v>0</v>
      </c>
      <c r="J718" s="11">
        <f t="shared" ref="J718:J719" si="664">E718+I718</f>
        <v>0</v>
      </c>
      <c r="K718" s="62"/>
      <c r="L718" s="26" t="s">
        <v>686</v>
      </c>
      <c r="M718" s="8"/>
      <c r="N718" s="9"/>
      <c r="O718" s="52">
        <v>1</v>
      </c>
      <c r="P718" s="87">
        <f t="shared" si="659"/>
        <v>1</v>
      </c>
      <c r="Q718" s="12"/>
      <c r="R718" s="9"/>
      <c r="S718" s="10">
        <v>1</v>
      </c>
      <c r="T718" s="49">
        <f t="shared" si="660"/>
        <v>1</v>
      </c>
      <c r="U718" s="11">
        <f t="shared" si="661"/>
        <v>2</v>
      </c>
      <c r="V718" s="98">
        <v>44865</v>
      </c>
      <c r="W718" s="66"/>
    </row>
    <row r="719" spans="1:23" x14ac:dyDescent="0.15">
      <c r="A719" s="26"/>
      <c r="B719" s="8"/>
      <c r="C719" s="9"/>
      <c r="D719" s="10"/>
      <c r="E719" s="49">
        <f t="shared" si="662"/>
        <v>0</v>
      </c>
      <c r="F719" s="12"/>
      <c r="G719" s="9"/>
      <c r="H719" s="10"/>
      <c r="I719" s="49">
        <f t="shared" si="663"/>
        <v>0</v>
      </c>
      <c r="J719" s="11">
        <f t="shared" si="664"/>
        <v>0</v>
      </c>
      <c r="K719" s="62"/>
      <c r="L719" s="26" t="s">
        <v>687</v>
      </c>
      <c r="M719" s="8"/>
      <c r="N719" s="9">
        <v>2</v>
      </c>
      <c r="O719" s="52"/>
      <c r="P719" s="87">
        <f t="shared" si="659"/>
        <v>2</v>
      </c>
      <c r="Q719" s="12"/>
      <c r="R719" s="9">
        <v>2</v>
      </c>
      <c r="S719" s="10"/>
      <c r="T719" s="49">
        <f t="shared" si="660"/>
        <v>2</v>
      </c>
      <c r="U719" s="11">
        <f t="shared" si="661"/>
        <v>4</v>
      </c>
      <c r="V719" s="98">
        <v>44866</v>
      </c>
    </row>
    <row r="720" spans="1:23" x14ac:dyDescent="0.15">
      <c r="A720" s="26"/>
      <c r="B720" s="13"/>
      <c r="C720" s="14"/>
      <c r="D720" s="15"/>
      <c r="E720" s="49">
        <f>SUM(B720:D720)</f>
        <v>0</v>
      </c>
      <c r="F720" s="16"/>
      <c r="G720" s="14"/>
      <c r="H720" s="15"/>
      <c r="I720" s="49">
        <f>SUM(F720:H720)</f>
        <v>0</v>
      </c>
      <c r="J720" s="11">
        <f>E720+I720</f>
        <v>0</v>
      </c>
      <c r="K720" s="62"/>
      <c r="L720" s="26" t="s">
        <v>689</v>
      </c>
      <c r="M720" s="8">
        <v>2</v>
      </c>
      <c r="N720" s="9"/>
      <c r="O720" s="52"/>
      <c r="P720" s="87">
        <f t="shared" si="659"/>
        <v>2</v>
      </c>
      <c r="Q720" s="12">
        <v>2</v>
      </c>
      <c r="R720" s="9"/>
      <c r="S720" s="10"/>
      <c r="T720" s="49">
        <f t="shared" si="660"/>
        <v>2</v>
      </c>
      <c r="U720" s="11">
        <f t="shared" si="661"/>
        <v>4</v>
      </c>
      <c r="V720" s="98">
        <v>44867</v>
      </c>
    </row>
    <row r="721" spans="1:24" x14ac:dyDescent="0.15">
      <c r="A721" s="26"/>
      <c r="B721" s="8"/>
      <c r="C721" s="9"/>
      <c r="D721" s="10"/>
      <c r="E721" s="49">
        <f t="shared" ref="E721:E741" si="665">SUM(B721:D721)</f>
        <v>0</v>
      </c>
      <c r="F721" s="12"/>
      <c r="G721" s="9"/>
      <c r="H721" s="10"/>
      <c r="I721" s="49">
        <f t="shared" ref="I721:I741" si="666">SUM(F721:H721)</f>
        <v>0</v>
      </c>
      <c r="J721" s="11">
        <f t="shared" ref="J721:J741" si="667">E721+I721</f>
        <v>0</v>
      </c>
      <c r="L721" s="26" t="s">
        <v>691</v>
      </c>
      <c r="M721" s="8">
        <v>1</v>
      </c>
      <c r="N721" s="9">
        <v>1</v>
      </c>
      <c r="O721" s="52">
        <v>1</v>
      </c>
      <c r="P721" s="87">
        <f t="shared" si="659"/>
        <v>3</v>
      </c>
      <c r="Q721" s="12">
        <v>1</v>
      </c>
      <c r="R721" s="9">
        <v>1</v>
      </c>
      <c r="S721" s="10">
        <v>1</v>
      </c>
      <c r="T721" s="49">
        <f t="shared" si="660"/>
        <v>3</v>
      </c>
      <c r="U721" s="11">
        <f t="shared" si="661"/>
        <v>6</v>
      </c>
      <c r="V721" s="98">
        <v>44869</v>
      </c>
      <c r="W721" s="66"/>
    </row>
    <row r="722" spans="1:24" x14ac:dyDescent="0.15">
      <c r="A722" s="26"/>
      <c r="B722" s="8"/>
      <c r="C722" s="9"/>
      <c r="D722" s="10"/>
      <c r="E722" s="49">
        <f t="shared" si="665"/>
        <v>0</v>
      </c>
      <c r="F722" s="12"/>
      <c r="G722" s="9"/>
      <c r="H722" s="10"/>
      <c r="I722" s="49">
        <f t="shared" si="666"/>
        <v>0</v>
      </c>
      <c r="J722" s="11">
        <f t="shared" si="667"/>
        <v>0</v>
      </c>
      <c r="L722" s="26" t="s">
        <v>693</v>
      </c>
      <c r="M722" s="8">
        <v>2</v>
      </c>
      <c r="N722" s="9">
        <v>1</v>
      </c>
      <c r="O722" s="52"/>
      <c r="P722" s="87">
        <f t="shared" si="659"/>
        <v>3</v>
      </c>
      <c r="Q722" s="12">
        <v>2</v>
      </c>
      <c r="R722" s="9">
        <v>1</v>
      </c>
      <c r="S722" s="10"/>
      <c r="T722" s="49">
        <f t="shared" si="660"/>
        <v>3</v>
      </c>
      <c r="U722" s="11">
        <f t="shared" si="661"/>
        <v>6</v>
      </c>
      <c r="V722" s="98">
        <v>44872</v>
      </c>
      <c r="W722" s="66"/>
    </row>
    <row r="723" spans="1:24" x14ac:dyDescent="0.15">
      <c r="A723" s="26"/>
      <c r="B723" s="8"/>
      <c r="C723" s="9"/>
      <c r="D723" s="10"/>
      <c r="E723" s="49">
        <f t="shared" si="665"/>
        <v>0</v>
      </c>
      <c r="F723" s="12"/>
      <c r="G723" s="9"/>
      <c r="H723" s="10"/>
      <c r="I723" s="49">
        <f t="shared" si="666"/>
        <v>0</v>
      </c>
      <c r="J723" s="11">
        <f t="shared" si="667"/>
        <v>0</v>
      </c>
      <c r="L723" s="26" t="s">
        <v>697</v>
      </c>
      <c r="M723" s="8">
        <v>1</v>
      </c>
      <c r="N723" s="9"/>
      <c r="O723" s="52"/>
      <c r="P723" s="87">
        <f t="shared" si="659"/>
        <v>1</v>
      </c>
      <c r="Q723" s="12">
        <v>1</v>
      </c>
      <c r="R723" s="9"/>
      <c r="S723" s="10"/>
      <c r="T723" s="49">
        <f t="shared" si="660"/>
        <v>1</v>
      </c>
      <c r="U723" s="11">
        <f t="shared" si="661"/>
        <v>2</v>
      </c>
      <c r="V723" s="98">
        <v>44874</v>
      </c>
      <c r="W723" s="66"/>
    </row>
    <row r="724" spans="1:24" x14ac:dyDescent="0.15">
      <c r="A724" s="26"/>
      <c r="B724" s="8"/>
      <c r="C724" s="9"/>
      <c r="D724" s="10"/>
      <c r="E724" s="49">
        <f t="shared" si="665"/>
        <v>0</v>
      </c>
      <c r="F724" s="12"/>
      <c r="G724" s="9"/>
      <c r="H724" s="10"/>
      <c r="I724" s="49">
        <f t="shared" si="666"/>
        <v>0</v>
      </c>
      <c r="J724" s="11">
        <f t="shared" si="667"/>
        <v>0</v>
      </c>
      <c r="L724" s="26" t="s">
        <v>699</v>
      </c>
      <c r="M724" s="8"/>
      <c r="N724" s="9">
        <v>1</v>
      </c>
      <c r="O724" s="52"/>
      <c r="P724" s="87">
        <f t="shared" si="659"/>
        <v>1</v>
      </c>
      <c r="Q724" s="12"/>
      <c r="R724" s="9">
        <v>1</v>
      </c>
      <c r="S724" s="10"/>
      <c r="T724" s="49">
        <f t="shared" si="660"/>
        <v>1</v>
      </c>
      <c r="U724" s="11">
        <f t="shared" si="661"/>
        <v>2</v>
      </c>
      <c r="V724" s="98">
        <v>44875</v>
      </c>
      <c r="W724" s="66"/>
    </row>
    <row r="725" spans="1:24" x14ac:dyDescent="0.15">
      <c r="A725" s="26"/>
      <c r="B725" s="8"/>
      <c r="C725" s="9"/>
      <c r="D725" s="10"/>
      <c r="E725" s="49">
        <f t="shared" si="665"/>
        <v>0</v>
      </c>
      <c r="F725" s="12"/>
      <c r="G725" s="9"/>
      <c r="H725" s="10"/>
      <c r="I725" s="49">
        <f t="shared" si="666"/>
        <v>0</v>
      </c>
      <c r="J725" s="11">
        <f t="shared" si="667"/>
        <v>0</v>
      </c>
      <c r="L725" s="26" t="s">
        <v>701</v>
      </c>
      <c r="M725" s="8"/>
      <c r="N725" s="9"/>
      <c r="O725" s="52">
        <v>1</v>
      </c>
      <c r="P725" s="87">
        <f t="shared" si="659"/>
        <v>1</v>
      </c>
      <c r="Q725" s="12"/>
      <c r="R725" s="9"/>
      <c r="S725" s="10">
        <v>1</v>
      </c>
      <c r="T725" s="49">
        <f t="shared" si="660"/>
        <v>1</v>
      </c>
      <c r="U725" s="11">
        <f t="shared" si="661"/>
        <v>2</v>
      </c>
      <c r="V725" s="98">
        <v>44876</v>
      </c>
      <c r="W725" s="66"/>
    </row>
    <row r="726" spans="1:24" x14ac:dyDescent="0.15">
      <c r="A726" s="26"/>
      <c r="B726" s="13"/>
      <c r="C726" s="14"/>
      <c r="D726" s="15"/>
      <c r="E726" s="49">
        <f t="shared" si="665"/>
        <v>0</v>
      </c>
      <c r="F726" s="16"/>
      <c r="G726" s="14"/>
      <c r="H726" s="15"/>
      <c r="I726" s="49">
        <f t="shared" si="666"/>
        <v>0</v>
      </c>
      <c r="J726" s="11">
        <f t="shared" si="667"/>
        <v>0</v>
      </c>
      <c r="L726" s="26" t="s">
        <v>704</v>
      </c>
      <c r="M726" s="13"/>
      <c r="N726" s="14">
        <v>1</v>
      </c>
      <c r="O726" s="53"/>
      <c r="P726" s="87">
        <f t="shared" si="659"/>
        <v>1</v>
      </c>
      <c r="Q726" s="16"/>
      <c r="R726" s="14">
        <v>1</v>
      </c>
      <c r="S726" s="15"/>
      <c r="T726" s="49">
        <f t="shared" si="660"/>
        <v>1</v>
      </c>
      <c r="U726" s="11">
        <f t="shared" si="661"/>
        <v>2</v>
      </c>
      <c r="V726" s="98">
        <v>44879</v>
      </c>
    </row>
    <row r="727" spans="1:24" x14ac:dyDescent="0.15">
      <c r="A727" s="26"/>
      <c r="B727" s="8"/>
      <c r="C727" s="9"/>
      <c r="D727" s="10"/>
      <c r="E727" s="49">
        <f t="shared" si="665"/>
        <v>0</v>
      </c>
      <c r="F727" s="12"/>
      <c r="G727" s="9"/>
      <c r="H727" s="10"/>
      <c r="I727" s="49">
        <f t="shared" si="666"/>
        <v>0</v>
      </c>
      <c r="J727" s="11">
        <f t="shared" si="667"/>
        <v>0</v>
      </c>
      <c r="L727" s="26" t="s">
        <v>706</v>
      </c>
      <c r="M727" s="8"/>
      <c r="N727" s="9"/>
      <c r="O727" s="52">
        <v>1</v>
      </c>
      <c r="P727" s="87">
        <f t="shared" si="659"/>
        <v>1</v>
      </c>
      <c r="Q727" s="12"/>
      <c r="R727" s="9"/>
      <c r="S727" s="10">
        <v>1</v>
      </c>
      <c r="T727" s="49">
        <f t="shared" si="660"/>
        <v>1</v>
      </c>
      <c r="U727" s="11">
        <f t="shared" si="661"/>
        <v>2</v>
      </c>
      <c r="V727" s="98">
        <v>44880</v>
      </c>
    </row>
    <row r="728" spans="1:24" x14ac:dyDescent="0.15">
      <c r="A728" s="26"/>
      <c r="B728" s="8"/>
      <c r="C728" s="9"/>
      <c r="D728" s="10"/>
      <c r="E728" s="49">
        <f t="shared" si="665"/>
        <v>0</v>
      </c>
      <c r="F728" s="12"/>
      <c r="G728" s="9"/>
      <c r="H728" s="10"/>
      <c r="I728" s="49">
        <f t="shared" si="666"/>
        <v>0</v>
      </c>
      <c r="J728" s="11">
        <f t="shared" si="667"/>
        <v>0</v>
      </c>
      <c r="L728" s="26" t="s">
        <v>708</v>
      </c>
      <c r="M728" s="8"/>
      <c r="N728" s="9">
        <v>2</v>
      </c>
      <c r="O728" s="52">
        <v>1</v>
      </c>
      <c r="P728" s="87">
        <f t="shared" si="659"/>
        <v>3</v>
      </c>
      <c r="Q728" s="12"/>
      <c r="R728" s="9">
        <v>2</v>
      </c>
      <c r="S728" s="10">
        <v>1</v>
      </c>
      <c r="T728" s="49">
        <f t="shared" si="660"/>
        <v>3</v>
      </c>
      <c r="U728" s="11">
        <f t="shared" si="661"/>
        <v>6</v>
      </c>
      <c r="V728" s="98">
        <v>44881</v>
      </c>
    </row>
    <row r="729" spans="1:24" x14ac:dyDescent="0.15">
      <c r="A729" s="26"/>
      <c r="B729" s="8"/>
      <c r="C729" s="9"/>
      <c r="D729" s="10"/>
      <c r="E729" s="49">
        <f t="shared" si="665"/>
        <v>0</v>
      </c>
      <c r="F729" s="12"/>
      <c r="G729" s="9"/>
      <c r="H729" s="10"/>
      <c r="I729" s="49">
        <f t="shared" si="666"/>
        <v>0</v>
      </c>
      <c r="J729" s="11">
        <f t="shared" si="667"/>
        <v>0</v>
      </c>
      <c r="L729" s="26" t="s">
        <v>710</v>
      </c>
      <c r="M729" s="8"/>
      <c r="N729" s="9">
        <v>1</v>
      </c>
      <c r="O729" s="52"/>
      <c r="P729" s="87">
        <f t="shared" si="659"/>
        <v>1</v>
      </c>
      <c r="Q729" s="12"/>
      <c r="R729" s="9">
        <v>1</v>
      </c>
      <c r="S729" s="10"/>
      <c r="T729" s="49">
        <f t="shared" si="660"/>
        <v>1</v>
      </c>
      <c r="U729" s="11">
        <f t="shared" si="661"/>
        <v>2</v>
      </c>
      <c r="V729" s="98">
        <v>44882</v>
      </c>
    </row>
    <row r="730" spans="1:24" x14ac:dyDescent="0.15">
      <c r="A730" s="26"/>
      <c r="B730" s="8"/>
      <c r="C730" s="9"/>
      <c r="D730" s="10"/>
      <c r="E730" s="49">
        <f t="shared" si="665"/>
        <v>0</v>
      </c>
      <c r="F730" s="12"/>
      <c r="G730" s="9"/>
      <c r="H730" s="10"/>
      <c r="I730" s="49">
        <f t="shared" si="666"/>
        <v>0</v>
      </c>
      <c r="J730" s="11">
        <f t="shared" si="667"/>
        <v>0</v>
      </c>
      <c r="L730" s="26" t="s">
        <v>713</v>
      </c>
      <c r="M730" s="8">
        <v>1</v>
      </c>
      <c r="N730" s="9"/>
      <c r="O730" s="52"/>
      <c r="P730" s="87">
        <f t="shared" si="659"/>
        <v>1</v>
      </c>
      <c r="Q730" s="12">
        <v>1</v>
      </c>
      <c r="R730" s="9"/>
      <c r="S730" s="10"/>
      <c r="T730" s="49">
        <f t="shared" si="660"/>
        <v>1</v>
      </c>
      <c r="U730" s="11">
        <f t="shared" si="661"/>
        <v>2</v>
      </c>
      <c r="V730" s="98">
        <v>44886</v>
      </c>
    </row>
    <row r="731" spans="1:24" x14ac:dyDescent="0.15">
      <c r="A731" s="26"/>
      <c r="B731" s="8"/>
      <c r="C731" s="9"/>
      <c r="D731" s="10"/>
      <c r="E731" s="49">
        <f t="shared" si="665"/>
        <v>0</v>
      </c>
      <c r="F731" s="12"/>
      <c r="G731" s="9"/>
      <c r="H731" s="10"/>
      <c r="I731" s="49">
        <f t="shared" si="666"/>
        <v>0</v>
      </c>
      <c r="J731" s="11">
        <f t="shared" si="667"/>
        <v>0</v>
      </c>
      <c r="L731" s="26" t="s">
        <v>715</v>
      </c>
      <c r="M731" s="8">
        <v>1</v>
      </c>
      <c r="N731" s="9"/>
      <c r="O731" s="52">
        <v>1</v>
      </c>
      <c r="P731" s="87">
        <f t="shared" si="659"/>
        <v>2</v>
      </c>
      <c r="Q731" s="12">
        <v>1</v>
      </c>
      <c r="R731" s="9"/>
      <c r="S731" s="10">
        <v>1</v>
      </c>
      <c r="T731" s="49">
        <f t="shared" si="660"/>
        <v>2</v>
      </c>
      <c r="U731" s="11">
        <f t="shared" si="661"/>
        <v>4</v>
      </c>
      <c r="V731" s="98">
        <v>44887</v>
      </c>
    </row>
    <row r="732" spans="1:24" x14ac:dyDescent="0.15">
      <c r="A732" s="26"/>
      <c r="B732" s="8"/>
      <c r="C732" s="9"/>
      <c r="D732" s="10"/>
      <c r="E732" s="49">
        <f t="shared" si="665"/>
        <v>0</v>
      </c>
      <c r="F732" s="12"/>
      <c r="G732" s="9"/>
      <c r="H732" s="10"/>
      <c r="I732" s="49">
        <f t="shared" si="666"/>
        <v>0</v>
      </c>
      <c r="J732" s="11">
        <f t="shared" si="667"/>
        <v>0</v>
      </c>
      <c r="L732" s="26" t="s">
        <v>717</v>
      </c>
      <c r="M732" s="13"/>
      <c r="N732" s="14">
        <v>2</v>
      </c>
      <c r="O732" s="53"/>
      <c r="P732" s="87">
        <f>SUM(M732:O732)</f>
        <v>2</v>
      </c>
      <c r="Q732" s="16"/>
      <c r="R732" s="14">
        <v>2</v>
      </c>
      <c r="S732" s="15"/>
      <c r="T732" s="49">
        <f>SUM(Q732:S732)</f>
        <v>2</v>
      </c>
      <c r="U732" s="11">
        <f>P732+T732</f>
        <v>4</v>
      </c>
      <c r="V732" s="98">
        <v>44889</v>
      </c>
      <c r="W732" s="66"/>
      <c r="X732" s="66"/>
    </row>
    <row r="733" spans="1:24" x14ac:dyDescent="0.15">
      <c r="A733" s="26"/>
      <c r="B733" s="8"/>
      <c r="C733" s="9"/>
      <c r="D733" s="10"/>
      <c r="E733" s="49">
        <f t="shared" si="665"/>
        <v>0</v>
      </c>
      <c r="F733" s="12"/>
      <c r="G733" s="9"/>
      <c r="H733" s="10"/>
      <c r="I733" s="49">
        <f t="shared" si="666"/>
        <v>0</v>
      </c>
      <c r="J733" s="11">
        <f t="shared" si="667"/>
        <v>0</v>
      </c>
      <c r="L733" s="26" t="s">
        <v>719</v>
      </c>
      <c r="M733" s="8"/>
      <c r="N733" s="9"/>
      <c r="O733" s="52">
        <v>6</v>
      </c>
      <c r="P733" s="87">
        <f t="shared" ref="P733:P735" si="668">SUM(M733:O733)</f>
        <v>6</v>
      </c>
      <c r="Q733" s="12"/>
      <c r="R733" s="9"/>
      <c r="S733" s="10">
        <v>6</v>
      </c>
      <c r="T733" s="49">
        <f t="shared" ref="T733:T735" si="669">SUM(Q733:S733)</f>
        <v>6</v>
      </c>
      <c r="U733" s="11">
        <f t="shared" ref="U733:U735" si="670">P733+T733</f>
        <v>12</v>
      </c>
      <c r="V733" s="98">
        <v>44893</v>
      </c>
      <c r="W733" s="66"/>
      <c r="X733" s="66"/>
    </row>
    <row r="734" spans="1:24" x14ac:dyDescent="0.15">
      <c r="A734" s="24"/>
      <c r="B734" s="8"/>
      <c r="C734" s="9"/>
      <c r="D734" s="10"/>
      <c r="E734" s="49">
        <f t="shared" si="665"/>
        <v>0</v>
      </c>
      <c r="F734" s="12"/>
      <c r="G734" s="9"/>
      <c r="H734" s="10"/>
      <c r="I734" s="49">
        <f t="shared" si="666"/>
        <v>0</v>
      </c>
      <c r="J734" s="11">
        <f t="shared" si="667"/>
        <v>0</v>
      </c>
      <c r="L734" s="26" t="s">
        <v>722</v>
      </c>
      <c r="M734" s="8"/>
      <c r="N734" s="9"/>
      <c r="O734" s="52">
        <v>1</v>
      </c>
      <c r="P734" s="87">
        <f t="shared" si="668"/>
        <v>1</v>
      </c>
      <c r="Q734" s="12"/>
      <c r="R734" s="9"/>
      <c r="S734" s="10">
        <v>1</v>
      </c>
      <c r="T734" s="49">
        <f t="shared" si="669"/>
        <v>1</v>
      </c>
      <c r="U734" s="11">
        <f t="shared" si="670"/>
        <v>2</v>
      </c>
      <c r="V734" s="98">
        <v>44895</v>
      </c>
    </row>
    <row r="735" spans="1:24" x14ac:dyDescent="0.15">
      <c r="A735" s="25"/>
      <c r="B735" s="8"/>
      <c r="C735" s="9"/>
      <c r="D735" s="10"/>
      <c r="E735" s="49">
        <f t="shared" si="665"/>
        <v>0</v>
      </c>
      <c r="F735" s="12"/>
      <c r="G735" s="9"/>
      <c r="H735" s="10"/>
      <c r="I735" s="49">
        <f t="shared" si="666"/>
        <v>0</v>
      </c>
      <c r="J735" s="11">
        <f t="shared" si="667"/>
        <v>0</v>
      </c>
      <c r="L735" s="26" t="s">
        <v>724</v>
      </c>
      <c r="M735" s="8"/>
      <c r="N735" s="9">
        <v>1</v>
      </c>
      <c r="O735" s="52"/>
      <c r="P735" s="87">
        <f t="shared" si="668"/>
        <v>1</v>
      </c>
      <c r="Q735" s="12"/>
      <c r="R735" s="9">
        <v>1</v>
      </c>
      <c r="S735" s="10"/>
      <c r="T735" s="49">
        <f t="shared" si="669"/>
        <v>1</v>
      </c>
      <c r="U735" s="11">
        <f t="shared" si="670"/>
        <v>2</v>
      </c>
      <c r="V735" s="98">
        <v>44896</v>
      </c>
    </row>
    <row r="736" spans="1:24" x14ac:dyDescent="0.15">
      <c r="A736" s="26"/>
      <c r="B736" s="8"/>
      <c r="C736" s="9"/>
      <c r="D736" s="10"/>
      <c r="E736" s="49">
        <f t="shared" si="665"/>
        <v>0</v>
      </c>
      <c r="F736" s="12"/>
      <c r="G736" s="9"/>
      <c r="H736" s="10"/>
      <c r="I736" s="49">
        <f t="shared" si="666"/>
        <v>0</v>
      </c>
      <c r="J736" s="11">
        <f t="shared" si="667"/>
        <v>0</v>
      </c>
      <c r="L736" s="26" t="s">
        <v>726</v>
      </c>
      <c r="M736" s="13">
        <v>3</v>
      </c>
      <c r="N736" s="14"/>
      <c r="O736" s="53">
        <v>3</v>
      </c>
      <c r="P736" s="87">
        <f>SUM(M736:O736)</f>
        <v>6</v>
      </c>
      <c r="Q736" s="16">
        <v>3</v>
      </c>
      <c r="R736" s="14"/>
      <c r="S736" s="15">
        <v>3</v>
      </c>
      <c r="T736" s="49">
        <f>SUM(Q736:S736)</f>
        <v>6</v>
      </c>
      <c r="U736" s="11">
        <f>P736+T736</f>
        <v>12</v>
      </c>
      <c r="V736" s="98">
        <v>44897</v>
      </c>
    </row>
    <row r="737" spans="1:22" x14ac:dyDescent="0.15">
      <c r="A737" s="24"/>
      <c r="B737" s="8"/>
      <c r="C737" s="9"/>
      <c r="D737" s="10"/>
      <c r="E737" s="49">
        <f t="shared" si="665"/>
        <v>0</v>
      </c>
      <c r="F737" s="12"/>
      <c r="G737" s="9"/>
      <c r="H737" s="10"/>
      <c r="I737" s="49">
        <f t="shared" si="666"/>
        <v>0</v>
      </c>
      <c r="J737" s="11">
        <f t="shared" si="667"/>
        <v>0</v>
      </c>
      <c r="L737" s="26" t="s">
        <v>728</v>
      </c>
      <c r="M737" s="8">
        <v>17</v>
      </c>
      <c r="N737" s="9">
        <v>6</v>
      </c>
      <c r="O737" s="52">
        <v>4</v>
      </c>
      <c r="P737" s="87">
        <f t="shared" ref="P737:P743" si="671">SUM(M737:O737)</f>
        <v>27</v>
      </c>
      <c r="Q737" s="12">
        <v>17</v>
      </c>
      <c r="R737" s="9">
        <v>6</v>
      </c>
      <c r="S737" s="10">
        <v>4</v>
      </c>
      <c r="T737" s="49">
        <f t="shared" ref="T737:T743" si="672">SUM(Q737:S737)</f>
        <v>27</v>
      </c>
      <c r="U737" s="11">
        <f t="shared" ref="U737:U741" si="673">P737+T737</f>
        <v>54</v>
      </c>
      <c r="V737" s="98">
        <v>44900</v>
      </c>
    </row>
    <row r="738" spans="1:22" x14ac:dyDescent="0.15">
      <c r="B738" s="13"/>
      <c r="C738" s="14"/>
      <c r="D738" s="15"/>
      <c r="E738" s="49">
        <f t="shared" si="665"/>
        <v>0</v>
      </c>
      <c r="F738" s="16"/>
      <c r="G738" s="14"/>
      <c r="H738" s="15"/>
      <c r="I738" s="49">
        <f t="shared" si="666"/>
        <v>0</v>
      </c>
      <c r="J738" s="11">
        <f t="shared" si="667"/>
        <v>0</v>
      </c>
      <c r="L738" s="26" t="s">
        <v>730</v>
      </c>
      <c r="M738" s="8">
        <v>1</v>
      </c>
      <c r="N738" s="9">
        <v>6</v>
      </c>
      <c r="O738" s="52">
        <v>2</v>
      </c>
      <c r="P738" s="87">
        <f t="shared" si="671"/>
        <v>9</v>
      </c>
      <c r="Q738" s="12">
        <v>1</v>
      </c>
      <c r="R738" s="9">
        <v>6</v>
      </c>
      <c r="S738" s="10">
        <v>2</v>
      </c>
      <c r="T738" s="49">
        <f t="shared" si="672"/>
        <v>9</v>
      </c>
      <c r="U738" s="11">
        <f t="shared" si="673"/>
        <v>18</v>
      </c>
      <c r="V738" s="98">
        <v>44901</v>
      </c>
    </row>
    <row r="739" spans="1:22" x14ac:dyDescent="0.15">
      <c r="A739" s="26"/>
      <c r="B739" s="8"/>
      <c r="C739" s="9"/>
      <c r="D739" s="10"/>
      <c r="E739" s="49">
        <f t="shared" si="665"/>
        <v>0</v>
      </c>
      <c r="F739" s="12"/>
      <c r="G739" s="9"/>
      <c r="H739" s="10"/>
      <c r="I739" s="49">
        <f t="shared" si="666"/>
        <v>0</v>
      </c>
      <c r="J739" s="11">
        <f t="shared" si="667"/>
        <v>0</v>
      </c>
      <c r="L739" s="26" t="s">
        <v>732</v>
      </c>
      <c r="M739" s="8"/>
      <c r="N739" s="9">
        <v>1</v>
      </c>
      <c r="O739" s="52">
        <v>3</v>
      </c>
      <c r="P739" s="87">
        <f t="shared" si="671"/>
        <v>4</v>
      </c>
      <c r="Q739" s="12"/>
      <c r="R739" s="9">
        <v>1</v>
      </c>
      <c r="S739" s="10">
        <v>3</v>
      </c>
      <c r="T739" s="49">
        <f t="shared" si="672"/>
        <v>4</v>
      </c>
      <c r="U739" s="11">
        <f t="shared" si="673"/>
        <v>8</v>
      </c>
      <c r="V739" s="98">
        <v>44902</v>
      </c>
    </row>
    <row r="740" spans="1:22" x14ac:dyDescent="0.15">
      <c r="A740" s="26"/>
      <c r="B740" s="8"/>
      <c r="C740" s="9"/>
      <c r="D740" s="10"/>
      <c r="E740" s="49">
        <f t="shared" si="665"/>
        <v>0</v>
      </c>
      <c r="F740" s="12"/>
      <c r="G740" s="9"/>
      <c r="H740" s="10"/>
      <c r="I740" s="49">
        <f t="shared" si="666"/>
        <v>0</v>
      </c>
      <c r="J740" s="11">
        <f t="shared" si="667"/>
        <v>0</v>
      </c>
      <c r="L740" s="26" t="s">
        <v>734</v>
      </c>
      <c r="M740" s="8">
        <v>2</v>
      </c>
      <c r="N740" s="9">
        <v>1</v>
      </c>
      <c r="O740" s="52">
        <v>1</v>
      </c>
      <c r="P740" s="87">
        <f t="shared" si="671"/>
        <v>4</v>
      </c>
      <c r="Q740" s="12">
        <v>2</v>
      </c>
      <c r="R740" s="9">
        <v>1</v>
      </c>
      <c r="S740" s="10">
        <v>1</v>
      </c>
      <c r="T740" s="49">
        <f t="shared" si="672"/>
        <v>4</v>
      </c>
      <c r="U740" s="11">
        <f t="shared" si="673"/>
        <v>8</v>
      </c>
      <c r="V740" s="98">
        <v>44903</v>
      </c>
    </row>
    <row r="741" spans="1:22" x14ac:dyDescent="0.15">
      <c r="A741" s="26"/>
      <c r="B741" s="8"/>
      <c r="C741" s="9"/>
      <c r="D741" s="10"/>
      <c r="E741" s="49">
        <f t="shared" si="665"/>
        <v>0</v>
      </c>
      <c r="F741" s="12"/>
      <c r="G741" s="9"/>
      <c r="H741" s="10"/>
      <c r="I741" s="49">
        <f t="shared" si="666"/>
        <v>0</v>
      </c>
      <c r="J741" s="11">
        <f t="shared" si="667"/>
        <v>0</v>
      </c>
      <c r="L741" s="86"/>
      <c r="M741" s="8"/>
      <c r="N741" s="9"/>
      <c r="O741" s="52"/>
      <c r="P741" s="87">
        <f t="shared" si="671"/>
        <v>0</v>
      </c>
      <c r="Q741" s="12"/>
      <c r="R741" s="9"/>
      <c r="S741" s="10"/>
      <c r="T741" s="49">
        <f t="shared" si="672"/>
        <v>0</v>
      </c>
      <c r="U741" s="11">
        <f t="shared" si="673"/>
        <v>0</v>
      </c>
      <c r="V741" s="98"/>
    </row>
    <row r="742" spans="1:22" ht="14.25" thickBot="1" x14ac:dyDescent="0.2">
      <c r="A742" s="26"/>
      <c r="B742" s="8"/>
      <c r="C742" s="9"/>
      <c r="D742" s="10"/>
      <c r="E742" s="49">
        <f t="shared" ref="E742" si="674">SUM(B742:D742)</f>
        <v>0</v>
      </c>
      <c r="F742" s="12"/>
      <c r="G742" s="9"/>
      <c r="H742" s="10"/>
      <c r="I742" s="49">
        <f t="shared" ref="I742" si="675">SUM(F742:H742)</f>
        <v>0</v>
      </c>
      <c r="J742" s="11">
        <f t="shared" ref="J742" si="676">E742+I742</f>
        <v>0</v>
      </c>
      <c r="L742" s="86" t="s">
        <v>663</v>
      </c>
      <c r="M742" s="8"/>
      <c r="N742" s="9"/>
      <c r="O742" s="52"/>
      <c r="P742" s="87">
        <f t="shared" ref="P742" si="677">SUM(M742:O742)</f>
        <v>0</v>
      </c>
      <c r="Q742" s="12"/>
      <c r="R742" s="9"/>
      <c r="S742" s="10"/>
      <c r="T742" s="49">
        <f t="shared" ref="T742" si="678">SUM(Q742:S742)</f>
        <v>0</v>
      </c>
      <c r="U742" s="11">
        <f t="shared" ref="U742" si="679">P742+T742</f>
        <v>0</v>
      </c>
      <c r="V742" s="100" t="s">
        <v>662</v>
      </c>
    </row>
    <row r="743" spans="1:22" ht="14.25" thickBot="1" x14ac:dyDescent="0.2">
      <c r="A743" s="41" t="s">
        <v>17</v>
      </c>
      <c r="B743" s="46">
        <f>SUM(B717:B742)</f>
        <v>0</v>
      </c>
      <c r="C743" s="47">
        <f t="shared" ref="C743:D743" si="680">SUM(C717:C742)</f>
        <v>1</v>
      </c>
      <c r="D743" s="58">
        <f t="shared" si="680"/>
        <v>0</v>
      </c>
      <c r="E743" s="45">
        <f t="shared" ref="E743" si="681">SUM(B743:D743)</f>
        <v>1</v>
      </c>
      <c r="F743" s="46">
        <f>SUM(F717:F742)</f>
        <v>0</v>
      </c>
      <c r="G743" s="47">
        <f t="shared" ref="G743:H743" si="682">SUM(G717:G742)</f>
        <v>1</v>
      </c>
      <c r="H743" s="58">
        <f t="shared" si="682"/>
        <v>0</v>
      </c>
      <c r="I743" s="45">
        <f t="shared" ref="I743" si="683">SUM(F743:H743)</f>
        <v>1</v>
      </c>
      <c r="J743" s="45">
        <f>E743+I743</f>
        <v>2</v>
      </c>
      <c r="L743" s="41" t="s">
        <v>17</v>
      </c>
      <c r="M743" s="46">
        <f>SUM(M717:M742)</f>
        <v>31</v>
      </c>
      <c r="N743" s="47">
        <f t="shared" ref="N743:O743" si="684">SUM(N717:N742)</f>
        <v>28</v>
      </c>
      <c r="O743" s="58">
        <f t="shared" si="684"/>
        <v>26</v>
      </c>
      <c r="P743" s="45">
        <f t="shared" si="671"/>
        <v>85</v>
      </c>
      <c r="Q743" s="46">
        <f>SUM(Q717:Q742)</f>
        <v>31</v>
      </c>
      <c r="R743" s="47">
        <f t="shared" ref="R743:S743" si="685">SUM(R717:R742)</f>
        <v>28</v>
      </c>
      <c r="S743" s="58">
        <f t="shared" si="685"/>
        <v>26</v>
      </c>
      <c r="T743" s="45">
        <f t="shared" si="672"/>
        <v>85</v>
      </c>
      <c r="U743" s="45">
        <f>P743+T743</f>
        <v>170</v>
      </c>
    </row>
    <row r="744" spans="1:22" ht="14.25" thickBot="1" x14ac:dyDescent="0.2">
      <c r="A744" s="22" t="s">
        <v>16</v>
      </c>
      <c r="B744" s="50">
        <f>B716-B743</f>
        <v>4</v>
      </c>
      <c r="C744" s="56">
        <f t="shared" ref="C744:D744" si="686">C716-C743</f>
        <v>1</v>
      </c>
      <c r="D744" s="57">
        <f t="shared" si="686"/>
        <v>3</v>
      </c>
      <c r="E744" s="55">
        <f>SUM(B744:D744)</f>
        <v>8</v>
      </c>
      <c r="F744" s="50">
        <f>F716-F743</f>
        <v>4</v>
      </c>
      <c r="G744" s="56">
        <f t="shared" ref="G744:H744" si="687">G716-G743</f>
        <v>2</v>
      </c>
      <c r="H744" s="57">
        <f t="shared" si="687"/>
        <v>3</v>
      </c>
      <c r="I744" s="55">
        <f>SUM(F744:H744)</f>
        <v>9</v>
      </c>
      <c r="J744" s="31">
        <f>E744+I744</f>
        <v>17</v>
      </c>
      <c r="L744" s="22" t="s">
        <v>16</v>
      </c>
      <c r="M744" s="50">
        <f>M716-M743</f>
        <v>208</v>
      </c>
      <c r="N744" s="56">
        <f t="shared" ref="N744:O744" si="688">N716-N743</f>
        <v>207</v>
      </c>
      <c r="O744" s="57">
        <f t="shared" si="688"/>
        <v>144</v>
      </c>
      <c r="P744" s="55">
        <f>SUM(M744:O744)</f>
        <v>559</v>
      </c>
      <c r="Q744" s="50">
        <f>Q716-Q743</f>
        <v>208</v>
      </c>
      <c r="R744" s="56">
        <f t="shared" ref="R744:S744" si="689">R716-R743</f>
        <v>207</v>
      </c>
      <c r="S744" s="57">
        <f t="shared" si="689"/>
        <v>144</v>
      </c>
      <c r="T744" s="55">
        <f>SUM(Q744:S744)</f>
        <v>559</v>
      </c>
      <c r="U744" s="31">
        <f>P744+T744</f>
        <v>1118</v>
      </c>
    </row>
    <row r="747" spans="1:22" ht="19.5" thickBot="1" x14ac:dyDescent="0.25">
      <c r="A747" s="3" t="s">
        <v>678</v>
      </c>
      <c r="B747" s="1"/>
      <c r="C747" s="1"/>
      <c r="D747" s="1"/>
      <c r="E747" s="1"/>
      <c r="F747" s="1"/>
      <c r="G747" s="1"/>
      <c r="H747" s="1"/>
      <c r="I747" s="1"/>
      <c r="J747" s="1"/>
      <c r="L747" s="3" t="s">
        <v>677</v>
      </c>
      <c r="M747" s="1"/>
      <c r="N747" s="1"/>
      <c r="O747" s="1"/>
      <c r="P747" s="1"/>
      <c r="Q747" s="1"/>
      <c r="R747" s="1"/>
      <c r="S747" s="1"/>
      <c r="T747" s="1"/>
      <c r="U747" s="1"/>
    </row>
    <row r="748" spans="1:22" ht="14.25" thickBot="1" x14ac:dyDescent="0.2">
      <c r="A748" s="7"/>
      <c r="B748" s="169" t="s">
        <v>22</v>
      </c>
      <c r="C748" s="170"/>
      <c r="D748" s="170"/>
      <c r="E748" s="171"/>
      <c r="F748" s="169" t="s">
        <v>23</v>
      </c>
      <c r="G748" s="170"/>
      <c r="H748" s="170"/>
      <c r="I748" s="171"/>
      <c r="J748" s="172" t="s">
        <v>0</v>
      </c>
      <c r="L748" s="7"/>
      <c r="M748" s="169" t="s">
        <v>22</v>
      </c>
      <c r="N748" s="170"/>
      <c r="O748" s="170"/>
      <c r="P748" s="171"/>
      <c r="Q748" s="169" t="s">
        <v>23</v>
      </c>
      <c r="R748" s="170"/>
      <c r="S748" s="170"/>
      <c r="T748" s="171"/>
      <c r="U748" s="172" t="s">
        <v>0</v>
      </c>
    </row>
    <row r="749" spans="1:22" ht="14.25" thickBot="1" x14ac:dyDescent="0.2">
      <c r="A749" s="7" t="s">
        <v>1</v>
      </c>
      <c r="B749" s="4" t="s">
        <v>2</v>
      </c>
      <c r="C749" s="5" t="s">
        <v>3</v>
      </c>
      <c r="D749" s="6" t="s">
        <v>4</v>
      </c>
      <c r="E749" s="7" t="s">
        <v>5</v>
      </c>
      <c r="F749" s="4" t="s">
        <v>2</v>
      </c>
      <c r="G749" s="5" t="s">
        <v>3</v>
      </c>
      <c r="H749" s="6" t="s">
        <v>4</v>
      </c>
      <c r="I749" s="7" t="s">
        <v>5</v>
      </c>
      <c r="J749" s="173"/>
      <c r="L749" s="7" t="s">
        <v>1</v>
      </c>
      <c r="M749" s="4" t="s">
        <v>2</v>
      </c>
      <c r="N749" s="5" t="s">
        <v>3</v>
      </c>
      <c r="O749" s="6" t="s">
        <v>4</v>
      </c>
      <c r="P749" s="7" t="s">
        <v>5</v>
      </c>
      <c r="Q749" s="4" t="s">
        <v>2</v>
      </c>
      <c r="R749" s="5" t="s">
        <v>3</v>
      </c>
      <c r="S749" s="6" t="s">
        <v>4</v>
      </c>
      <c r="T749" s="7" t="s">
        <v>5</v>
      </c>
      <c r="U749" s="173"/>
    </row>
    <row r="750" spans="1:22" ht="14.25" thickBot="1" x14ac:dyDescent="0.2">
      <c r="A750" s="140" t="s">
        <v>16</v>
      </c>
      <c r="B750" s="126">
        <f>B744</f>
        <v>4</v>
      </c>
      <c r="C750" s="126">
        <f t="shared" ref="C750:E750" si="690">C744</f>
        <v>1</v>
      </c>
      <c r="D750" s="127">
        <f t="shared" si="690"/>
        <v>3</v>
      </c>
      <c r="E750" s="38">
        <f t="shared" si="690"/>
        <v>8</v>
      </c>
      <c r="F750" s="126">
        <f>F744</f>
        <v>4</v>
      </c>
      <c r="G750" s="126">
        <f t="shared" ref="G750:J750" si="691">G744</f>
        <v>2</v>
      </c>
      <c r="H750" s="127">
        <f t="shared" si="691"/>
        <v>3</v>
      </c>
      <c r="I750" s="38">
        <f t="shared" si="691"/>
        <v>9</v>
      </c>
      <c r="J750" s="38">
        <f t="shared" si="691"/>
        <v>17</v>
      </c>
      <c r="L750" s="128" t="s">
        <v>16</v>
      </c>
      <c r="M750" s="126">
        <f>M744</f>
        <v>208</v>
      </c>
      <c r="N750" s="126">
        <f t="shared" ref="N750:P750" si="692">N744</f>
        <v>207</v>
      </c>
      <c r="O750" s="127">
        <f t="shared" si="692"/>
        <v>144</v>
      </c>
      <c r="P750" s="31">
        <f t="shared" si="692"/>
        <v>559</v>
      </c>
      <c r="Q750" s="126">
        <f>Q744</f>
        <v>208</v>
      </c>
      <c r="R750" s="126">
        <f t="shared" ref="R750:U750" si="693">R744</f>
        <v>207</v>
      </c>
      <c r="S750" s="127">
        <f t="shared" si="693"/>
        <v>144</v>
      </c>
      <c r="T750" s="31">
        <f t="shared" si="693"/>
        <v>559</v>
      </c>
      <c r="U750" s="28">
        <f t="shared" si="693"/>
        <v>1118</v>
      </c>
    </row>
    <row r="751" spans="1:22" x14ac:dyDescent="0.15">
      <c r="A751" s="25" t="s">
        <v>763</v>
      </c>
      <c r="B751" s="42"/>
      <c r="C751" s="43"/>
      <c r="D751" s="44">
        <v>1</v>
      </c>
      <c r="E751" s="48">
        <f>SUM(B751:D751)</f>
        <v>1</v>
      </c>
      <c r="F751" s="59"/>
      <c r="G751" s="43"/>
      <c r="H751" s="60">
        <v>1</v>
      </c>
      <c r="I751" s="48">
        <f>SUM(F751:H751)</f>
        <v>1</v>
      </c>
      <c r="J751" s="48">
        <f>E751+I751</f>
        <v>2</v>
      </c>
      <c r="K751" s="64">
        <v>44942</v>
      </c>
      <c r="L751" s="25" t="s">
        <v>7</v>
      </c>
      <c r="M751" s="17"/>
      <c r="N751" s="18"/>
      <c r="O751" s="51"/>
      <c r="P751" s="11">
        <f t="shared" ref="P751:P752" si="694">SUM(M751:O751)</f>
        <v>0</v>
      </c>
      <c r="Q751" s="17"/>
      <c r="R751" s="18"/>
      <c r="S751" s="51"/>
      <c r="T751" s="11">
        <f t="shared" ref="T751:T752" si="695">SUM(Q751:S751)</f>
        <v>0</v>
      </c>
      <c r="U751" s="11">
        <f t="shared" ref="U751:U752" si="696">P751+T751</f>
        <v>0</v>
      </c>
      <c r="V751" s="98"/>
    </row>
    <row r="752" spans="1:22" x14ac:dyDescent="0.15">
      <c r="A752" s="25" t="s">
        <v>764</v>
      </c>
      <c r="B752" s="8"/>
      <c r="C752" s="9">
        <v>2</v>
      </c>
      <c r="D752" s="52"/>
      <c r="E752" s="11">
        <f>SUM(B752:D752)</f>
        <v>2</v>
      </c>
      <c r="F752" s="12"/>
      <c r="G752" s="9">
        <v>2</v>
      </c>
      <c r="H752" s="10"/>
      <c r="I752" s="11">
        <f>SUM(F752:H752)</f>
        <v>2</v>
      </c>
      <c r="J752" s="11">
        <f>E752+I752</f>
        <v>4</v>
      </c>
      <c r="K752" s="62">
        <v>44944</v>
      </c>
      <c r="L752" s="25" t="s">
        <v>8</v>
      </c>
      <c r="M752" s="17"/>
      <c r="N752" s="18"/>
      <c r="O752" s="51"/>
      <c r="P752" s="11">
        <f t="shared" si="694"/>
        <v>0</v>
      </c>
      <c r="Q752" s="17"/>
      <c r="R752" s="18"/>
      <c r="S752" s="51"/>
      <c r="T752" s="11">
        <f t="shared" si="695"/>
        <v>0</v>
      </c>
      <c r="U752" s="11">
        <f t="shared" si="696"/>
        <v>0</v>
      </c>
      <c r="V752" s="98"/>
    </row>
    <row r="753" spans="1:23" x14ac:dyDescent="0.15">
      <c r="A753" s="25"/>
      <c r="B753" s="17"/>
      <c r="C753" s="18"/>
      <c r="D753" s="51"/>
      <c r="E753" s="11">
        <f t="shared" ref="E753:E758" si="697">SUM(B753:D753)</f>
        <v>0</v>
      </c>
      <c r="F753" s="20"/>
      <c r="G753" s="18"/>
      <c r="H753" s="19"/>
      <c r="I753" s="11">
        <f t="shared" ref="I753:I758" si="698">SUM(F753:H753)</f>
        <v>0</v>
      </c>
      <c r="J753" s="11">
        <f t="shared" ref="J753:J758" si="699">E753+I753</f>
        <v>0</v>
      </c>
      <c r="L753" s="25" t="s">
        <v>9</v>
      </c>
      <c r="M753" s="17"/>
      <c r="N753" s="18"/>
      <c r="O753" s="51"/>
      <c r="P753" s="11">
        <f t="shared" ref="P753:P754" si="700">SUM(M753:O753)</f>
        <v>0</v>
      </c>
      <c r="Q753" s="17"/>
      <c r="R753" s="18"/>
      <c r="S753" s="51"/>
      <c r="T753" s="11">
        <f t="shared" ref="T753:T754" si="701">SUM(Q753:S753)</f>
        <v>0</v>
      </c>
      <c r="U753" s="11">
        <f t="shared" ref="U753:U754" si="702">P753+T753</f>
        <v>0</v>
      </c>
      <c r="V753" s="98"/>
    </row>
    <row r="754" spans="1:23" x14ac:dyDescent="0.15">
      <c r="A754" s="25"/>
      <c r="B754" s="8"/>
      <c r="C754" s="9"/>
      <c r="D754" s="52"/>
      <c r="E754" s="11">
        <f t="shared" si="697"/>
        <v>0</v>
      </c>
      <c r="F754" s="12"/>
      <c r="G754" s="9"/>
      <c r="H754" s="10"/>
      <c r="I754" s="11">
        <f t="shared" si="698"/>
        <v>0</v>
      </c>
      <c r="J754" s="11">
        <f t="shared" si="699"/>
        <v>0</v>
      </c>
      <c r="L754" s="25" t="s">
        <v>10</v>
      </c>
      <c r="M754" s="8"/>
      <c r="N754" s="9"/>
      <c r="O754" s="52"/>
      <c r="P754" s="11">
        <f t="shared" si="700"/>
        <v>0</v>
      </c>
      <c r="Q754" s="12"/>
      <c r="R754" s="9"/>
      <c r="S754" s="10"/>
      <c r="T754" s="11">
        <f t="shared" si="701"/>
        <v>0</v>
      </c>
      <c r="U754" s="11">
        <f t="shared" si="702"/>
        <v>0</v>
      </c>
      <c r="V754" s="100"/>
    </row>
    <row r="755" spans="1:23" x14ac:dyDescent="0.15">
      <c r="A755" s="25"/>
      <c r="B755" s="8"/>
      <c r="C755" s="9"/>
      <c r="D755" s="52"/>
      <c r="E755" s="11">
        <f t="shared" si="697"/>
        <v>0</v>
      </c>
      <c r="F755" s="12"/>
      <c r="G755" s="9"/>
      <c r="H755" s="10"/>
      <c r="I755" s="11">
        <f t="shared" si="698"/>
        <v>0</v>
      </c>
      <c r="J755" s="11">
        <f t="shared" si="699"/>
        <v>0</v>
      </c>
      <c r="L755" s="25" t="s">
        <v>11</v>
      </c>
      <c r="M755" s="8"/>
      <c r="N755" s="9"/>
      <c r="O755" s="52"/>
      <c r="P755" s="11">
        <f>SUM(M755:O755)</f>
        <v>0</v>
      </c>
      <c r="Q755" s="12"/>
      <c r="R755" s="9"/>
      <c r="S755" s="10"/>
      <c r="T755" s="11">
        <f>SUM(Q755:S755)</f>
        <v>0</v>
      </c>
      <c r="U755" s="11">
        <f>P755+T755</f>
        <v>0</v>
      </c>
    </row>
    <row r="756" spans="1:23" x14ac:dyDescent="0.15">
      <c r="A756" s="25"/>
      <c r="B756" s="8"/>
      <c r="C756" s="9"/>
      <c r="D756" s="52"/>
      <c r="E756" s="11">
        <f t="shared" si="697"/>
        <v>0</v>
      </c>
      <c r="F756" s="12"/>
      <c r="G756" s="9"/>
      <c r="H756" s="10"/>
      <c r="I756" s="11">
        <f t="shared" si="698"/>
        <v>0</v>
      </c>
      <c r="J756" s="11">
        <f t="shared" si="699"/>
        <v>0</v>
      </c>
      <c r="L756" s="25" t="s">
        <v>12</v>
      </c>
      <c r="M756" s="17"/>
      <c r="N756" s="18"/>
      <c r="O756" s="51"/>
      <c r="P756" s="49">
        <f t="shared" ref="P756:P758" si="703">SUM(M756:O756)</f>
        <v>0</v>
      </c>
      <c r="Q756" s="17"/>
      <c r="R756" s="18"/>
      <c r="S756" s="51"/>
      <c r="T756" s="49">
        <f t="shared" ref="T756:T758" si="704">SUM(Q756:S756)</f>
        <v>0</v>
      </c>
      <c r="U756" s="11">
        <f t="shared" ref="U756:U758" si="705">P756+T756</f>
        <v>0</v>
      </c>
    </row>
    <row r="757" spans="1:23" x14ac:dyDescent="0.15">
      <c r="A757" s="25"/>
      <c r="B757" s="13"/>
      <c r="C757" s="14"/>
      <c r="D757" s="53"/>
      <c r="E757" s="11">
        <f t="shared" si="697"/>
        <v>0</v>
      </c>
      <c r="F757" s="16"/>
      <c r="G757" s="14"/>
      <c r="H757" s="15"/>
      <c r="I757" s="11">
        <f t="shared" si="698"/>
        <v>0</v>
      </c>
      <c r="J757" s="11">
        <f t="shared" si="699"/>
        <v>0</v>
      </c>
      <c r="L757" s="25" t="s">
        <v>13</v>
      </c>
      <c r="M757" s="13"/>
      <c r="N757" s="14"/>
      <c r="O757" s="53"/>
      <c r="P757" s="11">
        <f t="shared" si="703"/>
        <v>0</v>
      </c>
      <c r="Q757" s="16"/>
      <c r="R757" s="14"/>
      <c r="S757" s="15"/>
      <c r="T757" s="11">
        <f t="shared" si="704"/>
        <v>0</v>
      </c>
      <c r="U757" s="11">
        <f t="shared" si="705"/>
        <v>0</v>
      </c>
    </row>
    <row r="758" spans="1:23" ht="14.25" thickBot="1" x14ac:dyDescent="0.2">
      <c r="A758" s="25"/>
      <c r="B758" s="32"/>
      <c r="C758" s="33"/>
      <c r="D758" s="54"/>
      <c r="E758" s="61">
        <f t="shared" si="697"/>
        <v>0</v>
      </c>
      <c r="F758" s="34"/>
      <c r="G758" s="34"/>
      <c r="H758" s="37"/>
      <c r="I758" s="61">
        <f t="shared" si="698"/>
        <v>0</v>
      </c>
      <c r="J758" s="21">
        <f t="shared" si="699"/>
        <v>0</v>
      </c>
      <c r="L758" s="25" t="s">
        <v>14</v>
      </c>
      <c r="M758" s="32"/>
      <c r="N758" s="33"/>
      <c r="O758" s="54"/>
      <c r="P758" s="61">
        <f t="shared" si="703"/>
        <v>0</v>
      </c>
      <c r="Q758" s="34"/>
      <c r="R758" s="34"/>
      <c r="S758" s="37"/>
      <c r="T758" s="61">
        <f t="shared" si="704"/>
        <v>0</v>
      </c>
      <c r="U758" s="21">
        <f t="shared" si="705"/>
        <v>0</v>
      </c>
    </row>
    <row r="759" spans="1:23" ht="14.25" thickBot="1" x14ac:dyDescent="0.2">
      <c r="A759" s="35" t="s">
        <v>15</v>
      </c>
      <c r="B759" s="28">
        <f>SUM(B750:B758)</f>
        <v>4</v>
      </c>
      <c r="C759" s="29">
        <f>SUM(C750:C758)</f>
        <v>3</v>
      </c>
      <c r="D759" s="30">
        <f>SUM(D750:D758)</f>
        <v>4</v>
      </c>
      <c r="E759" s="31">
        <f>SUM(B759:D759)</f>
        <v>11</v>
      </c>
      <c r="F759" s="28">
        <f>SUM(F750:F758)</f>
        <v>4</v>
      </c>
      <c r="G759" s="29">
        <f>SUM(G750:G758)</f>
        <v>4</v>
      </c>
      <c r="H759" s="30">
        <f>SUM(H750:H758)</f>
        <v>4</v>
      </c>
      <c r="I759" s="31">
        <f>SUM(F759:H759)</f>
        <v>12</v>
      </c>
      <c r="J759" s="31">
        <f>E759+I759</f>
        <v>23</v>
      </c>
      <c r="L759" s="35" t="s">
        <v>15</v>
      </c>
      <c r="M759" s="28">
        <f>SUM(M750:M758)</f>
        <v>208</v>
      </c>
      <c r="N759" s="29">
        <f>SUM(N750:N758)</f>
        <v>207</v>
      </c>
      <c r="O759" s="30">
        <f>SUM(O750:O758)</f>
        <v>144</v>
      </c>
      <c r="P759" s="31">
        <f>SUM(M759:O759)</f>
        <v>559</v>
      </c>
      <c r="Q759" s="28">
        <f>SUM(Q750:Q758)</f>
        <v>208</v>
      </c>
      <c r="R759" s="29">
        <f>SUM(R750:R758)</f>
        <v>207</v>
      </c>
      <c r="S759" s="30">
        <f>SUM(S750:S758)</f>
        <v>144</v>
      </c>
      <c r="T759" s="31">
        <f>SUM(Q759:S759)</f>
        <v>559</v>
      </c>
      <c r="U759" s="31">
        <f>P759+T759</f>
        <v>1118</v>
      </c>
    </row>
    <row r="760" spans="1:23" x14ac:dyDescent="0.15">
      <c r="A760" s="26" t="s">
        <v>746</v>
      </c>
      <c r="B760" s="13"/>
      <c r="C760" s="14">
        <v>1</v>
      </c>
      <c r="D760" s="15"/>
      <c r="E760" s="49">
        <f>SUM(B760:D760)</f>
        <v>1</v>
      </c>
      <c r="F760" s="16"/>
      <c r="G760" s="14">
        <v>1</v>
      </c>
      <c r="H760" s="15"/>
      <c r="I760" s="49">
        <f>SUM(F760:H760)</f>
        <v>1</v>
      </c>
      <c r="J760" s="11">
        <f>E760+I760</f>
        <v>2</v>
      </c>
      <c r="K760" s="64">
        <v>44912</v>
      </c>
      <c r="L760" s="26" t="s">
        <v>736</v>
      </c>
      <c r="M760" s="8">
        <v>6</v>
      </c>
      <c r="N760" s="9">
        <v>2</v>
      </c>
      <c r="O760" s="52">
        <v>3</v>
      </c>
      <c r="P760" s="87">
        <f t="shared" ref="P760:P775" si="706">SUM(M760:O760)</f>
        <v>11</v>
      </c>
      <c r="Q760" s="12">
        <v>6</v>
      </c>
      <c r="R760" s="9">
        <v>2</v>
      </c>
      <c r="S760" s="10">
        <v>3</v>
      </c>
      <c r="T760" s="49">
        <f t="shared" ref="T760:T775" si="707">SUM(Q760:S760)</f>
        <v>11</v>
      </c>
      <c r="U760" s="11">
        <f t="shared" ref="U760:U775" si="708">P760+T760</f>
        <v>22</v>
      </c>
      <c r="V760" s="98">
        <v>44904</v>
      </c>
      <c r="W760" s="66"/>
    </row>
    <row r="761" spans="1:23" x14ac:dyDescent="0.15">
      <c r="A761" s="26" t="s">
        <v>761</v>
      </c>
      <c r="B761" s="8"/>
      <c r="C761" s="9"/>
      <c r="D761" s="10">
        <v>1</v>
      </c>
      <c r="E761" s="49">
        <f t="shared" ref="E761" si="709">SUM(B761:D761)</f>
        <v>1</v>
      </c>
      <c r="F761" s="12"/>
      <c r="G761" s="9"/>
      <c r="H761" s="10">
        <v>1</v>
      </c>
      <c r="I761" s="49">
        <f t="shared" ref="I761" si="710">SUM(F761:H761)</f>
        <v>1</v>
      </c>
      <c r="J761" s="11">
        <f t="shared" ref="J761" si="711">E761+I761</f>
        <v>2</v>
      </c>
      <c r="K761" s="62">
        <v>44942</v>
      </c>
      <c r="L761" s="26" t="s">
        <v>738</v>
      </c>
      <c r="M761" s="8">
        <v>6</v>
      </c>
      <c r="N761" s="9">
        <v>4</v>
      </c>
      <c r="O761" s="52">
        <v>3</v>
      </c>
      <c r="P761" s="87">
        <f t="shared" si="706"/>
        <v>13</v>
      </c>
      <c r="Q761" s="12">
        <v>6</v>
      </c>
      <c r="R761" s="9">
        <v>4</v>
      </c>
      <c r="S761" s="10">
        <v>3</v>
      </c>
      <c r="T761" s="49">
        <f t="shared" si="707"/>
        <v>13</v>
      </c>
      <c r="U761" s="11">
        <f t="shared" si="708"/>
        <v>26</v>
      </c>
      <c r="V761" s="98">
        <v>44907</v>
      </c>
    </row>
    <row r="762" spans="1:23" x14ac:dyDescent="0.15">
      <c r="A762" s="26" t="s">
        <v>770</v>
      </c>
      <c r="B762" s="8"/>
      <c r="C762" s="9"/>
      <c r="D762" s="10">
        <v>1</v>
      </c>
      <c r="E762" s="49">
        <f t="shared" ref="E762" si="712">SUM(B762:D762)</f>
        <v>1</v>
      </c>
      <c r="F762" s="12"/>
      <c r="G762" s="9"/>
      <c r="H762" s="10">
        <v>1</v>
      </c>
      <c r="I762" s="49">
        <f t="shared" ref="I762" si="713">SUM(F762:H762)</f>
        <v>1</v>
      </c>
      <c r="J762" s="11">
        <f t="shared" ref="J762" si="714">E762+I762</f>
        <v>2</v>
      </c>
      <c r="K762" s="62">
        <v>44945</v>
      </c>
      <c r="L762" s="26" t="s">
        <v>742</v>
      </c>
      <c r="M762" s="8"/>
      <c r="N762" s="9">
        <v>3</v>
      </c>
      <c r="O762" s="52">
        <v>3</v>
      </c>
      <c r="P762" s="87">
        <f t="shared" si="706"/>
        <v>6</v>
      </c>
      <c r="Q762" s="12"/>
      <c r="R762" s="9">
        <v>3</v>
      </c>
      <c r="S762" s="10">
        <v>3</v>
      </c>
      <c r="T762" s="49">
        <f t="shared" si="707"/>
        <v>6</v>
      </c>
      <c r="U762" s="11">
        <f t="shared" si="708"/>
        <v>12</v>
      </c>
      <c r="V762" s="98">
        <v>44908</v>
      </c>
    </row>
    <row r="763" spans="1:23" x14ac:dyDescent="0.15">
      <c r="A763" s="26"/>
      <c r="B763" s="13"/>
      <c r="C763" s="14"/>
      <c r="D763" s="15"/>
      <c r="E763" s="49">
        <f>SUM(B763:D763)</f>
        <v>0</v>
      </c>
      <c r="F763" s="16"/>
      <c r="G763" s="14"/>
      <c r="H763" s="15"/>
      <c r="I763" s="49">
        <f>SUM(F763:H763)</f>
        <v>0</v>
      </c>
      <c r="J763" s="11">
        <f>E763+I763</f>
        <v>0</v>
      </c>
      <c r="K763" s="64"/>
      <c r="L763" s="26" t="s">
        <v>744</v>
      </c>
      <c r="M763" s="8"/>
      <c r="N763" s="9">
        <v>4</v>
      </c>
      <c r="O763" s="52"/>
      <c r="P763" s="87">
        <f t="shared" si="706"/>
        <v>4</v>
      </c>
      <c r="Q763" s="12"/>
      <c r="R763" s="9">
        <v>4</v>
      </c>
      <c r="S763" s="10"/>
      <c r="T763" s="49">
        <f t="shared" si="707"/>
        <v>4</v>
      </c>
      <c r="U763" s="11">
        <f t="shared" si="708"/>
        <v>8</v>
      </c>
      <c r="V763" s="98">
        <v>44910</v>
      </c>
    </row>
    <row r="764" spans="1:23" x14ac:dyDescent="0.15">
      <c r="A764" s="26"/>
      <c r="B764" s="8"/>
      <c r="C764" s="9"/>
      <c r="D764" s="10"/>
      <c r="E764" s="49">
        <f t="shared" ref="E764:E786" si="715">SUM(B764:D764)</f>
        <v>0</v>
      </c>
      <c r="F764" s="12"/>
      <c r="G764" s="9"/>
      <c r="H764" s="10"/>
      <c r="I764" s="49">
        <f t="shared" ref="I764:I786" si="716">SUM(F764:H764)</f>
        <v>0</v>
      </c>
      <c r="J764" s="11">
        <f t="shared" ref="J764:J785" si="717">E764+I764</f>
        <v>0</v>
      </c>
      <c r="L764" s="26" t="s">
        <v>745</v>
      </c>
      <c r="M764" s="8"/>
      <c r="N764" s="9"/>
      <c r="O764" s="52">
        <v>2</v>
      </c>
      <c r="P764" s="87">
        <f t="shared" si="706"/>
        <v>2</v>
      </c>
      <c r="Q764" s="12"/>
      <c r="R764" s="9"/>
      <c r="S764" s="10">
        <v>2</v>
      </c>
      <c r="T764" s="49">
        <f t="shared" si="707"/>
        <v>2</v>
      </c>
      <c r="U764" s="11">
        <f t="shared" si="708"/>
        <v>4</v>
      </c>
      <c r="V764" s="98">
        <v>44914</v>
      </c>
    </row>
    <row r="765" spans="1:23" x14ac:dyDescent="0.15">
      <c r="A765" s="26"/>
      <c r="B765" s="8"/>
      <c r="C765" s="9"/>
      <c r="D765" s="10"/>
      <c r="E765" s="49">
        <f t="shared" si="715"/>
        <v>0</v>
      </c>
      <c r="F765" s="12"/>
      <c r="G765" s="9"/>
      <c r="H765" s="10"/>
      <c r="I765" s="49">
        <f t="shared" si="716"/>
        <v>0</v>
      </c>
      <c r="J765" s="11">
        <f t="shared" si="717"/>
        <v>0</v>
      </c>
      <c r="L765" s="26" t="s">
        <v>747</v>
      </c>
      <c r="M765" s="8">
        <v>2</v>
      </c>
      <c r="N765" s="9"/>
      <c r="O765" s="52"/>
      <c r="P765" s="87">
        <f t="shared" ref="P765" si="718">SUM(M765:O765)</f>
        <v>2</v>
      </c>
      <c r="Q765" s="12">
        <v>2</v>
      </c>
      <c r="R765" s="9"/>
      <c r="S765" s="10"/>
      <c r="T765" s="49">
        <f t="shared" ref="T765" si="719">SUM(Q765:S765)</f>
        <v>2</v>
      </c>
      <c r="U765" s="11">
        <f t="shared" ref="U765" si="720">P765+T765</f>
        <v>4</v>
      </c>
      <c r="V765" s="98">
        <v>44915</v>
      </c>
    </row>
    <row r="766" spans="1:23" x14ac:dyDescent="0.15">
      <c r="A766" s="26"/>
      <c r="B766" s="8"/>
      <c r="C766" s="9"/>
      <c r="D766" s="10"/>
      <c r="E766" s="49">
        <f t="shared" si="715"/>
        <v>0</v>
      </c>
      <c r="F766" s="12"/>
      <c r="G766" s="9"/>
      <c r="H766" s="10"/>
      <c r="I766" s="49">
        <f t="shared" si="716"/>
        <v>0</v>
      </c>
      <c r="J766" s="11">
        <f t="shared" si="717"/>
        <v>0</v>
      </c>
      <c r="L766" s="26" t="s">
        <v>748</v>
      </c>
      <c r="M766" s="8"/>
      <c r="N766" s="9"/>
      <c r="O766" s="52">
        <v>2</v>
      </c>
      <c r="P766" s="87">
        <f t="shared" si="706"/>
        <v>2</v>
      </c>
      <c r="Q766" s="12"/>
      <c r="R766" s="9"/>
      <c r="S766" s="10">
        <v>2</v>
      </c>
      <c r="T766" s="49">
        <f t="shared" si="707"/>
        <v>2</v>
      </c>
      <c r="U766" s="11">
        <f t="shared" si="708"/>
        <v>4</v>
      </c>
      <c r="V766" s="98">
        <v>44916</v>
      </c>
    </row>
    <row r="767" spans="1:23" x14ac:dyDescent="0.15">
      <c r="A767" s="26"/>
      <c r="B767" s="8"/>
      <c r="C767" s="9"/>
      <c r="D767" s="10"/>
      <c r="E767" s="49">
        <f t="shared" si="715"/>
        <v>0</v>
      </c>
      <c r="F767" s="12"/>
      <c r="G767" s="9"/>
      <c r="H767" s="10"/>
      <c r="I767" s="49">
        <f t="shared" si="716"/>
        <v>0</v>
      </c>
      <c r="J767" s="11">
        <f t="shared" si="717"/>
        <v>0</v>
      </c>
      <c r="L767" s="26" t="s">
        <v>749</v>
      </c>
      <c r="M767" s="8"/>
      <c r="N767" s="9"/>
      <c r="O767" s="52">
        <v>1</v>
      </c>
      <c r="P767" s="87">
        <f t="shared" si="706"/>
        <v>1</v>
      </c>
      <c r="Q767" s="12"/>
      <c r="R767" s="9"/>
      <c r="S767" s="10">
        <v>1</v>
      </c>
      <c r="T767" s="49">
        <f t="shared" si="707"/>
        <v>1</v>
      </c>
      <c r="U767" s="11">
        <f t="shared" si="708"/>
        <v>2</v>
      </c>
      <c r="V767" s="98">
        <v>44921</v>
      </c>
    </row>
    <row r="768" spans="1:23" x14ac:dyDescent="0.15">
      <c r="A768" s="26"/>
      <c r="B768" s="8"/>
      <c r="C768" s="9"/>
      <c r="D768" s="10"/>
      <c r="E768" s="49">
        <f t="shared" si="715"/>
        <v>0</v>
      </c>
      <c r="F768" s="12"/>
      <c r="G768" s="9"/>
      <c r="H768" s="10"/>
      <c r="I768" s="49">
        <f t="shared" si="716"/>
        <v>0</v>
      </c>
      <c r="J768" s="11">
        <f t="shared" si="717"/>
        <v>0</v>
      </c>
      <c r="L768" s="26" t="s">
        <v>750</v>
      </c>
      <c r="M768" s="8"/>
      <c r="N768" s="9">
        <v>1</v>
      </c>
      <c r="O768" s="52"/>
      <c r="P768" s="87">
        <f t="shared" si="706"/>
        <v>1</v>
      </c>
      <c r="Q768" s="12"/>
      <c r="R768" s="9">
        <v>1</v>
      </c>
      <c r="S768" s="10"/>
      <c r="T768" s="49">
        <f t="shared" si="707"/>
        <v>1</v>
      </c>
      <c r="U768" s="11">
        <f t="shared" si="708"/>
        <v>2</v>
      </c>
      <c r="V768" s="98">
        <v>44923</v>
      </c>
    </row>
    <row r="769" spans="1:23" x14ac:dyDescent="0.15">
      <c r="A769" s="26"/>
      <c r="B769" s="13"/>
      <c r="C769" s="14"/>
      <c r="D769" s="15"/>
      <c r="E769" s="49">
        <f t="shared" si="715"/>
        <v>0</v>
      </c>
      <c r="F769" s="16"/>
      <c r="G769" s="14"/>
      <c r="H769" s="15"/>
      <c r="I769" s="49">
        <f t="shared" si="716"/>
        <v>0</v>
      </c>
      <c r="J769" s="11">
        <f t="shared" si="717"/>
        <v>0</v>
      </c>
      <c r="L769" s="26" t="s">
        <v>751</v>
      </c>
      <c r="M769" s="13"/>
      <c r="N769" s="14">
        <v>1</v>
      </c>
      <c r="O769" s="53">
        <v>1</v>
      </c>
      <c r="P769" s="87">
        <f t="shared" si="706"/>
        <v>2</v>
      </c>
      <c r="Q769" s="16"/>
      <c r="R769" s="14">
        <v>1</v>
      </c>
      <c r="S769" s="15">
        <v>1</v>
      </c>
      <c r="T769" s="49">
        <f t="shared" si="707"/>
        <v>2</v>
      </c>
      <c r="U769" s="11">
        <f t="shared" si="708"/>
        <v>4</v>
      </c>
      <c r="V769" s="98">
        <v>44932</v>
      </c>
      <c r="W769" s="66"/>
    </row>
    <row r="770" spans="1:23" x14ac:dyDescent="0.15">
      <c r="A770" s="26"/>
      <c r="B770" s="8"/>
      <c r="C770" s="9"/>
      <c r="D770" s="10"/>
      <c r="E770" s="49">
        <f t="shared" si="715"/>
        <v>0</v>
      </c>
      <c r="F770" s="12"/>
      <c r="G770" s="9"/>
      <c r="H770" s="10"/>
      <c r="I770" s="49">
        <f t="shared" si="716"/>
        <v>0</v>
      </c>
      <c r="J770" s="11">
        <f t="shared" si="717"/>
        <v>0</v>
      </c>
      <c r="L770" s="26" t="s">
        <v>753</v>
      </c>
      <c r="M770" s="8">
        <v>12</v>
      </c>
      <c r="N770" s="9">
        <v>12</v>
      </c>
      <c r="O770" s="52">
        <v>5</v>
      </c>
      <c r="P770" s="87">
        <f t="shared" si="706"/>
        <v>29</v>
      </c>
      <c r="Q770" s="12">
        <v>12</v>
      </c>
      <c r="R770" s="9">
        <v>12</v>
      </c>
      <c r="S770" s="10">
        <v>5</v>
      </c>
      <c r="T770" s="49">
        <f t="shared" si="707"/>
        <v>29</v>
      </c>
      <c r="U770" s="11">
        <f t="shared" si="708"/>
        <v>58</v>
      </c>
      <c r="V770" s="98">
        <v>44936</v>
      </c>
      <c r="W770" s="66"/>
    </row>
    <row r="771" spans="1:23" x14ac:dyDescent="0.15">
      <c r="A771" s="26"/>
      <c r="B771" s="8"/>
      <c r="C771" s="9"/>
      <c r="D771" s="10"/>
      <c r="E771" s="49">
        <f t="shared" si="715"/>
        <v>0</v>
      </c>
      <c r="F771" s="12"/>
      <c r="G771" s="9"/>
      <c r="H771" s="10"/>
      <c r="I771" s="49">
        <f t="shared" si="716"/>
        <v>0</v>
      </c>
      <c r="J771" s="11">
        <f t="shared" si="717"/>
        <v>0</v>
      </c>
      <c r="L771" s="26" t="s">
        <v>752</v>
      </c>
      <c r="M771" s="8"/>
      <c r="N771" s="9"/>
      <c r="O771" s="52">
        <v>1</v>
      </c>
      <c r="P771" s="87">
        <f t="shared" si="706"/>
        <v>1</v>
      </c>
      <c r="Q771" s="12"/>
      <c r="R771" s="9"/>
      <c r="S771" s="10">
        <v>1</v>
      </c>
      <c r="T771" s="49">
        <f t="shared" si="707"/>
        <v>1</v>
      </c>
      <c r="U771" s="11">
        <f t="shared" si="708"/>
        <v>2</v>
      </c>
      <c r="V771" s="98">
        <v>44936</v>
      </c>
    </row>
    <row r="772" spans="1:23" x14ac:dyDescent="0.15">
      <c r="A772" s="26"/>
      <c r="B772" s="8"/>
      <c r="C772" s="9"/>
      <c r="D772" s="10"/>
      <c r="E772" s="49">
        <f t="shared" si="715"/>
        <v>0</v>
      </c>
      <c r="F772" s="12"/>
      <c r="G772" s="9"/>
      <c r="H772" s="10"/>
      <c r="I772" s="49">
        <f t="shared" si="716"/>
        <v>0</v>
      </c>
      <c r="J772" s="11">
        <f t="shared" si="717"/>
        <v>0</v>
      </c>
      <c r="L772" s="26" t="s">
        <v>754</v>
      </c>
      <c r="M772" s="8">
        <v>1</v>
      </c>
      <c r="N772" s="9">
        <v>1</v>
      </c>
      <c r="O772" s="52">
        <v>1</v>
      </c>
      <c r="P772" s="87">
        <f t="shared" si="706"/>
        <v>3</v>
      </c>
      <c r="Q772" s="12">
        <v>1</v>
      </c>
      <c r="R772" s="9">
        <v>1</v>
      </c>
      <c r="S772" s="10">
        <v>1</v>
      </c>
      <c r="T772" s="49">
        <f t="shared" si="707"/>
        <v>3</v>
      </c>
      <c r="U772" s="11">
        <f t="shared" si="708"/>
        <v>6</v>
      </c>
      <c r="V772" s="98">
        <v>44937</v>
      </c>
    </row>
    <row r="773" spans="1:23" x14ac:dyDescent="0.15">
      <c r="A773" s="26"/>
      <c r="B773" s="8"/>
      <c r="C773" s="9"/>
      <c r="D773" s="10"/>
      <c r="E773" s="49">
        <f t="shared" si="715"/>
        <v>0</v>
      </c>
      <c r="F773" s="12"/>
      <c r="G773" s="9"/>
      <c r="H773" s="10"/>
      <c r="I773" s="49">
        <f t="shared" si="716"/>
        <v>0</v>
      </c>
      <c r="J773" s="11">
        <f t="shared" si="717"/>
        <v>0</v>
      </c>
      <c r="L773" s="26" t="s">
        <v>758</v>
      </c>
      <c r="M773" s="8"/>
      <c r="N773" s="9">
        <v>1</v>
      </c>
      <c r="O773" s="52"/>
      <c r="P773" s="87">
        <f t="shared" si="706"/>
        <v>1</v>
      </c>
      <c r="Q773" s="12"/>
      <c r="R773" s="9">
        <v>1</v>
      </c>
      <c r="S773" s="10"/>
      <c r="T773" s="49">
        <f t="shared" si="707"/>
        <v>1</v>
      </c>
      <c r="U773" s="11">
        <f t="shared" si="708"/>
        <v>2</v>
      </c>
      <c r="V773" s="98">
        <v>44938</v>
      </c>
    </row>
    <row r="774" spans="1:23" x14ac:dyDescent="0.15">
      <c r="A774" s="26"/>
      <c r="B774" s="8"/>
      <c r="C774" s="9"/>
      <c r="D774" s="10"/>
      <c r="E774" s="49">
        <f t="shared" si="715"/>
        <v>0</v>
      </c>
      <c r="F774" s="12"/>
      <c r="G774" s="9"/>
      <c r="H774" s="10"/>
      <c r="I774" s="49">
        <f t="shared" si="716"/>
        <v>0</v>
      </c>
      <c r="J774" s="11">
        <f t="shared" si="717"/>
        <v>0</v>
      </c>
      <c r="L774" s="26" t="s">
        <v>759</v>
      </c>
      <c r="M774" s="8">
        <v>5</v>
      </c>
      <c r="N774" s="9"/>
      <c r="O774" s="52"/>
      <c r="P774" s="87">
        <f t="shared" si="706"/>
        <v>5</v>
      </c>
      <c r="Q774" s="12">
        <v>5</v>
      </c>
      <c r="R774" s="9"/>
      <c r="S774" s="10"/>
      <c r="T774" s="49">
        <f t="shared" si="707"/>
        <v>5</v>
      </c>
      <c r="U774" s="11">
        <f t="shared" si="708"/>
        <v>10</v>
      </c>
      <c r="V774" s="98">
        <v>44938</v>
      </c>
    </row>
    <row r="775" spans="1:23" x14ac:dyDescent="0.15">
      <c r="A775" s="26"/>
      <c r="B775" s="8"/>
      <c r="C775" s="9"/>
      <c r="D775" s="10"/>
      <c r="E775" s="49">
        <f t="shared" si="715"/>
        <v>0</v>
      </c>
      <c r="F775" s="12"/>
      <c r="G775" s="9"/>
      <c r="H775" s="10"/>
      <c r="I775" s="49">
        <f t="shared" si="716"/>
        <v>0</v>
      </c>
      <c r="J775" s="11">
        <f t="shared" si="717"/>
        <v>0</v>
      </c>
      <c r="L775" s="26" t="s">
        <v>762</v>
      </c>
      <c r="M775" s="8">
        <v>1</v>
      </c>
      <c r="N775" s="9"/>
      <c r="O775" s="52"/>
      <c r="P775" s="87">
        <f t="shared" si="706"/>
        <v>1</v>
      </c>
      <c r="Q775" s="12">
        <v>1</v>
      </c>
      <c r="R775" s="9"/>
      <c r="S775" s="10"/>
      <c r="T775" s="49">
        <f t="shared" si="707"/>
        <v>1</v>
      </c>
      <c r="U775" s="11">
        <f t="shared" si="708"/>
        <v>2</v>
      </c>
      <c r="V775" s="98">
        <v>44943</v>
      </c>
    </row>
    <row r="776" spans="1:23" x14ac:dyDescent="0.15">
      <c r="A776" s="26"/>
      <c r="B776" s="8"/>
      <c r="C776" s="9"/>
      <c r="D776" s="10"/>
      <c r="E776" s="49">
        <f t="shared" si="715"/>
        <v>0</v>
      </c>
      <c r="F776" s="12"/>
      <c r="G776" s="9"/>
      <c r="H776" s="10"/>
      <c r="I776" s="49">
        <f t="shared" si="716"/>
        <v>0</v>
      </c>
      <c r="J776" s="11">
        <f t="shared" si="717"/>
        <v>0</v>
      </c>
      <c r="L776" s="142" t="s">
        <v>765</v>
      </c>
      <c r="M776" s="8"/>
      <c r="N776" s="9">
        <v>2</v>
      </c>
      <c r="O776" s="52"/>
      <c r="P776" s="87">
        <f>SUM(M776:O776)</f>
        <v>2</v>
      </c>
      <c r="Q776" s="12"/>
      <c r="R776" s="9">
        <v>2</v>
      </c>
      <c r="S776" s="10"/>
      <c r="T776" s="49">
        <f>SUM(Q776:S776)</f>
        <v>2</v>
      </c>
      <c r="U776" s="11">
        <f>P776+T776</f>
        <v>4</v>
      </c>
      <c r="V776" s="98">
        <v>44944</v>
      </c>
    </row>
    <row r="777" spans="1:23" x14ac:dyDescent="0.15">
      <c r="A777" s="24"/>
      <c r="B777" s="8"/>
      <c r="C777" s="9"/>
      <c r="D777" s="10"/>
      <c r="E777" s="49">
        <f t="shared" si="715"/>
        <v>0</v>
      </c>
      <c r="F777" s="12"/>
      <c r="G777" s="9"/>
      <c r="H777" s="10"/>
      <c r="I777" s="49">
        <f t="shared" si="716"/>
        <v>0</v>
      </c>
      <c r="J777" s="11">
        <f t="shared" si="717"/>
        <v>0</v>
      </c>
      <c r="L777" s="26" t="s">
        <v>766</v>
      </c>
      <c r="M777" s="8">
        <v>1</v>
      </c>
      <c r="N777" s="9"/>
      <c r="O777" s="52"/>
      <c r="P777" s="87">
        <f t="shared" ref="P777:P778" si="721">SUM(M777:O777)</f>
        <v>1</v>
      </c>
      <c r="Q777" s="12">
        <v>1</v>
      </c>
      <c r="R777" s="9"/>
      <c r="S777" s="10"/>
      <c r="T777" s="49">
        <f t="shared" ref="T777:T778" si="722">SUM(Q777:S777)</f>
        <v>1</v>
      </c>
      <c r="U777" s="11">
        <f t="shared" ref="U777:U778" si="723">P777+T777</f>
        <v>2</v>
      </c>
      <c r="V777" s="98">
        <v>44944</v>
      </c>
    </row>
    <row r="778" spans="1:23" x14ac:dyDescent="0.15">
      <c r="A778" s="25"/>
      <c r="B778" s="8"/>
      <c r="C778" s="9"/>
      <c r="D778" s="10"/>
      <c r="E778" s="49">
        <f t="shared" si="715"/>
        <v>0</v>
      </c>
      <c r="F778" s="12"/>
      <c r="G778" s="9"/>
      <c r="H778" s="10"/>
      <c r="I778" s="49">
        <f t="shared" si="716"/>
        <v>0</v>
      </c>
      <c r="J778" s="11">
        <f t="shared" si="717"/>
        <v>0</v>
      </c>
      <c r="L778" s="26" t="s">
        <v>768</v>
      </c>
      <c r="M778" s="8">
        <v>2</v>
      </c>
      <c r="N778" s="9">
        <v>2</v>
      </c>
      <c r="O778" s="52"/>
      <c r="P778" s="87">
        <f t="shared" si="721"/>
        <v>4</v>
      </c>
      <c r="Q778" s="12">
        <v>2</v>
      </c>
      <c r="R778" s="9">
        <v>2</v>
      </c>
      <c r="S778" s="10"/>
      <c r="T778" s="49">
        <f t="shared" si="722"/>
        <v>4</v>
      </c>
      <c r="U778" s="11">
        <f t="shared" si="723"/>
        <v>8</v>
      </c>
      <c r="V778" s="98">
        <v>44945</v>
      </c>
    </row>
    <row r="779" spans="1:23" x14ac:dyDescent="0.15">
      <c r="A779" s="26"/>
      <c r="B779" s="8"/>
      <c r="C779" s="9"/>
      <c r="D779" s="10"/>
      <c r="E779" s="49">
        <f t="shared" si="715"/>
        <v>0</v>
      </c>
      <c r="F779" s="12"/>
      <c r="G779" s="9"/>
      <c r="H779" s="10"/>
      <c r="I779" s="49">
        <f t="shared" si="716"/>
        <v>0</v>
      </c>
      <c r="J779" s="11">
        <f t="shared" si="717"/>
        <v>0</v>
      </c>
      <c r="L779" s="26" t="s">
        <v>771</v>
      </c>
      <c r="M779" s="13">
        <v>4</v>
      </c>
      <c r="N779" s="14">
        <v>9</v>
      </c>
      <c r="O779" s="53"/>
      <c r="P779" s="87">
        <f>SUM(M779:O779)</f>
        <v>13</v>
      </c>
      <c r="Q779" s="16">
        <v>4</v>
      </c>
      <c r="R779" s="14">
        <v>9</v>
      </c>
      <c r="S779" s="15"/>
      <c r="T779" s="49">
        <f>SUM(Q779:S779)</f>
        <v>13</v>
      </c>
      <c r="U779" s="11">
        <f>P779+T779</f>
        <v>26</v>
      </c>
      <c r="V779" s="98">
        <v>44946</v>
      </c>
    </row>
    <row r="780" spans="1:23" x14ac:dyDescent="0.15">
      <c r="A780" s="24"/>
      <c r="B780" s="8"/>
      <c r="C780" s="9"/>
      <c r="D780" s="10"/>
      <c r="E780" s="49">
        <f t="shared" si="715"/>
        <v>0</v>
      </c>
      <c r="F780" s="12"/>
      <c r="G780" s="9"/>
      <c r="H780" s="10"/>
      <c r="I780" s="49">
        <f t="shared" si="716"/>
        <v>0</v>
      </c>
      <c r="J780" s="11">
        <f t="shared" si="717"/>
        <v>0</v>
      </c>
      <c r="L780" s="26" t="s">
        <v>772</v>
      </c>
      <c r="M780" s="8"/>
      <c r="N780" s="9">
        <v>1</v>
      </c>
      <c r="O780" s="52"/>
      <c r="P780" s="87">
        <f t="shared" ref="P780:P786" si="724">SUM(M780:O780)</f>
        <v>1</v>
      </c>
      <c r="Q780" s="12"/>
      <c r="R780" s="9">
        <v>1</v>
      </c>
      <c r="S780" s="10"/>
      <c r="T780" s="49">
        <f t="shared" ref="T780:T786" si="725">SUM(Q780:S780)</f>
        <v>1</v>
      </c>
      <c r="U780" s="11">
        <f t="shared" ref="U780:U781" si="726">P780+T780</f>
        <v>2</v>
      </c>
      <c r="V780" s="98">
        <v>44949</v>
      </c>
    </row>
    <row r="781" spans="1:23" x14ac:dyDescent="0.15">
      <c r="B781" s="13"/>
      <c r="C781" s="14"/>
      <c r="D781" s="15"/>
      <c r="E781" s="49">
        <f t="shared" si="715"/>
        <v>0</v>
      </c>
      <c r="F781" s="16"/>
      <c r="G781" s="14"/>
      <c r="H781" s="15"/>
      <c r="I781" s="49">
        <f t="shared" si="716"/>
        <v>0</v>
      </c>
      <c r="J781" s="11">
        <f t="shared" si="717"/>
        <v>0</v>
      </c>
      <c r="L781" s="26" t="s">
        <v>777</v>
      </c>
      <c r="M781" s="8">
        <v>12</v>
      </c>
      <c r="N781" s="9">
        <v>7</v>
      </c>
      <c r="O781" s="52">
        <v>7</v>
      </c>
      <c r="P781" s="87">
        <f t="shared" si="724"/>
        <v>26</v>
      </c>
      <c r="Q781" s="12">
        <v>12</v>
      </c>
      <c r="R781" s="9">
        <v>7</v>
      </c>
      <c r="S781" s="10">
        <v>7</v>
      </c>
      <c r="T781" s="49">
        <f t="shared" si="725"/>
        <v>26</v>
      </c>
      <c r="U781" s="11">
        <f t="shared" si="726"/>
        <v>52</v>
      </c>
      <c r="V781" s="98">
        <v>44949</v>
      </c>
    </row>
    <row r="782" spans="1:23" x14ac:dyDescent="0.15">
      <c r="A782" s="26"/>
      <c r="B782" s="8"/>
      <c r="C782" s="9"/>
      <c r="D782" s="10"/>
      <c r="E782" s="49">
        <f t="shared" si="715"/>
        <v>0</v>
      </c>
      <c r="F782" s="12"/>
      <c r="G782" s="9"/>
      <c r="H782" s="10"/>
      <c r="I782" s="49">
        <f t="shared" si="716"/>
        <v>0</v>
      </c>
      <c r="J782" s="11">
        <f t="shared" si="717"/>
        <v>0</v>
      </c>
      <c r="L782" s="26" t="s">
        <v>778</v>
      </c>
      <c r="M782" s="8">
        <v>1</v>
      </c>
      <c r="N782" s="9"/>
      <c r="O782" s="52"/>
      <c r="P782" s="87">
        <f t="shared" ref="P782" si="727">SUM(M782:O782)</f>
        <v>1</v>
      </c>
      <c r="Q782" s="12">
        <v>1</v>
      </c>
      <c r="R782" s="9"/>
      <c r="S782" s="10"/>
      <c r="T782" s="49">
        <f t="shared" ref="T782" si="728">SUM(Q782:S782)</f>
        <v>1</v>
      </c>
      <c r="U782" s="11">
        <f t="shared" ref="U782" si="729">P782+T782</f>
        <v>2</v>
      </c>
      <c r="V782" s="98">
        <v>44951</v>
      </c>
    </row>
    <row r="783" spans="1:23" x14ac:dyDescent="0.15">
      <c r="A783" s="26"/>
      <c r="B783" s="8"/>
      <c r="C783" s="9"/>
      <c r="D783" s="10"/>
      <c r="E783" s="49">
        <f t="shared" si="715"/>
        <v>0</v>
      </c>
      <c r="F783" s="12"/>
      <c r="G783" s="9"/>
      <c r="H783" s="10"/>
      <c r="I783" s="49">
        <f t="shared" si="716"/>
        <v>0</v>
      </c>
      <c r="J783" s="11">
        <f t="shared" si="717"/>
        <v>0</v>
      </c>
      <c r="L783" s="86"/>
      <c r="M783" s="8"/>
      <c r="N783" s="9"/>
      <c r="O783" s="52"/>
      <c r="P783" s="87">
        <f t="shared" ref="P783" si="730">SUM(M783:O783)</f>
        <v>0</v>
      </c>
      <c r="Q783" s="12"/>
      <c r="R783" s="9"/>
      <c r="S783" s="10"/>
      <c r="T783" s="49">
        <f t="shared" ref="T783" si="731">SUM(Q783:S783)</f>
        <v>0</v>
      </c>
      <c r="U783" s="11">
        <f t="shared" ref="U783" si="732">P783+T783</f>
        <v>0</v>
      </c>
      <c r="V783" s="98"/>
    </row>
    <row r="784" spans="1:23" x14ac:dyDescent="0.15">
      <c r="A784" s="26"/>
      <c r="B784" s="8"/>
      <c r="C784" s="9"/>
      <c r="D784" s="10"/>
      <c r="E784" s="49">
        <f t="shared" si="715"/>
        <v>0</v>
      </c>
      <c r="F784" s="12"/>
      <c r="G784" s="9"/>
      <c r="H784" s="10"/>
      <c r="I784" s="49">
        <f t="shared" si="716"/>
        <v>0</v>
      </c>
      <c r="J784" s="11">
        <f t="shared" si="717"/>
        <v>0</v>
      </c>
      <c r="L784" s="86" t="s">
        <v>740</v>
      </c>
      <c r="M784" s="8"/>
      <c r="N784" s="9"/>
      <c r="O784" s="52"/>
      <c r="P784" s="87">
        <f t="shared" ref="P784:P785" si="733">SUM(M784:O784)</f>
        <v>0</v>
      </c>
      <c r="Q784" s="12"/>
      <c r="R784" s="9"/>
      <c r="S784" s="10"/>
      <c r="T784" s="49">
        <f t="shared" ref="T784:T785" si="734">SUM(Q784:S784)</f>
        <v>0</v>
      </c>
      <c r="U784" s="11">
        <f t="shared" ref="U784:U785" si="735">P784+T784</f>
        <v>0</v>
      </c>
      <c r="V784" s="98" t="s">
        <v>741</v>
      </c>
    </row>
    <row r="785" spans="1:22" ht="14.25" thickBot="1" x14ac:dyDescent="0.2">
      <c r="A785" s="26"/>
      <c r="B785" s="8"/>
      <c r="C785" s="9"/>
      <c r="D785" s="10"/>
      <c r="E785" s="49">
        <f t="shared" si="715"/>
        <v>0</v>
      </c>
      <c r="F785" s="12"/>
      <c r="G785" s="9"/>
      <c r="H785" s="10"/>
      <c r="I785" s="49">
        <f t="shared" si="716"/>
        <v>0</v>
      </c>
      <c r="J785" s="11">
        <f t="shared" si="717"/>
        <v>0</v>
      </c>
      <c r="L785" s="86" t="s">
        <v>767</v>
      </c>
      <c r="M785" s="8"/>
      <c r="N785" s="9"/>
      <c r="O785" s="52"/>
      <c r="P785" s="87">
        <f t="shared" si="733"/>
        <v>0</v>
      </c>
      <c r="Q785" s="8"/>
      <c r="R785" s="9"/>
      <c r="S785" s="52"/>
      <c r="T785" s="49">
        <f t="shared" si="734"/>
        <v>0</v>
      </c>
      <c r="U785" s="11">
        <f t="shared" si="735"/>
        <v>0</v>
      </c>
      <c r="V785" s="98">
        <v>44571</v>
      </c>
    </row>
    <row r="786" spans="1:22" ht="14.25" thickBot="1" x14ac:dyDescent="0.2">
      <c r="A786" s="41" t="s">
        <v>17</v>
      </c>
      <c r="B786" s="46">
        <f>SUM(B760:B785)</f>
        <v>0</v>
      </c>
      <c r="C786" s="47">
        <f t="shared" ref="C786:D786" si="736">SUM(C760:C785)</f>
        <v>1</v>
      </c>
      <c r="D786" s="58">
        <f t="shared" si="736"/>
        <v>2</v>
      </c>
      <c r="E786" s="45">
        <f t="shared" si="715"/>
        <v>3</v>
      </c>
      <c r="F786" s="46">
        <f>SUM(F760:F785)</f>
        <v>0</v>
      </c>
      <c r="G786" s="47">
        <f t="shared" ref="G786:H786" si="737">SUM(G760:G785)</f>
        <v>1</v>
      </c>
      <c r="H786" s="58">
        <f t="shared" si="737"/>
        <v>2</v>
      </c>
      <c r="I786" s="45">
        <f t="shared" si="716"/>
        <v>3</v>
      </c>
      <c r="J786" s="45">
        <f>E786+I786</f>
        <v>6</v>
      </c>
      <c r="L786" s="41" t="s">
        <v>17</v>
      </c>
      <c r="M786" s="46">
        <f>SUM(M760:M785)</f>
        <v>53</v>
      </c>
      <c r="N786" s="47">
        <f t="shared" ref="N786:O786" si="738">SUM(N760:N785)</f>
        <v>50</v>
      </c>
      <c r="O786" s="58">
        <f t="shared" si="738"/>
        <v>29</v>
      </c>
      <c r="P786" s="45">
        <f t="shared" si="724"/>
        <v>132</v>
      </c>
      <c r="Q786" s="46">
        <f>SUM(Q760:Q785)</f>
        <v>53</v>
      </c>
      <c r="R786" s="47">
        <f t="shared" ref="R786:S786" si="739">SUM(R760:R785)</f>
        <v>50</v>
      </c>
      <c r="S786" s="58">
        <f t="shared" si="739"/>
        <v>29</v>
      </c>
      <c r="T786" s="45">
        <f t="shared" si="725"/>
        <v>132</v>
      </c>
      <c r="U786" s="45">
        <f>P786+T786</f>
        <v>264</v>
      </c>
    </row>
    <row r="787" spans="1:22" ht="14.25" thickBot="1" x14ac:dyDescent="0.2">
      <c r="A787" s="22" t="s">
        <v>16</v>
      </c>
      <c r="B787" s="50">
        <f>B759-B786</f>
        <v>4</v>
      </c>
      <c r="C787" s="56">
        <f t="shared" ref="C787:D787" si="740">C759-C786</f>
        <v>2</v>
      </c>
      <c r="D787" s="57">
        <f t="shared" si="740"/>
        <v>2</v>
      </c>
      <c r="E787" s="55">
        <f>SUM(B787:D787)</f>
        <v>8</v>
      </c>
      <c r="F787" s="50">
        <f>F759-F786</f>
        <v>4</v>
      </c>
      <c r="G787" s="56">
        <f t="shared" ref="G787:H787" si="741">G759-G786</f>
        <v>3</v>
      </c>
      <c r="H787" s="57">
        <f t="shared" si="741"/>
        <v>2</v>
      </c>
      <c r="I787" s="55">
        <f>SUM(F787:H787)</f>
        <v>9</v>
      </c>
      <c r="J787" s="31">
        <f>E787+I787</f>
        <v>17</v>
      </c>
      <c r="L787" s="22" t="s">
        <v>16</v>
      </c>
      <c r="M787" s="50">
        <f>M759-M786</f>
        <v>155</v>
      </c>
      <c r="N787" s="56">
        <f t="shared" ref="N787:O787" si="742">N759-N786</f>
        <v>157</v>
      </c>
      <c r="O787" s="57">
        <f t="shared" si="742"/>
        <v>115</v>
      </c>
      <c r="P787" s="55">
        <f>SUM(M787:O787)</f>
        <v>427</v>
      </c>
      <c r="Q787" s="50">
        <f>Q759-Q786</f>
        <v>155</v>
      </c>
      <c r="R787" s="56">
        <f t="shared" ref="R787:S787" si="743">R759-R786</f>
        <v>157</v>
      </c>
      <c r="S787" s="57">
        <f t="shared" si="743"/>
        <v>115</v>
      </c>
      <c r="T787" s="55">
        <f>SUM(Q787:S787)</f>
        <v>427</v>
      </c>
      <c r="U787" s="31">
        <f>P787+T787</f>
        <v>854</v>
      </c>
    </row>
    <row r="790" spans="1:22" ht="19.5" thickBot="1" x14ac:dyDescent="0.25">
      <c r="A790" s="3" t="s">
        <v>678</v>
      </c>
      <c r="B790" s="1"/>
      <c r="C790" s="1"/>
      <c r="D790" s="1"/>
      <c r="E790" s="1"/>
      <c r="F790" s="1"/>
      <c r="G790" s="1"/>
      <c r="H790" s="1"/>
      <c r="I790" s="1"/>
      <c r="J790" s="1"/>
      <c r="L790" s="3" t="s">
        <v>677</v>
      </c>
      <c r="M790" s="1"/>
      <c r="N790" s="1"/>
      <c r="O790" s="1"/>
      <c r="P790" s="1"/>
      <c r="Q790" s="1"/>
      <c r="R790" s="1"/>
      <c r="S790" s="1"/>
      <c r="T790" s="1"/>
      <c r="U790" s="1"/>
    </row>
    <row r="791" spans="1:22" ht="14.25" thickBot="1" x14ac:dyDescent="0.2">
      <c r="A791" s="7"/>
      <c r="B791" s="169" t="s">
        <v>22</v>
      </c>
      <c r="C791" s="170"/>
      <c r="D791" s="170"/>
      <c r="E791" s="171"/>
      <c r="F791" s="169" t="s">
        <v>23</v>
      </c>
      <c r="G791" s="170"/>
      <c r="H791" s="170"/>
      <c r="I791" s="171"/>
      <c r="J791" s="172" t="s">
        <v>0</v>
      </c>
      <c r="L791" s="7"/>
      <c r="M791" s="169" t="s">
        <v>22</v>
      </c>
      <c r="N791" s="170"/>
      <c r="O791" s="170"/>
      <c r="P791" s="171"/>
      <c r="Q791" s="169" t="s">
        <v>23</v>
      </c>
      <c r="R791" s="170"/>
      <c r="S791" s="170"/>
      <c r="T791" s="171"/>
      <c r="U791" s="172" t="s">
        <v>0</v>
      </c>
    </row>
    <row r="792" spans="1:22" ht="14.25" thickBot="1" x14ac:dyDescent="0.2">
      <c r="A792" s="7" t="s">
        <v>1</v>
      </c>
      <c r="B792" s="4" t="s">
        <v>2</v>
      </c>
      <c r="C792" s="5" t="s">
        <v>3</v>
      </c>
      <c r="D792" s="6" t="s">
        <v>4</v>
      </c>
      <c r="E792" s="7" t="s">
        <v>5</v>
      </c>
      <c r="F792" s="4" t="s">
        <v>2</v>
      </c>
      <c r="G792" s="5" t="s">
        <v>3</v>
      </c>
      <c r="H792" s="6" t="s">
        <v>4</v>
      </c>
      <c r="I792" s="7" t="s">
        <v>5</v>
      </c>
      <c r="J792" s="173"/>
      <c r="L792" s="7" t="s">
        <v>1</v>
      </c>
      <c r="M792" s="4" t="s">
        <v>2</v>
      </c>
      <c r="N792" s="5" t="s">
        <v>3</v>
      </c>
      <c r="O792" s="6" t="s">
        <v>4</v>
      </c>
      <c r="P792" s="7" t="s">
        <v>5</v>
      </c>
      <c r="Q792" s="4" t="s">
        <v>2</v>
      </c>
      <c r="R792" s="5" t="s">
        <v>3</v>
      </c>
      <c r="S792" s="6" t="s">
        <v>4</v>
      </c>
      <c r="T792" s="7" t="s">
        <v>5</v>
      </c>
      <c r="U792" s="173"/>
    </row>
    <row r="793" spans="1:22" ht="14.25" thickBot="1" x14ac:dyDescent="0.2">
      <c r="A793" s="140" t="s">
        <v>16</v>
      </c>
      <c r="B793" s="126">
        <f>B787</f>
        <v>4</v>
      </c>
      <c r="C793" s="126">
        <f t="shared" ref="C793:E793" si="744">C787</f>
        <v>2</v>
      </c>
      <c r="D793" s="127">
        <f t="shared" si="744"/>
        <v>2</v>
      </c>
      <c r="E793" s="38">
        <f t="shared" si="744"/>
        <v>8</v>
      </c>
      <c r="F793" s="126">
        <f>F787</f>
        <v>4</v>
      </c>
      <c r="G793" s="126">
        <f t="shared" ref="G793:J793" si="745">G787</f>
        <v>3</v>
      </c>
      <c r="H793" s="127">
        <f t="shared" si="745"/>
        <v>2</v>
      </c>
      <c r="I793" s="38">
        <f t="shared" si="745"/>
        <v>9</v>
      </c>
      <c r="J793" s="38">
        <f t="shared" si="745"/>
        <v>17</v>
      </c>
      <c r="L793" s="128" t="s">
        <v>16</v>
      </c>
      <c r="M793" s="126">
        <f>M787</f>
        <v>155</v>
      </c>
      <c r="N793" s="126">
        <f t="shared" ref="N793:P793" si="746">N787</f>
        <v>157</v>
      </c>
      <c r="O793" s="127">
        <f t="shared" si="746"/>
        <v>115</v>
      </c>
      <c r="P793" s="31">
        <f t="shared" si="746"/>
        <v>427</v>
      </c>
      <c r="Q793" s="126">
        <f>Q787</f>
        <v>155</v>
      </c>
      <c r="R793" s="126">
        <f t="shared" ref="R793:U793" si="747">R787</f>
        <v>157</v>
      </c>
      <c r="S793" s="127">
        <f t="shared" si="747"/>
        <v>115</v>
      </c>
      <c r="T793" s="31">
        <f t="shared" si="747"/>
        <v>427</v>
      </c>
      <c r="U793" s="28">
        <f t="shared" si="747"/>
        <v>854</v>
      </c>
    </row>
    <row r="794" spans="1:22" x14ac:dyDescent="0.15">
      <c r="A794" s="25" t="s">
        <v>790</v>
      </c>
      <c r="B794" s="42"/>
      <c r="C794" s="43">
        <v>2</v>
      </c>
      <c r="D794" s="44"/>
      <c r="E794" s="48">
        <f>SUM(B794:D794)</f>
        <v>2</v>
      </c>
      <c r="F794" s="59"/>
      <c r="G794" s="43">
        <v>2</v>
      </c>
      <c r="H794" s="60"/>
      <c r="I794" s="48">
        <f>SUM(F794:H794)</f>
        <v>2</v>
      </c>
      <c r="J794" s="48">
        <f>E794+I794</f>
        <v>4</v>
      </c>
      <c r="K794" s="64">
        <v>44964</v>
      </c>
      <c r="L794" s="25" t="s">
        <v>783</v>
      </c>
      <c r="M794" s="17">
        <v>5</v>
      </c>
      <c r="N794" s="18">
        <v>5</v>
      </c>
      <c r="O794" s="51"/>
      <c r="P794" s="49">
        <f t="shared" ref="P794:P797" si="748">SUM(M794:O794)</f>
        <v>10</v>
      </c>
      <c r="Q794" s="20">
        <v>5</v>
      </c>
      <c r="R794" s="18">
        <v>5</v>
      </c>
      <c r="S794" s="19"/>
      <c r="T794" s="49">
        <f t="shared" ref="T794:T797" si="749">SUM(Q794:S794)</f>
        <v>10</v>
      </c>
      <c r="U794" s="11">
        <f t="shared" ref="U794:U797" si="750">P794+T794</f>
        <v>20</v>
      </c>
      <c r="V794" s="99">
        <v>44950</v>
      </c>
    </row>
    <row r="795" spans="1:22" x14ac:dyDescent="0.15">
      <c r="A795" s="25" t="s">
        <v>52</v>
      </c>
      <c r="B795" s="8"/>
      <c r="C795" s="9"/>
      <c r="D795" s="52">
        <v>1</v>
      </c>
      <c r="E795" s="11">
        <f>SUM(B795:D795)</f>
        <v>1</v>
      </c>
      <c r="F795" s="12"/>
      <c r="G795" s="9"/>
      <c r="H795" s="10">
        <v>1</v>
      </c>
      <c r="I795" s="11">
        <f>SUM(F795:H795)</f>
        <v>1</v>
      </c>
      <c r="J795" s="11">
        <f>E795+I795</f>
        <v>2</v>
      </c>
      <c r="K795" s="62">
        <v>44984</v>
      </c>
      <c r="L795" s="25" t="s">
        <v>8</v>
      </c>
      <c r="M795" s="17">
        <v>4</v>
      </c>
      <c r="N795" s="18">
        <v>3</v>
      </c>
      <c r="O795" s="51">
        <v>4</v>
      </c>
      <c r="P795" s="11">
        <f t="shared" si="748"/>
        <v>11</v>
      </c>
      <c r="Q795" s="17">
        <v>4</v>
      </c>
      <c r="R795" s="18">
        <v>3</v>
      </c>
      <c r="S795" s="51">
        <v>4</v>
      </c>
      <c r="T795" s="11">
        <f t="shared" si="749"/>
        <v>11</v>
      </c>
      <c r="U795" s="11">
        <f t="shared" si="750"/>
        <v>22</v>
      </c>
      <c r="V795" s="98">
        <v>45043</v>
      </c>
    </row>
    <row r="796" spans="1:22" x14ac:dyDescent="0.15">
      <c r="A796" s="25" t="s">
        <v>799</v>
      </c>
      <c r="B796" s="17">
        <v>1</v>
      </c>
      <c r="C796" s="18"/>
      <c r="D796" s="51"/>
      <c r="E796" s="11">
        <f t="shared" ref="E796:E801" si="751">SUM(B796:D796)</f>
        <v>1</v>
      </c>
      <c r="F796" s="20">
        <v>1</v>
      </c>
      <c r="G796" s="18"/>
      <c r="H796" s="19"/>
      <c r="I796" s="11">
        <f t="shared" ref="I796:I801" si="752">SUM(F796:H796)</f>
        <v>1</v>
      </c>
      <c r="J796" s="11">
        <f t="shared" ref="J796:J801" si="753">E796+I796</f>
        <v>2</v>
      </c>
      <c r="K796" s="64">
        <v>45034</v>
      </c>
      <c r="L796" s="25" t="s">
        <v>774</v>
      </c>
      <c r="M796" s="17">
        <v>6</v>
      </c>
      <c r="N796" s="18">
        <v>-4</v>
      </c>
      <c r="O796" s="51">
        <v>-1</v>
      </c>
      <c r="P796" s="11">
        <f t="shared" si="748"/>
        <v>1</v>
      </c>
      <c r="Q796" s="17">
        <v>6</v>
      </c>
      <c r="R796" s="18">
        <v>-4</v>
      </c>
      <c r="S796" s="51">
        <v>-1</v>
      </c>
      <c r="T796" s="11">
        <f t="shared" si="749"/>
        <v>1</v>
      </c>
      <c r="U796" s="11">
        <f t="shared" si="750"/>
        <v>2</v>
      </c>
      <c r="V796" s="98"/>
    </row>
    <row r="797" spans="1:22" x14ac:dyDescent="0.15">
      <c r="A797" s="25" t="s">
        <v>809</v>
      </c>
      <c r="B797" s="8">
        <v>0</v>
      </c>
      <c r="C797" s="9">
        <v>0</v>
      </c>
      <c r="D797" s="52">
        <v>0</v>
      </c>
      <c r="E797" s="11">
        <f t="shared" si="751"/>
        <v>0</v>
      </c>
      <c r="F797" s="12">
        <v>0</v>
      </c>
      <c r="G797" s="9">
        <v>0</v>
      </c>
      <c r="H797" s="10">
        <v>0</v>
      </c>
      <c r="I797" s="11">
        <f t="shared" si="752"/>
        <v>0</v>
      </c>
      <c r="J797" s="11">
        <f t="shared" si="753"/>
        <v>0</v>
      </c>
      <c r="K797" s="64">
        <v>45163</v>
      </c>
      <c r="L797" s="25" t="s">
        <v>10</v>
      </c>
      <c r="M797" s="8"/>
      <c r="N797" s="9"/>
      <c r="O797" s="52"/>
      <c r="P797" s="11">
        <f t="shared" si="748"/>
        <v>0</v>
      </c>
      <c r="Q797" s="12"/>
      <c r="R797" s="9"/>
      <c r="S797" s="10"/>
      <c r="T797" s="11">
        <f t="shared" si="749"/>
        <v>0</v>
      </c>
      <c r="U797" s="11">
        <f t="shared" si="750"/>
        <v>0</v>
      </c>
      <c r="V797" s="100"/>
    </row>
    <row r="798" spans="1:22" x14ac:dyDescent="0.15">
      <c r="A798" s="25"/>
      <c r="B798" s="8"/>
      <c r="C798" s="9"/>
      <c r="D798" s="52"/>
      <c r="E798" s="11">
        <f t="shared" si="751"/>
        <v>0</v>
      </c>
      <c r="F798" s="12"/>
      <c r="G798" s="9"/>
      <c r="H798" s="10"/>
      <c r="I798" s="11">
        <f t="shared" si="752"/>
        <v>0</v>
      </c>
      <c r="J798" s="11">
        <f t="shared" si="753"/>
        <v>0</v>
      </c>
      <c r="L798" s="25" t="s">
        <v>11</v>
      </c>
      <c r="M798" s="8"/>
      <c r="N798" s="9"/>
      <c r="O798" s="52"/>
      <c r="P798" s="11">
        <f>SUM(M798:O798)</f>
        <v>0</v>
      </c>
      <c r="Q798" s="12"/>
      <c r="R798" s="9"/>
      <c r="S798" s="10"/>
      <c r="T798" s="11">
        <f>SUM(Q798:S798)</f>
        <v>0</v>
      </c>
      <c r="U798" s="11">
        <f>P798+T798</f>
        <v>0</v>
      </c>
    </row>
    <row r="799" spans="1:22" x14ac:dyDescent="0.15">
      <c r="A799" s="25"/>
      <c r="B799" s="8"/>
      <c r="C799" s="9"/>
      <c r="D799" s="52"/>
      <c r="E799" s="11">
        <f t="shared" si="751"/>
        <v>0</v>
      </c>
      <c r="F799" s="12"/>
      <c r="G799" s="9"/>
      <c r="H799" s="10"/>
      <c r="I799" s="11">
        <f t="shared" si="752"/>
        <v>0</v>
      </c>
      <c r="J799" s="11">
        <f t="shared" si="753"/>
        <v>0</v>
      </c>
      <c r="L799" s="25" t="s">
        <v>12</v>
      </c>
      <c r="M799" s="17"/>
      <c r="N799" s="18"/>
      <c r="O799" s="51"/>
      <c r="P799" s="49">
        <f t="shared" ref="P799:P801" si="754">SUM(M799:O799)</f>
        <v>0</v>
      </c>
      <c r="Q799" s="17"/>
      <c r="R799" s="18"/>
      <c r="S799" s="51"/>
      <c r="T799" s="49">
        <f t="shared" ref="T799:T801" si="755">SUM(Q799:S799)</f>
        <v>0</v>
      </c>
      <c r="U799" s="11">
        <f t="shared" ref="U799:U801" si="756">P799+T799</f>
        <v>0</v>
      </c>
    </row>
    <row r="800" spans="1:22" x14ac:dyDescent="0.15">
      <c r="A800" s="25"/>
      <c r="B800" s="13"/>
      <c r="C800" s="14"/>
      <c r="D800" s="53"/>
      <c r="E800" s="11">
        <f t="shared" si="751"/>
        <v>0</v>
      </c>
      <c r="F800" s="16"/>
      <c r="G800" s="14"/>
      <c r="H800" s="15"/>
      <c r="I800" s="11">
        <f t="shared" si="752"/>
        <v>0</v>
      </c>
      <c r="J800" s="11">
        <f t="shared" si="753"/>
        <v>0</v>
      </c>
      <c r="L800" s="25" t="s">
        <v>13</v>
      </c>
      <c r="M800" s="13"/>
      <c r="N800" s="14"/>
      <c r="O800" s="53"/>
      <c r="P800" s="11">
        <f t="shared" si="754"/>
        <v>0</v>
      </c>
      <c r="Q800" s="16"/>
      <c r="R800" s="14"/>
      <c r="S800" s="15"/>
      <c r="T800" s="11">
        <f t="shared" si="755"/>
        <v>0</v>
      </c>
      <c r="U800" s="11">
        <f t="shared" si="756"/>
        <v>0</v>
      </c>
    </row>
    <row r="801" spans="1:22" ht="14.25" thickBot="1" x14ac:dyDescent="0.2">
      <c r="A801" s="25" t="s">
        <v>802</v>
      </c>
      <c r="B801" s="32"/>
      <c r="C801" s="33"/>
      <c r="D801" s="54">
        <v>2</v>
      </c>
      <c r="E801" s="61">
        <f t="shared" si="751"/>
        <v>2</v>
      </c>
      <c r="F801" s="34"/>
      <c r="G801" s="34"/>
      <c r="H801" s="37">
        <v>2</v>
      </c>
      <c r="I801" s="61">
        <f t="shared" si="752"/>
        <v>2</v>
      </c>
      <c r="J801" s="21">
        <f t="shared" si="753"/>
        <v>4</v>
      </c>
      <c r="L801" s="25" t="s">
        <v>14</v>
      </c>
      <c r="M801" s="32"/>
      <c r="N801" s="33"/>
      <c r="O801" s="54"/>
      <c r="P801" s="61">
        <f t="shared" si="754"/>
        <v>0</v>
      </c>
      <c r="Q801" s="34"/>
      <c r="R801" s="34"/>
      <c r="S801" s="37"/>
      <c r="T801" s="61">
        <f t="shared" si="755"/>
        <v>0</v>
      </c>
      <c r="U801" s="21">
        <f t="shared" si="756"/>
        <v>0</v>
      </c>
    </row>
    <row r="802" spans="1:22" ht="14.25" thickBot="1" x14ac:dyDescent="0.2">
      <c r="A802" s="35" t="s">
        <v>15</v>
      </c>
      <c r="B802" s="28">
        <f>SUM(B793:B801)</f>
        <v>5</v>
      </c>
      <c r="C802" s="29">
        <f>SUM(C793:C801)</f>
        <v>4</v>
      </c>
      <c r="D802" s="30">
        <f>SUM(D793:D801)</f>
        <v>5</v>
      </c>
      <c r="E802" s="31">
        <f>SUM(B802:D802)</f>
        <v>14</v>
      </c>
      <c r="F802" s="28">
        <f>SUM(F793:F801)</f>
        <v>5</v>
      </c>
      <c r="G802" s="29">
        <f>SUM(G793:G801)</f>
        <v>5</v>
      </c>
      <c r="H802" s="30">
        <f>SUM(H793:H801)</f>
        <v>5</v>
      </c>
      <c r="I802" s="31">
        <f>SUM(F802:H802)</f>
        <v>15</v>
      </c>
      <c r="J802" s="31">
        <f>E802+I802</f>
        <v>29</v>
      </c>
      <c r="L802" s="35" t="s">
        <v>15</v>
      </c>
      <c r="M802" s="28">
        <f>SUM(M793:M801)</f>
        <v>170</v>
      </c>
      <c r="N802" s="29">
        <f>SUM(N793:N801)</f>
        <v>161</v>
      </c>
      <c r="O802" s="30">
        <f>SUM(O793:O801)</f>
        <v>118</v>
      </c>
      <c r="P802" s="31">
        <f>SUM(M802:O802)</f>
        <v>449</v>
      </c>
      <c r="Q802" s="28">
        <f>SUM(Q793:Q801)</f>
        <v>170</v>
      </c>
      <c r="R802" s="29">
        <f>SUM(R793:R801)</f>
        <v>161</v>
      </c>
      <c r="S802" s="30">
        <f>SUM(S793:S801)</f>
        <v>118</v>
      </c>
      <c r="T802" s="31">
        <f>SUM(Q802:S802)</f>
        <v>449</v>
      </c>
      <c r="U802" s="31">
        <f>P802+T802</f>
        <v>898</v>
      </c>
    </row>
    <row r="803" spans="1:22" x14ac:dyDescent="0.15">
      <c r="A803" s="26" t="s">
        <v>784</v>
      </c>
      <c r="B803" s="13"/>
      <c r="C803" s="14"/>
      <c r="D803" s="15">
        <v>1</v>
      </c>
      <c r="E803" s="49">
        <f>SUM(B803:D803)</f>
        <v>1</v>
      </c>
      <c r="F803" s="16"/>
      <c r="G803" s="14"/>
      <c r="H803" s="15">
        <v>1</v>
      </c>
      <c r="I803" s="49">
        <f>SUM(F803:H803)</f>
        <v>1</v>
      </c>
      <c r="J803" s="11">
        <f>E803+I803</f>
        <v>2</v>
      </c>
      <c r="K803" s="62">
        <v>44963</v>
      </c>
      <c r="L803" s="26" t="s">
        <v>780</v>
      </c>
      <c r="M803" s="8">
        <v>2</v>
      </c>
      <c r="N803" s="9"/>
      <c r="O803" s="52"/>
      <c r="P803" s="87">
        <f t="shared" ref="P803:P811" si="757">SUM(M803:O803)</f>
        <v>2</v>
      </c>
      <c r="Q803" s="12">
        <v>2</v>
      </c>
      <c r="R803" s="9"/>
      <c r="S803" s="10"/>
      <c r="T803" s="49">
        <f t="shared" ref="T803:T811" si="758">SUM(Q803:S803)</f>
        <v>2</v>
      </c>
      <c r="U803" s="11">
        <f t="shared" ref="U803:U811" si="759">P803+T803</f>
        <v>4</v>
      </c>
      <c r="V803" s="98">
        <v>44953</v>
      </c>
    </row>
    <row r="804" spans="1:22" x14ac:dyDescent="0.15">
      <c r="A804" s="26" t="s">
        <v>800</v>
      </c>
      <c r="B804" s="8">
        <v>4</v>
      </c>
      <c r="C804" s="9">
        <v>3</v>
      </c>
      <c r="D804" s="10">
        <v>4</v>
      </c>
      <c r="E804" s="49">
        <f t="shared" ref="E804:E805" si="760">SUM(B804:D804)</f>
        <v>11</v>
      </c>
      <c r="F804" s="8">
        <v>4</v>
      </c>
      <c r="G804" s="9">
        <v>3</v>
      </c>
      <c r="H804" s="10">
        <v>4</v>
      </c>
      <c r="I804" s="49">
        <f t="shared" ref="I804:I805" si="761">SUM(F804:H804)</f>
        <v>11</v>
      </c>
      <c r="J804" s="11">
        <f t="shared" ref="J804:J805" si="762">E804+I804</f>
        <v>22</v>
      </c>
      <c r="K804" s="62">
        <v>45043</v>
      </c>
      <c r="L804" s="26" t="s">
        <v>782</v>
      </c>
      <c r="M804" s="8"/>
      <c r="N804" s="9"/>
      <c r="O804" s="52">
        <v>2</v>
      </c>
      <c r="P804" s="87">
        <f t="shared" si="757"/>
        <v>2</v>
      </c>
      <c r="Q804" s="12"/>
      <c r="R804" s="9"/>
      <c r="S804" s="10">
        <v>2</v>
      </c>
      <c r="T804" s="49">
        <f t="shared" si="758"/>
        <v>2</v>
      </c>
      <c r="U804" s="11">
        <f t="shared" si="759"/>
        <v>4</v>
      </c>
      <c r="V804" s="98">
        <v>44956</v>
      </c>
    </row>
    <row r="805" spans="1:22" x14ac:dyDescent="0.15">
      <c r="A805" s="26"/>
      <c r="B805" s="8"/>
      <c r="C805" s="9"/>
      <c r="D805" s="10"/>
      <c r="E805" s="49">
        <f t="shared" si="760"/>
        <v>0</v>
      </c>
      <c r="F805" s="12"/>
      <c r="G805" s="9"/>
      <c r="H805" s="10"/>
      <c r="I805" s="49">
        <f t="shared" si="761"/>
        <v>0</v>
      </c>
      <c r="J805" s="11">
        <f t="shared" si="762"/>
        <v>0</v>
      </c>
      <c r="K805" s="62"/>
      <c r="L805" s="86" t="s">
        <v>791</v>
      </c>
      <c r="M805" s="8">
        <v>15</v>
      </c>
      <c r="N805" s="9">
        <v>10</v>
      </c>
      <c r="O805" s="52">
        <v>4</v>
      </c>
      <c r="P805" s="87">
        <f t="shared" si="757"/>
        <v>29</v>
      </c>
      <c r="Q805" s="12">
        <v>15</v>
      </c>
      <c r="R805" s="9">
        <v>10</v>
      </c>
      <c r="S805" s="10">
        <v>4</v>
      </c>
      <c r="T805" s="49">
        <f t="shared" si="758"/>
        <v>29</v>
      </c>
      <c r="U805" s="11">
        <f t="shared" si="759"/>
        <v>58</v>
      </c>
      <c r="V805" s="98">
        <v>44965</v>
      </c>
    </row>
    <row r="806" spans="1:22" x14ac:dyDescent="0.15">
      <c r="A806" s="26"/>
      <c r="B806" s="13"/>
      <c r="C806" s="14"/>
      <c r="D806" s="15"/>
      <c r="E806" s="49">
        <f>SUM(B806:D806)</f>
        <v>0</v>
      </c>
      <c r="F806" s="16"/>
      <c r="G806" s="14"/>
      <c r="H806" s="15"/>
      <c r="I806" s="49">
        <f>SUM(F806:H806)</f>
        <v>0</v>
      </c>
      <c r="J806" s="11">
        <f>E806+I806</f>
        <v>0</v>
      </c>
      <c r="K806" s="64"/>
      <c r="L806" s="26" t="s">
        <v>788</v>
      </c>
      <c r="M806" s="8"/>
      <c r="N806" s="9">
        <v>1</v>
      </c>
      <c r="O806" s="52"/>
      <c r="P806" s="87">
        <f t="shared" si="757"/>
        <v>1</v>
      </c>
      <c r="Q806" s="12"/>
      <c r="R806" s="9">
        <v>1</v>
      </c>
      <c r="S806" s="10"/>
      <c r="T806" s="49">
        <f t="shared" si="758"/>
        <v>1</v>
      </c>
      <c r="U806" s="11">
        <f t="shared" si="759"/>
        <v>2</v>
      </c>
      <c r="V806" s="98">
        <v>44965</v>
      </c>
    </row>
    <row r="807" spans="1:22" x14ac:dyDescent="0.15">
      <c r="A807" s="26"/>
      <c r="B807" s="8"/>
      <c r="C807" s="9"/>
      <c r="D807" s="10"/>
      <c r="E807" s="49">
        <f t="shared" ref="E807:E829" si="763">SUM(B807:D807)</f>
        <v>0</v>
      </c>
      <c r="F807" s="12"/>
      <c r="G807" s="9"/>
      <c r="H807" s="10"/>
      <c r="I807" s="49">
        <f t="shared" ref="I807:I829" si="764">SUM(F807:H807)</f>
        <v>0</v>
      </c>
      <c r="J807" s="11">
        <f t="shared" ref="J807:J828" si="765">E807+I807</f>
        <v>0</v>
      </c>
      <c r="L807" s="26" t="s">
        <v>795</v>
      </c>
      <c r="M807" s="8"/>
      <c r="N807" s="9"/>
      <c r="O807" s="52">
        <v>1</v>
      </c>
      <c r="P807" s="87">
        <f t="shared" si="757"/>
        <v>1</v>
      </c>
      <c r="Q807" s="12"/>
      <c r="R807" s="9"/>
      <c r="S807" s="10">
        <v>1</v>
      </c>
      <c r="T807" s="49">
        <f t="shared" si="758"/>
        <v>1</v>
      </c>
      <c r="U807" s="11">
        <f t="shared" si="759"/>
        <v>2</v>
      </c>
      <c r="V807" s="98">
        <v>44999</v>
      </c>
    </row>
    <row r="808" spans="1:22" x14ac:dyDescent="0.15">
      <c r="A808" s="26"/>
      <c r="B808" s="8"/>
      <c r="C808" s="9"/>
      <c r="D808" s="10"/>
      <c r="E808" s="49">
        <f t="shared" si="763"/>
        <v>0</v>
      </c>
      <c r="F808" s="12"/>
      <c r="G808" s="9"/>
      <c r="H808" s="10"/>
      <c r="I808" s="49">
        <f t="shared" si="764"/>
        <v>0</v>
      </c>
      <c r="J808" s="11">
        <f t="shared" si="765"/>
        <v>0</v>
      </c>
      <c r="L808" s="26" t="s">
        <v>796</v>
      </c>
      <c r="M808" s="8">
        <v>1</v>
      </c>
      <c r="N808" s="9"/>
      <c r="O808" s="52"/>
      <c r="P808" s="87">
        <f t="shared" si="757"/>
        <v>1</v>
      </c>
      <c r="Q808" s="12">
        <v>1</v>
      </c>
      <c r="R808" s="9"/>
      <c r="S808" s="10"/>
      <c r="T808" s="49">
        <f t="shared" si="758"/>
        <v>1</v>
      </c>
      <c r="U808" s="11">
        <f t="shared" si="759"/>
        <v>2</v>
      </c>
      <c r="V808" s="98">
        <v>45002</v>
      </c>
    </row>
    <row r="809" spans="1:22" x14ac:dyDescent="0.15">
      <c r="A809" s="26"/>
      <c r="B809" s="8"/>
      <c r="C809" s="9"/>
      <c r="D809" s="10"/>
      <c r="E809" s="49">
        <f t="shared" si="763"/>
        <v>0</v>
      </c>
      <c r="F809" s="12"/>
      <c r="G809" s="9"/>
      <c r="H809" s="10"/>
      <c r="I809" s="49">
        <f t="shared" si="764"/>
        <v>0</v>
      </c>
      <c r="J809" s="11">
        <f t="shared" si="765"/>
        <v>0</v>
      </c>
      <c r="L809" s="26" t="s">
        <v>797</v>
      </c>
      <c r="M809" s="8">
        <v>1</v>
      </c>
      <c r="N809" s="9"/>
      <c r="O809" s="52"/>
      <c r="P809" s="87">
        <f t="shared" si="757"/>
        <v>1</v>
      </c>
      <c r="Q809" s="12">
        <v>1</v>
      </c>
      <c r="R809" s="9"/>
      <c r="S809" s="10"/>
      <c r="T809" s="49">
        <f t="shared" si="758"/>
        <v>1</v>
      </c>
      <c r="U809" s="11">
        <f t="shared" si="759"/>
        <v>2</v>
      </c>
      <c r="V809" s="98">
        <v>45005</v>
      </c>
    </row>
    <row r="810" spans="1:22" x14ac:dyDescent="0.15">
      <c r="A810" s="26"/>
      <c r="B810" s="8"/>
      <c r="C810" s="9"/>
      <c r="D810" s="10"/>
      <c r="E810" s="49">
        <f t="shared" si="763"/>
        <v>0</v>
      </c>
      <c r="F810" s="12"/>
      <c r="G810" s="9"/>
      <c r="H810" s="10"/>
      <c r="I810" s="49">
        <f t="shared" si="764"/>
        <v>0</v>
      </c>
      <c r="J810" s="11">
        <f t="shared" si="765"/>
        <v>0</v>
      </c>
      <c r="L810" s="26" t="s">
        <v>804</v>
      </c>
      <c r="M810" s="8"/>
      <c r="N810" s="9"/>
      <c r="O810" s="52">
        <v>1</v>
      </c>
      <c r="P810" s="87">
        <f t="shared" si="757"/>
        <v>1</v>
      </c>
      <c r="Q810" s="12"/>
      <c r="R810" s="9"/>
      <c r="S810" s="10">
        <v>1</v>
      </c>
      <c r="T810" s="49">
        <f t="shared" si="758"/>
        <v>1</v>
      </c>
      <c r="U810" s="11">
        <f t="shared" si="759"/>
        <v>2</v>
      </c>
      <c r="V810" s="98">
        <v>45054</v>
      </c>
    </row>
    <row r="811" spans="1:22" x14ac:dyDescent="0.15">
      <c r="A811" s="26"/>
      <c r="B811" s="8"/>
      <c r="C811" s="9"/>
      <c r="D811" s="10"/>
      <c r="E811" s="49">
        <f t="shared" si="763"/>
        <v>0</v>
      </c>
      <c r="F811" s="12"/>
      <c r="G811" s="9"/>
      <c r="H811" s="10"/>
      <c r="I811" s="49">
        <f t="shared" si="764"/>
        <v>0</v>
      </c>
      <c r="J811" s="11">
        <f t="shared" si="765"/>
        <v>0</v>
      </c>
      <c r="L811" s="26" t="s">
        <v>806</v>
      </c>
      <c r="M811" s="8"/>
      <c r="N811" s="9"/>
      <c r="O811" s="52">
        <v>1</v>
      </c>
      <c r="P811" s="87">
        <f t="shared" si="757"/>
        <v>1</v>
      </c>
      <c r="Q811" s="12"/>
      <c r="R811" s="9"/>
      <c r="S811" s="10">
        <v>1</v>
      </c>
      <c r="T811" s="49">
        <f t="shared" si="758"/>
        <v>1</v>
      </c>
      <c r="U811" s="11">
        <f t="shared" si="759"/>
        <v>2</v>
      </c>
      <c r="V811" s="98">
        <v>45096</v>
      </c>
    </row>
    <row r="812" spans="1:22" x14ac:dyDescent="0.15">
      <c r="A812" s="26"/>
      <c r="B812" s="13"/>
      <c r="C812" s="14"/>
      <c r="D812" s="15"/>
      <c r="E812" s="49">
        <f t="shared" si="763"/>
        <v>0</v>
      </c>
      <c r="F812" s="16"/>
      <c r="G812" s="14"/>
      <c r="H812" s="15"/>
      <c r="I812" s="49">
        <f t="shared" si="764"/>
        <v>0</v>
      </c>
      <c r="J812" s="11">
        <f t="shared" si="765"/>
        <v>0</v>
      </c>
      <c r="L812" s="26"/>
      <c r="M812" s="8"/>
      <c r="N812" s="9"/>
      <c r="O812" s="52"/>
      <c r="P812" s="87">
        <f t="shared" ref="P812:P828" si="766">SUM(M812:O812)</f>
        <v>0</v>
      </c>
      <c r="Q812" s="12"/>
      <c r="R812" s="9"/>
      <c r="S812" s="10"/>
      <c r="T812" s="49">
        <f t="shared" ref="T812:T828" si="767">SUM(Q812:S812)</f>
        <v>0</v>
      </c>
      <c r="U812" s="11">
        <f t="shared" ref="U812:U828" si="768">P812+T812</f>
        <v>0</v>
      </c>
      <c r="V812" s="98"/>
    </row>
    <row r="813" spans="1:22" x14ac:dyDescent="0.15">
      <c r="A813" s="26"/>
      <c r="B813" s="8"/>
      <c r="C813" s="9"/>
      <c r="D813" s="10"/>
      <c r="E813" s="49">
        <f t="shared" si="763"/>
        <v>0</v>
      </c>
      <c r="F813" s="12"/>
      <c r="G813" s="9"/>
      <c r="H813" s="10"/>
      <c r="I813" s="49">
        <f t="shared" si="764"/>
        <v>0</v>
      </c>
      <c r="J813" s="11">
        <f t="shared" si="765"/>
        <v>0</v>
      </c>
      <c r="L813" s="26"/>
      <c r="M813" s="8"/>
      <c r="N813" s="9"/>
      <c r="O813" s="52"/>
      <c r="P813" s="87">
        <f t="shared" si="766"/>
        <v>0</v>
      </c>
      <c r="Q813" s="12"/>
      <c r="R813" s="9"/>
      <c r="S813" s="10"/>
      <c r="T813" s="49">
        <f t="shared" si="767"/>
        <v>0</v>
      </c>
      <c r="U813" s="11">
        <f t="shared" si="768"/>
        <v>0</v>
      </c>
      <c r="V813" s="98"/>
    </row>
    <row r="814" spans="1:22" x14ac:dyDescent="0.15">
      <c r="A814" s="26"/>
      <c r="B814" s="8"/>
      <c r="C814" s="9"/>
      <c r="D814" s="10"/>
      <c r="E814" s="49">
        <f t="shared" si="763"/>
        <v>0</v>
      </c>
      <c r="F814" s="12"/>
      <c r="G814" s="9"/>
      <c r="H814" s="10"/>
      <c r="I814" s="49">
        <f t="shared" si="764"/>
        <v>0</v>
      </c>
      <c r="J814" s="11">
        <f t="shared" si="765"/>
        <v>0</v>
      </c>
      <c r="L814" s="26"/>
      <c r="M814" s="8"/>
      <c r="N814" s="9"/>
      <c r="O814" s="52"/>
      <c r="P814" s="87">
        <f t="shared" si="766"/>
        <v>0</v>
      </c>
      <c r="Q814" s="12"/>
      <c r="R814" s="9"/>
      <c r="S814" s="10"/>
      <c r="T814" s="49">
        <f t="shared" si="767"/>
        <v>0</v>
      </c>
      <c r="U814" s="11">
        <f t="shared" si="768"/>
        <v>0</v>
      </c>
      <c r="V814" s="98"/>
    </row>
    <row r="815" spans="1:22" x14ac:dyDescent="0.15">
      <c r="A815" s="26"/>
      <c r="B815" s="8"/>
      <c r="C815" s="9"/>
      <c r="D815" s="10"/>
      <c r="E815" s="49">
        <f t="shared" si="763"/>
        <v>0</v>
      </c>
      <c r="F815" s="12"/>
      <c r="G815" s="9"/>
      <c r="H815" s="10"/>
      <c r="I815" s="49">
        <f t="shared" si="764"/>
        <v>0</v>
      </c>
      <c r="J815" s="11">
        <f t="shared" si="765"/>
        <v>0</v>
      </c>
      <c r="L815" s="26"/>
      <c r="M815" s="8"/>
      <c r="N815" s="9"/>
      <c r="O815" s="52"/>
      <c r="P815" s="87">
        <f t="shared" si="766"/>
        <v>0</v>
      </c>
      <c r="Q815" s="12"/>
      <c r="R815" s="9"/>
      <c r="S815" s="10"/>
      <c r="T815" s="49">
        <f t="shared" si="767"/>
        <v>0</v>
      </c>
      <c r="U815" s="11">
        <f t="shared" si="768"/>
        <v>0</v>
      </c>
      <c r="V815" s="98"/>
    </row>
    <row r="816" spans="1:22" x14ac:dyDescent="0.15">
      <c r="A816" s="26"/>
      <c r="B816" s="8"/>
      <c r="C816" s="9"/>
      <c r="D816" s="10"/>
      <c r="E816" s="49">
        <f t="shared" si="763"/>
        <v>0</v>
      </c>
      <c r="F816" s="12"/>
      <c r="G816" s="9"/>
      <c r="H816" s="10"/>
      <c r="I816" s="49">
        <f t="shared" si="764"/>
        <v>0</v>
      </c>
      <c r="J816" s="11">
        <f t="shared" si="765"/>
        <v>0</v>
      </c>
      <c r="L816" s="26"/>
      <c r="M816" s="8"/>
      <c r="N816" s="9"/>
      <c r="O816" s="52"/>
      <c r="P816" s="87">
        <f t="shared" si="766"/>
        <v>0</v>
      </c>
      <c r="Q816" s="12"/>
      <c r="R816" s="9"/>
      <c r="S816" s="10"/>
      <c r="T816" s="49">
        <f t="shared" si="767"/>
        <v>0</v>
      </c>
      <c r="U816" s="11">
        <f t="shared" si="768"/>
        <v>0</v>
      </c>
      <c r="V816" s="98"/>
    </row>
    <row r="817" spans="1:22" x14ac:dyDescent="0.15">
      <c r="A817" s="26"/>
      <c r="B817" s="8"/>
      <c r="C817" s="9"/>
      <c r="D817" s="10"/>
      <c r="E817" s="49">
        <f t="shared" si="763"/>
        <v>0</v>
      </c>
      <c r="F817" s="12"/>
      <c r="G817" s="9"/>
      <c r="H817" s="10"/>
      <c r="I817" s="49">
        <f t="shared" si="764"/>
        <v>0</v>
      </c>
      <c r="J817" s="11">
        <f t="shared" si="765"/>
        <v>0</v>
      </c>
      <c r="L817" s="26"/>
      <c r="M817" s="8"/>
      <c r="N817" s="9"/>
      <c r="O817" s="52"/>
      <c r="P817" s="87">
        <f t="shared" si="766"/>
        <v>0</v>
      </c>
      <c r="Q817" s="12"/>
      <c r="R817" s="9"/>
      <c r="S817" s="10"/>
      <c r="T817" s="49">
        <f t="shared" si="767"/>
        <v>0</v>
      </c>
      <c r="U817" s="11">
        <f t="shared" si="768"/>
        <v>0</v>
      </c>
      <c r="V817" s="98"/>
    </row>
    <row r="818" spans="1:22" x14ac:dyDescent="0.15">
      <c r="A818" s="26"/>
      <c r="B818" s="8"/>
      <c r="C818" s="9"/>
      <c r="D818" s="10"/>
      <c r="E818" s="49">
        <f t="shared" si="763"/>
        <v>0</v>
      </c>
      <c r="F818" s="12"/>
      <c r="G818" s="9"/>
      <c r="H818" s="10"/>
      <c r="I818" s="49">
        <f t="shared" si="764"/>
        <v>0</v>
      </c>
      <c r="J818" s="11">
        <f t="shared" si="765"/>
        <v>0</v>
      </c>
      <c r="L818" s="26"/>
      <c r="M818" s="8"/>
      <c r="N818" s="9"/>
      <c r="O818" s="52"/>
      <c r="P818" s="87">
        <f t="shared" si="766"/>
        <v>0</v>
      </c>
      <c r="Q818" s="12"/>
      <c r="R818" s="9"/>
      <c r="S818" s="10"/>
      <c r="T818" s="49">
        <f t="shared" si="767"/>
        <v>0</v>
      </c>
      <c r="U818" s="11">
        <f t="shared" si="768"/>
        <v>0</v>
      </c>
      <c r="V818" s="98"/>
    </row>
    <row r="819" spans="1:22" x14ac:dyDescent="0.15">
      <c r="A819" s="26"/>
      <c r="B819" s="8"/>
      <c r="C819" s="9"/>
      <c r="D819" s="10"/>
      <c r="E819" s="49">
        <f t="shared" si="763"/>
        <v>0</v>
      </c>
      <c r="F819" s="12"/>
      <c r="G819" s="9"/>
      <c r="H819" s="10"/>
      <c r="I819" s="49">
        <f t="shared" si="764"/>
        <v>0</v>
      </c>
      <c r="J819" s="11">
        <f t="shared" si="765"/>
        <v>0</v>
      </c>
      <c r="L819" s="26"/>
      <c r="M819" s="8"/>
      <c r="N819" s="9"/>
      <c r="O819" s="52"/>
      <c r="P819" s="87">
        <f t="shared" si="766"/>
        <v>0</v>
      </c>
      <c r="Q819" s="12"/>
      <c r="R819" s="9"/>
      <c r="S819" s="10"/>
      <c r="T819" s="49">
        <f t="shared" si="767"/>
        <v>0</v>
      </c>
      <c r="U819" s="11">
        <f t="shared" si="768"/>
        <v>0</v>
      </c>
      <c r="V819" s="98"/>
    </row>
    <row r="820" spans="1:22" x14ac:dyDescent="0.15">
      <c r="A820" s="24"/>
      <c r="B820" s="8"/>
      <c r="C820" s="9"/>
      <c r="D820" s="10"/>
      <c r="E820" s="49">
        <f t="shared" si="763"/>
        <v>0</v>
      </c>
      <c r="F820" s="12"/>
      <c r="G820" s="9"/>
      <c r="H820" s="10"/>
      <c r="I820" s="49">
        <f t="shared" si="764"/>
        <v>0</v>
      </c>
      <c r="J820" s="11">
        <f t="shared" si="765"/>
        <v>0</v>
      </c>
      <c r="L820" s="26"/>
      <c r="M820" s="8"/>
      <c r="N820" s="9"/>
      <c r="O820" s="52"/>
      <c r="P820" s="87">
        <f t="shared" si="766"/>
        <v>0</v>
      </c>
      <c r="Q820" s="12"/>
      <c r="R820" s="9"/>
      <c r="S820" s="10"/>
      <c r="T820" s="49">
        <f t="shared" si="767"/>
        <v>0</v>
      </c>
      <c r="U820" s="11">
        <f t="shared" si="768"/>
        <v>0</v>
      </c>
      <c r="V820" s="98"/>
    </row>
    <row r="821" spans="1:22" x14ac:dyDescent="0.15">
      <c r="A821" s="25"/>
      <c r="B821" s="8"/>
      <c r="C821" s="9"/>
      <c r="D821" s="10"/>
      <c r="E821" s="49">
        <f t="shared" si="763"/>
        <v>0</v>
      </c>
      <c r="F821" s="12"/>
      <c r="G821" s="9"/>
      <c r="H821" s="10"/>
      <c r="I821" s="49">
        <f t="shared" si="764"/>
        <v>0</v>
      </c>
      <c r="J821" s="11">
        <f t="shared" si="765"/>
        <v>0</v>
      </c>
      <c r="L821" s="26"/>
      <c r="M821" s="8"/>
      <c r="N821" s="9"/>
      <c r="O821" s="52"/>
      <c r="P821" s="87">
        <f t="shared" si="766"/>
        <v>0</v>
      </c>
      <c r="Q821" s="12"/>
      <c r="R821" s="9"/>
      <c r="S821" s="10"/>
      <c r="T821" s="49">
        <f t="shared" si="767"/>
        <v>0</v>
      </c>
      <c r="U821" s="11">
        <f t="shared" si="768"/>
        <v>0</v>
      </c>
      <c r="V821" s="98"/>
    </row>
    <row r="822" spans="1:22" x14ac:dyDescent="0.15">
      <c r="A822" s="26"/>
      <c r="B822" s="8"/>
      <c r="C822" s="9"/>
      <c r="D822" s="10"/>
      <c r="E822" s="49">
        <f t="shared" si="763"/>
        <v>0</v>
      </c>
      <c r="F822" s="12"/>
      <c r="G822" s="9"/>
      <c r="H822" s="10"/>
      <c r="I822" s="49">
        <f t="shared" si="764"/>
        <v>0</v>
      </c>
      <c r="J822" s="11">
        <f t="shared" si="765"/>
        <v>0</v>
      </c>
      <c r="L822" s="26"/>
      <c r="M822" s="8"/>
      <c r="N822" s="9"/>
      <c r="O822" s="52"/>
      <c r="P822" s="87">
        <f t="shared" si="766"/>
        <v>0</v>
      </c>
      <c r="Q822" s="12"/>
      <c r="R822" s="9"/>
      <c r="S822" s="10"/>
      <c r="T822" s="49">
        <f t="shared" si="767"/>
        <v>0</v>
      </c>
      <c r="U822" s="11">
        <f t="shared" si="768"/>
        <v>0</v>
      </c>
      <c r="V822" s="98"/>
    </row>
    <row r="823" spans="1:22" x14ac:dyDescent="0.15">
      <c r="A823" s="24"/>
      <c r="B823" s="8"/>
      <c r="C823" s="9"/>
      <c r="D823" s="10"/>
      <c r="E823" s="49">
        <f t="shared" si="763"/>
        <v>0</v>
      </c>
      <c r="F823" s="12"/>
      <c r="G823" s="9"/>
      <c r="H823" s="10"/>
      <c r="I823" s="49">
        <f t="shared" si="764"/>
        <v>0</v>
      </c>
      <c r="J823" s="11">
        <f t="shared" si="765"/>
        <v>0</v>
      </c>
      <c r="L823" s="26"/>
      <c r="M823" s="8"/>
      <c r="N823" s="9"/>
      <c r="O823" s="52"/>
      <c r="P823" s="87">
        <f t="shared" si="766"/>
        <v>0</v>
      </c>
      <c r="Q823" s="12"/>
      <c r="R823" s="9"/>
      <c r="S823" s="10"/>
      <c r="T823" s="49">
        <f t="shared" si="767"/>
        <v>0</v>
      </c>
      <c r="U823" s="11">
        <f t="shared" si="768"/>
        <v>0</v>
      </c>
      <c r="V823" s="98"/>
    </row>
    <row r="824" spans="1:22" x14ac:dyDescent="0.15">
      <c r="B824" s="13"/>
      <c r="C824" s="14"/>
      <c r="D824" s="15"/>
      <c r="E824" s="49">
        <f t="shared" si="763"/>
        <v>0</v>
      </c>
      <c r="F824" s="16"/>
      <c r="G824" s="14"/>
      <c r="H824" s="15"/>
      <c r="I824" s="49">
        <f t="shared" si="764"/>
        <v>0</v>
      </c>
      <c r="J824" s="11">
        <f t="shared" si="765"/>
        <v>0</v>
      </c>
      <c r="L824" s="26"/>
      <c r="M824" s="8"/>
      <c r="N824" s="9"/>
      <c r="O824" s="52"/>
      <c r="P824" s="87">
        <f t="shared" si="766"/>
        <v>0</v>
      </c>
      <c r="Q824" s="12"/>
      <c r="R824" s="9"/>
      <c r="S824" s="10"/>
      <c r="T824" s="49">
        <f t="shared" si="767"/>
        <v>0</v>
      </c>
      <c r="U824" s="11">
        <f t="shared" si="768"/>
        <v>0</v>
      </c>
      <c r="V824" s="98"/>
    </row>
    <row r="825" spans="1:22" x14ac:dyDescent="0.15">
      <c r="A825" s="26"/>
      <c r="B825" s="8"/>
      <c r="C825" s="9"/>
      <c r="D825" s="10"/>
      <c r="E825" s="49">
        <f t="shared" si="763"/>
        <v>0</v>
      </c>
      <c r="F825" s="12"/>
      <c r="G825" s="9"/>
      <c r="H825" s="10"/>
      <c r="I825" s="49">
        <f t="shared" si="764"/>
        <v>0</v>
      </c>
      <c r="J825" s="11">
        <f t="shared" si="765"/>
        <v>0</v>
      </c>
      <c r="L825" s="26"/>
      <c r="M825" s="8"/>
      <c r="N825" s="9"/>
      <c r="O825" s="52"/>
      <c r="P825" s="87">
        <f t="shared" si="766"/>
        <v>0</v>
      </c>
      <c r="Q825" s="12"/>
      <c r="R825" s="9"/>
      <c r="S825" s="10"/>
      <c r="T825" s="49">
        <f t="shared" si="767"/>
        <v>0</v>
      </c>
      <c r="U825" s="11">
        <f t="shared" si="768"/>
        <v>0</v>
      </c>
      <c r="V825" s="98"/>
    </row>
    <row r="826" spans="1:22" x14ac:dyDescent="0.15">
      <c r="A826" s="26"/>
      <c r="B826" s="8"/>
      <c r="C826" s="9"/>
      <c r="D826" s="10"/>
      <c r="E826" s="49">
        <f t="shared" si="763"/>
        <v>0</v>
      </c>
      <c r="F826" s="12"/>
      <c r="G826" s="9"/>
      <c r="H826" s="10"/>
      <c r="I826" s="49">
        <f t="shared" si="764"/>
        <v>0</v>
      </c>
      <c r="J826" s="11">
        <f t="shared" si="765"/>
        <v>0</v>
      </c>
      <c r="L826" s="26"/>
      <c r="M826" s="8"/>
      <c r="N826" s="9"/>
      <c r="O826" s="52"/>
      <c r="P826" s="87">
        <f t="shared" si="766"/>
        <v>0</v>
      </c>
      <c r="Q826" s="12"/>
      <c r="R826" s="9"/>
      <c r="S826" s="10"/>
      <c r="T826" s="49">
        <f t="shared" si="767"/>
        <v>0</v>
      </c>
      <c r="U826" s="11">
        <f t="shared" si="768"/>
        <v>0</v>
      </c>
      <c r="V826" s="98"/>
    </row>
    <row r="827" spans="1:22" x14ac:dyDescent="0.15">
      <c r="A827" s="26"/>
      <c r="B827" s="8"/>
      <c r="C827" s="9"/>
      <c r="D827" s="10"/>
      <c r="E827" s="49">
        <f t="shared" si="763"/>
        <v>0</v>
      </c>
      <c r="F827" s="12"/>
      <c r="G827" s="9"/>
      <c r="H827" s="10"/>
      <c r="I827" s="49">
        <f t="shared" si="764"/>
        <v>0</v>
      </c>
      <c r="J827" s="11">
        <f t="shared" si="765"/>
        <v>0</v>
      </c>
      <c r="L827" s="26" t="s">
        <v>786</v>
      </c>
      <c r="M827" s="8"/>
      <c r="N827" s="9"/>
      <c r="O827" s="52"/>
      <c r="P827" s="87">
        <f t="shared" si="766"/>
        <v>0</v>
      </c>
      <c r="Q827" s="12"/>
      <c r="R827" s="9"/>
      <c r="S827" s="10"/>
      <c r="T827" s="49">
        <f t="shared" si="767"/>
        <v>0</v>
      </c>
      <c r="U827" s="11">
        <f t="shared" si="768"/>
        <v>0</v>
      </c>
      <c r="V827" s="98" t="s">
        <v>787</v>
      </c>
    </row>
    <row r="828" spans="1:22" ht="14.25" thickBot="1" x14ac:dyDescent="0.2">
      <c r="A828" s="26"/>
      <c r="B828" s="8"/>
      <c r="C828" s="9"/>
      <c r="D828" s="10"/>
      <c r="E828" s="49">
        <f t="shared" si="763"/>
        <v>0</v>
      </c>
      <c r="F828" s="12"/>
      <c r="G828" s="9"/>
      <c r="H828" s="10"/>
      <c r="I828" s="49">
        <f t="shared" si="764"/>
        <v>0</v>
      </c>
      <c r="J828" s="11">
        <f t="shared" si="765"/>
        <v>0</v>
      </c>
      <c r="L828" s="86" t="s">
        <v>792</v>
      </c>
      <c r="M828" s="8"/>
      <c r="N828" s="9"/>
      <c r="O828" s="52"/>
      <c r="P828" s="87">
        <f t="shared" si="766"/>
        <v>0</v>
      </c>
      <c r="Q828" s="8"/>
      <c r="R828" s="9"/>
      <c r="S828" s="52"/>
      <c r="T828" s="49">
        <f t="shared" si="767"/>
        <v>0</v>
      </c>
      <c r="U828" s="11">
        <f t="shared" si="768"/>
        <v>0</v>
      </c>
      <c r="V828" s="98">
        <v>44606</v>
      </c>
    </row>
    <row r="829" spans="1:22" ht="14.25" thickBot="1" x14ac:dyDescent="0.2">
      <c r="A829" s="41" t="s">
        <v>17</v>
      </c>
      <c r="B829" s="46">
        <f>SUM(B803:B828)</f>
        <v>4</v>
      </c>
      <c r="C829" s="47">
        <f t="shared" ref="C829:D829" si="769">SUM(C803:C828)</f>
        <v>3</v>
      </c>
      <c r="D829" s="58">
        <f t="shared" si="769"/>
        <v>5</v>
      </c>
      <c r="E829" s="45">
        <f t="shared" si="763"/>
        <v>12</v>
      </c>
      <c r="F829" s="46">
        <f>SUM(F803:F828)</f>
        <v>4</v>
      </c>
      <c r="G829" s="47">
        <f t="shared" ref="G829:H829" si="770">SUM(G803:G828)</f>
        <v>3</v>
      </c>
      <c r="H829" s="58">
        <f t="shared" si="770"/>
        <v>5</v>
      </c>
      <c r="I829" s="45">
        <f t="shared" si="764"/>
        <v>12</v>
      </c>
      <c r="J829" s="45">
        <f>E829+I829</f>
        <v>24</v>
      </c>
      <c r="L829" s="41" t="s">
        <v>17</v>
      </c>
      <c r="M829" s="46">
        <f>SUM(M803:M828)</f>
        <v>19</v>
      </c>
      <c r="N829" s="47">
        <f t="shared" ref="N829:O829" si="771">SUM(N803:N828)</f>
        <v>11</v>
      </c>
      <c r="O829" s="58">
        <f t="shared" si="771"/>
        <v>9</v>
      </c>
      <c r="P829" s="45">
        <f t="shared" ref="P829" si="772">SUM(M829:O829)</f>
        <v>39</v>
      </c>
      <c r="Q829" s="46">
        <f>SUM(Q803:Q828)</f>
        <v>19</v>
      </c>
      <c r="R829" s="47">
        <f t="shared" ref="R829:S829" si="773">SUM(R803:R828)</f>
        <v>11</v>
      </c>
      <c r="S829" s="58">
        <f t="shared" si="773"/>
        <v>9</v>
      </c>
      <c r="T829" s="45">
        <f t="shared" ref="T829" si="774">SUM(Q829:S829)</f>
        <v>39</v>
      </c>
      <c r="U829" s="45">
        <f>P829+T829</f>
        <v>78</v>
      </c>
    </row>
    <row r="830" spans="1:22" ht="14.25" thickBot="1" x14ac:dyDescent="0.2">
      <c r="A830" s="22" t="s">
        <v>16</v>
      </c>
      <c r="B830" s="50">
        <f>B802-B829</f>
        <v>1</v>
      </c>
      <c r="C830" s="56">
        <f t="shared" ref="C830:D830" si="775">C802-C829</f>
        <v>1</v>
      </c>
      <c r="D830" s="57">
        <f t="shared" si="775"/>
        <v>0</v>
      </c>
      <c r="E830" s="55">
        <f>SUM(B830:D830)</f>
        <v>2</v>
      </c>
      <c r="F830" s="50">
        <f>F802-F829</f>
        <v>1</v>
      </c>
      <c r="G830" s="56">
        <f t="shared" ref="G830:H830" si="776">G802-G829</f>
        <v>2</v>
      </c>
      <c r="H830" s="57">
        <f t="shared" si="776"/>
        <v>0</v>
      </c>
      <c r="I830" s="55">
        <f>SUM(F830:H830)</f>
        <v>3</v>
      </c>
      <c r="J830" s="31">
        <f>E830+I830</f>
        <v>5</v>
      </c>
      <c r="L830" s="22" t="s">
        <v>16</v>
      </c>
      <c r="M830" s="50">
        <f>M802-M829</f>
        <v>151</v>
      </c>
      <c r="N830" s="56">
        <f t="shared" ref="N830:O830" si="777">N802-N829</f>
        <v>150</v>
      </c>
      <c r="O830" s="57">
        <f t="shared" si="777"/>
        <v>109</v>
      </c>
      <c r="P830" s="55">
        <f>SUM(M830:O830)</f>
        <v>410</v>
      </c>
      <c r="Q830" s="50">
        <f>Q802-Q829</f>
        <v>151</v>
      </c>
      <c r="R830" s="56">
        <f t="shared" ref="R830:S830" si="778">R802-R829</f>
        <v>150</v>
      </c>
      <c r="S830" s="57">
        <f t="shared" si="778"/>
        <v>109</v>
      </c>
      <c r="T830" s="55">
        <f>SUM(Q830:S830)</f>
        <v>410</v>
      </c>
      <c r="U830" s="31">
        <f>P830+T830</f>
        <v>820</v>
      </c>
    </row>
    <row r="833" spans="1:22" ht="19.5" thickBot="1" x14ac:dyDescent="0.25">
      <c r="A833" s="3" t="s">
        <v>678</v>
      </c>
      <c r="B833" s="1"/>
      <c r="C833" s="1"/>
      <c r="D833" s="1"/>
      <c r="E833" s="1"/>
      <c r="F833" s="1"/>
      <c r="G833" s="1"/>
      <c r="H833" s="1"/>
      <c r="I833" s="1"/>
      <c r="J833" s="1"/>
      <c r="L833" s="3" t="s">
        <v>677</v>
      </c>
      <c r="M833" s="1"/>
      <c r="N833" s="1"/>
      <c r="O833" s="1"/>
      <c r="P833" s="1"/>
      <c r="Q833" s="1"/>
      <c r="R833" s="1"/>
      <c r="S833" s="1"/>
      <c r="T833" s="1"/>
      <c r="U833" s="1"/>
    </row>
    <row r="834" spans="1:22" ht="14.25" thickBot="1" x14ac:dyDescent="0.2">
      <c r="A834" s="7"/>
      <c r="B834" s="169" t="s">
        <v>22</v>
      </c>
      <c r="C834" s="170"/>
      <c r="D834" s="170"/>
      <c r="E834" s="171"/>
      <c r="F834" s="169" t="s">
        <v>23</v>
      </c>
      <c r="G834" s="170"/>
      <c r="H834" s="170"/>
      <c r="I834" s="171"/>
      <c r="J834" s="172" t="s">
        <v>0</v>
      </c>
      <c r="L834" s="7"/>
      <c r="M834" s="169" t="s">
        <v>22</v>
      </c>
      <c r="N834" s="170"/>
      <c r="O834" s="170"/>
      <c r="P834" s="171"/>
      <c r="Q834" s="169" t="s">
        <v>23</v>
      </c>
      <c r="R834" s="170"/>
      <c r="S834" s="170"/>
      <c r="T834" s="171"/>
      <c r="U834" s="172" t="s">
        <v>0</v>
      </c>
    </row>
    <row r="835" spans="1:22" ht="14.25" thickBot="1" x14ac:dyDescent="0.2">
      <c r="A835" s="7" t="s">
        <v>1</v>
      </c>
      <c r="B835" s="4" t="s">
        <v>2</v>
      </c>
      <c r="C835" s="5" t="s">
        <v>3</v>
      </c>
      <c r="D835" s="6" t="s">
        <v>4</v>
      </c>
      <c r="E835" s="7" t="s">
        <v>5</v>
      </c>
      <c r="F835" s="4" t="s">
        <v>2</v>
      </c>
      <c r="G835" s="5" t="s">
        <v>3</v>
      </c>
      <c r="H835" s="6" t="s">
        <v>4</v>
      </c>
      <c r="I835" s="7" t="s">
        <v>5</v>
      </c>
      <c r="J835" s="173"/>
      <c r="L835" s="7" t="s">
        <v>1</v>
      </c>
      <c r="M835" s="4" t="s">
        <v>2</v>
      </c>
      <c r="N835" s="5" t="s">
        <v>3</v>
      </c>
      <c r="O835" s="6" t="s">
        <v>4</v>
      </c>
      <c r="P835" s="7" t="s">
        <v>5</v>
      </c>
      <c r="Q835" s="4" t="s">
        <v>2</v>
      </c>
      <c r="R835" s="5" t="s">
        <v>3</v>
      </c>
      <c r="S835" s="6" t="s">
        <v>4</v>
      </c>
      <c r="T835" s="7" t="s">
        <v>5</v>
      </c>
      <c r="U835" s="173"/>
    </row>
    <row r="836" spans="1:22" ht="14.25" thickBot="1" x14ac:dyDescent="0.2">
      <c r="A836" s="140" t="s">
        <v>16</v>
      </c>
      <c r="B836" s="126">
        <f>B830</f>
        <v>1</v>
      </c>
      <c r="C836" s="126">
        <f t="shared" ref="C836:E836" si="779">C830</f>
        <v>1</v>
      </c>
      <c r="D836" s="127">
        <f t="shared" si="779"/>
        <v>0</v>
      </c>
      <c r="E836" s="38">
        <f t="shared" si="779"/>
        <v>2</v>
      </c>
      <c r="F836" s="126">
        <f>F830</f>
        <v>1</v>
      </c>
      <c r="G836" s="126">
        <f t="shared" ref="G836:J836" si="780">G830</f>
        <v>2</v>
      </c>
      <c r="H836" s="127">
        <f t="shared" si="780"/>
        <v>0</v>
      </c>
      <c r="I836" s="38">
        <f t="shared" si="780"/>
        <v>3</v>
      </c>
      <c r="J836" s="38">
        <f t="shared" si="780"/>
        <v>5</v>
      </c>
      <c r="L836" s="128" t="s">
        <v>16</v>
      </c>
      <c r="M836" s="126">
        <f>M830</f>
        <v>151</v>
      </c>
      <c r="N836" s="126">
        <f t="shared" ref="N836:P836" si="781">N830</f>
        <v>150</v>
      </c>
      <c r="O836" s="127">
        <f t="shared" si="781"/>
        <v>109</v>
      </c>
      <c r="P836" s="31">
        <f t="shared" si="781"/>
        <v>410</v>
      </c>
      <c r="Q836" s="126">
        <f>Q830</f>
        <v>151</v>
      </c>
      <c r="R836" s="126">
        <f t="shared" ref="R836:U836" si="782">R830</f>
        <v>150</v>
      </c>
      <c r="S836" s="127">
        <f t="shared" si="782"/>
        <v>109</v>
      </c>
      <c r="T836" s="31">
        <f t="shared" si="782"/>
        <v>410</v>
      </c>
      <c r="U836" s="28">
        <f t="shared" si="782"/>
        <v>820</v>
      </c>
    </row>
    <row r="837" spans="1:22" x14ac:dyDescent="0.15">
      <c r="A837" s="25" t="s">
        <v>7</v>
      </c>
      <c r="B837" s="42">
        <v>5</v>
      </c>
      <c r="C837" s="43">
        <v>5</v>
      </c>
      <c r="D837" s="44">
        <v>5</v>
      </c>
      <c r="E837" s="48">
        <f>SUM(B837:D837)</f>
        <v>15</v>
      </c>
      <c r="F837" s="59">
        <v>5</v>
      </c>
      <c r="G837" s="43">
        <v>5</v>
      </c>
      <c r="H837" s="60">
        <v>5</v>
      </c>
      <c r="I837" s="48">
        <f>SUM(F837:H837)</f>
        <v>15</v>
      </c>
      <c r="J837" s="48">
        <f>E837+I837</f>
        <v>30</v>
      </c>
      <c r="K837" s="62">
        <v>45199</v>
      </c>
      <c r="L837" s="25" t="s">
        <v>7</v>
      </c>
      <c r="M837" s="17"/>
      <c r="N837" s="18"/>
      <c r="O837" s="51"/>
      <c r="P837" s="49">
        <f t="shared" ref="P837:P840" si="783">SUM(M837:O837)</f>
        <v>0</v>
      </c>
      <c r="Q837" s="20"/>
      <c r="R837" s="18"/>
      <c r="S837" s="19"/>
      <c r="T837" s="49">
        <f t="shared" ref="T837:T840" si="784">SUM(Q837:S837)</f>
        <v>0</v>
      </c>
      <c r="U837" s="11">
        <f t="shared" ref="U837:U840" si="785">P837+T837</f>
        <v>0</v>
      </c>
    </row>
    <row r="838" spans="1:22" x14ac:dyDescent="0.15">
      <c r="A838" s="25" t="s">
        <v>8</v>
      </c>
      <c r="B838" s="8"/>
      <c r="C838" s="9"/>
      <c r="D838" s="52"/>
      <c r="E838" s="11">
        <f>SUM(B838:D838)</f>
        <v>0</v>
      </c>
      <c r="F838" s="12"/>
      <c r="G838" s="9"/>
      <c r="H838" s="10"/>
      <c r="I838" s="11">
        <f>SUM(F838:H838)</f>
        <v>0</v>
      </c>
      <c r="J838" s="11">
        <f>E838+I838</f>
        <v>0</v>
      </c>
      <c r="K838" s="62"/>
      <c r="L838" s="25" t="s">
        <v>8</v>
      </c>
      <c r="M838" s="17"/>
      <c r="N838" s="18"/>
      <c r="O838" s="51"/>
      <c r="P838" s="11">
        <f t="shared" si="783"/>
        <v>0</v>
      </c>
      <c r="Q838" s="17"/>
      <c r="R838" s="18"/>
      <c r="S838" s="51"/>
      <c r="T838" s="11">
        <f t="shared" si="784"/>
        <v>0</v>
      </c>
      <c r="U838" s="11">
        <f t="shared" si="785"/>
        <v>0</v>
      </c>
    </row>
    <row r="839" spans="1:22" x14ac:dyDescent="0.15">
      <c r="A839" s="25" t="s">
        <v>9</v>
      </c>
      <c r="B839" s="17"/>
      <c r="C839" s="18"/>
      <c r="D839" s="51"/>
      <c r="E839" s="11">
        <f t="shared" ref="E839:E844" si="786">SUM(B839:D839)</f>
        <v>0</v>
      </c>
      <c r="F839" s="20"/>
      <c r="G839" s="18"/>
      <c r="H839" s="19"/>
      <c r="I839" s="11">
        <f t="shared" ref="I839:I844" si="787">SUM(F839:H839)</f>
        <v>0</v>
      </c>
      <c r="J839" s="11">
        <f t="shared" ref="J839:J844" si="788">E839+I839</f>
        <v>0</v>
      </c>
      <c r="K839" s="64"/>
      <c r="L839" s="25" t="s">
        <v>9</v>
      </c>
      <c r="M839" s="17"/>
      <c r="N839" s="18"/>
      <c r="O839" s="51"/>
      <c r="P839" s="11">
        <f t="shared" si="783"/>
        <v>0</v>
      </c>
      <c r="Q839" s="17"/>
      <c r="R839" s="18"/>
      <c r="S839" s="51"/>
      <c r="T839" s="11">
        <f t="shared" si="784"/>
        <v>0</v>
      </c>
      <c r="U839" s="11">
        <f t="shared" si="785"/>
        <v>0</v>
      </c>
    </row>
    <row r="840" spans="1:22" x14ac:dyDescent="0.15">
      <c r="A840" s="25" t="s">
        <v>10</v>
      </c>
      <c r="B840" s="8"/>
      <c r="C840" s="9"/>
      <c r="D840" s="52"/>
      <c r="E840" s="11">
        <f t="shared" si="786"/>
        <v>0</v>
      </c>
      <c r="F840" s="12"/>
      <c r="G840" s="9"/>
      <c r="H840" s="10"/>
      <c r="I840" s="11">
        <f t="shared" si="787"/>
        <v>0</v>
      </c>
      <c r="J840" s="11">
        <f t="shared" si="788"/>
        <v>0</v>
      </c>
      <c r="L840" s="25" t="s">
        <v>10</v>
      </c>
      <c r="M840" s="8"/>
      <c r="N840" s="9"/>
      <c r="O840" s="52"/>
      <c r="P840" s="11">
        <f t="shared" si="783"/>
        <v>0</v>
      </c>
      <c r="Q840" s="12"/>
      <c r="R840" s="9"/>
      <c r="S840" s="10"/>
      <c r="T840" s="11">
        <f t="shared" si="784"/>
        <v>0</v>
      </c>
      <c r="U840" s="11">
        <f t="shared" si="785"/>
        <v>0</v>
      </c>
    </row>
    <row r="841" spans="1:22" x14ac:dyDescent="0.15">
      <c r="A841" s="25" t="s">
        <v>11</v>
      </c>
      <c r="B841" s="8"/>
      <c r="C841" s="9"/>
      <c r="D841" s="52"/>
      <c r="E841" s="11">
        <f t="shared" si="786"/>
        <v>0</v>
      </c>
      <c r="F841" s="12"/>
      <c r="G841" s="9"/>
      <c r="H841" s="10"/>
      <c r="I841" s="11">
        <f t="shared" si="787"/>
        <v>0</v>
      </c>
      <c r="J841" s="11">
        <f t="shared" si="788"/>
        <v>0</v>
      </c>
      <c r="L841" s="25" t="s">
        <v>11</v>
      </c>
      <c r="M841" s="8"/>
      <c r="N841" s="9"/>
      <c r="O841" s="52"/>
      <c r="P841" s="11">
        <f>SUM(M841:O841)</f>
        <v>0</v>
      </c>
      <c r="Q841" s="12"/>
      <c r="R841" s="9"/>
      <c r="S841" s="10"/>
      <c r="T841" s="11">
        <f>SUM(Q841:S841)</f>
        <v>0</v>
      </c>
      <c r="U841" s="11">
        <f>P841+T841</f>
        <v>0</v>
      </c>
    </row>
    <row r="842" spans="1:22" x14ac:dyDescent="0.15">
      <c r="A842" s="25" t="s">
        <v>12</v>
      </c>
      <c r="B842" s="8"/>
      <c r="C842" s="9"/>
      <c r="D842" s="52"/>
      <c r="E842" s="11">
        <f t="shared" si="786"/>
        <v>0</v>
      </c>
      <c r="F842" s="12"/>
      <c r="G842" s="9"/>
      <c r="H842" s="10"/>
      <c r="I842" s="11">
        <f t="shared" si="787"/>
        <v>0</v>
      </c>
      <c r="J842" s="11">
        <f t="shared" si="788"/>
        <v>0</v>
      </c>
      <c r="L842" s="25" t="s">
        <v>12</v>
      </c>
      <c r="M842" s="17"/>
      <c r="N842" s="18"/>
      <c r="O842" s="51"/>
      <c r="P842" s="49">
        <f t="shared" ref="P842:P844" si="789">SUM(M842:O842)</f>
        <v>0</v>
      </c>
      <c r="Q842" s="17"/>
      <c r="R842" s="18"/>
      <c r="S842" s="51"/>
      <c r="T842" s="49">
        <f t="shared" ref="T842:T844" si="790">SUM(Q842:S842)</f>
        <v>0</v>
      </c>
      <c r="U842" s="11">
        <f t="shared" ref="U842:U844" si="791">P842+T842</f>
        <v>0</v>
      </c>
    </row>
    <row r="843" spans="1:22" x14ac:dyDescent="0.15">
      <c r="A843" s="25" t="s">
        <v>13</v>
      </c>
      <c r="B843" s="13"/>
      <c r="C843" s="14"/>
      <c r="D843" s="53"/>
      <c r="E843" s="11">
        <f t="shared" si="786"/>
        <v>0</v>
      </c>
      <c r="F843" s="16"/>
      <c r="G843" s="14"/>
      <c r="H843" s="15"/>
      <c r="I843" s="11">
        <f t="shared" si="787"/>
        <v>0</v>
      </c>
      <c r="J843" s="11">
        <f t="shared" si="788"/>
        <v>0</v>
      </c>
      <c r="L843" s="25" t="s">
        <v>13</v>
      </c>
      <c r="M843" s="17"/>
      <c r="N843" s="18"/>
      <c r="O843" s="51"/>
      <c r="P843" s="49">
        <f t="shared" ref="P843" si="792">SUM(M843:O843)</f>
        <v>0</v>
      </c>
      <c r="Q843" s="17"/>
      <c r="R843" s="18"/>
      <c r="S843" s="51"/>
      <c r="T843" s="49">
        <f t="shared" ref="T843" si="793">SUM(Q843:S843)</f>
        <v>0</v>
      </c>
      <c r="U843" s="11">
        <f t="shared" ref="U843" si="794">P843+T843</f>
        <v>0</v>
      </c>
    </row>
    <row r="844" spans="1:22" ht="14.25" thickBot="1" x14ac:dyDescent="0.2">
      <c r="A844" s="25" t="s">
        <v>14</v>
      </c>
      <c r="B844" s="32"/>
      <c r="C844" s="33"/>
      <c r="D844" s="54"/>
      <c r="E844" s="61">
        <f t="shared" si="786"/>
        <v>0</v>
      </c>
      <c r="F844" s="34"/>
      <c r="G844" s="34"/>
      <c r="H844" s="37"/>
      <c r="I844" s="61">
        <f t="shared" si="787"/>
        <v>0</v>
      </c>
      <c r="J844" s="21">
        <f t="shared" si="788"/>
        <v>0</v>
      </c>
      <c r="L844" s="25" t="s">
        <v>14</v>
      </c>
      <c r="M844" s="32"/>
      <c r="N844" s="33"/>
      <c r="O844" s="54"/>
      <c r="P844" s="61">
        <f t="shared" si="789"/>
        <v>0</v>
      </c>
      <c r="Q844" s="34"/>
      <c r="R844" s="34"/>
      <c r="S844" s="37"/>
      <c r="T844" s="61">
        <f t="shared" si="790"/>
        <v>0</v>
      </c>
      <c r="U844" s="21">
        <f t="shared" si="791"/>
        <v>0</v>
      </c>
    </row>
    <row r="845" spans="1:22" ht="14.25" thickBot="1" x14ac:dyDescent="0.2">
      <c r="A845" s="35" t="s">
        <v>15</v>
      </c>
      <c r="B845" s="28">
        <f>SUM(B836:B844)</f>
        <v>6</v>
      </c>
      <c r="C845" s="29">
        <f>SUM(C836:C844)</f>
        <v>6</v>
      </c>
      <c r="D845" s="30">
        <f>SUM(D836:D844)</f>
        <v>5</v>
      </c>
      <c r="E845" s="31">
        <f>SUM(B845:D845)</f>
        <v>17</v>
      </c>
      <c r="F845" s="28">
        <f>SUM(F836:F844)</f>
        <v>6</v>
      </c>
      <c r="G845" s="29">
        <f>SUM(G836:G844)</f>
        <v>7</v>
      </c>
      <c r="H845" s="30">
        <f>SUM(H836:H844)</f>
        <v>5</v>
      </c>
      <c r="I845" s="31">
        <f>SUM(F845:H845)</f>
        <v>18</v>
      </c>
      <c r="J845" s="31">
        <f>E845+I845</f>
        <v>35</v>
      </c>
      <c r="L845" s="35" t="s">
        <v>15</v>
      </c>
      <c r="M845" s="28">
        <f>SUM(M836:M844)</f>
        <v>151</v>
      </c>
      <c r="N845" s="29">
        <f>SUM(N836:N844)</f>
        <v>150</v>
      </c>
      <c r="O845" s="30">
        <f>SUM(O836:O844)</f>
        <v>109</v>
      </c>
      <c r="P845" s="31">
        <f>SUM(M845:O845)</f>
        <v>410</v>
      </c>
      <c r="Q845" s="28">
        <f>SUM(Q836:Q844)</f>
        <v>151</v>
      </c>
      <c r="R845" s="29">
        <f>SUM(R836:R844)</f>
        <v>150</v>
      </c>
      <c r="S845" s="30">
        <f>SUM(S836:S844)</f>
        <v>109</v>
      </c>
      <c r="T845" s="31">
        <f>SUM(Q845:S845)</f>
        <v>410</v>
      </c>
      <c r="U845" s="31">
        <f>P845+T845</f>
        <v>820</v>
      </c>
    </row>
    <row r="846" spans="1:22" x14ac:dyDescent="0.15">
      <c r="A846" s="26" t="s">
        <v>832</v>
      </c>
      <c r="B846" s="13">
        <v>1</v>
      </c>
      <c r="C846" s="14"/>
      <c r="D846" s="15"/>
      <c r="E846" s="49">
        <f>SUM(B846:D846)</f>
        <v>1</v>
      </c>
      <c r="F846" s="16">
        <v>1</v>
      </c>
      <c r="G846" s="14"/>
      <c r="H846" s="15"/>
      <c r="I846" s="49">
        <f>SUM(F846:H846)</f>
        <v>1</v>
      </c>
      <c r="J846" s="11">
        <f>E846+I846</f>
        <v>2</v>
      </c>
      <c r="K846" s="62">
        <v>45217</v>
      </c>
      <c r="L846" s="26" t="s">
        <v>811</v>
      </c>
      <c r="M846" s="8">
        <v>1</v>
      </c>
      <c r="N846" s="9"/>
      <c r="O846" s="52">
        <v>1</v>
      </c>
      <c r="P846" s="87">
        <f t="shared" ref="P846:P872" si="795">SUM(M846:O846)</f>
        <v>2</v>
      </c>
      <c r="Q846" s="12">
        <v>1</v>
      </c>
      <c r="R846" s="9"/>
      <c r="S846" s="10">
        <v>1</v>
      </c>
      <c r="T846" s="49">
        <f t="shared" ref="T846:T872" si="796">SUM(Q846:S846)</f>
        <v>2</v>
      </c>
      <c r="U846" s="11">
        <f t="shared" ref="U846:U866" si="797">P846+T846</f>
        <v>4</v>
      </c>
      <c r="V846" s="98">
        <v>45196</v>
      </c>
    </row>
    <row r="847" spans="1:22" x14ac:dyDescent="0.15">
      <c r="A847" s="26" t="s">
        <v>846</v>
      </c>
      <c r="B847" s="8">
        <v>1</v>
      </c>
      <c r="C847" s="9"/>
      <c r="D847" s="10"/>
      <c r="E847" s="49">
        <f t="shared" ref="E847:E848" si="798">SUM(B847:D847)</f>
        <v>1</v>
      </c>
      <c r="F847" s="12">
        <v>1</v>
      </c>
      <c r="G847" s="9"/>
      <c r="H847" s="10"/>
      <c r="I847" s="49">
        <f t="shared" ref="I847:I848" si="799">SUM(F847:H847)</f>
        <v>1</v>
      </c>
      <c r="J847" s="11">
        <f t="shared" ref="J847:J848" si="800">E847+I847</f>
        <v>2</v>
      </c>
      <c r="K847" s="62">
        <v>45229</v>
      </c>
      <c r="L847" s="26" t="s">
        <v>813</v>
      </c>
      <c r="M847" s="8">
        <v>1</v>
      </c>
      <c r="N847" s="9"/>
      <c r="O847" s="52"/>
      <c r="P847" s="87">
        <f t="shared" si="795"/>
        <v>1</v>
      </c>
      <c r="Q847" s="12">
        <v>1</v>
      </c>
      <c r="R847" s="9"/>
      <c r="S847" s="10"/>
      <c r="T847" s="49">
        <f t="shared" si="796"/>
        <v>1</v>
      </c>
      <c r="U847" s="11">
        <f t="shared" si="797"/>
        <v>2</v>
      </c>
      <c r="V847" s="98">
        <v>45197</v>
      </c>
    </row>
    <row r="848" spans="1:22" x14ac:dyDescent="0.15">
      <c r="A848" s="26" t="s">
        <v>848</v>
      </c>
      <c r="B848" s="8">
        <v>2</v>
      </c>
      <c r="C848" s="9"/>
      <c r="D848" s="10">
        <v>1</v>
      </c>
      <c r="E848" s="49">
        <f t="shared" si="798"/>
        <v>3</v>
      </c>
      <c r="F848" s="12">
        <v>2</v>
      </c>
      <c r="G848" s="9"/>
      <c r="H848" s="10">
        <v>1</v>
      </c>
      <c r="I848" s="49">
        <f t="shared" si="799"/>
        <v>3</v>
      </c>
      <c r="J848" s="11">
        <f t="shared" si="800"/>
        <v>6</v>
      </c>
      <c r="K848" s="62">
        <v>45230</v>
      </c>
      <c r="L848" s="26" t="s">
        <v>815</v>
      </c>
      <c r="M848" s="8">
        <v>8</v>
      </c>
      <c r="N848" s="9"/>
      <c r="O848" s="52">
        <v>1</v>
      </c>
      <c r="P848" s="87">
        <f t="shared" si="795"/>
        <v>9</v>
      </c>
      <c r="Q848" s="12">
        <v>8</v>
      </c>
      <c r="R848" s="9"/>
      <c r="S848" s="10">
        <v>1</v>
      </c>
      <c r="T848" s="49">
        <f t="shared" si="796"/>
        <v>9</v>
      </c>
      <c r="U848" s="11">
        <f t="shared" si="797"/>
        <v>18</v>
      </c>
      <c r="V848" s="98">
        <v>45198</v>
      </c>
    </row>
    <row r="849" spans="1:23" x14ac:dyDescent="0.15">
      <c r="A849" s="26"/>
      <c r="B849" s="13"/>
      <c r="C849" s="14"/>
      <c r="D849" s="15"/>
      <c r="E849" s="49">
        <f>SUM(B849:D849)</f>
        <v>0</v>
      </c>
      <c r="F849" s="16"/>
      <c r="G849" s="14"/>
      <c r="H849" s="15"/>
      <c r="I849" s="49">
        <f>SUM(F849:H849)</f>
        <v>0</v>
      </c>
      <c r="J849" s="11">
        <f>E849+I849</f>
        <v>0</v>
      </c>
      <c r="K849" s="64"/>
      <c r="L849" s="26" t="s">
        <v>816</v>
      </c>
      <c r="M849" s="8"/>
      <c r="N849" s="9">
        <v>1</v>
      </c>
      <c r="O849" s="52"/>
      <c r="P849" s="87">
        <f t="shared" si="795"/>
        <v>1</v>
      </c>
      <c r="Q849" s="12"/>
      <c r="R849" s="9">
        <v>1</v>
      </c>
      <c r="S849" s="10"/>
      <c r="T849" s="49">
        <f t="shared" si="796"/>
        <v>1</v>
      </c>
      <c r="U849" s="11">
        <f t="shared" si="797"/>
        <v>2</v>
      </c>
      <c r="V849" s="98">
        <v>45201</v>
      </c>
    </row>
    <row r="850" spans="1:23" x14ac:dyDescent="0.15">
      <c r="A850" s="26"/>
      <c r="B850" s="8"/>
      <c r="C850" s="9"/>
      <c r="D850" s="10"/>
      <c r="E850" s="49">
        <f t="shared" ref="E850:E872" si="801">SUM(B850:D850)</f>
        <v>0</v>
      </c>
      <c r="F850" s="12"/>
      <c r="G850" s="9"/>
      <c r="H850" s="10"/>
      <c r="I850" s="49">
        <f t="shared" ref="I850:I872" si="802">SUM(F850:H850)</f>
        <v>0</v>
      </c>
      <c r="J850" s="11">
        <f t="shared" ref="J850:J870" si="803">E850+I850</f>
        <v>0</v>
      </c>
      <c r="L850" s="142" t="s">
        <v>817</v>
      </c>
      <c r="M850" s="8">
        <v>5</v>
      </c>
      <c r="N850" s="9">
        <v>5</v>
      </c>
      <c r="O850" s="52">
        <v>5</v>
      </c>
      <c r="P850" s="87">
        <f>SUM(M850:O850)</f>
        <v>15</v>
      </c>
      <c r="Q850" s="12">
        <v>5</v>
      </c>
      <c r="R850" s="9">
        <v>5</v>
      </c>
      <c r="S850" s="10">
        <v>5</v>
      </c>
      <c r="T850" s="49">
        <f>SUM(Q850:S850)</f>
        <v>15</v>
      </c>
      <c r="U850" s="11">
        <f>P850+T850</f>
        <v>30</v>
      </c>
      <c r="V850" s="98">
        <v>45199</v>
      </c>
    </row>
    <row r="851" spans="1:23" x14ac:dyDescent="0.15">
      <c r="A851" s="26"/>
      <c r="B851" s="8"/>
      <c r="C851" s="9"/>
      <c r="D851" s="10"/>
      <c r="E851" s="49">
        <f t="shared" si="801"/>
        <v>0</v>
      </c>
      <c r="F851" s="12"/>
      <c r="G851" s="9"/>
      <c r="H851" s="10"/>
      <c r="I851" s="49">
        <f t="shared" si="802"/>
        <v>0</v>
      </c>
      <c r="J851" s="11">
        <f t="shared" si="803"/>
        <v>0</v>
      </c>
      <c r="L851" s="26" t="s">
        <v>818</v>
      </c>
      <c r="M851" s="8"/>
      <c r="N851" s="9">
        <v>1</v>
      </c>
      <c r="O851" s="52">
        <v>8</v>
      </c>
      <c r="P851" s="87">
        <f t="shared" si="795"/>
        <v>9</v>
      </c>
      <c r="Q851" s="12"/>
      <c r="R851" s="9">
        <v>1</v>
      </c>
      <c r="S851" s="10">
        <v>8</v>
      </c>
      <c r="T851" s="49">
        <f t="shared" si="796"/>
        <v>9</v>
      </c>
      <c r="U851" s="11">
        <f t="shared" si="797"/>
        <v>18</v>
      </c>
      <c r="V851" s="98">
        <v>45202</v>
      </c>
    </row>
    <row r="852" spans="1:23" x14ac:dyDescent="0.15">
      <c r="A852" s="26"/>
      <c r="B852" s="8"/>
      <c r="C852" s="9"/>
      <c r="D852" s="10"/>
      <c r="E852" s="49">
        <f t="shared" si="801"/>
        <v>0</v>
      </c>
      <c r="F852" s="12"/>
      <c r="G852" s="9"/>
      <c r="H852" s="10"/>
      <c r="I852" s="49">
        <f t="shared" si="802"/>
        <v>0</v>
      </c>
      <c r="J852" s="11">
        <f t="shared" si="803"/>
        <v>0</v>
      </c>
      <c r="L852" s="26" t="s">
        <v>820</v>
      </c>
      <c r="M852" s="8"/>
      <c r="N852" s="9">
        <v>3</v>
      </c>
      <c r="O852" s="52">
        <v>6</v>
      </c>
      <c r="P852" s="87">
        <f t="shared" si="795"/>
        <v>9</v>
      </c>
      <c r="Q852" s="12"/>
      <c r="R852" s="9">
        <v>3</v>
      </c>
      <c r="S852" s="10">
        <v>6</v>
      </c>
      <c r="T852" s="49">
        <f t="shared" si="796"/>
        <v>9</v>
      </c>
      <c r="U852" s="11">
        <f t="shared" si="797"/>
        <v>18</v>
      </c>
      <c r="V852" s="98">
        <v>45203</v>
      </c>
    </row>
    <row r="853" spans="1:23" x14ac:dyDescent="0.15">
      <c r="A853" s="26"/>
      <c r="B853" s="8"/>
      <c r="C853" s="9"/>
      <c r="D853" s="10"/>
      <c r="E853" s="49">
        <f t="shared" si="801"/>
        <v>0</v>
      </c>
      <c r="F853" s="12"/>
      <c r="G853" s="9"/>
      <c r="H853" s="10"/>
      <c r="I853" s="49">
        <f t="shared" si="802"/>
        <v>0</v>
      </c>
      <c r="J853" s="11">
        <f t="shared" si="803"/>
        <v>0</v>
      </c>
      <c r="L853" s="26" t="s">
        <v>821</v>
      </c>
      <c r="M853" s="8">
        <v>2</v>
      </c>
      <c r="N853" s="9">
        <v>3</v>
      </c>
      <c r="O853" s="52">
        <v>3</v>
      </c>
      <c r="P853" s="87">
        <f t="shared" si="795"/>
        <v>8</v>
      </c>
      <c r="Q853" s="12">
        <v>2</v>
      </c>
      <c r="R853" s="9">
        <v>3</v>
      </c>
      <c r="S853" s="10">
        <v>3</v>
      </c>
      <c r="T853" s="49">
        <f t="shared" si="796"/>
        <v>8</v>
      </c>
      <c r="U853" s="11">
        <f t="shared" si="797"/>
        <v>16</v>
      </c>
      <c r="V853" s="98">
        <v>45204</v>
      </c>
    </row>
    <row r="854" spans="1:23" x14ac:dyDescent="0.15">
      <c r="A854" s="26"/>
      <c r="B854" s="8"/>
      <c r="C854" s="9"/>
      <c r="D854" s="10"/>
      <c r="E854" s="49">
        <f t="shared" si="801"/>
        <v>0</v>
      </c>
      <c r="F854" s="12"/>
      <c r="G854" s="9"/>
      <c r="H854" s="10"/>
      <c r="I854" s="49">
        <f t="shared" si="802"/>
        <v>0</v>
      </c>
      <c r="J854" s="11">
        <f t="shared" si="803"/>
        <v>0</v>
      </c>
      <c r="L854" s="26" t="s">
        <v>822</v>
      </c>
      <c r="M854" s="8">
        <v>6</v>
      </c>
      <c r="N854" s="9">
        <v>4</v>
      </c>
      <c r="O854" s="52">
        <v>2</v>
      </c>
      <c r="P854" s="87">
        <f t="shared" si="795"/>
        <v>12</v>
      </c>
      <c r="Q854" s="12">
        <v>6</v>
      </c>
      <c r="R854" s="9">
        <v>4</v>
      </c>
      <c r="S854" s="10">
        <v>2</v>
      </c>
      <c r="T854" s="49">
        <f t="shared" si="796"/>
        <v>12</v>
      </c>
      <c r="U854" s="11">
        <f t="shared" si="797"/>
        <v>24</v>
      </c>
      <c r="V854" s="98">
        <v>45205</v>
      </c>
    </row>
    <row r="855" spans="1:23" x14ac:dyDescent="0.15">
      <c r="A855" s="26"/>
      <c r="B855" s="13"/>
      <c r="C855" s="14"/>
      <c r="D855" s="15"/>
      <c r="E855" s="49">
        <f t="shared" si="801"/>
        <v>0</v>
      </c>
      <c r="F855" s="16"/>
      <c r="G855" s="14"/>
      <c r="H855" s="15"/>
      <c r="I855" s="49">
        <f t="shared" si="802"/>
        <v>0</v>
      </c>
      <c r="J855" s="11">
        <f t="shared" si="803"/>
        <v>0</v>
      </c>
      <c r="L855" s="26" t="s">
        <v>823</v>
      </c>
      <c r="M855" s="8">
        <v>1</v>
      </c>
      <c r="N855" s="9">
        <v>4</v>
      </c>
      <c r="O855" s="52">
        <v>2</v>
      </c>
      <c r="P855" s="87">
        <f t="shared" si="795"/>
        <v>7</v>
      </c>
      <c r="Q855" s="12">
        <v>1</v>
      </c>
      <c r="R855" s="9">
        <v>4</v>
      </c>
      <c r="S855" s="10">
        <v>2</v>
      </c>
      <c r="T855" s="49">
        <f t="shared" si="796"/>
        <v>7</v>
      </c>
      <c r="U855" s="11">
        <f t="shared" si="797"/>
        <v>14</v>
      </c>
      <c r="V855" s="98">
        <v>45209</v>
      </c>
    </row>
    <row r="856" spans="1:23" x14ac:dyDescent="0.15">
      <c r="A856" s="26"/>
      <c r="B856" s="8"/>
      <c r="C856" s="9"/>
      <c r="D856" s="10"/>
      <c r="E856" s="49">
        <f t="shared" si="801"/>
        <v>0</v>
      </c>
      <c r="F856" s="12"/>
      <c r="G856" s="9"/>
      <c r="H856" s="10"/>
      <c r="I856" s="49">
        <f t="shared" si="802"/>
        <v>0</v>
      </c>
      <c r="J856" s="11">
        <f t="shared" si="803"/>
        <v>0</v>
      </c>
      <c r="L856" s="26" t="s">
        <v>826</v>
      </c>
      <c r="M856" s="8">
        <v>6</v>
      </c>
      <c r="N856" s="9">
        <v>6</v>
      </c>
      <c r="O856" s="52"/>
      <c r="P856" s="87">
        <f t="shared" si="795"/>
        <v>12</v>
      </c>
      <c r="Q856" s="12">
        <v>6</v>
      </c>
      <c r="R856" s="9">
        <v>6</v>
      </c>
      <c r="S856" s="10"/>
      <c r="T856" s="49">
        <f t="shared" si="796"/>
        <v>12</v>
      </c>
      <c r="U856" s="11">
        <f t="shared" si="797"/>
        <v>24</v>
      </c>
      <c r="V856" s="98">
        <v>45210</v>
      </c>
      <c r="W856" s="66"/>
    </row>
    <row r="857" spans="1:23" x14ac:dyDescent="0.15">
      <c r="A857" s="26"/>
      <c r="B857" s="8"/>
      <c r="C857" s="9"/>
      <c r="D857" s="10"/>
      <c r="E857" s="49">
        <f t="shared" si="801"/>
        <v>0</v>
      </c>
      <c r="F857" s="12"/>
      <c r="G857" s="9"/>
      <c r="H857" s="10"/>
      <c r="I857" s="49">
        <f t="shared" si="802"/>
        <v>0</v>
      </c>
      <c r="J857" s="11">
        <f t="shared" si="803"/>
        <v>0</v>
      </c>
      <c r="L857" s="26" t="s">
        <v>827</v>
      </c>
      <c r="M857" s="8">
        <v>7</v>
      </c>
      <c r="N857" s="9">
        <v>4</v>
      </c>
      <c r="O857" s="52">
        <v>4</v>
      </c>
      <c r="P857" s="87">
        <f t="shared" si="795"/>
        <v>15</v>
      </c>
      <c r="Q857" s="12">
        <v>7</v>
      </c>
      <c r="R857" s="9">
        <v>4</v>
      </c>
      <c r="S857" s="10">
        <v>4</v>
      </c>
      <c r="T857" s="49">
        <f t="shared" si="796"/>
        <v>15</v>
      </c>
      <c r="U857" s="11">
        <f t="shared" si="797"/>
        <v>30</v>
      </c>
      <c r="V857" s="98">
        <v>45211</v>
      </c>
    </row>
    <row r="858" spans="1:23" x14ac:dyDescent="0.15">
      <c r="A858" s="26"/>
      <c r="B858" s="8"/>
      <c r="C858" s="9"/>
      <c r="D858" s="10"/>
      <c r="E858" s="49">
        <f t="shared" si="801"/>
        <v>0</v>
      </c>
      <c r="F858" s="12"/>
      <c r="G858" s="9"/>
      <c r="H858" s="10"/>
      <c r="I858" s="49">
        <f t="shared" si="802"/>
        <v>0</v>
      </c>
      <c r="J858" s="11">
        <f t="shared" si="803"/>
        <v>0</v>
      </c>
      <c r="L858" s="26" t="s">
        <v>828</v>
      </c>
      <c r="M858" s="8">
        <v>1</v>
      </c>
      <c r="N858" s="9">
        <v>1</v>
      </c>
      <c r="O858" s="52">
        <v>2</v>
      </c>
      <c r="P858" s="87">
        <f t="shared" si="795"/>
        <v>4</v>
      </c>
      <c r="Q858" s="12">
        <v>1</v>
      </c>
      <c r="R858" s="9">
        <v>1</v>
      </c>
      <c r="S858" s="10">
        <v>2</v>
      </c>
      <c r="T858" s="49">
        <f t="shared" si="796"/>
        <v>4</v>
      </c>
      <c r="U858" s="11">
        <f t="shared" si="797"/>
        <v>8</v>
      </c>
      <c r="V858" s="98">
        <v>45212</v>
      </c>
    </row>
    <row r="859" spans="1:23" x14ac:dyDescent="0.15">
      <c r="A859" s="26"/>
      <c r="B859" s="8"/>
      <c r="C859" s="9"/>
      <c r="D859" s="10"/>
      <c r="E859" s="49">
        <f t="shared" si="801"/>
        <v>0</v>
      </c>
      <c r="F859" s="12"/>
      <c r="G859" s="9"/>
      <c r="H859" s="10"/>
      <c r="I859" s="49">
        <f t="shared" si="802"/>
        <v>0</v>
      </c>
      <c r="J859" s="11">
        <f t="shared" si="803"/>
        <v>0</v>
      </c>
      <c r="L859" s="26" t="s">
        <v>829</v>
      </c>
      <c r="M859" s="8"/>
      <c r="N859" s="9">
        <v>2</v>
      </c>
      <c r="O859" s="52">
        <v>1</v>
      </c>
      <c r="P859" s="87">
        <f t="shared" si="795"/>
        <v>3</v>
      </c>
      <c r="Q859" s="12"/>
      <c r="R859" s="9">
        <v>2</v>
      </c>
      <c r="S859" s="10">
        <v>1</v>
      </c>
      <c r="T859" s="49">
        <f t="shared" si="796"/>
        <v>3</v>
      </c>
      <c r="U859" s="11">
        <f t="shared" si="797"/>
        <v>6</v>
      </c>
      <c r="V859" s="98">
        <v>45215</v>
      </c>
    </row>
    <row r="860" spans="1:23" x14ac:dyDescent="0.15">
      <c r="A860" s="26"/>
      <c r="B860" s="8"/>
      <c r="C860" s="9"/>
      <c r="D860" s="10"/>
      <c r="E860" s="49">
        <f t="shared" si="801"/>
        <v>0</v>
      </c>
      <c r="F860" s="12"/>
      <c r="G860" s="9"/>
      <c r="H860" s="10"/>
      <c r="I860" s="49">
        <f t="shared" si="802"/>
        <v>0</v>
      </c>
      <c r="J860" s="11">
        <f t="shared" si="803"/>
        <v>0</v>
      </c>
      <c r="L860" s="26" t="s">
        <v>830</v>
      </c>
      <c r="M860" s="8">
        <v>3</v>
      </c>
      <c r="N860" s="9">
        <v>2</v>
      </c>
      <c r="O860" s="52"/>
      <c r="P860" s="87">
        <f t="shared" si="795"/>
        <v>5</v>
      </c>
      <c r="Q860" s="12">
        <v>3</v>
      </c>
      <c r="R860" s="9">
        <v>2</v>
      </c>
      <c r="S860" s="10"/>
      <c r="T860" s="49">
        <f t="shared" si="796"/>
        <v>5</v>
      </c>
      <c r="U860" s="11">
        <f t="shared" si="797"/>
        <v>10</v>
      </c>
      <c r="V860" s="98">
        <v>45216</v>
      </c>
    </row>
    <row r="861" spans="1:23" x14ac:dyDescent="0.15">
      <c r="A861" s="26"/>
      <c r="B861" s="8"/>
      <c r="C861" s="9"/>
      <c r="D861" s="10"/>
      <c r="E861" s="49">
        <f t="shared" si="801"/>
        <v>0</v>
      </c>
      <c r="F861" s="12"/>
      <c r="G861" s="9"/>
      <c r="H861" s="10"/>
      <c r="I861" s="49">
        <f t="shared" si="802"/>
        <v>0</v>
      </c>
      <c r="J861" s="11">
        <f t="shared" si="803"/>
        <v>0</v>
      </c>
      <c r="L861" s="26" t="s">
        <v>833</v>
      </c>
      <c r="M861" s="8">
        <v>2</v>
      </c>
      <c r="N861" s="9">
        <v>2</v>
      </c>
      <c r="O861" s="52"/>
      <c r="P861" s="87">
        <f t="shared" si="795"/>
        <v>4</v>
      </c>
      <c r="Q861" s="12">
        <v>2</v>
      </c>
      <c r="R861" s="9">
        <v>2</v>
      </c>
      <c r="S861" s="10"/>
      <c r="T861" s="49">
        <f t="shared" si="796"/>
        <v>4</v>
      </c>
      <c r="U861" s="11">
        <f t="shared" si="797"/>
        <v>8</v>
      </c>
      <c r="V861" s="98">
        <v>45217</v>
      </c>
    </row>
    <row r="862" spans="1:23" x14ac:dyDescent="0.15">
      <c r="A862" s="26"/>
      <c r="B862" s="8"/>
      <c r="C862" s="9"/>
      <c r="D862" s="10"/>
      <c r="E862" s="49">
        <f t="shared" si="801"/>
        <v>0</v>
      </c>
      <c r="F862" s="12"/>
      <c r="G862" s="9"/>
      <c r="H862" s="10"/>
      <c r="I862" s="49">
        <f t="shared" si="802"/>
        <v>0</v>
      </c>
      <c r="J862" s="11">
        <f t="shared" si="803"/>
        <v>0</v>
      </c>
      <c r="L862" s="26" t="s">
        <v>837</v>
      </c>
      <c r="M862" s="8">
        <v>2</v>
      </c>
      <c r="N862" s="9">
        <v>1</v>
      </c>
      <c r="O862" s="52"/>
      <c r="P862" s="87">
        <f t="shared" si="795"/>
        <v>3</v>
      </c>
      <c r="Q862" s="12">
        <v>2</v>
      </c>
      <c r="R862" s="9">
        <v>1</v>
      </c>
      <c r="S862" s="10"/>
      <c r="T862" s="49">
        <f t="shared" si="796"/>
        <v>3</v>
      </c>
      <c r="U862" s="11">
        <f t="shared" si="797"/>
        <v>6</v>
      </c>
      <c r="V862" s="98">
        <v>45218</v>
      </c>
    </row>
    <row r="863" spans="1:23" x14ac:dyDescent="0.15">
      <c r="A863" s="24"/>
      <c r="B863" s="8"/>
      <c r="C863" s="9"/>
      <c r="D863" s="10"/>
      <c r="E863" s="49">
        <f t="shared" si="801"/>
        <v>0</v>
      </c>
      <c r="F863" s="12"/>
      <c r="G863" s="9"/>
      <c r="H863" s="10"/>
      <c r="I863" s="49">
        <f t="shared" si="802"/>
        <v>0</v>
      </c>
      <c r="J863" s="11">
        <f t="shared" si="803"/>
        <v>0</v>
      </c>
      <c r="L863" s="26" t="s">
        <v>838</v>
      </c>
      <c r="M863" s="8">
        <v>3</v>
      </c>
      <c r="N863" s="9"/>
      <c r="O863" s="52"/>
      <c r="P863" s="87">
        <f t="shared" si="795"/>
        <v>3</v>
      </c>
      <c r="Q863" s="12">
        <v>3</v>
      </c>
      <c r="R863" s="9"/>
      <c r="S863" s="10"/>
      <c r="T863" s="49">
        <f t="shared" si="796"/>
        <v>3</v>
      </c>
      <c r="U863" s="11">
        <f t="shared" si="797"/>
        <v>6</v>
      </c>
      <c r="V863" s="98">
        <v>45219</v>
      </c>
    </row>
    <row r="864" spans="1:23" x14ac:dyDescent="0.15">
      <c r="A864" s="25"/>
      <c r="B864" s="8"/>
      <c r="C864" s="9"/>
      <c r="D864" s="10"/>
      <c r="E864" s="49">
        <f t="shared" si="801"/>
        <v>0</v>
      </c>
      <c r="F864" s="12"/>
      <c r="G864" s="9"/>
      <c r="H864" s="10"/>
      <c r="I864" s="49">
        <f t="shared" si="802"/>
        <v>0</v>
      </c>
      <c r="J864" s="11">
        <f t="shared" si="803"/>
        <v>0</v>
      </c>
      <c r="L864" s="26" t="s">
        <v>839</v>
      </c>
      <c r="M864" s="8">
        <v>2</v>
      </c>
      <c r="N864" s="9"/>
      <c r="O864" s="52"/>
      <c r="P864" s="87">
        <f t="shared" si="795"/>
        <v>2</v>
      </c>
      <c r="Q864" s="12">
        <v>2</v>
      </c>
      <c r="R864" s="9"/>
      <c r="S864" s="10"/>
      <c r="T864" s="49">
        <f t="shared" si="796"/>
        <v>2</v>
      </c>
      <c r="U864" s="11">
        <f t="shared" si="797"/>
        <v>4</v>
      </c>
      <c r="V864" s="98">
        <v>45222</v>
      </c>
    </row>
    <row r="865" spans="1:24" x14ac:dyDescent="0.15">
      <c r="A865" s="26"/>
      <c r="B865" s="8"/>
      <c r="C865" s="9"/>
      <c r="D865" s="10"/>
      <c r="E865" s="49">
        <f t="shared" si="801"/>
        <v>0</v>
      </c>
      <c r="F865" s="12"/>
      <c r="G865" s="9"/>
      <c r="H865" s="10"/>
      <c r="I865" s="49">
        <f t="shared" si="802"/>
        <v>0</v>
      </c>
      <c r="J865" s="11">
        <f t="shared" si="803"/>
        <v>0</v>
      </c>
      <c r="L865" s="26" t="s">
        <v>842</v>
      </c>
      <c r="M865" s="8">
        <v>2</v>
      </c>
      <c r="N865" s="9"/>
      <c r="O865" s="52"/>
      <c r="P865" s="87">
        <f t="shared" si="795"/>
        <v>2</v>
      </c>
      <c r="Q865" s="12">
        <v>2</v>
      </c>
      <c r="R865" s="9"/>
      <c r="S865" s="10"/>
      <c r="T865" s="49">
        <f t="shared" si="796"/>
        <v>2</v>
      </c>
      <c r="U865" s="11">
        <f t="shared" si="797"/>
        <v>4</v>
      </c>
      <c r="V865" s="98">
        <v>45224</v>
      </c>
    </row>
    <row r="866" spans="1:24" x14ac:dyDescent="0.15">
      <c r="A866" s="24"/>
      <c r="B866" s="8"/>
      <c r="C866" s="9"/>
      <c r="D866" s="10"/>
      <c r="E866" s="49">
        <f t="shared" si="801"/>
        <v>0</v>
      </c>
      <c r="F866" s="12"/>
      <c r="G866" s="9"/>
      <c r="H866" s="10"/>
      <c r="I866" s="49">
        <f t="shared" si="802"/>
        <v>0</v>
      </c>
      <c r="J866" s="11">
        <f t="shared" si="803"/>
        <v>0</v>
      </c>
      <c r="L866" s="26" t="s">
        <v>844</v>
      </c>
      <c r="M866" s="8"/>
      <c r="N866" s="9">
        <v>1</v>
      </c>
      <c r="O866" s="52">
        <v>3</v>
      </c>
      <c r="P866" s="87">
        <f t="shared" si="795"/>
        <v>4</v>
      </c>
      <c r="Q866" s="12"/>
      <c r="R866" s="9">
        <v>1</v>
      </c>
      <c r="S866" s="10">
        <v>3</v>
      </c>
      <c r="T866" s="49">
        <f t="shared" si="796"/>
        <v>4</v>
      </c>
      <c r="U866" s="11">
        <f t="shared" si="797"/>
        <v>8</v>
      </c>
      <c r="V866" s="98">
        <v>45225</v>
      </c>
    </row>
    <row r="867" spans="1:24" x14ac:dyDescent="0.15">
      <c r="B867" s="13"/>
      <c r="C867" s="14"/>
      <c r="D867" s="15"/>
      <c r="E867" s="49">
        <f t="shared" si="801"/>
        <v>0</v>
      </c>
      <c r="F867" s="16"/>
      <c r="G867" s="14"/>
      <c r="H867" s="15"/>
      <c r="I867" s="49">
        <f t="shared" si="802"/>
        <v>0</v>
      </c>
      <c r="J867" s="11">
        <f t="shared" si="803"/>
        <v>0</v>
      </c>
      <c r="L867" s="26" t="s">
        <v>850</v>
      </c>
      <c r="M867" s="8">
        <v>2</v>
      </c>
      <c r="N867" s="9"/>
      <c r="O867" s="52"/>
      <c r="P867" s="87">
        <f t="shared" ref="P867:P868" si="804">SUM(M867:O867)</f>
        <v>2</v>
      </c>
      <c r="Q867" s="12">
        <v>2</v>
      </c>
      <c r="R867" s="9"/>
      <c r="S867" s="10"/>
      <c r="T867" s="49">
        <f t="shared" ref="T867:T868" si="805">SUM(Q867:S867)</f>
        <v>2</v>
      </c>
      <c r="U867" s="11">
        <f t="shared" ref="U867:U868" si="806">P867+T867</f>
        <v>4</v>
      </c>
      <c r="V867" s="98">
        <v>45231</v>
      </c>
      <c r="W867" s="66"/>
      <c r="X867" s="66"/>
    </row>
    <row r="868" spans="1:24" x14ac:dyDescent="0.15">
      <c r="A868" s="26"/>
      <c r="B868" s="8"/>
      <c r="C868" s="9"/>
      <c r="D868" s="10"/>
      <c r="E868" s="49">
        <f t="shared" si="801"/>
        <v>0</v>
      </c>
      <c r="F868" s="12"/>
      <c r="G868" s="9"/>
      <c r="H868" s="10"/>
      <c r="I868" s="49">
        <f t="shared" si="802"/>
        <v>0</v>
      </c>
      <c r="J868" s="11">
        <f t="shared" si="803"/>
        <v>0</v>
      </c>
      <c r="L868" s="26" t="s">
        <v>853</v>
      </c>
      <c r="M868" s="8">
        <v>1</v>
      </c>
      <c r="N868" s="9">
        <v>8</v>
      </c>
      <c r="O868" s="52"/>
      <c r="P868" s="87">
        <f t="shared" si="804"/>
        <v>9</v>
      </c>
      <c r="Q868" s="12">
        <v>1</v>
      </c>
      <c r="R868" s="9">
        <v>8</v>
      </c>
      <c r="S868" s="10"/>
      <c r="T868" s="49">
        <f t="shared" si="805"/>
        <v>9</v>
      </c>
      <c r="U868" s="11">
        <f t="shared" si="806"/>
        <v>18</v>
      </c>
      <c r="V868" s="98">
        <v>45236</v>
      </c>
      <c r="W868" s="66"/>
      <c r="X868" s="66"/>
    </row>
    <row r="869" spans="1:24" x14ac:dyDescent="0.15">
      <c r="A869" s="26"/>
      <c r="B869" s="8"/>
      <c r="C869" s="9"/>
      <c r="D869" s="10"/>
      <c r="E869" s="49">
        <f t="shared" si="801"/>
        <v>0</v>
      </c>
      <c r="F869" s="12"/>
      <c r="G869" s="9"/>
      <c r="H869" s="10"/>
      <c r="I869" s="49">
        <f t="shared" si="802"/>
        <v>0</v>
      </c>
      <c r="J869" s="11">
        <f t="shared" si="803"/>
        <v>0</v>
      </c>
      <c r="L869" s="26"/>
      <c r="M869" s="8"/>
      <c r="N869" s="9"/>
      <c r="O869" s="52"/>
      <c r="P869" s="87">
        <f t="shared" ref="P869" si="807">SUM(M869:O869)</f>
        <v>0</v>
      </c>
      <c r="Q869" s="12"/>
      <c r="R869" s="9"/>
      <c r="S869" s="10"/>
      <c r="T869" s="49">
        <f t="shared" ref="T869" si="808">SUM(Q869:S869)</f>
        <v>0</v>
      </c>
      <c r="U869" s="11">
        <f t="shared" ref="U869" si="809">P869+T869</f>
        <v>0</v>
      </c>
    </row>
    <row r="870" spans="1:24" x14ac:dyDescent="0.15">
      <c r="A870" s="26"/>
      <c r="B870" s="8"/>
      <c r="C870" s="9"/>
      <c r="D870" s="10"/>
      <c r="E870" s="49">
        <f t="shared" si="801"/>
        <v>0</v>
      </c>
      <c r="F870" s="12"/>
      <c r="G870" s="9"/>
      <c r="H870" s="10"/>
      <c r="I870" s="49">
        <f t="shared" si="802"/>
        <v>0</v>
      </c>
      <c r="J870" s="11">
        <f t="shared" si="803"/>
        <v>0</v>
      </c>
      <c r="L870" s="26" t="s">
        <v>810</v>
      </c>
      <c r="M870" s="8"/>
      <c r="N870" s="9"/>
      <c r="O870" s="52"/>
      <c r="P870" s="87">
        <f t="shared" ref="P870:P871" si="810">SUM(M870:O870)</f>
        <v>0</v>
      </c>
      <c r="Q870" s="12"/>
      <c r="R870" s="9"/>
      <c r="S870" s="10"/>
      <c r="T870" s="49">
        <f t="shared" ref="T870:T871" si="811">SUM(Q870:S870)</f>
        <v>0</v>
      </c>
      <c r="U870" s="11">
        <f t="shared" ref="U870:U871" si="812">P870+T870</f>
        <v>0</v>
      </c>
      <c r="V870" s="100" t="s">
        <v>159</v>
      </c>
    </row>
    <row r="871" spans="1:24" ht="14.25" thickBot="1" x14ac:dyDescent="0.2">
      <c r="A871" s="26"/>
      <c r="B871" s="8"/>
      <c r="C871" s="9"/>
      <c r="D871" s="10"/>
      <c r="E871" s="49">
        <f t="shared" ref="E871" si="813">SUM(B871:D871)</f>
        <v>0</v>
      </c>
      <c r="F871" s="12"/>
      <c r="G871" s="9"/>
      <c r="H871" s="10"/>
      <c r="I871" s="49">
        <f t="shared" ref="I871" si="814">SUM(F871:H871)</f>
        <v>0</v>
      </c>
      <c r="J871" s="11">
        <f t="shared" ref="J871" si="815">E871+I871</f>
        <v>0</v>
      </c>
      <c r="L871" s="26" t="s">
        <v>807</v>
      </c>
      <c r="M871" s="8"/>
      <c r="N871" s="9"/>
      <c r="O871" s="52"/>
      <c r="P871" s="87">
        <f t="shared" si="810"/>
        <v>0</v>
      </c>
      <c r="Q871" s="12"/>
      <c r="R871" s="9"/>
      <c r="S871" s="10"/>
      <c r="T871" s="49">
        <f t="shared" si="811"/>
        <v>0</v>
      </c>
      <c r="U871" s="11">
        <f t="shared" si="812"/>
        <v>0</v>
      </c>
      <c r="V871" s="100" t="s">
        <v>808</v>
      </c>
    </row>
    <row r="872" spans="1:24" ht="14.25" thickBot="1" x14ac:dyDescent="0.2">
      <c r="A872" s="41" t="s">
        <v>17</v>
      </c>
      <c r="B872" s="46">
        <f>SUM(B846:B871)</f>
        <v>4</v>
      </c>
      <c r="C872" s="47">
        <f t="shared" ref="C872:D872" si="816">SUM(C846:C871)</f>
        <v>0</v>
      </c>
      <c r="D872" s="58">
        <f t="shared" si="816"/>
        <v>1</v>
      </c>
      <c r="E872" s="45">
        <f t="shared" si="801"/>
        <v>5</v>
      </c>
      <c r="F872" s="46">
        <f>SUM(F846:F871)</f>
        <v>4</v>
      </c>
      <c r="G872" s="47">
        <f t="shared" ref="G872:H872" si="817">SUM(G846:G871)</f>
        <v>0</v>
      </c>
      <c r="H872" s="58">
        <f t="shared" si="817"/>
        <v>1</v>
      </c>
      <c r="I872" s="45">
        <f t="shared" si="802"/>
        <v>5</v>
      </c>
      <c r="J872" s="45">
        <f>E872+I872</f>
        <v>10</v>
      </c>
      <c r="L872" s="41" t="s">
        <v>17</v>
      </c>
      <c r="M872" s="46">
        <f>SUM(M846:M871)</f>
        <v>55</v>
      </c>
      <c r="N872" s="47">
        <f t="shared" ref="N872:O872" si="818">SUM(N846:N871)</f>
        <v>48</v>
      </c>
      <c r="O872" s="58">
        <f t="shared" si="818"/>
        <v>38</v>
      </c>
      <c r="P872" s="45">
        <f t="shared" si="795"/>
        <v>141</v>
      </c>
      <c r="Q872" s="46">
        <f>SUM(Q846:Q871)</f>
        <v>55</v>
      </c>
      <c r="R872" s="47">
        <f t="shared" ref="R872:S872" si="819">SUM(R846:R871)</f>
        <v>48</v>
      </c>
      <c r="S872" s="58">
        <f t="shared" si="819"/>
        <v>38</v>
      </c>
      <c r="T872" s="45">
        <f t="shared" si="796"/>
        <v>141</v>
      </c>
      <c r="U872" s="45">
        <f>P872+T872</f>
        <v>282</v>
      </c>
    </row>
    <row r="873" spans="1:24" ht="14.25" thickBot="1" x14ac:dyDescent="0.2">
      <c r="A873" s="22" t="s">
        <v>16</v>
      </c>
      <c r="B873" s="50">
        <f>B845-B872</f>
        <v>2</v>
      </c>
      <c r="C873" s="56">
        <f t="shared" ref="C873:D873" si="820">C845-C872</f>
        <v>6</v>
      </c>
      <c r="D873" s="57">
        <f t="shared" si="820"/>
        <v>4</v>
      </c>
      <c r="E873" s="55">
        <f>SUM(B873:D873)</f>
        <v>12</v>
      </c>
      <c r="F873" s="50">
        <f>F845-F872</f>
        <v>2</v>
      </c>
      <c r="G873" s="56">
        <f t="shared" ref="G873:H873" si="821">G845-G872</f>
        <v>7</v>
      </c>
      <c r="H873" s="57">
        <f t="shared" si="821"/>
        <v>4</v>
      </c>
      <c r="I873" s="55">
        <f>SUM(F873:H873)</f>
        <v>13</v>
      </c>
      <c r="J873" s="31">
        <f>E873+I873</f>
        <v>25</v>
      </c>
      <c r="L873" s="22" t="s">
        <v>16</v>
      </c>
      <c r="M873" s="50">
        <f>M845-M872</f>
        <v>96</v>
      </c>
      <c r="N873" s="56">
        <f t="shared" ref="N873:O873" si="822">N845-N872</f>
        <v>102</v>
      </c>
      <c r="O873" s="57">
        <f t="shared" si="822"/>
        <v>71</v>
      </c>
      <c r="P873" s="55">
        <f>SUM(M873:O873)</f>
        <v>269</v>
      </c>
      <c r="Q873" s="50">
        <f>Q845-Q872</f>
        <v>96</v>
      </c>
      <c r="R873" s="56">
        <f t="shared" ref="R873:S873" si="823">R845-R872</f>
        <v>102</v>
      </c>
      <c r="S873" s="57">
        <f t="shared" si="823"/>
        <v>71</v>
      </c>
      <c r="T873" s="55">
        <f>SUM(Q873:S873)</f>
        <v>269</v>
      </c>
      <c r="U873" s="31">
        <f>P873+T873</f>
        <v>538</v>
      </c>
    </row>
    <row r="875" spans="1:24" x14ac:dyDescent="0.15">
      <c r="L875" t="s">
        <v>803</v>
      </c>
      <c r="M875">
        <v>111</v>
      </c>
      <c r="N875">
        <v>113</v>
      </c>
      <c r="O875">
        <v>82</v>
      </c>
      <c r="P875" s="1">
        <f>SUM(M875:O875)</f>
        <v>306</v>
      </c>
    </row>
    <row r="876" spans="1:24" ht="19.5" thickBot="1" x14ac:dyDescent="0.25">
      <c r="A876" s="3" t="s">
        <v>678</v>
      </c>
      <c r="B876" s="1"/>
      <c r="C876" s="1"/>
      <c r="D876" s="1"/>
      <c r="E876" s="1"/>
      <c r="F876" s="1"/>
      <c r="G876" s="1"/>
      <c r="H876" s="1"/>
      <c r="I876" s="1"/>
      <c r="J876" s="1"/>
      <c r="L876" s="3" t="s">
        <v>677</v>
      </c>
      <c r="M876" s="1"/>
      <c r="N876" s="1"/>
      <c r="O876" s="1"/>
      <c r="P876" s="1"/>
      <c r="Q876" s="1"/>
      <c r="R876" s="1"/>
      <c r="S876" s="1"/>
      <c r="T876" s="1"/>
      <c r="U876" s="1"/>
    </row>
    <row r="877" spans="1:24" ht="14.25" thickBot="1" x14ac:dyDescent="0.2">
      <c r="A877" s="7"/>
      <c r="B877" s="169" t="s">
        <v>22</v>
      </c>
      <c r="C877" s="170"/>
      <c r="D877" s="170"/>
      <c r="E877" s="171"/>
      <c r="F877" s="169" t="s">
        <v>23</v>
      </c>
      <c r="G877" s="170"/>
      <c r="H877" s="170"/>
      <c r="I877" s="171"/>
      <c r="J877" s="172" t="s">
        <v>0</v>
      </c>
      <c r="L877" s="7"/>
      <c r="M877" s="169" t="s">
        <v>22</v>
      </c>
      <c r="N877" s="170"/>
      <c r="O877" s="170"/>
      <c r="P877" s="171"/>
      <c r="Q877" s="169" t="s">
        <v>23</v>
      </c>
      <c r="R877" s="170"/>
      <c r="S877" s="170"/>
      <c r="T877" s="171"/>
      <c r="U877" s="172" t="s">
        <v>0</v>
      </c>
    </row>
    <row r="878" spans="1:24" ht="14.25" thickBot="1" x14ac:dyDescent="0.2">
      <c r="A878" s="7" t="s">
        <v>1</v>
      </c>
      <c r="B878" s="4" t="s">
        <v>2</v>
      </c>
      <c r="C878" s="5" t="s">
        <v>3</v>
      </c>
      <c r="D878" s="6" t="s">
        <v>4</v>
      </c>
      <c r="E878" s="7" t="s">
        <v>5</v>
      </c>
      <c r="F878" s="4" t="s">
        <v>2</v>
      </c>
      <c r="G878" s="5" t="s">
        <v>3</v>
      </c>
      <c r="H878" s="6" t="s">
        <v>4</v>
      </c>
      <c r="I878" s="7" t="s">
        <v>5</v>
      </c>
      <c r="J878" s="173"/>
      <c r="L878" s="7" t="s">
        <v>1</v>
      </c>
      <c r="M878" s="4" t="s">
        <v>2</v>
      </c>
      <c r="N878" s="5" t="s">
        <v>3</v>
      </c>
      <c r="O878" s="6" t="s">
        <v>4</v>
      </c>
      <c r="P878" s="7" t="s">
        <v>5</v>
      </c>
      <c r="Q878" s="4" t="s">
        <v>2</v>
      </c>
      <c r="R878" s="5" t="s">
        <v>3</v>
      </c>
      <c r="S878" s="6" t="s">
        <v>4</v>
      </c>
      <c r="T878" s="7" t="s">
        <v>5</v>
      </c>
      <c r="U878" s="173"/>
    </row>
    <row r="879" spans="1:24" ht="14.25" thickBot="1" x14ac:dyDescent="0.2">
      <c r="A879" s="140" t="s">
        <v>16</v>
      </c>
      <c r="B879" s="28">
        <f>B873</f>
        <v>2</v>
      </c>
      <c r="C879" s="126">
        <f t="shared" ref="C879:E879" si="824">C873</f>
        <v>6</v>
      </c>
      <c r="D879" s="127">
        <f t="shared" si="824"/>
        <v>4</v>
      </c>
      <c r="E879" s="28">
        <f t="shared" si="824"/>
        <v>12</v>
      </c>
      <c r="F879" s="126">
        <f>F873</f>
        <v>2</v>
      </c>
      <c r="G879" s="126">
        <f t="shared" ref="G879:J879" si="825">G873</f>
        <v>7</v>
      </c>
      <c r="H879" s="127">
        <f t="shared" si="825"/>
        <v>4</v>
      </c>
      <c r="I879" s="28">
        <f t="shared" si="825"/>
        <v>13</v>
      </c>
      <c r="J879" s="28">
        <f t="shared" si="825"/>
        <v>25</v>
      </c>
      <c r="L879" s="128" t="s">
        <v>16</v>
      </c>
      <c r="M879" s="126">
        <f>M873</f>
        <v>96</v>
      </c>
      <c r="N879" s="126">
        <f t="shared" ref="N879:P879" si="826">N873</f>
        <v>102</v>
      </c>
      <c r="O879" s="127">
        <f t="shared" si="826"/>
        <v>71</v>
      </c>
      <c r="P879" s="31">
        <f t="shared" si="826"/>
        <v>269</v>
      </c>
      <c r="Q879" s="126">
        <f>Q873</f>
        <v>96</v>
      </c>
      <c r="R879" s="126">
        <f t="shared" ref="R879:U879" si="827">R873</f>
        <v>102</v>
      </c>
      <c r="S879" s="127">
        <f t="shared" si="827"/>
        <v>71</v>
      </c>
      <c r="T879" s="31">
        <f t="shared" si="827"/>
        <v>269</v>
      </c>
      <c r="U879" s="28">
        <f t="shared" si="827"/>
        <v>538</v>
      </c>
    </row>
    <row r="880" spans="1:24" x14ac:dyDescent="0.15">
      <c r="A880" s="25" t="s">
        <v>7</v>
      </c>
      <c r="B880" s="17"/>
      <c r="C880" s="18"/>
      <c r="D880" s="51"/>
      <c r="E880" s="49">
        <f>SUM(B880:D880)</f>
        <v>0</v>
      </c>
      <c r="F880" s="20"/>
      <c r="G880" s="18"/>
      <c r="H880" s="19"/>
      <c r="I880" s="49">
        <f>SUM(F880:H880)</f>
        <v>0</v>
      </c>
      <c r="J880" s="49">
        <f>E880+I880</f>
        <v>0</v>
      </c>
      <c r="K880" s="62"/>
      <c r="L880" s="25" t="s">
        <v>7</v>
      </c>
      <c r="M880" s="17">
        <v>2</v>
      </c>
      <c r="N880" s="18">
        <v>6</v>
      </c>
      <c r="O880" s="51">
        <v>4</v>
      </c>
      <c r="P880" s="49">
        <f t="shared" ref="P880" si="828">SUM(M880:O880)</f>
        <v>12</v>
      </c>
      <c r="Q880" s="20">
        <v>2</v>
      </c>
      <c r="R880" s="18">
        <v>6</v>
      </c>
      <c r="S880" s="19">
        <v>4</v>
      </c>
      <c r="T880" s="49">
        <f t="shared" ref="T880" si="829">SUM(Q880:S880)</f>
        <v>12</v>
      </c>
      <c r="U880" s="11">
        <f t="shared" ref="U880" si="830">P880+T880</f>
        <v>24</v>
      </c>
      <c r="V880" s="99">
        <v>45248</v>
      </c>
    </row>
    <row r="881" spans="1:23" x14ac:dyDescent="0.15">
      <c r="A881" s="25" t="s">
        <v>8</v>
      </c>
      <c r="B881" s="8"/>
      <c r="C881" s="9"/>
      <c r="D881" s="52"/>
      <c r="E881" s="11">
        <f>SUM(B881:D881)</f>
        <v>0</v>
      </c>
      <c r="F881" s="12"/>
      <c r="G881" s="9"/>
      <c r="H881" s="10"/>
      <c r="I881" s="11">
        <f>SUM(F881:H881)</f>
        <v>0</v>
      </c>
      <c r="J881" s="11">
        <f>E881+I881</f>
        <v>0</v>
      </c>
      <c r="K881" s="62"/>
      <c r="L881" s="25" t="s">
        <v>8</v>
      </c>
      <c r="M881" s="17"/>
      <c r="N881" s="18"/>
      <c r="O881" s="51"/>
      <c r="P881" s="11">
        <f t="shared" ref="P881:P883" si="831">SUM(M881:O881)</f>
        <v>0</v>
      </c>
      <c r="Q881" s="17"/>
      <c r="R881" s="18"/>
      <c r="S881" s="51"/>
      <c r="T881" s="11">
        <f t="shared" ref="T881:T883" si="832">SUM(Q881:S881)</f>
        <v>0</v>
      </c>
      <c r="U881" s="11">
        <f t="shared" ref="U881:U883" si="833">P881+T881</f>
        <v>0</v>
      </c>
    </row>
    <row r="882" spans="1:23" x14ac:dyDescent="0.15">
      <c r="A882" s="25" t="s">
        <v>9</v>
      </c>
      <c r="B882" s="17"/>
      <c r="C882" s="18"/>
      <c r="D882" s="51"/>
      <c r="E882" s="11">
        <f t="shared" ref="E882:E887" si="834">SUM(B882:D882)</f>
        <v>0</v>
      </c>
      <c r="F882" s="20"/>
      <c r="G882" s="18"/>
      <c r="H882" s="19"/>
      <c r="I882" s="11">
        <f t="shared" ref="I882:I887" si="835">SUM(F882:H882)</f>
        <v>0</v>
      </c>
      <c r="J882" s="11">
        <f t="shared" ref="J882:J887" si="836">E882+I882</f>
        <v>0</v>
      </c>
      <c r="K882" s="64"/>
      <c r="L882" s="25" t="s">
        <v>9</v>
      </c>
      <c r="M882" s="17"/>
      <c r="N882" s="18"/>
      <c r="O882" s="51"/>
      <c r="P882" s="11">
        <f t="shared" si="831"/>
        <v>0</v>
      </c>
      <c r="Q882" s="17"/>
      <c r="R882" s="18"/>
      <c r="S882" s="51"/>
      <c r="T882" s="11">
        <f t="shared" si="832"/>
        <v>0</v>
      </c>
      <c r="U882" s="11">
        <f t="shared" si="833"/>
        <v>0</v>
      </c>
    </row>
    <row r="883" spans="1:23" x14ac:dyDescent="0.15">
      <c r="A883" s="25" t="s">
        <v>10</v>
      </c>
      <c r="B883" s="8"/>
      <c r="C883" s="9"/>
      <c r="D883" s="52"/>
      <c r="E883" s="11">
        <f t="shared" si="834"/>
        <v>0</v>
      </c>
      <c r="F883" s="12"/>
      <c r="G883" s="9"/>
      <c r="H883" s="10"/>
      <c r="I883" s="11">
        <f t="shared" si="835"/>
        <v>0</v>
      </c>
      <c r="J883" s="11">
        <f t="shared" si="836"/>
        <v>0</v>
      </c>
      <c r="L883" s="25" t="s">
        <v>10</v>
      </c>
      <c r="M883" s="8"/>
      <c r="N883" s="9"/>
      <c r="O883" s="52"/>
      <c r="P883" s="11">
        <f t="shared" si="831"/>
        <v>0</v>
      </c>
      <c r="Q883" s="12"/>
      <c r="R883" s="9"/>
      <c r="S883" s="10"/>
      <c r="T883" s="11">
        <f t="shared" si="832"/>
        <v>0</v>
      </c>
      <c r="U883" s="11">
        <f t="shared" si="833"/>
        <v>0</v>
      </c>
    </row>
    <row r="884" spans="1:23" x14ac:dyDescent="0.15">
      <c r="A884" s="25" t="s">
        <v>11</v>
      </c>
      <c r="B884" s="8"/>
      <c r="C884" s="9"/>
      <c r="D884" s="52"/>
      <c r="E884" s="11">
        <f t="shared" si="834"/>
        <v>0</v>
      </c>
      <c r="F884" s="12"/>
      <c r="G884" s="9"/>
      <c r="H884" s="10"/>
      <c r="I884" s="11">
        <f t="shared" si="835"/>
        <v>0</v>
      </c>
      <c r="J884" s="11">
        <f t="shared" si="836"/>
        <v>0</v>
      </c>
      <c r="L884" s="25" t="s">
        <v>11</v>
      </c>
      <c r="M884" s="8"/>
      <c r="N884" s="9"/>
      <c r="O884" s="52"/>
      <c r="P884" s="11">
        <f>SUM(M884:O884)</f>
        <v>0</v>
      </c>
      <c r="Q884" s="12"/>
      <c r="R884" s="9"/>
      <c r="S884" s="10"/>
      <c r="T884" s="11">
        <f>SUM(Q884:S884)</f>
        <v>0</v>
      </c>
      <c r="U884" s="11">
        <f>P884+T884</f>
        <v>0</v>
      </c>
    </row>
    <row r="885" spans="1:23" x14ac:dyDescent="0.15">
      <c r="A885" s="25" t="s">
        <v>12</v>
      </c>
      <c r="B885" s="8"/>
      <c r="C885" s="9"/>
      <c r="D885" s="52"/>
      <c r="E885" s="11">
        <f t="shared" si="834"/>
        <v>0</v>
      </c>
      <c r="F885" s="12"/>
      <c r="G885" s="9"/>
      <c r="H885" s="10"/>
      <c r="I885" s="11">
        <f t="shared" si="835"/>
        <v>0</v>
      </c>
      <c r="J885" s="11">
        <f t="shared" si="836"/>
        <v>0</v>
      </c>
      <c r="L885" s="25" t="s">
        <v>12</v>
      </c>
      <c r="M885" s="17"/>
      <c r="N885" s="18"/>
      <c r="O885" s="51"/>
      <c r="P885" s="49">
        <f t="shared" ref="P885:P887" si="837">SUM(M885:O885)</f>
        <v>0</v>
      </c>
      <c r="Q885" s="17"/>
      <c r="R885" s="18"/>
      <c r="S885" s="51"/>
      <c r="T885" s="49">
        <f t="shared" ref="T885:T887" si="838">SUM(Q885:S885)</f>
        <v>0</v>
      </c>
      <c r="U885" s="11">
        <f t="shared" ref="U885:U887" si="839">P885+T885</f>
        <v>0</v>
      </c>
    </row>
    <row r="886" spans="1:23" x14ac:dyDescent="0.15">
      <c r="A886" s="25" t="s">
        <v>13</v>
      </c>
      <c r="B886" s="13"/>
      <c r="C886" s="14"/>
      <c r="D886" s="53"/>
      <c r="E886" s="11">
        <f t="shared" si="834"/>
        <v>0</v>
      </c>
      <c r="F886" s="16"/>
      <c r="G886" s="14"/>
      <c r="H886" s="15"/>
      <c r="I886" s="11">
        <f t="shared" si="835"/>
        <v>0</v>
      </c>
      <c r="J886" s="11">
        <f t="shared" si="836"/>
        <v>0</v>
      </c>
      <c r="L886" s="25" t="s">
        <v>13</v>
      </c>
      <c r="M886" s="17"/>
      <c r="N886" s="18"/>
      <c r="O886" s="51"/>
      <c r="P886" s="49">
        <f t="shared" ref="P886" si="840">SUM(M886:O886)</f>
        <v>0</v>
      </c>
      <c r="Q886" s="17"/>
      <c r="R886" s="18"/>
      <c r="S886" s="51"/>
      <c r="T886" s="49">
        <f t="shared" ref="T886" si="841">SUM(Q886:S886)</f>
        <v>0</v>
      </c>
      <c r="U886" s="11">
        <f t="shared" ref="U886" si="842">P886+T886</f>
        <v>0</v>
      </c>
    </row>
    <row r="887" spans="1:23" ht="14.25" thickBot="1" x14ac:dyDescent="0.2">
      <c r="A887" s="25" t="s">
        <v>14</v>
      </c>
      <c r="B887" s="32"/>
      <c r="C887" s="33"/>
      <c r="D887" s="54"/>
      <c r="E887" s="61">
        <f t="shared" si="834"/>
        <v>0</v>
      </c>
      <c r="F887" s="34"/>
      <c r="G887" s="34"/>
      <c r="H887" s="37"/>
      <c r="I887" s="61">
        <f t="shared" si="835"/>
        <v>0</v>
      </c>
      <c r="J887" s="21">
        <f t="shared" si="836"/>
        <v>0</v>
      </c>
      <c r="L887" s="25" t="s">
        <v>14</v>
      </c>
      <c r="M887" s="32"/>
      <c r="N887" s="33"/>
      <c r="O887" s="54"/>
      <c r="P887" s="61">
        <f t="shared" si="837"/>
        <v>0</v>
      </c>
      <c r="Q887" s="34"/>
      <c r="R887" s="34"/>
      <c r="S887" s="37"/>
      <c r="T887" s="61">
        <f t="shared" si="838"/>
        <v>0</v>
      </c>
      <c r="U887" s="21">
        <f t="shared" si="839"/>
        <v>0</v>
      </c>
    </row>
    <row r="888" spans="1:23" ht="14.25" thickBot="1" x14ac:dyDescent="0.2">
      <c r="A888" s="35" t="s">
        <v>15</v>
      </c>
      <c r="B888" s="28">
        <f>SUM(B879:B887)</f>
        <v>2</v>
      </c>
      <c r="C888" s="29">
        <f>SUM(C879:C887)</f>
        <v>6</v>
      </c>
      <c r="D888" s="30">
        <f>SUM(D879:D887)</f>
        <v>4</v>
      </c>
      <c r="E888" s="31">
        <f>SUM(B888:D888)</f>
        <v>12</v>
      </c>
      <c r="F888" s="28">
        <f>SUM(F879:F887)</f>
        <v>2</v>
      </c>
      <c r="G888" s="29">
        <f>SUM(G879:G887)</f>
        <v>7</v>
      </c>
      <c r="H888" s="30">
        <f>SUM(H879:H887)</f>
        <v>4</v>
      </c>
      <c r="I888" s="31">
        <f>SUM(F888:H888)</f>
        <v>13</v>
      </c>
      <c r="J888" s="31">
        <f>E888+I888</f>
        <v>25</v>
      </c>
      <c r="L888" s="35" t="s">
        <v>15</v>
      </c>
      <c r="M888" s="28">
        <f>SUM(M879:M887)</f>
        <v>98</v>
      </c>
      <c r="N888" s="29">
        <f>SUM(N879:N887)</f>
        <v>108</v>
      </c>
      <c r="O888" s="30">
        <f>SUM(O879:O887)</f>
        <v>75</v>
      </c>
      <c r="P888" s="31">
        <f>SUM(M888:O888)</f>
        <v>281</v>
      </c>
      <c r="Q888" s="28">
        <f>SUM(Q879:Q887)</f>
        <v>98</v>
      </c>
      <c r="R888" s="29">
        <f>SUM(R879:R887)</f>
        <v>108</v>
      </c>
      <c r="S888" s="30">
        <f>SUM(S879:S887)</f>
        <v>75</v>
      </c>
      <c r="T888" s="31">
        <f>SUM(Q888:S888)</f>
        <v>281</v>
      </c>
      <c r="U888" s="31">
        <f>P888+T888</f>
        <v>562</v>
      </c>
    </row>
    <row r="889" spans="1:23" x14ac:dyDescent="0.15">
      <c r="A889" s="26" t="s">
        <v>872</v>
      </c>
      <c r="B889" s="8">
        <v>2</v>
      </c>
      <c r="C889" s="9">
        <v>6</v>
      </c>
      <c r="D889" s="10">
        <v>4</v>
      </c>
      <c r="E889" s="49">
        <f t="shared" ref="E889" si="843">SUM(B889:D889)</f>
        <v>12</v>
      </c>
      <c r="F889" s="12">
        <v>2</v>
      </c>
      <c r="G889" s="9">
        <v>6</v>
      </c>
      <c r="H889" s="10">
        <v>4</v>
      </c>
      <c r="I889" s="49">
        <f t="shared" ref="I889" si="844">SUM(F889:H889)</f>
        <v>12</v>
      </c>
      <c r="J889" s="11">
        <f t="shared" ref="J889" si="845">E889+I889</f>
        <v>24</v>
      </c>
      <c r="K889" s="62">
        <v>45248</v>
      </c>
      <c r="L889" s="26" t="s">
        <v>855</v>
      </c>
      <c r="M889" s="8">
        <v>2</v>
      </c>
      <c r="N889" s="9">
        <v>11</v>
      </c>
      <c r="O889" s="52">
        <v>7</v>
      </c>
      <c r="P889" s="87">
        <f t="shared" ref="P889:P908" si="846">SUM(M889:O889)</f>
        <v>20</v>
      </c>
      <c r="Q889" s="12">
        <v>2</v>
      </c>
      <c r="R889" s="9">
        <v>11</v>
      </c>
      <c r="S889" s="10">
        <v>7</v>
      </c>
      <c r="T889" s="49">
        <f t="shared" ref="T889:T908" si="847">SUM(Q889:S889)</f>
        <v>20</v>
      </c>
      <c r="U889" s="11">
        <f t="shared" ref="U889:U908" si="848">P889+T889</f>
        <v>40</v>
      </c>
      <c r="V889" s="98">
        <v>45237</v>
      </c>
    </row>
    <row r="890" spans="1:23" x14ac:dyDescent="0.15">
      <c r="A890" s="26"/>
      <c r="B890" s="8"/>
      <c r="C890" s="9"/>
      <c r="D890" s="10"/>
      <c r="E890" s="49">
        <f t="shared" ref="E890:E891" si="849">SUM(B890:D890)</f>
        <v>0</v>
      </c>
      <c r="F890" s="12"/>
      <c r="G890" s="9"/>
      <c r="H890" s="10"/>
      <c r="I890" s="49">
        <f t="shared" ref="I890:I891" si="850">SUM(F890:H890)</f>
        <v>0</v>
      </c>
      <c r="J890" s="11">
        <f t="shared" ref="J890:J891" si="851">E890+I890</f>
        <v>0</v>
      </c>
      <c r="K890" s="62"/>
      <c r="L890" s="26" t="s">
        <v>857</v>
      </c>
      <c r="M890" s="8"/>
      <c r="N890" s="9">
        <v>3</v>
      </c>
      <c r="O890" s="52">
        <v>5</v>
      </c>
      <c r="P890" s="87">
        <f t="shared" si="846"/>
        <v>8</v>
      </c>
      <c r="Q890" s="12"/>
      <c r="R890" s="9">
        <v>3</v>
      </c>
      <c r="S890" s="10">
        <v>5</v>
      </c>
      <c r="T890" s="49">
        <f t="shared" si="847"/>
        <v>8</v>
      </c>
      <c r="U890" s="11">
        <f t="shared" si="848"/>
        <v>16</v>
      </c>
      <c r="V890" s="98">
        <v>45238</v>
      </c>
    </row>
    <row r="891" spans="1:23" x14ac:dyDescent="0.15">
      <c r="A891" s="26"/>
      <c r="B891" s="8"/>
      <c r="C891" s="9"/>
      <c r="D891" s="10"/>
      <c r="E891" s="49">
        <f t="shared" si="849"/>
        <v>0</v>
      </c>
      <c r="F891" s="12"/>
      <c r="G891" s="9"/>
      <c r="H891" s="10"/>
      <c r="I891" s="49">
        <f t="shared" si="850"/>
        <v>0</v>
      </c>
      <c r="J891" s="11">
        <f t="shared" si="851"/>
        <v>0</v>
      </c>
      <c r="K891" s="62"/>
      <c r="L891" s="26" t="s">
        <v>859</v>
      </c>
      <c r="M891" s="8">
        <v>2</v>
      </c>
      <c r="N891" s="9"/>
      <c r="O891" s="52">
        <v>1</v>
      </c>
      <c r="P891" s="87">
        <f t="shared" si="846"/>
        <v>3</v>
      </c>
      <c r="Q891" s="12">
        <v>2</v>
      </c>
      <c r="R891" s="9"/>
      <c r="S891" s="10">
        <v>1</v>
      </c>
      <c r="T891" s="49">
        <f t="shared" si="847"/>
        <v>3</v>
      </c>
      <c r="U891" s="11">
        <f t="shared" si="848"/>
        <v>6</v>
      </c>
      <c r="V891" s="98">
        <v>45239</v>
      </c>
    </row>
    <row r="892" spans="1:23" x14ac:dyDescent="0.15">
      <c r="A892" s="26"/>
      <c r="B892" s="13"/>
      <c r="C892" s="14"/>
      <c r="D892" s="15"/>
      <c r="E892" s="49">
        <f>SUM(B892:D892)</f>
        <v>0</v>
      </c>
      <c r="F892" s="16"/>
      <c r="G892" s="14"/>
      <c r="H892" s="15"/>
      <c r="I892" s="49">
        <f>SUM(F892:H892)</f>
        <v>0</v>
      </c>
      <c r="J892" s="11">
        <f>E892+I892</f>
        <v>0</v>
      </c>
      <c r="K892" s="64"/>
      <c r="L892" s="26" t="s">
        <v>861</v>
      </c>
      <c r="M892" s="8">
        <v>1</v>
      </c>
      <c r="N892" s="9">
        <v>1</v>
      </c>
      <c r="O892" s="52"/>
      <c r="P892" s="87">
        <f t="shared" si="846"/>
        <v>2</v>
      </c>
      <c r="Q892" s="12">
        <v>1</v>
      </c>
      <c r="R892" s="9">
        <v>1</v>
      </c>
      <c r="S892" s="10"/>
      <c r="T892" s="49">
        <f t="shared" si="847"/>
        <v>2</v>
      </c>
      <c r="U892" s="11">
        <f t="shared" si="848"/>
        <v>4</v>
      </c>
      <c r="V892" s="98">
        <v>45240</v>
      </c>
      <c r="W892" s="66"/>
    </row>
    <row r="893" spans="1:23" x14ac:dyDescent="0.15">
      <c r="A893" s="26"/>
      <c r="B893" s="8"/>
      <c r="C893" s="9"/>
      <c r="D893" s="10"/>
      <c r="E893" s="49">
        <f t="shared" ref="E893:E915" si="852">SUM(B893:D893)</f>
        <v>0</v>
      </c>
      <c r="F893" s="12"/>
      <c r="G893" s="9"/>
      <c r="H893" s="10"/>
      <c r="I893" s="49">
        <f t="shared" ref="I893:I915" si="853">SUM(F893:H893)</f>
        <v>0</v>
      </c>
      <c r="J893" s="11">
        <f t="shared" ref="J893:J913" si="854">E893+I893</f>
        <v>0</v>
      </c>
      <c r="L893" s="26" t="s">
        <v>863</v>
      </c>
      <c r="M893" s="8">
        <v>5</v>
      </c>
      <c r="N893" s="9">
        <v>1</v>
      </c>
      <c r="O893" s="52"/>
      <c r="P893" s="87">
        <f t="shared" si="846"/>
        <v>6</v>
      </c>
      <c r="Q893" s="12">
        <v>5</v>
      </c>
      <c r="R893" s="9">
        <v>1</v>
      </c>
      <c r="S893" s="10"/>
      <c r="T893" s="49">
        <f t="shared" si="847"/>
        <v>6</v>
      </c>
      <c r="U893" s="11">
        <f t="shared" si="848"/>
        <v>12</v>
      </c>
      <c r="V893" s="98">
        <v>45243</v>
      </c>
      <c r="W893" s="66"/>
    </row>
    <row r="894" spans="1:23" x14ac:dyDescent="0.15">
      <c r="A894" s="26"/>
      <c r="B894" s="8"/>
      <c r="C894" s="9"/>
      <c r="D894" s="10"/>
      <c r="E894" s="49">
        <f t="shared" si="852"/>
        <v>0</v>
      </c>
      <c r="F894" s="12"/>
      <c r="G894" s="9"/>
      <c r="H894" s="10"/>
      <c r="I894" s="49">
        <f t="shared" si="853"/>
        <v>0</v>
      </c>
      <c r="J894" s="11">
        <f t="shared" si="854"/>
        <v>0</v>
      </c>
      <c r="L894" s="26" t="s">
        <v>865</v>
      </c>
      <c r="M894" s="8"/>
      <c r="N894" s="9">
        <v>1</v>
      </c>
      <c r="O894" s="52"/>
      <c r="P894" s="87">
        <f t="shared" si="846"/>
        <v>1</v>
      </c>
      <c r="Q894" s="12"/>
      <c r="R894" s="9">
        <v>1</v>
      </c>
      <c r="S894" s="10"/>
      <c r="T894" s="49">
        <f t="shared" si="847"/>
        <v>1</v>
      </c>
      <c r="U894" s="11">
        <f t="shared" si="848"/>
        <v>2</v>
      </c>
      <c r="V894" s="98">
        <v>45244</v>
      </c>
      <c r="W894" s="66"/>
    </row>
    <row r="895" spans="1:23" x14ac:dyDescent="0.15">
      <c r="A895" s="26"/>
      <c r="B895" s="8"/>
      <c r="C895" s="9"/>
      <c r="D895" s="10"/>
      <c r="E895" s="49">
        <f t="shared" si="852"/>
        <v>0</v>
      </c>
      <c r="F895" s="12"/>
      <c r="G895" s="9"/>
      <c r="H895" s="10"/>
      <c r="I895" s="49">
        <f t="shared" si="853"/>
        <v>0</v>
      </c>
      <c r="J895" s="11">
        <f t="shared" si="854"/>
        <v>0</v>
      </c>
      <c r="L895" s="26" t="s">
        <v>867</v>
      </c>
      <c r="M895" s="8">
        <v>4</v>
      </c>
      <c r="N895" s="9"/>
      <c r="O895" s="52"/>
      <c r="P895" s="87">
        <f t="shared" si="846"/>
        <v>4</v>
      </c>
      <c r="Q895" s="12">
        <v>4</v>
      </c>
      <c r="R895" s="9"/>
      <c r="S895" s="10"/>
      <c r="T895" s="49">
        <f t="shared" si="847"/>
        <v>4</v>
      </c>
      <c r="U895" s="11">
        <f t="shared" si="848"/>
        <v>8</v>
      </c>
      <c r="V895" s="98">
        <v>45245</v>
      </c>
    </row>
    <row r="896" spans="1:23" x14ac:dyDescent="0.15">
      <c r="A896" s="26"/>
      <c r="B896" s="8"/>
      <c r="C896" s="9"/>
      <c r="D896" s="10"/>
      <c r="E896" s="49">
        <f t="shared" si="852"/>
        <v>0</v>
      </c>
      <c r="F896" s="12"/>
      <c r="G896" s="9"/>
      <c r="H896" s="10"/>
      <c r="I896" s="49">
        <f t="shared" si="853"/>
        <v>0</v>
      </c>
      <c r="J896" s="11">
        <f t="shared" si="854"/>
        <v>0</v>
      </c>
      <c r="L896" s="26" t="s">
        <v>868</v>
      </c>
      <c r="M896" s="8">
        <v>2</v>
      </c>
      <c r="N896" s="9"/>
      <c r="O896" s="52"/>
      <c r="P896" s="87">
        <f t="shared" si="846"/>
        <v>2</v>
      </c>
      <c r="Q896" s="12">
        <v>2</v>
      </c>
      <c r="R896" s="9"/>
      <c r="S896" s="10"/>
      <c r="T896" s="49">
        <f t="shared" si="847"/>
        <v>2</v>
      </c>
      <c r="U896" s="11">
        <f t="shared" si="848"/>
        <v>4</v>
      </c>
      <c r="V896" s="98">
        <v>45247</v>
      </c>
    </row>
    <row r="897" spans="1:22" x14ac:dyDescent="0.15">
      <c r="A897" s="26"/>
      <c r="B897" s="8"/>
      <c r="C897" s="9"/>
      <c r="D897" s="10"/>
      <c r="E897" s="49">
        <f t="shared" si="852"/>
        <v>0</v>
      </c>
      <c r="F897" s="12"/>
      <c r="G897" s="9"/>
      <c r="H897" s="10"/>
      <c r="I897" s="49">
        <f t="shared" si="853"/>
        <v>0</v>
      </c>
      <c r="J897" s="11">
        <f t="shared" si="854"/>
        <v>0</v>
      </c>
      <c r="L897" s="26" t="s">
        <v>873</v>
      </c>
      <c r="M897" s="8">
        <v>1</v>
      </c>
      <c r="N897" s="9"/>
      <c r="O897" s="52">
        <v>1</v>
      </c>
      <c r="P897" s="87">
        <f t="shared" si="846"/>
        <v>2</v>
      </c>
      <c r="Q897" s="12">
        <v>1</v>
      </c>
      <c r="R897" s="9"/>
      <c r="S897" s="10">
        <v>1</v>
      </c>
      <c r="T897" s="49">
        <f t="shared" si="847"/>
        <v>2</v>
      </c>
      <c r="U897" s="11">
        <f t="shared" si="848"/>
        <v>4</v>
      </c>
      <c r="V897" s="98">
        <v>45252</v>
      </c>
    </row>
    <row r="898" spans="1:22" x14ac:dyDescent="0.15">
      <c r="A898" s="26"/>
      <c r="B898" s="13"/>
      <c r="C898" s="14"/>
      <c r="D898" s="15"/>
      <c r="E898" s="49">
        <f t="shared" si="852"/>
        <v>0</v>
      </c>
      <c r="F898" s="16"/>
      <c r="G898" s="14"/>
      <c r="H898" s="15"/>
      <c r="I898" s="49">
        <f t="shared" si="853"/>
        <v>0</v>
      </c>
      <c r="J898" s="11">
        <f t="shared" si="854"/>
        <v>0</v>
      </c>
      <c r="L898" s="26" t="s">
        <v>875</v>
      </c>
      <c r="M898" s="8"/>
      <c r="N898" s="9"/>
      <c r="O898" s="52">
        <v>1</v>
      </c>
      <c r="P898" s="87">
        <f t="shared" si="846"/>
        <v>1</v>
      </c>
      <c r="Q898" s="12"/>
      <c r="R898" s="9"/>
      <c r="S898" s="10">
        <v>1</v>
      </c>
      <c r="T898" s="49">
        <f t="shared" si="847"/>
        <v>1</v>
      </c>
      <c r="U898" s="11">
        <f t="shared" si="848"/>
        <v>2</v>
      </c>
      <c r="V898" s="98">
        <v>45254</v>
      </c>
    </row>
    <row r="899" spans="1:22" x14ac:dyDescent="0.15">
      <c r="A899" s="26"/>
      <c r="B899" s="8"/>
      <c r="C899" s="9"/>
      <c r="D899" s="10"/>
      <c r="E899" s="49">
        <f t="shared" si="852"/>
        <v>0</v>
      </c>
      <c r="F899" s="12"/>
      <c r="G899" s="9"/>
      <c r="H899" s="10"/>
      <c r="I899" s="49">
        <f t="shared" si="853"/>
        <v>0</v>
      </c>
      <c r="J899" s="11">
        <f t="shared" si="854"/>
        <v>0</v>
      </c>
      <c r="L899" s="26" t="s">
        <v>876</v>
      </c>
      <c r="M899" s="8"/>
      <c r="N899" s="9">
        <v>4</v>
      </c>
      <c r="O899" s="52">
        <v>2</v>
      </c>
      <c r="P899" s="87">
        <f t="shared" si="846"/>
        <v>6</v>
      </c>
      <c r="Q899" s="12"/>
      <c r="R899" s="9">
        <v>4</v>
      </c>
      <c r="S899" s="10">
        <v>2</v>
      </c>
      <c r="T899" s="49">
        <f t="shared" si="847"/>
        <v>6</v>
      </c>
      <c r="U899" s="11">
        <f t="shared" si="848"/>
        <v>12</v>
      </c>
      <c r="V899" s="98">
        <v>45254</v>
      </c>
    </row>
    <row r="900" spans="1:22" x14ac:dyDescent="0.15">
      <c r="A900" s="26"/>
      <c r="B900" s="8"/>
      <c r="C900" s="9"/>
      <c r="D900" s="10"/>
      <c r="E900" s="49">
        <f t="shared" si="852"/>
        <v>0</v>
      </c>
      <c r="F900" s="12"/>
      <c r="G900" s="9"/>
      <c r="H900" s="10"/>
      <c r="I900" s="49">
        <f t="shared" si="853"/>
        <v>0</v>
      </c>
      <c r="J900" s="11">
        <f t="shared" si="854"/>
        <v>0</v>
      </c>
      <c r="L900" s="26" t="s">
        <v>878</v>
      </c>
      <c r="M900" s="8">
        <v>1</v>
      </c>
      <c r="N900" s="9">
        <v>1</v>
      </c>
      <c r="O900" s="52"/>
      <c r="P900" s="87">
        <f t="shared" si="846"/>
        <v>2</v>
      </c>
      <c r="Q900" s="12">
        <v>1</v>
      </c>
      <c r="R900" s="9">
        <v>1</v>
      </c>
      <c r="S900" s="10"/>
      <c r="T900" s="49">
        <f t="shared" si="847"/>
        <v>2</v>
      </c>
      <c r="U900" s="11">
        <f t="shared" si="848"/>
        <v>4</v>
      </c>
      <c r="V900" s="98">
        <v>45257</v>
      </c>
    </row>
    <row r="901" spans="1:22" x14ac:dyDescent="0.15">
      <c r="A901" s="26"/>
      <c r="B901" s="8"/>
      <c r="C901" s="9"/>
      <c r="D901" s="10"/>
      <c r="E901" s="49">
        <f t="shared" si="852"/>
        <v>0</v>
      </c>
      <c r="F901" s="12"/>
      <c r="G901" s="9"/>
      <c r="H901" s="10"/>
      <c r="I901" s="49">
        <f t="shared" si="853"/>
        <v>0</v>
      </c>
      <c r="J901" s="11">
        <f t="shared" si="854"/>
        <v>0</v>
      </c>
      <c r="L901" s="26" t="s">
        <v>214</v>
      </c>
      <c r="M901" s="8">
        <v>2</v>
      </c>
      <c r="N901" s="9">
        <v>11</v>
      </c>
      <c r="O901" s="52">
        <v>2</v>
      </c>
      <c r="P901" s="87">
        <f t="shared" si="846"/>
        <v>15</v>
      </c>
      <c r="Q901" s="12">
        <v>2</v>
      </c>
      <c r="R901" s="9">
        <v>11</v>
      </c>
      <c r="S901" s="10">
        <v>2</v>
      </c>
      <c r="T901" s="49">
        <f t="shared" si="847"/>
        <v>15</v>
      </c>
      <c r="U901" s="11">
        <f t="shared" si="848"/>
        <v>30</v>
      </c>
      <c r="V901" s="98">
        <v>45259</v>
      </c>
    </row>
    <row r="902" spans="1:22" x14ac:dyDescent="0.15">
      <c r="A902" s="26"/>
      <c r="B902" s="8"/>
      <c r="C902" s="9"/>
      <c r="D902" s="10"/>
      <c r="E902" s="49">
        <f t="shared" si="852"/>
        <v>0</v>
      </c>
      <c r="F902" s="12"/>
      <c r="G902" s="9"/>
      <c r="H902" s="10"/>
      <c r="I902" s="49">
        <f t="shared" si="853"/>
        <v>0</v>
      </c>
      <c r="J902" s="11">
        <f t="shared" si="854"/>
        <v>0</v>
      </c>
      <c r="L902" s="26" t="s">
        <v>880</v>
      </c>
      <c r="M902" s="8">
        <v>3</v>
      </c>
      <c r="N902" s="9">
        <v>7</v>
      </c>
      <c r="O902" s="52">
        <v>1</v>
      </c>
      <c r="P902" s="87">
        <f t="shared" si="846"/>
        <v>11</v>
      </c>
      <c r="Q902" s="12">
        <v>3</v>
      </c>
      <c r="R902" s="9">
        <v>7</v>
      </c>
      <c r="S902" s="10">
        <v>1</v>
      </c>
      <c r="T902" s="49">
        <f t="shared" si="847"/>
        <v>11</v>
      </c>
      <c r="U902" s="11">
        <f t="shared" si="848"/>
        <v>22</v>
      </c>
      <c r="V902" s="98">
        <v>45260</v>
      </c>
    </row>
    <row r="903" spans="1:22" x14ac:dyDescent="0.15">
      <c r="A903" s="26"/>
      <c r="B903" s="8"/>
      <c r="C903" s="9"/>
      <c r="D903" s="10"/>
      <c r="E903" s="49">
        <f t="shared" si="852"/>
        <v>0</v>
      </c>
      <c r="F903" s="12"/>
      <c r="G903" s="9"/>
      <c r="H903" s="10"/>
      <c r="I903" s="49">
        <f t="shared" si="853"/>
        <v>0</v>
      </c>
      <c r="J903" s="11">
        <f t="shared" si="854"/>
        <v>0</v>
      </c>
      <c r="L903" s="26" t="s">
        <v>882</v>
      </c>
      <c r="M903" s="8">
        <v>7</v>
      </c>
      <c r="N903" s="9">
        <v>8</v>
      </c>
      <c r="O903" s="52">
        <v>9</v>
      </c>
      <c r="P903" s="87">
        <f t="shared" si="846"/>
        <v>24</v>
      </c>
      <c r="Q903" s="12">
        <v>7</v>
      </c>
      <c r="R903" s="9">
        <v>8</v>
      </c>
      <c r="S903" s="10">
        <v>9</v>
      </c>
      <c r="T903" s="49">
        <f t="shared" si="847"/>
        <v>24</v>
      </c>
      <c r="U903" s="11">
        <f t="shared" si="848"/>
        <v>48</v>
      </c>
      <c r="V903" s="98">
        <v>45261</v>
      </c>
    </row>
    <row r="904" spans="1:22" x14ac:dyDescent="0.15">
      <c r="A904" s="26"/>
      <c r="B904" s="8"/>
      <c r="C904" s="9"/>
      <c r="D904" s="10"/>
      <c r="E904" s="49">
        <f t="shared" si="852"/>
        <v>0</v>
      </c>
      <c r="F904" s="12"/>
      <c r="G904" s="9"/>
      <c r="H904" s="10"/>
      <c r="I904" s="49">
        <f t="shared" si="853"/>
        <v>0</v>
      </c>
      <c r="J904" s="11">
        <f t="shared" si="854"/>
        <v>0</v>
      </c>
      <c r="L904" s="26" t="s">
        <v>886</v>
      </c>
      <c r="M904" s="8">
        <v>4</v>
      </c>
      <c r="N904" s="9">
        <v>1</v>
      </c>
      <c r="O904" s="52"/>
      <c r="P904" s="87">
        <f t="shared" ref="P904" si="855">SUM(M904:O904)</f>
        <v>5</v>
      </c>
      <c r="Q904" s="12">
        <v>4</v>
      </c>
      <c r="R904" s="9">
        <v>1</v>
      </c>
      <c r="S904" s="10"/>
      <c r="T904" s="49">
        <f t="shared" ref="T904" si="856">SUM(Q904:S904)</f>
        <v>5</v>
      </c>
      <c r="U904" s="11">
        <f t="shared" ref="U904" si="857">P904+T904</f>
        <v>10</v>
      </c>
      <c r="V904" s="98">
        <v>45264</v>
      </c>
    </row>
    <row r="905" spans="1:22" x14ac:dyDescent="0.15">
      <c r="A905" s="26"/>
      <c r="B905" s="8"/>
      <c r="C905" s="9"/>
      <c r="D905" s="10"/>
      <c r="E905" s="49">
        <f t="shared" si="852"/>
        <v>0</v>
      </c>
      <c r="F905" s="12"/>
      <c r="G905" s="9"/>
      <c r="H905" s="10"/>
      <c r="I905" s="49">
        <f t="shared" si="853"/>
        <v>0</v>
      </c>
      <c r="J905" s="11">
        <f t="shared" si="854"/>
        <v>0</v>
      </c>
      <c r="L905" s="26" t="s">
        <v>889</v>
      </c>
      <c r="M905" s="8">
        <v>2</v>
      </c>
      <c r="N905" s="9">
        <v>5</v>
      </c>
      <c r="O905" s="52">
        <v>2</v>
      </c>
      <c r="P905" s="87">
        <f t="shared" si="846"/>
        <v>9</v>
      </c>
      <c r="Q905" s="12">
        <v>2</v>
      </c>
      <c r="R905" s="9">
        <v>5</v>
      </c>
      <c r="S905" s="10">
        <v>2</v>
      </c>
      <c r="T905" s="49">
        <f t="shared" si="847"/>
        <v>9</v>
      </c>
      <c r="U905" s="11">
        <f t="shared" si="848"/>
        <v>18</v>
      </c>
      <c r="V905" s="98">
        <v>45266</v>
      </c>
    </row>
    <row r="906" spans="1:22" x14ac:dyDescent="0.15">
      <c r="A906" s="24"/>
      <c r="B906" s="8"/>
      <c r="C906" s="9"/>
      <c r="D906" s="10"/>
      <c r="E906" s="49">
        <f t="shared" si="852"/>
        <v>0</v>
      </c>
      <c r="F906" s="12"/>
      <c r="G906" s="9"/>
      <c r="H906" s="10"/>
      <c r="I906" s="49">
        <f t="shared" si="853"/>
        <v>0</v>
      </c>
      <c r="J906" s="11">
        <f t="shared" si="854"/>
        <v>0</v>
      </c>
      <c r="L906" s="26" t="s">
        <v>891</v>
      </c>
      <c r="M906" s="8">
        <v>3</v>
      </c>
      <c r="N906" s="9">
        <v>1</v>
      </c>
      <c r="O906" s="52"/>
      <c r="P906" s="87">
        <f t="shared" si="846"/>
        <v>4</v>
      </c>
      <c r="Q906" s="12">
        <v>3</v>
      </c>
      <c r="R906" s="9">
        <v>1</v>
      </c>
      <c r="S906" s="10"/>
      <c r="T906" s="49">
        <f t="shared" si="847"/>
        <v>4</v>
      </c>
      <c r="U906" s="11">
        <f t="shared" si="848"/>
        <v>8</v>
      </c>
      <c r="V906" s="98">
        <v>45267</v>
      </c>
    </row>
    <row r="907" spans="1:22" x14ac:dyDescent="0.15">
      <c r="A907" s="25"/>
      <c r="B907" s="8"/>
      <c r="C907" s="9"/>
      <c r="D907" s="10"/>
      <c r="E907" s="49">
        <f t="shared" si="852"/>
        <v>0</v>
      </c>
      <c r="F907" s="12"/>
      <c r="G907" s="9"/>
      <c r="H907" s="10"/>
      <c r="I907" s="49">
        <f t="shared" si="853"/>
        <v>0</v>
      </c>
      <c r="J907" s="11">
        <f t="shared" si="854"/>
        <v>0</v>
      </c>
      <c r="L907" s="26" t="s">
        <v>893</v>
      </c>
      <c r="M907" s="8">
        <v>2</v>
      </c>
      <c r="N907" s="9">
        <v>2</v>
      </c>
      <c r="O907" s="52"/>
      <c r="P907" s="87">
        <f t="shared" si="846"/>
        <v>4</v>
      </c>
      <c r="Q907" s="12">
        <v>2</v>
      </c>
      <c r="R907" s="9">
        <v>2</v>
      </c>
      <c r="S907" s="10"/>
      <c r="T907" s="49">
        <f t="shared" si="847"/>
        <v>4</v>
      </c>
      <c r="U907" s="11">
        <f t="shared" si="848"/>
        <v>8</v>
      </c>
      <c r="V907" s="98">
        <v>45268</v>
      </c>
    </row>
    <row r="908" spans="1:22" x14ac:dyDescent="0.15">
      <c r="A908" s="26"/>
      <c r="B908" s="8"/>
      <c r="C908" s="9"/>
      <c r="D908" s="10"/>
      <c r="E908" s="49">
        <f t="shared" si="852"/>
        <v>0</v>
      </c>
      <c r="F908" s="12"/>
      <c r="G908" s="9"/>
      <c r="H908" s="10"/>
      <c r="I908" s="49">
        <f t="shared" si="853"/>
        <v>0</v>
      </c>
      <c r="J908" s="11">
        <f t="shared" si="854"/>
        <v>0</v>
      </c>
      <c r="L908" s="26" t="s">
        <v>894</v>
      </c>
      <c r="M908" s="8">
        <v>2</v>
      </c>
      <c r="N908" s="9">
        <v>3</v>
      </c>
      <c r="O908" s="52">
        <v>1</v>
      </c>
      <c r="P908" s="87">
        <f t="shared" si="846"/>
        <v>6</v>
      </c>
      <c r="Q908" s="12">
        <v>2</v>
      </c>
      <c r="R908" s="9">
        <v>3</v>
      </c>
      <c r="S908" s="10">
        <v>1</v>
      </c>
      <c r="T908" s="49">
        <f t="shared" si="847"/>
        <v>6</v>
      </c>
      <c r="U908" s="11">
        <f t="shared" si="848"/>
        <v>12</v>
      </c>
      <c r="V908" s="98">
        <v>45268</v>
      </c>
    </row>
    <row r="909" spans="1:22" x14ac:dyDescent="0.15">
      <c r="A909" s="24"/>
      <c r="B909" s="8"/>
      <c r="C909" s="9"/>
      <c r="D909" s="10"/>
      <c r="E909" s="49">
        <f t="shared" si="852"/>
        <v>0</v>
      </c>
      <c r="F909" s="12"/>
      <c r="G909" s="9"/>
      <c r="H909" s="10"/>
      <c r="I909" s="49">
        <f t="shared" si="853"/>
        <v>0</v>
      </c>
      <c r="J909" s="11">
        <f t="shared" si="854"/>
        <v>0</v>
      </c>
      <c r="L909" s="26" t="s">
        <v>896</v>
      </c>
      <c r="M909" s="8">
        <v>1</v>
      </c>
      <c r="N909" s="9"/>
      <c r="O909" s="52">
        <v>1</v>
      </c>
      <c r="P909" s="87">
        <f t="shared" ref="P909:P915" si="858">SUM(M909:O909)</f>
        <v>2</v>
      </c>
      <c r="Q909" s="12">
        <v>1</v>
      </c>
      <c r="R909" s="9"/>
      <c r="S909" s="10">
        <v>1</v>
      </c>
      <c r="T909" s="49">
        <f t="shared" ref="T909:T915" si="859">SUM(Q909:S909)</f>
        <v>2</v>
      </c>
      <c r="U909" s="11">
        <f t="shared" ref="U909" si="860">P909+T909</f>
        <v>4</v>
      </c>
      <c r="V909" s="98">
        <v>45271</v>
      </c>
    </row>
    <row r="910" spans="1:22" x14ac:dyDescent="0.15">
      <c r="B910" s="13"/>
      <c r="C910" s="14"/>
      <c r="D910" s="15"/>
      <c r="E910" s="49">
        <f t="shared" si="852"/>
        <v>0</v>
      </c>
      <c r="F910" s="16"/>
      <c r="G910" s="14"/>
      <c r="H910" s="15"/>
      <c r="I910" s="49">
        <f t="shared" si="853"/>
        <v>0</v>
      </c>
      <c r="J910" s="11">
        <f t="shared" si="854"/>
        <v>0</v>
      </c>
      <c r="L910" s="26" t="s">
        <v>898</v>
      </c>
      <c r="M910" s="8">
        <v>1</v>
      </c>
      <c r="N910" s="9"/>
      <c r="O910" s="52"/>
      <c r="P910" s="87">
        <f t="shared" ref="P910:P911" si="861">SUM(M910:O910)</f>
        <v>1</v>
      </c>
      <c r="Q910" s="12">
        <v>1</v>
      </c>
      <c r="R910" s="9"/>
      <c r="S910" s="10"/>
      <c r="T910" s="49">
        <f t="shared" ref="T910:T911" si="862">SUM(Q910:S910)</f>
        <v>1</v>
      </c>
      <c r="U910" s="11">
        <f t="shared" ref="U910:U911" si="863">P910+T910</f>
        <v>2</v>
      </c>
      <c r="V910" s="98">
        <v>45273</v>
      </c>
    </row>
    <row r="911" spans="1:22" x14ac:dyDescent="0.15">
      <c r="A911" s="26"/>
      <c r="B911" s="8"/>
      <c r="C911" s="9"/>
      <c r="D911" s="10"/>
      <c r="E911" s="49">
        <f t="shared" si="852"/>
        <v>0</v>
      </c>
      <c r="F911" s="12"/>
      <c r="G911" s="9"/>
      <c r="H911" s="10"/>
      <c r="I911" s="49">
        <f t="shared" si="853"/>
        <v>0</v>
      </c>
      <c r="J911" s="11">
        <f t="shared" si="854"/>
        <v>0</v>
      </c>
      <c r="L911" s="26" t="s">
        <v>900</v>
      </c>
      <c r="M911" s="8"/>
      <c r="N911" s="9">
        <v>1</v>
      </c>
      <c r="O911" s="52">
        <v>2</v>
      </c>
      <c r="P911" s="87">
        <f t="shared" si="861"/>
        <v>3</v>
      </c>
      <c r="Q911" s="12"/>
      <c r="R911" s="9">
        <v>1</v>
      </c>
      <c r="S911" s="10">
        <v>2</v>
      </c>
      <c r="T911" s="49">
        <f t="shared" si="862"/>
        <v>3</v>
      </c>
      <c r="U911" s="11">
        <f t="shared" si="863"/>
        <v>6</v>
      </c>
      <c r="V911" s="98">
        <v>45274</v>
      </c>
    </row>
    <row r="912" spans="1:22" x14ac:dyDescent="0.15">
      <c r="A912" s="26"/>
      <c r="B912" s="8"/>
      <c r="C912" s="9"/>
      <c r="D912" s="10"/>
      <c r="E912" s="49">
        <f t="shared" si="852"/>
        <v>0</v>
      </c>
      <c r="F912" s="12"/>
      <c r="G912" s="9"/>
      <c r="H912" s="10"/>
      <c r="I912" s="49">
        <f t="shared" si="853"/>
        <v>0</v>
      </c>
      <c r="J912" s="11">
        <f t="shared" si="854"/>
        <v>0</v>
      </c>
      <c r="L912" s="26"/>
      <c r="M912" s="8"/>
      <c r="N912" s="9"/>
      <c r="O912" s="52"/>
      <c r="P912" s="87">
        <f t="shared" ref="P912" si="864">SUM(M912:O912)</f>
        <v>0</v>
      </c>
      <c r="Q912" s="12"/>
      <c r="R912" s="9"/>
      <c r="S912" s="10"/>
      <c r="T912" s="49">
        <f t="shared" ref="T912" si="865">SUM(Q912:S912)</f>
        <v>0</v>
      </c>
      <c r="U912" s="11">
        <f t="shared" ref="U912" si="866">P912+T912</f>
        <v>0</v>
      </c>
    </row>
    <row r="913" spans="1:22" x14ac:dyDescent="0.15">
      <c r="A913" s="26"/>
      <c r="B913" s="8"/>
      <c r="C913" s="9"/>
      <c r="D913" s="10"/>
      <c r="E913" s="49">
        <f t="shared" si="852"/>
        <v>0</v>
      </c>
      <c r="F913" s="12"/>
      <c r="G913" s="9"/>
      <c r="H913" s="10"/>
      <c r="I913" s="49">
        <f t="shared" si="853"/>
        <v>0</v>
      </c>
      <c r="J913" s="11">
        <f t="shared" si="854"/>
        <v>0</v>
      </c>
      <c r="L913" s="26" t="s">
        <v>835</v>
      </c>
      <c r="M913" s="8"/>
      <c r="N913" s="9"/>
      <c r="O913" s="52"/>
      <c r="P913" s="87">
        <f t="shared" ref="P913:P914" si="867">SUM(M913:O913)</f>
        <v>0</v>
      </c>
      <c r="Q913" s="12"/>
      <c r="R913" s="9"/>
      <c r="S913" s="10"/>
      <c r="T913" s="49">
        <f t="shared" ref="T913:T914" si="868">SUM(Q913:S913)</f>
        <v>0</v>
      </c>
      <c r="U913" s="11">
        <f t="shared" ref="U913:U914" si="869">P913+T913</f>
        <v>0</v>
      </c>
      <c r="V913" s="100" t="s">
        <v>503</v>
      </c>
    </row>
    <row r="914" spans="1:22" ht="14.25" thickBot="1" x14ac:dyDescent="0.2">
      <c r="A914" s="26"/>
      <c r="B914" s="8"/>
      <c r="C914" s="9"/>
      <c r="D914" s="10"/>
      <c r="E914" s="49">
        <f t="shared" ref="E914" si="870">SUM(B914:D914)</f>
        <v>0</v>
      </c>
      <c r="F914" s="12"/>
      <c r="G914" s="9"/>
      <c r="H914" s="10"/>
      <c r="I914" s="49">
        <f t="shared" ref="I914" si="871">SUM(F914:H914)</f>
        <v>0</v>
      </c>
      <c r="J914" s="11">
        <f t="shared" ref="J914" si="872">E914+I914</f>
        <v>0</v>
      </c>
      <c r="L914" s="26" t="s">
        <v>824</v>
      </c>
      <c r="M914" s="8"/>
      <c r="N914" s="9"/>
      <c r="O914" s="52"/>
      <c r="P914" s="87">
        <f t="shared" si="867"/>
        <v>0</v>
      </c>
      <c r="Q914" s="12"/>
      <c r="R914" s="9"/>
      <c r="S914" s="10"/>
      <c r="T914" s="49">
        <f t="shared" si="868"/>
        <v>0</v>
      </c>
      <c r="U914" s="11">
        <f t="shared" si="869"/>
        <v>0</v>
      </c>
      <c r="V914" s="100" t="s">
        <v>825</v>
      </c>
    </row>
    <row r="915" spans="1:22" ht="14.25" thickBot="1" x14ac:dyDescent="0.2">
      <c r="A915" s="41" t="s">
        <v>17</v>
      </c>
      <c r="B915" s="46">
        <f>SUM(B889:B914)</f>
        <v>2</v>
      </c>
      <c r="C915" s="47">
        <f t="shared" ref="C915:D915" si="873">SUM(C889:C914)</f>
        <v>6</v>
      </c>
      <c r="D915" s="58">
        <f t="shared" si="873"/>
        <v>4</v>
      </c>
      <c r="E915" s="45">
        <f t="shared" si="852"/>
        <v>12</v>
      </c>
      <c r="F915" s="46">
        <f>SUM(F889:F914)</f>
        <v>2</v>
      </c>
      <c r="G915" s="47">
        <f t="shared" ref="G915:H915" si="874">SUM(G889:G914)</f>
        <v>6</v>
      </c>
      <c r="H915" s="58">
        <f t="shared" si="874"/>
        <v>4</v>
      </c>
      <c r="I915" s="45">
        <f t="shared" si="853"/>
        <v>12</v>
      </c>
      <c r="J915" s="45">
        <f>E915+I915</f>
        <v>24</v>
      </c>
      <c r="L915" s="41" t="s">
        <v>17</v>
      </c>
      <c r="M915" s="46">
        <f>SUM(M889:M914)</f>
        <v>45</v>
      </c>
      <c r="N915" s="47">
        <f t="shared" ref="N915:O915" si="875">SUM(N889:N914)</f>
        <v>61</v>
      </c>
      <c r="O915" s="58">
        <f t="shared" si="875"/>
        <v>35</v>
      </c>
      <c r="P915" s="45">
        <f t="shared" si="858"/>
        <v>141</v>
      </c>
      <c r="Q915" s="46">
        <f>SUM(Q889:Q914)</f>
        <v>45</v>
      </c>
      <c r="R915" s="47">
        <f t="shared" ref="R915:S915" si="876">SUM(R889:R914)</f>
        <v>61</v>
      </c>
      <c r="S915" s="58">
        <f t="shared" si="876"/>
        <v>35</v>
      </c>
      <c r="T915" s="45">
        <f t="shared" si="859"/>
        <v>141</v>
      </c>
      <c r="U915" s="45">
        <f>P915+T915</f>
        <v>282</v>
      </c>
    </row>
    <row r="916" spans="1:22" ht="14.25" thickBot="1" x14ac:dyDescent="0.2">
      <c r="A916" s="22" t="s">
        <v>16</v>
      </c>
      <c r="B916" s="50">
        <f>B888-B915</f>
        <v>0</v>
      </c>
      <c r="C916" s="56">
        <f t="shared" ref="C916:D916" si="877">C888-C915</f>
        <v>0</v>
      </c>
      <c r="D916" s="57">
        <f t="shared" si="877"/>
        <v>0</v>
      </c>
      <c r="E916" s="55">
        <f>SUM(B916:D916)</f>
        <v>0</v>
      </c>
      <c r="F916" s="50">
        <f>F888-F915</f>
        <v>0</v>
      </c>
      <c r="G916" s="56">
        <f t="shared" ref="G916:H916" si="878">G888-G915</f>
        <v>1</v>
      </c>
      <c r="H916" s="57">
        <f t="shared" si="878"/>
        <v>0</v>
      </c>
      <c r="I916" s="55">
        <f>SUM(F916:H916)</f>
        <v>1</v>
      </c>
      <c r="J916" s="31">
        <f>E916+I916</f>
        <v>1</v>
      </c>
      <c r="L916" s="22" t="s">
        <v>16</v>
      </c>
      <c r="M916" s="50">
        <f>M888-M915</f>
        <v>53</v>
      </c>
      <c r="N916" s="56">
        <f t="shared" ref="N916:O916" si="879">N888-N915</f>
        <v>47</v>
      </c>
      <c r="O916" s="57">
        <f t="shared" si="879"/>
        <v>40</v>
      </c>
      <c r="P916" s="55">
        <f>SUM(M916:O916)</f>
        <v>140</v>
      </c>
      <c r="Q916" s="50">
        <f>Q888-Q915</f>
        <v>53</v>
      </c>
      <c r="R916" s="56">
        <f t="shared" ref="R916:S916" si="880">R888-R915</f>
        <v>47</v>
      </c>
      <c r="S916" s="57">
        <f t="shared" si="880"/>
        <v>40</v>
      </c>
      <c r="T916" s="55">
        <f>SUM(Q916:S916)</f>
        <v>140</v>
      </c>
      <c r="U916" s="31">
        <f>P916+T916</f>
        <v>280</v>
      </c>
    </row>
    <row r="917" spans="1:22" x14ac:dyDescent="0.15">
      <c r="L917" t="s">
        <v>895</v>
      </c>
      <c r="M917">
        <f>M872+M915</f>
        <v>100</v>
      </c>
      <c r="N917">
        <f t="shared" ref="N917:P917" si="881">N872+N915</f>
        <v>109</v>
      </c>
      <c r="O917">
        <f t="shared" si="881"/>
        <v>73</v>
      </c>
      <c r="P917">
        <f t="shared" si="881"/>
        <v>282</v>
      </c>
    </row>
    <row r="918" spans="1:22" x14ac:dyDescent="0.15">
      <c r="M918" s="124">
        <f>M917/$P$917*100</f>
        <v>35.460992907801419</v>
      </c>
      <c r="N918" s="124">
        <f t="shared" ref="N918:P918" si="882">N917/$P$917*100</f>
        <v>38.652482269503544</v>
      </c>
      <c r="O918" s="124">
        <f t="shared" si="882"/>
        <v>25.886524822695034</v>
      </c>
      <c r="P918" s="124">
        <f t="shared" si="882"/>
        <v>100</v>
      </c>
    </row>
    <row r="919" spans="1:22" ht="19.5" thickBot="1" x14ac:dyDescent="0.25">
      <c r="A919" s="3" t="s">
        <v>678</v>
      </c>
      <c r="B919" s="1"/>
      <c r="C919" s="1"/>
      <c r="D919" s="1"/>
      <c r="E919" s="1"/>
      <c r="F919" s="1"/>
      <c r="G919" s="1"/>
      <c r="H919" s="1"/>
      <c r="I919" s="1"/>
      <c r="J919" s="1"/>
      <c r="L919" s="3" t="s">
        <v>677</v>
      </c>
      <c r="M919" s="1"/>
      <c r="N919" s="1"/>
      <c r="O919" s="1"/>
      <c r="P919" s="1"/>
      <c r="Q919" s="1"/>
      <c r="R919" s="1"/>
      <c r="S919" s="1"/>
      <c r="T919" s="1"/>
      <c r="U919" s="1"/>
    </row>
    <row r="920" spans="1:22" ht="14.25" thickBot="1" x14ac:dyDescent="0.2">
      <c r="A920" s="7"/>
      <c r="B920" s="169" t="s">
        <v>22</v>
      </c>
      <c r="C920" s="170"/>
      <c r="D920" s="170"/>
      <c r="E920" s="171"/>
      <c r="F920" s="169" t="s">
        <v>23</v>
      </c>
      <c r="G920" s="170"/>
      <c r="H920" s="170"/>
      <c r="I920" s="171"/>
      <c r="J920" s="172" t="s">
        <v>0</v>
      </c>
      <c r="L920" s="7"/>
      <c r="M920" s="169" t="s">
        <v>22</v>
      </c>
      <c r="N920" s="170"/>
      <c r="O920" s="170"/>
      <c r="P920" s="171"/>
      <c r="Q920" s="169" t="s">
        <v>23</v>
      </c>
      <c r="R920" s="170"/>
      <c r="S920" s="170"/>
      <c r="T920" s="171"/>
      <c r="U920" s="172" t="s">
        <v>0</v>
      </c>
    </row>
    <row r="921" spans="1:22" ht="14.25" thickBot="1" x14ac:dyDescent="0.2">
      <c r="A921" s="7" t="s">
        <v>1</v>
      </c>
      <c r="B921" s="4" t="s">
        <v>2</v>
      </c>
      <c r="C921" s="5" t="s">
        <v>3</v>
      </c>
      <c r="D921" s="6" t="s">
        <v>4</v>
      </c>
      <c r="E921" s="7" t="s">
        <v>5</v>
      </c>
      <c r="F921" s="4" t="s">
        <v>2</v>
      </c>
      <c r="G921" s="5" t="s">
        <v>3</v>
      </c>
      <c r="H921" s="6" t="s">
        <v>4</v>
      </c>
      <c r="I921" s="7" t="s">
        <v>5</v>
      </c>
      <c r="J921" s="173"/>
      <c r="L921" s="7" t="s">
        <v>1</v>
      </c>
      <c r="M921" s="4" t="s">
        <v>2</v>
      </c>
      <c r="N921" s="5" t="s">
        <v>3</v>
      </c>
      <c r="O921" s="6" t="s">
        <v>4</v>
      </c>
      <c r="P921" s="7" t="s">
        <v>5</v>
      </c>
      <c r="Q921" s="4" t="s">
        <v>2</v>
      </c>
      <c r="R921" s="5" t="s">
        <v>3</v>
      </c>
      <c r="S921" s="6" t="s">
        <v>4</v>
      </c>
      <c r="T921" s="7" t="s">
        <v>5</v>
      </c>
      <c r="U921" s="173"/>
    </row>
    <row r="922" spans="1:22" ht="14.25" thickBot="1" x14ac:dyDescent="0.2">
      <c r="A922" s="140" t="s">
        <v>16</v>
      </c>
      <c r="B922" s="28">
        <f>B916</f>
        <v>0</v>
      </c>
      <c r="C922" s="126">
        <f t="shared" ref="C922:E922" si="883">C916</f>
        <v>0</v>
      </c>
      <c r="D922" s="127">
        <f t="shared" si="883"/>
        <v>0</v>
      </c>
      <c r="E922" s="28">
        <f t="shared" si="883"/>
        <v>0</v>
      </c>
      <c r="F922" s="126">
        <f>F916</f>
        <v>0</v>
      </c>
      <c r="G922" s="126">
        <f t="shared" ref="G922:J922" si="884">G916</f>
        <v>1</v>
      </c>
      <c r="H922" s="127">
        <f t="shared" si="884"/>
        <v>0</v>
      </c>
      <c r="I922" s="28">
        <f t="shared" si="884"/>
        <v>1</v>
      </c>
      <c r="J922" s="28">
        <f t="shared" si="884"/>
        <v>1</v>
      </c>
      <c r="L922" s="128" t="s">
        <v>16</v>
      </c>
      <c r="M922" s="126">
        <f>M916</f>
        <v>53</v>
      </c>
      <c r="N922" s="126">
        <f t="shared" ref="N922:P922" si="885">N916</f>
        <v>47</v>
      </c>
      <c r="O922" s="127">
        <f t="shared" si="885"/>
        <v>40</v>
      </c>
      <c r="P922" s="31">
        <f t="shared" si="885"/>
        <v>140</v>
      </c>
      <c r="Q922" s="126">
        <f>Q916</f>
        <v>53</v>
      </c>
      <c r="R922" s="126">
        <f t="shared" ref="R922:U922" si="886">R916</f>
        <v>47</v>
      </c>
      <c r="S922" s="127">
        <f t="shared" si="886"/>
        <v>40</v>
      </c>
      <c r="T922" s="31">
        <f t="shared" si="886"/>
        <v>140</v>
      </c>
      <c r="U922" s="28">
        <f t="shared" si="886"/>
        <v>280</v>
      </c>
    </row>
    <row r="923" spans="1:22" x14ac:dyDescent="0.15">
      <c r="A923" s="25" t="s">
        <v>885</v>
      </c>
      <c r="B923" s="17">
        <v>1</v>
      </c>
      <c r="C923" s="18">
        <v>1</v>
      </c>
      <c r="D923" s="51">
        <v>1</v>
      </c>
      <c r="E923" s="49">
        <f>SUM(B923:D923)</f>
        <v>3</v>
      </c>
      <c r="F923" s="20">
        <v>1</v>
      </c>
      <c r="G923" s="18">
        <v>1</v>
      </c>
      <c r="H923" s="19">
        <v>1</v>
      </c>
      <c r="I923" s="49">
        <f>SUM(F923:H923)</f>
        <v>3</v>
      </c>
      <c r="J923" s="49">
        <f>E923+I923</f>
        <v>6</v>
      </c>
      <c r="K923" s="62">
        <v>45286</v>
      </c>
      <c r="L923" s="25" t="s">
        <v>312</v>
      </c>
      <c r="M923" s="17">
        <v>2</v>
      </c>
      <c r="N923" s="18">
        <v>1</v>
      </c>
      <c r="O923" s="51">
        <v>1</v>
      </c>
      <c r="P923" s="11">
        <f t="shared" ref="P923" si="887">SUM(M923:O923)</f>
        <v>4</v>
      </c>
      <c r="Q923" s="17">
        <v>2</v>
      </c>
      <c r="R923" s="18">
        <v>1</v>
      </c>
      <c r="S923" s="51">
        <v>1</v>
      </c>
      <c r="T923" s="11">
        <f t="shared" ref="T923" si="888">SUM(Q923:S923)</f>
        <v>4</v>
      </c>
      <c r="U923" s="11">
        <f t="shared" ref="U923" si="889">P923+T923</f>
        <v>8</v>
      </c>
      <c r="V923" s="99">
        <v>45297</v>
      </c>
    </row>
    <row r="924" spans="1:22" x14ac:dyDescent="0.15">
      <c r="A924" s="25" t="s">
        <v>885</v>
      </c>
      <c r="B924" s="8">
        <v>1</v>
      </c>
      <c r="C924" s="9"/>
      <c r="D924" s="52"/>
      <c r="E924" s="11">
        <f>SUM(B924:D924)</f>
        <v>1</v>
      </c>
      <c r="F924" s="12">
        <v>1</v>
      </c>
      <c r="G924" s="9"/>
      <c r="H924" s="10"/>
      <c r="I924" s="11">
        <f>SUM(F924:H924)</f>
        <v>1</v>
      </c>
      <c r="J924" s="11">
        <f>E924+I924</f>
        <v>2</v>
      </c>
      <c r="K924" s="62">
        <v>45303</v>
      </c>
      <c r="L924" s="25" t="s">
        <v>8</v>
      </c>
      <c r="M924" s="17"/>
      <c r="N924" s="18"/>
      <c r="O924" s="51"/>
      <c r="P924" s="11">
        <f t="shared" ref="P924:P926" si="890">SUM(M924:O924)</f>
        <v>0</v>
      </c>
      <c r="Q924" s="17"/>
      <c r="R924" s="18"/>
      <c r="S924" s="51"/>
      <c r="T924" s="11">
        <f t="shared" ref="T924:T926" si="891">SUM(Q924:S924)</f>
        <v>0</v>
      </c>
      <c r="U924" s="11">
        <f t="shared" ref="U924:U926" si="892">P924+T924</f>
        <v>0</v>
      </c>
    </row>
    <row r="925" spans="1:22" x14ac:dyDescent="0.15">
      <c r="A925" s="25" t="s">
        <v>9</v>
      </c>
      <c r="B925" s="17"/>
      <c r="C925" s="18"/>
      <c r="D925" s="51"/>
      <c r="E925" s="11">
        <f t="shared" ref="E925:E930" si="893">SUM(B925:D925)</f>
        <v>0</v>
      </c>
      <c r="F925" s="20"/>
      <c r="G925" s="18"/>
      <c r="H925" s="19"/>
      <c r="I925" s="11">
        <f t="shared" ref="I925:I930" si="894">SUM(F925:H925)</f>
        <v>0</v>
      </c>
      <c r="J925" s="11">
        <f t="shared" ref="J925:J930" si="895">E925+I925</f>
        <v>0</v>
      </c>
      <c r="K925" s="64"/>
      <c r="L925" s="25" t="s">
        <v>9</v>
      </c>
      <c r="M925" s="17"/>
      <c r="N925" s="18"/>
      <c r="O925" s="51"/>
      <c r="P925" s="11">
        <f t="shared" si="890"/>
        <v>0</v>
      </c>
      <c r="Q925" s="17"/>
      <c r="R925" s="18"/>
      <c r="S925" s="51"/>
      <c r="T925" s="11">
        <f t="shared" si="891"/>
        <v>0</v>
      </c>
      <c r="U925" s="11">
        <f t="shared" si="892"/>
        <v>0</v>
      </c>
    </row>
    <row r="926" spans="1:22" x14ac:dyDescent="0.15">
      <c r="A926" s="25" t="s">
        <v>10</v>
      </c>
      <c r="B926" s="8"/>
      <c r="C926" s="9"/>
      <c r="D926" s="52"/>
      <c r="E926" s="11">
        <f t="shared" si="893"/>
        <v>0</v>
      </c>
      <c r="F926" s="12"/>
      <c r="G926" s="9"/>
      <c r="H926" s="10"/>
      <c r="I926" s="11">
        <f t="shared" si="894"/>
        <v>0</v>
      </c>
      <c r="J926" s="11">
        <f t="shared" si="895"/>
        <v>0</v>
      </c>
      <c r="L926" s="25" t="s">
        <v>10</v>
      </c>
      <c r="M926" s="8"/>
      <c r="N926" s="9"/>
      <c r="O926" s="52"/>
      <c r="P926" s="11">
        <f t="shared" si="890"/>
        <v>0</v>
      </c>
      <c r="Q926" s="12"/>
      <c r="R926" s="9"/>
      <c r="S926" s="10"/>
      <c r="T926" s="11">
        <f t="shared" si="891"/>
        <v>0</v>
      </c>
      <c r="U926" s="11">
        <f t="shared" si="892"/>
        <v>0</v>
      </c>
    </row>
    <row r="927" spans="1:22" x14ac:dyDescent="0.15">
      <c r="A927" s="25" t="s">
        <v>11</v>
      </c>
      <c r="B927" s="8"/>
      <c r="C927" s="9"/>
      <c r="D927" s="52"/>
      <c r="E927" s="11">
        <f t="shared" si="893"/>
        <v>0</v>
      </c>
      <c r="F927" s="12"/>
      <c r="G927" s="9"/>
      <c r="H927" s="10"/>
      <c r="I927" s="11">
        <f t="shared" si="894"/>
        <v>0</v>
      </c>
      <c r="J927" s="11">
        <f t="shared" si="895"/>
        <v>0</v>
      </c>
      <c r="L927" s="25" t="s">
        <v>11</v>
      </c>
      <c r="M927" s="8"/>
      <c r="N927" s="9"/>
      <c r="O927" s="52"/>
      <c r="P927" s="11">
        <f>SUM(M927:O927)</f>
        <v>0</v>
      </c>
      <c r="Q927" s="12"/>
      <c r="R927" s="9"/>
      <c r="S927" s="10"/>
      <c r="T927" s="11">
        <f>SUM(Q927:S927)</f>
        <v>0</v>
      </c>
      <c r="U927" s="11">
        <f>P927+T927</f>
        <v>0</v>
      </c>
    </row>
    <row r="928" spans="1:22" x14ac:dyDescent="0.15">
      <c r="A928" s="25" t="s">
        <v>12</v>
      </c>
      <c r="B928" s="8"/>
      <c r="C928" s="9"/>
      <c r="D928" s="52"/>
      <c r="E928" s="11">
        <f t="shared" si="893"/>
        <v>0</v>
      </c>
      <c r="F928" s="12"/>
      <c r="G928" s="9"/>
      <c r="H928" s="10"/>
      <c r="I928" s="11">
        <f t="shared" si="894"/>
        <v>0</v>
      </c>
      <c r="J928" s="11">
        <f t="shared" si="895"/>
        <v>0</v>
      </c>
      <c r="L928" s="25" t="s">
        <v>12</v>
      </c>
      <c r="M928" s="17"/>
      <c r="N928" s="18"/>
      <c r="O928" s="51"/>
      <c r="P928" s="49">
        <f t="shared" ref="P928:P930" si="896">SUM(M928:O928)</f>
        <v>0</v>
      </c>
      <c r="Q928" s="17"/>
      <c r="R928" s="18"/>
      <c r="S928" s="51"/>
      <c r="T928" s="49">
        <f t="shared" ref="T928:T930" si="897">SUM(Q928:S928)</f>
        <v>0</v>
      </c>
      <c r="U928" s="11">
        <f t="shared" ref="U928:U930" si="898">P928+T928</f>
        <v>0</v>
      </c>
    </row>
    <row r="929" spans="1:23" x14ac:dyDescent="0.15">
      <c r="A929" s="25" t="s">
        <v>13</v>
      </c>
      <c r="B929" s="13"/>
      <c r="C929" s="14"/>
      <c r="D929" s="53"/>
      <c r="E929" s="11">
        <f t="shared" si="893"/>
        <v>0</v>
      </c>
      <c r="F929" s="16"/>
      <c r="G929" s="14"/>
      <c r="H929" s="15"/>
      <c r="I929" s="11">
        <f t="shared" si="894"/>
        <v>0</v>
      </c>
      <c r="J929" s="11">
        <f t="shared" si="895"/>
        <v>0</v>
      </c>
      <c r="L929" s="25" t="s">
        <v>13</v>
      </c>
      <c r="M929" s="17"/>
      <c r="N929" s="18"/>
      <c r="O929" s="51"/>
      <c r="P929" s="49">
        <f t="shared" si="896"/>
        <v>0</v>
      </c>
      <c r="Q929" s="17"/>
      <c r="R929" s="18"/>
      <c r="S929" s="51"/>
      <c r="T929" s="49">
        <f t="shared" si="897"/>
        <v>0</v>
      </c>
      <c r="U929" s="11">
        <f t="shared" si="898"/>
        <v>0</v>
      </c>
    </row>
    <row r="930" spans="1:23" ht="14.25" thickBot="1" x14ac:dyDescent="0.2">
      <c r="A930" s="25" t="s">
        <v>14</v>
      </c>
      <c r="B930" s="32"/>
      <c r="C930" s="33"/>
      <c r="D930" s="54"/>
      <c r="E930" s="61">
        <f t="shared" si="893"/>
        <v>0</v>
      </c>
      <c r="F930" s="34"/>
      <c r="G930" s="34"/>
      <c r="H930" s="37"/>
      <c r="I930" s="61">
        <f t="shared" si="894"/>
        <v>0</v>
      </c>
      <c r="J930" s="21">
        <f t="shared" si="895"/>
        <v>0</v>
      </c>
      <c r="L930" s="25" t="s">
        <v>14</v>
      </c>
      <c r="M930" s="32"/>
      <c r="N930" s="33"/>
      <c r="O930" s="54"/>
      <c r="P930" s="61">
        <f t="shared" si="896"/>
        <v>0</v>
      </c>
      <c r="Q930" s="34"/>
      <c r="R930" s="34"/>
      <c r="S930" s="37"/>
      <c r="T930" s="61">
        <f t="shared" si="897"/>
        <v>0</v>
      </c>
      <c r="U930" s="21">
        <f t="shared" si="898"/>
        <v>0</v>
      </c>
    </row>
    <row r="931" spans="1:23" ht="14.25" thickBot="1" x14ac:dyDescent="0.2">
      <c r="A931" s="35" t="s">
        <v>15</v>
      </c>
      <c r="B931" s="28">
        <f>SUM(B922:B930)</f>
        <v>2</v>
      </c>
      <c r="C931" s="29">
        <f>SUM(C922:C930)</f>
        <v>1</v>
      </c>
      <c r="D931" s="30">
        <f>SUM(D922:D930)</f>
        <v>1</v>
      </c>
      <c r="E931" s="31">
        <f>SUM(B931:D931)</f>
        <v>4</v>
      </c>
      <c r="F931" s="28">
        <f>SUM(F922:F930)</f>
        <v>2</v>
      </c>
      <c r="G931" s="29">
        <f>SUM(G922:G930)</f>
        <v>2</v>
      </c>
      <c r="H931" s="30">
        <f>SUM(H922:H930)</f>
        <v>1</v>
      </c>
      <c r="I931" s="31">
        <f>SUM(F931:H931)</f>
        <v>5</v>
      </c>
      <c r="J931" s="31">
        <f>E931+I931</f>
        <v>9</v>
      </c>
      <c r="L931" s="35" t="s">
        <v>15</v>
      </c>
      <c r="M931" s="28">
        <f>SUM(M922:M930)</f>
        <v>55</v>
      </c>
      <c r="N931" s="29">
        <f>SUM(N922:N930)</f>
        <v>48</v>
      </c>
      <c r="O931" s="30">
        <f>SUM(O922:O930)</f>
        <v>41</v>
      </c>
      <c r="P931" s="31">
        <f>SUM(M931:O931)</f>
        <v>144</v>
      </c>
      <c r="Q931" s="28">
        <f>SUM(Q922:Q930)</f>
        <v>55</v>
      </c>
      <c r="R931" s="29">
        <f>SUM(R922:R930)</f>
        <v>48</v>
      </c>
      <c r="S931" s="30">
        <f>SUM(S922:S930)</f>
        <v>41</v>
      </c>
      <c r="T931" s="31">
        <f>SUM(Q931:S931)</f>
        <v>144</v>
      </c>
      <c r="U931" s="31">
        <f>P931+T931</f>
        <v>288</v>
      </c>
    </row>
    <row r="932" spans="1:23" x14ac:dyDescent="0.15">
      <c r="A932" s="26" t="s">
        <v>558</v>
      </c>
      <c r="B932" s="8">
        <v>2</v>
      </c>
      <c r="C932" s="9">
        <v>1</v>
      </c>
      <c r="D932" s="10">
        <v>1</v>
      </c>
      <c r="E932" s="49">
        <f t="shared" ref="E932" si="899">SUM(B932:D932)</f>
        <v>4</v>
      </c>
      <c r="F932" s="12">
        <v>2</v>
      </c>
      <c r="G932" s="9">
        <v>1</v>
      </c>
      <c r="H932" s="10">
        <v>1</v>
      </c>
      <c r="I932" s="49">
        <f t="shared" ref="I932" si="900">SUM(F932:H932)</f>
        <v>4</v>
      </c>
      <c r="J932" s="11">
        <f t="shared" ref="J932" si="901">E932+I932</f>
        <v>8</v>
      </c>
      <c r="K932" s="62">
        <v>45297</v>
      </c>
      <c r="L932" s="26" t="s">
        <v>902</v>
      </c>
      <c r="M932" s="8"/>
      <c r="N932" s="9"/>
      <c r="O932" s="52">
        <v>2</v>
      </c>
      <c r="P932" s="87">
        <f t="shared" ref="P932:P953" si="902">SUM(M932:O932)</f>
        <v>2</v>
      </c>
      <c r="Q932" s="12"/>
      <c r="R932" s="9"/>
      <c r="S932" s="10">
        <v>2</v>
      </c>
      <c r="T932" s="49">
        <f t="shared" ref="T932:T953" si="903">SUM(Q932:S932)</f>
        <v>2</v>
      </c>
      <c r="U932" s="11">
        <f t="shared" ref="U932:U953" si="904">P932+T932</f>
        <v>4</v>
      </c>
      <c r="V932" s="98">
        <v>45275</v>
      </c>
    </row>
    <row r="933" spans="1:23" x14ac:dyDescent="0.15">
      <c r="A933" s="26" t="s">
        <v>910</v>
      </c>
      <c r="B933" s="8"/>
      <c r="C933" s="9"/>
      <c r="D933" s="10"/>
      <c r="E933" s="49">
        <f t="shared" ref="E933:E934" si="905">SUM(B933:D933)</f>
        <v>0</v>
      </c>
      <c r="F933" s="12"/>
      <c r="G933" s="9">
        <v>1</v>
      </c>
      <c r="H933" s="10"/>
      <c r="I933" s="49">
        <f t="shared" ref="I933:I934" si="906">SUM(F933:H933)</f>
        <v>1</v>
      </c>
      <c r="J933" s="11">
        <f t="shared" ref="J933:J934" si="907">E933+I933</f>
        <v>1</v>
      </c>
      <c r="K933" s="62">
        <v>45338</v>
      </c>
      <c r="L933" s="26" t="s">
        <v>903</v>
      </c>
      <c r="M933" s="8">
        <v>1</v>
      </c>
      <c r="N933" s="9">
        <v>1</v>
      </c>
      <c r="O933" s="52">
        <v>1</v>
      </c>
      <c r="P933" s="87">
        <f t="shared" si="902"/>
        <v>3</v>
      </c>
      <c r="Q933" s="12">
        <v>1</v>
      </c>
      <c r="R933" s="9">
        <v>1</v>
      </c>
      <c r="S933" s="10">
        <v>1</v>
      </c>
      <c r="T933" s="49">
        <f t="shared" si="903"/>
        <v>3</v>
      </c>
      <c r="U933" s="11">
        <f t="shared" si="904"/>
        <v>6</v>
      </c>
      <c r="V933" s="98">
        <v>45275</v>
      </c>
    </row>
    <row r="934" spans="1:23" x14ac:dyDescent="0.15">
      <c r="A934" s="26"/>
      <c r="B934" s="8"/>
      <c r="C934" s="9"/>
      <c r="D934" s="10"/>
      <c r="E934" s="49">
        <f t="shared" si="905"/>
        <v>0</v>
      </c>
      <c r="F934" s="12"/>
      <c r="G934" s="9"/>
      <c r="H934" s="10"/>
      <c r="I934" s="49">
        <f t="shared" si="906"/>
        <v>0</v>
      </c>
      <c r="J934" s="11">
        <f t="shared" si="907"/>
        <v>0</v>
      </c>
      <c r="K934" s="62"/>
      <c r="L934" s="26" t="s">
        <v>905</v>
      </c>
      <c r="M934" s="8">
        <v>1</v>
      </c>
      <c r="N934" s="9"/>
      <c r="O934" s="52"/>
      <c r="P934" s="87">
        <f t="shared" si="902"/>
        <v>1</v>
      </c>
      <c r="Q934" s="12">
        <v>1</v>
      </c>
      <c r="R934" s="9"/>
      <c r="S934" s="10"/>
      <c r="T934" s="49">
        <f t="shared" si="903"/>
        <v>1</v>
      </c>
      <c r="U934" s="11">
        <f t="shared" si="904"/>
        <v>2</v>
      </c>
      <c r="V934" s="98">
        <v>45278</v>
      </c>
    </row>
    <row r="935" spans="1:23" x14ac:dyDescent="0.15">
      <c r="A935" s="26"/>
      <c r="B935" s="13"/>
      <c r="C935" s="14"/>
      <c r="D935" s="15"/>
      <c r="E935" s="49">
        <f>SUM(B935:D935)</f>
        <v>0</v>
      </c>
      <c r="F935" s="16"/>
      <c r="G935" s="14"/>
      <c r="H935" s="15"/>
      <c r="I935" s="49">
        <f>SUM(F935:H935)</f>
        <v>0</v>
      </c>
      <c r="J935" s="11">
        <f>E935+I935</f>
        <v>0</v>
      </c>
      <c r="K935" s="64"/>
      <c r="L935" s="26" t="s">
        <v>906</v>
      </c>
      <c r="M935" s="8">
        <v>1</v>
      </c>
      <c r="N935" s="9"/>
      <c r="O935" s="52">
        <v>1</v>
      </c>
      <c r="P935" s="87">
        <f t="shared" si="902"/>
        <v>2</v>
      </c>
      <c r="Q935" s="12">
        <v>1</v>
      </c>
      <c r="R935" s="9"/>
      <c r="S935" s="10">
        <v>1</v>
      </c>
      <c r="T935" s="49">
        <f t="shared" si="903"/>
        <v>2</v>
      </c>
      <c r="U935" s="11">
        <f t="shared" si="904"/>
        <v>4</v>
      </c>
      <c r="V935" s="98">
        <v>45280</v>
      </c>
    </row>
    <row r="936" spans="1:23" x14ac:dyDescent="0.15">
      <c r="A936" s="26"/>
      <c r="B936" s="8"/>
      <c r="C936" s="9"/>
      <c r="D936" s="10"/>
      <c r="E936" s="49">
        <f t="shared" ref="E936:E958" si="908">SUM(B936:D936)</f>
        <v>0</v>
      </c>
      <c r="F936" s="12"/>
      <c r="G936" s="9"/>
      <c r="H936" s="10"/>
      <c r="I936" s="49">
        <f t="shared" ref="I936:I958" si="909">SUM(F936:H936)</f>
        <v>0</v>
      </c>
      <c r="J936" s="11">
        <f t="shared" ref="J936:J957" si="910">E936+I936</f>
        <v>0</v>
      </c>
      <c r="L936" s="26" t="s">
        <v>257</v>
      </c>
      <c r="M936" s="8">
        <v>2</v>
      </c>
      <c r="N936" s="9"/>
      <c r="O936" s="52"/>
      <c r="P936" s="87">
        <f t="shared" si="902"/>
        <v>2</v>
      </c>
      <c r="Q936" s="12">
        <v>2</v>
      </c>
      <c r="R936" s="9"/>
      <c r="S936" s="10"/>
      <c r="T936" s="49">
        <f t="shared" si="903"/>
        <v>2</v>
      </c>
      <c r="U936" s="11">
        <f t="shared" si="904"/>
        <v>4</v>
      </c>
      <c r="V936" s="98">
        <v>45281</v>
      </c>
    </row>
    <row r="937" spans="1:23" x14ac:dyDescent="0.15">
      <c r="A937" s="26"/>
      <c r="B937" s="8"/>
      <c r="C937" s="9"/>
      <c r="D937" s="10"/>
      <c r="E937" s="49">
        <f t="shared" si="908"/>
        <v>0</v>
      </c>
      <c r="F937" s="12"/>
      <c r="G937" s="9"/>
      <c r="H937" s="10"/>
      <c r="I937" s="49">
        <f t="shared" si="909"/>
        <v>0</v>
      </c>
      <c r="J937" s="11">
        <f t="shared" si="910"/>
        <v>0</v>
      </c>
      <c r="L937" s="26" t="s">
        <v>264</v>
      </c>
      <c r="M937" s="8"/>
      <c r="N937" s="9">
        <v>1</v>
      </c>
      <c r="O937" s="52"/>
      <c r="P937" s="87">
        <f t="shared" si="902"/>
        <v>1</v>
      </c>
      <c r="Q937" s="12"/>
      <c r="R937" s="9">
        <v>1</v>
      </c>
      <c r="S937" s="10"/>
      <c r="T937" s="49">
        <f t="shared" si="903"/>
        <v>1</v>
      </c>
      <c r="U937" s="11">
        <f t="shared" si="904"/>
        <v>2</v>
      </c>
      <c r="V937" s="98">
        <v>45282</v>
      </c>
    </row>
    <row r="938" spans="1:23" x14ac:dyDescent="0.15">
      <c r="A938" s="26"/>
      <c r="B938" s="8"/>
      <c r="C938" s="9"/>
      <c r="D938" s="10"/>
      <c r="E938" s="49">
        <f t="shared" si="908"/>
        <v>0</v>
      </c>
      <c r="F938" s="12"/>
      <c r="G938" s="9"/>
      <c r="H938" s="10"/>
      <c r="I938" s="49">
        <f t="shared" si="909"/>
        <v>0</v>
      </c>
      <c r="J938" s="11">
        <f t="shared" si="910"/>
        <v>0</v>
      </c>
      <c r="L938" s="26" t="s">
        <v>262</v>
      </c>
      <c r="M938" s="8"/>
      <c r="N938" s="9">
        <v>1</v>
      </c>
      <c r="O938" s="52"/>
      <c r="P938" s="87">
        <f t="shared" si="902"/>
        <v>1</v>
      </c>
      <c r="Q938" s="12"/>
      <c r="R938" s="9">
        <v>1</v>
      </c>
      <c r="S938" s="10"/>
      <c r="T938" s="49">
        <f t="shared" si="903"/>
        <v>1</v>
      </c>
      <c r="U938" s="11">
        <f t="shared" si="904"/>
        <v>2</v>
      </c>
      <c r="V938" s="98">
        <v>45282</v>
      </c>
    </row>
    <row r="939" spans="1:23" x14ac:dyDescent="0.15">
      <c r="A939" s="26"/>
      <c r="B939" s="8"/>
      <c r="C939" s="9"/>
      <c r="D939" s="10"/>
      <c r="E939" s="49">
        <f t="shared" si="908"/>
        <v>0</v>
      </c>
      <c r="F939" s="12"/>
      <c r="G939" s="9"/>
      <c r="H939" s="10"/>
      <c r="I939" s="49">
        <f t="shared" si="909"/>
        <v>0</v>
      </c>
      <c r="J939" s="11">
        <f t="shared" si="910"/>
        <v>0</v>
      </c>
      <c r="L939" s="26" t="s">
        <v>263</v>
      </c>
      <c r="M939" s="8">
        <v>1</v>
      </c>
      <c r="N939" s="9">
        <v>2</v>
      </c>
      <c r="O939" s="52"/>
      <c r="P939" s="87">
        <f t="shared" si="902"/>
        <v>3</v>
      </c>
      <c r="Q939" s="12">
        <v>1</v>
      </c>
      <c r="R939" s="9">
        <v>2</v>
      </c>
      <c r="S939" s="10"/>
      <c r="T939" s="49">
        <f t="shared" si="903"/>
        <v>3</v>
      </c>
      <c r="U939" s="11">
        <f t="shared" si="904"/>
        <v>6</v>
      </c>
      <c r="V939" s="98">
        <v>45285</v>
      </c>
    </row>
    <row r="940" spans="1:23" x14ac:dyDescent="0.15">
      <c r="A940" s="26"/>
      <c r="B940" s="8"/>
      <c r="C940" s="9"/>
      <c r="D940" s="10"/>
      <c r="E940" s="49">
        <f t="shared" si="908"/>
        <v>0</v>
      </c>
      <c r="F940" s="12"/>
      <c r="G940" s="9"/>
      <c r="H940" s="10"/>
      <c r="I940" s="49">
        <f t="shared" si="909"/>
        <v>0</v>
      </c>
      <c r="J940" s="11">
        <f t="shared" si="910"/>
        <v>0</v>
      </c>
      <c r="L940" s="26" t="s">
        <v>271</v>
      </c>
      <c r="M940" s="8"/>
      <c r="N940" s="9"/>
      <c r="O940" s="52">
        <v>1</v>
      </c>
      <c r="P940" s="87">
        <f t="shared" si="902"/>
        <v>1</v>
      </c>
      <c r="Q940" s="12"/>
      <c r="R940" s="9"/>
      <c r="S940" s="10">
        <v>1</v>
      </c>
      <c r="T940" s="49">
        <f t="shared" si="903"/>
        <v>1</v>
      </c>
      <c r="U940" s="11">
        <f t="shared" si="904"/>
        <v>2</v>
      </c>
      <c r="V940" s="98">
        <v>45288</v>
      </c>
    </row>
    <row r="941" spans="1:23" x14ac:dyDescent="0.15">
      <c r="A941" s="26"/>
      <c r="B941" s="13"/>
      <c r="C941" s="14"/>
      <c r="D941" s="15"/>
      <c r="E941" s="49">
        <f t="shared" si="908"/>
        <v>0</v>
      </c>
      <c r="F941" s="16"/>
      <c r="G941" s="14"/>
      <c r="H941" s="15"/>
      <c r="I941" s="49">
        <f t="shared" si="909"/>
        <v>0</v>
      </c>
      <c r="J941" s="11">
        <f t="shared" si="910"/>
        <v>0</v>
      </c>
      <c r="L941" s="26" t="s">
        <v>272</v>
      </c>
      <c r="M941" s="8"/>
      <c r="N941" s="9"/>
      <c r="O941" s="52">
        <v>1</v>
      </c>
      <c r="P941" s="87">
        <f t="shared" si="902"/>
        <v>1</v>
      </c>
      <c r="Q941" s="12"/>
      <c r="R941" s="9"/>
      <c r="S941" s="10">
        <v>1</v>
      </c>
      <c r="T941" s="49">
        <f t="shared" si="903"/>
        <v>1</v>
      </c>
      <c r="U941" s="11">
        <f t="shared" si="904"/>
        <v>2</v>
      </c>
      <c r="V941" s="98">
        <v>45303</v>
      </c>
      <c r="W941" s="66"/>
    </row>
    <row r="942" spans="1:23" x14ac:dyDescent="0.15">
      <c r="A942" s="26"/>
      <c r="B942" s="8"/>
      <c r="C942" s="9"/>
      <c r="D942" s="10"/>
      <c r="E942" s="49">
        <f t="shared" si="908"/>
        <v>0</v>
      </c>
      <c r="F942" s="12"/>
      <c r="G942" s="9"/>
      <c r="H942" s="10"/>
      <c r="I942" s="49">
        <f t="shared" si="909"/>
        <v>0</v>
      </c>
      <c r="J942" s="11">
        <f t="shared" si="910"/>
        <v>0</v>
      </c>
      <c r="L942" s="26" t="s">
        <v>907</v>
      </c>
      <c r="M942" s="8">
        <v>1</v>
      </c>
      <c r="N942" s="9"/>
      <c r="O942" s="52"/>
      <c r="P942" s="87">
        <f t="shared" si="902"/>
        <v>1</v>
      </c>
      <c r="Q942" s="12">
        <v>1</v>
      </c>
      <c r="R942" s="9"/>
      <c r="S942" s="10"/>
      <c r="T942" s="49">
        <f t="shared" si="903"/>
        <v>1</v>
      </c>
      <c r="U942" s="11">
        <f t="shared" si="904"/>
        <v>2</v>
      </c>
      <c r="V942" s="98">
        <v>45310</v>
      </c>
      <c r="W942" s="66"/>
    </row>
    <row r="943" spans="1:23" x14ac:dyDescent="0.15">
      <c r="A943" s="26"/>
      <c r="B943" s="8"/>
      <c r="C943" s="9"/>
      <c r="D943" s="10"/>
      <c r="E943" s="49">
        <f t="shared" si="908"/>
        <v>0</v>
      </c>
      <c r="F943" s="12"/>
      <c r="G943" s="9"/>
      <c r="H943" s="10"/>
      <c r="I943" s="49">
        <f t="shared" si="909"/>
        <v>0</v>
      </c>
      <c r="J943" s="11">
        <f t="shared" si="910"/>
        <v>0</v>
      </c>
      <c r="L943" s="26" t="s">
        <v>276</v>
      </c>
      <c r="M943" s="8">
        <v>1</v>
      </c>
      <c r="N943" s="9">
        <v>1</v>
      </c>
      <c r="O943" s="52"/>
      <c r="P943" s="87">
        <f t="shared" si="902"/>
        <v>2</v>
      </c>
      <c r="Q943" s="12">
        <v>1</v>
      </c>
      <c r="R943" s="9">
        <v>1</v>
      </c>
      <c r="S943" s="10"/>
      <c r="T943" s="49">
        <f t="shared" si="903"/>
        <v>2</v>
      </c>
      <c r="U943" s="11">
        <f t="shared" si="904"/>
        <v>4</v>
      </c>
      <c r="V943" s="98">
        <v>45315</v>
      </c>
      <c r="W943" s="66"/>
    </row>
    <row r="944" spans="1:23" x14ac:dyDescent="0.15">
      <c r="A944" s="26"/>
      <c r="B944" s="8"/>
      <c r="C944" s="9"/>
      <c r="D944" s="10"/>
      <c r="E944" s="49">
        <f t="shared" si="908"/>
        <v>0</v>
      </c>
      <c r="F944" s="12"/>
      <c r="G944" s="9"/>
      <c r="H944" s="10"/>
      <c r="I944" s="49">
        <f t="shared" si="909"/>
        <v>0</v>
      </c>
      <c r="J944" s="11">
        <f t="shared" si="910"/>
        <v>0</v>
      </c>
      <c r="L944" s="26" t="s">
        <v>277</v>
      </c>
      <c r="M944" s="8">
        <v>1</v>
      </c>
      <c r="N944" s="9">
        <v>1</v>
      </c>
      <c r="O944" s="52"/>
      <c r="P944" s="87">
        <f t="shared" si="902"/>
        <v>2</v>
      </c>
      <c r="Q944" s="12">
        <v>1</v>
      </c>
      <c r="R944" s="9">
        <v>1</v>
      </c>
      <c r="S944" s="10"/>
      <c r="T944" s="49">
        <f t="shared" si="903"/>
        <v>2</v>
      </c>
      <c r="U944" s="11">
        <f t="shared" si="904"/>
        <v>4</v>
      </c>
      <c r="V944" s="98">
        <v>45316</v>
      </c>
    </row>
    <row r="945" spans="1:22" x14ac:dyDescent="0.15">
      <c r="A945" s="26"/>
      <c r="B945" s="8"/>
      <c r="C945" s="9"/>
      <c r="D945" s="10"/>
      <c r="E945" s="49">
        <f t="shared" si="908"/>
        <v>0</v>
      </c>
      <c r="F945" s="12"/>
      <c r="G945" s="9"/>
      <c r="H945" s="10"/>
      <c r="I945" s="49">
        <f t="shared" si="909"/>
        <v>0</v>
      </c>
      <c r="J945" s="11">
        <f t="shared" si="910"/>
        <v>0</v>
      </c>
      <c r="L945" s="26" t="s">
        <v>278</v>
      </c>
      <c r="M945" s="8">
        <v>1</v>
      </c>
      <c r="N945" s="9"/>
      <c r="O945" s="52"/>
      <c r="P945" s="87">
        <f t="shared" si="902"/>
        <v>1</v>
      </c>
      <c r="Q945" s="12">
        <v>1</v>
      </c>
      <c r="R945" s="9"/>
      <c r="S945" s="10"/>
      <c r="T945" s="49">
        <f t="shared" si="903"/>
        <v>1</v>
      </c>
      <c r="U945" s="11">
        <f t="shared" si="904"/>
        <v>2</v>
      </c>
      <c r="V945" s="98">
        <v>45324</v>
      </c>
    </row>
    <row r="946" spans="1:22" x14ac:dyDescent="0.15">
      <c r="A946" s="26"/>
      <c r="B946" s="8"/>
      <c r="C946" s="9"/>
      <c r="D946" s="10"/>
      <c r="E946" s="49">
        <f t="shared" si="908"/>
        <v>0</v>
      </c>
      <c r="F946" s="12"/>
      <c r="G946" s="9"/>
      <c r="H946" s="10"/>
      <c r="I946" s="49">
        <f t="shared" si="909"/>
        <v>0</v>
      </c>
      <c r="J946" s="11">
        <f t="shared" si="910"/>
        <v>0</v>
      </c>
      <c r="L946" s="26" t="s">
        <v>279</v>
      </c>
      <c r="M946" s="8">
        <v>1</v>
      </c>
      <c r="N946" s="9"/>
      <c r="O946" s="52"/>
      <c r="P946" s="87">
        <f t="shared" si="902"/>
        <v>1</v>
      </c>
      <c r="Q946" s="12">
        <v>1</v>
      </c>
      <c r="R946" s="9"/>
      <c r="S946" s="10"/>
      <c r="T946" s="49">
        <f t="shared" si="903"/>
        <v>1</v>
      </c>
      <c r="U946" s="11">
        <f t="shared" si="904"/>
        <v>2</v>
      </c>
      <c r="V946" s="98">
        <v>45350</v>
      </c>
    </row>
    <row r="947" spans="1:22" x14ac:dyDescent="0.15">
      <c r="A947" s="26"/>
      <c r="B947" s="8"/>
      <c r="C947" s="9"/>
      <c r="D947" s="10"/>
      <c r="E947" s="49">
        <f t="shared" si="908"/>
        <v>0</v>
      </c>
      <c r="F947" s="12"/>
      <c r="G947" s="9"/>
      <c r="H947" s="10"/>
      <c r="I947" s="49">
        <f t="shared" si="909"/>
        <v>0</v>
      </c>
      <c r="J947" s="11">
        <f t="shared" si="910"/>
        <v>0</v>
      </c>
      <c r="L947" s="26" t="s">
        <v>280</v>
      </c>
      <c r="M947" s="8"/>
      <c r="N947" s="9">
        <v>1</v>
      </c>
      <c r="O947" s="52"/>
      <c r="P947" s="87">
        <f t="shared" si="902"/>
        <v>1</v>
      </c>
      <c r="Q947" s="12"/>
      <c r="R947" s="9">
        <v>1</v>
      </c>
      <c r="S947" s="10"/>
      <c r="T947" s="49">
        <f t="shared" si="903"/>
        <v>1</v>
      </c>
      <c r="U947" s="11">
        <f t="shared" si="904"/>
        <v>2</v>
      </c>
      <c r="V947" s="98">
        <v>45351</v>
      </c>
    </row>
    <row r="948" spans="1:22" x14ac:dyDescent="0.15">
      <c r="A948" s="26"/>
      <c r="B948" s="8"/>
      <c r="C948" s="9"/>
      <c r="D948" s="10"/>
      <c r="E948" s="49">
        <f t="shared" si="908"/>
        <v>0</v>
      </c>
      <c r="F948" s="12"/>
      <c r="G948" s="9"/>
      <c r="H948" s="10"/>
      <c r="I948" s="49">
        <f t="shared" si="909"/>
        <v>0</v>
      </c>
      <c r="J948" s="11">
        <f t="shared" si="910"/>
        <v>0</v>
      </c>
      <c r="L948" s="26"/>
      <c r="M948" s="8"/>
      <c r="N948" s="9"/>
      <c r="O948" s="52"/>
      <c r="P948" s="87">
        <f t="shared" si="902"/>
        <v>0</v>
      </c>
      <c r="Q948" s="12"/>
      <c r="R948" s="9"/>
      <c r="S948" s="10"/>
      <c r="T948" s="49">
        <f t="shared" si="903"/>
        <v>0</v>
      </c>
      <c r="U948" s="11">
        <f t="shared" si="904"/>
        <v>0</v>
      </c>
      <c r="V948" s="100"/>
    </row>
    <row r="949" spans="1:22" x14ac:dyDescent="0.15">
      <c r="A949" s="24"/>
      <c r="B949" s="8"/>
      <c r="C949" s="9"/>
      <c r="D949" s="10"/>
      <c r="E949" s="49">
        <f t="shared" si="908"/>
        <v>0</v>
      </c>
      <c r="F949" s="12"/>
      <c r="G949" s="9"/>
      <c r="H949" s="10"/>
      <c r="I949" s="49">
        <f t="shared" si="909"/>
        <v>0</v>
      </c>
      <c r="J949" s="11">
        <f t="shared" si="910"/>
        <v>0</v>
      </c>
      <c r="L949" s="26"/>
      <c r="M949" s="8"/>
      <c r="N949" s="9"/>
      <c r="O949" s="52"/>
      <c r="P949" s="87">
        <f t="shared" si="902"/>
        <v>0</v>
      </c>
      <c r="Q949" s="12"/>
      <c r="R949" s="9"/>
      <c r="S949" s="10"/>
      <c r="T949" s="49">
        <f t="shared" si="903"/>
        <v>0</v>
      </c>
      <c r="U949" s="11">
        <f t="shared" si="904"/>
        <v>0</v>
      </c>
    </row>
    <row r="950" spans="1:22" x14ac:dyDescent="0.15">
      <c r="A950" s="25"/>
      <c r="B950" s="8"/>
      <c r="C950" s="9"/>
      <c r="D950" s="10"/>
      <c r="E950" s="49">
        <f t="shared" si="908"/>
        <v>0</v>
      </c>
      <c r="F950" s="12"/>
      <c r="G950" s="9"/>
      <c r="H950" s="10"/>
      <c r="I950" s="49">
        <f t="shared" si="909"/>
        <v>0</v>
      </c>
      <c r="J950" s="11">
        <f t="shared" si="910"/>
        <v>0</v>
      </c>
      <c r="L950" s="26"/>
      <c r="M950" s="8"/>
      <c r="N950" s="9"/>
      <c r="O950" s="52"/>
      <c r="P950" s="87">
        <f t="shared" si="902"/>
        <v>0</v>
      </c>
      <c r="Q950" s="12"/>
      <c r="R950" s="9"/>
      <c r="S950" s="10"/>
      <c r="T950" s="49">
        <f t="shared" si="903"/>
        <v>0</v>
      </c>
      <c r="U950" s="11">
        <f t="shared" si="904"/>
        <v>0</v>
      </c>
    </row>
    <row r="951" spans="1:22" x14ac:dyDescent="0.15">
      <c r="A951" s="26"/>
      <c r="B951" s="8"/>
      <c r="C951" s="9"/>
      <c r="D951" s="10"/>
      <c r="E951" s="49">
        <f t="shared" si="908"/>
        <v>0</v>
      </c>
      <c r="F951" s="12"/>
      <c r="G951" s="9"/>
      <c r="H951" s="10"/>
      <c r="I951" s="49">
        <f t="shared" si="909"/>
        <v>0</v>
      </c>
      <c r="J951" s="11">
        <f t="shared" si="910"/>
        <v>0</v>
      </c>
      <c r="L951" s="26"/>
      <c r="M951" s="8"/>
      <c r="N951" s="9"/>
      <c r="O951" s="52"/>
      <c r="P951" s="87">
        <f t="shared" si="902"/>
        <v>0</v>
      </c>
      <c r="Q951" s="12"/>
      <c r="R951" s="9"/>
      <c r="S951" s="10"/>
      <c r="T951" s="49">
        <f t="shared" si="903"/>
        <v>0</v>
      </c>
      <c r="U951" s="11">
        <f t="shared" si="904"/>
        <v>0</v>
      </c>
    </row>
    <row r="952" spans="1:22" x14ac:dyDescent="0.15">
      <c r="A952" s="24"/>
      <c r="B952" s="8"/>
      <c r="C952" s="9"/>
      <c r="D952" s="10"/>
      <c r="E952" s="49">
        <f t="shared" si="908"/>
        <v>0</v>
      </c>
      <c r="F952" s="12"/>
      <c r="G952" s="9"/>
      <c r="H952" s="10"/>
      <c r="I952" s="49">
        <f t="shared" si="909"/>
        <v>0</v>
      </c>
      <c r="J952" s="11">
        <f t="shared" si="910"/>
        <v>0</v>
      </c>
      <c r="L952" s="26"/>
      <c r="M952" s="8"/>
      <c r="N952" s="9"/>
      <c r="O952" s="52"/>
      <c r="P952" s="87">
        <f t="shared" si="902"/>
        <v>0</v>
      </c>
      <c r="Q952" s="12"/>
      <c r="R952" s="9"/>
      <c r="S952" s="10"/>
      <c r="T952" s="49">
        <f t="shared" si="903"/>
        <v>0</v>
      </c>
      <c r="U952" s="11">
        <f t="shared" si="904"/>
        <v>0</v>
      </c>
    </row>
    <row r="953" spans="1:22" x14ac:dyDescent="0.15">
      <c r="B953" s="13"/>
      <c r="C953" s="14"/>
      <c r="D953" s="15"/>
      <c r="E953" s="49">
        <f t="shared" si="908"/>
        <v>0</v>
      </c>
      <c r="F953" s="16"/>
      <c r="G953" s="14"/>
      <c r="H953" s="15"/>
      <c r="I953" s="49">
        <f t="shared" si="909"/>
        <v>0</v>
      </c>
      <c r="J953" s="11">
        <f t="shared" si="910"/>
        <v>0</v>
      </c>
      <c r="L953" s="26"/>
      <c r="M953" s="8"/>
      <c r="N953" s="9"/>
      <c r="O953" s="52"/>
      <c r="P953" s="87">
        <f t="shared" si="902"/>
        <v>0</v>
      </c>
      <c r="Q953" s="12"/>
      <c r="R953" s="9"/>
      <c r="S953" s="10"/>
      <c r="T953" s="49">
        <f t="shared" si="903"/>
        <v>0</v>
      </c>
      <c r="U953" s="11">
        <f t="shared" si="904"/>
        <v>0</v>
      </c>
    </row>
    <row r="954" spans="1:22" x14ac:dyDescent="0.15">
      <c r="A954" s="26"/>
      <c r="B954" s="8"/>
      <c r="C954" s="9"/>
      <c r="D954" s="10"/>
      <c r="E954" s="49">
        <f t="shared" si="908"/>
        <v>0</v>
      </c>
      <c r="F954" s="12"/>
      <c r="G954" s="9"/>
      <c r="H954" s="10"/>
      <c r="I954" s="49">
        <f t="shared" si="909"/>
        <v>0</v>
      </c>
      <c r="J954" s="11">
        <f t="shared" si="910"/>
        <v>0</v>
      </c>
      <c r="L954" s="26"/>
      <c r="M954" s="8"/>
      <c r="N954" s="9"/>
      <c r="O954" s="52"/>
      <c r="P954" s="87">
        <f t="shared" ref="P954:P958" si="911">SUM(M954:O954)</f>
        <v>0</v>
      </c>
      <c r="Q954" s="12"/>
      <c r="R954" s="9"/>
      <c r="S954" s="10"/>
      <c r="T954" s="49">
        <f t="shared" ref="T954:T958" si="912">SUM(Q954:S954)</f>
        <v>0</v>
      </c>
      <c r="U954" s="11">
        <f t="shared" ref="U954:U955" si="913">P954+T954</f>
        <v>0</v>
      </c>
    </row>
    <row r="955" spans="1:22" x14ac:dyDescent="0.15">
      <c r="A955" s="26"/>
      <c r="B955" s="8"/>
      <c r="C955" s="9"/>
      <c r="D955" s="10"/>
      <c r="E955" s="49">
        <f t="shared" si="908"/>
        <v>0</v>
      </c>
      <c r="F955" s="12"/>
      <c r="G955" s="9"/>
      <c r="H955" s="10"/>
      <c r="I955" s="49">
        <f t="shared" si="909"/>
        <v>0</v>
      </c>
      <c r="J955" s="11">
        <f t="shared" si="910"/>
        <v>0</v>
      </c>
      <c r="L955" s="26"/>
      <c r="M955" s="8"/>
      <c r="N955" s="9"/>
      <c r="O955" s="52"/>
      <c r="P955" s="87">
        <f t="shared" si="911"/>
        <v>0</v>
      </c>
      <c r="Q955" s="12"/>
      <c r="R955" s="9"/>
      <c r="S955" s="10"/>
      <c r="T955" s="49">
        <f t="shared" si="912"/>
        <v>0</v>
      </c>
      <c r="U955" s="11">
        <f t="shared" si="913"/>
        <v>0</v>
      </c>
    </row>
    <row r="956" spans="1:22" x14ac:dyDescent="0.15">
      <c r="A956" s="26"/>
      <c r="B956" s="8"/>
      <c r="C956" s="9"/>
      <c r="D956" s="10"/>
      <c r="E956" s="49">
        <f t="shared" si="908"/>
        <v>0</v>
      </c>
      <c r="F956" s="12"/>
      <c r="G956" s="9"/>
      <c r="H956" s="10"/>
      <c r="I956" s="49">
        <f t="shared" si="909"/>
        <v>0</v>
      </c>
      <c r="J956" s="11">
        <f t="shared" si="910"/>
        <v>0</v>
      </c>
      <c r="L956" s="26"/>
      <c r="M956" s="8"/>
      <c r="N956" s="9"/>
      <c r="O956" s="52"/>
      <c r="P956" s="87">
        <f t="shared" ref="P956:P957" si="914">SUM(M956:O956)</f>
        <v>0</v>
      </c>
      <c r="Q956" s="12"/>
      <c r="R956" s="9"/>
      <c r="S956" s="10"/>
      <c r="T956" s="49">
        <f t="shared" ref="T956:T957" si="915">SUM(Q956:S956)</f>
        <v>0</v>
      </c>
      <c r="U956" s="11">
        <f t="shared" ref="U956:U957" si="916">P956+T956</f>
        <v>0</v>
      </c>
    </row>
    <row r="957" spans="1:22" ht="14.25" thickBot="1" x14ac:dyDescent="0.2">
      <c r="A957" s="26"/>
      <c r="B957" s="8"/>
      <c r="C957" s="9"/>
      <c r="D957" s="10"/>
      <c r="E957" s="49">
        <f t="shared" si="908"/>
        <v>0</v>
      </c>
      <c r="F957" s="12"/>
      <c r="G957" s="9"/>
      <c r="H957" s="10"/>
      <c r="I957" s="49">
        <f t="shared" si="909"/>
        <v>0</v>
      </c>
      <c r="J957" s="11">
        <f t="shared" si="910"/>
        <v>0</v>
      </c>
      <c r="L957" s="26"/>
      <c r="M957" s="8"/>
      <c r="N957" s="9"/>
      <c r="O957" s="52"/>
      <c r="P957" s="87">
        <f t="shared" si="914"/>
        <v>0</v>
      </c>
      <c r="Q957" s="12"/>
      <c r="R957" s="9"/>
      <c r="S957" s="10"/>
      <c r="T957" s="49">
        <f t="shared" si="915"/>
        <v>0</v>
      </c>
      <c r="U957" s="11">
        <f t="shared" si="916"/>
        <v>0</v>
      </c>
    </row>
    <row r="958" spans="1:22" ht="14.25" thickBot="1" x14ac:dyDescent="0.2">
      <c r="A958" s="41" t="s">
        <v>17</v>
      </c>
      <c r="B958" s="46">
        <f>SUM(B932:B957)</f>
        <v>2</v>
      </c>
      <c r="C958" s="47">
        <f t="shared" ref="C958:D958" si="917">SUM(C932:C957)</f>
        <v>1</v>
      </c>
      <c r="D958" s="58">
        <f t="shared" si="917"/>
        <v>1</v>
      </c>
      <c r="E958" s="45">
        <f t="shared" si="908"/>
        <v>4</v>
      </c>
      <c r="F958" s="46">
        <f>SUM(F932:F957)</f>
        <v>2</v>
      </c>
      <c r="G958" s="47">
        <f t="shared" ref="G958:H958" si="918">SUM(G932:G957)</f>
        <v>2</v>
      </c>
      <c r="H958" s="58">
        <f t="shared" si="918"/>
        <v>1</v>
      </c>
      <c r="I958" s="45">
        <f t="shared" si="909"/>
        <v>5</v>
      </c>
      <c r="J958" s="45">
        <f>E958+I958</f>
        <v>9</v>
      </c>
      <c r="L958" s="41" t="s">
        <v>17</v>
      </c>
      <c r="M958" s="46">
        <f>SUM(M932:M957)</f>
        <v>11</v>
      </c>
      <c r="N958" s="47">
        <f t="shared" ref="N958:O958" si="919">SUM(N932:N957)</f>
        <v>8</v>
      </c>
      <c r="O958" s="58">
        <f t="shared" si="919"/>
        <v>6</v>
      </c>
      <c r="P958" s="45">
        <f t="shared" si="911"/>
        <v>25</v>
      </c>
      <c r="Q958" s="46">
        <f>SUM(Q932:Q957)</f>
        <v>11</v>
      </c>
      <c r="R958" s="47">
        <f t="shared" ref="R958:S958" si="920">SUM(R932:R957)</f>
        <v>8</v>
      </c>
      <c r="S958" s="58">
        <f t="shared" si="920"/>
        <v>6</v>
      </c>
      <c r="T958" s="45">
        <f t="shared" si="912"/>
        <v>25</v>
      </c>
      <c r="U958" s="45">
        <f>P958+T958</f>
        <v>50</v>
      </c>
    </row>
    <row r="959" spans="1:22" ht="14.25" thickBot="1" x14ac:dyDescent="0.2">
      <c r="A959" s="22" t="s">
        <v>16</v>
      </c>
      <c r="B959" s="50">
        <f>B931-B958</f>
        <v>0</v>
      </c>
      <c r="C959" s="56">
        <f t="shared" ref="C959:D959" si="921">C931-C958</f>
        <v>0</v>
      </c>
      <c r="D959" s="57">
        <f t="shared" si="921"/>
        <v>0</v>
      </c>
      <c r="E959" s="55">
        <f>SUM(B959:D959)</f>
        <v>0</v>
      </c>
      <c r="F959" s="50">
        <f>F931-F958</f>
        <v>0</v>
      </c>
      <c r="G959" s="56">
        <f t="shared" ref="G959:H959" si="922">G931-G958</f>
        <v>0</v>
      </c>
      <c r="H959" s="57">
        <f t="shared" si="922"/>
        <v>0</v>
      </c>
      <c r="I959" s="55">
        <f>SUM(F959:H959)</f>
        <v>0</v>
      </c>
      <c r="J959" s="31">
        <f>E959+I959</f>
        <v>0</v>
      </c>
      <c r="L959" s="22" t="s">
        <v>16</v>
      </c>
      <c r="M959" s="50">
        <f>M931-M958</f>
        <v>44</v>
      </c>
      <c r="N959" s="56">
        <f t="shared" ref="N959:O959" si="923">N931-N958</f>
        <v>40</v>
      </c>
      <c r="O959" s="57">
        <f t="shared" si="923"/>
        <v>35</v>
      </c>
      <c r="P959" s="55">
        <f>SUM(M959:O959)</f>
        <v>119</v>
      </c>
      <c r="Q959" s="50">
        <f>Q931-Q958</f>
        <v>44</v>
      </c>
      <c r="R959" s="56">
        <f t="shared" ref="R959:S959" si="924">R931-R958</f>
        <v>40</v>
      </c>
      <c r="S959" s="57">
        <f t="shared" si="924"/>
        <v>35</v>
      </c>
      <c r="T959" s="55">
        <f>SUM(Q959:S959)</f>
        <v>119</v>
      </c>
      <c r="U959" s="31">
        <f>P959+T959</f>
        <v>238</v>
      </c>
    </row>
    <row r="960" spans="1:22" x14ac:dyDescent="0.15">
      <c r="M960" s="147">
        <f>M958+M915+M872</f>
        <v>111</v>
      </c>
      <c r="N960" s="147">
        <f t="shared" ref="N960:T960" si="925">N958+N915+N872</f>
        <v>117</v>
      </c>
      <c r="O960" s="147">
        <f t="shared" si="925"/>
        <v>79</v>
      </c>
      <c r="P960" s="147">
        <f t="shared" si="925"/>
        <v>307</v>
      </c>
      <c r="Q960" s="147">
        <f t="shared" si="925"/>
        <v>111</v>
      </c>
      <c r="R960" s="147">
        <f t="shared" si="925"/>
        <v>117</v>
      </c>
      <c r="S960" s="147">
        <f t="shared" si="925"/>
        <v>79</v>
      </c>
      <c r="T960" s="147">
        <f t="shared" si="925"/>
        <v>307</v>
      </c>
    </row>
    <row r="961" spans="1:21" x14ac:dyDescent="0.15">
      <c r="M961" s="125">
        <f>M960/$P$960*100</f>
        <v>36.156351791530945</v>
      </c>
      <c r="N961" s="125">
        <f t="shared" ref="N961:P961" si="926">N960/$P$960*100</f>
        <v>38.11074918566775</v>
      </c>
      <c r="O961" s="125">
        <f t="shared" si="926"/>
        <v>25.732899022801302</v>
      </c>
      <c r="P961" s="125">
        <f t="shared" si="926"/>
        <v>100</v>
      </c>
    </row>
    <row r="962" spans="1:21" ht="19.5" thickBot="1" x14ac:dyDescent="0.25">
      <c r="A962" s="3" t="s">
        <v>678</v>
      </c>
      <c r="B962" s="1"/>
      <c r="C962" s="1"/>
      <c r="D962" s="1"/>
      <c r="E962" s="1"/>
      <c r="F962" s="1"/>
      <c r="G962" s="1"/>
      <c r="H962" s="1"/>
      <c r="I962" s="1"/>
      <c r="J962" s="1"/>
      <c r="L962" s="3" t="s">
        <v>677</v>
      </c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4.25" thickBot="1" x14ac:dyDescent="0.2">
      <c r="A963" s="7"/>
      <c r="B963" s="169" t="s">
        <v>22</v>
      </c>
      <c r="C963" s="170"/>
      <c r="D963" s="170"/>
      <c r="E963" s="171"/>
      <c r="F963" s="169" t="s">
        <v>23</v>
      </c>
      <c r="G963" s="170"/>
      <c r="H963" s="170"/>
      <c r="I963" s="171"/>
      <c r="J963" s="172" t="s">
        <v>0</v>
      </c>
      <c r="L963" s="7"/>
      <c r="M963" s="169" t="s">
        <v>22</v>
      </c>
      <c r="N963" s="170"/>
      <c r="O963" s="170"/>
      <c r="P963" s="171"/>
      <c r="Q963" s="169" t="s">
        <v>23</v>
      </c>
      <c r="R963" s="170"/>
      <c r="S963" s="170"/>
      <c r="T963" s="171"/>
      <c r="U963" s="172" t="s">
        <v>0</v>
      </c>
    </row>
    <row r="964" spans="1:21" ht="14.25" thickBot="1" x14ac:dyDescent="0.2">
      <c r="A964" s="7" t="s">
        <v>1</v>
      </c>
      <c r="B964" s="4" t="s">
        <v>2</v>
      </c>
      <c r="C964" s="5" t="s">
        <v>3</v>
      </c>
      <c r="D964" s="6" t="s">
        <v>4</v>
      </c>
      <c r="E964" s="7" t="s">
        <v>5</v>
      </c>
      <c r="F964" s="4" t="s">
        <v>2</v>
      </c>
      <c r="G964" s="5" t="s">
        <v>3</v>
      </c>
      <c r="H964" s="6" t="s">
        <v>4</v>
      </c>
      <c r="I964" s="7" t="s">
        <v>5</v>
      </c>
      <c r="J964" s="173"/>
      <c r="L964" s="7" t="s">
        <v>1</v>
      </c>
      <c r="M964" s="4" t="s">
        <v>2</v>
      </c>
      <c r="N964" s="5" t="s">
        <v>3</v>
      </c>
      <c r="O964" s="6" t="s">
        <v>4</v>
      </c>
      <c r="P964" s="7" t="s">
        <v>5</v>
      </c>
      <c r="Q964" s="4" t="s">
        <v>2</v>
      </c>
      <c r="R964" s="5" t="s">
        <v>3</v>
      </c>
      <c r="S964" s="6" t="s">
        <v>4</v>
      </c>
      <c r="T964" s="7" t="s">
        <v>5</v>
      </c>
      <c r="U964" s="173"/>
    </row>
    <row r="965" spans="1:21" ht="14.25" thickBot="1" x14ac:dyDescent="0.2">
      <c r="A965" s="140" t="s">
        <v>16</v>
      </c>
      <c r="B965" s="28">
        <f>B959</f>
        <v>0</v>
      </c>
      <c r="C965" s="126">
        <f t="shared" ref="C965:E965" si="927">C959</f>
        <v>0</v>
      </c>
      <c r="D965" s="127">
        <f t="shared" si="927"/>
        <v>0</v>
      </c>
      <c r="E965" s="28">
        <f t="shared" si="927"/>
        <v>0</v>
      </c>
      <c r="F965" s="126">
        <f>F959</f>
        <v>0</v>
      </c>
      <c r="G965" s="126">
        <f t="shared" ref="G965:J965" si="928">G959</f>
        <v>0</v>
      </c>
      <c r="H965" s="127">
        <f t="shared" si="928"/>
        <v>0</v>
      </c>
      <c r="I965" s="28">
        <f t="shared" si="928"/>
        <v>0</v>
      </c>
      <c r="J965" s="28">
        <f t="shared" si="928"/>
        <v>0</v>
      </c>
      <c r="L965" s="128" t="s">
        <v>16</v>
      </c>
      <c r="M965" s="126">
        <f>M959</f>
        <v>44</v>
      </c>
      <c r="N965" s="126">
        <f t="shared" ref="N965:P965" si="929">N959</f>
        <v>40</v>
      </c>
      <c r="O965" s="127">
        <f t="shared" si="929"/>
        <v>35</v>
      </c>
      <c r="P965" s="31">
        <f t="shared" si="929"/>
        <v>119</v>
      </c>
      <c r="Q965" s="126">
        <f>Q959</f>
        <v>44</v>
      </c>
      <c r="R965" s="126">
        <f t="shared" ref="R965:U965" si="930">R959</f>
        <v>40</v>
      </c>
      <c r="S965" s="127">
        <f t="shared" si="930"/>
        <v>35</v>
      </c>
      <c r="T965" s="31">
        <f t="shared" si="930"/>
        <v>119</v>
      </c>
      <c r="U965" s="28">
        <f t="shared" si="930"/>
        <v>238</v>
      </c>
    </row>
    <row r="966" spans="1:21" x14ac:dyDescent="0.15">
      <c r="A966" s="25" t="s">
        <v>7</v>
      </c>
      <c r="B966" s="17"/>
      <c r="C966" s="18"/>
      <c r="D966" s="51"/>
      <c r="E966" s="11">
        <f t="shared" ref="E966:E967" si="931">SUM(B966:D966)</f>
        <v>0</v>
      </c>
      <c r="F966" s="20"/>
      <c r="G966" s="18"/>
      <c r="H966" s="19"/>
      <c r="I966" s="11">
        <f t="shared" ref="I966:I967" si="932">SUM(F966:H966)</f>
        <v>0</v>
      </c>
      <c r="J966" s="11">
        <f t="shared" ref="J966:J967" si="933">E966+I966</f>
        <v>0</v>
      </c>
      <c r="K966" s="64"/>
      <c r="L966" s="25" t="s">
        <v>7</v>
      </c>
      <c r="M966" s="17"/>
      <c r="N966" s="18"/>
      <c r="O966" s="51"/>
      <c r="P966" s="11">
        <f t="shared" ref="P966:P969" si="934">SUM(M966:O966)</f>
        <v>0</v>
      </c>
      <c r="Q966" s="17"/>
      <c r="R966" s="18"/>
      <c r="S966" s="51"/>
      <c r="T966" s="11">
        <f t="shared" ref="T966:T969" si="935">SUM(Q966:S966)</f>
        <v>0</v>
      </c>
      <c r="U966" s="11">
        <f t="shared" ref="U966:U969" si="936">P966+T966</f>
        <v>0</v>
      </c>
    </row>
    <row r="967" spans="1:21" x14ac:dyDescent="0.15">
      <c r="A967" s="25" t="s">
        <v>8</v>
      </c>
      <c r="B967" s="17"/>
      <c r="C967" s="18"/>
      <c r="D967" s="51"/>
      <c r="E967" s="11">
        <f t="shared" si="931"/>
        <v>0</v>
      </c>
      <c r="F967" s="20"/>
      <c r="G967" s="18"/>
      <c r="H967" s="19"/>
      <c r="I967" s="11">
        <f t="shared" si="932"/>
        <v>0</v>
      </c>
      <c r="J967" s="11">
        <f t="shared" si="933"/>
        <v>0</v>
      </c>
      <c r="K967" s="64"/>
      <c r="L967" s="25" t="s">
        <v>8</v>
      </c>
      <c r="M967" s="17"/>
      <c r="N967" s="18"/>
      <c r="O967" s="51"/>
      <c r="P967" s="11">
        <f t="shared" si="934"/>
        <v>0</v>
      </c>
      <c r="Q967" s="17"/>
      <c r="R967" s="18"/>
      <c r="S967" s="51"/>
      <c r="T967" s="11">
        <f t="shared" si="935"/>
        <v>0</v>
      </c>
      <c r="U967" s="11">
        <f t="shared" si="936"/>
        <v>0</v>
      </c>
    </row>
    <row r="968" spans="1:21" x14ac:dyDescent="0.15">
      <c r="A968" s="25" t="s">
        <v>9</v>
      </c>
      <c r="B968" s="17"/>
      <c r="C968" s="18"/>
      <c r="D968" s="51"/>
      <c r="E968" s="11">
        <f t="shared" ref="E968:E973" si="937">SUM(B968:D968)</f>
        <v>0</v>
      </c>
      <c r="F968" s="20"/>
      <c r="G968" s="18"/>
      <c r="H968" s="19"/>
      <c r="I968" s="11">
        <f t="shared" ref="I968:I973" si="938">SUM(F968:H968)</f>
        <v>0</v>
      </c>
      <c r="J968" s="11">
        <f t="shared" ref="J968:J973" si="939">E968+I968</f>
        <v>0</v>
      </c>
      <c r="K968" s="64"/>
      <c r="L968" s="25" t="s">
        <v>9</v>
      </c>
      <c r="M968" s="17"/>
      <c r="N968" s="18"/>
      <c r="O968" s="51"/>
      <c r="P968" s="11">
        <f t="shared" si="934"/>
        <v>0</v>
      </c>
      <c r="Q968" s="17"/>
      <c r="R968" s="18"/>
      <c r="S968" s="51"/>
      <c r="T968" s="11">
        <f t="shared" si="935"/>
        <v>0</v>
      </c>
      <c r="U968" s="11">
        <f t="shared" si="936"/>
        <v>0</v>
      </c>
    </row>
    <row r="969" spans="1:21" x14ac:dyDescent="0.15">
      <c r="A969" s="25" t="s">
        <v>10</v>
      </c>
      <c r="B969" s="8"/>
      <c r="C969" s="9"/>
      <c r="D969" s="52"/>
      <c r="E969" s="11">
        <f t="shared" si="937"/>
        <v>0</v>
      </c>
      <c r="F969" s="12"/>
      <c r="G969" s="9"/>
      <c r="H969" s="10"/>
      <c r="I969" s="11">
        <f t="shared" si="938"/>
        <v>0</v>
      </c>
      <c r="J969" s="11">
        <f t="shared" si="939"/>
        <v>0</v>
      </c>
      <c r="L969" s="25" t="s">
        <v>10</v>
      </c>
      <c r="M969" s="8"/>
      <c r="N969" s="9"/>
      <c r="O969" s="52"/>
      <c r="P969" s="11">
        <f t="shared" si="934"/>
        <v>0</v>
      </c>
      <c r="Q969" s="12"/>
      <c r="R969" s="9"/>
      <c r="S969" s="10"/>
      <c r="T969" s="11">
        <f t="shared" si="935"/>
        <v>0</v>
      </c>
      <c r="U969" s="11">
        <f t="shared" si="936"/>
        <v>0</v>
      </c>
    </row>
    <row r="970" spans="1:21" x14ac:dyDescent="0.15">
      <c r="A970" s="25" t="s">
        <v>11</v>
      </c>
      <c r="B970" s="8"/>
      <c r="C970" s="9"/>
      <c r="D970" s="52"/>
      <c r="E970" s="11">
        <f t="shared" si="937"/>
        <v>0</v>
      </c>
      <c r="F970" s="12"/>
      <c r="G970" s="9"/>
      <c r="H970" s="10"/>
      <c r="I970" s="11">
        <f t="shared" si="938"/>
        <v>0</v>
      </c>
      <c r="J970" s="11">
        <f t="shared" si="939"/>
        <v>0</v>
      </c>
      <c r="L970" s="25" t="s">
        <v>11</v>
      </c>
      <c r="M970" s="8"/>
      <c r="N970" s="9"/>
      <c r="O970" s="52"/>
      <c r="P970" s="11">
        <f>SUM(M970:O970)</f>
        <v>0</v>
      </c>
      <c r="Q970" s="12"/>
      <c r="R970" s="9"/>
      <c r="S970" s="10"/>
      <c r="T970" s="11">
        <f>SUM(Q970:S970)</f>
        <v>0</v>
      </c>
      <c r="U970" s="11">
        <f>P970+T970</f>
        <v>0</v>
      </c>
    </row>
    <row r="971" spans="1:21" x14ac:dyDescent="0.15">
      <c r="A971" s="25" t="s">
        <v>12</v>
      </c>
      <c r="B971" s="8"/>
      <c r="C971" s="9"/>
      <c r="D971" s="52"/>
      <c r="E971" s="11">
        <f t="shared" si="937"/>
        <v>0</v>
      </c>
      <c r="F971" s="12"/>
      <c r="G971" s="9"/>
      <c r="H971" s="10"/>
      <c r="I971" s="11">
        <f t="shared" si="938"/>
        <v>0</v>
      </c>
      <c r="J971" s="11">
        <f t="shared" si="939"/>
        <v>0</v>
      </c>
      <c r="L971" s="25" t="s">
        <v>12</v>
      </c>
      <c r="M971" s="17"/>
      <c r="N971" s="18"/>
      <c r="O971" s="51"/>
      <c r="P971" s="49">
        <f t="shared" ref="P971:P973" si="940">SUM(M971:O971)</f>
        <v>0</v>
      </c>
      <c r="Q971" s="17"/>
      <c r="R971" s="18"/>
      <c r="S971" s="51"/>
      <c r="T971" s="49">
        <f t="shared" ref="T971:T973" si="941">SUM(Q971:S971)</f>
        <v>0</v>
      </c>
      <c r="U971" s="11">
        <f t="shared" ref="U971:U973" si="942">P971+T971</f>
        <v>0</v>
      </c>
    </row>
    <row r="972" spans="1:21" x14ac:dyDescent="0.15">
      <c r="A972" s="25" t="s">
        <v>13</v>
      </c>
      <c r="B972" s="13"/>
      <c r="C972" s="14"/>
      <c r="D972" s="53"/>
      <c r="E972" s="11">
        <f t="shared" si="937"/>
        <v>0</v>
      </c>
      <c r="F972" s="16"/>
      <c r="G972" s="14"/>
      <c r="H972" s="15"/>
      <c r="I972" s="11">
        <f t="shared" si="938"/>
        <v>0</v>
      </c>
      <c r="J972" s="11">
        <f t="shared" si="939"/>
        <v>0</v>
      </c>
      <c r="L972" s="25" t="s">
        <v>13</v>
      </c>
      <c r="M972" s="17"/>
      <c r="N972" s="18"/>
      <c r="O972" s="51"/>
      <c r="P972" s="49">
        <f t="shared" si="940"/>
        <v>0</v>
      </c>
      <c r="Q972" s="17"/>
      <c r="R972" s="18"/>
      <c r="S972" s="51"/>
      <c r="T972" s="49">
        <f t="shared" si="941"/>
        <v>0</v>
      </c>
      <c r="U972" s="11">
        <f t="shared" si="942"/>
        <v>0</v>
      </c>
    </row>
    <row r="973" spans="1:21" ht="14.25" thickBot="1" x14ac:dyDescent="0.2">
      <c r="A973" s="25" t="s">
        <v>14</v>
      </c>
      <c r="B973" s="32"/>
      <c r="C973" s="33"/>
      <c r="D973" s="54"/>
      <c r="E973" s="61">
        <f t="shared" si="937"/>
        <v>0</v>
      </c>
      <c r="F973" s="34"/>
      <c r="G973" s="34"/>
      <c r="H973" s="37"/>
      <c r="I973" s="61">
        <f t="shared" si="938"/>
        <v>0</v>
      </c>
      <c r="J973" s="21">
        <f t="shared" si="939"/>
        <v>0</v>
      </c>
      <c r="L973" s="25" t="s">
        <v>14</v>
      </c>
      <c r="M973" s="32"/>
      <c r="N973" s="33"/>
      <c r="O973" s="54"/>
      <c r="P973" s="61">
        <f t="shared" si="940"/>
        <v>0</v>
      </c>
      <c r="Q973" s="34"/>
      <c r="R973" s="34"/>
      <c r="S973" s="37"/>
      <c r="T973" s="61">
        <f t="shared" si="941"/>
        <v>0</v>
      </c>
      <c r="U973" s="21">
        <f t="shared" si="942"/>
        <v>0</v>
      </c>
    </row>
    <row r="974" spans="1:21" ht="14.25" thickBot="1" x14ac:dyDescent="0.2">
      <c r="A974" s="35" t="s">
        <v>15</v>
      </c>
      <c r="B974" s="28">
        <f>SUM(B965:B973)</f>
        <v>0</v>
      </c>
      <c r="C974" s="29">
        <f>SUM(C965:C973)</f>
        <v>0</v>
      </c>
      <c r="D974" s="30">
        <f>SUM(D965:D973)</f>
        <v>0</v>
      </c>
      <c r="E974" s="31">
        <f>SUM(B974:D974)</f>
        <v>0</v>
      </c>
      <c r="F974" s="28">
        <f>SUM(F965:F973)</f>
        <v>0</v>
      </c>
      <c r="G974" s="29">
        <f>SUM(G965:G973)</f>
        <v>0</v>
      </c>
      <c r="H974" s="30">
        <f>SUM(H965:H973)</f>
        <v>0</v>
      </c>
      <c r="I974" s="31">
        <f>SUM(F974:H974)</f>
        <v>0</v>
      </c>
      <c r="J974" s="31">
        <f>E974+I974</f>
        <v>0</v>
      </c>
      <c r="L974" s="35" t="s">
        <v>15</v>
      </c>
      <c r="M974" s="28">
        <f>SUM(M965:M973)</f>
        <v>44</v>
      </c>
      <c r="N974" s="29">
        <f>SUM(N965:N973)</f>
        <v>40</v>
      </c>
      <c r="O974" s="30">
        <f>SUM(O965:O973)</f>
        <v>35</v>
      </c>
      <c r="P974" s="31">
        <f>SUM(M974:O974)</f>
        <v>119</v>
      </c>
      <c r="Q974" s="28">
        <f>SUM(Q965:Q973)</f>
        <v>44</v>
      </c>
      <c r="R974" s="29">
        <f>SUM(R965:R973)</f>
        <v>40</v>
      </c>
      <c r="S974" s="30">
        <f>SUM(S965:S973)</f>
        <v>35</v>
      </c>
      <c r="T974" s="31">
        <f>SUM(Q974:S974)</f>
        <v>119</v>
      </c>
      <c r="U974" s="31">
        <f>P974+T974</f>
        <v>238</v>
      </c>
    </row>
    <row r="975" spans="1:21" x14ac:dyDescent="0.15">
      <c r="A975" s="26"/>
      <c r="B975" s="8"/>
      <c r="C975" s="9"/>
      <c r="D975" s="10"/>
      <c r="E975" s="49">
        <f t="shared" ref="E975:E977" si="943">SUM(B975:D975)</f>
        <v>0</v>
      </c>
      <c r="F975" s="12"/>
      <c r="G975" s="9"/>
      <c r="H975" s="10"/>
      <c r="I975" s="49">
        <f t="shared" ref="I975:I977" si="944">SUM(F975:H975)</f>
        <v>0</v>
      </c>
      <c r="J975" s="11">
        <f t="shared" ref="J975:J977" si="945">E975+I975</f>
        <v>0</v>
      </c>
      <c r="K975" s="62"/>
      <c r="L975" s="26"/>
      <c r="M975" s="8"/>
      <c r="N975" s="9"/>
      <c r="O975" s="52"/>
      <c r="P975" s="87">
        <f t="shared" ref="P975:P988" si="946">SUM(M975:O975)</f>
        <v>0</v>
      </c>
      <c r="Q975" s="12"/>
      <c r="R975" s="9"/>
      <c r="S975" s="10"/>
      <c r="T975" s="49">
        <f t="shared" ref="T975:T988" si="947">SUM(Q975:S975)</f>
        <v>0</v>
      </c>
      <c r="U975" s="11">
        <f t="shared" ref="U975:U988" si="948">P975+T975</f>
        <v>0</v>
      </c>
    </row>
    <row r="976" spans="1:21" x14ac:dyDescent="0.15">
      <c r="A976" s="26"/>
      <c r="B976" s="8"/>
      <c r="C976" s="9"/>
      <c r="D976" s="10"/>
      <c r="E976" s="49">
        <f t="shared" si="943"/>
        <v>0</v>
      </c>
      <c r="F976" s="12"/>
      <c r="G976" s="9"/>
      <c r="H976" s="10"/>
      <c r="I976" s="49">
        <f t="shared" si="944"/>
        <v>0</v>
      </c>
      <c r="J976" s="11">
        <f t="shared" si="945"/>
        <v>0</v>
      </c>
      <c r="K976" s="62"/>
      <c r="L976" s="26"/>
      <c r="M976" s="8"/>
      <c r="N976" s="9"/>
      <c r="O976" s="52"/>
      <c r="P976" s="87">
        <f t="shared" si="946"/>
        <v>0</v>
      </c>
      <c r="Q976" s="12"/>
      <c r="R976" s="9"/>
      <c r="S976" s="10"/>
      <c r="T976" s="49">
        <f t="shared" si="947"/>
        <v>0</v>
      </c>
      <c r="U976" s="11">
        <f t="shared" si="948"/>
        <v>0</v>
      </c>
    </row>
    <row r="977" spans="1:21" x14ac:dyDescent="0.15">
      <c r="A977" s="26"/>
      <c r="B977" s="8"/>
      <c r="C977" s="9"/>
      <c r="D977" s="10"/>
      <c r="E977" s="49">
        <f t="shared" si="943"/>
        <v>0</v>
      </c>
      <c r="F977" s="12"/>
      <c r="G977" s="9"/>
      <c r="H977" s="10"/>
      <c r="I977" s="49">
        <f t="shared" si="944"/>
        <v>0</v>
      </c>
      <c r="J977" s="11">
        <f t="shared" si="945"/>
        <v>0</v>
      </c>
      <c r="K977" s="62"/>
      <c r="L977" s="26"/>
      <c r="M977" s="8"/>
      <c r="N977" s="9"/>
      <c r="O977" s="52"/>
      <c r="P977" s="87">
        <f t="shared" si="946"/>
        <v>0</v>
      </c>
      <c r="Q977" s="12"/>
      <c r="R977" s="9"/>
      <c r="S977" s="10"/>
      <c r="T977" s="49">
        <f t="shared" si="947"/>
        <v>0</v>
      </c>
      <c r="U977" s="11">
        <f t="shared" si="948"/>
        <v>0</v>
      </c>
    </row>
    <row r="978" spans="1:21" x14ac:dyDescent="0.15">
      <c r="A978" s="26"/>
      <c r="B978" s="13"/>
      <c r="C978" s="14"/>
      <c r="D978" s="15"/>
      <c r="E978" s="49">
        <f>SUM(B978:D978)</f>
        <v>0</v>
      </c>
      <c r="F978" s="16"/>
      <c r="G978" s="14"/>
      <c r="H978" s="15"/>
      <c r="I978" s="49">
        <f>SUM(F978:H978)</f>
        <v>0</v>
      </c>
      <c r="J978" s="11">
        <f>E978+I978</f>
        <v>0</v>
      </c>
      <c r="K978" s="64"/>
      <c r="L978" s="26"/>
      <c r="M978" s="8"/>
      <c r="N978" s="9"/>
      <c r="O978" s="52"/>
      <c r="P978" s="87">
        <f t="shared" si="946"/>
        <v>0</v>
      </c>
      <c r="Q978" s="12"/>
      <c r="R978" s="9"/>
      <c r="S978" s="10"/>
      <c r="T978" s="49">
        <f t="shared" si="947"/>
        <v>0</v>
      </c>
      <c r="U978" s="11">
        <f t="shared" si="948"/>
        <v>0</v>
      </c>
    </row>
    <row r="979" spans="1:21" x14ac:dyDescent="0.15">
      <c r="A979" s="26"/>
      <c r="B979" s="8"/>
      <c r="C979" s="9"/>
      <c r="D979" s="10"/>
      <c r="E979" s="49">
        <f t="shared" ref="E979:E1001" si="949">SUM(B979:D979)</f>
        <v>0</v>
      </c>
      <c r="F979" s="12"/>
      <c r="G979" s="9"/>
      <c r="H979" s="10"/>
      <c r="I979" s="49">
        <f t="shared" ref="I979:I1001" si="950">SUM(F979:H979)</f>
        <v>0</v>
      </c>
      <c r="J979" s="11">
        <f t="shared" ref="J979:J1000" si="951">E979+I979</f>
        <v>0</v>
      </c>
      <c r="L979" s="26"/>
      <c r="M979" s="8"/>
      <c r="N979" s="9"/>
      <c r="O979" s="52"/>
      <c r="P979" s="87">
        <f t="shared" si="946"/>
        <v>0</v>
      </c>
      <c r="Q979" s="12"/>
      <c r="R979" s="9"/>
      <c r="S979" s="10"/>
      <c r="T979" s="49">
        <f t="shared" si="947"/>
        <v>0</v>
      </c>
      <c r="U979" s="11">
        <f t="shared" si="948"/>
        <v>0</v>
      </c>
    </row>
    <row r="980" spans="1:21" x14ac:dyDescent="0.15">
      <c r="A980" s="26"/>
      <c r="B980" s="8"/>
      <c r="C980" s="9"/>
      <c r="D980" s="10"/>
      <c r="E980" s="49">
        <f t="shared" si="949"/>
        <v>0</v>
      </c>
      <c r="F980" s="12"/>
      <c r="G980" s="9"/>
      <c r="H980" s="10"/>
      <c r="I980" s="49">
        <f t="shared" si="950"/>
        <v>0</v>
      </c>
      <c r="J980" s="11">
        <f t="shared" si="951"/>
        <v>0</v>
      </c>
      <c r="L980" s="26"/>
      <c r="M980" s="8"/>
      <c r="N980" s="9"/>
      <c r="O980" s="52"/>
      <c r="P980" s="87">
        <f t="shared" si="946"/>
        <v>0</v>
      </c>
      <c r="Q980" s="12"/>
      <c r="R980" s="9"/>
      <c r="S980" s="10"/>
      <c r="T980" s="49">
        <f t="shared" si="947"/>
        <v>0</v>
      </c>
      <c r="U980" s="11">
        <f t="shared" si="948"/>
        <v>0</v>
      </c>
    </row>
    <row r="981" spans="1:21" x14ac:dyDescent="0.15">
      <c r="A981" s="26"/>
      <c r="B981" s="8"/>
      <c r="C981" s="9"/>
      <c r="D981" s="10"/>
      <c r="E981" s="49">
        <f t="shared" si="949"/>
        <v>0</v>
      </c>
      <c r="F981" s="12"/>
      <c r="G981" s="9"/>
      <c r="H981" s="10"/>
      <c r="I981" s="49">
        <f t="shared" si="950"/>
        <v>0</v>
      </c>
      <c r="J981" s="11">
        <f t="shared" si="951"/>
        <v>0</v>
      </c>
      <c r="L981" s="26"/>
      <c r="M981" s="8"/>
      <c r="N981" s="9"/>
      <c r="O981" s="52"/>
      <c r="P981" s="87">
        <f t="shared" si="946"/>
        <v>0</v>
      </c>
      <c r="Q981" s="12"/>
      <c r="R981" s="9"/>
      <c r="S981" s="10"/>
      <c r="T981" s="49">
        <f t="shared" si="947"/>
        <v>0</v>
      </c>
      <c r="U981" s="11">
        <f t="shared" si="948"/>
        <v>0</v>
      </c>
    </row>
    <row r="982" spans="1:21" x14ac:dyDescent="0.15">
      <c r="A982" s="26"/>
      <c r="B982" s="8"/>
      <c r="C982" s="9"/>
      <c r="D982" s="10"/>
      <c r="E982" s="49">
        <f t="shared" si="949"/>
        <v>0</v>
      </c>
      <c r="F982" s="12"/>
      <c r="G982" s="9"/>
      <c r="H982" s="10"/>
      <c r="I982" s="49">
        <f t="shared" si="950"/>
        <v>0</v>
      </c>
      <c r="J982" s="11">
        <f t="shared" si="951"/>
        <v>0</v>
      </c>
      <c r="L982" s="26"/>
      <c r="M982" s="8"/>
      <c r="N982" s="9"/>
      <c r="O982" s="52"/>
      <c r="P982" s="87">
        <f t="shared" si="946"/>
        <v>0</v>
      </c>
      <c r="Q982" s="12"/>
      <c r="R982" s="9"/>
      <c r="S982" s="10"/>
      <c r="T982" s="49">
        <f t="shared" si="947"/>
        <v>0</v>
      </c>
      <c r="U982" s="11">
        <f t="shared" si="948"/>
        <v>0</v>
      </c>
    </row>
    <row r="983" spans="1:21" x14ac:dyDescent="0.15">
      <c r="A983" s="26"/>
      <c r="B983" s="8"/>
      <c r="C983" s="9"/>
      <c r="D983" s="10"/>
      <c r="E983" s="49">
        <f t="shared" si="949"/>
        <v>0</v>
      </c>
      <c r="F983" s="12"/>
      <c r="G983" s="9"/>
      <c r="H983" s="10"/>
      <c r="I983" s="49">
        <f t="shared" si="950"/>
        <v>0</v>
      </c>
      <c r="J983" s="11">
        <f t="shared" si="951"/>
        <v>0</v>
      </c>
      <c r="L983" s="26"/>
      <c r="M983" s="8"/>
      <c r="N983" s="9"/>
      <c r="O983" s="52"/>
      <c r="P983" s="87">
        <f t="shared" si="946"/>
        <v>0</v>
      </c>
      <c r="Q983" s="12"/>
      <c r="R983" s="9"/>
      <c r="S983" s="10"/>
      <c r="T983" s="49">
        <f t="shared" si="947"/>
        <v>0</v>
      </c>
      <c r="U983" s="11">
        <f t="shared" si="948"/>
        <v>0</v>
      </c>
    </row>
    <row r="984" spans="1:21" x14ac:dyDescent="0.15">
      <c r="A984" s="26"/>
      <c r="B984" s="13"/>
      <c r="C984" s="14"/>
      <c r="D984" s="15"/>
      <c r="E984" s="49">
        <f t="shared" si="949"/>
        <v>0</v>
      </c>
      <c r="F984" s="16"/>
      <c r="G984" s="14"/>
      <c r="H984" s="15"/>
      <c r="I984" s="49">
        <f t="shared" si="950"/>
        <v>0</v>
      </c>
      <c r="J984" s="11">
        <f t="shared" si="951"/>
        <v>0</v>
      </c>
      <c r="L984" s="26"/>
      <c r="M984" s="8"/>
      <c r="N984" s="9"/>
      <c r="O984" s="52"/>
      <c r="P984" s="87">
        <f t="shared" si="946"/>
        <v>0</v>
      </c>
      <c r="Q984" s="12"/>
      <c r="R984" s="9"/>
      <c r="S984" s="10"/>
      <c r="T984" s="49">
        <f t="shared" si="947"/>
        <v>0</v>
      </c>
      <c r="U984" s="11">
        <f t="shared" si="948"/>
        <v>0</v>
      </c>
    </row>
    <row r="985" spans="1:21" x14ac:dyDescent="0.15">
      <c r="A985" s="26"/>
      <c r="B985" s="8"/>
      <c r="C985" s="9"/>
      <c r="D985" s="10"/>
      <c r="E985" s="49">
        <f t="shared" si="949"/>
        <v>0</v>
      </c>
      <c r="F985" s="12"/>
      <c r="G985" s="9"/>
      <c r="H985" s="10"/>
      <c r="I985" s="49">
        <f t="shared" si="950"/>
        <v>0</v>
      </c>
      <c r="J985" s="11">
        <f t="shared" si="951"/>
        <v>0</v>
      </c>
      <c r="L985" s="26"/>
      <c r="M985" s="8"/>
      <c r="N985" s="9"/>
      <c r="O985" s="52"/>
      <c r="P985" s="87">
        <f t="shared" si="946"/>
        <v>0</v>
      </c>
      <c r="Q985" s="12"/>
      <c r="R985" s="9"/>
      <c r="S985" s="10"/>
      <c r="T985" s="49">
        <f t="shared" si="947"/>
        <v>0</v>
      </c>
      <c r="U985" s="11">
        <f t="shared" si="948"/>
        <v>0</v>
      </c>
    </row>
    <row r="986" spans="1:21" x14ac:dyDescent="0.15">
      <c r="A986" s="26"/>
      <c r="B986" s="8"/>
      <c r="C986" s="9"/>
      <c r="D986" s="10"/>
      <c r="E986" s="49">
        <f t="shared" si="949"/>
        <v>0</v>
      </c>
      <c r="F986" s="12"/>
      <c r="G986" s="9"/>
      <c r="H986" s="10"/>
      <c r="I986" s="49">
        <f t="shared" si="950"/>
        <v>0</v>
      </c>
      <c r="J986" s="11">
        <f t="shared" si="951"/>
        <v>0</v>
      </c>
      <c r="L986" s="26"/>
      <c r="M986" s="8"/>
      <c r="N986" s="9"/>
      <c r="O986" s="52"/>
      <c r="P986" s="87">
        <f t="shared" si="946"/>
        <v>0</v>
      </c>
      <c r="Q986" s="12"/>
      <c r="R986" s="9"/>
      <c r="S986" s="10"/>
      <c r="T986" s="49">
        <f t="shared" si="947"/>
        <v>0</v>
      </c>
      <c r="U986" s="11">
        <f t="shared" si="948"/>
        <v>0</v>
      </c>
    </row>
    <row r="987" spans="1:21" x14ac:dyDescent="0.15">
      <c r="A987" s="26"/>
      <c r="B987" s="8"/>
      <c r="C987" s="9"/>
      <c r="D987" s="10"/>
      <c r="E987" s="49">
        <f t="shared" si="949"/>
        <v>0</v>
      </c>
      <c r="F987" s="12"/>
      <c r="G987" s="9"/>
      <c r="H987" s="10"/>
      <c r="I987" s="49">
        <f t="shared" si="950"/>
        <v>0</v>
      </c>
      <c r="J987" s="11">
        <f t="shared" si="951"/>
        <v>0</v>
      </c>
      <c r="L987" s="26"/>
      <c r="M987" s="8"/>
      <c r="N987" s="9"/>
      <c r="O987" s="52"/>
      <c r="P987" s="87">
        <f t="shared" si="946"/>
        <v>0</v>
      </c>
      <c r="Q987" s="12"/>
      <c r="R987" s="9"/>
      <c r="S987" s="10"/>
      <c r="T987" s="49">
        <f t="shared" si="947"/>
        <v>0</v>
      </c>
      <c r="U987" s="11">
        <f t="shared" si="948"/>
        <v>0</v>
      </c>
    </row>
    <row r="988" spans="1:21" x14ac:dyDescent="0.15">
      <c r="A988" s="26"/>
      <c r="B988" s="8"/>
      <c r="C988" s="9"/>
      <c r="D988" s="10"/>
      <c r="E988" s="49">
        <f t="shared" si="949"/>
        <v>0</v>
      </c>
      <c r="F988" s="12"/>
      <c r="G988" s="9"/>
      <c r="H988" s="10"/>
      <c r="I988" s="49">
        <f t="shared" si="950"/>
        <v>0</v>
      </c>
      <c r="J988" s="11">
        <f t="shared" si="951"/>
        <v>0</v>
      </c>
      <c r="L988" s="26"/>
      <c r="M988" s="8"/>
      <c r="N988" s="9"/>
      <c r="O988" s="52"/>
      <c r="P988" s="87">
        <f t="shared" si="946"/>
        <v>0</v>
      </c>
      <c r="Q988" s="12"/>
      <c r="R988" s="9"/>
      <c r="S988" s="10"/>
      <c r="T988" s="49">
        <f t="shared" si="947"/>
        <v>0</v>
      </c>
      <c r="U988" s="11">
        <f t="shared" si="948"/>
        <v>0</v>
      </c>
    </row>
    <row r="989" spans="1:21" x14ac:dyDescent="0.15">
      <c r="A989" s="26"/>
      <c r="B989" s="8"/>
      <c r="C989" s="9"/>
      <c r="D989" s="10"/>
      <c r="E989" s="49">
        <f t="shared" si="949"/>
        <v>0</v>
      </c>
      <c r="F989" s="12"/>
      <c r="G989" s="9"/>
      <c r="H989" s="10"/>
      <c r="I989" s="49">
        <f t="shared" si="950"/>
        <v>0</v>
      </c>
      <c r="J989" s="11">
        <f t="shared" si="951"/>
        <v>0</v>
      </c>
      <c r="L989" s="26"/>
      <c r="M989" s="8"/>
      <c r="N989" s="9"/>
      <c r="O989" s="52"/>
      <c r="P989" s="87">
        <f t="shared" ref="P989:P1001" si="952">SUM(M989:O989)</f>
        <v>0</v>
      </c>
      <c r="Q989" s="12"/>
      <c r="R989" s="9"/>
      <c r="S989" s="10"/>
      <c r="T989" s="49">
        <f t="shared" ref="T989:T1001" si="953">SUM(Q989:S989)</f>
        <v>0</v>
      </c>
      <c r="U989" s="11">
        <f t="shared" ref="U989:U1000" si="954">P989+T989</f>
        <v>0</v>
      </c>
    </row>
    <row r="990" spans="1:21" x14ac:dyDescent="0.15">
      <c r="A990" s="26"/>
      <c r="B990" s="8"/>
      <c r="C990" s="9"/>
      <c r="D990" s="10"/>
      <c r="E990" s="49">
        <f t="shared" si="949"/>
        <v>0</v>
      </c>
      <c r="F990" s="12"/>
      <c r="G990" s="9"/>
      <c r="H990" s="10"/>
      <c r="I990" s="49">
        <f t="shared" si="950"/>
        <v>0</v>
      </c>
      <c r="J990" s="11">
        <f t="shared" si="951"/>
        <v>0</v>
      </c>
      <c r="L990" s="26"/>
      <c r="M990" s="8"/>
      <c r="N990" s="9"/>
      <c r="O990" s="52"/>
      <c r="P990" s="87">
        <f t="shared" si="952"/>
        <v>0</v>
      </c>
      <c r="Q990" s="12"/>
      <c r="R990" s="9"/>
      <c r="S990" s="10"/>
      <c r="T990" s="49">
        <f t="shared" si="953"/>
        <v>0</v>
      </c>
      <c r="U990" s="11">
        <f t="shared" si="954"/>
        <v>0</v>
      </c>
    </row>
    <row r="991" spans="1:21" x14ac:dyDescent="0.15">
      <c r="A991" s="26"/>
      <c r="B991" s="8"/>
      <c r="C991" s="9"/>
      <c r="D991" s="10"/>
      <c r="E991" s="49">
        <f t="shared" si="949"/>
        <v>0</v>
      </c>
      <c r="F991" s="12"/>
      <c r="G991" s="9"/>
      <c r="H991" s="10"/>
      <c r="I991" s="49">
        <f t="shared" si="950"/>
        <v>0</v>
      </c>
      <c r="J991" s="11">
        <f t="shared" si="951"/>
        <v>0</v>
      </c>
      <c r="L991" s="26"/>
      <c r="M991" s="8"/>
      <c r="N991" s="9"/>
      <c r="O991" s="52"/>
      <c r="P991" s="87">
        <f t="shared" si="952"/>
        <v>0</v>
      </c>
      <c r="Q991" s="12"/>
      <c r="R991" s="9"/>
      <c r="S991" s="10"/>
      <c r="T991" s="49">
        <f t="shared" si="953"/>
        <v>0</v>
      </c>
      <c r="U991" s="11">
        <f t="shared" si="954"/>
        <v>0</v>
      </c>
    </row>
    <row r="992" spans="1:21" x14ac:dyDescent="0.15">
      <c r="A992" s="24"/>
      <c r="B992" s="8"/>
      <c r="C992" s="9"/>
      <c r="D992" s="10"/>
      <c r="E992" s="49">
        <f t="shared" si="949"/>
        <v>0</v>
      </c>
      <c r="F992" s="12"/>
      <c r="G992" s="9"/>
      <c r="H992" s="10"/>
      <c r="I992" s="49">
        <f t="shared" si="950"/>
        <v>0</v>
      </c>
      <c r="J992" s="11">
        <f t="shared" si="951"/>
        <v>0</v>
      </c>
      <c r="L992" s="26"/>
      <c r="M992" s="8"/>
      <c r="N992" s="9"/>
      <c r="O992" s="52"/>
      <c r="P992" s="87">
        <f t="shared" si="952"/>
        <v>0</v>
      </c>
      <c r="Q992" s="12"/>
      <c r="R992" s="9"/>
      <c r="S992" s="10"/>
      <c r="T992" s="49">
        <f t="shared" si="953"/>
        <v>0</v>
      </c>
      <c r="U992" s="11">
        <f t="shared" si="954"/>
        <v>0</v>
      </c>
    </row>
    <row r="993" spans="1:21" x14ac:dyDescent="0.15">
      <c r="A993" s="25"/>
      <c r="B993" s="8"/>
      <c r="C993" s="9"/>
      <c r="D993" s="10"/>
      <c r="E993" s="49">
        <f t="shared" si="949"/>
        <v>0</v>
      </c>
      <c r="F993" s="12"/>
      <c r="G993" s="9"/>
      <c r="H993" s="10"/>
      <c r="I993" s="49">
        <f t="shared" si="950"/>
        <v>0</v>
      </c>
      <c r="J993" s="11">
        <f t="shared" si="951"/>
        <v>0</v>
      </c>
      <c r="L993" s="26"/>
      <c r="M993" s="8"/>
      <c r="N993" s="9"/>
      <c r="O993" s="52"/>
      <c r="P993" s="87">
        <f t="shared" si="952"/>
        <v>0</v>
      </c>
      <c r="Q993" s="12"/>
      <c r="R993" s="9"/>
      <c r="S993" s="10"/>
      <c r="T993" s="49">
        <f t="shared" si="953"/>
        <v>0</v>
      </c>
      <c r="U993" s="11">
        <f t="shared" si="954"/>
        <v>0</v>
      </c>
    </row>
    <row r="994" spans="1:21" x14ac:dyDescent="0.15">
      <c r="A994" s="26"/>
      <c r="B994" s="8"/>
      <c r="C994" s="9"/>
      <c r="D994" s="10"/>
      <c r="E994" s="49">
        <f t="shared" si="949"/>
        <v>0</v>
      </c>
      <c r="F994" s="12"/>
      <c r="G994" s="9"/>
      <c r="H994" s="10"/>
      <c r="I994" s="49">
        <f t="shared" si="950"/>
        <v>0</v>
      </c>
      <c r="J994" s="11">
        <f t="shared" si="951"/>
        <v>0</v>
      </c>
      <c r="L994" s="26"/>
      <c r="M994" s="8"/>
      <c r="N994" s="9"/>
      <c r="O994" s="52"/>
      <c r="P994" s="87">
        <f t="shared" si="952"/>
        <v>0</v>
      </c>
      <c r="Q994" s="12"/>
      <c r="R994" s="9"/>
      <c r="S994" s="10"/>
      <c r="T994" s="49">
        <f t="shared" si="953"/>
        <v>0</v>
      </c>
      <c r="U994" s="11">
        <f t="shared" si="954"/>
        <v>0</v>
      </c>
    </row>
    <row r="995" spans="1:21" x14ac:dyDescent="0.15">
      <c r="A995" s="24"/>
      <c r="B995" s="8"/>
      <c r="C995" s="9"/>
      <c r="D995" s="10"/>
      <c r="E995" s="49">
        <f t="shared" si="949"/>
        <v>0</v>
      </c>
      <c r="F995" s="12"/>
      <c r="G995" s="9"/>
      <c r="H995" s="10"/>
      <c r="I995" s="49">
        <f t="shared" si="950"/>
        <v>0</v>
      </c>
      <c r="J995" s="11">
        <f t="shared" si="951"/>
        <v>0</v>
      </c>
      <c r="L995" s="26"/>
      <c r="M995" s="8"/>
      <c r="N995" s="9"/>
      <c r="O995" s="52"/>
      <c r="P995" s="87">
        <f t="shared" si="952"/>
        <v>0</v>
      </c>
      <c r="Q995" s="12"/>
      <c r="R995" s="9"/>
      <c r="S995" s="10"/>
      <c r="T995" s="49">
        <f t="shared" si="953"/>
        <v>0</v>
      </c>
      <c r="U995" s="11">
        <f t="shared" si="954"/>
        <v>0</v>
      </c>
    </row>
    <row r="996" spans="1:21" x14ac:dyDescent="0.15">
      <c r="B996" s="13"/>
      <c r="C996" s="14"/>
      <c r="D996" s="15"/>
      <c r="E996" s="49">
        <f t="shared" si="949"/>
        <v>0</v>
      </c>
      <c r="F996" s="16"/>
      <c r="G996" s="14"/>
      <c r="H996" s="15"/>
      <c r="I996" s="49">
        <f t="shared" si="950"/>
        <v>0</v>
      </c>
      <c r="J996" s="11">
        <f t="shared" si="951"/>
        <v>0</v>
      </c>
      <c r="L996" s="26"/>
      <c r="M996" s="8"/>
      <c r="N996" s="9"/>
      <c r="O996" s="52"/>
      <c r="P996" s="87">
        <f t="shared" si="952"/>
        <v>0</v>
      </c>
      <c r="Q996" s="12"/>
      <c r="R996" s="9"/>
      <c r="S996" s="10"/>
      <c r="T996" s="49">
        <f t="shared" si="953"/>
        <v>0</v>
      </c>
      <c r="U996" s="11">
        <f t="shared" si="954"/>
        <v>0</v>
      </c>
    </row>
    <row r="997" spans="1:21" x14ac:dyDescent="0.15">
      <c r="A997" s="26"/>
      <c r="B997" s="8"/>
      <c r="C997" s="9"/>
      <c r="D997" s="10"/>
      <c r="E997" s="49">
        <f t="shared" si="949"/>
        <v>0</v>
      </c>
      <c r="F997" s="12"/>
      <c r="G997" s="9"/>
      <c r="H997" s="10"/>
      <c r="I997" s="49">
        <f t="shared" si="950"/>
        <v>0</v>
      </c>
      <c r="J997" s="11">
        <f t="shared" si="951"/>
        <v>0</v>
      </c>
      <c r="L997" s="26"/>
      <c r="M997" s="8"/>
      <c r="N997" s="9"/>
      <c r="O997" s="52"/>
      <c r="P997" s="87">
        <f t="shared" si="952"/>
        <v>0</v>
      </c>
      <c r="Q997" s="12"/>
      <c r="R997" s="9"/>
      <c r="S997" s="10"/>
      <c r="T997" s="49">
        <f t="shared" si="953"/>
        <v>0</v>
      </c>
      <c r="U997" s="11">
        <f t="shared" si="954"/>
        <v>0</v>
      </c>
    </row>
    <row r="998" spans="1:21" x14ac:dyDescent="0.15">
      <c r="A998" s="26"/>
      <c r="B998" s="8"/>
      <c r="C998" s="9"/>
      <c r="D998" s="10"/>
      <c r="E998" s="49">
        <f t="shared" si="949"/>
        <v>0</v>
      </c>
      <c r="F998" s="12"/>
      <c r="G998" s="9"/>
      <c r="H998" s="10"/>
      <c r="I998" s="49">
        <f t="shared" si="950"/>
        <v>0</v>
      </c>
      <c r="J998" s="11">
        <f t="shared" si="951"/>
        <v>0</v>
      </c>
      <c r="L998" s="26"/>
      <c r="M998" s="8"/>
      <c r="N998" s="9"/>
      <c r="O998" s="52"/>
      <c r="P998" s="87">
        <f t="shared" si="952"/>
        <v>0</v>
      </c>
      <c r="Q998" s="12"/>
      <c r="R998" s="9"/>
      <c r="S998" s="10"/>
      <c r="T998" s="49">
        <f t="shared" si="953"/>
        <v>0</v>
      </c>
      <c r="U998" s="11">
        <f t="shared" si="954"/>
        <v>0</v>
      </c>
    </row>
    <row r="999" spans="1:21" x14ac:dyDescent="0.15">
      <c r="A999" s="26"/>
      <c r="B999" s="8"/>
      <c r="C999" s="9"/>
      <c r="D999" s="10"/>
      <c r="E999" s="49">
        <f t="shared" si="949"/>
        <v>0</v>
      </c>
      <c r="F999" s="12"/>
      <c r="G999" s="9"/>
      <c r="H999" s="10"/>
      <c r="I999" s="49">
        <f t="shared" si="950"/>
        <v>0</v>
      </c>
      <c r="J999" s="11">
        <f t="shared" si="951"/>
        <v>0</v>
      </c>
      <c r="L999" s="26"/>
      <c r="M999" s="8"/>
      <c r="N999" s="9"/>
      <c r="O999" s="52"/>
      <c r="P999" s="87">
        <f t="shared" si="952"/>
        <v>0</v>
      </c>
      <c r="Q999" s="12"/>
      <c r="R999" s="9"/>
      <c r="S999" s="10"/>
      <c r="T999" s="49">
        <f t="shared" si="953"/>
        <v>0</v>
      </c>
      <c r="U999" s="11">
        <f t="shared" si="954"/>
        <v>0</v>
      </c>
    </row>
    <row r="1000" spans="1:21" ht="14.25" thickBot="1" x14ac:dyDescent="0.2">
      <c r="A1000" s="26"/>
      <c r="B1000" s="8"/>
      <c r="C1000" s="9"/>
      <c r="D1000" s="10"/>
      <c r="E1000" s="49">
        <f t="shared" si="949"/>
        <v>0</v>
      </c>
      <c r="F1000" s="12"/>
      <c r="G1000" s="9"/>
      <c r="H1000" s="10"/>
      <c r="I1000" s="49">
        <f t="shared" si="950"/>
        <v>0</v>
      </c>
      <c r="J1000" s="11">
        <f t="shared" si="951"/>
        <v>0</v>
      </c>
      <c r="L1000" s="26"/>
      <c r="M1000" s="8"/>
      <c r="N1000" s="9"/>
      <c r="O1000" s="52"/>
      <c r="P1000" s="87">
        <f t="shared" si="952"/>
        <v>0</v>
      </c>
      <c r="Q1000" s="12"/>
      <c r="R1000" s="9"/>
      <c r="S1000" s="10"/>
      <c r="T1000" s="49">
        <f t="shared" si="953"/>
        <v>0</v>
      </c>
      <c r="U1000" s="11">
        <f t="shared" si="954"/>
        <v>0</v>
      </c>
    </row>
    <row r="1001" spans="1:21" ht="14.25" thickBot="1" x14ac:dyDescent="0.2">
      <c r="A1001" s="41" t="s">
        <v>17</v>
      </c>
      <c r="B1001" s="46">
        <f>SUM(B975:B1000)</f>
        <v>0</v>
      </c>
      <c r="C1001" s="47">
        <f t="shared" ref="C1001:D1001" si="955">SUM(C975:C1000)</f>
        <v>0</v>
      </c>
      <c r="D1001" s="58">
        <f t="shared" si="955"/>
        <v>0</v>
      </c>
      <c r="E1001" s="45">
        <f t="shared" si="949"/>
        <v>0</v>
      </c>
      <c r="F1001" s="46">
        <f>SUM(F975:F1000)</f>
        <v>0</v>
      </c>
      <c r="G1001" s="47">
        <f t="shared" ref="G1001:H1001" si="956">SUM(G975:G1000)</f>
        <v>0</v>
      </c>
      <c r="H1001" s="58">
        <f t="shared" si="956"/>
        <v>0</v>
      </c>
      <c r="I1001" s="45">
        <f t="shared" si="950"/>
        <v>0</v>
      </c>
      <c r="J1001" s="45">
        <f>E1001+I1001</f>
        <v>0</v>
      </c>
      <c r="L1001" s="41" t="s">
        <v>17</v>
      </c>
      <c r="M1001" s="46">
        <f>SUM(M975:M1000)</f>
        <v>0</v>
      </c>
      <c r="N1001" s="47">
        <f t="shared" ref="N1001:O1001" si="957">SUM(N975:N1000)</f>
        <v>0</v>
      </c>
      <c r="O1001" s="58">
        <f t="shared" si="957"/>
        <v>0</v>
      </c>
      <c r="P1001" s="45">
        <f t="shared" si="952"/>
        <v>0</v>
      </c>
      <c r="Q1001" s="46">
        <f>SUM(Q975:Q1000)</f>
        <v>0</v>
      </c>
      <c r="R1001" s="47">
        <f t="shared" ref="R1001:S1001" si="958">SUM(R975:R1000)</f>
        <v>0</v>
      </c>
      <c r="S1001" s="58">
        <f t="shared" si="958"/>
        <v>0</v>
      </c>
      <c r="T1001" s="45">
        <f t="shared" si="953"/>
        <v>0</v>
      </c>
      <c r="U1001" s="45">
        <f>P1001+T1001</f>
        <v>0</v>
      </c>
    </row>
    <row r="1002" spans="1:21" ht="14.25" thickBot="1" x14ac:dyDescent="0.2">
      <c r="A1002" s="22" t="s">
        <v>16</v>
      </c>
      <c r="B1002" s="50">
        <f>B974-B1001</f>
        <v>0</v>
      </c>
      <c r="C1002" s="56">
        <f t="shared" ref="C1002:D1002" si="959">C974-C1001</f>
        <v>0</v>
      </c>
      <c r="D1002" s="57">
        <f t="shared" si="959"/>
        <v>0</v>
      </c>
      <c r="E1002" s="55">
        <f>SUM(B1002:D1002)</f>
        <v>0</v>
      </c>
      <c r="F1002" s="50">
        <f>F974-F1001</f>
        <v>0</v>
      </c>
      <c r="G1002" s="56">
        <f t="shared" ref="G1002:H1002" si="960">G974-G1001</f>
        <v>0</v>
      </c>
      <c r="H1002" s="57">
        <f t="shared" si="960"/>
        <v>0</v>
      </c>
      <c r="I1002" s="55">
        <f>SUM(F1002:H1002)</f>
        <v>0</v>
      </c>
      <c r="J1002" s="31">
        <f>E1002+I1002</f>
        <v>0</v>
      </c>
      <c r="L1002" s="22" t="s">
        <v>16</v>
      </c>
      <c r="M1002" s="50">
        <f>M974-M1001</f>
        <v>44</v>
      </c>
      <c r="N1002" s="56">
        <f t="shared" ref="N1002:O1002" si="961">N974-N1001</f>
        <v>40</v>
      </c>
      <c r="O1002" s="57">
        <f t="shared" si="961"/>
        <v>35</v>
      </c>
      <c r="P1002" s="55">
        <f>SUM(M1002:O1002)</f>
        <v>119</v>
      </c>
      <c r="Q1002" s="50">
        <f>Q974-Q1001</f>
        <v>44</v>
      </c>
      <c r="R1002" s="56">
        <f t="shared" ref="R1002:S1002" si="962">R974-R1001</f>
        <v>40</v>
      </c>
      <c r="S1002" s="57">
        <f t="shared" si="962"/>
        <v>35</v>
      </c>
      <c r="T1002" s="55">
        <f>SUM(Q1002:S1002)</f>
        <v>119</v>
      </c>
      <c r="U1002" s="31">
        <f>P1002+T1002</f>
        <v>238</v>
      </c>
    </row>
    <row r="1003" spans="1:21" ht="38.25" customHeight="1" x14ac:dyDescent="0.15">
      <c r="H1003" s="183" t="s">
        <v>909</v>
      </c>
      <c r="I1003" s="183"/>
      <c r="J1003" s="183"/>
      <c r="K1003" s="183"/>
      <c r="L1003" s="183"/>
      <c r="M1003" s="183"/>
      <c r="N1003" s="183"/>
    </row>
    <row r="1005" spans="1:21" ht="19.5" thickBot="1" x14ac:dyDescent="0.25">
      <c r="A1005" s="3" t="s">
        <v>678</v>
      </c>
      <c r="B1005" s="1"/>
      <c r="C1005" s="1"/>
      <c r="D1005" s="1"/>
      <c r="E1005" s="1"/>
      <c r="F1005" s="1"/>
      <c r="G1005" s="1"/>
      <c r="H1005" s="1"/>
      <c r="I1005" s="1"/>
      <c r="J1005" s="1"/>
      <c r="L1005" s="3" t="s">
        <v>677</v>
      </c>
      <c r="M1005" s="1"/>
      <c r="N1005" s="1"/>
      <c r="O1005" s="1"/>
      <c r="P1005" s="1"/>
      <c r="Q1005" s="1"/>
      <c r="R1005" s="1"/>
      <c r="S1005" s="1"/>
      <c r="T1005" s="1"/>
      <c r="U1005" s="1">
        <v>1040</v>
      </c>
    </row>
    <row r="1006" spans="1:21" ht="14.25" thickBot="1" x14ac:dyDescent="0.2">
      <c r="A1006" s="7"/>
      <c r="B1006" s="169" t="s">
        <v>22</v>
      </c>
      <c r="C1006" s="170"/>
      <c r="D1006" s="170"/>
      <c r="E1006" s="171"/>
      <c r="F1006" s="169" t="s">
        <v>23</v>
      </c>
      <c r="G1006" s="170"/>
      <c r="H1006" s="170"/>
      <c r="I1006" s="171"/>
      <c r="J1006" s="172" t="s">
        <v>0</v>
      </c>
      <c r="L1006" s="7"/>
      <c r="M1006" s="169" t="s">
        <v>22</v>
      </c>
      <c r="N1006" s="170"/>
      <c r="O1006" s="170"/>
      <c r="P1006" s="171"/>
      <c r="Q1006" s="169" t="s">
        <v>23</v>
      </c>
      <c r="R1006" s="170"/>
      <c r="S1006" s="170"/>
      <c r="T1006" s="171"/>
      <c r="U1006" s="172" t="s">
        <v>0</v>
      </c>
    </row>
    <row r="1007" spans="1:21" ht="14.25" thickBot="1" x14ac:dyDescent="0.2">
      <c r="A1007" s="7" t="s">
        <v>1</v>
      </c>
      <c r="B1007" s="4" t="s">
        <v>2</v>
      </c>
      <c r="C1007" s="5" t="s">
        <v>3</v>
      </c>
      <c r="D1007" s="6" t="s">
        <v>4</v>
      </c>
      <c r="E1007" s="7" t="s">
        <v>5</v>
      </c>
      <c r="F1007" s="4" t="s">
        <v>2</v>
      </c>
      <c r="G1007" s="5" t="s">
        <v>3</v>
      </c>
      <c r="H1007" s="6" t="s">
        <v>4</v>
      </c>
      <c r="I1007" s="7" t="s">
        <v>5</v>
      </c>
      <c r="J1007" s="173"/>
      <c r="L1007" s="7" t="s">
        <v>1</v>
      </c>
      <c r="M1007" s="4" t="s">
        <v>2</v>
      </c>
      <c r="N1007" s="5" t="s">
        <v>3</v>
      </c>
      <c r="O1007" s="6" t="s">
        <v>4</v>
      </c>
      <c r="P1007" s="7" t="s">
        <v>5</v>
      </c>
      <c r="Q1007" s="4" t="s">
        <v>2</v>
      </c>
      <c r="R1007" s="5" t="s">
        <v>3</v>
      </c>
      <c r="S1007" s="6" t="s">
        <v>4</v>
      </c>
      <c r="T1007" s="7" t="s">
        <v>5</v>
      </c>
      <c r="U1007" s="173"/>
    </row>
    <row r="1008" spans="1:21" ht="14.25" thickBot="1" x14ac:dyDescent="0.2">
      <c r="A1008" s="140" t="s">
        <v>16</v>
      </c>
      <c r="B1008" s="28">
        <f>B1002</f>
        <v>0</v>
      </c>
      <c r="C1008" s="126">
        <f t="shared" ref="C1008:E1008" si="963">C1002</f>
        <v>0</v>
      </c>
      <c r="D1008" s="127">
        <f t="shared" si="963"/>
        <v>0</v>
      </c>
      <c r="E1008" s="28">
        <f t="shared" si="963"/>
        <v>0</v>
      </c>
      <c r="F1008" s="126">
        <f>F1002</f>
        <v>0</v>
      </c>
      <c r="G1008" s="126">
        <f t="shared" ref="G1008:J1008" si="964">G1002</f>
        <v>0</v>
      </c>
      <c r="H1008" s="127">
        <f t="shared" si="964"/>
        <v>0</v>
      </c>
      <c r="I1008" s="28">
        <f t="shared" si="964"/>
        <v>0</v>
      </c>
      <c r="J1008" s="28">
        <f t="shared" si="964"/>
        <v>0</v>
      </c>
      <c r="L1008" s="128" t="s">
        <v>16</v>
      </c>
      <c r="M1008" s="126">
        <f>M1002</f>
        <v>44</v>
      </c>
      <c r="N1008" s="126">
        <f t="shared" ref="N1008:P1008" si="965">N1002</f>
        <v>40</v>
      </c>
      <c r="O1008" s="127">
        <f t="shared" si="965"/>
        <v>35</v>
      </c>
      <c r="P1008" s="31">
        <f t="shared" si="965"/>
        <v>119</v>
      </c>
      <c r="Q1008" s="126">
        <f>Q1002</f>
        <v>44</v>
      </c>
      <c r="R1008" s="126">
        <f t="shared" ref="R1008:U1008" si="966">R1002</f>
        <v>40</v>
      </c>
      <c r="S1008" s="127">
        <f t="shared" si="966"/>
        <v>35</v>
      </c>
      <c r="T1008" s="31">
        <f t="shared" si="966"/>
        <v>119</v>
      </c>
      <c r="U1008" s="28">
        <f t="shared" si="966"/>
        <v>238</v>
      </c>
    </row>
    <row r="1009" spans="1:23" x14ac:dyDescent="0.15">
      <c r="A1009" s="25" t="s">
        <v>7</v>
      </c>
      <c r="B1009" s="17">
        <v>3</v>
      </c>
      <c r="C1009" s="18">
        <v>3</v>
      </c>
      <c r="D1009" s="51">
        <v>3</v>
      </c>
      <c r="E1009" s="11">
        <f t="shared" ref="E1009:E1016" si="967">SUM(B1009:D1009)</f>
        <v>9</v>
      </c>
      <c r="F1009" s="20">
        <v>3</v>
      </c>
      <c r="G1009" s="18">
        <v>3</v>
      </c>
      <c r="H1009" s="19">
        <v>3</v>
      </c>
      <c r="I1009" s="11">
        <f t="shared" ref="I1009:I1016" si="968">SUM(F1009:H1009)</f>
        <v>9</v>
      </c>
      <c r="J1009" s="11">
        <f t="shared" ref="J1009:J1016" si="969">E1009+I1009</f>
        <v>18</v>
      </c>
      <c r="K1009" s="62">
        <v>45566</v>
      </c>
      <c r="L1009" s="25" t="s">
        <v>7</v>
      </c>
      <c r="M1009" s="17">
        <v>1</v>
      </c>
      <c r="N1009" s="18"/>
      <c r="O1009" s="51"/>
      <c r="P1009" s="11">
        <f t="shared" ref="P1009" si="970">SUM(M1009:O1009)</f>
        <v>1</v>
      </c>
      <c r="Q1009" s="17">
        <v>1</v>
      </c>
      <c r="R1009" s="18"/>
      <c r="S1009" s="51"/>
      <c r="T1009" s="11">
        <f t="shared" ref="T1009" si="971">SUM(Q1009:S1009)</f>
        <v>1</v>
      </c>
      <c r="U1009" s="11">
        <f t="shared" ref="U1009" si="972">P1009+T1009</f>
        <v>2</v>
      </c>
      <c r="V1009" s="99">
        <v>45598</v>
      </c>
    </row>
    <row r="1010" spans="1:23" x14ac:dyDescent="0.15">
      <c r="A1010" s="25" t="s">
        <v>885</v>
      </c>
      <c r="B1010" s="17">
        <v>1</v>
      </c>
      <c r="C1010" s="18"/>
      <c r="D1010" s="51"/>
      <c r="E1010" s="11">
        <f t="shared" si="967"/>
        <v>1</v>
      </c>
      <c r="F1010" s="20">
        <v>1</v>
      </c>
      <c r="G1010" s="18"/>
      <c r="H1010" s="19"/>
      <c r="I1010" s="11">
        <f t="shared" si="968"/>
        <v>1</v>
      </c>
      <c r="J1010" s="11">
        <f t="shared" si="969"/>
        <v>2</v>
      </c>
      <c r="K1010" s="62">
        <v>45590</v>
      </c>
      <c r="L1010" s="25" t="s">
        <v>8</v>
      </c>
      <c r="M1010" s="17"/>
      <c r="N1010" s="18"/>
      <c r="O1010" s="51"/>
      <c r="P1010" s="11">
        <f t="shared" ref="P1010:P1012" si="973">SUM(M1010:O1010)</f>
        <v>0</v>
      </c>
      <c r="Q1010" s="17"/>
      <c r="R1010" s="18"/>
      <c r="S1010" s="51"/>
      <c r="T1010" s="11">
        <f t="shared" ref="T1010:T1012" si="974">SUM(Q1010:S1010)</f>
        <v>0</v>
      </c>
      <c r="U1010" s="11">
        <f t="shared" ref="U1010:U1012" si="975">P1010+T1010</f>
        <v>0</v>
      </c>
      <c r="V1010" s="100" t="s">
        <v>917</v>
      </c>
    </row>
    <row r="1011" spans="1:23" x14ac:dyDescent="0.15">
      <c r="A1011" s="25" t="s">
        <v>9</v>
      </c>
      <c r="B1011" s="17"/>
      <c r="C1011" s="18"/>
      <c r="D1011" s="51"/>
      <c r="E1011" s="11">
        <f t="shared" si="967"/>
        <v>0</v>
      </c>
      <c r="F1011" s="20"/>
      <c r="G1011" s="18"/>
      <c r="H1011" s="19"/>
      <c r="I1011" s="11">
        <f t="shared" si="968"/>
        <v>0</v>
      </c>
      <c r="J1011" s="11">
        <f t="shared" si="969"/>
        <v>0</v>
      </c>
      <c r="K1011" s="62"/>
      <c r="L1011" s="25" t="s">
        <v>9</v>
      </c>
      <c r="M1011" s="8">
        <v>79</v>
      </c>
      <c r="N1011" s="9">
        <v>96</v>
      </c>
      <c r="O1011" s="52">
        <v>56</v>
      </c>
      <c r="P1011" s="11">
        <f t="shared" si="973"/>
        <v>231</v>
      </c>
      <c r="Q1011" s="8">
        <v>79</v>
      </c>
      <c r="R1011" s="9">
        <v>96</v>
      </c>
      <c r="S1011" s="52">
        <v>56</v>
      </c>
      <c r="T1011" s="11">
        <f t="shared" si="974"/>
        <v>231</v>
      </c>
      <c r="U1011" s="11">
        <f t="shared" si="975"/>
        <v>462</v>
      </c>
      <c r="V1011" s="98" t="s">
        <v>921</v>
      </c>
    </row>
    <row r="1012" spans="1:23" x14ac:dyDescent="0.15">
      <c r="A1012" s="25" t="s">
        <v>10</v>
      </c>
      <c r="B1012" s="8"/>
      <c r="C1012" s="9"/>
      <c r="D1012" s="52"/>
      <c r="E1012" s="11">
        <f t="shared" si="967"/>
        <v>0</v>
      </c>
      <c r="F1012" s="12"/>
      <c r="G1012" s="9"/>
      <c r="H1012" s="10"/>
      <c r="I1012" s="11">
        <f t="shared" si="968"/>
        <v>0</v>
      </c>
      <c r="J1012" s="11">
        <f t="shared" si="969"/>
        <v>0</v>
      </c>
      <c r="K1012" s="66"/>
      <c r="L1012" s="25" t="s">
        <v>10</v>
      </c>
      <c r="M1012" s="8"/>
      <c r="N1012" s="9"/>
      <c r="O1012" s="52"/>
      <c r="P1012" s="11">
        <f t="shared" si="973"/>
        <v>0</v>
      </c>
      <c r="Q1012" s="8"/>
      <c r="R1012" s="9"/>
      <c r="S1012" s="52"/>
      <c r="T1012" s="11">
        <f t="shared" si="974"/>
        <v>0</v>
      </c>
      <c r="U1012" s="11">
        <f t="shared" si="975"/>
        <v>0</v>
      </c>
      <c r="V1012" s="100" t="s">
        <v>912</v>
      </c>
    </row>
    <row r="1013" spans="1:23" x14ac:dyDescent="0.15">
      <c r="A1013" s="25" t="s">
        <v>11</v>
      </c>
      <c r="B1013" s="8"/>
      <c r="C1013" s="9"/>
      <c r="D1013" s="52"/>
      <c r="E1013" s="11">
        <f t="shared" si="967"/>
        <v>0</v>
      </c>
      <c r="F1013" s="12"/>
      <c r="G1013" s="9"/>
      <c r="H1013" s="10"/>
      <c r="I1013" s="11">
        <f t="shared" si="968"/>
        <v>0</v>
      </c>
      <c r="J1013" s="11">
        <f t="shared" si="969"/>
        <v>0</v>
      </c>
      <c r="L1013" s="25" t="s">
        <v>918</v>
      </c>
      <c r="M1013" s="8">
        <v>7</v>
      </c>
      <c r="N1013" s="9">
        <v>4</v>
      </c>
      <c r="O1013" s="52">
        <v>2</v>
      </c>
      <c r="P1013" s="11">
        <f>SUM(M1013:O1013)</f>
        <v>13</v>
      </c>
      <c r="Q1013" s="8">
        <v>7</v>
      </c>
      <c r="R1013" s="9">
        <v>4</v>
      </c>
      <c r="S1013" s="52">
        <v>2</v>
      </c>
      <c r="T1013" s="11">
        <f>SUM(Q1013:S1013)</f>
        <v>13</v>
      </c>
      <c r="U1013" s="11">
        <f>P1013+T1013</f>
        <v>26</v>
      </c>
      <c r="V1013" s="98" t="s">
        <v>926</v>
      </c>
    </row>
    <row r="1014" spans="1:23" x14ac:dyDescent="0.15">
      <c r="A1014" s="25" t="s">
        <v>12</v>
      </c>
      <c r="B1014" s="8"/>
      <c r="C1014" s="9"/>
      <c r="D1014" s="52"/>
      <c r="E1014" s="11">
        <f t="shared" si="967"/>
        <v>0</v>
      </c>
      <c r="F1014" s="12"/>
      <c r="G1014" s="9"/>
      <c r="H1014" s="10"/>
      <c r="I1014" s="11">
        <f t="shared" si="968"/>
        <v>0</v>
      </c>
      <c r="J1014" s="11">
        <f t="shared" si="969"/>
        <v>0</v>
      </c>
      <c r="L1014" s="25" t="s">
        <v>12</v>
      </c>
      <c r="M1014" s="17"/>
      <c r="N1014" s="18"/>
      <c r="O1014" s="51"/>
      <c r="P1014" s="49">
        <f t="shared" ref="P1014:P1016" si="976">SUM(M1014:O1014)</f>
        <v>0</v>
      </c>
      <c r="Q1014" s="17"/>
      <c r="R1014" s="18"/>
      <c r="S1014" s="51"/>
      <c r="T1014" s="49">
        <f t="shared" ref="T1014:T1016" si="977">SUM(Q1014:S1014)</f>
        <v>0</v>
      </c>
      <c r="U1014" s="11">
        <f t="shared" ref="U1014:U1016" si="978">P1014+T1014</f>
        <v>0</v>
      </c>
    </row>
    <row r="1015" spans="1:23" x14ac:dyDescent="0.15">
      <c r="A1015" s="25" t="s">
        <v>13</v>
      </c>
      <c r="B1015" s="13"/>
      <c r="C1015" s="14"/>
      <c r="D1015" s="53"/>
      <c r="E1015" s="11">
        <f t="shared" si="967"/>
        <v>0</v>
      </c>
      <c r="F1015" s="16"/>
      <c r="G1015" s="14"/>
      <c r="H1015" s="15"/>
      <c r="I1015" s="11">
        <f t="shared" si="968"/>
        <v>0</v>
      </c>
      <c r="J1015" s="11">
        <f t="shared" si="969"/>
        <v>0</v>
      </c>
      <c r="L1015" s="25" t="s">
        <v>13</v>
      </c>
      <c r="M1015" s="17"/>
      <c r="N1015" s="18"/>
      <c r="O1015" s="51"/>
      <c r="P1015" s="49">
        <f t="shared" si="976"/>
        <v>0</v>
      </c>
      <c r="Q1015" s="17"/>
      <c r="R1015" s="18"/>
      <c r="S1015" s="51"/>
      <c r="T1015" s="49">
        <f t="shared" si="977"/>
        <v>0</v>
      </c>
      <c r="U1015" s="11">
        <f t="shared" si="978"/>
        <v>0</v>
      </c>
    </row>
    <row r="1016" spans="1:23" ht="14.25" thickBot="1" x14ac:dyDescent="0.2">
      <c r="A1016" s="25" t="s">
        <v>14</v>
      </c>
      <c r="B1016" s="32"/>
      <c r="C1016" s="33"/>
      <c r="D1016" s="54"/>
      <c r="E1016" s="61">
        <f t="shared" si="967"/>
        <v>0</v>
      </c>
      <c r="F1016" s="34"/>
      <c r="G1016" s="34"/>
      <c r="H1016" s="37"/>
      <c r="I1016" s="61">
        <f t="shared" si="968"/>
        <v>0</v>
      </c>
      <c r="J1016" s="21">
        <f t="shared" si="969"/>
        <v>0</v>
      </c>
      <c r="L1016" s="25" t="s">
        <v>14</v>
      </c>
      <c r="M1016" s="32"/>
      <c r="N1016" s="33"/>
      <c r="O1016" s="54"/>
      <c r="P1016" s="61">
        <f t="shared" si="976"/>
        <v>0</v>
      </c>
      <c r="Q1016" s="34"/>
      <c r="R1016" s="34"/>
      <c r="S1016" s="37"/>
      <c r="T1016" s="61">
        <f t="shared" si="977"/>
        <v>0</v>
      </c>
      <c r="U1016" s="21">
        <f t="shared" si="978"/>
        <v>0</v>
      </c>
    </row>
    <row r="1017" spans="1:23" ht="14.25" thickBot="1" x14ac:dyDescent="0.2">
      <c r="A1017" s="35" t="s">
        <v>15</v>
      </c>
      <c r="B1017" s="28">
        <f>SUM(B1008:B1016)</f>
        <v>4</v>
      </c>
      <c r="C1017" s="29">
        <f>SUM(C1008:C1016)</f>
        <v>3</v>
      </c>
      <c r="D1017" s="30">
        <f>SUM(D1008:D1016)</f>
        <v>3</v>
      </c>
      <c r="E1017" s="31">
        <f>SUM(B1017:D1017)</f>
        <v>10</v>
      </c>
      <c r="F1017" s="28">
        <f>SUM(F1008:F1016)</f>
        <v>4</v>
      </c>
      <c r="G1017" s="29">
        <f>SUM(G1008:G1016)</f>
        <v>3</v>
      </c>
      <c r="H1017" s="30">
        <f>SUM(H1008:H1016)</f>
        <v>3</v>
      </c>
      <c r="I1017" s="31">
        <f>SUM(F1017:H1017)</f>
        <v>10</v>
      </c>
      <c r="J1017" s="31">
        <f>E1017+I1017</f>
        <v>20</v>
      </c>
      <c r="L1017" s="35" t="s">
        <v>15</v>
      </c>
      <c r="M1017" s="28">
        <f>SUM(M1008:M1016)</f>
        <v>131</v>
      </c>
      <c r="N1017" s="29">
        <f>SUM(N1008:N1016)</f>
        <v>140</v>
      </c>
      <c r="O1017" s="30">
        <f>SUM(O1008:O1016)</f>
        <v>93</v>
      </c>
      <c r="P1017" s="31">
        <f>SUM(M1017:O1017)</f>
        <v>364</v>
      </c>
      <c r="Q1017" s="28">
        <f>SUM(Q1008:Q1016)</f>
        <v>131</v>
      </c>
      <c r="R1017" s="29">
        <f>SUM(R1008:R1016)</f>
        <v>140</v>
      </c>
      <c r="S1017" s="30">
        <f>SUM(S1008:S1016)</f>
        <v>93</v>
      </c>
      <c r="T1017" s="31">
        <f>SUM(Q1017:S1017)</f>
        <v>364</v>
      </c>
      <c r="U1017" s="31">
        <f>P1017+T1017</f>
        <v>728</v>
      </c>
    </row>
    <row r="1018" spans="1:23" x14ac:dyDescent="0.15">
      <c r="A1018" s="26" t="s">
        <v>137</v>
      </c>
      <c r="B1018" s="8">
        <v>1</v>
      </c>
      <c r="C1018" s="9">
        <v>1</v>
      </c>
      <c r="D1018" s="10">
        <v>2</v>
      </c>
      <c r="E1018" s="49">
        <f t="shared" ref="E1018:E1020" si="979">SUM(B1018:D1018)</f>
        <v>4</v>
      </c>
      <c r="F1018" s="12">
        <v>1</v>
      </c>
      <c r="G1018" s="9">
        <v>1</v>
      </c>
      <c r="H1018" s="10">
        <v>2</v>
      </c>
      <c r="I1018" s="49">
        <f t="shared" ref="I1018:I1020" si="980">SUM(F1018:H1018)</f>
        <v>4</v>
      </c>
      <c r="J1018" s="11">
        <f t="shared" ref="J1018:J1020" si="981">E1018+I1018</f>
        <v>8</v>
      </c>
      <c r="K1018" s="62">
        <v>45586</v>
      </c>
      <c r="L1018" s="26" t="s">
        <v>923</v>
      </c>
      <c r="M1018" s="8"/>
      <c r="N1018" s="9">
        <v>1</v>
      </c>
      <c r="O1018" s="52">
        <v>2</v>
      </c>
      <c r="P1018" s="87">
        <f t="shared" ref="P1018:P1044" si="982">SUM(M1018:O1018)</f>
        <v>3</v>
      </c>
      <c r="Q1018" s="12"/>
      <c r="R1018" s="9">
        <v>1</v>
      </c>
      <c r="S1018" s="10">
        <v>2</v>
      </c>
      <c r="T1018" s="49">
        <f t="shared" ref="T1018:T1044" si="983">SUM(Q1018:S1018)</f>
        <v>3</v>
      </c>
      <c r="U1018" s="11">
        <f t="shared" ref="U1018:U1043" si="984">P1018+T1018</f>
        <v>6</v>
      </c>
      <c r="V1018" s="98">
        <v>45567</v>
      </c>
    </row>
    <row r="1019" spans="1:23" x14ac:dyDescent="0.15">
      <c r="A1019" s="26" t="s">
        <v>928</v>
      </c>
      <c r="B1019" s="8">
        <v>1</v>
      </c>
      <c r="C1019" s="9"/>
      <c r="D1019" s="10"/>
      <c r="E1019" s="49">
        <f t="shared" si="979"/>
        <v>1</v>
      </c>
      <c r="F1019" s="12">
        <v>1</v>
      </c>
      <c r="G1019" s="9"/>
      <c r="H1019" s="10"/>
      <c r="I1019" s="49">
        <f t="shared" si="980"/>
        <v>1</v>
      </c>
      <c r="J1019" s="11">
        <f t="shared" si="981"/>
        <v>2</v>
      </c>
      <c r="K1019" s="62">
        <v>45598</v>
      </c>
      <c r="L1019" s="142" t="s">
        <v>924</v>
      </c>
      <c r="M1019" s="8">
        <v>3</v>
      </c>
      <c r="N1019" s="9">
        <v>3</v>
      </c>
      <c r="O1019" s="52">
        <v>3</v>
      </c>
      <c r="P1019" s="87">
        <f t="shared" si="982"/>
        <v>9</v>
      </c>
      <c r="Q1019" s="12">
        <v>3</v>
      </c>
      <c r="R1019" s="9">
        <v>3</v>
      </c>
      <c r="S1019" s="10">
        <v>3</v>
      </c>
      <c r="T1019" s="49">
        <f t="shared" si="983"/>
        <v>9</v>
      </c>
      <c r="U1019" s="11">
        <f t="shared" si="984"/>
        <v>18</v>
      </c>
      <c r="V1019" s="98">
        <v>45566</v>
      </c>
    </row>
    <row r="1020" spans="1:23" x14ac:dyDescent="0.15">
      <c r="A1020" s="26"/>
      <c r="B1020" s="8"/>
      <c r="C1020" s="9"/>
      <c r="D1020" s="10"/>
      <c r="E1020" s="49">
        <f t="shared" si="979"/>
        <v>0</v>
      </c>
      <c r="F1020" s="12"/>
      <c r="G1020" s="9"/>
      <c r="H1020" s="10"/>
      <c r="I1020" s="49">
        <f t="shared" si="980"/>
        <v>0</v>
      </c>
      <c r="J1020" s="11">
        <f t="shared" si="981"/>
        <v>0</v>
      </c>
      <c r="K1020" s="62"/>
      <c r="L1020" s="26" t="s">
        <v>113</v>
      </c>
      <c r="M1020" s="8">
        <v>11</v>
      </c>
      <c r="N1020" s="9">
        <v>12</v>
      </c>
      <c r="O1020" s="52">
        <v>6</v>
      </c>
      <c r="P1020" s="87">
        <f t="shared" si="982"/>
        <v>29</v>
      </c>
      <c r="Q1020" s="12">
        <v>11</v>
      </c>
      <c r="R1020" s="9">
        <v>12</v>
      </c>
      <c r="S1020" s="10">
        <v>6</v>
      </c>
      <c r="T1020" s="49">
        <f t="shared" si="983"/>
        <v>29</v>
      </c>
      <c r="U1020" s="11">
        <f t="shared" si="984"/>
        <v>58</v>
      </c>
      <c r="V1020" s="98">
        <v>45568</v>
      </c>
      <c r="W1020" s="66"/>
    </row>
    <row r="1021" spans="1:23" x14ac:dyDescent="0.15">
      <c r="A1021" s="26"/>
      <c r="B1021" s="13"/>
      <c r="C1021" s="14"/>
      <c r="D1021" s="15"/>
      <c r="E1021" s="49">
        <f>SUM(B1021:D1021)</f>
        <v>0</v>
      </c>
      <c r="F1021" s="16"/>
      <c r="G1021" s="14"/>
      <c r="H1021" s="15"/>
      <c r="I1021" s="49">
        <f>SUM(F1021:H1021)</f>
        <v>0</v>
      </c>
      <c r="J1021" s="11">
        <f>E1021+I1021</f>
        <v>0</v>
      </c>
      <c r="K1021" s="64"/>
      <c r="L1021" s="26" t="s">
        <v>115</v>
      </c>
      <c r="M1021" s="8">
        <v>5</v>
      </c>
      <c r="N1021" s="9">
        <v>7</v>
      </c>
      <c r="O1021" s="52">
        <v>17</v>
      </c>
      <c r="P1021" s="87">
        <f t="shared" si="982"/>
        <v>29</v>
      </c>
      <c r="Q1021" s="12">
        <v>5</v>
      </c>
      <c r="R1021" s="9">
        <v>7</v>
      </c>
      <c r="S1021" s="10">
        <v>17</v>
      </c>
      <c r="T1021" s="49">
        <f t="shared" si="983"/>
        <v>29</v>
      </c>
      <c r="U1021" s="11">
        <f t="shared" si="984"/>
        <v>58</v>
      </c>
      <c r="V1021" s="98">
        <v>45569</v>
      </c>
      <c r="W1021" s="66"/>
    </row>
    <row r="1022" spans="1:23" x14ac:dyDescent="0.15">
      <c r="A1022" s="26"/>
      <c r="B1022" s="8"/>
      <c r="C1022" s="9"/>
      <c r="D1022" s="10"/>
      <c r="E1022" s="49">
        <f t="shared" ref="E1022:E1044" si="985">SUM(B1022:D1022)</f>
        <v>0</v>
      </c>
      <c r="F1022" s="12"/>
      <c r="G1022" s="9"/>
      <c r="H1022" s="10"/>
      <c r="I1022" s="49">
        <f t="shared" ref="I1022:I1044" si="986">SUM(F1022:H1022)</f>
        <v>0</v>
      </c>
      <c r="J1022" s="11">
        <f t="shared" ref="J1022:J1043" si="987">E1022+I1022</f>
        <v>0</v>
      </c>
      <c r="L1022" s="26" t="s">
        <v>117</v>
      </c>
      <c r="M1022" s="8">
        <v>5</v>
      </c>
      <c r="N1022" s="9">
        <v>14</v>
      </c>
      <c r="O1022" s="52"/>
      <c r="P1022" s="87">
        <f t="shared" si="982"/>
        <v>19</v>
      </c>
      <c r="Q1022" s="12">
        <v>5</v>
      </c>
      <c r="R1022" s="9">
        <v>14</v>
      </c>
      <c r="S1022" s="10"/>
      <c r="T1022" s="49">
        <f t="shared" si="983"/>
        <v>19</v>
      </c>
      <c r="U1022" s="11">
        <f t="shared" si="984"/>
        <v>38</v>
      </c>
      <c r="V1022" s="98">
        <v>45569</v>
      </c>
      <c r="W1022" s="66"/>
    </row>
    <row r="1023" spans="1:23" x14ac:dyDescent="0.15">
      <c r="A1023" s="26"/>
      <c r="B1023" s="8"/>
      <c r="C1023" s="9"/>
      <c r="D1023" s="10"/>
      <c r="E1023" s="49">
        <f t="shared" si="985"/>
        <v>0</v>
      </c>
      <c r="F1023" s="12"/>
      <c r="G1023" s="9"/>
      <c r="H1023" s="10"/>
      <c r="I1023" s="49">
        <f t="shared" si="986"/>
        <v>0</v>
      </c>
      <c r="J1023" s="11">
        <f t="shared" si="987"/>
        <v>0</v>
      </c>
      <c r="L1023" s="26" t="s">
        <v>118</v>
      </c>
      <c r="M1023" s="8">
        <v>11</v>
      </c>
      <c r="N1023" s="9">
        <v>18</v>
      </c>
      <c r="O1023" s="52">
        <v>2</v>
      </c>
      <c r="P1023" s="87">
        <f t="shared" si="982"/>
        <v>31</v>
      </c>
      <c r="Q1023" s="12">
        <v>11</v>
      </c>
      <c r="R1023" s="9">
        <v>18</v>
      </c>
      <c r="S1023" s="10">
        <v>2</v>
      </c>
      <c r="T1023" s="49">
        <f t="shared" si="983"/>
        <v>31</v>
      </c>
      <c r="U1023" s="11">
        <f t="shared" si="984"/>
        <v>62</v>
      </c>
      <c r="V1023" s="98">
        <v>45572</v>
      </c>
      <c r="W1023" s="66"/>
    </row>
    <row r="1024" spans="1:23" x14ac:dyDescent="0.15">
      <c r="A1024" s="26"/>
      <c r="B1024" s="8"/>
      <c r="C1024" s="9"/>
      <c r="D1024" s="10"/>
      <c r="E1024" s="49">
        <f t="shared" si="985"/>
        <v>0</v>
      </c>
      <c r="F1024" s="12"/>
      <c r="G1024" s="9"/>
      <c r="H1024" s="10"/>
      <c r="I1024" s="49">
        <f t="shared" si="986"/>
        <v>0</v>
      </c>
      <c r="J1024" s="11">
        <f t="shared" si="987"/>
        <v>0</v>
      </c>
      <c r="L1024" s="26" t="s">
        <v>122</v>
      </c>
      <c r="M1024" s="8">
        <v>11</v>
      </c>
      <c r="N1024" s="9">
        <v>8</v>
      </c>
      <c r="O1024" s="52">
        <v>1</v>
      </c>
      <c r="P1024" s="87">
        <f t="shared" si="982"/>
        <v>20</v>
      </c>
      <c r="Q1024" s="12">
        <v>11</v>
      </c>
      <c r="R1024" s="9">
        <v>8</v>
      </c>
      <c r="S1024" s="10">
        <v>1</v>
      </c>
      <c r="T1024" s="49">
        <f t="shared" si="983"/>
        <v>20</v>
      </c>
      <c r="U1024" s="11">
        <f t="shared" si="984"/>
        <v>40</v>
      </c>
      <c r="V1024" s="98">
        <v>45574</v>
      </c>
      <c r="W1024" s="66"/>
    </row>
    <row r="1025" spans="1:23" x14ac:dyDescent="0.15">
      <c r="A1025" s="26"/>
      <c r="B1025" s="8"/>
      <c r="C1025" s="9"/>
      <c r="D1025" s="10"/>
      <c r="E1025" s="49">
        <f t="shared" si="985"/>
        <v>0</v>
      </c>
      <c r="F1025" s="12"/>
      <c r="G1025" s="9"/>
      <c r="H1025" s="10"/>
      <c r="I1025" s="49">
        <f t="shared" si="986"/>
        <v>0</v>
      </c>
      <c r="J1025" s="11">
        <f t="shared" si="987"/>
        <v>0</v>
      </c>
      <c r="L1025" s="26" t="s">
        <v>126</v>
      </c>
      <c r="M1025" s="8">
        <v>4</v>
      </c>
      <c r="N1025" s="9">
        <v>6</v>
      </c>
      <c r="O1025" s="52">
        <v>8</v>
      </c>
      <c r="P1025" s="87">
        <f t="shared" si="982"/>
        <v>18</v>
      </c>
      <c r="Q1025" s="12">
        <v>4</v>
      </c>
      <c r="R1025" s="9">
        <v>6</v>
      </c>
      <c r="S1025" s="10">
        <v>8</v>
      </c>
      <c r="T1025" s="49">
        <f t="shared" si="983"/>
        <v>18</v>
      </c>
      <c r="U1025" s="11">
        <f t="shared" si="984"/>
        <v>36</v>
      </c>
      <c r="V1025" s="98">
        <v>45575</v>
      </c>
      <c r="W1025" s="66"/>
    </row>
    <row r="1026" spans="1:23" x14ac:dyDescent="0.15">
      <c r="A1026" s="26"/>
      <c r="B1026" s="8"/>
      <c r="C1026" s="9"/>
      <c r="D1026" s="10"/>
      <c r="E1026" s="49">
        <f t="shared" si="985"/>
        <v>0</v>
      </c>
      <c r="F1026" s="12"/>
      <c r="G1026" s="9"/>
      <c r="H1026" s="10"/>
      <c r="I1026" s="49">
        <f t="shared" si="986"/>
        <v>0</v>
      </c>
      <c r="J1026" s="11">
        <f t="shared" si="987"/>
        <v>0</v>
      </c>
      <c r="L1026" s="26" t="s">
        <v>127</v>
      </c>
      <c r="M1026" s="8">
        <v>5</v>
      </c>
      <c r="N1026" s="9">
        <v>12</v>
      </c>
      <c r="O1026" s="52">
        <v>1</v>
      </c>
      <c r="P1026" s="87">
        <f t="shared" si="982"/>
        <v>18</v>
      </c>
      <c r="Q1026" s="12">
        <v>5</v>
      </c>
      <c r="R1026" s="9">
        <v>12</v>
      </c>
      <c r="S1026" s="10">
        <v>1</v>
      </c>
      <c r="T1026" s="49">
        <f t="shared" si="983"/>
        <v>18</v>
      </c>
      <c r="U1026" s="11">
        <f t="shared" si="984"/>
        <v>36</v>
      </c>
      <c r="V1026" s="98">
        <v>45576</v>
      </c>
      <c r="W1026" s="66"/>
    </row>
    <row r="1027" spans="1:23" x14ac:dyDescent="0.15">
      <c r="A1027" s="26"/>
      <c r="B1027" s="13"/>
      <c r="C1027" s="14"/>
      <c r="D1027" s="15"/>
      <c r="E1027" s="49">
        <f t="shared" si="985"/>
        <v>0</v>
      </c>
      <c r="F1027" s="16"/>
      <c r="G1027" s="14"/>
      <c r="H1027" s="15"/>
      <c r="I1027" s="49">
        <f t="shared" si="986"/>
        <v>0</v>
      </c>
      <c r="J1027" s="11">
        <f t="shared" si="987"/>
        <v>0</v>
      </c>
      <c r="L1027" s="26" t="s">
        <v>129</v>
      </c>
      <c r="M1027" s="8"/>
      <c r="N1027" s="9">
        <v>1</v>
      </c>
      <c r="O1027" s="52">
        <v>3</v>
      </c>
      <c r="P1027" s="87">
        <f t="shared" si="982"/>
        <v>4</v>
      </c>
      <c r="Q1027" s="12"/>
      <c r="R1027" s="9">
        <v>1</v>
      </c>
      <c r="S1027" s="10">
        <v>3</v>
      </c>
      <c r="T1027" s="49">
        <f t="shared" si="983"/>
        <v>4</v>
      </c>
      <c r="U1027" s="11">
        <f t="shared" si="984"/>
        <v>8</v>
      </c>
      <c r="V1027" s="98">
        <v>45576</v>
      </c>
      <c r="W1027" s="66"/>
    </row>
    <row r="1028" spans="1:23" x14ac:dyDescent="0.15">
      <c r="A1028" s="26"/>
      <c r="B1028" s="8"/>
      <c r="C1028" s="9"/>
      <c r="D1028" s="10"/>
      <c r="E1028" s="49">
        <f t="shared" si="985"/>
        <v>0</v>
      </c>
      <c r="F1028" s="12"/>
      <c r="G1028" s="9"/>
      <c r="H1028" s="10"/>
      <c r="I1028" s="49">
        <f t="shared" si="986"/>
        <v>0</v>
      </c>
      <c r="J1028" s="11">
        <f t="shared" si="987"/>
        <v>0</v>
      </c>
      <c r="L1028" s="26" t="s">
        <v>131</v>
      </c>
      <c r="M1028" s="8"/>
      <c r="N1028" s="9">
        <v>5</v>
      </c>
      <c r="O1028" s="52">
        <v>4</v>
      </c>
      <c r="P1028" s="87">
        <f t="shared" si="982"/>
        <v>9</v>
      </c>
      <c r="Q1028" s="12"/>
      <c r="R1028" s="9">
        <v>5</v>
      </c>
      <c r="S1028" s="10">
        <v>4</v>
      </c>
      <c r="T1028" s="49">
        <f t="shared" si="983"/>
        <v>9</v>
      </c>
      <c r="U1028" s="11">
        <f t="shared" si="984"/>
        <v>18</v>
      </c>
      <c r="V1028" s="98">
        <v>45580</v>
      </c>
      <c r="W1028" s="66"/>
    </row>
    <row r="1029" spans="1:23" x14ac:dyDescent="0.15">
      <c r="A1029" s="26"/>
      <c r="B1029" s="8"/>
      <c r="C1029" s="9"/>
      <c r="D1029" s="10"/>
      <c r="E1029" s="49">
        <f t="shared" si="985"/>
        <v>0</v>
      </c>
      <c r="F1029" s="12"/>
      <c r="G1029" s="9"/>
      <c r="H1029" s="10"/>
      <c r="I1029" s="49">
        <f t="shared" si="986"/>
        <v>0</v>
      </c>
      <c r="J1029" s="11">
        <f t="shared" si="987"/>
        <v>0</v>
      </c>
      <c r="L1029" s="26" t="s">
        <v>133</v>
      </c>
      <c r="M1029" s="8">
        <v>1</v>
      </c>
      <c r="N1029" s="9">
        <v>2</v>
      </c>
      <c r="O1029" s="52"/>
      <c r="P1029" s="87">
        <f t="shared" si="982"/>
        <v>3</v>
      </c>
      <c r="Q1029" s="12">
        <v>1</v>
      </c>
      <c r="R1029" s="9">
        <v>2</v>
      </c>
      <c r="S1029" s="10"/>
      <c r="T1029" s="49">
        <f t="shared" si="983"/>
        <v>3</v>
      </c>
      <c r="U1029" s="11">
        <f t="shared" si="984"/>
        <v>6</v>
      </c>
      <c r="V1029" s="98">
        <v>45582</v>
      </c>
      <c r="W1029" s="66"/>
    </row>
    <row r="1030" spans="1:23" x14ac:dyDescent="0.15">
      <c r="A1030" s="26"/>
      <c r="B1030" s="8"/>
      <c r="C1030" s="9"/>
      <c r="D1030" s="10"/>
      <c r="E1030" s="49">
        <f t="shared" si="985"/>
        <v>0</v>
      </c>
      <c r="F1030" s="12"/>
      <c r="G1030" s="9"/>
      <c r="H1030" s="10"/>
      <c r="I1030" s="49">
        <f t="shared" si="986"/>
        <v>0</v>
      </c>
      <c r="J1030" s="11">
        <f t="shared" si="987"/>
        <v>0</v>
      </c>
      <c r="L1030" s="26" t="s">
        <v>134</v>
      </c>
      <c r="M1030" s="8"/>
      <c r="N1030" s="9">
        <v>2</v>
      </c>
      <c r="O1030" s="52"/>
      <c r="P1030" s="87">
        <f t="shared" si="982"/>
        <v>2</v>
      </c>
      <c r="Q1030" s="12"/>
      <c r="R1030" s="9">
        <v>2</v>
      </c>
      <c r="S1030" s="10"/>
      <c r="T1030" s="49">
        <f t="shared" si="983"/>
        <v>2</v>
      </c>
      <c r="U1030" s="11">
        <f t="shared" si="984"/>
        <v>4</v>
      </c>
      <c r="V1030" s="98">
        <v>45583</v>
      </c>
      <c r="W1030" s="66"/>
    </row>
    <row r="1031" spans="1:23" x14ac:dyDescent="0.15">
      <c r="A1031" s="26"/>
      <c r="B1031" s="8"/>
      <c r="C1031" s="9"/>
      <c r="D1031" s="10"/>
      <c r="E1031" s="49">
        <f t="shared" si="985"/>
        <v>0</v>
      </c>
      <c r="F1031" s="12"/>
      <c r="G1031" s="9"/>
      <c r="H1031" s="10"/>
      <c r="I1031" s="49">
        <f t="shared" si="986"/>
        <v>0</v>
      </c>
      <c r="J1031" s="11">
        <f t="shared" si="987"/>
        <v>0</v>
      </c>
      <c r="L1031" s="26" t="s">
        <v>135</v>
      </c>
      <c r="M1031" s="8">
        <v>1</v>
      </c>
      <c r="N1031" s="9">
        <v>1</v>
      </c>
      <c r="O1031" s="52"/>
      <c r="P1031" s="87">
        <f t="shared" si="982"/>
        <v>2</v>
      </c>
      <c r="Q1031" s="12">
        <v>1</v>
      </c>
      <c r="R1031" s="9">
        <v>1</v>
      </c>
      <c r="S1031" s="10"/>
      <c r="T1031" s="49">
        <f t="shared" si="983"/>
        <v>2</v>
      </c>
      <c r="U1031" s="11">
        <f t="shared" si="984"/>
        <v>4</v>
      </c>
      <c r="V1031" s="98">
        <v>45583</v>
      </c>
      <c r="W1031" s="66"/>
    </row>
    <row r="1032" spans="1:23" x14ac:dyDescent="0.15">
      <c r="A1032" s="26"/>
      <c r="B1032" s="8"/>
      <c r="C1032" s="9"/>
      <c r="D1032" s="10"/>
      <c r="E1032" s="49">
        <f t="shared" si="985"/>
        <v>0</v>
      </c>
      <c r="F1032" s="12"/>
      <c r="G1032" s="9"/>
      <c r="H1032" s="10"/>
      <c r="I1032" s="49">
        <f t="shared" si="986"/>
        <v>0</v>
      </c>
      <c r="J1032" s="11">
        <f t="shared" si="987"/>
        <v>0</v>
      </c>
      <c r="L1032" s="26" t="s">
        <v>139</v>
      </c>
      <c r="M1032" s="8">
        <v>1</v>
      </c>
      <c r="N1032" s="9"/>
      <c r="O1032" s="52"/>
      <c r="P1032" s="87">
        <f t="shared" si="982"/>
        <v>1</v>
      </c>
      <c r="Q1032" s="12">
        <v>1</v>
      </c>
      <c r="R1032" s="9"/>
      <c r="S1032" s="10"/>
      <c r="T1032" s="49">
        <f t="shared" si="983"/>
        <v>1</v>
      </c>
      <c r="U1032" s="11">
        <f t="shared" si="984"/>
        <v>2</v>
      </c>
      <c r="V1032" s="98">
        <v>45588</v>
      </c>
      <c r="W1032" s="66"/>
    </row>
    <row r="1033" spans="1:23" x14ac:dyDescent="0.15">
      <c r="A1033" s="26"/>
      <c r="B1033" s="8"/>
      <c r="C1033" s="9"/>
      <c r="D1033" s="10"/>
      <c r="E1033" s="49">
        <f t="shared" si="985"/>
        <v>0</v>
      </c>
      <c r="F1033" s="12"/>
      <c r="G1033" s="9"/>
      <c r="H1033" s="10"/>
      <c r="I1033" s="49">
        <f t="shared" si="986"/>
        <v>0</v>
      </c>
      <c r="J1033" s="11">
        <f t="shared" si="987"/>
        <v>0</v>
      </c>
      <c r="L1033" s="26" t="s">
        <v>141</v>
      </c>
      <c r="M1033" s="8"/>
      <c r="N1033" s="9">
        <v>3</v>
      </c>
      <c r="O1033" s="52"/>
      <c r="P1033" s="87">
        <f t="shared" si="982"/>
        <v>3</v>
      </c>
      <c r="Q1033" s="12"/>
      <c r="R1033" s="9">
        <v>3</v>
      </c>
      <c r="S1033" s="10"/>
      <c r="T1033" s="49">
        <f t="shared" si="983"/>
        <v>3</v>
      </c>
      <c r="U1033" s="11">
        <f t="shared" si="984"/>
        <v>6</v>
      </c>
      <c r="V1033" s="98">
        <v>45589</v>
      </c>
      <c r="W1033" s="66"/>
    </row>
    <row r="1034" spans="1:23" x14ac:dyDescent="0.15">
      <c r="A1034" s="26"/>
      <c r="B1034" s="8"/>
      <c r="C1034" s="9"/>
      <c r="D1034" s="10"/>
      <c r="E1034" s="49">
        <f t="shared" si="985"/>
        <v>0</v>
      </c>
      <c r="F1034" s="12"/>
      <c r="G1034" s="9"/>
      <c r="H1034" s="10"/>
      <c r="I1034" s="49">
        <f t="shared" si="986"/>
        <v>0</v>
      </c>
      <c r="J1034" s="11">
        <f t="shared" si="987"/>
        <v>0</v>
      </c>
      <c r="L1034" s="26" t="s">
        <v>143</v>
      </c>
      <c r="M1034" s="8"/>
      <c r="N1034" s="9">
        <v>2</v>
      </c>
      <c r="O1034" s="52"/>
      <c r="P1034" s="87">
        <f t="shared" si="982"/>
        <v>2</v>
      </c>
      <c r="Q1034" s="12"/>
      <c r="R1034" s="9">
        <v>2</v>
      </c>
      <c r="S1034" s="10"/>
      <c r="T1034" s="49">
        <f t="shared" si="983"/>
        <v>2</v>
      </c>
      <c r="U1034" s="11">
        <f t="shared" si="984"/>
        <v>4</v>
      </c>
      <c r="V1034" s="98">
        <v>45590</v>
      </c>
      <c r="W1034" s="66"/>
    </row>
    <row r="1035" spans="1:23" x14ac:dyDescent="0.15">
      <c r="A1035" s="24"/>
      <c r="B1035" s="8"/>
      <c r="C1035" s="9"/>
      <c r="D1035" s="10"/>
      <c r="E1035" s="49">
        <f t="shared" si="985"/>
        <v>0</v>
      </c>
      <c r="F1035" s="12"/>
      <c r="G1035" s="9"/>
      <c r="H1035" s="10"/>
      <c r="I1035" s="49">
        <f t="shared" si="986"/>
        <v>0</v>
      </c>
      <c r="J1035" s="11">
        <f t="shared" si="987"/>
        <v>0</v>
      </c>
      <c r="L1035" s="26" t="s">
        <v>144</v>
      </c>
      <c r="M1035" s="8"/>
      <c r="N1035" s="9">
        <v>3</v>
      </c>
      <c r="O1035" s="52">
        <v>4</v>
      </c>
      <c r="P1035" s="87">
        <f t="shared" si="982"/>
        <v>7</v>
      </c>
      <c r="Q1035" s="12"/>
      <c r="R1035" s="9">
        <v>3</v>
      </c>
      <c r="S1035" s="10">
        <v>4</v>
      </c>
      <c r="T1035" s="49">
        <f t="shared" si="983"/>
        <v>7</v>
      </c>
      <c r="U1035" s="11">
        <f t="shared" si="984"/>
        <v>14</v>
      </c>
      <c r="V1035" s="98">
        <v>45595</v>
      </c>
    </row>
    <row r="1036" spans="1:23" x14ac:dyDescent="0.15">
      <c r="A1036" s="25"/>
      <c r="B1036" s="8"/>
      <c r="C1036" s="9"/>
      <c r="D1036" s="10"/>
      <c r="E1036" s="49">
        <f t="shared" si="985"/>
        <v>0</v>
      </c>
      <c r="F1036" s="12"/>
      <c r="G1036" s="9"/>
      <c r="H1036" s="10"/>
      <c r="I1036" s="49">
        <f t="shared" si="986"/>
        <v>0</v>
      </c>
      <c r="J1036" s="11">
        <f t="shared" si="987"/>
        <v>0</v>
      </c>
      <c r="L1036" s="26" t="s">
        <v>146</v>
      </c>
      <c r="M1036" s="8">
        <v>1</v>
      </c>
      <c r="N1036" s="9">
        <v>3</v>
      </c>
      <c r="O1036" s="52">
        <v>1</v>
      </c>
      <c r="P1036" s="87">
        <f t="shared" si="982"/>
        <v>5</v>
      </c>
      <c r="Q1036" s="12">
        <v>1</v>
      </c>
      <c r="R1036" s="9">
        <v>3</v>
      </c>
      <c r="S1036" s="10">
        <v>1</v>
      </c>
      <c r="T1036" s="49">
        <f t="shared" si="983"/>
        <v>5</v>
      </c>
      <c r="U1036" s="11">
        <f t="shared" si="984"/>
        <v>10</v>
      </c>
      <c r="V1036" s="98">
        <v>45596</v>
      </c>
    </row>
    <row r="1037" spans="1:23" x14ac:dyDescent="0.15">
      <c r="A1037" s="26"/>
      <c r="B1037" s="8"/>
      <c r="C1037" s="9"/>
      <c r="D1037" s="10"/>
      <c r="E1037" s="49">
        <f t="shared" si="985"/>
        <v>0</v>
      </c>
      <c r="F1037" s="12"/>
      <c r="G1037" s="9"/>
      <c r="H1037" s="10"/>
      <c r="I1037" s="49">
        <f t="shared" si="986"/>
        <v>0</v>
      </c>
      <c r="J1037" s="11">
        <f t="shared" si="987"/>
        <v>0</v>
      </c>
      <c r="L1037" s="26" t="s">
        <v>150</v>
      </c>
      <c r="M1037" s="8"/>
      <c r="N1037" s="9"/>
      <c r="O1037" s="52">
        <v>1</v>
      </c>
      <c r="P1037" s="87">
        <f t="shared" si="982"/>
        <v>1</v>
      </c>
      <c r="Q1037" s="12"/>
      <c r="R1037" s="9"/>
      <c r="S1037" s="10">
        <v>1</v>
      </c>
      <c r="T1037" s="49">
        <f t="shared" si="983"/>
        <v>1</v>
      </c>
      <c r="U1037" s="11">
        <f t="shared" si="984"/>
        <v>2</v>
      </c>
      <c r="V1037" s="98">
        <v>45601</v>
      </c>
    </row>
    <row r="1038" spans="1:23" x14ac:dyDescent="0.15">
      <c r="A1038" s="24"/>
      <c r="B1038" s="8"/>
      <c r="C1038" s="9"/>
      <c r="D1038" s="10"/>
      <c r="E1038" s="49">
        <f t="shared" si="985"/>
        <v>0</v>
      </c>
      <c r="F1038" s="12"/>
      <c r="G1038" s="9"/>
      <c r="H1038" s="10"/>
      <c r="I1038" s="49">
        <f t="shared" si="986"/>
        <v>0</v>
      </c>
      <c r="J1038" s="11">
        <f t="shared" si="987"/>
        <v>0</v>
      </c>
      <c r="L1038" s="26" t="s">
        <v>154</v>
      </c>
      <c r="M1038" s="8">
        <v>13</v>
      </c>
      <c r="N1038" s="9">
        <v>9</v>
      </c>
      <c r="O1038" s="52">
        <v>10</v>
      </c>
      <c r="P1038" s="87">
        <f t="shared" si="982"/>
        <v>32</v>
      </c>
      <c r="Q1038" s="12">
        <v>13</v>
      </c>
      <c r="R1038" s="9">
        <v>9</v>
      </c>
      <c r="S1038" s="10">
        <v>10</v>
      </c>
      <c r="T1038" s="49">
        <f t="shared" si="983"/>
        <v>32</v>
      </c>
      <c r="U1038" s="11">
        <f t="shared" si="984"/>
        <v>64</v>
      </c>
      <c r="V1038" s="98">
        <v>45603</v>
      </c>
    </row>
    <row r="1039" spans="1:23" x14ac:dyDescent="0.15">
      <c r="B1039" s="13"/>
      <c r="C1039" s="14"/>
      <c r="D1039" s="15"/>
      <c r="E1039" s="49">
        <f t="shared" si="985"/>
        <v>0</v>
      </c>
      <c r="F1039" s="16"/>
      <c r="G1039" s="14"/>
      <c r="H1039" s="15"/>
      <c r="I1039" s="49">
        <f t="shared" si="986"/>
        <v>0</v>
      </c>
      <c r="J1039" s="11">
        <f t="shared" si="987"/>
        <v>0</v>
      </c>
      <c r="L1039" s="26" t="s">
        <v>156</v>
      </c>
      <c r="M1039" s="8">
        <v>3</v>
      </c>
      <c r="N1039" s="9"/>
      <c r="O1039" s="52"/>
      <c r="P1039" s="87">
        <f t="shared" si="982"/>
        <v>3</v>
      </c>
      <c r="Q1039" s="12">
        <v>3</v>
      </c>
      <c r="R1039" s="9"/>
      <c r="S1039" s="10"/>
      <c r="T1039" s="49">
        <f t="shared" si="983"/>
        <v>3</v>
      </c>
      <c r="U1039" s="11">
        <f t="shared" si="984"/>
        <v>6</v>
      </c>
      <c r="V1039" s="98">
        <v>45604</v>
      </c>
    </row>
    <row r="1040" spans="1:23" x14ac:dyDescent="0.15">
      <c r="A1040" s="26"/>
      <c r="B1040" s="8"/>
      <c r="C1040" s="9"/>
      <c r="D1040" s="10"/>
      <c r="E1040" s="49">
        <f t="shared" si="985"/>
        <v>0</v>
      </c>
      <c r="F1040" s="12"/>
      <c r="G1040" s="9"/>
      <c r="H1040" s="10"/>
      <c r="I1040" s="49">
        <f t="shared" si="986"/>
        <v>0</v>
      </c>
      <c r="J1040" s="11">
        <f t="shared" si="987"/>
        <v>0</v>
      </c>
      <c r="L1040" s="26"/>
      <c r="M1040" s="8"/>
      <c r="N1040" s="9"/>
      <c r="O1040" s="52"/>
      <c r="P1040" s="87">
        <f t="shared" si="982"/>
        <v>0</v>
      </c>
      <c r="Q1040" s="12"/>
      <c r="R1040" s="9"/>
      <c r="S1040" s="10"/>
      <c r="T1040" s="49">
        <f t="shared" si="983"/>
        <v>0</v>
      </c>
      <c r="U1040" s="11">
        <f t="shared" si="984"/>
        <v>0</v>
      </c>
    </row>
    <row r="1041" spans="1:22" x14ac:dyDescent="0.15">
      <c r="A1041" s="26"/>
      <c r="B1041" s="8"/>
      <c r="C1041" s="9"/>
      <c r="D1041" s="10"/>
      <c r="E1041" s="49">
        <f t="shared" si="985"/>
        <v>0</v>
      </c>
      <c r="F1041" s="12"/>
      <c r="G1041" s="9"/>
      <c r="H1041" s="10"/>
      <c r="I1041" s="49">
        <f t="shared" si="986"/>
        <v>0</v>
      </c>
      <c r="J1041" s="11">
        <f t="shared" si="987"/>
        <v>0</v>
      </c>
      <c r="L1041" s="26" t="s">
        <v>915</v>
      </c>
      <c r="M1041" s="8"/>
      <c r="N1041" s="9"/>
      <c r="O1041" s="52"/>
      <c r="P1041" s="87">
        <f t="shared" si="982"/>
        <v>0</v>
      </c>
      <c r="Q1041" s="8"/>
      <c r="R1041" s="9"/>
      <c r="S1041" s="52"/>
      <c r="T1041" s="49">
        <f t="shared" si="983"/>
        <v>0</v>
      </c>
      <c r="U1041" s="11">
        <f t="shared" si="984"/>
        <v>0</v>
      </c>
      <c r="V1041" s="100" t="s">
        <v>913</v>
      </c>
    </row>
    <row r="1042" spans="1:22" x14ac:dyDescent="0.15">
      <c r="A1042" s="26"/>
      <c r="B1042" s="8"/>
      <c r="C1042" s="9"/>
      <c r="D1042" s="10"/>
      <c r="E1042" s="49">
        <f t="shared" si="985"/>
        <v>0</v>
      </c>
      <c r="F1042" s="12"/>
      <c r="G1042" s="9"/>
      <c r="H1042" s="10"/>
      <c r="I1042" s="49">
        <f t="shared" si="986"/>
        <v>0</v>
      </c>
      <c r="J1042" s="11">
        <f t="shared" si="987"/>
        <v>0</v>
      </c>
      <c r="L1042" s="26" t="s">
        <v>158</v>
      </c>
      <c r="M1042" s="8"/>
      <c r="N1042" s="9"/>
      <c r="O1042" s="52"/>
      <c r="P1042" s="87">
        <f t="shared" ref="P1042" si="988">SUM(M1042:O1042)</f>
        <v>0</v>
      </c>
      <c r="Q1042" s="8"/>
      <c r="R1042" s="9"/>
      <c r="S1042" s="52"/>
      <c r="T1042" s="49">
        <f t="shared" ref="T1042" si="989">SUM(Q1042:S1042)</f>
        <v>0</v>
      </c>
      <c r="U1042" s="11">
        <f t="shared" ref="U1042" si="990">P1042+T1042</f>
        <v>0</v>
      </c>
      <c r="V1042" s="100" t="s">
        <v>159</v>
      </c>
    </row>
    <row r="1043" spans="1:22" ht="14.25" thickBot="1" x14ac:dyDescent="0.2">
      <c r="A1043" s="26"/>
      <c r="B1043" s="8"/>
      <c r="C1043" s="9"/>
      <c r="D1043" s="10"/>
      <c r="E1043" s="49">
        <f t="shared" si="985"/>
        <v>0</v>
      </c>
      <c r="F1043" s="12"/>
      <c r="G1043" s="9"/>
      <c r="H1043" s="10"/>
      <c r="I1043" s="49">
        <f t="shared" si="986"/>
        <v>0</v>
      </c>
      <c r="J1043" s="11">
        <f t="shared" si="987"/>
        <v>0</v>
      </c>
      <c r="L1043" s="26" t="s">
        <v>927</v>
      </c>
      <c r="M1043" s="8"/>
      <c r="N1043" s="9"/>
      <c r="O1043" s="52"/>
      <c r="P1043" s="87">
        <f t="shared" si="982"/>
        <v>0</v>
      </c>
      <c r="Q1043" s="12"/>
      <c r="R1043" s="9"/>
      <c r="S1043" s="10"/>
      <c r="T1043" s="49">
        <f t="shared" si="983"/>
        <v>0</v>
      </c>
      <c r="U1043" s="11">
        <f t="shared" si="984"/>
        <v>0</v>
      </c>
      <c r="V1043" s="100" t="s">
        <v>497</v>
      </c>
    </row>
    <row r="1044" spans="1:22" ht="14.25" thickBot="1" x14ac:dyDescent="0.2">
      <c r="A1044" s="41" t="s">
        <v>17</v>
      </c>
      <c r="B1044" s="46">
        <f>SUM(B1018:B1043)</f>
        <v>2</v>
      </c>
      <c r="C1044" s="47">
        <f t="shared" ref="C1044:D1044" si="991">SUM(C1018:C1043)</f>
        <v>1</v>
      </c>
      <c r="D1044" s="58">
        <f t="shared" si="991"/>
        <v>2</v>
      </c>
      <c r="E1044" s="45">
        <f t="shared" si="985"/>
        <v>5</v>
      </c>
      <c r="F1044" s="46">
        <f>SUM(F1018:F1043)</f>
        <v>2</v>
      </c>
      <c r="G1044" s="47">
        <f t="shared" ref="G1044:H1044" si="992">SUM(G1018:G1043)</f>
        <v>1</v>
      </c>
      <c r="H1044" s="58">
        <f t="shared" si="992"/>
        <v>2</v>
      </c>
      <c r="I1044" s="45">
        <f t="shared" si="986"/>
        <v>5</v>
      </c>
      <c r="J1044" s="45">
        <f>E1044+I1044</f>
        <v>10</v>
      </c>
      <c r="L1044" s="41" t="s">
        <v>17</v>
      </c>
      <c r="M1044" s="46">
        <f>SUM(M1018:M1043)</f>
        <v>75</v>
      </c>
      <c r="N1044" s="47">
        <f t="shared" ref="N1044:O1044" si="993">SUM(N1018:N1043)</f>
        <v>112</v>
      </c>
      <c r="O1044" s="58">
        <f t="shared" si="993"/>
        <v>63</v>
      </c>
      <c r="P1044" s="45">
        <f t="shared" si="982"/>
        <v>250</v>
      </c>
      <c r="Q1044" s="46">
        <f>SUM(Q1018:Q1043)</f>
        <v>75</v>
      </c>
      <c r="R1044" s="47">
        <f t="shared" ref="R1044:S1044" si="994">SUM(R1018:R1043)</f>
        <v>112</v>
      </c>
      <c r="S1044" s="58">
        <f t="shared" si="994"/>
        <v>63</v>
      </c>
      <c r="T1044" s="45">
        <f t="shared" si="983"/>
        <v>250</v>
      </c>
      <c r="U1044" s="45">
        <f>P1044+T1044</f>
        <v>500</v>
      </c>
    </row>
    <row r="1045" spans="1:22" ht="14.25" thickBot="1" x14ac:dyDescent="0.2">
      <c r="A1045" s="22" t="s">
        <v>16</v>
      </c>
      <c r="B1045" s="50">
        <f>B1017-B1044</f>
        <v>2</v>
      </c>
      <c r="C1045" s="56">
        <f t="shared" ref="C1045:D1045" si="995">C1017-C1044</f>
        <v>2</v>
      </c>
      <c r="D1045" s="57">
        <f t="shared" si="995"/>
        <v>1</v>
      </c>
      <c r="E1045" s="55">
        <f>SUM(B1045:D1045)</f>
        <v>5</v>
      </c>
      <c r="F1045" s="50">
        <f>F1017-F1044</f>
        <v>2</v>
      </c>
      <c r="G1045" s="56">
        <f t="shared" ref="G1045:H1045" si="996">G1017-G1044</f>
        <v>2</v>
      </c>
      <c r="H1045" s="57">
        <f t="shared" si="996"/>
        <v>1</v>
      </c>
      <c r="I1045" s="55">
        <f>SUM(F1045:H1045)</f>
        <v>5</v>
      </c>
      <c r="J1045" s="31">
        <f>E1045+I1045</f>
        <v>10</v>
      </c>
      <c r="L1045" s="22" t="s">
        <v>16</v>
      </c>
      <c r="M1045" s="50">
        <f>M1017-M1044</f>
        <v>56</v>
      </c>
      <c r="N1045" s="56">
        <f t="shared" ref="N1045:O1045" si="997">N1017-N1044</f>
        <v>28</v>
      </c>
      <c r="O1045" s="57">
        <f t="shared" si="997"/>
        <v>30</v>
      </c>
      <c r="P1045" s="55">
        <f>SUM(M1045:O1045)</f>
        <v>114</v>
      </c>
      <c r="Q1045" s="50">
        <f>Q1017-Q1044</f>
        <v>56</v>
      </c>
      <c r="R1045" s="56">
        <f t="shared" ref="R1045:S1045" si="998">R1017-R1044</f>
        <v>28</v>
      </c>
      <c r="S1045" s="57">
        <f t="shared" si="998"/>
        <v>30</v>
      </c>
      <c r="T1045" s="55">
        <f>SUM(Q1045:S1045)</f>
        <v>114</v>
      </c>
      <c r="U1045" s="31">
        <f>P1045+T1045</f>
        <v>228</v>
      </c>
    </row>
    <row r="1046" spans="1:22" x14ac:dyDescent="0.15">
      <c r="M1046" s="148">
        <f>M1045/$P$1045*100</f>
        <v>49.122807017543856</v>
      </c>
      <c r="N1046" s="148">
        <f t="shared" ref="N1046:P1046" si="999">N1045/$P$1045*100</f>
        <v>24.561403508771928</v>
      </c>
      <c r="O1046" s="148">
        <f t="shared" si="999"/>
        <v>26.315789473684209</v>
      </c>
      <c r="P1046" s="148">
        <f t="shared" si="999"/>
        <v>100</v>
      </c>
    </row>
    <row r="1047" spans="1:22" x14ac:dyDescent="0.15">
      <c r="M1047" s="125">
        <v>36.1</v>
      </c>
      <c r="N1047" s="125">
        <v>38</v>
      </c>
      <c r="O1047" s="125">
        <v>25.9</v>
      </c>
      <c r="P1047" s="125">
        <v>100</v>
      </c>
    </row>
    <row r="1048" spans="1:22" ht="19.5" thickBot="1" x14ac:dyDescent="0.25">
      <c r="A1048" s="3" t="s">
        <v>678</v>
      </c>
      <c r="B1048" s="1"/>
      <c r="C1048" s="1"/>
      <c r="D1048" s="1"/>
      <c r="E1048" s="1"/>
      <c r="F1048" s="1"/>
      <c r="G1048" s="1"/>
      <c r="H1048" s="1"/>
      <c r="I1048" s="1"/>
      <c r="J1048" s="1"/>
      <c r="L1048" s="3" t="s">
        <v>677</v>
      </c>
      <c r="M1048">
        <v>110</v>
      </c>
      <c r="N1048">
        <v>116</v>
      </c>
      <c r="O1048">
        <v>79</v>
      </c>
      <c r="P1048">
        <v>305</v>
      </c>
    </row>
    <row r="1049" spans="1:22" ht="14.25" thickBot="1" x14ac:dyDescent="0.2">
      <c r="A1049" s="7"/>
      <c r="B1049" s="169" t="s">
        <v>22</v>
      </c>
      <c r="C1049" s="170"/>
      <c r="D1049" s="170"/>
      <c r="E1049" s="171"/>
      <c r="F1049" s="169" t="s">
        <v>23</v>
      </c>
      <c r="G1049" s="170"/>
      <c r="H1049" s="170"/>
      <c r="I1049" s="171"/>
      <c r="J1049" s="172" t="s">
        <v>0</v>
      </c>
      <c r="L1049" s="7"/>
      <c r="M1049" s="169" t="s">
        <v>22</v>
      </c>
      <c r="N1049" s="170"/>
      <c r="O1049" s="170"/>
      <c r="P1049" s="171"/>
      <c r="Q1049" s="169" t="s">
        <v>23</v>
      </c>
      <c r="R1049" s="170"/>
      <c r="S1049" s="170"/>
      <c r="T1049" s="171"/>
      <c r="U1049" s="172" t="s">
        <v>0</v>
      </c>
    </row>
    <row r="1050" spans="1:22" ht="14.25" thickBot="1" x14ac:dyDescent="0.2">
      <c r="A1050" s="7" t="s">
        <v>1</v>
      </c>
      <c r="B1050" s="4" t="s">
        <v>2</v>
      </c>
      <c r="C1050" s="5" t="s">
        <v>3</v>
      </c>
      <c r="D1050" s="6" t="s">
        <v>4</v>
      </c>
      <c r="E1050" s="7" t="s">
        <v>5</v>
      </c>
      <c r="F1050" s="4" t="s">
        <v>2</v>
      </c>
      <c r="G1050" s="5" t="s">
        <v>3</v>
      </c>
      <c r="H1050" s="6" t="s">
        <v>4</v>
      </c>
      <c r="I1050" s="7" t="s">
        <v>5</v>
      </c>
      <c r="J1050" s="173"/>
      <c r="L1050" s="7" t="s">
        <v>1</v>
      </c>
      <c r="M1050" s="4" t="s">
        <v>2</v>
      </c>
      <c r="N1050" s="5" t="s">
        <v>3</v>
      </c>
      <c r="O1050" s="6" t="s">
        <v>4</v>
      </c>
      <c r="P1050" s="7" t="s">
        <v>5</v>
      </c>
      <c r="Q1050" s="4" t="s">
        <v>2</v>
      </c>
      <c r="R1050" s="5" t="s">
        <v>3</v>
      </c>
      <c r="S1050" s="6" t="s">
        <v>4</v>
      </c>
      <c r="T1050" s="7" t="s">
        <v>5</v>
      </c>
      <c r="U1050" s="173"/>
    </row>
    <row r="1051" spans="1:22" ht="14.25" thickBot="1" x14ac:dyDescent="0.2">
      <c r="A1051" s="140" t="s">
        <v>16</v>
      </c>
      <c r="B1051" s="28">
        <f>B1045</f>
        <v>2</v>
      </c>
      <c r="C1051" s="126">
        <f t="shared" ref="C1051:E1051" si="1000">C1045</f>
        <v>2</v>
      </c>
      <c r="D1051" s="127">
        <f t="shared" si="1000"/>
        <v>1</v>
      </c>
      <c r="E1051" s="28">
        <f t="shared" si="1000"/>
        <v>5</v>
      </c>
      <c r="F1051" s="126">
        <f>F1045</f>
        <v>2</v>
      </c>
      <c r="G1051" s="126">
        <f t="shared" ref="G1051:J1051" si="1001">G1045</f>
        <v>2</v>
      </c>
      <c r="H1051" s="127">
        <f t="shared" si="1001"/>
        <v>1</v>
      </c>
      <c r="I1051" s="28">
        <f t="shared" si="1001"/>
        <v>5</v>
      </c>
      <c r="J1051" s="28">
        <f t="shared" si="1001"/>
        <v>10</v>
      </c>
      <c r="L1051" s="128" t="s">
        <v>16</v>
      </c>
      <c r="M1051" s="126">
        <f>M1045</f>
        <v>56</v>
      </c>
      <c r="N1051" s="126">
        <f t="shared" ref="N1051:P1051" si="1002">N1045</f>
        <v>28</v>
      </c>
      <c r="O1051" s="127">
        <f t="shared" si="1002"/>
        <v>30</v>
      </c>
      <c r="P1051" s="31">
        <f t="shared" si="1002"/>
        <v>114</v>
      </c>
      <c r="Q1051" s="126">
        <f>Q1045</f>
        <v>56</v>
      </c>
      <c r="R1051" s="126">
        <f t="shared" ref="R1051:U1051" si="1003">R1045</f>
        <v>28</v>
      </c>
      <c r="S1051" s="127">
        <f t="shared" si="1003"/>
        <v>30</v>
      </c>
      <c r="T1051" s="31">
        <f t="shared" si="1003"/>
        <v>114</v>
      </c>
      <c r="U1051" s="28">
        <f t="shared" si="1003"/>
        <v>228</v>
      </c>
    </row>
    <row r="1052" spans="1:22" x14ac:dyDescent="0.15">
      <c r="A1052" s="25" t="s">
        <v>885</v>
      </c>
      <c r="B1052" s="17"/>
      <c r="C1052" s="18">
        <v>1</v>
      </c>
      <c r="D1052" s="51"/>
      <c r="E1052" s="11">
        <f t="shared" ref="E1052:E1053" si="1004">SUM(B1052:D1052)</f>
        <v>1</v>
      </c>
      <c r="F1052" s="20"/>
      <c r="G1052" s="18">
        <v>1</v>
      </c>
      <c r="H1052" s="19"/>
      <c r="I1052" s="11">
        <f t="shared" ref="I1052" si="1005">SUM(F1052:H1052)</f>
        <v>1</v>
      </c>
      <c r="J1052" s="11">
        <f t="shared" ref="J1052:J1053" si="1006">E1052+I1052</f>
        <v>2</v>
      </c>
      <c r="K1052" s="62">
        <v>45610</v>
      </c>
      <c r="L1052" s="25" t="s">
        <v>7</v>
      </c>
      <c r="M1052" s="17"/>
      <c r="N1052" s="18"/>
      <c r="O1052" s="51">
        <v>1</v>
      </c>
      <c r="P1052" s="49">
        <f t="shared" ref="P1052:P1054" si="1007">SUM(M1052:O1052)</f>
        <v>1</v>
      </c>
      <c r="Q1052" s="17"/>
      <c r="R1052" s="18"/>
      <c r="S1052" s="51">
        <v>1</v>
      </c>
      <c r="T1052" s="49">
        <f t="shared" ref="T1052:T1054" si="1008">SUM(Q1052:S1052)</f>
        <v>1</v>
      </c>
      <c r="U1052" s="11">
        <f t="shared" ref="U1052:U1054" si="1009">P1052+T1052</f>
        <v>2</v>
      </c>
      <c r="V1052" s="99">
        <v>45647</v>
      </c>
    </row>
    <row r="1053" spans="1:22" x14ac:dyDescent="0.15">
      <c r="A1053" s="25" t="s">
        <v>885</v>
      </c>
      <c r="B1053" s="17">
        <v>1</v>
      </c>
      <c r="C1053" s="18"/>
      <c r="D1053" s="51"/>
      <c r="E1053" s="11">
        <f t="shared" si="1004"/>
        <v>1</v>
      </c>
      <c r="F1053" s="20">
        <v>1</v>
      </c>
      <c r="G1053" s="18"/>
      <c r="H1053" s="19"/>
      <c r="I1053" s="11">
        <f t="shared" ref="I1053:I1059" si="1010">SUM(F1053:H1053)</f>
        <v>1</v>
      </c>
      <c r="J1053" s="11">
        <f t="shared" si="1006"/>
        <v>2</v>
      </c>
      <c r="K1053" s="62">
        <v>45624</v>
      </c>
      <c r="L1053" s="25" t="s">
        <v>8</v>
      </c>
      <c r="M1053" s="17">
        <v>1</v>
      </c>
      <c r="N1053" s="18"/>
      <c r="O1053" s="51"/>
      <c r="P1053" s="49">
        <f t="shared" si="1007"/>
        <v>1</v>
      </c>
      <c r="Q1053" s="17">
        <v>1</v>
      </c>
      <c r="R1053" s="18"/>
      <c r="S1053" s="51"/>
      <c r="T1053" s="49">
        <f t="shared" si="1008"/>
        <v>1</v>
      </c>
      <c r="U1053" s="11">
        <f t="shared" si="1009"/>
        <v>2</v>
      </c>
      <c r="V1053" s="99">
        <v>45675</v>
      </c>
    </row>
    <row r="1054" spans="1:22" x14ac:dyDescent="0.15">
      <c r="A1054" s="26" t="s">
        <v>930</v>
      </c>
      <c r="B1054" s="17">
        <v>1</v>
      </c>
      <c r="C1054" s="18"/>
      <c r="D1054" s="51"/>
      <c r="E1054" s="11">
        <f t="shared" ref="E1054:E1059" si="1011">SUM(B1054:D1054)</f>
        <v>1</v>
      </c>
      <c r="F1054" s="20">
        <v>1</v>
      </c>
      <c r="G1054" s="18"/>
      <c r="H1054" s="19"/>
      <c r="I1054" s="11">
        <f t="shared" si="1010"/>
        <v>1</v>
      </c>
      <c r="J1054" s="11">
        <f t="shared" ref="J1054:J1059" si="1012">E1054+I1054</f>
        <v>2</v>
      </c>
      <c r="K1054" s="62">
        <v>45624</v>
      </c>
      <c r="L1054" s="25" t="s">
        <v>9</v>
      </c>
      <c r="M1054" s="17">
        <v>1</v>
      </c>
      <c r="N1054" s="18"/>
      <c r="O1054" s="51"/>
      <c r="P1054" s="49">
        <f t="shared" si="1007"/>
        <v>1</v>
      </c>
      <c r="Q1054" s="17">
        <v>1</v>
      </c>
      <c r="R1054" s="18"/>
      <c r="S1054" s="51"/>
      <c r="T1054" s="49">
        <f t="shared" si="1008"/>
        <v>1</v>
      </c>
      <c r="U1054" s="11">
        <f t="shared" si="1009"/>
        <v>2</v>
      </c>
      <c r="V1054" s="99">
        <v>45689</v>
      </c>
    </row>
    <row r="1055" spans="1:22" x14ac:dyDescent="0.15">
      <c r="A1055" s="25" t="s">
        <v>885</v>
      </c>
      <c r="B1055" s="8"/>
      <c r="C1055" s="9"/>
      <c r="D1055" s="52">
        <v>1</v>
      </c>
      <c r="E1055" s="11">
        <f t="shared" si="1011"/>
        <v>1</v>
      </c>
      <c r="F1055" s="12"/>
      <c r="G1055" s="9"/>
      <c r="H1055" s="10">
        <v>1</v>
      </c>
      <c r="I1055" s="11">
        <f t="shared" si="1010"/>
        <v>1</v>
      </c>
      <c r="J1055" s="11">
        <f t="shared" si="1012"/>
        <v>2</v>
      </c>
      <c r="K1055" s="62">
        <v>45637</v>
      </c>
      <c r="L1055" s="25" t="s">
        <v>10</v>
      </c>
      <c r="M1055" s="17"/>
      <c r="N1055" s="18"/>
      <c r="O1055" s="51"/>
      <c r="P1055" s="49">
        <f t="shared" ref="P1055:P1057" si="1013">SUM(M1055:O1055)</f>
        <v>0</v>
      </c>
      <c r="Q1055" s="17"/>
      <c r="R1055" s="18"/>
      <c r="S1055" s="51"/>
      <c r="T1055" s="49">
        <f t="shared" ref="T1055:T1057" si="1014">SUM(Q1055:S1055)</f>
        <v>0</v>
      </c>
      <c r="U1055" s="11">
        <f t="shared" ref="U1055:U1057" si="1015">P1055+T1055</f>
        <v>0</v>
      </c>
    </row>
    <row r="1056" spans="1:22" x14ac:dyDescent="0.15">
      <c r="A1056" s="25" t="s">
        <v>885</v>
      </c>
      <c r="B1056" s="8">
        <v>1</v>
      </c>
      <c r="C1056" s="9"/>
      <c r="D1056" s="52"/>
      <c r="E1056" s="11">
        <f t="shared" si="1011"/>
        <v>1</v>
      </c>
      <c r="F1056" s="12">
        <v>1</v>
      </c>
      <c r="G1056" s="9"/>
      <c r="H1056" s="10"/>
      <c r="I1056" s="11">
        <f t="shared" si="1010"/>
        <v>1</v>
      </c>
      <c r="J1056" s="11">
        <f t="shared" si="1012"/>
        <v>2</v>
      </c>
      <c r="K1056" s="64">
        <v>45651</v>
      </c>
      <c r="L1056" s="25" t="s">
        <v>11</v>
      </c>
      <c r="M1056" s="17"/>
      <c r="N1056" s="18"/>
      <c r="O1056" s="51"/>
      <c r="P1056" s="49">
        <f t="shared" si="1013"/>
        <v>0</v>
      </c>
      <c r="Q1056" s="17"/>
      <c r="R1056" s="18"/>
      <c r="S1056" s="51"/>
      <c r="T1056" s="49">
        <f t="shared" si="1014"/>
        <v>0</v>
      </c>
      <c r="U1056" s="11">
        <f t="shared" si="1015"/>
        <v>0</v>
      </c>
    </row>
    <row r="1057" spans="1:23" x14ac:dyDescent="0.15">
      <c r="A1057" s="25" t="s">
        <v>774</v>
      </c>
      <c r="B1057" s="8"/>
      <c r="C1057" s="9"/>
      <c r="D1057" s="52">
        <v>1</v>
      </c>
      <c r="E1057" s="11">
        <f t="shared" si="1011"/>
        <v>1</v>
      </c>
      <c r="F1057" s="12"/>
      <c r="G1057" s="9"/>
      <c r="H1057" s="10">
        <v>1</v>
      </c>
      <c r="I1057" s="11">
        <f t="shared" si="1010"/>
        <v>1</v>
      </c>
      <c r="J1057" s="11">
        <f t="shared" si="1012"/>
        <v>2</v>
      </c>
      <c r="K1057" s="64">
        <v>46016</v>
      </c>
      <c r="L1057" s="25" t="s">
        <v>12</v>
      </c>
      <c r="M1057" s="17"/>
      <c r="N1057" s="18"/>
      <c r="O1057" s="51"/>
      <c r="P1057" s="49">
        <f t="shared" si="1013"/>
        <v>0</v>
      </c>
      <c r="Q1057" s="17"/>
      <c r="R1057" s="18"/>
      <c r="S1057" s="51"/>
      <c r="T1057" s="49">
        <f t="shared" si="1014"/>
        <v>0</v>
      </c>
      <c r="U1057" s="11">
        <f t="shared" si="1015"/>
        <v>0</v>
      </c>
    </row>
    <row r="1058" spans="1:23" x14ac:dyDescent="0.15">
      <c r="A1058" s="25" t="s">
        <v>885</v>
      </c>
      <c r="B1058" s="13">
        <v>1</v>
      </c>
      <c r="C1058" s="14"/>
      <c r="D1058" s="53"/>
      <c r="E1058" s="11">
        <f t="shared" si="1011"/>
        <v>1</v>
      </c>
      <c r="F1058" s="16">
        <v>1</v>
      </c>
      <c r="G1058" s="14"/>
      <c r="H1058" s="15"/>
      <c r="I1058" s="11">
        <f t="shared" si="1010"/>
        <v>1</v>
      </c>
      <c r="J1058" s="11">
        <f t="shared" si="1012"/>
        <v>2</v>
      </c>
      <c r="K1058" s="64">
        <v>45680</v>
      </c>
      <c r="L1058" s="25" t="s">
        <v>13</v>
      </c>
      <c r="M1058" s="17"/>
      <c r="N1058" s="18"/>
      <c r="O1058" s="51"/>
      <c r="P1058" s="49">
        <f t="shared" ref="P1058" si="1016">SUM(M1058:O1058)</f>
        <v>0</v>
      </c>
      <c r="Q1058" s="17"/>
      <c r="R1058" s="18"/>
      <c r="S1058" s="51"/>
      <c r="T1058" s="49">
        <f t="shared" ref="T1058" si="1017">SUM(Q1058:S1058)</f>
        <v>0</v>
      </c>
      <c r="U1058" s="11">
        <f t="shared" ref="U1058" si="1018">P1058+T1058</f>
        <v>0</v>
      </c>
    </row>
    <row r="1059" spans="1:23" ht="14.25" thickBot="1" x14ac:dyDescent="0.2">
      <c r="A1059" s="25" t="s">
        <v>14</v>
      </c>
      <c r="B1059" s="32"/>
      <c r="C1059" s="33"/>
      <c r="D1059" s="54"/>
      <c r="E1059" s="61">
        <f t="shared" si="1011"/>
        <v>0</v>
      </c>
      <c r="F1059" s="34"/>
      <c r="G1059" s="34"/>
      <c r="H1059" s="37"/>
      <c r="I1059" s="61">
        <f t="shared" si="1010"/>
        <v>0</v>
      </c>
      <c r="J1059" s="21">
        <f t="shared" si="1012"/>
        <v>0</v>
      </c>
      <c r="L1059" s="25" t="s">
        <v>14</v>
      </c>
      <c r="M1059" s="32"/>
      <c r="N1059" s="33"/>
      <c r="O1059" s="54"/>
      <c r="P1059" s="61">
        <f t="shared" ref="P1059" si="1019">SUM(M1059:O1059)</f>
        <v>0</v>
      </c>
      <c r="Q1059" s="34"/>
      <c r="R1059" s="34"/>
      <c r="S1059" s="37"/>
      <c r="T1059" s="61">
        <f t="shared" ref="T1059" si="1020">SUM(Q1059:S1059)</f>
        <v>0</v>
      </c>
      <c r="U1059" s="21">
        <f t="shared" ref="U1059" si="1021">P1059+T1059</f>
        <v>0</v>
      </c>
    </row>
    <row r="1060" spans="1:23" ht="14.25" thickBot="1" x14ac:dyDescent="0.2">
      <c r="A1060" s="35" t="s">
        <v>15</v>
      </c>
      <c r="B1060" s="28">
        <f>SUM(B1051:B1059)</f>
        <v>6</v>
      </c>
      <c r="C1060" s="29">
        <f>SUM(C1051:C1059)</f>
        <v>3</v>
      </c>
      <c r="D1060" s="30">
        <f>SUM(D1051:D1059)</f>
        <v>3</v>
      </c>
      <c r="E1060" s="31">
        <f>SUM(B1060:D1060)</f>
        <v>12</v>
      </c>
      <c r="F1060" s="28">
        <f>SUM(F1051:F1059)</f>
        <v>6</v>
      </c>
      <c r="G1060" s="29">
        <f>SUM(G1051:G1059)</f>
        <v>3</v>
      </c>
      <c r="H1060" s="30">
        <f>SUM(H1051:H1059)</f>
        <v>3</v>
      </c>
      <c r="I1060" s="31">
        <f>SUM(F1060:H1060)</f>
        <v>12</v>
      </c>
      <c r="J1060" s="31">
        <f>E1060+I1060</f>
        <v>24</v>
      </c>
      <c r="L1060" s="35" t="s">
        <v>15</v>
      </c>
      <c r="M1060" s="28">
        <f>SUM(M1051:M1059)</f>
        <v>58</v>
      </c>
      <c r="N1060" s="29">
        <f>SUM(N1051:N1059)</f>
        <v>28</v>
      </c>
      <c r="O1060" s="30">
        <f>SUM(O1051:O1059)</f>
        <v>31</v>
      </c>
      <c r="P1060" s="31">
        <f>SUM(M1060:O1060)</f>
        <v>117</v>
      </c>
      <c r="Q1060" s="28">
        <f>SUM(Q1051:Q1059)</f>
        <v>58</v>
      </c>
      <c r="R1060" s="29">
        <f>SUM(R1051:R1059)</f>
        <v>28</v>
      </c>
      <c r="S1060" s="30">
        <f>SUM(S1051:S1059)</f>
        <v>31</v>
      </c>
      <c r="T1060" s="31">
        <f>SUM(Q1060:S1060)</f>
        <v>117</v>
      </c>
      <c r="U1060" s="31">
        <f>P1060+T1060</f>
        <v>234</v>
      </c>
    </row>
    <row r="1061" spans="1:23" x14ac:dyDescent="0.15">
      <c r="A1061" s="26" t="s">
        <v>929</v>
      </c>
      <c r="B1061" s="8">
        <v>1</v>
      </c>
      <c r="C1061" s="9"/>
      <c r="D1061" s="10"/>
      <c r="E1061" s="49">
        <f t="shared" ref="E1061:E1062" si="1022">SUM(B1061:D1061)</f>
        <v>1</v>
      </c>
      <c r="F1061" s="12">
        <v>1</v>
      </c>
      <c r="G1061" s="9"/>
      <c r="H1061" s="10"/>
      <c r="I1061" s="49">
        <f t="shared" ref="I1061:I1062" si="1023">SUM(F1061:H1061)</f>
        <v>1</v>
      </c>
      <c r="J1061" s="11">
        <f t="shared" ref="J1061:J1062" si="1024">E1061+I1061</f>
        <v>2</v>
      </c>
      <c r="K1061" s="62">
        <v>45614</v>
      </c>
      <c r="L1061" s="26" t="s">
        <v>162</v>
      </c>
      <c r="M1061" s="8">
        <v>5</v>
      </c>
      <c r="N1061" s="9"/>
      <c r="O1061" s="52">
        <v>4</v>
      </c>
      <c r="P1061" s="87">
        <f t="shared" ref="P1061:P1081" si="1025">SUM(M1061:O1061)</f>
        <v>9</v>
      </c>
      <c r="Q1061" s="12">
        <v>5</v>
      </c>
      <c r="R1061" s="9"/>
      <c r="S1061" s="10">
        <v>4</v>
      </c>
      <c r="T1061" s="49">
        <f t="shared" ref="T1061:T1081" si="1026">SUM(Q1061:S1061)</f>
        <v>9</v>
      </c>
      <c r="U1061" s="11">
        <f t="shared" ref="U1061:U1081" si="1027">P1061+T1061</f>
        <v>18</v>
      </c>
      <c r="V1061" s="98">
        <v>45604</v>
      </c>
    </row>
    <row r="1062" spans="1:23" x14ac:dyDescent="0.15">
      <c r="A1062" s="26" t="s">
        <v>181</v>
      </c>
      <c r="B1062" s="8"/>
      <c r="C1062" s="9">
        <v>1</v>
      </c>
      <c r="D1062" s="10"/>
      <c r="E1062" s="49">
        <f t="shared" si="1022"/>
        <v>1</v>
      </c>
      <c r="F1062" s="12"/>
      <c r="G1062" s="9">
        <v>1</v>
      </c>
      <c r="H1062" s="10"/>
      <c r="I1062" s="49">
        <f t="shared" si="1023"/>
        <v>1</v>
      </c>
      <c r="J1062" s="11">
        <f t="shared" si="1024"/>
        <v>2</v>
      </c>
      <c r="K1062" s="62">
        <v>45618</v>
      </c>
      <c r="L1062" s="26" t="s">
        <v>164</v>
      </c>
      <c r="M1062" s="8">
        <v>7</v>
      </c>
      <c r="N1062" s="9">
        <v>7</v>
      </c>
      <c r="O1062" s="52"/>
      <c r="P1062" s="87">
        <f t="shared" si="1025"/>
        <v>14</v>
      </c>
      <c r="Q1062" s="12">
        <v>7</v>
      </c>
      <c r="R1062" s="9">
        <v>7</v>
      </c>
      <c r="S1062" s="10"/>
      <c r="T1062" s="49">
        <f t="shared" si="1026"/>
        <v>14</v>
      </c>
      <c r="U1062" s="11">
        <f t="shared" si="1027"/>
        <v>28</v>
      </c>
      <c r="V1062" s="98">
        <v>45607</v>
      </c>
    </row>
    <row r="1063" spans="1:23" x14ac:dyDescent="0.15">
      <c r="A1063" s="26" t="s">
        <v>185</v>
      </c>
      <c r="B1063" s="8"/>
      <c r="C1063" s="9">
        <v>2</v>
      </c>
      <c r="D1063" s="10"/>
      <c r="E1063" s="49">
        <f t="shared" ref="E1063" si="1028">SUM(B1063:D1063)</f>
        <v>2</v>
      </c>
      <c r="F1063" s="12"/>
      <c r="G1063" s="9">
        <v>2</v>
      </c>
      <c r="H1063" s="10"/>
      <c r="I1063" s="49">
        <f t="shared" ref="I1063" si="1029">SUM(F1063:H1063)</f>
        <v>2</v>
      </c>
      <c r="J1063" s="11">
        <f t="shared" ref="J1063" si="1030">E1063+I1063</f>
        <v>4</v>
      </c>
      <c r="K1063" s="62">
        <v>45618</v>
      </c>
      <c r="L1063" s="26" t="s">
        <v>166</v>
      </c>
      <c r="M1063" s="8">
        <v>1</v>
      </c>
      <c r="N1063" s="9">
        <v>11</v>
      </c>
      <c r="O1063" s="52"/>
      <c r="P1063" s="87">
        <f t="shared" si="1025"/>
        <v>12</v>
      </c>
      <c r="Q1063" s="12">
        <v>1</v>
      </c>
      <c r="R1063" s="9">
        <v>11</v>
      </c>
      <c r="S1063" s="10"/>
      <c r="T1063" s="49">
        <f t="shared" si="1026"/>
        <v>12</v>
      </c>
      <c r="U1063" s="11">
        <f t="shared" si="1027"/>
        <v>24</v>
      </c>
      <c r="V1063" s="98">
        <v>45609</v>
      </c>
      <c r="W1063" s="66"/>
    </row>
    <row r="1064" spans="1:23" x14ac:dyDescent="0.15">
      <c r="A1064" s="26" t="s">
        <v>243</v>
      </c>
      <c r="B1064" s="13">
        <v>1</v>
      </c>
      <c r="C1064" s="14"/>
      <c r="D1064" s="15">
        <v>1</v>
      </c>
      <c r="E1064" s="49">
        <f>SUM(B1064:D1064)</f>
        <v>2</v>
      </c>
      <c r="F1064" s="16">
        <v>1</v>
      </c>
      <c r="G1064" s="14"/>
      <c r="H1064" s="15">
        <v>1</v>
      </c>
      <c r="I1064" s="49">
        <f>SUM(F1064:H1064)</f>
        <v>2</v>
      </c>
      <c r="J1064" s="11">
        <f>E1064+I1064</f>
        <v>4</v>
      </c>
      <c r="K1064" s="62">
        <v>45646</v>
      </c>
      <c r="L1064" s="26" t="s">
        <v>168</v>
      </c>
      <c r="M1064" s="8">
        <v>5</v>
      </c>
      <c r="N1064" s="9"/>
      <c r="O1064" s="52">
        <v>1</v>
      </c>
      <c r="P1064" s="87">
        <f t="shared" si="1025"/>
        <v>6</v>
      </c>
      <c r="Q1064" s="12">
        <v>5</v>
      </c>
      <c r="R1064" s="9"/>
      <c r="S1064" s="10">
        <v>1</v>
      </c>
      <c r="T1064" s="49">
        <f t="shared" si="1026"/>
        <v>6</v>
      </c>
      <c r="U1064" s="11">
        <f t="shared" si="1027"/>
        <v>12</v>
      </c>
      <c r="V1064" s="98">
        <v>45610</v>
      </c>
      <c r="W1064" s="66"/>
    </row>
    <row r="1065" spans="1:23" x14ac:dyDescent="0.15">
      <c r="A1065" s="26" t="s">
        <v>245</v>
      </c>
      <c r="B1065" s="8">
        <v>1</v>
      </c>
      <c r="C1065" s="9"/>
      <c r="D1065" s="10"/>
      <c r="E1065" s="49">
        <f t="shared" ref="E1065:E1087" si="1031">SUM(B1065:D1065)</f>
        <v>1</v>
      </c>
      <c r="F1065" s="12">
        <v>1</v>
      </c>
      <c r="G1065" s="9"/>
      <c r="H1065" s="10"/>
      <c r="I1065" s="49">
        <f t="shared" ref="I1065:I1087" si="1032">SUM(F1065:H1065)</f>
        <v>1</v>
      </c>
      <c r="J1065" s="11">
        <f t="shared" ref="J1065:J1085" si="1033">E1065+I1065</f>
        <v>2</v>
      </c>
      <c r="K1065" s="62">
        <v>45646</v>
      </c>
      <c r="L1065" s="26" t="s">
        <v>171</v>
      </c>
      <c r="M1065" s="8">
        <v>1</v>
      </c>
      <c r="N1065" s="9">
        <v>2</v>
      </c>
      <c r="O1065" s="52">
        <v>1</v>
      </c>
      <c r="P1065" s="87">
        <f t="shared" si="1025"/>
        <v>4</v>
      </c>
      <c r="Q1065" s="12">
        <v>1</v>
      </c>
      <c r="R1065" s="9">
        <v>2</v>
      </c>
      <c r="S1065" s="10">
        <v>1</v>
      </c>
      <c r="T1065" s="49">
        <f t="shared" si="1026"/>
        <v>4</v>
      </c>
      <c r="U1065" s="11">
        <f t="shared" si="1027"/>
        <v>8</v>
      </c>
      <c r="V1065" s="98">
        <v>45611</v>
      </c>
      <c r="W1065" s="66"/>
    </row>
    <row r="1066" spans="1:23" x14ac:dyDescent="0.15">
      <c r="A1066" s="26" t="s">
        <v>558</v>
      </c>
      <c r="B1066" s="8"/>
      <c r="C1066" s="9"/>
      <c r="D1066" s="10">
        <v>1</v>
      </c>
      <c r="E1066" s="49">
        <f t="shared" si="1031"/>
        <v>1</v>
      </c>
      <c r="F1066" s="12"/>
      <c r="G1066" s="9"/>
      <c r="H1066" s="10">
        <v>1</v>
      </c>
      <c r="I1066" s="49">
        <f t="shared" si="1032"/>
        <v>1</v>
      </c>
      <c r="J1066" s="11">
        <f t="shared" si="1033"/>
        <v>2</v>
      </c>
      <c r="K1066" s="62">
        <v>45647</v>
      </c>
      <c r="L1066" s="26" t="s">
        <v>172</v>
      </c>
      <c r="M1066" s="8">
        <v>1</v>
      </c>
      <c r="N1066" s="9">
        <v>5</v>
      </c>
      <c r="O1066" s="52"/>
      <c r="P1066" s="87">
        <f t="shared" si="1025"/>
        <v>6</v>
      </c>
      <c r="Q1066" s="12">
        <v>1</v>
      </c>
      <c r="R1066" s="9">
        <v>5</v>
      </c>
      <c r="S1066" s="10"/>
      <c r="T1066" s="49">
        <f t="shared" si="1026"/>
        <v>6</v>
      </c>
      <c r="U1066" s="11">
        <f t="shared" si="1027"/>
        <v>12</v>
      </c>
      <c r="V1066" s="98">
        <v>45611</v>
      </c>
      <c r="W1066" s="66"/>
    </row>
    <row r="1067" spans="1:23" x14ac:dyDescent="0.15">
      <c r="A1067" s="26" t="s">
        <v>251</v>
      </c>
      <c r="B1067" s="8">
        <v>1</v>
      </c>
      <c r="C1067" s="9"/>
      <c r="D1067" s="10"/>
      <c r="E1067" s="49">
        <f t="shared" si="1031"/>
        <v>1</v>
      </c>
      <c r="F1067" s="12">
        <v>1</v>
      </c>
      <c r="G1067" s="9"/>
      <c r="H1067" s="10"/>
      <c r="I1067" s="49">
        <f t="shared" si="1032"/>
        <v>1</v>
      </c>
      <c r="J1067" s="11">
        <f t="shared" si="1033"/>
        <v>2</v>
      </c>
      <c r="K1067" s="62">
        <v>45677</v>
      </c>
      <c r="L1067" s="26" t="s">
        <v>175</v>
      </c>
      <c r="M1067" s="8">
        <v>2</v>
      </c>
      <c r="N1067" s="9">
        <v>2</v>
      </c>
      <c r="O1067" s="52"/>
      <c r="P1067" s="87">
        <f t="shared" si="1025"/>
        <v>4</v>
      </c>
      <c r="Q1067" s="12">
        <v>2</v>
      </c>
      <c r="R1067" s="9">
        <v>2</v>
      </c>
      <c r="S1067" s="10"/>
      <c r="T1067" s="49">
        <f t="shared" si="1026"/>
        <v>4</v>
      </c>
      <c r="U1067" s="11">
        <f t="shared" si="1027"/>
        <v>8</v>
      </c>
      <c r="V1067" s="98">
        <v>45616</v>
      </c>
      <c r="W1067" s="66"/>
    </row>
    <row r="1068" spans="1:23" x14ac:dyDescent="0.15">
      <c r="A1068" s="26" t="s">
        <v>558</v>
      </c>
      <c r="B1068" s="8">
        <v>1</v>
      </c>
      <c r="C1068" s="9"/>
      <c r="D1068" s="10"/>
      <c r="E1068" s="49">
        <f t="shared" si="1031"/>
        <v>1</v>
      </c>
      <c r="F1068" s="12">
        <v>1</v>
      </c>
      <c r="G1068" s="9"/>
      <c r="H1068" s="10"/>
      <c r="I1068" s="49">
        <f t="shared" si="1032"/>
        <v>1</v>
      </c>
      <c r="J1068" s="11">
        <f t="shared" si="1033"/>
        <v>2</v>
      </c>
      <c r="K1068" s="62">
        <v>45675</v>
      </c>
      <c r="L1068" s="26" t="s">
        <v>179</v>
      </c>
      <c r="M1068" s="8">
        <v>1</v>
      </c>
      <c r="N1068" s="9">
        <v>1</v>
      </c>
      <c r="O1068" s="52">
        <v>1</v>
      </c>
      <c r="P1068" s="87">
        <f t="shared" si="1025"/>
        <v>3</v>
      </c>
      <c r="Q1068" s="12">
        <v>1</v>
      </c>
      <c r="R1068" s="9">
        <v>1</v>
      </c>
      <c r="S1068" s="10">
        <v>1</v>
      </c>
      <c r="T1068" s="49">
        <f t="shared" si="1026"/>
        <v>3</v>
      </c>
      <c r="U1068" s="11">
        <f t="shared" si="1027"/>
        <v>6</v>
      </c>
      <c r="V1068" s="98">
        <v>45617</v>
      </c>
      <c r="W1068" s="66"/>
    </row>
    <row r="1069" spans="1:23" x14ac:dyDescent="0.15">
      <c r="A1069" s="26" t="s">
        <v>933</v>
      </c>
      <c r="B1069" s="8"/>
      <c r="C1069" s="9"/>
      <c r="D1069" s="10">
        <v>1</v>
      </c>
      <c r="E1069" s="49">
        <f t="shared" si="1031"/>
        <v>1</v>
      </c>
      <c r="F1069" s="12"/>
      <c r="G1069" s="9"/>
      <c r="H1069" s="10">
        <v>1</v>
      </c>
      <c r="I1069" s="49">
        <f t="shared" si="1032"/>
        <v>1</v>
      </c>
      <c r="J1069" s="11">
        <f t="shared" si="1033"/>
        <v>2</v>
      </c>
      <c r="K1069" s="64">
        <v>45686</v>
      </c>
      <c r="L1069" s="26" t="s">
        <v>181</v>
      </c>
      <c r="M1069" s="8">
        <v>3</v>
      </c>
      <c r="N1069" s="9"/>
      <c r="O1069" s="52">
        <v>1</v>
      </c>
      <c r="P1069" s="87">
        <f t="shared" si="1025"/>
        <v>4</v>
      </c>
      <c r="Q1069" s="12">
        <v>3</v>
      </c>
      <c r="R1069" s="9"/>
      <c r="S1069" s="10">
        <v>1</v>
      </c>
      <c r="T1069" s="49">
        <f t="shared" si="1026"/>
        <v>4</v>
      </c>
      <c r="U1069" s="11">
        <f t="shared" si="1027"/>
        <v>8</v>
      </c>
      <c r="V1069" s="98">
        <v>45618</v>
      </c>
      <c r="W1069" s="66"/>
    </row>
    <row r="1070" spans="1:23" x14ac:dyDescent="0.15">
      <c r="A1070" s="26" t="s">
        <v>558</v>
      </c>
      <c r="B1070" s="13">
        <v>1</v>
      </c>
      <c r="C1070" s="14"/>
      <c r="D1070" s="15"/>
      <c r="E1070" s="49">
        <f t="shared" si="1031"/>
        <v>1</v>
      </c>
      <c r="F1070" s="16">
        <v>1</v>
      </c>
      <c r="G1070" s="14"/>
      <c r="H1070" s="15"/>
      <c r="I1070" s="49">
        <f t="shared" si="1032"/>
        <v>1</v>
      </c>
      <c r="J1070" s="11">
        <f t="shared" si="1033"/>
        <v>2</v>
      </c>
      <c r="K1070" s="64">
        <v>45689</v>
      </c>
      <c r="L1070" s="26" t="s">
        <v>185</v>
      </c>
      <c r="M1070" s="8">
        <v>2</v>
      </c>
      <c r="N1070" s="9"/>
      <c r="O1070" s="52"/>
      <c r="P1070" s="87">
        <f t="shared" si="1025"/>
        <v>2</v>
      </c>
      <c r="Q1070" s="12">
        <v>2</v>
      </c>
      <c r="R1070" s="9"/>
      <c r="S1070" s="10"/>
      <c r="T1070" s="49">
        <f t="shared" si="1026"/>
        <v>2</v>
      </c>
      <c r="U1070" s="11">
        <f t="shared" si="1027"/>
        <v>4</v>
      </c>
      <c r="V1070" s="98">
        <v>45618</v>
      </c>
      <c r="W1070" s="66"/>
    </row>
    <row r="1071" spans="1:23" x14ac:dyDescent="0.15">
      <c r="A1071" s="26"/>
      <c r="B1071" s="8"/>
      <c r="C1071" s="9"/>
      <c r="D1071" s="10"/>
      <c r="E1071" s="49">
        <f t="shared" si="1031"/>
        <v>0</v>
      </c>
      <c r="F1071" s="12"/>
      <c r="G1071" s="9"/>
      <c r="H1071" s="10"/>
      <c r="I1071" s="49">
        <f t="shared" si="1032"/>
        <v>0</v>
      </c>
      <c r="J1071" s="11">
        <f t="shared" si="1033"/>
        <v>0</v>
      </c>
      <c r="L1071" s="26" t="s">
        <v>198</v>
      </c>
      <c r="M1071" s="8">
        <v>4</v>
      </c>
      <c r="N1071" s="9"/>
      <c r="O1071" s="52">
        <v>1</v>
      </c>
      <c r="P1071" s="87">
        <f t="shared" si="1025"/>
        <v>5</v>
      </c>
      <c r="Q1071" s="12">
        <v>4</v>
      </c>
      <c r="R1071" s="9"/>
      <c r="S1071" s="10">
        <v>1</v>
      </c>
      <c r="T1071" s="49">
        <f t="shared" si="1026"/>
        <v>5</v>
      </c>
      <c r="U1071" s="11">
        <f t="shared" si="1027"/>
        <v>10</v>
      </c>
      <c r="V1071" s="98">
        <v>45624</v>
      </c>
      <c r="W1071" s="66"/>
    </row>
    <row r="1072" spans="1:23" x14ac:dyDescent="0.15">
      <c r="A1072" s="26"/>
      <c r="B1072" s="8"/>
      <c r="C1072" s="9"/>
      <c r="D1072" s="10"/>
      <c r="E1072" s="49">
        <f t="shared" si="1031"/>
        <v>0</v>
      </c>
      <c r="F1072" s="12"/>
      <c r="G1072" s="9"/>
      <c r="H1072" s="10"/>
      <c r="I1072" s="49">
        <f t="shared" si="1032"/>
        <v>0</v>
      </c>
      <c r="J1072" s="11">
        <f t="shared" si="1033"/>
        <v>0</v>
      </c>
      <c r="L1072" s="26" t="s">
        <v>200</v>
      </c>
      <c r="M1072" s="8"/>
      <c r="N1072" s="9"/>
      <c r="O1072" s="52">
        <v>1</v>
      </c>
      <c r="P1072" s="87">
        <f t="shared" si="1025"/>
        <v>1</v>
      </c>
      <c r="Q1072" s="12"/>
      <c r="R1072" s="9"/>
      <c r="S1072" s="10">
        <v>1</v>
      </c>
      <c r="T1072" s="49">
        <f t="shared" si="1026"/>
        <v>1</v>
      </c>
      <c r="U1072" s="11">
        <f t="shared" si="1027"/>
        <v>2</v>
      </c>
      <c r="V1072" s="98">
        <v>45625</v>
      </c>
      <c r="W1072" s="66"/>
    </row>
    <row r="1073" spans="1:23" x14ac:dyDescent="0.15">
      <c r="A1073" s="26"/>
      <c r="B1073" s="8"/>
      <c r="C1073" s="9"/>
      <c r="D1073" s="10"/>
      <c r="E1073" s="49">
        <f t="shared" si="1031"/>
        <v>0</v>
      </c>
      <c r="F1073" s="12"/>
      <c r="G1073" s="9"/>
      <c r="H1073" s="10"/>
      <c r="I1073" s="49">
        <f t="shared" si="1032"/>
        <v>0</v>
      </c>
      <c r="J1073" s="11">
        <f t="shared" si="1033"/>
        <v>0</v>
      </c>
      <c r="L1073" s="26" t="s">
        <v>204</v>
      </c>
      <c r="M1073" s="8">
        <v>2</v>
      </c>
      <c r="N1073" s="9"/>
      <c r="O1073" s="52"/>
      <c r="P1073" s="87">
        <f t="shared" si="1025"/>
        <v>2</v>
      </c>
      <c r="Q1073" s="12">
        <v>2</v>
      </c>
      <c r="R1073" s="9"/>
      <c r="S1073" s="10"/>
      <c r="T1073" s="49">
        <f t="shared" si="1026"/>
        <v>2</v>
      </c>
      <c r="U1073" s="11">
        <f t="shared" si="1027"/>
        <v>4</v>
      </c>
      <c r="V1073" s="98">
        <v>45625</v>
      </c>
      <c r="W1073" s="66"/>
    </row>
    <row r="1074" spans="1:23" x14ac:dyDescent="0.15">
      <c r="A1074" s="26"/>
      <c r="B1074" s="8"/>
      <c r="C1074" s="9"/>
      <c r="D1074" s="10"/>
      <c r="E1074" s="49">
        <f t="shared" si="1031"/>
        <v>0</v>
      </c>
      <c r="F1074" s="12"/>
      <c r="G1074" s="9"/>
      <c r="H1074" s="10"/>
      <c r="I1074" s="49">
        <f t="shared" si="1032"/>
        <v>0</v>
      </c>
      <c r="J1074" s="11">
        <f t="shared" si="1033"/>
        <v>0</v>
      </c>
      <c r="L1074" s="26" t="s">
        <v>211</v>
      </c>
      <c r="M1074" s="8">
        <v>1</v>
      </c>
      <c r="N1074" s="9"/>
      <c r="O1074" s="52"/>
      <c r="P1074" s="87">
        <f t="shared" si="1025"/>
        <v>1</v>
      </c>
      <c r="Q1074" s="12">
        <v>1</v>
      </c>
      <c r="R1074" s="9"/>
      <c r="S1074" s="10"/>
      <c r="T1074" s="49">
        <f t="shared" si="1026"/>
        <v>1</v>
      </c>
      <c r="U1074" s="11">
        <f t="shared" si="1027"/>
        <v>2</v>
      </c>
      <c r="V1074" s="98">
        <v>45628</v>
      </c>
      <c r="W1074" s="66"/>
    </row>
    <row r="1075" spans="1:23" x14ac:dyDescent="0.15">
      <c r="A1075" s="26"/>
      <c r="B1075" s="8"/>
      <c r="C1075" s="9"/>
      <c r="D1075" s="10"/>
      <c r="E1075" s="49">
        <f t="shared" si="1031"/>
        <v>0</v>
      </c>
      <c r="F1075" s="12"/>
      <c r="G1075" s="9"/>
      <c r="H1075" s="10"/>
      <c r="I1075" s="49">
        <f t="shared" si="1032"/>
        <v>0</v>
      </c>
      <c r="J1075" s="11">
        <f t="shared" si="1033"/>
        <v>0</v>
      </c>
      <c r="L1075" s="26" t="s">
        <v>214</v>
      </c>
      <c r="M1075" s="8">
        <v>2</v>
      </c>
      <c r="N1075" s="9"/>
      <c r="O1075" s="52"/>
      <c r="P1075" s="87">
        <f t="shared" si="1025"/>
        <v>2</v>
      </c>
      <c r="Q1075" s="12">
        <v>2</v>
      </c>
      <c r="R1075" s="9"/>
      <c r="S1075" s="10"/>
      <c r="T1075" s="49">
        <f t="shared" si="1026"/>
        <v>2</v>
      </c>
      <c r="U1075" s="11">
        <f t="shared" si="1027"/>
        <v>4</v>
      </c>
      <c r="V1075" s="98">
        <v>45630</v>
      </c>
      <c r="W1075" s="66"/>
    </row>
    <row r="1076" spans="1:23" x14ac:dyDescent="0.15">
      <c r="A1076" s="26"/>
      <c r="B1076" s="8"/>
      <c r="C1076" s="9"/>
      <c r="D1076" s="10"/>
      <c r="E1076" s="49">
        <f t="shared" si="1031"/>
        <v>0</v>
      </c>
      <c r="F1076" s="12"/>
      <c r="G1076" s="9"/>
      <c r="H1076" s="10"/>
      <c r="I1076" s="49">
        <f t="shared" si="1032"/>
        <v>0</v>
      </c>
      <c r="J1076" s="11">
        <f t="shared" si="1033"/>
        <v>0</v>
      </c>
      <c r="L1076" s="26" t="s">
        <v>217</v>
      </c>
      <c r="M1076" s="8"/>
      <c r="N1076" s="9"/>
      <c r="O1076" s="52">
        <v>2</v>
      </c>
      <c r="P1076" s="87">
        <f t="shared" si="1025"/>
        <v>2</v>
      </c>
      <c r="Q1076" s="12"/>
      <c r="R1076" s="9"/>
      <c r="S1076" s="10">
        <v>2</v>
      </c>
      <c r="T1076" s="49">
        <f t="shared" si="1026"/>
        <v>2</v>
      </c>
      <c r="U1076" s="11">
        <f t="shared" si="1027"/>
        <v>4</v>
      </c>
      <c r="V1076" s="98">
        <v>45631</v>
      </c>
      <c r="W1076" s="66"/>
    </row>
    <row r="1077" spans="1:23" x14ac:dyDescent="0.15">
      <c r="A1077" s="26"/>
      <c r="B1077" s="8"/>
      <c r="C1077" s="9"/>
      <c r="D1077" s="10"/>
      <c r="E1077" s="49">
        <f t="shared" si="1031"/>
        <v>0</v>
      </c>
      <c r="F1077" s="12"/>
      <c r="G1077" s="9"/>
      <c r="H1077" s="10"/>
      <c r="I1077" s="49">
        <f t="shared" si="1032"/>
        <v>0</v>
      </c>
      <c r="J1077" s="11">
        <f t="shared" si="1033"/>
        <v>0</v>
      </c>
      <c r="L1077" s="26" t="s">
        <v>222</v>
      </c>
      <c r="M1077" s="8">
        <v>1</v>
      </c>
      <c r="N1077" s="9"/>
      <c r="O1077" s="52">
        <v>1</v>
      </c>
      <c r="P1077" s="87">
        <f t="shared" si="1025"/>
        <v>2</v>
      </c>
      <c r="Q1077" s="12">
        <v>1</v>
      </c>
      <c r="R1077" s="9"/>
      <c r="S1077" s="10">
        <v>1</v>
      </c>
      <c r="T1077" s="49">
        <f t="shared" si="1026"/>
        <v>2</v>
      </c>
      <c r="U1077" s="11">
        <f t="shared" si="1027"/>
        <v>4</v>
      </c>
      <c r="V1077" s="98">
        <v>45632</v>
      </c>
      <c r="W1077" s="66"/>
    </row>
    <row r="1078" spans="1:23" x14ac:dyDescent="0.15">
      <c r="A1078" s="24"/>
      <c r="B1078" s="8"/>
      <c r="C1078" s="9"/>
      <c r="D1078" s="10"/>
      <c r="E1078" s="49">
        <f t="shared" si="1031"/>
        <v>0</v>
      </c>
      <c r="F1078" s="12"/>
      <c r="G1078" s="9"/>
      <c r="H1078" s="10"/>
      <c r="I1078" s="49">
        <f t="shared" si="1032"/>
        <v>0</v>
      </c>
      <c r="J1078" s="11">
        <f t="shared" si="1033"/>
        <v>0</v>
      </c>
      <c r="L1078" s="26" t="s">
        <v>224</v>
      </c>
      <c r="M1078" s="8">
        <v>2</v>
      </c>
      <c r="N1078" s="9"/>
      <c r="O1078" s="52">
        <v>2</v>
      </c>
      <c r="P1078" s="87">
        <f t="shared" si="1025"/>
        <v>4</v>
      </c>
      <c r="Q1078" s="12">
        <v>2</v>
      </c>
      <c r="R1078" s="9"/>
      <c r="S1078" s="10">
        <v>2</v>
      </c>
      <c r="T1078" s="49">
        <f t="shared" si="1026"/>
        <v>4</v>
      </c>
      <c r="U1078" s="11">
        <f t="shared" si="1027"/>
        <v>8</v>
      </c>
      <c r="V1078" s="98">
        <v>45632</v>
      </c>
      <c r="W1078" s="66"/>
    </row>
    <row r="1079" spans="1:23" x14ac:dyDescent="0.15">
      <c r="A1079" s="25"/>
      <c r="B1079" s="8"/>
      <c r="C1079" s="9"/>
      <c r="D1079" s="10"/>
      <c r="E1079" s="49">
        <f t="shared" si="1031"/>
        <v>0</v>
      </c>
      <c r="F1079" s="12"/>
      <c r="G1079" s="9"/>
      <c r="H1079" s="10"/>
      <c r="I1079" s="49">
        <f t="shared" si="1032"/>
        <v>0</v>
      </c>
      <c r="J1079" s="11">
        <f t="shared" si="1033"/>
        <v>0</v>
      </c>
      <c r="L1079" s="26" t="s">
        <v>226</v>
      </c>
      <c r="M1079" s="8">
        <v>1</v>
      </c>
      <c r="N1079" s="9"/>
      <c r="O1079" s="52"/>
      <c r="P1079" s="87">
        <f t="shared" si="1025"/>
        <v>1</v>
      </c>
      <c r="Q1079" s="12">
        <v>1</v>
      </c>
      <c r="R1079" s="9"/>
      <c r="S1079" s="10"/>
      <c r="T1079" s="49">
        <f t="shared" si="1026"/>
        <v>1</v>
      </c>
      <c r="U1079" s="11">
        <f t="shared" si="1027"/>
        <v>2</v>
      </c>
      <c r="V1079" s="98">
        <v>45635</v>
      </c>
      <c r="W1079" s="66"/>
    </row>
    <row r="1080" spans="1:23" x14ac:dyDescent="0.15">
      <c r="A1080" s="26"/>
      <c r="B1080" s="8"/>
      <c r="C1080" s="9"/>
      <c r="D1080" s="10"/>
      <c r="E1080" s="49">
        <f t="shared" si="1031"/>
        <v>0</v>
      </c>
      <c r="F1080" s="12"/>
      <c r="G1080" s="9"/>
      <c r="H1080" s="10"/>
      <c r="I1080" s="49">
        <f t="shared" si="1032"/>
        <v>0</v>
      </c>
      <c r="J1080" s="11">
        <f t="shared" si="1033"/>
        <v>0</v>
      </c>
      <c r="L1080" s="26" t="s">
        <v>230</v>
      </c>
      <c r="M1080" s="8">
        <v>1</v>
      </c>
      <c r="N1080" s="9"/>
      <c r="O1080" s="52"/>
      <c r="P1080" s="87">
        <f t="shared" si="1025"/>
        <v>1</v>
      </c>
      <c r="Q1080" s="12">
        <v>1</v>
      </c>
      <c r="R1080" s="9"/>
      <c r="S1080" s="10"/>
      <c r="T1080" s="49">
        <f t="shared" si="1026"/>
        <v>1</v>
      </c>
      <c r="U1080" s="11">
        <f t="shared" si="1027"/>
        <v>2</v>
      </c>
      <c r="V1080" s="98">
        <v>45637</v>
      </c>
      <c r="W1080" s="66"/>
    </row>
    <row r="1081" spans="1:23" x14ac:dyDescent="0.15">
      <c r="A1081" s="24"/>
      <c r="B1081" s="8"/>
      <c r="C1081" s="9"/>
      <c r="D1081" s="10"/>
      <c r="E1081" s="49">
        <f t="shared" si="1031"/>
        <v>0</v>
      </c>
      <c r="F1081" s="12"/>
      <c r="G1081" s="9"/>
      <c r="H1081" s="10"/>
      <c r="I1081" s="49">
        <f t="shared" si="1032"/>
        <v>0</v>
      </c>
      <c r="J1081" s="11">
        <f t="shared" si="1033"/>
        <v>0</v>
      </c>
      <c r="L1081" s="26" t="s">
        <v>238</v>
      </c>
      <c r="M1081" s="8">
        <v>2</v>
      </c>
      <c r="N1081" s="9"/>
      <c r="O1081" s="52">
        <v>2</v>
      </c>
      <c r="P1081" s="87">
        <f t="shared" si="1025"/>
        <v>4</v>
      </c>
      <c r="Q1081" s="12">
        <v>2</v>
      </c>
      <c r="R1081" s="9"/>
      <c r="S1081" s="10">
        <v>2</v>
      </c>
      <c r="T1081" s="49">
        <f t="shared" si="1026"/>
        <v>4</v>
      </c>
      <c r="U1081" s="11">
        <f t="shared" si="1027"/>
        <v>8</v>
      </c>
      <c r="V1081" s="98">
        <v>45638</v>
      </c>
      <c r="W1081" s="66"/>
    </row>
    <row r="1082" spans="1:23" x14ac:dyDescent="0.15">
      <c r="B1082" s="13"/>
      <c r="C1082" s="14"/>
      <c r="D1082" s="15"/>
      <c r="E1082" s="49">
        <f t="shared" si="1031"/>
        <v>0</v>
      </c>
      <c r="F1082" s="16"/>
      <c r="G1082" s="14"/>
      <c r="H1082" s="15"/>
      <c r="I1082" s="49">
        <f t="shared" si="1032"/>
        <v>0</v>
      </c>
      <c r="J1082" s="11">
        <f t="shared" si="1033"/>
        <v>0</v>
      </c>
      <c r="L1082" s="26" t="s">
        <v>240</v>
      </c>
      <c r="M1082" s="8">
        <v>2</v>
      </c>
      <c r="N1082" s="9"/>
      <c r="O1082" s="52"/>
      <c r="P1082" s="87">
        <f t="shared" ref="P1082:P1087" si="1034">SUM(M1082:O1082)</f>
        <v>2</v>
      </c>
      <c r="Q1082" s="12">
        <v>2</v>
      </c>
      <c r="R1082" s="9"/>
      <c r="S1082" s="10"/>
      <c r="T1082" s="49">
        <f t="shared" ref="T1082:T1087" si="1035">SUM(Q1082:S1082)</f>
        <v>2</v>
      </c>
      <c r="U1082" s="11">
        <f t="shared" ref="U1082:U1083" si="1036">P1082+T1082</f>
        <v>4</v>
      </c>
      <c r="V1082" s="98">
        <v>45639</v>
      </c>
      <c r="W1082" s="66"/>
    </row>
    <row r="1083" spans="1:23" x14ac:dyDescent="0.15">
      <c r="A1083" s="26"/>
      <c r="B1083" s="8"/>
      <c r="C1083" s="9"/>
      <c r="D1083" s="10"/>
      <c r="E1083" s="49">
        <f t="shared" si="1031"/>
        <v>0</v>
      </c>
      <c r="F1083" s="12"/>
      <c r="G1083" s="9"/>
      <c r="H1083" s="10"/>
      <c r="I1083" s="49">
        <f t="shared" si="1032"/>
        <v>0</v>
      </c>
      <c r="J1083" s="11">
        <f t="shared" si="1033"/>
        <v>0</v>
      </c>
      <c r="L1083" s="26" t="s">
        <v>247</v>
      </c>
      <c r="M1083" s="8">
        <v>2</v>
      </c>
      <c r="N1083" s="9"/>
      <c r="O1083" s="52">
        <v>1</v>
      </c>
      <c r="P1083" s="87">
        <f t="shared" si="1034"/>
        <v>3</v>
      </c>
      <c r="Q1083" s="12">
        <v>2</v>
      </c>
      <c r="R1083" s="9"/>
      <c r="S1083" s="10">
        <v>1</v>
      </c>
      <c r="T1083" s="49">
        <f t="shared" si="1035"/>
        <v>3</v>
      </c>
      <c r="U1083" s="11">
        <f t="shared" si="1036"/>
        <v>6</v>
      </c>
      <c r="V1083" s="98">
        <v>45651</v>
      </c>
      <c r="W1083" s="66"/>
    </row>
    <row r="1084" spans="1:23" x14ac:dyDescent="0.15">
      <c r="A1084" s="26"/>
      <c r="B1084" s="8"/>
      <c r="C1084" s="9"/>
      <c r="D1084" s="10"/>
      <c r="E1084" s="49">
        <f t="shared" si="1031"/>
        <v>0</v>
      </c>
      <c r="F1084" s="12"/>
      <c r="G1084" s="9"/>
      <c r="H1084" s="10"/>
      <c r="I1084" s="49">
        <f t="shared" si="1032"/>
        <v>0</v>
      </c>
      <c r="J1084" s="11">
        <f t="shared" si="1033"/>
        <v>0</v>
      </c>
      <c r="L1084" s="26" t="s">
        <v>249</v>
      </c>
      <c r="M1084" s="8">
        <v>2</v>
      </c>
      <c r="N1084" s="9"/>
      <c r="O1084" s="52"/>
      <c r="P1084" s="87">
        <f t="shared" ref="P1084:P1086" si="1037">SUM(M1084:O1084)</f>
        <v>2</v>
      </c>
      <c r="Q1084" s="12">
        <v>2</v>
      </c>
      <c r="R1084" s="9"/>
      <c r="S1084" s="10"/>
      <c r="T1084" s="49">
        <f t="shared" ref="T1084:T1086" si="1038">SUM(Q1084:S1084)</f>
        <v>2</v>
      </c>
      <c r="U1084" s="11">
        <f t="shared" ref="U1084:U1086" si="1039">P1084+T1084</f>
        <v>4</v>
      </c>
      <c r="V1084" s="98">
        <v>45652</v>
      </c>
    </row>
    <row r="1085" spans="1:23" x14ac:dyDescent="0.15">
      <c r="A1085" s="26"/>
      <c r="B1085" s="8"/>
      <c r="C1085" s="9"/>
      <c r="D1085" s="10"/>
      <c r="E1085" s="49">
        <f t="shared" si="1031"/>
        <v>0</v>
      </c>
      <c r="F1085" s="12"/>
      <c r="G1085" s="9"/>
      <c r="H1085" s="10"/>
      <c r="I1085" s="49">
        <f t="shared" si="1032"/>
        <v>0</v>
      </c>
      <c r="J1085" s="11">
        <f t="shared" si="1033"/>
        <v>0</v>
      </c>
      <c r="L1085" s="26" t="s">
        <v>739</v>
      </c>
      <c r="M1085" s="8">
        <v>1</v>
      </c>
      <c r="N1085" s="9"/>
      <c r="O1085" s="52"/>
      <c r="P1085" s="87">
        <f t="shared" si="1037"/>
        <v>1</v>
      </c>
      <c r="Q1085" s="12">
        <v>1</v>
      </c>
      <c r="R1085" s="9"/>
      <c r="S1085" s="10"/>
      <c r="T1085" s="49">
        <f t="shared" si="1038"/>
        <v>1</v>
      </c>
      <c r="U1085" s="11">
        <f t="shared" si="1039"/>
        <v>2</v>
      </c>
      <c r="V1085" s="98">
        <v>45679</v>
      </c>
    </row>
    <row r="1086" spans="1:23" ht="14.25" thickBot="1" x14ac:dyDescent="0.2">
      <c r="A1086" s="26"/>
      <c r="B1086" s="8"/>
      <c r="C1086" s="9"/>
      <c r="D1086" s="10"/>
      <c r="E1086" s="49">
        <f t="shared" ref="E1086" si="1040">SUM(B1086:D1086)</f>
        <v>0</v>
      </c>
      <c r="F1086" s="12"/>
      <c r="G1086" s="9"/>
      <c r="H1086" s="10"/>
      <c r="I1086" s="49">
        <f t="shared" ref="I1086" si="1041">SUM(F1086:H1086)</f>
        <v>0</v>
      </c>
      <c r="J1086" s="11">
        <f t="shared" ref="J1086" si="1042">E1086+I1086</f>
        <v>0</v>
      </c>
      <c r="L1086" s="26" t="s">
        <v>255</v>
      </c>
      <c r="M1086" s="8">
        <v>1</v>
      </c>
      <c r="N1086" s="9"/>
      <c r="O1086" s="52">
        <v>1</v>
      </c>
      <c r="P1086" s="87">
        <f t="shared" si="1037"/>
        <v>2</v>
      </c>
      <c r="Q1086" s="12">
        <v>1</v>
      </c>
      <c r="R1086" s="9"/>
      <c r="S1086" s="10">
        <v>1</v>
      </c>
      <c r="T1086" s="49">
        <f t="shared" si="1038"/>
        <v>2</v>
      </c>
      <c r="U1086" s="11">
        <f t="shared" si="1039"/>
        <v>4</v>
      </c>
      <c r="V1086" s="98">
        <v>45686</v>
      </c>
    </row>
    <row r="1087" spans="1:23" ht="14.25" thickBot="1" x14ac:dyDescent="0.2">
      <c r="A1087" s="41" t="s">
        <v>17</v>
      </c>
      <c r="B1087" s="46">
        <f>SUM(B1061:B1086)</f>
        <v>6</v>
      </c>
      <c r="C1087" s="47">
        <f t="shared" ref="C1087:D1087" si="1043">SUM(C1061:C1086)</f>
        <v>3</v>
      </c>
      <c r="D1087" s="58">
        <f t="shared" si="1043"/>
        <v>3</v>
      </c>
      <c r="E1087" s="45">
        <f t="shared" si="1031"/>
        <v>12</v>
      </c>
      <c r="F1087" s="46">
        <f>SUM(F1061:F1086)</f>
        <v>6</v>
      </c>
      <c r="G1087" s="47">
        <f t="shared" ref="G1087:H1087" si="1044">SUM(G1061:G1086)</f>
        <v>3</v>
      </c>
      <c r="H1087" s="58">
        <f t="shared" si="1044"/>
        <v>3</v>
      </c>
      <c r="I1087" s="45">
        <f t="shared" si="1032"/>
        <v>12</v>
      </c>
      <c r="J1087" s="45">
        <f>E1087+I1087</f>
        <v>24</v>
      </c>
      <c r="L1087" s="41" t="s">
        <v>17</v>
      </c>
      <c r="M1087" s="46">
        <f>SUM(M1061:M1086)</f>
        <v>52</v>
      </c>
      <c r="N1087" s="47">
        <f t="shared" ref="N1087:O1087" si="1045">SUM(N1061:N1086)</f>
        <v>28</v>
      </c>
      <c r="O1087" s="58">
        <f t="shared" si="1045"/>
        <v>19</v>
      </c>
      <c r="P1087" s="45">
        <f t="shared" si="1034"/>
        <v>99</v>
      </c>
      <c r="Q1087" s="46">
        <f>SUM(Q1061:Q1086)</f>
        <v>52</v>
      </c>
      <c r="R1087" s="47">
        <f t="shared" ref="R1087:S1087" si="1046">SUM(R1061:R1086)</f>
        <v>28</v>
      </c>
      <c r="S1087" s="58">
        <f t="shared" si="1046"/>
        <v>19</v>
      </c>
      <c r="T1087" s="45">
        <f t="shared" si="1035"/>
        <v>99</v>
      </c>
      <c r="U1087" s="45">
        <f>P1087+T1087</f>
        <v>198</v>
      </c>
    </row>
    <row r="1088" spans="1:23" ht="14.25" thickBot="1" x14ac:dyDescent="0.2">
      <c r="A1088" s="22" t="s">
        <v>16</v>
      </c>
      <c r="B1088" s="50">
        <f>B1060-B1087</f>
        <v>0</v>
      </c>
      <c r="C1088" s="56">
        <f t="shared" ref="C1088:D1088" si="1047">C1060-C1087</f>
        <v>0</v>
      </c>
      <c r="D1088" s="57">
        <f t="shared" si="1047"/>
        <v>0</v>
      </c>
      <c r="E1088" s="55">
        <f>SUM(B1088:D1088)</f>
        <v>0</v>
      </c>
      <c r="F1088" s="50">
        <f>F1060-F1087</f>
        <v>0</v>
      </c>
      <c r="G1088" s="56">
        <f t="shared" ref="G1088:H1088" si="1048">G1060-G1087</f>
        <v>0</v>
      </c>
      <c r="H1088" s="57">
        <f t="shared" si="1048"/>
        <v>0</v>
      </c>
      <c r="I1088" s="55">
        <f>SUM(F1088:H1088)</f>
        <v>0</v>
      </c>
      <c r="J1088" s="31">
        <f>E1088+I1088</f>
        <v>0</v>
      </c>
      <c r="L1088" s="22" t="s">
        <v>16</v>
      </c>
      <c r="M1088" s="50">
        <f>M1060-M1087</f>
        <v>6</v>
      </c>
      <c r="N1088" s="56">
        <f t="shared" ref="N1088:O1088" si="1049">N1060-N1087</f>
        <v>0</v>
      </c>
      <c r="O1088" s="57">
        <f t="shared" si="1049"/>
        <v>12</v>
      </c>
      <c r="P1088" s="55">
        <f>SUM(M1088:O1088)</f>
        <v>18</v>
      </c>
      <c r="Q1088" s="50">
        <f>Q1060-Q1087</f>
        <v>6</v>
      </c>
      <c r="R1088" s="56">
        <f t="shared" ref="R1088:S1088" si="1050">R1060-R1087</f>
        <v>0</v>
      </c>
      <c r="S1088" s="57">
        <f t="shared" si="1050"/>
        <v>12</v>
      </c>
      <c r="T1088" s="55">
        <f>SUM(Q1088:S1088)</f>
        <v>18</v>
      </c>
      <c r="U1088" s="31">
        <f>P1088+T1088</f>
        <v>36</v>
      </c>
      <c r="V1088" s="97" t="s">
        <v>932</v>
      </c>
    </row>
    <row r="1091" spans="1:22" ht="19.5" thickBot="1" x14ac:dyDescent="0.25">
      <c r="A1091" s="3" t="s">
        <v>678</v>
      </c>
      <c r="B1091" s="1"/>
      <c r="C1091" s="1"/>
      <c r="D1091" s="1"/>
      <c r="E1091" s="1"/>
      <c r="F1091" s="1"/>
      <c r="G1091" s="1"/>
      <c r="H1091" s="1"/>
      <c r="I1091" s="1"/>
      <c r="J1091" s="1"/>
      <c r="L1091" s="3" t="s">
        <v>677</v>
      </c>
    </row>
    <row r="1092" spans="1:22" ht="14.25" thickBot="1" x14ac:dyDescent="0.2">
      <c r="A1092" s="7"/>
      <c r="B1092" s="169" t="s">
        <v>22</v>
      </c>
      <c r="C1092" s="170"/>
      <c r="D1092" s="170"/>
      <c r="E1092" s="171"/>
      <c r="F1092" s="169" t="s">
        <v>23</v>
      </c>
      <c r="G1092" s="170"/>
      <c r="H1092" s="170"/>
      <c r="I1092" s="171"/>
      <c r="J1092" s="172" t="s">
        <v>0</v>
      </c>
      <c r="L1092" s="7"/>
      <c r="M1092" s="169" t="s">
        <v>22</v>
      </c>
      <c r="N1092" s="170"/>
      <c r="O1092" s="170"/>
      <c r="P1092" s="171"/>
      <c r="Q1092" s="169" t="s">
        <v>23</v>
      </c>
      <c r="R1092" s="170"/>
      <c r="S1092" s="170"/>
      <c r="T1092" s="171"/>
      <c r="U1092" s="172" t="s">
        <v>0</v>
      </c>
    </row>
    <row r="1093" spans="1:22" ht="14.25" thickBot="1" x14ac:dyDescent="0.2">
      <c r="A1093" s="7" t="s">
        <v>1</v>
      </c>
      <c r="B1093" s="4" t="s">
        <v>2</v>
      </c>
      <c r="C1093" s="5" t="s">
        <v>3</v>
      </c>
      <c r="D1093" s="6" t="s">
        <v>4</v>
      </c>
      <c r="E1093" s="7" t="s">
        <v>5</v>
      </c>
      <c r="F1093" s="4" t="s">
        <v>2</v>
      </c>
      <c r="G1093" s="5" t="s">
        <v>3</v>
      </c>
      <c r="H1093" s="6" t="s">
        <v>4</v>
      </c>
      <c r="I1093" s="7" t="s">
        <v>5</v>
      </c>
      <c r="J1093" s="173"/>
      <c r="L1093" s="7" t="s">
        <v>1</v>
      </c>
      <c r="M1093" s="4" t="s">
        <v>2</v>
      </c>
      <c r="N1093" s="5" t="s">
        <v>3</v>
      </c>
      <c r="O1093" s="6" t="s">
        <v>4</v>
      </c>
      <c r="P1093" s="7" t="s">
        <v>5</v>
      </c>
      <c r="Q1093" s="4" t="s">
        <v>2</v>
      </c>
      <c r="R1093" s="5" t="s">
        <v>3</v>
      </c>
      <c r="S1093" s="6" t="s">
        <v>4</v>
      </c>
      <c r="T1093" s="7" t="s">
        <v>5</v>
      </c>
      <c r="U1093" s="173"/>
    </row>
    <row r="1094" spans="1:22" ht="14.25" thickBot="1" x14ac:dyDescent="0.2">
      <c r="A1094" s="140" t="s">
        <v>16</v>
      </c>
      <c r="B1094" s="28">
        <f>B1088</f>
        <v>0</v>
      </c>
      <c r="C1094" s="126">
        <f t="shared" ref="C1094:E1094" si="1051">C1088</f>
        <v>0</v>
      </c>
      <c r="D1094" s="127">
        <f t="shared" si="1051"/>
        <v>0</v>
      </c>
      <c r="E1094" s="28">
        <f t="shared" si="1051"/>
        <v>0</v>
      </c>
      <c r="F1094" s="126">
        <f>F1088</f>
        <v>0</v>
      </c>
      <c r="G1094" s="126">
        <f t="shared" ref="G1094:J1094" si="1052">G1088</f>
        <v>0</v>
      </c>
      <c r="H1094" s="127">
        <f t="shared" si="1052"/>
        <v>0</v>
      </c>
      <c r="I1094" s="28">
        <f t="shared" si="1052"/>
        <v>0</v>
      </c>
      <c r="J1094" s="28">
        <f t="shared" si="1052"/>
        <v>0</v>
      </c>
      <c r="L1094" s="128" t="s">
        <v>16</v>
      </c>
      <c r="M1094" s="126">
        <f>M1088</f>
        <v>6</v>
      </c>
      <c r="N1094" s="126">
        <f t="shared" ref="N1094:P1094" si="1053">N1088</f>
        <v>0</v>
      </c>
      <c r="O1094" s="127">
        <f t="shared" si="1053"/>
        <v>12</v>
      </c>
      <c r="P1094" s="31">
        <f t="shared" si="1053"/>
        <v>18</v>
      </c>
      <c r="Q1094" s="126">
        <f>Q1088</f>
        <v>6</v>
      </c>
      <c r="R1094" s="126">
        <f t="shared" ref="R1094:U1094" si="1054">R1088</f>
        <v>0</v>
      </c>
      <c r="S1094" s="127">
        <f t="shared" si="1054"/>
        <v>12</v>
      </c>
      <c r="T1094" s="31">
        <f t="shared" si="1054"/>
        <v>18</v>
      </c>
      <c r="U1094" s="28">
        <f t="shared" si="1054"/>
        <v>36</v>
      </c>
    </row>
    <row r="1095" spans="1:22" x14ac:dyDescent="0.15">
      <c r="A1095" s="25" t="s">
        <v>7</v>
      </c>
      <c r="B1095" s="8"/>
      <c r="C1095" s="9"/>
      <c r="D1095" s="52">
        <v>1</v>
      </c>
      <c r="E1095" s="11">
        <f t="shared" ref="E1095" si="1055">SUM(B1095:D1095)</f>
        <v>1</v>
      </c>
      <c r="F1095" s="12"/>
      <c r="G1095" s="9"/>
      <c r="H1095" s="10">
        <v>1</v>
      </c>
      <c r="I1095" s="11">
        <f t="shared" ref="I1095" si="1056">SUM(F1095:H1095)</f>
        <v>1</v>
      </c>
      <c r="J1095" s="11">
        <f t="shared" ref="J1095" si="1057">E1095+I1095</f>
        <v>2</v>
      </c>
      <c r="K1095" s="62">
        <v>45890</v>
      </c>
      <c r="L1095" s="25" t="s">
        <v>7</v>
      </c>
      <c r="M1095" s="17"/>
      <c r="N1095" s="18"/>
      <c r="O1095" s="51"/>
      <c r="P1095" s="49">
        <f t="shared" ref="P1095:P1102" si="1058">SUM(M1095:O1095)</f>
        <v>0</v>
      </c>
      <c r="Q1095" s="17"/>
      <c r="R1095" s="18"/>
      <c r="S1095" s="51"/>
      <c r="T1095" s="49">
        <f t="shared" ref="T1095:T1102" si="1059">SUM(Q1095:S1095)</f>
        <v>0</v>
      </c>
      <c r="U1095" s="11">
        <f t="shared" ref="U1095:U1102" si="1060">P1095+T1095</f>
        <v>0</v>
      </c>
    </row>
    <row r="1096" spans="1:22" x14ac:dyDescent="0.15">
      <c r="A1096" s="25" t="s">
        <v>8</v>
      </c>
      <c r="B1096" s="8"/>
      <c r="C1096" s="9"/>
      <c r="D1096" s="52"/>
      <c r="E1096" s="11">
        <f t="shared" ref="E1096:E1098" si="1061">SUM(B1096:D1096)</f>
        <v>0</v>
      </c>
      <c r="F1096" s="12"/>
      <c r="G1096" s="9"/>
      <c r="H1096" s="10"/>
      <c r="I1096" s="11">
        <f t="shared" ref="I1096:I1098" si="1062">SUM(F1096:H1096)</f>
        <v>0</v>
      </c>
      <c r="J1096" s="11">
        <f t="shared" ref="J1096:J1098" si="1063">E1096+I1096</f>
        <v>0</v>
      </c>
      <c r="K1096" s="66"/>
      <c r="L1096" s="25" t="s">
        <v>8</v>
      </c>
      <c r="M1096" s="17"/>
      <c r="N1096" s="18"/>
      <c r="O1096" s="51"/>
      <c r="P1096" s="49">
        <f t="shared" si="1058"/>
        <v>0</v>
      </c>
      <c r="Q1096" s="17"/>
      <c r="R1096" s="18"/>
      <c r="S1096" s="51"/>
      <c r="T1096" s="49">
        <f t="shared" si="1059"/>
        <v>0</v>
      </c>
      <c r="U1096" s="11">
        <f t="shared" si="1060"/>
        <v>0</v>
      </c>
    </row>
    <row r="1097" spans="1:22" x14ac:dyDescent="0.15">
      <c r="A1097" s="25" t="s">
        <v>9</v>
      </c>
      <c r="B1097" s="8"/>
      <c r="C1097" s="9"/>
      <c r="D1097" s="52"/>
      <c r="E1097" s="11">
        <f t="shared" si="1061"/>
        <v>0</v>
      </c>
      <c r="F1097" s="12"/>
      <c r="G1097" s="9"/>
      <c r="H1097" s="10"/>
      <c r="I1097" s="11">
        <f t="shared" si="1062"/>
        <v>0</v>
      </c>
      <c r="J1097" s="11">
        <f t="shared" si="1063"/>
        <v>0</v>
      </c>
      <c r="L1097" s="25" t="s">
        <v>9</v>
      </c>
      <c r="M1097" s="17"/>
      <c r="N1097" s="18"/>
      <c r="O1097" s="51"/>
      <c r="P1097" s="49">
        <f t="shared" si="1058"/>
        <v>0</v>
      </c>
      <c r="Q1097" s="17"/>
      <c r="R1097" s="18"/>
      <c r="S1097" s="51"/>
      <c r="T1097" s="49">
        <f t="shared" si="1059"/>
        <v>0</v>
      </c>
      <c r="U1097" s="11">
        <f t="shared" si="1060"/>
        <v>0</v>
      </c>
    </row>
    <row r="1098" spans="1:22" x14ac:dyDescent="0.15">
      <c r="A1098" s="25" t="s">
        <v>10</v>
      </c>
      <c r="B1098" s="8"/>
      <c r="C1098" s="9"/>
      <c r="D1098" s="52"/>
      <c r="E1098" s="11">
        <f t="shared" si="1061"/>
        <v>0</v>
      </c>
      <c r="F1098" s="12"/>
      <c r="G1098" s="9"/>
      <c r="H1098" s="10"/>
      <c r="I1098" s="11">
        <f t="shared" si="1062"/>
        <v>0</v>
      </c>
      <c r="J1098" s="11">
        <f t="shared" si="1063"/>
        <v>0</v>
      </c>
      <c r="L1098" s="25" t="s">
        <v>10</v>
      </c>
      <c r="M1098" s="17"/>
      <c r="N1098" s="18"/>
      <c r="O1098" s="51"/>
      <c r="P1098" s="49">
        <f t="shared" si="1058"/>
        <v>0</v>
      </c>
      <c r="Q1098" s="17"/>
      <c r="R1098" s="18"/>
      <c r="S1098" s="51"/>
      <c r="T1098" s="49">
        <f t="shared" si="1059"/>
        <v>0</v>
      </c>
      <c r="U1098" s="11">
        <f t="shared" si="1060"/>
        <v>0</v>
      </c>
    </row>
    <row r="1099" spans="1:22" x14ac:dyDescent="0.15">
      <c r="A1099" s="25" t="s">
        <v>11</v>
      </c>
      <c r="B1099" s="8"/>
      <c r="C1099" s="9"/>
      <c r="D1099" s="52"/>
      <c r="E1099" s="11">
        <f t="shared" ref="E1099:E1102" si="1064">SUM(B1099:D1099)</f>
        <v>0</v>
      </c>
      <c r="F1099" s="12"/>
      <c r="G1099" s="9"/>
      <c r="H1099" s="10"/>
      <c r="I1099" s="11">
        <f t="shared" ref="I1099:I1102" si="1065">SUM(F1099:H1099)</f>
        <v>0</v>
      </c>
      <c r="J1099" s="11">
        <f t="shared" ref="J1099:J1102" si="1066">E1099+I1099</f>
        <v>0</v>
      </c>
      <c r="L1099" s="25" t="s">
        <v>11</v>
      </c>
      <c r="M1099" s="17"/>
      <c r="N1099" s="18"/>
      <c r="O1099" s="51"/>
      <c r="P1099" s="49">
        <f t="shared" si="1058"/>
        <v>0</v>
      </c>
      <c r="Q1099" s="17"/>
      <c r="R1099" s="18"/>
      <c r="S1099" s="51"/>
      <c r="T1099" s="49">
        <f t="shared" si="1059"/>
        <v>0</v>
      </c>
      <c r="U1099" s="11">
        <f t="shared" si="1060"/>
        <v>0</v>
      </c>
    </row>
    <row r="1100" spans="1:22" x14ac:dyDescent="0.15">
      <c r="A1100" s="25" t="s">
        <v>12</v>
      </c>
      <c r="B1100" s="8"/>
      <c r="C1100" s="9"/>
      <c r="D1100" s="52"/>
      <c r="E1100" s="11">
        <f t="shared" si="1064"/>
        <v>0</v>
      </c>
      <c r="F1100" s="12"/>
      <c r="G1100" s="9"/>
      <c r="H1100" s="10"/>
      <c r="I1100" s="11">
        <f t="shared" si="1065"/>
        <v>0</v>
      </c>
      <c r="J1100" s="11">
        <f t="shared" si="1066"/>
        <v>0</v>
      </c>
      <c r="L1100" s="25" t="s">
        <v>12</v>
      </c>
      <c r="M1100" s="17"/>
      <c r="N1100" s="18"/>
      <c r="O1100" s="51"/>
      <c r="P1100" s="49">
        <f t="shared" si="1058"/>
        <v>0</v>
      </c>
      <c r="Q1100" s="17"/>
      <c r="R1100" s="18"/>
      <c r="S1100" s="51"/>
      <c r="T1100" s="49">
        <f t="shared" si="1059"/>
        <v>0</v>
      </c>
      <c r="U1100" s="11">
        <f t="shared" si="1060"/>
        <v>0</v>
      </c>
    </row>
    <row r="1101" spans="1:22" x14ac:dyDescent="0.15">
      <c r="A1101" s="25" t="s">
        <v>13</v>
      </c>
      <c r="B1101" s="13"/>
      <c r="C1101" s="14"/>
      <c r="D1101" s="53"/>
      <c r="E1101" s="11">
        <f t="shared" si="1064"/>
        <v>0</v>
      </c>
      <c r="F1101" s="16"/>
      <c r="G1101" s="14"/>
      <c r="H1101" s="15"/>
      <c r="I1101" s="11">
        <f t="shared" si="1065"/>
        <v>0</v>
      </c>
      <c r="J1101" s="11">
        <f t="shared" si="1066"/>
        <v>0</v>
      </c>
      <c r="L1101" s="25" t="s">
        <v>13</v>
      </c>
      <c r="M1101" s="17"/>
      <c r="N1101" s="18"/>
      <c r="O1101" s="51"/>
      <c r="P1101" s="49">
        <f t="shared" si="1058"/>
        <v>0</v>
      </c>
      <c r="Q1101" s="17"/>
      <c r="R1101" s="18"/>
      <c r="S1101" s="51"/>
      <c r="T1101" s="49">
        <f t="shared" si="1059"/>
        <v>0</v>
      </c>
      <c r="U1101" s="11">
        <f t="shared" si="1060"/>
        <v>0</v>
      </c>
    </row>
    <row r="1102" spans="1:22" ht="14.25" thickBot="1" x14ac:dyDescent="0.2">
      <c r="A1102" s="25" t="s">
        <v>14</v>
      </c>
      <c r="B1102" s="32"/>
      <c r="C1102" s="33"/>
      <c r="D1102" s="54"/>
      <c r="E1102" s="61">
        <f t="shared" si="1064"/>
        <v>0</v>
      </c>
      <c r="F1102" s="34"/>
      <c r="G1102" s="34"/>
      <c r="H1102" s="37"/>
      <c r="I1102" s="61">
        <f t="shared" si="1065"/>
        <v>0</v>
      </c>
      <c r="J1102" s="21">
        <f t="shared" si="1066"/>
        <v>0</v>
      </c>
      <c r="L1102" s="25" t="s">
        <v>14</v>
      </c>
      <c r="M1102" s="32"/>
      <c r="N1102" s="33"/>
      <c r="O1102" s="54"/>
      <c r="P1102" s="61">
        <f t="shared" si="1058"/>
        <v>0</v>
      </c>
      <c r="Q1102" s="34"/>
      <c r="R1102" s="34"/>
      <c r="S1102" s="37"/>
      <c r="T1102" s="61">
        <f t="shared" si="1059"/>
        <v>0</v>
      </c>
      <c r="U1102" s="21">
        <f t="shared" si="1060"/>
        <v>0</v>
      </c>
    </row>
    <row r="1103" spans="1:22" ht="14.25" thickBot="1" x14ac:dyDescent="0.2">
      <c r="A1103" s="35" t="s">
        <v>15</v>
      </c>
      <c r="B1103" s="28">
        <f>SUM(B1094:B1102)</f>
        <v>0</v>
      </c>
      <c r="C1103" s="29">
        <f>SUM(C1094:C1102)</f>
        <v>0</v>
      </c>
      <c r="D1103" s="30">
        <f>SUM(D1094:D1102)</f>
        <v>1</v>
      </c>
      <c r="E1103" s="31">
        <f>SUM(B1103:D1103)</f>
        <v>1</v>
      </c>
      <c r="F1103" s="28">
        <f>SUM(F1094:F1102)</f>
        <v>0</v>
      </c>
      <c r="G1103" s="29">
        <f>SUM(G1094:G1102)</f>
        <v>0</v>
      </c>
      <c r="H1103" s="30">
        <f>SUM(H1094:H1102)</f>
        <v>1</v>
      </c>
      <c r="I1103" s="31">
        <f>SUM(F1103:H1103)</f>
        <v>1</v>
      </c>
      <c r="J1103" s="31">
        <f>E1103+I1103</f>
        <v>2</v>
      </c>
      <c r="L1103" s="35" t="s">
        <v>15</v>
      </c>
      <c r="M1103" s="28">
        <f>SUM(M1094:M1102)</f>
        <v>6</v>
      </c>
      <c r="N1103" s="29">
        <f>SUM(N1094:N1102)</f>
        <v>0</v>
      </c>
      <c r="O1103" s="30">
        <f>SUM(O1094:O1102)</f>
        <v>12</v>
      </c>
      <c r="P1103" s="31">
        <f>SUM(M1103:O1103)</f>
        <v>18</v>
      </c>
      <c r="Q1103" s="28">
        <f>SUM(Q1094:Q1102)</f>
        <v>6</v>
      </c>
      <c r="R1103" s="29">
        <f>SUM(R1094:R1102)</f>
        <v>0</v>
      </c>
      <c r="S1103" s="30">
        <f>SUM(S1094:S1102)</f>
        <v>12</v>
      </c>
      <c r="T1103" s="31">
        <f>SUM(Q1103:S1103)</f>
        <v>18</v>
      </c>
      <c r="U1103" s="31">
        <f>P1103+T1103</f>
        <v>36</v>
      </c>
    </row>
    <row r="1104" spans="1:22" x14ac:dyDescent="0.15">
      <c r="A1104" s="26"/>
      <c r="B1104" s="13"/>
      <c r="C1104" s="14"/>
      <c r="D1104" s="15"/>
      <c r="E1104" s="49">
        <f t="shared" ref="E1104:E1106" si="1067">SUM(B1104:D1104)</f>
        <v>0</v>
      </c>
      <c r="F1104" s="16"/>
      <c r="G1104" s="14"/>
      <c r="H1104" s="15"/>
      <c r="I1104" s="49">
        <f t="shared" ref="I1104:I1106" si="1068">SUM(F1104:H1104)</f>
        <v>0</v>
      </c>
      <c r="J1104" s="11">
        <f t="shared" ref="J1104:J1106" si="1069">E1104+I1104</f>
        <v>0</v>
      </c>
      <c r="K1104" s="62"/>
      <c r="L1104" s="26" t="s">
        <v>931</v>
      </c>
      <c r="M1104" s="8">
        <v>1</v>
      </c>
      <c r="N1104" s="9"/>
      <c r="O1104" s="52"/>
      <c r="P1104" s="87">
        <f t="shared" ref="P1104:P1125" si="1070">SUM(M1104:O1104)</f>
        <v>1</v>
      </c>
      <c r="Q1104" s="12">
        <v>1</v>
      </c>
      <c r="R1104" s="9"/>
      <c r="S1104" s="10"/>
      <c r="T1104" s="49">
        <f t="shared" ref="T1104:T1125" si="1071">SUM(Q1104:S1104)</f>
        <v>1</v>
      </c>
      <c r="U1104" s="11">
        <f t="shared" ref="U1104:U1125" si="1072">P1104+T1104</f>
        <v>2</v>
      </c>
      <c r="V1104" s="98">
        <v>45688</v>
      </c>
    </row>
    <row r="1105" spans="1:22" x14ac:dyDescent="0.15">
      <c r="A1105" s="26"/>
      <c r="B1105" s="13"/>
      <c r="C1105" s="14"/>
      <c r="D1105" s="15"/>
      <c r="E1105" s="49">
        <f t="shared" si="1067"/>
        <v>0</v>
      </c>
      <c r="F1105" s="16"/>
      <c r="G1105" s="14"/>
      <c r="H1105" s="15"/>
      <c r="I1105" s="49">
        <f t="shared" si="1068"/>
        <v>0</v>
      </c>
      <c r="J1105" s="11">
        <f t="shared" si="1069"/>
        <v>0</v>
      </c>
      <c r="K1105" s="62"/>
      <c r="L1105" s="26" t="s">
        <v>938</v>
      </c>
      <c r="M1105" s="8"/>
      <c r="N1105" s="9"/>
      <c r="O1105" s="52">
        <v>1</v>
      </c>
      <c r="P1105" s="87">
        <f t="shared" si="1070"/>
        <v>1</v>
      </c>
      <c r="Q1105" s="12"/>
      <c r="R1105" s="9"/>
      <c r="S1105" s="10">
        <v>1</v>
      </c>
      <c r="T1105" s="49">
        <f t="shared" si="1071"/>
        <v>1</v>
      </c>
      <c r="U1105" s="11">
        <f t="shared" si="1072"/>
        <v>2</v>
      </c>
      <c r="V1105" s="98">
        <v>45890</v>
      </c>
    </row>
    <row r="1106" spans="1:22" x14ac:dyDescent="0.15">
      <c r="A1106" s="26"/>
      <c r="B1106" s="13"/>
      <c r="C1106" s="14"/>
      <c r="D1106" s="15"/>
      <c r="E1106" s="49">
        <f t="shared" si="1067"/>
        <v>0</v>
      </c>
      <c r="F1106" s="16"/>
      <c r="G1106" s="14"/>
      <c r="H1106" s="15"/>
      <c r="I1106" s="49">
        <f t="shared" si="1068"/>
        <v>0</v>
      </c>
      <c r="J1106" s="11">
        <f t="shared" si="1069"/>
        <v>0</v>
      </c>
      <c r="K1106" s="62"/>
      <c r="L1106" s="26"/>
      <c r="M1106" s="8"/>
      <c r="N1106" s="9"/>
      <c r="O1106" s="52"/>
      <c r="P1106" s="87">
        <f t="shared" si="1070"/>
        <v>0</v>
      </c>
      <c r="Q1106" s="12"/>
      <c r="R1106" s="9"/>
      <c r="S1106" s="10"/>
      <c r="T1106" s="49">
        <f t="shared" si="1071"/>
        <v>0</v>
      </c>
      <c r="U1106" s="11">
        <f t="shared" si="1072"/>
        <v>0</v>
      </c>
      <c r="V1106" s="100"/>
    </row>
    <row r="1107" spans="1:22" x14ac:dyDescent="0.15">
      <c r="A1107" s="26"/>
      <c r="B1107" s="13"/>
      <c r="C1107" s="14"/>
      <c r="D1107" s="15"/>
      <c r="E1107" s="49">
        <f>SUM(B1107:D1107)</f>
        <v>0</v>
      </c>
      <c r="F1107" s="16"/>
      <c r="G1107" s="14"/>
      <c r="H1107" s="15"/>
      <c r="I1107" s="49">
        <f>SUM(F1107:H1107)</f>
        <v>0</v>
      </c>
      <c r="J1107" s="11">
        <f>E1107+I1107</f>
        <v>0</v>
      </c>
      <c r="K1107" s="62"/>
      <c r="L1107" s="26"/>
      <c r="M1107" s="8"/>
      <c r="N1107" s="9"/>
      <c r="O1107" s="52"/>
      <c r="P1107" s="87">
        <f t="shared" si="1070"/>
        <v>0</v>
      </c>
      <c r="Q1107" s="12"/>
      <c r="R1107" s="9"/>
      <c r="S1107" s="10"/>
      <c r="T1107" s="49">
        <f t="shared" si="1071"/>
        <v>0</v>
      </c>
      <c r="U1107" s="11">
        <f t="shared" si="1072"/>
        <v>0</v>
      </c>
      <c r="V1107" s="100"/>
    </row>
    <row r="1108" spans="1:22" x14ac:dyDescent="0.15">
      <c r="A1108" s="26"/>
      <c r="B1108" s="8"/>
      <c r="C1108" s="9"/>
      <c r="D1108" s="10"/>
      <c r="E1108" s="49">
        <f t="shared" ref="E1108:E1130" si="1073">SUM(B1108:D1108)</f>
        <v>0</v>
      </c>
      <c r="F1108" s="12"/>
      <c r="G1108" s="9"/>
      <c r="H1108" s="10"/>
      <c r="I1108" s="49">
        <f t="shared" ref="I1108:I1130" si="1074">SUM(F1108:H1108)</f>
        <v>0</v>
      </c>
      <c r="J1108" s="11">
        <f t="shared" ref="J1108:J1129" si="1075">E1108+I1108</f>
        <v>0</v>
      </c>
      <c r="K1108" s="66"/>
      <c r="L1108" s="26"/>
      <c r="M1108" s="8"/>
      <c r="N1108" s="9"/>
      <c r="O1108" s="52"/>
      <c r="P1108" s="87">
        <f t="shared" si="1070"/>
        <v>0</v>
      </c>
      <c r="Q1108" s="12"/>
      <c r="R1108" s="9"/>
      <c r="S1108" s="10"/>
      <c r="T1108" s="49">
        <f t="shared" si="1071"/>
        <v>0</v>
      </c>
      <c r="U1108" s="11">
        <f t="shared" si="1072"/>
        <v>0</v>
      </c>
      <c r="V1108" s="100"/>
    </row>
    <row r="1109" spans="1:22" x14ac:dyDescent="0.15">
      <c r="A1109" s="26"/>
      <c r="B1109" s="8"/>
      <c r="C1109" s="9"/>
      <c r="D1109" s="10"/>
      <c r="E1109" s="49">
        <f t="shared" si="1073"/>
        <v>0</v>
      </c>
      <c r="F1109" s="12"/>
      <c r="G1109" s="9"/>
      <c r="H1109" s="10"/>
      <c r="I1109" s="49">
        <f t="shared" si="1074"/>
        <v>0</v>
      </c>
      <c r="J1109" s="11">
        <f t="shared" si="1075"/>
        <v>0</v>
      </c>
      <c r="K1109" s="66"/>
      <c r="L1109" s="26"/>
      <c r="M1109" s="8"/>
      <c r="N1109" s="9"/>
      <c r="O1109" s="52"/>
      <c r="P1109" s="87">
        <f t="shared" si="1070"/>
        <v>0</v>
      </c>
      <c r="Q1109" s="12"/>
      <c r="R1109" s="9"/>
      <c r="S1109" s="10"/>
      <c r="T1109" s="49">
        <f t="shared" si="1071"/>
        <v>0</v>
      </c>
      <c r="U1109" s="11">
        <f t="shared" si="1072"/>
        <v>0</v>
      </c>
      <c r="V1109" s="100"/>
    </row>
    <row r="1110" spans="1:22" x14ac:dyDescent="0.15">
      <c r="A1110" s="26"/>
      <c r="B1110" s="8"/>
      <c r="C1110" s="9"/>
      <c r="D1110" s="10"/>
      <c r="E1110" s="49">
        <f t="shared" si="1073"/>
        <v>0</v>
      </c>
      <c r="F1110" s="12"/>
      <c r="G1110" s="9"/>
      <c r="H1110" s="10"/>
      <c r="I1110" s="49">
        <f t="shared" si="1074"/>
        <v>0</v>
      </c>
      <c r="J1110" s="11">
        <f t="shared" si="1075"/>
        <v>0</v>
      </c>
      <c r="K1110" s="66"/>
      <c r="L1110" s="26"/>
      <c r="M1110" s="8"/>
      <c r="N1110" s="9"/>
      <c r="O1110" s="52"/>
      <c r="P1110" s="87">
        <f t="shared" si="1070"/>
        <v>0</v>
      </c>
      <c r="Q1110" s="12"/>
      <c r="R1110" s="9"/>
      <c r="S1110" s="10"/>
      <c r="T1110" s="49">
        <f t="shared" si="1071"/>
        <v>0</v>
      </c>
      <c r="U1110" s="11">
        <f t="shared" si="1072"/>
        <v>0</v>
      </c>
      <c r="V1110" s="100"/>
    </row>
    <row r="1111" spans="1:22" x14ac:dyDescent="0.15">
      <c r="A1111" s="26"/>
      <c r="B1111" s="8"/>
      <c r="C1111" s="9"/>
      <c r="D1111" s="10"/>
      <c r="E1111" s="49">
        <f t="shared" si="1073"/>
        <v>0</v>
      </c>
      <c r="F1111" s="12"/>
      <c r="G1111" s="9"/>
      <c r="H1111" s="10"/>
      <c r="I1111" s="49">
        <f t="shared" si="1074"/>
        <v>0</v>
      </c>
      <c r="J1111" s="11">
        <f t="shared" si="1075"/>
        <v>0</v>
      </c>
      <c r="K1111" s="66"/>
      <c r="L1111" s="26"/>
      <c r="M1111" s="8"/>
      <c r="N1111" s="9"/>
      <c r="O1111" s="52"/>
      <c r="P1111" s="87">
        <f t="shared" si="1070"/>
        <v>0</v>
      </c>
      <c r="Q1111" s="12"/>
      <c r="R1111" s="9"/>
      <c r="S1111" s="10"/>
      <c r="T1111" s="49">
        <f t="shared" si="1071"/>
        <v>0</v>
      </c>
      <c r="U1111" s="11">
        <f t="shared" si="1072"/>
        <v>0</v>
      </c>
      <c r="V1111" s="100"/>
    </row>
    <row r="1112" spans="1:22" x14ac:dyDescent="0.15">
      <c r="A1112" s="26"/>
      <c r="B1112" s="8"/>
      <c r="C1112" s="9"/>
      <c r="D1112" s="10"/>
      <c r="E1112" s="49">
        <f t="shared" si="1073"/>
        <v>0</v>
      </c>
      <c r="F1112" s="12"/>
      <c r="G1112" s="9"/>
      <c r="H1112" s="10"/>
      <c r="I1112" s="49">
        <f t="shared" si="1074"/>
        <v>0</v>
      </c>
      <c r="J1112" s="11">
        <f t="shared" si="1075"/>
        <v>0</v>
      </c>
      <c r="L1112" s="26"/>
      <c r="M1112" s="8"/>
      <c r="N1112" s="9"/>
      <c r="O1112" s="52"/>
      <c r="P1112" s="87">
        <f t="shared" si="1070"/>
        <v>0</v>
      </c>
      <c r="Q1112" s="12"/>
      <c r="R1112" s="9"/>
      <c r="S1112" s="10"/>
      <c r="T1112" s="49">
        <f t="shared" si="1071"/>
        <v>0</v>
      </c>
      <c r="U1112" s="11">
        <f t="shared" si="1072"/>
        <v>0</v>
      </c>
      <c r="V1112" s="100"/>
    </row>
    <row r="1113" spans="1:22" x14ac:dyDescent="0.15">
      <c r="A1113" s="26"/>
      <c r="B1113" s="13"/>
      <c r="C1113" s="14"/>
      <c r="D1113" s="15"/>
      <c r="E1113" s="49">
        <f t="shared" si="1073"/>
        <v>0</v>
      </c>
      <c r="F1113" s="16"/>
      <c r="G1113" s="14"/>
      <c r="H1113" s="15"/>
      <c r="I1113" s="49">
        <f t="shared" si="1074"/>
        <v>0</v>
      </c>
      <c r="J1113" s="11">
        <f t="shared" si="1075"/>
        <v>0</v>
      </c>
      <c r="L1113" s="26"/>
      <c r="M1113" s="8"/>
      <c r="N1113" s="9"/>
      <c r="O1113" s="52"/>
      <c r="P1113" s="87">
        <f t="shared" si="1070"/>
        <v>0</v>
      </c>
      <c r="Q1113" s="12"/>
      <c r="R1113" s="9"/>
      <c r="S1113" s="10"/>
      <c r="T1113" s="49">
        <f t="shared" si="1071"/>
        <v>0</v>
      </c>
      <c r="U1113" s="11">
        <f t="shared" si="1072"/>
        <v>0</v>
      </c>
    </row>
    <row r="1114" spans="1:22" x14ac:dyDescent="0.15">
      <c r="A1114" s="26"/>
      <c r="B1114" s="8"/>
      <c r="C1114" s="9"/>
      <c r="D1114" s="10"/>
      <c r="E1114" s="49">
        <f t="shared" si="1073"/>
        <v>0</v>
      </c>
      <c r="F1114" s="12"/>
      <c r="G1114" s="9"/>
      <c r="H1114" s="10"/>
      <c r="I1114" s="49">
        <f t="shared" si="1074"/>
        <v>0</v>
      </c>
      <c r="J1114" s="11">
        <f t="shared" si="1075"/>
        <v>0</v>
      </c>
      <c r="L1114" s="26"/>
      <c r="M1114" s="8"/>
      <c r="N1114" s="9"/>
      <c r="O1114" s="52"/>
      <c r="P1114" s="87">
        <f t="shared" si="1070"/>
        <v>0</v>
      </c>
      <c r="Q1114" s="12"/>
      <c r="R1114" s="9"/>
      <c r="S1114" s="10"/>
      <c r="T1114" s="49">
        <f t="shared" si="1071"/>
        <v>0</v>
      </c>
      <c r="U1114" s="11">
        <f t="shared" si="1072"/>
        <v>0</v>
      </c>
    </row>
    <row r="1115" spans="1:22" x14ac:dyDescent="0.15">
      <c r="A1115" s="26"/>
      <c r="B1115" s="8"/>
      <c r="C1115" s="9"/>
      <c r="D1115" s="10"/>
      <c r="E1115" s="49">
        <f t="shared" si="1073"/>
        <v>0</v>
      </c>
      <c r="F1115" s="12"/>
      <c r="G1115" s="9"/>
      <c r="H1115" s="10"/>
      <c r="I1115" s="49">
        <f t="shared" si="1074"/>
        <v>0</v>
      </c>
      <c r="J1115" s="11">
        <f t="shared" si="1075"/>
        <v>0</v>
      </c>
      <c r="L1115" s="26"/>
      <c r="M1115" s="8"/>
      <c r="N1115" s="9"/>
      <c r="O1115" s="52"/>
      <c r="P1115" s="87">
        <f t="shared" si="1070"/>
        <v>0</v>
      </c>
      <c r="Q1115" s="12"/>
      <c r="R1115" s="9"/>
      <c r="S1115" s="10"/>
      <c r="T1115" s="49">
        <f t="shared" si="1071"/>
        <v>0</v>
      </c>
      <c r="U1115" s="11">
        <f t="shared" si="1072"/>
        <v>0</v>
      </c>
    </row>
    <row r="1116" spans="1:22" x14ac:dyDescent="0.15">
      <c r="A1116" s="26"/>
      <c r="B1116" s="8"/>
      <c r="C1116" s="9"/>
      <c r="D1116" s="10"/>
      <c r="E1116" s="49">
        <f t="shared" si="1073"/>
        <v>0</v>
      </c>
      <c r="F1116" s="12"/>
      <c r="G1116" s="9"/>
      <c r="H1116" s="10"/>
      <c r="I1116" s="49">
        <f t="shared" si="1074"/>
        <v>0</v>
      </c>
      <c r="J1116" s="11">
        <f t="shared" si="1075"/>
        <v>0</v>
      </c>
      <c r="L1116" s="26"/>
      <c r="M1116" s="8"/>
      <c r="N1116" s="9"/>
      <c r="O1116" s="52"/>
      <c r="P1116" s="87">
        <f t="shared" si="1070"/>
        <v>0</v>
      </c>
      <c r="Q1116" s="12"/>
      <c r="R1116" s="9"/>
      <c r="S1116" s="10"/>
      <c r="T1116" s="49">
        <f t="shared" si="1071"/>
        <v>0</v>
      </c>
      <c r="U1116" s="11">
        <f t="shared" si="1072"/>
        <v>0</v>
      </c>
    </row>
    <row r="1117" spans="1:22" x14ac:dyDescent="0.15">
      <c r="A1117" s="26"/>
      <c r="B1117" s="8"/>
      <c r="C1117" s="9"/>
      <c r="D1117" s="10"/>
      <c r="E1117" s="49">
        <f t="shared" si="1073"/>
        <v>0</v>
      </c>
      <c r="F1117" s="12"/>
      <c r="G1117" s="9"/>
      <c r="H1117" s="10"/>
      <c r="I1117" s="49">
        <f t="shared" si="1074"/>
        <v>0</v>
      </c>
      <c r="J1117" s="11">
        <f t="shared" si="1075"/>
        <v>0</v>
      </c>
      <c r="L1117" s="26"/>
      <c r="M1117" s="8"/>
      <c r="N1117" s="9"/>
      <c r="O1117" s="52"/>
      <c r="P1117" s="87">
        <f t="shared" si="1070"/>
        <v>0</v>
      </c>
      <c r="Q1117" s="12"/>
      <c r="R1117" s="9"/>
      <c r="S1117" s="10"/>
      <c r="T1117" s="49">
        <f t="shared" si="1071"/>
        <v>0</v>
      </c>
      <c r="U1117" s="11">
        <f t="shared" si="1072"/>
        <v>0</v>
      </c>
    </row>
    <row r="1118" spans="1:22" x14ac:dyDescent="0.15">
      <c r="A1118" s="26"/>
      <c r="B1118" s="8"/>
      <c r="C1118" s="9"/>
      <c r="D1118" s="10"/>
      <c r="E1118" s="49">
        <f t="shared" si="1073"/>
        <v>0</v>
      </c>
      <c r="F1118" s="12"/>
      <c r="G1118" s="9"/>
      <c r="H1118" s="10"/>
      <c r="I1118" s="49">
        <f t="shared" si="1074"/>
        <v>0</v>
      </c>
      <c r="J1118" s="11">
        <f t="shared" si="1075"/>
        <v>0</v>
      </c>
      <c r="L1118" s="26"/>
      <c r="M1118" s="8"/>
      <c r="N1118" s="9"/>
      <c r="O1118" s="52"/>
      <c r="P1118" s="87">
        <f t="shared" si="1070"/>
        <v>0</v>
      </c>
      <c r="Q1118" s="12"/>
      <c r="R1118" s="9"/>
      <c r="S1118" s="10"/>
      <c r="T1118" s="49">
        <f t="shared" si="1071"/>
        <v>0</v>
      </c>
      <c r="U1118" s="11">
        <f t="shared" si="1072"/>
        <v>0</v>
      </c>
    </row>
    <row r="1119" spans="1:22" x14ac:dyDescent="0.15">
      <c r="A1119" s="26"/>
      <c r="B1119" s="8"/>
      <c r="C1119" s="9"/>
      <c r="D1119" s="10"/>
      <c r="E1119" s="49">
        <f t="shared" si="1073"/>
        <v>0</v>
      </c>
      <c r="F1119" s="12"/>
      <c r="G1119" s="9"/>
      <c r="H1119" s="10"/>
      <c r="I1119" s="49">
        <f t="shared" si="1074"/>
        <v>0</v>
      </c>
      <c r="J1119" s="11">
        <f t="shared" si="1075"/>
        <v>0</v>
      </c>
      <c r="L1119" s="26"/>
      <c r="M1119" s="8"/>
      <c r="N1119" s="9"/>
      <c r="O1119" s="52"/>
      <c r="P1119" s="87">
        <f t="shared" si="1070"/>
        <v>0</v>
      </c>
      <c r="Q1119" s="12"/>
      <c r="R1119" s="9"/>
      <c r="S1119" s="10"/>
      <c r="T1119" s="49">
        <f t="shared" si="1071"/>
        <v>0</v>
      </c>
      <c r="U1119" s="11">
        <f t="shared" si="1072"/>
        <v>0</v>
      </c>
    </row>
    <row r="1120" spans="1:22" x14ac:dyDescent="0.15">
      <c r="A1120" s="26"/>
      <c r="B1120" s="8"/>
      <c r="C1120" s="9"/>
      <c r="D1120" s="10"/>
      <c r="E1120" s="49">
        <f t="shared" si="1073"/>
        <v>0</v>
      </c>
      <c r="F1120" s="12"/>
      <c r="G1120" s="9"/>
      <c r="H1120" s="10"/>
      <c r="I1120" s="49">
        <f t="shared" si="1074"/>
        <v>0</v>
      </c>
      <c r="J1120" s="11">
        <f t="shared" si="1075"/>
        <v>0</v>
      </c>
      <c r="L1120" s="26"/>
      <c r="M1120" s="8"/>
      <c r="N1120" s="9"/>
      <c r="O1120" s="52"/>
      <c r="P1120" s="87">
        <f t="shared" si="1070"/>
        <v>0</v>
      </c>
      <c r="Q1120" s="12"/>
      <c r="R1120" s="9"/>
      <c r="S1120" s="10"/>
      <c r="T1120" s="49">
        <f t="shared" si="1071"/>
        <v>0</v>
      </c>
      <c r="U1120" s="11">
        <f t="shared" si="1072"/>
        <v>0</v>
      </c>
    </row>
    <row r="1121" spans="1:21" x14ac:dyDescent="0.15">
      <c r="A1121" s="24"/>
      <c r="B1121" s="8"/>
      <c r="C1121" s="9"/>
      <c r="D1121" s="10"/>
      <c r="E1121" s="49">
        <f t="shared" si="1073"/>
        <v>0</v>
      </c>
      <c r="F1121" s="12"/>
      <c r="G1121" s="9"/>
      <c r="H1121" s="10"/>
      <c r="I1121" s="49">
        <f t="shared" si="1074"/>
        <v>0</v>
      </c>
      <c r="J1121" s="11">
        <f t="shared" si="1075"/>
        <v>0</v>
      </c>
      <c r="L1121" s="26"/>
      <c r="M1121" s="8"/>
      <c r="N1121" s="9"/>
      <c r="O1121" s="52"/>
      <c r="P1121" s="87">
        <f t="shared" si="1070"/>
        <v>0</v>
      </c>
      <c r="Q1121" s="12"/>
      <c r="R1121" s="9"/>
      <c r="S1121" s="10"/>
      <c r="T1121" s="49">
        <f t="shared" si="1071"/>
        <v>0</v>
      </c>
      <c r="U1121" s="11">
        <f t="shared" si="1072"/>
        <v>0</v>
      </c>
    </row>
    <row r="1122" spans="1:21" x14ac:dyDescent="0.15">
      <c r="A1122" s="25"/>
      <c r="B1122" s="8"/>
      <c r="C1122" s="9"/>
      <c r="D1122" s="10"/>
      <c r="E1122" s="49">
        <f t="shared" si="1073"/>
        <v>0</v>
      </c>
      <c r="F1122" s="12"/>
      <c r="G1122" s="9"/>
      <c r="H1122" s="10"/>
      <c r="I1122" s="49">
        <f t="shared" si="1074"/>
        <v>0</v>
      </c>
      <c r="J1122" s="11">
        <f t="shared" si="1075"/>
        <v>0</v>
      </c>
      <c r="L1122" s="26"/>
      <c r="M1122" s="8"/>
      <c r="N1122" s="9"/>
      <c r="O1122" s="52"/>
      <c r="P1122" s="87">
        <f t="shared" si="1070"/>
        <v>0</v>
      </c>
      <c r="Q1122" s="12"/>
      <c r="R1122" s="9"/>
      <c r="S1122" s="10"/>
      <c r="T1122" s="49">
        <f t="shared" si="1071"/>
        <v>0</v>
      </c>
      <c r="U1122" s="11">
        <f t="shared" si="1072"/>
        <v>0</v>
      </c>
    </row>
    <row r="1123" spans="1:21" x14ac:dyDescent="0.15">
      <c r="A1123" s="26"/>
      <c r="B1123" s="8"/>
      <c r="C1123" s="9"/>
      <c r="D1123" s="10"/>
      <c r="E1123" s="49">
        <f t="shared" si="1073"/>
        <v>0</v>
      </c>
      <c r="F1123" s="12"/>
      <c r="G1123" s="9"/>
      <c r="H1123" s="10"/>
      <c r="I1123" s="49">
        <f t="shared" si="1074"/>
        <v>0</v>
      </c>
      <c r="J1123" s="11">
        <f t="shared" si="1075"/>
        <v>0</v>
      </c>
      <c r="L1123" s="26"/>
      <c r="M1123" s="8"/>
      <c r="N1123" s="9"/>
      <c r="O1123" s="52"/>
      <c r="P1123" s="87">
        <f t="shared" si="1070"/>
        <v>0</v>
      </c>
      <c r="Q1123" s="12"/>
      <c r="R1123" s="9"/>
      <c r="S1123" s="10"/>
      <c r="T1123" s="49">
        <f t="shared" si="1071"/>
        <v>0</v>
      </c>
      <c r="U1123" s="11">
        <f t="shared" si="1072"/>
        <v>0</v>
      </c>
    </row>
    <row r="1124" spans="1:21" x14ac:dyDescent="0.15">
      <c r="A1124" s="24"/>
      <c r="B1124" s="8"/>
      <c r="C1124" s="9"/>
      <c r="D1124" s="10"/>
      <c r="E1124" s="49">
        <f t="shared" si="1073"/>
        <v>0</v>
      </c>
      <c r="F1124" s="12"/>
      <c r="G1124" s="9"/>
      <c r="H1124" s="10"/>
      <c r="I1124" s="49">
        <f t="shared" si="1074"/>
        <v>0</v>
      </c>
      <c r="J1124" s="11">
        <f t="shared" si="1075"/>
        <v>0</v>
      </c>
      <c r="L1124" s="26"/>
      <c r="M1124" s="8"/>
      <c r="N1124" s="9"/>
      <c r="O1124" s="52"/>
      <c r="P1124" s="87">
        <f t="shared" si="1070"/>
        <v>0</v>
      </c>
      <c r="Q1124" s="12"/>
      <c r="R1124" s="9"/>
      <c r="S1124" s="10"/>
      <c r="T1124" s="49">
        <f t="shared" si="1071"/>
        <v>0</v>
      </c>
      <c r="U1124" s="11">
        <f t="shared" si="1072"/>
        <v>0</v>
      </c>
    </row>
    <row r="1125" spans="1:21" x14ac:dyDescent="0.15">
      <c r="B1125" s="13"/>
      <c r="C1125" s="14"/>
      <c r="D1125" s="15"/>
      <c r="E1125" s="49">
        <f t="shared" si="1073"/>
        <v>0</v>
      </c>
      <c r="F1125" s="16"/>
      <c r="G1125" s="14"/>
      <c r="H1125" s="15"/>
      <c r="I1125" s="49">
        <f t="shared" si="1074"/>
        <v>0</v>
      </c>
      <c r="J1125" s="11">
        <f t="shared" si="1075"/>
        <v>0</v>
      </c>
      <c r="L1125" s="26"/>
      <c r="M1125" s="8"/>
      <c r="N1125" s="9"/>
      <c r="O1125" s="52"/>
      <c r="P1125" s="87">
        <f t="shared" si="1070"/>
        <v>0</v>
      </c>
      <c r="Q1125" s="12"/>
      <c r="R1125" s="9"/>
      <c r="S1125" s="10"/>
      <c r="T1125" s="49">
        <f t="shared" si="1071"/>
        <v>0</v>
      </c>
      <c r="U1125" s="11">
        <f t="shared" si="1072"/>
        <v>0</v>
      </c>
    </row>
    <row r="1126" spans="1:21" x14ac:dyDescent="0.15">
      <c r="A1126" s="26"/>
      <c r="B1126" s="8"/>
      <c r="C1126" s="9"/>
      <c r="D1126" s="10"/>
      <c r="E1126" s="49">
        <f t="shared" si="1073"/>
        <v>0</v>
      </c>
      <c r="F1126" s="12"/>
      <c r="G1126" s="9"/>
      <c r="H1126" s="10"/>
      <c r="I1126" s="49">
        <f t="shared" si="1074"/>
        <v>0</v>
      </c>
      <c r="J1126" s="11">
        <f t="shared" si="1075"/>
        <v>0</v>
      </c>
      <c r="L1126" s="26"/>
      <c r="M1126" s="8"/>
      <c r="N1126" s="9"/>
      <c r="O1126" s="52"/>
      <c r="P1126" s="87">
        <f t="shared" ref="P1126:P1130" si="1076">SUM(M1126:O1126)</f>
        <v>0</v>
      </c>
      <c r="Q1126" s="12"/>
      <c r="R1126" s="9"/>
      <c r="S1126" s="10"/>
      <c r="T1126" s="49">
        <f t="shared" ref="T1126:T1130" si="1077">SUM(Q1126:S1126)</f>
        <v>0</v>
      </c>
      <c r="U1126" s="11">
        <f t="shared" ref="U1126:U1129" si="1078">P1126+T1126</f>
        <v>0</v>
      </c>
    </row>
    <row r="1127" spans="1:21" x14ac:dyDescent="0.15">
      <c r="A1127" s="26"/>
      <c r="B1127" s="8"/>
      <c r="C1127" s="9"/>
      <c r="D1127" s="10"/>
      <c r="E1127" s="49">
        <f t="shared" si="1073"/>
        <v>0</v>
      </c>
      <c r="F1127" s="12"/>
      <c r="G1127" s="9"/>
      <c r="H1127" s="10"/>
      <c r="I1127" s="49">
        <f t="shared" si="1074"/>
        <v>0</v>
      </c>
      <c r="J1127" s="11">
        <f t="shared" si="1075"/>
        <v>0</v>
      </c>
      <c r="L1127" s="26"/>
      <c r="M1127" s="8"/>
      <c r="N1127" s="9"/>
      <c r="O1127" s="52"/>
      <c r="P1127" s="87">
        <f t="shared" si="1076"/>
        <v>0</v>
      </c>
      <c r="Q1127" s="12"/>
      <c r="R1127" s="9"/>
      <c r="S1127" s="10"/>
      <c r="T1127" s="49">
        <f t="shared" si="1077"/>
        <v>0</v>
      </c>
      <c r="U1127" s="11">
        <f t="shared" si="1078"/>
        <v>0</v>
      </c>
    </row>
    <row r="1128" spans="1:21" x14ac:dyDescent="0.15">
      <c r="A1128" s="26"/>
      <c r="B1128" s="8"/>
      <c r="C1128" s="9"/>
      <c r="D1128" s="10"/>
      <c r="E1128" s="49">
        <f t="shared" si="1073"/>
        <v>0</v>
      </c>
      <c r="F1128" s="12"/>
      <c r="G1128" s="9"/>
      <c r="H1128" s="10"/>
      <c r="I1128" s="49">
        <f t="shared" si="1074"/>
        <v>0</v>
      </c>
      <c r="J1128" s="11">
        <f t="shared" si="1075"/>
        <v>0</v>
      </c>
      <c r="L1128" s="26"/>
      <c r="M1128" s="8"/>
      <c r="N1128" s="9"/>
      <c r="O1128" s="52"/>
      <c r="P1128" s="87">
        <f t="shared" si="1076"/>
        <v>0</v>
      </c>
      <c r="Q1128" s="12"/>
      <c r="R1128" s="9"/>
      <c r="S1128" s="10"/>
      <c r="T1128" s="49">
        <f t="shared" si="1077"/>
        <v>0</v>
      </c>
      <c r="U1128" s="11">
        <f t="shared" si="1078"/>
        <v>0</v>
      </c>
    </row>
    <row r="1129" spans="1:21" ht="14.25" thickBot="1" x14ac:dyDescent="0.2">
      <c r="A1129" s="26"/>
      <c r="B1129" s="8"/>
      <c r="C1129" s="9"/>
      <c r="D1129" s="10"/>
      <c r="E1129" s="49">
        <f t="shared" si="1073"/>
        <v>0</v>
      </c>
      <c r="F1129" s="12"/>
      <c r="G1129" s="9"/>
      <c r="H1129" s="10"/>
      <c r="I1129" s="49">
        <f t="shared" si="1074"/>
        <v>0</v>
      </c>
      <c r="J1129" s="11">
        <f t="shared" si="1075"/>
        <v>0</v>
      </c>
      <c r="L1129" s="26"/>
      <c r="M1129" s="8"/>
      <c r="N1129" s="9"/>
      <c r="O1129" s="52"/>
      <c r="P1129" s="87">
        <f t="shared" si="1076"/>
        <v>0</v>
      </c>
      <c r="Q1129" s="12"/>
      <c r="R1129" s="9"/>
      <c r="S1129" s="10"/>
      <c r="T1129" s="49">
        <f t="shared" si="1077"/>
        <v>0</v>
      </c>
      <c r="U1129" s="11">
        <f t="shared" si="1078"/>
        <v>0</v>
      </c>
    </row>
    <row r="1130" spans="1:21" ht="14.25" thickBot="1" x14ac:dyDescent="0.2">
      <c r="A1130" s="41" t="s">
        <v>17</v>
      </c>
      <c r="B1130" s="46">
        <f>SUM(B1104:B1129)</f>
        <v>0</v>
      </c>
      <c r="C1130" s="47">
        <f t="shared" ref="C1130:D1130" si="1079">SUM(C1104:C1129)</f>
        <v>0</v>
      </c>
      <c r="D1130" s="58">
        <f t="shared" si="1079"/>
        <v>0</v>
      </c>
      <c r="E1130" s="45">
        <f t="shared" si="1073"/>
        <v>0</v>
      </c>
      <c r="F1130" s="46">
        <f>SUM(F1104:F1129)</f>
        <v>0</v>
      </c>
      <c r="G1130" s="47">
        <f t="shared" ref="G1130:H1130" si="1080">SUM(G1104:G1129)</f>
        <v>0</v>
      </c>
      <c r="H1130" s="58">
        <f t="shared" si="1080"/>
        <v>0</v>
      </c>
      <c r="I1130" s="45">
        <f t="shared" si="1074"/>
        <v>0</v>
      </c>
      <c r="J1130" s="45">
        <f>E1130+I1130</f>
        <v>0</v>
      </c>
      <c r="L1130" s="41" t="s">
        <v>17</v>
      </c>
      <c r="M1130" s="46">
        <f>SUM(M1104:M1129)</f>
        <v>1</v>
      </c>
      <c r="N1130" s="47">
        <f t="shared" ref="N1130:O1130" si="1081">SUM(N1104:N1129)</f>
        <v>0</v>
      </c>
      <c r="O1130" s="58">
        <f t="shared" si="1081"/>
        <v>1</v>
      </c>
      <c r="P1130" s="45">
        <f t="shared" si="1076"/>
        <v>2</v>
      </c>
      <c r="Q1130" s="46">
        <f>SUM(Q1104:Q1129)</f>
        <v>1</v>
      </c>
      <c r="R1130" s="47">
        <f t="shared" ref="R1130:S1130" si="1082">SUM(R1104:R1129)</f>
        <v>0</v>
      </c>
      <c r="S1130" s="58">
        <f t="shared" si="1082"/>
        <v>1</v>
      </c>
      <c r="T1130" s="45">
        <f t="shared" si="1077"/>
        <v>2</v>
      </c>
      <c r="U1130" s="45">
        <f>P1130+T1130</f>
        <v>4</v>
      </c>
    </row>
    <row r="1131" spans="1:21" ht="14.25" thickBot="1" x14ac:dyDescent="0.2">
      <c r="A1131" s="22" t="s">
        <v>16</v>
      </c>
      <c r="B1131" s="50">
        <f>B1103-B1130</f>
        <v>0</v>
      </c>
      <c r="C1131" s="56">
        <f t="shared" ref="C1131:D1131" si="1083">C1103-C1130</f>
        <v>0</v>
      </c>
      <c r="D1131" s="57">
        <f t="shared" si="1083"/>
        <v>1</v>
      </c>
      <c r="E1131" s="55">
        <f>SUM(B1131:D1131)</f>
        <v>1</v>
      </c>
      <c r="F1131" s="50">
        <f>F1103-F1130</f>
        <v>0</v>
      </c>
      <c r="G1131" s="56">
        <f t="shared" ref="G1131:H1131" si="1084">G1103-G1130</f>
        <v>0</v>
      </c>
      <c r="H1131" s="57">
        <f t="shared" si="1084"/>
        <v>1</v>
      </c>
      <c r="I1131" s="55">
        <f>SUM(F1131:H1131)</f>
        <v>1</v>
      </c>
      <c r="J1131" s="31">
        <f>E1131+I1131</f>
        <v>2</v>
      </c>
      <c r="L1131" s="22" t="s">
        <v>16</v>
      </c>
      <c r="M1131" s="50">
        <f>M1103-M1130</f>
        <v>5</v>
      </c>
      <c r="N1131" s="56">
        <f t="shared" ref="N1131:O1131" si="1085">N1103-N1130</f>
        <v>0</v>
      </c>
      <c r="O1131" s="57">
        <f t="shared" si="1085"/>
        <v>11</v>
      </c>
      <c r="P1131" s="55">
        <f>SUM(M1131:O1131)</f>
        <v>16</v>
      </c>
      <c r="Q1131" s="50">
        <f>Q1103-Q1130</f>
        <v>5</v>
      </c>
      <c r="R1131" s="56">
        <f t="shared" ref="R1131:S1131" si="1086">R1103-R1130</f>
        <v>0</v>
      </c>
      <c r="S1131" s="57">
        <f t="shared" si="1086"/>
        <v>11</v>
      </c>
      <c r="T1131" s="55">
        <f>SUM(Q1131:S1131)</f>
        <v>16</v>
      </c>
      <c r="U1131" s="31">
        <f>P1131+T1131</f>
        <v>32</v>
      </c>
    </row>
    <row r="1132" spans="1:21" ht="30" customHeight="1" x14ac:dyDescent="0.15">
      <c r="A1132" s="181" t="s">
        <v>940</v>
      </c>
      <c r="B1132" s="181"/>
      <c r="C1132" s="181"/>
      <c r="D1132" s="181"/>
      <c r="E1132" s="181"/>
      <c r="F1132" s="181"/>
      <c r="G1132" s="181"/>
      <c r="H1132" s="181"/>
      <c r="I1132" s="181"/>
      <c r="J1132" s="181"/>
      <c r="K1132" s="181"/>
      <c r="L1132" s="181"/>
      <c r="M1132" s="181"/>
      <c r="N1132" s="181"/>
      <c r="O1132" s="181"/>
      <c r="P1132" s="181"/>
      <c r="Q1132" s="181"/>
      <c r="R1132" s="181"/>
      <c r="S1132" s="181"/>
      <c r="T1132" s="181"/>
      <c r="U1132" s="181"/>
    </row>
    <row r="1133" spans="1:21" ht="17.25" customHeight="1" x14ac:dyDescent="0.15">
      <c r="A1133" s="151"/>
      <c r="B1133" s="151"/>
      <c r="C1133" s="151"/>
      <c r="D1133" s="151"/>
      <c r="E1133" s="151"/>
      <c r="F1133" s="151"/>
      <c r="G1133" s="151"/>
      <c r="H1133" s="151"/>
      <c r="I1133" s="151"/>
      <c r="J1133" s="151"/>
      <c r="K1133" s="151"/>
      <c r="L1133" s="151"/>
      <c r="M1133" s="151"/>
      <c r="N1133" s="151"/>
      <c r="O1133" s="151"/>
      <c r="P1133" s="151"/>
      <c r="Q1133" s="151"/>
      <c r="R1133" s="151"/>
      <c r="S1133" s="151"/>
      <c r="T1133" s="151"/>
      <c r="U1133" s="151"/>
    </row>
    <row r="1134" spans="1:21" ht="19.5" thickBot="1" x14ac:dyDescent="0.25">
      <c r="A1134" s="3" t="s">
        <v>678</v>
      </c>
      <c r="L1134" s="3" t="s">
        <v>677</v>
      </c>
    </row>
    <row r="1135" spans="1:21" ht="14.25" thickBot="1" x14ac:dyDescent="0.2">
      <c r="A1135" s="7"/>
      <c r="B1135" s="169" t="s">
        <v>22</v>
      </c>
      <c r="C1135" s="170"/>
      <c r="D1135" s="170"/>
      <c r="E1135" s="171"/>
      <c r="F1135" s="169" t="s">
        <v>23</v>
      </c>
      <c r="G1135" s="170"/>
      <c r="H1135" s="170"/>
      <c r="I1135" s="171"/>
      <c r="J1135" s="172" t="s">
        <v>0</v>
      </c>
      <c r="L1135" s="7"/>
      <c r="M1135" s="169" t="s">
        <v>22</v>
      </c>
      <c r="N1135" s="170"/>
      <c r="O1135" s="170"/>
      <c r="P1135" s="171"/>
      <c r="Q1135" s="169" t="s">
        <v>23</v>
      </c>
      <c r="R1135" s="170"/>
      <c r="S1135" s="170"/>
      <c r="T1135" s="171"/>
      <c r="U1135" s="172" t="s">
        <v>0</v>
      </c>
    </row>
    <row r="1136" spans="1:21" ht="14.25" thickBot="1" x14ac:dyDescent="0.2">
      <c r="A1136" s="7" t="s">
        <v>1</v>
      </c>
      <c r="B1136" s="4" t="s">
        <v>2</v>
      </c>
      <c r="C1136" s="5" t="s">
        <v>3</v>
      </c>
      <c r="D1136" s="6" t="s">
        <v>4</v>
      </c>
      <c r="E1136" s="7" t="s">
        <v>5</v>
      </c>
      <c r="F1136" s="4" t="s">
        <v>2</v>
      </c>
      <c r="G1136" s="5" t="s">
        <v>3</v>
      </c>
      <c r="H1136" s="6" t="s">
        <v>4</v>
      </c>
      <c r="I1136" s="7" t="s">
        <v>5</v>
      </c>
      <c r="J1136" s="173"/>
      <c r="L1136" s="7" t="s">
        <v>1</v>
      </c>
      <c r="M1136" s="4" t="s">
        <v>2</v>
      </c>
      <c r="N1136" s="5" t="s">
        <v>3</v>
      </c>
      <c r="O1136" s="6" t="s">
        <v>4</v>
      </c>
      <c r="P1136" s="7" t="s">
        <v>5</v>
      </c>
      <c r="Q1136" s="4" t="s">
        <v>2</v>
      </c>
      <c r="R1136" s="5" t="s">
        <v>3</v>
      </c>
      <c r="S1136" s="6" t="s">
        <v>4</v>
      </c>
      <c r="T1136" s="7" t="s">
        <v>5</v>
      </c>
      <c r="U1136" s="173"/>
    </row>
    <row r="1137" spans="1:23" ht="14.25" thickBot="1" x14ac:dyDescent="0.2">
      <c r="A1137" s="140" t="s">
        <v>16</v>
      </c>
      <c r="B1137" s="28">
        <f>B1131</f>
        <v>0</v>
      </c>
      <c r="C1137" s="126">
        <f t="shared" ref="C1137:E1137" si="1087">C1131</f>
        <v>0</v>
      </c>
      <c r="D1137" s="127">
        <f t="shared" si="1087"/>
        <v>1</v>
      </c>
      <c r="E1137" s="28">
        <f t="shared" si="1087"/>
        <v>1</v>
      </c>
      <c r="F1137" s="126">
        <f>F1131</f>
        <v>0</v>
      </c>
      <c r="G1137" s="126">
        <f t="shared" ref="G1137:J1137" si="1088">G1131</f>
        <v>0</v>
      </c>
      <c r="H1137" s="127">
        <f t="shared" si="1088"/>
        <v>1</v>
      </c>
      <c r="I1137" s="28">
        <f t="shared" si="1088"/>
        <v>1</v>
      </c>
      <c r="J1137" s="28">
        <f t="shared" si="1088"/>
        <v>2</v>
      </c>
      <c r="L1137" s="128" t="s">
        <v>16</v>
      </c>
      <c r="M1137" s="126">
        <f>M1131</f>
        <v>5</v>
      </c>
      <c r="N1137" s="126">
        <f t="shared" ref="N1137:P1137" si="1089">N1131</f>
        <v>0</v>
      </c>
      <c r="O1137" s="127">
        <f t="shared" si="1089"/>
        <v>11</v>
      </c>
      <c r="P1137" s="31">
        <f t="shared" si="1089"/>
        <v>16</v>
      </c>
      <c r="Q1137" s="126">
        <f>Q1131</f>
        <v>5</v>
      </c>
      <c r="R1137" s="126">
        <f t="shared" ref="R1137:U1137" si="1090">R1131</f>
        <v>0</v>
      </c>
      <c r="S1137" s="127">
        <f t="shared" si="1090"/>
        <v>11</v>
      </c>
      <c r="T1137" s="31">
        <f t="shared" si="1090"/>
        <v>16</v>
      </c>
      <c r="U1137" s="28">
        <f t="shared" si="1090"/>
        <v>32</v>
      </c>
    </row>
    <row r="1138" spans="1:23" x14ac:dyDescent="0.15">
      <c r="A1138" s="25" t="s">
        <v>7</v>
      </c>
      <c r="B1138" s="8"/>
      <c r="C1138" s="9"/>
      <c r="D1138" s="52"/>
      <c r="E1138" s="11">
        <f t="shared" ref="E1138:E1145" si="1091">SUM(B1138:D1138)</f>
        <v>0</v>
      </c>
      <c r="F1138" s="12"/>
      <c r="G1138" s="9"/>
      <c r="H1138" s="10"/>
      <c r="I1138" s="11">
        <f t="shared" ref="I1138:I1145" si="1092">SUM(F1138:H1138)</f>
        <v>0</v>
      </c>
      <c r="J1138" s="11">
        <f t="shared" ref="J1138:J1145" si="1093">E1138+I1138</f>
        <v>0</v>
      </c>
      <c r="L1138" s="25" t="s">
        <v>7</v>
      </c>
      <c r="M1138" s="17"/>
      <c r="N1138" s="18"/>
      <c r="O1138" s="51"/>
      <c r="P1138" s="49">
        <f t="shared" ref="P1138:P1144" si="1094">SUM(M1138:O1138)</f>
        <v>0</v>
      </c>
      <c r="Q1138" s="17"/>
      <c r="R1138" s="18"/>
      <c r="S1138" s="51"/>
      <c r="T1138" s="49">
        <f t="shared" ref="T1138:T1144" si="1095">SUM(Q1138:S1138)</f>
        <v>0</v>
      </c>
      <c r="U1138" s="11">
        <f t="shared" ref="U1138:U1144" si="1096">P1138+T1138</f>
        <v>0</v>
      </c>
    </row>
    <row r="1139" spans="1:23" x14ac:dyDescent="0.15">
      <c r="A1139" s="25" t="s">
        <v>8</v>
      </c>
      <c r="B1139" s="8"/>
      <c r="C1139" s="9"/>
      <c r="D1139" s="52"/>
      <c r="E1139" s="11">
        <f t="shared" si="1091"/>
        <v>0</v>
      </c>
      <c r="F1139" s="12"/>
      <c r="G1139" s="9"/>
      <c r="H1139" s="10"/>
      <c r="I1139" s="11">
        <f t="shared" si="1092"/>
        <v>0</v>
      </c>
      <c r="J1139" s="11">
        <f t="shared" si="1093"/>
        <v>0</v>
      </c>
      <c r="L1139" s="25" t="s">
        <v>935</v>
      </c>
      <c r="M1139" s="17">
        <v>110</v>
      </c>
      <c r="N1139" s="18">
        <v>120</v>
      </c>
      <c r="O1139" s="51">
        <v>70</v>
      </c>
      <c r="P1139" s="49">
        <f t="shared" si="1094"/>
        <v>300</v>
      </c>
      <c r="Q1139" s="17">
        <v>110</v>
      </c>
      <c r="R1139" s="18">
        <v>120</v>
      </c>
      <c r="S1139" s="51">
        <v>70</v>
      </c>
      <c r="T1139" s="49">
        <f t="shared" si="1095"/>
        <v>300</v>
      </c>
      <c r="U1139" s="11">
        <f t="shared" si="1096"/>
        <v>600</v>
      </c>
      <c r="V1139" s="98" t="s">
        <v>944</v>
      </c>
      <c r="W1139" s="66" t="s">
        <v>937</v>
      </c>
    </row>
    <row r="1140" spans="1:23" x14ac:dyDescent="0.15">
      <c r="A1140" s="25" t="s">
        <v>9</v>
      </c>
      <c r="B1140" s="8"/>
      <c r="C1140" s="9"/>
      <c r="D1140" s="52"/>
      <c r="E1140" s="11">
        <f t="shared" si="1091"/>
        <v>0</v>
      </c>
      <c r="F1140" s="12"/>
      <c r="G1140" s="9"/>
      <c r="H1140" s="10"/>
      <c r="I1140" s="11">
        <f t="shared" si="1092"/>
        <v>0</v>
      </c>
      <c r="J1140" s="11">
        <f t="shared" si="1093"/>
        <v>0</v>
      </c>
      <c r="L1140" s="25" t="s">
        <v>676</v>
      </c>
      <c r="M1140" s="17">
        <v>40</v>
      </c>
      <c r="N1140" s="18">
        <v>30</v>
      </c>
      <c r="O1140" s="51">
        <v>30</v>
      </c>
      <c r="P1140" s="49">
        <f t="shared" si="1094"/>
        <v>100</v>
      </c>
      <c r="Q1140" s="17">
        <v>40</v>
      </c>
      <c r="R1140" s="18">
        <v>30</v>
      </c>
      <c r="S1140" s="51">
        <v>30</v>
      </c>
      <c r="T1140" s="49">
        <f t="shared" si="1095"/>
        <v>100</v>
      </c>
      <c r="U1140" s="11">
        <f t="shared" si="1096"/>
        <v>200</v>
      </c>
      <c r="V1140" s="98">
        <v>45909</v>
      </c>
      <c r="W1140" s="66"/>
    </row>
    <row r="1141" spans="1:23" x14ac:dyDescent="0.15">
      <c r="A1141" s="25" t="s">
        <v>10</v>
      </c>
      <c r="B1141" s="8"/>
      <c r="C1141" s="9"/>
      <c r="D1141" s="52"/>
      <c r="E1141" s="11">
        <f t="shared" si="1091"/>
        <v>0</v>
      </c>
      <c r="F1141" s="12"/>
      <c r="G1141" s="9"/>
      <c r="H1141" s="10"/>
      <c r="I1141" s="11">
        <f t="shared" si="1092"/>
        <v>0</v>
      </c>
      <c r="J1141" s="11">
        <f t="shared" si="1093"/>
        <v>0</v>
      </c>
      <c r="L1141" s="25" t="s">
        <v>10</v>
      </c>
      <c r="M1141" s="17"/>
      <c r="N1141" s="18"/>
      <c r="O1141" s="51"/>
      <c r="P1141" s="49">
        <f t="shared" ref="P1141:P1142" si="1097">SUM(M1141:O1141)</f>
        <v>0</v>
      </c>
      <c r="Q1141" s="17"/>
      <c r="R1141" s="18"/>
      <c r="S1141" s="51"/>
      <c r="T1141" s="49">
        <f t="shared" ref="T1141:T1142" si="1098">SUM(Q1141:S1141)</f>
        <v>0</v>
      </c>
      <c r="U1141" s="11">
        <f t="shared" ref="U1141:U1142" si="1099">P1141+T1141</f>
        <v>0</v>
      </c>
    </row>
    <row r="1142" spans="1:23" x14ac:dyDescent="0.15">
      <c r="A1142" s="25" t="s">
        <v>11</v>
      </c>
      <c r="B1142" s="8"/>
      <c r="C1142" s="9"/>
      <c r="D1142" s="52"/>
      <c r="E1142" s="11">
        <f t="shared" si="1091"/>
        <v>0</v>
      </c>
      <c r="F1142" s="12"/>
      <c r="G1142" s="9"/>
      <c r="H1142" s="10"/>
      <c r="I1142" s="11">
        <f t="shared" si="1092"/>
        <v>0</v>
      </c>
      <c r="J1142" s="11">
        <f t="shared" si="1093"/>
        <v>0</v>
      </c>
      <c r="L1142" s="25" t="s">
        <v>11</v>
      </c>
      <c r="M1142" s="17"/>
      <c r="N1142" s="18"/>
      <c r="O1142" s="51"/>
      <c r="P1142" s="49">
        <f t="shared" si="1097"/>
        <v>0</v>
      </c>
      <c r="Q1142" s="17"/>
      <c r="R1142" s="18"/>
      <c r="S1142" s="51"/>
      <c r="T1142" s="49">
        <f t="shared" si="1098"/>
        <v>0</v>
      </c>
      <c r="U1142" s="11">
        <f t="shared" si="1099"/>
        <v>0</v>
      </c>
    </row>
    <row r="1143" spans="1:23" x14ac:dyDescent="0.15">
      <c r="A1143" s="25" t="s">
        <v>12</v>
      </c>
      <c r="B1143" s="8"/>
      <c r="C1143" s="9"/>
      <c r="D1143" s="52"/>
      <c r="E1143" s="11">
        <f t="shared" si="1091"/>
        <v>0</v>
      </c>
      <c r="F1143" s="12"/>
      <c r="G1143" s="9"/>
      <c r="H1143" s="10"/>
      <c r="I1143" s="11">
        <f t="shared" si="1092"/>
        <v>0</v>
      </c>
      <c r="J1143" s="11">
        <f t="shared" si="1093"/>
        <v>0</v>
      </c>
      <c r="L1143" s="25" t="s">
        <v>12</v>
      </c>
      <c r="M1143" s="17"/>
      <c r="N1143" s="18"/>
      <c r="O1143" s="51"/>
      <c r="P1143" s="49">
        <f t="shared" si="1094"/>
        <v>0</v>
      </c>
      <c r="Q1143" s="17"/>
      <c r="R1143" s="18"/>
      <c r="S1143" s="51"/>
      <c r="T1143" s="49">
        <f t="shared" si="1095"/>
        <v>0</v>
      </c>
      <c r="U1143" s="11">
        <f t="shared" si="1096"/>
        <v>0</v>
      </c>
    </row>
    <row r="1144" spans="1:23" x14ac:dyDescent="0.15">
      <c r="A1144" s="25" t="s">
        <v>13</v>
      </c>
      <c r="B1144" s="13"/>
      <c r="C1144" s="14"/>
      <c r="D1144" s="53"/>
      <c r="E1144" s="11">
        <f t="shared" si="1091"/>
        <v>0</v>
      </c>
      <c r="F1144" s="16"/>
      <c r="G1144" s="14"/>
      <c r="H1144" s="15"/>
      <c r="I1144" s="11">
        <f t="shared" si="1092"/>
        <v>0</v>
      </c>
      <c r="J1144" s="11">
        <f t="shared" si="1093"/>
        <v>0</v>
      </c>
      <c r="L1144" s="25" t="s">
        <v>13</v>
      </c>
      <c r="M1144" s="17"/>
      <c r="N1144" s="18"/>
      <c r="O1144" s="51"/>
      <c r="P1144" s="49">
        <f t="shared" si="1094"/>
        <v>0</v>
      </c>
      <c r="Q1144" s="17"/>
      <c r="R1144" s="18"/>
      <c r="S1144" s="51"/>
      <c r="T1144" s="49">
        <f t="shared" si="1095"/>
        <v>0</v>
      </c>
      <c r="U1144" s="11">
        <f t="shared" si="1096"/>
        <v>0</v>
      </c>
    </row>
    <row r="1145" spans="1:23" ht="14.25" thickBot="1" x14ac:dyDescent="0.2">
      <c r="A1145" s="25" t="s">
        <v>14</v>
      </c>
      <c r="B1145" s="32"/>
      <c r="C1145" s="33"/>
      <c r="D1145" s="54"/>
      <c r="E1145" s="61">
        <f t="shared" si="1091"/>
        <v>0</v>
      </c>
      <c r="F1145" s="34"/>
      <c r="G1145" s="34"/>
      <c r="H1145" s="37"/>
      <c r="I1145" s="61">
        <f t="shared" si="1092"/>
        <v>0</v>
      </c>
      <c r="J1145" s="21">
        <f t="shared" si="1093"/>
        <v>0</v>
      </c>
      <c r="L1145" s="25" t="s">
        <v>14</v>
      </c>
      <c r="M1145" s="17"/>
      <c r="N1145" s="18"/>
      <c r="O1145" s="51"/>
      <c r="P1145" s="49">
        <f t="shared" ref="P1145" si="1100">SUM(M1145:O1145)</f>
        <v>0</v>
      </c>
      <c r="Q1145" s="17"/>
      <c r="R1145" s="18"/>
      <c r="S1145" s="51"/>
      <c r="T1145" s="49">
        <f t="shared" ref="T1145" si="1101">SUM(Q1145:S1145)</f>
        <v>0</v>
      </c>
      <c r="U1145" s="11">
        <f t="shared" ref="U1145" si="1102">P1145+T1145</f>
        <v>0</v>
      </c>
    </row>
    <row r="1146" spans="1:23" ht="14.25" thickBot="1" x14ac:dyDescent="0.2">
      <c r="A1146" s="35" t="s">
        <v>15</v>
      </c>
      <c r="B1146" s="28">
        <f>SUM(B1137:B1145)</f>
        <v>0</v>
      </c>
      <c r="C1146" s="29">
        <f>SUM(C1137:C1145)</f>
        <v>0</v>
      </c>
      <c r="D1146" s="30">
        <f>SUM(D1137:D1145)</f>
        <v>1</v>
      </c>
      <c r="E1146" s="31">
        <f>SUM(B1146:D1146)</f>
        <v>1</v>
      </c>
      <c r="F1146" s="28">
        <f>SUM(F1137:F1145)</f>
        <v>0</v>
      </c>
      <c r="G1146" s="29">
        <f>SUM(G1137:G1145)</f>
        <v>0</v>
      </c>
      <c r="H1146" s="30">
        <f>SUM(H1137:H1145)</f>
        <v>1</v>
      </c>
      <c r="I1146" s="31">
        <f>SUM(F1146:H1146)</f>
        <v>1</v>
      </c>
      <c r="J1146" s="31">
        <f>E1146+I1146</f>
        <v>2</v>
      </c>
      <c r="L1146" s="35" t="s">
        <v>15</v>
      </c>
      <c r="M1146" s="28">
        <f>SUM(M1137:M1145)</f>
        <v>155</v>
      </c>
      <c r="N1146" s="29">
        <f>SUM(N1137:N1145)</f>
        <v>150</v>
      </c>
      <c r="O1146" s="30">
        <f>SUM(O1137:O1145)</f>
        <v>111</v>
      </c>
      <c r="P1146" s="31">
        <f>SUM(M1146:O1146)</f>
        <v>416</v>
      </c>
      <c r="Q1146" s="28">
        <f>SUM(Q1137:Q1145)</f>
        <v>155</v>
      </c>
      <c r="R1146" s="29">
        <f>SUM(R1137:R1145)</f>
        <v>150</v>
      </c>
      <c r="S1146" s="30">
        <f>SUM(S1137:S1145)</f>
        <v>111</v>
      </c>
      <c r="T1146" s="31">
        <f>SUM(Q1146:S1146)</f>
        <v>416</v>
      </c>
      <c r="U1146" s="31">
        <f>P1146+T1146</f>
        <v>832</v>
      </c>
    </row>
    <row r="1147" spans="1:23" x14ac:dyDescent="0.15">
      <c r="A1147" s="26"/>
      <c r="B1147" s="13"/>
      <c r="C1147" s="14"/>
      <c r="D1147" s="15"/>
      <c r="E1147" s="49">
        <f t="shared" ref="E1147:E1149" si="1103">SUM(B1147:D1147)</f>
        <v>0</v>
      </c>
      <c r="F1147" s="16"/>
      <c r="G1147" s="14"/>
      <c r="H1147" s="15"/>
      <c r="I1147" s="49">
        <f t="shared" ref="I1147:I1149" si="1104">SUM(F1147:H1147)</f>
        <v>0</v>
      </c>
      <c r="J1147" s="11">
        <f t="shared" ref="J1147:J1149" si="1105">E1147+I1147</f>
        <v>0</v>
      </c>
      <c r="K1147" s="62"/>
      <c r="L1147" s="26" t="s">
        <v>110</v>
      </c>
      <c r="M1147" s="8">
        <v>2</v>
      </c>
      <c r="N1147" s="9"/>
      <c r="O1147" s="52"/>
      <c r="P1147" s="87">
        <f t="shared" ref="P1147:P1173" si="1106">SUM(M1147:O1147)</f>
        <v>2</v>
      </c>
      <c r="Q1147" s="12">
        <v>2</v>
      </c>
      <c r="R1147" s="9"/>
      <c r="S1147" s="10"/>
      <c r="T1147" s="49">
        <f t="shared" ref="T1147:T1173" si="1107">SUM(Q1147:S1147)</f>
        <v>2</v>
      </c>
      <c r="U1147" s="11">
        <f t="shared" ref="U1147:U1172" si="1108">P1147+T1147</f>
        <v>4</v>
      </c>
      <c r="V1147" s="98">
        <v>45931</v>
      </c>
    </row>
    <row r="1148" spans="1:23" x14ac:dyDescent="0.15">
      <c r="A1148" s="26"/>
      <c r="B1148" s="13"/>
      <c r="C1148" s="14"/>
      <c r="D1148" s="15"/>
      <c r="E1148" s="49">
        <f t="shared" si="1103"/>
        <v>0</v>
      </c>
      <c r="F1148" s="16"/>
      <c r="G1148" s="14"/>
      <c r="H1148" s="15"/>
      <c r="I1148" s="49">
        <f t="shared" si="1104"/>
        <v>0</v>
      </c>
      <c r="J1148" s="11">
        <f t="shared" si="1105"/>
        <v>0</v>
      </c>
      <c r="K1148" s="62"/>
      <c r="L1148" s="26" t="s">
        <v>113</v>
      </c>
      <c r="M1148" s="8"/>
      <c r="N1148" s="9"/>
      <c r="O1148" s="52">
        <v>2</v>
      </c>
      <c r="P1148" s="87">
        <f t="shared" si="1106"/>
        <v>2</v>
      </c>
      <c r="Q1148" s="12"/>
      <c r="R1148" s="9"/>
      <c r="S1148" s="10">
        <v>2</v>
      </c>
      <c r="T1148" s="49">
        <f t="shared" si="1107"/>
        <v>2</v>
      </c>
      <c r="U1148" s="11">
        <f t="shared" si="1108"/>
        <v>4</v>
      </c>
      <c r="V1148" s="98">
        <v>45932</v>
      </c>
    </row>
    <row r="1149" spans="1:23" x14ac:dyDescent="0.15">
      <c r="A1149" s="26"/>
      <c r="B1149" s="13"/>
      <c r="C1149" s="14"/>
      <c r="D1149" s="15"/>
      <c r="E1149" s="49">
        <f t="shared" si="1103"/>
        <v>0</v>
      </c>
      <c r="F1149" s="16"/>
      <c r="G1149" s="14"/>
      <c r="H1149" s="15"/>
      <c r="I1149" s="49">
        <f t="shared" si="1104"/>
        <v>0</v>
      </c>
      <c r="J1149" s="11">
        <f t="shared" si="1105"/>
        <v>0</v>
      </c>
      <c r="K1149" s="62"/>
      <c r="L1149" s="26" t="s">
        <v>115</v>
      </c>
      <c r="M1149" s="8">
        <v>8</v>
      </c>
      <c r="N1149" s="9">
        <v>6</v>
      </c>
      <c r="O1149" s="52">
        <v>8</v>
      </c>
      <c r="P1149" s="87">
        <f t="shared" si="1106"/>
        <v>22</v>
      </c>
      <c r="Q1149" s="12">
        <v>8</v>
      </c>
      <c r="R1149" s="9">
        <v>6</v>
      </c>
      <c r="S1149" s="10">
        <v>8</v>
      </c>
      <c r="T1149" s="49">
        <f t="shared" si="1107"/>
        <v>22</v>
      </c>
      <c r="U1149" s="11">
        <f t="shared" si="1108"/>
        <v>44</v>
      </c>
      <c r="V1149" s="98">
        <v>45933</v>
      </c>
      <c r="W1149" s="66"/>
    </row>
    <row r="1150" spans="1:23" x14ac:dyDescent="0.15">
      <c r="A1150" s="26"/>
      <c r="B1150" s="13"/>
      <c r="C1150" s="14"/>
      <c r="D1150" s="15"/>
      <c r="E1150" s="49">
        <f>SUM(B1150:D1150)</f>
        <v>0</v>
      </c>
      <c r="F1150" s="16"/>
      <c r="G1150" s="14"/>
      <c r="H1150" s="15"/>
      <c r="I1150" s="49">
        <f>SUM(F1150:H1150)</f>
        <v>0</v>
      </c>
      <c r="J1150" s="11">
        <f>E1150+I1150</f>
        <v>0</v>
      </c>
      <c r="K1150" s="62"/>
      <c r="L1150" s="26" t="s">
        <v>117</v>
      </c>
      <c r="M1150" s="8"/>
      <c r="N1150" s="9">
        <v>5</v>
      </c>
      <c r="O1150" s="52">
        <v>1</v>
      </c>
      <c r="P1150" s="87">
        <f t="shared" si="1106"/>
        <v>6</v>
      </c>
      <c r="Q1150" s="12"/>
      <c r="R1150" s="9">
        <v>5</v>
      </c>
      <c r="S1150" s="10">
        <v>1</v>
      </c>
      <c r="T1150" s="49">
        <f t="shared" si="1107"/>
        <v>6</v>
      </c>
      <c r="U1150" s="11">
        <f t="shared" si="1108"/>
        <v>12</v>
      </c>
      <c r="V1150" s="98">
        <v>45933</v>
      </c>
    </row>
    <row r="1151" spans="1:23" x14ac:dyDescent="0.15">
      <c r="A1151" s="26"/>
      <c r="B1151" s="8"/>
      <c r="C1151" s="9"/>
      <c r="D1151" s="10"/>
      <c r="E1151" s="49">
        <f t="shared" ref="E1151:E1173" si="1109">SUM(B1151:D1151)</f>
        <v>0</v>
      </c>
      <c r="F1151" s="12"/>
      <c r="G1151" s="9"/>
      <c r="H1151" s="10"/>
      <c r="I1151" s="49">
        <f t="shared" ref="I1151:I1173" si="1110">SUM(F1151:H1151)</f>
        <v>0</v>
      </c>
      <c r="J1151" s="11">
        <f t="shared" ref="J1151:J1172" si="1111">E1151+I1151</f>
        <v>0</v>
      </c>
      <c r="K1151" s="66"/>
      <c r="L1151" s="26" t="s">
        <v>118</v>
      </c>
      <c r="M1151" s="8">
        <v>3</v>
      </c>
      <c r="N1151" s="9">
        <v>8</v>
      </c>
      <c r="O1151" s="52">
        <v>4</v>
      </c>
      <c r="P1151" s="87">
        <f t="shared" si="1106"/>
        <v>15</v>
      </c>
      <c r="Q1151" s="12">
        <v>3</v>
      </c>
      <c r="R1151" s="9">
        <v>8</v>
      </c>
      <c r="S1151" s="10">
        <v>4</v>
      </c>
      <c r="T1151" s="49">
        <f t="shared" si="1107"/>
        <v>15</v>
      </c>
      <c r="U1151" s="11">
        <f t="shared" si="1108"/>
        <v>30</v>
      </c>
      <c r="V1151" s="98">
        <v>45936</v>
      </c>
    </row>
    <row r="1152" spans="1:23" x14ac:dyDescent="0.15">
      <c r="A1152" s="26"/>
      <c r="B1152" s="8"/>
      <c r="C1152" s="9"/>
      <c r="D1152" s="10"/>
      <c r="E1152" s="49">
        <f t="shared" si="1109"/>
        <v>0</v>
      </c>
      <c r="F1152" s="12"/>
      <c r="G1152" s="9"/>
      <c r="H1152" s="10"/>
      <c r="I1152" s="49">
        <f t="shared" si="1110"/>
        <v>0</v>
      </c>
      <c r="J1152" s="11">
        <f t="shared" si="1111"/>
        <v>0</v>
      </c>
      <c r="K1152" s="66"/>
      <c r="L1152" s="26" t="s">
        <v>122</v>
      </c>
      <c r="M1152" s="8">
        <v>13</v>
      </c>
      <c r="N1152" s="9">
        <v>7</v>
      </c>
      <c r="O1152" s="52">
        <v>3</v>
      </c>
      <c r="P1152" s="87">
        <f t="shared" si="1106"/>
        <v>23</v>
      </c>
      <c r="Q1152" s="12">
        <v>13</v>
      </c>
      <c r="R1152" s="9">
        <v>7</v>
      </c>
      <c r="S1152" s="10">
        <v>3</v>
      </c>
      <c r="T1152" s="49">
        <f t="shared" si="1107"/>
        <v>23</v>
      </c>
      <c r="U1152" s="11">
        <f t="shared" si="1108"/>
        <v>46</v>
      </c>
      <c r="V1152" s="98">
        <v>45938</v>
      </c>
      <c r="W1152" s="66"/>
    </row>
    <row r="1153" spans="1:23" x14ac:dyDescent="0.15">
      <c r="A1153" s="26"/>
      <c r="B1153" s="8"/>
      <c r="C1153" s="9"/>
      <c r="D1153" s="10"/>
      <c r="E1153" s="49">
        <f t="shared" si="1109"/>
        <v>0</v>
      </c>
      <c r="F1153" s="12"/>
      <c r="G1153" s="9"/>
      <c r="H1153" s="10"/>
      <c r="I1153" s="49">
        <f t="shared" si="1110"/>
        <v>0</v>
      </c>
      <c r="J1153" s="11">
        <f t="shared" si="1111"/>
        <v>0</v>
      </c>
      <c r="K1153" s="66"/>
      <c r="L1153" s="26" t="s">
        <v>126</v>
      </c>
      <c r="M1153" s="8">
        <v>1</v>
      </c>
      <c r="N1153" s="9">
        <v>1</v>
      </c>
      <c r="O1153" s="52"/>
      <c r="P1153" s="87">
        <f t="shared" si="1106"/>
        <v>2</v>
      </c>
      <c r="Q1153" s="12">
        <v>1</v>
      </c>
      <c r="R1153" s="9">
        <v>1</v>
      </c>
      <c r="S1153" s="10"/>
      <c r="T1153" s="49">
        <f t="shared" si="1107"/>
        <v>2</v>
      </c>
      <c r="U1153" s="11">
        <f t="shared" si="1108"/>
        <v>4</v>
      </c>
      <c r="V1153" s="98">
        <v>45939</v>
      </c>
      <c r="W1153" s="66"/>
    </row>
    <row r="1154" spans="1:23" x14ac:dyDescent="0.15">
      <c r="A1154" s="26"/>
      <c r="B1154" s="8"/>
      <c r="C1154" s="9"/>
      <c r="D1154" s="10"/>
      <c r="E1154" s="49">
        <f t="shared" si="1109"/>
        <v>0</v>
      </c>
      <c r="F1154" s="12"/>
      <c r="G1154" s="9"/>
      <c r="H1154" s="10"/>
      <c r="I1154" s="49">
        <f t="shared" si="1110"/>
        <v>0</v>
      </c>
      <c r="J1154" s="11">
        <f t="shared" si="1111"/>
        <v>0</v>
      </c>
      <c r="K1154" s="66"/>
      <c r="L1154" s="26" t="s">
        <v>127</v>
      </c>
      <c r="M1154" s="8">
        <v>4</v>
      </c>
      <c r="N1154" s="9">
        <v>4</v>
      </c>
      <c r="O1154" s="52">
        <v>4</v>
      </c>
      <c r="P1154" s="87">
        <f t="shared" si="1106"/>
        <v>12</v>
      </c>
      <c r="Q1154" s="12">
        <v>4</v>
      </c>
      <c r="R1154" s="9">
        <v>4</v>
      </c>
      <c r="S1154" s="10">
        <v>4</v>
      </c>
      <c r="T1154" s="49">
        <f t="shared" si="1107"/>
        <v>12</v>
      </c>
      <c r="U1154" s="11">
        <f t="shared" si="1108"/>
        <v>24</v>
      </c>
      <c r="V1154" s="98">
        <v>45940</v>
      </c>
      <c r="W1154" s="66"/>
    </row>
    <row r="1155" spans="1:23" x14ac:dyDescent="0.15">
      <c r="A1155" s="26"/>
      <c r="B1155" s="8"/>
      <c r="C1155" s="9"/>
      <c r="D1155" s="10"/>
      <c r="E1155" s="49">
        <f t="shared" si="1109"/>
        <v>0</v>
      </c>
      <c r="F1155" s="12"/>
      <c r="G1155" s="9"/>
      <c r="H1155" s="10"/>
      <c r="I1155" s="49">
        <f t="shared" si="1110"/>
        <v>0</v>
      </c>
      <c r="J1155" s="11">
        <f t="shared" si="1111"/>
        <v>0</v>
      </c>
      <c r="L1155" s="26" t="s">
        <v>129</v>
      </c>
      <c r="M1155" s="8">
        <v>2</v>
      </c>
      <c r="N1155" s="9">
        <v>3</v>
      </c>
      <c r="O1155" s="52">
        <v>2</v>
      </c>
      <c r="P1155" s="87">
        <f t="shared" si="1106"/>
        <v>7</v>
      </c>
      <c r="Q1155" s="12">
        <v>2</v>
      </c>
      <c r="R1155" s="9">
        <v>3</v>
      </c>
      <c r="S1155" s="10">
        <v>2</v>
      </c>
      <c r="T1155" s="49">
        <f t="shared" si="1107"/>
        <v>7</v>
      </c>
      <c r="U1155" s="11">
        <f t="shared" si="1108"/>
        <v>14</v>
      </c>
      <c r="V1155" s="98">
        <v>45946</v>
      </c>
      <c r="W1155" s="66"/>
    </row>
    <row r="1156" spans="1:23" x14ac:dyDescent="0.15">
      <c r="A1156" s="26"/>
      <c r="B1156" s="13"/>
      <c r="C1156" s="14"/>
      <c r="D1156" s="15"/>
      <c r="E1156" s="49">
        <f t="shared" si="1109"/>
        <v>0</v>
      </c>
      <c r="F1156" s="16"/>
      <c r="G1156" s="14"/>
      <c r="H1156" s="15"/>
      <c r="I1156" s="49">
        <f t="shared" si="1110"/>
        <v>0</v>
      </c>
      <c r="J1156" s="11">
        <f t="shared" si="1111"/>
        <v>0</v>
      </c>
      <c r="L1156" s="26" t="s">
        <v>131</v>
      </c>
      <c r="M1156" s="8"/>
      <c r="N1156" s="9">
        <v>1</v>
      </c>
      <c r="O1156" s="52">
        <v>4</v>
      </c>
      <c r="P1156" s="87">
        <f t="shared" si="1106"/>
        <v>5</v>
      </c>
      <c r="Q1156" s="12"/>
      <c r="R1156" s="9">
        <v>1</v>
      </c>
      <c r="S1156" s="10">
        <v>4</v>
      </c>
      <c r="T1156" s="49">
        <f t="shared" si="1107"/>
        <v>5</v>
      </c>
      <c r="U1156" s="11">
        <f t="shared" si="1108"/>
        <v>10</v>
      </c>
      <c r="V1156" s="98">
        <v>45947</v>
      </c>
    </row>
    <row r="1157" spans="1:23" x14ac:dyDescent="0.15">
      <c r="A1157" s="26"/>
      <c r="B1157" s="8"/>
      <c r="C1157" s="9"/>
      <c r="D1157" s="10"/>
      <c r="E1157" s="49">
        <f t="shared" si="1109"/>
        <v>0</v>
      </c>
      <c r="F1157" s="12"/>
      <c r="G1157" s="9"/>
      <c r="H1157" s="10"/>
      <c r="I1157" s="49">
        <f t="shared" si="1110"/>
        <v>0</v>
      </c>
      <c r="J1157" s="11">
        <f t="shared" si="1111"/>
        <v>0</v>
      </c>
      <c r="L1157" s="26" t="s">
        <v>133</v>
      </c>
      <c r="M1157" s="8"/>
      <c r="N1157" s="9"/>
      <c r="O1157" s="52">
        <v>1</v>
      </c>
      <c r="P1157" s="87">
        <f t="shared" si="1106"/>
        <v>1</v>
      </c>
      <c r="Q1157" s="12"/>
      <c r="R1157" s="9"/>
      <c r="S1157" s="10">
        <v>1</v>
      </c>
      <c r="T1157" s="49">
        <f t="shared" si="1107"/>
        <v>1</v>
      </c>
      <c r="U1157" s="11">
        <f t="shared" si="1108"/>
        <v>2</v>
      </c>
      <c r="V1157" s="98">
        <v>45952</v>
      </c>
    </row>
    <row r="1158" spans="1:23" x14ac:dyDescent="0.15">
      <c r="A1158" s="26"/>
      <c r="B1158" s="8"/>
      <c r="C1158" s="9"/>
      <c r="D1158" s="10"/>
      <c r="E1158" s="49">
        <f t="shared" si="1109"/>
        <v>0</v>
      </c>
      <c r="F1158" s="12"/>
      <c r="G1158" s="9"/>
      <c r="H1158" s="10"/>
      <c r="I1158" s="49">
        <f t="shared" si="1110"/>
        <v>0</v>
      </c>
      <c r="J1158" s="11">
        <f t="shared" si="1111"/>
        <v>0</v>
      </c>
      <c r="L1158" s="26" t="s">
        <v>134</v>
      </c>
      <c r="M1158" s="8"/>
      <c r="N1158" s="9">
        <v>3</v>
      </c>
      <c r="O1158" s="52"/>
      <c r="P1158" s="87">
        <f t="shared" si="1106"/>
        <v>3</v>
      </c>
      <c r="Q1158" s="12"/>
      <c r="R1158" s="9">
        <v>3</v>
      </c>
      <c r="S1158" s="10"/>
      <c r="T1158" s="49">
        <f t="shared" si="1107"/>
        <v>3</v>
      </c>
      <c r="U1158" s="11">
        <f t="shared" si="1108"/>
        <v>6</v>
      </c>
      <c r="V1158" s="98">
        <v>45953</v>
      </c>
    </row>
    <row r="1159" spans="1:23" x14ac:dyDescent="0.15">
      <c r="A1159" s="26"/>
      <c r="B1159" s="8"/>
      <c r="C1159" s="9"/>
      <c r="D1159" s="10"/>
      <c r="E1159" s="49">
        <f t="shared" si="1109"/>
        <v>0</v>
      </c>
      <c r="F1159" s="12"/>
      <c r="G1159" s="9"/>
      <c r="H1159" s="10"/>
      <c r="I1159" s="49">
        <f t="shared" si="1110"/>
        <v>0</v>
      </c>
      <c r="J1159" s="11">
        <f t="shared" si="1111"/>
        <v>0</v>
      </c>
      <c r="L1159" s="26" t="s">
        <v>135</v>
      </c>
      <c r="M1159" s="8"/>
      <c r="N1159" s="9">
        <v>1</v>
      </c>
      <c r="O1159" s="52"/>
      <c r="P1159" s="87">
        <f t="shared" si="1106"/>
        <v>1</v>
      </c>
      <c r="Q1159" s="12"/>
      <c r="R1159" s="9">
        <v>1</v>
      </c>
      <c r="S1159" s="10"/>
      <c r="T1159" s="49">
        <f t="shared" si="1107"/>
        <v>1</v>
      </c>
      <c r="U1159" s="11">
        <f t="shared" si="1108"/>
        <v>2</v>
      </c>
      <c r="V1159" s="98">
        <v>45954</v>
      </c>
      <c r="W1159" s="66"/>
    </row>
    <row r="1160" spans="1:23" x14ac:dyDescent="0.15">
      <c r="A1160" s="26"/>
      <c r="B1160" s="8"/>
      <c r="C1160" s="9"/>
      <c r="D1160" s="10"/>
      <c r="E1160" s="49">
        <f t="shared" si="1109"/>
        <v>0</v>
      </c>
      <c r="F1160" s="12"/>
      <c r="G1160" s="9"/>
      <c r="H1160" s="10"/>
      <c r="I1160" s="49">
        <f t="shared" si="1110"/>
        <v>0</v>
      </c>
      <c r="J1160" s="11">
        <f t="shared" si="1111"/>
        <v>0</v>
      </c>
      <c r="L1160" s="26" t="s">
        <v>137</v>
      </c>
      <c r="M1160" s="8">
        <v>1</v>
      </c>
      <c r="N1160" s="9">
        <v>1</v>
      </c>
      <c r="O1160" s="52"/>
      <c r="P1160" s="87">
        <f t="shared" si="1106"/>
        <v>2</v>
      </c>
      <c r="Q1160" s="12">
        <v>1</v>
      </c>
      <c r="R1160" s="9">
        <v>1</v>
      </c>
      <c r="S1160" s="10"/>
      <c r="T1160" s="49">
        <f t="shared" si="1107"/>
        <v>2</v>
      </c>
      <c r="U1160" s="11">
        <f t="shared" si="1108"/>
        <v>4</v>
      </c>
      <c r="V1160" s="98">
        <v>45954</v>
      </c>
    </row>
    <row r="1161" spans="1:23" x14ac:dyDescent="0.15">
      <c r="A1161" s="26"/>
      <c r="B1161" s="8"/>
      <c r="C1161" s="9"/>
      <c r="D1161" s="10"/>
      <c r="E1161" s="49">
        <f t="shared" si="1109"/>
        <v>0</v>
      </c>
      <c r="F1161" s="12"/>
      <c r="G1161" s="9"/>
      <c r="H1161" s="10"/>
      <c r="I1161" s="49">
        <f t="shared" si="1110"/>
        <v>0</v>
      </c>
      <c r="J1161" s="11">
        <f t="shared" si="1111"/>
        <v>0</v>
      </c>
      <c r="L1161" s="26" t="s">
        <v>139</v>
      </c>
      <c r="M1161" s="8">
        <v>3</v>
      </c>
      <c r="N1161" s="9">
        <v>1</v>
      </c>
      <c r="O1161" s="52"/>
      <c r="P1161" s="87">
        <f t="shared" si="1106"/>
        <v>4</v>
      </c>
      <c r="Q1161" s="12">
        <v>3</v>
      </c>
      <c r="R1161" s="9">
        <v>1</v>
      </c>
      <c r="S1161" s="10"/>
      <c r="T1161" s="49">
        <f t="shared" si="1107"/>
        <v>4</v>
      </c>
      <c r="U1161" s="11">
        <f t="shared" si="1108"/>
        <v>8</v>
      </c>
      <c r="V1161" s="98">
        <v>45959</v>
      </c>
    </row>
    <row r="1162" spans="1:23" x14ac:dyDescent="0.15">
      <c r="A1162" s="26"/>
      <c r="B1162" s="8"/>
      <c r="C1162" s="9"/>
      <c r="D1162" s="10"/>
      <c r="E1162" s="49">
        <f t="shared" si="1109"/>
        <v>0</v>
      </c>
      <c r="F1162" s="12"/>
      <c r="G1162" s="9"/>
      <c r="H1162" s="10"/>
      <c r="I1162" s="49">
        <f t="shared" si="1110"/>
        <v>0</v>
      </c>
      <c r="J1162" s="11">
        <f t="shared" si="1111"/>
        <v>0</v>
      </c>
      <c r="L1162" s="26" t="s">
        <v>141</v>
      </c>
      <c r="M1162" s="8"/>
      <c r="N1162" s="9">
        <v>1</v>
      </c>
      <c r="O1162" s="52"/>
      <c r="P1162" s="87">
        <f t="shared" si="1106"/>
        <v>1</v>
      </c>
      <c r="Q1162" s="12"/>
      <c r="R1162" s="9">
        <v>1</v>
      </c>
      <c r="S1162" s="10"/>
      <c r="T1162" s="49">
        <f t="shared" si="1107"/>
        <v>1</v>
      </c>
      <c r="U1162" s="11">
        <f t="shared" si="1108"/>
        <v>2</v>
      </c>
      <c r="V1162" s="98">
        <v>45960</v>
      </c>
    </row>
    <row r="1163" spans="1:23" x14ac:dyDescent="0.15">
      <c r="A1163" s="26"/>
      <c r="B1163" s="8"/>
      <c r="C1163" s="9"/>
      <c r="D1163" s="10"/>
      <c r="E1163" s="49">
        <f t="shared" si="1109"/>
        <v>0</v>
      </c>
      <c r="F1163" s="12"/>
      <c r="G1163" s="9"/>
      <c r="H1163" s="10"/>
      <c r="I1163" s="49">
        <f t="shared" si="1110"/>
        <v>0</v>
      </c>
      <c r="J1163" s="11">
        <f t="shared" si="1111"/>
        <v>0</v>
      </c>
      <c r="L1163" s="26" t="s">
        <v>143</v>
      </c>
      <c r="M1163" s="8">
        <v>1</v>
      </c>
      <c r="N1163" s="9">
        <v>2</v>
      </c>
      <c r="O1163" s="52"/>
      <c r="P1163" s="87">
        <f t="shared" si="1106"/>
        <v>3</v>
      </c>
      <c r="Q1163" s="12">
        <v>1</v>
      </c>
      <c r="R1163" s="9">
        <v>2</v>
      </c>
      <c r="S1163" s="10"/>
      <c r="T1163" s="49">
        <f t="shared" si="1107"/>
        <v>3</v>
      </c>
      <c r="U1163" s="11">
        <f t="shared" si="1108"/>
        <v>6</v>
      </c>
      <c r="V1163" s="98">
        <v>45961</v>
      </c>
      <c r="W1163" s="66"/>
    </row>
    <row r="1164" spans="1:23" x14ac:dyDescent="0.15">
      <c r="A1164" s="24"/>
      <c r="B1164" s="8"/>
      <c r="C1164" s="9"/>
      <c r="D1164" s="10"/>
      <c r="E1164" s="49">
        <f t="shared" si="1109"/>
        <v>0</v>
      </c>
      <c r="F1164" s="12"/>
      <c r="G1164" s="9"/>
      <c r="H1164" s="10"/>
      <c r="I1164" s="49">
        <f t="shared" si="1110"/>
        <v>0</v>
      </c>
      <c r="J1164" s="11">
        <f t="shared" si="1111"/>
        <v>0</v>
      </c>
      <c r="L1164" s="26" t="s">
        <v>144</v>
      </c>
      <c r="M1164" s="8">
        <v>14</v>
      </c>
      <c r="N1164" s="9">
        <v>27</v>
      </c>
      <c r="O1164" s="52">
        <v>20</v>
      </c>
      <c r="P1164" s="87">
        <f t="shared" si="1106"/>
        <v>61</v>
      </c>
      <c r="Q1164" s="12">
        <v>14</v>
      </c>
      <c r="R1164" s="9">
        <v>27</v>
      </c>
      <c r="S1164" s="10">
        <v>20</v>
      </c>
      <c r="T1164" s="49">
        <f t="shared" si="1107"/>
        <v>61</v>
      </c>
      <c r="U1164" s="11">
        <f t="shared" si="1108"/>
        <v>122</v>
      </c>
      <c r="V1164" s="98">
        <v>45967</v>
      </c>
    </row>
    <row r="1165" spans="1:23" x14ac:dyDescent="0.15">
      <c r="A1165" s="25"/>
      <c r="B1165" s="8"/>
      <c r="C1165" s="9"/>
      <c r="D1165" s="10"/>
      <c r="E1165" s="49">
        <f t="shared" si="1109"/>
        <v>0</v>
      </c>
      <c r="F1165" s="12"/>
      <c r="G1165" s="9"/>
      <c r="H1165" s="10"/>
      <c r="I1165" s="49">
        <f t="shared" si="1110"/>
        <v>0</v>
      </c>
      <c r="J1165" s="11">
        <f t="shared" si="1111"/>
        <v>0</v>
      </c>
      <c r="L1165" s="26" t="s">
        <v>146</v>
      </c>
      <c r="M1165" s="8">
        <v>15</v>
      </c>
      <c r="N1165" s="9">
        <v>23</v>
      </c>
      <c r="O1165" s="52"/>
      <c r="P1165" s="87">
        <f t="shared" si="1106"/>
        <v>38</v>
      </c>
      <c r="Q1165" s="12">
        <v>15</v>
      </c>
      <c r="R1165" s="9">
        <v>23</v>
      </c>
      <c r="S1165" s="10"/>
      <c r="T1165" s="49">
        <f t="shared" si="1107"/>
        <v>38</v>
      </c>
      <c r="U1165" s="11">
        <f t="shared" si="1108"/>
        <v>76</v>
      </c>
      <c r="V1165" s="98">
        <v>45968</v>
      </c>
      <c r="W1165" s="66"/>
    </row>
    <row r="1166" spans="1:23" x14ac:dyDescent="0.15">
      <c r="A1166" s="26"/>
      <c r="B1166" s="8"/>
      <c r="C1166" s="9"/>
      <c r="D1166" s="10"/>
      <c r="E1166" s="49">
        <f t="shared" si="1109"/>
        <v>0</v>
      </c>
      <c r="F1166" s="12"/>
      <c r="G1166" s="9"/>
      <c r="H1166" s="10"/>
      <c r="I1166" s="49">
        <f t="shared" si="1110"/>
        <v>0</v>
      </c>
      <c r="J1166" s="11">
        <f t="shared" si="1111"/>
        <v>0</v>
      </c>
      <c r="L1166" s="26" t="s">
        <v>150</v>
      </c>
      <c r="M1166" s="8">
        <v>12</v>
      </c>
      <c r="N1166" s="9">
        <v>8</v>
      </c>
      <c r="O1166" s="52">
        <v>10</v>
      </c>
      <c r="P1166" s="87">
        <f t="shared" si="1106"/>
        <v>30</v>
      </c>
      <c r="Q1166" s="12">
        <v>12</v>
      </c>
      <c r="R1166" s="9">
        <v>8</v>
      </c>
      <c r="S1166" s="10">
        <v>10</v>
      </c>
      <c r="T1166" s="49">
        <f t="shared" si="1107"/>
        <v>30</v>
      </c>
      <c r="U1166" s="11">
        <f t="shared" si="1108"/>
        <v>60</v>
      </c>
      <c r="V1166" s="98">
        <v>45968</v>
      </c>
    </row>
    <row r="1167" spans="1:23" x14ac:dyDescent="0.15">
      <c r="A1167" s="24"/>
      <c r="B1167" s="8"/>
      <c r="C1167" s="9"/>
      <c r="D1167" s="10"/>
      <c r="E1167" s="49">
        <f t="shared" si="1109"/>
        <v>0</v>
      </c>
      <c r="F1167" s="12"/>
      <c r="G1167" s="9"/>
      <c r="H1167" s="10"/>
      <c r="I1167" s="49">
        <f t="shared" si="1110"/>
        <v>0</v>
      </c>
      <c r="J1167" s="11">
        <f t="shared" si="1111"/>
        <v>0</v>
      </c>
      <c r="L1167" s="26" t="s">
        <v>154</v>
      </c>
      <c r="M1167" s="8">
        <v>31</v>
      </c>
      <c r="N1167" s="9">
        <v>34</v>
      </c>
      <c r="O1167" s="52">
        <v>16</v>
      </c>
      <c r="P1167" s="87">
        <f t="shared" si="1106"/>
        <v>81</v>
      </c>
      <c r="Q1167" s="12">
        <v>31</v>
      </c>
      <c r="R1167" s="9">
        <v>34</v>
      </c>
      <c r="S1167" s="10">
        <v>16</v>
      </c>
      <c r="T1167" s="49">
        <f t="shared" si="1107"/>
        <v>81</v>
      </c>
      <c r="U1167" s="11">
        <f t="shared" si="1108"/>
        <v>162</v>
      </c>
      <c r="V1167" s="98">
        <v>45973</v>
      </c>
    </row>
    <row r="1168" spans="1:23" x14ac:dyDescent="0.15">
      <c r="B1168" s="13"/>
      <c r="C1168" s="14"/>
      <c r="D1168" s="15"/>
      <c r="E1168" s="49">
        <f t="shared" si="1109"/>
        <v>0</v>
      </c>
      <c r="F1168" s="16"/>
      <c r="G1168" s="14"/>
      <c r="H1168" s="15"/>
      <c r="I1168" s="49">
        <f t="shared" si="1110"/>
        <v>0</v>
      </c>
      <c r="J1168" s="11">
        <f t="shared" si="1111"/>
        <v>0</v>
      </c>
      <c r="L1168" s="26" t="s">
        <v>156</v>
      </c>
      <c r="M1168" s="8">
        <v>6</v>
      </c>
      <c r="N1168" s="9">
        <v>3</v>
      </c>
      <c r="O1168" s="52">
        <v>3</v>
      </c>
      <c r="P1168" s="87">
        <f t="shared" si="1106"/>
        <v>12</v>
      </c>
      <c r="Q1168" s="12">
        <v>6</v>
      </c>
      <c r="R1168" s="9">
        <v>3</v>
      </c>
      <c r="S1168" s="10">
        <v>3</v>
      </c>
      <c r="T1168" s="49">
        <f t="shared" si="1107"/>
        <v>12</v>
      </c>
      <c r="U1168" s="11">
        <f t="shared" si="1108"/>
        <v>24</v>
      </c>
      <c r="V1168" s="98">
        <v>45974</v>
      </c>
    </row>
    <row r="1169" spans="1:23" x14ac:dyDescent="0.15">
      <c r="A1169" s="26"/>
      <c r="B1169" s="8"/>
      <c r="C1169" s="9"/>
      <c r="D1169" s="10"/>
      <c r="E1169" s="49">
        <f t="shared" si="1109"/>
        <v>0</v>
      </c>
      <c r="F1169" s="12"/>
      <c r="G1169" s="9"/>
      <c r="H1169" s="10"/>
      <c r="I1169" s="49">
        <f t="shared" si="1110"/>
        <v>0</v>
      </c>
      <c r="J1169" s="11">
        <f t="shared" si="1111"/>
        <v>0</v>
      </c>
      <c r="L1169" s="26" t="s">
        <v>162</v>
      </c>
      <c r="M1169" s="8">
        <v>6</v>
      </c>
      <c r="N1169" s="9">
        <v>7</v>
      </c>
      <c r="O1169" s="52">
        <v>8</v>
      </c>
      <c r="P1169" s="87">
        <f t="shared" si="1106"/>
        <v>21</v>
      </c>
      <c r="Q1169" s="12">
        <v>6</v>
      </c>
      <c r="R1169" s="9">
        <v>7</v>
      </c>
      <c r="S1169" s="10">
        <v>8</v>
      </c>
      <c r="T1169" s="49">
        <f t="shared" si="1107"/>
        <v>21</v>
      </c>
      <c r="U1169" s="11">
        <f t="shared" si="1108"/>
        <v>42</v>
      </c>
      <c r="V1169" s="98">
        <v>45975</v>
      </c>
    </row>
    <row r="1170" spans="1:23" x14ac:dyDescent="0.15">
      <c r="A1170" s="26"/>
      <c r="B1170" s="8"/>
      <c r="C1170" s="9"/>
      <c r="D1170" s="10"/>
      <c r="E1170" s="49">
        <f t="shared" si="1109"/>
        <v>0</v>
      </c>
      <c r="F1170" s="12"/>
      <c r="G1170" s="9"/>
      <c r="H1170" s="10"/>
      <c r="I1170" s="49">
        <f t="shared" si="1110"/>
        <v>0</v>
      </c>
      <c r="J1170" s="11">
        <f t="shared" si="1111"/>
        <v>0</v>
      </c>
      <c r="L1170" s="26"/>
      <c r="M1170" s="8"/>
      <c r="N1170" s="9"/>
      <c r="O1170" s="52"/>
      <c r="P1170" s="87">
        <f t="shared" si="1106"/>
        <v>0</v>
      </c>
      <c r="Q1170" s="12"/>
      <c r="R1170" s="9"/>
      <c r="S1170" s="10"/>
      <c r="T1170" s="49">
        <f t="shared" si="1107"/>
        <v>0</v>
      </c>
      <c r="U1170" s="11">
        <f t="shared" si="1108"/>
        <v>0</v>
      </c>
    </row>
    <row r="1171" spans="1:23" x14ac:dyDescent="0.15">
      <c r="A1171" s="26"/>
      <c r="B1171" s="8"/>
      <c r="C1171" s="9"/>
      <c r="D1171" s="10"/>
      <c r="E1171" s="49">
        <f t="shared" si="1109"/>
        <v>0</v>
      </c>
      <c r="F1171" s="12"/>
      <c r="G1171" s="9"/>
      <c r="H1171" s="10"/>
      <c r="I1171" s="49">
        <f t="shared" si="1110"/>
        <v>0</v>
      </c>
      <c r="J1171" s="11">
        <f t="shared" si="1111"/>
        <v>0</v>
      </c>
      <c r="L1171" s="26" t="s">
        <v>939</v>
      </c>
      <c r="M1171" s="8"/>
      <c r="N1171" s="9"/>
      <c r="O1171" s="52"/>
      <c r="P1171" s="87">
        <f t="shared" ref="P1171" si="1112">SUM(M1171:O1171)</f>
        <v>0</v>
      </c>
      <c r="Q1171" s="12"/>
      <c r="R1171" s="9"/>
      <c r="S1171" s="10"/>
      <c r="T1171" s="49">
        <f t="shared" ref="T1171" si="1113">SUM(Q1171:S1171)</f>
        <v>0</v>
      </c>
      <c r="U1171" s="11">
        <f t="shared" ref="U1171" si="1114">P1171+T1171</f>
        <v>0</v>
      </c>
      <c r="V1171" s="100" t="s">
        <v>913</v>
      </c>
    </row>
    <row r="1172" spans="1:23" ht="14.25" thickBot="1" x14ac:dyDescent="0.2">
      <c r="A1172" s="26"/>
      <c r="B1172" s="8"/>
      <c r="C1172" s="9"/>
      <c r="D1172" s="10"/>
      <c r="E1172" s="49">
        <f t="shared" si="1109"/>
        <v>0</v>
      </c>
      <c r="F1172" s="12"/>
      <c r="G1172" s="9"/>
      <c r="H1172" s="10"/>
      <c r="I1172" s="49">
        <f t="shared" si="1110"/>
        <v>0</v>
      </c>
      <c r="J1172" s="11">
        <f t="shared" si="1111"/>
        <v>0</v>
      </c>
      <c r="L1172" s="26" t="s">
        <v>947</v>
      </c>
      <c r="M1172" s="8">
        <f>50-14-15-12-9</f>
        <v>0</v>
      </c>
      <c r="N1172" s="9">
        <f>50-27-23</f>
        <v>0</v>
      </c>
      <c r="O1172" s="52">
        <f>45-20-10-15</f>
        <v>0</v>
      </c>
      <c r="P1172" s="87">
        <f t="shared" si="1106"/>
        <v>0</v>
      </c>
      <c r="Q1172" s="8">
        <f>50-14-15-12-9</f>
        <v>0</v>
      </c>
      <c r="R1172" s="9">
        <f>50-27-23</f>
        <v>0</v>
      </c>
      <c r="S1172" s="52">
        <f>45-20-10-15</f>
        <v>0</v>
      </c>
      <c r="T1172" s="49">
        <f t="shared" si="1107"/>
        <v>0</v>
      </c>
      <c r="U1172" s="11">
        <f t="shared" si="1108"/>
        <v>0</v>
      </c>
      <c r="V1172" s="100" t="s">
        <v>337</v>
      </c>
    </row>
    <row r="1173" spans="1:23" ht="14.25" thickBot="1" x14ac:dyDescent="0.2">
      <c r="A1173" s="41" t="s">
        <v>17</v>
      </c>
      <c r="B1173" s="46">
        <f>SUM(B1147:B1172)</f>
        <v>0</v>
      </c>
      <c r="C1173" s="47">
        <f t="shared" ref="C1173:D1173" si="1115">SUM(C1147:C1172)</f>
        <v>0</v>
      </c>
      <c r="D1173" s="58">
        <f t="shared" si="1115"/>
        <v>0</v>
      </c>
      <c r="E1173" s="45">
        <f t="shared" si="1109"/>
        <v>0</v>
      </c>
      <c r="F1173" s="46">
        <f>SUM(F1147:F1172)</f>
        <v>0</v>
      </c>
      <c r="G1173" s="47">
        <f t="shared" ref="G1173:H1173" si="1116">SUM(G1147:G1172)</f>
        <v>0</v>
      </c>
      <c r="H1173" s="58">
        <f t="shared" si="1116"/>
        <v>0</v>
      </c>
      <c r="I1173" s="45">
        <f t="shared" si="1110"/>
        <v>0</v>
      </c>
      <c r="J1173" s="45">
        <f>E1173+I1173</f>
        <v>0</v>
      </c>
      <c r="L1173" s="41" t="s">
        <v>17</v>
      </c>
      <c r="M1173" s="46">
        <f>SUM(M1147:M1172)</f>
        <v>122</v>
      </c>
      <c r="N1173" s="47">
        <f t="shared" ref="N1173:O1173" si="1117">SUM(N1147:N1172)</f>
        <v>146</v>
      </c>
      <c r="O1173" s="58">
        <f t="shared" si="1117"/>
        <v>86</v>
      </c>
      <c r="P1173" s="45">
        <f t="shared" si="1106"/>
        <v>354</v>
      </c>
      <c r="Q1173" s="46">
        <f>SUM(Q1147:Q1172)</f>
        <v>122</v>
      </c>
      <c r="R1173" s="47">
        <f t="shared" ref="R1173:S1173" si="1118">SUM(R1147:R1172)</f>
        <v>146</v>
      </c>
      <c r="S1173" s="58">
        <f t="shared" si="1118"/>
        <v>86</v>
      </c>
      <c r="T1173" s="45">
        <f t="shared" si="1107"/>
        <v>354</v>
      </c>
      <c r="U1173" s="45">
        <f>P1173+T1173</f>
        <v>708</v>
      </c>
    </row>
    <row r="1174" spans="1:23" ht="14.25" thickBot="1" x14ac:dyDescent="0.2">
      <c r="A1174" s="22" t="s">
        <v>16</v>
      </c>
      <c r="B1174" s="50">
        <f>B1146-B1173</f>
        <v>0</v>
      </c>
      <c r="C1174" s="56">
        <f t="shared" ref="C1174:D1174" si="1119">C1146-C1173</f>
        <v>0</v>
      </c>
      <c r="D1174" s="57">
        <f t="shared" si="1119"/>
        <v>1</v>
      </c>
      <c r="E1174" s="55">
        <f>SUM(B1174:D1174)</f>
        <v>1</v>
      </c>
      <c r="F1174" s="50">
        <f>F1146-F1173</f>
        <v>0</v>
      </c>
      <c r="G1174" s="56">
        <f t="shared" ref="G1174:H1174" si="1120">G1146-G1173</f>
        <v>0</v>
      </c>
      <c r="H1174" s="57">
        <f t="shared" si="1120"/>
        <v>1</v>
      </c>
      <c r="I1174" s="55">
        <f>SUM(F1174:H1174)</f>
        <v>1</v>
      </c>
      <c r="J1174" s="31">
        <f>E1174+I1174</f>
        <v>2</v>
      </c>
      <c r="L1174" s="22" t="s">
        <v>16</v>
      </c>
      <c r="M1174" s="50">
        <f>M1146-M1173</f>
        <v>33</v>
      </c>
      <c r="N1174" s="56">
        <f t="shared" ref="N1174:O1174" si="1121">N1146-N1173</f>
        <v>4</v>
      </c>
      <c r="O1174" s="57">
        <f t="shared" si="1121"/>
        <v>25</v>
      </c>
      <c r="P1174" s="55">
        <f>SUM(M1174:O1174)</f>
        <v>62</v>
      </c>
      <c r="Q1174" s="50">
        <f>Q1146-Q1173</f>
        <v>33</v>
      </c>
      <c r="R1174" s="56">
        <f t="shared" ref="R1174:S1174" si="1122">R1146-R1173</f>
        <v>4</v>
      </c>
      <c r="S1174" s="57">
        <f t="shared" si="1122"/>
        <v>25</v>
      </c>
      <c r="T1174" s="55">
        <f>SUM(Q1174:S1174)</f>
        <v>62</v>
      </c>
      <c r="U1174" s="31">
        <f>P1174+T1174</f>
        <v>124</v>
      </c>
    </row>
    <row r="1175" spans="1:23" x14ac:dyDescent="0.15">
      <c r="L1175" s="150" t="s">
        <v>934</v>
      </c>
      <c r="M1175" s="147">
        <f>M1173+M1130+M1087+M1044</f>
        <v>250</v>
      </c>
      <c r="N1175" s="147">
        <f t="shared" ref="N1175:O1175" si="1123">N1173+N1130+N1087+N1044</f>
        <v>286</v>
      </c>
      <c r="O1175" s="147">
        <f t="shared" si="1123"/>
        <v>169</v>
      </c>
      <c r="P1175" s="147">
        <f>SUM(M1175:O1175)</f>
        <v>705</v>
      </c>
    </row>
    <row r="1176" spans="1:23" x14ac:dyDescent="0.15">
      <c r="M1176" s="125">
        <f>M1175/$P$1175*100</f>
        <v>35.460992907801419</v>
      </c>
      <c r="N1176" s="125">
        <f t="shared" ref="N1176:P1176" si="1124">N1175/$P$1175*100</f>
        <v>40.567375886524822</v>
      </c>
      <c r="O1176" s="125">
        <f t="shared" si="1124"/>
        <v>23.971631205673759</v>
      </c>
      <c r="P1176" s="125">
        <f t="shared" si="1124"/>
        <v>100</v>
      </c>
    </row>
    <row r="1177" spans="1:23" ht="19.5" thickBot="1" x14ac:dyDescent="0.25">
      <c r="A1177" s="3" t="s">
        <v>678</v>
      </c>
      <c r="L1177" s="3" t="s">
        <v>677</v>
      </c>
    </row>
    <row r="1178" spans="1:23" ht="14.25" thickBot="1" x14ac:dyDescent="0.2">
      <c r="A1178" s="7"/>
      <c r="B1178" s="169" t="s">
        <v>22</v>
      </c>
      <c r="C1178" s="170"/>
      <c r="D1178" s="170"/>
      <c r="E1178" s="171"/>
      <c r="F1178" s="169" t="s">
        <v>23</v>
      </c>
      <c r="G1178" s="170"/>
      <c r="H1178" s="170"/>
      <c r="I1178" s="171"/>
      <c r="J1178" s="172" t="s">
        <v>0</v>
      </c>
      <c r="L1178" s="7"/>
      <c r="M1178" s="169" t="s">
        <v>22</v>
      </c>
      <c r="N1178" s="170"/>
      <c r="O1178" s="170"/>
      <c r="P1178" s="171"/>
      <c r="Q1178" s="169" t="s">
        <v>23</v>
      </c>
      <c r="R1178" s="170"/>
      <c r="S1178" s="170"/>
      <c r="T1178" s="171"/>
      <c r="U1178" s="172" t="s">
        <v>0</v>
      </c>
    </row>
    <row r="1179" spans="1:23" ht="14.25" thickBot="1" x14ac:dyDescent="0.2">
      <c r="A1179" s="7" t="s">
        <v>1</v>
      </c>
      <c r="B1179" s="4" t="s">
        <v>2</v>
      </c>
      <c r="C1179" s="5" t="s">
        <v>3</v>
      </c>
      <c r="D1179" s="6" t="s">
        <v>4</v>
      </c>
      <c r="E1179" s="7" t="s">
        <v>5</v>
      </c>
      <c r="F1179" s="4" t="s">
        <v>2</v>
      </c>
      <c r="G1179" s="5" t="s">
        <v>3</v>
      </c>
      <c r="H1179" s="6" t="s">
        <v>4</v>
      </c>
      <c r="I1179" s="7" t="s">
        <v>5</v>
      </c>
      <c r="J1179" s="173"/>
      <c r="L1179" s="7" t="s">
        <v>1</v>
      </c>
      <c r="M1179" s="4" t="s">
        <v>2</v>
      </c>
      <c r="N1179" s="5" t="s">
        <v>3</v>
      </c>
      <c r="O1179" s="6" t="s">
        <v>4</v>
      </c>
      <c r="P1179" s="7" t="s">
        <v>5</v>
      </c>
      <c r="Q1179" s="4" t="s">
        <v>2</v>
      </c>
      <c r="R1179" s="5" t="s">
        <v>3</v>
      </c>
      <c r="S1179" s="6" t="s">
        <v>4</v>
      </c>
      <c r="T1179" s="7" t="s">
        <v>5</v>
      </c>
      <c r="U1179" s="173"/>
    </row>
    <row r="1180" spans="1:23" ht="14.25" thickBot="1" x14ac:dyDescent="0.2">
      <c r="A1180" s="140" t="s">
        <v>16</v>
      </c>
      <c r="B1180" s="28">
        <f>B1174</f>
        <v>0</v>
      </c>
      <c r="C1180" s="126">
        <f t="shared" ref="C1180:E1180" si="1125">C1174</f>
        <v>0</v>
      </c>
      <c r="D1180" s="127">
        <f t="shared" si="1125"/>
        <v>1</v>
      </c>
      <c r="E1180" s="28">
        <f t="shared" si="1125"/>
        <v>1</v>
      </c>
      <c r="F1180" s="126">
        <f>F1174</f>
        <v>0</v>
      </c>
      <c r="G1180" s="126">
        <f t="shared" ref="G1180:J1180" si="1126">G1174</f>
        <v>0</v>
      </c>
      <c r="H1180" s="127">
        <f t="shared" si="1126"/>
        <v>1</v>
      </c>
      <c r="I1180" s="28">
        <f t="shared" si="1126"/>
        <v>1</v>
      </c>
      <c r="J1180" s="28">
        <f t="shared" si="1126"/>
        <v>2</v>
      </c>
      <c r="L1180" s="128" t="s">
        <v>16</v>
      </c>
      <c r="M1180" s="126">
        <f>M1174</f>
        <v>33</v>
      </c>
      <c r="N1180" s="126">
        <f t="shared" ref="N1180:P1180" si="1127">N1174</f>
        <v>4</v>
      </c>
      <c r="O1180" s="127">
        <f t="shared" si="1127"/>
        <v>25</v>
      </c>
      <c r="P1180" s="31">
        <f t="shared" si="1127"/>
        <v>62</v>
      </c>
      <c r="Q1180" s="126">
        <f>Q1174</f>
        <v>33</v>
      </c>
      <c r="R1180" s="126">
        <f t="shared" ref="R1180:U1180" si="1128">R1174</f>
        <v>4</v>
      </c>
      <c r="S1180" s="127">
        <f t="shared" si="1128"/>
        <v>25</v>
      </c>
      <c r="T1180" s="31">
        <f t="shared" si="1128"/>
        <v>62</v>
      </c>
      <c r="U1180" s="28">
        <f t="shared" si="1128"/>
        <v>124</v>
      </c>
    </row>
    <row r="1181" spans="1:23" x14ac:dyDescent="0.15">
      <c r="A1181" s="25" t="s">
        <v>885</v>
      </c>
      <c r="B1181" s="8"/>
      <c r="C1181" s="9">
        <v>1</v>
      </c>
      <c r="D1181" s="52"/>
      <c r="E1181" s="11">
        <f t="shared" ref="E1181:E1188" si="1129">SUM(B1181:D1181)</f>
        <v>1</v>
      </c>
      <c r="F1181" s="12"/>
      <c r="G1181" s="9">
        <v>1</v>
      </c>
      <c r="H1181" s="10"/>
      <c r="I1181" s="11">
        <f t="shared" ref="I1181:I1188" si="1130">SUM(F1181:H1181)</f>
        <v>1</v>
      </c>
      <c r="J1181" s="11">
        <f t="shared" ref="J1181:J1188" si="1131">E1181+I1181</f>
        <v>2</v>
      </c>
      <c r="K1181" s="64">
        <v>45986</v>
      </c>
      <c r="L1181" s="25" t="s">
        <v>7</v>
      </c>
      <c r="M1181" s="17"/>
      <c r="N1181" s="18"/>
      <c r="O1181" s="51"/>
      <c r="P1181" s="49">
        <f t="shared" ref="P1181:P1188" si="1132">SUM(M1181:O1181)</f>
        <v>0</v>
      </c>
      <c r="Q1181" s="17"/>
      <c r="R1181" s="18"/>
      <c r="S1181" s="51"/>
      <c r="T1181" s="49">
        <f t="shared" ref="T1181:T1188" si="1133">SUM(Q1181:S1181)</f>
        <v>0</v>
      </c>
      <c r="U1181" s="11">
        <f t="shared" ref="U1181:U1188" si="1134">P1181+T1181</f>
        <v>0</v>
      </c>
    </row>
    <row r="1182" spans="1:23" x14ac:dyDescent="0.15">
      <c r="A1182" s="25" t="s">
        <v>8</v>
      </c>
      <c r="B1182" s="8"/>
      <c r="C1182" s="9"/>
      <c r="D1182" s="52"/>
      <c r="E1182" s="11">
        <f t="shared" si="1129"/>
        <v>0</v>
      </c>
      <c r="F1182" s="12"/>
      <c r="G1182" s="9"/>
      <c r="H1182" s="10"/>
      <c r="I1182" s="11">
        <f t="shared" si="1130"/>
        <v>0</v>
      </c>
      <c r="J1182" s="11">
        <f t="shared" si="1131"/>
        <v>0</v>
      </c>
      <c r="L1182" s="25" t="s">
        <v>8</v>
      </c>
      <c r="M1182" s="17"/>
      <c r="N1182" s="18"/>
      <c r="O1182" s="51"/>
      <c r="P1182" s="49">
        <f t="shared" si="1132"/>
        <v>0</v>
      </c>
      <c r="Q1182" s="17"/>
      <c r="R1182" s="18"/>
      <c r="S1182" s="51"/>
      <c r="T1182" s="49">
        <f t="shared" si="1133"/>
        <v>0</v>
      </c>
      <c r="U1182" s="11">
        <f t="shared" si="1134"/>
        <v>0</v>
      </c>
    </row>
    <row r="1183" spans="1:23" x14ac:dyDescent="0.15">
      <c r="A1183" s="25" t="s">
        <v>9</v>
      </c>
      <c r="B1183" s="8"/>
      <c r="C1183" s="9"/>
      <c r="D1183" s="52"/>
      <c r="E1183" s="11">
        <f t="shared" si="1129"/>
        <v>0</v>
      </c>
      <c r="F1183" s="12"/>
      <c r="G1183" s="9"/>
      <c r="H1183" s="10"/>
      <c r="I1183" s="11">
        <f t="shared" si="1130"/>
        <v>0</v>
      </c>
      <c r="J1183" s="11">
        <f t="shared" si="1131"/>
        <v>0</v>
      </c>
      <c r="L1183" s="25" t="s">
        <v>943</v>
      </c>
      <c r="M1183" s="17">
        <v>90</v>
      </c>
      <c r="N1183" s="18">
        <v>100</v>
      </c>
      <c r="O1183" s="51">
        <v>60</v>
      </c>
      <c r="P1183" s="49">
        <f t="shared" si="1132"/>
        <v>250</v>
      </c>
      <c r="Q1183" s="17">
        <v>90</v>
      </c>
      <c r="R1183" s="18">
        <v>100</v>
      </c>
      <c r="S1183" s="51">
        <v>60</v>
      </c>
      <c r="T1183" s="49">
        <f t="shared" si="1133"/>
        <v>250</v>
      </c>
      <c r="U1183" s="11">
        <f t="shared" si="1134"/>
        <v>500</v>
      </c>
      <c r="V1183" s="98" t="s">
        <v>956</v>
      </c>
      <c r="W1183" s="147"/>
    </row>
    <row r="1184" spans="1:23" x14ac:dyDescent="0.15">
      <c r="A1184" s="25" t="s">
        <v>10</v>
      </c>
      <c r="B1184" s="8"/>
      <c r="C1184" s="9"/>
      <c r="D1184" s="52"/>
      <c r="E1184" s="11">
        <f t="shared" si="1129"/>
        <v>0</v>
      </c>
      <c r="F1184" s="12"/>
      <c r="G1184" s="9"/>
      <c r="H1184" s="10"/>
      <c r="I1184" s="11">
        <f t="shared" si="1130"/>
        <v>0</v>
      </c>
      <c r="J1184" s="11">
        <f t="shared" si="1131"/>
        <v>0</v>
      </c>
      <c r="L1184" s="25" t="s">
        <v>676</v>
      </c>
      <c r="M1184" s="17">
        <v>10</v>
      </c>
      <c r="N1184" s="18">
        <v>0</v>
      </c>
      <c r="O1184" s="51">
        <v>40</v>
      </c>
      <c r="P1184" s="49">
        <f t="shared" si="1132"/>
        <v>50</v>
      </c>
      <c r="Q1184" s="17">
        <v>10</v>
      </c>
      <c r="R1184" s="18">
        <v>0</v>
      </c>
      <c r="S1184" s="51">
        <v>40</v>
      </c>
      <c r="T1184" s="49">
        <f t="shared" si="1133"/>
        <v>50</v>
      </c>
      <c r="U1184" s="11">
        <f t="shared" si="1134"/>
        <v>100</v>
      </c>
      <c r="V1184" s="100"/>
    </row>
    <row r="1185" spans="1:23" x14ac:dyDescent="0.15">
      <c r="A1185" s="25" t="s">
        <v>11</v>
      </c>
      <c r="B1185" s="8"/>
      <c r="C1185" s="9"/>
      <c r="D1185" s="52"/>
      <c r="E1185" s="11">
        <f t="shared" si="1129"/>
        <v>0</v>
      </c>
      <c r="F1185" s="12"/>
      <c r="G1185" s="9"/>
      <c r="H1185" s="10"/>
      <c r="I1185" s="11">
        <f t="shared" si="1130"/>
        <v>0</v>
      </c>
      <c r="J1185" s="11">
        <f t="shared" si="1131"/>
        <v>0</v>
      </c>
      <c r="L1185" s="25" t="s">
        <v>11</v>
      </c>
      <c r="M1185" s="17"/>
      <c r="N1185" s="18"/>
      <c r="O1185" s="51"/>
      <c r="P1185" s="49">
        <f t="shared" si="1132"/>
        <v>0</v>
      </c>
      <c r="Q1185" s="17"/>
      <c r="R1185" s="18"/>
      <c r="S1185" s="51"/>
      <c r="T1185" s="49">
        <f t="shared" si="1133"/>
        <v>0</v>
      </c>
      <c r="U1185" s="11">
        <f t="shared" si="1134"/>
        <v>0</v>
      </c>
    </row>
    <row r="1186" spans="1:23" x14ac:dyDescent="0.15">
      <c r="A1186" s="25" t="s">
        <v>12</v>
      </c>
      <c r="B1186" s="8"/>
      <c r="C1186" s="9"/>
      <c r="D1186" s="52"/>
      <c r="E1186" s="11">
        <f t="shared" si="1129"/>
        <v>0</v>
      </c>
      <c r="F1186" s="12"/>
      <c r="G1186" s="9"/>
      <c r="H1186" s="10"/>
      <c r="I1186" s="11">
        <f t="shared" si="1130"/>
        <v>0</v>
      </c>
      <c r="J1186" s="11">
        <f t="shared" si="1131"/>
        <v>0</v>
      </c>
      <c r="L1186" s="25" t="s">
        <v>12</v>
      </c>
      <c r="M1186" s="17"/>
      <c r="N1186" s="18"/>
      <c r="O1186" s="51"/>
      <c r="P1186" s="49">
        <f t="shared" si="1132"/>
        <v>0</v>
      </c>
      <c r="Q1186" s="17"/>
      <c r="R1186" s="18"/>
      <c r="S1186" s="51"/>
      <c r="T1186" s="49">
        <f t="shared" si="1133"/>
        <v>0</v>
      </c>
      <c r="U1186" s="11">
        <f t="shared" si="1134"/>
        <v>0</v>
      </c>
    </row>
    <row r="1187" spans="1:23" x14ac:dyDescent="0.15">
      <c r="A1187" s="25" t="s">
        <v>13</v>
      </c>
      <c r="B1187" s="13"/>
      <c r="C1187" s="14"/>
      <c r="D1187" s="53"/>
      <c r="E1187" s="11">
        <f t="shared" si="1129"/>
        <v>0</v>
      </c>
      <c r="F1187" s="16"/>
      <c r="G1187" s="14"/>
      <c r="H1187" s="15"/>
      <c r="I1187" s="11">
        <f t="shared" si="1130"/>
        <v>0</v>
      </c>
      <c r="J1187" s="11">
        <f t="shared" si="1131"/>
        <v>0</v>
      </c>
      <c r="L1187" s="25" t="s">
        <v>801</v>
      </c>
      <c r="M1187" s="17"/>
      <c r="N1187" s="18">
        <v>1</v>
      </c>
      <c r="O1187" s="51"/>
      <c r="P1187" s="49">
        <f t="shared" si="1132"/>
        <v>1</v>
      </c>
      <c r="Q1187" s="17"/>
      <c r="R1187" s="18">
        <v>1</v>
      </c>
      <c r="S1187" s="51"/>
      <c r="T1187" s="49">
        <f t="shared" si="1133"/>
        <v>1</v>
      </c>
      <c r="U1187" s="11">
        <f t="shared" si="1134"/>
        <v>2</v>
      </c>
      <c r="V1187" s="99">
        <v>45990</v>
      </c>
    </row>
    <row r="1188" spans="1:23" ht="14.25" thickBot="1" x14ac:dyDescent="0.2">
      <c r="A1188" s="25" t="s">
        <v>14</v>
      </c>
      <c r="B1188" s="32"/>
      <c r="C1188" s="33"/>
      <c r="D1188" s="54"/>
      <c r="E1188" s="61">
        <f t="shared" si="1129"/>
        <v>0</v>
      </c>
      <c r="F1188" s="34"/>
      <c r="G1188" s="34"/>
      <c r="H1188" s="37"/>
      <c r="I1188" s="61">
        <f t="shared" si="1130"/>
        <v>0</v>
      </c>
      <c r="J1188" s="21">
        <f t="shared" si="1131"/>
        <v>0</v>
      </c>
      <c r="L1188" s="25" t="s">
        <v>14</v>
      </c>
      <c r="M1188" s="32"/>
      <c r="N1188" s="33"/>
      <c r="O1188" s="54"/>
      <c r="P1188" s="61">
        <f t="shared" si="1132"/>
        <v>0</v>
      </c>
      <c r="Q1188" s="34"/>
      <c r="R1188" s="34"/>
      <c r="S1188" s="37"/>
      <c r="T1188" s="61">
        <f t="shared" si="1133"/>
        <v>0</v>
      </c>
      <c r="U1188" s="21">
        <f t="shared" si="1134"/>
        <v>0</v>
      </c>
    </row>
    <row r="1189" spans="1:23" ht="14.25" thickBot="1" x14ac:dyDescent="0.2">
      <c r="A1189" s="35" t="s">
        <v>15</v>
      </c>
      <c r="B1189" s="28">
        <f>SUM(B1180:B1188)</f>
        <v>0</v>
      </c>
      <c r="C1189" s="29">
        <f>SUM(C1180:C1188)</f>
        <v>1</v>
      </c>
      <c r="D1189" s="30">
        <f>SUM(D1180:D1188)</f>
        <v>1</v>
      </c>
      <c r="E1189" s="31">
        <f>SUM(B1189:D1189)</f>
        <v>2</v>
      </c>
      <c r="F1189" s="28">
        <f>SUM(F1180:F1188)</f>
        <v>0</v>
      </c>
      <c r="G1189" s="29">
        <f>SUM(G1180:G1188)</f>
        <v>1</v>
      </c>
      <c r="H1189" s="30">
        <f>SUM(H1180:H1188)</f>
        <v>1</v>
      </c>
      <c r="I1189" s="31">
        <f>SUM(F1189:H1189)</f>
        <v>2</v>
      </c>
      <c r="J1189" s="31">
        <f>E1189+I1189</f>
        <v>4</v>
      </c>
      <c r="L1189" s="35" t="s">
        <v>15</v>
      </c>
      <c r="M1189" s="28">
        <f>SUM(M1180:M1188)</f>
        <v>133</v>
      </c>
      <c r="N1189" s="29">
        <f>SUM(N1180:N1188)</f>
        <v>105</v>
      </c>
      <c r="O1189" s="30">
        <f>SUM(O1180:O1188)</f>
        <v>125</v>
      </c>
      <c r="P1189" s="31">
        <f>SUM(M1189:O1189)</f>
        <v>363</v>
      </c>
      <c r="Q1189" s="28">
        <f>SUM(Q1180:Q1188)</f>
        <v>133</v>
      </c>
      <c r="R1189" s="29">
        <f>SUM(R1180:R1188)</f>
        <v>105</v>
      </c>
      <c r="S1189" s="30">
        <f>SUM(S1180:S1188)</f>
        <v>125</v>
      </c>
      <c r="T1189" s="31">
        <f>SUM(Q1189:S1189)</f>
        <v>363</v>
      </c>
      <c r="U1189" s="31">
        <f>P1189+T1189</f>
        <v>726</v>
      </c>
    </row>
    <row r="1190" spans="1:23" x14ac:dyDescent="0.15">
      <c r="A1190" s="26" t="s">
        <v>958</v>
      </c>
      <c r="B1190" s="13"/>
      <c r="C1190" s="14">
        <v>1</v>
      </c>
      <c r="D1190" s="15"/>
      <c r="E1190" s="49">
        <f t="shared" ref="E1190:E1192" si="1135">SUM(B1190:D1190)</f>
        <v>1</v>
      </c>
      <c r="F1190" s="16"/>
      <c r="G1190" s="14">
        <v>1</v>
      </c>
      <c r="H1190" s="15"/>
      <c r="I1190" s="49">
        <f t="shared" ref="I1190:I1192" si="1136">SUM(F1190:H1190)</f>
        <v>1</v>
      </c>
      <c r="J1190" s="11">
        <f t="shared" ref="J1190:J1192" si="1137">E1190+I1190</f>
        <v>2</v>
      </c>
      <c r="K1190" s="62">
        <v>45990</v>
      </c>
      <c r="L1190" s="26" t="s">
        <v>164</v>
      </c>
      <c r="M1190" s="8">
        <v>7</v>
      </c>
      <c r="N1190" s="9">
        <v>9</v>
      </c>
      <c r="O1190" s="52">
        <v>2</v>
      </c>
      <c r="P1190" s="87">
        <f t="shared" ref="P1190" si="1138">SUM(M1190:O1190)</f>
        <v>18</v>
      </c>
      <c r="Q1190" s="12">
        <v>7</v>
      </c>
      <c r="R1190" s="9">
        <v>9</v>
      </c>
      <c r="S1190" s="10">
        <v>2</v>
      </c>
      <c r="T1190" s="49">
        <f t="shared" ref="T1190" si="1139">SUM(Q1190:S1190)</f>
        <v>18</v>
      </c>
      <c r="U1190" s="11">
        <f t="shared" ref="U1190" si="1140">P1190+T1190</f>
        <v>36</v>
      </c>
      <c r="V1190" s="98">
        <v>45975</v>
      </c>
    </row>
    <row r="1191" spans="1:23" x14ac:dyDescent="0.15">
      <c r="A1191" s="26"/>
      <c r="B1191" s="13"/>
      <c r="C1191" s="14"/>
      <c r="D1191" s="15"/>
      <c r="E1191" s="49">
        <f t="shared" si="1135"/>
        <v>0</v>
      </c>
      <c r="F1191" s="16"/>
      <c r="G1191" s="14"/>
      <c r="H1191" s="15"/>
      <c r="I1191" s="49">
        <f t="shared" si="1136"/>
        <v>0</v>
      </c>
      <c r="J1191" s="11">
        <f t="shared" si="1137"/>
        <v>0</v>
      </c>
      <c r="K1191" s="62"/>
      <c r="L1191" s="26" t="s">
        <v>166</v>
      </c>
      <c r="M1191" s="8">
        <v>30</v>
      </c>
      <c r="N1191" s="9">
        <v>24</v>
      </c>
      <c r="O1191" s="52">
        <v>10</v>
      </c>
      <c r="P1191" s="87">
        <f t="shared" ref="P1191:P1216" si="1141">SUM(M1191:O1191)</f>
        <v>64</v>
      </c>
      <c r="Q1191" s="12">
        <v>30</v>
      </c>
      <c r="R1191" s="9">
        <v>24</v>
      </c>
      <c r="S1191" s="10">
        <v>10</v>
      </c>
      <c r="T1191" s="49">
        <f t="shared" ref="T1191:T1216" si="1142">SUM(Q1191:S1191)</f>
        <v>64</v>
      </c>
      <c r="U1191" s="11">
        <f t="shared" ref="U1191:U1213" si="1143">P1191+T1191</f>
        <v>128</v>
      </c>
      <c r="V1191" s="98">
        <v>45980</v>
      </c>
    </row>
    <row r="1192" spans="1:23" x14ac:dyDescent="0.15">
      <c r="A1192" s="26"/>
      <c r="B1192" s="13"/>
      <c r="C1192" s="14"/>
      <c r="D1192" s="15"/>
      <c r="E1192" s="49">
        <f t="shared" si="1135"/>
        <v>0</v>
      </c>
      <c r="F1192" s="16"/>
      <c r="G1192" s="14"/>
      <c r="H1192" s="15"/>
      <c r="I1192" s="49">
        <f t="shared" si="1136"/>
        <v>0</v>
      </c>
      <c r="J1192" s="11">
        <f t="shared" si="1137"/>
        <v>0</v>
      </c>
      <c r="K1192" s="62"/>
      <c r="L1192" s="26" t="s">
        <v>168</v>
      </c>
      <c r="M1192" s="8">
        <v>7</v>
      </c>
      <c r="N1192" s="9">
        <v>8</v>
      </c>
      <c r="O1192" s="52">
        <v>4</v>
      </c>
      <c r="P1192" s="87">
        <f t="shared" si="1141"/>
        <v>19</v>
      </c>
      <c r="Q1192" s="12">
        <v>7</v>
      </c>
      <c r="R1192" s="9">
        <v>8</v>
      </c>
      <c r="S1192" s="10">
        <v>4</v>
      </c>
      <c r="T1192" s="49">
        <f t="shared" si="1142"/>
        <v>19</v>
      </c>
      <c r="U1192" s="11">
        <f t="shared" si="1143"/>
        <v>38</v>
      </c>
      <c r="V1192" s="98">
        <v>45981</v>
      </c>
    </row>
    <row r="1193" spans="1:23" x14ac:dyDescent="0.15">
      <c r="A1193" s="26"/>
      <c r="B1193" s="13"/>
      <c r="C1193" s="14"/>
      <c r="D1193" s="15"/>
      <c r="E1193" s="49">
        <f>SUM(B1193:D1193)</f>
        <v>0</v>
      </c>
      <c r="F1193" s="16"/>
      <c r="G1193" s="14"/>
      <c r="H1193" s="15"/>
      <c r="I1193" s="49">
        <f>SUM(F1193:H1193)</f>
        <v>0</v>
      </c>
      <c r="J1193" s="11">
        <f>E1193+I1193</f>
        <v>0</v>
      </c>
      <c r="K1193" s="62"/>
      <c r="L1193" s="26" t="s">
        <v>171</v>
      </c>
      <c r="M1193" s="8">
        <v>12</v>
      </c>
      <c r="N1193" s="9">
        <v>22</v>
      </c>
      <c r="O1193" s="52">
        <v>10</v>
      </c>
      <c r="P1193" s="87">
        <f t="shared" si="1141"/>
        <v>44</v>
      </c>
      <c r="Q1193" s="12">
        <v>12</v>
      </c>
      <c r="R1193" s="9">
        <v>22</v>
      </c>
      <c r="S1193" s="10">
        <v>10</v>
      </c>
      <c r="T1193" s="49">
        <f t="shared" si="1142"/>
        <v>44</v>
      </c>
      <c r="U1193" s="11">
        <f t="shared" si="1143"/>
        <v>88</v>
      </c>
      <c r="V1193" s="98">
        <v>45982</v>
      </c>
      <c r="W1193" s="66"/>
    </row>
    <row r="1194" spans="1:23" x14ac:dyDescent="0.15">
      <c r="A1194" s="26"/>
      <c r="B1194" s="8"/>
      <c r="C1194" s="9"/>
      <c r="D1194" s="10"/>
      <c r="E1194" s="49">
        <f t="shared" ref="E1194:E1216" si="1144">SUM(B1194:D1194)</f>
        <v>0</v>
      </c>
      <c r="F1194" s="12"/>
      <c r="G1194" s="9"/>
      <c r="H1194" s="10"/>
      <c r="I1194" s="49">
        <f t="shared" ref="I1194:I1216" si="1145">SUM(F1194:H1194)</f>
        <v>0</v>
      </c>
      <c r="J1194" s="11">
        <f t="shared" ref="J1194:J1215" si="1146">E1194+I1194</f>
        <v>0</v>
      </c>
      <c r="K1194" s="66"/>
      <c r="L1194" s="26" t="s">
        <v>172</v>
      </c>
      <c r="M1194" s="8">
        <v>11</v>
      </c>
      <c r="N1194" s="9">
        <v>10</v>
      </c>
      <c r="O1194" s="52">
        <v>4</v>
      </c>
      <c r="P1194" s="87">
        <f t="shared" si="1141"/>
        <v>25</v>
      </c>
      <c r="Q1194" s="12">
        <v>11</v>
      </c>
      <c r="R1194" s="9">
        <v>10</v>
      </c>
      <c r="S1194" s="10">
        <v>4</v>
      </c>
      <c r="T1194" s="49">
        <f t="shared" si="1142"/>
        <v>25</v>
      </c>
      <c r="U1194" s="11">
        <f t="shared" si="1143"/>
        <v>50</v>
      </c>
      <c r="V1194" s="98">
        <v>45982</v>
      </c>
    </row>
    <row r="1195" spans="1:23" x14ac:dyDescent="0.15">
      <c r="A1195" s="26"/>
      <c r="B1195" s="8"/>
      <c r="C1195" s="9"/>
      <c r="D1195" s="10"/>
      <c r="E1195" s="49">
        <f t="shared" si="1144"/>
        <v>0</v>
      </c>
      <c r="F1195" s="12"/>
      <c r="G1195" s="9"/>
      <c r="H1195" s="10"/>
      <c r="I1195" s="49">
        <f t="shared" si="1145"/>
        <v>0</v>
      </c>
      <c r="J1195" s="11">
        <f t="shared" si="1146"/>
        <v>0</v>
      </c>
      <c r="K1195" s="66"/>
      <c r="L1195" s="26" t="s">
        <v>175</v>
      </c>
      <c r="M1195" s="8">
        <v>14</v>
      </c>
      <c r="N1195" s="9">
        <v>7</v>
      </c>
      <c r="O1195" s="52">
        <v>5</v>
      </c>
      <c r="P1195" s="87">
        <f t="shared" si="1141"/>
        <v>26</v>
      </c>
      <c r="Q1195" s="12">
        <v>14</v>
      </c>
      <c r="R1195" s="9">
        <v>7</v>
      </c>
      <c r="S1195" s="10">
        <v>5</v>
      </c>
      <c r="T1195" s="49">
        <f t="shared" si="1142"/>
        <v>26</v>
      </c>
      <c r="U1195" s="11">
        <f t="shared" si="1143"/>
        <v>52</v>
      </c>
      <c r="V1195" s="98">
        <v>45988</v>
      </c>
    </row>
    <row r="1196" spans="1:23" x14ac:dyDescent="0.15">
      <c r="A1196" s="26"/>
      <c r="B1196" s="8"/>
      <c r="C1196" s="9"/>
      <c r="D1196" s="10"/>
      <c r="E1196" s="49">
        <f t="shared" si="1144"/>
        <v>0</v>
      </c>
      <c r="F1196" s="12"/>
      <c r="G1196" s="9"/>
      <c r="H1196" s="10"/>
      <c r="I1196" s="49">
        <f t="shared" si="1145"/>
        <v>0</v>
      </c>
      <c r="J1196" s="11">
        <f t="shared" si="1146"/>
        <v>0</v>
      </c>
      <c r="K1196" s="66"/>
      <c r="L1196" s="26" t="s">
        <v>179</v>
      </c>
      <c r="M1196" s="8">
        <v>3</v>
      </c>
      <c r="N1196" s="9">
        <v>6</v>
      </c>
      <c r="O1196" s="52"/>
      <c r="P1196" s="87">
        <f t="shared" si="1141"/>
        <v>9</v>
      </c>
      <c r="Q1196" s="12">
        <v>3</v>
      </c>
      <c r="R1196" s="9">
        <v>6</v>
      </c>
      <c r="S1196" s="10"/>
      <c r="T1196" s="49">
        <f t="shared" si="1142"/>
        <v>9</v>
      </c>
      <c r="U1196" s="11">
        <f t="shared" si="1143"/>
        <v>18</v>
      </c>
      <c r="V1196" s="98">
        <v>45989</v>
      </c>
    </row>
    <row r="1197" spans="1:23" x14ac:dyDescent="0.15">
      <c r="A1197" s="26"/>
      <c r="B1197" s="8"/>
      <c r="C1197" s="9"/>
      <c r="D1197" s="10"/>
      <c r="E1197" s="49">
        <f t="shared" si="1144"/>
        <v>0</v>
      </c>
      <c r="F1197" s="12"/>
      <c r="G1197" s="9"/>
      <c r="H1197" s="10"/>
      <c r="I1197" s="49">
        <f t="shared" si="1145"/>
        <v>0</v>
      </c>
      <c r="J1197" s="11">
        <f t="shared" si="1146"/>
        <v>0</v>
      </c>
      <c r="K1197" s="66"/>
      <c r="L1197" s="26" t="s">
        <v>181</v>
      </c>
      <c r="M1197" s="8">
        <v>8</v>
      </c>
      <c r="N1197" s="9">
        <v>13</v>
      </c>
      <c r="O1197" s="52">
        <v>4</v>
      </c>
      <c r="P1197" s="87">
        <f t="shared" si="1141"/>
        <v>25</v>
      </c>
      <c r="Q1197" s="12">
        <v>8</v>
      </c>
      <c r="R1197" s="9">
        <v>13</v>
      </c>
      <c r="S1197" s="10">
        <v>4</v>
      </c>
      <c r="T1197" s="49">
        <f t="shared" si="1142"/>
        <v>25</v>
      </c>
      <c r="U1197" s="11">
        <f t="shared" si="1143"/>
        <v>50</v>
      </c>
      <c r="V1197" s="98">
        <v>45989</v>
      </c>
    </row>
    <row r="1198" spans="1:23" x14ac:dyDescent="0.15">
      <c r="A1198" s="26"/>
      <c r="B1198" s="8"/>
      <c r="C1198" s="9"/>
      <c r="D1198" s="10"/>
      <c r="E1198" s="49">
        <f t="shared" si="1144"/>
        <v>0</v>
      </c>
      <c r="F1198" s="12"/>
      <c r="G1198" s="9"/>
      <c r="H1198" s="10"/>
      <c r="I1198" s="49">
        <f t="shared" si="1145"/>
        <v>0</v>
      </c>
      <c r="J1198" s="11">
        <f t="shared" si="1146"/>
        <v>0</v>
      </c>
      <c r="L1198" s="26" t="s">
        <v>185</v>
      </c>
      <c r="M1198" s="8">
        <v>12</v>
      </c>
      <c r="N1198" s="9">
        <v>6</v>
      </c>
      <c r="O1198" s="52">
        <v>13</v>
      </c>
      <c r="P1198" s="87">
        <f t="shared" si="1141"/>
        <v>31</v>
      </c>
      <c r="Q1198" s="12">
        <v>12</v>
      </c>
      <c r="R1198" s="9">
        <v>6</v>
      </c>
      <c r="S1198" s="10">
        <v>13</v>
      </c>
      <c r="T1198" s="49">
        <f t="shared" si="1142"/>
        <v>31</v>
      </c>
      <c r="U1198" s="11">
        <f t="shared" si="1143"/>
        <v>62</v>
      </c>
      <c r="V1198" s="98">
        <v>45994</v>
      </c>
    </row>
    <row r="1199" spans="1:23" x14ac:dyDescent="0.15">
      <c r="A1199" s="26"/>
      <c r="B1199" s="13"/>
      <c r="C1199" s="14"/>
      <c r="D1199" s="15"/>
      <c r="E1199" s="49">
        <f t="shared" si="1144"/>
        <v>0</v>
      </c>
      <c r="F1199" s="16"/>
      <c r="G1199" s="14"/>
      <c r="H1199" s="15"/>
      <c r="I1199" s="49">
        <f t="shared" si="1145"/>
        <v>0</v>
      </c>
      <c r="J1199" s="11">
        <f t="shared" si="1146"/>
        <v>0</v>
      </c>
      <c r="L1199" s="26" t="s">
        <v>198</v>
      </c>
      <c r="M1199" s="8">
        <v>7</v>
      </c>
      <c r="N1199" s="9"/>
      <c r="O1199" s="52">
        <v>5</v>
      </c>
      <c r="P1199" s="87">
        <f t="shared" ref="P1199" si="1147">SUM(M1199:O1199)</f>
        <v>12</v>
      </c>
      <c r="Q1199" s="12">
        <v>7</v>
      </c>
      <c r="R1199" s="9"/>
      <c r="S1199" s="10">
        <v>5</v>
      </c>
      <c r="T1199" s="49">
        <f t="shared" ref="T1199" si="1148">SUM(Q1199:S1199)</f>
        <v>12</v>
      </c>
      <c r="U1199" s="11">
        <f t="shared" ref="U1199" si="1149">P1199+T1199</f>
        <v>24</v>
      </c>
      <c r="V1199" s="98">
        <v>45995</v>
      </c>
    </row>
    <row r="1200" spans="1:23" x14ac:dyDescent="0.15">
      <c r="A1200" s="26"/>
      <c r="B1200" s="8"/>
      <c r="C1200" s="9"/>
      <c r="D1200" s="10"/>
      <c r="E1200" s="49">
        <f t="shared" si="1144"/>
        <v>0</v>
      </c>
      <c r="F1200" s="12"/>
      <c r="G1200" s="9"/>
      <c r="H1200" s="10"/>
      <c r="I1200" s="49">
        <f t="shared" si="1145"/>
        <v>0</v>
      </c>
      <c r="J1200" s="11">
        <f t="shared" si="1146"/>
        <v>0</v>
      </c>
      <c r="L1200" s="26" t="s">
        <v>200</v>
      </c>
      <c r="M1200" s="8">
        <v>4</v>
      </c>
      <c r="N1200" s="9"/>
      <c r="O1200" s="52">
        <v>2</v>
      </c>
      <c r="P1200" s="87">
        <f t="shared" si="1141"/>
        <v>6</v>
      </c>
      <c r="Q1200" s="12">
        <v>4</v>
      </c>
      <c r="R1200" s="9"/>
      <c r="S1200" s="10">
        <v>2</v>
      </c>
      <c r="T1200" s="49">
        <f t="shared" si="1142"/>
        <v>6</v>
      </c>
      <c r="U1200" s="11">
        <f t="shared" si="1143"/>
        <v>12</v>
      </c>
      <c r="V1200" s="98">
        <v>45996</v>
      </c>
    </row>
    <row r="1201" spans="1:22" x14ac:dyDescent="0.15">
      <c r="A1201" s="26"/>
      <c r="B1201" s="8"/>
      <c r="C1201" s="9"/>
      <c r="D1201" s="10"/>
      <c r="E1201" s="49">
        <f t="shared" si="1144"/>
        <v>0</v>
      </c>
      <c r="F1201" s="12"/>
      <c r="G1201" s="9"/>
      <c r="H1201" s="10"/>
      <c r="I1201" s="49">
        <f t="shared" si="1145"/>
        <v>0</v>
      </c>
      <c r="J1201" s="11">
        <f t="shared" si="1146"/>
        <v>0</v>
      </c>
      <c r="L1201" s="26" t="s">
        <v>204</v>
      </c>
      <c r="M1201" s="8">
        <v>8</v>
      </c>
      <c r="N1201" s="9"/>
      <c r="O1201" s="52">
        <v>5</v>
      </c>
      <c r="P1201" s="87">
        <f t="shared" si="1141"/>
        <v>13</v>
      </c>
      <c r="Q1201" s="12">
        <v>8</v>
      </c>
      <c r="R1201" s="9"/>
      <c r="S1201" s="10">
        <v>5</v>
      </c>
      <c r="T1201" s="49">
        <f t="shared" si="1142"/>
        <v>13</v>
      </c>
      <c r="U1201" s="11">
        <f t="shared" si="1143"/>
        <v>26</v>
      </c>
      <c r="V1201" s="98">
        <v>45996</v>
      </c>
    </row>
    <row r="1202" spans="1:22" x14ac:dyDescent="0.15">
      <c r="A1202" s="26"/>
      <c r="B1202" s="8"/>
      <c r="C1202" s="9"/>
      <c r="D1202" s="10"/>
      <c r="E1202" s="49">
        <f t="shared" si="1144"/>
        <v>0</v>
      </c>
      <c r="F1202" s="12"/>
      <c r="G1202" s="9"/>
      <c r="H1202" s="10"/>
      <c r="I1202" s="49">
        <f t="shared" si="1145"/>
        <v>0</v>
      </c>
      <c r="J1202" s="11">
        <f t="shared" si="1146"/>
        <v>0</v>
      </c>
      <c r="L1202" s="26" t="s">
        <v>211</v>
      </c>
      <c r="M1202" s="8">
        <v>5</v>
      </c>
      <c r="N1202" s="9"/>
      <c r="O1202" s="52">
        <v>4</v>
      </c>
      <c r="P1202" s="87">
        <f t="shared" si="1141"/>
        <v>9</v>
      </c>
      <c r="Q1202" s="12">
        <v>5</v>
      </c>
      <c r="R1202" s="9"/>
      <c r="S1202" s="10">
        <v>4</v>
      </c>
      <c r="T1202" s="49">
        <f t="shared" si="1142"/>
        <v>9</v>
      </c>
      <c r="U1202" s="11">
        <f t="shared" si="1143"/>
        <v>18</v>
      </c>
      <c r="V1202" s="98">
        <v>45999</v>
      </c>
    </row>
    <row r="1203" spans="1:22" x14ac:dyDescent="0.15">
      <c r="A1203" s="26"/>
      <c r="B1203" s="8"/>
      <c r="C1203" s="9"/>
      <c r="D1203" s="10"/>
      <c r="E1203" s="49">
        <f t="shared" si="1144"/>
        <v>0</v>
      </c>
      <c r="F1203" s="12"/>
      <c r="G1203" s="9"/>
      <c r="H1203" s="10"/>
      <c r="I1203" s="49">
        <f t="shared" si="1145"/>
        <v>0</v>
      </c>
      <c r="J1203" s="11">
        <f t="shared" si="1146"/>
        <v>0</v>
      </c>
      <c r="L1203" s="26"/>
      <c r="M1203" s="8"/>
      <c r="N1203" s="9"/>
      <c r="O1203" s="52"/>
      <c r="P1203" s="87">
        <f t="shared" si="1141"/>
        <v>0</v>
      </c>
      <c r="Q1203" s="12"/>
      <c r="R1203" s="9"/>
      <c r="S1203" s="10"/>
      <c r="T1203" s="49">
        <f t="shared" si="1142"/>
        <v>0</v>
      </c>
      <c r="U1203" s="11">
        <f t="shared" si="1143"/>
        <v>0</v>
      </c>
      <c r="V1203" s="100"/>
    </row>
    <row r="1204" spans="1:22" x14ac:dyDescent="0.15">
      <c r="A1204" s="26"/>
      <c r="B1204" s="8"/>
      <c r="C1204" s="9"/>
      <c r="D1204" s="10"/>
      <c r="E1204" s="49">
        <f t="shared" si="1144"/>
        <v>0</v>
      </c>
      <c r="F1204" s="12"/>
      <c r="G1204" s="9"/>
      <c r="H1204" s="10"/>
      <c r="I1204" s="49">
        <f t="shared" si="1145"/>
        <v>0</v>
      </c>
      <c r="J1204" s="11">
        <f t="shared" si="1146"/>
        <v>0</v>
      </c>
      <c r="L1204" s="26"/>
      <c r="M1204" s="8"/>
      <c r="N1204" s="9"/>
      <c r="O1204" s="52"/>
      <c r="P1204" s="87">
        <f t="shared" si="1141"/>
        <v>0</v>
      </c>
      <c r="Q1204" s="12"/>
      <c r="R1204" s="9"/>
      <c r="S1204" s="10"/>
      <c r="T1204" s="49">
        <f t="shared" si="1142"/>
        <v>0</v>
      </c>
      <c r="U1204" s="11">
        <f t="shared" si="1143"/>
        <v>0</v>
      </c>
    </row>
    <row r="1205" spans="1:22" x14ac:dyDescent="0.15">
      <c r="A1205" s="26"/>
      <c r="B1205" s="8"/>
      <c r="C1205" s="9"/>
      <c r="D1205" s="10"/>
      <c r="E1205" s="49">
        <f t="shared" si="1144"/>
        <v>0</v>
      </c>
      <c r="F1205" s="12"/>
      <c r="G1205" s="9"/>
      <c r="H1205" s="10"/>
      <c r="I1205" s="49">
        <f t="shared" si="1145"/>
        <v>0</v>
      </c>
      <c r="J1205" s="11">
        <f t="shared" si="1146"/>
        <v>0</v>
      </c>
      <c r="L1205" s="26"/>
      <c r="M1205" s="8"/>
      <c r="N1205" s="9"/>
      <c r="O1205" s="52"/>
      <c r="P1205" s="87">
        <f t="shared" si="1141"/>
        <v>0</v>
      </c>
      <c r="Q1205" s="12"/>
      <c r="R1205" s="9"/>
      <c r="S1205" s="10"/>
      <c r="T1205" s="49">
        <f t="shared" si="1142"/>
        <v>0</v>
      </c>
      <c r="U1205" s="11">
        <f t="shared" si="1143"/>
        <v>0</v>
      </c>
    </row>
    <row r="1206" spans="1:22" x14ac:dyDescent="0.15">
      <c r="A1206" s="26"/>
      <c r="B1206" s="8"/>
      <c r="C1206" s="9"/>
      <c r="D1206" s="10"/>
      <c r="E1206" s="49">
        <f t="shared" si="1144"/>
        <v>0</v>
      </c>
      <c r="F1206" s="12"/>
      <c r="G1206" s="9"/>
      <c r="H1206" s="10"/>
      <c r="I1206" s="49">
        <f t="shared" si="1145"/>
        <v>0</v>
      </c>
      <c r="J1206" s="11">
        <f t="shared" si="1146"/>
        <v>0</v>
      </c>
      <c r="L1206" s="26"/>
      <c r="M1206" s="8"/>
      <c r="N1206" s="9"/>
      <c r="O1206" s="52"/>
      <c r="P1206" s="87">
        <f t="shared" si="1141"/>
        <v>0</v>
      </c>
      <c r="Q1206" s="12"/>
      <c r="R1206" s="9"/>
      <c r="S1206" s="10"/>
      <c r="T1206" s="49">
        <f t="shared" si="1142"/>
        <v>0</v>
      </c>
      <c r="U1206" s="11">
        <f t="shared" si="1143"/>
        <v>0</v>
      </c>
    </row>
    <row r="1207" spans="1:22" x14ac:dyDescent="0.15">
      <c r="A1207" s="24"/>
      <c r="B1207" s="8"/>
      <c r="C1207" s="9"/>
      <c r="D1207" s="10"/>
      <c r="E1207" s="49">
        <f t="shared" si="1144"/>
        <v>0</v>
      </c>
      <c r="F1207" s="12"/>
      <c r="G1207" s="9"/>
      <c r="H1207" s="10"/>
      <c r="I1207" s="49">
        <f t="shared" si="1145"/>
        <v>0</v>
      </c>
      <c r="J1207" s="11">
        <f t="shared" si="1146"/>
        <v>0</v>
      </c>
      <c r="L1207" s="26"/>
      <c r="M1207" s="8"/>
      <c r="N1207" s="9"/>
      <c r="O1207" s="52"/>
      <c r="P1207" s="87">
        <f t="shared" si="1141"/>
        <v>0</v>
      </c>
      <c r="Q1207" s="12"/>
      <c r="R1207" s="9"/>
      <c r="S1207" s="10"/>
      <c r="T1207" s="49">
        <f t="shared" si="1142"/>
        <v>0</v>
      </c>
      <c r="U1207" s="11">
        <f t="shared" si="1143"/>
        <v>0</v>
      </c>
    </row>
    <row r="1208" spans="1:22" x14ac:dyDescent="0.15">
      <c r="A1208" s="25"/>
      <c r="B1208" s="8"/>
      <c r="C1208" s="9"/>
      <c r="D1208" s="10"/>
      <c r="E1208" s="49">
        <f t="shared" si="1144"/>
        <v>0</v>
      </c>
      <c r="F1208" s="12"/>
      <c r="G1208" s="9"/>
      <c r="H1208" s="10"/>
      <c r="I1208" s="49">
        <f t="shared" si="1145"/>
        <v>0</v>
      </c>
      <c r="J1208" s="11">
        <f t="shared" si="1146"/>
        <v>0</v>
      </c>
      <c r="L1208" s="26"/>
      <c r="M1208" s="8"/>
      <c r="N1208" s="9"/>
      <c r="O1208" s="52"/>
      <c r="P1208" s="87">
        <f t="shared" si="1141"/>
        <v>0</v>
      </c>
      <c r="Q1208" s="12"/>
      <c r="R1208" s="9"/>
      <c r="S1208" s="10"/>
      <c r="T1208" s="49">
        <f t="shared" si="1142"/>
        <v>0</v>
      </c>
      <c r="U1208" s="11">
        <f t="shared" si="1143"/>
        <v>0</v>
      </c>
    </row>
    <row r="1209" spans="1:22" x14ac:dyDescent="0.15">
      <c r="A1209" s="26"/>
      <c r="B1209" s="8"/>
      <c r="C1209" s="9"/>
      <c r="D1209" s="10"/>
      <c r="E1209" s="49">
        <f t="shared" si="1144"/>
        <v>0</v>
      </c>
      <c r="F1209" s="12"/>
      <c r="G1209" s="9"/>
      <c r="H1209" s="10"/>
      <c r="I1209" s="49">
        <f t="shared" si="1145"/>
        <v>0</v>
      </c>
      <c r="J1209" s="11">
        <f t="shared" si="1146"/>
        <v>0</v>
      </c>
      <c r="L1209" s="26"/>
      <c r="M1209" s="8"/>
      <c r="N1209" s="9"/>
      <c r="O1209" s="52"/>
      <c r="P1209" s="87">
        <f t="shared" si="1141"/>
        <v>0</v>
      </c>
      <c r="Q1209" s="12"/>
      <c r="R1209" s="9"/>
      <c r="S1209" s="10"/>
      <c r="T1209" s="49">
        <f t="shared" si="1142"/>
        <v>0</v>
      </c>
      <c r="U1209" s="11">
        <f t="shared" si="1143"/>
        <v>0</v>
      </c>
    </row>
    <row r="1210" spans="1:22" x14ac:dyDescent="0.15">
      <c r="A1210" s="24"/>
      <c r="B1210" s="8"/>
      <c r="C1210" s="9"/>
      <c r="D1210" s="10"/>
      <c r="E1210" s="49">
        <f t="shared" si="1144"/>
        <v>0</v>
      </c>
      <c r="F1210" s="12"/>
      <c r="G1210" s="9"/>
      <c r="H1210" s="10"/>
      <c r="I1210" s="49">
        <f t="shared" si="1145"/>
        <v>0</v>
      </c>
      <c r="J1210" s="11">
        <f t="shared" si="1146"/>
        <v>0</v>
      </c>
      <c r="L1210" s="26"/>
      <c r="M1210" s="8"/>
      <c r="N1210" s="9"/>
      <c r="O1210" s="52"/>
      <c r="P1210" s="87">
        <f t="shared" si="1141"/>
        <v>0</v>
      </c>
      <c r="Q1210" s="12"/>
      <c r="R1210" s="9"/>
      <c r="S1210" s="10"/>
      <c r="T1210" s="49">
        <f t="shared" si="1142"/>
        <v>0</v>
      </c>
      <c r="U1210" s="11">
        <f t="shared" si="1143"/>
        <v>0</v>
      </c>
    </row>
    <row r="1211" spans="1:22" x14ac:dyDescent="0.15">
      <c r="B1211" s="13"/>
      <c r="C1211" s="14"/>
      <c r="D1211" s="15"/>
      <c r="E1211" s="49">
        <f t="shared" si="1144"/>
        <v>0</v>
      </c>
      <c r="F1211" s="16"/>
      <c r="G1211" s="14"/>
      <c r="H1211" s="15"/>
      <c r="I1211" s="49">
        <f t="shared" si="1145"/>
        <v>0</v>
      </c>
      <c r="J1211" s="11">
        <f t="shared" si="1146"/>
        <v>0</v>
      </c>
      <c r="L1211" s="26"/>
      <c r="M1211" s="8"/>
      <c r="N1211" s="9"/>
      <c r="O1211" s="52"/>
      <c r="P1211" s="87">
        <f t="shared" si="1141"/>
        <v>0</v>
      </c>
      <c r="Q1211" s="12"/>
      <c r="R1211" s="9"/>
      <c r="S1211" s="10"/>
      <c r="T1211" s="49">
        <f t="shared" si="1142"/>
        <v>0</v>
      </c>
      <c r="U1211" s="11">
        <f t="shared" si="1143"/>
        <v>0</v>
      </c>
    </row>
    <row r="1212" spans="1:22" x14ac:dyDescent="0.15">
      <c r="A1212" s="26"/>
      <c r="B1212" s="8"/>
      <c r="C1212" s="9"/>
      <c r="D1212" s="10"/>
      <c r="E1212" s="49">
        <f t="shared" si="1144"/>
        <v>0</v>
      </c>
      <c r="F1212" s="12"/>
      <c r="G1212" s="9"/>
      <c r="H1212" s="10"/>
      <c r="I1212" s="49">
        <f t="shared" si="1145"/>
        <v>0</v>
      </c>
      <c r="J1212" s="11">
        <f t="shared" si="1146"/>
        <v>0</v>
      </c>
      <c r="L1212" s="26"/>
      <c r="M1212" s="8"/>
      <c r="N1212" s="9"/>
      <c r="O1212" s="52"/>
      <c r="P1212" s="87">
        <f t="shared" si="1141"/>
        <v>0</v>
      </c>
      <c r="Q1212" s="12"/>
      <c r="R1212" s="9"/>
      <c r="S1212" s="10"/>
      <c r="T1212" s="49">
        <f t="shared" si="1142"/>
        <v>0</v>
      </c>
      <c r="U1212" s="11">
        <f t="shared" si="1143"/>
        <v>0</v>
      </c>
    </row>
    <row r="1213" spans="1:22" x14ac:dyDescent="0.15">
      <c r="A1213" s="26"/>
      <c r="B1213" s="8"/>
      <c r="C1213" s="9"/>
      <c r="D1213" s="10"/>
      <c r="E1213" s="49">
        <f t="shared" si="1144"/>
        <v>0</v>
      </c>
      <c r="F1213" s="12"/>
      <c r="G1213" s="9"/>
      <c r="H1213" s="10"/>
      <c r="I1213" s="49">
        <f t="shared" si="1145"/>
        <v>0</v>
      </c>
      <c r="J1213" s="11">
        <f t="shared" si="1146"/>
        <v>0</v>
      </c>
      <c r="L1213" s="26" t="s">
        <v>948</v>
      </c>
      <c r="M1213" s="8"/>
      <c r="N1213" s="9"/>
      <c r="O1213" s="52"/>
      <c r="P1213" s="87">
        <f t="shared" si="1141"/>
        <v>0</v>
      </c>
      <c r="Q1213" s="12"/>
      <c r="R1213" s="9"/>
      <c r="S1213" s="10"/>
      <c r="T1213" s="49">
        <f t="shared" si="1142"/>
        <v>0</v>
      </c>
      <c r="U1213" s="11">
        <f t="shared" si="1143"/>
        <v>0</v>
      </c>
      <c r="V1213" s="100" t="s">
        <v>497</v>
      </c>
    </row>
    <row r="1214" spans="1:22" x14ac:dyDescent="0.15">
      <c r="A1214" s="26"/>
      <c r="B1214" s="8"/>
      <c r="C1214" s="9"/>
      <c r="D1214" s="10"/>
      <c r="E1214" s="49">
        <f t="shared" si="1144"/>
        <v>0</v>
      </c>
      <c r="F1214" s="12"/>
      <c r="G1214" s="9"/>
      <c r="H1214" s="10"/>
      <c r="I1214" s="49">
        <f t="shared" si="1145"/>
        <v>0</v>
      </c>
      <c r="J1214" s="11">
        <f t="shared" si="1146"/>
        <v>0</v>
      </c>
      <c r="L1214" s="26" t="s">
        <v>946</v>
      </c>
      <c r="M1214" s="8"/>
      <c r="N1214" s="9"/>
      <c r="O1214" s="52"/>
      <c r="P1214" s="87">
        <f t="shared" ref="P1214:P1215" si="1150">SUM(M1214:O1214)</f>
        <v>0</v>
      </c>
      <c r="Q1214" s="12"/>
      <c r="R1214" s="9"/>
      <c r="S1214" s="10"/>
      <c r="T1214" s="49">
        <f t="shared" ref="T1214:T1215" si="1151">SUM(Q1214:S1214)</f>
        <v>0</v>
      </c>
      <c r="U1214" s="11">
        <f t="shared" ref="U1214:U1215" si="1152">P1214+T1214</f>
        <v>0</v>
      </c>
      <c r="V1214" s="100" t="s">
        <v>341</v>
      </c>
    </row>
    <row r="1215" spans="1:22" ht="14.25" thickBot="1" x14ac:dyDescent="0.2">
      <c r="A1215" s="26"/>
      <c r="B1215" s="8"/>
      <c r="C1215" s="9"/>
      <c r="D1215" s="10"/>
      <c r="E1215" s="49">
        <f t="shared" si="1144"/>
        <v>0</v>
      </c>
      <c r="F1215" s="12"/>
      <c r="G1215" s="9"/>
      <c r="H1215" s="10"/>
      <c r="I1215" s="49">
        <f t="shared" si="1145"/>
        <v>0</v>
      </c>
      <c r="J1215" s="11">
        <f t="shared" si="1146"/>
        <v>0</v>
      </c>
      <c r="L1215" s="26" t="s">
        <v>949</v>
      </c>
      <c r="M1215" s="8"/>
      <c r="N1215" s="9"/>
      <c r="O1215" s="52"/>
      <c r="P1215" s="87">
        <f t="shared" si="1150"/>
        <v>0</v>
      </c>
      <c r="Q1215" s="12"/>
      <c r="R1215" s="9"/>
      <c r="S1215" s="10"/>
      <c r="T1215" s="49">
        <f t="shared" si="1151"/>
        <v>0</v>
      </c>
      <c r="U1215" s="11">
        <f t="shared" si="1152"/>
        <v>0</v>
      </c>
      <c r="V1215" s="100" t="s">
        <v>503</v>
      </c>
    </row>
    <row r="1216" spans="1:22" ht="14.25" thickBot="1" x14ac:dyDescent="0.2">
      <c r="A1216" s="41" t="s">
        <v>17</v>
      </c>
      <c r="B1216" s="46">
        <f>SUM(B1190:B1215)</f>
        <v>0</v>
      </c>
      <c r="C1216" s="47">
        <f t="shared" ref="C1216:D1216" si="1153">SUM(C1190:C1215)</f>
        <v>1</v>
      </c>
      <c r="D1216" s="58">
        <f t="shared" si="1153"/>
        <v>0</v>
      </c>
      <c r="E1216" s="45">
        <f t="shared" si="1144"/>
        <v>1</v>
      </c>
      <c r="F1216" s="46">
        <f>SUM(F1190:F1215)</f>
        <v>0</v>
      </c>
      <c r="G1216" s="47">
        <f t="shared" ref="G1216:H1216" si="1154">SUM(G1190:G1215)</f>
        <v>1</v>
      </c>
      <c r="H1216" s="58">
        <f t="shared" si="1154"/>
        <v>0</v>
      </c>
      <c r="I1216" s="45">
        <f t="shared" si="1145"/>
        <v>1</v>
      </c>
      <c r="J1216" s="45">
        <f>E1216+I1216</f>
        <v>2</v>
      </c>
      <c r="L1216" s="41" t="s">
        <v>17</v>
      </c>
      <c r="M1216" s="46">
        <f>SUM(M1190:M1215)</f>
        <v>128</v>
      </c>
      <c r="N1216" s="47">
        <f t="shared" ref="N1216:O1216" si="1155">SUM(N1190:N1215)</f>
        <v>105</v>
      </c>
      <c r="O1216" s="58">
        <f t="shared" si="1155"/>
        <v>68</v>
      </c>
      <c r="P1216" s="45">
        <f t="shared" si="1141"/>
        <v>301</v>
      </c>
      <c r="Q1216" s="46">
        <f>SUM(Q1190:Q1215)</f>
        <v>128</v>
      </c>
      <c r="R1216" s="47">
        <f t="shared" ref="R1216:S1216" si="1156">SUM(R1190:R1215)</f>
        <v>105</v>
      </c>
      <c r="S1216" s="58">
        <f t="shared" si="1156"/>
        <v>68</v>
      </c>
      <c r="T1216" s="45">
        <f t="shared" si="1142"/>
        <v>301</v>
      </c>
      <c r="U1216" s="45">
        <f>P1216+T1216</f>
        <v>602</v>
      </c>
    </row>
    <row r="1217" spans="1:23" ht="14.25" thickBot="1" x14ac:dyDescent="0.2">
      <c r="A1217" s="22" t="s">
        <v>16</v>
      </c>
      <c r="B1217" s="50">
        <f>B1189-B1216</f>
        <v>0</v>
      </c>
      <c r="C1217" s="56">
        <f t="shared" ref="C1217:D1217" si="1157">C1189-C1216</f>
        <v>0</v>
      </c>
      <c r="D1217" s="57">
        <f t="shared" si="1157"/>
        <v>1</v>
      </c>
      <c r="E1217" s="55">
        <f>SUM(B1217:D1217)</f>
        <v>1</v>
      </c>
      <c r="F1217" s="50">
        <f>F1189-F1216</f>
        <v>0</v>
      </c>
      <c r="G1217" s="56">
        <f t="shared" ref="G1217:H1217" si="1158">G1189-G1216</f>
        <v>0</v>
      </c>
      <c r="H1217" s="57">
        <f t="shared" si="1158"/>
        <v>1</v>
      </c>
      <c r="I1217" s="55">
        <f>SUM(F1217:H1217)</f>
        <v>1</v>
      </c>
      <c r="J1217" s="31">
        <f>E1217+I1217</f>
        <v>2</v>
      </c>
      <c r="L1217" s="22" t="s">
        <v>16</v>
      </c>
      <c r="M1217" s="50">
        <f>M1189-M1216</f>
        <v>5</v>
      </c>
      <c r="N1217" s="56">
        <f t="shared" ref="N1217:O1217" si="1159">N1189-N1216</f>
        <v>0</v>
      </c>
      <c r="O1217" s="57">
        <f t="shared" si="1159"/>
        <v>57</v>
      </c>
      <c r="P1217" s="55">
        <f>SUM(M1217:O1217)</f>
        <v>62</v>
      </c>
      <c r="Q1217" s="50">
        <f>Q1189-Q1216</f>
        <v>5</v>
      </c>
      <c r="R1217" s="56">
        <f t="shared" ref="R1217:S1217" si="1160">R1189-R1216</f>
        <v>0</v>
      </c>
      <c r="S1217" s="57">
        <f t="shared" si="1160"/>
        <v>57</v>
      </c>
      <c r="T1217" s="55">
        <f>SUM(Q1217:S1217)</f>
        <v>62</v>
      </c>
      <c r="U1217" s="31">
        <f>P1217+T1217</f>
        <v>124</v>
      </c>
    </row>
    <row r="1220" spans="1:23" ht="19.5" thickBot="1" x14ac:dyDescent="0.25">
      <c r="A1220" s="3" t="s">
        <v>677</v>
      </c>
      <c r="L1220" s="3" t="s">
        <v>677</v>
      </c>
    </row>
    <row r="1221" spans="1:23" ht="14.25" thickBot="1" x14ac:dyDescent="0.2">
      <c r="A1221" s="7"/>
      <c r="B1221" s="169" t="s">
        <v>22</v>
      </c>
      <c r="C1221" s="170"/>
      <c r="D1221" s="170"/>
      <c r="E1221" s="171"/>
      <c r="F1221" s="169" t="s">
        <v>23</v>
      </c>
      <c r="G1221" s="170"/>
      <c r="H1221" s="170"/>
      <c r="I1221" s="171"/>
      <c r="J1221" s="172" t="s">
        <v>0</v>
      </c>
      <c r="L1221" s="7"/>
      <c r="M1221" s="169" t="s">
        <v>22</v>
      </c>
      <c r="N1221" s="170"/>
      <c r="O1221" s="170"/>
      <c r="P1221" s="171"/>
      <c r="Q1221" s="169" t="s">
        <v>23</v>
      </c>
      <c r="R1221" s="170"/>
      <c r="S1221" s="170"/>
      <c r="T1221" s="171"/>
      <c r="U1221" s="172" t="s">
        <v>0</v>
      </c>
    </row>
    <row r="1222" spans="1:23" ht="14.25" thickBot="1" x14ac:dyDescent="0.2">
      <c r="A1222" s="7" t="s">
        <v>1</v>
      </c>
      <c r="B1222" s="4" t="s">
        <v>2</v>
      </c>
      <c r="C1222" s="5" t="s">
        <v>3</v>
      </c>
      <c r="D1222" s="6" t="s">
        <v>4</v>
      </c>
      <c r="E1222" s="7" t="s">
        <v>5</v>
      </c>
      <c r="F1222" s="4" t="s">
        <v>2</v>
      </c>
      <c r="G1222" s="5" t="s">
        <v>3</v>
      </c>
      <c r="H1222" s="6" t="s">
        <v>4</v>
      </c>
      <c r="I1222" s="7" t="s">
        <v>5</v>
      </c>
      <c r="J1222" s="173"/>
      <c r="L1222" s="7" t="s">
        <v>1</v>
      </c>
      <c r="M1222" s="4" t="s">
        <v>2</v>
      </c>
      <c r="N1222" s="5" t="s">
        <v>3</v>
      </c>
      <c r="O1222" s="6" t="s">
        <v>4</v>
      </c>
      <c r="P1222" s="7" t="s">
        <v>5</v>
      </c>
      <c r="Q1222" s="4" t="s">
        <v>2</v>
      </c>
      <c r="R1222" s="5" t="s">
        <v>3</v>
      </c>
      <c r="S1222" s="6" t="s">
        <v>4</v>
      </c>
      <c r="T1222" s="7" t="s">
        <v>5</v>
      </c>
      <c r="U1222" s="173"/>
    </row>
    <row r="1223" spans="1:23" ht="14.25" thickBot="1" x14ac:dyDescent="0.2">
      <c r="A1223" s="140" t="s">
        <v>16</v>
      </c>
      <c r="B1223" s="28">
        <f>B1217</f>
        <v>0</v>
      </c>
      <c r="C1223" s="126">
        <f t="shared" ref="C1223:E1223" si="1161">C1217</f>
        <v>0</v>
      </c>
      <c r="D1223" s="127">
        <f t="shared" si="1161"/>
        <v>1</v>
      </c>
      <c r="E1223" s="28">
        <f t="shared" si="1161"/>
        <v>1</v>
      </c>
      <c r="F1223" s="126">
        <f>F1217</f>
        <v>0</v>
      </c>
      <c r="G1223" s="126">
        <f t="shared" ref="G1223:J1223" si="1162">G1217</f>
        <v>0</v>
      </c>
      <c r="H1223" s="127">
        <f t="shared" si="1162"/>
        <v>1</v>
      </c>
      <c r="I1223" s="28">
        <f t="shared" si="1162"/>
        <v>1</v>
      </c>
      <c r="J1223" s="28">
        <f t="shared" si="1162"/>
        <v>2</v>
      </c>
      <c r="L1223" s="128" t="s">
        <v>16</v>
      </c>
      <c r="M1223" s="126">
        <f>M1217</f>
        <v>5</v>
      </c>
      <c r="N1223" s="126">
        <f t="shared" ref="N1223:P1223" si="1163">N1217</f>
        <v>0</v>
      </c>
      <c r="O1223" s="127">
        <f t="shared" si="1163"/>
        <v>57</v>
      </c>
      <c r="P1223" s="31">
        <f t="shared" si="1163"/>
        <v>62</v>
      </c>
      <c r="Q1223" s="126">
        <f>Q1217</f>
        <v>5</v>
      </c>
      <c r="R1223" s="126">
        <f t="shared" ref="R1223:U1223" si="1164">R1217</f>
        <v>0</v>
      </c>
      <c r="S1223" s="127">
        <f t="shared" si="1164"/>
        <v>57</v>
      </c>
      <c r="T1223" s="31">
        <f t="shared" si="1164"/>
        <v>62</v>
      </c>
      <c r="U1223" s="28">
        <f t="shared" si="1164"/>
        <v>124</v>
      </c>
    </row>
    <row r="1224" spans="1:23" x14ac:dyDescent="0.15">
      <c r="A1224" s="25" t="s">
        <v>885</v>
      </c>
      <c r="B1224" s="8">
        <v>2</v>
      </c>
      <c r="C1224" s="9">
        <v>1</v>
      </c>
      <c r="D1224" s="52">
        <v>1</v>
      </c>
      <c r="E1224" s="11">
        <f t="shared" ref="E1224:E1231" si="1165">SUM(B1224:D1224)</f>
        <v>4</v>
      </c>
      <c r="F1224" s="12">
        <v>2</v>
      </c>
      <c r="G1224" s="9">
        <v>1</v>
      </c>
      <c r="H1224" s="10">
        <v>1</v>
      </c>
      <c r="I1224" s="11">
        <f t="shared" ref="I1224:I1231" si="1166">SUM(F1224:H1224)</f>
        <v>4</v>
      </c>
      <c r="J1224" s="11">
        <f t="shared" ref="J1224:J1231" si="1167">E1224+I1224</f>
        <v>8</v>
      </c>
      <c r="K1224" s="64">
        <v>46000</v>
      </c>
      <c r="L1224" s="25" t="s">
        <v>7</v>
      </c>
      <c r="M1224" s="17"/>
      <c r="N1224" s="18"/>
      <c r="O1224" s="51"/>
      <c r="P1224" s="49">
        <f t="shared" ref="P1224:P1231" si="1168">SUM(M1224:O1224)</f>
        <v>0</v>
      </c>
      <c r="Q1224" s="17"/>
      <c r="R1224" s="18"/>
      <c r="S1224" s="51"/>
      <c r="T1224" s="49">
        <f t="shared" ref="T1224:T1231" si="1169">SUM(Q1224:S1224)</f>
        <v>0</v>
      </c>
      <c r="U1224" s="11">
        <f t="shared" ref="U1224:U1231" si="1170">P1224+T1224</f>
        <v>0</v>
      </c>
    </row>
    <row r="1225" spans="1:23" x14ac:dyDescent="0.15">
      <c r="A1225" s="25" t="s">
        <v>885</v>
      </c>
      <c r="B1225" s="8">
        <v>1</v>
      </c>
      <c r="C1225" s="9"/>
      <c r="D1225" s="52">
        <v>1</v>
      </c>
      <c r="E1225" s="11">
        <f t="shared" si="1165"/>
        <v>2</v>
      </c>
      <c r="F1225" s="12">
        <v>1</v>
      </c>
      <c r="G1225" s="9"/>
      <c r="H1225" s="10">
        <v>1</v>
      </c>
      <c r="I1225" s="11">
        <f t="shared" si="1166"/>
        <v>2</v>
      </c>
      <c r="J1225" s="11">
        <f t="shared" si="1167"/>
        <v>4</v>
      </c>
      <c r="K1225" s="64">
        <v>46015</v>
      </c>
      <c r="L1225" s="25" t="s">
        <v>8</v>
      </c>
      <c r="M1225" s="17"/>
      <c r="N1225" s="18"/>
      <c r="O1225" s="51"/>
      <c r="P1225" s="49">
        <f t="shared" si="1168"/>
        <v>0</v>
      </c>
      <c r="Q1225" s="17"/>
      <c r="R1225" s="18"/>
      <c r="S1225" s="51"/>
      <c r="T1225" s="49">
        <f t="shared" si="1169"/>
        <v>0</v>
      </c>
      <c r="U1225" s="11">
        <f t="shared" si="1170"/>
        <v>0</v>
      </c>
    </row>
    <row r="1226" spans="1:23" x14ac:dyDescent="0.15">
      <c r="A1226" s="25" t="s">
        <v>885</v>
      </c>
      <c r="B1226" s="8">
        <v>1</v>
      </c>
      <c r="C1226" s="9">
        <v>1</v>
      </c>
      <c r="D1226" s="52"/>
      <c r="E1226" s="11">
        <f t="shared" si="1165"/>
        <v>2</v>
      </c>
      <c r="F1226" s="12">
        <v>1</v>
      </c>
      <c r="G1226" s="9">
        <v>1</v>
      </c>
      <c r="H1226" s="10"/>
      <c r="I1226" s="11">
        <f t="shared" si="1166"/>
        <v>2</v>
      </c>
      <c r="J1226" s="11">
        <f t="shared" si="1167"/>
        <v>4</v>
      </c>
      <c r="K1226" s="64">
        <v>46038</v>
      </c>
      <c r="L1226" s="25" t="s">
        <v>9</v>
      </c>
      <c r="M1226" s="8">
        <v>120</v>
      </c>
      <c r="N1226" s="9">
        <v>140</v>
      </c>
      <c r="O1226" s="52">
        <v>70</v>
      </c>
      <c r="P1226" s="11">
        <f t="shared" si="1168"/>
        <v>330</v>
      </c>
      <c r="Q1226" s="12">
        <v>120</v>
      </c>
      <c r="R1226" s="12">
        <v>140</v>
      </c>
      <c r="S1226" s="145">
        <v>70</v>
      </c>
      <c r="T1226" s="11">
        <f t="shared" si="1169"/>
        <v>330</v>
      </c>
      <c r="U1226" s="11">
        <f t="shared" si="1170"/>
        <v>660</v>
      </c>
      <c r="V1226" s="98" t="s">
        <v>963</v>
      </c>
      <c r="W1226" s="66"/>
    </row>
    <row r="1227" spans="1:23" x14ac:dyDescent="0.15">
      <c r="A1227" s="25" t="s">
        <v>10</v>
      </c>
      <c r="B1227" s="8"/>
      <c r="C1227" s="9"/>
      <c r="D1227" s="52"/>
      <c r="E1227" s="11">
        <f t="shared" si="1165"/>
        <v>0</v>
      </c>
      <c r="F1227" s="12"/>
      <c r="G1227" s="9"/>
      <c r="H1227" s="10"/>
      <c r="I1227" s="11">
        <f t="shared" si="1166"/>
        <v>0</v>
      </c>
      <c r="J1227" s="11">
        <f t="shared" si="1167"/>
        <v>0</v>
      </c>
      <c r="L1227" s="25" t="s">
        <v>10</v>
      </c>
      <c r="M1227" s="17"/>
      <c r="N1227" s="18"/>
      <c r="O1227" s="51"/>
      <c r="P1227" s="49">
        <f t="shared" si="1168"/>
        <v>0</v>
      </c>
      <c r="Q1227" s="17"/>
      <c r="R1227" s="18"/>
      <c r="S1227" s="51"/>
      <c r="T1227" s="49">
        <f t="shared" si="1169"/>
        <v>0</v>
      </c>
      <c r="U1227" s="49">
        <f t="shared" si="1170"/>
        <v>0</v>
      </c>
      <c r="V1227" s="100"/>
      <c r="W1227" s="66"/>
    </row>
    <row r="1228" spans="1:23" x14ac:dyDescent="0.15">
      <c r="A1228" s="25" t="s">
        <v>11</v>
      </c>
      <c r="B1228" s="8"/>
      <c r="C1228" s="9"/>
      <c r="D1228" s="52"/>
      <c r="E1228" s="11">
        <f t="shared" si="1165"/>
        <v>0</v>
      </c>
      <c r="F1228" s="12"/>
      <c r="G1228" s="9"/>
      <c r="H1228" s="10"/>
      <c r="I1228" s="11">
        <f t="shared" si="1166"/>
        <v>0</v>
      </c>
      <c r="J1228" s="11">
        <f t="shared" si="1167"/>
        <v>0</v>
      </c>
      <c r="L1228" s="25" t="s">
        <v>13</v>
      </c>
      <c r="M1228" s="17">
        <v>50</v>
      </c>
      <c r="N1228" s="18">
        <v>60</v>
      </c>
      <c r="O1228" s="51">
        <v>40</v>
      </c>
      <c r="P1228" s="49">
        <f t="shared" ref="P1228" si="1171">SUM(M1228:O1228)</f>
        <v>150</v>
      </c>
      <c r="Q1228" s="17">
        <v>50</v>
      </c>
      <c r="R1228" s="18">
        <v>60</v>
      </c>
      <c r="S1228" s="51">
        <v>40</v>
      </c>
      <c r="T1228" s="49">
        <f t="shared" ref="T1228" si="1172">SUM(Q1228:S1228)</f>
        <v>150</v>
      </c>
      <c r="U1228" s="11">
        <f t="shared" ref="U1228" si="1173">P1228+T1228</f>
        <v>300</v>
      </c>
      <c r="V1228" s="98" t="s">
        <v>964</v>
      </c>
      <c r="W1228" s="66"/>
    </row>
    <row r="1229" spans="1:23" x14ac:dyDescent="0.15">
      <c r="A1229" s="25" t="s">
        <v>12</v>
      </c>
      <c r="B1229" s="8"/>
      <c r="C1229" s="9"/>
      <c r="D1229" s="52"/>
      <c r="E1229" s="11">
        <f t="shared" si="1165"/>
        <v>0</v>
      </c>
      <c r="F1229" s="12"/>
      <c r="G1229" s="9"/>
      <c r="H1229" s="10"/>
      <c r="I1229" s="11">
        <f t="shared" si="1166"/>
        <v>0</v>
      </c>
      <c r="J1229" s="11">
        <f t="shared" si="1167"/>
        <v>0</v>
      </c>
      <c r="L1229" s="25" t="s">
        <v>950</v>
      </c>
      <c r="M1229" s="17">
        <v>-50</v>
      </c>
      <c r="N1229" s="18">
        <v>-32</v>
      </c>
      <c r="O1229" s="51">
        <v>-70</v>
      </c>
      <c r="P1229" s="49">
        <f t="shared" si="1168"/>
        <v>-152</v>
      </c>
      <c r="Q1229" s="17">
        <v>-50</v>
      </c>
      <c r="R1229" s="18">
        <v>-32</v>
      </c>
      <c r="S1229" s="51">
        <v>-70</v>
      </c>
      <c r="T1229" s="49">
        <f t="shared" si="1169"/>
        <v>-152</v>
      </c>
      <c r="U1229" s="11">
        <f t="shared" si="1170"/>
        <v>-304</v>
      </c>
      <c r="V1229" s="66" t="s">
        <v>951</v>
      </c>
      <c r="W1229" s="66"/>
    </row>
    <row r="1230" spans="1:23" x14ac:dyDescent="0.15">
      <c r="A1230" s="25" t="s">
        <v>13</v>
      </c>
      <c r="B1230" s="13"/>
      <c r="C1230" s="14"/>
      <c r="D1230" s="53"/>
      <c r="E1230" s="11">
        <f t="shared" si="1165"/>
        <v>0</v>
      </c>
      <c r="F1230" s="16"/>
      <c r="G1230" s="14"/>
      <c r="H1230" s="15"/>
      <c r="I1230" s="11">
        <f t="shared" si="1166"/>
        <v>0</v>
      </c>
      <c r="J1230" s="11">
        <f t="shared" si="1167"/>
        <v>0</v>
      </c>
      <c r="L1230" s="25" t="s">
        <v>969</v>
      </c>
      <c r="M1230" s="17">
        <v>2</v>
      </c>
      <c r="N1230" s="18">
        <v>1</v>
      </c>
      <c r="O1230" s="51">
        <v>1</v>
      </c>
      <c r="P1230" s="49">
        <f t="shared" ref="P1230" si="1174">SUM(M1230:O1230)</f>
        <v>4</v>
      </c>
      <c r="Q1230" s="17">
        <v>2</v>
      </c>
      <c r="R1230" s="18">
        <v>1</v>
      </c>
      <c r="S1230" s="51">
        <v>1</v>
      </c>
      <c r="T1230" s="49">
        <f t="shared" ref="T1230" si="1175">SUM(Q1230:S1230)</f>
        <v>4</v>
      </c>
      <c r="U1230" s="11">
        <f t="shared" ref="U1230" si="1176">P1230+T1230</f>
        <v>8</v>
      </c>
      <c r="V1230" s="99">
        <v>46011</v>
      </c>
    </row>
    <row r="1231" spans="1:23" ht="14.25" thickBot="1" x14ac:dyDescent="0.2">
      <c r="A1231" s="25" t="s">
        <v>14</v>
      </c>
      <c r="B1231" s="32"/>
      <c r="C1231" s="33"/>
      <c r="D1231" s="54"/>
      <c r="E1231" s="61">
        <f t="shared" si="1165"/>
        <v>0</v>
      </c>
      <c r="F1231" s="34"/>
      <c r="G1231" s="34"/>
      <c r="H1231" s="37"/>
      <c r="I1231" s="61">
        <f t="shared" si="1166"/>
        <v>0</v>
      </c>
      <c r="J1231" s="21">
        <f t="shared" si="1167"/>
        <v>0</v>
      </c>
      <c r="L1231" s="25" t="s">
        <v>969</v>
      </c>
      <c r="M1231" s="32">
        <v>1</v>
      </c>
      <c r="N1231" s="33"/>
      <c r="O1231" s="54">
        <v>1</v>
      </c>
      <c r="P1231" s="61">
        <f t="shared" si="1168"/>
        <v>2</v>
      </c>
      <c r="Q1231" s="34">
        <v>1</v>
      </c>
      <c r="R1231" s="34"/>
      <c r="S1231" s="37">
        <v>1</v>
      </c>
      <c r="T1231" s="61">
        <f t="shared" si="1169"/>
        <v>2</v>
      </c>
      <c r="U1231" s="21">
        <f t="shared" si="1170"/>
        <v>4</v>
      </c>
      <c r="V1231" s="99">
        <v>46032</v>
      </c>
    </row>
    <row r="1232" spans="1:23" ht="14.25" thickBot="1" x14ac:dyDescent="0.2">
      <c r="A1232" s="35" t="s">
        <v>15</v>
      </c>
      <c r="B1232" s="28">
        <f>SUM(B1223:B1231)</f>
        <v>4</v>
      </c>
      <c r="C1232" s="29">
        <f>SUM(C1223:C1231)</f>
        <v>2</v>
      </c>
      <c r="D1232" s="30">
        <f>SUM(D1223:D1231)</f>
        <v>3</v>
      </c>
      <c r="E1232" s="31">
        <f>SUM(B1232:D1232)</f>
        <v>9</v>
      </c>
      <c r="F1232" s="28">
        <f>SUM(F1223:F1231)</f>
        <v>4</v>
      </c>
      <c r="G1232" s="29">
        <f>SUM(G1223:G1231)</f>
        <v>2</v>
      </c>
      <c r="H1232" s="30">
        <f>SUM(H1223:H1231)</f>
        <v>3</v>
      </c>
      <c r="I1232" s="31">
        <f>SUM(F1232:H1232)</f>
        <v>9</v>
      </c>
      <c r="J1232" s="31">
        <f>E1232+I1232</f>
        <v>18</v>
      </c>
      <c r="L1232" s="35" t="s">
        <v>15</v>
      </c>
      <c r="M1232" s="28">
        <f>SUM(M1223:M1231)</f>
        <v>128</v>
      </c>
      <c r="N1232" s="29">
        <f>SUM(N1223:N1231)</f>
        <v>169</v>
      </c>
      <c r="O1232" s="30">
        <f>SUM(O1223:O1231)</f>
        <v>99</v>
      </c>
      <c r="P1232" s="31">
        <f>SUM(M1232:O1232)</f>
        <v>396</v>
      </c>
      <c r="Q1232" s="28">
        <f>SUM(Q1223:Q1231)</f>
        <v>128</v>
      </c>
      <c r="R1232" s="29">
        <f>SUM(R1223:R1231)</f>
        <v>169</v>
      </c>
      <c r="S1232" s="30">
        <f>SUM(S1223:S1231)</f>
        <v>99</v>
      </c>
      <c r="T1232" s="31">
        <f>SUM(Q1232:S1232)</f>
        <v>396</v>
      </c>
      <c r="U1232" s="31">
        <f>P1232+T1232</f>
        <v>792</v>
      </c>
    </row>
    <row r="1233" spans="1:23" x14ac:dyDescent="0.15">
      <c r="A1233" s="26" t="s">
        <v>968</v>
      </c>
      <c r="B1233" s="13">
        <v>2</v>
      </c>
      <c r="C1233" s="14">
        <v>1</v>
      </c>
      <c r="D1233" s="15">
        <v>1</v>
      </c>
      <c r="E1233" s="49">
        <f t="shared" ref="E1233:E1235" si="1177">SUM(B1233:D1233)</f>
        <v>4</v>
      </c>
      <c r="F1233" s="16">
        <v>2</v>
      </c>
      <c r="G1233" s="14">
        <v>1</v>
      </c>
      <c r="H1233" s="15">
        <v>1</v>
      </c>
      <c r="I1233" s="49">
        <f t="shared" ref="I1233:I1235" si="1178">SUM(F1233:H1233)</f>
        <v>4</v>
      </c>
      <c r="J1233" s="11">
        <f t="shared" ref="J1233:J1235" si="1179">E1233+I1233</f>
        <v>8</v>
      </c>
      <c r="K1233" s="64">
        <v>46011</v>
      </c>
      <c r="L1233" s="26" t="s">
        <v>959</v>
      </c>
      <c r="M1233" s="8"/>
      <c r="N1233" s="9">
        <f>14+2+1+7+8</f>
        <v>32</v>
      </c>
      <c r="O1233" s="52"/>
      <c r="P1233" s="87">
        <f t="shared" ref="P1233:P1259" si="1180">SUM(M1233:O1233)</f>
        <v>32</v>
      </c>
      <c r="Q1233" s="12"/>
      <c r="R1233" s="9">
        <f>14+2+1+7+8</f>
        <v>32</v>
      </c>
      <c r="S1233" s="10"/>
      <c r="T1233" s="49">
        <f t="shared" ref="T1233:T1259" si="1181">SUM(Q1233:S1233)</f>
        <v>32</v>
      </c>
      <c r="U1233" s="11">
        <f t="shared" ref="U1233:U1258" si="1182">P1233+T1233</f>
        <v>64</v>
      </c>
      <c r="V1233" s="98">
        <v>46001</v>
      </c>
    </row>
    <row r="1234" spans="1:23" x14ac:dyDescent="0.15">
      <c r="A1234" s="26" t="s">
        <v>362</v>
      </c>
      <c r="B1234" s="13">
        <v>1</v>
      </c>
      <c r="C1234" s="14"/>
      <c r="D1234" s="15">
        <v>1</v>
      </c>
      <c r="E1234" s="49">
        <f t="shared" si="1177"/>
        <v>2</v>
      </c>
      <c r="F1234" s="16">
        <v>1</v>
      </c>
      <c r="G1234" s="14"/>
      <c r="H1234" s="15">
        <v>1</v>
      </c>
      <c r="I1234" s="49">
        <f t="shared" si="1178"/>
        <v>2</v>
      </c>
      <c r="J1234" s="11">
        <f t="shared" si="1179"/>
        <v>4</v>
      </c>
      <c r="K1234" s="64">
        <v>46032</v>
      </c>
      <c r="L1234" s="26" t="s">
        <v>214</v>
      </c>
      <c r="M1234" s="8">
        <v>5</v>
      </c>
      <c r="N1234" s="9">
        <v>5</v>
      </c>
      <c r="O1234" s="52"/>
      <c r="P1234" s="87">
        <f t="shared" si="1180"/>
        <v>10</v>
      </c>
      <c r="Q1234" s="12">
        <v>5</v>
      </c>
      <c r="R1234" s="9">
        <v>5</v>
      </c>
      <c r="S1234" s="10"/>
      <c r="T1234" s="49">
        <f t="shared" si="1181"/>
        <v>10</v>
      </c>
      <c r="U1234" s="11">
        <f t="shared" si="1182"/>
        <v>20</v>
      </c>
      <c r="V1234" s="98">
        <v>46001</v>
      </c>
    </row>
    <row r="1235" spans="1:23" x14ac:dyDescent="0.15">
      <c r="A1235" s="26" t="s">
        <v>362</v>
      </c>
      <c r="B1235" s="13">
        <v>1</v>
      </c>
      <c r="C1235" s="14">
        <v>1</v>
      </c>
      <c r="D1235" s="15"/>
      <c r="E1235" s="49">
        <f t="shared" si="1177"/>
        <v>2</v>
      </c>
      <c r="F1235" s="16">
        <v>1</v>
      </c>
      <c r="G1235" s="14">
        <v>1</v>
      </c>
      <c r="H1235" s="15"/>
      <c r="I1235" s="49">
        <f t="shared" si="1178"/>
        <v>2</v>
      </c>
      <c r="J1235" s="11">
        <f t="shared" si="1179"/>
        <v>4</v>
      </c>
      <c r="K1235" s="64">
        <v>46039</v>
      </c>
      <c r="L1235" s="26" t="s">
        <v>217</v>
      </c>
      <c r="M1235" s="8"/>
      <c r="N1235" s="9">
        <v>4</v>
      </c>
      <c r="O1235" s="52">
        <v>4</v>
      </c>
      <c r="P1235" s="87">
        <f t="shared" si="1180"/>
        <v>8</v>
      </c>
      <c r="Q1235" s="12"/>
      <c r="R1235" s="9">
        <v>4</v>
      </c>
      <c r="S1235" s="10">
        <v>4</v>
      </c>
      <c r="T1235" s="49">
        <f t="shared" si="1181"/>
        <v>8</v>
      </c>
      <c r="U1235" s="11">
        <f t="shared" si="1182"/>
        <v>16</v>
      </c>
      <c r="V1235" s="98">
        <v>46002</v>
      </c>
    </row>
    <row r="1236" spans="1:23" x14ac:dyDescent="0.15">
      <c r="A1236" s="26"/>
      <c r="B1236" s="13"/>
      <c r="C1236" s="14"/>
      <c r="D1236" s="15"/>
      <c r="E1236" s="49">
        <f>SUM(B1236:D1236)</f>
        <v>0</v>
      </c>
      <c r="F1236" s="16"/>
      <c r="G1236" s="14"/>
      <c r="H1236" s="15"/>
      <c r="I1236" s="49">
        <f>SUM(F1236:H1236)</f>
        <v>0</v>
      </c>
      <c r="J1236" s="11">
        <f>E1236+I1236</f>
        <v>0</v>
      </c>
      <c r="L1236" s="26" t="s">
        <v>222</v>
      </c>
      <c r="M1236" s="8">
        <v>6</v>
      </c>
      <c r="N1236" s="9">
        <v>10</v>
      </c>
      <c r="O1236" s="52"/>
      <c r="P1236" s="87">
        <f t="shared" si="1180"/>
        <v>16</v>
      </c>
      <c r="Q1236" s="12">
        <v>6</v>
      </c>
      <c r="R1236" s="9">
        <v>10</v>
      </c>
      <c r="S1236" s="10"/>
      <c r="T1236" s="49">
        <f t="shared" si="1181"/>
        <v>16</v>
      </c>
      <c r="U1236" s="11">
        <f t="shared" si="1182"/>
        <v>32</v>
      </c>
      <c r="V1236" s="98">
        <v>46003</v>
      </c>
    </row>
    <row r="1237" spans="1:23" x14ac:dyDescent="0.15">
      <c r="A1237" s="26"/>
      <c r="B1237" s="8"/>
      <c r="C1237" s="9"/>
      <c r="D1237" s="10"/>
      <c r="E1237" s="49">
        <f t="shared" ref="E1237:E1259" si="1183">SUM(B1237:D1237)</f>
        <v>0</v>
      </c>
      <c r="F1237" s="12"/>
      <c r="G1237" s="9"/>
      <c r="H1237" s="10"/>
      <c r="I1237" s="49">
        <f t="shared" ref="I1237:I1259" si="1184">SUM(F1237:H1237)</f>
        <v>0</v>
      </c>
      <c r="J1237" s="11">
        <f t="shared" ref="J1237:J1258" si="1185">E1237+I1237</f>
        <v>0</v>
      </c>
      <c r="L1237" s="26" t="s">
        <v>224</v>
      </c>
      <c r="M1237" s="8">
        <v>9</v>
      </c>
      <c r="N1237" s="9">
        <v>9</v>
      </c>
      <c r="O1237" s="52"/>
      <c r="P1237" s="87">
        <f t="shared" si="1180"/>
        <v>18</v>
      </c>
      <c r="Q1237" s="12">
        <v>9</v>
      </c>
      <c r="R1237" s="9">
        <v>9</v>
      </c>
      <c r="S1237" s="10"/>
      <c r="T1237" s="49">
        <f t="shared" si="1181"/>
        <v>18</v>
      </c>
      <c r="U1237" s="11">
        <f t="shared" si="1182"/>
        <v>36</v>
      </c>
      <c r="V1237" s="98">
        <v>46006</v>
      </c>
      <c r="W1237" s="66"/>
    </row>
    <row r="1238" spans="1:23" x14ac:dyDescent="0.15">
      <c r="A1238" s="26"/>
      <c r="B1238" s="8"/>
      <c r="C1238" s="9"/>
      <c r="D1238" s="10"/>
      <c r="E1238" s="49">
        <f t="shared" si="1183"/>
        <v>0</v>
      </c>
      <c r="F1238" s="12"/>
      <c r="G1238" s="9"/>
      <c r="H1238" s="10"/>
      <c r="I1238" s="49">
        <f t="shared" si="1184"/>
        <v>0</v>
      </c>
      <c r="J1238" s="11">
        <f t="shared" si="1185"/>
        <v>0</v>
      </c>
      <c r="L1238" s="26" t="s">
        <v>226</v>
      </c>
      <c r="M1238" s="8">
        <v>3</v>
      </c>
      <c r="N1238" s="9">
        <v>8</v>
      </c>
      <c r="O1238" s="52"/>
      <c r="P1238" s="87">
        <f t="shared" si="1180"/>
        <v>11</v>
      </c>
      <c r="Q1238" s="12">
        <v>3</v>
      </c>
      <c r="R1238" s="9">
        <v>8</v>
      </c>
      <c r="S1238" s="10"/>
      <c r="T1238" s="49">
        <f t="shared" si="1181"/>
        <v>11</v>
      </c>
      <c r="U1238" s="11">
        <f t="shared" si="1182"/>
        <v>22</v>
      </c>
      <c r="V1238" s="98">
        <v>46008</v>
      </c>
      <c r="W1238" s="66"/>
    </row>
    <row r="1239" spans="1:23" x14ac:dyDescent="0.15">
      <c r="A1239" s="26"/>
      <c r="B1239" s="8"/>
      <c r="C1239" s="9"/>
      <c r="D1239" s="10"/>
      <c r="E1239" s="49">
        <f t="shared" si="1183"/>
        <v>0</v>
      </c>
      <c r="F1239" s="12"/>
      <c r="G1239" s="9"/>
      <c r="H1239" s="10"/>
      <c r="I1239" s="49">
        <f t="shared" si="1184"/>
        <v>0</v>
      </c>
      <c r="J1239" s="11">
        <f t="shared" si="1185"/>
        <v>0</v>
      </c>
      <c r="L1239" s="26" t="s">
        <v>230</v>
      </c>
      <c r="M1239" s="8"/>
      <c r="N1239" s="9"/>
      <c r="O1239" s="52">
        <v>6</v>
      </c>
      <c r="P1239" s="87">
        <f t="shared" si="1180"/>
        <v>6</v>
      </c>
      <c r="Q1239" s="12"/>
      <c r="R1239" s="9"/>
      <c r="S1239" s="10">
        <v>6</v>
      </c>
      <c r="T1239" s="49">
        <f t="shared" si="1181"/>
        <v>6</v>
      </c>
      <c r="U1239" s="11">
        <f t="shared" si="1182"/>
        <v>12</v>
      </c>
      <c r="V1239" s="98">
        <v>46009</v>
      </c>
    </row>
    <row r="1240" spans="1:23" x14ac:dyDescent="0.15">
      <c r="A1240" s="26"/>
      <c r="B1240" s="8"/>
      <c r="C1240" s="9"/>
      <c r="D1240" s="10"/>
      <c r="E1240" s="49">
        <f t="shared" si="1183"/>
        <v>0</v>
      </c>
      <c r="F1240" s="12"/>
      <c r="G1240" s="9"/>
      <c r="H1240" s="10"/>
      <c r="I1240" s="49">
        <f t="shared" si="1184"/>
        <v>0</v>
      </c>
      <c r="J1240" s="11">
        <f t="shared" si="1185"/>
        <v>0</v>
      </c>
      <c r="L1240" s="26" t="s">
        <v>238</v>
      </c>
      <c r="M1240" s="8">
        <v>6</v>
      </c>
      <c r="N1240" s="9">
        <v>7</v>
      </c>
      <c r="O1240" s="52">
        <v>4</v>
      </c>
      <c r="P1240" s="87">
        <f t="shared" si="1180"/>
        <v>17</v>
      </c>
      <c r="Q1240" s="12">
        <v>6</v>
      </c>
      <c r="R1240" s="9">
        <v>7</v>
      </c>
      <c r="S1240" s="10">
        <v>4</v>
      </c>
      <c r="T1240" s="49">
        <f t="shared" si="1181"/>
        <v>17</v>
      </c>
      <c r="U1240" s="11">
        <f t="shared" si="1182"/>
        <v>34</v>
      </c>
      <c r="V1240" s="98">
        <v>46010</v>
      </c>
    </row>
    <row r="1241" spans="1:23" x14ac:dyDescent="0.15">
      <c r="A1241" s="26"/>
      <c r="B1241" s="8"/>
      <c r="C1241" s="9"/>
      <c r="D1241" s="10"/>
      <c r="E1241" s="49">
        <f t="shared" si="1183"/>
        <v>0</v>
      </c>
      <c r="F1241" s="12"/>
      <c r="G1241" s="9"/>
      <c r="H1241" s="10"/>
      <c r="I1241" s="49">
        <f t="shared" si="1184"/>
        <v>0</v>
      </c>
      <c r="J1241" s="11">
        <f t="shared" si="1185"/>
        <v>0</v>
      </c>
      <c r="L1241" s="26" t="s">
        <v>240</v>
      </c>
      <c r="M1241" s="8">
        <v>11</v>
      </c>
      <c r="N1241" s="9">
        <v>3</v>
      </c>
      <c r="O1241" s="52">
        <v>5</v>
      </c>
      <c r="P1241" s="87">
        <f t="shared" si="1180"/>
        <v>19</v>
      </c>
      <c r="Q1241" s="12">
        <v>11</v>
      </c>
      <c r="R1241" s="9">
        <v>3</v>
      </c>
      <c r="S1241" s="10">
        <v>5</v>
      </c>
      <c r="T1241" s="49">
        <f t="shared" si="1181"/>
        <v>19</v>
      </c>
      <c r="U1241" s="11">
        <f t="shared" si="1182"/>
        <v>38</v>
      </c>
      <c r="V1241" s="98">
        <v>46010</v>
      </c>
    </row>
    <row r="1242" spans="1:23" x14ac:dyDescent="0.15">
      <c r="A1242" s="26"/>
      <c r="B1242" s="13"/>
      <c r="C1242" s="14"/>
      <c r="D1242" s="15"/>
      <c r="E1242" s="49">
        <f t="shared" si="1183"/>
        <v>0</v>
      </c>
      <c r="F1242" s="16"/>
      <c r="G1242" s="14"/>
      <c r="H1242" s="15"/>
      <c r="I1242" s="49">
        <f t="shared" si="1184"/>
        <v>0</v>
      </c>
      <c r="J1242" s="11">
        <f t="shared" si="1185"/>
        <v>0</v>
      </c>
      <c r="L1242" s="26" t="s">
        <v>249</v>
      </c>
      <c r="M1242" s="8">
        <v>4</v>
      </c>
      <c r="N1242" s="9">
        <v>8</v>
      </c>
      <c r="O1242" s="52">
        <v>2</v>
      </c>
      <c r="P1242" s="87">
        <f t="shared" si="1180"/>
        <v>14</v>
      </c>
      <c r="Q1242" s="12">
        <v>4</v>
      </c>
      <c r="R1242" s="9">
        <v>8</v>
      </c>
      <c r="S1242" s="10">
        <v>2</v>
      </c>
      <c r="T1242" s="49">
        <f t="shared" si="1181"/>
        <v>14</v>
      </c>
      <c r="U1242" s="11">
        <f t="shared" si="1182"/>
        <v>28</v>
      </c>
      <c r="V1242" s="98">
        <v>46013</v>
      </c>
    </row>
    <row r="1243" spans="1:23" x14ac:dyDescent="0.15">
      <c r="A1243" s="26"/>
      <c r="B1243" s="8"/>
      <c r="C1243" s="9"/>
      <c r="D1243" s="10"/>
      <c r="E1243" s="49">
        <f t="shared" si="1183"/>
        <v>0</v>
      </c>
      <c r="F1243" s="12"/>
      <c r="G1243" s="9"/>
      <c r="H1243" s="10"/>
      <c r="I1243" s="49">
        <f t="shared" si="1184"/>
        <v>0</v>
      </c>
      <c r="J1243" s="11">
        <f t="shared" si="1185"/>
        <v>0</v>
      </c>
      <c r="L1243" s="26" t="s">
        <v>251</v>
      </c>
      <c r="M1243" s="8">
        <v>2</v>
      </c>
      <c r="N1243" s="9">
        <v>7</v>
      </c>
      <c r="O1243" s="52">
        <v>3</v>
      </c>
      <c r="P1243" s="87">
        <f t="shared" si="1180"/>
        <v>12</v>
      </c>
      <c r="Q1243" s="12">
        <v>2</v>
      </c>
      <c r="R1243" s="9">
        <v>7</v>
      </c>
      <c r="S1243" s="10">
        <v>3</v>
      </c>
      <c r="T1243" s="49">
        <f t="shared" si="1181"/>
        <v>12</v>
      </c>
      <c r="U1243" s="11">
        <f t="shared" si="1182"/>
        <v>24</v>
      </c>
      <c r="V1243" s="98">
        <v>46015</v>
      </c>
    </row>
    <row r="1244" spans="1:23" x14ac:dyDescent="0.15">
      <c r="A1244" s="26"/>
      <c r="B1244" s="8"/>
      <c r="C1244" s="9"/>
      <c r="D1244" s="10"/>
      <c r="E1244" s="49">
        <f t="shared" si="1183"/>
        <v>0</v>
      </c>
      <c r="F1244" s="12"/>
      <c r="G1244" s="9"/>
      <c r="H1244" s="10"/>
      <c r="I1244" s="49">
        <f t="shared" si="1184"/>
        <v>0</v>
      </c>
      <c r="J1244" s="11">
        <f t="shared" si="1185"/>
        <v>0</v>
      </c>
      <c r="L1244" s="26" t="s">
        <v>739</v>
      </c>
      <c r="M1244" s="8"/>
      <c r="N1244" s="9">
        <v>1</v>
      </c>
      <c r="O1244" s="52"/>
      <c r="P1244" s="87">
        <f t="shared" si="1180"/>
        <v>1</v>
      </c>
      <c r="Q1244" s="12"/>
      <c r="R1244" s="9">
        <v>1</v>
      </c>
      <c r="S1244" s="10"/>
      <c r="T1244" s="49">
        <f t="shared" si="1181"/>
        <v>1</v>
      </c>
      <c r="U1244" s="11">
        <f t="shared" si="1182"/>
        <v>2</v>
      </c>
      <c r="V1244" s="98">
        <v>46016</v>
      </c>
    </row>
    <row r="1245" spans="1:23" x14ac:dyDescent="0.15">
      <c r="A1245" s="26"/>
      <c r="B1245" s="8"/>
      <c r="C1245" s="9"/>
      <c r="D1245" s="10"/>
      <c r="E1245" s="49">
        <f t="shared" si="1183"/>
        <v>0</v>
      </c>
      <c r="F1245" s="12"/>
      <c r="G1245" s="9"/>
      <c r="H1245" s="10"/>
      <c r="I1245" s="49">
        <f t="shared" si="1184"/>
        <v>0</v>
      </c>
      <c r="J1245" s="11">
        <f t="shared" si="1185"/>
        <v>0</v>
      </c>
      <c r="L1245" s="26" t="s">
        <v>255</v>
      </c>
      <c r="M1245" s="8">
        <v>2</v>
      </c>
      <c r="N1245" s="9">
        <v>2</v>
      </c>
      <c r="O1245" s="52">
        <v>1</v>
      </c>
      <c r="P1245" s="87">
        <f t="shared" si="1180"/>
        <v>5</v>
      </c>
      <c r="Q1245" s="12">
        <v>2</v>
      </c>
      <c r="R1245" s="9">
        <v>2</v>
      </c>
      <c r="S1245" s="10">
        <v>1</v>
      </c>
      <c r="T1245" s="49">
        <f t="shared" si="1181"/>
        <v>5</v>
      </c>
      <c r="U1245" s="11">
        <f t="shared" si="1182"/>
        <v>10</v>
      </c>
      <c r="V1245" s="98">
        <v>46017</v>
      </c>
    </row>
    <row r="1246" spans="1:23" x14ac:dyDescent="0.15">
      <c r="A1246" s="26"/>
      <c r="B1246" s="8"/>
      <c r="C1246" s="9"/>
      <c r="D1246" s="10"/>
      <c r="E1246" s="49">
        <f t="shared" si="1183"/>
        <v>0</v>
      </c>
      <c r="F1246" s="12"/>
      <c r="G1246" s="9"/>
      <c r="H1246" s="10"/>
      <c r="I1246" s="49">
        <f t="shared" si="1184"/>
        <v>0</v>
      </c>
      <c r="J1246" s="11">
        <f t="shared" si="1185"/>
        <v>0</v>
      </c>
      <c r="L1246" s="26" t="s">
        <v>257</v>
      </c>
      <c r="M1246" s="8">
        <v>3</v>
      </c>
      <c r="N1246" s="9">
        <v>2</v>
      </c>
      <c r="O1246" s="52">
        <v>2</v>
      </c>
      <c r="P1246" s="87">
        <f t="shared" si="1180"/>
        <v>7</v>
      </c>
      <c r="Q1246" s="12">
        <v>3</v>
      </c>
      <c r="R1246" s="9">
        <v>2</v>
      </c>
      <c r="S1246" s="10">
        <v>2</v>
      </c>
      <c r="T1246" s="49">
        <f t="shared" si="1181"/>
        <v>7</v>
      </c>
      <c r="U1246" s="11">
        <f t="shared" si="1182"/>
        <v>14</v>
      </c>
      <c r="V1246" s="98">
        <v>46017</v>
      </c>
    </row>
    <row r="1247" spans="1:23" x14ac:dyDescent="0.15">
      <c r="A1247" s="26"/>
      <c r="B1247" s="8"/>
      <c r="C1247" s="9"/>
      <c r="D1247" s="10"/>
      <c r="E1247" s="49">
        <f t="shared" si="1183"/>
        <v>0</v>
      </c>
      <c r="F1247" s="12"/>
      <c r="G1247" s="9"/>
      <c r="H1247" s="10"/>
      <c r="I1247" s="49">
        <f t="shared" si="1184"/>
        <v>0</v>
      </c>
      <c r="J1247" s="11">
        <f t="shared" si="1185"/>
        <v>0</v>
      </c>
      <c r="L1247" s="26" t="s">
        <v>264</v>
      </c>
      <c r="M1247" s="8">
        <v>3</v>
      </c>
      <c r="N1247" s="9">
        <v>4</v>
      </c>
      <c r="O1247" s="52"/>
      <c r="P1247" s="87">
        <f t="shared" si="1180"/>
        <v>7</v>
      </c>
      <c r="Q1247" s="12">
        <v>3</v>
      </c>
      <c r="R1247" s="9">
        <v>4</v>
      </c>
      <c r="S1247" s="10"/>
      <c r="T1247" s="49">
        <f t="shared" si="1181"/>
        <v>7</v>
      </c>
      <c r="U1247" s="11">
        <f t="shared" si="1182"/>
        <v>14</v>
      </c>
      <c r="V1247" s="98">
        <v>46029</v>
      </c>
    </row>
    <row r="1248" spans="1:23" x14ac:dyDescent="0.15">
      <c r="A1248" s="26"/>
      <c r="B1248" s="8"/>
      <c r="C1248" s="9"/>
      <c r="D1248" s="10"/>
      <c r="E1248" s="49">
        <f t="shared" si="1183"/>
        <v>0</v>
      </c>
      <c r="F1248" s="12"/>
      <c r="G1248" s="9"/>
      <c r="H1248" s="10"/>
      <c r="I1248" s="49">
        <f t="shared" si="1184"/>
        <v>0</v>
      </c>
      <c r="J1248" s="11">
        <f t="shared" si="1185"/>
        <v>0</v>
      </c>
      <c r="L1248" s="26" t="s">
        <v>262</v>
      </c>
      <c r="M1248" s="8">
        <v>1</v>
      </c>
      <c r="N1248" s="9"/>
      <c r="O1248" s="52"/>
      <c r="P1248" s="87">
        <f t="shared" si="1180"/>
        <v>1</v>
      </c>
      <c r="Q1248" s="12">
        <v>1</v>
      </c>
      <c r="R1248" s="9"/>
      <c r="S1248" s="10"/>
      <c r="T1248" s="49">
        <f t="shared" si="1181"/>
        <v>1</v>
      </c>
      <c r="U1248" s="11">
        <f t="shared" si="1182"/>
        <v>2</v>
      </c>
      <c r="V1248" s="98">
        <v>46030</v>
      </c>
    </row>
    <row r="1249" spans="1:22" x14ac:dyDescent="0.15">
      <c r="A1249" s="26"/>
      <c r="B1249" s="8"/>
      <c r="C1249" s="9"/>
      <c r="D1249" s="10"/>
      <c r="E1249" s="49">
        <f t="shared" si="1183"/>
        <v>0</v>
      </c>
      <c r="F1249" s="12"/>
      <c r="G1249" s="9"/>
      <c r="H1249" s="10"/>
      <c r="I1249" s="49">
        <f t="shared" si="1184"/>
        <v>0</v>
      </c>
      <c r="J1249" s="11">
        <f t="shared" si="1185"/>
        <v>0</v>
      </c>
      <c r="L1249" s="26" t="s">
        <v>263</v>
      </c>
      <c r="M1249" s="8">
        <v>1</v>
      </c>
      <c r="N1249" s="9">
        <v>1</v>
      </c>
      <c r="O1249" s="52">
        <v>2</v>
      </c>
      <c r="P1249" s="87">
        <f t="shared" si="1180"/>
        <v>4</v>
      </c>
      <c r="Q1249" s="12">
        <v>1</v>
      </c>
      <c r="R1249" s="9">
        <v>1</v>
      </c>
      <c r="S1249" s="10">
        <v>2</v>
      </c>
      <c r="T1249" s="49">
        <f t="shared" si="1181"/>
        <v>4</v>
      </c>
      <c r="U1249" s="11">
        <f t="shared" si="1182"/>
        <v>8</v>
      </c>
      <c r="V1249" s="98">
        <v>46031</v>
      </c>
    </row>
    <row r="1250" spans="1:22" x14ac:dyDescent="0.15">
      <c r="A1250" s="24"/>
      <c r="B1250" s="8"/>
      <c r="C1250" s="9"/>
      <c r="D1250" s="10"/>
      <c r="E1250" s="49">
        <f t="shared" si="1183"/>
        <v>0</v>
      </c>
      <c r="F1250" s="12"/>
      <c r="G1250" s="9"/>
      <c r="H1250" s="10"/>
      <c r="I1250" s="49">
        <f t="shared" si="1184"/>
        <v>0</v>
      </c>
      <c r="J1250" s="11">
        <f t="shared" si="1185"/>
        <v>0</v>
      </c>
      <c r="L1250" s="26" t="s">
        <v>271</v>
      </c>
      <c r="M1250" s="8">
        <v>5</v>
      </c>
      <c r="N1250" s="9"/>
      <c r="O1250" s="52">
        <v>7</v>
      </c>
      <c r="P1250" s="87">
        <f t="shared" si="1180"/>
        <v>12</v>
      </c>
      <c r="Q1250" s="12">
        <v>5</v>
      </c>
      <c r="R1250" s="9"/>
      <c r="S1250" s="10">
        <v>7</v>
      </c>
      <c r="T1250" s="49">
        <f t="shared" si="1181"/>
        <v>12</v>
      </c>
      <c r="U1250" s="11">
        <f t="shared" si="1182"/>
        <v>24</v>
      </c>
      <c r="V1250" s="98">
        <v>46031</v>
      </c>
    </row>
    <row r="1251" spans="1:22" x14ac:dyDescent="0.15">
      <c r="A1251" s="25"/>
      <c r="B1251" s="8"/>
      <c r="C1251" s="9"/>
      <c r="D1251" s="10"/>
      <c r="E1251" s="49">
        <f t="shared" si="1183"/>
        <v>0</v>
      </c>
      <c r="F1251" s="12"/>
      <c r="G1251" s="9"/>
      <c r="H1251" s="10"/>
      <c r="I1251" s="49">
        <f t="shared" si="1184"/>
        <v>0</v>
      </c>
      <c r="J1251" s="11">
        <f t="shared" si="1185"/>
        <v>0</v>
      </c>
      <c r="L1251" s="26" t="s">
        <v>272</v>
      </c>
      <c r="M1251" s="8">
        <v>8</v>
      </c>
      <c r="N1251" s="9">
        <v>13</v>
      </c>
      <c r="O1251" s="52">
        <v>1</v>
      </c>
      <c r="P1251" s="87">
        <f t="shared" si="1180"/>
        <v>22</v>
      </c>
      <c r="Q1251" s="12">
        <v>8</v>
      </c>
      <c r="R1251" s="9">
        <v>13</v>
      </c>
      <c r="S1251" s="10">
        <v>1</v>
      </c>
      <c r="T1251" s="49">
        <f t="shared" si="1181"/>
        <v>22</v>
      </c>
      <c r="U1251" s="11">
        <f t="shared" si="1182"/>
        <v>44</v>
      </c>
      <c r="V1251" s="98">
        <v>46035</v>
      </c>
    </row>
    <row r="1252" spans="1:22" x14ac:dyDescent="0.15">
      <c r="A1252" s="26"/>
      <c r="B1252" s="8"/>
      <c r="C1252" s="9"/>
      <c r="D1252" s="10"/>
      <c r="E1252" s="49">
        <f t="shared" si="1183"/>
        <v>0</v>
      </c>
      <c r="F1252" s="12"/>
      <c r="G1252" s="9"/>
      <c r="H1252" s="10"/>
      <c r="I1252" s="49">
        <f t="shared" si="1184"/>
        <v>0</v>
      </c>
      <c r="J1252" s="11">
        <f t="shared" si="1185"/>
        <v>0</v>
      </c>
      <c r="L1252" s="26" t="s">
        <v>274</v>
      </c>
      <c r="M1252" s="8">
        <v>13</v>
      </c>
      <c r="N1252" s="9">
        <v>7</v>
      </c>
      <c r="O1252" s="52">
        <v>13</v>
      </c>
      <c r="P1252" s="87">
        <f t="shared" si="1180"/>
        <v>33</v>
      </c>
      <c r="Q1252" s="12">
        <v>13</v>
      </c>
      <c r="R1252" s="9">
        <v>7</v>
      </c>
      <c r="S1252" s="10">
        <v>13</v>
      </c>
      <c r="T1252" s="49">
        <f t="shared" si="1181"/>
        <v>33</v>
      </c>
      <c r="U1252" s="11">
        <f t="shared" si="1182"/>
        <v>66</v>
      </c>
      <c r="V1252" s="98">
        <v>46037</v>
      </c>
    </row>
    <row r="1253" spans="1:22" x14ac:dyDescent="0.15">
      <c r="A1253" s="24"/>
      <c r="B1253" s="8"/>
      <c r="C1253" s="9"/>
      <c r="D1253" s="10"/>
      <c r="E1253" s="49">
        <f t="shared" si="1183"/>
        <v>0</v>
      </c>
      <c r="F1253" s="12"/>
      <c r="G1253" s="9"/>
      <c r="H1253" s="10"/>
      <c r="I1253" s="49">
        <f t="shared" si="1184"/>
        <v>0</v>
      </c>
      <c r="J1253" s="11">
        <f t="shared" si="1185"/>
        <v>0</v>
      </c>
      <c r="L1253" s="26" t="s">
        <v>275</v>
      </c>
      <c r="M1253" s="8"/>
      <c r="N1253" s="9">
        <v>1</v>
      </c>
      <c r="O1253" s="52"/>
      <c r="P1253" s="87">
        <f t="shared" si="1180"/>
        <v>1</v>
      </c>
      <c r="Q1253" s="12"/>
      <c r="R1253" s="9">
        <v>1</v>
      </c>
      <c r="S1253" s="10"/>
      <c r="T1253" s="49">
        <f t="shared" si="1181"/>
        <v>1</v>
      </c>
      <c r="U1253" s="11">
        <f t="shared" si="1182"/>
        <v>2</v>
      </c>
      <c r="V1253" s="98">
        <v>46038</v>
      </c>
    </row>
    <row r="1254" spans="1:22" x14ac:dyDescent="0.15">
      <c r="B1254" s="13"/>
      <c r="C1254" s="14"/>
      <c r="D1254" s="15"/>
      <c r="E1254" s="49">
        <f t="shared" si="1183"/>
        <v>0</v>
      </c>
      <c r="F1254" s="16"/>
      <c r="G1254" s="14"/>
      <c r="H1254" s="15"/>
      <c r="I1254" s="49">
        <f t="shared" si="1184"/>
        <v>0</v>
      </c>
      <c r="J1254" s="11">
        <f t="shared" si="1185"/>
        <v>0</v>
      </c>
      <c r="L1254" s="26" t="s">
        <v>276</v>
      </c>
      <c r="M1254" s="8">
        <v>1</v>
      </c>
      <c r="N1254" s="9">
        <v>3</v>
      </c>
      <c r="O1254" s="52"/>
      <c r="P1254" s="87">
        <f t="shared" si="1180"/>
        <v>4</v>
      </c>
      <c r="Q1254" s="12">
        <v>1</v>
      </c>
      <c r="R1254" s="9">
        <v>3</v>
      </c>
      <c r="S1254" s="10"/>
      <c r="T1254" s="49">
        <f t="shared" si="1181"/>
        <v>4</v>
      </c>
      <c r="U1254" s="11">
        <f t="shared" si="1182"/>
        <v>8</v>
      </c>
      <c r="V1254" s="98">
        <v>46038</v>
      </c>
    </row>
    <row r="1255" spans="1:22" x14ac:dyDescent="0.15">
      <c r="A1255" s="26"/>
      <c r="B1255" s="8"/>
      <c r="C1255" s="9"/>
      <c r="D1255" s="10"/>
      <c r="E1255" s="49">
        <f t="shared" si="1183"/>
        <v>0</v>
      </c>
      <c r="F1255" s="12"/>
      <c r="G1255" s="9"/>
      <c r="H1255" s="10"/>
      <c r="I1255" s="49">
        <f t="shared" si="1184"/>
        <v>0</v>
      </c>
      <c r="J1255" s="11">
        <f t="shared" si="1185"/>
        <v>0</v>
      </c>
      <c r="L1255" s="26"/>
      <c r="M1255" s="8"/>
      <c r="N1255" s="9"/>
      <c r="O1255" s="52"/>
      <c r="P1255" s="87">
        <f t="shared" si="1180"/>
        <v>0</v>
      </c>
      <c r="Q1255" s="12"/>
      <c r="R1255" s="9"/>
      <c r="S1255" s="10"/>
      <c r="T1255" s="49">
        <f t="shared" si="1181"/>
        <v>0</v>
      </c>
      <c r="U1255" s="11">
        <f t="shared" si="1182"/>
        <v>0</v>
      </c>
    </row>
    <row r="1256" spans="1:22" x14ac:dyDescent="0.15">
      <c r="A1256" s="26"/>
      <c r="B1256" s="8"/>
      <c r="C1256" s="9"/>
      <c r="D1256" s="10"/>
      <c r="E1256" s="49">
        <f t="shared" si="1183"/>
        <v>0</v>
      </c>
      <c r="F1256" s="12"/>
      <c r="G1256" s="9"/>
      <c r="H1256" s="10"/>
      <c r="I1256" s="49">
        <f t="shared" si="1184"/>
        <v>0</v>
      </c>
      <c r="J1256" s="11">
        <f t="shared" si="1185"/>
        <v>0</v>
      </c>
      <c r="L1256" s="26"/>
      <c r="M1256" s="8"/>
      <c r="N1256" s="9"/>
      <c r="O1256" s="52"/>
      <c r="P1256" s="87">
        <f t="shared" si="1180"/>
        <v>0</v>
      </c>
      <c r="Q1256" s="12"/>
      <c r="R1256" s="9"/>
      <c r="S1256" s="10"/>
      <c r="T1256" s="49">
        <f t="shared" si="1181"/>
        <v>0</v>
      </c>
      <c r="U1256" s="11">
        <f t="shared" si="1182"/>
        <v>0</v>
      </c>
    </row>
    <row r="1257" spans="1:22" x14ac:dyDescent="0.15">
      <c r="A1257" s="26"/>
      <c r="B1257" s="8"/>
      <c r="C1257" s="9"/>
      <c r="D1257" s="10"/>
      <c r="E1257" s="49">
        <f t="shared" si="1183"/>
        <v>0</v>
      </c>
      <c r="F1257" s="12"/>
      <c r="G1257" s="9"/>
      <c r="H1257" s="10"/>
      <c r="I1257" s="49">
        <f t="shared" si="1184"/>
        <v>0</v>
      </c>
      <c r="J1257" s="11">
        <f t="shared" si="1185"/>
        <v>0</v>
      </c>
      <c r="L1257" s="26" t="s">
        <v>952</v>
      </c>
      <c r="M1257" s="8"/>
      <c r="N1257" s="9"/>
      <c r="O1257" s="52"/>
      <c r="P1257" s="87">
        <f t="shared" ref="P1257" si="1186">SUM(M1257:O1257)</f>
        <v>0</v>
      </c>
      <c r="Q1257" s="12"/>
      <c r="R1257" s="9"/>
      <c r="S1257" s="10"/>
      <c r="T1257" s="49">
        <f t="shared" ref="T1257" si="1187">SUM(Q1257:S1257)</f>
        <v>0</v>
      </c>
      <c r="U1257" s="11">
        <f t="shared" ref="U1257" si="1188">P1257+T1257</f>
        <v>0</v>
      </c>
      <c r="V1257" s="100" t="s">
        <v>953</v>
      </c>
    </row>
    <row r="1258" spans="1:22" ht="14.25" thickBot="1" x14ac:dyDescent="0.2">
      <c r="A1258" s="26"/>
      <c r="B1258" s="8"/>
      <c r="C1258" s="9"/>
      <c r="D1258" s="10"/>
      <c r="E1258" s="49">
        <f t="shared" si="1183"/>
        <v>0</v>
      </c>
      <c r="F1258" s="12"/>
      <c r="G1258" s="9"/>
      <c r="H1258" s="10"/>
      <c r="I1258" s="49">
        <f t="shared" si="1184"/>
        <v>0</v>
      </c>
      <c r="J1258" s="11">
        <f t="shared" si="1185"/>
        <v>0</v>
      </c>
      <c r="L1258" s="26" t="s">
        <v>957</v>
      </c>
      <c r="M1258" s="8"/>
      <c r="N1258" s="9"/>
      <c r="O1258" s="52"/>
      <c r="P1258" s="87">
        <f t="shared" si="1180"/>
        <v>0</v>
      </c>
      <c r="Q1258" s="12"/>
      <c r="R1258" s="9"/>
      <c r="S1258" s="10"/>
      <c r="T1258" s="49">
        <f t="shared" si="1181"/>
        <v>0</v>
      </c>
      <c r="U1258" s="11">
        <f t="shared" si="1182"/>
        <v>0</v>
      </c>
      <c r="V1258" s="100" t="s">
        <v>220</v>
      </c>
    </row>
    <row r="1259" spans="1:22" ht="14.25" thickBot="1" x14ac:dyDescent="0.2">
      <c r="A1259" s="41" t="s">
        <v>17</v>
      </c>
      <c r="B1259" s="46">
        <f>SUM(B1233:B1258)</f>
        <v>4</v>
      </c>
      <c r="C1259" s="47">
        <f t="shared" ref="C1259:D1259" si="1189">SUM(C1233:C1258)</f>
        <v>2</v>
      </c>
      <c r="D1259" s="58">
        <f t="shared" si="1189"/>
        <v>2</v>
      </c>
      <c r="E1259" s="45">
        <f t="shared" si="1183"/>
        <v>8</v>
      </c>
      <c r="F1259" s="46">
        <f>SUM(F1233:F1258)</f>
        <v>4</v>
      </c>
      <c r="G1259" s="47">
        <f t="shared" ref="G1259:H1259" si="1190">SUM(G1233:G1258)</f>
        <v>2</v>
      </c>
      <c r="H1259" s="58">
        <f t="shared" si="1190"/>
        <v>2</v>
      </c>
      <c r="I1259" s="45">
        <f t="shared" si="1184"/>
        <v>8</v>
      </c>
      <c r="J1259" s="45">
        <f>E1259+I1259</f>
        <v>16</v>
      </c>
      <c r="L1259" s="41" t="s">
        <v>17</v>
      </c>
      <c r="M1259" s="46">
        <f>SUM(M1233:M1258)</f>
        <v>83</v>
      </c>
      <c r="N1259" s="47">
        <f t="shared" ref="N1259:O1259" si="1191">SUM(N1233:N1258)</f>
        <v>127</v>
      </c>
      <c r="O1259" s="58">
        <f t="shared" si="1191"/>
        <v>50</v>
      </c>
      <c r="P1259" s="45">
        <f t="shared" si="1180"/>
        <v>260</v>
      </c>
      <c r="Q1259" s="46">
        <f>SUM(Q1233:Q1258)</f>
        <v>83</v>
      </c>
      <c r="R1259" s="47">
        <f t="shared" ref="R1259:S1259" si="1192">SUM(R1233:R1258)</f>
        <v>127</v>
      </c>
      <c r="S1259" s="58">
        <f t="shared" si="1192"/>
        <v>50</v>
      </c>
      <c r="T1259" s="45">
        <f t="shared" si="1181"/>
        <v>260</v>
      </c>
      <c r="U1259" s="45">
        <f>P1259+T1259</f>
        <v>520</v>
      </c>
    </row>
    <row r="1260" spans="1:22" ht="14.25" thickBot="1" x14ac:dyDescent="0.2">
      <c r="A1260" s="22" t="s">
        <v>16</v>
      </c>
      <c r="B1260" s="50">
        <f>B1232-B1259</f>
        <v>0</v>
      </c>
      <c r="C1260" s="56">
        <f t="shared" ref="C1260:D1260" si="1193">C1232-C1259</f>
        <v>0</v>
      </c>
      <c r="D1260" s="57">
        <f t="shared" si="1193"/>
        <v>1</v>
      </c>
      <c r="E1260" s="55">
        <f>SUM(B1260:D1260)</f>
        <v>1</v>
      </c>
      <c r="F1260" s="50">
        <f>F1232-F1259</f>
        <v>0</v>
      </c>
      <c r="G1260" s="56">
        <f t="shared" ref="G1260:H1260" si="1194">G1232-G1259</f>
        <v>0</v>
      </c>
      <c r="H1260" s="57">
        <f t="shared" si="1194"/>
        <v>1</v>
      </c>
      <c r="I1260" s="55">
        <f>SUM(F1260:H1260)</f>
        <v>1</v>
      </c>
      <c r="J1260" s="31">
        <f>E1260+I1260</f>
        <v>2</v>
      </c>
      <c r="L1260" s="22" t="s">
        <v>16</v>
      </c>
      <c r="M1260" s="50">
        <f>M1232-M1259</f>
        <v>45</v>
      </c>
      <c r="N1260" s="56">
        <f t="shared" ref="N1260:O1260" si="1195">N1232-N1259</f>
        <v>42</v>
      </c>
      <c r="O1260" s="57">
        <f t="shared" si="1195"/>
        <v>49</v>
      </c>
      <c r="P1260" s="55">
        <f>SUM(M1260:O1260)</f>
        <v>136</v>
      </c>
      <c r="Q1260" s="50">
        <f>Q1232-Q1259</f>
        <v>45</v>
      </c>
      <c r="R1260" s="56">
        <f t="shared" ref="R1260:S1260" si="1196">R1232-R1259</f>
        <v>42</v>
      </c>
      <c r="S1260" s="57">
        <f t="shared" si="1196"/>
        <v>49</v>
      </c>
      <c r="T1260" s="55">
        <f>SUM(Q1260:S1260)</f>
        <v>136</v>
      </c>
      <c r="U1260" s="31">
        <f>P1260+T1260</f>
        <v>272</v>
      </c>
    </row>
    <row r="1261" spans="1:22" x14ac:dyDescent="0.15">
      <c r="M1261" s="148">
        <f>M1260/$P$1260*100</f>
        <v>33.088235294117645</v>
      </c>
      <c r="N1261" s="148">
        <f t="shared" ref="N1261:P1261" si="1197">N1260/$P$1260*100</f>
        <v>30.882352941176471</v>
      </c>
      <c r="O1261" s="148">
        <f t="shared" si="1197"/>
        <v>36.029411764705884</v>
      </c>
      <c r="P1261" s="148">
        <f t="shared" si="1197"/>
        <v>100</v>
      </c>
    </row>
    <row r="1262" spans="1:22" x14ac:dyDescent="0.15">
      <c r="M1262" s="125">
        <v>35.9</v>
      </c>
      <c r="N1262" s="125">
        <v>39.799999999999997</v>
      </c>
      <c r="O1262" s="125">
        <v>24.3</v>
      </c>
      <c r="P1262" s="119">
        <f>SUM(M1262:O1262)</f>
        <v>99.999999999999986</v>
      </c>
    </row>
    <row r="1263" spans="1:22" ht="19.5" thickBot="1" x14ac:dyDescent="0.25">
      <c r="A1263" s="3" t="s">
        <v>677</v>
      </c>
      <c r="L1263" s="3" t="s">
        <v>677</v>
      </c>
    </row>
    <row r="1264" spans="1:22" ht="14.25" thickBot="1" x14ac:dyDescent="0.2">
      <c r="A1264" s="7"/>
      <c r="B1264" s="169" t="s">
        <v>22</v>
      </c>
      <c r="C1264" s="170"/>
      <c r="D1264" s="170"/>
      <c r="E1264" s="171"/>
      <c r="F1264" s="169" t="s">
        <v>23</v>
      </c>
      <c r="G1264" s="170"/>
      <c r="H1264" s="170"/>
      <c r="I1264" s="171"/>
      <c r="J1264" s="172" t="s">
        <v>0</v>
      </c>
      <c r="L1264" s="7"/>
      <c r="M1264" s="169" t="s">
        <v>22</v>
      </c>
      <c r="N1264" s="170"/>
      <c r="O1264" s="170"/>
      <c r="P1264" s="171"/>
      <c r="Q1264" s="169" t="s">
        <v>23</v>
      </c>
      <c r="R1264" s="170"/>
      <c r="S1264" s="170"/>
      <c r="T1264" s="171"/>
      <c r="U1264" s="172" t="s">
        <v>0</v>
      </c>
    </row>
    <row r="1265" spans="1:22" ht="14.25" thickBot="1" x14ac:dyDescent="0.2">
      <c r="A1265" s="7" t="s">
        <v>1</v>
      </c>
      <c r="B1265" s="4" t="s">
        <v>2</v>
      </c>
      <c r="C1265" s="5" t="s">
        <v>3</v>
      </c>
      <c r="D1265" s="6" t="s">
        <v>4</v>
      </c>
      <c r="E1265" s="7" t="s">
        <v>5</v>
      </c>
      <c r="F1265" s="4" t="s">
        <v>2</v>
      </c>
      <c r="G1265" s="5" t="s">
        <v>3</v>
      </c>
      <c r="H1265" s="6" t="s">
        <v>4</v>
      </c>
      <c r="I1265" s="7" t="s">
        <v>5</v>
      </c>
      <c r="J1265" s="173"/>
      <c r="L1265" s="7" t="s">
        <v>1</v>
      </c>
      <c r="M1265" s="4" t="s">
        <v>2</v>
      </c>
      <c r="N1265" s="5" t="s">
        <v>3</v>
      </c>
      <c r="O1265" s="6" t="s">
        <v>4</v>
      </c>
      <c r="P1265" s="7" t="s">
        <v>5</v>
      </c>
      <c r="Q1265" s="4" t="s">
        <v>2</v>
      </c>
      <c r="R1265" s="5" t="s">
        <v>3</v>
      </c>
      <c r="S1265" s="6" t="s">
        <v>4</v>
      </c>
      <c r="T1265" s="7" t="s">
        <v>5</v>
      </c>
      <c r="U1265" s="173"/>
    </row>
    <row r="1266" spans="1:22" ht="14.25" thickBot="1" x14ac:dyDescent="0.2">
      <c r="A1266" s="140" t="s">
        <v>16</v>
      </c>
      <c r="B1266" s="28">
        <f>B1260</f>
        <v>0</v>
      </c>
      <c r="C1266" s="126">
        <f t="shared" ref="C1266:E1266" si="1198">C1260</f>
        <v>0</v>
      </c>
      <c r="D1266" s="127">
        <f t="shared" si="1198"/>
        <v>1</v>
      </c>
      <c r="E1266" s="28">
        <f t="shared" si="1198"/>
        <v>1</v>
      </c>
      <c r="F1266" s="126">
        <f>F1260</f>
        <v>0</v>
      </c>
      <c r="G1266" s="126">
        <f t="shared" ref="G1266:J1266" si="1199">G1260</f>
        <v>0</v>
      </c>
      <c r="H1266" s="127">
        <f t="shared" si="1199"/>
        <v>1</v>
      </c>
      <c r="I1266" s="28">
        <f t="shared" si="1199"/>
        <v>1</v>
      </c>
      <c r="J1266" s="28">
        <f t="shared" si="1199"/>
        <v>2</v>
      </c>
      <c r="L1266" s="128" t="s">
        <v>16</v>
      </c>
      <c r="M1266" s="126">
        <f>M1260</f>
        <v>45</v>
      </c>
      <c r="N1266" s="126">
        <f t="shared" ref="N1266:P1266" si="1200">N1260</f>
        <v>42</v>
      </c>
      <c r="O1266" s="127">
        <f t="shared" si="1200"/>
        <v>49</v>
      </c>
      <c r="P1266" s="31">
        <f t="shared" si="1200"/>
        <v>136</v>
      </c>
      <c r="Q1266" s="126">
        <f>Q1260</f>
        <v>45</v>
      </c>
      <c r="R1266" s="126">
        <f t="shared" ref="R1266:U1266" si="1201">R1260</f>
        <v>42</v>
      </c>
      <c r="S1266" s="127">
        <f t="shared" si="1201"/>
        <v>49</v>
      </c>
      <c r="T1266" s="31">
        <f t="shared" si="1201"/>
        <v>136</v>
      </c>
      <c r="U1266" s="28">
        <f t="shared" si="1201"/>
        <v>272</v>
      </c>
    </row>
    <row r="1267" spans="1:22" x14ac:dyDescent="0.15">
      <c r="A1267" s="25" t="s">
        <v>885</v>
      </c>
      <c r="B1267" s="8">
        <v>2</v>
      </c>
      <c r="C1267" s="9">
        <v>2</v>
      </c>
      <c r="D1267" s="52"/>
      <c r="E1267" s="11">
        <f t="shared" ref="E1267:E1274" si="1202">SUM(B1267:D1267)</f>
        <v>4</v>
      </c>
      <c r="F1267" s="12">
        <v>2</v>
      </c>
      <c r="G1267" s="9">
        <v>2</v>
      </c>
      <c r="H1267" s="10"/>
      <c r="I1267" s="11">
        <f t="shared" ref="I1267:I1274" si="1203">SUM(F1267:H1267)</f>
        <v>4</v>
      </c>
      <c r="J1267" s="11">
        <f t="shared" ref="J1267:J1274" si="1204">E1267+I1267</f>
        <v>8</v>
      </c>
      <c r="K1267" s="64">
        <v>46051</v>
      </c>
      <c r="L1267" s="25" t="s">
        <v>969</v>
      </c>
      <c r="M1267" s="17">
        <v>1</v>
      </c>
      <c r="N1267" s="18">
        <v>1</v>
      </c>
      <c r="O1267" s="51"/>
      <c r="P1267" s="49">
        <f t="shared" ref="P1267:P1274" si="1205">SUM(M1267:O1267)</f>
        <v>2</v>
      </c>
      <c r="Q1267" s="17">
        <v>1</v>
      </c>
      <c r="R1267" s="18">
        <v>1</v>
      </c>
      <c r="S1267" s="51"/>
      <c r="T1267" s="49">
        <f t="shared" ref="T1267:T1274" si="1206">SUM(Q1267:S1267)</f>
        <v>2</v>
      </c>
      <c r="U1267" s="11">
        <f t="shared" ref="U1267:U1274" si="1207">P1267+T1267</f>
        <v>4</v>
      </c>
      <c r="V1267" s="99">
        <v>46039</v>
      </c>
    </row>
    <row r="1268" spans="1:22" x14ac:dyDescent="0.15">
      <c r="A1268" s="25" t="s">
        <v>8</v>
      </c>
      <c r="B1268" s="8"/>
      <c r="C1268" s="9"/>
      <c r="D1268" s="52"/>
      <c r="E1268" s="11">
        <f t="shared" si="1202"/>
        <v>0</v>
      </c>
      <c r="F1268" s="12"/>
      <c r="G1268" s="9"/>
      <c r="H1268" s="10"/>
      <c r="I1268" s="11">
        <f t="shared" si="1203"/>
        <v>0</v>
      </c>
      <c r="J1268" s="11">
        <f t="shared" si="1204"/>
        <v>0</v>
      </c>
      <c r="L1268" s="25" t="s">
        <v>8</v>
      </c>
      <c r="M1268" s="17"/>
      <c r="N1268" s="18"/>
      <c r="O1268" s="51"/>
      <c r="P1268" s="49">
        <f t="shared" si="1205"/>
        <v>0</v>
      </c>
      <c r="Q1268" s="17"/>
      <c r="R1268" s="18"/>
      <c r="S1268" s="51"/>
      <c r="T1268" s="49">
        <f t="shared" si="1206"/>
        <v>0</v>
      </c>
      <c r="U1268" s="11">
        <f t="shared" si="1207"/>
        <v>0</v>
      </c>
    </row>
    <row r="1269" spans="1:22" x14ac:dyDescent="0.15">
      <c r="A1269" s="25" t="s">
        <v>9</v>
      </c>
      <c r="B1269" s="8"/>
      <c r="C1269" s="9"/>
      <c r="D1269" s="52"/>
      <c r="E1269" s="11">
        <f t="shared" si="1202"/>
        <v>0</v>
      </c>
      <c r="F1269" s="12"/>
      <c r="G1269" s="9"/>
      <c r="H1269" s="10"/>
      <c r="I1269" s="11">
        <f t="shared" si="1203"/>
        <v>0</v>
      </c>
      <c r="J1269" s="11">
        <f t="shared" si="1204"/>
        <v>0</v>
      </c>
      <c r="L1269" s="25" t="s">
        <v>9</v>
      </c>
      <c r="M1269" s="17">
        <v>170</v>
      </c>
      <c r="N1269" s="18">
        <v>200</v>
      </c>
      <c r="O1269" s="51">
        <v>130</v>
      </c>
      <c r="P1269" s="49">
        <f t="shared" ref="P1269:P1272" si="1208">SUM(M1269:O1269)</f>
        <v>500</v>
      </c>
      <c r="Q1269" s="17">
        <v>170</v>
      </c>
      <c r="R1269" s="18">
        <v>200</v>
      </c>
      <c r="S1269" s="51">
        <v>130</v>
      </c>
      <c r="T1269" s="49">
        <f t="shared" ref="T1269:T1272" si="1209">SUM(Q1269:S1269)</f>
        <v>500</v>
      </c>
      <c r="U1269" s="11">
        <f t="shared" ref="U1269:U1272" si="1210">P1269+T1269</f>
        <v>1000</v>
      </c>
      <c r="V1269" s="98" t="s">
        <v>972</v>
      </c>
    </row>
    <row r="1270" spans="1:22" x14ac:dyDescent="0.15">
      <c r="A1270" s="25" t="s">
        <v>10</v>
      </c>
      <c r="B1270" s="8"/>
      <c r="C1270" s="9"/>
      <c r="D1270" s="52"/>
      <c r="E1270" s="11">
        <f t="shared" si="1202"/>
        <v>0</v>
      </c>
      <c r="F1270" s="12"/>
      <c r="G1270" s="9"/>
      <c r="H1270" s="10"/>
      <c r="I1270" s="11">
        <f t="shared" si="1203"/>
        <v>0</v>
      </c>
      <c r="J1270" s="11">
        <f t="shared" si="1204"/>
        <v>0</v>
      </c>
      <c r="L1270" s="25" t="s">
        <v>10</v>
      </c>
      <c r="M1270" s="17"/>
      <c r="N1270" s="18"/>
      <c r="O1270" s="51"/>
      <c r="P1270" s="49">
        <f t="shared" si="1208"/>
        <v>0</v>
      </c>
      <c r="Q1270" s="17"/>
      <c r="R1270" s="18"/>
      <c r="S1270" s="51"/>
      <c r="T1270" s="49">
        <f t="shared" si="1209"/>
        <v>0</v>
      </c>
      <c r="U1270" s="11">
        <f t="shared" si="1210"/>
        <v>0</v>
      </c>
    </row>
    <row r="1271" spans="1:22" x14ac:dyDescent="0.15">
      <c r="A1271" s="25" t="s">
        <v>11</v>
      </c>
      <c r="B1271" s="8"/>
      <c r="C1271" s="9"/>
      <c r="D1271" s="52"/>
      <c r="E1271" s="11">
        <f t="shared" si="1202"/>
        <v>0</v>
      </c>
      <c r="F1271" s="12"/>
      <c r="G1271" s="9"/>
      <c r="H1271" s="10"/>
      <c r="I1271" s="11">
        <f t="shared" si="1203"/>
        <v>0</v>
      </c>
      <c r="J1271" s="11">
        <f t="shared" si="1204"/>
        <v>0</v>
      </c>
      <c r="L1271" s="25" t="s">
        <v>801</v>
      </c>
      <c r="M1271" s="17">
        <v>2</v>
      </c>
      <c r="N1271" s="18">
        <v>1</v>
      </c>
      <c r="O1271" s="51"/>
      <c r="P1271" s="49">
        <f t="shared" si="1208"/>
        <v>3</v>
      </c>
      <c r="Q1271" s="17">
        <v>2</v>
      </c>
      <c r="R1271" s="18">
        <v>1</v>
      </c>
      <c r="S1271" s="51"/>
      <c r="T1271" s="49">
        <f t="shared" si="1209"/>
        <v>3</v>
      </c>
      <c r="U1271" s="11">
        <f t="shared" si="1210"/>
        <v>6</v>
      </c>
      <c r="V1271" s="99">
        <v>46053</v>
      </c>
    </row>
    <row r="1272" spans="1:22" x14ac:dyDescent="0.15">
      <c r="A1272" s="25" t="s">
        <v>12</v>
      </c>
      <c r="B1272" s="8"/>
      <c r="C1272" s="9"/>
      <c r="D1272" s="52"/>
      <c r="E1272" s="11">
        <f t="shared" si="1202"/>
        <v>0</v>
      </c>
      <c r="F1272" s="12"/>
      <c r="G1272" s="9"/>
      <c r="H1272" s="10"/>
      <c r="I1272" s="11">
        <f t="shared" si="1203"/>
        <v>0</v>
      </c>
      <c r="J1272" s="11">
        <f t="shared" si="1204"/>
        <v>0</v>
      </c>
      <c r="L1272" s="25" t="s">
        <v>12</v>
      </c>
      <c r="M1272" s="17"/>
      <c r="N1272" s="18"/>
      <c r="O1272" s="51"/>
      <c r="P1272" s="49">
        <f t="shared" si="1208"/>
        <v>0</v>
      </c>
      <c r="Q1272" s="17"/>
      <c r="R1272" s="18"/>
      <c r="S1272" s="51"/>
      <c r="T1272" s="49">
        <f t="shared" si="1209"/>
        <v>0</v>
      </c>
      <c r="U1272" s="11">
        <f t="shared" si="1210"/>
        <v>0</v>
      </c>
    </row>
    <row r="1273" spans="1:22" x14ac:dyDescent="0.15">
      <c r="A1273" s="25" t="s">
        <v>13</v>
      </c>
      <c r="B1273" s="13"/>
      <c r="C1273" s="14"/>
      <c r="D1273" s="53"/>
      <c r="E1273" s="11">
        <f t="shared" si="1202"/>
        <v>0</v>
      </c>
      <c r="F1273" s="16"/>
      <c r="G1273" s="14"/>
      <c r="H1273" s="15"/>
      <c r="I1273" s="11">
        <f t="shared" si="1203"/>
        <v>0</v>
      </c>
      <c r="J1273" s="11">
        <f t="shared" si="1204"/>
        <v>0</v>
      </c>
      <c r="L1273" s="25" t="s">
        <v>13</v>
      </c>
      <c r="M1273" s="17"/>
      <c r="N1273" s="18"/>
      <c r="O1273" s="51"/>
      <c r="P1273" s="49">
        <f t="shared" si="1205"/>
        <v>0</v>
      </c>
      <c r="Q1273" s="17"/>
      <c r="R1273" s="18"/>
      <c r="S1273" s="51"/>
      <c r="T1273" s="49">
        <f t="shared" si="1206"/>
        <v>0</v>
      </c>
      <c r="U1273" s="11">
        <f t="shared" si="1207"/>
        <v>0</v>
      </c>
    </row>
    <row r="1274" spans="1:22" ht="14.25" thickBot="1" x14ac:dyDescent="0.2">
      <c r="A1274" s="25" t="s">
        <v>14</v>
      </c>
      <c r="B1274" s="32"/>
      <c r="C1274" s="33"/>
      <c r="D1274" s="54"/>
      <c r="E1274" s="61">
        <f t="shared" si="1202"/>
        <v>0</v>
      </c>
      <c r="F1274" s="34"/>
      <c r="G1274" s="34"/>
      <c r="H1274" s="37"/>
      <c r="I1274" s="61">
        <f t="shared" si="1203"/>
        <v>0</v>
      </c>
      <c r="J1274" s="21">
        <f t="shared" si="1204"/>
        <v>0</v>
      </c>
      <c r="L1274" s="25" t="s">
        <v>14</v>
      </c>
      <c r="M1274" s="32"/>
      <c r="N1274" s="33"/>
      <c r="O1274" s="54"/>
      <c r="P1274" s="61">
        <f t="shared" si="1205"/>
        <v>0</v>
      </c>
      <c r="Q1274" s="34"/>
      <c r="R1274" s="34"/>
      <c r="S1274" s="37"/>
      <c r="T1274" s="61">
        <f t="shared" si="1206"/>
        <v>0</v>
      </c>
      <c r="U1274" s="21">
        <f t="shared" si="1207"/>
        <v>0</v>
      </c>
    </row>
    <row r="1275" spans="1:22" ht="14.25" thickBot="1" x14ac:dyDescent="0.2">
      <c r="A1275" s="35" t="s">
        <v>15</v>
      </c>
      <c r="B1275" s="28">
        <f>SUM(B1266:B1274)</f>
        <v>2</v>
      </c>
      <c r="C1275" s="29">
        <f>SUM(C1266:C1274)</f>
        <v>2</v>
      </c>
      <c r="D1275" s="30">
        <f>SUM(D1266:D1274)</f>
        <v>1</v>
      </c>
      <c r="E1275" s="31">
        <f>SUM(B1275:D1275)</f>
        <v>5</v>
      </c>
      <c r="F1275" s="28">
        <f>SUM(F1266:F1274)</f>
        <v>2</v>
      </c>
      <c r="G1275" s="29">
        <f>SUM(G1266:G1274)</f>
        <v>2</v>
      </c>
      <c r="H1275" s="30">
        <f>SUM(H1266:H1274)</f>
        <v>1</v>
      </c>
      <c r="I1275" s="31">
        <f>SUM(F1275:H1275)</f>
        <v>5</v>
      </c>
      <c r="J1275" s="31">
        <f>E1275+I1275</f>
        <v>10</v>
      </c>
      <c r="L1275" s="35" t="s">
        <v>15</v>
      </c>
      <c r="M1275" s="28">
        <f>SUM(M1266:M1274)</f>
        <v>218</v>
      </c>
      <c r="N1275" s="29">
        <f>SUM(N1266:N1274)</f>
        <v>244</v>
      </c>
      <c r="O1275" s="30">
        <f>SUM(O1266:O1274)</f>
        <v>179</v>
      </c>
      <c r="P1275" s="31">
        <f>SUM(M1275:O1275)</f>
        <v>641</v>
      </c>
      <c r="Q1275" s="28">
        <f>SUM(Q1266:Q1274)</f>
        <v>218</v>
      </c>
      <c r="R1275" s="29">
        <f>SUM(R1266:R1274)</f>
        <v>244</v>
      </c>
      <c r="S1275" s="30">
        <f>SUM(S1266:S1274)</f>
        <v>179</v>
      </c>
      <c r="T1275" s="31">
        <f>SUM(Q1275:S1275)</f>
        <v>641</v>
      </c>
      <c r="U1275" s="31">
        <f>P1275+T1275</f>
        <v>1282</v>
      </c>
    </row>
    <row r="1276" spans="1:22" x14ac:dyDescent="0.15">
      <c r="A1276" s="26" t="s">
        <v>976</v>
      </c>
      <c r="B1276" s="13">
        <v>2</v>
      </c>
      <c r="C1276" s="14">
        <v>1</v>
      </c>
      <c r="D1276" s="15"/>
      <c r="E1276" s="49">
        <f t="shared" ref="E1276:E1278" si="1211">SUM(B1276:D1276)</f>
        <v>3</v>
      </c>
      <c r="F1276" s="16">
        <v>2</v>
      </c>
      <c r="G1276" s="14">
        <v>1</v>
      </c>
      <c r="H1276" s="15"/>
      <c r="I1276" s="49">
        <f t="shared" ref="I1276:I1278" si="1212">SUM(F1276:H1276)</f>
        <v>3</v>
      </c>
      <c r="J1276" s="11">
        <f t="shared" ref="J1276:J1278" si="1213">E1276+I1276</f>
        <v>6</v>
      </c>
      <c r="K1276" s="64">
        <v>46053</v>
      </c>
      <c r="L1276" s="26" t="s">
        <v>975</v>
      </c>
      <c r="M1276" s="8">
        <v>12</v>
      </c>
      <c r="N1276" s="9">
        <v>5</v>
      </c>
      <c r="O1276" s="52">
        <v>3</v>
      </c>
      <c r="P1276" s="87">
        <f t="shared" ref="P1276:P1302" si="1214">SUM(M1276:O1276)</f>
        <v>20</v>
      </c>
      <c r="Q1276" s="12">
        <v>12</v>
      </c>
      <c r="R1276" s="9">
        <v>5</v>
      </c>
      <c r="S1276" s="10">
        <v>3</v>
      </c>
      <c r="T1276" s="49">
        <f t="shared" ref="T1276:T1302" si="1215">SUM(Q1276:S1276)</f>
        <v>20</v>
      </c>
      <c r="U1276" s="11">
        <f t="shared" ref="U1276:U1300" si="1216">P1276+T1276</f>
        <v>40</v>
      </c>
      <c r="V1276" s="98">
        <v>46043</v>
      </c>
    </row>
    <row r="1277" spans="1:22" x14ac:dyDescent="0.15">
      <c r="A1277" s="26"/>
      <c r="B1277" s="13"/>
      <c r="C1277" s="14"/>
      <c r="D1277" s="15"/>
      <c r="E1277" s="49">
        <f t="shared" si="1211"/>
        <v>0</v>
      </c>
      <c r="F1277" s="16"/>
      <c r="G1277" s="14"/>
      <c r="H1277" s="15"/>
      <c r="I1277" s="49">
        <f t="shared" si="1212"/>
        <v>0</v>
      </c>
      <c r="J1277" s="11">
        <f t="shared" si="1213"/>
        <v>0</v>
      </c>
      <c r="L1277" s="26" t="s">
        <v>278</v>
      </c>
      <c r="M1277" s="8"/>
      <c r="N1277" s="9">
        <v>10</v>
      </c>
      <c r="O1277" s="52">
        <v>1</v>
      </c>
      <c r="P1277" s="87">
        <f t="shared" si="1214"/>
        <v>11</v>
      </c>
      <c r="Q1277" s="12"/>
      <c r="R1277" s="9">
        <v>10</v>
      </c>
      <c r="S1277" s="10">
        <v>1</v>
      </c>
      <c r="T1277" s="49">
        <f t="shared" si="1215"/>
        <v>11</v>
      </c>
      <c r="U1277" s="11">
        <f t="shared" si="1216"/>
        <v>22</v>
      </c>
      <c r="V1277" s="98">
        <v>46044</v>
      </c>
    </row>
    <row r="1278" spans="1:22" x14ac:dyDescent="0.15">
      <c r="A1278" s="26"/>
      <c r="B1278" s="13"/>
      <c r="C1278" s="14"/>
      <c r="D1278" s="15"/>
      <c r="E1278" s="49">
        <f t="shared" si="1211"/>
        <v>0</v>
      </c>
      <c r="F1278" s="16"/>
      <c r="G1278" s="14"/>
      <c r="H1278" s="15"/>
      <c r="I1278" s="49">
        <f t="shared" si="1212"/>
        <v>0</v>
      </c>
      <c r="J1278" s="11">
        <f t="shared" si="1213"/>
        <v>0</v>
      </c>
      <c r="L1278" s="26" t="s">
        <v>279</v>
      </c>
      <c r="M1278" s="8">
        <v>1</v>
      </c>
      <c r="N1278" s="9">
        <v>2</v>
      </c>
      <c r="O1278" s="52">
        <v>2</v>
      </c>
      <c r="P1278" s="87">
        <f t="shared" si="1214"/>
        <v>5</v>
      </c>
      <c r="Q1278" s="12">
        <v>1</v>
      </c>
      <c r="R1278" s="9">
        <v>2</v>
      </c>
      <c r="S1278" s="10">
        <v>2</v>
      </c>
      <c r="T1278" s="49">
        <f t="shared" si="1215"/>
        <v>5</v>
      </c>
      <c r="U1278" s="11">
        <f t="shared" si="1216"/>
        <v>10</v>
      </c>
      <c r="V1278" s="98">
        <v>46045</v>
      </c>
    </row>
    <row r="1279" spans="1:22" x14ac:dyDescent="0.15">
      <c r="A1279" s="26"/>
      <c r="B1279" s="13"/>
      <c r="C1279" s="14"/>
      <c r="D1279" s="15"/>
      <c r="E1279" s="49">
        <f>SUM(B1279:D1279)</f>
        <v>0</v>
      </c>
      <c r="F1279" s="16"/>
      <c r="G1279" s="14"/>
      <c r="H1279" s="15"/>
      <c r="I1279" s="49">
        <f>SUM(F1279:H1279)</f>
        <v>0</v>
      </c>
      <c r="J1279" s="11">
        <f>E1279+I1279</f>
        <v>0</v>
      </c>
      <c r="L1279" s="26" t="s">
        <v>280</v>
      </c>
      <c r="M1279" s="8">
        <v>3</v>
      </c>
      <c r="N1279" s="9">
        <v>6</v>
      </c>
      <c r="O1279" s="52">
        <v>2</v>
      </c>
      <c r="P1279" s="87">
        <f t="shared" si="1214"/>
        <v>11</v>
      </c>
      <c r="Q1279" s="12">
        <v>3</v>
      </c>
      <c r="R1279" s="9">
        <v>6</v>
      </c>
      <c r="S1279" s="10">
        <v>2</v>
      </c>
      <c r="T1279" s="49">
        <f t="shared" si="1215"/>
        <v>11</v>
      </c>
      <c r="U1279" s="11">
        <f t="shared" si="1216"/>
        <v>22</v>
      </c>
      <c r="V1279" s="98">
        <v>46045</v>
      </c>
    </row>
    <row r="1280" spans="1:22" x14ac:dyDescent="0.15">
      <c r="A1280" s="26"/>
      <c r="B1280" s="8"/>
      <c r="C1280" s="9"/>
      <c r="D1280" s="10"/>
      <c r="E1280" s="49">
        <f t="shared" ref="E1280:E1302" si="1217">SUM(B1280:D1280)</f>
        <v>0</v>
      </c>
      <c r="F1280" s="12"/>
      <c r="G1280" s="9"/>
      <c r="H1280" s="10"/>
      <c r="I1280" s="49">
        <f t="shared" ref="I1280:I1302" si="1218">SUM(F1280:H1280)</f>
        <v>0</v>
      </c>
      <c r="J1280" s="11">
        <f t="shared" ref="J1280:J1301" si="1219">E1280+I1280</f>
        <v>0</v>
      </c>
      <c r="L1280" s="26" t="s">
        <v>281</v>
      </c>
      <c r="M1280" s="8">
        <v>5</v>
      </c>
      <c r="N1280" s="9">
        <v>2</v>
      </c>
      <c r="O1280" s="52">
        <v>1</v>
      </c>
      <c r="P1280" s="87">
        <f t="shared" si="1214"/>
        <v>8</v>
      </c>
      <c r="Q1280" s="12">
        <v>5</v>
      </c>
      <c r="R1280" s="9">
        <v>2</v>
      </c>
      <c r="S1280" s="10">
        <v>1</v>
      </c>
      <c r="T1280" s="49">
        <f t="shared" si="1215"/>
        <v>8</v>
      </c>
      <c r="U1280" s="11">
        <f t="shared" si="1216"/>
        <v>16</v>
      </c>
      <c r="V1280" s="98">
        <v>46050</v>
      </c>
    </row>
    <row r="1281" spans="1:24" x14ac:dyDescent="0.15">
      <c r="A1281" s="26"/>
      <c r="B1281" s="8"/>
      <c r="C1281" s="9"/>
      <c r="D1281" s="10"/>
      <c r="E1281" s="49">
        <f t="shared" si="1217"/>
        <v>0</v>
      </c>
      <c r="F1281" s="12"/>
      <c r="G1281" s="9"/>
      <c r="H1281" s="10"/>
      <c r="I1281" s="49">
        <f t="shared" si="1218"/>
        <v>0</v>
      </c>
      <c r="J1281" s="11">
        <f t="shared" si="1219"/>
        <v>0</v>
      </c>
      <c r="L1281" s="26" t="s">
        <v>283</v>
      </c>
      <c r="M1281" s="8">
        <v>2</v>
      </c>
      <c r="N1281" s="9"/>
      <c r="O1281" s="52">
        <v>3</v>
      </c>
      <c r="P1281" s="87">
        <f t="shared" si="1214"/>
        <v>5</v>
      </c>
      <c r="Q1281" s="12">
        <v>2</v>
      </c>
      <c r="R1281" s="9"/>
      <c r="S1281" s="10">
        <v>3</v>
      </c>
      <c r="T1281" s="49">
        <f t="shared" si="1215"/>
        <v>5</v>
      </c>
      <c r="U1281" s="11">
        <f t="shared" si="1216"/>
        <v>10</v>
      </c>
      <c r="V1281" s="98">
        <v>46051</v>
      </c>
      <c r="W1281" s="66"/>
      <c r="X1281" s="66"/>
    </row>
    <row r="1282" spans="1:24" x14ac:dyDescent="0.15">
      <c r="A1282" s="26"/>
      <c r="B1282" s="8"/>
      <c r="C1282" s="9"/>
      <c r="D1282" s="10"/>
      <c r="E1282" s="49">
        <f t="shared" si="1217"/>
        <v>0</v>
      </c>
      <c r="F1282" s="12"/>
      <c r="G1282" s="9"/>
      <c r="H1282" s="10"/>
      <c r="I1282" s="49">
        <f t="shared" si="1218"/>
        <v>0</v>
      </c>
      <c r="J1282" s="11">
        <f t="shared" si="1219"/>
        <v>0</v>
      </c>
      <c r="L1282" s="26" t="s">
        <v>284</v>
      </c>
      <c r="M1282" s="8">
        <v>1</v>
      </c>
      <c r="N1282" s="9">
        <v>1</v>
      </c>
      <c r="O1282" s="52">
        <v>1</v>
      </c>
      <c r="P1282" s="87">
        <f t="shared" si="1214"/>
        <v>3</v>
      </c>
      <c r="Q1282" s="12">
        <v>1</v>
      </c>
      <c r="R1282" s="9">
        <v>1</v>
      </c>
      <c r="S1282" s="10">
        <v>1</v>
      </c>
      <c r="T1282" s="49">
        <f t="shared" si="1215"/>
        <v>3</v>
      </c>
      <c r="U1282" s="11">
        <f t="shared" si="1216"/>
        <v>6</v>
      </c>
      <c r="V1282" s="98">
        <v>46052</v>
      </c>
    </row>
    <row r="1283" spans="1:24" x14ac:dyDescent="0.15">
      <c r="A1283" s="26"/>
      <c r="B1283" s="8"/>
      <c r="C1283" s="9"/>
      <c r="D1283" s="10"/>
      <c r="E1283" s="49">
        <f t="shared" si="1217"/>
        <v>0</v>
      </c>
      <c r="F1283" s="12"/>
      <c r="G1283" s="9"/>
      <c r="H1283" s="10"/>
      <c r="I1283" s="49">
        <f t="shared" si="1218"/>
        <v>0</v>
      </c>
      <c r="J1283" s="11">
        <f t="shared" si="1219"/>
        <v>0</v>
      </c>
      <c r="L1283" s="26" t="s">
        <v>285</v>
      </c>
      <c r="M1283" s="8"/>
      <c r="N1283" s="9">
        <v>1</v>
      </c>
      <c r="O1283" s="52">
        <v>1</v>
      </c>
      <c r="P1283" s="87">
        <f t="shared" si="1214"/>
        <v>2</v>
      </c>
      <c r="Q1283" s="12"/>
      <c r="R1283" s="9">
        <v>1</v>
      </c>
      <c r="S1283" s="10">
        <v>1</v>
      </c>
      <c r="T1283" s="49">
        <f t="shared" si="1215"/>
        <v>2</v>
      </c>
      <c r="U1283" s="11">
        <f t="shared" si="1216"/>
        <v>4</v>
      </c>
      <c r="V1283" s="98">
        <v>46052</v>
      </c>
    </row>
    <row r="1284" spans="1:24" x14ac:dyDescent="0.15">
      <c r="A1284" s="26"/>
      <c r="B1284" s="8"/>
      <c r="C1284" s="9"/>
      <c r="D1284" s="10"/>
      <c r="E1284" s="49">
        <f t="shared" si="1217"/>
        <v>0</v>
      </c>
      <c r="F1284" s="12"/>
      <c r="G1284" s="9"/>
      <c r="H1284" s="10"/>
      <c r="I1284" s="49">
        <f t="shared" si="1218"/>
        <v>0</v>
      </c>
      <c r="J1284" s="11">
        <f t="shared" si="1219"/>
        <v>0</v>
      </c>
      <c r="L1284" s="26" t="s">
        <v>286</v>
      </c>
      <c r="M1284" s="8">
        <v>3</v>
      </c>
      <c r="N1284" s="9"/>
      <c r="O1284" s="52"/>
      <c r="P1284" s="87">
        <f t="shared" si="1214"/>
        <v>3</v>
      </c>
      <c r="Q1284" s="12">
        <v>3</v>
      </c>
      <c r="R1284" s="9"/>
      <c r="S1284" s="10"/>
      <c r="T1284" s="49">
        <f t="shared" si="1215"/>
        <v>3</v>
      </c>
      <c r="U1284" s="11">
        <f t="shared" si="1216"/>
        <v>6</v>
      </c>
      <c r="V1284" s="98">
        <v>46055</v>
      </c>
    </row>
    <row r="1285" spans="1:24" x14ac:dyDescent="0.15">
      <c r="A1285" s="26"/>
      <c r="B1285" s="13"/>
      <c r="C1285" s="14"/>
      <c r="D1285" s="15"/>
      <c r="E1285" s="49">
        <f t="shared" si="1217"/>
        <v>0</v>
      </c>
      <c r="F1285" s="16"/>
      <c r="G1285" s="14"/>
      <c r="H1285" s="15"/>
      <c r="I1285" s="49">
        <f t="shared" si="1218"/>
        <v>0</v>
      </c>
      <c r="J1285" s="11">
        <f t="shared" si="1219"/>
        <v>0</v>
      </c>
      <c r="L1285" s="26" t="s">
        <v>287</v>
      </c>
      <c r="M1285" s="8">
        <v>6</v>
      </c>
      <c r="N1285" s="9">
        <v>4</v>
      </c>
      <c r="O1285" s="52">
        <v>3</v>
      </c>
      <c r="P1285" s="87">
        <f t="shared" si="1214"/>
        <v>13</v>
      </c>
      <c r="Q1285" s="12">
        <v>6</v>
      </c>
      <c r="R1285" s="9">
        <v>4</v>
      </c>
      <c r="S1285" s="10">
        <v>3</v>
      </c>
      <c r="T1285" s="49">
        <f t="shared" si="1215"/>
        <v>13</v>
      </c>
      <c r="U1285" s="11">
        <f t="shared" si="1216"/>
        <v>26</v>
      </c>
      <c r="V1285" s="98">
        <v>46057</v>
      </c>
    </row>
    <row r="1286" spans="1:24" x14ac:dyDescent="0.15">
      <c r="A1286" s="26"/>
      <c r="B1286" s="8"/>
      <c r="C1286" s="9"/>
      <c r="D1286" s="10"/>
      <c r="E1286" s="49">
        <f t="shared" si="1217"/>
        <v>0</v>
      </c>
      <c r="F1286" s="12"/>
      <c r="G1286" s="9"/>
      <c r="H1286" s="10"/>
      <c r="I1286" s="49">
        <f t="shared" si="1218"/>
        <v>0</v>
      </c>
      <c r="J1286" s="11">
        <f t="shared" si="1219"/>
        <v>0</v>
      </c>
      <c r="L1286" s="26" t="s">
        <v>288</v>
      </c>
      <c r="M1286" s="8"/>
      <c r="N1286" s="9">
        <v>2</v>
      </c>
      <c r="O1286" s="52">
        <v>1</v>
      </c>
      <c r="P1286" s="87">
        <f t="shared" si="1214"/>
        <v>3</v>
      </c>
      <c r="Q1286" s="12"/>
      <c r="R1286" s="9">
        <v>2</v>
      </c>
      <c r="S1286" s="10">
        <v>1</v>
      </c>
      <c r="T1286" s="49">
        <f t="shared" si="1215"/>
        <v>3</v>
      </c>
      <c r="U1286" s="11">
        <f t="shared" si="1216"/>
        <v>6</v>
      </c>
      <c r="V1286" s="98">
        <v>46058</v>
      </c>
    </row>
    <row r="1287" spans="1:24" x14ac:dyDescent="0.15">
      <c r="A1287" s="26"/>
      <c r="B1287" s="8"/>
      <c r="C1287" s="9"/>
      <c r="D1287" s="10"/>
      <c r="E1287" s="49">
        <f t="shared" si="1217"/>
        <v>0</v>
      </c>
      <c r="F1287" s="12"/>
      <c r="G1287" s="9"/>
      <c r="H1287" s="10"/>
      <c r="I1287" s="49">
        <f t="shared" si="1218"/>
        <v>0</v>
      </c>
      <c r="J1287" s="11">
        <f t="shared" si="1219"/>
        <v>0</v>
      </c>
      <c r="L1287" s="26" t="s">
        <v>289</v>
      </c>
      <c r="M1287" s="8"/>
      <c r="N1287" s="9">
        <v>1</v>
      </c>
      <c r="O1287" s="52"/>
      <c r="P1287" s="87">
        <f t="shared" si="1214"/>
        <v>1</v>
      </c>
      <c r="Q1287" s="12"/>
      <c r="R1287" s="9">
        <v>1</v>
      </c>
      <c r="S1287" s="10"/>
      <c r="T1287" s="49">
        <f t="shared" si="1215"/>
        <v>1</v>
      </c>
      <c r="U1287" s="11">
        <f t="shared" si="1216"/>
        <v>2</v>
      </c>
      <c r="V1287" s="98">
        <v>46059</v>
      </c>
    </row>
    <row r="1288" spans="1:24" x14ac:dyDescent="0.15">
      <c r="A1288" s="26"/>
      <c r="B1288" s="8"/>
      <c r="C1288" s="9"/>
      <c r="D1288" s="10"/>
      <c r="E1288" s="49">
        <f t="shared" si="1217"/>
        <v>0</v>
      </c>
      <c r="F1288" s="12"/>
      <c r="G1288" s="9"/>
      <c r="H1288" s="10"/>
      <c r="I1288" s="49">
        <f t="shared" si="1218"/>
        <v>0</v>
      </c>
      <c r="J1288" s="11">
        <f t="shared" si="1219"/>
        <v>0</v>
      </c>
      <c r="L1288" s="26" t="s">
        <v>290</v>
      </c>
      <c r="M1288" s="8">
        <v>5</v>
      </c>
      <c r="N1288" s="9">
        <v>1</v>
      </c>
      <c r="O1288" s="52"/>
      <c r="P1288" s="87">
        <f t="shared" si="1214"/>
        <v>6</v>
      </c>
      <c r="Q1288" s="12">
        <v>5</v>
      </c>
      <c r="R1288" s="9">
        <v>1</v>
      </c>
      <c r="S1288" s="10"/>
      <c r="T1288" s="49">
        <f t="shared" si="1215"/>
        <v>6</v>
      </c>
      <c r="U1288" s="11">
        <f t="shared" si="1216"/>
        <v>12</v>
      </c>
      <c r="V1288" s="98">
        <v>46059</v>
      </c>
    </row>
    <row r="1289" spans="1:24" x14ac:dyDescent="0.15">
      <c r="A1289" s="26"/>
      <c r="B1289" s="8"/>
      <c r="C1289" s="9"/>
      <c r="D1289" s="10"/>
      <c r="E1289" s="49">
        <f t="shared" si="1217"/>
        <v>0</v>
      </c>
      <c r="F1289" s="12"/>
      <c r="G1289" s="9"/>
      <c r="H1289" s="10"/>
      <c r="I1289" s="49">
        <f t="shared" si="1218"/>
        <v>0</v>
      </c>
      <c r="J1289" s="11">
        <f t="shared" si="1219"/>
        <v>0</v>
      </c>
      <c r="L1289" s="26" t="s">
        <v>294</v>
      </c>
      <c r="M1289" s="8">
        <v>5</v>
      </c>
      <c r="N1289" s="9">
        <v>3</v>
      </c>
      <c r="O1289" s="52"/>
      <c r="P1289" s="87">
        <f t="shared" si="1214"/>
        <v>8</v>
      </c>
      <c r="Q1289" s="12">
        <v>5</v>
      </c>
      <c r="R1289" s="9">
        <v>3</v>
      </c>
      <c r="S1289" s="10"/>
      <c r="T1289" s="49">
        <f t="shared" si="1215"/>
        <v>8</v>
      </c>
      <c r="U1289" s="11">
        <f t="shared" si="1216"/>
        <v>16</v>
      </c>
      <c r="V1289" s="98">
        <v>46062</v>
      </c>
    </row>
    <row r="1290" spans="1:24" x14ac:dyDescent="0.15">
      <c r="A1290" s="26"/>
      <c r="B1290" s="8"/>
      <c r="C1290" s="9"/>
      <c r="D1290" s="10"/>
      <c r="E1290" s="49">
        <f t="shared" si="1217"/>
        <v>0</v>
      </c>
      <c r="F1290" s="12"/>
      <c r="G1290" s="9"/>
      <c r="H1290" s="10"/>
      <c r="I1290" s="49">
        <f t="shared" si="1218"/>
        <v>0</v>
      </c>
      <c r="J1290" s="11">
        <f t="shared" si="1219"/>
        <v>0</v>
      </c>
      <c r="L1290" s="26" t="s">
        <v>293</v>
      </c>
      <c r="M1290" s="8">
        <v>5</v>
      </c>
      <c r="N1290" s="9">
        <v>4</v>
      </c>
      <c r="O1290" s="52">
        <v>5</v>
      </c>
      <c r="P1290" s="87">
        <f t="shared" si="1214"/>
        <v>14</v>
      </c>
      <c r="Q1290" s="12">
        <v>5</v>
      </c>
      <c r="R1290" s="9">
        <v>4</v>
      </c>
      <c r="S1290" s="10">
        <v>5</v>
      </c>
      <c r="T1290" s="49">
        <f t="shared" si="1215"/>
        <v>14</v>
      </c>
      <c r="U1290" s="11">
        <f t="shared" si="1216"/>
        <v>28</v>
      </c>
      <c r="V1290" s="98">
        <v>46063</v>
      </c>
    </row>
    <row r="1291" spans="1:24" x14ac:dyDescent="0.15">
      <c r="A1291" s="26"/>
      <c r="B1291" s="8"/>
      <c r="C1291" s="9"/>
      <c r="D1291" s="10"/>
      <c r="E1291" s="49">
        <f t="shared" si="1217"/>
        <v>0</v>
      </c>
      <c r="F1291" s="12"/>
      <c r="G1291" s="9"/>
      <c r="H1291" s="10"/>
      <c r="I1291" s="49">
        <f t="shared" si="1218"/>
        <v>0</v>
      </c>
      <c r="J1291" s="11">
        <f t="shared" si="1219"/>
        <v>0</v>
      </c>
      <c r="L1291" s="26" t="s">
        <v>295</v>
      </c>
      <c r="M1291" s="8">
        <v>2</v>
      </c>
      <c r="N1291" s="9"/>
      <c r="O1291" s="52"/>
      <c r="P1291" s="87">
        <f t="shared" si="1214"/>
        <v>2</v>
      </c>
      <c r="Q1291" s="12">
        <v>2</v>
      </c>
      <c r="R1291" s="9"/>
      <c r="S1291" s="10"/>
      <c r="T1291" s="49">
        <f t="shared" si="1215"/>
        <v>2</v>
      </c>
      <c r="U1291" s="11">
        <f t="shared" si="1216"/>
        <v>4</v>
      </c>
      <c r="V1291" s="98">
        <v>46065</v>
      </c>
    </row>
    <row r="1292" spans="1:24" x14ac:dyDescent="0.15">
      <c r="A1292" s="26"/>
      <c r="B1292" s="8"/>
      <c r="C1292" s="9"/>
      <c r="D1292" s="10"/>
      <c r="E1292" s="49">
        <f t="shared" si="1217"/>
        <v>0</v>
      </c>
      <c r="F1292" s="12"/>
      <c r="G1292" s="9"/>
      <c r="H1292" s="10"/>
      <c r="I1292" s="49">
        <f t="shared" si="1218"/>
        <v>0</v>
      </c>
      <c r="J1292" s="11">
        <f t="shared" si="1219"/>
        <v>0</v>
      </c>
      <c r="L1292" s="26" t="s">
        <v>296</v>
      </c>
      <c r="M1292" s="8">
        <v>2</v>
      </c>
      <c r="N1292" s="9"/>
      <c r="O1292" s="52">
        <v>1</v>
      </c>
      <c r="P1292" s="87">
        <f t="shared" si="1214"/>
        <v>3</v>
      </c>
      <c r="Q1292" s="12">
        <v>2</v>
      </c>
      <c r="R1292" s="9"/>
      <c r="S1292" s="10">
        <v>1</v>
      </c>
      <c r="T1292" s="49">
        <f t="shared" si="1215"/>
        <v>3</v>
      </c>
      <c r="U1292" s="11">
        <f t="shared" si="1216"/>
        <v>6</v>
      </c>
      <c r="V1292" s="98">
        <v>46071</v>
      </c>
    </row>
    <row r="1293" spans="1:24" x14ac:dyDescent="0.15">
      <c r="A1293" s="24"/>
      <c r="B1293" s="8"/>
      <c r="C1293" s="9"/>
      <c r="D1293" s="10"/>
      <c r="E1293" s="49">
        <f t="shared" si="1217"/>
        <v>0</v>
      </c>
      <c r="F1293" s="12"/>
      <c r="G1293" s="9"/>
      <c r="H1293" s="10"/>
      <c r="I1293" s="49">
        <f t="shared" si="1218"/>
        <v>0</v>
      </c>
      <c r="J1293" s="11">
        <f t="shared" si="1219"/>
        <v>0</v>
      </c>
      <c r="L1293" s="26" t="s">
        <v>300</v>
      </c>
      <c r="M1293" s="8">
        <v>1</v>
      </c>
      <c r="N1293" s="9">
        <v>1</v>
      </c>
      <c r="O1293" s="52">
        <v>2</v>
      </c>
      <c r="P1293" s="87">
        <f t="shared" si="1214"/>
        <v>4</v>
      </c>
      <c r="Q1293" s="12">
        <v>1</v>
      </c>
      <c r="R1293" s="9">
        <v>1</v>
      </c>
      <c r="S1293" s="10">
        <v>2</v>
      </c>
      <c r="T1293" s="49">
        <f t="shared" si="1215"/>
        <v>4</v>
      </c>
      <c r="U1293" s="11">
        <f t="shared" si="1216"/>
        <v>8</v>
      </c>
      <c r="V1293" s="98">
        <v>46072</v>
      </c>
    </row>
    <row r="1294" spans="1:24" x14ac:dyDescent="0.15">
      <c r="A1294" s="25"/>
      <c r="B1294" s="8"/>
      <c r="C1294" s="9"/>
      <c r="D1294" s="10"/>
      <c r="E1294" s="49">
        <f t="shared" si="1217"/>
        <v>0</v>
      </c>
      <c r="F1294" s="12"/>
      <c r="G1294" s="9"/>
      <c r="H1294" s="10"/>
      <c r="I1294" s="49">
        <f t="shared" si="1218"/>
        <v>0</v>
      </c>
      <c r="J1294" s="11">
        <f t="shared" si="1219"/>
        <v>0</v>
      </c>
      <c r="L1294" s="26" t="s">
        <v>299</v>
      </c>
      <c r="M1294" s="8">
        <v>4</v>
      </c>
      <c r="N1294" s="9"/>
      <c r="O1294" s="52">
        <v>1</v>
      </c>
      <c r="P1294" s="87">
        <f t="shared" si="1214"/>
        <v>5</v>
      </c>
      <c r="Q1294" s="12">
        <v>4</v>
      </c>
      <c r="R1294" s="9"/>
      <c r="S1294" s="10">
        <v>1</v>
      </c>
      <c r="T1294" s="49">
        <f t="shared" si="1215"/>
        <v>5</v>
      </c>
      <c r="U1294" s="11">
        <f t="shared" si="1216"/>
        <v>10</v>
      </c>
      <c r="V1294" s="98">
        <v>46073</v>
      </c>
      <c r="W1294" s="66"/>
      <c r="X1294" s="66"/>
    </row>
    <row r="1295" spans="1:24" x14ac:dyDescent="0.15">
      <c r="A1295" s="26"/>
      <c r="B1295" s="8"/>
      <c r="C1295" s="9"/>
      <c r="D1295" s="10"/>
      <c r="E1295" s="49">
        <f t="shared" si="1217"/>
        <v>0</v>
      </c>
      <c r="F1295" s="12"/>
      <c r="G1295" s="9"/>
      <c r="H1295" s="10"/>
      <c r="I1295" s="49">
        <f t="shared" si="1218"/>
        <v>0</v>
      </c>
      <c r="J1295" s="11">
        <f t="shared" si="1219"/>
        <v>0</v>
      </c>
      <c r="L1295" s="26" t="s">
        <v>301</v>
      </c>
      <c r="M1295" s="8">
        <v>3</v>
      </c>
      <c r="N1295" s="9"/>
      <c r="O1295" s="52"/>
      <c r="P1295" s="87">
        <f t="shared" si="1214"/>
        <v>3</v>
      </c>
      <c r="Q1295" s="12">
        <v>3</v>
      </c>
      <c r="R1295" s="9"/>
      <c r="S1295" s="10"/>
      <c r="T1295" s="49">
        <f t="shared" si="1215"/>
        <v>3</v>
      </c>
      <c r="U1295" s="11">
        <f t="shared" si="1216"/>
        <v>6</v>
      </c>
      <c r="V1295" s="98">
        <v>46073</v>
      </c>
      <c r="W1295" s="66"/>
      <c r="X1295" s="66"/>
    </row>
    <row r="1296" spans="1:24" x14ac:dyDescent="0.15">
      <c r="A1296" s="24"/>
      <c r="B1296" s="8"/>
      <c r="C1296" s="9"/>
      <c r="D1296" s="10"/>
      <c r="E1296" s="49">
        <f t="shared" si="1217"/>
        <v>0</v>
      </c>
      <c r="F1296" s="12"/>
      <c r="G1296" s="9"/>
      <c r="H1296" s="10"/>
      <c r="I1296" s="49">
        <f t="shared" si="1218"/>
        <v>0</v>
      </c>
      <c r="J1296" s="11">
        <f t="shared" si="1219"/>
        <v>0</v>
      </c>
      <c r="L1296" s="26" t="s">
        <v>302</v>
      </c>
      <c r="M1296" s="8"/>
      <c r="N1296" s="9">
        <v>2</v>
      </c>
      <c r="O1296" s="52"/>
      <c r="P1296" s="87">
        <f t="shared" si="1214"/>
        <v>2</v>
      </c>
      <c r="Q1296" s="12"/>
      <c r="R1296" s="9">
        <v>2</v>
      </c>
      <c r="S1296" s="10"/>
      <c r="T1296" s="49">
        <f t="shared" si="1215"/>
        <v>2</v>
      </c>
      <c r="U1296" s="11">
        <f t="shared" si="1216"/>
        <v>4</v>
      </c>
      <c r="V1296" s="98">
        <v>46077</v>
      </c>
    </row>
    <row r="1297" spans="1:22" x14ac:dyDescent="0.15">
      <c r="B1297" s="13"/>
      <c r="C1297" s="14"/>
      <c r="D1297" s="15"/>
      <c r="E1297" s="49">
        <f t="shared" si="1217"/>
        <v>0</v>
      </c>
      <c r="F1297" s="16"/>
      <c r="G1297" s="14"/>
      <c r="H1297" s="15"/>
      <c r="I1297" s="49">
        <f t="shared" si="1218"/>
        <v>0</v>
      </c>
      <c r="J1297" s="11">
        <f t="shared" si="1219"/>
        <v>0</v>
      </c>
      <c r="L1297" s="26"/>
      <c r="M1297" s="8"/>
      <c r="N1297" s="9"/>
      <c r="O1297" s="52"/>
      <c r="P1297" s="87">
        <f t="shared" si="1214"/>
        <v>0</v>
      </c>
      <c r="Q1297" s="12"/>
      <c r="R1297" s="9"/>
      <c r="S1297" s="10"/>
      <c r="T1297" s="49">
        <f t="shared" si="1215"/>
        <v>0</v>
      </c>
      <c r="U1297" s="11">
        <f t="shared" si="1216"/>
        <v>0</v>
      </c>
    </row>
    <row r="1298" spans="1:22" x14ac:dyDescent="0.15">
      <c r="A1298" s="26"/>
      <c r="B1298" s="8"/>
      <c r="C1298" s="9"/>
      <c r="D1298" s="10"/>
      <c r="E1298" s="49">
        <f t="shared" si="1217"/>
        <v>0</v>
      </c>
      <c r="F1298" s="12"/>
      <c r="G1298" s="9"/>
      <c r="H1298" s="10"/>
      <c r="I1298" s="49">
        <f t="shared" si="1218"/>
        <v>0</v>
      </c>
      <c r="J1298" s="11">
        <f t="shared" si="1219"/>
        <v>0</v>
      </c>
      <c r="L1298" s="26" t="s">
        <v>960</v>
      </c>
      <c r="M1298" s="8"/>
      <c r="N1298" s="9"/>
      <c r="O1298" s="52"/>
      <c r="P1298" s="87">
        <f t="shared" si="1214"/>
        <v>0</v>
      </c>
      <c r="Q1298" s="12"/>
      <c r="R1298" s="9"/>
      <c r="S1298" s="10"/>
      <c r="T1298" s="49">
        <f t="shared" si="1215"/>
        <v>0</v>
      </c>
      <c r="U1298" s="11">
        <f t="shared" si="1216"/>
        <v>0</v>
      </c>
      <c r="V1298" s="100" t="s">
        <v>961</v>
      </c>
    </row>
    <row r="1299" spans="1:22" x14ac:dyDescent="0.15">
      <c r="A1299" s="26"/>
      <c r="B1299" s="8"/>
      <c r="C1299" s="9"/>
      <c r="D1299" s="10"/>
      <c r="E1299" s="49">
        <f t="shared" si="1217"/>
        <v>0</v>
      </c>
      <c r="F1299" s="12"/>
      <c r="G1299" s="9"/>
      <c r="H1299" s="10"/>
      <c r="I1299" s="49">
        <f t="shared" si="1218"/>
        <v>0</v>
      </c>
      <c r="J1299" s="11">
        <f t="shared" si="1219"/>
        <v>0</v>
      </c>
      <c r="L1299" s="26" t="s">
        <v>966</v>
      </c>
      <c r="M1299" s="8"/>
      <c r="N1299" s="9"/>
      <c r="O1299" s="52"/>
      <c r="P1299" s="87">
        <f t="shared" si="1214"/>
        <v>0</v>
      </c>
      <c r="Q1299" s="12"/>
      <c r="R1299" s="9"/>
      <c r="S1299" s="10"/>
      <c r="T1299" s="49">
        <f t="shared" si="1215"/>
        <v>0</v>
      </c>
      <c r="U1299" s="11">
        <f t="shared" si="1216"/>
        <v>0</v>
      </c>
      <c r="V1299" s="100" t="s">
        <v>967</v>
      </c>
    </row>
    <row r="1300" spans="1:22" x14ac:dyDescent="0.15">
      <c r="A1300" s="26"/>
      <c r="B1300" s="8"/>
      <c r="C1300" s="9"/>
      <c r="D1300" s="10"/>
      <c r="E1300" s="49">
        <f t="shared" si="1217"/>
        <v>0</v>
      </c>
      <c r="F1300" s="12"/>
      <c r="G1300" s="9"/>
      <c r="H1300" s="10"/>
      <c r="I1300" s="49">
        <f t="shared" si="1218"/>
        <v>0</v>
      </c>
      <c r="J1300" s="11">
        <f t="shared" si="1219"/>
        <v>0</v>
      </c>
      <c r="L1300" s="26" t="s">
        <v>970</v>
      </c>
      <c r="M1300" s="8"/>
      <c r="N1300" s="9"/>
      <c r="O1300" s="52"/>
      <c r="P1300" s="87">
        <f t="shared" si="1214"/>
        <v>0</v>
      </c>
      <c r="Q1300" s="12"/>
      <c r="R1300" s="9"/>
      <c r="S1300" s="10"/>
      <c r="T1300" s="49">
        <f t="shared" si="1215"/>
        <v>0</v>
      </c>
      <c r="U1300" s="11">
        <f t="shared" si="1216"/>
        <v>0</v>
      </c>
      <c r="V1300" s="100" t="s">
        <v>971</v>
      </c>
    </row>
    <row r="1301" spans="1:22" ht="14.25" thickBot="1" x14ac:dyDescent="0.2">
      <c r="A1301" s="26"/>
      <c r="B1301" s="8"/>
      <c r="C1301" s="9"/>
      <c r="D1301" s="10"/>
      <c r="E1301" s="49">
        <f t="shared" si="1217"/>
        <v>0</v>
      </c>
      <c r="F1301" s="12"/>
      <c r="G1301" s="9"/>
      <c r="H1301" s="10"/>
      <c r="I1301" s="49">
        <f t="shared" si="1218"/>
        <v>0</v>
      </c>
      <c r="J1301" s="11">
        <f t="shared" si="1219"/>
        <v>0</v>
      </c>
      <c r="L1301" s="26" t="s">
        <v>973</v>
      </c>
      <c r="M1301" s="8"/>
      <c r="N1301" s="9"/>
      <c r="O1301" s="52"/>
      <c r="P1301" s="87">
        <f t="shared" ref="P1301" si="1220">SUM(M1301:O1301)</f>
        <v>0</v>
      </c>
      <c r="Q1301" s="12"/>
      <c r="R1301" s="9"/>
      <c r="S1301" s="10"/>
      <c r="T1301" s="49">
        <f t="shared" ref="T1301" si="1221">SUM(Q1301:S1301)</f>
        <v>0</v>
      </c>
      <c r="U1301" s="11">
        <f t="shared" ref="U1301" si="1222">P1301+T1301</f>
        <v>0</v>
      </c>
      <c r="V1301" s="100" t="s">
        <v>974</v>
      </c>
    </row>
    <row r="1302" spans="1:22" ht="14.25" thickBot="1" x14ac:dyDescent="0.2">
      <c r="A1302" s="41" t="s">
        <v>17</v>
      </c>
      <c r="B1302" s="46">
        <f>SUM(B1276:B1301)</f>
        <v>2</v>
      </c>
      <c r="C1302" s="47">
        <f t="shared" ref="C1302:D1302" si="1223">SUM(C1276:C1301)</f>
        <v>1</v>
      </c>
      <c r="D1302" s="58">
        <f t="shared" si="1223"/>
        <v>0</v>
      </c>
      <c r="E1302" s="45">
        <f t="shared" si="1217"/>
        <v>3</v>
      </c>
      <c r="F1302" s="46">
        <f>SUM(F1276:F1301)</f>
        <v>2</v>
      </c>
      <c r="G1302" s="47">
        <f t="shared" ref="G1302:H1302" si="1224">SUM(G1276:G1301)</f>
        <v>1</v>
      </c>
      <c r="H1302" s="58">
        <f t="shared" si="1224"/>
        <v>0</v>
      </c>
      <c r="I1302" s="45">
        <f t="shared" si="1218"/>
        <v>3</v>
      </c>
      <c r="J1302" s="45">
        <f>E1302+I1302</f>
        <v>6</v>
      </c>
      <c r="L1302" s="41" t="s">
        <v>17</v>
      </c>
      <c r="M1302" s="46">
        <f>SUM(M1276:M1301)</f>
        <v>60</v>
      </c>
      <c r="N1302" s="47">
        <f t="shared" ref="N1302:O1302" si="1225">SUM(N1276:N1301)</f>
        <v>45</v>
      </c>
      <c r="O1302" s="58">
        <f t="shared" si="1225"/>
        <v>27</v>
      </c>
      <c r="P1302" s="45">
        <f t="shared" si="1214"/>
        <v>132</v>
      </c>
      <c r="Q1302" s="46">
        <f>SUM(Q1276:Q1301)</f>
        <v>60</v>
      </c>
      <c r="R1302" s="47">
        <f t="shared" ref="R1302:S1302" si="1226">SUM(R1276:R1301)</f>
        <v>45</v>
      </c>
      <c r="S1302" s="58">
        <f t="shared" si="1226"/>
        <v>27</v>
      </c>
      <c r="T1302" s="45">
        <f t="shared" si="1215"/>
        <v>132</v>
      </c>
      <c r="U1302" s="45">
        <f>P1302+T1302</f>
        <v>264</v>
      </c>
    </row>
    <row r="1303" spans="1:22" ht="14.25" thickBot="1" x14ac:dyDescent="0.2">
      <c r="A1303" s="22" t="s">
        <v>16</v>
      </c>
      <c r="B1303" s="50">
        <f>B1275-B1302</f>
        <v>0</v>
      </c>
      <c r="C1303" s="56">
        <f t="shared" ref="C1303:D1303" si="1227">C1275-C1302</f>
        <v>1</v>
      </c>
      <c r="D1303" s="57">
        <f t="shared" si="1227"/>
        <v>1</v>
      </c>
      <c r="E1303" s="55">
        <f>SUM(B1303:D1303)</f>
        <v>2</v>
      </c>
      <c r="F1303" s="50">
        <f>F1275-F1302</f>
        <v>0</v>
      </c>
      <c r="G1303" s="56">
        <f t="shared" ref="G1303:H1303" si="1228">G1275-G1302</f>
        <v>1</v>
      </c>
      <c r="H1303" s="57">
        <f t="shared" si="1228"/>
        <v>1</v>
      </c>
      <c r="I1303" s="55">
        <f>SUM(F1303:H1303)</f>
        <v>2</v>
      </c>
      <c r="J1303" s="31">
        <f>E1303+I1303</f>
        <v>4</v>
      </c>
      <c r="L1303" s="22" t="s">
        <v>16</v>
      </c>
      <c r="M1303" s="50">
        <f>M1275-M1302</f>
        <v>158</v>
      </c>
      <c r="N1303" s="56">
        <f t="shared" ref="N1303:O1303" si="1229">N1275-N1302</f>
        <v>199</v>
      </c>
      <c r="O1303" s="57">
        <f t="shared" si="1229"/>
        <v>152</v>
      </c>
      <c r="P1303" s="55">
        <f>SUM(M1303:O1303)</f>
        <v>509</v>
      </c>
      <c r="Q1303" s="50">
        <f>Q1275-Q1302</f>
        <v>158</v>
      </c>
      <c r="R1303" s="56">
        <f t="shared" ref="R1303:S1303" si="1230">R1275-R1302</f>
        <v>199</v>
      </c>
      <c r="S1303" s="57">
        <f t="shared" si="1230"/>
        <v>152</v>
      </c>
      <c r="T1303" s="55">
        <f>SUM(Q1303:S1303)</f>
        <v>509</v>
      </c>
      <c r="U1303" s="31">
        <f>P1303+T1303</f>
        <v>1018</v>
      </c>
    </row>
    <row r="1304" spans="1:22" x14ac:dyDescent="0.15">
      <c r="L1304" s="150"/>
      <c r="M1304" s="147">
        <f>M1345+M1302+M1259+M1216+M1173</f>
        <v>404</v>
      </c>
      <c r="N1304" s="147">
        <f t="shared" ref="N1304:P1304" si="1231">N1345+N1302+N1259+N1216+N1173</f>
        <v>441</v>
      </c>
      <c r="O1304" s="147">
        <f t="shared" si="1231"/>
        <v>242</v>
      </c>
      <c r="P1304" s="147">
        <f t="shared" si="1231"/>
        <v>1087</v>
      </c>
    </row>
    <row r="1305" spans="1:22" x14ac:dyDescent="0.15">
      <c r="L1305" s="152" t="s">
        <v>954</v>
      </c>
      <c r="M1305" s="125">
        <v>37.200000000000003</v>
      </c>
      <c r="N1305" s="125">
        <v>40.700000000000003</v>
      </c>
      <c r="O1305" s="125">
        <v>22.2</v>
      </c>
      <c r="P1305" s="119">
        <f>SUM(M1305:O1305)</f>
        <v>100.10000000000001</v>
      </c>
    </row>
    <row r="1306" spans="1:22" ht="19.5" thickBot="1" x14ac:dyDescent="0.25">
      <c r="A1306" s="3" t="s">
        <v>677</v>
      </c>
      <c r="L1306" s="3" t="s">
        <v>677</v>
      </c>
    </row>
    <row r="1307" spans="1:22" ht="14.25" thickBot="1" x14ac:dyDescent="0.2">
      <c r="A1307" s="7"/>
      <c r="B1307" s="169" t="s">
        <v>22</v>
      </c>
      <c r="C1307" s="170"/>
      <c r="D1307" s="170"/>
      <c r="E1307" s="171"/>
      <c r="F1307" s="169" t="s">
        <v>23</v>
      </c>
      <c r="G1307" s="170"/>
      <c r="H1307" s="170"/>
      <c r="I1307" s="171"/>
      <c r="J1307" s="172" t="s">
        <v>0</v>
      </c>
      <c r="L1307" s="7"/>
      <c r="M1307" s="169" t="s">
        <v>22</v>
      </c>
      <c r="N1307" s="170"/>
      <c r="O1307" s="170"/>
      <c r="P1307" s="171"/>
      <c r="Q1307" s="169" t="s">
        <v>23</v>
      </c>
      <c r="R1307" s="170"/>
      <c r="S1307" s="170"/>
      <c r="T1307" s="171"/>
      <c r="U1307" s="172" t="s">
        <v>0</v>
      </c>
    </row>
    <row r="1308" spans="1:22" ht="14.25" thickBot="1" x14ac:dyDescent="0.2">
      <c r="A1308" s="7" t="s">
        <v>1</v>
      </c>
      <c r="B1308" s="4" t="s">
        <v>2</v>
      </c>
      <c r="C1308" s="5" t="s">
        <v>3</v>
      </c>
      <c r="D1308" s="6" t="s">
        <v>4</v>
      </c>
      <c r="E1308" s="7" t="s">
        <v>5</v>
      </c>
      <c r="F1308" s="4" t="s">
        <v>2</v>
      </c>
      <c r="G1308" s="5" t="s">
        <v>3</v>
      </c>
      <c r="H1308" s="6" t="s">
        <v>4</v>
      </c>
      <c r="I1308" s="7" t="s">
        <v>5</v>
      </c>
      <c r="J1308" s="173"/>
      <c r="L1308" s="7" t="s">
        <v>1</v>
      </c>
      <c r="M1308" s="4" t="s">
        <v>2</v>
      </c>
      <c r="N1308" s="5" t="s">
        <v>3</v>
      </c>
      <c r="O1308" s="6" t="s">
        <v>4</v>
      </c>
      <c r="P1308" s="7" t="s">
        <v>5</v>
      </c>
      <c r="Q1308" s="4" t="s">
        <v>2</v>
      </c>
      <c r="R1308" s="5" t="s">
        <v>3</v>
      </c>
      <c r="S1308" s="6" t="s">
        <v>4</v>
      </c>
      <c r="T1308" s="7" t="s">
        <v>5</v>
      </c>
      <c r="U1308" s="173"/>
    </row>
    <row r="1309" spans="1:22" ht="14.25" thickBot="1" x14ac:dyDescent="0.2">
      <c r="A1309" s="140" t="s">
        <v>16</v>
      </c>
      <c r="B1309" s="28">
        <f>B1303</f>
        <v>0</v>
      </c>
      <c r="C1309" s="126">
        <f t="shared" ref="C1309:E1309" si="1232">C1303</f>
        <v>1</v>
      </c>
      <c r="D1309" s="127">
        <f t="shared" si="1232"/>
        <v>1</v>
      </c>
      <c r="E1309" s="28">
        <f t="shared" si="1232"/>
        <v>2</v>
      </c>
      <c r="F1309" s="126">
        <f>F1303</f>
        <v>0</v>
      </c>
      <c r="G1309" s="126">
        <f t="shared" ref="G1309:J1309" si="1233">G1303</f>
        <v>1</v>
      </c>
      <c r="H1309" s="127">
        <f t="shared" si="1233"/>
        <v>1</v>
      </c>
      <c r="I1309" s="28">
        <f t="shared" si="1233"/>
        <v>2</v>
      </c>
      <c r="J1309" s="28">
        <f t="shared" si="1233"/>
        <v>4</v>
      </c>
      <c r="L1309" s="128" t="s">
        <v>16</v>
      </c>
      <c r="M1309" s="126">
        <f>M1303</f>
        <v>158</v>
      </c>
      <c r="N1309" s="126">
        <f t="shared" ref="N1309:P1309" si="1234">N1303</f>
        <v>199</v>
      </c>
      <c r="O1309" s="127">
        <f t="shared" si="1234"/>
        <v>152</v>
      </c>
      <c r="P1309" s="31">
        <f t="shared" si="1234"/>
        <v>509</v>
      </c>
      <c r="Q1309" s="126">
        <f>Q1303</f>
        <v>158</v>
      </c>
      <c r="R1309" s="126">
        <f t="shared" ref="R1309:U1309" si="1235">R1303</f>
        <v>199</v>
      </c>
      <c r="S1309" s="127">
        <f t="shared" si="1235"/>
        <v>152</v>
      </c>
      <c r="T1309" s="31">
        <f t="shared" si="1235"/>
        <v>509</v>
      </c>
      <c r="U1309" s="28">
        <f t="shared" si="1235"/>
        <v>1018</v>
      </c>
    </row>
    <row r="1310" spans="1:22" x14ac:dyDescent="0.15">
      <c r="A1310" s="25" t="s">
        <v>885</v>
      </c>
      <c r="B1310" s="8">
        <v>1</v>
      </c>
      <c r="C1310" s="9">
        <v>1</v>
      </c>
      <c r="D1310" s="52"/>
      <c r="E1310" s="11">
        <f t="shared" ref="E1310:E1312" si="1236">SUM(B1310:D1310)</f>
        <v>2</v>
      </c>
      <c r="F1310" s="12">
        <v>1</v>
      </c>
      <c r="G1310" s="9">
        <v>1</v>
      </c>
      <c r="H1310" s="10"/>
      <c r="I1310" s="11">
        <f t="shared" ref="I1310:I1312" si="1237">SUM(F1310:H1310)</f>
        <v>2</v>
      </c>
      <c r="J1310" s="11">
        <f t="shared" ref="J1310:J1312" si="1238">E1310+I1310</f>
        <v>4</v>
      </c>
      <c r="K1310" s="64">
        <v>46077</v>
      </c>
      <c r="L1310" s="25" t="s">
        <v>801</v>
      </c>
      <c r="M1310" s="17">
        <v>1</v>
      </c>
      <c r="N1310" s="18">
        <v>1</v>
      </c>
      <c r="O1310" s="51">
        <v>1</v>
      </c>
      <c r="P1310" s="49">
        <f t="shared" ref="P1310:P1314" si="1239">SUM(M1310:O1310)</f>
        <v>3</v>
      </c>
      <c r="Q1310" s="17">
        <v>1</v>
      </c>
      <c r="R1310" s="18">
        <v>1</v>
      </c>
      <c r="S1310" s="51">
        <v>1</v>
      </c>
      <c r="T1310" s="49">
        <f t="shared" ref="T1310:T1314" si="1240">SUM(Q1310:S1310)</f>
        <v>3</v>
      </c>
      <c r="U1310" s="11">
        <f t="shared" ref="U1310:U1314" si="1241">P1310+T1310</f>
        <v>6</v>
      </c>
      <c r="V1310" s="99">
        <v>46102</v>
      </c>
    </row>
    <row r="1311" spans="1:22" x14ac:dyDescent="0.15">
      <c r="A1311" s="25" t="s">
        <v>885</v>
      </c>
      <c r="B1311" s="8">
        <v>1</v>
      </c>
      <c r="C1311" s="9"/>
      <c r="D1311" s="52"/>
      <c r="E1311" s="11">
        <f t="shared" si="1236"/>
        <v>1</v>
      </c>
      <c r="F1311" s="12">
        <v>1</v>
      </c>
      <c r="G1311" s="9"/>
      <c r="H1311" s="10"/>
      <c r="I1311" s="11">
        <f t="shared" si="1237"/>
        <v>1</v>
      </c>
      <c r="J1311" s="11">
        <f t="shared" si="1238"/>
        <v>2</v>
      </c>
      <c r="K1311" s="64">
        <v>46090</v>
      </c>
      <c r="L1311" s="25" t="s">
        <v>8</v>
      </c>
      <c r="M1311" s="17"/>
      <c r="N1311" s="18"/>
      <c r="O1311" s="51"/>
      <c r="P1311" s="49">
        <f t="shared" si="1239"/>
        <v>0</v>
      </c>
      <c r="Q1311" s="17"/>
      <c r="R1311" s="18"/>
      <c r="S1311" s="51"/>
      <c r="T1311" s="49">
        <f t="shared" si="1240"/>
        <v>0</v>
      </c>
      <c r="U1311" s="11">
        <f t="shared" si="1241"/>
        <v>0</v>
      </c>
    </row>
    <row r="1312" spans="1:22" x14ac:dyDescent="0.15">
      <c r="A1312" s="156" t="s">
        <v>9</v>
      </c>
      <c r="B1312" s="157">
        <v>1</v>
      </c>
      <c r="C1312" s="158"/>
      <c r="D1312" s="159"/>
      <c r="E1312" s="160">
        <f t="shared" si="1236"/>
        <v>1</v>
      </c>
      <c r="F1312" s="161">
        <v>1</v>
      </c>
      <c r="G1312" s="158"/>
      <c r="H1312" s="162"/>
      <c r="I1312" s="160">
        <f t="shared" si="1237"/>
        <v>1</v>
      </c>
      <c r="J1312" s="160">
        <f t="shared" si="1238"/>
        <v>2</v>
      </c>
      <c r="K1312" s="163">
        <v>46120</v>
      </c>
      <c r="L1312" s="25" t="s">
        <v>9</v>
      </c>
      <c r="M1312" s="17"/>
      <c r="N1312" s="18"/>
      <c r="O1312" s="51"/>
      <c r="P1312" s="49">
        <f t="shared" si="1239"/>
        <v>0</v>
      </c>
      <c r="Q1312" s="17"/>
      <c r="R1312" s="18"/>
      <c r="S1312" s="51"/>
      <c r="T1312" s="49">
        <f t="shared" si="1240"/>
        <v>0</v>
      </c>
      <c r="U1312" s="11">
        <f t="shared" si="1241"/>
        <v>0</v>
      </c>
    </row>
    <row r="1313" spans="1:22" x14ac:dyDescent="0.15">
      <c r="A1313" s="25" t="s">
        <v>10</v>
      </c>
      <c r="B1313" s="8">
        <v>1</v>
      </c>
      <c r="C1313" s="9"/>
      <c r="D1313" s="52"/>
      <c r="E1313" s="11">
        <f t="shared" ref="E1313:E1317" si="1242">SUM(B1313:D1313)</f>
        <v>1</v>
      </c>
      <c r="F1313" s="12">
        <v>1</v>
      </c>
      <c r="G1313" s="9"/>
      <c r="H1313" s="10"/>
      <c r="I1313" s="11">
        <f t="shared" ref="I1313:I1317" si="1243">SUM(F1313:H1313)</f>
        <v>1</v>
      </c>
      <c r="J1313" s="11">
        <f t="shared" ref="J1313:J1317" si="1244">E1313+I1313</f>
        <v>2</v>
      </c>
      <c r="K1313" s="64">
        <v>46144</v>
      </c>
      <c r="L1313" s="25" t="s">
        <v>10</v>
      </c>
      <c r="M1313" s="17"/>
      <c r="N1313" s="18"/>
      <c r="O1313" s="51"/>
      <c r="P1313" s="49">
        <f t="shared" si="1239"/>
        <v>0</v>
      </c>
      <c r="Q1313" s="17"/>
      <c r="R1313" s="18"/>
      <c r="S1313" s="51"/>
      <c r="T1313" s="49">
        <f t="shared" si="1240"/>
        <v>0</v>
      </c>
      <c r="U1313" s="11">
        <f t="shared" si="1241"/>
        <v>0</v>
      </c>
    </row>
    <row r="1314" spans="1:22" x14ac:dyDescent="0.15">
      <c r="A1314" s="25" t="s">
        <v>11</v>
      </c>
      <c r="B1314" s="8"/>
      <c r="C1314" s="9"/>
      <c r="D1314" s="52"/>
      <c r="E1314" s="11">
        <f t="shared" si="1242"/>
        <v>0</v>
      </c>
      <c r="F1314" s="12"/>
      <c r="G1314" s="9"/>
      <c r="H1314" s="10"/>
      <c r="I1314" s="11">
        <f t="shared" si="1243"/>
        <v>0</v>
      </c>
      <c r="J1314" s="11">
        <f t="shared" si="1244"/>
        <v>0</v>
      </c>
      <c r="L1314" s="25" t="s">
        <v>11</v>
      </c>
      <c r="M1314" s="17"/>
      <c r="N1314" s="18"/>
      <c r="O1314" s="51"/>
      <c r="P1314" s="49">
        <f t="shared" si="1239"/>
        <v>0</v>
      </c>
      <c r="Q1314" s="17"/>
      <c r="R1314" s="18"/>
      <c r="S1314" s="51"/>
      <c r="T1314" s="49">
        <f t="shared" si="1240"/>
        <v>0</v>
      </c>
      <c r="U1314" s="11">
        <f t="shared" si="1241"/>
        <v>0</v>
      </c>
    </row>
    <row r="1315" spans="1:22" x14ac:dyDescent="0.15">
      <c r="A1315" s="25" t="s">
        <v>12</v>
      </c>
      <c r="B1315" s="8"/>
      <c r="C1315" s="9"/>
      <c r="D1315" s="52"/>
      <c r="E1315" s="11">
        <f t="shared" si="1242"/>
        <v>0</v>
      </c>
      <c r="F1315" s="12"/>
      <c r="G1315" s="9"/>
      <c r="H1315" s="10"/>
      <c r="I1315" s="11">
        <f t="shared" si="1243"/>
        <v>0</v>
      </c>
      <c r="J1315" s="11">
        <f t="shared" si="1244"/>
        <v>0</v>
      </c>
      <c r="L1315" s="25" t="s">
        <v>12</v>
      </c>
      <c r="M1315" s="17"/>
      <c r="N1315" s="18"/>
      <c r="O1315" s="51"/>
      <c r="P1315" s="49">
        <f t="shared" ref="P1315:P1317" si="1245">SUM(M1315:O1315)</f>
        <v>0</v>
      </c>
      <c r="Q1315" s="17"/>
      <c r="R1315" s="18"/>
      <c r="S1315" s="51"/>
      <c r="T1315" s="49">
        <f t="shared" ref="T1315:T1317" si="1246">SUM(Q1315:S1315)</f>
        <v>0</v>
      </c>
      <c r="U1315" s="11">
        <f t="shared" ref="U1315:U1317" si="1247">P1315+T1315</f>
        <v>0</v>
      </c>
    </row>
    <row r="1316" spans="1:22" x14ac:dyDescent="0.15">
      <c r="A1316" s="25" t="s">
        <v>13</v>
      </c>
      <c r="B1316" s="13"/>
      <c r="C1316" s="14"/>
      <c r="D1316" s="53"/>
      <c r="E1316" s="11">
        <f t="shared" si="1242"/>
        <v>0</v>
      </c>
      <c r="F1316" s="16"/>
      <c r="G1316" s="14"/>
      <c r="H1316" s="15"/>
      <c r="I1316" s="11">
        <f t="shared" si="1243"/>
        <v>0</v>
      </c>
      <c r="J1316" s="11">
        <f t="shared" si="1244"/>
        <v>0</v>
      </c>
      <c r="L1316" s="25" t="s">
        <v>13</v>
      </c>
      <c r="M1316" s="17"/>
      <c r="N1316" s="18"/>
      <c r="O1316" s="51"/>
      <c r="P1316" s="49">
        <f t="shared" si="1245"/>
        <v>0</v>
      </c>
      <c r="Q1316" s="17"/>
      <c r="R1316" s="18"/>
      <c r="S1316" s="51"/>
      <c r="T1316" s="49">
        <f t="shared" si="1246"/>
        <v>0</v>
      </c>
      <c r="U1316" s="11">
        <f t="shared" si="1247"/>
        <v>0</v>
      </c>
    </row>
    <row r="1317" spans="1:22" ht="14.25" thickBot="1" x14ac:dyDescent="0.2">
      <c r="A1317" s="25" t="s">
        <v>14</v>
      </c>
      <c r="B1317" s="32"/>
      <c r="C1317" s="33"/>
      <c r="D1317" s="54"/>
      <c r="E1317" s="61">
        <f t="shared" si="1242"/>
        <v>0</v>
      </c>
      <c r="F1317" s="34"/>
      <c r="G1317" s="34"/>
      <c r="H1317" s="37"/>
      <c r="I1317" s="61">
        <f t="shared" si="1243"/>
        <v>0</v>
      </c>
      <c r="J1317" s="21">
        <f t="shared" si="1244"/>
        <v>0</v>
      </c>
      <c r="L1317" s="25" t="s">
        <v>14</v>
      </c>
      <c r="M1317" s="32"/>
      <c r="N1317" s="33"/>
      <c r="O1317" s="54"/>
      <c r="P1317" s="61">
        <f t="shared" si="1245"/>
        <v>0</v>
      </c>
      <c r="Q1317" s="34"/>
      <c r="R1317" s="34"/>
      <c r="S1317" s="37"/>
      <c r="T1317" s="61">
        <f t="shared" si="1246"/>
        <v>0</v>
      </c>
      <c r="U1317" s="21">
        <f t="shared" si="1247"/>
        <v>0</v>
      </c>
    </row>
    <row r="1318" spans="1:22" ht="14.25" thickBot="1" x14ac:dyDescent="0.2">
      <c r="A1318" s="35" t="s">
        <v>15</v>
      </c>
      <c r="B1318" s="28">
        <f>SUM(B1309:B1317)</f>
        <v>4</v>
      </c>
      <c r="C1318" s="29">
        <f>SUM(C1309:C1317)</f>
        <v>2</v>
      </c>
      <c r="D1318" s="30">
        <f>SUM(D1309:D1317)</f>
        <v>1</v>
      </c>
      <c r="E1318" s="31">
        <f>SUM(B1318:D1318)</f>
        <v>7</v>
      </c>
      <c r="F1318" s="28">
        <f>SUM(F1309:F1317)</f>
        <v>4</v>
      </c>
      <c r="G1318" s="29">
        <f>SUM(G1309:G1317)</f>
        <v>2</v>
      </c>
      <c r="H1318" s="30">
        <f>SUM(H1309:H1317)</f>
        <v>1</v>
      </c>
      <c r="I1318" s="31">
        <f>SUM(F1318:H1318)</f>
        <v>7</v>
      </c>
      <c r="J1318" s="31">
        <f>E1318+I1318</f>
        <v>14</v>
      </c>
      <c r="L1318" s="35" t="s">
        <v>15</v>
      </c>
      <c r="M1318" s="28">
        <f>SUM(M1309:M1317)</f>
        <v>159</v>
      </c>
      <c r="N1318" s="29">
        <f>SUM(N1309:N1317)</f>
        <v>200</v>
      </c>
      <c r="O1318" s="30">
        <f>SUM(O1309:O1317)</f>
        <v>153</v>
      </c>
      <c r="P1318" s="31">
        <f>SUM(M1318:O1318)</f>
        <v>512</v>
      </c>
      <c r="Q1318" s="28">
        <f>SUM(Q1309:Q1317)</f>
        <v>159</v>
      </c>
      <c r="R1318" s="29">
        <f>SUM(R1309:R1317)</f>
        <v>200</v>
      </c>
      <c r="S1318" s="30">
        <f>SUM(S1309:S1317)</f>
        <v>153</v>
      </c>
      <c r="T1318" s="31">
        <f>SUM(Q1318:S1318)</f>
        <v>512</v>
      </c>
      <c r="U1318" s="31">
        <f>P1318+T1318</f>
        <v>1024</v>
      </c>
    </row>
    <row r="1319" spans="1:22" x14ac:dyDescent="0.15">
      <c r="A1319" s="26" t="s">
        <v>982</v>
      </c>
      <c r="B1319" s="13">
        <v>1</v>
      </c>
      <c r="C1319" s="14"/>
      <c r="D1319" s="15"/>
      <c r="E1319" s="49">
        <f t="shared" ref="E1319:E1321" si="1248">SUM(B1319:D1319)</f>
        <v>1</v>
      </c>
      <c r="F1319" s="16">
        <v>1</v>
      </c>
      <c r="G1319" s="14"/>
      <c r="H1319" s="15"/>
      <c r="I1319" s="49">
        <f t="shared" ref="I1319:I1321" si="1249">SUM(F1319:H1319)</f>
        <v>1</v>
      </c>
      <c r="J1319" s="11">
        <f t="shared" ref="J1319:J1321" si="1250">E1319+I1319</f>
        <v>2</v>
      </c>
      <c r="K1319" s="62">
        <v>46090</v>
      </c>
      <c r="L1319" s="26" t="s">
        <v>979</v>
      </c>
      <c r="M1319" s="8">
        <v>1</v>
      </c>
      <c r="N1319" s="9">
        <v>4</v>
      </c>
      <c r="O1319" s="52"/>
      <c r="P1319" s="87">
        <f t="shared" ref="P1319:P1335" si="1251">SUM(M1319:O1319)</f>
        <v>5</v>
      </c>
      <c r="Q1319" s="12">
        <v>1</v>
      </c>
      <c r="R1319" s="9">
        <v>4</v>
      </c>
      <c r="S1319" s="10"/>
      <c r="T1319" s="49">
        <f t="shared" ref="T1319:T1335" si="1252">SUM(Q1319:S1319)</f>
        <v>5</v>
      </c>
      <c r="U1319" s="11">
        <f t="shared" ref="U1319:U1335" si="1253">P1319+T1319</f>
        <v>10</v>
      </c>
      <c r="V1319" s="98">
        <v>46079</v>
      </c>
    </row>
    <row r="1320" spans="1:22" x14ac:dyDescent="0.15">
      <c r="A1320" s="26" t="s">
        <v>983</v>
      </c>
      <c r="B1320" s="13"/>
      <c r="C1320" s="14">
        <v>1</v>
      </c>
      <c r="D1320" s="15"/>
      <c r="E1320" s="49">
        <f t="shared" si="1248"/>
        <v>1</v>
      </c>
      <c r="F1320" s="16"/>
      <c r="G1320" s="14">
        <v>1</v>
      </c>
      <c r="H1320" s="15"/>
      <c r="I1320" s="49">
        <f t="shared" si="1249"/>
        <v>1</v>
      </c>
      <c r="J1320" s="11">
        <f t="shared" si="1250"/>
        <v>2</v>
      </c>
      <c r="K1320" s="62">
        <v>46100</v>
      </c>
      <c r="L1320" s="26" t="s">
        <v>306</v>
      </c>
      <c r="M1320" s="8"/>
      <c r="N1320" s="9">
        <v>1</v>
      </c>
      <c r="O1320" s="52"/>
      <c r="P1320" s="87">
        <f t="shared" si="1251"/>
        <v>1</v>
      </c>
      <c r="Q1320" s="12"/>
      <c r="R1320" s="9">
        <v>1</v>
      </c>
      <c r="S1320" s="10"/>
      <c r="T1320" s="49">
        <f t="shared" si="1252"/>
        <v>1</v>
      </c>
      <c r="U1320" s="11">
        <f t="shared" si="1253"/>
        <v>2</v>
      </c>
      <c r="V1320" s="98">
        <v>46080</v>
      </c>
    </row>
    <row r="1321" spans="1:22" x14ac:dyDescent="0.15">
      <c r="A1321" s="26" t="s">
        <v>985</v>
      </c>
      <c r="B1321" s="13">
        <v>1</v>
      </c>
      <c r="C1321" s="14">
        <v>1</v>
      </c>
      <c r="D1321" s="15">
        <v>1</v>
      </c>
      <c r="E1321" s="49">
        <f t="shared" si="1248"/>
        <v>3</v>
      </c>
      <c r="F1321" s="16">
        <v>1</v>
      </c>
      <c r="G1321" s="14">
        <v>1</v>
      </c>
      <c r="H1321" s="15">
        <v>1</v>
      </c>
      <c r="I1321" s="49">
        <f t="shared" si="1249"/>
        <v>3</v>
      </c>
      <c r="J1321" s="11">
        <f t="shared" si="1250"/>
        <v>6</v>
      </c>
      <c r="K1321" s="62">
        <v>46102</v>
      </c>
      <c r="L1321" s="26" t="s">
        <v>307</v>
      </c>
      <c r="M1321" s="8">
        <v>1</v>
      </c>
      <c r="N1321" s="9"/>
      <c r="O1321" s="52"/>
      <c r="P1321" s="87">
        <f t="shared" si="1251"/>
        <v>1</v>
      </c>
      <c r="Q1321" s="12">
        <v>1</v>
      </c>
      <c r="R1321" s="9"/>
      <c r="S1321" s="10"/>
      <c r="T1321" s="49">
        <f t="shared" si="1252"/>
        <v>1</v>
      </c>
      <c r="U1321" s="11">
        <f t="shared" si="1253"/>
        <v>2</v>
      </c>
      <c r="V1321" s="98">
        <v>46083</v>
      </c>
    </row>
    <row r="1322" spans="1:22" x14ac:dyDescent="0.15">
      <c r="A1322" s="26"/>
      <c r="B1322" s="13"/>
      <c r="C1322" s="14"/>
      <c r="D1322" s="15"/>
      <c r="E1322" s="49">
        <f>SUM(B1322:D1322)</f>
        <v>0</v>
      </c>
      <c r="F1322" s="16"/>
      <c r="G1322" s="14"/>
      <c r="H1322" s="15"/>
      <c r="I1322" s="49">
        <f>SUM(F1322:H1322)</f>
        <v>0</v>
      </c>
      <c r="J1322" s="11">
        <f>E1322+I1322</f>
        <v>0</v>
      </c>
      <c r="L1322" s="26" t="s">
        <v>309</v>
      </c>
      <c r="M1322" s="8"/>
      <c r="N1322" s="9">
        <v>1</v>
      </c>
      <c r="O1322" s="52"/>
      <c r="P1322" s="87">
        <f t="shared" si="1251"/>
        <v>1</v>
      </c>
      <c r="Q1322" s="12"/>
      <c r="R1322" s="9">
        <v>1</v>
      </c>
      <c r="S1322" s="10"/>
      <c r="T1322" s="49">
        <f t="shared" si="1252"/>
        <v>1</v>
      </c>
      <c r="U1322" s="11">
        <f t="shared" si="1253"/>
        <v>2</v>
      </c>
      <c r="V1322" s="98">
        <v>46085</v>
      </c>
    </row>
    <row r="1323" spans="1:22" x14ac:dyDescent="0.15">
      <c r="A1323" s="26"/>
      <c r="B1323" s="8"/>
      <c r="C1323" s="9"/>
      <c r="D1323" s="10"/>
      <c r="E1323" s="49">
        <f t="shared" ref="E1323:E1345" si="1254">SUM(B1323:D1323)</f>
        <v>0</v>
      </c>
      <c r="F1323" s="12"/>
      <c r="G1323" s="9"/>
      <c r="H1323" s="10"/>
      <c r="I1323" s="49">
        <f t="shared" ref="I1323:I1345" si="1255">SUM(F1323:H1323)</f>
        <v>0</v>
      </c>
      <c r="J1323" s="11">
        <f t="shared" ref="J1323:J1344" si="1256">E1323+I1323</f>
        <v>0</v>
      </c>
      <c r="L1323" s="26" t="s">
        <v>310</v>
      </c>
      <c r="M1323" s="8">
        <v>1</v>
      </c>
      <c r="N1323" s="9"/>
      <c r="O1323" s="52">
        <v>2</v>
      </c>
      <c r="P1323" s="87">
        <f t="shared" si="1251"/>
        <v>3</v>
      </c>
      <c r="Q1323" s="12">
        <v>1</v>
      </c>
      <c r="R1323" s="9"/>
      <c r="S1323" s="10">
        <v>2</v>
      </c>
      <c r="T1323" s="49">
        <f t="shared" si="1252"/>
        <v>3</v>
      </c>
      <c r="U1323" s="11">
        <f t="shared" si="1253"/>
        <v>6</v>
      </c>
      <c r="V1323" s="98">
        <v>46086</v>
      </c>
    </row>
    <row r="1324" spans="1:22" x14ac:dyDescent="0.15">
      <c r="A1324" s="26"/>
      <c r="B1324" s="8"/>
      <c r="C1324" s="9"/>
      <c r="D1324" s="10"/>
      <c r="E1324" s="49">
        <f t="shared" si="1254"/>
        <v>0</v>
      </c>
      <c r="F1324" s="12"/>
      <c r="G1324" s="9"/>
      <c r="H1324" s="10"/>
      <c r="I1324" s="49">
        <f t="shared" si="1255"/>
        <v>0</v>
      </c>
      <c r="J1324" s="11">
        <f t="shared" si="1256"/>
        <v>0</v>
      </c>
      <c r="L1324" s="26" t="s">
        <v>313</v>
      </c>
      <c r="M1324" s="8">
        <v>1</v>
      </c>
      <c r="N1324" s="9"/>
      <c r="O1324" s="52"/>
      <c r="P1324" s="87">
        <f t="shared" si="1251"/>
        <v>1</v>
      </c>
      <c r="Q1324" s="12">
        <v>1</v>
      </c>
      <c r="R1324" s="9"/>
      <c r="S1324" s="10"/>
      <c r="T1324" s="49">
        <f t="shared" si="1252"/>
        <v>1</v>
      </c>
      <c r="U1324" s="11">
        <f t="shared" si="1253"/>
        <v>2</v>
      </c>
      <c r="V1324" s="98">
        <v>46087</v>
      </c>
    </row>
    <row r="1325" spans="1:22" x14ac:dyDescent="0.15">
      <c r="A1325" s="26"/>
      <c r="B1325" s="8"/>
      <c r="C1325" s="9"/>
      <c r="D1325" s="10"/>
      <c r="E1325" s="49">
        <f t="shared" si="1254"/>
        <v>0</v>
      </c>
      <c r="F1325" s="12"/>
      <c r="G1325" s="9"/>
      <c r="H1325" s="10"/>
      <c r="I1325" s="49">
        <f t="shared" si="1255"/>
        <v>0</v>
      </c>
      <c r="J1325" s="11">
        <f t="shared" si="1256"/>
        <v>0</v>
      </c>
      <c r="L1325" s="26" t="s">
        <v>314</v>
      </c>
      <c r="M1325" s="8"/>
      <c r="N1325" s="9">
        <v>3</v>
      </c>
      <c r="O1325" s="52">
        <v>1</v>
      </c>
      <c r="P1325" s="87">
        <f t="shared" si="1251"/>
        <v>4</v>
      </c>
      <c r="Q1325" s="12"/>
      <c r="R1325" s="9">
        <v>3</v>
      </c>
      <c r="S1325" s="10">
        <v>1</v>
      </c>
      <c r="T1325" s="49">
        <f t="shared" si="1252"/>
        <v>4</v>
      </c>
      <c r="U1325" s="11">
        <f t="shared" si="1253"/>
        <v>8</v>
      </c>
      <c r="V1325" s="98">
        <v>46091</v>
      </c>
    </row>
    <row r="1326" spans="1:22" x14ac:dyDescent="0.15">
      <c r="A1326" s="26"/>
      <c r="B1326" s="8"/>
      <c r="C1326" s="9"/>
      <c r="D1326" s="10"/>
      <c r="E1326" s="49">
        <f t="shared" si="1254"/>
        <v>0</v>
      </c>
      <c r="F1326" s="12"/>
      <c r="G1326" s="9"/>
      <c r="H1326" s="10"/>
      <c r="I1326" s="49">
        <f t="shared" si="1255"/>
        <v>0</v>
      </c>
      <c r="J1326" s="11">
        <f t="shared" si="1256"/>
        <v>0</v>
      </c>
      <c r="L1326" s="26" t="s">
        <v>315</v>
      </c>
      <c r="M1326" s="8">
        <v>4</v>
      </c>
      <c r="N1326" s="9"/>
      <c r="O1326" s="52"/>
      <c r="P1326" s="87">
        <f t="shared" si="1251"/>
        <v>4</v>
      </c>
      <c r="Q1326" s="12">
        <v>4</v>
      </c>
      <c r="R1326" s="9"/>
      <c r="S1326" s="10"/>
      <c r="T1326" s="49">
        <f t="shared" si="1252"/>
        <v>4</v>
      </c>
      <c r="U1326" s="11">
        <f t="shared" si="1253"/>
        <v>8</v>
      </c>
      <c r="V1326" s="98">
        <v>46093</v>
      </c>
    </row>
    <row r="1327" spans="1:22" x14ac:dyDescent="0.15">
      <c r="A1327" s="26"/>
      <c r="B1327" s="8"/>
      <c r="C1327" s="9"/>
      <c r="D1327" s="10"/>
      <c r="E1327" s="49">
        <f t="shared" si="1254"/>
        <v>0</v>
      </c>
      <c r="F1327" s="12"/>
      <c r="G1327" s="9"/>
      <c r="H1327" s="10"/>
      <c r="I1327" s="49">
        <f t="shared" si="1255"/>
        <v>0</v>
      </c>
      <c r="J1327" s="11">
        <f t="shared" si="1256"/>
        <v>0</v>
      </c>
      <c r="L1327" s="26" t="s">
        <v>320</v>
      </c>
      <c r="M1327" s="8"/>
      <c r="N1327" s="9">
        <v>2</v>
      </c>
      <c r="O1327" s="52"/>
      <c r="P1327" s="87">
        <f t="shared" si="1251"/>
        <v>2</v>
      </c>
      <c r="Q1327" s="12"/>
      <c r="R1327" s="9">
        <v>2</v>
      </c>
      <c r="S1327" s="10"/>
      <c r="T1327" s="49">
        <f t="shared" si="1252"/>
        <v>2</v>
      </c>
      <c r="U1327" s="11">
        <f t="shared" si="1253"/>
        <v>4</v>
      </c>
      <c r="V1327" s="98">
        <v>46094</v>
      </c>
    </row>
    <row r="1328" spans="1:22" x14ac:dyDescent="0.15">
      <c r="A1328" s="26"/>
      <c r="B1328" s="13"/>
      <c r="C1328" s="14"/>
      <c r="D1328" s="15"/>
      <c r="E1328" s="49">
        <f t="shared" si="1254"/>
        <v>0</v>
      </c>
      <c r="F1328" s="16"/>
      <c r="G1328" s="14"/>
      <c r="H1328" s="15"/>
      <c r="I1328" s="49">
        <f t="shared" si="1255"/>
        <v>0</v>
      </c>
      <c r="J1328" s="11">
        <f t="shared" si="1256"/>
        <v>0</v>
      </c>
      <c r="L1328" s="26" t="s">
        <v>319</v>
      </c>
      <c r="M1328" s="8"/>
      <c r="N1328" s="9"/>
      <c r="O1328" s="52">
        <v>1</v>
      </c>
      <c r="P1328" s="87">
        <f t="shared" si="1251"/>
        <v>1</v>
      </c>
      <c r="Q1328" s="12"/>
      <c r="R1328" s="9"/>
      <c r="S1328" s="10">
        <v>1</v>
      </c>
      <c r="T1328" s="49">
        <f t="shared" si="1252"/>
        <v>1</v>
      </c>
      <c r="U1328" s="11">
        <f t="shared" si="1253"/>
        <v>2</v>
      </c>
      <c r="V1328" s="98">
        <v>46094</v>
      </c>
    </row>
    <row r="1329" spans="1:23" x14ac:dyDescent="0.15">
      <c r="A1329" s="26"/>
      <c r="B1329" s="8"/>
      <c r="C1329" s="9"/>
      <c r="D1329" s="10"/>
      <c r="E1329" s="49">
        <f t="shared" si="1254"/>
        <v>0</v>
      </c>
      <c r="F1329" s="12"/>
      <c r="G1329" s="9"/>
      <c r="H1329" s="10"/>
      <c r="I1329" s="49">
        <f t="shared" si="1255"/>
        <v>0</v>
      </c>
      <c r="J1329" s="11">
        <f t="shared" si="1256"/>
        <v>0</v>
      </c>
      <c r="L1329" s="26" t="s">
        <v>321</v>
      </c>
      <c r="M1329" s="8"/>
      <c r="N1329" s="9">
        <v>1</v>
      </c>
      <c r="O1329" s="52"/>
      <c r="P1329" s="87">
        <f t="shared" si="1251"/>
        <v>1</v>
      </c>
      <c r="Q1329" s="12"/>
      <c r="R1329" s="9">
        <v>1</v>
      </c>
      <c r="S1329" s="10"/>
      <c r="T1329" s="49">
        <f t="shared" si="1252"/>
        <v>1</v>
      </c>
      <c r="U1329" s="11">
        <f t="shared" si="1253"/>
        <v>2</v>
      </c>
      <c r="V1329" s="98">
        <v>46097</v>
      </c>
    </row>
    <row r="1330" spans="1:23" x14ac:dyDescent="0.15">
      <c r="A1330" s="26"/>
      <c r="B1330" s="8"/>
      <c r="C1330" s="9"/>
      <c r="D1330" s="10"/>
      <c r="E1330" s="49">
        <f t="shared" si="1254"/>
        <v>0</v>
      </c>
      <c r="F1330" s="12"/>
      <c r="G1330" s="9"/>
      <c r="H1330" s="10"/>
      <c r="I1330" s="49">
        <f t="shared" si="1255"/>
        <v>0</v>
      </c>
      <c r="J1330" s="11">
        <f t="shared" si="1256"/>
        <v>0</v>
      </c>
      <c r="L1330" s="26" t="s">
        <v>322</v>
      </c>
      <c r="M1330" s="8"/>
      <c r="N1330" s="9">
        <v>2</v>
      </c>
      <c r="O1330" s="52">
        <v>4</v>
      </c>
      <c r="P1330" s="87">
        <f t="shared" si="1251"/>
        <v>6</v>
      </c>
      <c r="Q1330" s="12"/>
      <c r="R1330" s="9">
        <v>2</v>
      </c>
      <c r="S1330" s="10">
        <v>4</v>
      </c>
      <c r="T1330" s="49">
        <f t="shared" si="1252"/>
        <v>6</v>
      </c>
      <c r="U1330" s="11">
        <f t="shared" si="1253"/>
        <v>12</v>
      </c>
      <c r="V1330" s="98">
        <v>46099</v>
      </c>
    </row>
    <row r="1331" spans="1:23" x14ac:dyDescent="0.15">
      <c r="A1331" s="26"/>
      <c r="B1331" s="8"/>
      <c r="C1331" s="9"/>
      <c r="D1331" s="10"/>
      <c r="E1331" s="49">
        <f t="shared" si="1254"/>
        <v>0</v>
      </c>
      <c r="F1331" s="12"/>
      <c r="G1331" s="9"/>
      <c r="H1331" s="10"/>
      <c r="I1331" s="49">
        <f t="shared" si="1255"/>
        <v>0</v>
      </c>
      <c r="J1331" s="11">
        <f t="shared" si="1256"/>
        <v>0</v>
      </c>
      <c r="L1331" s="26" t="s">
        <v>983</v>
      </c>
      <c r="M1331" s="8"/>
      <c r="N1331" s="9">
        <v>1</v>
      </c>
      <c r="O1331" s="52"/>
      <c r="P1331" s="87">
        <f t="shared" si="1251"/>
        <v>1</v>
      </c>
      <c r="Q1331" s="12"/>
      <c r="R1331" s="9">
        <v>1</v>
      </c>
      <c r="S1331" s="10"/>
      <c r="T1331" s="49">
        <f t="shared" si="1252"/>
        <v>1</v>
      </c>
      <c r="U1331" s="11">
        <f t="shared" si="1253"/>
        <v>2</v>
      </c>
      <c r="V1331" s="98">
        <v>46106</v>
      </c>
    </row>
    <row r="1332" spans="1:23" x14ac:dyDescent="0.15">
      <c r="A1332" s="26"/>
      <c r="B1332" s="8"/>
      <c r="C1332" s="9"/>
      <c r="D1332" s="10"/>
      <c r="E1332" s="49">
        <f t="shared" si="1254"/>
        <v>0</v>
      </c>
      <c r="F1332" s="12"/>
      <c r="G1332" s="9"/>
      <c r="H1332" s="10"/>
      <c r="I1332" s="49">
        <f t="shared" si="1255"/>
        <v>0</v>
      </c>
      <c r="J1332" s="11">
        <f t="shared" si="1256"/>
        <v>0</v>
      </c>
      <c r="L1332" s="26" t="s">
        <v>325</v>
      </c>
      <c r="M1332" s="8"/>
      <c r="N1332" s="9">
        <v>1</v>
      </c>
      <c r="O1332" s="52"/>
      <c r="P1332" s="87">
        <f t="shared" si="1251"/>
        <v>1</v>
      </c>
      <c r="Q1332" s="12"/>
      <c r="R1332" s="9">
        <v>1</v>
      </c>
      <c r="S1332" s="10"/>
      <c r="T1332" s="49">
        <f t="shared" si="1252"/>
        <v>1</v>
      </c>
      <c r="U1332" s="11">
        <f t="shared" si="1253"/>
        <v>2</v>
      </c>
      <c r="V1332" s="98">
        <v>46108</v>
      </c>
    </row>
    <row r="1333" spans="1:23" x14ac:dyDescent="0.15">
      <c r="A1333" s="26"/>
      <c r="B1333" s="8"/>
      <c r="C1333" s="9"/>
      <c r="D1333" s="10"/>
      <c r="E1333" s="49">
        <f t="shared" si="1254"/>
        <v>0</v>
      </c>
      <c r="F1333" s="12"/>
      <c r="G1333" s="9"/>
      <c r="H1333" s="10"/>
      <c r="I1333" s="49">
        <f t="shared" si="1255"/>
        <v>0</v>
      </c>
      <c r="J1333" s="11">
        <f t="shared" si="1256"/>
        <v>0</v>
      </c>
      <c r="L1333" s="26" t="s">
        <v>332</v>
      </c>
      <c r="M1333" s="8"/>
      <c r="N1333" s="9"/>
      <c r="O1333" s="52">
        <v>1</v>
      </c>
      <c r="P1333" s="87">
        <f t="shared" si="1251"/>
        <v>1</v>
      </c>
      <c r="Q1333" s="12"/>
      <c r="R1333" s="9"/>
      <c r="S1333" s="10">
        <v>1</v>
      </c>
      <c r="T1333" s="49">
        <f t="shared" si="1252"/>
        <v>1</v>
      </c>
      <c r="U1333" s="11">
        <f t="shared" si="1253"/>
        <v>2</v>
      </c>
      <c r="V1333" s="98">
        <v>46114</v>
      </c>
    </row>
    <row r="1334" spans="1:23" x14ac:dyDescent="0.15">
      <c r="A1334" s="26"/>
      <c r="B1334" s="8"/>
      <c r="C1334" s="9"/>
      <c r="D1334" s="10"/>
      <c r="E1334" s="49">
        <f t="shared" si="1254"/>
        <v>0</v>
      </c>
      <c r="F1334" s="12"/>
      <c r="G1334" s="9"/>
      <c r="H1334" s="10"/>
      <c r="I1334" s="49">
        <f t="shared" si="1255"/>
        <v>0</v>
      </c>
      <c r="J1334" s="11">
        <f t="shared" si="1256"/>
        <v>0</v>
      </c>
      <c r="L1334" s="26" t="s">
        <v>989</v>
      </c>
      <c r="M1334" s="8"/>
      <c r="N1334" s="9">
        <v>1</v>
      </c>
      <c r="O1334" s="52">
        <v>1</v>
      </c>
      <c r="P1334" s="87">
        <f t="shared" si="1251"/>
        <v>2</v>
      </c>
      <c r="Q1334" s="12"/>
      <c r="R1334" s="9">
        <v>1</v>
      </c>
      <c r="S1334" s="10">
        <v>1</v>
      </c>
      <c r="T1334" s="49">
        <f t="shared" si="1252"/>
        <v>2</v>
      </c>
      <c r="U1334" s="11">
        <f t="shared" si="1253"/>
        <v>4</v>
      </c>
      <c r="V1334" s="98">
        <v>46120</v>
      </c>
    </row>
    <row r="1335" spans="1:23" x14ac:dyDescent="0.15">
      <c r="A1335" s="26"/>
      <c r="B1335" s="8"/>
      <c r="C1335" s="9"/>
      <c r="D1335" s="10"/>
      <c r="E1335" s="49">
        <f t="shared" si="1254"/>
        <v>0</v>
      </c>
      <c r="F1335" s="12"/>
      <c r="G1335" s="9"/>
      <c r="H1335" s="10"/>
      <c r="I1335" s="49">
        <f t="shared" si="1255"/>
        <v>0</v>
      </c>
      <c r="J1335" s="11">
        <f t="shared" si="1256"/>
        <v>0</v>
      </c>
      <c r="L1335" s="26" t="s">
        <v>991</v>
      </c>
      <c r="M1335" s="8">
        <v>1</v>
      </c>
      <c r="N1335" s="9"/>
      <c r="O1335" s="52"/>
      <c r="P1335" s="87">
        <f t="shared" si="1251"/>
        <v>1</v>
      </c>
      <c r="Q1335" s="12">
        <v>1</v>
      </c>
      <c r="R1335" s="9"/>
      <c r="S1335" s="10"/>
      <c r="T1335" s="49">
        <f t="shared" si="1252"/>
        <v>1</v>
      </c>
      <c r="U1335" s="11">
        <f t="shared" si="1253"/>
        <v>2</v>
      </c>
      <c r="V1335" s="98">
        <v>46120</v>
      </c>
    </row>
    <row r="1336" spans="1:23" x14ac:dyDescent="0.15">
      <c r="A1336" s="24"/>
      <c r="B1336" s="8"/>
      <c r="C1336" s="9"/>
      <c r="D1336" s="10"/>
      <c r="E1336" s="49">
        <f t="shared" si="1254"/>
        <v>0</v>
      </c>
      <c r="F1336" s="12"/>
      <c r="G1336" s="9"/>
      <c r="H1336" s="10"/>
      <c r="I1336" s="49">
        <f t="shared" si="1255"/>
        <v>0</v>
      </c>
      <c r="J1336" s="11">
        <f t="shared" si="1256"/>
        <v>0</v>
      </c>
      <c r="L1336" s="26" t="s">
        <v>992</v>
      </c>
      <c r="M1336" s="8"/>
      <c r="N1336" s="9">
        <v>1</v>
      </c>
      <c r="O1336" s="52"/>
      <c r="P1336" s="87">
        <f t="shared" ref="P1336:P1345" si="1257">SUM(M1336:O1336)</f>
        <v>1</v>
      </c>
      <c r="Q1336" s="12"/>
      <c r="R1336" s="9">
        <v>1</v>
      </c>
      <c r="S1336" s="10"/>
      <c r="T1336" s="49">
        <f t="shared" ref="T1336:T1345" si="1258">SUM(Q1336:S1336)</f>
        <v>1</v>
      </c>
      <c r="U1336" s="11">
        <f t="shared" ref="U1336:U1340" si="1259">P1336+T1336</f>
        <v>2</v>
      </c>
      <c r="V1336" s="98">
        <v>46121</v>
      </c>
      <c r="W1336" s="66"/>
    </row>
    <row r="1337" spans="1:23" x14ac:dyDescent="0.15">
      <c r="A1337" s="25"/>
      <c r="B1337" s="8"/>
      <c r="C1337" s="9"/>
      <c r="D1337" s="10"/>
      <c r="E1337" s="49">
        <f t="shared" si="1254"/>
        <v>0</v>
      </c>
      <c r="F1337" s="12"/>
      <c r="G1337" s="9"/>
      <c r="H1337" s="10"/>
      <c r="I1337" s="49">
        <f t="shared" si="1255"/>
        <v>0</v>
      </c>
      <c r="J1337" s="11">
        <f t="shared" si="1256"/>
        <v>0</v>
      </c>
      <c r="L1337" s="26" t="s">
        <v>996</v>
      </c>
      <c r="M1337" s="8">
        <v>1</v>
      </c>
      <c r="N1337" s="9"/>
      <c r="O1337" s="52"/>
      <c r="P1337" s="87">
        <f t="shared" si="1257"/>
        <v>1</v>
      </c>
      <c r="Q1337" s="12">
        <v>1</v>
      </c>
      <c r="R1337" s="9"/>
      <c r="S1337" s="10"/>
      <c r="T1337" s="49">
        <f t="shared" si="1258"/>
        <v>1</v>
      </c>
      <c r="U1337" s="11">
        <f t="shared" si="1259"/>
        <v>2</v>
      </c>
      <c r="V1337" s="98">
        <v>46136</v>
      </c>
    </row>
    <row r="1338" spans="1:23" x14ac:dyDescent="0.15">
      <c r="A1338" s="26"/>
      <c r="B1338" s="8"/>
      <c r="C1338" s="9"/>
      <c r="D1338" s="10"/>
      <c r="E1338" s="49">
        <f t="shared" si="1254"/>
        <v>0</v>
      </c>
      <c r="F1338" s="12"/>
      <c r="G1338" s="9"/>
      <c r="H1338" s="10"/>
      <c r="I1338" s="49">
        <f t="shared" si="1255"/>
        <v>0</v>
      </c>
      <c r="J1338" s="11">
        <f t="shared" si="1256"/>
        <v>0</v>
      </c>
      <c r="L1338" s="26" t="s">
        <v>997</v>
      </c>
      <c r="M1338" s="8"/>
      <c r="N1338" s="9"/>
      <c r="O1338" s="52">
        <v>1</v>
      </c>
      <c r="P1338" s="87">
        <f t="shared" si="1257"/>
        <v>1</v>
      </c>
      <c r="Q1338" s="12"/>
      <c r="R1338" s="9"/>
      <c r="S1338" s="10">
        <v>1</v>
      </c>
      <c r="T1338" s="49">
        <f t="shared" si="1258"/>
        <v>1</v>
      </c>
      <c r="U1338" s="11">
        <f t="shared" si="1259"/>
        <v>2</v>
      </c>
      <c r="V1338" s="98">
        <v>46140</v>
      </c>
    </row>
    <row r="1339" spans="1:23" x14ac:dyDescent="0.15">
      <c r="A1339" s="24"/>
      <c r="B1339" s="8"/>
      <c r="C1339" s="9"/>
      <c r="D1339" s="10"/>
      <c r="E1339" s="49">
        <f t="shared" si="1254"/>
        <v>0</v>
      </c>
      <c r="F1339" s="12"/>
      <c r="G1339" s="9"/>
      <c r="H1339" s="10"/>
      <c r="I1339" s="49">
        <f t="shared" si="1255"/>
        <v>0</v>
      </c>
      <c r="J1339" s="11">
        <f t="shared" si="1256"/>
        <v>0</v>
      </c>
      <c r="L1339" s="26" t="s">
        <v>1009</v>
      </c>
      <c r="M1339" s="8">
        <v>1</v>
      </c>
      <c r="N1339" s="9"/>
      <c r="O1339" s="52"/>
      <c r="P1339" s="87">
        <f t="shared" si="1257"/>
        <v>1</v>
      </c>
      <c r="Q1339" s="12">
        <v>1</v>
      </c>
      <c r="R1339" s="9"/>
      <c r="S1339" s="10"/>
      <c r="T1339" s="49">
        <f t="shared" si="1258"/>
        <v>1</v>
      </c>
      <c r="U1339" s="11">
        <f t="shared" si="1259"/>
        <v>2</v>
      </c>
      <c r="V1339" s="98">
        <v>46144</v>
      </c>
    </row>
    <row r="1340" spans="1:23" x14ac:dyDescent="0.15">
      <c r="B1340" s="13"/>
      <c r="C1340" s="14"/>
      <c r="D1340" s="15"/>
      <c r="E1340" s="49">
        <f t="shared" si="1254"/>
        <v>0</v>
      </c>
      <c r="F1340" s="16"/>
      <c r="G1340" s="14"/>
      <c r="H1340" s="15"/>
      <c r="I1340" s="49">
        <f t="shared" si="1255"/>
        <v>0</v>
      </c>
      <c r="J1340" s="11">
        <f t="shared" si="1256"/>
        <v>0</v>
      </c>
      <c r="L1340" s="26"/>
      <c r="M1340" s="8"/>
      <c r="N1340" s="9"/>
      <c r="O1340" s="52"/>
      <c r="P1340" s="87">
        <f t="shared" si="1257"/>
        <v>0</v>
      </c>
      <c r="Q1340" s="12"/>
      <c r="R1340" s="9"/>
      <c r="S1340" s="10"/>
      <c r="T1340" s="49">
        <f t="shared" si="1258"/>
        <v>0</v>
      </c>
      <c r="U1340" s="11">
        <f t="shared" si="1259"/>
        <v>0</v>
      </c>
    </row>
    <row r="1341" spans="1:23" x14ac:dyDescent="0.15">
      <c r="A1341" s="26"/>
      <c r="B1341" s="8"/>
      <c r="C1341" s="9"/>
      <c r="D1341" s="10"/>
      <c r="E1341" s="49">
        <f t="shared" si="1254"/>
        <v>0</v>
      </c>
      <c r="F1341" s="12"/>
      <c r="G1341" s="9"/>
      <c r="H1341" s="10"/>
      <c r="I1341" s="49">
        <f t="shared" si="1255"/>
        <v>0</v>
      </c>
      <c r="J1341" s="11">
        <f t="shared" si="1256"/>
        <v>0</v>
      </c>
      <c r="L1341" s="26"/>
      <c r="M1341" s="8"/>
      <c r="N1341" s="9"/>
      <c r="O1341" s="52"/>
      <c r="P1341" s="87">
        <f t="shared" ref="P1341:P1344" si="1260">SUM(M1341:O1341)</f>
        <v>0</v>
      </c>
      <c r="Q1341" s="12"/>
      <c r="R1341" s="9"/>
      <c r="S1341" s="10"/>
      <c r="T1341" s="49">
        <f t="shared" ref="T1341:T1344" si="1261">SUM(Q1341:S1341)</f>
        <v>0</v>
      </c>
      <c r="U1341" s="11">
        <f t="shared" ref="U1341:U1344" si="1262">P1341+T1341</f>
        <v>0</v>
      </c>
    </row>
    <row r="1342" spans="1:23" x14ac:dyDescent="0.15">
      <c r="A1342" s="26"/>
      <c r="B1342" s="8"/>
      <c r="C1342" s="9"/>
      <c r="D1342" s="10"/>
      <c r="E1342" s="49">
        <f t="shared" si="1254"/>
        <v>0</v>
      </c>
      <c r="F1342" s="12"/>
      <c r="G1342" s="9"/>
      <c r="H1342" s="10"/>
      <c r="I1342" s="49">
        <f t="shared" si="1255"/>
        <v>0</v>
      </c>
      <c r="J1342" s="11">
        <f t="shared" si="1256"/>
        <v>0</v>
      </c>
      <c r="L1342" s="26"/>
      <c r="M1342" s="8"/>
      <c r="N1342" s="9"/>
      <c r="O1342" s="52"/>
      <c r="P1342" s="87">
        <f t="shared" si="1260"/>
        <v>0</v>
      </c>
      <c r="Q1342" s="12"/>
      <c r="R1342" s="9"/>
      <c r="S1342" s="10"/>
      <c r="T1342" s="49">
        <f t="shared" si="1261"/>
        <v>0</v>
      </c>
      <c r="U1342" s="11">
        <f t="shared" si="1262"/>
        <v>0</v>
      </c>
    </row>
    <row r="1343" spans="1:23" x14ac:dyDescent="0.15">
      <c r="A1343" s="26"/>
      <c r="B1343" s="8"/>
      <c r="C1343" s="9"/>
      <c r="D1343" s="10"/>
      <c r="E1343" s="49">
        <f t="shared" si="1254"/>
        <v>0</v>
      </c>
      <c r="F1343" s="12"/>
      <c r="G1343" s="9"/>
      <c r="H1343" s="10"/>
      <c r="I1343" s="49">
        <f t="shared" si="1255"/>
        <v>0</v>
      </c>
      <c r="J1343" s="11">
        <f t="shared" si="1256"/>
        <v>0</v>
      </c>
      <c r="L1343" s="26"/>
      <c r="M1343" s="8"/>
      <c r="N1343" s="9"/>
      <c r="O1343" s="52"/>
      <c r="P1343" s="87">
        <f t="shared" si="1260"/>
        <v>0</v>
      </c>
      <c r="Q1343" s="12"/>
      <c r="R1343" s="9"/>
      <c r="S1343" s="10"/>
      <c r="T1343" s="49">
        <f t="shared" si="1261"/>
        <v>0</v>
      </c>
      <c r="U1343" s="11">
        <f t="shared" si="1262"/>
        <v>0</v>
      </c>
    </row>
    <row r="1344" spans="1:23" ht="14.25" thickBot="1" x14ac:dyDescent="0.2">
      <c r="A1344" s="26"/>
      <c r="B1344" s="8"/>
      <c r="C1344" s="9"/>
      <c r="D1344" s="10"/>
      <c r="E1344" s="49">
        <f t="shared" si="1254"/>
        <v>0</v>
      </c>
      <c r="F1344" s="12"/>
      <c r="G1344" s="9"/>
      <c r="H1344" s="10"/>
      <c r="I1344" s="49">
        <f t="shared" si="1255"/>
        <v>0</v>
      </c>
      <c r="J1344" s="11">
        <f t="shared" si="1256"/>
        <v>0</v>
      </c>
      <c r="L1344" s="26"/>
      <c r="M1344" s="8"/>
      <c r="N1344" s="9"/>
      <c r="O1344" s="52"/>
      <c r="P1344" s="87">
        <f t="shared" si="1260"/>
        <v>0</v>
      </c>
      <c r="Q1344" s="12"/>
      <c r="R1344" s="9"/>
      <c r="S1344" s="10"/>
      <c r="T1344" s="49">
        <f t="shared" si="1261"/>
        <v>0</v>
      </c>
      <c r="U1344" s="11">
        <f t="shared" si="1262"/>
        <v>0</v>
      </c>
    </row>
    <row r="1345" spans="1:22" ht="14.25" thickBot="1" x14ac:dyDescent="0.2">
      <c r="A1345" s="41" t="s">
        <v>17</v>
      </c>
      <c r="B1345" s="46">
        <f>SUM(B1319:B1344)</f>
        <v>2</v>
      </c>
      <c r="C1345" s="47">
        <f t="shared" ref="C1345:D1345" si="1263">SUM(C1319:C1344)</f>
        <v>2</v>
      </c>
      <c r="D1345" s="58">
        <f t="shared" si="1263"/>
        <v>1</v>
      </c>
      <c r="E1345" s="45">
        <f t="shared" si="1254"/>
        <v>5</v>
      </c>
      <c r="F1345" s="46">
        <f>SUM(F1319:F1344)</f>
        <v>2</v>
      </c>
      <c r="G1345" s="47">
        <f t="shared" ref="G1345:H1345" si="1264">SUM(G1319:G1344)</f>
        <v>2</v>
      </c>
      <c r="H1345" s="58">
        <f t="shared" si="1264"/>
        <v>1</v>
      </c>
      <c r="I1345" s="45">
        <f t="shared" si="1255"/>
        <v>5</v>
      </c>
      <c r="J1345" s="45">
        <f>E1345+I1345</f>
        <v>10</v>
      </c>
      <c r="L1345" s="41" t="s">
        <v>17</v>
      </c>
      <c r="M1345" s="46">
        <f>SUM(M1319:M1344)</f>
        <v>11</v>
      </c>
      <c r="N1345" s="47">
        <f t="shared" ref="N1345:O1345" si="1265">SUM(N1319:N1344)</f>
        <v>18</v>
      </c>
      <c r="O1345" s="58">
        <f t="shared" si="1265"/>
        <v>11</v>
      </c>
      <c r="P1345" s="45">
        <f t="shared" si="1257"/>
        <v>40</v>
      </c>
      <c r="Q1345" s="46">
        <f>SUM(Q1319:Q1344)</f>
        <v>11</v>
      </c>
      <c r="R1345" s="47">
        <f t="shared" ref="R1345:S1345" si="1266">SUM(R1319:R1344)</f>
        <v>18</v>
      </c>
      <c r="S1345" s="58">
        <f t="shared" si="1266"/>
        <v>11</v>
      </c>
      <c r="T1345" s="45">
        <f t="shared" si="1258"/>
        <v>40</v>
      </c>
      <c r="U1345" s="45">
        <f>P1345+T1345</f>
        <v>80</v>
      </c>
    </row>
    <row r="1346" spans="1:22" ht="14.25" thickBot="1" x14ac:dyDescent="0.2">
      <c r="A1346" s="22" t="s">
        <v>16</v>
      </c>
      <c r="B1346" s="50">
        <f>B1318-B1345</f>
        <v>2</v>
      </c>
      <c r="C1346" s="56">
        <f t="shared" ref="C1346:D1346" si="1267">C1318-C1345</f>
        <v>0</v>
      </c>
      <c r="D1346" s="57">
        <f t="shared" si="1267"/>
        <v>0</v>
      </c>
      <c r="E1346" s="55">
        <f>SUM(B1346:D1346)</f>
        <v>2</v>
      </c>
      <c r="F1346" s="50">
        <f>F1318-F1345</f>
        <v>2</v>
      </c>
      <c r="G1346" s="56">
        <f t="shared" ref="G1346:H1346" si="1268">G1318-G1345</f>
        <v>0</v>
      </c>
      <c r="H1346" s="57">
        <f t="shared" si="1268"/>
        <v>0</v>
      </c>
      <c r="I1346" s="55">
        <f>SUM(F1346:H1346)</f>
        <v>2</v>
      </c>
      <c r="J1346" s="31">
        <f>E1346+I1346</f>
        <v>4</v>
      </c>
      <c r="L1346" s="22" t="s">
        <v>16</v>
      </c>
      <c r="M1346" s="50">
        <f>M1318-M1345</f>
        <v>148</v>
      </c>
      <c r="N1346" s="56">
        <f t="shared" ref="N1346:O1346" si="1269">N1318-N1345</f>
        <v>182</v>
      </c>
      <c r="O1346" s="57">
        <f t="shared" si="1269"/>
        <v>142</v>
      </c>
      <c r="P1346" s="55">
        <f>SUM(M1346:O1346)</f>
        <v>472</v>
      </c>
      <c r="Q1346" s="50">
        <f>Q1318-Q1345</f>
        <v>148</v>
      </c>
      <c r="R1346" s="56">
        <f t="shared" ref="R1346:S1346" si="1270">R1318-R1345</f>
        <v>182</v>
      </c>
      <c r="S1346" s="57">
        <f t="shared" si="1270"/>
        <v>142</v>
      </c>
      <c r="T1346" s="55">
        <f>SUM(Q1346:S1346)</f>
        <v>472</v>
      </c>
      <c r="U1346" s="31">
        <f>P1346+T1346</f>
        <v>944</v>
      </c>
      <c r="V1346" s="153" t="s">
        <v>980</v>
      </c>
    </row>
    <row r="1348" spans="1:22" ht="33" customHeight="1" x14ac:dyDescent="0.15">
      <c r="A1348" s="181" t="s">
        <v>986</v>
      </c>
      <c r="B1348" s="181"/>
      <c r="C1348" s="181"/>
      <c r="D1348" s="181"/>
      <c r="E1348" s="181"/>
      <c r="F1348" s="181"/>
      <c r="G1348" s="181"/>
      <c r="H1348" s="181"/>
      <c r="I1348" s="181"/>
      <c r="J1348" s="181"/>
      <c r="K1348" s="181"/>
      <c r="L1348" s="181"/>
      <c r="M1348" s="181"/>
      <c r="N1348" s="181"/>
      <c r="O1348" s="181"/>
      <c r="P1348" s="181"/>
      <c r="Q1348" s="181"/>
      <c r="R1348" s="181"/>
      <c r="S1348" s="181"/>
      <c r="T1348" s="181"/>
      <c r="U1348" s="181"/>
    </row>
    <row r="1349" spans="1:22" ht="19.5" thickBot="1" x14ac:dyDescent="0.25">
      <c r="A1349" s="3" t="s">
        <v>677</v>
      </c>
      <c r="L1349" s="3" t="s">
        <v>993</v>
      </c>
    </row>
    <row r="1350" spans="1:22" ht="14.25" thickBot="1" x14ac:dyDescent="0.2">
      <c r="A1350" s="7"/>
      <c r="B1350" s="169" t="s">
        <v>22</v>
      </c>
      <c r="C1350" s="170"/>
      <c r="D1350" s="170"/>
      <c r="E1350" s="171"/>
      <c r="F1350" s="169" t="s">
        <v>23</v>
      </c>
      <c r="G1350" s="170"/>
      <c r="H1350" s="170"/>
      <c r="I1350" s="171"/>
      <c r="J1350" s="172" t="s">
        <v>0</v>
      </c>
      <c r="L1350" s="7"/>
      <c r="M1350" s="169" t="s">
        <v>22</v>
      </c>
      <c r="N1350" s="170"/>
      <c r="O1350" s="170"/>
      <c r="P1350" s="171"/>
      <c r="Q1350" s="169" t="s">
        <v>23</v>
      </c>
      <c r="R1350" s="170"/>
      <c r="S1350" s="170"/>
      <c r="T1350" s="171"/>
      <c r="U1350" s="172" t="s">
        <v>0</v>
      </c>
    </row>
    <row r="1351" spans="1:22" ht="14.25" thickBot="1" x14ac:dyDescent="0.2">
      <c r="A1351" s="7" t="s">
        <v>1</v>
      </c>
      <c r="B1351" s="4" t="s">
        <v>2</v>
      </c>
      <c r="C1351" s="5" t="s">
        <v>3</v>
      </c>
      <c r="D1351" s="6" t="s">
        <v>4</v>
      </c>
      <c r="E1351" s="7" t="s">
        <v>5</v>
      </c>
      <c r="F1351" s="4" t="s">
        <v>2</v>
      </c>
      <c r="G1351" s="5" t="s">
        <v>3</v>
      </c>
      <c r="H1351" s="6" t="s">
        <v>4</v>
      </c>
      <c r="I1351" s="7" t="s">
        <v>5</v>
      </c>
      <c r="J1351" s="173"/>
      <c r="L1351" s="7" t="s">
        <v>1</v>
      </c>
      <c r="M1351" s="4" t="s">
        <v>2</v>
      </c>
      <c r="N1351" s="5" t="s">
        <v>3</v>
      </c>
      <c r="O1351" s="6" t="s">
        <v>4</v>
      </c>
      <c r="P1351" s="7" t="s">
        <v>5</v>
      </c>
      <c r="Q1351" s="4" t="s">
        <v>2</v>
      </c>
      <c r="R1351" s="5" t="s">
        <v>3</v>
      </c>
      <c r="S1351" s="6" t="s">
        <v>4</v>
      </c>
      <c r="T1351" s="7" t="s">
        <v>5</v>
      </c>
      <c r="U1351" s="173"/>
    </row>
    <row r="1352" spans="1:22" ht="14.25" thickBot="1" x14ac:dyDescent="0.2">
      <c r="A1352" s="140" t="s">
        <v>16</v>
      </c>
      <c r="B1352" s="28">
        <f>B1346</f>
        <v>2</v>
      </c>
      <c r="C1352" s="126">
        <f t="shared" ref="C1352:E1352" si="1271">C1346</f>
        <v>0</v>
      </c>
      <c r="D1352" s="127">
        <f t="shared" si="1271"/>
        <v>0</v>
      </c>
      <c r="E1352" s="28">
        <f t="shared" si="1271"/>
        <v>2</v>
      </c>
      <c r="F1352" s="126">
        <f>F1346</f>
        <v>2</v>
      </c>
      <c r="G1352" s="126">
        <f t="shared" ref="G1352:J1352" si="1272">G1346</f>
        <v>0</v>
      </c>
      <c r="H1352" s="127">
        <f t="shared" si="1272"/>
        <v>0</v>
      </c>
      <c r="I1352" s="28">
        <f t="shared" si="1272"/>
        <v>2</v>
      </c>
      <c r="J1352" s="28">
        <f t="shared" si="1272"/>
        <v>4</v>
      </c>
      <c r="L1352" s="128" t="s">
        <v>16</v>
      </c>
      <c r="M1352" s="126">
        <f>M1346</f>
        <v>148</v>
      </c>
      <c r="N1352" s="126">
        <f t="shared" ref="N1352:P1352" si="1273">N1346</f>
        <v>182</v>
      </c>
      <c r="O1352" s="127">
        <f t="shared" si="1273"/>
        <v>142</v>
      </c>
      <c r="P1352" s="31">
        <f t="shared" si="1273"/>
        <v>472</v>
      </c>
      <c r="Q1352" s="126">
        <f>Q1346</f>
        <v>148</v>
      </c>
      <c r="R1352" s="126">
        <f t="shared" ref="R1352:U1352" si="1274">R1346</f>
        <v>182</v>
      </c>
      <c r="S1352" s="127">
        <f t="shared" si="1274"/>
        <v>142</v>
      </c>
      <c r="T1352" s="31">
        <f t="shared" si="1274"/>
        <v>472</v>
      </c>
      <c r="U1352" s="28">
        <f t="shared" si="1274"/>
        <v>944</v>
      </c>
    </row>
    <row r="1353" spans="1:22" x14ac:dyDescent="0.15">
      <c r="A1353" s="25" t="s">
        <v>7</v>
      </c>
      <c r="B1353" s="8"/>
      <c r="C1353" s="9"/>
      <c r="D1353" s="52"/>
      <c r="E1353" s="11">
        <f t="shared" ref="E1353:E1354" si="1275">SUM(B1353:D1353)</f>
        <v>0</v>
      </c>
      <c r="F1353" s="12"/>
      <c r="G1353" s="9"/>
      <c r="H1353" s="10"/>
      <c r="I1353" s="11">
        <f t="shared" ref="I1353:I1354" si="1276">SUM(F1353:H1353)</f>
        <v>0</v>
      </c>
      <c r="J1353" s="11">
        <f t="shared" ref="J1353:J1354" si="1277">E1353+I1353</f>
        <v>0</v>
      </c>
      <c r="L1353" s="25" t="s">
        <v>7</v>
      </c>
      <c r="M1353" s="17"/>
      <c r="N1353" s="18"/>
      <c r="O1353" s="51"/>
      <c r="P1353" s="49">
        <f t="shared" ref="P1353" si="1278">SUM(M1353:O1353)</f>
        <v>0</v>
      </c>
      <c r="Q1353" s="17"/>
      <c r="R1353" s="18"/>
      <c r="S1353" s="51"/>
      <c r="T1353" s="49">
        <f t="shared" ref="T1353" si="1279">SUM(Q1353:S1353)</f>
        <v>0</v>
      </c>
      <c r="U1353" s="11">
        <f t="shared" ref="U1353" si="1280">P1353+T1353</f>
        <v>0</v>
      </c>
    </row>
    <row r="1354" spans="1:22" x14ac:dyDescent="0.15">
      <c r="A1354" s="25" t="s">
        <v>8</v>
      </c>
      <c r="B1354" s="8"/>
      <c r="C1354" s="9"/>
      <c r="D1354" s="52"/>
      <c r="E1354" s="11">
        <f t="shared" si="1275"/>
        <v>0</v>
      </c>
      <c r="F1354" s="12"/>
      <c r="G1354" s="9"/>
      <c r="H1354" s="10"/>
      <c r="I1354" s="11">
        <f t="shared" si="1276"/>
        <v>0</v>
      </c>
      <c r="J1354" s="11">
        <f t="shared" si="1277"/>
        <v>0</v>
      </c>
      <c r="L1354" s="85" t="s">
        <v>999</v>
      </c>
      <c r="M1354" s="164">
        <v>150</v>
      </c>
      <c r="N1354" s="165">
        <v>150</v>
      </c>
      <c r="O1354" s="166">
        <v>50</v>
      </c>
      <c r="P1354" s="167">
        <f t="shared" ref="P1354:P1360" si="1281">SUM(M1354:O1354)</f>
        <v>350</v>
      </c>
      <c r="Q1354" s="164">
        <v>150</v>
      </c>
      <c r="R1354" s="165">
        <v>150</v>
      </c>
      <c r="S1354" s="166">
        <v>50</v>
      </c>
      <c r="T1354" s="167">
        <f t="shared" ref="T1354:T1360" si="1282">SUM(Q1354:S1354)</f>
        <v>350</v>
      </c>
      <c r="U1354" s="72">
        <f t="shared" ref="U1354:U1360" si="1283">P1354+T1354</f>
        <v>700</v>
      </c>
      <c r="V1354" s="121">
        <v>46296</v>
      </c>
    </row>
    <row r="1355" spans="1:22" x14ac:dyDescent="0.15">
      <c r="A1355" s="25" t="s">
        <v>9</v>
      </c>
      <c r="B1355" s="8"/>
      <c r="C1355" s="9"/>
      <c r="D1355" s="52"/>
      <c r="E1355" s="11">
        <f t="shared" ref="E1355:E1360" si="1284">SUM(B1355:D1355)</f>
        <v>0</v>
      </c>
      <c r="F1355" s="12"/>
      <c r="G1355" s="9"/>
      <c r="H1355" s="10"/>
      <c r="I1355" s="11">
        <f t="shared" ref="I1355:I1360" si="1285">SUM(F1355:H1355)</f>
        <v>0</v>
      </c>
      <c r="J1355" s="11">
        <f t="shared" ref="J1355:J1360" si="1286">E1355+I1355</f>
        <v>0</v>
      </c>
      <c r="L1355" s="85" t="s">
        <v>1000</v>
      </c>
      <c r="M1355" s="164">
        <v>200</v>
      </c>
      <c r="N1355" s="165">
        <v>200</v>
      </c>
      <c r="O1355" s="166">
        <v>100</v>
      </c>
      <c r="P1355" s="167">
        <f t="shared" si="1281"/>
        <v>500</v>
      </c>
      <c r="Q1355" s="164">
        <v>200</v>
      </c>
      <c r="R1355" s="165">
        <v>200</v>
      </c>
      <c r="S1355" s="166">
        <v>100</v>
      </c>
      <c r="T1355" s="167">
        <f t="shared" si="1282"/>
        <v>500</v>
      </c>
      <c r="U1355" s="72">
        <f t="shared" si="1283"/>
        <v>1000</v>
      </c>
      <c r="V1355" s="121">
        <v>46357</v>
      </c>
    </row>
    <row r="1356" spans="1:22" x14ac:dyDescent="0.15">
      <c r="A1356" s="25" t="s">
        <v>10</v>
      </c>
      <c r="B1356" s="8"/>
      <c r="C1356" s="9"/>
      <c r="D1356" s="52"/>
      <c r="E1356" s="11">
        <f t="shared" si="1284"/>
        <v>0</v>
      </c>
      <c r="F1356" s="12"/>
      <c r="G1356" s="9"/>
      <c r="H1356" s="10"/>
      <c r="I1356" s="11">
        <f t="shared" si="1285"/>
        <v>0</v>
      </c>
      <c r="J1356" s="11">
        <f t="shared" si="1286"/>
        <v>0</v>
      </c>
      <c r="L1356" s="85" t="s">
        <v>1001</v>
      </c>
      <c r="M1356" s="164">
        <v>140</v>
      </c>
      <c r="N1356" s="165">
        <v>160</v>
      </c>
      <c r="O1356" s="166">
        <v>90</v>
      </c>
      <c r="P1356" s="167">
        <f t="shared" ref="P1356" si="1287">SUM(M1356:O1356)</f>
        <v>390</v>
      </c>
      <c r="Q1356" s="164">
        <v>140</v>
      </c>
      <c r="R1356" s="165">
        <v>160</v>
      </c>
      <c r="S1356" s="166">
        <v>90</v>
      </c>
      <c r="T1356" s="167">
        <f t="shared" ref="T1356" si="1288">SUM(Q1356:S1356)</f>
        <v>390</v>
      </c>
      <c r="U1356" s="72">
        <f t="shared" ref="U1356" si="1289">P1356+T1356</f>
        <v>780</v>
      </c>
      <c r="V1356" s="101" t="s">
        <v>1002</v>
      </c>
    </row>
    <row r="1357" spans="1:22" x14ac:dyDescent="0.15">
      <c r="A1357" s="25" t="s">
        <v>11</v>
      </c>
      <c r="B1357" s="8"/>
      <c r="C1357" s="9"/>
      <c r="D1357" s="52"/>
      <c r="E1357" s="11">
        <f t="shared" si="1284"/>
        <v>0</v>
      </c>
      <c r="F1357" s="12"/>
      <c r="G1357" s="9"/>
      <c r="H1357" s="10"/>
      <c r="I1357" s="11">
        <f t="shared" si="1285"/>
        <v>0</v>
      </c>
      <c r="J1357" s="11">
        <f t="shared" si="1286"/>
        <v>0</v>
      </c>
      <c r="L1357" s="25" t="s">
        <v>11</v>
      </c>
      <c r="M1357" s="17"/>
      <c r="N1357" s="18"/>
      <c r="O1357" s="51"/>
      <c r="P1357" s="49">
        <f t="shared" si="1281"/>
        <v>0</v>
      </c>
      <c r="Q1357" s="17"/>
      <c r="R1357" s="18"/>
      <c r="S1357" s="51"/>
      <c r="T1357" s="49">
        <f t="shared" si="1282"/>
        <v>0</v>
      </c>
      <c r="U1357" s="11">
        <f t="shared" si="1283"/>
        <v>0</v>
      </c>
    </row>
    <row r="1358" spans="1:22" x14ac:dyDescent="0.15">
      <c r="A1358" s="25" t="s">
        <v>12</v>
      </c>
      <c r="B1358" s="8"/>
      <c r="C1358" s="9"/>
      <c r="D1358" s="52"/>
      <c r="E1358" s="11">
        <f t="shared" si="1284"/>
        <v>0</v>
      </c>
      <c r="F1358" s="12"/>
      <c r="G1358" s="9"/>
      <c r="H1358" s="10"/>
      <c r="I1358" s="11">
        <f t="shared" si="1285"/>
        <v>0</v>
      </c>
      <c r="J1358" s="11">
        <f t="shared" si="1286"/>
        <v>0</v>
      </c>
      <c r="L1358" s="25" t="s">
        <v>12</v>
      </c>
      <c r="M1358" s="17"/>
      <c r="N1358" s="18"/>
      <c r="O1358" s="51"/>
      <c r="P1358" s="49">
        <f t="shared" si="1281"/>
        <v>0</v>
      </c>
      <c r="Q1358" s="17"/>
      <c r="R1358" s="18"/>
      <c r="S1358" s="51"/>
      <c r="T1358" s="49">
        <f t="shared" si="1282"/>
        <v>0</v>
      </c>
      <c r="U1358" s="11">
        <f t="shared" si="1283"/>
        <v>0</v>
      </c>
    </row>
    <row r="1359" spans="1:22" x14ac:dyDescent="0.15">
      <c r="A1359" s="25" t="s">
        <v>13</v>
      </c>
      <c r="B1359" s="13"/>
      <c r="C1359" s="14"/>
      <c r="D1359" s="53"/>
      <c r="E1359" s="11">
        <f t="shared" si="1284"/>
        <v>0</v>
      </c>
      <c r="F1359" s="16"/>
      <c r="G1359" s="14"/>
      <c r="H1359" s="15"/>
      <c r="I1359" s="11">
        <f t="shared" si="1285"/>
        <v>0</v>
      </c>
      <c r="J1359" s="11">
        <f t="shared" si="1286"/>
        <v>0</v>
      </c>
      <c r="L1359" s="25" t="s">
        <v>13</v>
      </c>
      <c r="M1359" s="17"/>
      <c r="N1359" s="18"/>
      <c r="O1359" s="51"/>
      <c r="P1359" s="49">
        <f t="shared" si="1281"/>
        <v>0</v>
      </c>
      <c r="Q1359" s="17"/>
      <c r="R1359" s="18"/>
      <c r="S1359" s="51"/>
      <c r="T1359" s="49">
        <f t="shared" si="1282"/>
        <v>0</v>
      </c>
      <c r="U1359" s="11">
        <f t="shared" si="1283"/>
        <v>0</v>
      </c>
    </row>
    <row r="1360" spans="1:22" ht="14.25" thickBot="1" x14ac:dyDescent="0.2">
      <c r="A1360" s="25" t="s">
        <v>14</v>
      </c>
      <c r="B1360" s="32"/>
      <c r="C1360" s="33"/>
      <c r="D1360" s="54"/>
      <c r="E1360" s="61">
        <f t="shared" si="1284"/>
        <v>0</v>
      </c>
      <c r="F1360" s="34"/>
      <c r="G1360" s="34"/>
      <c r="H1360" s="37"/>
      <c r="I1360" s="61">
        <f t="shared" si="1285"/>
        <v>0</v>
      </c>
      <c r="J1360" s="21">
        <f t="shared" si="1286"/>
        <v>0</v>
      </c>
      <c r="L1360" s="25" t="s">
        <v>14</v>
      </c>
      <c r="M1360" s="32"/>
      <c r="N1360" s="33"/>
      <c r="O1360" s="54"/>
      <c r="P1360" s="61">
        <f t="shared" si="1281"/>
        <v>0</v>
      </c>
      <c r="Q1360" s="34"/>
      <c r="R1360" s="34"/>
      <c r="S1360" s="37"/>
      <c r="T1360" s="61">
        <f t="shared" si="1282"/>
        <v>0</v>
      </c>
      <c r="U1360" s="21">
        <f t="shared" si="1283"/>
        <v>0</v>
      </c>
    </row>
    <row r="1361" spans="1:21" ht="14.25" thickBot="1" x14ac:dyDescent="0.2">
      <c r="A1361" s="35" t="s">
        <v>15</v>
      </c>
      <c r="B1361" s="28">
        <f>SUM(B1352:B1360)</f>
        <v>2</v>
      </c>
      <c r="C1361" s="29">
        <f>SUM(C1352:C1360)</f>
        <v>0</v>
      </c>
      <c r="D1361" s="30">
        <f>SUM(D1352:D1360)</f>
        <v>0</v>
      </c>
      <c r="E1361" s="31">
        <f>SUM(B1361:D1361)</f>
        <v>2</v>
      </c>
      <c r="F1361" s="28">
        <f>SUM(F1352:F1360)</f>
        <v>2</v>
      </c>
      <c r="G1361" s="29">
        <f>SUM(G1352:G1360)</f>
        <v>0</v>
      </c>
      <c r="H1361" s="30">
        <f>SUM(H1352:H1360)</f>
        <v>0</v>
      </c>
      <c r="I1361" s="31">
        <f>SUM(F1361:H1361)</f>
        <v>2</v>
      </c>
      <c r="J1361" s="31">
        <f>E1361+I1361</f>
        <v>4</v>
      </c>
      <c r="L1361" s="35" t="s">
        <v>15</v>
      </c>
      <c r="M1361" s="28">
        <f>SUM(M1352:M1360)</f>
        <v>638</v>
      </c>
      <c r="N1361" s="29">
        <f>SUM(N1352:N1360)</f>
        <v>692</v>
      </c>
      <c r="O1361" s="30">
        <f>SUM(O1352:O1360)</f>
        <v>382</v>
      </c>
      <c r="P1361" s="31">
        <f>SUM(M1361:O1361)</f>
        <v>1712</v>
      </c>
      <c r="Q1361" s="28">
        <f>SUM(Q1352:Q1360)</f>
        <v>638</v>
      </c>
      <c r="R1361" s="29">
        <f>SUM(R1352:R1360)</f>
        <v>692</v>
      </c>
      <c r="S1361" s="30">
        <f>SUM(S1352:S1360)</f>
        <v>382</v>
      </c>
      <c r="T1361" s="31">
        <f>SUM(Q1361:S1361)</f>
        <v>1712</v>
      </c>
      <c r="U1361" s="31">
        <f>P1361+T1361</f>
        <v>3424</v>
      </c>
    </row>
    <row r="1362" spans="1:21" x14ac:dyDescent="0.15">
      <c r="A1362" s="26" t="s">
        <v>995</v>
      </c>
      <c r="B1362" s="13">
        <v>1</v>
      </c>
      <c r="C1362" s="14"/>
      <c r="D1362" s="15"/>
      <c r="E1362" s="49">
        <f t="shared" ref="E1362:E1364" si="1290">SUM(B1362:D1362)</f>
        <v>1</v>
      </c>
      <c r="F1362" s="16">
        <v>1</v>
      </c>
      <c r="G1362" s="14"/>
      <c r="H1362" s="15"/>
      <c r="I1362" s="49">
        <f t="shared" ref="I1362:I1364" si="1291">SUM(F1362:H1362)</f>
        <v>1</v>
      </c>
      <c r="J1362" s="11">
        <f t="shared" ref="J1362:J1364" si="1292">E1362+I1362</f>
        <v>2</v>
      </c>
      <c r="K1362" s="64">
        <v>46121</v>
      </c>
      <c r="L1362" s="26"/>
      <c r="M1362" s="8"/>
      <c r="N1362" s="9"/>
      <c r="O1362" s="52"/>
      <c r="P1362" s="87">
        <f t="shared" ref="P1362:P1375" si="1293">SUM(M1362:O1362)</f>
        <v>0</v>
      </c>
      <c r="Q1362" s="12"/>
      <c r="R1362" s="9"/>
      <c r="S1362" s="10"/>
      <c r="T1362" s="49">
        <f t="shared" ref="T1362:T1375" si="1294">SUM(Q1362:S1362)</f>
        <v>0</v>
      </c>
      <c r="U1362" s="11">
        <f t="shared" ref="U1362:U1375" si="1295">P1362+T1362</f>
        <v>0</v>
      </c>
    </row>
    <row r="1363" spans="1:21" x14ac:dyDescent="0.15">
      <c r="A1363" s="26" t="s">
        <v>998</v>
      </c>
      <c r="B1363" s="13">
        <v>1</v>
      </c>
      <c r="C1363" s="14"/>
      <c r="D1363" s="15"/>
      <c r="E1363" s="49">
        <f t="shared" si="1290"/>
        <v>1</v>
      </c>
      <c r="F1363" s="16">
        <v>1</v>
      </c>
      <c r="G1363" s="14"/>
      <c r="H1363" s="15"/>
      <c r="I1363" s="49">
        <f t="shared" si="1291"/>
        <v>1</v>
      </c>
      <c r="J1363" s="11">
        <f t="shared" si="1292"/>
        <v>2</v>
      </c>
      <c r="K1363" s="64">
        <v>46150</v>
      </c>
      <c r="L1363" s="26"/>
      <c r="M1363" s="8"/>
      <c r="N1363" s="9"/>
      <c r="O1363" s="52"/>
      <c r="P1363" s="87">
        <f t="shared" si="1293"/>
        <v>0</v>
      </c>
      <c r="Q1363" s="12"/>
      <c r="R1363" s="9"/>
      <c r="S1363" s="10"/>
      <c r="T1363" s="49">
        <f t="shared" si="1294"/>
        <v>0</v>
      </c>
      <c r="U1363" s="11">
        <f t="shared" si="1295"/>
        <v>0</v>
      </c>
    </row>
    <row r="1364" spans="1:21" x14ac:dyDescent="0.15">
      <c r="A1364" s="26"/>
      <c r="B1364" s="13"/>
      <c r="C1364" s="14"/>
      <c r="D1364" s="15"/>
      <c r="E1364" s="49">
        <f t="shared" si="1290"/>
        <v>0</v>
      </c>
      <c r="F1364" s="16"/>
      <c r="G1364" s="14"/>
      <c r="H1364" s="15"/>
      <c r="I1364" s="49">
        <f t="shared" si="1291"/>
        <v>0</v>
      </c>
      <c r="J1364" s="11">
        <f t="shared" si="1292"/>
        <v>0</v>
      </c>
      <c r="L1364" s="26"/>
      <c r="M1364" s="8"/>
      <c r="N1364" s="9"/>
      <c r="O1364" s="52"/>
      <c r="P1364" s="87">
        <f t="shared" si="1293"/>
        <v>0</v>
      </c>
      <c r="Q1364" s="12"/>
      <c r="R1364" s="9"/>
      <c r="S1364" s="10"/>
      <c r="T1364" s="49">
        <f t="shared" si="1294"/>
        <v>0</v>
      </c>
      <c r="U1364" s="11">
        <f t="shared" si="1295"/>
        <v>0</v>
      </c>
    </row>
    <row r="1365" spans="1:21" x14ac:dyDescent="0.15">
      <c r="A1365" s="26"/>
      <c r="B1365" s="13"/>
      <c r="C1365" s="14"/>
      <c r="D1365" s="15"/>
      <c r="E1365" s="49">
        <f>SUM(B1365:D1365)</f>
        <v>0</v>
      </c>
      <c r="F1365" s="16"/>
      <c r="G1365" s="14"/>
      <c r="H1365" s="15"/>
      <c r="I1365" s="49">
        <f>SUM(F1365:H1365)</f>
        <v>0</v>
      </c>
      <c r="J1365" s="11">
        <f>E1365+I1365</f>
        <v>0</v>
      </c>
      <c r="L1365" s="26"/>
      <c r="M1365" s="8"/>
      <c r="N1365" s="9"/>
      <c r="O1365" s="52"/>
      <c r="P1365" s="87">
        <f t="shared" si="1293"/>
        <v>0</v>
      </c>
      <c r="Q1365" s="12"/>
      <c r="R1365" s="9"/>
      <c r="S1365" s="10"/>
      <c r="T1365" s="49">
        <f t="shared" si="1294"/>
        <v>0</v>
      </c>
      <c r="U1365" s="11">
        <f t="shared" si="1295"/>
        <v>0</v>
      </c>
    </row>
    <row r="1366" spans="1:21" x14ac:dyDescent="0.15">
      <c r="A1366" s="26"/>
      <c r="B1366" s="8"/>
      <c r="C1366" s="9"/>
      <c r="D1366" s="10"/>
      <c r="E1366" s="49">
        <f t="shared" ref="E1366:E1388" si="1296">SUM(B1366:D1366)</f>
        <v>0</v>
      </c>
      <c r="F1366" s="12"/>
      <c r="G1366" s="9"/>
      <c r="H1366" s="10"/>
      <c r="I1366" s="49">
        <f t="shared" ref="I1366:I1388" si="1297">SUM(F1366:H1366)</f>
        <v>0</v>
      </c>
      <c r="J1366" s="11">
        <f t="shared" ref="J1366:J1387" si="1298">E1366+I1366</f>
        <v>0</v>
      </c>
      <c r="L1366" s="26"/>
      <c r="M1366" s="8"/>
      <c r="N1366" s="9"/>
      <c r="O1366" s="52"/>
      <c r="P1366" s="87">
        <f t="shared" si="1293"/>
        <v>0</v>
      </c>
      <c r="Q1366" s="12"/>
      <c r="R1366" s="9"/>
      <c r="S1366" s="10"/>
      <c r="T1366" s="49">
        <f t="shared" si="1294"/>
        <v>0</v>
      </c>
      <c r="U1366" s="11">
        <f t="shared" si="1295"/>
        <v>0</v>
      </c>
    </row>
    <row r="1367" spans="1:21" x14ac:dyDescent="0.15">
      <c r="A1367" s="26"/>
      <c r="B1367" s="8"/>
      <c r="C1367" s="9"/>
      <c r="D1367" s="10"/>
      <c r="E1367" s="49">
        <f t="shared" si="1296"/>
        <v>0</v>
      </c>
      <c r="F1367" s="12"/>
      <c r="G1367" s="9"/>
      <c r="H1367" s="10"/>
      <c r="I1367" s="49">
        <f t="shared" si="1297"/>
        <v>0</v>
      </c>
      <c r="J1367" s="11">
        <f t="shared" si="1298"/>
        <v>0</v>
      </c>
      <c r="L1367" s="26"/>
      <c r="M1367" s="8"/>
      <c r="N1367" s="9"/>
      <c r="O1367" s="52"/>
      <c r="P1367" s="87">
        <f t="shared" si="1293"/>
        <v>0</v>
      </c>
      <c r="Q1367" s="12"/>
      <c r="R1367" s="9"/>
      <c r="S1367" s="10"/>
      <c r="T1367" s="49">
        <f t="shared" si="1294"/>
        <v>0</v>
      </c>
      <c r="U1367" s="11">
        <f t="shared" si="1295"/>
        <v>0</v>
      </c>
    </row>
    <row r="1368" spans="1:21" x14ac:dyDescent="0.15">
      <c r="A1368" s="26"/>
      <c r="B1368" s="8"/>
      <c r="C1368" s="9"/>
      <c r="D1368" s="10"/>
      <c r="E1368" s="49">
        <f t="shared" si="1296"/>
        <v>0</v>
      </c>
      <c r="F1368" s="12"/>
      <c r="G1368" s="9"/>
      <c r="H1368" s="10"/>
      <c r="I1368" s="49">
        <f t="shared" si="1297"/>
        <v>0</v>
      </c>
      <c r="J1368" s="11">
        <f t="shared" si="1298"/>
        <v>0</v>
      </c>
      <c r="L1368" s="26"/>
      <c r="M1368" s="8"/>
      <c r="N1368" s="9"/>
      <c r="O1368" s="52"/>
      <c r="P1368" s="87">
        <f t="shared" si="1293"/>
        <v>0</v>
      </c>
      <c r="Q1368" s="12"/>
      <c r="R1368" s="9"/>
      <c r="S1368" s="10"/>
      <c r="T1368" s="49">
        <f t="shared" si="1294"/>
        <v>0</v>
      </c>
      <c r="U1368" s="11">
        <f t="shared" si="1295"/>
        <v>0</v>
      </c>
    </row>
    <row r="1369" spans="1:21" x14ac:dyDescent="0.15">
      <c r="A1369" s="26"/>
      <c r="B1369" s="8"/>
      <c r="C1369" s="9"/>
      <c r="D1369" s="10"/>
      <c r="E1369" s="49">
        <f t="shared" si="1296"/>
        <v>0</v>
      </c>
      <c r="F1369" s="12"/>
      <c r="G1369" s="9"/>
      <c r="H1369" s="10"/>
      <c r="I1369" s="49">
        <f t="shared" si="1297"/>
        <v>0</v>
      </c>
      <c r="J1369" s="11">
        <f t="shared" si="1298"/>
        <v>0</v>
      </c>
      <c r="L1369" s="26"/>
      <c r="M1369" s="8"/>
      <c r="N1369" s="9"/>
      <c r="O1369" s="52"/>
      <c r="P1369" s="87">
        <f t="shared" si="1293"/>
        <v>0</v>
      </c>
      <c r="Q1369" s="12"/>
      <c r="R1369" s="9"/>
      <c r="S1369" s="10"/>
      <c r="T1369" s="49">
        <f t="shared" si="1294"/>
        <v>0</v>
      </c>
      <c r="U1369" s="11">
        <f t="shared" si="1295"/>
        <v>0</v>
      </c>
    </row>
    <row r="1370" spans="1:21" x14ac:dyDescent="0.15">
      <c r="A1370" s="26"/>
      <c r="B1370" s="8"/>
      <c r="C1370" s="9"/>
      <c r="D1370" s="10"/>
      <c r="E1370" s="49">
        <f t="shared" si="1296"/>
        <v>0</v>
      </c>
      <c r="F1370" s="12"/>
      <c r="G1370" s="9"/>
      <c r="H1370" s="10"/>
      <c r="I1370" s="49">
        <f t="shared" si="1297"/>
        <v>0</v>
      </c>
      <c r="J1370" s="11">
        <f t="shared" si="1298"/>
        <v>0</v>
      </c>
      <c r="L1370" s="26"/>
      <c r="M1370" s="8"/>
      <c r="N1370" s="9"/>
      <c r="O1370" s="52"/>
      <c r="P1370" s="87">
        <f t="shared" si="1293"/>
        <v>0</v>
      </c>
      <c r="Q1370" s="12"/>
      <c r="R1370" s="9"/>
      <c r="S1370" s="10"/>
      <c r="T1370" s="49">
        <f t="shared" si="1294"/>
        <v>0</v>
      </c>
      <c r="U1370" s="11">
        <f t="shared" si="1295"/>
        <v>0</v>
      </c>
    </row>
    <row r="1371" spans="1:21" x14ac:dyDescent="0.15">
      <c r="A1371" s="26"/>
      <c r="B1371" s="13"/>
      <c r="C1371" s="14"/>
      <c r="D1371" s="15"/>
      <c r="E1371" s="49">
        <f t="shared" si="1296"/>
        <v>0</v>
      </c>
      <c r="F1371" s="16"/>
      <c r="G1371" s="14"/>
      <c r="H1371" s="15"/>
      <c r="I1371" s="49">
        <f t="shared" si="1297"/>
        <v>0</v>
      </c>
      <c r="J1371" s="11">
        <f t="shared" si="1298"/>
        <v>0</v>
      </c>
      <c r="L1371" s="26"/>
      <c r="M1371" s="8"/>
      <c r="N1371" s="9"/>
      <c r="O1371" s="52"/>
      <c r="P1371" s="87">
        <f t="shared" si="1293"/>
        <v>0</v>
      </c>
      <c r="Q1371" s="12"/>
      <c r="R1371" s="9"/>
      <c r="S1371" s="10"/>
      <c r="T1371" s="49">
        <f t="shared" si="1294"/>
        <v>0</v>
      </c>
      <c r="U1371" s="11">
        <f t="shared" si="1295"/>
        <v>0</v>
      </c>
    </row>
    <row r="1372" spans="1:21" x14ac:dyDescent="0.15">
      <c r="A1372" s="26"/>
      <c r="B1372" s="8"/>
      <c r="C1372" s="9"/>
      <c r="D1372" s="10"/>
      <c r="E1372" s="49">
        <f t="shared" si="1296"/>
        <v>0</v>
      </c>
      <c r="F1372" s="12"/>
      <c r="G1372" s="9"/>
      <c r="H1372" s="10"/>
      <c r="I1372" s="49">
        <f t="shared" si="1297"/>
        <v>0</v>
      </c>
      <c r="J1372" s="11">
        <f t="shared" si="1298"/>
        <v>0</v>
      </c>
      <c r="L1372" s="26"/>
      <c r="M1372" s="8"/>
      <c r="N1372" s="9"/>
      <c r="O1372" s="52"/>
      <c r="P1372" s="87">
        <f t="shared" si="1293"/>
        <v>0</v>
      </c>
      <c r="Q1372" s="12"/>
      <c r="R1372" s="9"/>
      <c r="S1372" s="10"/>
      <c r="T1372" s="49">
        <f t="shared" si="1294"/>
        <v>0</v>
      </c>
      <c r="U1372" s="11">
        <f t="shared" si="1295"/>
        <v>0</v>
      </c>
    </row>
    <row r="1373" spans="1:21" x14ac:dyDescent="0.15">
      <c r="A1373" s="26"/>
      <c r="B1373" s="8"/>
      <c r="C1373" s="9"/>
      <c r="D1373" s="10"/>
      <c r="E1373" s="49">
        <f t="shared" si="1296"/>
        <v>0</v>
      </c>
      <c r="F1373" s="12"/>
      <c r="G1373" s="9"/>
      <c r="H1373" s="10"/>
      <c r="I1373" s="49">
        <f t="shared" si="1297"/>
        <v>0</v>
      </c>
      <c r="J1373" s="11">
        <f t="shared" si="1298"/>
        <v>0</v>
      </c>
      <c r="L1373" s="26"/>
      <c r="M1373" s="8"/>
      <c r="N1373" s="9"/>
      <c r="O1373" s="52"/>
      <c r="P1373" s="87">
        <f t="shared" si="1293"/>
        <v>0</v>
      </c>
      <c r="Q1373" s="12"/>
      <c r="R1373" s="9"/>
      <c r="S1373" s="10"/>
      <c r="T1373" s="49">
        <f t="shared" si="1294"/>
        <v>0</v>
      </c>
      <c r="U1373" s="11">
        <f t="shared" si="1295"/>
        <v>0</v>
      </c>
    </row>
    <row r="1374" spans="1:21" x14ac:dyDescent="0.15">
      <c r="A1374" s="26"/>
      <c r="B1374" s="8"/>
      <c r="C1374" s="9"/>
      <c r="D1374" s="10"/>
      <c r="E1374" s="49">
        <f t="shared" si="1296"/>
        <v>0</v>
      </c>
      <c r="F1374" s="12"/>
      <c r="G1374" s="9"/>
      <c r="H1374" s="10"/>
      <c r="I1374" s="49">
        <f t="shared" si="1297"/>
        <v>0</v>
      </c>
      <c r="J1374" s="11">
        <f t="shared" si="1298"/>
        <v>0</v>
      </c>
      <c r="L1374" s="26"/>
      <c r="M1374" s="8"/>
      <c r="N1374" s="9"/>
      <c r="O1374" s="52"/>
      <c r="P1374" s="87">
        <f t="shared" si="1293"/>
        <v>0</v>
      </c>
      <c r="Q1374" s="12"/>
      <c r="R1374" s="9"/>
      <c r="S1374" s="10"/>
      <c r="T1374" s="49">
        <f t="shared" si="1294"/>
        <v>0</v>
      </c>
      <c r="U1374" s="11">
        <f t="shared" si="1295"/>
        <v>0</v>
      </c>
    </row>
    <row r="1375" spans="1:21" x14ac:dyDescent="0.15">
      <c r="A1375" s="26"/>
      <c r="B1375" s="8"/>
      <c r="C1375" s="9"/>
      <c r="D1375" s="10"/>
      <c r="E1375" s="49">
        <f t="shared" si="1296"/>
        <v>0</v>
      </c>
      <c r="F1375" s="12"/>
      <c r="G1375" s="9"/>
      <c r="H1375" s="10"/>
      <c r="I1375" s="49">
        <f t="shared" si="1297"/>
        <v>0</v>
      </c>
      <c r="J1375" s="11">
        <f t="shared" si="1298"/>
        <v>0</v>
      </c>
      <c r="L1375" s="26"/>
      <c r="M1375" s="8"/>
      <c r="N1375" s="9"/>
      <c r="O1375" s="52"/>
      <c r="P1375" s="87">
        <f t="shared" si="1293"/>
        <v>0</v>
      </c>
      <c r="Q1375" s="12"/>
      <c r="R1375" s="9"/>
      <c r="S1375" s="10"/>
      <c r="T1375" s="49">
        <f t="shared" si="1294"/>
        <v>0</v>
      </c>
      <c r="U1375" s="11">
        <f t="shared" si="1295"/>
        <v>0</v>
      </c>
    </row>
    <row r="1376" spans="1:21" x14ac:dyDescent="0.15">
      <c r="A1376" s="26"/>
      <c r="B1376" s="8"/>
      <c r="C1376" s="9"/>
      <c r="D1376" s="10"/>
      <c r="E1376" s="49">
        <f t="shared" si="1296"/>
        <v>0</v>
      </c>
      <c r="F1376" s="12"/>
      <c r="G1376" s="9"/>
      <c r="H1376" s="10"/>
      <c r="I1376" s="49">
        <f t="shared" si="1297"/>
        <v>0</v>
      </c>
      <c r="J1376" s="11">
        <f t="shared" si="1298"/>
        <v>0</v>
      </c>
      <c r="L1376" s="26"/>
      <c r="M1376" s="8"/>
      <c r="N1376" s="9"/>
      <c r="O1376" s="52"/>
      <c r="P1376" s="87">
        <f t="shared" ref="P1376:P1388" si="1299">SUM(M1376:O1376)</f>
        <v>0</v>
      </c>
      <c r="Q1376" s="12"/>
      <c r="R1376" s="9"/>
      <c r="S1376" s="10"/>
      <c r="T1376" s="49">
        <f t="shared" ref="T1376:T1388" si="1300">SUM(Q1376:S1376)</f>
        <v>0</v>
      </c>
      <c r="U1376" s="11">
        <f t="shared" ref="U1376:U1387" si="1301">P1376+T1376</f>
        <v>0</v>
      </c>
    </row>
    <row r="1377" spans="1:22" x14ac:dyDescent="0.15">
      <c r="A1377" s="26"/>
      <c r="B1377" s="8"/>
      <c r="C1377" s="9"/>
      <c r="D1377" s="10"/>
      <c r="E1377" s="49">
        <f t="shared" si="1296"/>
        <v>0</v>
      </c>
      <c r="F1377" s="12"/>
      <c r="G1377" s="9"/>
      <c r="H1377" s="10"/>
      <c r="I1377" s="49">
        <f t="shared" si="1297"/>
        <v>0</v>
      </c>
      <c r="J1377" s="11">
        <f t="shared" si="1298"/>
        <v>0</v>
      </c>
      <c r="L1377" s="26"/>
      <c r="M1377" s="8"/>
      <c r="N1377" s="9"/>
      <c r="O1377" s="52"/>
      <c r="P1377" s="87">
        <f t="shared" si="1299"/>
        <v>0</v>
      </c>
      <c r="Q1377" s="12"/>
      <c r="R1377" s="9"/>
      <c r="S1377" s="10"/>
      <c r="T1377" s="49">
        <f t="shared" si="1300"/>
        <v>0</v>
      </c>
      <c r="U1377" s="11">
        <f t="shared" si="1301"/>
        <v>0</v>
      </c>
    </row>
    <row r="1378" spans="1:22" x14ac:dyDescent="0.15">
      <c r="A1378" s="26"/>
      <c r="B1378" s="8"/>
      <c r="C1378" s="9"/>
      <c r="D1378" s="10"/>
      <c r="E1378" s="49">
        <f t="shared" si="1296"/>
        <v>0</v>
      </c>
      <c r="F1378" s="12"/>
      <c r="G1378" s="9"/>
      <c r="H1378" s="10"/>
      <c r="I1378" s="49">
        <f t="shared" si="1297"/>
        <v>0</v>
      </c>
      <c r="J1378" s="11">
        <f t="shared" si="1298"/>
        <v>0</v>
      </c>
      <c r="L1378" s="26"/>
      <c r="M1378" s="8"/>
      <c r="N1378" s="9"/>
      <c r="O1378" s="52"/>
      <c r="P1378" s="87">
        <f t="shared" si="1299"/>
        <v>0</v>
      </c>
      <c r="Q1378" s="12"/>
      <c r="R1378" s="9"/>
      <c r="S1378" s="10"/>
      <c r="T1378" s="49">
        <f t="shared" si="1300"/>
        <v>0</v>
      </c>
      <c r="U1378" s="11">
        <f t="shared" si="1301"/>
        <v>0</v>
      </c>
    </row>
    <row r="1379" spans="1:22" x14ac:dyDescent="0.15">
      <c r="A1379" s="24"/>
      <c r="B1379" s="8"/>
      <c r="C1379" s="9"/>
      <c r="D1379" s="10"/>
      <c r="E1379" s="49">
        <f t="shared" si="1296"/>
        <v>0</v>
      </c>
      <c r="F1379" s="12"/>
      <c r="G1379" s="9"/>
      <c r="H1379" s="10"/>
      <c r="I1379" s="49">
        <f t="shared" si="1297"/>
        <v>0</v>
      </c>
      <c r="J1379" s="11">
        <f t="shared" si="1298"/>
        <v>0</v>
      </c>
      <c r="L1379" s="26"/>
      <c r="M1379" s="8"/>
      <c r="N1379" s="9"/>
      <c r="O1379" s="52"/>
      <c r="P1379" s="87">
        <f t="shared" si="1299"/>
        <v>0</v>
      </c>
      <c r="Q1379" s="12"/>
      <c r="R1379" s="9"/>
      <c r="S1379" s="10"/>
      <c r="T1379" s="49">
        <f t="shared" si="1300"/>
        <v>0</v>
      </c>
      <c r="U1379" s="11">
        <f t="shared" si="1301"/>
        <v>0</v>
      </c>
    </row>
    <row r="1380" spans="1:22" x14ac:dyDescent="0.15">
      <c r="A1380" s="25"/>
      <c r="B1380" s="8"/>
      <c r="C1380" s="9"/>
      <c r="D1380" s="10"/>
      <c r="E1380" s="49">
        <f t="shared" si="1296"/>
        <v>0</v>
      </c>
      <c r="F1380" s="12"/>
      <c r="G1380" s="9"/>
      <c r="H1380" s="10"/>
      <c r="I1380" s="49">
        <f t="shared" si="1297"/>
        <v>0</v>
      </c>
      <c r="J1380" s="11">
        <f t="shared" si="1298"/>
        <v>0</v>
      </c>
      <c r="L1380" s="26"/>
      <c r="M1380" s="8"/>
      <c r="N1380" s="9"/>
      <c r="O1380" s="52"/>
      <c r="P1380" s="87">
        <f t="shared" si="1299"/>
        <v>0</v>
      </c>
      <c r="Q1380" s="12"/>
      <c r="R1380" s="9"/>
      <c r="S1380" s="10"/>
      <c r="T1380" s="49">
        <f t="shared" si="1300"/>
        <v>0</v>
      </c>
      <c r="U1380" s="11">
        <f t="shared" si="1301"/>
        <v>0</v>
      </c>
    </row>
    <row r="1381" spans="1:22" x14ac:dyDescent="0.15">
      <c r="A1381" s="26"/>
      <c r="B1381" s="8"/>
      <c r="C1381" s="9"/>
      <c r="D1381" s="10"/>
      <c r="E1381" s="49">
        <f t="shared" si="1296"/>
        <v>0</v>
      </c>
      <c r="F1381" s="12"/>
      <c r="G1381" s="9"/>
      <c r="H1381" s="10"/>
      <c r="I1381" s="49">
        <f t="shared" si="1297"/>
        <v>0</v>
      </c>
      <c r="J1381" s="11">
        <f t="shared" si="1298"/>
        <v>0</v>
      </c>
      <c r="L1381" s="26"/>
      <c r="M1381" s="8"/>
      <c r="N1381" s="9"/>
      <c r="O1381" s="52"/>
      <c r="P1381" s="87">
        <f t="shared" si="1299"/>
        <v>0</v>
      </c>
      <c r="Q1381" s="12"/>
      <c r="R1381" s="9"/>
      <c r="S1381" s="10"/>
      <c r="T1381" s="49">
        <f t="shared" si="1300"/>
        <v>0</v>
      </c>
      <c r="U1381" s="11">
        <f t="shared" si="1301"/>
        <v>0</v>
      </c>
    </row>
    <row r="1382" spans="1:22" x14ac:dyDescent="0.15">
      <c r="A1382" s="24"/>
      <c r="B1382" s="8"/>
      <c r="C1382" s="9"/>
      <c r="D1382" s="10"/>
      <c r="E1382" s="49">
        <f t="shared" si="1296"/>
        <v>0</v>
      </c>
      <c r="F1382" s="12"/>
      <c r="G1382" s="9"/>
      <c r="H1382" s="10"/>
      <c r="I1382" s="49">
        <f t="shared" si="1297"/>
        <v>0</v>
      </c>
      <c r="J1382" s="11">
        <f t="shared" si="1298"/>
        <v>0</v>
      </c>
      <c r="L1382" s="26"/>
      <c r="M1382" s="8"/>
      <c r="N1382" s="9"/>
      <c r="O1382" s="52"/>
      <c r="P1382" s="87">
        <f t="shared" si="1299"/>
        <v>0</v>
      </c>
      <c r="Q1382" s="12"/>
      <c r="R1382" s="9"/>
      <c r="S1382" s="10"/>
      <c r="T1382" s="49">
        <f t="shared" si="1300"/>
        <v>0</v>
      </c>
      <c r="U1382" s="11">
        <f t="shared" si="1301"/>
        <v>0</v>
      </c>
    </row>
    <row r="1383" spans="1:22" x14ac:dyDescent="0.15">
      <c r="B1383" s="13"/>
      <c r="C1383" s="14"/>
      <c r="D1383" s="15"/>
      <c r="E1383" s="49">
        <f t="shared" si="1296"/>
        <v>0</v>
      </c>
      <c r="F1383" s="16"/>
      <c r="G1383" s="14"/>
      <c r="H1383" s="15"/>
      <c r="I1383" s="49">
        <f t="shared" si="1297"/>
        <v>0</v>
      </c>
      <c r="J1383" s="11">
        <f t="shared" si="1298"/>
        <v>0</v>
      </c>
      <c r="L1383" s="26"/>
      <c r="M1383" s="8"/>
      <c r="N1383" s="9"/>
      <c r="O1383" s="52"/>
      <c r="P1383" s="87">
        <f t="shared" si="1299"/>
        <v>0</v>
      </c>
      <c r="Q1383" s="12"/>
      <c r="R1383" s="9"/>
      <c r="S1383" s="10"/>
      <c r="T1383" s="49">
        <f t="shared" si="1300"/>
        <v>0</v>
      </c>
      <c r="U1383" s="11">
        <f t="shared" si="1301"/>
        <v>0</v>
      </c>
    </row>
    <row r="1384" spans="1:22" x14ac:dyDescent="0.15">
      <c r="A1384" s="26"/>
      <c r="B1384" s="8"/>
      <c r="C1384" s="9"/>
      <c r="D1384" s="10"/>
      <c r="E1384" s="49">
        <f t="shared" si="1296"/>
        <v>0</v>
      </c>
      <c r="F1384" s="12"/>
      <c r="G1384" s="9"/>
      <c r="H1384" s="10"/>
      <c r="I1384" s="49">
        <f t="shared" si="1297"/>
        <v>0</v>
      </c>
      <c r="J1384" s="11">
        <f t="shared" si="1298"/>
        <v>0</v>
      </c>
      <c r="L1384" s="26"/>
      <c r="M1384" s="8"/>
      <c r="N1384" s="9"/>
      <c r="O1384" s="52"/>
      <c r="P1384" s="87">
        <f t="shared" si="1299"/>
        <v>0</v>
      </c>
      <c r="Q1384" s="12"/>
      <c r="R1384" s="9"/>
      <c r="S1384" s="10"/>
      <c r="T1384" s="49">
        <f t="shared" si="1300"/>
        <v>0</v>
      </c>
      <c r="U1384" s="11">
        <f t="shared" si="1301"/>
        <v>0</v>
      </c>
    </row>
    <row r="1385" spans="1:22" x14ac:dyDescent="0.15">
      <c r="A1385" s="26"/>
      <c r="B1385" s="8"/>
      <c r="C1385" s="9"/>
      <c r="D1385" s="10"/>
      <c r="E1385" s="49">
        <f t="shared" si="1296"/>
        <v>0</v>
      </c>
      <c r="F1385" s="12"/>
      <c r="G1385" s="9"/>
      <c r="H1385" s="10"/>
      <c r="I1385" s="49">
        <f t="shared" si="1297"/>
        <v>0</v>
      </c>
      <c r="J1385" s="11">
        <f t="shared" si="1298"/>
        <v>0</v>
      </c>
      <c r="L1385" s="26" t="s">
        <v>1005</v>
      </c>
      <c r="M1385" s="8">
        <v>40</v>
      </c>
      <c r="N1385" s="9">
        <v>45</v>
      </c>
      <c r="O1385" s="52">
        <v>25</v>
      </c>
      <c r="P1385" s="87">
        <f t="shared" si="1299"/>
        <v>110</v>
      </c>
      <c r="Q1385" s="8">
        <v>40</v>
      </c>
      <c r="R1385" s="9">
        <v>45</v>
      </c>
      <c r="S1385" s="52">
        <v>25</v>
      </c>
      <c r="T1385" s="49">
        <f t="shared" si="1300"/>
        <v>110</v>
      </c>
      <c r="U1385" s="11">
        <f t="shared" si="1301"/>
        <v>220</v>
      </c>
    </row>
    <row r="1386" spans="1:22" x14ac:dyDescent="0.15">
      <c r="A1386" s="26"/>
      <c r="B1386" s="8"/>
      <c r="C1386" s="9"/>
      <c r="D1386" s="10"/>
      <c r="E1386" s="49">
        <f t="shared" si="1296"/>
        <v>0</v>
      </c>
      <c r="F1386" s="12"/>
      <c r="G1386" s="9"/>
      <c r="H1386" s="10"/>
      <c r="I1386" s="49">
        <f t="shared" si="1297"/>
        <v>0</v>
      </c>
      <c r="J1386" s="11">
        <f t="shared" si="1298"/>
        <v>0</v>
      </c>
      <c r="L1386" s="26" t="s">
        <v>1006</v>
      </c>
      <c r="M1386" s="8">
        <v>40</v>
      </c>
      <c r="N1386" s="9">
        <v>45</v>
      </c>
      <c r="O1386" s="52">
        <v>25</v>
      </c>
      <c r="P1386" s="87">
        <f t="shared" si="1299"/>
        <v>110</v>
      </c>
      <c r="Q1386" s="8">
        <v>40</v>
      </c>
      <c r="R1386" s="9">
        <v>45</v>
      </c>
      <c r="S1386" s="52">
        <v>25</v>
      </c>
      <c r="T1386" s="49">
        <f t="shared" si="1300"/>
        <v>110</v>
      </c>
      <c r="U1386" s="11">
        <f t="shared" si="1301"/>
        <v>220</v>
      </c>
    </row>
    <row r="1387" spans="1:22" ht="14.25" thickBot="1" x14ac:dyDescent="0.2">
      <c r="A1387" s="26"/>
      <c r="B1387" s="8"/>
      <c r="C1387" s="9"/>
      <c r="D1387" s="10"/>
      <c r="E1387" s="49">
        <f t="shared" si="1296"/>
        <v>0</v>
      </c>
      <c r="F1387" s="12"/>
      <c r="G1387" s="9"/>
      <c r="H1387" s="10"/>
      <c r="I1387" s="49">
        <f t="shared" si="1297"/>
        <v>0</v>
      </c>
      <c r="J1387" s="11">
        <f t="shared" si="1298"/>
        <v>0</v>
      </c>
      <c r="L1387" s="26" t="s">
        <v>1007</v>
      </c>
      <c r="M1387" s="8">
        <v>400</v>
      </c>
      <c r="N1387" s="9">
        <v>440</v>
      </c>
      <c r="O1387" s="52">
        <v>240</v>
      </c>
      <c r="P1387" s="87">
        <f t="shared" si="1299"/>
        <v>1080</v>
      </c>
      <c r="Q1387" s="12">
        <v>400</v>
      </c>
      <c r="R1387" s="9">
        <v>440</v>
      </c>
      <c r="S1387" s="10">
        <v>240</v>
      </c>
      <c r="T1387" s="49">
        <f t="shared" si="1300"/>
        <v>1080</v>
      </c>
      <c r="U1387" s="11">
        <f t="shared" si="1301"/>
        <v>2160</v>
      </c>
    </row>
    <row r="1388" spans="1:22" ht="14.25" thickBot="1" x14ac:dyDescent="0.2">
      <c r="A1388" s="41" t="s">
        <v>17</v>
      </c>
      <c r="B1388" s="46">
        <f>SUM(B1362:B1387)</f>
        <v>2</v>
      </c>
      <c r="C1388" s="47">
        <f t="shared" ref="C1388:D1388" si="1302">SUM(C1362:C1387)</f>
        <v>0</v>
      </c>
      <c r="D1388" s="58">
        <f t="shared" si="1302"/>
        <v>0</v>
      </c>
      <c r="E1388" s="45">
        <f t="shared" si="1296"/>
        <v>2</v>
      </c>
      <c r="F1388" s="46">
        <f>SUM(F1362:F1387)</f>
        <v>2</v>
      </c>
      <c r="G1388" s="47">
        <f t="shared" ref="G1388:H1388" si="1303">SUM(G1362:G1387)</f>
        <v>0</v>
      </c>
      <c r="H1388" s="58">
        <f t="shared" si="1303"/>
        <v>0</v>
      </c>
      <c r="I1388" s="45">
        <f t="shared" si="1297"/>
        <v>2</v>
      </c>
      <c r="J1388" s="45">
        <f>E1388+I1388</f>
        <v>4</v>
      </c>
      <c r="L1388" s="41" t="s">
        <v>17</v>
      </c>
      <c r="M1388" s="46">
        <f>SUM(M1362:M1387)</f>
        <v>480</v>
      </c>
      <c r="N1388" s="47">
        <f t="shared" ref="N1388:O1388" si="1304">SUM(N1362:N1387)</f>
        <v>530</v>
      </c>
      <c r="O1388" s="58">
        <f t="shared" si="1304"/>
        <v>290</v>
      </c>
      <c r="P1388" s="45">
        <f t="shared" si="1299"/>
        <v>1300</v>
      </c>
      <c r="Q1388" s="46">
        <f>SUM(Q1362:Q1387)</f>
        <v>480</v>
      </c>
      <c r="R1388" s="47">
        <f t="shared" ref="R1388:S1388" si="1305">SUM(R1362:R1387)</f>
        <v>530</v>
      </c>
      <c r="S1388" s="58">
        <f t="shared" si="1305"/>
        <v>290</v>
      </c>
      <c r="T1388" s="45">
        <f t="shared" si="1300"/>
        <v>1300</v>
      </c>
      <c r="U1388" s="45">
        <f>P1388+T1388</f>
        <v>2600</v>
      </c>
    </row>
    <row r="1389" spans="1:22" ht="14.25" thickBot="1" x14ac:dyDescent="0.2">
      <c r="A1389" s="22" t="s">
        <v>16</v>
      </c>
      <c r="B1389" s="50">
        <f>B1361-B1388</f>
        <v>0</v>
      </c>
      <c r="C1389" s="56">
        <f t="shared" ref="C1389:D1389" si="1306">C1361-C1388</f>
        <v>0</v>
      </c>
      <c r="D1389" s="57">
        <f t="shared" si="1306"/>
        <v>0</v>
      </c>
      <c r="E1389" s="55">
        <f>SUM(B1389:D1389)</f>
        <v>0</v>
      </c>
      <c r="F1389" s="50">
        <f>F1361-F1388</f>
        <v>0</v>
      </c>
      <c r="G1389" s="56">
        <f t="shared" ref="G1389:H1389" si="1307">G1361-G1388</f>
        <v>0</v>
      </c>
      <c r="H1389" s="57">
        <f t="shared" si="1307"/>
        <v>0</v>
      </c>
      <c r="I1389" s="55">
        <f>SUM(F1389:H1389)</f>
        <v>0</v>
      </c>
      <c r="J1389" s="31">
        <f>E1389+I1389</f>
        <v>0</v>
      </c>
      <c r="L1389" s="22" t="s">
        <v>16</v>
      </c>
      <c r="M1389" s="50">
        <f>M1361-M1388</f>
        <v>158</v>
      </c>
      <c r="N1389" s="56">
        <f t="shared" ref="N1389:O1389" si="1308">N1361-N1388</f>
        <v>162</v>
      </c>
      <c r="O1389" s="57">
        <f t="shared" si="1308"/>
        <v>92</v>
      </c>
      <c r="P1389" s="55">
        <f>SUM(M1389:O1389)</f>
        <v>412</v>
      </c>
      <c r="Q1389" s="50">
        <f>Q1361-Q1388</f>
        <v>158</v>
      </c>
      <c r="R1389" s="56">
        <f t="shared" ref="R1389:S1389" si="1309">R1361-R1388</f>
        <v>162</v>
      </c>
      <c r="S1389" s="57">
        <f t="shared" si="1309"/>
        <v>92</v>
      </c>
      <c r="T1389" s="55">
        <f>SUM(Q1389:S1389)</f>
        <v>412</v>
      </c>
      <c r="U1389" s="31">
        <f>P1389+T1389</f>
        <v>824</v>
      </c>
      <c r="V1389" s="97">
        <v>123.3</v>
      </c>
    </row>
    <row r="1390" spans="1:22" x14ac:dyDescent="0.15">
      <c r="L1390" s="150" t="s">
        <v>955</v>
      </c>
      <c r="M1390" s="154">
        <f>M1389/$P$1389*100</f>
        <v>38.349514563106794</v>
      </c>
      <c r="N1390" s="154">
        <f t="shared" ref="N1390:P1390" si="1310">N1389/$P$1389*100</f>
        <v>39.320388349514559</v>
      </c>
      <c r="O1390" s="154">
        <f t="shared" si="1310"/>
        <v>22.330097087378643</v>
      </c>
      <c r="P1390" s="154">
        <f t="shared" si="1310"/>
        <v>100</v>
      </c>
    </row>
    <row r="1391" spans="1:22" x14ac:dyDescent="0.15">
      <c r="L1391" s="152" t="s">
        <v>954</v>
      </c>
      <c r="M1391" s="125">
        <v>37.200000000000003</v>
      </c>
      <c r="N1391" s="125">
        <v>40.6</v>
      </c>
      <c r="O1391" s="125">
        <v>22.2</v>
      </c>
      <c r="P1391" s="119">
        <f>SUM(M1391:O1391)</f>
        <v>100.00000000000001</v>
      </c>
    </row>
    <row r="1392" spans="1:22" x14ac:dyDescent="0.15">
      <c r="M1392">
        <v>401</v>
      </c>
      <c r="N1392">
        <v>439</v>
      </c>
      <c r="O1392">
        <v>239</v>
      </c>
      <c r="P1392">
        <v>1079</v>
      </c>
    </row>
  </sheetData>
  <mergeCells count="200">
    <mergeCell ref="B1350:E1350"/>
    <mergeCell ref="F1350:I1350"/>
    <mergeCell ref="J1350:J1351"/>
    <mergeCell ref="M1350:P1350"/>
    <mergeCell ref="Q1350:T1350"/>
    <mergeCell ref="U1350:U1351"/>
    <mergeCell ref="A1348:U1348"/>
    <mergeCell ref="U1135:U1136"/>
    <mergeCell ref="B1178:E1178"/>
    <mergeCell ref="F1178:I1178"/>
    <mergeCell ref="J1178:J1179"/>
    <mergeCell ref="M1178:P1178"/>
    <mergeCell ref="Q1178:T1178"/>
    <mergeCell ref="U1178:U1179"/>
    <mergeCell ref="M1221:P1221"/>
    <mergeCell ref="Q1221:T1221"/>
    <mergeCell ref="U1221:U1222"/>
    <mergeCell ref="B1221:E1221"/>
    <mergeCell ref="F1221:I1221"/>
    <mergeCell ref="J1221:J1222"/>
    <mergeCell ref="B1135:E1135"/>
    <mergeCell ref="F1135:I1135"/>
    <mergeCell ref="J1135:J1136"/>
    <mergeCell ref="M1135:P1135"/>
    <mergeCell ref="Q207:T207"/>
    <mergeCell ref="U371:U372"/>
    <mergeCell ref="B371:E371"/>
    <mergeCell ref="F371:I371"/>
    <mergeCell ref="J371:J372"/>
    <mergeCell ref="M371:P371"/>
    <mergeCell ref="Q371:T371"/>
    <mergeCell ref="F289:I289"/>
    <mergeCell ref="J289:J290"/>
    <mergeCell ref="M289:P289"/>
    <mergeCell ref="Q289:T289"/>
    <mergeCell ref="U248:U249"/>
    <mergeCell ref="U166:U167"/>
    <mergeCell ref="B166:E166"/>
    <mergeCell ref="F166:I166"/>
    <mergeCell ref="J166:J167"/>
    <mergeCell ref="M166:P166"/>
    <mergeCell ref="Q166:T166"/>
    <mergeCell ref="M330:P330"/>
    <mergeCell ref="Q330:T330"/>
    <mergeCell ref="U330:U331"/>
    <mergeCell ref="B330:E330"/>
    <mergeCell ref="F330:I330"/>
    <mergeCell ref="J330:J331"/>
    <mergeCell ref="B248:E248"/>
    <mergeCell ref="F248:I248"/>
    <mergeCell ref="J248:J249"/>
    <mergeCell ref="M248:P248"/>
    <mergeCell ref="Q248:T248"/>
    <mergeCell ref="U289:U290"/>
    <mergeCell ref="B289:E289"/>
    <mergeCell ref="U207:U208"/>
    <mergeCell ref="B207:E207"/>
    <mergeCell ref="F207:I207"/>
    <mergeCell ref="J207:J208"/>
    <mergeCell ref="M207:P207"/>
    <mergeCell ref="U125:U126"/>
    <mergeCell ref="B125:E125"/>
    <mergeCell ref="F125:I125"/>
    <mergeCell ref="J125:J126"/>
    <mergeCell ref="M125:P125"/>
    <mergeCell ref="Q125:T125"/>
    <mergeCell ref="U2:U3"/>
    <mergeCell ref="B2:E2"/>
    <mergeCell ref="F2:I2"/>
    <mergeCell ref="J2:J3"/>
    <mergeCell ref="M2:P2"/>
    <mergeCell ref="Q2:T2"/>
    <mergeCell ref="U43:U44"/>
    <mergeCell ref="B43:E43"/>
    <mergeCell ref="F43:I43"/>
    <mergeCell ref="J43:J44"/>
    <mergeCell ref="M43:P43"/>
    <mergeCell ref="Q43:T43"/>
    <mergeCell ref="U84:U85"/>
    <mergeCell ref="B84:E84"/>
    <mergeCell ref="F84:I84"/>
    <mergeCell ref="J84:J85"/>
    <mergeCell ref="M84:P84"/>
    <mergeCell ref="Q84:T84"/>
    <mergeCell ref="U453:U454"/>
    <mergeCell ref="U662:U663"/>
    <mergeCell ref="B662:E662"/>
    <mergeCell ref="F662:I662"/>
    <mergeCell ref="J662:J663"/>
    <mergeCell ref="M662:P662"/>
    <mergeCell ref="Q662:T662"/>
    <mergeCell ref="U576:U577"/>
    <mergeCell ref="B576:E576"/>
    <mergeCell ref="F576:I576"/>
    <mergeCell ref="J576:J577"/>
    <mergeCell ref="M576:P576"/>
    <mergeCell ref="Q576:T576"/>
    <mergeCell ref="U535:U536"/>
    <mergeCell ref="U494:U495"/>
    <mergeCell ref="B453:E453"/>
    <mergeCell ref="F453:I453"/>
    <mergeCell ref="J453:J454"/>
    <mergeCell ref="B494:E494"/>
    <mergeCell ref="F494:I494"/>
    <mergeCell ref="J494:J495"/>
    <mergeCell ref="M494:P494"/>
    <mergeCell ref="Q494:T494"/>
    <mergeCell ref="B705:E705"/>
    <mergeCell ref="F705:I705"/>
    <mergeCell ref="J705:J706"/>
    <mergeCell ref="M705:P705"/>
    <mergeCell ref="Q705:T705"/>
    <mergeCell ref="U705:U706"/>
    <mergeCell ref="U412:U413"/>
    <mergeCell ref="B412:E412"/>
    <mergeCell ref="F412:I412"/>
    <mergeCell ref="J412:J413"/>
    <mergeCell ref="M412:P412"/>
    <mergeCell ref="Q412:T412"/>
    <mergeCell ref="U619:U620"/>
    <mergeCell ref="B619:E619"/>
    <mergeCell ref="F619:I619"/>
    <mergeCell ref="J619:J620"/>
    <mergeCell ref="M619:P619"/>
    <mergeCell ref="Q619:T619"/>
    <mergeCell ref="B535:E535"/>
    <mergeCell ref="F535:I535"/>
    <mergeCell ref="J535:J536"/>
    <mergeCell ref="M535:P535"/>
    <mergeCell ref="Q535:T535"/>
    <mergeCell ref="Q453:T453"/>
    <mergeCell ref="B834:E834"/>
    <mergeCell ref="F834:I834"/>
    <mergeCell ref="J834:J835"/>
    <mergeCell ref="M834:P834"/>
    <mergeCell ref="Q834:T834"/>
    <mergeCell ref="U834:U835"/>
    <mergeCell ref="M748:P748"/>
    <mergeCell ref="Q748:T748"/>
    <mergeCell ref="U748:U749"/>
    <mergeCell ref="B748:E748"/>
    <mergeCell ref="F748:I748"/>
    <mergeCell ref="J748:J749"/>
    <mergeCell ref="B791:E791"/>
    <mergeCell ref="F791:I791"/>
    <mergeCell ref="J791:J792"/>
    <mergeCell ref="M791:P791"/>
    <mergeCell ref="Q791:T791"/>
    <mergeCell ref="U791:U792"/>
    <mergeCell ref="B920:E920"/>
    <mergeCell ref="F920:I920"/>
    <mergeCell ref="J920:J921"/>
    <mergeCell ref="M920:P920"/>
    <mergeCell ref="Q920:T920"/>
    <mergeCell ref="U920:U921"/>
    <mergeCell ref="B877:E877"/>
    <mergeCell ref="F877:I877"/>
    <mergeCell ref="J877:J878"/>
    <mergeCell ref="M877:P877"/>
    <mergeCell ref="Q877:T877"/>
    <mergeCell ref="U877:U878"/>
    <mergeCell ref="B963:E963"/>
    <mergeCell ref="F963:I963"/>
    <mergeCell ref="J963:J964"/>
    <mergeCell ref="M963:P963"/>
    <mergeCell ref="Q963:T963"/>
    <mergeCell ref="U963:U964"/>
    <mergeCell ref="B1006:E1006"/>
    <mergeCell ref="F1006:I1006"/>
    <mergeCell ref="J1006:J1007"/>
    <mergeCell ref="M1006:P1006"/>
    <mergeCell ref="Q1006:T1006"/>
    <mergeCell ref="U1006:U1007"/>
    <mergeCell ref="H1003:N1003"/>
    <mergeCell ref="Q1135:T1135"/>
    <mergeCell ref="B1049:E1049"/>
    <mergeCell ref="F1049:I1049"/>
    <mergeCell ref="J1049:J1050"/>
    <mergeCell ref="M1049:P1049"/>
    <mergeCell ref="Q1049:T1049"/>
    <mergeCell ref="A1132:U1132"/>
    <mergeCell ref="B1092:E1092"/>
    <mergeCell ref="F1092:I1092"/>
    <mergeCell ref="J1092:J1093"/>
    <mergeCell ref="M1092:P1092"/>
    <mergeCell ref="Q1092:T1092"/>
    <mergeCell ref="U1092:U1093"/>
    <mergeCell ref="U1049:U1050"/>
    <mergeCell ref="B1307:E1307"/>
    <mergeCell ref="F1307:I1307"/>
    <mergeCell ref="J1307:J1308"/>
    <mergeCell ref="M1307:P1307"/>
    <mergeCell ref="Q1307:T1307"/>
    <mergeCell ref="U1307:U1308"/>
    <mergeCell ref="M1264:P1264"/>
    <mergeCell ref="Q1264:T1264"/>
    <mergeCell ref="U1264:U1265"/>
    <mergeCell ref="B1264:E1264"/>
    <mergeCell ref="F1264:I1264"/>
    <mergeCell ref="J1264:J1265"/>
  </mergeCells>
  <phoneticPr fontId="7"/>
  <pageMargins left="0.7" right="0.7" top="0.75" bottom="0.75" header="0.3" footer="0.3"/>
  <pageSetup paperSize="9" orientation="portrait" r:id="rId1"/>
  <ignoredErrors>
    <ignoredError sqref="P573:P57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92"/>
  <sheetViews>
    <sheetView tabSelected="1" topLeftCell="A101" zoomScaleNormal="100" workbookViewId="0">
      <selection activeCell="L138" sqref="L138"/>
    </sheetView>
  </sheetViews>
  <sheetFormatPr defaultRowHeight="13.5" x14ac:dyDescent="0.15"/>
  <cols>
    <col min="1" max="1" width="20.625" customWidth="1"/>
    <col min="11" max="11" width="9.25" bestFit="1" customWidth="1"/>
    <col min="12" max="12" width="27" customWidth="1"/>
    <col min="22" max="22" width="8.75" style="97" customWidth="1"/>
  </cols>
  <sheetData>
    <row r="1" spans="1:23" ht="19.5" thickBot="1" x14ac:dyDescent="0.25">
      <c r="A1" s="3" t="s">
        <v>20</v>
      </c>
      <c r="B1" s="1"/>
      <c r="C1" s="1"/>
      <c r="D1" s="1"/>
      <c r="E1" s="1"/>
      <c r="F1" s="1"/>
      <c r="G1" s="1"/>
      <c r="H1" s="1"/>
      <c r="I1" s="1"/>
      <c r="J1" s="1"/>
      <c r="L1" s="3" t="s">
        <v>21</v>
      </c>
      <c r="M1" s="1"/>
      <c r="N1" s="1"/>
      <c r="O1" s="1"/>
      <c r="P1" s="1"/>
      <c r="Q1" s="1"/>
      <c r="R1" s="1"/>
      <c r="S1" s="1"/>
      <c r="T1" s="1"/>
      <c r="U1" s="1"/>
    </row>
    <row r="2" spans="1:23" ht="14.25" thickBot="1" x14ac:dyDescent="0.2">
      <c r="A2" s="7"/>
      <c r="B2" s="176" t="s">
        <v>22</v>
      </c>
      <c r="C2" s="177"/>
      <c r="D2" s="177"/>
      <c r="E2" s="178"/>
      <c r="F2" s="176" t="s">
        <v>23</v>
      </c>
      <c r="G2" s="177"/>
      <c r="H2" s="177"/>
      <c r="I2" s="179"/>
      <c r="J2" s="174" t="s">
        <v>0</v>
      </c>
      <c r="L2" s="7"/>
      <c r="M2" s="169" t="s">
        <v>24</v>
      </c>
      <c r="N2" s="170"/>
      <c r="O2" s="170"/>
      <c r="P2" s="171"/>
      <c r="Q2" s="169" t="s">
        <v>25</v>
      </c>
      <c r="R2" s="170"/>
      <c r="S2" s="170"/>
      <c r="T2" s="171"/>
      <c r="U2" s="174" t="s">
        <v>0</v>
      </c>
    </row>
    <row r="3" spans="1:23" ht="14.25" thickBot="1" x14ac:dyDescent="0.2">
      <c r="A3" s="7" t="s">
        <v>1</v>
      </c>
      <c r="B3" s="4" t="s">
        <v>2</v>
      </c>
      <c r="C3" s="5" t="s">
        <v>3</v>
      </c>
      <c r="D3" s="6" t="s">
        <v>4</v>
      </c>
      <c r="E3" s="7" t="s">
        <v>5</v>
      </c>
      <c r="F3" s="4" t="s">
        <v>2</v>
      </c>
      <c r="G3" s="5" t="s">
        <v>3</v>
      </c>
      <c r="H3" s="6" t="s">
        <v>4</v>
      </c>
      <c r="I3" s="7" t="s">
        <v>5</v>
      </c>
      <c r="J3" s="175"/>
      <c r="L3" s="7" t="s">
        <v>1</v>
      </c>
      <c r="M3" s="4" t="s">
        <v>2</v>
      </c>
      <c r="N3" s="5" t="s">
        <v>3</v>
      </c>
      <c r="O3" s="6" t="s">
        <v>4</v>
      </c>
      <c r="P3" s="7" t="s">
        <v>5</v>
      </c>
      <c r="Q3" s="4" t="s">
        <v>2</v>
      </c>
      <c r="R3" s="5" t="s">
        <v>3</v>
      </c>
      <c r="S3" s="6" t="s">
        <v>4</v>
      </c>
      <c r="T3" s="7" t="s">
        <v>5</v>
      </c>
      <c r="U3" s="175"/>
    </row>
    <row r="4" spans="1:23" ht="14.25" thickBot="1" x14ac:dyDescent="0.2">
      <c r="A4" s="68" t="s">
        <v>6</v>
      </c>
      <c r="B4" s="42">
        <v>10</v>
      </c>
      <c r="C4" s="43">
        <v>10</v>
      </c>
      <c r="D4" s="60">
        <v>10</v>
      </c>
      <c r="E4" s="48">
        <f>SUM(B4:D4)</f>
        <v>30</v>
      </c>
      <c r="F4" s="42">
        <v>10</v>
      </c>
      <c r="G4" s="43">
        <v>10</v>
      </c>
      <c r="H4" s="60">
        <v>10</v>
      </c>
      <c r="I4" s="48">
        <f>SUM(F4:H4)</f>
        <v>30</v>
      </c>
      <c r="J4" s="48">
        <f>E4+I4</f>
        <v>60</v>
      </c>
      <c r="K4" s="62">
        <v>43412</v>
      </c>
      <c r="L4" s="68" t="s">
        <v>6</v>
      </c>
      <c r="M4" s="42">
        <v>80</v>
      </c>
      <c r="N4" s="43">
        <v>80</v>
      </c>
      <c r="O4" s="60">
        <v>50</v>
      </c>
      <c r="P4" s="48">
        <f>SUM(M4:O4)</f>
        <v>210</v>
      </c>
      <c r="Q4" s="42">
        <v>80</v>
      </c>
      <c r="R4" s="43">
        <v>80</v>
      </c>
      <c r="S4" s="60">
        <v>50</v>
      </c>
      <c r="T4" s="48">
        <f>SUM(Q4:S4)</f>
        <v>210</v>
      </c>
      <c r="U4" s="48">
        <f>P4+T4</f>
        <v>420</v>
      </c>
      <c r="V4" s="98">
        <v>43405</v>
      </c>
    </row>
    <row r="5" spans="1:23" x14ac:dyDescent="0.15">
      <c r="A5" s="25" t="s">
        <v>32</v>
      </c>
      <c r="B5" s="42">
        <v>5</v>
      </c>
      <c r="C5" s="43">
        <v>5</v>
      </c>
      <c r="D5" s="44">
        <v>15</v>
      </c>
      <c r="E5" s="48">
        <f>SUM(B5:D5)</f>
        <v>25</v>
      </c>
      <c r="F5" s="59">
        <v>5</v>
      </c>
      <c r="G5" s="43">
        <v>5</v>
      </c>
      <c r="H5" s="60">
        <v>15</v>
      </c>
      <c r="I5" s="48">
        <f>SUM(F5:H5)</f>
        <v>25</v>
      </c>
      <c r="J5" s="48">
        <f>E5+I5</f>
        <v>50</v>
      </c>
      <c r="K5" s="62">
        <v>43417</v>
      </c>
      <c r="L5" s="25" t="s">
        <v>7</v>
      </c>
      <c r="M5" s="42">
        <v>70</v>
      </c>
      <c r="N5" s="43">
        <v>70</v>
      </c>
      <c r="O5" s="44">
        <v>50</v>
      </c>
      <c r="P5" s="48">
        <f>SUM(M5:O5)</f>
        <v>190</v>
      </c>
      <c r="Q5" s="59">
        <v>70</v>
      </c>
      <c r="R5" s="43">
        <v>70</v>
      </c>
      <c r="S5" s="60">
        <v>50</v>
      </c>
      <c r="T5" s="48">
        <f>SUM(Q5:S5)</f>
        <v>190</v>
      </c>
      <c r="U5" s="48">
        <f>P5+T5</f>
        <v>380</v>
      </c>
      <c r="V5" s="98">
        <v>43420</v>
      </c>
    </row>
    <row r="6" spans="1:23" x14ac:dyDescent="0.15">
      <c r="A6" s="25" t="s">
        <v>32</v>
      </c>
      <c r="B6" s="8">
        <v>5</v>
      </c>
      <c r="C6" s="9">
        <v>15</v>
      </c>
      <c r="D6" s="52">
        <v>5</v>
      </c>
      <c r="E6" s="11">
        <f>SUM(B6:D6)</f>
        <v>25</v>
      </c>
      <c r="F6" s="12">
        <v>5</v>
      </c>
      <c r="G6" s="9">
        <v>15</v>
      </c>
      <c r="H6" s="10">
        <v>5</v>
      </c>
      <c r="I6" s="11">
        <f>SUM(F6:H6)</f>
        <v>25</v>
      </c>
      <c r="J6" s="11">
        <f>E6+I6</f>
        <v>50</v>
      </c>
      <c r="K6" s="62">
        <v>43418</v>
      </c>
      <c r="L6" s="25" t="s">
        <v>8</v>
      </c>
      <c r="M6" s="8"/>
      <c r="N6" s="9">
        <v>40</v>
      </c>
      <c r="O6" s="52">
        <v>22</v>
      </c>
      <c r="P6" s="11">
        <f>SUM(M6:O6)</f>
        <v>62</v>
      </c>
      <c r="Q6" s="12"/>
      <c r="R6" s="9">
        <v>40</v>
      </c>
      <c r="S6" s="10">
        <v>22</v>
      </c>
      <c r="T6" s="11">
        <f>SUM(Q6:S6)</f>
        <v>62</v>
      </c>
      <c r="U6" s="11">
        <f>P6+T6</f>
        <v>124</v>
      </c>
      <c r="V6" s="98">
        <v>43420</v>
      </c>
    </row>
    <row r="7" spans="1:23" x14ac:dyDescent="0.15">
      <c r="A7" s="25" t="s">
        <v>32</v>
      </c>
      <c r="B7" s="17">
        <v>10</v>
      </c>
      <c r="C7" s="18">
        <v>20</v>
      </c>
      <c r="D7" s="51">
        <v>20</v>
      </c>
      <c r="E7" s="11">
        <f t="shared" ref="E7:E12" si="0">SUM(B7:D7)</f>
        <v>50</v>
      </c>
      <c r="F7" s="20">
        <v>10</v>
      </c>
      <c r="G7" s="18">
        <v>20</v>
      </c>
      <c r="H7" s="19">
        <v>20</v>
      </c>
      <c r="I7" s="11">
        <f t="shared" ref="I7:I12" si="1">SUM(F7:H7)</f>
        <v>50</v>
      </c>
      <c r="J7" s="11">
        <f t="shared" ref="J7:J12" si="2">E7+I7</f>
        <v>100</v>
      </c>
      <c r="K7" s="62">
        <v>43419</v>
      </c>
      <c r="L7" s="25" t="s">
        <v>9</v>
      </c>
      <c r="M7" s="17"/>
      <c r="N7" s="18"/>
      <c r="O7" s="51"/>
      <c r="P7" s="11">
        <f t="shared" ref="P7:P12" si="3">SUM(M7:O7)</f>
        <v>0</v>
      </c>
      <c r="Q7" s="20"/>
      <c r="R7" s="18"/>
      <c r="S7" s="19"/>
      <c r="T7" s="11">
        <f t="shared" ref="T7:T12" si="4">SUM(Q7:S7)</f>
        <v>0</v>
      </c>
      <c r="U7" s="11">
        <f t="shared" ref="U7:U12" si="5">P7+T7</f>
        <v>0</v>
      </c>
    </row>
    <row r="8" spans="1:23" x14ac:dyDescent="0.15">
      <c r="A8" s="25" t="s">
        <v>32</v>
      </c>
      <c r="B8" s="8">
        <v>20</v>
      </c>
      <c r="C8" s="9">
        <v>20</v>
      </c>
      <c r="D8" s="52"/>
      <c r="E8" s="11">
        <f t="shared" si="0"/>
        <v>40</v>
      </c>
      <c r="F8" s="12">
        <v>20</v>
      </c>
      <c r="G8" s="9">
        <v>20</v>
      </c>
      <c r="H8" s="10"/>
      <c r="I8" s="11">
        <f t="shared" si="1"/>
        <v>40</v>
      </c>
      <c r="J8" s="11">
        <f t="shared" si="2"/>
        <v>80</v>
      </c>
      <c r="K8" s="62">
        <v>43420</v>
      </c>
      <c r="L8" s="25" t="s">
        <v>10</v>
      </c>
      <c r="M8" s="8"/>
      <c r="N8" s="9"/>
      <c r="O8" s="52"/>
      <c r="P8" s="11">
        <f t="shared" si="3"/>
        <v>0</v>
      </c>
      <c r="Q8" s="12"/>
      <c r="R8" s="9"/>
      <c r="S8" s="10"/>
      <c r="T8" s="11">
        <f t="shared" si="4"/>
        <v>0</v>
      </c>
      <c r="U8" s="11">
        <f t="shared" si="5"/>
        <v>0</v>
      </c>
    </row>
    <row r="9" spans="1:23" x14ac:dyDescent="0.15">
      <c r="A9" s="25" t="s">
        <v>32</v>
      </c>
      <c r="B9" s="8">
        <v>30</v>
      </c>
      <c r="C9" s="9">
        <v>40</v>
      </c>
      <c r="D9" s="52">
        <v>35</v>
      </c>
      <c r="E9" s="11">
        <f t="shared" si="0"/>
        <v>105</v>
      </c>
      <c r="F9" s="12">
        <v>30</v>
      </c>
      <c r="G9" s="9">
        <v>40</v>
      </c>
      <c r="H9" s="10">
        <v>35</v>
      </c>
      <c r="I9" s="11">
        <f t="shared" si="1"/>
        <v>105</v>
      </c>
      <c r="J9" s="11">
        <f t="shared" si="2"/>
        <v>210</v>
      </c>
      <c r="K9" s="62">
        <v>43421</v>
      </c>
      <c r="L9" s="25" t="s">
        <v>11</v>
      </c>
      <c r="M9" s="8"/>
      <c r="N9" s="9"/>
      <c r="O9" s="52"/>
      <c r="P9" s="11">
        <f t="shared" si="3"/>
        <v>0</v>
      </c>
      <c r="Q9" s="12"/>
      <c r="R9" s="9"/>
      <c r="S9" s="10"/>
      <c r="T9" s="11">
        <f t="shared" si="4"/>
        <v>0</v>
      </c>
      <c r="U9" s="11">
        <f t="shared" si="5"/>
        <v>0</v>
      </c>
    </row>
    <row r="10" spans="1:23" x14ac:dyDescent="0.15">
      <c r="A10" s="25" t="s">
        <v>43</v>
      </c>
      <c r="B10" s="8"/>
      <c r="C10" s="9">
        <v>10</v>
      </c>
      <c r="D10" s="52"/>
      <c r="E10" s="11">
        <f t="shared" si="0"/>
        <v>10</v>
      </c>
      <c r="F10" s="12"/>
      <c r="G10" s="9">
        <v>10</v>
      </c>
      <c r="H10" s="10"/>
      <c r="I10" s="11">
        <f t="shared" si="1"/>
        <v>10</v>
      </c>
      <c r="J10" s="11">
        <f t="shared" si="2"/>
        <v>20</v>
      </c>
      <c r="K10" s="62">
        <v>43430</v>
      </c>
      <c r="L10" s="25" t="s">
        <v>12</v>
      </c>
      <c r="M10" s="8"/>
      <c r="N10" s="9"/>
      <c r="O10" s="52"/>
      <c r="P10" s="11">
        <f t="shared" si="3"/>
        <v>0</v>
      </c>
      <c r="Q10" s="12"/>
      <c r="R10" s="9"/>
      <c r="S10" s="10"/>
      <c r="T10" s="11">
        <f t="shared" si="4"/>
        <v>0</v>
      </c>
      <c r="U10" s="11">
        <f t="shared" si="5"/>
        <v>0</v>
      </c>
    </row>
    <row r="11" spans="1:23" x14ac:dyDescent="0.15">
      <c r="A11" s="25" t="s">
        <v>32</v>
      </c>
      <c r="B11" s="13"/>
      <c r="C11" s="14">
        <v>10</v>
      </c>
      <c r="D11" s="53"/>
      <c r="E11" s="11">
        <f t="shared" si="0"/>
        <v>10</v>
      </c>
      <c r="F11" s="16"/>
      <c r="G11" s="14">
        <v>10</v>
      </c>
      <c r="H11" s="15"/>
      <c r="I11" s="11">
        <f t="shared" si="1"/>
        <v>10</v>
      </c>
      <c r="J11" s="11">
        <f t="shared" si="2"/>
        <v>20</v>
      </c>
      <c r="K11" s="62">
        <v>43433</v>
      </c>
      <c r="L11" s="25" t="s">
        <v>13</v>
      </c>
      <c r="M11" s="13"/>
      <c r="N11" s="14"/>
      <c r="O11" s="53"/>
      <c r="P11" s="11">
        <f t="shared" si="3"/>
        <v>0</v>
      </c>
      <c r="Q11" s="16"/>
      <c r="R11" s="14"/>
      <c r="S11" s="15"/>
      <c r="T11" s="11">
        <f t="shared" si="4"/>
        <v>0</v>
      </c>
      <c r="U11" s="11">
        <f t="shared" si="5"/>
        <v>0</v>
      </c>
    </row>
    <row r="12" spans="1:23" ht="14.25" thickBot="1" x14ac:dyDescent="0.2">
      <c r="A12" s="25" t="s">
        <v>32</v>
      </c>
      <c r="B12" s="32">
        <v>10</v>
      </c>
      <c r="C12" s="33"/>
      <c r="D12" s="54">
        <v>5</v>
      </c>
      <c r="E12" s="61">
        <f t="shared" si="0"/>
        <v>15</v>
      </c>
      <c r="F12" s="34">
        <v>10</v>
      </c>
      <c r="G12" s="34"/>
      <c r="H12" s="37">
        <v>5</v>
      </c>
      <c r="I12" s="61">
        <f t="shared" si="1"/>
        <v>15</v>
      </c>
      <c r="J12" s="21">
        <f t="shared" si="2"/>
        <v>30</v>
      </c>
      <c r="K12" s="62">
        <v>43440</v>
      </c>
      <c r="L12" s="25" t="s">
        <v>14</v>
      </c>
      <c r="M12" s="32"/>
      <c r="N12" s="33"/>
      <c r="O12" s="54"/>
      <c r="P12" s="61">
        <f t="shared" si="3"/>
        <v>0</v>
      </c>
      <c r="Q12" s="34"/>
      <c r="R12" s="34"/>
      <c r="S12" s="37"/>
      <c r="T12" s="61">
        <f t="shared" si="4"/>
        <v>0</v>
      </c>
      <c r="U12" s="21">
        <f t="shared" si="5"/>
        <v>0</v>
      </c>
    </row>
    <row r="13" spans="1:23" ht="14.25" thickBot="1" x14ac:dyDescent="0.2">
      <c r="A13" s="35" t="s">
        <v>15</v>
      </c>
      <c r="B13" s="28">
        <f>SUM(B4:B12)</f>
        <v>90</v>
      </c>
      <c r="C13" s="29">
        <f>SUM(C4:C12)</f>
        <v>130</v>
      </c>
      <c r="D13" s="30">
        <f>SUM(D4:D12)</f>
        <v>90</v>
      </c>
      <c r="E13" s="31">
        <f>SUM(B13:D13)</f>
        <v>310</v>
      </c>
      <c r="F13" s="28">
        <f>SUM(F4:F12)</f>
        <v>90</v>
      </c>
      <c r="G13" s="29">
        <f>SUM(G4:G12)</f>
        <v>130</v>
      </c>
      <c r="H13" s="30">
        <f>SUM(H4:H12)</f>
        <v>90</v>
      </c>
      <c r="I13" s="31">
        <f>SUM(F13:H13)</f>
        <v>310</v>
      </c>
      <c r="J13" s="31">
        <f>E13+I13</f>
        <v>620</v>
      </c>
      <c r="L13" s="35" t="s">
        <v>15</v>
      </c>
      <c r="M13" s="28">
        <f>SUM(M4:M12)</f>
        <v>150</v>
      </c>
      <c r="N13" s="29">
        <f>SUM(N4:N12)</f>
        <v>190</v>
      </c>
      <c r="O13" s="30">
        <f>SUM(O4:O12)</f>
        <v>122</v>
      </c>
      <c r="P13" s="31">
        <f>SUM(M13:O13)</f>
        <v>462</v>
      </c>
      <c r="Q13" s="28">
        <f>SUM(Q4:Q12)</f>
        <v>150</v>
      </c>
      <c r="R13" s="29">
        <f>SUM(R4:R12)</f>
        <v>190</v>
      </c>
      <c r="S13" s="30">
        <f>SUM(S4:S12)</f>
        <v>122</v>
      </c>
      <c r="T13" s="31">
        <f>SUM(Q13:S13)</f>
        <v>462</v>
      </c>
      <c r="U13" s="31">
        <f>P13+T13</f>
        <v>924</v>
      </c>
    </row>
    <row r="14" spans="1:23" x14ac:dyDescent="0.15">
      <c r="A14" s="26" t="s">
        <v>30</v>
      </c>
      <c r="B14" s="13">
        <v>2</v>
      </c>
      <c r="C14" s="14"/>
      <c r="D14" s="15">
        <v>9</v>
      </c>
      <c r="E14" s="49">
        <f>SUM(B14:D14)</f>
        <v>11</v>
      </c>
      <c r="F14" s="16">
        <v>2</v>
      </c>
      <c r="G14" s="14"/>
      <c r="H14" s="15">
        <v>9</v>
      </c>
      <c r="I14" s="49">
        <f>SUM(F14:H14)</f>
        <v>11</v>
      </c>
      <c r="J14" s="11">
        <f>E14+I14</f>
        <v>22</v>
      </c>
      <c r="K14" s="62">
        <v>43417</v>
      </c>
      <c r="L14" s="23" t="s">
        <v>31</v>
      </c>
      <c r="M14" s="13">
        <v>10</v>
      </c>
      <c r="N14" s="14">
        <v>10</v>
      </c>
      <c r="O14" s="15">
        <v>10</v>
      </c>
      <c r="P14" s="49">
        <f>SUM(M14:O14)</f>
        <v>30</v>
      </c>
      <c r="Q14" s="16">
        <v>10</v>
      </c>
      <c r="R14" s="14">
        <v>10</v>
      </c>
      <c r="S14" s="15">
        <v>10</v>
      </c>
      <c r="T14" s="49">
        <f>SUM(Q14:S14)</f>
        <v>30</v>
      </c>
      <c r="U14" s="11">
        <f>P14+T14</f>
        <v>60</v>
      </c>
      <c r="V14" s="98">
        <v>43412</v>
      </c>
      <c r="W14" s="66"/>
    </row>
    <row r="15" spans="1:23" x14ac:dyDescent="0.15">
      <c r="A15" s="26" t="s">
        <v>33</v>
      </c>
      <c r="B15" s="8">
        <v>5</v>
      </c>
      <c r="C15" s="9">
        <v>15</v>
      </c>
      <c r="D15" s="10">
        <v>6</v>
      </c>
      <c r="E15" s="49">
        <f t="shared" ref="E15:E40" si="6">SUM(B15:D15)</f>
        <v>26</v>
      </c>
      <c r="F15" s="12">
        <v>5</v>
      </c>
      <c r="G15" s="9">
        <v>15</v>
      </c>
      <c r="H15" s="10">
        <v>6</v>
      </c>
      <c r="I15" s="49">
        <f t="shared" ref="I15:I40" si="7">SUM(F15:H15)</f>
        <v>26</v>
      </c>
      <c r="J15" s="11">
        <f t="shared" ref="J15:J38" si="8">E15+I15</f>
        <v>52</v>
      </c>
      <c r="K15" s="62">
        <v>43418</v>
      </c>
      <c r="L15" s="23" t="s">
        <v>29</v>
      </c>
      <c r="M15" s="8">
        <v>5</v>
      </c>
      <c r="N15" s="9">
        <v>5</v>
      </c>
      <c r="O15" s="10">
        <v>15</v>
      </c>
      <c r="P15" s="49">
        <f t="shared" ref="P15:P40" si="9">SUM(M15:O15)</f>
        <v>25</v>
      </c>
      <c r="Q15" s="12">
        <v>5</v>
      </c>
      <c r="R15" s="9">
        <v>5</v>
      </c>
      <c r="S15" s="10">
        <v>15</v>
      </c>
      <c r="T15" s="49">
        <f t="shared" ref="T15:T40" si="10">SUM(Q15:S15)</f>
        <v>25</v>
      </c>
      <c r="U15" s="11">
        <f t="shared" ref="U15:U39" si="11">P15+T15</f>
        <v>50</v>
      </c>
      <c r="V15" s="98">
        <v>43417</v>
      </c>
    </row>
    <row r="16" spans="1:23" x14ac:dyDescent="0.15">
      <c r="A16" s="26" t="s">
        <v>34</v>
      </c>
      <c r="B16" s="8">
        <v>8</v>
      </c>
      <c r="C16" s="9">
        <v>15</v>
      </c>
      <c r="D16" s="10">
        <v>15</v>
      </c>
      <c r="E16" s="49">
        <f t="shared" si="6"/>
        <v>38</v>
      </c>
      <c r="F16" s="12">
        <v>8</v>
      </c>
      <c r="G16" s="9">
        <v>15</v>
      </c>
      <c r="H16" s="10">
        <v>15</v>
      </c>
      <c r="I16" s="49">
        <f t="shared" si="7"/>
        <v>38</v>
      </c>
      <c r="J16" s="11">
        <f t="shared" si="8"/>
        <v>76</v>
      </c>
      <c r="K16" s="62">
        <v>43419</v>
      </c>
      <c r="L16" s="23" t="s">
        <v>29</v>
      </c>
      <c r="M16" s="13">
        <v>5</v>
      </c>
      <c r="N16" s="14">
        <v>15</v>
      </c>
      <c r="O16" s="15">
        <v>5</v>
      </c>
      <c r="P16" s="49">
        <f>SUM(M16:O16)</f>
        <v>25</v>
      </c>
      <c r="Q16" s="16">
        <v>5</v>
      </c>
      <c r="R16" s="14">
        <v>15</v>
      </c>
      <c r="S16" s="15">
        <v>5</v>
      </c>
      <c r="T16" s="49">
        <f>SUM(Q16:S16)</f>
        <v>25</v>
      </c>
      <c r="U16" s="11">
        <f>P16+T16</f>
        <v>50</v>
      </c>
      <c r="V16" s="98">
        <v>43418</v>
      </c>
    </row>
    <row r="17" spans="1:22" x14ac:dyDescent="0.15">
      <c r="A17" s="26" t="s">
        <v>35</v>
      </c>
      <c r="B17" s="8">
        <v>15</v>
      </c>
      <c r="C17" s="9">
        <v>17</v>
      </c>
      <c r="D17" s="10">
        <v>14</v>
      </c>
      <c r="E17" s="49">
        <f t="shared" si="6"/>
        <v>46</v>
      </c>
      <c r="F17" s="12">
        <v>15</v>
      </c>
      <c r="G17" s="9">
        <v>17</v>
      </c>
      <c r="H17" s="10">
        <v>14</v>
      </c>
      <c r="I17" s="49">
        <f t="shared" si="7"/>
        <v>46</v>
      </c>
      <c r="J17" s="11">
        <f t="shared" si="8"/>
        <v>92</v>
      </c>
      <c r="K17" s="62">
        <v>43420</v>
      </c>
      <c r="L17" s="23" t="s">
        <v>29</v>
      </c>
      <c r="M17" s="8">
        <v>10</v>
      </c>
      <c r="N17" s="9">
        <v>20</v>
      </c>
      <c r="O17" s="10">
        <v>20</v>
      </c>
      <c r="P17" s="49">
        <f t="shared" si="9"/>
        <v>50</v>
      </c>
      <c r="Q17" s="12">
        <v>10</v>
      </c>
      <c r="R17" s="9">
        <v>20</v>
      </c>
      <c r="S17" s="10">
        <v>20</v>
      </c>
      <c r="T17" s="49">
        <f t="shared" si="10"/>
        <v>50</v>
      </c>
      <c r="U17" s="11">
        <f t="shared" si="11"/>
        <v>100</v>
      </c>
      <c r="V17" s="98">
        <v>43419</v>
      </c>
    </row>
    <row r="18" spans="1:22" x14ac:dyDescent="0.15">
      <c r="A18" s="26" t="s">
        <v>37</v>
      </c>
      <c r="B18" s="8">
        <v>19</v>
      </c>
      <c r="C18" s="9">
        <v>23</v>
      </c>
      <c r="D18" s="10">
        <v>6</v>
      </c>
      <c r="E18" s="49">
        <f t="shared" si="6"/>
        <v>48</v>
      </c>
      <c r="F18" s="12">
        <v>19</v>
      </c>
      <c r="G18" s="9">
        <v>23</v>
      </c>
      <c r="H18" s="10">
        <v>6</v>
      </c>
      <c r="I18" s="49">
        <f t="shared" si="7"/>
        <v>48</v>
      </c>
      <c r="J18" s="11">
        <f t="shared" si="8"/>
        <v>96</v>
      </c>
      <c r="K18" s="62">
        <v>43421</v>
      </c>
      <c r="L18" s="23" t="s">
        <v>29</v>
      </c>
      <c r="M18" s="8">
        <v>20</v>
      </c>
      <c r="N18" s="9">
        <v>20</v>
      </c>
      <c r="O18" s="10"/>
      <c r="P18" s="49">
        <f t="shared" si="9"/>
        <v>40</v>
      </c>
      <c r="Q18" s="12">
        <v>20</v>
      </c>
      <c r="R18" s="9">
        <v>20</v>
      </c>
      <c r="S18" s="10"/>
      <c r="T18" s="49">
        <f t="shared" si="10"/>
        <v>40</v>
      </c>
      <c r="U18" s="11">
        <f t="shared" si="11"/>
        <v>80</v>
      </c>
      <c r="V18" s="98">
        <v>43420</v>
      </c>
    </row>
    <row r="19" spans="1:22" x14ac:dyDescent="0.15">
      <c r="A19" s="26" t="s">
        <v>38</v>
      </c>
      <c r="B19" s="8"/>
      <c r="C19" s="9">
        <v>7</v>
      </c>
      <c r="D19" s="10">
        <v>3</v>
      </c>
      <c r="E19" s="49">
        <f t="shared" si="6"/>
        <v>10</v>
      </c>
      <c r="F19" s="12"/>
      <c r="G19" s="9">
        <v>7</v>
      </c>
      <c r="H19" s="10">
        <v>3</v>
      </c>
      <c r="I19" s="49">
        <f t="shared" si="7"/>
        <v>10</v>
      </c>
      <c r="J19" s="11">
        <f t="shared" si="8"/>
        <v>20</v>
      </c>
      <c r="K19" s="62">
        <v>43424</v>
      </c>
      <c r="L19" s="23" t="s">
        <v>29</v>
      </c>
      <c r="M19" s="8">
        <v>30</v>
      </c>
      <c r="N19" s="9">
        <v>40</v>
      </c>
      <c r="O19" s="10">
        <v>35</v>
      </c>
      <c r="P19" s="49">
        <f t="shared" si="9"/>
        <v>105</v>
      </c>
      <c r="Q19" s="12">
        <v>30</v>
      </c>
      <c r="R19" s="9">
        <v>40</v>
      </c>
      <c r="S19" s="10">
        <v>35</v>
      </c>
      <c r="T19" s="49">
        <f t="shared" si="10"/>
        <v>105</v>
      </c>
      <c r="U19" s="11">
        <f t="shared" si="11"/>
        <v>210</v>
      </c>
      <c r="V19" s="98">
        <v>43421</v>
      </c>
    </row>
    <row r="20" spans="1:22" x14ac:dyDescent="0.15">
      <c r="A20" s="26" t="s">
        <v>39</v>
      </c>
      <c r="B20" s="8">
        <v>5</v>
      </c>
      <c r="C20" s="9">
        <v>8</v>
      </c>
      <c r="D20" s="10">
        <v>1</v>
      </c>
      <c r="E20" s="49">
        <f t="shared" si="6"/>
        <v>14</v>
      </c>
      <c r="F20" s="12">
        <v>5</v>
      </c>
      <c r="G20" s="9">
        <v>8</v>
      </c>
      <c r="H20" s="10">
        <v>1</v>
      </c>
      <c r="I20" s="49">
        <f t="shared" si="7"/>
        <v>14</v>
      </c>
      <c r="J20" s="11">
        <f t="shared" si="8"/>
        <v>28</v>
      </c>
      <c r="K20" s="62">
        <v>43425</v>
      </c>
      <c r="L20" s="26" t="s">
        <v>42</v>
      </c>
      <c r="M20" s="8">
        <v>18</v>
      </c>
      <c r="N20" s="9">
        <v>20</v>
      </c>
      <c r="O20" s="10">
        <v>9</v>
      </c>
      <c r="P20" s="49">
        <f t="shared" si="9"/>
        <v>47</v>
      </c>
      <c r="Q20" s="12">
        <v>18</v>
      </c>
      <c r="R20" s="9">
        <v>20</v>
      </c>
      <c r="S20" s="10">
        <v>9</v>
      </c>
      <c r="T20" s="49">
        <f t="shared" si="10"/>
        <v>47</v>
      </c>
      <c r="U20" s="11">
        <f t="shared" si="11"/>
        <v>94</v>
      </c>
      <c r="V20" s="98">
        <v>43423</v>
      </c>
    </row>
    <row r="21" spans="1:22" x14ac:dyDescent="0.15">
      <c r="A21" s="26" t="s">
        <v>40</v>
      </c>
      <c r="B21" s="8">
        <v>3</v>
      </c>
      <c r="C21" s="9">
        <v>9</v>
      </c>
      <c r="D21" s="10">
        <v>4</v>
      </c>
      <c r="E21" s="49">
        <f t="shared" si="6"/>
        <v>16</v>
      </c>
      <c r="F21" s="12">
        <v>3</v>
      </c>
      <c r="G21" s="9">
        <v>9</v>
      </c>
      <c r="H21" s="10">
        <v>4</v>
      </c>
      <c r="I21" s="49">
        <f t="shared" si="7"/>
        <v>16</v>
      </c>
      <c r="J21" s="11">
        <f t="shared" si="8"/>
        <v>32</v>
      </c>
      <c r="K21" s="62">
        <v>43426</v>
      </c>
      <c r="L21" s="23" t="s">
        <v>29</v>
      </c>
      <c r="M21" s="8"/>
      <c r="N21" s="9">
        <v>10</v>
      </c>
      <c r="O21" s="10"/>
      <c r="P21" s="49">
        <f t="shared" si="9"/>
        <v>10</v>
      </c>
      <c r="Q21" s="12"/>
      <c r="R21" s="9">
        <v>10</v>
      </c>
      <c r="S21" s="10"/>
      <c r="T21" s="49">
        <f t="shared" si="10"/>
        <v>10</v>
      </c>
      <c r="U21" s="11">
        <f t="shared" si="11"/>
        <v>20</v>
      </c>
      <c r="V21" s="98">
        <v>43430</v>
      </c>
    </row>
    <row r="22" spans="1:22" x14ac:dyDescent="0.15">
      <c r="A22" s="26" t="s">
        <v>41</v>
      </c>
      <c r="B22" s="8">
        <v>3</v>
      </c>
      <c r="C22" s="9">
        <v>6</v>
      </c>
      <c r="D22" s="10">
        <v>3</v>
      </c>
      <c r="E22" s="49">
        <f t="shared" si="6"/>
        <v>12</v>
      </c>
      <c r="F22" s="12">
        <v>3</v>
      </c>
      <c r="G22" s="9">
        <v>6</v>
      </c>
      <c r="H22" s="10">
        <v>3</v>
      </c>
      <c r="I22" s="49">
        <f t="shared" si="7"/>
        <v>12</v>
      </c>
      <c r="J22" s="11">
        <f t="shared" si="8"/>
        <v>24</v>
      </c>
      <c r="K22" s="62">
        <v>43428</v>
      </c>
      <c r="L22" s="23" t="s">
        <v>29</v>
      </c>
      <c r="M22" s="8"/>
      <c r="N22" s="9">
        <v>10</v>
      </c>
      <c r="O22" s="10"/>
      <c r="P22" s="49">
        <f t="shared" si="9"/>
        <v>10</v>
      </c>
      <c r="Q22" s="12"/>
      <c r="R22" s="9">
        <v>10</v>
      </c>
      <c r="S22" s="10"/>
      <c r="T22" s="49">
        <f t="shared" si="10"/>
        <v>10</v>
      </c>
      <c r="U22" s="11">
        <f t="shared" si="11"/>
        <v>20</v>
      </c>
      <c r="V22" s="98">
        <v>43433</v>
      </c>
    </row>
    <row r="23" spans="1:22" x14ac:dyDescent="0.15">
      <c r="A23" s="26" t="s">
        <v>44</v>
      </c>
      <c r="B23" s="13">
        <v>1</v>
      </c>
      <c r="C23" s="14">
        <v>6</v>
      </c>
      <c r="D23" s="15">
        <v>1</v>
      </c>
      <c r="E23" s="49">
        <f t="shared" si="6"/>
        <v>8</v>
      </c>
      <c r="F23" s="16">
        <v>1</v>
      </c>
      <c r="G23" s="14">
        <v>6</v>
      </c>
      <c r="H23" s="15">
        <v>1</v>
      </c>
      <c r="I23" s="49">
        <f t="shared" si="7"/>
        <v>8</v>
      </c>
      <c r="J23" s="11">
        <f t="shared" si="8"/>
        <v>16</v>
      </c>
      <c r="K23" s="62">
        <v>43431</v>
      </c>
      <c r="L23" s="23" t="s">
        <v>29</v>
      </c>
      <c r="M23" s="13">
        <v>10</v>
      </c>
      <c r="N23" s="14"/>
      <c r="O23" s="15">
        <v>5</v>
      </c>
      <c r="P23" s="49">
        <f t="shared" si="9"/>
        <v>15</v>
      </c>
      <c r="Q23" s="16">
        <v>10</v>
      </c>
      <c r="R23" s="14"/>
      <c r="S23" s="15">
        <v>5</v>
      </c>
      <c r="T23" s="49">
        <f t="shared" si="10"/>
        <v>15</v>
      </c>
      <c r="U23" s="11">
        <f t="shared" si="11"/>
        <v>30</v>
      </c>
      <c r="V23" s="99">
        <v>43440</v>
      </c>
    </row>
    <row r="24" spans="1:22" x14ac:dyDescent="0.15">
      <c r="A24" s="26" t="s">
        <v>45</v>
      </c>
      <c r="B24" s="8"/>
      <c r="C24" s="9">
        <v>3</v>
      </c>
      <c r="D24" s="10">
        <v>3</v>
      </c>
      <c r="E24" s="49">
        <f t="shared" si="6"/>
        <v>6</v>
      </c>
      <c r="F24" s="12"/>
      <c r="G24" s="9">
        <v>3</v>
      </c>
      <c r="H24" s="10">
        <v>3</v>
      </c>
      <c r="I24" s="49">
        <f t="shared" si="7"/>
        <v>6</v>
      </c>
      <c r="J24" s="11">
        <f t="shared" si="8"/>
        <v>12</v>
      </c>
      <c r="K24" s="62">
        <v>43432</v>
      </c>
      <c r="L24" s="23" t="s">
        <v>29</v>
      </c>
      <c r="M24" s="8"/>
      <c r="N24" s="9"/>
      <c r="O24" s="10">
        <v>5</v>
      </c>
      <c r="P24" s="49">
        <f t="shared" si="9"/>
        <v>5</v>
      </c>
      <c r="Q24" s="12"/>
      <c r="R24" s="9"/>
      <c r="S24" s="10">
        <v>5</v>
      </c>
      <c r="T24" s="49">
        <f t="shared" si="10"/>
        <v>5</v>
      </c>
      <c r="U24" s="11">
        <f t="shared" si="11"/>
        <v>10</v>
      </c>
      <c r="V24" s="98">
        <v>43449</v>
      </c>
    </row>
    <row r="25" spans="1:22" x14ac:dyDescent="0.15">
      <c r="A25" s="26" t="s">
        <v>46</v>
      </c>
      <c r="B25" s="8">
        <v>1</v>
      </c>
      <c r="C25" s="9">
        <v>5</v>
      </c>
      <c r="D25" s="10">
        <v>3</v>
      </c>
      <c r="E25" s="49">
        <f t="shared" si="6"/>
        <v>9</v>
      </c>
      <c r="F25" s="12">
        <v>1</v>
      </c>
      <c r="G25" s="9">
        <v>5</v>
      </c>
      <c r="H25" s="10">
        <v>3</v>
      </c>
      <c r="I25" s="49">
        <f t="shared" si="7"/>
        <v>9</v>
      </c>
      <c r="J25" s="11">
        <f t="shared" si="8"/>
        <v>18</v>
      </c>
      <c r="K25" s="62">
        <v>43433</v>
      </c>
      <c r="L25" s="26"/>
      <c r="M25" s="8"/>
      <c r="N25" s="9"/>
      <c r="O25" s="10"/>
      <c r="P25" s="49">
        <f t="shared" si="9"/>
        <v>0</v>
      </c>
      <c r="Q25" s="12"/>
      <c r="R25" s="9"/>
      <c r="S25" s="10"/>
      <c r="T25" s="49">
        <f t="shared" si="10"/>
        <v>0</v>
      </c>
      <c r="U25" s="11">
        <f t="shared" si="11"/>
        <v>0</v>
      </c>
      <c r="V25" s="100"/>
    </row>
    <row r="26" spans="1:22" x14ac:dyDescent="0.15">
      <c r="A26" s="26" t="s">
        <v>47</v>
      </c>
      <c r="B26" s="8"/>
      <c r="C26" s="9"/>
      <c r="D26" s="10">
        <v>3</v>
      </c>
      <c r="E26" s="49">
        <f t="shared" si="6"/>
        <v>3</v>
      </c>
      <c r="F26" s="12"/>
      <c r="G26" s="9"/>
      <c r="H26" s="10">
        <v>3</v>
      </c>
      <c r="I26" s="49">
        <f t="shared" si="7"/>
        <v>3</v>
      </c>
      <c r="J26" s="11">
        <f t="shared" si="8"/>
        <v>6</v>
      </c>
      <c r="K26" s="62">
        <v>43434</v>
      </c>
      <c r="L26" s="24"/>
      <c r="M26" s="8"/>
      <c r="N26" s="9"/>
      <c r="O26" s="10"/>
      <c r="P26" s="49">
        <f t="shared" si="9"/>
        <v>0</v>
      </c>
      <c r="Q26" s="12"/>
      <c r="R26" s="9"/>
      <c r="S26" s="10"/>
      <c r="T26" s="49">
        <f t="shared" si="10"/>
        <v>0</v>
      </c>
      <c r="U26" s="11">
        <f t="shared" si="11"/>
        <v>0</v>
      </c>
    </row>
    <row r="27" spans="1:22" x14ac:dyDescent="0.15">
      <c r="A27" s="26" t="s">
        <v>48</v>
      </c>
      <c r="B27" s="8">
        <v>3</v>
      </c>
      <c r="C27" s="9"/>
      <c r="D27" s="10">
        <v>6</v>
      </c>
      <c r="E27" s="49">
        <f t="shared" si="6"/>
        <v>9</v>
      </c>
      <c r="F27" s="12">
        <v>3</v>
      </c>
      <c r="G27" s="9"/>
      <c r="H27" s="10">
        <v>6</v>
      </c>
      <c r="I27" s="49">
        <f t="shared" si="7"/>
        <v>9</v>
      </c>
      <c r="J27" s="11">
        <f t="shared" si="8"/>
        <v>18</v>
      </c>
      <c r="K27" s="62">
        <v>43435</v>
      </c>
      <c r="L27" s="26"/>
      <c r="M27" s="8"/>
      <c r="N27" s="9"/>
      <c r="O27" s="10"/>
      <c r="P27" s="49">
        <f t="shared" si="9"/>
        <v>0</v>
      </c>
      <c r="Q27" s="12"/>
      <c r="R27" s="9"/>
      <c r="S27" s="10"/>
      <c r="T27" s="49">
        <f t="shared" si="10"/>
        <v>0</v>
      </c>
      <c r="U27" s="11">
        <f t="shared" si="11"/>
        <v>0</v>
      </c>
    </row>
    <row r="28" spans="1:22" x14ac:dyDescent="0.15">
      <c r="A28" s="26" t="s">
        <v>49</v>
      </c>
      <c r="B28" s="8">
        <v>4</v>
      </c>
      <c r="C28" s="9"/>
      <c r="D28" s="10"/>
      <c r="E28" s="49">
        <f t="shared" si="6"/>
        <v>4</v>
      </c>
      <c r="F28" s="12">
        <v>4</v>
      </c>
      <c r="G28" s="9"/>
      <c r="H28" s="10"/>
      <c r="I28" s="49">
        <f t="shared" si="7"/>
        <v>4</v>
      </c>
      <c r="J28" s="11">
        <f t="shared" si="8"/>
        <v>8</v>
      </c>
      <c r="K28" s="62">
        <v>43437</v>
      </c>
      <c r="L28" s="26"/>
      <c r="M28" s="8"/>
      <c r="N28" s="9"/>
      <c r="O28" s="10"/>
      <c r="P28" s="49">
        <f t="shared" si="9"/>
        <v>0</v>
      </c>
      <c r="Q28" s="12"/>
      <c r="R28" s="9"/>
      <c r="S28" s="10"/>
      <c r="T28" s="49">
        <f t="shared" si="10"/>
        <v>0</v>
      </c>
      <c r="U28" s="11">
        <f t="shared" si="11"/>
        <v>0</v>
      </c>
    </row>
    <row r="29" spans="1:22" x14ac:dyDescent="0.15">
      <c r="A29" s="26" t="s">
        <v>50</v>
      </c>
      <c r="B29" s="8"/>
      <c r="C29" s="9">
        <v>2</v>
      </c>
      <c r="D29" s="10"/>
      <c r="E29" s="49">
        <f t="shared" si="6"/>
        <v>2</v>
      </c>
      <c r="F29" s="12"/>
      <c r="G29" s="9">
        <v>2</v>
      </c>
      <c r="H29" s="10"/>
      <c r="I29" s="49">
        <f t="shared" si="7"/>
        <v>2</v>
      </c>
      <c r="J29" s="11">
        <f t="shared" si="8"/>
        <v>4</v>
      </c>
      <c r="K29" s="62">
        <v>43439</v>
      </c>
      <c r="L29" s="24"/>
      <c r="M29" s="8"/>
      <c r="N29" s="9"/>
      <c r="O29" s="10"/>
      <c r="P29" s="49">
        <f t="shared" si="9"/>
        <v>0</v>
      </c>
      <c r="Q29" s="12"/>
      <c r="R29" s="9"/>
      <c r="S29" s="10"/>
      <c r="T29" s="49">
        <f t="shared" si="10"/>
        <v>0</v>
      </c>
      <c r="U29" s="11">
        <f t="shared" si="11"/>
        <v>0</v>
      </c>
    </row>
    <row r="30" spans="1:22" x14ac:dyDescent="0.15">
      <c r="A30" s="26" t="s">
        <v>51</v>
      </c>
      <c r="B30" s="8">
        <v>3</v>
      </c>
      <c r="C30" s="9"/>
      <c r="D30" s="10"/>
      <c r="E30" s="49">
        <f t="shared" si="6"/>
        <v>3</v>
      </c>
      <c r="F30" s="12">
        <v>3</v>
      </c>
      <c r="G30" s="9"/>
      <c r="H30" s="10"/>
      <c r="I30" s="49">
        <f t="shared" si="7"/>
        <v>3</v>
      </c>
      <c r="J30" s="11">
        <f t="shared" si="8"/>
        <v>6</v>
      </c>
      <c r="K30" s="62">
        <v>43441</v>
      </c>
      <c r="L30" s="26"/>
      <c r="M30" s="8"/>
      <c r="N30" s="9"/>
      <c r="O30" s="10"/>
      <c r="P30" s="49">
        <f t="shared" si="9"/>
        <v>0</v>
      </c>
      <c r="Q30" s="12"/>
      <c r="R30" s="9"/>
      <c r="S30" s="10"/>
      <c r="T30" s="49">
        <f t="shared" si="10"/>
        <v>0</v>
      </c>
      <c r="U30" s="11">
        <f t="shared" si="11"/>
        <v>0</v>
      </c>
    </row>
    <row r="31" spans="1:22" x14ac:dyDescent="0.15">
      <c r="A31" s="24" t="s">
        <v>53</v>
      </c>
      <c r="B31" s="8"/>
      <c r="C31" s="9">
        <v>-3</v>
      </c>
      <c r="D31" s="10"/>
      <c r="E31" s="49">
        <f t="shared" si="6"/>
        <v>-3</v>
      </c>
      <c r="F31" s="12"/>
      <c r="G31" s="9">
        <v>-3</v>
      </c>
      <c r="H31" s="10"/>
      <c r="I31" s="49">
        <f t="shared" si="7"/>
        <v>-3</v>
      </c>
      <c r="J31" s="11">
        <f t="shared" si="8"/>
        <v>-6</v>
      </c>
      <c r="K31" s="62">
        <v>43441</v>
      </c>
      <c r="L31" s="24"/>
      <c r="M31" s="8"/>
      <c r="N31" s="9"/>
      <c r="O31" s="10"/>
      <c r="P31" s="49">
        <f t="shared" si="9"/>
        <v>0</v>
      </c>
      <c r="Q31" s="12"/>
      <c r="R31" s="9"/>
      <c r="S31" s="10"/>
      <c r="T31" s="49">
        <f t="shared" si="10"/>
        <v>0</v>
      </c>
      <c r="U31" s="11">
        <f t="shared" si="11"/>
        <v>0</v>
      </c>
    </row>
    <row r="32" spans="1:22" x14ac:dyDescent="0.15">
      <c r="A32" s="26" t="s">
        <v>54</v>
      </c>
      <c r="B32" s="8">
        <v>1</v>
      </c>
      <c r="C32" s="9"/>
      <c r="D32" s="10">
        <v>2</v>
      </c>
      <c r="E32" s="49">
        <f t="shared" si="6"/>
        <v>3</v>
      </c>
      <c r="F32" s="12">
        <v>1</v>
      </c>
      <c r="G32" s="9"/>
      <c r="H32" s="10">
        <v>2</v>
      </c>
      <c r="I32" s="49">
        <f t="shared" si="7"/>
        <v>3</v>
      </c>
      <c r="J32" s="11">
        <f t="shared" si="8"/>
        <v>6</v>
      </c>
      <c r="K32" s="62">
        <v>43445</v>
      </c>
      <c r="L32" s="23"/>
      <c r="M32" s="8"/>
      <c r="N32" s="9"/>
      <c r="O32" s="10"/>
      <c r="P32" s="49">
        <f t="shared" si="9"/>
        <v>0</v>
      </c>
      <c r="Q32" s="12"/>
      <c r="R32" s="9"/>
      <c r="S32" s="10"/>
      <c r="T32" s="49">
        <f t="shared" si="10"/>
        <v>0</v>
      </c>
      <c r="U32" s="11">
        <f t="shared" si="11"/>
        <v>0</v>
      </c>
    </row>
    <row r="33" spans="1:22" x14ac:dyDescent="0.15">
      <c r="A33" s="26" t="s">
        <v>55</v>
      </c>
      <c r="B33" s="8">
        <v>1</v>
      </c>
      <c r="C33" s="9">
        <v>2</v>
      </c>
      <c r="D33" s="10">
        <v>2</v>
      </c>
      <c r="E33" s="49">
        <f t="shared" si="6"/>
        <v>5</v>
      </c>
      <c r="F33" s="12">
        <v>1</v>
      </c>
      <c r="G33" s="9">
        <v>2</v>
      </c>
      <c r="H33" s="10">
        <v>2</v>
      </c>
      <c r="I33" s="49">
        <f t="shared" si="7"/>
        <v>5</v>
      </c>
      <c r="J33" s="11">
        <f t="shared" si="8"/>
        <v>10</v>
      </c>
      <c r="K33" s="62">
        <v>43448</v>
      </c>
      <c r="L33" s="24"/>
      <c r="M33" s="8"/>
      <c r="N33" s="9"/>
      <c r="O33" s="10"/>
      <c r="P33" s="49">
        <f t="shared" si="9"/>
        <v>0</v>
      </c>
      <c r="Q33" s="12"/>
      <c r="R33" s="9"/>
      <c r="S33" s="10"/>
      <c r="T33" s="49">
        <f t="shared" si="10"/>
        <v>0</v>
      </c>
      <c r="U33" s="11">
        <f t="shared" si="11"/>
        <v>0</v>
      </c>
    </row>
    <row r="34" spans="1:22" x14ac:dyDescent="0.15">
      <c r="A34" s="26" t="s">
        <v>56</v>
      </c>
      <c r="B34" s="8"/>
      <c r="C34" s="9">
        <v>2</v>
      </c>
      <c r="D34" s="10"/>
      <c r="E34" s="49">
        <f t="shared" si="6"/>
        <v>2</v>
      </c>
      <c r="F34" s="12"/>
      <c r="G34" s="9">
        <v>2</v>
      </c>
      <c r="H34" s="10"/>
      <c r="I34" s="49">
        <f t="shared" si="7"/>
        <v>2</v>
      </c>
      <c r="J34" s="11">
        <f t="shared" si="8"/>
        <v>4</v>
      </c>
      <c r="K34" s="62">
        <v>43449</v>
      </c>
      <c r="L34" s="26"/>
      <c r="M34" s="8"/>
      <c r="N34" s="9"/>
      <c r="O34" s="10"/>
      <c r="P34" s="49">
        <f t="shared" si="9"/>
        <v>0</v>
      </c>
      <c r="Q34" s="12"/>
      <c r="R34" s="9"/>
      <c r="S34" s="10"/>
      <c r="T34" s="49">
        <f t="shared" si="10"/>
        <v>0</v>
      </c>
      <c r="U34" s="11">
        <f t="shared" si="11"/>
        <v>0</v>
      </c>
    </row>
    <row r="35" spans="1:22" x14ac:dyDescent="0.15">
      <c r="A35" s="26" t="s">
        <v>60</v>
      </c>
      <c r="B35" s="13">
        <v>1</v>
      </c>
      <c r="C35" s="14"/>
      <c r="D35" s="15"/>
      <c r="E35" s="49">
        <f t="shared" si="6"/>
        <v>1</v>
      </c>
      <c r="F35" s="16">
        <v>1</v>
      </c>
      <c r="G35" s="14"/>
      <c r="H35" s="15"/>
      <c r="I35" s="49">
        <f t="shared" si="7"/>
        <v>1</v>
      </c>
      <c r="J35" s="11">
        <f t="shared" si="8"/>
        <v>2</v>
      </c>
      <c r="K35" s="65">
        <v>43451</v>
      </c>
      <c r="L35" s="67"/>
      <c r="M35" s="13"/>
      <c r="N35" s="14"/>
      <c r="O35" s="15"/>
      <c r="P35" s="49">
        <f t="shared" si="9"/>
        <v>0</v>
      </c>
      <c r="Q35" s="16"/>
      <c r="R35" s="14"/>
      <c r="S35" s="15"/>
      <c r="T35" s="49">
        <f t="shared" si="10"/>
        <v>0</v>
      </c>
      <c r="U35" s="11">
        <f t="shared" si="11"/>
        <v>0</v>
      </c>
    </row>
    <row r="36" spans="1:22" x14ac:dyDescent="0.15">
      <c r="A36" s="26" t="s">
        <v>62</v>
      </c>
      <c r="B36" s="8"/>
      <c r="C36" s="9"/>
      <c r="D36" s="10">
        <v>-5</v>
      </c>
      <c r="E36" s="49">
        <f t="shared" si="6"/>
        <v>-5</v>
      </c>
      <c r="F36" s="12"/>
      <c r="G36" s="9"/>
      <c r="H36" s="10">
        <v>-5</v>
      </c>
      <c r="I36" s="49">
        <f t="shared" si="7"/>
        <v>-5</v>
      </c>
      <c r="J36" s="11">
        <f t="shared" si="8"/>
        <v>-10</v>
      </c>
      <c r="K36" s="62">
        <v>43449</v>
      </c>
      <c r="L36" s="26"/>
      <c r="M36" s="8"/>
      <c r="N36" s="9"/>
      <c r="O36" s="10"/>
      <c r="P36" s="49">
        <f t="shared" si="9"/>
        <v>0</v>
      </c>
      <c r="Q36" s="12"/>
      <c r="R36" s="9"/>
      <c r="S36" s="10"/>
      <c r="T36" s="49">
        <f t="shared" si="10"/>
        <v>0</v>
      </c>
      <c r="U36" s="11">
        <f t="shared" si="11"/>
        <v>0</v>
      </c>
    </row>
    <row r="37" spans="1:22" x14ac:dyDescent="0.15">
      <c r="A37" s="26" t="s">
        <v>61</v>
      </c>
      <c r="B37" s="8">
        <v>1</v>
      </c>
      <c r="C37" s="9">
        <v>1</v>
      </c>
      <c r="D37" s="10"/>
      <c r="E37" s="49">
        <f t="shared" si="6"/>
        <v>2</v>
      </c>
      <c r="F37" s="12">
        <v>1</v>
      </c>
      <c r="G37" s="9">
        <v>1</v>
      </c>
      <c r="H37" s="10"/>
      <c r="I37" s="49">
        <f t="shared" si="7"/>
        <v>2</v>
      </c>
      <c r="J37" s="11">
        <f t="shared" si="8"/>
        <v>4</v>
      </c>
      <c r="K37" s="62">
        <v>43453</v>
      </c>
      <c r="L37" s="26"/>
      <c r="M37" s="8"/>
      <c r="N37" s="9"/>
      <c r="O37" s="10"/>
      <c r="P37" s="49">
        <f t="shared" si="9"/>
        <v>0</v>
      </c>
      <c r="Q37" s="12"/>
      <c r="R37" s="9"/>
      <c r="S37" s="10"/>
      <c r="T37" s="49">
        <f t="shared" si="10"/>
        <v>0</v>
      </c>
      <c r="U37" s="11">
        <f t="shared" si="11"/>
        <v>0</v>
      </c>
      <c r="V37" s="100"/>
    </row>
    <row r="38" spans="1:22" x14ac:dyDescent="0.15">
      <c r="A38" s="24" t="s">
        <v>53</v>
      </c>
      <c r="B38" s="8">
        <v>-1</v>
      </c>
      <c r="C38" s="9"/>
      <c r="D38" s="10">
        <v>-1</v>
      </c>
      <c r="E38" s="49">
        <f t="shared" si="6"/>
        <v>-2</v>
      </c>
      <c r="F38" s="12">
        <v>-1</v>
      </c>
      <c r="G38" s="9"/>
      <c r="H38" s="10">
        <v>-1</v>
      </c>
      <c r="I38" s="49">
        <f t="shared" si="7"/>
        <v>-2</v>
      </c>
      <c r="J38" s="11">
        <f t="shared" si="8"/>
        <v>-4</v>
      </c>
      <c r="K38" s="62">
        <v>43453</v>
      </c>
      <c r="L38" s="26"/>
      <c r="M38" s="8"/>
      <c r="N38" s="9"/>
      <c r="O38" s="10"/>
      <c r="P38" s="49">
        <f t="shared" si="9"/>
        <v>0</v>
      </c>
      <c r="Q38" s="12"/>
      <c r="R38" s="9"/>
      <c r="S38" s="10"/>
      <c r="T38" s="49">
        <f t="shared" si="10"/>
        <v>0</v>
      </c>
      <c r="U38" s="11">
        <f t="shared" si="11"/>
        <v>0</v>
      </c>
      <c r="V38" s="98"/>
    </row>
    <row r="39" spans="1:22" ht="14.25" thickBot="1" x14ac:dyDescent="0.2">
      <c r="A39" s="26" t="s">
        <v>63</v>
      </c>
      <c r="B39" s="13">
        <v>1</v>
      </c>
      <c r="C39" s="14"/>
      <c r="D39" s="15"/>
      <c r="E39" s="49">
        <f>SUM(B39:D39)</f>
        <v>1</v>
      </c>
      <c r="F39" s="16">
        <v>1</v>
      </c>
      <c r="G39" s="14"/>
      <c r="H39" s="15"/>
      <c r="I39" s="49">
        <f>SUM(F39:H39)</f>
        <v>1</v>
      </c>
      <c r="J39" s="11">
        <f>E39+I39</f>
        <v>2</v>
      </c>
      <c r="K39" s="62">
        <v>43456</v>
      </c>
      <c r="L39" s="26"/>
      <c r="M39" s="8"/>
      <c r="N39" s="9"/>
      <c r="O39" s="10"/>
      <c r="P39" s="49">
        <f t="shared" si="9"/>
        <v>0</v>
      </c>
      <c r="Q39" s="12"/>
      <c r="R39" s="9"/>
      <c r="S39" s="10"/>
      <c r="T39" s="49">
        <f t="shared" si="10"/>
        <v>0</v>
      </c>
      <c r="U39" s="11">
        <f t="shared" si="11"/>
        <v>0</v>
      </c>
      <c r="V39" s="98"/>
    </row>
    <row r="40" spans="1:22" ht="14.25" thickBot="1" x14ac:dyDescent="0.2">
      <c r="A40" s="41" t="s">
        <v>17</v>
      </c>
      <c r="B40" s="46">
        <f>SUM(B14:B39)</f>
        <v>76</v>
      </c>
      <c r="C40" s="47">
        <f t="shared" ref="C40:D40" si="12">SUM(C14:C39)</f>
        <v>118</v>
      </c>
      <c r="D40" s="58">
        <f t="shared" si="12"/>
        <v>75</v>
      </c>
      <c r="E40" s="45">
        <f t="shared" si="6"/>
        <v>269</v>
      </c>
      <c r="F40" s="46">
        <f>SUM(F14:F39)</f>
        <v>76</v>
      </c>
      <c r="G40" s="47">
        <f t="shared" ref="G40:H40" si="13">SUM(G14:G39)</f>
        <v>118</v>
      </c>
      <c r="H40" s="58">
        <f t="shared" si="13"/>
        <v>75</v>
      </c>
      <c r="I40" s="45">
        <f t="shared" si="7"/>
        <v>269</v>
      </c>
      <c r="J40" s="45">
        <f>E40+I40</f>
        <v>538</v>
      </c>
      <c r="K40" s="40"/>
      <c r="L40" s="41" t="s">
        <v>17</v>
      </c>
      <c r="M40" s="46">
        <f>SUM(M14:M39)</f>
        <v>108</v>
      </c>
      <c r="N40" s="47">
        <f t="shared" ref="N40:O40" si="14">SUM(N14:N39)</f>
        <v>150</v>
      </c>
      <c r="O40" s="58">
        <f t="shared" si="14"/>
        <v>104</v>
      </c>
      <c r="P40" s="45">
        <f t="shared" si="9"/>
        <v>362</v>
      </c>
      <c r="Q40" s="46">
        <f>SUM(Q14:Q39)</f>
        <v>108</v>
      </c>
      <c r="R40" s="47">
        <f t="shared" ref="R40:S40" si="15">SUM(R14:R39)</f>
        <v>150</v>
      </c>
      <c r="S40" s="58">
        <f t="shared" si="15"/>
        <v>104</v>
      </c>
      <c r="T40" s="45">
        <f t="shared" si="10"/>
        <v>362</v>
      </c>
      <c r="U40" s="45">
        <f>P40+T40</f>
        <v>724</v>
      </c>
    </row>
    <row r="41" spans="1:22" ht="14.25" thickBot="1" x14ac:dyDescent="0.2">
      <c r="A41" s="22" t="s">
        <v>16</v>
      </c>
      <c r="B41" s="50">
        <f>B13-B40</f>
        <v>14</v>
      </c>
      <c r="C41" s="56">
        <f t="shared" ref="C41:D41" si="16">C13-C40</f>
        <v>12</v>
      </c>
      <c r="D41" s="57">
        <f t="shared" si="16"/>
        <v>15</v>
      </c>
      <c r="E41" s="55">
        <f>SUM(B41:D41)</f>
        <v>41</v>
      </c>
      <c r="F41" s="50">
        <f>F13-F40</f>
        <v>14</v>
      </c>
      <c r="G41" s="56">
        <f t="shared" ref="G41:H41" si="17">G13-G40</f>
        <v>12</v>
      </c>
      <c r="H41" s="57">
        <f t="shared" si="17"/>
        <v>15</v>
      </c>
      <c r="I41" s="55">
        <f>SUM(F41:H41)</f>
        <v>41</v>
      </c>
      <c r="J41" s="31">
        <f>E41+I41</f>
        <v>82</v>
      </c>
      <c r="L41" s="22" t="s">
        <v>16</v>
      </c>
      <c r="M41" s="50">
        <f>M13-M40</f>
        <v>42</v>
      </c>
      <c r="N41" s="56">
        <f t="shared" ref="N41:O41" si="18">N13-N40</f>
        <v>40</v>
      </c>
      <c r="O41" s="57">
        <f t="shared" si="18"/>
        <v>18</v>
      </c>
      <c r="P41" s="55">
        <f>SUM(M41:O41)</f>
        <v>100</v>
      </c>
      <c r="Q41" s="50">
        <f>Q13-Q40</f>
        <v>42</v>
      </c>
      <c r="R41" s="56">
        <f t="shared" ref="R41:S41" si="19">R13-R40</f>
        <v>40</v>
      </c>
      <c r="S41" s="57">
        <f t="shared" si="19"/>
        <v>18</v>
      </c>
      <c r="T41" s="55">
        <f>SUM(Q41:S41)</f>
        <v>100</v>
      </c>
      <c r="U41" s="31">
        <f>P41+T41</f>
        <v>200</v>
      </c>
    </row>
    <row r="42" spans="1:22" ht="19.5" thickBot="1" x14ac:dyDescent="0.25">
      <c r="A42" s="3" t="s">
        <v>20</v>
      </c>
      <c r="B42" s="1"/>
      <c r="C42" s="1"/>
      <c r="D42" s="1"/>
      <c r="E42" s="1"/>
      <c r="F42" s="1"/>
      <c r="G42" s="1"/>
      <c r="H42" s="1"/>
      <c r="I42" s="1"/>
      <c r="J42" s="1"/>
      <c r="L42" s="3" t="s">
        <v>21</v>
      </c>
      <c r="M42" s="1"/>
      <c r="N42" s="1"/>
      <c r="O42" s="1"/>
      <c r="P42" s="1"/>
      <c r="Q42" s="1"/>
      <c r="R42" s="1"/>
      <c r="S42" s="1"/>
      <c r="T42" s="1"/>
      <c r="U42" s="1"/>
    </row>
    <row r="43" spans="1:22" ht="14.25" thickBot="1" x14ac:dyDescent="0.2">
      <c r="A43" s="7"/>
      <c r="B43" s="176" t="s">
        <v>22</v>
      </c>
      <c r="C43" s="177"/>
      <c r="D43" s="177"/>
      <c r="E43" s="178"/>
      <c r="F43" s="176" t="s">
        <v>23</v>
      </c>
      <c r="G43" s="177"/>
      <c r="H43" s="177"/>
      <c r="I43" s="179"/>
      <c r="J43" s="174" t="s">
        <v>0</v>
      </c>
      <c r="L43" s="7"/>
      <c r="M43" s="169" t="s">
        <v>24</v>
      </c>
      <c r="N43" s="170"/>
      <c r="O43" s="170"/>
      <c r="P43" s="171"/>
      <c r="Q43" s="169" t="s">
        <v>25</v>
      </c>
      <c r="R43" s="170"/>
      <c r="S43" s="170"/>
      <c r="T43" s="171"/>
      <c r="U43" s="174" t="s">
        <v>0</v>
      </c>
    </row>
    <row r="44" spans="1:22" ht="14.25" thickBot="1" x14ac:dyDescent="0.2">
      <c r="A44" s="7" t="s">
        <v>1</v>
      </c>
      <c r="B44" s="4" t="s">
        <v>2</v>
      </c>
      <c r="C44" s="5" t="s">
        <v>3</v>
      </c>
      <c r="D44" s="6" t="s">
        <v>4</v>
      </c>
      <c r="E44" s="7" t="s">
        <v>5</v>
      </c>
      <c r="F44" s="4" t="s">
        <v>2</v>
      </c>
      <c r="G44" s="5" t="s">
        <v>3</v>
      </c>
      <c r="H44" s="6" t="s">
        <v>4</v>
      </c>
      <c r="I44" s="7" t="s">
        <v>5</v>
      </c>
      <c r="J44" s="175"/>
      <c r="L44" s="7" t="s">
        <v>1</v>
      </c>
      <c r="M44" s="4" t="s">
        <v>2</v>
      </c>
      <c r="N44" s="5" t="s">
        <v>3</v>
      </c>
      <c r="O44" s="6" t="s">
        <v>4</v>
      </c>
      <c r="P44" s="7" t="s">
        <v>5</v>
      </c>
      <c r="Q44" s="4" t="s">
        <v>2</v>
      </c>
      <c r="R44" s="5" t="s">
        <v>3</v>
      </c>
      <c r="S44" s="6" t="s">
        <v>4</v>
      </c>
      <c r="T44" s="7" t="s">
        <v>5</v>
      </c>
      <c r="U44" s="175"/>
    </row>
    <row r="45" spans="1:22" ht="14.25" thickBot="1" x14ac:dyDescent="0.2">
      <c r="A45" s="27" t="s">
        <v>16</v>
      </c>
      <c r="B45" s="38">
        <f>B41</f>
        <v>14</v>
      </c>
      <c r="C45" s="39">
        <f>C41</f>
        <v>12</v>
      </c>
      <c r="D45" s="2">
        <f>D41</f>
        <v>15</v>
      </c>
      <c r="E45" s="36">
        <f>SUM(B45:D45)</f>
        <v>41</v>
      </c>
      <c r="F45" s="38">
        <f>F41</f>
        <v>14</v>
      </c>
      <c r="G45" s="39">
        <f>G41</f>
        <v>12</v>
      </c>
      <c r="H45" s="2">
        <f>H41</f>
        <v>15</v>
      </c>
      <c r="I45" s="36">
        <f>SUM(F45:H45)</f>
        <v>41</v>
      </c>
      <c r="J45" s="36">
        <f>E45+I45</f>
        <v>82</v>
      </c>
      <c r="K45" s="63"/>
      <c r="L45" s="68" t="s">
        <v>16</v>
      </c>
      <c r="M45" s="42">
        <f>M41</f>
        <v>42</v>
      </c>
      <c r="N45" s="43">
        <f>N41</f>
        <v>40</v>
      </c>
      <c r="O45" s="60">
        <f>O41</f>
        <v>18</v>
      </c>
      <c r="P45" s="48">
        <f>SUM(M45:O45)</f>
        <v>100</v>
      </c>
      <c r="Q45" s="42">
        <f>Q41</f>
        <v>42</v>
      </c>
      <c r="R45" s="43">
        <f>R41</f>
        <v>40</v>
      </c>
      <c r="S45" s="60">
        <f>S41</f>
        <v>18</v>
      </c>
      <c r="T45" s="48">
        <f>SUM(Q45:S45)</f>
        <v>100</v>
      </c>
      <c r="U45" s="48">
        <f>P45+T45</f>
        <v>200</v>
      </c>
      <c r="V45" s="98"/>
    </row>
    <row r="46" spans="1:22" x14ac:dyDescent="0.15">
      <c r="A46" s="25" t="s">
        <v>87</v>
      </c>
      <c r="B46" s="42">
        <v>2</v>
      </c>
      <c r="C46" s="43">
        <v>1</v>
      </c>
      <c r="D46" s="44"/>
      <c r="E46" s="48">
        <f>SUM(B46:D46)</f>
        <v>3</v>
      </c>
      <c r="F46" s="59">
        <v>2</v>
      </c>
      <c r="G46" s="43">
        <v>1</v>
      </c>
      <c r="H46" s="60"/>
      <c r="I46" s="48">
        <f>SUM(F46:H46)</f>
        <v>3</v>
      </c>
      <c r="J46" s="48">
        <f>E46+I46</f>
        <v>6</v>
      </c>
      <c r="K46" s="62">
        <v>43650</v>
      </c>
      <c r="L46" s="25" t="s">
        <v>84</v>
      </c>
      <c r="M46" s="42">
        <v>11</v>
      </c>
      <c r="N46" s="43">
        <v>11</v>
      </c>
      <c r="O46" s="44">
        <v>13</v>
      </c>
      <c r="P46" s="48">
        <f>SUM(M46:O46)</f>
        <v>35</v>
      </c>
      <c r="Q46" s="59">
        <v>11</v>
      </c>
      <c r="R46" s="43">
        <v>11</v>
      </c>
      <c r="S46" s="60">
        <v>13</v>
      </c>
      <c r="T46" s="48">
        <f>SUM(Q46:S46)</f>
        <v>35</v>
      </c>
      <c r="U46" s="48">
        <f>P46+T46</f>
        <v>70</v>
      </c>
      <c r="V46" s="98">
        <v>43526</v>
      </c>
    </row>
    <row r="47" spans="1:22" x14ac:dyDescent="0.15">
      <c r="A47" s="25" t="s">
        <v>32</v>
      </c>
      <c r="B47" s="8">
        <v>2</v>
      </c>
      <c r="C47" s="9">
        <v>2</v>
      </c>
      <c r="D47" s="52">
        <v>2</v>
      </c>
      <c r="E47" s="11">
        <f>SUM(B47:D47)</f>
        <v>6</v>
      </c>
      <c r="F47" s="12">
        <v>2</v>
      </c>
      <c r="G47" s="9">
        <v>2</v>
      </c>
      <c r="H47" s="10">
        <v>2</v>
      </c>
      <c r="I47" s="11">
        <f>SUM(F47:H47)</f>
        <v>6</v>
      </c>
      <c r="J47" s="11">
        <f>E47+I47</f>
        <v>12</v>
      </c>
      <c r="K47" s="62">
        <v>43714</v>
      </c>
      <c r="L47" s="25" t="s">
        <v>8</v>
      </c>
      <c r="M47" s="8"/>
      <c r="N47" s="9"/>
      <c r="O47" s="52"/>
      <c r="P47" s="11">
        <f>SUM(M47:O47)</f>
        <v>0</v>
      </c>
      <c r="Q47" s="12"/>
      <c r="R47" s="9"/>
      <c r="S47" s="10"/>
      <c r="T47" s="11">
        <f>SUM(Q47:S47)</f>
        <v>0</v>
      </c>
      <c r="U47" s="11">
        <f>P47+T47</f>
        <v>0</v>
      </c>
      <c r="V47" s="101"/>
    </row>
    <row r="48" spans="1:22" x14ac:dyDescent="0.15">
      <c r="A48" s="25"/>
      <c r="B48" s="17"/>
      <c r="C48" s="18"/>
      <c r="D48" s="51"/>
      <c r="E48" s="11">
        <f t="shared" ref="E48:E53" si="20">SUM(B48:D48)</f>
        <v>0</v>
      </c>
      <c r="F48" s="20"/>
      <c r="G48" s="18"/>
      <c r="H48" s="19"/>
      <c r="I48" s="11">
        <f t="shared" ref="I48:I53" si="21">SUM(F48:H48)</f>
        <v>0</v>
      </c>
      <c r="J48" s="11">
        <f t="shared" ref="J48:J53" si="22">E48+I48</f>
        <v>0</v>
      </c>
      <c r="K48" s="62"/>
      <c r="L48" s="25" t="s">
        <v>9</v>
      </c>
      <c r="M48" s="17"/>
      <c r="N48" s="18"/>
      <c r="O48" s="51"/>
      <c r="P48" s="11">
        <f t="shared" ref="P48:P53" si="23">SUM(M48:O48)</f>
        <v>0</v>
      </c>
      <c r="Q48" s="20"/>
      <c r="R48" s="18"/>
      <c r="S48" s="19"/>
      <c r="T48" s="11">
        <f t="shared" ref="T48:T53" si="24">SUM(Q48:S48)</f>
        <v>0</v>
      </c>
      <c r="U48" s="11">
        <f t="shared" ref="U48:U53" si="25">P48+T48</f>
        <v>0</v>
      </c>
    </row>
    <row r="49" spans="1:23" x14ac:dyDescent="0.15">
      <c r="A49" s="25"/>
      <c r="B49" s="8"/>
      <c r="C49" s="9"/>
      <c r="D49" s="52"/>
      <c r="E49" s="11">
        <f t="shared" si="20"/>
        <v>0</v>
      </c>
      <c r="F49" s="12"/>
      <c r="G49" s="9"/>
      <c r="H49" s="10"/>
      <c r="I49" s="11">
        <f t="shared" si="21"/>
        <v>0</v>
      </c>
      <c r="J49" s="11">
        <f t="shared" si="22"/>
        <v>0</v>
      </c>
      <c r="K49" s="62"/>
      <c r="L49" s="25" t="s">
        <v>10</v>
      </c>
      <c r="M49" s="8"/>
      <c r="N49" s="9"/>
      <c r="O49" s="52"/>
      <c r="P49" s="11">
        <f t="shared" si="23"/>
        <v>0</v>
      </c>
      <c r="Q49" s="12"/>
      <c r="R49" s="9"/>
      <c r="S49" s="10"/>
      <c r="T49" s="11">
        <f t="shared" si="24"/>
        <v>0</v>
      </c>
      <c r="U49" s="11">
        <f t="shared" si="25"/>
        <v>0</v>
      </c>
    </row>
    <row r="50" spans="1:23" x14ac:dyDescent="0.15">
      <c r="A50" s="25"/>
      <c r="B50" s="8"/>
      <c r="C50" s="9"/>
      <c r="D50" s="52"/>
      <c r="E50" s="11">
        <f t="shared" si="20"/>
        <v>0</v>
      </c>
      <c r="F50" s="12"/>
      <c r="G50" s="9"/>
      <c r="H50" s="10"/>
      <c r="I50" s="11">
        <f t="shared" si="21"/>
        <v>0</v>
      </c>
      <c r="J50" s="11">
        <f t="shared" si="22"/>
        <v>0</v>
      </c>
      <c r="K50" s="62"/>
      <c r="L50" s="25" t="s">
        <v>11</v>
      </c>
      <c r="M50" s="8"/>
      <c r="N50" s="9"/>
      <c r="O50" s="52"/>
      <c r="P50" s="11">
        <f t="shared" si="23"/>
        <v>0</v>
      </c>
      <c r="Q50" s="12"/>
      <c r="R50" s="9"/>
      <c r="S50" s="10"/>
      <c r="T50" s="11">
        <f t="shared" si="24"/>
        <v>0</v>
      </c>
      <c r="U50" s="11">
        <f t="shared" si="25"/>
        <v>0</v>
      </c>
    </row>
    <row r="51" spans="1:23" x14ac:dyDescent="0.15">
      <c r="A51" s="25"/>
      <c r="B51" s="8"/>
      <c r="C51" s="9"/>
      <c r="D51" s="52"/>
      <c r="E51" s="11">
        <f t="shared" si="20"/>
        <v>0</v>
      </c>
      <c r="F51" s="12"/>
      <c r="G51" s="9"/>
      <c r="H51" s="10"/>
      <c r="I51" s="11">
        <f t="shared" si="21"/>
        <v>0</v>
      </c>
      <c r="J51" s="11">
        <f t="shared" si="22"/>
        <v>0</v>
      </c>
      <c r="K51" s="62"/>
      <c r="L51" s="25" t="s">
        <v>12</v>
      </c>
      <c r="M51" s="8"/>
      <c r="N51" s="9"/>
      <c r="O51" s="52"/>
      <c r="P51" s="11">
        <f t="shared" si="23"/>
        <v>0</v>
      </c>
      <c r="Q51" s="12"/>
      <c r="R51" s="9"/>
      <c r="S51" s="10"/>
      <c r="T51" s="11">
        <f t="shared" si="24"/>
        <v>0</v>
      </c>
      <c r="U51" s="11">
        <f t="shared" si="25"/>
        <v>0</v>
      </c>
    </row>
    <row r="52" spans="1:23" x14ac:dyDescent="0.15">
      <c r="A52" s="25"/>
      <c r="B52" s="13"/>
      <c r="C52" s="14"/>
      <c r="D52" s="53"/>
      <c r="E52" s="11">
        <f t="shared" si="20"/>
        <v>0</v>
      </c>
      <c r="F52" s="16"/>
      <c r="G52" s="14"/>
      <c r="H52" s="15"/>
      <c r="I52" s="11">
        <f t="shared" si="21"/>
        <v>0</v>
      </c>
      <c r="J52" s="11">
        <f t="shared" si="22"/>
        <v>0</v>
      </c>
      <c r="K52" s="64"/>
      <c r="L52" s="25" t="s">
        <v>13</v>
      </c>
      <c r="M52" s="13"/>
      <c r="N52" s="14"/>
      <c r="O52" s="53"/>
      <c r="P52" s="11">
        <f t="shared" si="23"/>
        <v>0</v>
      </c>
      <c r="Q52" s="16"/>
      <c r="R52" s="14"/>
      <c r="S52" s="15"/>
      <c r="T52" s="11">
        <f t="shared" si="24"/>
        <v>0</v>
      </c>
      <c r="U52" s="11">
        <f t="shared" si="25"/>
        <v>0</v>
      </c>
    </row>
    <row r="53" spans="1:23" ht="14.25" thickBot="1" x14ac:dyDescent="0.2">
      <c r="A53" s="25"/>
      <c r="B53" s="32"/>
      <c r="C53" s="33"/>
      <c r="D53" s="54"/>
      <c r="E53" s="61">
        <f t="shared" si="20"/>
        <v>0</v>
      </c>
      <c r="F53" s="34"/>
      <c r="G53" s="34"/>
      <c r="H53" s="37"/>
      <c r="I53" s="61">
        <f t="shared" si="21"/>
        <v>0</v>
      </c>
      <c r="J53" s="21">
        <f t="shared" si="22"/>
        <v>0</v>
      </c>
      <c r="K53" s="62"/>
      <c r="L53" s="25" t="s">
        <v>14</v>
      </c>
      <c r="M53" s="32"/>
      <c r="N53" s="33"/>
      <c r="O53" s="54"/>
      <c r="P53" s="61">
        <f t="shared" si="23"/>
        <v>0</v>
      </c>
      <c r="Q53" s="34"/>
      <c r="R53" s="34"/>
      <c r="S53" s="37"/>
      <c r="T53" s="61">
        <f t="shared" si="24"/>
        <v>0</v>
      </c>
      <c r="U53" s="21">
        <f t="shared" si="25"/>
        <v>0</v>
      </c>
    </row>
    <row r="54" spans="1:23" ht="14.25" thickBot="1" x14ac:dyDescent="0.2">
      <c r="A54" s="35" t="s">
        <v>15</v>
      </c>
      <c r="B54" s="28">
        <f>SUM(B45:B53)</f>
        <v>18</v>
      </c>
      <c r="C54" s="29">
        <f>SUM(C45:C53)</f>
        <v>15</v>
      </c>
      <c r="D54" s="30">
        <f>SUM(D45:D53)</f>
        <v>17</v>
      </c>
      <c r="E54" s="31">
        <f>SUM(B54:D54)</f>
        <v>50</v>
      </c>
      <c r="F54" s="28">
        <f>SUM(F45:F53)</f>
        <v>18</v>
      </c>
      <c r="G54" s="29">
        <f>SUM(G45:G53)</f>
        <v>15</v>
      </c>
      <c r="H54" s="30">
        <f>SUM(H45:H53)</f>
        <v>17</v>
      </c>
      <c r="I54" s="31">
        <f>SUM(F54:H54)</f>
        <v>50</v>
      </c>
      <c r="J54" s="31">
        <f>E54+I54</f>
        <v>100</v>
      </c>
      <c r="L54" s="35" t="s">
        <v>15</v>
      </c>
      <c r="M54" s="28">
        <f>SUM(M45:M53)</f>
        <v>53</v>
      </c>
      <c r="N54" s="29">
        <f>SUM(N45:N53)</f>
        <v>51</v>
      </c>
      <c r="O54" s="30">
        <f>SUM(O45:O53)</f>
        <v>31</v>
      </c>
      <c r="P54" s="31">
        <f>SUM(M54:O54)</f>
        <v>135</v>
      </c>
      <c r="Q54" s="28">
        <f>SUM(Q45:Q53)</f>
        <v>53</v>
      </c>
      <c r="R54" s="29">
        <f>SUM(R45:R53)</f>
        <v>51</v>
      </c>
      <c r="S54" s="30">
        <f>SUM(S45:S53)</f>
        <v>31</v>
      </c>
      <c r="T54" s="31">
        <f>SUM(Q54:S54)</f>
        <v>135</v>
      </c>
      <c r="U54" s="31">
        <f>P54+T54</f>
        <v>270</v>
      </c>
    </row>
    <row r="55" spans="1:23" x14ac:dyDescent="0.15">
      <c r="A55" s="26" t="s">
        <v>65</v>
      </c>
      <c r="B55" s="13">
        <v>1</v>
      </c>
      <c r="C55" s="14"/>
      <c r="D55" s="15"/>
      <c r="E55" s="49">
        <f>SUM(B55:D55)</f>
        <v>1</v>
      </c>
      <c r="F55" s="16">
        <v>1</v>
      </c>
      <c r="G55" s="14"/>
      <c r="H55" s="15"/>
      <c r="I55" s="49">
        <f>SUM(F55:H55)</f>
        <v>1</v>
      </c>
      <c r="J55" s="11">
        <f>E55+I55</f>
        <v>2</v>
      </c>
      <c r="K55" s="62">
        <v>43462</v>
      </c>
      <c r="L55" s="26" t="s">
        <v>67</v>
      </c>
      <c r="M55" s="13">
        <v>2</v>
      </c>
      <c r="N55" s="14"/>
      <c r="O55" s="15"/>
      <c r="P55" s="49">
        <f>SUM(M55:O55)</f>
        <v>2</v>
      </c>
      <c r="Q55" s="16">
        <v>2</v>
      </c>
      <c r="R55" s="14"/>
      <c r="S55" s="15"/>
      <c r="T55" s="49">
        <f>SUM(Q55:S55)</f>
        <v>2</v>
      </c>
      <c r="U55" s="11">
        <f>P55+T55</f>
        <v>4</v>
      </c>
      <c r="V55" s="98">
        <v>43481</v>
      </c>
      <c r="W55" s="66"/>
    </row>
    <row r="56" spans="1:23" x14ac:dyDescent="0.15">
      <c r="A56" s="26" t="s">
        <v>66</v>
      </c>
      <c r="B56" s="8">
        <v>1</v>
      </c>
      <c r="C56" s="9"/>
      <c r="D56" s="10"/>
      <c r="E56" s="49">
        <f t="shared" ref="E56:E79" si="26">SUM(B56:D56)</f>
        <v>1</v>
      </c>
      <c r="F56" s="12">
        <v>1</v>
      </c>
      <c r="G56" s="9"/>
      <c r="H56" s="10"/>
      <c r="I56" s="49">
        <f t="shared" ref="I56:I79" si="27">SUM(F56:H56)</f>
        <v>1</v>
      </c>
      <c r="J56" s="11">
        <f t="shared" ref="J56:J79" si="28">E56+I56</f>
        <v>2</v>
      </c>
      <c r="K56" s="62">
        <v>43473</v>
      </c>
      <c r="L56" s="26" t="s">
        <v>68</v>
      </c>
      <c r="M56" s="8">
        <v>1</v>
      </c>
      <c r="N56" s="9"/>
      <c r="O56" s="10"/>
      <c r="P56" s="49">
        <f t="shared" ref="P56" si="29">SUM(M56:O56)</f>
        <v>1</v>
      </c>
      <c r="Q56" s="12">
        <v>1</v>
      </c>
      <c r="R56" s="9"/>
      <c r="S56" s="10"/>
      <c r="T56" s="49">
        <f t="shared" ref="T56" si="30">SUM(Q56:S56)</f>
        <v>1</v>
      </c>
      <c r="U56" s="11">
        <f t="shared" ref="U56" si="31">P56+T56</f>
        <v>2</v>
      </c>
      <c r="V56" s="98">
        <v>43484</v>
      </c>
      <c r="W56" s="66"/>
    </row>
    <row r="57" spans="1:23" x14ac:dyDescent="0.15">
      <c r="A57" s="26" t="s">
        <v>73</v>
      </c>
      <c r="B57" s="8"/>
      <c r="C57" s="9">
        <v>1</v>
      </c>
      <c r="D57" s="10"/>
      <c r="E57" s="49">
        <f t="shared" si="26"/>
        <v>1</v>
      </c>
      <c r="F57" s="12"/>
      <c r="G57" s="9">
        <v>1</v>
      </c>
      <c r="H57" s="10"/>
      <c r="I57" s="49">
        <f t="shared" si="27"/>
        <v>1</v>
      </c>
      <c r="J57" s="11">
        <f t="shared" si="28"/>
        <v>2</v>
      </c>
      <c r="K57" s="62">
        <v>43504</v>
      </c>
      <c r="L57" s="26" t="s">
        <v>70</v>
      </c>
      <c r="M57" s="13">
        <v>3</v>
      </c>
      <c r="N57" s="14"/>
      <c r="O57" s="15">
        <v>1</v>
      </c>
      <c r="P57" s="49">
        <f>SUM(M57:O57)</f>
        <v>4</v>
      </c>
      <c r="Q57" s="16">
        <v>3</v>
      </c>
      <c r="R57" s="14"/>
      <c r="S57" s="15">
        <v>1</v>
      </c>
      <c r="T57" s="49">
        <f>SUM(Q57:S57)</f>
        <v>4</v>
      </c>
      <c r="U57" s="11">
        <f>P57+T57</f>
        <v>8</v>
      </c>
      <c r="V57" s="98">
        <v>43488</v>
      </c>
      <c r="W57" s="66"/>
    </row>
    <row r="58" spans="1:23" x14ac:dyDescent="0.15">
      <c r="A58" s="26" t="s">
        <v>74</v>
      </c>
      <c r="B58" s="8"/>
      <c r="C58" s="9"/>
      <c r="D58" s="10">
        <v>1</v>
      </c>
      <c r="E58" s="49">
        <f t="shared" si="26"/>
        <v>1</v>
      </c>
      <c r="F58" s="12"/>
      <c r="G58" s="9"/>
      <c r="H58" s="10">
        <v>1</v>
      </c>
      <c r="I58" s="49">
        <f t="shared" si="27"/>
        <v>1</v>
      </c>
      <c r="J58" s="11">
        <f t="shared" si="28"/>
        <v>2</v>
      </c>
      <c r="K58" s="62">
        <v>43510</v>
      </c>
      <c r="L58" s="26" t="s">
        <v>71</v>
      </c>
      <c r="M58" s="8">
        <v>2</v>
      </c>
      <c r="N58" s="9"/>
      <c r="O58" s="10">
        <v>1</v>
      </c>
      <c r="P58" s="49">
        <f t="shared" ref="P58:P81" si="32">SUM(M58:O58)</f>
        <v>3</v>
      </c>
      <c r="Q58" s="12">
        <v>2</v>
      </c>
      <c r="R58" s="9"/>
      <c r="S58" s="10">
        <v>1</v>
      </c>
      <c r="T58" s="49">
        <f t="shared" ref="T58:T81" si="33">SUM(Q58:S58)</f>
        <v>3</v>
      </c>
      <c r="U58" s="11">
        <f t="shared" ref="U58:U80" si="34">P58+T58</f>
        <v>6</v>
      </c>
      <c r="V58" s="98">
        <v>43489</v>
      </c>
      <c r="W58" s="66"/>
    </row>
    <row r="59" spans="1:23" x14ac:dyDescent="0.15">
      <c r="A59" s="26" t="s">
        <v>78</v>
      </c>
      <c r="B59" s="8">
        <v>1</v>
      </c>
      <c r="C59" s="9"/>
      <c r="D59" s="10"/>
      <c r="E59" s="49">
        <f t="shared" si="26"/>
        <v>1</v>
      </c>
      <c r="F59" s="12">
        <v>1</v>
      </c>
      <c r="G59" s="9"/>
      <c r="H59" s="10"/>
      <c r="I59" s="49">
        <f t="shared" si="27"/>
        <v>1</v>
      </c>
      <c r="J59" s="11">
        <f t="shared" si="28"/>
        <v>2</v>
      </c>
      <c r="K59" s="62">
        <v>43514</v>
      </c>
      <c r="L59" s="26" t="s">
        <v>72</v>
      </c>
      <c r="M59" s="8">
        <v>2</v>
      </c>
      <c r="N59" s="9"/>
      <c r="O59" s="10">
        <v>1</v>
      </c>
      <c r="P59" s="49">
        <f t="shared" si="32"/>
        <v>3</v>
      </c>
      <c r="Q59" s="12">
        <v>2</v>
      </c>
      <c r="R59" s="9"/>
      <c r="S59" s="10">
        <v>1</v>
      </c>
      <c r="T59" s="49">
        <f t="shared" si="33"/>
        <v>3</v>
      </c>
      <c r="U59" s="11">
        <f t="shared" si="34"/>
        <v>6</v>
      </c>
      <c r="V59" s="98">
        <v>43494</v>
      </c>
      <c r="W59" s="66"/>
    </row>
    <row r="60" spans="1:23" x14ac:dyDescent="0.15">
      <c r="A60" s="26" t="s">
        <v>79</v>
      </c>
      <c r="B60" s="8"/>
      <c r="C60" s="9"/>
      <c r="D60" s="10">
        <v>1</v>
      </c>
      <c r="E60" s="49">
        <f t="shared" si="26"/>
        <v>1</v>
      </c>
      <c r="F60" s="12"/>
      <c r="G60" s="9"/>
      <c r="H60" s="10">
        <v>1</v>
      </c>
      <c r="I60" s="49">
        <f t="shared" si="27"/>
        <v>1</v>
      </c>
      <c r="J60" s="11">
        <f t="shared" si="28"/>
        <v>2</v>
      </c>
      <c r="K60" s="62">
        <v>43524</v>
      </c>
      <c r="L60" s="26" t="s">
        <v>80</v>
      </c>
      <c r="M60" s="8"/>
      <c r="N60" s="9"/>
      <c r="O60" s="10">
        <v>2</v>
      </c>
      <c r="P60" s="49">
        <f t="shared" si="32"/>
        <v>2</v>
      </c>
      <c r="Q60" s="12"/>
      <c r="R60" s="9"/>
      <c r="S60" s="10">
        <v>2</v>
      </c>
      <c r="T60" s="49">
        <f t="shared" si="33"/>
        <v>2</v>
      </c>
      <c r="U60" s="11">
        <f t="shared" si="34"/>
        <v>4</v>
      </c>
      <c r="V60" s="98">
        <v>43532</v>
      </c>
    </row>
    <row r="61" spans="1:23" x14ac:dyDescent="0.15">
      <c r="A61" s="26" t="s">
        <v>83</v>
      </c>
      <c r="B61" s="8">
        <v>11</v>
      </c>
      <c r="C61" s="9">
        <v>11</v>
      </c>
      <c r="D61" s="10">
        <v>13</v>
      </c>
      <c r="E61" s="49">
        <f t="shared" si="26"/>
        <v>35</v>
      </c>
      <c r="F61" s="12">
        <v>11</v>
      </c>
      <c r="G61" s="9">
        <v>11</v>
      </c>
      <c r="H61" s="10">
        <v>13</v>
      </c>
      <c r="I61" s="49">
        <f t="shared" si="27"/>
        <v>35</v>
      </c>
      <c r="J61" s="11">
        <f t="shared" si="28"/>
        <v>70</v>
      </c>
      <c r="K61" s="62">
        <v>43526</v>
      </c>
      <c r="L61" s="23" t="s">
        <v>86</v>
      </c>
      <c r="M61" s="8">
        <v>2</v>
      </c>
      <c r="N61" s="9">
        <v>1</v>
      </c>
      <c r="O61" s="10"/>
      <c r="P61" s="49">
        <f t="shared" si="32"/>
        <v>3</v>
      </c>
      <c r="Q61" s="12">
        <v>2</v>
      </c>
      <c r="R61" s="9">
        <v>1</v>
      </c>
      <c r="S61" s="10"/>
      <c r="T61" s="49">
        <f t="shared" si="33"/>
        <v>3</v>
      </c>
      <c r="U61" s="11">
        <f t="shared" si="34"/>
        <v>6</v>
      </c>
      <c r="V61" s="98">
        <v>43650</v>
      </c>
    </row>
    <row r="62" spans="1:23" x14ac:dyDescent="0.15">
      <c r="A62" s="26" t="s">
        <v>90</v>
      </c>
      <c r="B62" s="8">
        <v>1</v>
      </c>
      <c r="C62" s="9"/>
      <c r="D62" s="10"/>
      <c r="E62" s="49">
        <f t="shared" si="26"/>
        <v>1</v>
      </c>
      <c r="F62" s="12">
        <v>1</v>
      </c>
      <c r="G62" s="9"/>
      <c r="H62" s="10"/>
      <c r="I62" s="49">
        <f t="shared" si="27"/>
        <v>1</v>
      </c>
      <c r="J62" s="11">
        <f t="shared" si="28"/>
        <v>2</v>
      </c>
      <c r="K62" s="62">
        <v>43654</v>
      </c>
      <c r="L62" s="23" t="s">
        <v>29</v>
      </c>
      <c r="M62" s="8">
        <v>2</v>
      </c>
      <c r="N62" s="9">
        <v>2</v>
      </c>
      <c r="O62" s="10">
        <v>2</v>
      </c>
      <c r="P62" s="49">
        <f t="shared" si="32"/>
        <v>6</v>
      </c>
      <c r="Q62" s="12">
        <v>2</v>
      </c>
      <c r="R62" s="9">
        <v>2</v>
      </c>
      <c r="S62" s="10">
        <v>2</v>
      </c>
      <c r="T62" s="49">
        <f t="shared" si="33"/>
        <v>6</v>
      </c>
      <c r="U62" s="11">
        <f t="shared" si="34"/>
        <v>12</v>
      </c>
      <c r="V62" s="98">
        <v>43714</v>
      </c>
    </row>
    <row r="63" spans="1:23" x14ac:dyDescent="0.15">
      <c r="A63" s="26" t="s">
        <v>91</v>
      </c>
      <c r="B63" s="8">
        <v>1</v>
      </c>
      <c r="C63" s="9"/>
      <c r="D63" s="10"/>
      <c r="E63" s="49">
        <f t="shared" si="26"/>
        <v>1</v>
      </c>
      <c r="F63" s="12">
        <v>1</v>
      </c>
      <c r="G63" s="9"/>
      <c r="H63" s="10"/>
      <c r="I63" s="49">
        <f t="shared" si="27"/>
        <v>1</v>
      </c>
      <c r="J63" s="11">
        <f t="shared" si="28"/>
        <v>2</v>
      </c>
      <c r="K63" s="62">
        <v>43704</v>
      </c>
      <c r="L63" s="26"/>
      <c r="M63" s="8"/>
      <c r="N63" s="9"/>
      <c r="O63" s="10"/>
      <c r="P63" s="49">
        <f t="shared" si="32"/>
        <v>0</v>
      </c>
      <c r="Q63" s="12"/>
      <c r="R63" s="9"/>
      <c r="S63" s="10"/>
      <c r="T63" s="49">
        <f t="shared" si="33"/>
        <v>0</v>
      </c>
      <c r="U63" s="11">
        <f t="shared" si="34"/>
        <v>0</v>
      </c>
    </row>
    <row r="64" spans="1:23" x14ac:dyDescent="0.15">
      <c r="A64" s="26" t="s">
        <v>105</v>
      </c>
      <c r="B64" s="13">
        <v>1</v>
      </c>
      <c r="C64" s="14">
        <v>1</v>
      </c>
      <c r="D64" s="15">
        <v>1</v>
      </c>
      <c r="E64" s="49">
        <f t="shared" si="26"/>
        <v>3</v>
      </c>
      <c r="F64" s="16">
        <v>1</v>
      </c>
      <c r="G64" s="14">
        <v>1</v>
      </c>
      <c r="H64" s="15">
        <v>1</v>
      </c>
      <c r="I64" s="49">
        <f t="shared" si="27"/>
        <v>3</v>
      </c>
      <c r="J64" s="11">
        <f t="shared" si="28"/>
        <v>6</v>
      </c>
      <c r="K64" s="62">
        <v>43715</v>
      </c>
      <c r="L64" s="26"/>
      <c r="M64" s="13"/>
      <c r="N64" s="14"/>
      <c r="O64" s="15"/>
      <c r="P64" s="49">
        <f t="shared" si="32"/>
        <v>0</v>
      </c>
      <c r="Q64" s="16"/>
      <c r="R64" s="14"/>
      <c r="S64" s="15"/>
      <c r="T64" s="49">
        <f t="shared" si="33"/>
        <v>0</v>
      </c>
      <c r="U64" s="11">
        <f t="shared" si="34"/>
        <v>0</v>
      </c>
    </row>
    <row r="65" spans="1:23" x14ac:dyDescent="0.15">
      <c r="A65" s="26"/>
      <c r="B65" s="8"/>
      <c r="C65" s="9"/>
      <c r="D65" s="10"/>
      <c r="E65" s="49">
        <f t="shared" si="26"/>
        <v>0</v>
      </c>
      <c r="F65" s="12"/>
      <c r="G65" s="9"/>
      <c r="H65" s="10"/>
      <c r="I65" s="49">
        <f t="shared" si="27"/>
        <v>0</v>
      </c>
      <c r="J65" s="11">
        <f t="shared" si="28"/>
        <v>0</v>
      </c>
      <c r="K65" s="62"/>
      <c r="L65" s="26"/>
      <c r="M65" s="8"/>
      <c r="N65" s="9"/>
      <c r="O65" s="10"/>
      <c r="P65" s="49">
        <f t="shared" si="32"/>
        <v>0</v>
      </c>
      <c r="Q65" s="12"/>
      <c r="R65" s="9"/>
      <c r="S65" s="10"/>
      <c r="T65" s="49">
        <f t="shared" si="33"/>
        <v>0</v>
      </c>
      <c r="U65" s="11">
        <f t="shared" si="34"/>
        <v>0</v>
      </c>
    </row>
    <row r="66" spans="1:23" x14ac:dyDescent="0.15">
      <c r="A66" s="26"/>
      <c r="B66" s="8"/>
      <c r="C66" s="9"/>
      <c r="D66" s="10"/>
      <c r="E66" s="49">
        <f t="shared" si="26"/>
        <v>0</v>
      </c>
      <c r="F66" s="12"/>
      <c r="G66" s="9"/>
      <c r="H66" s="10"/>
      <c r="I66" s="49">
        <f t="shared" si="27"/>
        <v>0</v>
      </c>
      <c r="J66" s="11">
        <f t="shared" si="28"/>
        <v>0</v>
      </c>
      <c r="K66" s="62"/>
      <c r="L66" s="26"/>
      <c r="M66" s="8"/>
      <c r="N66" s="9"/>
      <c r="O66" s="10"/>
      <c r="P66" s="49">
        <f t="shared" si="32"/>
        <v>0</v>
      </c>
      <c r="Q66" s="12"/>
      <c r="R66" s="9"/>
      <c r="S66" s="10"/>
      <c r="T66" s="49">
        <f t="shared" si="33"/>
        <v>0</v>
      </c>
      <c r="U66" s="11">
        <f t="shared" si="34"/>
        <v>0</v>
      </c>
    </row>
    <row r="67" spans="1:23" x14ac:dyDescent="0.15">
      <c r="A67" s="26"/>
      <c r="B67" s="8"/>
      <c r="C67" s="9"/>
      <c r="D67" s="10"/>
      <c r="E67" s="49">
        <f t="shared" si="26"/>
        <v>0</v>
      </c>
      <c r="F67" s="12"/>
      <c r="G67" s="9"/>
      <c r="H67" s="10"/>
      <c r="I67" s="49">
        <f t="shared" si="27"/>
        <v>0</v>
      </c>
      <c r="J67" s="11">
        <f t="shared" si="28"/>
        <v>0</v>
      </c>
      <c r="K67" s="62"/>
      <c r="L67" s="24"/>
      <c r="M67" s="8"/>
      <c r="N67" s="9"/>
      <c r="O67" s="10"/>
      <c r="P67" s="49">
        <f t="shared" si="32"/>
        <v>0</v>
      </c>
      <c r="Q67" s="12"/>
      <c r="R67" s="9"/>
      <c r="S67" s="10"/>
      <c r="T67" s="49">
        <f t="shared" si="33"/>
        <v>0</v>
      </c>
      <c r="U67" s="11">
        <f t="shared" si="34"/>
        <v>0</v>
      </c>
    </row>
    <row r="68" spans="1:23" x14ac:dyDescent="0.15">
      <c r="A68" s="26"/>
      <c r="B68" s="8"/>
      <c r="C68" s="9"/>
      <c r="D68" s="10"/>
      <c r="E68" s="49">
        <f t="shared" si="26"/>
        <v>0</v>
      </c>
      <c r="F68" s="12"/>
      <c r="G68" s="9"/>
      <c r="H68" s="10"/>
      <c r="I68" s="49">
        <f t="shared" si="27"/>
        <v>0</v>
      </c>
      <c r="J68" s="11">
        <f t="shared" si="28"/>
        <v>0</v>
      </c>
      <c r="K68" s="62"/>
      <c r="L68" s="26"/>
      <c r="M68" s="8"/>
      <c r="N68" s="9"/>
      <c r="O68" s="10"/>
      <c r="P68" s="49">
        <f t="shared" si="32"/>
        <v>0</v>
      </c>
      <c r="Q68" s="12"/>
      <c r="R68" s="9"/>
      <c r="S68" s="10"/>
      <c r="T68" s="49">
        <f t="shared" si="33"/>
        <v>0</v>
      </c>
      <c r="U68" s="11">
        <f t="shared" si="34"/>
        <v>0</v>
      </c>
    </row>
    <row r="69" spans="1:23" x14ac:dyDescent="0.15">
      <c r="A69" s="26"/>
      <c r="B69" s="8"/>
      <c r="C69" s="9"/>
      <c r="D69" s="10"/>
      <c r="E69" s="49">
        <f t="shared" si="26"/>
        <v>0</v>
      </c>
      <c r="F69" s="12"/>
      <c r="G69" s="9"/>
      <c r="H69" s="10"/>
      <c r="I69" s="49">
        <f t="shared" si="27"/>
        <v>0</v>
      </c>
      <c r="J69" s="11">
        <f t="shared" si="28"/>
        <v>0</v>
      </c>
      <c r="K69" s="62"/>
      <c r="L69" s="26"/>
      <c r="M69" s="8"/>
      <c r="N69" s="9"/>
      <c r="O69" s="10"/>
      <c r="P69" s="49">
        <f t="shared" si="32"/>
        <v>0</v>
      </c>
      <c r="Q69" s="12"/>
      <c r="R69" s="9"/>
      <c r="S69" s="10"/>
      <c r="T69" s="49">
        <f t="shared" si="33"/>
        <v>0</v>
      </c>
      <c r="U69" s="11">
        <f t="shared" si="34"/>
        <v>0</v>
      </c>
    </row>
    <row r="70" spans="1:23" x14ac:dyDescent="0.15">
      <c r="A70" s="26"/>
      <c r="B70" s="8"/>
      <c r="C70" s="9"/>
      <c r="D70" s="10"/>
      <c r="E70" s="49">
        <f t="shared" si="26"/>
        <v>0</v>
      </c>
      <c r="F70" s="12"/>
      <c r="G70" s="9"/>
      <c r="H70" s="10"/>
      <c r="I70" s="49">
        <f t="shared" si="27"/>
        <v>0</v>
      </c>
      <c r="J70" s="11">
        <f t="shared" si="28"/>
        <v>0</v>
      </c>
      <c r="K70" s="62"/>
      <c r="L70" s="24"/>
      <c r="M70" s="8"/>
      <c r="N70" s="9"/>
      <c r="O70" s="10"/>
      <c r="P70" s="49">
        <f t="shared" si="32"/>
        <v>0</v>
      </c>
      <c r="Q70" s="12"/>
      <c r="R70" s="9"/>
      <c r="S70" s="10"/>
      <c r="T70" s="49">
        <f t="shared" si="33"/>
        <v>0</v>
      </c>
      <c r="U70" s="11">
        <f t="shared" si="34"/>
        <v>0</v>
      </c>
    </row>
    <row r="71" spans="1:23" x14ac:dyDescent="0.15">
      <c r="A71" s="26"/>
      <c r="B71" s="8"/>
      <c r="C71" s="9"/>
      <c r="D71" s="10"/>
      <c r="E71" s="49">
        <f t="shared" si="26"/>
        <v>0</v>
      </c>
      <c r="F71" s="12"/>
      <c r="G71" s="9"/>
      <c r="H71" s="10"/>
      <c r="I71" s="49">
        <f t="shared" si="27"/>
        <v>0</v>
      </c>
      <c r="J71" s="11">
        <f t="shared" si="28"/>
        <v>0</v>
      </c>
      <c r="K71" s="62"/>
      <c r="L71" s="26"/>
      <c r="M71" s="8"/>
      <c r="N71" s="9"/>
      <c r="O71" s="10"/>
      <c r="P71" s="49">
        <f t="shared" si="32"/>
        <v>0</v>
      </c>
      <c r="Q71" s="12"/>
      <c r="R71" s="9"/>
      <c r="S71" s="10"/>
      <c r="T71" s="49">
        <f t="shared" si="33"/>
        <v>0</v>
      </c>
      <c r="U71" s="11">
        <f t="shared" si="34"/>
        <v>0</v>
      </c>
    </row>
    <row r="72" spans="1:23" x14ac:dyDescent="0.15">
      <c r="A72" s="24"/>
      <c r="B72" s="8"/>
      <c r="C72" s="9"/>
      <c r="D72" s="10"/>
      <c r="E72" s="49">
        <f t="shared" si="26"/>
        <v>0</v>
      </c>
      <c r="F72" s="12"/>
      <c r="G72" s="9"/>
      <c r="H72" s="10"/>
      <c r="I72" s="49">
        <f t="shared" si="27"/>
        <v>0</v>
      </c>
      <c r="J72" s="11">
        <f t="shared" si="28"/>
        <v>0</v>
      </c>
      <c r="K72" s="62"/>
      <c r="L72" s="24"/>
      <c r="M72" s="8"/>
      <c r="N72" s="9"/>
      <c r="O72" s="10"/>
      <c r="P72" s="49">
        <f t="shared" si="32"/>
        <v>0</v>
      </c>
      <c r="Q72" s="12"/>
      <c r="R72" s="9"/>
      <c r="S72" s="10"/>
      <c r="T72" s="49">
        <f t="shared" si="33"/>
        <v>0</v>
      </c>
      <c r="U72" s="11">
        <f t="shared" si="34"/>
        <v>0</v>
      </c>
    </row>
    <row r="73" spans="1:23" x14ac:dyDescent="0.15">
      <c r="A73" s="25"/>
      <c r="B73" s="8"/>
      <c r="C73" s="9"/>
      <c r="D73" s="10"/>
      <c r="E73" s="49">
        <f t="shared" si="26"/>
        <v>0</v>
      </c>
      <c r="F73" s="12"/>
      <c r="G73" s="9"/>
      <c r="H73" s="10"/>
      <c r="I73" s="49">
        <f t="shared" si="27"/>
        <v>0</v>
      </c>
      <c r="J73" s="11">
        <f t="shared" si="28"/>
        <v>0</v>
      </c>
      <c r="K73" s="64"/>
      <c r="L73" s="23"/>
      <c r="M73" s="8"/>
      <c r="N73" s="9"/>
      <c r="O73" s="10"/>
      <c r="P73" s="49">
        <f t="shared" si="32"/>
        <v>0</v>
      </c>
      <c r="Q73" s="12"/>
      <c r="R73" s="9"/>
      <c r="S73" s="10"/>
      <c r="T73" s="49">
        <f t="shared" si="33"/>
        <v>0</v>
      </c>
      <c r="U73" s="11">
        <f t="shared" si="34"/>
        <v>0</v>
      </c>
    </row>
    <row r="74" spans="1:23" x14ac:dyDescent="0.15">
      <c r="A74" s="26"/>
      <c r="B74" s="8"/>
      <c r="C74" s="9"/>
      <c r="D74" s="10"/>
      <c r="E74" s="49">
        <f t="shared" si="26"/>
        <v>0</v>
      </c>
      <c r="F74" s="12"/>
      <c r="G74" s="9"/>
      <c r="H74" s="10"/>
      <c r="I74" s="49">
        <f t="shared" si="27"/>
        <v>0</v>
      </c>
      <c r="J74" s="11">
        <f t="shared" si="28"/>
        <v>0</v>
      </c>
      <c r="K74" s="62"/>
      <c r="L74" s="24"/>
      <c r="M74" s="8"/>
      <c r="N74" s="9"/>
      <c r="O74" s="10"/>
      <c r="P74" s="49">
        <f t="shared" si="32"/>
        <v>0</v>
      </c>
      <c r="Q74" s="12"/>
      <c r="R74" s="9"/>
      <c r="S74" s="10"/>
      <c r="T74" s="49">
        <f t="shared" si="33"/>
        <v>0</v>
      </c>
      <c r="U74" s="11">
        <f t="shared" si="34"/>
        <v>0</v>
      </c>
    </row>
    <row r="75" spans="1:23" x14ac:dyDescent="0.15">
      <c r="A75" s="24"/>
      <c r="B75" s="8"/>
      <c r="C75" s="9"/>
      <c r="D75" s="10"/>
      <c r="E75" s="49">
        <f t="shared" si="26"/>
        <v>0</v>
      </c>
      <c r="F75" s="12"/>
      <c r="G75" s="9"/>
      <c r="H75" s="10"/>
      <c r="I75" s="49">
        <f t="shared" si="27"/>
        <v>0</v>
      </c>
      <c r="J75" s="11">
        <f t="shared" si="28"/>
        <v>0</v>
      </c>
      <c r="K75" s="62"/>
      <c r="L75" s="26"/>
      <c r="M75" s="8"/>
      <c r="N75" s="9"/>
      <c r="O75" s="10"/>
      <c r="P75" s="49">
        <f t="shared" si="32"/>
        <v>0</v>
      </c>
      <c r="Q75" s="12"/>
      <c r="R75" s="9"/>
      <c r="S75" s="10"/>
      <c r="T75" s="49">
        <f t="shared" si="33"/>
        <v>0</v>
      </c>
      <c r="U75" s="11">
        <f t="shared" si="34"/>
        <v>0</v>
      </c>
    </row>
    <row r="76" spans="1:23" x14ac:dyDescent="0.15">
      <c r="B76" s="13"/>
      <c r="C76" s="14"/>
      <c r="D76" s="15"/>
      <c r="E76" s="49">
        <f t="shared" si="26"/>
        <v>0</v>
      </c>
      <c r="F76" s="16"/>
      <c r="G76" s="14"/>
      <c r="H76" s="15"/>
      <c r="I76" s="49">
        <f t="shared" si="27"/>
        <v>0</v>
      </c>
      <c r="J76" s="11">
        <f t="shared" si="28"/>
        <v>0</v>
      </c>
      <c r="K76" s="65"/>
      <c r="L76" s="26" t="s">
        <v>26</v>
      </c>
      <c r="M76" s="8"/>
      <c r="N76" s="9"/>
      <c r="O76" s="10"/>
      <c r="P76" s="49">
        <f t="shared" si="32"/>
        <v>0</v>
      </c>
      <c r="Q76" s="12"/>
      <c r="R76" s="9"/>
      <c r="S76" s="10"/>
      <c r="T76" s="49">
        <f t="shared" si="33"/>
        <v>0</v>
      </c>
      <c r="U76" s="11">
        <f t="shared" si="34"/>
        <v>0</v>
      </c>
      <c r="V76" s="98" t="s">
        <v>75</v>
      </c>
      <c r="W76" s="66"/>
    </row>
    <row r="77" spans="1:23" x14ac:dyDescent="0.15">
      <c r="A77" s="26"/>
      <c r="B77" s="8"/>
      <c r="C77" s="9"/>
      <c r="D77" s="10"/>
      <c r="E77" s="49">
        <f t="shared" si="26"/>
        <v>0</v>
      </c>
      <c r="F77" s="12"/>
      <c r="G77" s="9"/>
      <c r="H77" s="10"/>
      <c r="I77" s="49">
        <f t="shared" si="27"/>
        <v>0</v>
      </c>
      <c r="J77" s="11">
        <f t="shared" si="28"/>
        <v>0</v>
      </c>
      <c r="K77" s="62"/>
      <c r="L77" s="26"/>
      <c r="M77" s="8"/>
      <c r="N77" s="9"/>
      <c r="O77" s="10"/>
      <c r="P77" s="49">
        <f t="shared" si="32"/>
        <v>0</v>
      </c>
      <c r="Q77" s="12"/>
      <c r="R77" s="9"/>
      <c r="S77" s="10"/>
      <c r="T77" s="49">
        <f t="shared" si="33"/>
        <v>0</v>
      </c>
      <c r="U77" s="11">
        <f t="shared" si="34"/>
        <v>0</v>
      </c>
      <c r="V77" s="100"/>
      <c r="W77" s="66"/>
    </row>
    <row r="78" spans="1:23" x14ac:dyDescent="0.15">
      <c r="A78" s="26"/>
      <c r="B78" s="8"/>
      <c r="C78" s="9"/>
      <c r="D78" s="10"/>
      <c r="E78" s="49">
        <f t="shared" si="26"/>
        <v>0</v>
      </c>
      <c r="F78" s="12"/>
      <c r="G78" s="9"/>
      <c r="H78" s="10"/>
      <c r="I78" s="49">
        <f t="shared" si="27"/>
        <v>0</v>
      </c>
      <c r="J78" s="11">
        <f t="shared" si="28"/>
        <v>0</v>
      </c>
      <c r="K78" s="62"/>
      <c r="L78" s="26" t="s">
        <v>57</v>
      </c>
      <c r="M78" s="8"/>
      <c r="N78" s="9"/>
      <c r="O78" s="10"/>
      <c r="P78" s="49">
        <f t="shared" ref="P78" si="35">SUM(M78:O78)</f>
        <v>0</v>
      </c>
      <c r="Q78" s="12"/>
      <c r="R78" s="9"/>
      <c r="S78" s="10"/>
      <c r="T78" s="49">
        <f t="shared" ref="T78" si="36">SUM(Q78:S78)</f>
        <v>0</v>
      </c>
      <c r="U78" s="11">
        <f t="shared" ref="U78" si="37">P78+T78</f>
        <v>0</v>
      </c>
      <c r="V78" s="98" t="s">
        <v>76</v>
      </c>
      <c r="W78" s="66"/>
    </row>
    <row r="79" spans="1:23" x14ac:dyDescent="0.15">
      <c r="A79" s="26"/>
      <c r="B79" s="8"/>
      <c r="C79" s="9"/>
      <c r="D79" s="10"/>
      <c r="E79" s="49">
        <f t="shared" si="26"/>
        <v>0</v>
      </c>
      <c r="F79" s="12"/>
      <c r="G79" s="9"/>
      <c r="H79" s="10"/>
      <c r="I79" s="49">
        <f t="shared" si="27"/>
        <v>0</v>
      </c>
      <c r="J79" s="11">
        <f t="shared" si="28"/>
        <v>0</v>
      </c>
      <c r="K79" s="62"/>
      <c r="L79" s="26" t="s">
        <v>59</v>
      </c>
      <c r="M79" s="8"/>
      <c r="N79" s="9"/>
      <c r="O79" s="10"/>
      <c r="P79" s="49">
        <f t="shared" si="32"/>
        <v>0</v>
      </c>
      <c r="Q79" s="12"/>
      <c r="R79" s="9"/>
      <c r="S79" s="10"/>
      <c r="T79" s="49">
        <f t="shared" si="33"/>
        <v>0</v>
      </c>
      <c r="U79" s="11">
        <f t="shared" si="34"/>
        <v>0</v>
      </c>
      <c r="V79" s="98" t="s">
        <v>77</v>
      </c>
      <c r="W79" s="66"/>
    </row>
    <row r="80" spans="1:23" ht="14.25" thickBot="1" x14ac:dyDescent="0.2">
      <c r="A80" s="23"/>
      <c r="B80" s="13"/>
      <c r="C80" s="14"/>
      <c r="D80" s="15"/>
      <c r="E80" s="49">
        <f>SUM(B80:D80)</f>
        <v>0</v>
      </c>
      <c r="F80" s="16"/>
      <c r="G80" s="14"/>
      <c r="H80" s="15"/>
      <c r="I80" s="49">
        <f>SUM(F80:H80)</f>
        <v>0</v>
      </c>
      <c r="J80" s="11">
        <f>E80+I80</f>
        <v>0</v>
      </c>
      <c r="K80" s="62"/>
      <c r="L80" s="26"/>
      <c r="M80" s="8"/>
      <c r="N80" s="9"/>
      <c r="O80" s="10"/>
      <c r="P80" s="49">
        <f t="shared" si="32"/>
        <v>0</v>
      </c>
      <c r="Q80" s="12"/>
      <c r="R80" s="9"/>
      <c r="S80" s="10"/>
      <c r="T80" s="49">
        <f t="shared" si="33"/>
        <v>0</v>
      </c>
      <c r="U80" s="11">
        <f t="shared" si="34"/>
        <v>0</v>
      </c>
      <c r="V80" s="98"/>
    </row>
    <row r="81" spans="1:22" ht="14.25" thickBot="1" x14ac:dyDescent="0.2">
      <c r="A81" s="41" t="s">
        <v>17</v>
      </c>
      <c r="B81" s="46">
        <f>SUM(B55:B80)</f>
        <v>17</v>
      </c>
      <c r="C81" s="47">
        <f t="shared" ref="C81:D81" si="38">SUM(C55:C80)</f>
        <v>13</v>
      </c>
      <c r="D81" s="58">
        <f t="shared" si="38"/>
        <v>16</v>
      </c>
      <c r="E81" s="45">
        <f t="shared" ref="E81" si="39">SUM(B81:D81)</f>
        <v>46</v>
      </c>
      <c r="F81" s="46">
        <f>SUM(F55:F80)</f>
        <v>17</v>
      </c>
      <c r="G81" s="47">
        <f t="shared" ref="G81:H81" si="40">SUM(G55:G80)</f>
        <v>13</v>
      </c>
      <c r="H81" s="58">
        <f t="shared" si="40"/>
        <v>16</v>
      </c>
      <c r="I81" s="45">
        <f t="shared" ref="I81" si="41">SUM(F81:H81)</f>
        <v>46</v>
      </c>
      <c r="J81" s="45">
        <f>E81+I81</f>
        <v>92</v>
      </c>
      <c r="K81" s="40"/>
      <c r="L81" s="41" t="s">
        <v>17</v>
      </c>
      <c r="M81" s="46">
        <f>SUM(M55:M80)</f>
        <v>14</v>
      </c>
      <c r="N81" s="47">
        <f t="shared" ref="N81:O81" si="42">SUM(N55:N80)</f>
        <v>3</v>
      </c>
      <c r="O81" s="58">
        <f t="shared" si="42"/>
        <v>7</v>
      </c>
      <c r="P81" s="45">
        <f t="shared" si="32"/>
        <v>24</v>
      </c>
      <c r="Q81" s="46">
        <f>SUM(Q55:Q80)</f>
        <v>14</v>
      </c>
      <c r="R81" s="47">
        <f t="shared" ref="R81:S81" si="43">SUM(R55:R80)</f>
        <v>3</v>
      </c>
      <c r="S81" s="58">
        <f t="shared" si="43"/>
        <v>7</v>
      </c>
      <c r="T81" s="45">
        <f t="shared" si="33"/>
        <v>24</v>
      </c>
      <c r="U81" s="45">
        <f>P81+T81</f>
        <v>48</v>
      </c>
    </row>
    <row r="82" spans="1:22" ht="14.25" thickBot="1" x14ac:dyDescent="0.2">
      <c r="A82" s="22" t="s">
        <v>16</v>
      </c>
      <c r="B82" s="50">
        <f>B54-B81</f>
        <v>1</v>
      </c>
      <c r="C82" s="56">
        <f t="shared" ref="C82:D82" si="44">C54-C81</f>
        <v>2</v>
      </c>
      <c r="D82" s="57">
        <f t="shared" si="44"/>
        <v>1</v>
      </c>
      <c r="E82" s="55">
        <f>SUM(B82:D82)</f>
        <v>4</v>
      </c>
      <c r="F82" s="50">
        <f>F54-F81</f>
        <v>1</v>
      </c>
      <c r="G82" s="56">
        <f t="shared" ref="G82:H82" si="45">G54-G81</f>
        <v>2</v>
      </c>
      <c r="H82" s="57">
        <f t="shared" si="45"/>
        <v>1</v>
      </c>
      <c r="I82" s="55">
        <f>SUM(F82:H82)</f>
        <v>4</v>
      </c>
      <c r="J82" s="31">
        <f>E82+I82</f>
        <v>8</v>
      </c>
      <c r="L82" s="22" t="s">
        <v>16</v>
      </c>
      <c r="M82" s="50">
        <f>M54-M81</f>
        <v>39</v>
      </c>
      <c r="N82" s="56">
        <f t="shared" ref="N82:O82" si="46">N54-N81</f>
        <v>48</v>
      </c>
      <c r="O82" s="57">
        <f t="shared" si="46"/>
        <v>24</v>
      </c>
      <c r="P82" s="55">
        <f>SUM(M82:O82)</f>
        <v>111</v>
      </c>
      <c r="Q82" s="50">
        <f>Q54-Q81</f>
        <v>39</v>
      </c>
      <c r="R82" s="56">
        <f t="shared" ref="R82:S82" si="47">R54-R81</f>
        <v>48</v>
      </c>
      <c r="S82" s="57">
        <f t="shared" si="47"/>
        <v>24</v>
      </c>
      <c r="T82" s="55">
        <f>SUM(Q82:S82)</f>
        <v>111</v>
      </c>
      <c r="U82" s="31">
        <f>P82+T82</f>
        <v>222</v>
      </c>
    </row>
    <row r="83" spans="1:22" ht="19.5" thickBot="1" x14ac:dyDescent="0.25">
      <c r="A83" s="3" t="s">
        <v>20</v>
      </c>
      <c r="B83" s="1"/>
      <c r="C83" s="1"/>
      <c r="D83" s="1"/>
      <c r="E83" s="1"/>
      <c r="F83" s="1"/>
      <c r="G83" s="1"/>
      <c r="H83" s="1"/>
      <c r="I83" s="1"/>
      <c r="J83" s="1"/>
      <c r="L83" s="3" t="s">
        <v>21</v>
      </c>
      <c r="M83" s="1"/>
      <c r="N83" s="1"/>
      <c r="O83" s="1"/>
      <c r="P83" s="1"/>
      <c r="Q83" s="1"/>
      <c r="R83" s="1"/>
      <c r="S83" s="1"/>
      <c r="T83" s="1"/>
      <c r="U83" s="1"/>
    </row>
    <row r="84" spans="1:22" ht="14.25" thickBot="1" x14ac:dyDescent="0.2">
      <c r="A84" s="7"/>
      <c r="B84" s="176" t="s">
        <v>22</v>
      </c>
      <c r="C84" s="177"/>
      <c r="D84" s="177"/>
      <c r="E84" s="178"/>
      <c r="F84" s="176" t="s">
        <v>23</v>
      </c>
      <c r="G84" s="177"/>
      <c r="H84" s="177"/>
      <c r="I84" s="179"/>
      <c r="J84" s="174" t="s">
        <v>0</v>
      </c>
      <c r="L84" s="7"/>
      <c r="M84" s="169" t="s">
        <v>22</v>
      </c>
      <c r="N84" s="170"/>
      <c r="O84" s="170"/>
      <c r="P84" s="171"/>
      <c r="Q84" s="169" t="s">
        <v>23</v>
      </c>
      <c r="R84" s="170"/>
      <c r="S84" s="170"/>
      <c r="T84" s="171"/>
      <c r="U84" s="174" t="s">
        <v>0</v>
      </c>
    </row>
    <row r="85" spans="1:22" ht="14.25" thickBot="1" x14ac:dyDescent="0.2">
      <c r="A85" s="7" t="s">
        <v>1</v>
      </c>
      <c r="B85" s="4" t="s">
        <v>2</v>
      </c>
      <c r="C85" s="5" t="s">
        <v>3</v>
      </c>
      <c r="D85" s="6" t="s">
        <v>4</v>
      </c>
      <c r="E85" s="7" t="s">
        <v>5</v>
      </c>
      <c r="F85" s="4" t="s">
        <v>2</v>
      </c>
      <c r="G85" s="5" t="s">
        <v>3</v>
      </c>
      <c r="H85" s="6" t="s">
        <v>4</v>
      </c>
      <c r="I85" s="7" t="s">
        <v>5</v>
      </c>
      <c r="J85" s="175"/>
      <c r="L85" s="7" t="s">
        <v>1</v>
      </c>
      <c r="M85" s="4" t="s">
        <v>2</v>
      </c>
      <c r="N85" s="5" t="s">
        <v>3</v>
      </c>
      <c r="O85" s="6" t="s">
        <v>4</v>
      </c>
      <c r="P85" s="7" t="s">
        <v>5</v>
      </c>
      <c r="Q85" s="4" t="s">
        <v>2</v>
      </c>
      <c r="R85" s="5" t="s">
        <v>3</v>
      </c>
      <c r="S85" s="6" t="s">
        <v>4</v>
      </c>
      <c r="T85" s="7" t="s">
        <v>5</v>
      </c>
      <c r="U85" s="175"/>
    </row>
    <row r="86" spans="1:22" ht="14.25" thickBot="1" x14ac:dyDescent="0.2">
      <c r="A86" s="27" t="s">
        <v>16</v>
      </c>
      <c r="B86" s="38">
        <f>B82</f>
        <v>1</v>
      </c>
      <c r="C86" s="39">
        <f>C82</f>
        <v>2</v>
      </c>
      <c r="D86" s="2">
        <f>D82</f>
        <v>1</v>
      </c>
      <c r="E86" s="36">
        <f>SUM(B86:D86)</f>
        <v>4</v>
      </c>
      <c r="F86" s="38">
        <f>F82</f>
        <v>1</v>
      </c>
      <c r="G86" s="39">
        <f>G82</f>
        <v>2</v>
      </c>
      <c r="H86" s="2">
        <f>H82</f>
        <v>1</v>
      </c>
      <c r="I86" s="36">
        <f>SUM(F86:H86)</f>
        <v>4</v>
      </c>
      <c r="J86" s="36">
        <f>E86+I86</f>
        <v>8</v>
      </c>
      <c r="K86" s="63"/>
      <c r="L86" s="27" t="s">
        <v>16</v>
      </c>
      <c r="M86" s="38">
        <f>M82</f>
        <v>39</v>
      </c>
      <c r="N86" s="39">
        <f>N82</f>
        <v>48</v>
      </c>
      <c r="O86" s="2">
        <f>O82</f>
        <v>24</v>
      </c>
      <c r="P86" s="36">
        <f>SUM(M86:O86)</f>
        <v>111</v>
      </c>
      <c r="Q86" s="38">
        <f>Q82</f>
        <v>39</v>
      </c>
      <c r="R86" s="39">
        <f>R82</f>
        <v>48</v>
      </c>
      <c r="S86" s="2">
        <f>S82</f>
        <v>24</v>
      </c>
      <c r="T86" s="36">
        <f>SUM(Q86:S86)</f>
        <v>111</v>
      </c>
      <c r="U86" s="36">
        <f>P86+T86</f>
        <v>222</v>
      </c>
    </row>
    <row r="87" spans="1:22" x14ac:dyDescent="0.15">
      <c r="A87" s="25" t="s">
        <v>149</v>
      </c>
      <c r="B87" s="42">
        <v>2</v>
      </c>
      <c r="C87" s="43"/>
      <c r="D87" s="44"/>
      <c r="E87" s="48">
        <f>SUM(B87:D87)</f>
        <v>2</v>
      </c>
      <c r="F87" s="59">
        <v>2</v>
      </c>
      <c r="G87" s="43"/>
      <c r="H87" s="60"/>
      <c r="I87" s="48">
        <f>SUM(F87:H87)</f>
        <v>2</v>
      </c>
      <c r="J87" s="48">
        <f>E87+I87</f>
        <v>4</v>
      </c>
      <c r="K87" s="62">
        <v>43767</v>
      </c>
      <c r="L87" s="25" t="s">
        <v>7</v>
      </c>
      <c r="M87" s="42"/>
      <c r="N87" s="43"/>
      <c r="O87" s="44"/>
      <c r="P87" s="48">
        <f>SUM(M87:O87)</f>
        <v>0</v>
      </c>
      <c r="Q87" s="59"/>
      <c r="R87" s="43"/>
      <c r="S87" s="60"/>
      <c r="T87" s="48">
        <f>SUM(Q87:S87)</f>
        <v>0</v>
      </c>
      <c r="U87" s="48">
        <f>P87+T87</f>
        <v>0</v>
      </c>
      <c r="V87" s="100"/>
    </row>
    <row r="88" spans="1:22" x14ac:dyDescent="0.15">
      <c r="A88" s="26" t="s">
        <v>191</v>
      </c>
      <c r="B88" s="8">
        <v>1</v>
      </c>
      <c r="C88" s="9"/>
      <c r="D88" s="52"/>
      <c r="E88" s="11">
        <f>SUM(B88:D88)</f>
        <v>1</v>
      </c>
      <c r="F88" s="12">
        <v>1</v>
      </c>
      <c r="G88" s="9"/>
      <c r="H88" s="10"/>
      <c r="I88" s="11">
        <f>SUM(F88:H88)</f>
        <v>1</v>
      </c>
      <c r="J88" s="11">
        <f>E88+I88</f>
        <v>2</v>
      </c>
      <c r="K88" s="62">
        <v>43787</v>
      </c>
      <c r="L88" s="25" t="s">
        <v>100</v>
      </c>
      <c r="M88" s="8">
        <v>100</v>
      </c>
      <c r="N88" s="9">
        <v>100</v>
      </c>
      <c r="O88" s="52">
        <v>100</v>
      </c>
      <c r="P88" s="11">
        <f>SUM(M88:O88)</f>
        <v>300</v>
      </c>
      <c r="Q88" s="8">
        <v>100</v>
      </c>
      <c r="R88" s="9">
        <v>100</v>
      </c>
      <c r="S88" s="52">
        <v>100</v>
      </c>
      <c r="T88" s="11">
        <f>SUM(Q88:S88)</f>
        <v>300</v>
      </c>
      <c r="U88" s="11">
        <f>P88+T88</f>
        <v>600</v>
      </c>
      <c r="V88" s="98" t="s">
        <v>112</v>
      </c>
    </row>
    <row r="89" spans="1:22" x14ac:dyDescent="0.15">
      <c r="A89" s="26" t="s">
        <v>192</v>
      </c>
      <c r="B89" s="17"/>
      <c r="C89" s="18">
        <v>1</v>
      </c>
      <c r="D89" s="51"/>
      <c r="E89" s="11">
        <f t="shared" ref="E89:E94" si="48">SUM(B89:D89)</f>
        <v>1</v>
      </c>
      <c r="F89" s="20"/>
      <c r="G89" s="18">
        <v>1</v>
      </c>
      <c r="H89" s="19"/>
      <c r="I89" s="11">
        <f t="shared" ref="I89:I94" si="49">SUM(F89:H89)</f>
        <v>1</v>
      </c>
      <c r="J89" s="11">
        <f t="shared" ref="J89:J94" si="50">E89+I89</f>
        <v>2</v>
      </c>
      <c r="K89" s="62">
        <v>43787</v>
      </c>
      <c r="L89" s="25" t="s">
        <v>9</v>
      </c>
      <c r="M89" s="17"/>
      <c r="N89" s="18"/>
      <c r="O89" s="51"/>
      <c r="P89" s="11">
        <f t="shared" ref="P89:P94" si="51">SUM(M89:O89)</f>
        <v>0</v>
      </c>
      <c r="Q89" s="17"/>
      <c r="R89" s="18"/>
      <c r="S89" s="51"/>
      <c r="T89" s="11">
        <f t="shared" ref="T89:T94" si="52">SUM(Q89:S89)</f>
        <v>0</v>
      </c>
      <c r="U89" s="11">
        <f t="shared" ref="U89:U94" si="53">P89+T89</f>
        <v>0</v>
      </c>
      <c r="V89" s="99"/>
    </row>
    <row r="90" spans="1:22" x14ac:dyDescent="0.15">
      <c r="A90" s="25"/>
      <c r="B90" s="8"/>
      <c r="C90" s="9"/>
      <c r="D90" s="52"/>
      <c r="E90" s="11">
        <f t="shared" si="48"/>
        <v>0</v>
      </c>
      <c r="F90" s="12"/>
      <c r="G90" s="9"/>
      <c r="H90" s="10"/>
      <c r="I90" s="11">
        <f t="shared" si="49"/>
        <v>0</v>
      </c>
      <c r="J90" s="11">
        <f t="shared" si="50"/>
        <v>0</v>
      </c>
      <c r="K90" s="62"/>
      <c r="L90" s="25" t="s">
        <v>10</v>
      </c>
      <c r="M90" s="8"/>
      <c r="N90" s="9"/>
      <c r="O90" s="52"/>
      <c r="P90" s="11">
        <f t="shared" si="51"/>
        <v>0</v>
      </c>
      <c r="Q90" s="12"/>
      <c r="R90" s="9"/>
      <c r="S90" s="10"/>
      <c r="T90" s="11">
        <f t="shared" si="52"/>
        <v>0</v>
      </c>
      <c r="U90" s="11">
        <f t="shared" si="53"/>
        <v>0</v>
      </c>
    </row>
    <row r="91" spans="1:22" x14ac:dyDescent="0.15">
      <c r="A91" s="25"/>
      <c r="B91" s="8"/>
      <c r="C91" s="9"/>
      <c r="D91" s="52"/>
      <c r="E91" s="11">
        <f t="shared" si="48"/>
        <v>0</v>
      </c>
      <c r="F91" s="12"/>
      <c r="G91" s="9"/>
      <c r="H91" s="10"/>
      <c r="I91" s="11">
        <f t="shared" si="49"/>
        <v>0</v>
      </c>
      <c r="J91" s="11">
        <f t="shared" si="50"/>
        <v>0</v>
      </c>
      <c r="K91" s="62"/>
      <c r="L91" s="25" t="s">
        <v>11</v>
      </c>
      <c r="M91" s="8"/>
      <c r="N91" s="9"/>
      <c r="O91" s="52"/>
      <c r="P91" s="11">
        <f>SUM(M91:O91)</f>
        <v>0</v>
      </c>
      <c r="Q91" s="8"/>
      <c r="R91" s="9"/>
      <c r="S91" s="52"/>
      <c r="T91" s="11">
        <f>SUM(Q91:S91)</f>
        <v>0</v>
      </c>
      <c r="U91" s="11">
        <f>P91+T91</f>
        <v>0</v>
      </c>
      <c r="V91" s="98"/>
    </row>
    <row r="92" spans="1:22" x14ac:dyDescent="0.15">
      <c r="A92" s="25"/>
      <c r="B92" s="8"/>
      <c r="C92" s="9"/>
      <c r="D92" s="52"/>
      <c r="E92" s="11">
        <f t="shared" si="48"/>
        <v>0</v>
      </c>
      <c r="F92" s="12"/>
      <c r="G92" s="9"/>
      <c r="H92" s="10"/>
      <c r="I92" s="11">
        <f t="shared" si="49"/>
        <v>0</v>
      </c>
      <c r="J92" s="11">
        <f t="shared" si="50"/>
        <v>0</v>
      </c>
      <c r="K92" s="62"/>
      <c r="L92" s="25" t="s">
        <v>12</v>
      </c>
      <c r="M92" s="8"/>
      <c r="N92" s="9"/>
      <c r="O92" s="52"/>
      <c r="P92" s="11">
        <f t="shared" si="51"/>
        <v>0</v>
      </c>
      <c r="Q92" s="12"/>
      <c r="R92" s="9"/>
      <c r="S92" s="10"/>
      <c r="T92" s="11">
        <f t="shared" si="52"/>
        <v>0</v>
      </c>
      <c r="U92" s="11">
        <f t="shared" si="53"/>
        <v>0</v>
      </c>
    </row>
    <row r="93" spans="1:22" x14ac:dyDescent="0.15">
      <c r="A93" s="25"/>
      <c r="B93" s="13"/>
      <c r="C93" s="14"/>
      <c r="D93" s="53"/>
      <c r="E93" s="11">
        <f t="shared" si="48"/>
        <v>0</v>
      </c>
      <c r="F93" s="16"/>
      <c r="G93" s="14"/>
      <c r="H93" s="15"/>
      <c r="I93" s="11">
        <f t="shared" si="49"/>
        <v>0</v>
      </c>
      <c r="J93" s="11">
        <f t="shared" si="50"/>
        <v>0</v>
      </c>
      <c r="K93" s="64"/>
      <c r="L93" s="25" t="s">
        <v>13</v>
      </c>
      <c r="M93" s="13"/>
      <c r="N93" s="14"/>
      <c r="O93" s="53"/>
      <c r="P93" s="11">
        <f t="shared" si="51"/>
        <v>0</v>
      </c>
      <c r="Q93" s="16"/>
      <c r="R93" s="14"/>
      <c r="S93" s="15"/>
      <c r="T93" s="11">
        <f t="shared" si="52"/>
        <v>0</v>
      </c>
      <c r="U93" s="11">
        <f t="shared" si="53"/>
        <v>0</v>
      </c>
    </row>
    <row r="94" spans="1:22" ht="14.25" thickBot="1" x14ac:dyDescent="0.2">
      <c r="A94" s="25"/>
      <c r="B94" s="32"/>
      <c r="C94" s="33"/>
      <c r="D94" s="54"/>
      <c r="E94" s="61">
        <f t="shared" si="48"/>
        <v>0</v>
      </c>
      <c r="F94" s="34"/>
      <c r="G94" s="34"/>
      <c r="H94" s="37"/>
      <c r="I94" s="61">
        <f t="shared" si="49"/>
        <v>0</v>
      </c>
      <c r="J94" s="21">
        <f t="shared" si="50"/>
        <v>0</v>
      </c>
      <c r="K94" s="62"/>
      <c r="L94" s="25" t="s">
        <v>14</v>
      </c>
      <c r="M94" s="32"/>
      <c r="N94" s="33"/>
      <c r="O94" s="54"/>
      <c r="P94" s="61">
        <f t="shared" si="51"/>
        <v>0</v>
      </c>
      <c r="Q94" s="34"/>
      <c r="R94" s="34"/>
      <c r="S94" s="37"/>
      <c r="T94" s="61">
        <f t="shared" si="52"/>
        <v>0</v>
      </c>
      <c r="U94" s="21">
        <f t="shared" si="53"/>
        <v>0</v>
      </c>
    </row>
    <row r="95" spans="1:22" ht="14.25" thickBot="1" x14ac:dyDescent="0.2">
      <c r="A95" s="35" t="s">
        <v>15</v>
      </c>
      <c r="B95" s="28">
        <f>SUM(B86:B94)</f>
        <v>4</v>
      </c>
      <c r="C95" s="29">
        <f>SUM(C86:C94)</f>
        <v>3</v>
      </c>
      <c r="D95" s="30">
        <f>SUM(D86:D94)</f>
        <v>1</v>
      </c>
      <c r="E95" s="31">
        <f>SUM(B95:D95)</f>
        <v>8</v>
      </c>
      <c r="F95" s="28">
        <f>SUM(F86:F94)</f>
        <v>4</v>
      </c>
      <c r="G95" s="29">
        <f>SUM(G86:G94)</f>
        <v>3</v>
      </c>
      <c r="H95" s="30">
        <f>SUM(H86:H94)</f>
        <v>1</v>
      </c>
      <c r="I95" s="31">
        <f>SUM(F95:H95)</f>
        <v>8</v>
      </c>
      <c r="J95" s="31">
        <f>E95+I95</f>
        <v>16</v>
      </c>
      <c r="L95" s="35" t="s">
        <v>15</v>
      </c>
      <c r="M95" s="28">
        <f>SUM(M86:M94)</f>
        <v>139</v>
      </c>
      <c r="N95" s="29">
        <f>SUM(N86:N94)</f>
        <v>148</v>
      </c>
      <c r="O95" s="30">
        <f>SUM(O86:O94)</f>
        <v>124</v>
      </c>
      <c r="P95" s="31">
        <f>SUM(M95:O95)</f>
        <v>411</v>
      </c>
      <c r="Q95" s="28">
        <f>SUM(Q86:Q94)</f>
        <v>139</v>
      </c>
      <c r="R95" s="29">
        <f>SUM(R86:R94)</f>
        <v>148</v>
      </c>
      <c r="S95" s="30">
        <f>SUM(S86:S94)</f>
        <v>124</v>
      </c>
      <c r="T95" s="31">
        <f>SUM(Q95:S95)</f>
        <v>411</v>
      </c>
      <c r="U95" s="31">
        <f>P95+T95</f>
        <v>822</v>
      </c>
    </row>
    <row r="96" spans="1:22" x14ac:dyDescent="0.15">
      <c r="A96" s="26" t="s">
        <v>130</v>
      </c>
      <c r="B96" s="13"/>
      <c r="C96" s="14">
        <v>1</v>
      </c>
      <c r="D96" s="15"/>
      <c r="E96" s="49">
        <f>SUM(B96:D96)</f>
        <v>1</v>
      </c>
      <c r="F96" s="16"/>
      <c r="G96" s="14">
        <v>1</v>
      </c>
      <c r="H96" s="15"/>
      <c r="I96" s="49">
        <f>SUM(F96:H96)</f>
        <v>1</v>
      </c>
      <c r="J96" s="11">
        <f>E96+I96</f>
        <v>2</v>
      </c>
      <c r="K96" s="62">
        <v>43749</v>
      </c>
      <c r="L96" s="26" t="s">
        <v>110</v>
      </c>
      <c r="M96" s="13"/>
      <c r="N96" s="14"/>
      <c r="O96" s="15">
        <v>6</v>
      </c>
      <c r="P96" s="49">
        <f>SUM(M96:O96)</f>
        <v>6</v>
      </c>
      <c r="Q96" s="16"/>
      <c r="R96" s="14"/>
      <c r="S96" s="15">
        <v>6</v>
      </c>
      <c r="T96" s="49">
        <f>SUM(Q96:S96)</f>
        <v>6</v>
      </c>
      <c r="U96" s="11">
        <f>P96+T96</f>
        <v>12</v>
      </c>
      <c r="V96" s="98">
        <v>43740</v>
      </c>
    </row>
    <row r="97" spans="1:23" x14ac:dyDescent="0.15">
      <c r="A97" s="26" t="s">
        <v>153</v>
      </c>
      <c r="B97" s="8">
        <v>1</v>
      </c>
      <c r="C97" s="9"/>
      <c r="D97" s="10"/>
      <c r="E97" s="49">
        <f t="shared" ref="E97:E120" si="54">SUM(B97:D97)</f>
        <v>1</v>
      </c>
      <c r="F97" s="12">
        <v>1</v>
      </c>
      <c r="G97" s="9"/>
      <c r="H97" s="10"/>
      <c r="I97" s="49">
        <f t="shared" ref="I97:I120" si="55">SUM(F97:H97)</f>
        <v>1</v>
      </c>
      <c r="J97" s="11">
        <f t="shared" ref="J97:J120" si="56">E97+I97</f>
        <v>2</v>
      </c>
      <c r="K97" s="62">
        <v>43767</v>
      </c>
      <c r="L97" s="26" t="s">
        <v>114</v>
      </c>
      <c r="M97" s="8">
        <v>1</v>
      </c>
      <c r="N97" s="9">
        <v>9</v>
      </c>
      <c r="O97" s="10">
        <v>1</v>
      </c>
      <c r="P97" s="49">
        <f t="shared" ref="P97" si="57">SUM(M97:O97)</f>
        <v>11</v>
      </c>
      <c r="Q97" s="12">
        <v>1</v>
      </c>
      <c r="R97" s="9">
        <v>9</v>
      </c>
      <c r="S97" s="10">
        <v>1</v>
      </c>
      <c r="T97" s="49">
        <f t="shared" ref="T97" si="58">SUM(Q97:S97)</f>
        <v>11</v>
      </c>
      <c r="U97" s="11">
        <f t="shared" ref="U97" si="59">P97+T97</f>
        <v>22</v>
      </c>
      <c r="V97" s="98">
        <v>43741</v>
      </c>
    </row>
    <row r="98" spans="1:23" x14ac:dyDescent="0.15">
      <c r="A98" s="26"/>
      <c r="B98" s="8"/>
      <c r="C98" s="9"/>
      <c r="D98" s="10"/>
      <c r="E98" s="49">
        <f t="shared" si="54"/>
        <v>0</v>
      </c>
      <c r="F98" s="12"/>
      <c r="G98" s="9"/>
      <c r="H98" s="10"/>
      <c r="I98" s="49">
        <f t="shared" si="55"/>
        <v>0</v>
      </c>
      <c r="J98" s="11">
        <f t="shared" si="56"/>
        <v>0</v>
      </c>
      <c r="K98" s="62"/>
      <c r="L98" s="26" t="s">
        <v>115</v>
      </c>
      <c r="M98" s="13">
        <v>3</v>
      </c>
      <c r="N98" s="14">
        <v>3</v>
      </c>
      <c r="O98" s="15">
        <v>1</v>
      </c>
      <c r="P98" s="49">
        <f>SUM(M98:O98)</f>
        <v>7</v>
      </c>
      <c r="Q98" s="16">
        <v>3</v>
      </c>
      <c r="R98" s="14">
        <v>3</v>
      </c>
      <c r="S98" s="15">
        <v>1</v>
      </c>
      <c r="T98" s="49">
        <f>SUM(Q98:S98)</f>
        <v>7</v>
      </c>
      <c r="U98" s="11">
        <f>P98+T98</f>
        <v>14</v>
      </c>
      <c r="V98" s="98">
        <v>43742</v>
      </c>
      <c r="W98" s="66"/>
    </row>
    <row r="99" spans="1:23" x14ac:dyDescent="0.15">
      <c r="A99" s="26"/>
      <c r="B99" s="8"/>
      <c r="C99" s="9"/>
      <c r="D99" s="10"/>
      <c r="E99" s="49">
        <f t="shared" si="54"/>
        <v>0</v>
      </c>
      <c r="F99" s="12"/>
      <c r="G99" s="9"/>
      <c r="H99" s="10"/>
      <c r="I99" s="49">
        <f t="shared" si="55"/>
        <v>0</v>
      </c>
      <c r="J99" s="11">
        <f t="shared" si="56"/>
        <v>0</v>
      </c>
      <c r="K99" s="62"/>
      <c r="L99" s="26" t="s">
        <v>117</v>
      </c>
      <c r="M99" s="8"/>
      <c r="N99" s="9">
        <v>5</v>
      </c>
      <c r="O99" s="10">
        <v>7</v>
      </c>
      <c r="P99" s="49">
        <f t="shared" ref="P99:P122" si="60">SUM(M99:O99)</f>
        <v>12</v>
      </c>
      <c r="Q99" s="12"/>
      <c r="R99" s="9">
        <v>5</v>
      </c>
      <c r="S99" s="10">
        <v>7</v>
      </c>
      <c r="T99" s="49">
        <f t="shared" ref="T99:T122" si="61">SUM(Q99:S99)</f>
        <v>12</v>
      </c>
      <c r="U99" s="11">
        <f t="shared" ref="U99:U117" si="62">P99+T99</f>
        <v>24</v>
      </c>
      <c r="V99" s="98">
        <v>43743</v>
      </c>
    </row>
    <row r="100" spans="1:23" x14ac:dyDescent="0.15">
      <c r="A100" s="26"/>
      <c r="B100" s="8"/>
      <c r="C100" s="9"/>
      <c r="D100" s="10"/>
      <c r="E100" s="49">
        <f t="shared" si="54"/>
        <v>0</v>
      </c>
      <c r="F100" s="12"/>
      <c r="G100" s="9"/>
      <c r="H100" s="10"/>
      <c r="I100" s="49">
        <f t="shared" si="55"/>
        <v>0</v>
      </c>
      <c r="J100" s="11">
        <f t="shared" si="56"/>
        <v>0</v>
      </c>
      <c r="K100" s="62"/>
      <c r="L100" s="26" t="s">
        <v>118</v>
      </c>
      <c r="M100" s="8">
        <v>2</v>
      </c>
      <c r="N100" s="9">
        <v>5</v>
      </c>
      <c r="O100" s="10"/>
      <c r="P100" s="49">
        <f t="shared" si="60"/>
        <v>7</v>
      </c>
      <c r="Q100" s="12">
        <v>2</v>
      </c>
      <c r="R100" s="9">
        <v>5</v>
      </c>
      <c r="S100" s="10"/>
      <c r="T100" s="49">
        <f t="shared" si="61"/>
        <v>7</v>
      </c>
      <c r="U100" s="11">
        <f t="shared" si="62"/>
        <v>14</v>
      </c>
      <c r="V100" s="98">
        <v>43746</v>
      </c>
    </row>
    <row r="101" spans="1:23" x14ac:dyDescent="0.15">
      <c r="A101" s="26"/>
      <c r="B101" s="8"/>
      <c r="C101" s="9"/>
      <c r="D101" s="10"/>
      <c r="E101" s="49">
        <f t="shared" si="54"/>
        <v>0</v>
      </c>
      <c r="F101" s="12"/>
      <c r="G101" s="9"/>
      <c r="H101" s="10"/>
      <c r="I101" s="49">
        <f t="shared" si="55"/>
        <v>0</v>
      </c>
      <c r="J101" s="11">
        <f t="shared" si="56"/>
        <v>0</v>
      </c>
      <c r="K101" s="62"/>
      <c r="L101" s="26" t="s">
        <v>123</v>
      </c>
      <c r="M101" s="8">
        <v>6</v>
      </c>
      <c r="N101" s="9">
        <v>6</v>
      </c>
      <c r="O101" s="10"/>
      <c r="P101" s="49">
        <f t="shared" si="60"/>
        <v>12</v>
      </c>
      <c r="Q101" s="12">
        <v>6</v>
      </c>
      <c r="R101" s="9">
        <v>6</v>
      </c>
      <c r="S101" s="10"/>
      <c r="T101" s="49">
        <f t="shared" si="61"/>
        <v>12</v>
      </c>
      <c r="U101" s="11">
        <f t="shared" si="62"/>
        <v>24</v>
      </c>
      <c r="V101" s="98">
        <v>43747</v>
      </c>
    </row>
    <row r="102" spans="1:23" x14ac:dyDescent="0.15">
      <c r="A102" s="26"/>
      <c r="B102" s="8"/>
      <c r="C102" s="9"/>
      <c r="D102" s="10"/>
      <c r="E102" s="49">
        <f t="shared" si="54"/>
        <v>0</v>
      </c>
      <c r="F102" s="12"/>
      <c r="G102" s="9"/>
      <c r="H102" s="10"/>
      <c r="I102" s="49">
        <f t="shared" si="55"/>
        <v>0</v>
      </c>
      <c r="J102" s="11">
        <f t="shared" si="56"/>
        <v>0</v>
      </c>
      <c r="K102" s="62"/>
      <c r="L102" s="26" t="s">
        <v>126</v>
      </c>
      <c r="M102" s="8">
        <v>2</v>
      </c>
      <c r="N102" s="9">
        <v>1</v>
      </c>
      <c r="O102" s="10"/>
      <c r="P102" s="49">
        <f t="shared" si="60"/>
        <v>3</v>
      </c>
      <c r="Q102" s="12">
        <v>2</v>
      </c>
      <c r="R102" s="9">
        <v>1</v>
      </c>
      <c r="S102" s="10"/>
      <c r="T102" s="49">
        <f t="shared" si="61"/>
        <v>3</v>
      </c>
      <c r="U102" s="11">
        <f t="shared" si="62"/>
        <v>6</v>
      </c>
      <c r="V102" s="98">
        <v>43748</v>
      </c>
    </row>
    <row r="103" spans="1:23" x14ac:dyDescent="0.15">
      <c r="A103" s="26"/>
      <c r="B103" s="8"/>
      <c r="C103" s="9"/>
      <c r="D103" s="10"/>
      <c r="E103" s="49">
        <f t="shared" si="54"/>
        <v>0</v>
      </c>
      <c r="F103" s="12"/>
      <c r="G103" s="9"/>
      <c r="H103" s="10"/>
      <c r="I103" s="49">
        <f t="shared" si="55"/>
        <v>0</v>
      </c>
      <c r="J103" s="11">
        <f t="shared" si="56"/>
        <v>0</v>
      </c>
      <c r="K103" s="62"/>
      <c r="L103" s="26" t="s">
        <v>128</v>
      </c>
      <c r="M103" s="8">
        <v>3</v>
      </c>
      <c r="N103" s="9"/>
      <c r="O103" s="10"/>
      <c r="P103" s="49">
        <f t="shared" si="60"/>
        <v>3</v>
      </c>
      <c r="Q103" s="12">
        <v>3</v>
      </c>
      <c r="R103" s="9"/>
      <c r="S103" s="10"/>
      <c r="T103" s="49">
        <f t="shared" si="61"/>
        <v>3</v>
      </c>
      <c r="U103" s="11">
        <f t="shared" si="62"/>
        <v>6</v>
      </c>
      <c r="V103" s="98">
        <v>43749</v>
      </c>
    </row>
    <row r="104" spans="1:23" x14ac:dyDescent="0.15">
      <c r="A104" s="26"/>
      <c r="B104" s="8"/>
      <c r="C104" s="9"/>
      <c r="D104" s="10"/>
      <c r="E104" s="49">
        <f t="shared" si="54"/>
        <v>0</v>
      </c>
      <c r="F104" s="12"/>
      <c r="G104" s="9"/>
      <c r="H104" s="10"/>
      <c r="I104" s="49">
        <f t="shared" si="55"/>
        <v>0</v>
      </c>
      <c r="J104" s="11">
        <f t="shared" si="56"/>
        <v>0</v>
      </c>
      <c r="K104" s="62"/>
      <c r="L104" s="26" t="s">
        <v>129</v>
      </c>
      <c r="M104" s="8">
        <v>3</v>
      </c>
      <c r="N104" s="9">
        <v>5</v>
      </c>
      <c r="O104" s="10">
        <v>10</v>
      </c>
      <c r="P104" s="49">
        <f t="shared" si="60"/>
        <v>18</v>
      </c>
      <c r="Q104" s="12">
        <v>3</v>
      </c>
      <c r="R104" s="9">
        <v>5</v>
      </c>
      <c r="S104" s="10">
        <v>10</v>
      </c>
      <c r="T104" s="49">
        <f t="shared" si="61"/>
        <v>18</v>
      </c>
      <c r="U104" s="11">
        <f t="shared" si="62"/>
        <v>36</v>
      </c>
      <c r="V104" s="98">
        <v>43750</v>
      </c>
    </row>
    <row r="105" spans="1:23" x14ac:dyDescent="0.15">
      <c r="A105" s="26"/>
      <c r="B105" s="13"/>
      <c r="C105" s="14"/>
      <c r="D105" s="15"/>
      <c r="E105" s="49">
        <f t="shared" si="54"/>
        <v>0</v>
      </c>
      <c r="F105" s="16"/>
      <c r="G105" s="14"/>
      <c r="H105" s="15"/>
      <c r="I105" s="49">
        <f t="shared" si="55"/>
        <v>0</v>
      </c>
      <c r="J105" s="11">
        <f t="shared" si="56"/>
        <v>0</v>
      </c>
      <c r="K105" s="62"/>
      <c r="L105" s="26" t="s">
        <v>131</v>
      </c>
      <c r="M105" s="13">
        <v>1</v>
      </c>
      <c r="N105" s="14">
        <v>7</v>
      </c>
      <c r="O105" s="15">
        <v>3</v>
      </c>
      <c r="P105" s="49">
        <f t="shared" si="60"/>
        <v>11</v>
      </c>
      <c r="Q105" s="16">
        <v>1</v>
      </c>
      <c r="R105" s="14">
        <v>7</v>
      </c>
      <c r="S105" s="15">
        <v>3</v>
      </c>
      <c r="T105" s="49">
        <f t="shared" si="61"/>
        <v>11</v>
      </c>
      <c r="U105" s="11">
        <f t="shared" si="62"/>
        <v>22</v>
      </c>
      <c r="V105" s="98">
        <v>43754</v>
      </c>
    </row>
    <row r="106" spans="1:23" x14ac:dyDescent="0.15">
      <c r="A106" s="26"/>
      <c r="B106" s="8"/>
      <c r="C106" s="9"/>
      <c r="D106" s="10"/>
      <c r="E106" s="49">
        <f t="shared" si="54"/>
        <v>0</v>
      </c>
      <c r="F106" s="12"/>
      <c r="G106" s="9"/>
      <c r="H106" s="10"/>
      <c r="I106" s="49">
        <f t="shared" si="55"/>
        <v>0</v>
      </c>
      <c r="J106" s="11">
        <f t="shared" si="56"/>
        <v>0</v>
      </c>
      <c r="K106" s="62"/>
      <c r="L106" s="26" t="s">
        <v>133</v>
      </c>
      <c r="M106" s="8">
        <v>10</v>
      </c>
      <c r="N106" s="9"/>
      <c r="O106" s="10">
        <v>6</v>
      </c>
      <c r="P106" s="49">
        <f t="shared" si="60"/>
        <v>16</v>
      </c>
      <c r="Q106" s="12">
        <v>10</v>
      </c>
      <c r="R106" s="9"/>
      <c r="S106" s="10">
        <v>6</v>
      </c>
      <c r="T106" s="49">
        <f t="shared" si="61"/>
        <v>16</v>
      </c>
      <c r="U106" s="11">
        <f t="shared" si="62"/>
        <v>32</v>
      </c>
      <c r="V106" s="98">
        <v>43755</v>
      </c>
    </row>
    <row r="107" spans="1:23" x14ac:dyDescent="0.15">
      <c r="A107" s="26"/>
      <c r="B107" s="8"/>
      <c r="C107" s="9"/>
      <c r="D107" s="10"/>
      <c r="E107" s="49">
        <f t="shared" si="54"/>
        <v>0</v>
      </c>
      <c r="F107" s="12"/>
      <c r="G107" s="9"/>
      <c r="H107" s="10"/>
      <c r="I107" s="49">
        <f t="shared" si="55"/>
        <v>0</v>
      </c>
      <c r="J107" s="11">
        <f t="shared" si="56"/>
        <v>0</v>
      </c>
      <c r="K107" s="62"/>
      <c r="L107" s="26" t="s">
        <v>134</v>
      </c>
      <c r="M107" s="8"/>
      <c r="N107" s="9">
        <v>1</v>
      </c>
      <c r="O107" s="10"/>
      <c r="P107" s="49">
        <f t="shared" si="60"/>
        <v>1</v>
      </c>
      <c r="Q107" s="12"/>
      <c r="R107" s="9">
        <v>1</v>
      </c>
      <c r="S107" s="10"/>
      <c r="T107" s="49">
        <f t="shared" si="61"/>
        <v>1</v>
      </c>
      <c r="U107" s="11">
        <f t="shared" si="62"/>
        <v>2</v>
      </c>
      <c r="V107" s="98">
        <v>43756</v>
      </c>
    </row>
    <row r="108" spans="1:23" x14ac:dyDescent="0.15">
      <c r="A108" s="26"/>
      <c r="B108" s="8"/>
      <c r="C108" s="9"/>
      <c r="D108" s="10"/>
      <c r="E108" s="49">
        <f t="shared" si="54"/>
        <v>0</v>
      </c>
      <c r="F108" s="12"/>
      <c r="G108" s="9"/>
      <c r="H108" s="10"/>
      <c r="I108" s="49">
        <f t="shared" si="55"/>
        <v>0</v>
      </c>
      <c r="J108" s="11">
        <f t="shared" si="56"/>
        <v>0</v>
      </c>
      <c r="K108" s="62"/>
      <c r="L108" s="26" t="s">
        <v>136</v>
      </c>
      <c r="M108" s="8"/>
      <c r="N108" s="9">
        <v>4</v>
      </c>
      <c r="O108" s="10">
        <v>6</v>
      </c>
      <c r="P108" s="49">
        <f t="shared" si="60"/>
        <v>10</v>
      </c>
      <c r="Q108" s="12"/>
      <c r="R108" s="9">
        <v>4</v>
      </c>
      <c r="S108" s="10">
        <v>6</v>
      </c>
      <c r="T108" s="49">
        <f t="shared" si="61"/>
        <v>10</v>
      </c>
      <c r="U108" s="11">
        <f t="shared" si="62"/>
        <v>20</v>
      </c>
      <c r="V108" s="98">
        <v>43757</v>
      </c>
    </row>
    <row r="109" spans="1:23" x14ac:dyDescent="0.15">
      <c r="A109" s="26"/>
      <c r="B109" s="8"/>
      <c r="C109" s="9"/>
      <c r="D109" s="10"/>
      <c r="E109" s="49">
        <f t="shared" si="54"/>
        <v>0</v>
      </c>
      <c r="F109" s="12"/>
      <c r="G109" s="9"/>
      <c r="H109" s="10"/>
      <c r="I109" s="49">
        <f t="shared" si="55"/>
        <v>0</v>
      </c>
      <c r="J109" s="11">
        <f t="shared" si="56"/>
        <v>0</v>
      </c>
      <c r="K109" s="62"/>
      <c r="L109" s="26" t="s">
        <v>138</v>
      </c>
      <c r="M109" s="8">
        <v>3</v>
      </c>
      <c r="N109" s="9">
        <v>2</v>
      </c>
      <c r="O109" s="10">
        <v>3</v>
      </c>
      <c r="P109" s="49">
        <f t="shared" si="60"/>
        <v>8</v>
      </c>
      <c r="Q109" s="12">
        <v>3</v>
      </c>
      <c r="R109" s="9">
        <v>2</v>
      </c>
      <c r="S109" s="10">
        <v>3</v>
      </c>
      <c r="T109" s="49">
        <f t="shared" si="61"/>
        <v>8</v>
      </c>
      <c r="U109" s="11">
        <f t="shared" si="62"/>
        <v>16</v>
      </c>
      <c r="V109" s="98">
        <v>43759</v>
      </c>
    </row>
    <row r="110" spans="1:23" x14ac:dyDescent="0.15">
      <c r="A110" s="26"/>
      <c r="B110" s="8"/>
      <c r="C110" s="9"/>
      <c r="D110" s="10"/>
      <c r="E110" s="49">
        <f t="shared" si="54"/>
        <v>0</v>
      </c>
      <c r="F110" s="12"/>
      <c r="G110" s="9"/>
      <c r="H110" s="10"/>
      <c r="I110" s="49">
        <f t="shared" si="55"/>
        <v>0</v>
      </c>
      <c r="J110" s="11">
        <f t="shared" si="56"/>
        <v>0</v>
      </c>
      <c r="K110" s="62"/>
      <c r="L110" s="26" t="s">
        <v>140</v>
      </c>
      <c r="M110" s="8">
        <v>1</v>
      </c>
      <c r="N110" s="9">
        <v>1</v>
      </c>
      <c r="O110" s="10"/>
      <c r="P110" s="49">
        <f t="shared" si="60"/>
        <v>2</v>
      </c>
      <c r="Q110" s="12">
        <v>1</v>
      </c>
      <c r="R110" s="9">
        <v>1</v>
      </c>
      <c r="S110" s="10"/>
      <c r="T110" s="49">
        <f t="shared" si="61"/>
        <v>2</v>
      </c>
      <c r="U110" s="11">
        <f t="shared" si="62"/>
        <v>4</v>
      </c>
      <c r="V110" s="98">
        <v>43761</v>
      </c>
    </row>
    <row r="111" spans="1:23" x14ac:dyDescent="0.15">
      <c r="A111" s="26"/>
      <c r="B111" s="8"/>
      <c r="C111" s="9"/>
      <c r="D111" s="10"/>
      <c r="E111" s="49">
        <f t="shared" si="54"/>
        <v>0</v>
      </c>
      <c r="F111" s="12"/>
      <c r="G111" s="9"/>
      <c r="H111" s="10"/>
      <c r="I111" s="49">
        <f t="shared" si="55"/>
        <v>0</v>
      </c>
      <c r="J111" s="11">
        <f t="shared" si="56"/>
        <v>0</v>
      </c>
      <c r="K111" s="62"/>
      <c r="L111" s="26" t="s">
        <v>142</v>
      </c>
      <c r="M111" s="8">
        <v>4</v>
      </c>
      <c r="N111" s="9"/>
      <c r="O111" s="10">
        <v>1</v>
      </c>
      <c r="P111" s="49">
        <f t="shared" si="60"/>
        <v>5</v>
      </c>
      <c r="Q111" s="12">
        <v>4</v>
      </c>
      <c r="R111" s="9"/>
      <c r="S111" s="10">
        <v>1</v>
      </c>
      <c r="T111" s="49">
        <f t="shared" si="61"/>
        <v>5</v>
      </c>
      <c r="U111" s="11">
        <f t="shared" si="62"/>
        <v>10</v>
      </c>
      <c r="V111" s="98">
        <v>43762</v>
      </c>
      <c r="W111" s="66"/>
    </row>
    <row r="112" spans="1:23" x14ac:dyDescent="0.15">
      <c r="A112" s="26"/>
      <c r="B112" s="8"/>
      <c r="C112" s="9"/>
      <c r="D112" s="10"/>
      <c r="E112" s="49">
        <f t="shared" si="54"/>
        <v>0</v>
      </c>
      <c r="F112" s="12"/>
      <c r="G112" s="9"/>
      <c r="H112" s="10"/>
      <c r="I112" s="49">
        <f t="shared" si="55"/>
        <v>0</v>
      </c>
      <c r="J112" s="11">
        <f t="shared" si="56"/>
        <v>0</v>
      </c>
      <c r="K112" s="62"/>
      <c r="L112" s="26" t="s">
        <v>143</v>
      </c>
      <c r="M112" s="8"/>
      <c r="N112" s="9">
        <v>2</v>
      </c>
      <c r="O112" s="10">
        <v>2</v>
      </c>
      <c r="P112" s="49">
        <f t="shared" si="60"/>
        <v>4</v>
      </c>
      <c r="Q112" s="12"/>
      <c r="R112" s="9">
        <v>2</v>
      </c>
      <c r="S112" s="10">
        <v>2</v>
      </c>
      <c r="T112" s="49">
        <f t="shared" si="61"/>
        <v>4</v>
      </c>
      <c r="U112" s="11">
        <f t="shared" si="62"/>
        <v>8</v>
      </c>
      <c r="V112" s="98">
        <v>43763</v>
      </c>
    </row>
    <row r="113" spans="1:22" x14ac:dyDescent="0.15">
      <c r="A113" s="24"/>
      <c r="B113" s="8"/>
      <c r="C113" s="9"/>
      <c r="D113" s="10"/>
      <c r="E113" s="49">
        <f t="shared" si="54"/>
        <v>0</v>
      </c>
      <c r="F113" s="12"/>
      <c r="G113" s="9"/>
      <c r="H113" s="10"/>
      <c r="I113" s="49">
        <f t="shared" si="55"/>
        <v>0</v>
      </c>
      <c r="J113" s="11">
        <f t="shared" si="56"/>
        <v>0</v>
      </c>
      <c r="K113" s="62"/>
      <c r="L113" s="26" t="s">
        <v>145</v>
      </c>
      <c r="M113" s="8">
        <v>1</v>
      </c>
      <c r="N113" s="9">
        <v>4</v>
      </c>
      <c r="O113" s="10"/>
      <c r="P113" s="49">
        <f t="shared" si="60"/>
        <v>5</v>
      </c>
      <c r="Q113" s="12">
        <v>1</v>
      </c>
      <c r="R113" s="9">
        <v>4</v>
      </c>
      <c r="S113" s="10"/>
      <c r="T113" s="49">
        <f t="shared" si="61"/>
        <v>5</v>
      </c>
      <c r="U113" s="11">
        <f t="shared" si="62"/>
        <v>10</v>
      </c>
      <c r="V113" s="98">
        <v>43764</v>
      </c>
    </row>
    <row r="114" spans="1:22" x14ac:dyDescent="0.15">
      <c r="A114" s="25"/>
      <c r="B114" s="8"/>
      <c r="C114" s="9"/>
      <c r="D114" s="10"/>
      <c r="E114" s="49">
        <f t="shared" si="54"/>
        <v>0</v>
      </c>
      <c r="F114" s="12"/>
      <c r="G114" s="9"/>
      <c r="H114" s="10"/>
      <c r="I114" s="49">
        <f t="shared" si="55"/>
        <v>0</v>
      </c>
      <c r="J114" s="11">
        <f t="shared" si="56"/>
        <v>0</v>
      </c>
      <c r="K114" s="64"/>
      <c r="L114" s="26" t="s">
        <v>147</v>
      </c>
      <c r="M114" s="8">
        <v>2</v>
      </c>
      <c r="N114" s="9"/>
      <c r="O114" s="10">
        <v>5</v>
      </c>
      <c r="P114" s="49">
        <f t="shared" si="60"/>
        <v>7</v>
      </c>
      <c r="Q114" s="12">
        <v>2</v>
      </c>
      <c r="R114" s="9"/>
      <c r="S114" s="10">
        <v>5</v>
      </c>
      <c r="T114" s="49">
        <f t="shared" si="61"/>
        <v>7</v>
      </c>
      <c r="U114" s="11">
        <f t="shared" si="62"/>
        <v>14</v>
      </c>
      <c r="V114" s="98">
        <v>43767</v>
      </c>
    </row>
    <row r="115" spans="1:22" x14ac:dyDescent="0.15">
      <c r="A115" s="26"/>
      <c r="B115" s="8"/>
      <c r="C115" s="9"/>
      <c r="D115" s="10"/>
      <c r="E115" s="49">
        <f t="shared" si="54"/>
        <v>0</v>
      </c>
      <c r="F115" s="12"/>
      <c r="G115" s="9"/>
      <c r="H115" s="10"/>
      <c r="I115" s="49">
        <f t="shared" si="55"/>
        <v>0</v>
      </c>
      <c r="J115" s="11">
        <f t="shared" si="56"/>
        <v>0</v>
      </c>
      <c r="K115" s="62"/>
      <c r="L115" s="24" t="s">
        <v>148</v>
      </c>
      <c r="M115" s="8">
        <v>2</v>
      </c>
      <c r="N115" s="9"/>
      <c r="O115" s="10"/>
      <c r="P115" s="49">
        <f t="shared" si="60"/>
        <v>2</v>
      </c>
      <c r="Q115" s="12">
        <v>2</v>
      </c>
      <c r="R115" s="9"/>
      <c r="S115" s="10"/>
      <c r="T115" s="49">
        <f t="shared" si="61"/>
        <v>2</v>
      </c>
      <c r="U115" s="11">
        <f t="shared" si="62"/>
        <v>4</v>
      </c>
      <c r="V115" s="98">
        <v>43767</v>
      </c>
    </row>
    <row r="116" spans="1:22" x14ac:dyDescent="0.15">
      <c r="A116" s="24"/>
      <c r="B116" s="8"/>
      <c r="C116" s="9"/>
      <c r="D116" s="10"/>
      <c r="E116" s="49">
        <f t="shared" si="54"/>
        <v>0</v>
      </c>
      <c r="F116" s="12"/>
      <c r="G116" s="9"/>
      <c r="H116" s="10"/>
      <c r="I116" s="49">
        <f t="shared" si="55"/>
        <v>0</v>
      </c>
      <c r="J116" s="11">
        <f t="shared" si="56"/>
        <v>0</v>
      </c>
      <c r="K116" s="62"/>
      <c r="L116" s="26" t="s">
        <v>151</v>
      </c>
      <c r="M116" s="8">
        <v>1</v>
      </c>
      <c r="N116" s="9">
        <v>4</v>
      </c>
      <c r="O116" s="10"/>
      <c r="P116" s="49">
        <f t="shared" si="60"/>
        <v>5</v>
      </c>
      <c r="Q116" s="12">
        <v>1</v>
      </c>
      <c r="R116" s="9">
        <v>4</v>
      </c>
      <c r="S116" s="10"/>
      <c r="T116" s="49">
        <f t="shared" si="61"/>
        <v>5</v>
      </c>
      <c r="U116" s="11">
        <f t="shared" si="62"/>
        <v>10</v>
      </c>
      <c r="V116" s="98">
        <v>43768</v>
      </c>
    </row>
    <row r="117" spans="1:22" x14ac:dyDescent="0.15">
      <c r="B117" s="13"/>
      <c r="C117" s="14"/>
      <c r="D117" s="15"/>
      <c r="E117" s="49">
        <f t="shared" si="54"/>
        <v>0</v>
      </c>
      <c r="F117" s="16"/>
      <c r="G117" s="14"/>
      <c r="H117" s="15"/>
      <c r="I117" s="49">
        <f t="shared" si="55"/>
        <v>0</v>
      </c>
      <c r="J117" s="11">
        <f t="shared" si="56"/>
        <v>0</v>
      </c>
      <c r="K117" s="65"/>
      <c r="L117" s="26"/>
      <c r="M117" s="8"/>
      <c r="N117" s="9"/>
      <c r="O117" s="10"/>
      <c r="P117" s="49">
        <f t="shared" si="60"/>
        <v>0</v>
      </c>
      <c r="Q117" s="12"/>
      <c r="R117" s="9"/>
      <c r="S117" s="10"/>
      <c r="T117" s="49">
        <f t="shared" si="61"/>
        <v>0</v>
      </c>
      <c r="U117" s="11">
        <f t="shared" si="62"/>
        <v>0</v>
      </c>
      <c r="V117" s="100"/>
    </row>
    <row r="118" spans="1:22" x14ac:dyDescent="0.15">
      <c r="A118" s="26"/>
      <c r="B118" s="8"/>
      <c r="C118" s="9"/>
      <c r="D118" s="10"/>
      <c r="E118" s="49">
        <f t="shared" si="54"/>
        <v>0</v>
      </c>
      <c r="F118" s="12"/>
      <c r="G118" s="9"/>
      <c r="H118" s="10"/>
      <c r="I118" s="49">
        <f t="shared" si="55"/>
        <v>0</v>
      </c>
      <c r="J118" s="11">
        <f t="shared" si="56"/>
        <v>0</v>
      </c>
      <c r="K118" s="62"/>
      <c r="L118" s="26" t="s">
        <v>158</v>
      </c>
      <c r="M118" s="8"/>
      <c r="N118" s="9"/>
      <c r="O118" s="10"/>
      <c r="P118" s="49">
        <f t="shared" ref="P118:P120" si="63">SUM(M118:O118)</f>
        <v>0</v>
      </c>
      <c r="Q118" s="12"/>
      <c r="R118" s="9"/>
      <c r="S118" s="10"/>
      <c r="T118" s="49">
        <f t="shared" ref="T118:T120" si="64">SUM(Q118:S118)</f>
        <v>0</v>
      </c>
      <c r="U118" s="11">
        <f t="shared" ref="U118:U121" si="65">P118+T118</f>
        <v>0</v>
      </c>
      <c r="V118" s="100" t="s">
        <v>159</v>
      </c>
    </row>
    <row r="119" spans="1:22" x14ac:dyDescent="0.15">
      <c r="A119" s="26"/>
      <c r="B119" s="8"/>
      <c r="C119" s="9"/>
      <c r="D119" s="10"/>
      <c r="E119" s="49">
        <f t="shared" si="54"/>
        <v>0</v>
      </c>
      <c r="F119" s="12"/>
      <c r="G119" s="9"/>
      <c r="H119" s="10"/>
      <c r="I119" s="49">
        <f t="shared" si="55"/>
        <v>0</v>
      </c>
      <c r="J119" s="11">
        <f t="shared" si="56"/>
        <v>0</v>
      </c>
      <c r="K119" s="62"/>
      <c r="L119" s="26" t="s">
        <v>108</v>
      </c>
      <c r="M119" s="8"/>
      <c r="N119" s="9"/>
      <c r="O119" s="10"/>
      <c r="P119" s="49">
        <f t="shared" si="63"/>
        <v>0</v>
      </c>
      <c r="Q119" s="8"/>
      <c r="R119" s="9"/>
      <c r="S119" s="10"/>
      <c r="T119" s="49">
        <f t="shared" si="64"/>
        <v>0</v>
      </c>
      <c r="U119" s="11">
        <f t="shared" si="65"/>
        <v>0</v>
      </c>
      <c r="V119" s="100" t="s">
        <v>107</v>
      </c>
    </row>
    <row r="120" spans="1:22" x14ac:dyDescent="0.15">
      <c r="A120" s="26"/>
      <c r="B120" s="8"/>
      <c r="C120" s="9"/>
      <c r="D120" s="10"/>
      <c r="E120" s="49">
        <f t="shared" si="54"/>
        <v>0</v>
      </c>
      <c r="F120" s="12"/>
      <c r="G120" s="9"/>
      <c r="H120" s="10"/>
      <c r="I120" s="49">
        <f t="shared" si="55"/>
        <v>0</v>
      </c>
      <c r="J120" s="11">
        <f t="shared" si="56"/>
        <v>0</v>
      </c>
      <c r="K120" s="62"/>
      <c r="L120" s="26" t="s">
        <v>95</v>
      </c>
      <c r="M120" s="8"/>
      <c r="N120" s="9"/>
      <c r="O120" s="10"/>
      <c r="P120" s="49">
        <f t="shared" si="63"/>
        <v>0</v>
      </c>
      <c r="Q120" s="12"/>
      <c r="R120" s="9"/>
      <c r="S120" s="10"/>
      <c r="T120" s="49">
        <f t="shared" si="64"/>
        <v>0</v>
      </c>
      <c r="U120" s="11">
        <f t="shared" si="65"/>
        <v>0</v>
      </c>
      <c r="V120" s="100" t="s">
        <v>96</v>
      </c>
    </row>
    <row r="121" spans="1:22" ht="14.25" thickBot="1" x14ac:dyDescent="0.2">
      <c r="A121" s="23"/>
      <c r="B121" s="13"/>
      <c r="C121" s="14"/>
      <c r="D121" s="15"/>
      <c r="E121" s="49">
        <f>SUM(B121:D121)</f>
        <v>0</v>
      </c>
      <c r="F121" s="16"/>
      <c r="G121" s="14"/>
      <c r="H121" s="15"/>
      <c r="I121" s="49">
        <f>SUM(F121:H121)</f>
        <v>0</v>
      </c>
      <c r="J121" s="11">
        <f>E121+I121</f>
        <v>0</v>
      </c>
      <c r="K121" s="62"/>
      <c r="L121" s="26" t="s">
        <v>92</v>
      </c>
      <c r="M121" s="8"/>
      <c r="N121" s="9"/>
      <c r="O121" s="10"/>
      <c r="P121" s="49">
        <f t="shared" si="60"/>
        <v>0</v>
      </c>
      <c r="Q121" s="12"/>
      <c r="R121" s="9"/>
      <c r="S121" s="10"/>
      <c r="T121" s="49">
        <f t="shared" si="61"/>
        <v>0</v>
      </c>
      <c r="U121" s="11">
        <f t="shared" si="65"/>
        <v>0</v>
      </c>
      <c r="V121" s="98" t="s">
        <v>93</v>
      </c>
    </row>
    <row r="122" spans="1:22" ht="14.25" thickBot="1" x14ac:dyDescent="0.2">
      <c r="A122" s="41" t="s">
        <v>17</v>
      </c>
      <c r="B122" s="46">
        <f>SUM(B96:B121)</f>
        <v>1</v>
      </c>
      <c r="C122" s="47">
        <f t="shared" ref="C122:D122" si="66">SUM(C96:C121)</f>
        <v>1</v>
      </c>
      <c r="D122" s="58">
        <f t="shared" si="66"/>
        <v>0</v>
      </c>
      <c r="E122" s="45">
        <f t="shared" ref="E122" si="67">SUM(B122:D122)</f>
        <v>2</v>
      </c>
      <c r="F122" s="46">
        <f>SUM(F96:F121)</f>
        <v>1</v>
      </c>
      <c r="G122" s="47">
        <f t="shared" ref="G122:H122" si="68">SUM(G96:G121)</f>
        <v>1</v>
      </c>
      <c r="H122" s="58">
        <f t="shared" si="68"/>
        <v>0</v>
      </c>
      <c r="I122" s="45">
        <f t="shared" ref="I122" si="69">SUM(F122:H122)</f>
        <v>2</v>
      </c>
      <c r="J122" s="45">
        <f>E122+I122</f>
        <v>4</v>
      </c>
      <c r="K122" s="40"/>
      <c r="L122" s="41" t="s">
        <v>17</v>
      </c>
      <c r="M122" s="46">
        <f>SUM(M96:M121)</f>
        <v>45</v>
      </c>
      <c r="N122" s="47">
        <f t="shared" ref="N122:O122" si="70">SUM(N96:N121)</f>
        <v>59</v>
      </c>
      <c r="O122" s="58">
        <f t="shared" si="70"/>
        <v>51</v>
      </c>
      <c r="P122" s="45">
        <f t="shared" si="60"/>
        <v>155</v>
      </c>
      <c r="Q122" s="46">
        <f>SUM(Q96:Q121)</f>
        <v>45</v>
      </c>
      <c r="R122" s="47">
        <f t="shared" ref="R122:S122" si="71">SUM(R96:R121)</f>
        <v>59</v>
      </c>
      <c r="S122" s="58">
        <f t="shared" si="71"/>
        <v>51</v>
      </c>
      <c r="T122" s="45">
        <f t="shared" si="61"/>
        <v>155</v>
      </c>
      <c r="U122" s="45">
        <f>P122+T122</f>
        <v>310</v>
      </c>
    </row>
    <row r="123" spans="1:22" ht="14.25" thickBot="1" x14ac:dyDescent="0.2">
      <c r="A123" s="22" t="s">
        <v>16</v>
      </c>
      <c r="B123" s="50">
        <f>B95-B122</f>
        <v>3</v>
      </c>
      <c r="C123" s="56">
        <f t="shared" ref="C123:D123" si="72">C95-C122</f>
        <v>2</v>
      </c>
      <c r="D123" s="57">
        <f t="shared" si="72"/>
        <v>1</v>
      </c>
      <c r="E123" s="55">
        <f>SUM(B123:D123)</f>
        <v>6</v>
      </c>
      <c r="F123" s="50">
        <f>F95-F122</f>
        <v>3</v>
      </c>
      <c r="G123" s="56">
        <f t="shared" ref="G123:H123" si="73">G95-G122</f>
        <v>2</v>
      </c>
      <c r="H123" s="57">
        <f t="shared" si="73"/>
        <v>1</v>
      </c>
      <c r="I123" s="55">
        <f>SUM(F123:H123)</f>
        <v>6</v>
      </c>
      <c r="J123" s="31">
        <f>E123+I123</f>
        <v>12</v>
      </c>
      <c r="L123" s="22" t="s">
        <v>16</v>
      </c>
      <c r="M123" s="50">
        <f>M95-M122</f>
        <v>94</v>
      </c>
      <c r="N123" s="56">
        <f t="shared" ref="N123:O123" si="74">N95-N122</f>
        <v>89</v>
      </c>
      <c r="O123" s="57">
        <f t="shared" si="74"/>
        <v>73</v>
      </c>
      <c r="P123" s="55">
        <f>SUM(M123:O123)</f>
        <v>256</v>
      </c>
      <c r="Q123" s="50">
        <f>Q95-Q122</f>
        <v>94</v>
      </c>
      <c r="R123" s="56">
        <f t="shared" ref="R123:S123" si="75">R95-R122</f>
        <v>89</v>
      </c>
      <c r="S123" s="57">
        <f t="shared" si="75"/>
        <v>73</v>
      </c>
      <c r="T123" s="55">
        <f>SUM(Q123:S123)</f>
        <v>256</v>
      </c>
      <c r="U123" s="31">
        <f>P123+T123</f>
        <v>512</v>
      </c>
    </row>
    <row r="124" spans="1:22" ht="19.5" thickBot="1" x14ac:dyDescent="0.25">
      <c r="A124" s="3" t="s">
        <v>20</v>
      </c>
      <c r="B124" s="1"/>
      <c r="C124" s="1"/>
      <c r="D124" s="1"/>
      <c r="E124" s="1"/>
      <c r="F124" s="1"/>
      <c r="G124" s="1"/>
      <c r="H124" s="1"/>
      <c r="I124" s="1"/>
      <c r="J124" s="1"/>
      <c r="L124" s="3" t="s">
        <v>21</v>
      </c>
      <c r="M124" s="1"/>
      <c r="N124" s="1"/>
      <c r="O124" s="1"/>
      <c r="P124" s="1"/>
      <c r="Q124" s="1"/>
      <c r="R124" s="1"/>
      <c r="S124" s="1"/>
      <c r="T124" s="1"/>
      <c r="U124" s="1"/>
    </row>
    <row r="125" spans="1:22" ht="14.25" thickBot="1" x14ac:dyDescent="0.2">
      <c r="A125" s="7"/>
      <c r="B125" s="176" t="s">
        <v>22</v>
      </c>
      <c r="C125" s="177"/>
      <c r="D125" s="177"/>
      <c r="E125" s="178"/>
      <c r="F125" s="176" t="s">
        <v>23</v>
      </c>
      <c r="G125" s="177"/>
      <c r="H125" s="177"/>
      <c r="I125" s="179"/>
      <c r="J125" s="174" t="s">
        <v>0</v>
      </c>
      <c r="L125" s="7"/>
      <c r="M125" s="169" t="s">
        <v>22</v>
      </c>
      <c r="N125" s="170"/>
      <c r="O125" s="170"/>
      <c r="P125" s="171"/>
      <c r="Q125" s="169" t="s">
        <v>23</v>
      </c>
      <c r="R125" s="170"/>
      <c r="S125" s="170"/>
      <c r="T125" s="171"/>
      <c r="U125" s="174" t="s">
        <v>0</v>
      </c>
    </row>
    <row r="126" spans="1:22" ht="14.25" thickBot="1" x14ac:dyDescent="0.2">
      <c r="A126" s="7" t="s">
        <v>1</v>
      </c>
      <c r="B126" s="4" t="s">
        <v>2</v>
      </c>
      <c r="C126" s="5" t="s">
        <v>3</v>
      </c>
      <c r="D126" s="6" t="s">
        <v>4</v>
      </c>
      <c r="E126" s="7" t="s">
        <v>5</v>
      </c>
      <c r="F126" s="4" t="s">
        <v>2</v>
      </c>
      <c r="G126" s="5" t="s">
        <v>3</v>
      </c>
      <c r="H126" s="6" t="s">
        <v>4</v>
      </c>
      <c r="I126" s="7" t="s">
        <v>5</v>
      </c>
      <c r="J126" s="175"/>
      <c r="L126" s="7" t="s">
        <v>1</v>
      </c>
      <c r="M126" s="4" t="s">
        <v>2</v>
      </c>
      <c r="N126" s="5" t="s">
        <v>3</v>
      </c>
      <c r="O126" s="6" t="s">
        <v>4</v>
      </c>
      <c r="P126" s="7" t="s">
        <v>5</v>
      </c>
      <c r="Q126" s="4" t="s">
        <v>2</v>
      </c>
      <c r="R126" s="5" t="s">
        <v>3</v>
      </c>
      <c r="S126" s="6" t="s">
        <v>4</v>
      </c>
      <c r="T126" s="7" t="s">
        <v>5</v>
      </c>
      <c r="U126" s="175"/>
    </row>
    <row r="127" spans="1:22" ht="14.25" thickBot="1" x14ac:dyDescent="0.2">
      <c r="A127" s="27" t="s">
        <v>16</v>
      </c>
      <c r="B127" s="38">
        <f>B123</f>
        <v>3</v>
      </c>
      <c r="C127" s="39">
        <f>C123</f>
        <v>2</v>
      </c>
      <c r="D127" s="2">
        <f>D123</f>
        <v>1</v>
      </c>
      <c r="E127" s="36">
        <f>SUM(B127:D127)</f>
        <v>6</v>
      </c>
      <c r="F127" s="38">
        <f>F123</f>
        <v>3</v>
      </c>
      <c r="G127" s="39">
        <f>G123</f>
        <v>2</v>
      </c>
      <c r="H127" s="2">
        <f>H123</f>
        <v>1</v>
      </c>
      <c r="I127" s="36">
        <f>SUM(F127:H127)</f>
        <v>6</v>
      </c>
      <c r="J127" s="36">
        <f>E127+I127</f>
        <v>12</v>
      </c>
      <c r="K127" s="63"/>
      <c r="L127" s="27" t="s">
        <v>16</v>
      </c>
      <c r="M127" s="38">
        <f>M123</f>
        <v>94</v>
      </c>
      <c r="N127" s="39">
        <f>N123</f>
        <v>89</v>
      </c>
      <c r="O127" s="2">
        <f>O123</f>
        <v>73</v>
      </c>
      <c r="P127" s="36">
        <f>SUM(M127:O127)</f>
        <v>256</v>
      </c>
      <c r="Q127" s="38">
        <f>Q123</f>
        <v>94</v>
      </c>
      <c r="R127" s="39">
        <f>R123</f>
        <v>89</v>
      </c>
      <c r="S127" s="2">
        <f>S123</f>
        <v>73</v>
      </c>
      <c r="T127" s="36">
        <f>SUM(Q127:S127)</f>
        <v>256</v>
      </c>
      <c r="U127" s="36">
        <f>P127+T127</f>
        <v>512</v>
      </c>
    </row>
    <row r="128" spans="1:22" x14ac:dyDescent="0.15">
      <c r="A128" s="25" t="s">
        <v>187</v>
      </c>
      <c r="B128" s="42">
        <v>1</v>
      </c>
      <c r="C128" s="43">
        <v>2</v>
      </c>
      <c r="D128" s="44">
        <v>2</v>
      </c>
      <c r="E128" s="48">
        <f>SUM(B128:D128)</f>
        <v>5</v>
      </c>
      <c r="F128" s="59">
        <v>1</v>
      </c>
      <c r="G128" s="43">
        <v>2</v>
      </c>
      <c r="H128" s="60">
        <v>2</v>
      </c>
      <c r="I128" s="48">
        <f>SUM(F128:H128)</f>
        <v>5</v>
      </c>
      <c r="J128" s="48">
        <f>E128+I128</f>
        <v>10</v>
      </c>
      <c r="K128" s="62">
        <v>43785</v>
      </c>
      <c r="L128" s="25" t="s">
        <v>7</v>
      </c>
      <c r="M128" s="42"/>
      <c r="N128" s="43"/>
      <c r="O128" s="44"/>
      <c r="P128" s="48">
        <f>SUM(M128:O128)</f>
        <v>0</v>
      </c>
      <c r="Q128" s="59"/>
      <c r="R128" s="43"/>
      <c r="S128" s="60"/>
      <c r="T128" s="48">
        <f>SUM(Q128:S128)</f>
        <v>0</v>
      </c>
      <c r="U128" s="48">
        <f>P128+T128</f>
        <v>0</v>
      </c>
    </row>
    <row r="129" spans="1:23" x14ac:dyDescent="0.15">
      <c r="A129" s="25"/>
      <c r="B129" s="8"/>
      <c r="C129" s="9"/>
      <c r="D129" s="52"/>
      <c r="E129" s="11">
        <f>SUM(B129:D129)</f>
        <v>0</v>
      </c>
      <c r="F129" s="12"/>
      <c r="G129" s="9"/>
      <c r="H129" s="10"/>
      <c r="I129" s="11">
        <f>SUM(F129:H129)</f>
        <v>0</v>
      </c>
      <c r="J129" s="11">
        <f>E129+I129</f>
        <v>0</v>
      </c>
      <c r="K129" s="62"/>
      <c r="L129" s="25" t="s">
        <v>99</v>
      </c>
      <c r="M129" s="8">
        <v>100</v>
      </c>
      <c r="N129" s="9">
        <v>150</v>
      </c>
      <c r="O129" s="52">
        <v>100</v>
      </c>
      <c r="P129" s="11">
        <f>SUM(M129:O129)</f>
        <v>350</v>
      </c>
      <c r="Q129" s="8">
        <v>100</v>
      </c>
      <c r="R129" s="9">
        <v>150</v>
      </c>
      <c r="S129" s="52">
        <v>100</v>
      </c>
      <c r="T129" s="11">
        <f>SUM(Q129:S129)</f>
        <v>350</v>
      </c>
      <c r="U129" s="11">
        <f>P129+T129</f>
        <v>700</v>
      </c>
      <c r="V129" s="98" t="s">
        <v>170</v>
      </c>
    </row>
    <row r="130" spans="1:23" x14ac:dyDescent="0.15">
      <c r="A130" s="25"/>
      <c r="B130" s="17"/>
      <c r="C130" s="18"/>
      <c r="D130" s="51"/>
      <c r="E130" s="11">
        <f t="shared" ref="E130:E135" si="76">SUM(B130:D130)</f>
        <v>0</v>
      </c>
      <c r="F130" s="20"/>
      <c r="G130" s="18"/>
      <c r="H130" s="19"/>
      <c r="I130" s="11">
        <f t="shared" ref="I130:I135" si="77">SUM(F130:H130)</f>
        <v>0</v>
      </c>
      <c r="J130" s="11">
        <f t="shared" ref="J130:J135" si="78">E130+I130</f>
        <v>0</v>
      </c>
      <c r="K130" s="62"/>
      <c r="L130" s="25" t="s">
        <v>9</v>
      </c>
      <c r="M130" s="8" t="s">
        <v>94</v>
      </c>
      <c r="N130" s="9" t="s">
        <v>94</v>
      </c>
      <c r="O130" s="52"/>
      <c r="P130" s="11">
        <f>SUM(M130:O130)</f>
        <v>0</v>
      </c>
      <c r="Q130" s="8"/>
      <c r="R130" s="9"/>
      <c r="S130" s="52"/>
      <c r="T130" s="11">
        <f>SUM(Q130:S130)</f>
        <v>0</v>
      </c>
      <c r="U130" s="11">
        <f>P130+T130</f>
        <v>0</v>
      </c>
      <c r="V130" s="98" t="s">
        <v>94</v>
      </c>
    </row>
    <row r="131" spans="1:23" x14ac:dyDescent="0.15">
      <c r="A131" s="25"/>
      <c r="B131" s="8"/>
      <c r="C131" s="9"/>
      <c r="D131" s="52"/>
      <c r="E131" s="11">
        <f t="shared" si="76"/>
        <v>0</v>
      </c>
      <c r="F131" s="12"/>
      <c r="G131" s="9"/>
      <c r="H131" s="10"/>
      <c r="I131" s="11">
        <f t="shared" si="77"/>
        <v>0</v>
      </c>
      <c r="J131" s="11">
        <f t="shared" si="78"/>
        <v>0</v>
      </c>
      <c r="K131" s="62"/>
      <c r="L131" s="25" t="s">
        <v>10</v>
      </c>
      <c r="M131" s="8"/>
      <c r="N131" s="9"/>
      <c r="O131" s="52"/>
      <c r="P131" s="11">
        <f t="shared" ref="P131:P135" si="79">SUM(M131:O131)</f>
        <v>0</v>
      </c>
      <c r="Q131" s="12"/>
      <c r="R131" s="9"/>
      <c r="S131" s="10"/>
      <c r="T131" s="11">
        <f t="shared" ref="T131:T135" si="80">SUM(Q131:S131)</f>
        <v>0</v>
      </c>
      <c r="U131" s="11">
        <f t="shared" ref="U131:U135" si="81">P131+T131</f>
        <v>0</v>
      </c>
    </row>
    <row r="132" spans="1:23" x14ac:dyDescent="0.15">
      <c r="A132" s="25"/>
      <c r="B132" s="8"/>
      <c r="C132" s="9"/>
      <c r="D132" s="52"/>
      <c r="E132" s="11">
        <f t="shared" si="76"/>
        <v>0</v>
      </c>
      <c r="F132" s="12"/>
      <c r="G132" s="9"/>
      <c r="H132" s="10"/>
      <c r="I132" s="11">
        <f t="shared" si="77"/>
        <v>0</v>
      </c>
      <c r="J132" s="11">
        <f t="shared" si="78"/>
        <v>0</v>
      </c>
      <c r="K132" s="62"/>
      <c r="L132" s="25" t="s">
        <v>11</v>
      </c>
      <c r="M132" s="8"/>
      <c r="N132" s="9"/>
      <c r="O132" s="52"/>
      <c r="P132" s="11">
        <f t="shared" si="79"/>
        <v>0</v>
      </c>
      <c r="Q132" s="12"/>
      <c r="R132" s="9"/>
      <c r="S132" s="10"/>
      <c r="T132" s="11">
        <f t="shared" si="80"/>
        <v>0</v>
      </c>
      <c r="U132" s="11">
        <f t="shared" si="81"/>
        <v>0</v>
      </c>
    </row>
    <row r="133" spans="1:23" x14ac:dyDescent="0.15">
      <c r="A133" s="25"/>
      <c r="B133" s="8"/>
      <c r="C133" s="9"/>
      <c r="D133" s="52"/>
      <c r="E133" s="11">
        <f t="shared" si="76"/>
        <v>0</v>
      </c>
      <c r="F133" s="12"/>
      <c r="G133" s="9"/>
      <c r="H133" s="10"/>
      <c r="I133" s="11">
        <f t="shared" si="77"/>
        <v>0</v>
      </c>
      <c r="J133" s="11">
        <f t="shared" si="78"/>
        <v>0</v>
      </c>
      <c r="K133" s="62"/>
      <c r="L133" s="25" t="s">
        <v>12</v>
      </c>
      <c r="M133" s="8"/>
      <c r="N133" s="9"/>
      <c r="O133" s="52"/>
      <c r="P133" s="11">
        <f t="shared" si="79"/>
        <v>0</v>
      </c>
      <c r="Q133" s="12"/>
      <c r="R133" s="9"/>
      <c r="S133" s="10"/>
      <c r="T133" s="11">
        <f t="shared" si="80"/>
        <v>0</v>
      </c>
      <c r="U133" s="11">
        <f t="shared" si="81"/>
        <v>0</v>
      </c>
    </row>
    <row r="134" spans="1:23" x14ac:dyDescent="0.15">
      <c r="A134" s="25"/>
      <c r="B134" s="13"/>
      <c r="C134" s="14"/>
      <c r="D134" s="53"/>
      <c r="E134" s="11">
        <f t="shared" si="76"/>
        <v>0</v>
      </c>
      <c r="F134" s="16"/>
      <c r="G134" s="14"/>
      <c r="H134" s="15"/>
      <c r="I134" s="11">
        <f t="shared" si="77"/>
        <v>0</v>
      </c>
      <c r="J134" s="11">
        <f t="shared" si="78"/>
        <v>0</v>
      </c>
      <c r="K134" s="64"/>
      <c r="L134" s="25" t="s">
        <v>13</v>
      </c>
      <c r="M134" s="8"/>
      <c r="N134" s="9"/>
      <c r="O134" s="52"/>
      <c r="P134" s="11">
        <f>SUM(M134:O134)</f>
        <v>0</v>
      </c>
      <c r="Q134" s="8"/>
      <c r="R134" s="9"/>
      <c r="S134" s="52"/>
      <c r="T134" s="11">
        <f>SUM(Q134:S134)</f>
        <v>0</v>
      </c>
      <c r="U134" s="11">
        <f>P134+T134</f>
        <v>0</v>
      </c>
      <c r="V134" s="98"/>
    </row>
    <row r="135" spans="1:23" ht="14.25" thickBot="1" x14ac:dyDescent="0.2">
      <c r="A135" s="25"/>
      <c r="B135" s="32"/>
      <c r="C135" s="33"/>
      <c r="D135" s="54"/>
      <c r="E135" s="61">
        <f t="shared" si="76"/>
        <v>0</v>
      </c>
      <c r="F135" s="34"/>
      <c r="G135" s="34"/>
      <c r="H135" s="37"/>
      <c r="I135" s="61">
        <f t="shared" si="77"/>
        <v>0</v>
      </c>
      <c r="J135" s="21">
        <f t="shared" si="78"/>
        <v>0</v>
      </c>
      <c r="K135" s="62"/>
      <c r="L135" s="25" t="s">
        <v>14</v>
      </c>
      <c r="M135" s="32"/>
      <c r="N135" s="33"/>
      <c r="O135" s="54"/>
      <c r="P135" s="61">
        <f t="shared" si="79"/>
        <v>0</v>
      </c>
      <c r="Q135" s="34"/>
      <c r="R135" s="34"/>
      <c r="S135" s="37"/>
      <c r="T135" s="61">
        <f t="shared" si="80"/>
        <v>0</v>
      </c>
      <c r="U135" s="21">
        <f t="shared" si="81"/>
        <v>0</v>
      </c>
    </row>
    <row r="136" spans="1:23" ht="14.25" thickBot="1" x14ac:dyDescent="0.2">
      <c r="A136" s="35" t="s">
        <v>15</v>
      </c>
      <c r="B136" s="28">
        <f>SUM(B127:B135)</f>
        <v>4</v>
      </c>
      <c r="C136" s="29">
        <f>SUM(C127:C135)</f>
        <v>4</v>
      </c>
      <c r="D136" s="30">
        <f>SUM(D127:D135)</f>
        <v>3</v>
      </c>
      <c r="E136" s="31">
        <f>SUM(B136:D136)</f>
        <v>11</v>
      </c>
      <c r="F136" s="28">
        <f>SUM(F127:F135)</f>
        <v>4</v>
      </c>
      <c r="G136" s="29">
        <f>SUM(G127:G135)</f>
        <v>4</v>
      </c>
      <c r="H136" s="30">
        <f>SUM(H127:H135)</f>
        <v>3</v>
      </c>
      <c r="I136" s="31">
        <f>SUM(F136:H136)</f>
        <v>11</v>
      </c>
      <c r="J136" s="31">
        <f>E136+I136</f>
        <v>22</v>
      </c>
      <c r="L136" s="35" t="s">
        <v>15</v>
      </c>
      <c r="M136" s="28">
        <f>SUM(M127:M135)</f>
        <v>194</v>
      </c>
      <c r="N136" s="29">
        <f>SUM(N127:N135)</f>
        <v>239</v>
      </c>
      <c r="O136" s="30">
        <f>SUM(O127:O135)</f>
        <v>173</v>
      </c>
      <c r="P136" s="31">
        <f>SUM(M136:O136)</f>
        <v>606</v>
      </c>
      <c r="Q136" s="28">
        <f>SUM(Q127:Q135)</f>
        <v>194</v>
      </c>
      <c r="R136" s="29">
        <f>SUM(R127:R135)</f>
        <v>239</v>
      </c>
      <c r="S136" s="30">
        <f>SUM(S127:S135)</f>
        <v>173</v>
      </c>
      <c r="T136" s="31">
        <f>SUM(Q136:S136)</f>
        <v>606</v>
      </c>
      <c r="U136" s="31">
        <f>P136+T136</f>
        <v>1212</v>
      </c>
    </row>
    <row r="137" spans="1:23" x14ac:dyDescent="0.15">
      <c r="A137" s="26" t="s">
        <v>109</v>
      </c>
      <c r="B137" s="13">
        <v>1</v>
      </c>
      <c r="C137" s="14"/>
      <c r="D137" s="15"/>
      <c r="E137" s="49">
        <f>SUM(B137:D137)</f>
        <v>1</v>
      </c>
      <c r="F137" s="16">
        <v>1</v>
      </c>
      <c r="G137" s="14"/>
      <c r="H137" s="15"/>
      <c r="I137" s="49">
        <f>SUM(F137:H137)</f>
        <v>1</v>
      </c>
      <c r="J137" s="11">
        <f>E137+I137</f>
        <v>2</v>
      </c>
      <c r="K137" s="62">
        <v>43774</v>
      </c>
      <c r="L137" s="26" t="s">
        <v>1010</v>
      </c>
      <c r="M137" s="13">
        <v>40</v>
      </c>
      <c r="N137" s="14">
        <v>40</v>
      </c>
      <c r="O137" s="15">
        <v>40</v>
      </c>
      <c r="P137" s="49">
        <f>SUM(M137:O137)</f>
        <v>120</v>
      </c>
      <c r="Q137" s="16">
        <v>40</v>
      </c>
      <c r="R137" s="14">
        <v>40</v>
      </c>
      <c r="S137" s="15">
        <v>40</v>
      </c>
      <c r="T137" s="49">
        <f>SUM(Q137:S137)</f>
        <v>120</v>
      </c>
      <c r="U137" s="11">
        <f>P137+T137</f>
        <v>240</v>
      </c>
      <c r="V137" s="98">
        <v>43767</v>
      </c>
    </row>
    <row r="138" spans="1:23" x14ac:dyDescent="0.15">
      <c r="A138" s="26" t="s">
        <v>184</v>
      </c>
      <c r="B138" s="8"/>
      <c r="C138" s="9">
        <v>1</v>
      </c>
      <c r="D138" s="10"/>
      <c r="E138" s="49">
        <f t="shared" ref="E138:E161" si="82">SUM(B138:D138)</f>
        <v>1</v>
      </c>
      <c r="F138" s="12"/>
      <c r="G138" s="9">
        <v>1</v>
      </c>
      <c r="H138" s="10"/>
      <c r="I138" s="49">
        <f t="shared" ref="I138:I161" si="83">SUM(F138:H138)</f>
        <v>1</v>
      </c>
      <c r="J138" s="11">
        <f t="shared" ref="J138:J161" si="84">E138+I138</f>
        <v>2</v>
      </c>
      <c r="K138" s="62">
        <v>43783</v>
      </c>
      <c r="L138" s="26" t="s">
        <v>157</v>
      </c>
      <c r="M138" s="8"/>
      <c r="N138" s="9">
        <v>1</v>
      </c>
      <c r="O138" s="10"/>
      <c r="P138" s="49">
        <f t="shared" ref="P138" si="85">SUM(M138:O138)</f>
        <v>1</v>
      </c>
      <c r="Q138" s="12"/>
      <c r="R138" s="9">
        <v>1</v>
      </c>
      <c r="S138" s="10"/>
      <c r="T138" s="49">
        <f t="shared" ref="T138" si="86">SUM(Q138:S138)</f>
        <v>1</v>
      </c>
      <c r="U138" s="11">
        <f t="shared" ref="U138" si="87">P138+T138</f>
        <v>2</v>
      </c>
      <c r="V138" s="98">
        <v>43770</v>
      </c>
    </row>
    <row r="139" spans="1:23" x14ac:dyDescent="0.15">
      <c r="A139" s="26" t="s">
        <v>190</v>
      </c>
      <c r="B139" s="8"/>
      <c r="C139" s="9"/>
      <c r="D139" s="10">
        <v>1</v>
      </c>
      <c r="E139" s="49">
        <f t="shared" si="82"/>
        <v>1</v>
      </c>
      <c r="F139" s="12"/>
      <c r="G139" s="9"/>
      <c r="H139" s="10">
        <v>1</v>
      </c>
      <c r="I139" s="49">
        <f t="shared" si="83"/>
        <v>1</v>
      </c>
      <c r="J139" s="11">
        <f t="shared" si="84"/>
        <v>2</v>
      </c>
      <c r="K139" s="62">
        <v>43785</v>
      </c>
      <c r="L139" s="26" t="s">
        <v>163</v>
      </c>
      <c r="M139" s="13">
        <v>4</v>
      </c>
      <c r="N139" s="14">
        <v>8</v>
      </c>
      <c r="O139" s="15"/>
      <c r="P139" s="49">
        <f>SUM(M139:O139)</f>
        <v>12</v>
      </c>
      <c r="Q139" s="16">
        <v>4</v>
      </c>
      <c r="R139" s="14">
        <v>8</v>
      </c>
      <c r="S139" s="15"/>
      <c r="T139" s="49">
        <f>SUM(Q139:S139)</f>
        <v>12</v>
      </c>
      <c r="U139" s="11">
        <f>P139+T139</f>
        <v>24</v>
      </c>
      <c r="V139" s="98">
        <v>43771</v>
      </c>
    </row>
    <row r="140" spans="1:23" x14ac:dyDescent="0.15">
      <c r="A140" s="26" t="s">
        <v>109</v>
      </c>
      <c r="B140" s="8">
        <v>1</v>
      </c>
      <c r="C140" s="9"/>
      <c r="D140" s="10"/>
      <c r="E140" s="49">
        <f t="shared" si="82"/>
        <v>1</v>
      </c>
      <c r="F140" s="12">
        <v>1</v>
      </c>
      <c r="G140" s="9"/>
      <c r="H140" s="10"/>
      <c r="I140" s="49">
        <f t="shared" si="83"/>
        <v>1</v>
      </c>
      <c r="J140" s="11">
        <f t="shared" si="84"/>
        <v>2</v>
      </c>
      <c r="K140" s="62">
        <v>43787</v>
      </c>
      <c r="L140" s="26" t="s">
        <v>165</v>
      </c>
      <c r="M140" s="8"/>
      <c r="N140" s="9">
        <v>2</v>
      </c>
      <c r="O140" s="10"/>
      <c r="P140" s="49">
        <f t="shared" ref="P140:P163" si="88">SUM(M140:O140)</f>
        <v>2</v>
      </c>
      <c r="Q140" s="12"/>
      <c r="R140" s="9">
        <v>2</v>
      </c>
      <c r="S140" s="10"/>
      <c r="T140" s="49">
        <f t="shared" ref="T140:T163" si="89">SUM(Q140:S140)</f>
        <v>2</v>
      </c>
      <c r="U140" s="11">
        <f t="shared" ref="U140:U162" si="90">P140+T140</f>
        <v>4</v>
      </c>
      <c r="V140" s="98">
        <v>43773</v>
      </c>
    </row>
    <row r="141" spans="1:23" x14ac:dyDescent="0.15">
      <c r="A141" s="26" t="s">
        <v>109</v>
      </c>
      <c r="B141" s="8">
        <v>1</v>
      </c>
      <c r="C141" s="9"/>
      <c r="D141" s="10"/>
      <c r="E141" s="49">
        <f t="shared" si="82"/>
        <v>1</v>
      </c>
      <c r="F141" s="12">
        <v>1</v>
      </c>
      <c r="G141" s="9"/>
      <c r="H141" s="10"/>
      <c r="I141" s="49">
        <f t="shared" si="83"/>
        <v>1</v>
      </c>
      <c r="J141" s="11">
        <f t="shared" si="84"/>
        <v>2</v>
      </c>
      <c r="K141" s="62">
        <v>43788</v>
      </c>
      <c r="L141" s="26" t="s">
        <v>167</v>
      </c>
      <c r="M141" s="8">
        <v>4</v>
      </c>
      <c r="N141" s="9">
        <v>5</v>
      </c>
      <c r="O141" s="10">
        <v>6</v>
      </c>
      <c r="P141" s="49">
        <f t="shared" si="88"/>
        <v>15</v>
      </c>
      <c r="Q141" s="12">
        <v>4</v>
      </c>
      <c r="R141" s="9">
        <v>5</v>
      </c>
      <c r="S141" s="10">
        <v>6</v>
      </c>
      <c r="T141" s="49">
        <f t="shared" si="89"/>
        <v>15</v>
      </c>
      <c r="U141" s="11">
        <f t="shared" si="90"/>
        <v>30</v>
      </c>
      <c r="V141" s="98">
        <v>43775</v>
      </c>
    </row>
    <row r="142" spans="1:23" x14ac:dyDescent="0.15">
      <c r="A142" s="26"/>
      <c r="B142" s="8"/>
      <c r="C142" s="9"/>
      <c r="D142" s="10"/>
      <c r="E142" s="49">
        <f t="shared" si="82"/>
        <v>0</v>
      </c>
      <c r="F142" s="12"/>
      <c r="G142" s="9"/>
      <c r="H142" s="10"/>
      <c r="I142" s="49">
        <f t="shared" si="83"/>
        <v>0</v>
      </c>
      <c r="J142" s="11">
        <f t="shared" si="84"/>
        <v>0</v>
      </c>
      <c r="K142" s="62"/>
      <c r="L142" s="26" t="s">
        <v>169</v>
      </c>
      <c r="M142" s="8">
        <v>1</v>
      </c>
      <c r="N142" s="9">
        <v>1</v>
      </c>
      <c r="O142" s="10">
        <v>3</v>
      </c>
      <c r="P142" s="49">
        <f t="shared" si="88"/>
        <v>5</v>
      </c>
      <c r="Q142" s="12">
        <v>1</v>
      </c>
      <c r="R142" s="9">
        <v>1</v>
      </c>
      <c r="S142" s="10">
        <v>3</v>
      </c>
      <c r="T142" s="49">
        <f t="shared" si="89"/>
        <v>5</v>
      </c>
      <c r="U142" s="11">
        <f t="shared" si="90"/>
        <v>10</v>
      </c>
      <c r="V142" s="98">
        <v>43776</v>
      </c>
    </row>
    <row r="143" spans="1:23" x14ac:dyDescent="0.15">
      <c r="A143" s="26"/>
      <c r="B143" s="8"/>
      <c r="C143" s="9"/>
      <c r="D143" s="10"/>
      <c r="E143" s="49">
        <f t="shared" si="82"/>
        <v>0</v>
      </c>
      <c r="F143" s="12"/>
      <c r="G143" s="9"/>
      <c r="H143" s="10"/>
      <c r="I143" s="49">
        <f t="shared" si="83"/>
        <v>0</v>
      </c>
      <c r="J143" s="11">
        <f t="shared" si="84"/>
        <v>0</v>
      </c>
      <c r="K143" s="62"/>
      <c r="L143" s="26" t="s">
        <v>173</v>
      </c>
      <c r="M143" s="8">
        <v>7</v>
      </c>
      <c r="N143" s="9">
        <v>8</v>
      </c>
      <c r="O143" s="10">
        <v>2</v>
      </c>
      <c r="P143" s="49">
        <f t="shared" si="88"/>
        <v>17</v>
      </c>
      <c r="Q143" s="12">
        <v>7</v>
      </c>
      <c r="R143" s="9">
        <v>8</v>
      </c>
      <c r="S143" s="10">
        <v>2</v>
      </c>
      <c r="T143" s="49">
        <f t="shared" si="89"/>
        <v>17</v>
      </c>
      <c r="U143" s="11">
        <f t="shared" si="90"/>
        <v>34</v>
      </c>
      <c r="V143" s="98">
        <v>43777</v>
      </c>
      <c r="W143" s="66"/>
    </row>
    <row r="144" spans="1:23" x14ac:dyDescent="0.15">
      <c r="A144" s="26"/>
      <c r="B144" s="8"/>
      <c r="C144" s="9"/>
      <c r="D144" s="10"/>
      <c r="E144" s="49">
        <f t="shared" si="82"/>
        <v>0</v>
      </c>
      <c r="F144" s="12"/>
      <c r="G144" s="9"/>
      <c r="H144" s="10"/>
      <c r="I144" s="49">
        <f t="shared" si="83"/>
        <v>0</v>
      </c>
      <c r="J144" s="11">
        <f t="shared" si="84"/>
        <v>0</v>
      </c>
      <c r="K144" s="62"/>
      <c r="L144" s="26" t="s">
        <v>174</v>
      </c>
      <c r="M144" s="8">
        <v>3</v>
      </c>
      <c r="N144" s="9">
        <v>3</v>
      </c>
      <c r="O144" s="10">
        <v>2</v>
      </c>
      <c r="P144" s="49">
        <f t="shared" si="88"/>
        <v>8</v>
      </c>
      <c r="Q144" s="12">
        <v>3</v>
      </c>
      <c r="R144" s="9">
        <v>3</v>
      </c>
      <c r="S144" s="10">
        <v>2</v>
      </c>
      <c r="T144" s="49">
        <f t="shared" si="89"/>
        <v>8</v>
      </c>
      <c r="U144" s="11">
        <f t="shared" si="90"/>
        <v>16</v>
      </c>
      <c r="V144" s="98">
        <v>43778</v>
      </c>
    </row>
    <row r="145" spans="1:22" x14ac:dyDescent="0.15">
      <c r="A145" s="26"/>
      <c r="B145" s="8"/>
      <c r="C145" s="9"/>
      <c r="D145" s="10"/>
      <c r="E145" s="49">
        <f t="shared" si="82"/>
        <v>0</v>
      </c>
      <c r="F145" s="12"/>
      <c r="G145" s="9"/>
      <c r="H145" s="10"/>
      <c r="I145" s="49">
        <f t="shared" si="83"/>
        <v>0</v>
      </c>
      <c r="J145" s="11">
        <f t="shared" si="84"/>
        <v>0</v>
      </c>
      <c r="K145" s="62"/>
      <c r="L145" s="26" t="s">
        <v>176</v>
      </c>
      <c r="M145" s="8">
        <v>5</v>
      </c>
      <c r="N145" s="9">
        <v>5</v>
      </c>
      <c r="O145" s="10">
        <v>1</v>
      </c>
      <c r="P145" s="49">
        <f t="shared" si="88"/>
        <v>11</v>
      </c>
      <c r="Q145" s="12">
        <v>5</v>
      </c>
      <c r="R145" s="9">
        <v>5</v>
      </c>
      <c r="S145" s="10">
        <v>1</v>
      </c>
      <c r="T145" s="49">
        <f t="shared" si="89"/>
        <v>11</v>
      </c>
      <c r="U145" s="11">
        <f t="shared" si="90"/>
        <v>22</v>
      </c>
      <c r="V145" s="98">
        <v>43781</v>
      </c>
    </row>
    <row r="146" spans="1:22" x14ac:dyDescent="0.15">
      <c r="A146" s="26"/>
      <c r="B146" s="13"/>
      <c r="C146" s="14"/>
      <c r="D146" s="15"/>
      <c r="E146" s="49">
        <f t="shared" si="82"/>
        <v>0</v>
      </c>
      <c r="F146" s="16"/>
      <c r="G146" s="14"/>
      <c r="H146" s="15"/>
      <c r="I146" s="49">
        <f t="shared" si="83"/>
        <v>0</v>
      </c>
      <c r="J146" s="11">
        <f t="shared" si="84"/>
        <v>0</v>
      </c>
      <c r="K146" s="62"/>
      <c r="L146" s="26" t="s">
        <v>178</v>
      </c>
      <c r="M146" s="13">
        <v>15</v>
      </c>
      <c r="N146" s="14">
        <v>15</v>
      </c>
      <c r="O146" s="15">
        <v>15</v>
      </c>
      <c r="P146" s="49">
        <f t="shared" si="88"/>
        <v>45</v>
      </c>
      <c r="Q146" s="16">
        <v>15</v>
      </c>
      <c r="R146" s="14">
        <v>15</v>
      </c>
      <c r="S146" s="15">
        <v>15</v>
      </c>
      <c r="T146" s="49">
        <f t="shared" si="89"/>
        <v>45</v>
      </c>
      <c r="U146" s="11">
        <f t="shared" si="90"/>
        <v>90</v>
      </c>
      <c r="V146" s="98">
        <v>43782</v>
      </c>
    </row>
    <row r="147" spans="1:22" x14ac:dyDescent="0.15">
      <c r="A147" s="26"/>
      <c r="B147" s="8"/>
      <c r="C147" s="9"/>
      <c r="D147" s="10"/>
      <c r="E147" s="49">
        <f t="shared" si="82"/>
        <v>0</v>
      </c>
      <c r="F147" s="12"/>
      <c r="G147" s="9"/>
      <c r="H147" s="10"/>
      <c r="I147" s="49">
        <f t="shared" si="83"/>
        <v>0</v>
      </c>
      <c r="J147" s="11">
        <f t="shared" si="84"/>
        <v>0</v>
      </c>
      <c r="K147" s="62"/>
      <c r="L147" s="26" t="s">
        <v>180</v>
      </c>
      <c r="M147" s="8">
        <v>5</v>
      </c>
      <c r="N147" s="9">
        <v>6</v>
      </c>
      <c r="O147" s="10">
        <v>5</v>
      </c>
      <c r="P147" s="49">
        <f t="shared" si="88"/>
        <v>16</v>
      </c>
      <c r="Q147" s="12">
        <v>5</v>
      </c>
      <c r="R147" s="9">
        <v>6</v>
      </c>
      <c r="S147" s="10">
        <v>5</v>
      </c>
      <c r="T147" s="49">
        <f t="shared" si="89"/>
        <v>16</v>
      </c>
      <c r="U147" s="11">
        <f t="shared" si="90"/>
        <v>32</v>
      </c>
      <c r="V147" s="98">
        <v>43782</v>
      </c>
    </row>
    <row r="148" spans="1:22" x14ac:dyDescent="0.15">
      <c r="A148" s="26"/>
      <c r="B148" s="8"/>
      <c r="C148" s="9"/>
      <c r="D148" s="10"/>
      <c r="E148" s="49">
        <f t="shared" si="82"/>
        <v>0</v>
      </c>
      <c r="F148" s="12"/>
      <c r="G148" s="9"/>
      <c r="H148" s="10"/>
      <c r="I148" s="49">
        <f t="shared" si="83"/>
        <v>0</v>
      </c>
      <c r="J148" s="11">
        <f t="shared" si="84"/>
        <v>0</v>
      </c>
      <c r="K148" s="62"/>
      <c r="L148" s="26" t="s">
        <v>182</v>
      </c>
      <c r="M148" s="8">
        <v>3</v>
      </c>
      <c r="N148" s="9"/>
      <c r="O148" s="10"/>
      <c r="P148" s="49">
        <f t="shared" si="88"/>
        <v>3</v>
      </c>
      <c r="Q148" s="12">
        <v>3</v>
      </c>
      <c r="R148" s="9"/>
      <c r="S148" s="10"/>
      <c r="T148" s="49">
        <f t="shared" si="89"/>
        <v>3</v>
      </c>
      <c r="U148" s="11">
        <f t="shared" si="90"/>
        <v>6</v>
      </c>
      <c r="V148" s="98">
        <v>43783</v>
      </c>
    </row>
    <row r="149" spans="1:22" x14ac:dyDescent="0.15">
      <c r="A149" s="26"/>
      <c r="B149" s="8"/>
      <c r="C149" s="9"/>
      <c r="D149" s="10"/>
      <c r="E149" s="49">
        <f t="shared" si="82"/>
        <v>0</v>
      </c>
      <c r="F149" s="12"/>
      <c r="G149" s="9"/>
      <c r="H149" s="10"/>
      <c r="I149" s="49">
        <f t="shared" si="83"/>
        <v>0</v>
      </c>
      <c r="J149" s="11">
        <f t="shared" si="84"/>
        <v>0</v>
      </c>
      <c r="K149" s="62"/>
      <c r="L149" s="26" t="s">
        <v>186</v>
      </c>
      <c r="M149" s="8">
        <v>4</v>
      </c>
      <c r="N149" s="9">
        <v>7</v>
      </c>
      <c r="O149" s="10">
        <v>6</v>
      </c>
      <c r="P149" s="49">
        <f t="shared" si="88"/>
        <v>17</v>
      </c>
      <c r="Q149" s="12">
        <v>4</v>
      </c>
      <c r="R149" s="9">
        <v>7</v>
      </c>
      <c r="S149" s="10">
        <v>6</v>
      </c>
      <c r="T149" s="49">
        <f t="shared" si="89"/>
        <v>17</v>
      </c>
      <c r="U149" s="11">
        <f t="shared" si="90"/>
        <v>34</v>
      </c>
      <c r="V149" s="98">
        <v>43784</v>
      </c>
    </row>
    <row r="150" spans="1:22" x14ac:dyDescent="0.15">
      <c r="A150" s="26"/>
      <c r="B150" s="8"/>
      <c r="C150" s="9"/>
      <c r="D150" s="10"/>
      <c r="E150" s="49">
        <f t="shared" si="82"/>
        <v>0</v>
      </c>
      <c r="F150" s="12"/>
      <c r="G150" s="9"/>
      <c r="H150" s="10"/>
      <c r="I150" s="49">
        <f t="shared" si="83"/>
        <v>0</v>
      </c>
      <c r="J150" s="11">
        <f t="shared" si="84"/>
        <v>0</v>
      </c>
      <c r="K150" s="62"/>
      <c r="L150" s="26" t="s">
        <v>188</v>
      </c>
      <c r="M150" s="8">
        <v>1</v>
      </c>
      <c r="N150" s="9">
        <v>2</v>
      </c>
      <c r="O150" s="10">
        <v>2</v>
      </c>
      <c r="P150" s="49">
        <f t="shared" si="88"/>
        <v>5</v>
      </c>
      <c r="Q150" s="12">
        <v>1</v>
      </c>
      <c r="R150" s="9">
        <v>2</v>
      </c>
      <c r="S150" s="10">
        <v>2</v>
      </c>
      <c r="T150" s="49">
        <f t="shared" si="89"/>
        <v>5</v>
      </c>
      <c r="U150" s="11">
        <f t="shared" si="90"/>
        <v>10</v>
      </c>
      <c r="V150" s="98">
        <v>43785</v>
      </c>
    </row>
    <row r="151" spans="1:22" x14ac:dyDescent="0.15">
      <c r="A151" s="26"/>
      <c r="B151" s="8"/>
      <c r="C151" s="9"/>
      <c r="D151" s="10"/>
      <c r="E151" s="49">
        <f t="shared" si="82"/>
        <v>0</v>
      </c>
      <c r="F151" s="12"/>
      <c r="G151" s="9"/>
      <c r="H151" s="10"/>
      <c r="I151" s="49">
        <f t="shared" si="83"/>
        <v>0</v>
      </c>
      <c r="J151" s="11">
        <f t="shared" si="84"/>
        <v>0</v>
      </c>
      <c r="K151" s="62"/>
      <c r="L151" s="26" t="s">
        <v>194</v>
      </c>
      <c r="M151" s="8"/>
      <c r="N151" s="9">
        <v>10</v>
      </c>
      <c r="O151" s="10"/>
      <c r="P151" s="49">
        <f t="shared" si="88"/>
        <v>10</v>
      </c>
      <c r="Q151" s="12"/>
      <c r="R151" s="9">
        <v>10</v>
      </c>
      <c r="S151" s="10"/>
      <c r="T151" s="49">
        <f t="shared" si="89"/>
        <v>10</v>
      </c>
      <c r="U151" s="11">
        <f t="shared" si="90"/>
        <v>20</v>
      </c>
      <c r="V151" s="98">
        <v>43789</v>
      </c>
    </row>
    <row r="152" spans="1:22" x14ac:dyDescent="0.15">
      <c r="A152" s="26"/>
      <c r="B152" s="8"/>
      <c r="C152" s="9"/>
      <c r="D152" s="10"/>
      <c r="E152" s="49">
        <f t="shared" si="82"/>
        <v>0</v>
      </c>
      <c r="F152" s="12"/>
      <c r="G152" s="9"/>
      <c r="H152" s="10"/>
      <c r="I152" s="49">
        <f t="shared" si="83"/>
        <v>0</v>
      </c>
      <c r="J152" s="11">
        <f t="shared" si="84"/>
        <v>0</v>
      </c>
      <c r="K152" s="62"/>
      <c r="L152" s="26" t="s">
        <v>195</v>
      </c>
      <c r="M152" s="8">
        <v>8</v>
      </c>
      <c r="N152" s="9"/>
      <c r="O152" s="10"/>
      <c r="P152" s="49">
        <f t="shared" si="88"/>
        <v>8</v>
      </c>
      <c r="Q152" s="12">
        <v>8</v>
      </c>
      <c r="R152" s="9"/>
      <c r="S152" s="10"/>
      <c r="T152" s="49">
        <f t="shared" si="89"/>
        <v>8</v>
      </c>
      <c r="U152" s="11">
        <f t="shared" si="90"/>
        <v>16</v>
      </c>
      <c r="V152" s="98">
        <v>43789</v>
      </c>
    </row>
    <row r="153" spans="1:22" x14ac:dyDescent="0.15">
      <c r="A153" s="26"/>
      <c r="B153" s="8"/>
      <c r="C153" s="9"/>
      <c r="D153" s="10"/>
      <c r="E153" s="49">
        <f t="shared" si="82"/>
        <v>0</v>
      </c>
      <c r="F153" s="12"/>
      <c r="G153" s="9"/>
      <c r="H153" s="10"/>
      <c r="I153" s="49">
        <f t="shared" si="83"/>
        <v>0</v>
      </c>
      <c r="J153" s="11">
        <f t="shared" si="84"/>
        <v>0</v>
      </c>
      <c r="K153" s="62"/>
      <c r="L153" s="26" t="s">
        <v>199</v>
      </c>
      <c r="M153" s="8">
        <v>12</v>
      </c>
      <c r="N153" s="9"/>
      <c r="O153" s="10">
        <v>5</v>
      </c>
      <c r="P153" s="49">
        <f t="shared" si="88"/>
        <v>17</v>
      </c>
      <c r="Q153" s="12">
        <v>12</v>
      </c>
      <c r="R153" s="9"/>
      <c r="S153" s="10">
        <v>5</v>
      </c>
      <c r="T153" s="49">
        <f t="shared" si="89"/>
        <v>17</v>
      </c>
      <c r="U153" s="11">
        <f t="shared" si="90"/>
        <v>34</v>
      </c>
      <c r="V153" s="98">
        <v>43790</v>
      </c>
    </row>
    <row r="154" spans="1:22" x14ac:dyDescent="0.15">
      <c r="A154" s="24"/>
      <c r="B154" s="8"/>
      <c r="C154" s="9"/>
      <c r="D154" s="10"/>
      <c r="E154" s="49">
        <f t="shared" si="82"/>
        <v>0</v>
      </c>
      <c r="F154" s="12"/>
      <c r="G154" s="9"/>
      <c r="H154" s="10"/>
      <c r="I154" s="49">
        <f t="shared" si="83"/>
        <v>0</v>
      </c>
      <c r="J154" s="11">
        <f t="shared" si="84"/>
        <v>0</v>
      </c>
      <c r="K154" s="62"/>
      <c r="L154" s="26" t="s">
        <v>201</v>
      </c>
      <c r="M154" s="8"/>
      <c r="N154" s="9">
        <v>13</v>
      </c>
      <c r="O154" s="10">
        <v>4</v>
      </c>
      <c r="P154" s="49">
        <f t="shared" si="88"/>
        <v>17</v>
      </c>
      <c r="Q154" s="12"/>
      <c r="R154" s="9">
        <v>13</v>
      </c>
      <c r="S154" s="10">
        <v>4</v>
      </c>
      <c r="T154" s="49">
        <f t="shared" si="89"/>
        <v>17</v>
      </c>
      <c r="U154" s="11">
        <f t="shared" si="90"/>
        <v>34</v>
      </c>
      <c r="V154" s="98">
        <v>43791</v>
      </c>
    </row>
    <row r="155" spans="1:22" x14ac:dyDescent="0.15">
      <c r="A155" s="25"/>
      <c r="B155" s="8"/>
      <c r="C155" s="9"/>
      <c r="D155" s="10"/>
      <c r="E155" s="49">
        <f t="shared" si="82"/>
        <v>0</v>
      </c>
      <c r="F155" s="12"/>
      <c r="G155" s="9"/>
      <c r="H155" s="10"/>
      <c r="I155" s="49">
        <f t="shared" si="83"/>
        <v>0</v>
      </c>
      <c r="J155" s="11">
        <f t="shared" si="84"/>
        <v>0</v>
      </c>
      <c r="K155" s="64"/>
      <c r="L155" s="26" t="s">
        <v>203</v>
      </c>
      <c r="M155" s="8"/>
      <c r="N155" s="9">
        <v>10</v>
      </c>
      <c r="O155" s="10">
        <v>5</v>
      </c>
      <c r="P155" s="49">
        <f t="shared" si="88"/>
        <v>15</v>
      </c>
      <c r="Q155" s="12"/>
      <c r="R155" s="9">
        <v>10</v>
      </c>
      <c r="S155" s="10">
        <v>5</v>
      </c>
      <c r="T155" s="49">
        <f t="shared" si="89"/>
        <v>15</v>
      </c>
      <c r="U155" s="11">
        <f t="shared" si="90"/>
        <v>30</v>
      </c>
      <c r="V155" s="98">
        <v>43791</v>
      </c>
    </row>
    <row r="156" spans="1:22" x14ac:dyDescent="0.15">
      <c r="A156" s="26"/>
      <c r="B156" s="8"/>
      <c r="C156" s="9"/>
      <c r="D156" s="10"/>
      <c r="E156" s="49">
        <f t="shared" si="82"/>
        <v>0</v>
      </c>
      <c r="F156" s="12"/>
      <c r="G156" s="9"/>
      <c r="H156" s="10"/>
      <c r="I156" s="49">
        <f t="shared" si="83"/>
        <v>0</v>
      </c>
      <c r="J156" s="11">
        <f t="shared" si="84"/>
        <v>0</v>
      </c>
      <c r="K156" s="62"/>
      <c r="L156" s="26" t="s">
        <v>205</v>
      </c>
      <c r="M156" s="8"/>
      <c r="N156" s="9">
        <v>9</v>
      </c>
      <c r="O156" s="10"/>
      <c r="P156" s="49">
        <f t="shared" si="88"/>
        <v>9</v>
      </c>
      <c r="Q156" s="12"/>
      <c r="R156" s="9">
        <v>9</v>
      </c>
      <c r="S156" s="10"/>
      <c r="T156" s="49">
        <f t="shared" si="89"/>
        <v>9</v>
      </c>
      <c r="U156" s="11">
        <f t="shared" si="90"/>
        <v>18</v>
      </c>
      <c r="V156" s="98">
        <v>43794</v>
      </c>
    </row>
    <row r="157" spans="1:22" x14ac:dyDescent="0.15">
      <c r="A157" s="24"/>
      <c r="B157" s="8"/>
      <c r="C157" s="9"/>
      <c r="D157" s="10"/>
      <c r="E157" s="49">
        <f t="shared" si="82"/>
        <v>0</v>
      </c>
      <c r="F157" s="12"/>
      <c r="G157" s="9"/>
      <c r="H157" s="10"/>
      <c r="I157" s="49">
        <f t="shared" si="83"/>
        <v>0</v>
      </c>
      <c r="J157" s="11">
        <f t="shared" si="84"/>
        <v>0</v>
      </c>
      <c r="K157" s="62"/>
      <c r="L157" s="26" t="s">
        <v>207</v>
      </c>
      <c r="M157" s="8">
        <v>5</v>
      </c>
      <c r="N157" s="9">
        <v>5</v>
      </c>
      <c r="O157" s="10"/>
      <c r="P157" s="49">
        <f t="shared" si="88"/>
        <v>10</v>
      </c>
      <c r="Q157" s="12">
        <v>5</v>
      </c>
      <c r="R157" s="9">
        <v>5</v>
      </c>
      <c r="S157" s="10"/>
      <c r="T157" s="49">
        <f t="shared" si="89"/>
        <v>10</v>
      </c>
      <c r="U157" s="11">
        <f t="shared" si="90"/>
        <v>20</v>
      </c>
      <c r="V157" s="98">
        <v>43794</v>
      </c>
    </row>
    <row r="158" spans="1:22" x14ac:dyDescent="0.15">
      <c r="B158" s="13"/>
      <c r="C158" s="14"/>
      <c r="D158" s="15"/>
      <c r="E158" s="49">
        <f t="shared" si="82"/>
        <v>0</v>
      </c>
      <c r="F158" s="16"/>
      <c r="G158" s="14"/>
      <c r="H158" s="15"/>
      <c r="I158" s="49">
        <f t="shared" si="83"/>
        <v>0</v>
      </c>
      <c r="J158" s="11">
        <f t="shared" si="84"/>
        <v>0</v>
      </c>
      <c r="K158" s="65"/>
      <c r="L158" s="26" t="s">
        <v>209</v>
      </c>
      <c r="M158" s="8"/>
      <c r="N158" s="9">
        <v>5</v>
      </c>
      <c r="O158" s="10">
        <v>3</v>
      </c>
      <c r="P158" s="49">
        <f t="shared" si="88"/>
        <v>8</v>
      </c>
      <c r="Q158" s="12"/>
      <c r="R158" s="9">
        <v>5</v>
      </c>
      <c r="S158" s="10">
        <v>3</v>
      </c>
      <c r="T158" s="49">
        <f t="shared" si="89"/>
        <v>8</v>
      </c>
      <c r="U158" s="11">
        <f t="shared" si="90"/>
        <v>16</v>
      </c>
      <c r="V158" s="98">
        <v>43795</v>
      </c>
    </row>
    <row r="159" spans="1:22" x14ac:dyDescent="0.15">
      <c r="A159" s="26"/>
      <c r="B159" s="8"/>
      <c r="C159" s="9"/>
      <c r="D159" s="10"/>
      <c r="E159" s="49">
        <f t="shared" si="82"/>
        <v>0</v>
      </c>
      <c r="F159" s="12"/>
      <c r="G159" s="9"/>
      <c r="H159" s="10"/>
      <c r="I159" s="49">
        <f t="shared" si="83"/>
        <v>0</v>
      </c>
      <c r="J159" s="11">
        <f t="shared" si="84"/>
        <v>0</v>
      </c>
      <c r="K159" s="62"/>
      <c r="L159" s="26"/>
      <c r="M159" s="8"/>
      <c r="N159" s="9"/>
      <c r="O159" s="10"/>
      <c r="P159" s="49">
        <f t="shared" si="88"/>
        <v>0</v>
      </c>
      <c r="Q159" s="12"/>
      <c r="R159" s="9"/>
      <c r="S159" s="10"/>
      <c r="T159" s="49">
        <f t="shared" si="89"/>
        <v>0</v>
      </c>
      <c r="U159" s="11">
        <f t="shared" si="90"/>
        <v>0</v>
      </c>
    </row>
    <row r="160" spans="1:22" x14ac:dyDescent="0.15">
      <c r="A160" s="26"/>
      <c r="B160" s="8"/>
      <c r="C160" s="9"/>
      <c r="D160" s="10"/>
      <c r="E160" s="49">
        <f t="shared" si="82"/>
        <v>0</v>
      </c>
      <c r="F160" s="12"/>
      <c r="G160" s="9"/>
      <c r="H160" s="10"/>
      <c r="I160" s="49">
        <f t="shared" si="83"/>
        <v>0</v>
      </c>
      <c r="J160" s="11">
        <f t="shared" si="84"/>
        <v>0</v>
      </c>
      <c r="K160" s="62"/>
      <c r="L160" s="26" t="s">
        <v>132</v>
      </c>
      <c r="M160" s="8"/>
      <c r="N160" s="9"/>
      <c r="O160" s="10"/>
      <c r="P160" s="49">
        <f t="shared" si="88"/>
        <v>0</v>
      </c>
      <c r="Q160" s="12"/>
      <c r="R160" s="9"/>
      <c r="S160" s="10"/>
      <c r="T160" s="49">
        <f t="shared" si="89"/>
        <v>0</v>
      </c>
      <c r="U160" s="11">
        <f t="shared" si="90"/>
        <v>0</v>
      </c>
      <c r="V160" s="100" t="s">
        <v>125</v>
      </c>
    </row>
    <row r="161" spans="1:23" x14ac:dyDescent="0.15">
      <c r="A161" s="26"/>
      <c r="B161" s="8"/>
      <c r="C161" s="9"/>
      <c r="D161" s="10"/>
      <c r="E161" s="49">
        <f t="shared" si="82"/>
        <v>0</v>
      </c>
      <c r="F161" s="12"/>
      <c r="G161" s="9"/>
      <c r="H161" s="10"/>
      <c r="I161" s="49">
        <f t="shared" si="83"/>
        <v>0</v>
      </c>
      <c r="J161" s="11">
        <f t="shared" si="84"/>
        <v>0</v>
      </c>
      <c r="K161" s="62"/>
      <c r="L161" s="26" t="s">
        <v>124</v>
      </c>
      <c r="M161" s="8"/>
      <c r="N161" s="9"/>
      <c r="O161" s="10"/>
      <c r="P161" s="49">
        <f t="shared" si="88"/>
        <v>0</v>
      </c>
      <c r="Q161" s="8"/>
      <c r="R161" s="9"/>
      <c r="S161" s="10"/>
      <c r="T161" s="49">
        <f t="shared" si="89"/>
        <v>0</v>
      </c>
      <c r="U161" s="11">
        <f t="shared" si="90"/>
        <v>0</v>
      </c>
      <c r="V161" s="100" t="s">
        <v>125</v>
      </c>
    </row>
    <row r="162" spans="1:23" ht="14.25" thickBot="1" x14ac:dyDescent="0.2">
      <c r="A162" s="23"/>
      <c r="B162" s="13"/>
      <c r="C162" s="14"/>
      <c r="D162" s="15"/>
      <c r="E162" s="49">
        <f>SUM(B162:D162)</f>
        <v>0</v>
      </c>
      <c r="F162" s="16"/>
      <c r="G162" s="14"/>
      <c r="H162" s="15"/>
      <c r="I162" s="49">
        <f>SUM(F162:H162)</f>
        <v>0</v>
      </c>
      <c r="J162" s="11">
        <f>E162+I162</f>
        <v>0</v>
      </c>
      <c r="K162" s="62"/>
      <c r="L162" s="26" t="s">
        <v>104</v>
      </c>
      <c r="M162" s="8"/>
      <c r="N162" s="9"/>
      <c r="O162" s="10"/>
      <c r="P162" s="49">
        <f t="shared" si="88"/>
        <v>0</v>
      </c>
      <c r="Q162" s="12"/>
      <c r="R162" s="9"/>
      <c r="S162" s="10"/>
      <c r="T162" s="49">
        <f t="shared" si="89"/>
        <v>0</v>
      </c>
      <c r="U162" s="11">
        <f t="shared" si="90"/>
        <v>0</v>
      </c>
      <c r="V162" s="100" t="s">
        <v>102</v>
      </c>
    </row>
    <row r="163" spans="1:23" ht="14.25" thickBot="1" x14ac:dyDescent="0.2">
      <c r="A163" s="41" t="s">
        <v>17</v>
      </c>
      <c r="B163" s="46">
        <f>SUM(B137:B162)</f>
        <v>3</v>
      </c>
      <c r="C163" s="47">
        <f t="shared" ref="C163:D163" si="91">SUM(C137:C162)</f>
        <v>1</v>
      </c>
      <c r="D163" s="58">
        <f t="shared" si="91"/>
        <v>1</v>
      </c>
      <c r="E163" s="45">
        <f t="shared" ref="E163" si="92">SUM(B163:D163)</f>
        <v>5</v>
      </c>
      <c r="F163" s="46">
        <f>SUM(F137:F162)</f>
        <v>3</v>
      </c>
      <c r="G163" s="47">
        <f t="shared" ref="G163:H163" si="93">SUM(G137:G162)</f>
        <v>1</v>
      </c>
      <c r="H163" s="58">
        <f t="shared" si="93"/>
        <v>1</v>
      </c>
      <c r="I163" s="45">
        <f t="shared" ref="I163" si="94">SUM(F163:H163)</f>
        <v>5</v>
      </c>
      <c r="J163" s="45">
        <f>E163+I163</f>
        <v>10</v>
      </c>
      <c r="K163" s="40"/>
      <c r="L163" s="41" t="s">
        <v>17</v>
      </c>
      <c r="M163" s="46">
        <f>SUM(M137:M162)</f>
        <v>117</v>
      </c>
      <c r="N163" s="47">
        <f t="shared" ref="N163:O163" si="95">SUM(N137:N162)</f>
        <v>155</v>
      </c>
      <c r="O163" s="58">
        <f t="shared" si="95"/>
        <v>99</v>
      </c>
      <c r="P163" s="45">
        <f t="shared" si="88"/>
        <v>371</v>
      </c>
      <c r="Q163" s="46">
        <f>SUM(Q137:Q162)</f>
        <v>117</v>
      </c>
      <c r="R163" s="47">
        <f t="shared" ref="R163:S163" si="96">SUM(R137:R162)</f>
        <v>155</v>
      </c>
      <c r="S163" s="58">
        <f t="shared" si="96"/>
        <v>99</v>
      </c>
      <c r="T163" s="45">
        <f t="shared" si="89"/>
        <v>371</v>
      </c>
      <c r="U163" s="45">
        <f>P163+T163</f>
        <v>742</v>
      </c>
    </row>
    <row r="164" spans="1:23" ht="14.25" thickBot="1" x14ac:dyDescent="0.2">
      <c r="A164" s="22" t="s">
        <v>16</v>
      </c>
      <c r="B164" s="50">
        <f>B136-B163</f>
        <v>1</v>
      </c>
      <c r="C164" s="56">
        <f t="shared" ref="C164:D164" si="97">C136-C163</f>
        <v>3</v>
      </c>
      <c r="D164" s="57">
        <f t="shared" si="97"/>
        <v>2</v>
      </c>
      <c r="E164" s="55">
        <f>SUM(B164:D164)</f>
        <v>6</v>
      </c>
      <c r="F164" s="50">
        <f>F136-F163</f>
        <v>1</v>
      </c>
      <c r="G164" s="56">
        <f t="shared" ref="G164:H164" si="98">G136-G163</f>
        <v>3</v>
      </c>
      <c r="H164" s="57">
        <f t="shared" si="98"/>
        <v>2</v>
      </c>
      <c r="I164" s="55">
        <f>SUM(F164:H164)</f>
        <v>6</v>
      </c>
      <c r="J164" s="31">
        <f>E164+I164</f>
        <v>12</v>
      </c>
      <c r="L164" s="22" t="s">
        <v>16</v>
      </c>
      <c r="M164" s="50">
        <f>M136-M163</f>
        <v>77</v>
      </c>
      <c r="N164" s="56">
        <f t="shared" ref="N164:O164" si="99">N136-N163</f>
        <v>84</v>
      </c>
      <c r="O164" s="57">
        <f t="shared" si="99"/>
        <v>74</v>
      </c>
      <c r="P164" s="55">
        <f>SUM(M164:O164)</f>
        <v>235</v>
      </c>
      <c r="Q164" s="50">
        <f>Q136-Q163</f>
        <v>77</v>
      </c>
      <c r="R164" s="56">
        <f t="shared" ref="R164:S164" si="100">R136-R163</f>
        <v>84</v>
      </c>
      <c r="S164" s="57">
        <f t="shared" si="100"/>
        <v>74</v>
      </c>
      <c r="T164" s="55">
        <f>SUM(Q164:S164)</f>
        <v>235</v>
      </c>
      <c r="U164" s="31">
        <f>P164+T164</f>
        <v>470</v>
      </c>
    </row>
    <row r="165" spans="1:23" ht="19.5" thickBot="1" x14ac:dyDescent="0.25">
      <c r="A165" s="3" t="s">
        <v>20</v>
      </c>
      <c r="B165" s="1"/>
      <c r="C165" s="1"/>
      <c r="D165" s="1"/>
      <c r="E165" s="1"/>
      <c r="F165" s="1"/>
      <c r="G165" s="1"/>
      <c r="H165" s="1"/>
      <c r="I165" s="1"/>
      <c r="J165" s="1"/>
      <c r="L165" s="3" t="s">
        <v>21</v>
      </c>
      <c r="M165" s="1"/>
      <c r="N165" s="1"/>
      <c r="O165" s="1"/>
      <c r="P165" s="1"/>
      <c r="Q165" s="1"/>
      <c r="R165" s="1"/>
      <c r="S165" s="1"/>
      <c r="T165" s="1"/>
      <c r="U165" s="1"/>
    </row>
    <row r="166" spans="1:23" ht="14.25" thickBot="1" x14ac:dyDescent="0.2">
      <c r="A166" s="7"/>
      <c r="B166" s="176" t="s">
        <v>22</v>
      </c>
      <c r="C166" s="177"/>
      <c r="D166" s="177"/>
      <c r="E166" s="178"/>
      <c r="F166" s="176" t="s">
        <v>23</v>
      </c>
      <c r="G166" s="177"/>
      <c r="H166" s="177"/>
      <c r="I166" s="179"/>
      <c r="J166" s="174" t="s">
        <v>0</v>
      </c>
      <c r="L166" s="7"/>
      <c r="M166" s="169" t="s">
        <v>22</v>
      </c>
      <c r="N166" s="170"/>
      <c r="O166" s="170"/>
      <c r="P166" s="171"/>
      <c r="Q166" s="169" t="s">
        <v>23</v>
      </c>
      <c r="R166" s="170"/>
      <c r="S166" s="170"/>
      <c r="T166" s="171"/>
      <c r="U166" s="174" t="s">
        <v>0</v>
      </c>
    </row>
    <row r="167" spans="1:23" ht="14.25" thickBot="1" x14ac:dyDescent="0.2">
      <c r="A167" s="7" t="s">
        <v>1</v>
      </c>
      <c r="B167" s="4" t="s">
        <v>2</v>
      </c>
      <c r="C167" s="5" t="s">
        <v>3</v>
      </c>
      <c r="D167" s="6" t="s">
        <v>4</v>
      </c>
      <c r="E167" s="7" t="s">
        <v>5</v>
      </c>
      <c r="F167" s="4" t="s">
        <v>2</v>
      </c>
      <c r="G167" s="5" t="s">
        <v>3</v>
      </c>
      <c r="H167" s="6" t="s">
        <v>4</v>
      </c>
      <c r="I167" s="7" t="s">
        <v>5</v>
      </c>
      <c r="J167" s="175"/>
      <c r="L167" s="7" t="s">
        <v>1</v>
      </c>
      <c r="M167" s="4" t="s">
        <v>2</v>
      </c>
      <c r="N167" s="5" t="s">
        <v>3</v>
      </c>
      <c r="O167" s="6" t="s">
        <v>4</v>
      </c>
      <c r="P167" s="7" t="s">
        <v>5</v>
      </c>
      <c r="Q167" s="4" t="s">
        <v>2</v>
      </c>
      <c r="R167" s="5" t="s">
        <v>3</v>
      </c>
      <c r="S167" s="6" t="s">
        <v>4</v>
      </c>
      <c r="T167" s="7" t="s">
        <v>5</v>
      </c>
      <c r="U167" s="175"/>
    </row>
    <row r="168" spans="1:23" ht="14.25" thickBot="1" x14ac:dyDescent="0.2">
      <c r="A168" s="27" t="s">
        <v>16</v>
      </c>
      <c r="B168" s="38">
        <f>B164</f>
        <v>1</v>
      </c>
      <c r="C168" s="39">
        <f>C164</f>
        <v>3</v>
      </c>
      <c r="D168" s="2">
        <f>D164</f>
        <v>2</v>
      </c>
      <c r="E168" s="36">
        <f>SUM(B168:D168)</f>
        <v>6</v>
      </c>
      <c r="F168" s="38">
        <f>F164</f>
        <v>1</v>
      </c>
      <c r="G168" s="39">
        <f>G164</f>
        <v>3</v>
      </c>
      <c r="H168" s="2">
        <f>H164</f>
        <v>2</v>
      </c>
      <c r="I168" s="36">
        <f>SUM(F168:H168)</f>
        <v>6</v>
      </c>
      <c r="J168" s="36">
        <f>E168+I168</f>
        <v>12</v>
      </c>
      <c r="K168" s="63"/>
      <c r="L168" s="27" t="s">
        <v>16</v>
      </c>
      <c r="M168" s="38">
        <f>M164</f>
        <v>77</v>
      </c>
      <c r="N168" s="39">
        <f>N164</f>
        <v>84</v>
      </c>
      <c r="O168" s="2">
        <f>O164</f>
        <v>74</v>
      </c>
      <c r="P168" s="36">
        <f>SUM(M168:O168)</f>
        <v>235</v>
      </c>
      <c r="Q168" s="38">
        <f>Q164</f>
        <v>77</v>
      </c>
      <c r="R168" s="39">
        <f>R164</f>
        <v>84</v>
      </c>
      <c r="S168" s="2">
        <f>S164</f>
        <v>74</v>
      </c>
      <c r="T168" s="36">
        <f>SUM(Q168:S168)</f>
        <v>235</v>
      </c>
      <c r="U168" s="36">
        <f>P168+T168</f>
        <v>470</v>
      </c>
    </row>
    <row r="169" spans="1:23" x14ac:dyDescent="0.15">
      <c r="A169" s="25" t="s">
        <v>252</v>
      </c>
      <c r="B169" s="42">
        <v>3</v>
      </c>
      <c r="C169" s="43">
        <v>1</v>
      </c>
      <c r="D169" s="44"/>
      <c r="E169" s="48">
        <f>SUM(B169:D169)</f>
        <v>4</v>
      </c>
      <c r="F169" s="59">
        <v>3</v>
      </c>
      <c r="G169" s="43">
        <v>1</v>
      </c>
      <c r="H169" s="60"/>
      <c r="I169" s="48">
        <f>SUM(F169:H169)</f>
        <v>4</v>
      </c>
      <c r="J169" s="48">
        <f>E169+I169</f>
        <v>8</v>
      </c>
      <c r="K169" s="62">
        <v>43810</v>
      </c>
      <c r="L169" s="25" t="s">
        <v>7</v>
      </c>
      <c r="M169" s="42"/>
      <c r="N169" s="43"/>
      <c r="O169" s="44"/>
      <c r="P169" s="48">
        <f>SUM(M169:O169)</f>
        <v>0</v>
      </c>
      <c r="Q169" s="59"/>
      <c r="R169" s="43"/>
      <c r="S169" s="60"/>
      <c r="T169" s="48">
        <f>SUM(Q169:S169)</f>
        <v>0</v>
      </c>
      <c r="U169" s="48">
        <f>P169+T169</f>
        <v>0</v>
      </c>
    </row>
    <row r="170" spans="1:23" x14ac:dyDescent="0.15">
      <c r="A170" s="25" t="s">
        <v>265</v>
      </c>
      <c r="B170" s="8"/>
      <c r="C170" s="9">
        <v>2</v>
      </c>
      <c r="D170" s="52"/>
      <c r="E170" s="11">
        <f>SUM(B170:D170)</f>
        <v>2</v>
      </c>
      <c r="F170" s="12"/>
      <c r="G170" s="9">
        <v>2</v>
      </c>
      <c r="H170" s="10"/>
      <c r="I170" s="11">
        <f>SUM(F170:H170)</f>
        <v>2</v>
      </c>
      <c r="J170" s="11">
        <f>E170+I170</f>
        <v>4</v>
      </c>
      <c r="K170" s="62">
        <v>43820</v>
      </c>
      <c r="L170" s="25" t="s">
        <v>98</v>
      </c>
      <c r="M170" s="8">
        <v>157</v>
      </c>
      <c r="N170" s="9">
        <v>296</v>
      </c>
      <c r="O170" s="52">
        <v>209</v>
      </c>
      <c r="P170" s="11">
        <f>SUM(M170:O170)</f>
        <v>662</v>
      </c>
      <c r="Q170" s="8">
        <v>157</v>
      </c>
      <c r="R170" s="9">
        <v>296</v>
      </c>
      <c r="S170" s="52">
        <v>209</v>
      </c>
      <c r="T170" s="11">
        <f>SUM(Q170:S170)</f>
        <v>662</v>
      </c>
      <c r="U170" s="11">
        <f>P170+T170</f>
        <v>1324</v>
      </c>
      <c r="V170" s="98" t="s">
        <v>233</v>
      </c>
      <c r="W170" s="66"/>
    </row>
    <row r="171" spans="1:23" x14ac:dyDescent="0.15">
      <c r="A171" s="25" t="s">
        <v>52</v>
      </c>
      <c r="B171" s="17"/>
      <c r="C171" s="18">
        <v>1</v>
      </c>
      <c r="D171" s="51">
        <v>1</v>
      </c>
      <c r="E171" s="11">
        <f t="shared" ref="E171:E176" si="101">SUM(B171:D171)</f>
        <v>2</v>
      </c>
      <c r="F171" s="20"/>
      <c r="G171" s="18">
        <v>1</v>
      </c>
      <c r="H171" s="19">
        <v>1</v>
      </c>
      <c r="I171" s="11">
        <f t="shared" ref="I171:I176" si="102">SUM(F171:H171)</f>
        <v>2</v>
      </c>
      <c r="J171" s="11">
        <f t="shared" ref="J171:J176" si="103">E171+I171</f>
        <v>4</v>
      </c>
      <c r="K171" s="62">
        <v>43823</v>
      </c>
      <c r="L171" s="25" t="s">
        <v>9</v>
      </c>
      <c r="M171" s="8"/>
      <c r="N171" s="9"/>
      <c r="O171" s="52"/>
      <c r="P171" s="11">
        <f>SUM(M171:O171)</f>
        <v>0</v>
      </c>
      <c r="Q171" s="8"/>
      <c r="R171" s="9"/>
      <c r="S171" s="52"/>
      <c r="T171" s="11">
        <f>SUM(Q171:S171)</f>
        <v>0</v>
      </c>
      <c r="U171" s="11">
        <f>P171+T171</f>
        <v>0</v>
      </c>
      <c r="V171" s="98"/>
    </row>
    <row r="172" spans="1:23" x14ac:dyDescent="0.15">
      <c r="A172" s="25"/>
      <c r="B172" s="8"/>
      <c r="C172" s="9"/>
      <c r="D172" s="52"/>
      <c r="E172" s="11">
        <f t="shared" si="101"/>
        <v>0</v>
      </c>
      <c r="F172" s="12"/>
      <c r="G172" s="9"/>
      <c r="H172" s="10"/>
      <c r="I172" s="11">
        <f t="shared" si="102"/>
        <v>0</v>
      </c>
      <c r="J172" s="11">
        <f t="shared" si="103"/>
        <v>0</v>
      </c>
      <c r="K172" s="62"/>
      <c r="L172" s="25" t="s">
        <v>10</v>
      </c>
      <c r="M172" s="8"/>
      <c r="N172" s="9"/>
      <c r="O172" s="52"/>
      <c r="P172" s="11">
        <f t="shared" ref="P172:P174" si="104">SUM(M172:O172)</f>
        <v>0</v>
      </c>
      <c r="Q172" s="12"/>
      <c r="R172" s="9"/>
      <c r="S172" s="10"/>
      <c r="T172" s="11">
        <f t="shared" ref="T172:T174" si="105">SUM(Q172:S172)</f>
        <v>0</v>
      </c>
      <c r="U172" s="11">
        <f t="shared" ref="U172:U174" si="106">P172+T172</f>
        <v>0</v>
      </c>
    </row>
    <row r="173" spans="1:23" x14ac:dyDescent="0.15">
      <c r="A173" s="25"/>
      <c r="B173" s="8"/>
      <c r="C173" s="9"/>
      <c r="D173" s="52"/>
      <c r="E173" s="11">
        <f t="shared" si="101"/>
        <v>0</v>
      </c>
      <c r="F173" s="12"/>
      <c r="G173" s="9"/>
      <c r="H173" s="10"/>
      <c r="I173" s="11">
        <f t="shared" si="102"/>
        <v>0</v>
      </c>
      <c r="J173" s="11">
        <f t="shared" si="103"/>
        <v>0</v>
      </c>
      <c r="K173" s="62"/>
      <c r="L173" s="25" t="s">
        <v>11</v>
      </c>
      <c r="M173" s="8"/>
      <c r="N173" s="9"/>
      <c r="O173" s="52"/>
      <c r="P173" s="11">
        <f t="shared" si="104"/>
        <v>0</v>
      </c>
      <c r="Q173" s="12"/>
      <c r="R173" s="9"/>
      <c r="S173" s="10"/>
      <c r="T173" s="11">
        <f t="shared" si="105"/>
        <v>0</v>
      </c>
      <c r="U173" s="11">
        <f t="shared" si="106"/>
        <v>0</v>
      </c>
    </row>
    <row r="174" spans="1:23" x14ac:dyDescent="0.15">
      <c r="A174" s="25"/>
      <c r="B174" s="8"/>
      <c r="C174" s="9"/>
      <c r="D174" s="52"/>
      <c r="E174" s="11">
        <f t="shared" si="101"/>
        <v>0</v>
      </c>
      <c r="F174" s="12"/>
      <c r="G174" s="9"/>
      <c r="H174" s="10"/>
      <c r="I174" s="11">
        <f t="shared" si="102"/>
        <v>0</v>
      </c>
      <c r="J174" s="11">
        <f t="shared" si="103"/>
        <v>0</v>
      </c>
      <c r="K174" s="62"/>
      <c r="L174" s="25" t="s">
        <v>12</v>
      </c>
      <c r="M174" s="8"/>
      <c r="N174" s="9"/>
      <c r="O174" s="52"/>
      <c r="P174" s="11">
        <f t="shared" si="104"/>
        <v>0</v>
      </c>
      <c r="Q174" s="12"/>
      <c r="R174" s="9"/>
      <c r="S174" s="10"/>
      <c r="T174" s="11">
        <f t="shared" si="105"/>
        <v>0</v>
      </c>
      <c r="U174" s="11">
        <f t="shared" si="106"/>
        <v>0</v>
      </c>
    </row>
    <row r="175" spans="1:23" x14ac:dyDescent="0.15">
      <c r="A175" s="25"/>
      <c r="B175" s="13"/>
      <c r="C175" s="14"/>
      <c r="D175" s="53"/>
      <c r="E175" s="11">
        <f t="shared" si="101"/>
        <v>0</v>
      </c>
      <c r="F175" s="16"/>
      <c r="G175" s="14"/>
      <c r="H175" s="15"/>
      <c r="I175" s="11">
        <f t="shared" si="102"/>
        <v>0</v>
      </c>
      <c r="J175" s="11">
        <f t="shared" si="103"/>
        <v>0</v>
      </c>
      <c r="K175" s="64"/>
      <c r="L175" s="25" t="s">
        <v>13</v>
      </c>
      <c r="M175" s="8"/>
      <c r="N175" s="9"/>
      <c r="O175" s="52"/>
      <c r="P175" s="11">
        <f>SUM(M175:O175)</f>
        <v>0</v>
      </c>
      <c r="Q175" s="8"/>
      <c r="R175" s="9"/>
      <c r="S175" s="52"/>
      <c r="T175" s="11">
        <f>SUM(Q175:S175)</f>
        <v>0</v>
      </c>
      <c r="U175" s="11">
        <f>P175+T175</f>
        <v>0</v>
      </c>
      <c r="V175" s="98"/>
    </row>
    <row r="176" spans="1:23" ht="14.25" thickBot="1" x14ac:dyDescent="0.2">
      <c r="A176" s="25"/>
      <c r="B176" s="32"/>
      <c r="C176" s="33"/>
      <c r="D176" s="54"/>
      <c r="E176" s="61">
        <f t="shared" si="101"/>
        <v>0</v>
      </c>
      <c r="F176" s="34"/>
      <c r="G176" s="34"/>
      <c r="H176" s="37"/>
      <c r="I176" s="61">
        <f t="shared" si="102"/>
        <v>0</v>
      </c>
      <c r="J176" s="21">
        <f t="shared" si="103"/>
        <v>0</v>
      </c>
      <c r="K176" s="62"/>
      <c r="L176" s="25" t="s">
        <v>14</v>
      </c>
      <c r="M176" s="32"/>
      <c r="N176" s="33"/>
      <c r="O176" s="54"/>
      <c r="P176" s="61">
        <f t="shared" ref="P176" si="107">SUM(M176:O176)</f>
        <v>0</v>
      </c>
      <c r="Q176" s="34"/>
      <c r="R176" s="34"/>
      <c r="S176" s="37"/>
      <c r="T176" s="61">
        <f t="shared" ref="T176" si="108">SUM(Q176:S176)</f>
        <v>0</v>
      </c>
      <c r="U176" s="21">
        <f t="shared" ref="U176" si="109">P176+T176</f>
        <v>0</v>
      </c>
    </row>
    <row r="177" spans="1:23" ht="14.25" thickBot="1" x14ac:dyDescent="0.2">
      <c r="A177" s="35" t="s">
        <v>15</v>
      </c>
      <c r="B177" s="28">
        <f>SUM(B168:B176)</f>
        <v>4</v>
      </c>
      <c r="C177" s="29">
        <f>SUM(C168:C176)</f>
        <v>7</v>
      </c>
      <c r="D177" s="30">
        <f>SUM(D168:D176)</f>
        <v>3</v>
      </c>
      <c r="E177" s="31">
        <f>SUM(B177:D177)</f>
        <v>14</v>
      </c>
      <c r="F177" s="28">
        <f>SUM(F168:F176)</f>
        <v>4</v>
      </c>
      <c r="G177" s="29">
        <f>SUM(G168:G176)</f>
        <v>7</v>
      </c>
      <c r="H177" s="30">
        <f>SUM(H168:H176)</f>
        <v>3</v>
      </c>
      <c r="I177" s="31">
        <f>SUM(F177:H177)</f>
        <v>14</v>
      </c>
      <c r="J177" s="31">
        <f>E177+I177</f>
        <v>28</v>
      </c>
      <c r="L177" s="35" t="s">
        <v>15</v>
      </c>
      <c r="M177" s="28">
        <f>SUM(M168:M176)</f>
        <v>234</v>
      </c>
      <c r="N177" s="29">
        <f>SUM(N168:N176)</f>
        <v>380</v>
      </c>
      <c r="O177" s="30">
        <f>SUM(O168:O176)</f>
        <v>283</v>
      </c>
      <c r="P177" s="31">
        <f>SUM(M177:O177)</f>
        <v>897</v>
      </c>
      <c r="Q177" s="28">
        <f>SUM(Q168:Q176)</f>
        <v>234</v>
      </c>
      <c r="R177" s="29">
        <f>SUM(R168:R176)</f>
        <v>380</v>
      </c>
      <c r="S177" s="30">
        <f>SUM(S168:S176)</f>
        <v>283</v>
      </c>
      <c r="T177" s="31">
        <f>SUM(Q177:S177)</f>
        <v>897</v>
      </c>
      <c r="U177" s="31">
        <f>P177+T177</f>
        <v>1794</v>
      </c>
    </row>
    <row r="178" spans="1:23" x14ac:dyDescent="0.15">
      <c r="A178" s="26" t="s">
        <v>241</v>
      </c>
      <c r="B178" s="13">
        <v>1</v>
      </c>
      <c r="C178" s="14"/>
      <c r="D178" s="15"/>
      <c r="E178" s="49">
        <f>SUM(B178:D178)</f>
        <v>1</v>
      </c>
      <c r="F178" s="16">
        <v>1</v>
      </c>
      <c r="G178" s="14"/>
      <c r="H178" s="15"/>
      <c r="I178" s="49">
        <f>SUM(F178:H178)</f>
        <v>1</v>
      </c>
      <c r="J178" s="11">
        <f>E178+I178</f>
        <v>2</v>
      </c>
      <c r="K178" s="62">
        <v>43804</v>
      </c>
      <c r="L178" s="26" t="s">
        <v>211</v>
      </c>
      <c r="M178" s="13">
        <v>6</v>
      </c>
      <c r="N178" s="14">
        <v>19</v>
      </c>
      <c r="O178" s="15">
        <v>11</v>
      </c>
      <c r="P178" s="49">
        <f>SUM(M178:O178)</f>
        <v>36</v>
      </c>
      <c r="Q178" s="16">
        <v>6</v>
      </c>
      <c r="R178" s="14">
        <v>19</v>
      </c>
      <c r="S178" s="15">
        <v>11</v>
      </c>
      <c r="T178" s="49">
        <f>SUM(Q178:S178)</f>
        <v>36</v>
      </c>
      <c r="U178" s="11">
        <f>P178+T178</f>
        <v>72</v>
      </c>
      <c r="V178" s="98">
        <v>43796</v>
      </c>
    </row>
    <row r="179" spans="1:23" x14ac:dyDescent="0.15">
      <c r="A179" s="26" t="s">
        <v>109</v>
      </c>
      <c r="B179" s="8"/>
      <c r="C179" s="9">
        <v>2</v>
      </c>
      <c r="D179" s="10"/>
      <c r="E179" s="49">
        <f t="shared" ref="E179:E202" si="110">SUM(B179:D179)</f>
        <v>2</v>
      </c>
      <c r="F179" s="12"/>
      <c r="G179" s="9">
        <v>2</v>
      </c>
      <c r="H179" s="10"/>
      <c r="I179" s="49">
        <f t="shared" ref="I179:I202" si="111">SUM(F179:H179)</f>
        <v>2</v>
      </c>
      <c r="J179" s="11">
        <f t="shared" ref="J179:J202" si="112">E179+I179</f>
        <v>4</v>
      </c>
      <c r="K179" s="62">
        <v>43815</v>
      </c>
      <c r="L179" s="26" t="s">
        <v>213</v>
      </c>
      <c r="M179" s="8">
        <v>5</v>
      </c>
      <c r="N179" s="9">
        <v>5</v>
      </c>
      <c r="O179" s="10">
        <v>5</v>
      </c>
      <c r="P179" s="49">
        <f t="shared" ref="P179" si="113">SUM(M179:O179)</f>
        <v>15</v>
      </c>
      <c r="Q179" s="12">
        <v>5</v>
      </c>
      <c r="R179" s="9">
        <v>5</v>
      </c>
      <c r="S179" s="10">
        <v>5</v>
      </c>
      <c r="T179" s="49">
        <f t="shared" ref="T179" si="114">SUM(Q179:S179)</f>
        <v>15</v>
      </c>
      <c r="U179" s="11">
        <f t="shared" ref="U179" si="115">P179+T179</f>
        <v>30</v>
      </c>
      <c r="V179" s="98">
        <v>43797</v>
      </c>
    </row>
    <row r="180" spans="1:23" x14ac:dyDescent="0.15">
      <c r="A180" s="26" t="s">
        <v>109</v>
      </c>
      <c r="B180" s="8"/>
      <c r="C180" s="9">
        <v>1</v>
      </c>
      <c r="D180" s="10"/>
      <c r="E180" s="49">
        <f t="shared" si="110"/>
        <v>1</v>
      </c>
      <c r="F180" s="12"/>
      <c r="G180" s="9">
        <v>1</v>
      </c>
      <c r="H180" s="10"/>
      <c r="I180" s="49">
        <f t="shared" si="111"/>
        <v>1</v>
      </c>
      <c r="J180" s="11">
        <f t="shared" si="112"/>
        <v>2</v>
      </c>
      <c r="K180" s="62">
        <v>43819</v>
      </c>
      <c r="L180" s="26" t="s">
        <v>215</v>
      </c>
      <c r="M180" s="13">
        <v>6</v>
      </c>
      <c r="N180" s="14">
        <v>14</v>
      </c>
      <c r="O180" s="15">
        <v>8</v>
      </c>
      <c r="P180" s="49">
        <f>SUM(M180:O180)</f>
        <v>28</v>
      </c>
      <c r="Q180" s="16">
        <v>6</v>
      </c>
      <c r="R180" s="14">
        <v>14</v>
      </c>
      <c r="S180" s="15">
        <v>8</v>
      </c>
      <c r="T180" s="49">
        <f>SUM(Q180:S180)</f>
        <v>28</v>
      </c>
      <c r="U180" s="11">
        <f>P180+T180</f>
        <v>56</v>
      </c>
      <c r="V180" s="98">
        <v>43797</v>
      </c>
    </row>
    <row r="181" spans="1:23" x14ac:dyDescent="0.15">
      <c r="A181" s="26" t="s">
        <v>270</v>
      </c>
      <c r="B181" s="8">
        <v>1</v>
      </c>
      <c r="C181" s="9"/>
      <c r="D181" s="10">
        <v>1</v>
      </c>
      <c r="E181" s="49">
        <f t="shared" si="110"/>
        <v>2</v>
      </c>
      <c r="F181" s="12">
        <v>1</v>
      </c>
      <c r="G181" s="9"/>
      <c r="H181" s="10">
        <v>1</v>
      </c>
      <c r="I181" s="49">
        <f t="shared" si="111"/>
        <v>2</v>
      </c>
      <c r="J181" s="11">
        <f t="shared" si="112"/>
        <v>4</v>
      </c>
      <c r="K181" s="62">
        <v>43823</v>
      </c>
      <c r="L181" s="26" t="s">
        <v>218</v>
      </c>
      <c r="M181" s="8">
        <v>6</v>
      </c>
      <c r="N181" s="9">
        <v>2</v>
      </c>
      <c r="O181" s="10">
        <v>10</v>
      </c>
      <c r="P181" s="49">
        <f t="shared" ref="P181:P204" si="116">SUM(M181:O181)</f>
        <v>18</v>
      </c>
      <c r="Q181" s="12">
        <v>6</v>
      </c>
      <c r="R181" s="9">
        <v>2</v>
      </c>
      <c r="S181" s="10">
        <v>10</v>
      </c>
      <c r="T181" s="49">
        <f t="shared" ref="T181:T204" si="117">SUM(Q181:S181)</f>
        <v>18</v>
      </c>
      <c r="U181" s="11">
        <f t="shared" ref="U181:U203" si="118">P181+T181</f>
        <v>36</v>
      </c>
      <c r="V181" s="98">
        <v>43798</v>
      </c>
    </row>
    <row r="182" spans="1:23" x14ac:dyDescent="0.15">
      <c r="A182" s="26" t="s">
        <v>109</v>
      </c>
      <c r="B182" s="8"/>
      <c r="C182" s="9"/>
      <c r="D182" s="10">
        <v>1</v>
      </c>
      <c r="E182" s="49">
        <f t="shared" si="110"/>
        <v>1</v>
      </c>
      <c r="F182" s="12"/>
      <c r="G182" s="9"/>
      <c r="H182" s="10">
        <v>1</v>
      </c>
      <c r="I182" s="49">
        <f t="shared" si="111"/>
        <v>1</v>
      </c>
      <c r="J182" s="11">
        <f t="shared" si="112"/>
        <v>2</v>
      </c>
      <c r="K182" s="62">
        <v>43824</v>
      </c>
      <c r="L182" s="26" t="s">
        <v>223</v>
      </c>
      <c r="M182" s="8">
        <v>6</v>
      </c>
      <c r="N182" s="9">
        <v>13</v>
      </c>
      <c r="O182" s="10">
        <v>3</v>
      </c>
      <c r="P182" s="49">
        <f t="shared" si="116"/>
        <v>22</v>
      </c>
      <c r="Q182" s="12">
        <v>6</v>
      </c>
      <c r="R182" s="9">
        <v>13</v>
      </c>
      <c r="S182" s="10">
        <v>3</v>
      </c>
      <c r="T182" s="49">
        <f t="shared" si="117"/>
        <v>22</v>
      </c>
      <c r="U182" s="11">
        <f t="shared" si="118"/>
        <v>44</v>
      </c>
      <c r="V182" s="98">
        <v>43799</v>
      </c>
    </row>
    <row r="183" spans="1:23" x14ac:dyDescent="0.15">
      <c r="A183" s="26"/>
      <c r="B183" s="8"/>
      <c r="C183" s="9"/>
      <c r="D183" s="10"/>
      <c r="E183" s="49">
        <f t="shared" si="110"/>
        <v>0</v>
      </c>
      <c r="F183" s="12"/>
      <c r="G183" s="9"/>
      <c r="H183" s="10"/>
      <c r="I183" s="49">
        <f t="shared" si="111"/>
        <v>0</v>
      </c>
      <c r="J183" s="11">
        <f t="shared" si="112"/>
        <v>0</v>
      </c>
      <c r="K183" s="62"/>
      <c r="L183" s="26" t="s">
        <v>225</v>
      </c>
      <c r="M183" s="8">
        <v>9</v>
      </c>
      <c r="N183" s="9">
        <v>4</v>
      </c>
      <c r="O183" s="10"/>
      <c r="P183" s="49">
        <f t="shared" si="116"/>
        <v>13</v>
      </c>
      <c r="Q183" s="12">
        <v>9</v>
      </c>
      <c r="R183" s="9">
        <v>4</v>
      </c>
      <c r="S183" s="10"/>
      <c r="T183" s="49">
        <f t="shared" si="117"/>
        <v>13</v>
      </c>
      <c r="U183" s="11">
        <f t="shared" si="118"/>
        <v>26</v>
      </c>
      <c r="V183" s="98">
        <v>43801</v>
      </c>
    </row>
    <row r="184" spans="1:23" x14ac:dyDescent="0.15">
      <c r="A184" s="26"/>
      <c r="B184" s="8"/>
      <c r="C184" s="9"/>
      <c r="D184" s="10"/>
      <c r="E184" s="49">
        <f t="shared" si="110"/>
        <v>0</v>
      </c>
      <c r="F184" s="12"/>
      <c r="G184" s="9"/>
      <c r="H184" s="10"/>
      <c r="I184" s="49">
        <f t="shared" si="111"/>
        <v>0</v>
      </c>
      <c r="J184" s="11">
        <f t="shared" si="112"/>
        <v>0</v>
      </c>
      <c r="K184" s="62"/>
      <c r="L184" s="26" t="s">
        <v>226</v>
      </c>
      <c r="M184" s="8"/>
      <c r="N184" s="9">
        <v>3</v>
      </c>
      <c r="O184" s="10"/>
      <c r="P184" s="49">
        <f t="shared" si="116"/>
        <v>3</v>
      </c>
      <c r="Q184" s="12"/>
      <c r="R184" s="9">
        <v>3</v>
      </c>
      <c r="S184" s="10"/>
      <c r="T184" s="49">
        <f t="shared" si="117"/>
        <v>3</v>
      </c>
      <c r="U184" s="11">
        <f t="shared" si="118"/>
        <v>6</v>
      </c>
      <c r="V184" s="98">
        <v>43802</v>
      </c>
    </row>
    <row r="185" spans="1:23" x14ac:dyDescent="0.15">
      <c r="A185" s="26"/>
      <c r="B185" s="8"/>
      <c r="C185" s="9"/>
      <c r="D185" s="10"/>
      <c r="E185" s="49">
        <f t="shared" si="110"/>
        <v>0</v>
      </c>
      <c r="F185" s="12"/>
      <c r="G185" s="9"/>
      <c r="H185" s="10"/>
      <c r="I185" s="49">
        <f t="shared" si="111"/>
        <v>0</v>
      </c>
      <c r="J185" s="11">
        <f t="shared" si="112"/>
        <v>0</v>
      </c>
      <c r="K185" s="62"/>
      <c r="L185" s="26" t="s">
        <v>228</v>
      </c>
      <c r="M185" s="8"/>
      <c r="N185" s="9">
        <v>5</v>
      </c>
      <c r="O185" s="10">
        <v>3</v>
      </c>
      <c r="P185" s="49">
        <f t="shared" si="116"/>
        <v>8</v>
      </c>
      <c r="Q185" s="12"/>
      <c r="R185" s="9">
        <v>5</v>
      </c>
      <c r="S185" s="10">
        <v>3</v>
      </c>
      <c r="T185" s="49">
        <f t="shared" si="117"/>
        <v>8</v>
      </c>
      <c r="U185" s="11">
        <f t="shared" si="118"/>
        <v>16</v>
      </c>
      <c r="V185" s="98">
        <v>43802</v>
      </c>
    </row>
    <row r="186" spans="1:23" x14ac:dyDescent="0.15">
      <c r="A186" s="26"/>
      <c r="B186" s="8"/>
      <c r="C186" s="9"/>
      <c r="D186" s="10"/>
      <c r="E186" s="49">
        <f t="shared" si="110"/>
        <v>0</v>
      </c>
      <c r="F186" s="12"/>
      <c r="G186" s="9"/>
      <c r="H186" s="10"/>
      <c r="I186" s="49">
        <f t="shared" si="111"/>
        <v>0</v>
      </c>
      <c r="J186" s="11">
        <f t="shared" si="112"/>
        <v>0</v>
      </c>
      <c r="K186" s="62"/>
      <c r="L186" s="26" t="s">
        <v>230</v>
      </c>
      <c r="M186" s="8"/>
      <c r="N186" s="9">
        <v>6</v>
      </c>
      <c r="O186" s="10"/>
      <c r="P186" s="49">
        <f t="shared" si="116"/>
        <v>6</v>
      </c>
      <c r="Q186" s="12"/>
      <c r="R186" s="9">
        <v>6</v>
      </c>
      <c r="S186" s="10"/>
      <c r="T186" s="49">
        <f t="shared" si="117"/>
        <v>6</v>
      </c>
      <c r="U186" s="11">
        <f t="shared" si="118"/>
        <v>12</v>
      </c>
      <c r="V186" s="98">
        <v>43803</v>
      </c>
    </row>
    <row r="187" spans="1:23" x14ac:dyDescent="0.15">
      <c r="A187" s="26"/>
      <c r="B187" s="13"/>
      <c r="C187" s="14"/>
      <c r="D187" s="15"/>
      <c r="E187" s="49">
        <f t="shared" si="110"/>
        <v>0</v>
      </c>
      <c r="F187" s="16"/>
      <c r="G187" s="14"/>
      <c r="H187" s="15"/>
      <c r="I187" s="49">
        <f t="shared" si="111"/>
        <v>0</v>
      </c>
      <c r="J187" s="11">
        <f t="shared" si="112"/>
        <v>0</v>
      </c>
      <c r="K187" s="62"/>
      <c r="L187" s="26" t="s">
        <v>238</v>
      </c>
      <c r="M187" s="13">
        <v>5</v>
      </c>
      <c r="N187" s="14">
        <v>5</v>
      </c>
      <c r="O187" s="15">
        <v>5</v>
      </c>
      <c r="P187" s="49">
        <f t="shared" si="116"/>
        <v>15</v>
      </c>
      <c r="Q187" s="16">
        <v>5</v>
      </c>
      <c r="R187" s="14">
        <v>5</v>
      </c>
      <c r="S187" s="15">
        <v>5</v>
      </c>
      <c r="T187" s="49">
        <f t="shared" si="117"/>
        <v>15</v>
      </c>
      <c r="U187" s="11">
        <f t="shared" si="118"/>
        <v>30</v>
      </c>
      <c r="V187" s="98">
        <v>43804</v>
      </c>
    </row>
    <row r="188" spans="1:23" x14ac:dyDescent="0.15">
      <c r="A188" s="26"/>
      <c r="B188" s="8"/>
      <c r="C188" s="9"/>
      <c r="D188" s="10"/>
      <c r="E188" s="49">
        <f t="shared" si="110"/>
        <v>0</v>
      </c>
      <c r="F188" s="12"/>
      <c r="G188" s="9"/>
      <c r="H188" s="10"/>
      <c r="I188" s="49">
        <f t="shared" si="111"/>
        <v>0</v>
      </c>
      <c r="J188" s="11">
        <f t="shared" si="112"/>
        <v>0</v>
      </c>
      <c r="K188" s="62"/>
      <c r="L188" s="26" t="s">
        <v>240</v>
      </c>
      <c r="M188" s="8">
        <v>2</v>
      </c>
      <c r="N188" s="9">
        <v>3</v>
      </c>
      <c r="O188" s="10">
        <v>1</v>
      </c>
      <c r="P188" s="49">
        <f t="shared" si="116"/>
        <v>6</v>
      </c>
      <c r="Q188" s="12">
        <v>2</v>
      </c>
      <c r="R188" s="9">
        <v>3</v>
      </c>
      <c r="S188" s="10">
        <v>1</v>
      </c>
      <c r="T188" s="49">
        <f t="shared" si="117"/>
        <v>6</v>
      </c>
      <c r="U188" s="11">
        <f t="shared" si="118"/>
        <v>12</v>
      </c>
      <c r="V188" s="98">
        <v>43805</v>
      </c>
    </row>
    <row r="189" spans="1:23" x14ac:dyDescent="0.15">
      <c r="A189" s="26"/>
      <c r="B189" s="8"/>
      <c r="C189" s="9"/>
      <c r="D189" s="10"/>
      <c r="E189" s="49">
        <f t="shared" si="110"/>
        <v>0</v>
      </c>
      <c r="F189" s="12"/>
      <c r="G189" s="9"/>
      <c r="H189" s="10"/>
      <c r="I189" s="49">
        <f t="shared" si="111"/>
        <v>0</v>
      </c>
      <c r="J189" s="11">
        <f t="shared" si="112"/>
        <v>0</v>
      </c>
      <c r="K189" s="62"/>
      <c r="L189" s="26" t="s">
        <v>243</v>
      </c>
      <c r="M189" s="8">
        <v>4</v>
      </c>
      <c r="N189" s="9"/>
      <c r="O189" s="10">
        <v>1</v>
      </c>
      <c r="P189" s="49">
        <f t="shared" si="116"/>
        <v>5</v>
      </c>
      <c r="Q189" s="12">
        <v>4</v>
      </c>
      <c r="R189" s="9"/>
      <c r="S189" s="10">
        <v>1</v>
      </c>
      <c r="T189" s="49">
        <f t="shared" si="117"/>
        <v>5</v>
      </c>
      <c r="U189" s="11">
        <f t="shared" si="118"/>
        <v>10</v>
      </c>
      <c r="V189" s="98">
        <v>43806</v>
      </c>
    </row>
    <row r="190" spans="1:23" x14ac:dyDescent="0.15">
      <c r="A190" s="26"/>
      <c r="B190" s="8"/>
      <c r="C190" s="9"/>
      <c r="D190" s="10"/>
      <c r="E190" s="49">
        <f t="shared" si="110"/>
        <v>0</v>
      </c>
      <c r="F190" s="12"/>
      <c r="G190" s="9"/>
      <c r="H190" s="10"/>
      <c r="I190" s="49">
        <f t="shared" si="111"/>
        <v>0</v>
      </c>
      <c r="J190" s="11">
        <f t="shared" si="112"/>
        <v>0</v>
      </c>
      <c r="K190" s="62"/>
      <c r="L190" s="26" t="s">
        <v>245</v>
      </c>
      <c r="M190" s="8">
        <v>1</v>
      </c>
      <c r="N190" s="9">
        <v>1</v>
      </c>
      <c r="O190" s="10"/>
      <c r="P190" s="49">
        <f t="shared" si="116"/>
        <v>2</v>
      </c>
      <c r="Q190" s="12">
        <v>1</v>
      </c>
      <c r="R190" s="9">
        <v>1</v>
      </c>
      <c r="S190" s="10"/>
      <c r="T190" s="49">
        <f t="shared" si="117"/>
        <v>2</v>
      </c>
      <c r="U190" s="11">
        <f t="shared" si="118"/>
        <v>4</v>
      </c>
      <c r="V190" s="98">
        <v>43808</v>
      </c>
    </row>
    <row r="191" spans="1:23" x14ac:dyDescent="0.15">
      <c r="A191" s="26"/>
      <c r="B191" s="8"/>
      <c r="C191" s="9"/>
      <c r="D191" s="10"/>
      <c r="E191" s="49">
        <f t="shared" si="110"/>
        <v>0</v>
      </c>
      <c r="F191" s="12"/>
      <c r="G191" s="9"/>
      <c r="H191" s="10"/>
      <c r="I191" s="49">
        <f t="shared" si="111"/>
        <v>0</v>
      </c>
      <c r="J191" s="11">
        <f t="shared" si="112"/>
        <v>0</v>
      </c>
      <c r="K191" s="62"/>
      <c r="L191" s="26" t="s">
        <v>247</v>
      </c>
      <c r="M191" s="8">
        <v>1</v>
      </c>
      <c r="N191" s="9">
        <v>2</v>
      </c>
      <c r="O191" s="10">
        <v>2</v>
      </c>
      <c r="P191" s="49">
        <f t="shared" si="116"/>
        <v>5</v>
      </c>
      <c r="Q191" s="12">
        <v>1</v>
      </c>
      <c r="R191" s="9">
        <v>2</v>
      </c>
      <c r="S191" s="10">
        <v>2</v>
      </c>
      <c r="T191" s="49">
        <f t="shared" si="117"/>
        <v>5</v>
      </c>
      <c r="U191" s="11">
        <f t="shared" si="118"/>
        <v>10</v>
      </c>
      <c r="V191" s="98">
        <v>43809</v>
      </c>
    </row>
    <row r="192" spans="1:23" x14ac:dyDescent="0.15">
      <c r="A192" s="26"/>
      <c r="B192" s="8"/>
      <c r="C192" s="9"/>
      <c r="D192" s="10"/>
      <c r="E192" s="49">
        <f t="shared" si="110"/>
        <v>0</v>
      </c>
      <c r="F192" s="12"/>
      <c r="G192" s="9"/>
      <c r="H192" s="10"/>
      <c r="I192" s="49">
        <f t="shared" si="111"/>
        <v>0</v>
      </c>
      <c r="J192" s="11">
        <f t="shared" si="112"/>
        <v>0</v>
      </c>
      <c r="K192" s="62"/>
      <c r="L192" s="26" t="s">
        <v>249</v>
      </c>
      <c r="M192" s="8">
        <v>1</v>
      </c>
      <c r="N192" s="9">
        <v>4</v>
      </c>
      <c r="O192" s="10">
        <v>1</v>
      </c>
      <c r="P192" s="49">
        <f t="shared" si="116"/>
        <v>6</v>
      </c>
      <c r="Q192" s="12">
        <v>1</v>
      </c>
      <c r="R192" s="9">
        <v>4</v>
      </c>
      <c r="S192" s="10">
        <v>1</v>
      </c>
      <c r="T192" s="49">
        <f t="shared" si="117"/>
        <v>6</v>
      </c>
      <c r="U192" s="11">
        <f t="shared" si="118"/>
        <v>12</v>
      </c>
      <c r="V192" s="98">
        <v>43810</v>
      </c>
      <c r="W192" s="66"/>
    </row>
    <row r="193" spans="1:23" x14ac:dyDescent="0.15">
      <c r="A193" s="26"/>
      <c r="B193" s="8"/>
      <c r="C193" s="9"/>
      <c r="D193" s="10"/>
      <c r="E193" s="49">
        <f t="shared" si="110"/>
        <v>0</v>
      </c>
      <c r="F193" s="12"/>
      <c r="G193" s="9"/>
      <c r="H193" s="10"/>
      <c r="I193" s="49">
        <f t="shared" si="111"/>
        <v>0</v>
      </c>
      <c r="J193" s="11">
        <f t="shared" si="112"/>
        <v>0</v>
      </c>
      <c r="K193" s="62"/>
      <c r="L193" s="26" t="s">
        <v>251</v>
      </c>
      <c r="M193" s="8"/>
      <c r="N193" s="9">
        <v>1</v>
      </c>
      <c r="O193" s="10">
        <v>2</v>
      </c>
      <c r="P193" s="49">
        <f t="shared" si="116"/>
        <v>3</v>
      </c>
      <c r="Q193" s="12"/>
      <c r="R193" s="9">
        <v>1</v>
      </c>
      <c r="S193" s="10">
        <v>2</v>
      </c>
      <c r="T193" s="49">
        <f t="shared" si="117"/>
        <v>3</v>
      </c>
      <c r="U193" s="11">
        <f t="shared" si="118"/>
        <v>6</v>
      </c>
      <c r="V193" s="98">
        <v>43811</v>
      </c>
      <c r="W193" s="66"/>
    </row>
    <row r="194" spans="1:23" x14ac:dyDescent="0.15">
      <c r="A194" s="26"/>
      <c r="B194" s="8"/>
      <c r="C194" s="9"/>
      <c r="D194" s="10"/>
      <c r="E194" s="49">
        <f t="shared" si="110"/>
        <v>0</v>
      </c>
      <c r="F194" s="12"/>
      <c r="G194" s="9"/>
      <c r="H194" s="10"/>
      <c r="I194" s="49">
        <f t="shared" si="111"/>
        <v>0</v>
      </c>
      <c r="J194" s="11">
        <f t="shared" si="112"/>
        <v>0</v>
      </c>
      <c r="K194" s="62"/>
      <c r="L194" s="26" t="s">
        <v>253</v>
      </c>
      <c r="M194" s="8"/>
      <c r="N194" s="9"/>
      <c r="O194" s="10">
        <v>8</v>
      </c>
      <c r="P194" s="49">
        <f t="shared" si="116"/>
        <v>8</v>
      </c>
      <c r="Q194" s="12"/>
      <c r="R194" s="9"/>
      <c r="S194" s="10">
        <v>8</v>
      </c>
      <c r="T194" s="49">
        <f t="shared" si="117"/>
        <v>8</v>
      </c>
      <c r="U194" s="11">
        <f t="shared" si="118"/>
        <v>16</v>
      </c>
      <c r="V194" s="98">
        <v>43812</v>
      </c>
      <c r="W194" s="66"/>
    </row>
    <row r="195" spans="1:23" x14ac:dyDescent="0.15">
      <c r="A195" s="24"/>
      <c r="B195" s="8"/>
      <c r="C195" s="9"/>
      <c r="D195" s="10"/>
      <c r="E195" s="49">
        <f t="shared" si="110"/>
        <v>0</v>
      </c>
      <c r="F195" s="12"/>
      <c r="G195" s="9"/>
      <c r="H195" s="10"/>
      <c r="I195" s="49">
        <f t="shared" si="111"/>
        <v>0</v>
      </c>
      <c r="J195" s="11">
        <f t="shared" si="112"/>
        <v>0</v>
      </c>
      <c r="K195" s="62"/>
      <c r="L195" s="26" t="s">
        <v>255</v>
      </c>
      <c r="M195" s="8">
        <v>2</v>
      </c>
      <c r="N195" s="9"/>
      <c r="O195" s="10"/>
      <c r="P195" s="49">
        <f t="shared" si="116"/>
        <v>2</v>
      </c>
      <c r="Q195" s="12">
        <v>2</v>
      </c>
      <c r="R195" s="9"/>
      <c r="S195" s="10"/>
      <c r="T195" s="49">
        <f t="shared" si="117"/>
        <v>2</v>
      </c>
      <c r="U195" s="11">
        <f t="shared" si="118"/>
        <v>4</v>
      </c>
      <c r="V195" s="98">
        <v>43813</v>
      </c>
    </row>
    <row r="196" spans="1:23" x14ac:dyDescent="0.15">
      <c r="A196" s="25"/>
      <c r="B196" s="8"/>
      <c r="C196" s="9"/>
      <c r="D196" s="10"/>
      <c r="E196" s="49">
        <f t="shared" si="110"/>
        <v>0</v>
      </c>
      <c r="F196" s="12"/>
      <c r="G196" s="9"/>
      <c r="H196" s="10"/>
      <c r="I196" s="49">
        <f t="shared" si="111"/>
        <v>0</v>
      </c>
      <c r="J196" s="11">
        <f t="shared" si="112"/>
        <v>0</v>
      </c>
      <c r="K196" s="64"/>
      <c r="L196" s="26" t="s">
        <v>257</v>
      </c>
      <c r="M196" s="8"/>
      <c r="N196" s="9">
        <v>1</v>
      </c>
      <c r="O196" s="10"/>
      <c r="P196" s="49">
        <f t="shared" si="116"/>
        <v>1</v>
      </c>
      <c r="Q196" s="12"/>
      <c r="R196" s="9">
        <v>1</v>
      </c>
      <c r="S196" s="10"/>
      <c r="T196" s="49">
        <f t="shared" si="117"/>
        <v>1</v>
      </c>
      <c r="U196" s="11">
        <f t="shared" si="118"/>
        <v>2</v>
      </c>
      <c r="V196" s="98">
        <v>43816</v>
      </c>
    </row>
    <row r="197" spans="1:23" x14ac:dyDescent="0.15">
      <c r="A197" s="26"/>
      <c r="B197" s="8"/>
      <c r="C197" s="9"/>
      <c r="D197" s="10"/>
      <c r="E197" s="49">
        <f t="shared" si="110"/>
        <v>0</v>
      </c>
      <c r="F197" s="12"/>
      <c r="G197" s="9"/>
      <c r="H197" s="10"/>
      <c r="I197" s="49">
        <f t="shared" si="111"/>
        <v>0</v>
      </c>
      <c r="J197" s="11">
        <f t="shared" si="112"/>
        <v>0</v>
      </c>
      <c r="K197" s="62"/>
      <c r="L197" s="26" t="s">
        <v>259</v>
      </c>
      <c r="M197" s="8"/>
      <c r="N197" s="9">
        <v>5</v>
      </c>
      <c r="O197" s="10"/>
      <c r="P197" s="49">
        <f t="shared" si="116"/>
        <v>5</v>
      </c>
      <c r="Q197" s="12"/>
      <c r="R197" s="9">
        <v>5</v>
      </c>
      <c r="S197" s="10"/>
      <c r="T197" s="49">
        <f t="shared" si="117"/>
        <v>5</v>
      </c>
      <c r="U197" s="11">
        <f t="shared" si="118"/>
        <v>10</v>
      </c>
      <c r="V197" s="98">
        <v>43817</v>
      </c>
    </row>
    <row r="198" spans="1:23" x14ac:dyDescent="0.15">
      <c r="A198" s="24"/>
      <c r="B198" s="8"/>
      <c r="C198" s="9"/>
      <c r="D198" s="10"/>
      <c r="E198" s="49">
        <f t="shared" si="110"/>
        <v>0</v>
      </c>
      <c r="F198" s="12"/>
      <c r="G198" s="9"/>
      <c r="H198" s="10"/>
      <c r="I198" s="49">
        <f t="shared" si="111"/>
        <v>0</v>
      </c>
      <c r="J198" s="11">
        <f t="shared" si="112"/>
        <v>0</v>
      </c>
      <c r="K198" s="62"/>
      <c r="L198" s="26" t="s">
        <v>260</v>
      </c>
      <c r="M198" s="8">
        <v>2</v>
      </c>
      <c r="N198" s="9">
        <v>3</v>
      </c>
      <c r="O198" s="10"/>
      <c r="P198" s="49">
        <f t="shared" si="116"/>
        <v>5</v>
      </c>
      <c r="Q198" s="12">
        <v>2</v>
      </c>
      <c r="R198" s="9">
        <v>3</v>
      </c>
      <c r="S198" s="10"/>
      <c r="T198" s="49">
        <f t="shared" si="117"/>
        <v>5</v>
      </c>
      <c r="U198" s="11">
        <f t="shared" si="118"/>
        <v>10</v>
      </c>
      <c r="V198" s="98">
        <v>43817</v>
      </c>
      <c r="W198" s="66"/>
    </row>
    <row r="199" spans="1:23" x14ac:dyDescent="0.15">
      <c r="B199" s="13"/>
      <c r="C199" s="14"/>
      <c r="D199" s="15"/>
      <c r="E199" s="49">
        <f t="shared" si="110"/>
        <v>0</v>
      </c>
      <c r="F199" s="16"/>
      <c r="G199" s="14"/>
      <c r="H199" s="15"/>
      <c r="I199" s="49">
        <f t="shared" si="111"/>
        <v>0</v>
      </c>
      <c r="J199" s="11">
        <f t="shared" si="112"/>
        <v>0</v>
      </c>
      <c r="K199" s="65"/>
      <c r="L199" s="26" t="s">
        <v>262</v>
      </c>
      <c r="M199" s="8">
        <v>3</v>
      </c>
      <c r="N199" s="9">
        <v>3</v>
      </c>
      <c r="O199" s="10">
        <v>1</v>
      </c>
      <c r="P199" s="49">
        <f t="shared" si="116"/>
        <v>7</v>
      </c>
      <c r="Q199" s="12">
        <v>3</v>
      </c>
      <c r="R199" s="9">
        <v>3</v>
      </c>
      <c r="S199" s="10">
        <v>1</v>
      </c>
      <c r="T199" s="49">
        <f t="shared" si="117"/>
        <v>7</v>
      </c>
      <c r="U199" s="11">
        <f t="shared" si="118"/>
        <v>14</v>
      </c>
      <c r="V199" s="98">
        <v>43818</v>
      </c>
      <c r="W199" s="66"/>
    </row>
    <row r="200" spans="1:23" x14ac:dyDescent="0.15">
      <c r="A200" s="26"/>
      <c r="B200" s="8"/>
      <c r="C200" s="9"/>
      <c r="D200" s="10"/>
      <c r="E200" s="49">
        <f t="shared" si="110"/>
        <v>0</v>
      </c>
      <c r="F200" s="12"/>
      <c r="G200" s="9"/>
      <c r="H200" s="10"/>
      <c r="I200" s="49">
        <f t="shared" si="111"/>
        <v>0</v>
      </c>
      <c r="J200" s="11">
        <f t="shared" si="112"/>
        <v>0</v>
      </c>
      <c r="K200" s="62"/>
      <c r="L200" s="26" t="s">
        <v>263</v>
      </c>
      <c r="M200" s="8"/>
      <c r="N200" s="9">
        <v>3</v>
      </c>
      <c r="O200" s="10">
        <v>2</v>
      </c>
      <c r="P200" s="49">
        <f t="shared" si="116"/>
        <v>5</v>
      </c>
      <c r="Q200" s="12"/>
      <c r="R200" s="9">
        <v>3</v>
      </c>
      <c r="S200" s="10">
        <v>2</v>
      </c>
      <c r="T200" s="49">
        <f t="shared" si="117"/>
        <v>5</v>
      </c>
      <c r="U200" s="11">
        <f t="shared" si="118"/>
        <v>10</v>
      </c>
      <c r="V200" s="98">
        <v>43819</v>
      </c>
    </row>
    <row r="201" spans="1:23" x14ac:dyDescent="0.15">
      <c r="A201" s="26"/>
      <c r="B201" s="8"/>
      <c r="C201" s="9"/>
      <c r="D201" s="10"/>
      <c r="E201" s="49">
        <f t="shared" si="110"/>
        <v>0</v>
      </c>
      <c r="F201" s="12"/>
      <c r="G201" s="9"/>
      <c r="H201" s="10"/>
      <c r="I201" s="49">
        <f t="shared" si="111"/>
        <v>0</v>
      </c>
      <c r="J201" s="11">
        <f t="shared" si="112"/>
        <v>0</v>
      </c>
      <c r="K201" s="62"/>
      <c r="L201" s="26" t="s">
        <v>266</v>
      </c>
      <c r="M201" s="8"/>
      <c r="N201" s="9">
        <v>2</v>
      </c>
      <c r="O201" s="10"/>
      <c r="P201" s="49">
        <f t="shared" si="116"/>
        <v>2</v>
      </c>
      <c r="Q201" s="12"/>
      <c r="R201" s="9">
        <v>2</v>
      </c>
      <c r="S201" s="10"/>
      <c r="T201" s="49">
        <f t="shared" si="117"/>
        <v>2</v>
      </c>
      <c r="U201" s="11">
        <f t="shared" si="118"/>
        <v>4</v>
      </c>
      <c r="V201" s="98">
        <v>43820</v>
      </c>
    </row>
    <row r="202" spans="1:23" x14ac:dyDescent="0.15">
      <c r="A202" s="26"/>
      <c r="B202" s="8"/>
      <c r="C202" s="9"/>
      <c r="D202" s="10"/>
      <c r="E202" s="49">
        <f t="shared" si="110"/>
        <v>0</v>
      </c>
      <c r="F202" s="12"/>
      <c r="G202" s="9"/>
      <c r="H202" s="10"/>
      <c r="I202" s="49">
        <f t="shared" si="111"/>
        <v>0</v>
      </c>
      <c r="J202" s="11">
        <f t="shared" si="112"/>
        <v>0</v>
      </c>
      <c r="K202" s="62"/>
      <c r="L202" s="26" t="s">
        <v>268</v>
      </c>
      <c r="M202" s="8">
        <v>1</v>
      </c>
      <c r="N202" s="9"/>
      <c r="O202" s="10">
        <v>1</v>
      </c>
      <c r="P202" s="49">
        <f t="shared" si="116"/>
        <v>2</v>
      </c>
      <c r="Q202" s="8">
        <v>1</v>
      </c>
      <c r="R202" s="9"/>
      <c r="S202" s="10">
        <v>1</v>
      </c>
      <c r="T202" s="49">
        <f t="shared" si="117"/>
        <v>2</v>
      </c>
      <c r="U202" s="11">
        <f t="shared" si="118"/>
        <v>4</v>
      </c>
      <c r="V202" s="98">
        <v>43822</v>
      </c>
      <c r="W202" s="66"/>
    </row>
    <row r="203" spans="1:23" ht="14.25" thickBot="1" x14ac:dyDescent="0.2">
      <c r="A203" s="23"/>
      <c r="B203" s="13"/>
      <c r="C203" s="14"/>
      <c r="D203" s="15"/>
      <c r="E203" s="49">
        <f>SUM(B203:D203)</f>
        <v>0</v>
      </c>
      <c r="F203" s="16"/>
      <c r="G203" s="14"/>
      <c r="H203" s="15"/>
      <c r="I203" s="49">
        <f>SUM(F203:H203)</f>
        <v>0</v>
      </c>
      <c r="J203" s="11">
        <f>E203+I203</f>
        <v>0</v>
      </c>
      <c r="K203" s="62"/>
      <c r="L203" s="26" t="s">
        <v>272</v>
      </c>
      <c r="M203" s="8">
        <v>1</v>
      </c>
      <c r="N203" s="9">
        <v>2</v>
      </c>
      <c r="O203" s="10">
        <v>1</v>
      </c>
      <c r="P203" s="49">
        <f t="shared" si="116"/>
        <v>4</v>
      </c>
      <c r="Q203" s="12">
        <v>1</v>
      </c>
      <c r="R203" s="9">
        <v>2</v>
      </c>
      <c r="S203" s="10">
        <v>1</v>
      </c>
      <c r="T203" s="49">
        <f t="shared" si="117"/>
        <v>4</v>
      </c>
      <c r="U203" s="11">
        <f t="shared" si="118"/>
        <v>8</v>
      </c>
      <c r="V203" s="98">
        <v>43826</v>
      </c>
      <c r="W203" s="66"/>
    </row>
    <row r="204" spans="1:23" ht="14.25" thickBot="1" x14ac:dyDescent="0.2">
      <c r="A204" s="41" t="s">
        <v>17</v>
      </c>
      <c r="B204" s="46">
        <f>SUM(B178:B203)</f>
        <v>2</v>
      </c>
      <c r="C204" s="47">
        <f t="shared" ref="C204:D204" si="119">SUM(C178:C203)</f>
        <v>3</v>
      </c>
      <c r="D204" s="58">
        <f t="shared" si="119"/>
        <v>2</v>
      </c>
      <c r="E204" s="45">
        <f t="shared" ref="E204" si="120">SUM(B204:D204)</f>
        <v>7</v>
      </c>
      <c r="F204" s="46">
        <f>SUM(F178:F203)</f>
        <v>2</v>
      </c>
      <c r="G204" s="47">
        <f t="shared" ref="G204:H204" si="121">SUM(G178:G203)</f>
        <v>3</v>
      </c>
      <c r="H204" s="58">
        <f t="shared" si="121"/>
        <v>2</v>
      </c>
      <c r="I204" s="45">
        <f t="shared" ref="I204" si="122">SUM(F204:H204)</f>
        <v>7</v>
      </c>
      <c r="J204" s="45">
        <f>E204+I204</f>
        <v>14</v>
      </c>
      <c r="K204" s="40"/>
      <c r="L204" s="41" t="s">
        <v>17</v>
      </c>
      <c r="M204" s="46">
        <f>SUM(M178:M203)</f>
        <v>61</v>
      </c>
      <c r="N204" s="47">
        <f t="shared" ref="N204:O204" si="123">SUM(N178:N203)</f>
        <v>106</v>
      </c>
      <c r="O204" s="58">
        <f t="shared" si="123"/>
        <v>65</v>
      </c>
      <c r="P204" s="45">
        <f t="shared" si="116"/>
        <v>232</v>
      </c>
      <c r="Q204" s="46">
        <f>SUM(Q178:Q203)</f>
        <v>61</v>
      </c>
      <c r="R204" s="47">
        <f t="shared" ref="R204:S204" si="124">SUM(R178:R203)</f>
        <v>106</v>
      </c>
      <c r="S204" s="58">
        <f t="shared" si="124"/>
        <v>65</v>
      </c>
      <c r="T204" s="45">
        <f t="shared" si="117"/>
        <v>232</v>
      </c>
      <c r="U204" s="45">
        <f>P204+T204</f>
        <v>464</v>
      </c>
    </row>
    <row r="205" spans="1:23" ht="14.25" thickBot="1" x14ac:dyDescent="0.2">
      <c r="A205" s="22" t="s">
        <v>16</v>
      </c>
      <c r="B205" s="50">
        <f>B177-B204</f>
        <v>2</v>
      </c>
      <c r="C205" s="56">
        <f t="shared" ref="C205:D205" si="125">C177-C204</f>
        <v>4</v>
      </c>
      <c r="D205" s="57">
        <f t="shared" si="125"/>
        <v>1</v>
      </c>
      <c r="E205" s="55">
        <f>SUM(B205:D205)</f>
        <v>7</v>
      </c>
      <c r="F205" s="50">
        <f>F177-F204</f>
        <v>2</v>
      </c>
      <c r="G205" s="56">
        <f t="shared" ref="G205:H205" si="126">G177-G204</f>
        <v>4</v>
      </c>
      <c r="H205" s="57">
        <f t="shared" si="126"/>
        <v>1</v>
      </c>
      <c r="I205" s="55">
        <f>SUM(F205:H205)</f>
        <v>7</v>
      </c>
      <c r="J205" s="31">
        <f>E205+I205</f>
        <v>14</v>
      </c>
      <c r="L205" s="22" t="s">
        <v>16</v>
      </c>
      <c r="M205" s="50">
        <f>M177-M204</f>
        <v>173</v>
      </c>
      <c r="N205" s="56">
        <f t="shared" ref="N205:O205" si="127">N177-N204</f>
        <v>274</v>
      </c>
      <c r="O205" s="57">
        <f t="shared" si="127"/>
        <v>218</v>
      </c>
      <c r="P205" s="55">
        <f>SUM(M205:O205)</f>
        <v>665</v>
      </c>
      <c r="Q205" s="50">
        <f>Q177-Q204</f>
        <v>173</v>
      </c>
      <c r="R205" s="56">
        <f t="shared" ref="R205:S205" si="128">R177-R204</f>
        <v>274</v>
      </c>
      <c r="S205" s="57">
        <f t="shared" si="128"/>
        <v>218</v>
      </c>
      <c r="T205" s="55">
        <f>SUM(Q205:S205)</f>
        <v>665</v>
      </c>
      <c r="U205" s="31">
        <f>P205+T205</f>
        <v>1330</v>
      </c>
    </row>
    <row r="206" spans="1:23" ht="19.5" thickBot="1" x14ac:dyDescent="0.25">
      <c r="A206" s="3" t="s">
        <v>20</v>
      </c>
      <c r="B206" s="1"/>
      <c r="C206" s="1"/>
      <c r="D206" s="1"/>
      <c r="E206" s="1"/>
      <c r="F206" s="1"/>
      <c r="G206" s="1"/>
      <c r="H206" s="1"/>
      <c r="I206" s="1"/>
      <c r="J206" s="1"/>
      <c r="L206" s="3" t="s">
        <v>21</v>
      </c>
      <c r="M206" s="1"/>
      <c r="N206" s="1"/>
      <c r="O206" s="1"/>
      <c r="P206" s="1"/>
      <c r="Q206" s="1"/>
      <c r="R206" s="1"/>
      <c r="S206" s="1"/>
      <c r="T206" s="1"/>
      <c r="U206" s="1"/>
    </row>
    <row r="207" spans="1:23" ht="14.25" thickBot="1" x14ac:dyDescent="0.2">
      <c r="A207" s="7"/>
      <c r="B207" s="176" t="s">
        <v>22</v>
      </c>
      <c r="C207" s="177"/>
      <c r="D207" s="177"/>
      <c r="E207" s="178"/>
      <c r="F207" s="176" t="s">
        <v>23</v>
      </c>
      <c r="G207" s="177"/>
      <c r="H207" s="177"/>
      <c r="I207" s="179"/>
      <c r="J207" s="174" t="s">
        <v>0</v>
      </c>
      <c r="L207" s="7"/>
      <c r="M207" s="169" t="s">
        <v>22</v>
      </c>
      <c r="N207" s="170"/>
      <c r="O207" s="170"/>
      <c r="P207" s="171"/>
      <c r="Q207" s="169" t="s">
        <v>23</v>
      </c>
      <c r="R207" s="170"/>
      <c r="S207" s="170"/>
      <c r="T207" s="171"/>
      <c r="U207" s="174" t="s">
        <v>0</v>
      </c>
    </row>
    <row r="208" spans="1:23" ht="14.25" thickBot="1" x14ac:dyDescent="0.2">
      <c r="A208" s="7" t="s">
        <v>1</v>
      </c>
      <c r="B208" s="4" t="s">
        <v>2</v>
      </c>
      <c r="C208" s="5" t="s">
        <v>3</v>
      </c>
      <c r="D208" s="6" t="s">
        <v>4</v>
      </c>
      <c r="E208" s="7" t="s">
        <v>5</v>
      </c>
      <c r="F208" s="4" t="s">
        <v>2</v>
      </c>
      <c r="G208" s="5" t="s">
        <v>3</v>
      </c>
      <c r="H208" s="6" t="s">
        <v>4</v>
      </c>
      <c r="I208" s="7" t="s">
        <v>5</v>
      </c>
      <c r="J208" s="175"/>
      <c r="L208" s="7" t="s">
        <v>1</v>
      </c>
      <c r="M208" s="4" t="s">
        <v>2</v>
      </c>
      <c r="N208" s="5" t="s">
        <v>3</v>
      </c>
      <c r="O208" s="6" t="s">
        <v>4</v>
      </c>
      <c r="P208" s="7" t="s">
        <v>5</v>
      </c>
      <c r="Q208" s="4" t="s">
        <v>2</v>
      </c>
      <c r="R208" s="5" t="s">
        <v>3</v>
      </c>
      <c r="S208" s="6" t="s">
        <v>4</v>
      </c>
      <c r="T208" s="7" t="s">
        <v>5</v>
      </c>
      <c r="U208" s="175"/>
    </row>
    <row r="209" spans="1:23" ht="14.25" thickBot="1" x14ac:dyDescent="0.2">
      <c r="A209" s="27" t="s">
        <v>16</v>
      </c>
      <c r="B209" s="38">
        <f>B205</f>
        <v>2</v>
      </c>
      <c r="C209" s="39">
        <f>C205</f>
        <v>4</v>
      </c>
      <c r="D209" s="2">
        <f>D205</f>
        <v>1</v>
      </c>
      <c r="E209" s="36">
        <f>SUM(B209:D209)</f>
        <v>7</v>
      </c>
      <c r="F209" s="38">
        <f>F205</f>
        <v>2</v>
      </c>
      <c r="G209" s="39">
        <f>G205</f>
        <v>4</v>
      </c>
      <c r="H209" s="2">
        <f>H205</f>
        <v>1</v>
      </c>
      <c r="I209" s="36">
        <f>SUM(F209:H209)</f>
        <v>7</v>
      </c>
      <c r="J209" s="36">
        <f>E209+I209</f>
        <v>14</v>
      </c>
      <c r="K209" s="63"/>
      <c r="L209" s="27" t="s">
        <v>16</v>
      </c>
      <c r="M209" s="38">
        <f>M205</f>
        <v>173</v>
      </c>
      <c r="N209" s="39">
        <f>N205</f>
        <v>274</v>
      </c>
      <c r="O209" s="2">
        <f>O205</f>
        <v>218</v>
      </c>
      <c r="P209" s="36">
        <f>SUM(M209:O209)</f>
        <v>665</v>
      </c>
      <c r="Q209" s="38">
        <f>Q205</f>
        <v>173</v>
      </c>
      <c r="R209" s="39">
        <f>R205</f>
        <v>274</v>
      </c>
      <c r="S209" s="2">
        <f>S205</f>
        <v>218</v>
      </c>
      <c r="T209" s="36">
        <f>SUM(Q209:S209)</f>
        <v>665</v>
      </c>
      <c r="U209" s="36">
        <f>P209+T209</f>
        <v>1330</v>
      </c>
    </row>
    <row r="210" spans="1:23" x14ac:dyDescent="0.15">
      <c r="A210" s="25"/>
      <c r="B210" s="42"/>
      <c r="C210" s="43"/>
      <c r="D210" s="44"/>
      <c r="E210" s="48">
        <f>SUM(B210:D210)</f>
        <v>0</v>
      </c>
      <c r="F210" s="59"/>
      <c r="G210" s="43"/>
      <c r="H210" s="60"/>
      <c r="I210" s="48">
        <f>SUM(F210:H210)</f>
        <v>0</v>
      </c>
      <c r="J210" s="48">
        <f>E210+I210</f>
        <v>0</v>
      </c>
      <c r="K210" s="62"/>
      <c r="L210" s="25" t="s">
        <v>7</v>
      </c>
      <c r="M210" s="42"/>
      <c r="N210" s="43"/>
      <c r="O210" s="44"/>
      <c r="P210" s="48">
        <f>SUM(M210:O210)</f>
        <v>0</v>
      </c>
      <c r="Q210" s="59"/>
      <c r="R210" s="43"/>
      <c r="S210" s="60"/>
      <c r="T210" s="48">
        <f>SUM(Q210:S210)</f>
        <v>0</v>
      </c>
      <c r="U210" s="48">
        <f>P210+T210</f>
        <v>0</v>
      </c>
    </row>
    <row r="211" spans="1:23" x14ac:dyDescent="0.15">
      <c r="A211" s="25"/>
      <c r="B211" s="8"/>
      <c r="C211" s="9"/>
      <c r="D211" s="52"/>
      <c r="E211" s="11">
        <f>SUM(B211:D211)</f>
        <v>0</v>
      </c>
      <c r="F211" s="12"/>
      <c r="G211" s="9"/>
      <c r="H211" s="10"/>
      <c r="I211" s="11">
        <f>SUM(F211:H211)</f>
        <v>0</v>
      </c>
      <c r="J211" s="11">
        <f>E211+I211</f>
        <v>0</v>
      </c>
      <c r="K211" s="62"/>
      <c r="L211" s="25" t="s">
        <v>8</v>
      </c>
      <c r="M211" s="8"/>
      <c r="N211" s="9"/>
      <c r="O211" s="52"/>
      <c r="P211" s="11">
        <f>SUM(M211:O211)</f>
        <v>0</v>
      </c>
      <c r="Q211" s="8"/>
      <c r="R211" s="9"/>
      <c r="S211" s="52"/>
      <c r="T211" s="11">
        <f>SUM(Q211:S211)</f>
        <v>0</v>
      </c>
      <c r="U211" s="11">
        <f>P211+T211</f>
        <v>0</v>
      </c>
    </row>
    <row r="212" spans="1:23" x14ac:dyDescent="0.15">
      <c r="A212" s="25"/>
      <c r="B212" s="17"/>
      <c r="C212" s="18"/>
      <c r="D212" s="51"/>
      <c r="E212" s="11">
        <f t="shared" ref="E212:E217" si="129">SUM(B212:D212)</f>
        <v>0</v>
      </c>
      <c r="F212" s="20"/>
      <c r="G212" s="18"/>
      <c r="H212" s="19"/>
      <c r="I212" s="11">
        <f t="shared" ref="I212:I217" si="130">SUM(F212:H212)</f>
        <v>0</v>
      </c>
      <c r="J212" s="11">
        <f t="shared" ref="J212:J217" si="131">E212+I212</f>
        <v>0</v>
      </c>
      <c r="K212" s="62"/>
      <c r="L212" s="25" t="s">
        <v>9</v>
      </c>
      <c r="M212" s="69"/>
      <c r="N212" s="70"/>
      <c r="O212" s="71"/>
      <c r="P212" s="72">
        <f>SUM(M212:O212)</f>
        <v>0</v>
      </c>
      <c r="Q212" s="69"/>
      <c r="R212" s="70"/>
      <c r="S212" s="71"/>
      <c r="T212" s="72">
        <f>SUM(Q212:S212)</f>
        <v>0</v>
      </c>
      <c r="U212" s="72">
        <f>P212+T212</f>
        <v>0</v>
      </c>
    </row>
    <row r="213" spans="1:23" x14ac:dyDescent="0.15">
      <c r="A213" s="25"/>
      <c r="B213" s="8"/>
      <c r="C213" s="9"/>
      <c r="D213" s="52"/>
      <c r="E213" s="11">
        <f t="shared" si="129"/>
        <v>0</v>
      </c>
      <c r="F213" s="12"/>
      <c r="G213" s="9"/>
      <c r="H213" s="10"/>
      <c r="I213" s="11">
        <f t="shared" si="130"/>
        <v>0</v>
      </c>
      <c r="J213" s="11">
        <f t="shared" si="131"/>
        <v>0</v>
      </c>
      <c r="K213" s="62"/>
      <c r="L213" s="25" t="s">
        <v>10</v>
      </c>
      <c r="M213" s="8"/>
      <c r="N213" s="9"/>
      <c r="O213" s="52"/>
      <c r="P213" s="11">
        <f t="shared" ref="P213:P215" si="132">SUM(M213:O213)</f>
        <v>0</v>
      </c>
      <c r="Q213" s="12"/>
      <c r="R213" s="9"/>
      <c r="S213" s="10"/>
      <c r="T213" s="11">
        <f t="shared" ref="T213:T215" si="133">SUM(Q213:S213)</f>
        <v>0</v>
      </c>
      <c r="U213" s="11">
        <f t="shared" ref="U213:U215" si="134">P213+T213</f>
        <v>0</v>
      </c>
    </row>
    <row r="214" spans="1:23" x14ac:dyDescent="0.15">
      <c r="A214" s="25"/>
      <c r="B214" s="8"/>
      <c r="C214" s="9"/>
      <c r="D214" s="52"/>
      <c r="E214" s="11">
        <f t="shared" si="129"/>
        <v>0</v>
      </c>
      <c r="F214" s="12"/>
      <c r="G214" s="9"/>
      <c r="H214" s="10"/>
      <c r="I214" s="11">
        <f t="shared" si="130"/>
        <v>0</v>
      </c>
      <c r="J214" s="11">
        <f t="shared" si="131"/>
        <v>0</v>
      </c>
      <c r="K214" s="62"/>
      <c r="L214" s="25" t="s">
        <v>11</v>
      </c>
      <c r="M214" s="8"/>
      <c r="N214" s="9"/>
      <c r="O214" s="52"/>
      <c r="P214" s="11">
        <f t="shared" si="132"/>
        <v>0</v>
      </c>
      <c r="Q214" s="12"/>
      <c r="R214" s="9"/>
      <c r="S214" s="10"/>
      <c r="T214" s="11">
        <f t="shared" si="133"/>
        <v>0</v>
      </c>
      <c r="U214" s="11">
        <f t="shared" si="134"/>
        <v>0</v>
      </c>
    </row>
    <row r="215" spans="1:23" x14ac:dyDescent="0.15">
      <c r="A215" s="25"/>
      <c r="B215" s="8"/>
      <c r="C215" s="9"/>
      <c r="D215" s="52"/>
      <c r="E215" s="11">
        <f t="shared" si="129"/>
        <v>0</v>
      </c>
      <c r="F215" s="12"/>
      <c r="G215" s="9"/>
      <c r="H215" s="10"/>
      <c r="I215" s="11">
        <f t="shared" si="130"/>
        <v>0</v>
      </c>
      <c r="J215" s="11">
        <f t="shared" si="131"/>
        <v>0</v>
      </c>
      <c r="K215" s="62"/>
      <c r="L215" s="25" t="s">
        <v>12</v>
      </c>
      <c r="M215" s="8"/>
      <c r="N215" s="9"/>
      <c r="O215" s="52"/>
      <c r="P215" s="11">
        <f t="shared" si="132"/>
        <v>0</v>
      </c>
      <c r="Q215" s="12"/>
      <c r="R215" s="9"/>
      <c r="S215" s="10"/>
      <c r="T215" s="11">
        <f t="shared" si="133"/>
        <v>0</v>
      </c>
      <c r="U215" s="11">
        <f t="shared" si="134"/>
        <v>0</v>
      </c>
    </row>
    <row r="216" spans="1:23" x14ac:dyDescent="0.15">
      <c r="A216" s="25"/>
      <c r="B216" s="13"/>
      <c r="C216" s="14"/>
      <c r="D216" s="53"/>
      <c r="E216" s="11">
        <f t="shared" si="129"/>
        <v>0</v>
      </c>
      <c r="F216" s="16"/>
      <c r="G216" s="14"/>
      <c r="H216" s="15"/>
      <c r="I216" s="11">
        <f t="shared" si="130"/>
        <v>0</v>
      </c>
      <c r="J216" s="11">
        <f t="shared" si="131"/>
        <v>0</v>
      </c>
      <c r="K216" s="64"/>
      <c r="L216" s="25" t="s">
        <v>13</v>
      </c>
      <c r="M216" s="8"/>
      <c r="N216" s="9"/>
      <c r="O216" s="52"/>
      <c r="P216" s="11">
        <f>SUM(M216:O216)</f>
        <v>0</v>
      </c>
      <c r="Q216" s="8"/>
      <c r="R216" s="9"/>
      <c r="S216" s="52"/>
      <c r="T216" s="11">
        <f>SUM(Q216:S216)</f>
        <v>0</v>
      </c>
      <c r="U216" s="11">
        <f>P216+T216</f>
        <v>0</v>
      </c>
    </row>
    <row r="217" spans="1:23" ht="14.25" thickBot="1" x14ac:dyDescent="0.2">
      <c r="A217" s="25"/>
      <c r="B217" s="32"/>
      <c r="C217" s="33"/>
      <c r="D217" s="54"/>
      <c r="E217" s="61">
        <f t="shared" si="129"/>
        <v>0</v>
      </c>
      <c r="F217" s="34"/>
      <c r="G217" s="34"/>
      <c r="H217" s="37"/>
      <c r="I217" s="61">
        <f t="shared" si="130"/>
        <v>0</v>
      </c>
      <c r="J217" s="21">
        <f t="shared" si="131"/>
        <v>0</v>
      </c>
      <c r="K217" s="62"/>
      <c r="L217" s="25" t="s">
        <v>14</v>
      </c>
      <c r="M217" s="32"/>
      <c r="N217" s="33"/>
      <c r="O217" s="54"/>
      <c r="P217" s="61">
        <f t="shared" ref="P217" si="135">SUM(M217:O217)</f>
        <v>0</v>
      </c>
      <c r="Q217" s="34"/>
      <c r="R217" s="34"/>
      <c r="S217" s="37"/>
      <c r="T217" s="61">
        <f t="shared" ref="T217" si="136">SUM(Q217:S217)</f>
        <v>0</v>
      </c>
      <c r="U217" s="21">
        <f t="shared" ref="U217" si="137">P217+T217</f>
        <v>0</v>
      </c>
    </row>
    <row r="218" spans="1:23" ht="14.25" thickBot="1" x14ac:dyDescent="0.2">
      <c r="A218" s="35" t="s">
        <v>15</v>
      </c>
      <c r="B218" s="28">
        <f>SUM(B209:B217)</f>
        <v>2</v>
      </c>
      <c r="C218" s="29">
        <f>SUM(C209:C217)</f>
        <v>4</v>
      </c>
      <c r="D218" s="30">
        <f>SUM(D209:D217)</f>
        <v>1</v>
      </c>
      <c r="E218" s="31">
        <f>SUM(B218:D218)</f>
        <v>7</v>
      </c>
      <c r="F218" s="28">
        <f>SUM(F209:F217)</f>
        <v>2</v>
      </c>
      <c r="G218" s="29">
        <f>SUM(G209:G217)</f>
        <v>4</v>
      </c>
      <c r="H218" s="30">
        <f>SUM(H209:H217)</f>
        <v>1</v>
      </c>
      <c r="I218" s="31">
        <f>SUM(F218:H218)</f>
        <v>7</v>
      </c>
      <c r="J218" s="31">
        <f>E218+I218</f>
        <v>14</v>
      </c>
      <c r="L218" s="35" t="s">
        <v>15</v>
      </c>
      <c r="M218" s="28">
        <f>SUM(M209:M217)</f>
        <v>173</v>
      </c>
      <c r="N218" s="29">
        <f>SUM(N209:N217)</f>
        <v>274</v>
      </c>
      <c r="O218" s="30">
        <f>SUM(O209:O217)</f>
        <v>218</v>
      </c>
      <c r="P218" s="31">
        <f>SUM(M218:O218)</f>
        <v>665</v>
      </c>
      <c r="Q218" s="28">
        <f>SUM(Q209:Q217)</f>
        <v>173</v>
      </c>
      <c r="R218" s="29">
        <f>SUM(R209:R217)</f>
        <v>274</v>
      </c>
      <c r="S218" s="30">
        <f>SUM(S209:S217)</f>
        <v>218</v>
      </c>
      <c r="T218" s="31">
        <f>SUM(Q218:S218)</f>
        <v>665</v>
      </c>
      <c r="U218" s="31">
        <f>P218+T218</f>
        <v>1330</v>
      </c>
    </row>
    <row r="219" spans="1:23" x14ac:dyDescent="0.15">
      <c r="A219" s="26" t="s">
        <v>282</v>
      </c>
      <c r="B219" s="13"/>
      <c r="C219" s="14">
        <v>1</v>
      </c>
      <c r="D219" s="15"/>
      <c r="E219" s="49">
        <f>SUM(B219:D219)</f>
        <v>1</v>
      </c>
      <c r="F219" s="16"/>
      <c r="G219" s="14">
        <v>1</v>
      </c>
      <c r="H219" s="15"/>
      <c r="I219" s="49">
        <f>SUM(F219:H219)</f>
        <v>1</v>
      </c>
      <c r="J219" s="11">
        <f>E219+I219</f>
        <v>2</v>
      </c>
      <c r="K219" s="62">
        <v>43846</v>
      </c>
      <c r="L219" s="26" t="s">
        <v>273</v>
      </c>
      <c r="M219" s="8">
        <v>6</v>
      </c>
      <c r="N219" s="9">
        <v>6</v>
      </c>
      <c r="O219" s="10">
        <v>4</v>
      </c>
      <c r="P219" s="49">
        <f t="shared" ref="P219" si="138">SUM(M219:O219)</f>
        <v>16</v>
      </c>
      <c r="Q219" s="12">
        <v>6</v>
      </c>
      <c r="R219" s="9">
        <v>6</v>
      </c>
      <c r="S219" s="10">
        <v>4</v>
      </c>
      <c r="T219" s="49">
        <f t="shared" ref="T219" si="139">SUM(Q219:S219)</f>
        <v>16</v>
      </c>
      <c r="U219" s="11">
        <f t="shared" ref="U219" si="140">P219+T219</f>
        <v>32</v>
      </c>
      <c r="V219" s="98">
        <v>43827</v>
      </c>
      <c r="W219" s="66"/>
    </row>
    <row r="220" spans="1:23" x14ac:dyDescent="0.15">
      <c r="A220" s="26"/>
      <c r="B220" s="8"/>
      <c r="C220" s="9"/>
      <c r="D220" s="10"/>
      <c r="E220" s="49">
        <f t="shared" ref="E220:E243" si="141">SUM(B220:D220)</f>
        <v>0</v>
      </c>
      <c r="F220" s="12"/>
      <c r="G220" s="9"/>
      <c r="H220" s="10"/>
      <c r="I220" s="49">
        <f t="shared" ref="I220:I243" si="142">SUM(F220:H220)</f>
        <v>0</v>
      </c>
      <c r="J220" s="11">
        <f t="shared" ref="J220:J243" si="143">E220+I220</f>
        <v>0</v>
      </c>
      <c r="K220" s="62"/>
      <c r="L220" s="26" t="s">
        <v>275</v>
      </c>
      <c r="M220" s="8"/>
      <c r="N220" s="9"/>
      <c r="O220" s="10">
        <v>7</v>
      </c>
      <c r="P220" s="49">
        <f t="shared" ref="P220" si="144">SUM(M220:O220)</f>
        <v>7</v>
      </c>
      <c r="Q220" s="12"/>
      <c r="R220" s="9"/>
      <c r="S220" s="10">
        <v>7</v>
      </c>
      <c r="T220" s="49">
        <f t="shared" ref="T220" si="145">SUM(Q220:S220)</f>
        <v>7</v>
      </c>
      <c r="U220" s="11">
        <f t="shared" ref="U220" si="146">P220+T220</f>
        <v>14</v>
      </c>
      <c r="V220" s="98">
        <v>43839</v>
      </c>
    </row>
    <row r="221" spans="1:23" x14ac:dyDescent="0.15">
      <c r="A221" s="26"/>
      <c r="B221" s="8"/>
      <c r="C221" s="9"/>
      <c r="D221" s="10"/>
      <c r="E221" s="49">
        <f t="shared" si="141"/>
        <v>0</v>
      </c>
      <c r="F221" s="12"/>
      <c r="G221" s="9"/>
      <c r="H221" s="10"/>
      <c r="I221" s="49">
        <f t="shared" si="142"/>
        <v>0</v>
      </c>
      <c r="J221" s="11">
        <f t="shared" si="143"/>
        <v>0</v>
      </c>
      <c r="K221" s="62"/>
      <c r="L221" s="26" t="s">
        <v>276</v>
      </c>
      <c r="M221" s="13">
        <v>1</v>
      </c>
      <c r="N221" s="14"/>
      <c r="O221" s="15"/>
      <c r="P221" s="49">
        <f>SUM(M221:O221)</f>
        <v>1</v>
      </c>
      <c r="Q221" s="16">
        <v>1</v>
      </c>
      <c r="R221" s="14"/>
      <c r="S221" s="15"/>
      <c r="T221" s="49">
        <f>SUM(Q221:S221)</f>
        <v>1</v>
      </c>
      <c r="U221" s="11">
        <f>P221+T221</f>
        <v>2</v>
      </c>
      <c r="V221" s="98">
        <v>43840</v>
      </c>
    </row>
    <row r="222" spans="1:23" x14ac:dyDescent="0.15">
      <c r="A222" s="26"/>
      <c r="B222" s="8"/>
      <c r="C222" s="9"/>
      <c r="D222" s="10"/>
      <c r="E222" s="49">
        <f t="shared" si="141"/>
        <v>0</v>
      </c>
      <c r="F222" s="12"/>
      <c r="G222" s="9"/>
      <c r="H222" s="10"/>
      <c r="I222" s="49">
        <f t="shared" si="142"/>
        <v>0</v>
      </c>
      <c r="J222" s="11">
        <f t="shared" si="143"/>
        <v>0</v>
      </c>
      <c r="K222" s="62"/>
      <c r="L222" s="26" t="s">
        <v>277</v>
      </c>
      <c r="M222" s="8">
        <v>3</v>
      </c>
      <c r="N222" s="9">
        <v>4</v>
      </c>
      <c r="O222" s="10">
        <v>3</v>
      </c>
      <c r="P222" s="49">
        <f t="shared" ref="P222:P245" si="147">SUM(M222:O222)</f>
        <v>10</v>
      </c>
      <c r="Q222" s="12">
        <v>3</v>
      </c>
      <c r="R222" s="9">
        <v>4</v>
      </c>
      <c r="S222" s="10">
        <v>3</v>
      </c>
      <c r="T222" s="49">
        <f t="shared" ref="T222:T245" si="148">SUM(Q222:S222)</f>
        <v>10</v>
      </c>
      <c r="U222" s="11">
        <f t="shared" ref="U222:U242" si="149">P222+T222</f>
        <v>20</v>
      </c>
      <c r="V222" s="98">
        <v>43841</v>
      </c>
      <c r="W222" s="66"/>
    </row>
    <row r="223" spans="1:23" x14ac:dyDescent="0.15">
      <c r="A223" s="26"/>
      <c r="B223" s="8"/>
      <c r="C223" s="9"/>
      <c r="D223" s="10"/>
      <c r="E223" s="49">
        <f t="shared" si="141"/>
        <v>0</v>
      </c>
      <c r="F223" s="12"/>
      <c r="G223" s="9"/>
      <c r="H223" s="10"/>
      <c r="I223" s="49">
        <f t="shared" si="142"/>
        <v>0</v>
      </c>
      <c r="J223" s="11">
        <f t="shared" si="143"/>
        <v>0</v>
      </c>
      <c r="K223" s="62"/>
      <c r="L223" s="26" t="s">
        <v>278</v>
      </c>
      <c r="M223" s="8">
        <v>5</v>
      </c>
      <c r="N223" s="9">
        <v>9</v>
      </c>
      <c r="O223" s="10">
        <v>3</v>
      </c>
      <c r="P223" s="49">
        <f t="shared" si="147"/>
        <v>17</v>
      </c>
      <c r="Q223" s="12">
        <v>5</v>
      </c>
      <c r="R223" s="9">
        <v>9</v>
      </c>
      <c r="S223" s="10">
        <v>3</v>
      </c>
      <c r="T223" s="49">
        <f t="shared" si="148"/>
        <v>17</v>
      </c>
      <c r="U223" s="11">
        <f t="shared" si="149"/>
        <v>34</v>
      </c>
      <c r="V223" s="98">
        <v>43843</v>
      </c>
      <c r="W223" s="66"/>
    </row>
    <row r="224" spans="1:23" x14ac:dyDescent="0.15">
      <c r="A224" s="26"/>
      <c r="B224" s="8"/>
      <c r="C224" s="9"/>
      <c r="D224" s="10"/>
      <c r="E224" s="49">
        <f t="shared" si="141"/>
        <v>0</v>
      </c>
      <c r="F224" s="12"/>
      <c r="G224" s="9"/>
      <c r="H224" s="10"/>
      <c r="I224" s="49">
        <f t="shared" si="142"/>
        <v>0</v>
      </c>
      <c r="J224" s="11">
        <f t="shared" si="143"/>
        <v>0</v>
      </c>
      <c r="K224" s="62"/>
      <c r="L224" s="26" t="s">
        <v>279</v>
      </c>
      <c r="M224" s="8">
        <v>4</v>
      </c>
      <c r="N224" s="9"/>
      <c r="O224" s="10">
        <v>4</v>
      </c>
      <c r="P224" s="49">
        <f t="shared" si="147"/>
        <v>8</v>
      </c>
      <c r="Q224" s="12">
        <v>4</v>
      </c>
      <c r="R224" s="9"/>
      <c r="S224" s="10">
        <v>4</v>
      </c>
      <c r="T224" s="49">
        <f t="shared" si="148"/>
        <v>8</v>
      </c>
      <c r="U224" s="11">
        <f t="shared" si="149"/>
        <v>16</v>
      </c>
      <c r="V224" s="98">
        <v>43845</v>
      </c>
      <c r="W224" s="66"/>
    </row>
    <row r="225" spans="1:23" x14ac:dyDescent="0.15">
      <c r="A225" s="26"/>
      <c r="B225" s="8"/>
      <c r="C225" s="9"/>
      <c r="D225" s="10"/>
      <c r="E225" s="49">
        <f t="shared" si="141"/>
        <v>0</v>
      </c>
      <c r="F225" s="12"/>
      <c r="G225" s="9"/>
      <c r="H225" s="10"/>
      <c r="I225" s="49">
        <f t="shared" si="142"/>
        <v>0</v>
      </c>
      <c r="J225" s="11">
        <f t="shared" si="143"/>
        <v>0</v>
      </c>
      <c r="K225" s="62"/>
      <c r="L225" s="26" t="s">
        <v>280</v>
      </c>
      <c r="M225" s="8">
        <v>2</v>
      </c>
      <c r="N225" s="9">
        <v>4</v>
      </c>
      <c r="O225" s="10">
        <v>2</v>
      </c>
      <c r="P225" s="49">
        <f t="shared" si="147"/>
        <v>8</v>
      </c>
      <c r="Q225" s="12">
        <v>2</v>
      </c>
      <c r="R225" s="9">
        <v>4</v>
      </c>
      <c r="S225" s="10">
        <v>2</v>
      </c>
      <c r="T225" s="49">
        <f t="shared" si="148"/>
        <v>8</v>
      </c>
      <c r="U225" s="11">
        <f t="shared" si="149"/>
        <v>16</v>
      </c>
      <c r="V225" s="98">
        <v>43846</v>
      </c>
      <c r="W225" s="66"/>
    </row>
    <row r="226" spans="1:23" x14ac:dyDescent="0.15">
      <c r="A226" s="26"/>
      <c r="B226" s="8"/>
      <c r="C226" s="9"/>
      <c r="D226" s="10"/>
      <c r="E226" s="49">
        <f t="shared" si="141"/>
        <v>0</v>
      </c>
      <c r="F226" s="12"/>
      <c r="G226" s="9"/>
      <c r="H226" s="10"/>
      <c r="I226" s="49">
        <f t="shared" si="142"/>
        <v>0</v>
      </c>
      <c r="J226" s="11">
        <f t="shared" si="143"/>
        <v>0</v>
      </c>
      <c r="K226" s="62"/>
      <c r="L226" s="26" t="s">
        <v>281</v>
      </c>
      <c r="M226" s="8">
        <v>4</v>
      </c>
      <c r="N226" s="9"/>
      <c r="O226" s="10"/>
      <c r="P226" s="49">
        <f t="shared" si="147"/>
        <v>4</v>
      </c>
      <c r="Q226" s="12">
        <v>4</v>
      </c>
      <c r="R226" s="9"/>
      <c r="S226" s="10"/>
      <c r="T226" s="49">
        <f t="shared" si="148"/>
        <v>4</v>
      </c>
      <c r="U226" s="11">
        <f t="shared" si="149"/>
        <v>8</v>
      </c>
      <c r="V226" s="98">
        <v>43847</v>
      </c>
      <c r="W226" s="66"/>
    </row>
    <row r="227" spans="1:23" x14ac:dyDescent="0.15">
      <c r="A227" s="26"/>
      <c r="B227" s="8"/>
      <c r="C227" s="9"/>
      <c r="D227" s="10"/>
      <c r="E227" s="49">
        <f t="shared" si="141"/>
        <v>0</v>
      </c>
      <c r="F227" s="12"/>
      <c r="G227" s="9"/>
      <c r="H227" s="10"/>
      <c r="I227" s="49">
        <f t="shared" si="142"/>
        <v>0</v>
      </c>
      <c r="J227" s="11">
        <f t="shared" si="143"/>
        <v>0</v>
      </c>
      <c r="K227" s="62"/>
      <c r="L227" s="26" t="s">
        <v>283</v>
      </c>
      <c r="M227" s="8">
        <v>3</v>
      </c>
      <c r="N227" s="9"/>
      <c r="O227" s="10">
        <v>5</v>
      </c>
      <c r="P227" s="49">
        <f t="shared" si="147"/>
        <v>8</v>
      </c>
      <c r="Q227" s="12">
        <v>3</v>
      </c>
      <c r="R227" s="9"/>
      <c r="S227" s="10">
        <v>5</v>
      </c>
      <c r="T227" s="49">
        <f t="shared" si="148"/>
        <v>8</v>
      </c>
      <c r="U227" s="11">
        <f t="shared" si="149"/>
        <v>16</v>
      </c>
      <c r="V227" s="98">
        <v>43848</v>
      </c>
      <c r="W227" s="66"/>
    </row>
    <row r="228" spans="1:23" x14ac:dyDescent="0.15">
      <c r="A228" s="26"/>
      <c r="B228" s="13"/>
      <c r="C228" s="14"/>
      <c r="D228" s="15"/>
      <c r="E228" s="49">
        <f t="shared" si="141"/>
        <v>0</v>
      </c>
      <c r="F228" s="16"/>
      <c r="G228" s="14"/>
      <c r="H228" s="15"/>
      <c r="I228" s="49">
        <f t="shared" si="142"/>
        <v>0</v>
      </c>
      <c r="J228" s="11">
        <f t="shared" si="143"/>
        <v>0</v>
      </c>
      <c r="K228" s="62"/>
      <c r="L228" s="26" t="s">
        <v>284</v>
      </c>
      <c r="M228" s="13">
        <v>3</v>
      </c>
      <c r="N228" s="14"/>
      <c r="O228" s="15"/>
      <c r="P228" s="49">
        <f t="shared" si="147"/>
        <v>3</v>
      </c>
      <c r="Q228" s="16">
        <v>3</v>
      </c>
      <c r="R228" s="14"/>
      <c r="S228" s="15"/>
      <c r="T228" s="49">
        <f t="shared" si="148"/>
        <v>3</v>
      </c>
      <c r="U228" s="11">
        <f t="shared" si="149"/>
        <v>6</v>
      </c>
      <c r="V228" s="98">
        <v>43850</v>
      </c>
    </row>
    <row r="229" spans="1:23" x14ac:dyDescent="0.15">
      <c r="A229" s="26"/>
      <c r="B229" s="8"/>
      <c r="C229" s="9"/>
      <c r="D229" s="10"/>
      <c r="E229" s="49">
        <f t="shared" si="141"/>
        <v>0</v>
      </c>
      <c r="F229" s="12"/>
      <c r="G229" s="9"/>
      <c r="H229" s="10"/>
      <c r="I229" s="49">
        <f t="shared" si="142"/>
        <v>0</v>
      </c>
      <c r="J229" s="11">
        <f t="shared" si="143"/>
        <v>0</v>
      </c>
      <c r="K229" s="62"/>
      <c r="L229" s="26" t="s">
        <v>285</v>
      </c>
      <c r="M229" s="8"/>
      <c r="N229" s="9">
        <v>1</v>
      </c>
      <c r="O229" s="10">
        <v>2</v>
      </c>
      <c r="P229" s="49">
        <f t="shared" si="147"/>
        <v>3</v>
      </c>
      <c r="Q229" s="12"/>
      <c r="R229" s="9">
        <v>1</v>
      </c>
      <c r="S229" s="10">
        <v>2</v>
      </c>
      <c r="T229" s="49">
        <f t="shared" si="148"/>
        <v>3</v>
      </c>
      <c r="U229" s="11">
        <f t="shared" si="149"/>
        <v>6</v>
      </c>
      <c r="V229" s="98">
        <v>43851</v>
      </c>
    </row>
    <row r="230" spans="1:23" x14ac:dyDescent="0.15">
      <c r="A230" s="26"/>
      <c r="B230" s="8"/>
      <c r="C230" s="9"/>
      <c r="D230" s="10"/>
      <c r="E230" s="49">
        <f t="shared" si="141"/>
        <v>0</v>
      </c>
      <c r="F230" s="12"/>
      <c r="G230" s="9"/>
      <c r="H230" s="10"/>
      <c r="I230" s="49">
        <f t="shared" si="142"/>
        <v>0</v>
      </c>
      <c r="J230" s="11">
        <f t="shared" si="143"/>
        <v>0</v>
      </c>
      <c r="K230" s="62"/>
      <c r="L230" s="26" t="s">
        <v>286</v>
      </c>
      <c r="M230" s="8"/>
      <c r="N230" s="9">
        <v>2</v>
      </c>
      <c r="O230" s="10">
        <v>6</v>
      </c>
      <c r="P230" s="49">
        <f t="shared" si="147"/>
        <v>8</v>
      </c>
      <c r="Q230" s="12"/>
      <c r="R230" s="9">
        <v>2</v>
      </c>
      <c r="S230" s="10">
        <v>6</v>
      </c>
      <c r="T230" s="49">
        <f t="shared" si="148"/>
        <v>8</v>
      </c>
      <c r="U230" s="11">
        <f t="shared" si="149"/>
        <v>16</v>
      </c>
      <c r="V230" s="98">
        <v>43852</v>
      </c>
    </row>
    <row r="231" spans="1:23" x14ac:dyDescent="0.15">
      <c r="A231" s="26"/>
      <c r="B231" s="8"/>
      <c r="C231" s="9"/>
      <c r="D231" s="10"/>
      <c r="E231" s="49">
        <f t="shared" si="141"/>
        <v>0</v>
      </c>
      <c r="F231" s="12"/>
      <c r="G231" s="9"/>
      <c r="H231" s="10"/>
      <c r="I231" s="49">
        <f t="shared" si="142"/>
        <v>0</v>
      </c>
      <c r="J231" s="11">
        <f t="shared" si="143"/>
        <v>0</v>
      </c>
      <c r="K231" s="62"/>
      <c r="L231" s="26" t="s">
        <v>287</v>
      </c>
      <c r="M231" s="8"/>
      <c r="N231" s="9">
        <v>1</v>
      </c>
      <c r="O231" s="10">
        <v>1</v>
      </c>
      <c r="P231" s="49">
        <f t="shared" si="147"/>
        <v>2</v>
      </c>
      <c r="Q231" s="12"/>
      <c r="R231" s="9">
        <v>1</v>
      </c>
      <c r="S231" s="10">
        <v>1</v>
      </c>
      <c r="T231" s="49">
        <f t="shared" si="148"/>
        <v>2</v>
      </c>
      <c r="U231" s="11">
        <f t="shared" si="149"/>
        <v>4</v>
      </c>
      <c r="V231" s="98">
        <v>43853</v>
      </c>
    </row>
    <row r="232" spans="1:23" x14ac:dyDescent="0.15">
      <c r="A232" s="26"/>
      <c r="B232" s="8"/>
      <c r="C232" s="9"/>
      <c r="D232" s="10"/>
      <c r="E232" s="49">
        <f t="shared" si="141"/>
        <v>0</v>
      </c>
      <c r="F232" s="12"/>
      <c r="G232" s="9"/>
      <c r="H232" s="10"/>
      <c r="I232" s="49">
        <f t="shared" si="142"/>
        <v>0</v>
      </c>
      <c r="J232" s="11">
        <f t="shared" si="143"/>
        <v>0</v>
      </c>
      <c r="K232" s="62"/>
      <c r="L232" s="26" t="s">
        <v>288</v>
      </c>
      <c r="M232" s="8"/>
      <c r="N232" s="9"/>
      <c r="O232" s="10">
        <v>1</v>
      </c>
      <c r="P232" s="49">
        <f t="shared" si="147"/>
        <v>1</v>
      </c>
      <c r="Q232" s="12"/>
      <c r="R232" s="9"/>
      <c r="S232" s="10">
        <v>1</v>
      </c>
      <c r="T232" s="49">
        <f t="shared" si="148"/>
        <v>1</v>
      </c>
      <c r="U232" s="11">
        <f t="shared" si="149"/>
        <v>2</v>
      </c>
      <c r="V232" s="98">
        <v>43854</v>
      </c>
    </row>
    <row r="233" spans="1:23" x14ac:dyDescent="0.15">
      <c r="A233" s="26"/>
      <c r="B233" s="8"/>
      <c r="C233" s="9"/>
      <c r="D233" s="10"/>
      <c r="E233" s="49">
        <f t="shared" si="141"/>
        <v>0</v>
      </c>
      <c r="F233" s="12"/>
      <c r="G233" s="9"/>
      <c r="H233" s="10"/>
      <c r="I233" s="49">
        <f t="shared" si="142"/>
        <v>0</v>
      </c>
      <c r="J233" s="11">
        <f t="shared" si="143"/>
        <v>0</v>
      </c>
      <c r="K233" s="62"/>
      <c r="L233" s="26" t="s">
        <v>289</v>
      </c>
      <c r="M233" s="8"/>
      <c r="N233" s="9">
        <v>1</v>
      </c>
      <c r="O233" s="10"/>
      <c r="P233" s="49">
        <f t="shared" si="147"/>
        <v>1</v>
      </c>
      <c r="Q233" s="12"/>
      <c r="R233" s="9">
        <v>1</v>
      </c>
      <c r="S233" s="10"/>
      <c r="T233" s="49">
        <f t="shared" si="148"/>
        <v>1</v>
      </c>
      <c r="U233" s="11">
        <f t="shared" si="149"/>
        <v>2</v>
      </c>
      <c r="V233" s="98">
        <v>43855</v>
      </c>
    </row>
    <row r="234" spans="1:23" x14ac:dyDescent="0.15">
      <c r="A234" s="26"/>
      <c r="B234" s="8"/>
      <c r="C234" s="9"/>
      <c r="D234" s="10"/>
      <c r="E234" s="49">
        <f t="shared" si="141"/>
        <v>0</v>
      </c>
      <c r="F234" s="12"/>
      <c r="G234" s="9"/>
      <c r="H234" s="10"/>
      <c r="I234" s="49">
        <f t="shared" si="142"/>
        <v>0</v>
      </c>
      <c r="J234" s="11">
        <f t="shared" si="143"/>
        <v>0</v>
      </c>
      <c r="K234" s="62"/>
      <c r="L234" s="26" t="s">
        <v>290</v>
      </c>
      <c r="M234" s="8"/>
      <c r="N234" s="9">
        <v>3</v>
      </c>
      <c r="O234" s="10"/>
      <c r="P234" s="49">
        <f t="shared" si="147"/>
        <v>3</v>
      </c>
      <c r="Q234" s="12"/>
      <c r="R234" s="9">
        <v>3</v>
      </c>
      <c r="S234" s="10"/>
      <c r="T234" s="49">
        <f t="shared" si="148"/>
        <v>3</v>
      </c>
      <c r="U234" s="11">
        <f t="shared" si="149"/>
        <v>6</v>
      </c>
      <c r="V234" s="98">
        <v>43858</v>
      </c>
    </row>
    <row r="235" spans="1:23" x14ac:dyDescent="0.15">
      <c r="A235" s="26"/>
      <c r="B235" s="8"/>
      <c r="C235" s="9"/>
      <c r="D235" s="10"/>
      <c r="E235" s="49">
        <f t="shared" si="141"/>
        <v>0</v>
      </c>
      <c r="F235" s="12"/>
      <c r="G235" s="9"/>
      <c r="H235" s="10"/>
      <c r="I235" s="49">
        <f t="shared" si="142"/>
        <v>0</v>
      </c>
      <c r="J235" s="11">
        <f t="shared" si="143"/>
        <v>0</v>
      </c>
      <c r="K235" s="62"/>
      <c r="L235" s="26" t="s">
        <v>236</v>
      </c>
      <c r="M235" s="13">
        <v>20</v>
      </c>
      <c r="N235" s="14">
        <v>20</v>
      </c>
      <c r="O235" s="15">
        <v>20</v>
      </c>
      <c r="P235" s="49">
        <f>SUM(M235:O235)</f>
        <v>60</v>
      </c>
      <c r="Q235" s="16">
        <v>20</v>
      </c>
      <c r="R235" s="14">
        <v>20</v>
      </c>
      <c r="S235" s="15">
        <v>20</v>
      </c>
      <c r="T235" s="49">
        <f>SUM(Q235:S235)</f>
        <v>60</v>
      </c>
      <c r="U235" s="11">
        <f>P235+T235</f>
        <v>120</v>
      </c>
      <c r="V235" s="98">
        <v>43495</v>
      </c>
      <c r="W235" s="66"/>
    </row>
    <row r="236" spans="1:23" x14ac:dyDescent="0.15">
      <c r="A236" s="24"/>
      <c r="B236" s="8"/>
      <c r="C236" s="9"/>
      <c r="D236" s="10"/>
      <c r="E236" s="49">
        <f t="shared" si="141"/>
        <v>0</v>
      </c>
      <c r="F236" s="12"/>
      <c r="G236" s="9"/>
      <c r="H236" s="10"/>
      <c r="I236" s="49">
        <f t="shared" si="142"/>
        <v>0</v>
      </c>
      <c r="J236" s="11">
        <f t="shared" si="143"/>
        <v>0</v>
      </c>
      <c r="K236" s="62"/>
      <c r="L236" s="26" t="s">
        <v>292</v>
      </c>
      <c r="M236" s="8">
        <v>2</v>
      </c>
      <c r="N236" s="9">
        <v>4</v>
      </c>
      <c r="O236" s="10">
        <v>1</v>
      </c>
      <c r="P236" s="49">
        <f t="shared" si="147"/>
        <v>7</v>
      </c>
      <c r="Q236" s="12">
        <v>2</v>
      </c>
      <c r="R236" s="9">
        <v>4</v>
      </c>
      <c r="S236" s="10">
        <v>1</v>
      </c>
      <c r="T236" s="49">
        <f t="shared" si="148"/>
        <v>7</v>
      </c>
      <c r="U236" s="11">
        <f t="shared" si="149"/>
        <v>14</v>
      </c>
      <c r="V236" s="98">
        <v>43859</v>
      </c>
    </row>
    <row r="237" spans="1:23" x14ac:dyDescent="0.15">
      <c r="A237" s="25"/>
      <c r="B237" s="8"/>
      <c r="C237" s="9"/>
      <c r="D237" s="10"/>
      <c r="E237" s="49">
        <f t="shared" si="141"/>
        <v>0</v>
      </c>
      <c r="F237" s="12"/>
      <c r="G237" s="9"/>
      <c r="H237" s="10"/>
      <c r="I237" s="49">
        <f t="shared" si="142"/>
        <v>0</v>
      </c>
      <c r="J237" s="11">
        <f t="shared" si="143"/>
        <v>0</v>
      </c>
      <c r="K237" s="64"/>
      <c r="L237" s="26" t="s">
        <v>293</v>
      </c>
      <c r="M237" s="8">
        <v>4</v>
      </c>
      <c r="N237" s="9">
        <v>12</v>
      </c>
      <c r="O237" s="10">
        <v>2</v>
      </c>
      <c r="P237" s="49">
        <f t="shared" si="147"/>
        <v>18</v>
      </c>
      <c r="Q237" s="12">
        <v>4</v>
      </c>
      <c r="R237" s="9">
        <v>12</v>
      </c>
      <c r="S237" s="10">
        <v>2</v>
      </c>
      <c r="T237" s="49">
        <f t="shared" si="148"/>
        <v>18</v>
      </c>
      <c r="U237" s="11">
        <f t="shared" si="149"/>
        <v>36</v>
      </c>
      <c r="V237" s="98">
        <v>43860</v>
      </c>
    </row>
    <row r="238" spans="1:23" x14ac:dyDescent="0.15">
      <c r="A238" s="26"/>
      <c r="B238" s="8"/>
      <c r="C238" s="9"/>
      <c r="D238" s="10"/>
      <c r="E238" s="49">
        <f t="shared" si="141"/>
        <v>0</v>
      </c>
      <c r="F238" s="12"/>
      <c r="G238" s="9"/>
      <c r="H238" s="10"/>
      <c r="I238" s="49">
        <f t="shared" si="142"/>
        <v>0</v>
      </c>
      <c r="J238" s="11">
        <f t="shared" si="143"/>
        <v>0</v>
      </c>
      <c r="K238" s="62"/>
      <c r="L238" s="26" t="s">
        <v>295</v>
      </c>
      <c r="M238" s="13">
        <v>6</v>
      </c>
      <c r="N238" s="14">
        <v>4</v>
      </c>
      <c r="O238" s="15">
        <v>8</v>
      </c>
      <c r="P238" s="49">
        <f>SUM(M238:O238)</f>
        <v>18</v>
      </c>
      <c r="Q238" s="16">
        <v>6</v>
      </c>
      <c r="R238" s="14">
        <v>4</v>
      </c>
      <c r="S238" s="15">
        <v>8</v>
      </c>
      <c r="T238" s="49">
        <f>SUM(Q238:S238)</f>
        <v>18</v>
      </c>
      <c r="U238" s="11">
        <f>P238+T238</f>
        <v>36</v>
      </c>
      <c r="V238" s="98">
        <v>43861</v>
      </c>
    </row>
    <row r="239" spans="1:23" x14ac:dyDescent="0.15">
      <c r="A239" s="24"/>
      <c r="B239" s="8"/>
      <c r="C239" s="9"/>
      <c r="D239" s="10"/>
      <c r="E239" s="49">
        <f t="shared" si="141"/>
        <v>0</v>
      </c>
      <c r="F239" s="12"/>
      <c r="G239" s="9"/>
      <c r="H239" s="10"/>
      <c r="I239" s="49">
        <f t="shared" si="142"/>
        <v>0</v>
      </c>
      <c r="J239" s="11">
        <f t="shared" si="143"/>
        <v>0</v>
      </c>
      <c r="K239" s="62"/>
      <c r="L239" s="26" t="s">
        <v>296</v>
      </c>
      <c r="M239" s="8">
        <v>1</v>
      </c>
      <c r="N239" s="9"/>
      <c r="O239" s="10"/>
      <c r="P239" s="49">
        <f t="shared" ref="P239" si="150">SUM(M239:O239)</f>
        <v>1</v>
      </c>
      <c r="Q239" s="8">
        <v>1</v>
      </c>
      <c r="R239" s="9"/>
      <c r="S239" s="10"/>
      <c r="T239" s="49">
        <f t="shared" ref="T239" si="151">SUM(Q239:S239)</f>
        <v>1</v>
      </c>
      <c r="U239" s="11">
        <f t="shared" ref="U239" si="152">P239+T239</f>
        <v>2</v>
      </c>
      <c r="V239" s="98">
        <v>43862</v>
      </c>
    </row>
    <row r="240" spans="1:23" x14ac:dyDescent="0.15">
      <c r="B240" s="13"/>
      <c r="C240" s="14"/>
      <c r="D240" s="15"/>
      <c r="E240" s="49">
        <f t="shared" si="141"/>
        <v>0</v>
      </c>
      <c r="F240" s="16"/>
      <c r="G240" s="14"/>
      <c r="H240" s="15"/>
      <c r="I240" s="49">
        <f t="shared" si="142"/>
        <v>0</v>
      </c>
      <c r="J240" s="11">
        <f t="shared" si="143"/>
        <v>0</v>
      </c>
      <c r="K240" s="65"/>
      <c r="L240" s="26"/>
      <c r="M240" s="8"/>
      <c r="N240" s="9"/>
      <c r="O240" s="10"/>
      <c r="P240" s="49">
        <f t="shared" si="147"/>
        <v>0</v>
      </c>
      <c r="Q240" s="12"/>
      <c r="R240" s="9"/>
      <c r="S240" s="10"/>
      <c r="T240" s="49">
        <f t="shared" si="148"/>
        <v>0</v>
      </c>
      <c r="U240" s="11">
        <f t="shared" si="149"/>
        <v>0</v>
      </c>
    </row>
    <row r="241" spans="1:22" x14ac:dyDescent="0.15">
      <c r="A241" s="26"/>
      <c r="B241" s="8"/>
      <c r="C241" s="9"/>
      <c r="D241" s="10"/>
      <c r="E241" s="49">
        <f t="shared" si="141"/>
        <v>0</v>
      </c>
      <c r="F241" s="12"/>
      <c r="G241" s="9"/>
      <c r="H241" s="10"/>
      <c r="I241" s="49">
        <f t="shared" si="142"/>
        <v>0</v>
      </c>
      <c r="J241" s="11">
        <f t="shared" si="143"/>
        <v>0</v>
      </c>
      <c r="K241" s="62"/>
      <c r="L241" s="26"/>
      <c r="M241" s="8"/>
      <c r="N241" s="9"/>
      <c r="O241" s="10"/>
      <c r="P241" s="49">
        <f t="shared" si="147"/>
        <v>0</v>
      </c>
      <c r="Q241" s="8"/>
      <c r="R241" s="9"/>
      <c r="S241" s="10"/>
      <c r="T241" s="49">
        <f t="shared" si="148"/>
        <v>0</v>
      </c>
      <c r="U241" s="11">
        <f t="shared" si="149"/>
        <v>0</v>
      </c>
      <c r="V241" s="100"/>
    </row>
    <row r="242" spans="1:22" x14ac:dyDescent="0.15">
      <c r="A242" s="26"/>
      <c r="B242" s="8"/>
      <c r="C242" s="9"/>
      <c r="D242" s="10"/>
      <c r="E242" s="49">
        <f t="shared" si="141"/>
        <v>0</v>
      </c>
      <c r="F242" s="12"/>
      <c r="G242" s="9"/>
      <c r="H242" s="10"/>
      <c r="I242" s="49">
        <f t="shared" si="142"/>
        <v>0</v>
      </c>
      <c r="J242" s="11">
        <f t="shared" si="143"/>
        <v>0</v>
      </c>
      <c r="K242" s="62"/>
      <c r="L242" s="26"/>
      <c r="M242" s="8"/>
      <c r="N242" s="9"/>
      <c r="O242" s="10"/>
      <c r="P242" s="49">
        <f t="shared" si="147"/>
        <v>0</v>
      </c>
      <c r="Q242" s="12"/>
      <c r="R242" s="9"/>
      <c r="S242" s="10"/>
      <c r="T242" s="49">
        <f t="shared" si="148"/>
        <v>0</v>
      </c>
      <c r="U242" s="11">
        <f t="shared" si="149"/>
        <v>0</v>
      </c>
      <c r="V242" s="98"/>
    </row>
    <row r="243" spans="1:22" x14ac:dyDescent="0.15">
      <c r="A243" s="26"/>
      <c r="B243" s="8"/>
      <c r="C243" s="9"/>
      <c r="D243" s="10"/>
      <c r="E243" s="49">
        <f t="shared" si="141"/>
        <v>0</v>
      </c>
      <c r="F243" s="12"/>
      <c r="G243" s="9"/>
      <c r="H243" s="10"/>
      <c r="I243" s="49">
        <f t="shared" si="142"/>
        <v>0</v>
      </c>
      <c r="J243" s="11">
        <f t="shared" si="143"/>
        <v>0</v>
      </c>
      <c r="K243" s="62"/>
      <c r="L243" s="26" t="s">
        <v>219</v>
      </c>
      <c r="M243" s="8"/>
      <c r="N243" s="9"/>
      <c r="O243" s="10"/>
      <c r="P243" s="49">
        <f t="shared" ref="P243:P244" si="153">SUM(M243:O243)</f>
        <v>0</v>
      </c>
      <c r="Q243" s="8"/>
      <c r="R243" s="9"/>
      <c r="S243" s="10"/>
      <c r="T243" s="49">
        <f t="shared" ref="T243:T244" si="154">SUM(Q243:S243)</f>
        <v>0</v>
      </c>
      <c r="U243" s="11">
        <f t="shared" ref="U243:U244" si="155">P243+T243</f>
        <v>0</v>
      </c>
      <c r="V243" s="100" t="s">
        <v>220</v>
      </c>
    </row>
    <row r="244" spans="1:22" ht="14.25" thickBot="1" x14ac:dyDescent="0.2">
      <c r="A244" s="23"/>
      <c r="B244" s="13"/>
      <c r="C244" s="14"/>
      <c r="D244" s="15"/>
      <c r="E244" s="49">
        <f>SUM(B244:D244)</f>
        <v>0</v>
      </c>
      <c r="F244" s="16"/>
      <c r="G244" s="14"/>
      <c r="H244" s="15"/>
      <c r="I244" s="49">
        <f>SUM(F244:H244)</f>
        <v>0</v>
      </c>
      <c r="J244" s="11">
        <f>E244+I244</f>
        <v>0</v>
      </c>
      <c r="K244" s="62"/>
      <c r="L244" s="26" t="s">
        <v>196</v>
      </c>
      <c r="M244" s="8"/>
      <c r="N244" s="9"/>
      <c r="O244" s="10"/>
      <c r="P244" s="49">
        <f t="shared" si="153"/>
        <v>0</v>
      </c>
      <c r="Q244" s="12"/>
      <c r="R244" s="9"/>
      <c r="S244" s="10"/>
      <c r="T244" s="49">
        <f t="shared" si="154"/>
        <v>0</v>
      </c>
      <c r="U244" s="11">
        <f t="shared" si="155"/>
        <v>0</v>
      </c>
      <c r="V244" s="98" t="s">
        <v>197</v>
      </c>
    </row>
    <row r="245" spans="1:22" ht="14.25" thickBot="1" x14ac:dyDescent="0.2">
      <c r="A245" s="41" t="s">
        <v>17</v>
      </c>
      <c r="B245" s="46">
        <f>SUM(B219:B244)</f>
        <v>0</v>
      </c>
      <c r="C245" s="47">
        <f t="shared" ref="C245:D245" si="156">SUM(C219:C244)</f>
        <v>1</v>
      </c>
      <c r="D245" s="58">
        <f t="shared" si="156"/>
        <v>0</v>
      </c>
      <c r="E245" s="45">
        <f t="shared" ref="E245" si="157">SUM(B245:D245)</f>
        <v>1</v>
      </c>
      <c r="F245" s="46">
        <f>SUM(F219:F244)</f>
        <v>0</v>
      </c>
      <c r="G245" s="47">
        <f t="shared" ref="G245:H245" si="158">SUM(G219:G244)</f>
        <v>1</v>
      </c>
      <c r="H245" s="58">
        <f t="shared" si="158"/>
        <v>0</v>
      </c>
      <c r="I245" s="45">
        <f t="shared" ref="I245" si="159">SUM(F245:H245)</f>
        <v>1</v>
      </c>
      <c r="J245" s="45">
        <f>E245+I245</f>
        <v>2</v>
      </c>
      <c r="K245" s="40"/>
      <c r="L245" s="41" t="s">
        <v>17</v>
      </c>
      <c r="M245" s="46">
        <f>SUM(M219:M244)</f>
        <v>64</v>
      </c>
      <c r="N245" s="47">
        <f t="shared" ref="N245:O245" si="160">SUM(N219:N244)</f>
        <v>71</v>
      </c>
      <c r="O245" s="58">
        <f t="shared" si="160"/>
        <v>69</v>
      </c>
      <c r="P245" s="45">
        <f t="shared" si="147"/>
        <v>204</v>
      </c>
      <c r="Q245" s="46">
        <f>SUM(Q219:Q244)</f>
        <v>64</v>
      </c>
      <c r="R245" s="47">
        <f t="shared" ref="R245:S245" si="161">SUM(R219:R244)</f>
        <v>71</v>
      </c>
      <c r="S245" s="58">
        <f t="shared" si="161"/>
        <v>69</v>
      </c>
      <c r="T245" s="45">
        <f t="shared" si="148"/>
        <v>204</v>
      </c>
      <c r="U245" s="45">
        <f>P245+T245</f>
        <v>408</v>
      </c>
    </row>
    <row r="246" spans="1:22" ht="14.25" thickBot="1" x14ac:dyDescent="0.2">
      <c r="A246" s="22" t="s">
        <v>16</v>
      </c>
      <c r="B246" s="50">
        <f>B218-B245</f>
        <v>2</v>
      </c>
      <c r="C246" s="56">
        <f t="shared" ref="C246:D246" si="162">C218-C245</f>
        <v>3</v>
      </c>
      <c r="D246" s="57">
        <f t="shared" si="162"/>
        <v>1</v>
      </c>
      <c r="E246" s="55">
        <f>SUM(B246:D246)</f>
        <v>6</v>
      </c>
      <c r="F246" s="50">
        <f>F218-F245</f>
        <v>2</v>
      </c>
      <c r="G246" s="56">
        <f t="shared" ref="G246:H246" si="163">G218-G245</f>
        <v>3</v>
      </c>
      <c r="H246" s="57">
        <f t="shared" si="163"/>
        <v>1</v>
      </c>
      <c r="I246" s="55">
        <f>SUM(F246:H246)</f>
        <v>6</v>
      </c>
      <c r="J246" s="31">
        <f>E246+I246</f>
        <v>12</v>
      </c>
      <c r="L246" s="22" t="s">
        <v>16</v>
      </c>
      <c r="M246" s="50">
        <f>M218-M245</f>
        <v>109</v>
      </c>
      <c r="N246" s="56">
        <f t="shared" ref="N246:O246" si="164">N218-N245</f>
        <v>203</v>
      </c>
      <c r="O246" s="57">
        <f t="shared" si="164"/>
        <v>149</v>
      </c>
      <c r="P246" s="55">
        <f>SUM(M246:O246)</f>
        <v>461</v>
      </c>
      <c r="Q246" s="50">
        <f>Q218-Q245</f>
        <v>109</v>
      </c>
      <c r="R246" s="56">
        <f t="shared" ref="R246:S246" si="165">R218-R245</f>
        <v>203</v>
      </c>
      <c r="S246" s="57">
        <f t="shared" si="165"/>
        <v>149</v>
      </c>
      <c r="T246" s="55">
        <f>SUM(Q246:S246)</f>
        <v>461</v>
      </c>
      <c r="U246" s="31">
        <f>P246+T246</f>
        <v>922</v>
      </c>
    </row>
    <row r="247" spans="1:22" ht="19.5" thickBot="1" x14ac:dyDescent="0.25">
      <c r="A247" s="3" t="s">
        <v>20</v>
      </c>
      <c r="B247" s="1"/>
      <c r="C247" s="1"/>
      <c r="D247" s="1"/>
      <c r="E247" s="1"/>
      <c r="F247" s="1"/>
      <c r="G247" s="1"/>
      <c r="H247" s="1"/>
      <c r="I247" s="1"/>
      <c r="J247" s="1"/>
      <c r="L247" s="3" t="s">
        <v>21</v>
      </c>
      <c r="M247" s="1"/>
      <c r="N247" s="1"/>
      <c r="O247" s="1"/>
      <c r="P247" s="1"/>
      <c r="Q247" s="1"/>
      <c r="R247" s="1"/>
      <c r="S247" s="1"/>
      <c r="T247" s="1"/>
      <c r="U247" s="1"/>
    </row>
    <row r="248" spans="1:22" ht="14.25" thickBot="1" x14ac:dyDescent="0.2">
      <c r="A248" s="7"/>
      <c r="B248" s="176" t="s">
        <v>22</v>
      </c>
      <c r="C248" s="177"/>
      <c r="D248" s="177"/>
      <c r="E248" s="178"/>
      <c r="F248" s="176" t="s">
        <v>23</v>
      </c>
      <c r="G248" s="177"/>
      <c r="H248" s="177"/>
      <c r="I248" s="179"/>
      <c r="J248" s="174" t="s">
        <v>0</v>
      </c>
      <c r="L248" s="7"/>
      <c r="M248" s="169" t="s">
        <v>22</v>
      </c>
      <c r="N248" s="170"/>
      <c r="O248" s="170"/>
      <c r="P248" s="171"/>
      <c r="Q248" s="169" t="s">
        <v>23</v>
      </c>
      <c r="R248" s="170"/>
      <c r="S248" s="170"/>
      <c r="T248" s="171"/>
      <c r="U248" s="174" t="s">
        <v>0</v>
      </c>
    </row>
    <row r="249" spans="1:22" ht="14.25" thickBot="1" x14ac:dyDescent="0.2">
      <c r="A249" s="7" t="s">
        <v>1</v>
      </c>
      <c r="B249" s="4" t="s">
        <v>2</v>
      </c>
      <c r="C249" s="5" t="s">
        <v>3</v>
      </c>
      <c r="D249" s="6" t="s">
        <v>4</v>
      </c>
      <c r="E249" s="7" t="s">
        <v>5</v>
      </c>
      <c r="F249" s="4" t="s">
        <v>2</v>
      </c>
      <c r="G249" s="5" t="s">
        <v>3</v>
      </c>
      <c r="H249" s="6" t="s">
        <v>4</v>
      </c>
      <c r="I249" s="7" t="s">
        <v>5</v>
      </c>
      <c r="J249" s="175"/>
      <c r="L249" s="7" t="s">
        <v>1</v>
      </c>
      <c r="M249" s="4" t="s">
        <v>2</v>
      </c>
      <c r="N249" s="5" t="s">
        <v>3</v>
      </c>
      <c r="O249" s="6" t="s">
        <v>4</v>
      </c>
      <c r="P249" s="7" t="s">
        <v>5</v>
      </c>
      <c r="Q249" s="4" t="s">
        <v>2</v>
      </c>
      <c r="R249" s="5" t="s">
        <v>3</v>
      </c>
      <c r="S249" s="6" t="s">
        <v>4</v>
      </c>
      <c r="T249" s="7" t="s">
        <v>5</v>
      </c>
      <c r="U249" s="175"/>
    </row>
    <row r="250" spans="1:22" ht="14.25" thickBot="1" x14ac:dyDescent="0.2">
      <c r="A250" s="27" t="s">
        <v>16</v>
      </c>
      <c r="B250" s="38">
        <f>B246</f>
        <v>2</v>
      </c>
      <c r="C250" s="39">
        <f>C246</f>
        <v>3</v>
      </c>
      <c r="D250" s="2">
        <f>D246</f>
        <v>1</v>
      </c>
      <c r="E250" s="36">
        <f>SUM(B250:D250)</f>
        <v>6</v>
      </c>
      <c r="F250" s="38">
        <f>F246</f>
        <v>2</v>
      </c>
      <c r="G250" s="39">
        <f>G246</f>
        <v>3</v>
      </c>
      <c r="H250" s="2">
        <f>H246</f>
        <v>1</v>
      </c>
      <c r="I250" s="36">
        <f>SUM(F250:H250)</f>
        <v>6</v>
      </c>
      <c r="J250" s="36">
        <f>E250+I250</f>
        <v>12</v>
      </c>
      <c r="K250" s="63"/>
      <c r="L250" s="27" t="s">
        <v>16</v>
      </c>
      <c r="M250" s="38">
        <f>M246</f>
        <v>109</v>
      </c>
      <c r="N250" s="39">
        <f>N246</f>
        <v>203</v>
      </c>
      <c r="O250" s="2">
        <f>O246</f>
        <v>149</v>
      </c>
      <c r="P250" s="36">
        <f>SUM(M250:O250)</f>
        <v>461</v>
      </c>
      <c r="Q250" s="38">
        <f>Q246</f>
        <v>109</v>
      </c>
      <c r="R250" s="39">
        <f>R246</f>
        <v>203</v>
      </c>
      <c r="S250" s="2">
        <f>S246</f>
        <v>149</v>
      </c>
      <c r="T250" s="36">
        <f>SUM(Q250:S250)</f>
        <v>461</v>
      </c>
      <c r="U250" s="36">
        <f>P250+T250</f>
        <v>922</v>
      </c>
    </row>
    <row r="251" spans="1:22" x14ac:dyDescent="0.15">
      <c r="A251" s="25" t="s">
        <v>311</v>
      </c>
      <c r="B251" s="42"/>
      <c r="C251" s="43">
        <v>2</v>
      </c>
      <c r="D251" s="44"/>
      <c r="E251" s="48">
        <f>SUM(B251:D251)</f>
        <v>2</v>
      </c>
      <c r="F251" s="59"/>
      <c r="G251" s="43">
        <v>2</v>
      </c>
      <c r="H251" s="60"/>
      <c r="I251" s="48">
        <f>SUM(F251:H251)</f>
        <v>2</v>
      </c>
      <c r="J251" s="48">
        <f>E251+I251</f>
        <v>4</v>
      </c>
      <c r="K251" s="62">
        <v>43875</v>
      </c>
      <c r="L251" s="25" t="s">
        <v>312</v>
      </c>
      <c r="M251" s="42"/>
      <c r="N251" s="43">
        <v>2</v>
      </c>
      <c r="O251" s="44"/>
      <c r="P251" s="48">
        <f>SUM(M251:O251)</f>
        <v>2</v>
      </c>
      <c r="Q251" s="59"/>
      <c r="R251" s="43">
        <v>2</v>
      </c>
      <c r="S251" s="60"/>
      <c r="T251" s="48">
        <f>SUM(Q251:S251)</f>
        <v>2</v>
      </c>
      <c r="U251" s="48">
        <f>P251+T251</f>
        <v>4</v>
      </c>
      <c r="V251" s="99">
        <v>43876</v>
      </c>
    </row>
    <row r="252" spans="1:22" x14ac:dyDescent="0.15">
      <c r="A252" s="25" t="s">
        <v>52</v>
      </c>
      <c r="B252" s="8"/>
      <c r="C252" s="9"/>
      <c r="D252" s="52">
        <v>1</v>
      </c>
      <c r="E252" s="11">
        <f>SUM(B252:D252)</f>
        <v>1</v>
      </c>
      <c r="F252" s="12"/>
      <c r="G252" s="9"/>
      <c r="H252" s="10">
        <v>1</v>
      </c>
      <c r="I252" s="11">
        <f>SUM(F252:H252)</f>
        <v>1</v>
      </c>
      <c r="J252" s="11">
        <f>E252+I252</f>
        <v>2</v>
      </c>
      <c r="K252" s="62">
        <v>43902</v>
      </c>
      <c r="L252" s="25" t="s">
        <v>312</v>
      </c>
      <c r="M252" s="8">
        <v>24</v>
      </c>
      <c r="N252" s="9">
        <v>10</v>
      </c>
      <c r="O252" s="52">
        <v>10</v>
      </c>
      <c r="P252" s="11">
        <f>SUM(M252:O252)</f>
        <v>44</v>
      </c>
      <c r="Q252" s="8">
        <v>24</v>
      </c>
      <c r="R252" s="9">
        <v>10</v>
      </c>
      <c r="S252" s="52">
        <v>10</v>
      </c>
      <c r="T252" s="11">
        <f>SUM(Q252:S252)</f>
        <v>44</v>
      </c>
      <c r="U252" s="11">
        <f>P252+T252</f>
        <v>88</v>
      </c>
      <c r="V252" s="99">
        <v>43952</v>
      </c>
    </row>
    <row r="253" spans="1:22" x14ac:dyDescent="0.15">
      <c r="A253" s="25" t="s">
        <v>331</v>
      </c>
      <c r="B253" s="17">
        <v>24</v>
      </c>
      <c r="C253" s="18">
        <v>10</v>
      </c>
      <c r="D253" s="51">
        <v>10</v>
      </c>
      <c r="E253" s="11">
        <f t="shared" ref="E253:E258" si="166">SUM(B253:D253)</f>
        <v>44</v>
      </c>
      <c r="F253" s="20">
        <v>24</v>
      </c>
      <c r="G253" s="18">
        <v>10</v>
      </c>
      <c r="H253" s="19">
        <v>10</v>
      </c>
      <c r="I253" s="11">
        <f t="shared" ref="I253:I258" si="167">SUM(F253:H253)</f>
        <v>44</v>
      </c>
      <c r="J253" s="11">
        <f t="shared" ref="J253:J258" si="168">E253+I253</f>
        <v>88</v>
      </c>
      <c r="K253" s="62">
        <v>43943</v>
      </c>
      <c r="L253" s="25" t="s">
        <v>312</v>
      </c>
      <c r="M253" s="8"/>
      <c r="N253" s="9"/>
      <c r="O253" s="52">
        <v>1</v>
      </c>
      <c r="P253" s="11">
        <f>SUM(M253:O253)</f>
        <v>1</v>
      </c>
      <c r="Q253" s="8"/>
      <c r="R253" s="9"/>
      <c r="S253" s="52">
        <v>1</v>
      </c>
      <c r="T253" s="11">
        <f>SUM(Q253:S253)</f>
        <v>1</v>
      </c>
      <c r="U253" s="11">
        <f>P253+T253</f>
        <v>2</v>
      </c>
      <c r="V253" s="98">
        <v>44002</v>
      </c>
    </row>
    <row r="254" spans="1:22" x14ac:dyDescent="0.15">
      <c r="A254" s="25" t="s">
        <v>52</v>
      </c>
      <c r="B254" s="8"/>
      <c r="C254" s="9">
        <v>1</v>
      </c>
      <c r="D254" s="52"/>
      <c r="E254" s="11">
        <f t="shared" si="166"/>
        <v>1</v>
      </c>
      <c r="F254" s="12"/>
      <c r="G254" s="9">
        <v>1</v>
      </c>
      <c r="H254" s="10"/>
      <c r="I254" s="11">
        <f t="shared" si="167"/>
        <v>1</v>
      </c>
      <c r="J254" s="11">
        <f t="shared" si="168"/>
        <v>2</v>
      </c>
      <c r="K254" s="62">
        <v>43959</v>
      </c>
      <c r="L254" s="25" t="s">
        <v>10</v>
      </c>
      <c r="M254" s="8"/>
      <c r="N254" s="9"/>
      <c r="O254" s="52"/>
      <c r="P254" s="11">
        <f t="shared" ref="P254:P256" si="169">SUM(M254:O254)</f>
        <v>0</v>
      </c>
      <c r="Q254" s="12"/>
      <c r="R254" s="9"/>
      <c r="S254" s="10"/>
      <c r="T254" s="11">
        <f t="shared" ref="T254:T256" si="170">SUM(Q254:S254)</f>
        <v>0</v>
      </c>
      <c r="U254" s="11">
        <f t="shared" ref="U254:U256" si="171">P254+T254</f>
        <v>0</v>
      </c>
    </row>
    <row r="255" spans="1:22" x14ac:dyDescent="0.15">
      <c r="A255" s="25" t="s">
        <v>52</v>
      </c>
      <c r="B255" s="8"/>
      <c r="C255" s="9"/>
      <c r="D255" s="52">
        <v>1</v>
      </c>
      <c r="E255" s="11">
        <f t="shared" si="166"/>
        <v>1</v>
      </c>
      <c r="F255" s="12"/>
      <c r="G255" s="9"/>
      <c r="H255" s="10">
        <v>1</v>
      </c>
      <c r="I255" s="11">
        <f t="shared" si="167"/>
        <v>1</v>
      </c>
      <c r="J255" s="11">
        <f t="shared" si="168"/>
        <v>2</v>
      </c>
      <c r="K255" s="62">
        <v>43993</v>
      </c>
      <c r="L255" s="25" t="s">
        <v>11</v>
      </c>
      <c r="M255" s="8"/>
      <c r="N255" s="9"/>
      <c r="O255" s="52"/>
      <c r="P255" s="11">
        <f t="shared" si="169"/>
        <v>0</v>
      </c>
      <c r="Q255" s="12"/>
      <c r="R255" s="9"/>
      <c r="S255" s="10"/>
      <c r="T255" s="11">
        <f t="shared" si="170"/>
        <v>0</v>
      </c>
      <c r="U255" s="11">
        <f t="shared" si="171"/>
        <v>0</v>
      </c>
    </row>
    <row r="256" spans="1:22" x14ac:dyDescent="0.15">
      <c r="A256" s="85" t="s">
        <v>334</v>
      </c>
      <c r="B256" s="69"/>
      <c r="C256" s="70"/>
      <c r="D256" s="71"/>
      <c r="E256" s="72">
        <f t="shared" si="166"/>
        <v>0</v>
      </c>
      <c r="F256" s="89">
        <v>1</v>
      </c>
      <c r="G256" s="70"/>
      <c r="H256" s="90"/>
      <c r="I256" s="72">
        <f t="shared" si="167"/>
        <v>1</v>
      </c>
      <c r="J256" s="72">
        <f t="shared" si="168"/>
        <v>1</v>
      </c>
      <c r="K256" s="63">
        <v>44069</v>
      </c>
      <c r="L256" s="25" t="s">
        <v>12</v>
      </c>
      <c r="M256" s="8"/>
      <c r="N256" s="9"/>
      <c r="O256" s="52"/>
      <c r="P256" s="11">
        <f t="shared" si="169"/>
        <v>0</v>
      </c>
      <c r="Q256" s="12"/>
      <c r="R256" s="9"/>
      <c r="S256" s="10"/>
      <c r="T256" s="11">
        <f t="shared" si="170"/>
        <v>0</v>
      </c>
      <c r="U256" s="11">
        <f t="shared" si="171"/>
        <v>0</v>
      </c>
    </row>
    <row r="257" spans="1:23" x14ac:dyDescent="0.15">
      <c r="A257" s="25"/>
      <c r="B257" s="13"/>
      <c r="C257" s="14"/>
      <c r="D257" s="53"/>
      <c r="E257" s="11">
        <f t="shared" si="166"/>
        <v>0</v>
      </c>
      <c r="F257" s="16"/>
      <c r="G257" s="14"/>
      <c r="H257" s="15"/>
      <c r="I257" s="11">
        <f t="shared" si="167"/>
        <v>0</v>
      </c>
      <c r="J257" s="11">
        <f t="shared" si="168"/>
        <v>0</v>
      </c>
      <c r="K257" s="64"/>
      <c r="L257" s="25" t="s">
        <v>13</v>
      </c>
      <c r="M257" s="8"/>
      <c r="N257" s="9"/>
      <c r="O257" s="52"/>
      <c r="P257" s="11">
        <f>SUM(M257:O257)</f>
        <v>0</v>
      </c>
      <c r="Q257" s="8"/>
      <c r="R257" s="9"/>
      <c r="S257" s="52"/>
      <c r="T257" s="11">
        <f>SUM(Q257:S257)</f>
        <v>0</v>
      </c>
      <c r="U257" s="11">
        <f>P257+T257</f>
        <v>0</v>
      </c>
    </row>
    <row r="258" spans="1:23" ht="14.25" thickBot="1" x14ac:dyDescent="0.2">
      <c r="A258" s="25"/>
      <c r="B258" s="32"/>
      <c r="C258" s="33"/>
      <c r="D258" s="54"/>
      <c r="E258" s="61">
        <f t="shared" si="166"/>
        <v>0</v>
      </c>
      <c r="F258" s="34"/>
      <c r="G258" s="34"/>
      <c r="H258" s="37"/>
      <c r="I258" s="61">
        <f t="shared" si="167"/>
        <v>0</v>
      </c>
      <c r="J258" s="21">
        <f t="shared" si="168"/>
        <v>0</v>
      </c>
      <c r="K258" s="62"/>
      <c r="L258" s="25" t="s">
        <v>14</v>
      </c>
      <c r="M258" s="32"/>
      <c r="N258" s="33"/>
      <c r="O258" s="54"/>
      <c r="P258" s="61">
        <f t="shared" ref="P258" si="172">SUM(M258:O258)</f>
        <v>0</v>
      </c>
      <c r="Q258" s="34"/>
      <c r="R258" s="34"/>
      <c r="S258" s="37"/>
      <c r="T258" s="61">
        <f t="shared" ref="T258" si="173">SUM(Q258:S258)</f>
        <v>0</v>
      </c>
      <c r="U258" s="21">
        <f t="shared" ref="U258" si="174">P258+T258</f>
        <v>0</v>
      </c>
    </row>
    <row r="259" spans="1:23" ht="14.25" thickBot="1" x14ac:dyDescent="0.2">
      <c r="A259" s="35" t="s">
        <v>15</v>
      </c>
      <c r="B259" s="28">
        <f>SUM(B250:B258)</f>
        <v>26</v>
      </c>
      <c r="C259" s="29">
        <f>SUM(C250:C258)</f>
        <v>16</v>
      </c>
      <c r="D259" s="30">
        <f>SUM(D250:D258)</f>
        <v>13</v>
      </c>
      <c r="E259" s="31">
        <f>SUM(B259:D259)</f>
        <v>55</v>
      </c>
      <c r="F259" s="28">
        <f>SUM(F250:F258)</f>
        <v>27</v>
      </c>
      <c r="G259" s="29">
        <f>SUM(G250:G258)</f>
        <v>16</v>
      </c>
      <c r="H259" s="30">
        <f>SUM(H250:H258)</f>
        <v>13</v>
      </c>
      <c r="I259" s="31">
        <f>SUM(F259:H259)</f>
        <v>56</v>
      </c>
      <c r="J259" s="31">
        <f>E259+I259</f>
        <v>111</v>
      </c>
      <c r="L259" s="35" t="s">
        <v>15</v>
      </c>
      <c r="M259" s="28">
        <f>SUM(M250:M258)</f>
        <v>133</v>
      </c>
      <c r="N259" s="29">
        <f>SUM(N250:N258)</f>
        <v>215</v>
      </c>
      <c r="O259" s="30">
        <f>SUM(O250:O258)</f>
        <v>160</v>
      </c>
      <c r="P259" s="31">
        <f>SUM(M259:O259)</f>
        <v>508</v>
      </c>
      <c r="Q259" s="28">
        <f>SUM(Q250:Q258)</f>
        <v>133</v>
      </c>
      <c r="R259" s="29">
        <f>SUM(R250:R258)</f>
        <v>215</v>
      </c>
      <c r="S259" s="30">
        <f>SUM(S250:S258)</f>
        <v>160</v>
      </c>
      <c r="T259" s="31">
        <f>SUM(Q259:S259)</f>
        <v>508</v>
      </c>
      <c r="U259" s="31">
        <f>P259+T259</f>
        <v>1016</v>
      </c>
    </row>
    <row r="260" spans="1:23" x14ac:dyDescent="0.15">
      <c r="A260" s="26" t="s">
        <v>83</v>
      </c>
      <c r="B260" s="13"/>
      <c r="C260" s="14">
        <v>2</v>
      </c>
      <c r="D260" s="15"/>
      <c r="E260" s="49">
        <f>SUM(B260:D260)</f>
        <v>2</v>
      </c>
      <c r="F260" s="16"/>
      <c r="G260" s="14">
        <v>2</v>
      </c>
      <c r="H260" s="15"/>
      <c r="I260" s="49">
        <f>SUM(F260:H260)</f>
        <v>2</v>
      </c>
      <c r="J260" s="11">
        <f>E260+I260</f>
        <v>4</v>
      </c>
      <c r="K260" s="62">
        <v>43876</v>
      </c>
      <c r="L260" s="26" t="s">
        <v>298</v>
      </c>
      <c r="M260" s="8">
        <v>5</v>
      </c>
      <c r="N260" s="9">
        <v>4</v>
      </c>
      <c r="O260" s="10"/>
      <c r="P260" s="49">
        <f t="shared" ref="P260:P261" si="175">SUM(M260:O260)</f>
        <v>9</v>
      </c>
      <c r="Q260" s="12">
        <v>5</v>
      </c>
      <c r="R260" s="9">
        <v>4</v>
      </c>
      <c r="S260" s="10"/>
      <c r="T260" s="49">
        <f t="shared" ref="T260:T261" si="176">SUM(Q260:S260)</f>
        <v>9</v>
      </c>
      <c r="U260" s="11">
        <f t="shared" ref="U260:U261" si="177">P260+T260</f>
        <v>18</v>
      </c>
      <c r="V260" s="98">
        <v>43864</v>
      </c>
    </row>
    <row r="261" spans="1:23" x14ac:dyDescent="0.15">
      <c r="A261" s="26" t="s">
        <v>327</v>
      </c>
      <c r="B261" s="8"/>
      <c r="C261" s="9">
        <v>1</v>
      </c>
      <c r="D261" s="10"/>
      <c r="E261" s="49">
        <f t="shared" ref="E261:E284" si="178">SUM(B261:D261)</f>
        <v>1</v>
      </c>
      <c r="F261" s="12"/>
      <c r="G261" s="9">
        <v>1</v>
      </c>
      <c r="H261" s="10"/>
      <c r="I261" s="49">
        <f t="shared" ref="I261:I284" si="179">SUM(F261:H261)</f>
        <v>1</v>
      </c>
      <c r="J261" s="11">
        <f t="shared" ref="J261:J284" si="180">E261+I261</f>
        <v>2</v>
      </c>
      <c r="K261" s="62">
        <v>43923</v>
      </c>
      <c r="L261" s="26" t="s">
        <v>299</v>
      </c>
      <c r="M261" s="8"/>
      <c r="N261" s="9">
        <v>2</v>
      </c>
      <c r="O261" s="10">
        <v>1</v>
      </c>
      <c r="P261" s="49">
        <f t="shared" si="175"/>
        <v>3</v>
      </c>
      <c r="Q261" s="12"/>
      <c r="R261" s="9">
        <v>2</v>
      </c>
      <c r="S261" s="10">
        <v>1</v>
      </c>
      <c r="T261" s="49">
        <f t="shared" si="176"/>
        <v>3</v>
      </c>
      <c r="U261" s="11">
        <f t="shared" si="177"/>
        <v>6</v>
      </c>
      <c r="V261" s="98">
        <v>43865</v>
      </c>
      <c r="W261" s="66"/>
    </row>
    <row r="262" spans="1:23" x14ac:dyDescent="0.15">
      <c r="A262" s="26" t="s">
        <v>83</v>
      </c>
      <c r="B262" s="8">
        <v>24</v>
      </c>
      <c r="C262" s="9">
        <v>10</v>
      </c>
      <c r="D262" s="10">
        <v>10</v>
      </c>
      <c r="E262" s="49">
        <f t="shared" si="178"/>
        <v>44</v>
      </c>
      <c r="F262" s="12">
        <v>24</v>
      </c>
      <c r="G262" s="9">
        <v>10</v>
      </c>
      <c r="H262" s="10">
        <v>10</v>
      </c>
      <c r="I262" s="49">
        <f t="shared" si="179"/>
        <v>44</v>
      </c>
      <c r="J262" s="11">
        <f t="shared" si="180"/>
        <v>88</v>
      </c>
      <c r="K262" s="62">
        <v>43952</v>
      </c>
      <c r="L262" s="26" t="s">
        <v>301</v>
      </c>
      <c r="M262" s="13">
        <v>5</v>
      </c>
      <c r="N262" s="14">
        <v>12</v>
      </c>
      <c r="O262" s="15">
        <v>1</v>
      </c>
      <c r="P262" s="49">
        <f>SUM(M262:O262)</f>
        <v>18</v>
      </c>
      <c r="Q262" s="16">
        <v>5</v>
      </c>
      <c r="R262" s="14">
        <v>12</v>
      </c>
      <c r="S262" s="15">
        <v>1</v>
      </c>
      <c r="T262" s="49">
        <f>SUM(Q262:S262)</f>
        <v>18</v>
      </c>
      <c r="U262" s="11">
        <f>P262+T262</f>
        <v>36</v>
      </c>
      <c r="V262" s="98">
        <v>43866</v>
      </c>
    </row>
    <row r="263" spans="1:23" x14ac:dyDescent="0.15">
      <c r="A263" s="26" t="s">
        <v>83</v>
      </c>
      <c r="B263" s="8"/>
      <c r="C263" s="9"/>
      <c r="D263" s="10">
        <v>1</v>
      </c>
      <c r="E263" s="49">
        <f t="shared" si="178"/>
        <v>1</v>
      </c>
      <c r="F263" s="12"/>
      <c r="G263" s="9"/>
      <c r="H263" s="10">
        <v>1</v>
      </c>
      <c r="I263" s="49">
        <f t="shared" si="179"/>
        <v>1</v>
      </c>
      <c r="J263" s="11">
        <f t="shared" si="180"/>
        <v>2</v>
      </c>
      <c r="K263" s="62">
        <v>44002</v>
      </c>
      <c r="L263" s="26" t="s">
        <v>302</v>
      </c>
      <c r="M263" s="8"/>
      <c r="N263" s="9">
        <v>1</v>
      </c>
      <c r="O263" s="10">
        <v>2</v>
      </c>
      <c r="P263" s="49">
        <f t="shared" ref="P263:P275" si="181">SUM(M263:O263)</f>
        <v>3</v>
      </c>
      <c r="Q263" s="12"/>
      <c r="R263" s="9">
        <v>1</v>
      </c>
      <c r="S263" s="10">
        <v>2</v>
      </c>
      <c r="T263" s="49">
        <f t="shared" ref="T263:T275" si="182">SUM(Q263:S263)</f>
        <v>3</v>
      </c>
      <c r="U263" s="11">
        <f t="shared" ref="U263:U275" si="183">P263+T263</f>
        <v>6</v>
      </c>
      <c r="V263" s="98">
        <v>43868</v>
      </c>
    </row>
    <row r="264" spans="1:23" x14ac:dyDescent="0.15">
      <c r="A264" s="26" t="s">
        <v>333</v>
      </c>
      <c r="B264" s="8"/>
      <c r="C264" s="9">
        <v>1</v>
      </c>
      <c r="D264" s="10"/>
      <c r="E264" s="49">
        <f t="shared" si="178"/>
        <v>1</v>
      </c>
      <c r="F264" s="12"/>
      <c r="G264" s="9">
        <v>1</v>
      </c>
      <c r="H264" s="10"/>
      <c r="I264" s="49">
        <f t="shared" si="179"/>
        <v>1</v>
      </c>
      <c r="J264" s="11">
        <f t="shared" si="180"/>
        <v>2</v>
      </c>
      <c r="K264" s="62">
        <v>44034</v>
      </c>
      <c r="L264" s="26" t="s">
        <v>303</v>
      </c>
      <c r="M264" s="8"/>
      <c r="N264" s="9">
        <v>10</v>
      </c>
      <c r="O264" s="10">
        <v>10</v>
      </c>
      <c r="P264" s="49">
        <f t="shared" si="181"/>
        <v>20</v>
      </c>
      <c r="Q264" s="12"/>
      <c r="R264" s="9">
        <v>10</v>
      </c>
      <c r="S264" s="10">
        <v>10</v>
      </c>
      <c r="T264" s="49">
        <f t="shared" si="182"/>
        <v>20</v>
      </c>
      <c r="U264" s="11">
        <f t="shared" si="183"/>
        <v>40</v>
      </c>
      <c r="V264" s="98">
        <v>43868</v>
      </c>
    </row>
    <row r="265" spans="1:23" x14ac:dyDescent="0.15">
      <c r="A265" s="26" t="s">
        <v>109</v>
      </c>
      <c r="B265" s="8"/>
      <c r="C265" s="9">
        <v>1</v>
      </c>
      <c r="D265" s="10"/>
      <c r="E265" s="49">
        <f t="shared" si="178"/>
        <v>1</v>
      </c>
      <c r="F265" s="12"/>
      <c r="G265" s="9">
        <v>1</v>
      </c>
      <c r="H265" s="10"/>
      <c r="I265" s="49">
        <f t="shared" si="179"/>
        <v>1</v>
      </c>
      <c r="J265" s="11">
        <f t="shared" si="180"/>
        <v>2</v>
      </c>
      <c r="K265" s="62">
        <v>44113</v>
      </c>
      <c r="L265" s="26" t="s">
        <v>305</v>
      </c>
      <c r="M265" s="8"/>
      <c r="N265" s="9">
        <v>3</v>
      </c>
      <c r="O265" s="10"/>
      <c r="P265" s="49">
        <f t="shared" si="181"/>
        <v>3</v>
      </c>
      <c r="Q265" s="12"/>
      <c r="R265" s="9">
        <v>3</v>
      </c>
      <c r="S265" s="10"/>
      <c r="T265" s="49">
        <f t="shared" si="182"/>
        <v>3</v>
      </c>
      <c r="U265" s="11">
        <f t="shared" si="183"/>
        <v>6</v>
      </c>
      <c r="V265" s="98">
        <v>43871</v>
      </c>
    </row>
    <row r="266" spans="1:23" x14ac:dyDescent="0.15">
      <c r="A266" s="26"/>
      <c r="B266" s="8"/>
      <c r="C266" s="9"/>
      <c r="D266" s="10"/>
      <c r="E266" s="49">
        <f t="shared" si="178"/>
        <v>0</v>
      </c>
      <c r="F266" s="12"/>
      <c r="G266" s="9"/>
      <c r="H266" s="10"/>
      <c r="I266" s="49">
        <f t="shared" si="179"/>
        <v>0</v>
      </c>
      <c r="J266" s="11">
        <f t="shared" si="180"/>
        <v>0</v>
      </c>
      <c r="K266" s="62"/>
      <c r="L266" s="26" t="s">
        <v>306</v>
      </c>
      <c r="M266" s="8">
        <v>4</v>
      </c>
      <c r="N266" s="9">
        <v>3</v>
      </c>
      <c r="O266" s="10">
        <v>4</v>
      </c>
      <c r="P266" s="49">
        <f t="shared" si="181"/>
        <v>11</v>
      </c>
      <c r="Q266" s="12">
        <v>4</v>
      </c>
      <c r="R266" s="9">
        <v>3</v>
      </c>
      <c r="S266" s="10">
        <v>4</v>
      </c>
      <c r="T266" s="49">
        <f t="shared" si="182"/>
        <v>11</v>
      </c>
      <c r="U266" s="11">
        <f t="shared" si="183"/>
        <v>22</v>
      </c>
      <c r="V266" s="98">
        <v>43873</v>
      </c>
    </row>
    <row r="267" spans="1:23" x14ac:dyDescent="0.15">
      <c r="A267" s="26"/>
      <c r="B267" s="8"/>
      <c r="C267" s="9"/>
      <c r="D267" s="10"/>
      <c r="E267" s="49">
        <f t="shared" si="178"/>
        <v>0</v>
      </c>
      <c r="F267" s="12"/>
      <c r="G267" s="9"/>
      <c r="H267" s="10"/>
      <c r="I267" s="49">
        <f t="shared" si="179"/>
        <v>0</v>
      </c>
      <c r="J267" s="11">
        <f t="shared" si="180"/>
        <v>0</v>
      </c>
      <c r="K267" s="62"/>
      <c r="L267" s="26" t="s">
        <v>307</v>
      </c>
      <c r="M267" s="8">
        <v>1</v>
      </c>
      <c r="N267" s="9">
        <v>2</v>
      </c>
      <c r="O267" s="10">
        <v>1</v>
      </c>
      <c r="P267" s="49">
        <f t="shared" si="181"/>
        <v>4</v>
      </c>
      <c r="Q267" s="12">
        <v>1</v>
      </c>
      <c r="R267" s="9">
        <v>2</v>
      </c>
      <c r="S267" s="10">
        <v>1</v>
      </c>
      <c r="T267" s="49">
        <f t="shared" si="182"/>
        <v>4</v>
      </c>
      <c r="U267" s="11">
        <f t="shared" si="183"/>
        <v>8</v>
      </c>
      <c r="V267" s="98">
        <v>43874</v>
      </c>
    </row>
    <row r="268" spans="1:23" x14ac:dyDescent="0.15">
      <c r="A268" s="26"/>
      <c r="B268" s="8"/>
      <c r="C268" s="9"/>
      <c r="D268" s="10"/>
      <c r="E268" s="49">
        <f t="shared" si="178"/>
        <v>0</v>
      </c>
      <c r="F268" s="12"/>
      <c r="G268" s="9"/>
      <c r="H268" s="10"/>
      <c r="I268" s="49">
        <f t="shared" si="179"/>
        <v>0</v>
      </c>
      <c r="J268" s="11">
        <f t="shared" si="180"/>
        <v>0</v>
      </c>
      <c r="K268" s="62"/>
      <c r="L268" s="26" t="s">
        <v>309</v>
      </c>
      <c r="M268" s="8">
        <v>3</v>
      </c>
      <c r="N268" s="9"/>
      <c r="O268" s="10">
        <v>4</v>
      </c>
      <c r="P268" s="49">
        <f t="shared" si="181"/>
        <v>7</v>
      </c>
      <c r="Q268" s="12">
        <v>3</v>
      </c>
      <c r="R268" s="9"/>
      <c r="S268" s="10">
        <v>4</v>
      </c>
      <c r="T268" s="49">
        <f t="shared" si="182"/>
        <v>7</v>
      </c>
      <c r="U268" s="11">
        <f t="shared" si="183"/>
        <v>14</v>
      </c>
      <c r="V268" s="98">
        <v>43875</v>
      </c>
      <c r="W268" s="66"/>
    </row>
    <row r="269" spans="1:23" x14ac:dyDescent="0.15">
      <c r="A269" s="26"/>
      <c r="B269" s="13"/>
      <c r="C269" s="14"/>
      <c r="D269" s="15"/>
      <c r="E269" s="49">
        <f t="shared" si="178"/>
        <v>0</v>
      </c>
      <c r="F269" s="16"/>
      <c r="G269" s="14"/>
      <c r="H269" s="15"/>
      <c r="I269" s="49">
        <f t="shared" si="179"/>
        <v>0</v>
      </c>
      <c r="J269" s="11">
        <f t="shared" si="180"/>
        <v>0</v>
      </c>
      <c r="K269" s="62"/>
      <c r="L269" s="26" t="s">
        <v>310</v>
      </c>
      <c r="M269" s="13">
        <v>2</v>
      </c>
      <c r="N269" s="14"/>
      <c r="O269" s="15"/>
      <c r="P269" s="49">
        <f t="shared" si="181"/>
        <v>2</v>
      </c>
      <c r="Q269" s="16">
        <v>2</v>
      </c>
      <c r="R269" s="14"/>
      <c r="S269" s="15"/>
      <c r="T269" s="49">
        <f t="shared" si="182"/>
        <v>2</v>
      </c>
      <c r="U269" s="11">
        <f t="shared" si="183"/>
        <v>4</v>
      </c>
      <c r="V269" s="98">
        <v>43876</v>
      </c>
      <c r="W269" s="66"/>
    </row>
    <row r="270" spans="1:23" x14ac:dyDescent="0.15">
      <c r="A270" s="26"/>
      <c r="B270" s="8"/>
      <c r="C270" s="9"/>
      <c r="D270" s="10"/>
      <c r="E270" s="49">
        <f t="shared" si="178"/>
        <v>0</v>
      </c>
      <c r="F270" s="12"/>
      <c r="G270" s="9"/>
      <c r="H270" s="10"/>
      <c r="I270" s="49">
        <f t="shared" si="179"/>
        <v>0</v>
      </c>
      <c r="J270" s="11">
        <f t="shared" si="180"/>
        <v>0</v>
      </c>
      <c r="K270" s="62"/>
      <c r="L270" s="26" t="s">
        <v>313</v>
      </c>
      <c r="M270" s="8">
        <v>1</v>
      </c>
      <c r="N270" s="9"/>
      <c r="O270" s="10">
        <v>2</v>
      </c>
      <c r="P270" s="49">
        <f t="shared" si="181"/>
        <v>3</v>
      </c>
      <c r="Q270" s="12">
        <v>1</v>
      </c>
      <c r="R270" s="9"/>
      <c r="S270" s="10">
        <v>2</v>
      </c>
      <c r="T270" s="49">
        <f t="shared" si="182"/>
        <v>3</v>
      </c>
      <c r="U270" s="11">
        <f t="shared" si="183"/>
        <v>6</v>
      </c>
      <c r="V270" s="98">
        <v>43878</v>
      </c>
    </row>
    <row r="271" spans="1:23" x14ac:dyDescent="0.15">
      <c r="A271" s="26"/>
      <c r="B271" s="8"/>
      <c r="C271" s="9"/>
      <c r="D271" s="10"/>
      <c r="E271" s="49">
        <f t="shared" si="178"/>
        <v>0</v>
      </c>
      <c r="F271" s="12"/>
      <c r="G271" s="9"/>
      <c r="H271" s="10"/>
      <c r="I271" s="49">
        <f t="shared" si="179"/>
        <v>0</v>
      </c>
      <c r="J271" s="11">
        <f t="shared" si="180"/>
        <v>0</v>
      </c>
      <c r="K271" s="62"/>
      <c r="L271" s="26" t="s">
        <v>314</v>
      </c>
      <c r="M271" s="8">
        <v>2</v>
      </c>
      <c r="N271" s="9"/>
      <c r="O271" s="10">
        <v>2</v>
      </c>
      <c r="P271" s="49">
        <f t="shared" si="181"/>
        <v>4</v>
      </c>
      <c r="Q271" s="12">
        <v>2</v>
      </c>
      <c r="R271" s="9"/>
      <c r="S271" s="10">
        <v>2</v>
      </c>
      <c r="T271" s="49">
        <f t="shared" si="182"/>
        <v>4</v>
      </c>
      <c r="U271" s="11">
        <f t="shared" si="183"/>
        <v>8</v>
      </c>
      <c r="V271" s="98">
        <v>43879</v>
      </c>
      <c r="W271" s="66"/>
    </row>
    <row r="272" spans="1:23" x14ac:dyDescent="0.15">
      <c r="A272" s="26"/>
      <c r="B272" s="8"/>
      <c r="C272" s="9"/>
      <c r="D272" s="10"/>
      <c r="E272" s="49">
        <f t="shared" si="178"/>
        <v>0</v>
      </c>
      <c r="F272" s="12"/>
      <c r="G272" s="9"/>
      <c r="H272" s="10"/>
      <c r="I272" s="49">
        <f t="shared" si="179"/>
        <v>0</v>
      </c>
      <c r="J272" s="11">
        <f t="shared" si="180"/>
        <v>0</v>
      </c>
      <c r="K272" s="62"/>
      <c r="L272" s="26" t="s">
        <v>315</v>
      </c>
      <c r="M272" s="8">
        <v>5</v>
      </c>
      <c r="N272" s="9"/>
      <c r="O272" s="10"/>
      <c r="P272" s="49">
        <f t="shared" si="181"/>
        <v>5</v>
      </c>
      <c r="Q272" s="12">
        <v>5</v>
      </c>
      <c r="R272" s="9"/>
      <c r="S272" s="10"/>
      <c r="T272" s="49">
        <f t="shared" si="182"/>
        <v>5</v>
      </c>
      <c r="U272" s="11">
        <f t="shared" si="183"/>
        <v>10</v>
      </c>
      <c r="V272" s="98">
        <v>43880</v>
      </c>
    </row>
    <row r="273" spans="1:23" x14ac:dyDescent="0.15">
      <c r="A273" s="26"/>
      <c r="B273" s="8"/>
      <c r="C273" s="9"/>
      <c r="D273" s="10"/>
      <c r="E273" s="49">
        <f t="shared" si="178"/>
        <v>0</v>
      </c>
      <c r="F273" s="12"/>
      <c r="G273" s="9"/>
      <c r="H273" s="10"/>
      <c r="I273" s="49">
        <f t="shared" si="179"/>
        <v>0</v>
      </c>
      <c r="J273" s="11">
        <f t="shared" si="180"/>
        <v>0</v>
      </c>
      <c r="K273" s="62"/>
      <c r="L273" s="26" t="s">
        <v>316</v>
      </c>
      <c r="M273" s="8"/>
      <c r="N273" s="9">
        <v>10</v>
      </c>
      <c r="O273" s="10"/>
      <c r="P273" s="49">
        <f t="shared" si="181"/>
        <v>10</v>
      </c>
      <c r="Q273" s="12"/>
      <c r="R273" s="9">
        <v>10</v>
      </c>
      <c r="S273" s="10"/>
      <c r="T273" s="49">
        <f t="shared" si="182"/>
        <v>10</v>
      </c>
      <c r="U273" s="11">
        <f t="shared" si="183"/>
        <v>20</v>
      </c>
      <c r="V273" s="98">
        <v>43880</v>
      </c>
      <c r="W273" s="66"/>
    </row>
    <row r="274" spans="1:23" x14ac:dyDescent="0.15">
      <c r="A274" s="26"/>
      <c r="B274" s="8"/>
      <c r="C274" s="9"/>
      <c r="D274" s="10"/>
      <c r="E274" s="49">
        <f t="shared" si="178"/>
        <v>0</v>
      </c>
      <c r="F274" s="12"/>
      <c r="G274" s="9"/>
      <c r="H274" s="10"/>
      <c r="I274" s="49">
        <f t="shared" si="179"/>
        <v>0</v>
      </c>
      <c r="J274" s="11">
        <f t="shared" si="180"/>
        <v>0</v>
      </c>
      <c r="K274" s="62"/>
      <c r="L274" s="26" t="s">
        <v>318</v>
      </c>
      <c r="M274" s="8"/>
      <c r="N274" s="9"/>
      <c r="O274" s="10">
        <v>1</v>
      </c>
      <c r="P274" s="49">
        <f t="shared" si="181"/>
        <v>1</v>
      </c>
      <c r="Q274" s="12"/>
      <c r="R274" s="9"/>
      <c r="S274" s="10">
        <v>1</v>
      </c>
      <c r="T274" s="49">
        <f t="shared" si="182"/>
        <v>1</v>
      </c>
      <c r="U274" s="11">
        <f t="shared" si="183"/>
        <v>2</v>
      </c>
      <c r="V274" s="98">
        <v>43883</v>
      </c>
    </row>
    <row r="275" spans="1:23" x14ac:dyDescent="0.15">
      <c r="A275" s="26"/>
      <c r="B275" s="8"/>
      <c r="C275" s="9"/>
      <c r="D275" s="10"/>
      <c r="E275" s="49">
        <f t="shared" si="178"/>
        <v>0</v>
      </c>
      <c r="F275" s="12"/>
      <c r="G275" s="9"/>
      <c r="H275" s="10"/>
      <c r="I275" s="49">
        <f t="shared" si="179"/>
        <v>0</v>
      </c>
      <c r="J275" s="11">
        <f t="shared" si="180"/>
        <v>0</v>
      </c>
      <c r="K275" s="62"/>
      <c r="L275" s="26" t="s">
        <v>319</v>
      </c>
      <c r="M275" s="8"/>
      <c r="N275" s="9"/>
      <c r="O275" s="10">
        <v>2</v>
      </c>
      <c r="P275" s="49">
        <f t="shared" si="181"/>
        <v>2</v>
      </c>
      <c r="Q275" s="12"/>
      <c r="R275" s="9"/>
      <c r="S275" s="10">
        <v>2</v>
      </c>
      <c r="T275" s="49">
        <f t="shared" si="182"/>
        <v>2</v>
      </c>
      <c r="U275" s="11">
        <f t="shared" si="183"/>
        <v>4</v>
      </c>
      <c r="V275" s="98">
        <v>43895</v>
      </c>
    </row>
    <row r="276" spans="1:23" x14ac:dyDescent="0.15">
      <c r="A276" s="26"/>
      <c r="B276" s="8"/>
      <c r="C276" s="9"/>
      <c r="D276" s="10"/>
      <c r="E276" s="49">
        <f t="shared" si="178"/>
        <v>0</v>
      </c>
      <c r="F276" s="12"/>
      <c r="G276" s="9"/>
      <c r="H276" s="10"/>
      <c r="I276" s="49">
        <f t="shared" si="179"/>
        <v>0</v>
      </c>
      <c r="J276" s="11">
        <f t="shared" si="180"/>
        <v>0</v>
      </c>
      <c r="K276" s="62"/>
      <c r="L276" s="26" t="s">
        <v>321</v>
      </c>
      <c r="M276" s="13"/>
      <c r="N276" s="14">
        <v>1</v>
      </c>
      <c r="O276" s="15"/>
      <c r="P276" s="49">
        <f>SUM(M276:O276)</f>
        <v>1</v>
      </c>
      <c r="Q276" s="16"/>
      <c r="R276" s="14">
        <v>1</v>
      </c>
      <c r="S276" s="15"/>
      <c r="T276" s="49">
        <f>SUM(Q276:S276)</f>
        <v>1</v>
      </c>
      <c r="U276" s="11">
        <f>P276+T276</f>
        <v>2</v>
      </c>
      <c r="V276" s="98">
        <v>43896</v>
      </c>
    </row>
    <row r="277" spans="1:23" x14ac:dyDescent="0.15">
      <c r="A277" s="24"/>
      <c r="B277" s="8"/>
      <c r="C277" s="9"/>
      <c r="D277" s="10"/>
      <c r="E277" s="49">
        <f t="shared" si="178"/>
        <v>0</v>
      </c>
      <c r="F277" s="12"/>
      <c r="G277" s="9"/>
      <c r="H277" s="10"/>
      <c r="I277" s="49">
        <f t="shared" si="179"/>
        <v>0</v>
      </c>
      <c r="J277" s="11">
        <f t="shared" si="180"/>
        <v>0</v>
      </c>
      <c r="K277" s="62"/>
      <c r="L277" s="26" t="s">
        <v>322</v>
      </c>
      <c r="M277" s="8"/>
      <c r="N277" s="9">
        <v>1</v>
      </c>
      <c r="O277" s="10"/>
      <c r="P277" s="49">
        <f t="shared" ref="P277:P278" si="184">SUM(M277:O277)</f>
        <v>1</v>
      </c>
      <c r="Q277" s="12"/>
      <c r="R277" s="9">
        <v>1</v>
      </c>
      <c r="S277" s="10"/>
      <c r="T277" s="49">
        <f t="shared" ref="T277:T278" si="185">SUM(Q277:S277)</f>
        <v>1</v>
      </c>
      <c r="U277" s="11">
        <f t="shared" ref="U277:U278" si="186">P277+T277</f>
        <v>2</v>
      </c>
      <c r="V277" s="98">
        <v>43897</v>
      </c>
    </row>
    <row r="278" spans="1:23" x14ac:dyDescent="0.15">
      <c r="A278" s="25"/>
      <c r="B278" s="8"/>
      <c r="C278" s="9"/>
      <c r="D278" s="10"/>
      <c r="E278" s="49">
        <f t="shared" si="178"/>
        <v>0</v>
      </c>
      <c r="F278" s="12"/>
      <c r="G278" s="9"/>
      <c r="H278" s="10"/>
      <c r="I278" s="49">
        <f t="shared" si="179"/>
        <v>0</v>
      </c>
      <c r="J278" s="11">
        <f t="shared" si="180"/>
        <v>0</v>
      </c>
      <c r="K278" s="64"/>
      <c r="L278" s="26" t="s">
        <v>324</v>
      </c>
      <c r="M278" s="8"/>
      <c r="N278" s="9">
        <v>1</v>
      </c>
      <c r="O278" s="10"/>
      <c r="P278" s="49">
        <f t="shared" si="184"/>
        <v>1</v>
      </c>
      <c r="Q278" s="12"/>
      <c r="R278" s="9">
        <v>1</v>
      </c>
      <c r="S278" s="10"/>
      <c r="T278" s="49">
        <f t="shared" si="185"/>
        <v>1</v>
      </c>
      <c r="U278" s="11">
        <f t="shared" si="186"/>
        <v>2</v>
      </c>
      <c r="V278" s="98">
        <v>43910</v>
      </c>
    </row>
    <row r="279" spans="1:23" x14ac:dyDescent="0.15">
      <c r="A279" s="26"/>
      <c r="B279" s="8"/>
      <c r="C279" s="9"/>
      <c r="D279" s="10"/>
      <c r="E279" s="49">
        <f t="shared" si="178"/>
        <v>0</v>
      </c>
      <c r="F279" s="12"/>
      <c r="G279" s="9"/>
      <c r="H279" s="10"/>
      <c r="I279" s="49">
        <f t="shared" si="179"/>
        <v>0</v>
      </c>
      <c r="J279" s="11">
        <f t="shared" si="180"/>
        <v>0</v>
      </c>
      <c r="K279" s="62"/>
      <c r="L279" s="26" t="s">
        <v>325</v>
      </c>
      <c r="M279" s="13">
        <v>1</v>
      </c>
      <c r="N279" s="14"/>
      <c r="O279" s="15"/>
      <c r="P279" s="49">
        <f>SUM(M279:O279)</f>
        <v>1</v>
      </c>
      <c r="Q279" s="16">
        <v>1</v>
      </c>
      <c r="R279" s="14"/>
      <c r="S279" s="15"/>
      <c r="T279" s="49">
        <f>SUM(Q279:S279)</f>
        <v>1</v>
      </c>
      <c r="U279" s="11">
        <f>P279+T279</f>
        <v>2</v>
      </c>
      <c r="V279" s="98">
        <v>43915</v>
      </c>
    </row>
    <row r="280" spans="1:23" x14ac:dyDescent="0.15">
      <c r="A280" s="24"/>
      <c r="B280" s="8"/>
      <c r="C280" s="9"/>
      <c r="D280" s="10"/>
      <c r="E280" s="49">
        <f t="shared" si="178"/>
        <v>0</v>
      </c>
      <c r="F280" s="12"/>
      <c r="G280" s="9"/>
      <c r="H280" s="10"/>
      <c r="I280" s="49">
        <f t="shared" si="179"/>
        <v>0</v>
      </c>
      <c r="J280" s="11">
        <f t="shared" si="180"/>
        <v>0</v>
      </c>
      <c r="K280" s="62"/>
      <c r="L280" s="26" t="s">
        <v>332</v>
      </c>
      <c r="M280" s="8"/>
      <c r="N280" s="9"/>
      <c r="O280" s="10">
        <v>1</v>
      </c>
      <c r="P280" s="49">
        <f t="shared" ref="P280:P286" si="187">SUM(M280:O280)</f>
        <v>1</v>
      </c>
      <c r="Q280" s="8"/>
      <c r="R280" s="9"/>
      <c r="S280" s="10">
        <v>1</v>
      </c>
      <c r="T280" s="49">
        <f t="shared" ref="T280:T286" si="188">SUM(Q280:S280)</f>
        <v>1</v>
      </c>
      <c r="U280" s="11">
        <f t="shared" ref="U280:U285" si="189">P280+T280</f>
        <v>2</v>
      </c>
      <c r="V280" s="98">
        <v>43967</v>
      </c>
    </row>
    <row r="281" spans="1:23" x14ac:dyDescent="0.15">
      <c r="B281" s="13"/>
      <c r="C281" s="14"/>
      <c r="D281" s="15"/>
      <c r="E281" s="49">
        <f t="shared" si="178"/>
        <v>0</v>
      </c>
      <c r="F281" s="16"/>
      <c r="G281" s="14"/>
      <c r="H281" s="15"/>
      <c r="I281" s="49">
        <f t="shared" si="179"/>
        <v>0</v>
      </c>
      <c r="J281" s="11">
        <f t="shared" si="180"/>
        <v>0</v>
      </c>
      <c r="K281" s="65"/>
      <c r="L281" s="26"/>
      <c r="M281" s="8"/>
      <c r="N281" s="9"/>
      <c r="O281" s="10"/>
      <c r="P281" s="49">
        <f t="shared" si="187"/>
        <v>0</v>
      </c>
      <c r="Q281" s="12"/>
      <c r="R281" s="9"/>
      <c r="S281" s="10"/>
      <c r="T281" s="49">
        <f t="shared" si="188"/>
        <v>0</v>
      </c>
      <c r="U281" s="11">
        <f t="shared" si="189"/>
        <v>0</v>
      </c>
    </row>
    <row r="282" spans="1:23" x14ac:dyDescent="0.15">
      <c r="A282" s="26"/>
      <c r="B282" s="8"/>
      <c r="C282" s="9"/>
      <c r="D282" s="10"/>
      <c r="E282" s="49">
        <f t="shared" si="178"/>
        <v>0</v>
      </c>
      <c r="F282" s="12"/>
      <c r="G282" s="9"/>
      <c r="H282" s="10"/>
      <c r="I282" s="49">
        <f t="shared" si="179"/>
        <v>0</v>
      </c>
      <c r="J282" s="11">
        <f t="shared" si="180"/>
        <v>0</v>
      </c>
      <c r="K282" s="62"/>
      <c r="L282" s="26"/>
      <c r="M282" s="8"/>
      <c r="N282" s="9"/>
      <c r="O282" s="10"/>
      <c r="P282" s="49">
        <f t="shared" si="187"/>
        <v>0</v>
      </c>
      <c r="Q282" s="8"/>
      <c r="R282" s="9"/>
      <c r="S282" s="10"/>
      <c r="T282" s="49">
        <f t="shared" si="188"/>
        <v>0</v>
      </c>
      <c r="U282" s="11">
        <f t="shared" si="189"/>
        <v>0</v>
      </c>
      <c r="V282" s="100"/>
    </row>
    <row r="283" spans="1:23" x14ac:dyDescent="0.15">
      <c r="A283" s="26"/>
      <c r="B283" s="8"/>
      <c r="C283" s="9"/>
      <c r="D283" s="10"/>
      <c r="E283" s="49">
        <f t="shared" si="178"/>
        <v>0</v>
      </c>
      <c r="F283" s="12"/>
      <c r="G283" s="9"/>
      <c r="H283" s="10"/>
      <c r="I283" s="49">
        <f t="shared" si="179"/>
        <v>0</v>
      </c>
      <c r="J283" s="11">
        <f t="shared" si="180"/>
        <v>0</v>
      </c>
      <c r="K283" s="62"/>
      <c r="L283" s="26"/>
      <c r="M283" s="8"/>
      <c r="N283" s="9"/>
      <c r="O283" s="10"/>
      <c r="P283" s="49">
        <f t="shared" si="187"/>
        <v>0</v>
      </c>
      <c r="Q283" s="12"/>
      <c r="R283" s="9"/>
      <c r="S283" s="10"/>
      <c r="T283" s="49">
        <f t="shared" si="188"/>
        <v>0</v>
      </c>
      <c r="U283" s="11">
        <f t="shared" si="189"/>
        <v>0</v>
      </c>
      <c r="V283" s="98"/>
    </row>
    <row r="284" spans="1:23" x14ac:dyDescent="0.15">
      <c r="A284" s="26"/>
      <c r="B284" s="8"/>
      <c r="C284" s="9"/>
      <c r="D284" s="10"/>
      <c r="E284" s="49">
        <f t="shared" si="178"/>
        <v>0</v>
      </c>
      <c r="F284" s="12"/>
      <c r="G284" s="9"/>
      <c r="H284" s="10"/>
      <c r="I284" s="49">
        <f t="shared" si="179"/>
        <v>0</v>
      </c>
      <c r="J284" s="11">
        <f t="shared" si="180"/>
        <v>0</v>
      </c>
      <c r="K284" s="62"/>
      <c r="L284" s="26" t="s">
        <v>231</v>
      </c>
      <c r="M284" s="8"/>
      <c r="N284" s="9"/>
      <c r="O284" s="10"/>
      <c r="P284" s="49">
        <f t="shared" si="187"/>
        <v>0</v>
      </c>
      <c r="Q284" s="12"/>
      <c r="R284" s="9"/>
      <c r="S284" s="10"/>
      <c r="T284" s="49">
        <f t="shared" si="188"/>
        <v>0</v>
      </c>
      <c r="U284" s="11">
        <f t="shared" si="189"/>
        <v>0</v>
      </c>
      <c r="V284" s="100" t="s">
        <v>232</v>
      </c>
    </row>
    <row r="285" spans="1:23" ht="14.25" thickBot="1" x14ac:dyDescent="0.2">
      <c r="A285" s="23"/>
      <c r="B285" s="13"/>
      <c r="C285" s="14"/>
      <c r="D285" s="15"/>
      <c r="E285" s="49">
        <f>SUM(B285:D285)</f>
        <v>0</v>
      </c>
      <c r="F285" s="16"/>
      <c r="G285" s="14"/>
      <c r="H285" s="15"/>
      <c r="I285" s="49">
        <f>SUM(F285:H285)</f>
        <v>0</v>
      </c>
      <c r="J285" s="11">
        <f>E285+I285</f>
        <v>0</v>
      </c>
      <c r="K285" s="62"/>
      <c r="L285" s="26" t="s">
        <v>234</v>
      </c>
      <c r="M285" s="84"/>
      <c r="N285" s="9"/>
      <c r="O285" s="10"/>
      <c r="P285" s="49">
        <f t="shared" si="187"/>
        <v>0</v>
      </c>
      <c r="Q285" s="84"/>
      <c r="R285" s="9"/>
      <c r="S285" s="10"/>
      <c r="T285" s="49">
        <f t="shared" si="188"/>
        <v>0</v>
      </c>
      <c r="U285" s="11">
        <f t="shared" si="189"/>
        <v>0</v>
      </c>
      <c r="V285" s="100" t="s">
        <v>235</v>
      </c>
    </row>
    <row r="286" spans="1:23" ht="14.25" thickBot="1" x14ac:dyDescent="0.2">
      <c r="A286" s="41" t="s">
        <v>17</v>
      </c>
      <c r="B286" s="46">
        <f>SUM(B260:B285)</f>
        <v>24</v>
      </c>
      <c r="C286" s="47">
        <f t="shared" ref="C286:D286" si="190">SUM(C260:C285)</f>
        <v>15</v>
      </c>
      <c r="D286" s="58">
        <f t="shared" si="190"/>
        <v>11</v>
      </c>
      <c r="E286" s="45">
        <f t="shared" ref="E286" si="191">SUM(B286:D286)</f>
        <v>50</v>
      </c>
      <c r="F286" s="46">
        <f>SUM(F260:F285)</f>
        <v>24</v>
      </c>
      <c r="G286" s="47">
        <f t="shared" ref="G286:H286" si="192">SUM(G260:G285)</f>
        <v>15</v>
      </c>
      <c r="H286" s="58">
        <f t="shared" si="192"/>
        <v>11</v>
      </c>
      <c r="I286" s="45">
        <f t="shared" ref="I286" si="193">SUM(F286:H286)</f>
        <v>50</v>
      </c>
      <c r="J286" s="45">
        <f>E286+I286</f>
        <v>100</v>
      </c>
      <c r="K286" s="40"/>
      <c r="L286" s="41" t="s">
        <v>17</v>
      </c>
      <c r="M286" s="46">
        <f>SUM(M260:M285)</f>
        <v>29</v>
      </c>
      <c r="N286" s="47">
        <f t="shared" ref="N286:O286" si="194">SUM(N260:N285)</f>
        <v>50</v>
      </c>
      <c r="O286" s="58">
        <f t="shared" si="194"/>
        <v>31</v>
      </c>
      <c r="P286" s="45">
        <f t="shared" si="187"/>
        <v>110</v>
      </c>
      <c r="Q286" s="46">
        <f>SUM(Q260:Q285)</f>
        <v>29</v>
      </c>
      <c r="R286" s="47">
        <f t="shared" ref="R286:S286" si="195">SUM(R260:R285)</f>
        <v>50</v>
      </c>
      <c r="S286" s="58">
        <f t="shared" si="195"/>
        <v>31</v>
      </c>
      <c r="T286" s="45">
        <f t="shared" si="188"/>
        <v>110</v>
      </c>
      <c r="U286" s="45">
        <f>P286+T286</f>
        <v>220</v>
      </c>
    </row>
    <row r="287" spans="1:23" ht="14.25" thickBot="1" x14ac:dyDescent="0.2">
      <c r="A287" s="22" t="s">
        <v>16</v>
      </c>
      <c r="B287" s="50">
        <f>B259-B286</f>
        <v>2</v>
      </c>
      <c r="C287" s="56">
        <f t="shared" ref="C287:D287" si="196">C259-C286</f>
        <v>1</v>
      </c>
      <c r="D287" s="57">
        <f t="shared" si="196"/>
        <v>2</v>
      </c>
      <c r="E287" s="55">
        <f>SUM(B287:D287)</f>
        <v>5</v>
      </c>
      <c r="F287" s="50">
        <f>F259-F286</f>
        <v>3</v>
      </c>
      <c r="G287" s="56">
        <f t="shared" ref="G287:H287" si="197">G259-G286</f>
        <v>1</v>
      </c>
      <c r="H287" s="57">
        <f t="shared" si="197"/>
        <v>2</v>
      </c>
      <c r="I287" s="55">
        <f>SUM(F287:H287)</f>
        <v>6</v>
      </c>
      <c r="J287" s="31">
        <f>E287+I287</f>
        <v>11</v>
      </c>
      <c r="L287" s="22" t="s">
        <v>16</v>
      </c>
      <c r="M287" s="50">
        <f>M259-M286</f>
        <v>104</v>
      </c>
      <c r="N287" s="56">
        <f t="shared" ref="N287:O287" si="198">N259-N286</f>
        <v>165</v>
      </c>
      <c r="O287" s="57">
        <f t="shared" si="198"/>
        <v>129</v>
      </c>
      <c r="P287" s="55">
        <f>SUM(M287:O287)</f>
        <v>398</v>
      </c>
      <c r="Q287" s="50">
        <f>Q259-Q286</f>
        <v>104</v>
      </c>
      <c r="R287" s="56">
        <f t="shared" ref="R287:S287" si="199">R259-R286</f>
        <v>165</v>
      </c>
      <c r="S287" s="57">
        <f t="shared" si="199"/>
        <v>129</v>
      </c>
      <c r="T287" s="55">
        <f>SUM(Q287:S287)</f>
        <v>398</v>
      </c>
      <c r="U287" s="31">
        <f>P287+T287</f>
        <v>796</v>
      </c>
    </row>
    <row r="288" spans="1:23" ht="19.5" thickBot="1" x14ac:dyDescent="0.25">
      <c r="A288" s="3" t="s">
        <v>20</v>
      </c>
      <c r="B288" s="1"/>
      <c r="C288" s="1"/>
      <c r="D288" s="1"/>
      <c r="E288" s="1"/>
      <c r="F288" s="1"/>
      <c r="G288" s="1"/>
      <c r="H288" s="1"/>
      <c r="I288" s="1"/>
      <c r="J288" s="1"/>
      <c r="L288" s="3" t="s">
        <v>21</v>
      </c>
      <c r="M288" s="1"/>
      <c r="N288" s="1"/>
      <c r="O288" s="1"/>
      <c r="P288" s="1"/>
      <c r="Q288" s="1"/>
      <c r="R288" s="1"/>
      <c r="S288" s="1"/>
      <c r="T288" s="1"/>
      <c r="U288" s="1"/>
    </row>
    <row r="289" spans="1:22" ht="14.25" thickBot="1" x14ac:dyDescent="0.2">
      <c r="A289" s="7"/>
      <c r="B289" s="176" t="s">
        <v>22</v>
      </c>
      <c r="C289" s="177"/>
      <c r="D289" s="177"/>
      <c r="E289" s="178"/>
      <c r="F289" s="176" t="s">
        <v>23</v>
      </c>
      <c r="G289" s="177"/>
      <c r="H289" s="177"/>
      <c r="I289" s="179"/>
      <c r="J289" s="174" t="s">
        <v>0</v>
      </c>
      <c r="L289" s="7"/>
      <c r="M289" s="169" t="s">
        <v>22</v>
      </c>
      <c r="N289" s="170"/>
      <c r="O289" s="170"/>
      <c r="P289" s="171"/>
      <c r="Q289" s="169" t="s">
        <v>23</v>
      </c>
      <c r="R289" s="170"/>
      <c r="S289" s="170"/>
      <c r="T289" s="171"/>
      <c r="U289" s="174" t="s">
        <v>0</v>
      </c>
    </row>
    <row r="290" spans="1:22" ht="14.25" thickBot="1" x14ac:dyDescent="0.2">
      <c r="A290" s="7" t="s">
        <v>1</v>
      </c>
      <c r="B290" s="4" t="s">
        <v>2</v>
      </c>
      <c r="C290" s="5" t="s">
        <v>3</v>
      </c>
      <c r="D290" s="6" t="s">
        <v>4</v>
      </c>
      <c r="E290" s="7" t="s">
        <v>5</v>
      </c>
      <c r="F290" s="4" t="s">
        <v>2</v>
      </c>
      <c r="G290" s="5" t="s">
        <v>3</v>
      </c>
      <c r="H290" s="6" t="s">
        <v>4</v>
      </c>
      <c r="I290" s="7" t="s">
        <v>5</v>
      </c>
      <c r="J290" s="175"/>
      <c r="L290" s="7" t="s">
        <v>1</v>
      </c>
      <c r="M290" s="4" t="s">
        <v>2</v>
      </c>
      <c r="N290" s="5" t="s">
        <v>3</v>
      </c>
      <c r="O290" s="6" t="s">
        <v>4</v>
      </c>
      <c r="P290" s="7" t="s">
        <v>5</v>
      </c>
      <c r="Q290" s="4" t="s">
        <v>2</v>
      </c>
      <c r="R290" s="5" t="s">
        <v>3</v>
      </c>
      <c r="S290" s="6" t="s">
        <v>4</v>
      </c>
      <c r="T290" s="7" t="s">
        <v>5</v>
      </c>
      <c r="U290" s="175"/>
    </row>
    <row r="291" spans="1:22" ht="14.25" thickBot="1" x14ac:dyDescent="0.2">
      <c r="A291" s="27" t="s">
        <v>16</v>
      </c>
      <c r="B291" s="38">
        <f>B287</f>
        <v>2</v>
      </c>
      <c r="C291" s="39">
        <f>C287</f>
        <v>1</v>
      </c>
      <c r="D291" s="2">
        <f>D287</f>
        <v>2</v>
      </c>
      <c r="E291" s="36">
        <f>SUM(B291:D291)</f>
        <v>5</v>
      </c>
      <c r="F291" s="38">
        <f>F287</f>
        <v>3</v>
      </c>
      <c r="G291" s="39">
        <f>G287</f>
        <v>1</v>
      </c>
      <c r="H291" s="2">
        <f>H287</f>
        <v>2</v>
      </c>
      <c r="I291" s="36">
        <f>SUM(F291:H291)</f>
        <v>6</v>
      </c>
      <c r="J291" s="36">
        <f>E291+I291</f>
        <v>11</v>
      </c>
      <c r="K291" s="63"/>
      <c r="L291" s="27" t="s">
        <v>16</v>
      </c>
      <c r="M291" s="38">
        <f>M287</f>
        <v>104</v>
      </c>
      <c r="N291" s="39">
        <f>N287</f>
        <v>165</v>
      </c>
      <c r="O291" s="2">
        <f>O287</f>
        <v>129</v>
      </c>
      <c r="P291" s="36">
        <f>SUM(M291:O291)</f>
        <v>398</v>
      </c>
      <c r="Q291" s="38">
        <f>Q287</f>
        <v>104</v>
      </c>
      <c r="R291" s="39">
        <f>R287</f>
        <v>165</v>
      </c>
      <c r="S291" s="2">
        <f>S287</f>
        <v>129</v>
      </c>
      <c r="T291" s="36">
        <f>SUM(Q291:S291)</f>
        <v>398</v>
      </c>
      <c r="U291" s="36">
        <f>P291+T291</f>
        <v>796</v>
      </c>
    </row>
    <row r="292" spans="1:22" x14ac:dyDescent="0.15">
      <c r="A292" s="25" t="s">
        <v>360</v>
      </c>
      <c r="B292" s="42"/>
      <c r="C292" s="43">
        <v>1</v>
      </c>
      <c r="D292" s="44"/>
      <c r="E292" s="48">
        <f>SUM(B292:D292)</f>
        <v>1</v>
      </c>
      <c r="F292" s="59"/>
      <c r="G292" s="43">
        <v>1</v>
      </c>
      <c r="H292" s="60"/>
      <c r="I292" s="48">
        <f>SUM(F292:H292)</f>
        <v>1</v>
      </c>
      <c r="J292" s="48">
        <f>E292+I292</f>
        <v>2</v>
      </c>
      <c r="K292" s="62">
        <v>44132</v>
      </c>
      <c r="L292" s="25" t="s">
        <v>312</v>
      </c>
      <c r="M292" s="42"/>
      <c r="N292" s="43">
        <v>1</v>
      </c>
      <c r="O292" s="44"/>
      <c r="P292" s="48">
        <f>SUM(M292:O292)</f>
        <v>1</v>
      </c>
      <c r="Q292" s="59"/>
      <c r="R292" s="43">
        <v>1</v>
      </c>
      <c r="S292" s="60"/>
      <c r="T292" s="48">
        <f>SUM(Q292:S292)</f>
        <v>1</v>
      </c>
      <c r="U292" s="48">
        <f>P292+T292</f>
        <v>2</v>
      </c>
      <c r="V292" s="98">
        <v>44135</v>
      </c>
    </row>
    <row r="293" spans="1:22" x14ac:dyDescent="0.15">
      <c r="A293" s="25"/>
      <c r="B293" s="8"/>
      <c r="C293" s="9"/>
      <c r="D293" s="52"/>
      <c r="E293" s="11">
        <f>SUM(B293:D293)</f>
        <v>0</v>
      </c>
      <c r="F293" s="12"/>
      <c r="G293" s="9"/>
      <c r="H293" s="10"/>
      <c r="I293" s="11">
        <f>SUM(F293:H293)</f>
        <v>0</v>
      </c>
      <c r="J293" s="11">
        <f>E293+I293</f>
        <v>0</v>
      </c>
      <c r="K293" s="62"/>
      <c r="L293" s="25" t="s">
        <v>8</v>
      </c>
      <c r="M293" s="8"/>
      <c r="N293" s="9"/>
      <c r="O293" s="52"/>
      <c r="P293" s="11">
        <f>SUM(M293:O293)</f>
        <v>0</v>
      </c>
      <c r="Q293" s="8"/>
      <c r="R293" s="9"/>
      <c r="S293" s="52"/>
      <c r="T293" s="11">
        <f>SUM(Q293:S293)</f>
        <v>0</v>
      </c>
      <c r="U293" s="11">
        <f>P293+T293</f>
        <v>0</v>
      </c>
      <c r="V293" s="98"/>
    </row>
    <row r="294" spans="1:22" x14ac:dyDescent="0.15">
      <c r="A294" s="25"/>
      <c r="B294" s="17"/>
      <c r="C294" s="18"/>
      <c r="D294" s="51"/>
      <c r="E294" s="11">
        <f t="shared" ref="E294:E299" si="200">SUM(B294:D294)</f>
        <v>0</v>
      </c>
      <c r="F294" s="20"/>
      <c r="G294" s="18"/>
      <c r="H294" s="19"/>
      <c r="I294" s="11">
        <f t="shared" ref="I294:I299" si="201">SUM(F294:H294)</f>
        <v>0</v>
      </c>
      <c r="J294" s="11">
        <f t="shared" ref="J294:J299" si="202">E294+I294</f>
        <v>0</v>
      </c>
      <c r="K294" s="62"/>
      <c r="L294" s="25" t="s">
        <v>9</v>
      </c>
      <c r="M294" s="8"/>
      <c r="N294" s="9"/>
      <c r="O294" s="52"/>
      <c r="P294" s="11">
        <f>SUM(M294:O294)</f>
        <v>0</v>
      </c>
      <c r="Q294" s="8"/>
      <c r="R294" s="9"/>
      <c r="S294" s="52"/>
      <c r="T294" s="11">
        <f>SUM(Q294:S294)</f>
        <v>0</v>
      </c>
      <c r="U294" s="11">
        <f>P294+T294</f>
        <v>0</v>
      </c>
      <c r="V294" s="100"/>
    </row>
    <row r="295" spans="1:22" x14ac:dyDescent="0.15">
      <c r="A295" s="25"/>
      <c r="B295" s="8"/>
      <c r="C295" s="9"/>
      <c r="D295" s="52"/>
      <c r="E295" s="11">
        <f t="shared" si="200"/>
        <v>0</v>
      </c>
      <c r="F295" s="12"/>
      <c r="G295" s="9"/>
      <c r="H295" s="10"/>
      <c r="I295" s="11">
        <f t="shared" si="201"/>
        <v>0</v>
      </c>
      <c r="J295" s="11">
        <f t="shared" si="202"/>
        <v>0</v>
      </c>
      <c r="K295" s="62"/>
      <c r="L295" s="25" t="s">
        <v>10</v>
      </c>
      <c r="M295" s="8"/>
      <c r="N295" s="9"/>
      <c r="O295" s="52"/>
      <c r="P295" s="11">
        <f t="shared" ref="P295:P297" si="203">SUM(M295:O295)</f>
        <v>0</v>
      </c>
      <c r="Q295" s="12"/>
      <c r="R295" s="9"/>
      <c r="S295" s="10"/>
      <c r="T295" s="11">
        <f t="shared" ref="T295:T297" si="204">SUM(Q295:S295)</f>
        <v>0</v>
      </c>
      <c r="U295" s="11">
        <f t="shared" ref="U295:U297" si="205">P295+T295</f>
        <v>0</v>
      </c>
      <c r="V295" s="100"/>
    </row>
    <row r="296" spans="1:22" x14ac:dyDescent="0.15">
      <c r="A296" s="25"/>
      <c r="B296" s="8"/>
      <c r="C296" s="9"/>
      <c r="D296" s="52"/>
      <c r="E296" s="11">
        <f t="shared" si="200"/>
        <v>0</v>
      </c>
      <c r="F296" s="12"/>
      <c r="G296" s="9"/>
      <c r="H296" s="10"/>
      <c r="I296" s="11">
        <f t="shared" si="201"/>
        <v>0</v>
      </c>
      <c r="J296" s="11">
        <f t="shared" si="202"/>
        <v>0</v>
      </c>
      <c r="K296" s="62"/>
      <c r="L296" s="25" t="s">
        <v>11</v>
      </c>
      <c r="M296" s="8"/>
      <c r="N296" s="9"/>
      <c r="O296" s="52"/>
      <c r="P296" s="11">
        <f t="shared" si="203"/>
        <v>0</v>
      </c>
      <c r="Q296" s="12"/>
      <c r="R296" s="9"/>
      <c r="S296" s="10"/>
      <c r="T296" s="11">
        <f t="shared" si="204"/>
        <v>0</v>
      </c>
      <c r="U296" s="11">
        <f t="shared" si="205"/>
        <v>0</v>
      </c>
      <c r="V296" s="98"/>
    </row>
    <row r="297" spans="1:22" x14ac:dyDescent="0.15">
      <c r="A297" s="25"/>
      <c r="B297" s="8"/>
      <c r="C297" s="9"/>
      <c r="D297" s="52"/>
      <c r="E297" s="11">
        <f t="shared" si="200"/>
        <v>0</v>
      </c>
      <c r="F297" s="12"/>
      <c r="G297" s="9"/>
      <c r="H297" s="10"/>
      <c r="I297" s="11">
        <f t="shared" si="201"/>
        <v>0</v>
      </c>
      <c r="J297" s="11">
        <f t="shared" si="202"/>
        <v>0</v>
      </c>
      <c r="K297" s="62"/>
      <c r="L297" s="25" t="s">
        <v>12</v>
      </c>
      <c r="M297" s="8"/>
      <c r="N297" s="9"/>
      <c r="O297" s="52"/>
      <c r="P297" s="11">
        <f t="shared" si="203"/>
        <v>0</v>
      </c>
      <c r="Q297" s="12"/>
      <c r="R297" s="9"/>
      <c r="S297" s="10"/>
      <c r="T297" s="11">
        <f t="shared" si="204"/>
        <v>0</v>
      </c>
      <c r="U297" s="11">
        <f t="shared" si="205"/>
        <v>0</v>
      </c>
      <c r="V297" s="100"/>
    </row>
    <row r="298" spans="1:22" x14ac:dyDescent="0.15">
      <c r="A298" s="25"/>
      <c r="B298" s="13"/>
      <c r="C298" s="14"/>
      <c r="D298" s="53"/>
      <c r="E298" s="11">
        <f t="shared" si="200"/>
        <v>0</v>
      </c>
      <c r="F298" s="16"/>
      <c r="G298" s="14"/>
      <c r="H298" s="15"/>
      <c r="I298" s="11">
        <f t="shared" si="201"/>
        <v>0</v>
      </c>
      <c r="J298" s="11">
        <f t="shared" si="202"/>
        <v>0</v>
      </c>
      <c r="K298" s="64"/>
      <c r="L298" s="25" t="s">
        <v>329</v>
      </c>
      <c r="M298" s="8">
        <v>150</v>
      </c>
      <c r="N298" s="9">
        <v>150</v>
      </c>
      <c r="O298" s="52">
        <v>150</v>
      </c>
      <c r="P298" s="11">
        <f>SUM(M298:O298)</f>
        <v>450</v>
      </c>
      <c r="Q298" s="8">
        <v>150</v>
      </c>
      <c r="R298" s="9">
        <v>150</v>
      </c>
      <c r="S298" s="52">
        <v>150</v>
      </c>
      <c r="T298" s="11">
        <f>SUM(Q298:S298)</f>
        <v>450</v>
      </c>
      <c r="U298" s="11">
        <f>P298+T298</f>
        <v>900</v>
      </c>
      <c r="V298" s="98" t="s">
        <v>365</v>
      </c>
    </row>
    <row r="299" spans="1:22" ht="14.25" thickBot="1" x14ac:dyDescent="0.2">
      <c r="A299" s="25"/>
      <c r="B299" s="32"/>
      <c r="C299" s="33"/>
      <c r="D299" s="54"/>
      <c r="E299" s="61">
        <f t="shared" si="200"/>
        <v>0</v>
      </c>
      <c r="F299" s="34"/>
      <c r="G299" s="34"/>
      <c r="H299" s="37"/>
      <c r="I299" s="61">
        <f t="shared" si="201"/>
        <v>0</v>
      </c>
      <c r="J299" s="21">
        <f t="shared" si="202"/>
        <v>0</v>
      </c>
      <c r="K299" s="62"/>
      <c r="L299" s="25" t="s">
        <v>14</v>
      </c>
      <c r="M299" s="32"/>
      <c r="N299" s="33"/>
      <c r="O299" s="54"/>
      <c r="P299" s="61">
        <f t="shared" ref="P299" si="206">SUM(M299:O299)</f>
        <v>0</v>
      </c>
      <c r="Q299" s="34"/>
      <c r="R299" s="34"/>
      <c r="S299" s="37"/>
      <c r="T299" s="61">
        <f t="shared" ref="T299" si="207">SUM(Q299:S299)</f>
        <v>0</v>
      </c>
      <c r="U299" s="21">
        <f t="shared" ref="U299" si="208">P299+T299</f>
        <v>0</v>
      </c>
    </row>
    <row r="300" spans="1:22" ht="14.25" thickBot="1" x14ac:dyDescent="0.2">
      <c r="A300" s="35" t="s">
        <v>15</v>
      </c>
      <c r="B300" s="28">
        <f>SUM(B291:B299)</f>
        <v>2</v>
      </c>
      <c r="C300" s="29">
        <f>SUM(C291:C299)</f>
        <v>2</v>
      </c>
      <c r="D300" s="30">
        <f>SUM(D291:D299)</f>
        <v>2</v>
      </c>
      <c r="E300" s="31">
        <f>SUM(B300:D300)</f>
        <v>6</v>
      </c>
      <c r="F300" s="28">
        <f>SUM(F291:F299)</f>
        <v>3</v>
      </c>
      <c r="G300" s="29">
        <f>SUM(G291:G299)</f>
        <v>2</v>
      </c>
      <c r="H300" s="30">
        <f>SUM(H291:H299)</f>
        <v>2</v>
      </c>
      <c r="I300" s="31">
        <f>SUM(F300:H300)</f>
        <v>7</v>
      </c>
      <c r="J300" s="31">
        <f>E300+I300</f>
        <v>13</v>
      </c>
      <c r="L300" s="35" t="s">
        <v>15</v>
      </c>
      <c r="M300" s="38">
        <f>SUM(M291:M299)</f>
        <v>254</v>
      </c>
      <c r="N300" s="39">
        <f>SUM(N291:N299)</f>
        <v>316</v>
      </c>
      <c r="O300" s="2">
        <f>SUM(O291:O299)</f>
        <v>279</v>
      </c>
      <c r="P300" s="31">
        <f>SUM(M300:O300)</f>
        <v>849</v>
      </c>
      <c r="Q300" s="28">
        <f>SUM(Q291:Q299)</f>
        <v>254</v>
      </c>
      <c r="R300" s="29">
        <f>SUM(R291:R299)</f>
        <v>316</v>
      </c>
      <c r="S300" s="30">
        <f>SUM(S291:S299)</f>
        <v>279</v>
      </c>
      <c r="T300" s="31">
        <f>SUM(Q300:S300)</f>
        <v>849</v>
      </c>
      <c r="U300" s="31">
        <f>P300+T300</f>
        <v>1698</v>
      </c>
    </row>
    <row r="301" spans="1:22" x14ac:dyDescent="0.15">
      <c r="A301" s="26" t="s">
        <v>362</v>
      </c>
      <c r="B301" s="13"/>
      <c r="C301" s="14">
        <v>1</v>
      </c>
      <c r="D301" s="15"/>
      <c r="E301" s="49">
        <f>SUM(B301:D301)</f>
        <v>1</v>
      </c>
      <c r="F301" s="16"/>
      <c r="G301" s="14">
        <v>1</v>
      </c>
      <c r="H301" s="15"/>
      <c r="I301" s="49">
        <f>SUM(F301:H301)</f>
        <v>1</v>
      </c>
      <c r="J301" s="11">
        <f>E301+I301</f>
        <v>2</v>
      </c>
      <c r="K301" s="62">
        <v>44135</v>
      </c>
      <c r="L301" s="26" t="s">
        <v>346</v>
      </c>
      <c r="M301" s="91">
        <v>1</v>
      </c>
      <c r="N301" s="92">
        <v>1</v>
      </c>
      <c r="O301" s="93"/>
      <c r="P301" s="87">
        <f t="shared" ref="P301:P302" si="209">SUM(M301:O301)</f>
        <v>2</v>
      </c>
      <c r="Q301" s="12">
        <v>1</v>
      </c>
      <c r="R301" s="9">
        <v>1</v>
      </c>
      <c r="S301" s="10"/>
      <c r="T301" s="49">
        <f t="shared" ref="T301:T302" si="210">SUM(Q301:S301)</f>
        <v>2</v>
      </c>
      <c r="U301" s="11">
        <f t="shared" ref="U301:U302" si="211">P301+T301</f>
        <v>4</v>
      </c>
      <c r="V301" s="98">
        <v>44118</v>
      </c>
    </row>
    <row r="302" spans="1:22" x14ac:dyDescent="0.15">
      <c r="A302" s="26" t="s">
        <v>372</v>
      </c>
      <c r="B302" s="8">
        <v>1</v>
      </c>
      <c r="C302" s="9"/>
      <c r="D302" s="10"/>
      <c r="E302" s="49">
        <f t="shared" ref="E302:E325" si="212">SUM(B302:D302)</f>
        <v>1</v>
      </c>
      <c r="F302" s="12">
        <v>1</v>
      </c>
      <c r="G302" s="9"/>
      <c r="H302" s="10"/>
      <c r="I302" s="49">
        <f t="shared" ref="I302:I325" si="213">SUM(F302:H302)</f>
        <v>1</v>
      </c>
      <c r="J302" s="11">
        <f t="shared" ref="J302:J325" si="214">E302+I302</f>
        <v>2</v>
      </c>
      <c r="K302" s="62">
        <v>44146</v>
      </c>
      <c r="L302" s="26" t="s">
        <v>347</v>
      </c>
      <c r="M302" s="8">
        <v>5</v>
      </c>
      <c r="N302" s="9">
        <v>14</v>
      </c>
      <c r="O302" s="52">
        <v>1</v>
      </c>
      <c r="P302" s="87">
        <f t="shared" si="209"/>
        <v>20</v>
      </c>
      <c r="Q302" s="12">
        <v>5</v>
      </c>
      <c r="R302" s="9">
        <v>14</v>
      </c>
      <c r="S302" s="10">
        <v>1</v>
      </c>
      <c r="T302" s="49">
        <f t="shared" si="210"/>
        <v>20</v>
      </c>
      <c r="U302" s="11">
        <f t="shared" si="211"/>
        <v>40</v>
      </c>
      <c r="V302" s="98">
        <v>44119</v>
      </c>
    </row>
    <row r="303" spans="1:22" x14ac:dyDescent="0.15">
      <c r="A303" s="26"/>
      <c r="B303" s="8"/>
      <c r="C303" s="9"/>
      <c r="D303" s="10"/>
      <c r="E303" s="49">
        <f t="shared" si="212"/>
        <v>0</v>
      </c>
      <c r="F303" s="12"/>
      <c r="G303" s="9"/>
      <c r="H303" s="10"/>
      <c r="I303" s="49">
        <f t="shared" si="213"/>
        <v>0</v>
      </c>
      <c r="J303" s="11">
        <f t="shared" si="214"/>
        <v>0</v>
      </c>
      <c r="K303" s="62"/>
      <c r="L303" s="26" t="s">
        <v>351</v>
      </c>
      <c r="M303" s="13">
        <v>5</v>
      </c>
      <c r="N303" s="14">
        <v>4</v>
      </c>
      <c r="O303" s="53">
        <v>5</v>
      </c>
      <c r="P303" s="87">
        <f>SUM(M303:O303)</f>
        <v>14</v>
      </c>
      <c r="Q303" s="16">
        <v>5</v>
      </c>
      <c r="R303" s="14">
        <v>4</v>
      </c>
      <c r="S303" s="15">
        <v>5</v>
      </c>
      <c r="T303" s="49">
        <f>SUM(Q303:S303)</f>
        <v>14</v>
      </c>
      <c r="U303" s="11">
        <f>P303+T303</f>
        <v>28</v>
      </c>
      <c r="V303" s="98">
        <v>44120</v>
      </c>
    </row>
    <row r="304" spans="1:22" x14ac:dyDescent="0.15">
      <c r="A304" s="26"/>
      <c r="B304" s="8"/>
      <c r="C304" s="9"/>
      <c r="D304" s="10"/>
      <c r="E304" s="49">
        <f t="shared" si="212"/>
        <v>0</v>
      </c>
      <c r="F304" s="12"/>
      <c r="G304" s="9"/>
      <c r="H304" s="10"/>
      <c r="I304" s="49">
        <f t="shared" si="213"/>
        <v>0</v>
      </c>
      <c r="J304" s="11">
        <f t="shared" si="214"/>
        <v>0</v>
      </c>
      <c r="K304" s="62"/>
      <c r="L304" s="26" t="s">
        <v>352</v>
      </c>
      <c r="M304" s="8">
        <v>4</v>
      </c>
      <c r="N304" s="9">
        <v>4</v>
      </c>
      <c r="O304" s="52">
        <v>3</v>
      </c>
      <c r="P304" s="87">
        <f t="shared" ref="P304:P315" si="215">SUM(M304:O304)</f>
        <v>11</v>
      </c>
      <c r="Q304" s="12">
        <v>4</v>
      </c>
      <c r="R304" s="9">
        <v>4</v>
      </c>
      <c r="S304" s="10">
        <v>3</v>
      </c>
      <c r="T304" s="49">
        <f t="shared" ref="T304:T315" si="216">SUM(Q304:S304)</f>
        <v>11</v>
      </c>
      <c r="U304" s="11">
        <f t="shared" ref="U304:U315" si="217">P304+T304</f>
        <v>22</v>
      </c>
      <c r="V304" s="98">
        <v>44121</v>
      </c>
    </row>
    <row r="305" spans="1:22" x14ac:dyDescent="0.15">
      <c r="A305" s="26"/>
      <c r="B305" s="8"/>
      <c r="C305" s="9"/>
      <c r="D305" s="10"/>
      <c r="E305" s="49">
        <f t="shared" si="212"/>
        <v>0</v>
      </c>
      <c r="F305" s="12"/>
      <c r="G305" s="9"/>
      <c r="H305" s="10"/>
      <c r="I305" s="49">
        <f t="shared" si="213"/>
        <v>0</v>
      </c>
      <c r="J305" s="11">
        <f t="shared" si="214"/>
        <v>0</v>
      </c>
      <c r="K305" s="62"/>
      <c r="L305" s="26" t="s">
        <v>353</v>
      </c>
      <c r="M305" s="8">
        <v>5</v>
      </c>
      <c r="N305" s="9">
        <v>6</v>
      </c>
      <c r="O305" s="52">
        <v>10</v>
      </c>
      <c r="P305" s="87">
        <f t="shared" si="215"/>
        <v>21</v>
      </c>
      <c r="Q305" s="12">
        <v>5</v>
      </c>
      <c r="R305" s="9">
        <v>6</v>
      </c>
      <c r="S305" s="10">
        <v>10</v>
      </c>
      <c r="T305" s="49">
        <f t="shared" si="216"/>
        <v>21</v>
      </c>
      <c r="U305" s="11">
        <f t="shared" si="217"/>
        <v>42</v>
      </c>
      <c r="V305" s="98">
        <v>44124</v>
      </c>
    </row>
    <row r="306" spans="1:22" x14ac:dyDescent="0.15">
      <c r="A306" s="26"/>
      <c r="B306" s="8"/>
      <c r="C306" s="9"/>
      <c r="D306" s="10"/>
      <c r="E306" s="49">
        <f t="shared" si="212"/>
        <v>0</v>
      </c>
      <c r="F306" s="12"/>
      <c r="G306" s="9"/>
      <c r="H306" s="10"/>
      <c r="I306" s="49">
        <f t="shared" si="213"/>
        <v>0</v>
      </c>
      <c r="J306" s="11">
        <f t="shared" si="214"/>
        <v>0</v>
      </c>
      <c r="K306" s="62"/>
      <c r="L306" s="26" t="s">
        <v>354</v>
      </c>
      <c r="M306" s="8">
        <v>4</v>
      </c>
      <c r="N306" s="9">
        <v>4</v>
      </c>
      <c r="O306" s="52">
        <v>1</v>
      </c>
      <c r="P306" s="87">
        <f t="shared" si="215"/>
        <v>9</v>
      </c>
      <c r="Q306" s="12">
        <v>4</v>
      </c>
      <c r="R306" s="9">
        <v>4</v>
      </c>
      <c r="S306" s="10">
        <v>1</v>
      </c>
      <c r="T306" s="49">
        <f t="shared" si="216"/>
        <v>9</v>
      </c>
      <c r="U306" s="11">
        <f t="shared" si="217"/>
        <v>18</v>
      </c>
      <c r="V306" s="98">
        <v>44125</v>
      </c>
    </row>
    <row r="307" spans="1:22" x14ac:dyDescent="0.15">
      <c r="A307" s="26"/>
      <c r="B307" s="8"/>
      <c r="C307" s="9"/>
      <c r="D307" s="10"/>
      <c r="E307" s="49">
        <f t="shared" si="212"/>
        <v>0</v>
      </c>
      <c r="F307" s="12"/>
      <c r="G307" s="9"/>
      <c r="H307" s="10"/>
      <c r="I307" s="49">
        <f t="shared" si="213"/>
        <v>0</v>
      </c>
      <c r="J307" s="11">
        <f t="shared" si="214"/>
        <v>0</v>
      </c>
      <c r="K307" s="62"/>
      <c r="L307" s="26" t="s">
        <v>355</v>
      </c>
      <c r="M307" s="8">
        <v>3</v>
      </c>
      <c r="N307" s="9">
        <v>4</v>
      </c>
      <c r="O307" s="52">
        <v>2</v>
      </c>
      <c r="P307" s="87">
        <f t="shared" si="215"/>
        <v>9</v>
      </c>
      <c r="Q307" s="12">
        <v>3</v>
      </c>
      <c r="R307" s="9">
        <v>4</v>
      </c>
      <c r="S307" s="10">
        <v>2</v>
      </c>
      <c r="T307" s="49">
        <f t="shared" si="216"/>
        <v>9</v>
      </c>
      <c r="U307" s="11">
        <f t="shared" si="217"/>
        <v>18</v>
      </c>
      <c r="V307" s="98">
        <v>44126</v>
      </c>
    </row>
    <row r="308" spans="1:22" x14ac:dyDescent="0.15">
      <c r="A308" s="26"/>
      <c r="B308" s="8"/>
      <c r="C308" s="9"/>
      <c r="D308" s="10"/>
      <c r="E308" s="49">
        <f t="shared" si="212"/>
        <v>0</v>
      </c>
      <c r="F308" s="12"/>
      <c r="G308" s="9"/>
      <c r="H308" s="10"/>
      <c r="I308" s="49">
        <f t="shared" si="213"/>
        <v>0</v>
      </c>
      <c r="J308" s="11">
        <f t="shared" si="214"/>
        <v>0</v>
      </c>
      <c r="K308" s="62"/>
      <c r="L308" s="26" t="s">
        <v>356</v>
      </c>
      <c r="M308" s="8">
        <v>1</v>
      </c>
      <c r="N308" s="9"/>
      <c r="O308" s="52">
        <v>2</v>
      </c>
      <c r="P308" s="87">
        <f t="shared" si="215"/>
        <v>3</v>
      </c>
      <c r="Q308" s="12">
        <v>1</v>
      </c>
      <c r="R308" s="9"/>
      <c r="S308" s="10">
        <v>2</v>
      </c>
      <c r="T308" s="49">
        <f t="shared" si="216"/>
        <v>3</v>
      </c>
      <c r="U308" s="11">
        <f t="shared" si="217"/>
        <v>6</v>
      </c>
      <c r="V308" s="98">
        <v>44127</v>
      </c>
    </row>
    <row r="309" spans="1:22" x14ac:dyDescent="0.15">
      <c r="A309" s="26"/>
      <c r="B309" s="8"/>
      <c r="C309" s="9"/>
      <c r="D309" s="10"/>
      <c r="E309" s="49">
        <f t="shared" si="212"/>
        <v>0</v>
      </c>
      <c r="F309" s="12"/>
      <c r="G309" s="9"/>
      <c r="H309" s="10"/>
      <c r="I309" s="49">
        <f t="shared" si="213"/>
        <v>0</v>
      </c>
      <c r="J309" s="11">
        <f t="shared" si="214"/>
        <v>0</v>
      </c>
      <c r="K309" s="62"/>
      <c r="L309" s="26" t="s">
        <v>357</v>
      </c>
      <c r="M309" s="8">
        <v>1</v>
      </c>
      <c r="N309" s="9">
        <v>6</v>
      </c>
      <c r="O309" s="52">
        <v>2</v>
      </c>
      <c r="P309" s="87">
        <f t="shared" si="215"/>
        <v>9</v>
      </c>
      <c r="Q309" s="12">
        <v>1</v>
      </c>
      <c r="R309" s="9">
        <v>6</v>
      </c>
      <c r="S309" s="10">
        <v>2</v>
      </c>
      <c r="T309" s="49">
        <f t="shared" si="216"/>
        <v>9</v>
      </c>
      <c r="U309" s="11">
        <f t="shared" si="217"/>
        <v>18</v>
      </c>
      <c r="V309" s="98">
        <v>44128</v>
      </c>
    </row>
    <row r="310" spans="1:22" x14ac:dyDescent="0.15">
      <c r="A310" s="26"/>
      <c r="B310" s="13"/>
      <c r="C310" s="14"/>
      <c r="D310" s="15"/>
      <c r="E310" s="49">
        <f t="shared" si="212"/>
        <v>0</v>
      </c>
      <c r="F310" s="16"/>
      <c r="G310" s="14"/>
      <c r="H310" s="15"/>
      <c r="I310" s="49">
        <f t="shared" si="213"/>
        <v>0</v>
      </c>
      <c r="J310" s="11">
        <f t="shared" si="214"/>
        <v>0</v>
      </c>
      <c r="K310" s="62"/>
      <c r="L310" s="26" t="s">
        <v>358</v>
      </c>
      <c r="M310" s="13">
        <v>2</v>
      </c>
      <c r="N310" s="14"/>
      <c r="O310" s="53">
        <v>1</v>
      </c>
      <c r="P310" s="87">
        <f t="shared" si="215"/>
        <v>3</v>
      </c>
      <c r="Q310" s="16">
        <v>2</v>
      </c>
      <c r="R310" s="14"/>
      <c r="S310" s="15">
        <v>1</v>
      </c>
      <c r="T310" s="49">
        <f t="shared" si="216"/>
        <v>3</v>
      </c>
      <c r="U310" s="11">
        <f t="shared" si="217"/>
        <v>6</v>
      </c>
      <c r="V310" s="98">
        <v>44132</v>
      </c>
    </row>
    <row r="311" spans="1:22" x14ac:dyDescent="0.15">
      <c r="A311" s="26"/>
      <c r="B311" s="8"/>
      <c r="C311" s="9"/>
      <c r="D311" s="10"/>
      <c r="E311" s="49">
        <f t="shared" si="212"/>
        <v>0</v>
      </c>
      <c r="F311" s="12"/>
      <c r="G311" s="9"/>
      <c r="H311" s="10"/>
      <c r="I311" s="49">
        <f t="shared" si="213"/>
        <v>0</v>
      </c>
      <c r="J311" s="11">
        <f t="shared" si="214"/>
        <v>0</v>
      </c>
      <c r="K311" s="62"/>
      <c r="L311" s="26" t="s">
        <v>359</v>
      </c>
      <c r="M311" s="8">
        <v>1</v>
      </c>
      <c r="N311" s="9">
        <v>1</v>
      </c>
      <c r="O311" s="52">
        <v>7</v>
      </c>
      <c r="P311" s="87">
        <f t="shared" si="215"/>
        <v>9</v>
      </c>
      <c r="Q311" s="12">
        <v>1</v>
      </c>
      <c r="R311" s="9">
        <v>1</v>
      </c>
      <c r="S311" s="10">
        <v>7</v>
      </c>
      <c r="T311" s="49">
        <f t="shared" si="216"/>
        <v>9</v>
      </c>
      <c r="U311" s="11">
        <f t="shared" si="217"/>
        <v>18</v>
      </c>
      <c r="V311" s="98">
        <v>44138</v>
      </c>
    </row>
    <row r="312" spans="1:22" x14ac:dyDescent="0.15">
      <c r="A312" s="26"/>
      <c r="B312" s="8"/>
      <c r="C312" s="9"/>
      <c r="D312" s="10"/>
      <c r="E312" s="49">
        <f t="shared" si="212"/>
        <v>0</v>
      </c>
      <c r="F312" s="12"/>
      <c r="G312" s="9"/>
      <c r="H312" s="10"/>
      <c r="I312" s="49">
        <f t="shared" si="213"/>
        <v>0</v>
      </c>
      <c r="J312" s="11">
        <f t="shared" si="214"/>
        <v>0</v>
      </c>
      <c r="K312" s="62"/>
      <c r="L312" s="26" t="s">
        <v>361</v>
      </c>
      <c r="M312" s="8">
        <v>6</v>
      </c>
      <c r="N312" s="9">
        <v>10</v>
      </c>
      <c r="O312" s="52">
        <v>7</v>
      </c>
      <c r="P312" s="87">
        <f t="shared" si="215"/>
        <v>23</v>
      </c>
      <c r="Q312" s="12">
        <v>6</v>
      </c>
      <c r="R312" s="9">
        <v>10</v>
      </c>
      <c r="S312" s="10">
        <v>7</v>
      </c>
      <c r="T312" s="49">
        <f t="shared" si="216"/>
        <v>23</v>
      </c>
      <c r="U312" s="11">
        <f t="shared" si="217"/>
        <v>46</v>
      </c>
      <c r="V312" s="98">
        <v>44140</v>
      </c>
    </row>
    <row r="313" spans="1:22" x14ac:dyDescent="0.15">
      <c r="A313" s="26"/>
      <c r="B313" s="8"/>
      <c r="C313" s="9"/>
      <c r="D313" s="10"/>
      <c r="E313" s="49">
        <f t="shared" si="212"/>
        <v>0</v>
      </c>
      <c r="F313" s="12"/>
      <c r="G313" s="9"/>
      <c r="H313" s="10"/>
      <c r="I313" s="49">
        <f t="shared" si="213"/>
        <v>0</v>
      </c>
      <c r="J313" s="11">
        <f t="shared" si="214"/>
        <v>0</v>
      </c>
      <c r="K313" s="62"/>
      <c r="L313" s="26" t="s">
        <v>363</v>
      </c>
      <c r="M313" s="8">
        <v>2</v>
      </c>
      <c r="N313" s="9">
        <v>7</v>
      </c>
      <c r="O313" s="52">
        <v>10</v>
      </c>
      <c r="P313" s="87">
        <f t="shared" si="215"/>
        <v>19</v>
      </c>
      <c r="Q313" s="12">
        <v>2</v>
      </c>
      <c r="R313" s="9">
        <v>7</v>
      </c>
      <c r="S313" s="10">
        <v>10</v>
      </c>
      <c r="T313" s="49">
        <f t="shared" si="216"/>
        <v>19</v>
      </c>
      <c r="U313" s="11">
        <f t="shared" si="217"/>
        <v>38</v>
      </c>
      <c r="V313" s="98">
        <v>44141</v>
      </c>
    </row>
    <row r="314" spans="1:22" x14ac:dyDescent="0.15">
      <c r="A314" s="26"/>
      <c r="B314" s="8"/>
      <c r="C314" s="9"/>
      <c r="D314" s="10"/>
      <c r="E314" s="49">
        <f t="shared" si="212"/>
        <v>0</v>
      </c>
      <c r="F314" s="12"/>
      <c r="G314" s="9"/>
      <c r="H314" s="10"/>
      <c r="I314" s="49">
        <f t="shared" si="213"/>
        <v>0</v>
      </c>
      <c r="J314" s="11">
        <f t="shared" si="214"/>
        <v>0</v>
      </c>
      <c r="K314" s="62"/>
      <c r="L314" s="26" t="s">
        <v>364</v>
      </c>
      <c r="M314" s="8">
        <v>3</v>
      </c>
      <c r="N314" s="9">
        <v>5</v>
      </c>
      <c r="O314" s="52"/>
      <c r="P314" s="87">
        <f t="shared" si="215"/>
        <v>8</v>
      </c>
      <c r="Q314" s="12">
        <v>3</v>
      </c>
      <c r="R314" s="9">
        <v>5</v>
      </c>
      <c r="S314" s="10"/>
      <c r="T314" s="49">
        <f t="shared" si="216"/>
        <v>8</v>
      </c>
      <c r="U314" s="11">
        <f t="shared" si="217"/>
        <v>16</v>
      </c>
      <c r="V314" s="98">
        <v>44142</v>
      </c>
    </row>
    <row r="315" spans="1:22" x14ac:dyDescent="0.15">
      <c r="A315" s="26"/>
      <c r="B315" s="8"/>
      <c r="C315" s="9"/>
      <c r="D315" s="10"/>
      <c r="E315" s="49">
        <f t="shared" si="212"/>
        <v>0</v>
      </c>
      <c r="F315" s="12"/>
      <c r="G315" s="9"/>
      <c r="H315" s="10"/>
      <c r="I315" s="49">
        <f t="shared" si="213"/>
        <v>0</v>
      </c>
      <c r="J315" s="11">
        <f t="shared" si="214"/>
        <v>0</v>
      </c>
      <c r="K315" s="62"/>
      <c r="L315" s="26" t="s">
        <v>366</v>
      </c>
      <c r="M315" s="8">
        <v>1</v>
      </c>
      <c r="N315" s="9">
        <v>3</v>
      </c>
      <c r="O315" s="52">
        <v>6</v>
      </c>
      <c r="P315" s="87">
        <f t="shared" si="215"/>
        <v>10</v>
      </c>
      <c r="Q315" s="12">
        <v>1</v>
      </c>
      <c r="R315" s="9">
        <v>3</v>
      </c>
      <c r="S315" s="10">
        <v>6</v>
      </c>
      <c r="T315" s="49">
        <f t="shared" si="216"/>
        <v>10</v>
      </c>
      <c r="U315" s="11">
        <f t="shared" si="217"/>
        <v>20</v>
      </c>
      <c r="V315" s="98">
        <v>44145</v>
      </c>
    </row>
    <row r="316" spans="1:22" x14ac:dyDescent="0.15">
      <c r="A316" s="26"/>
      <c r="B316" s="8"/>
      <c r="C316" s="9"/>
      <c r="D316" s="10"/>
      <c r="E316" s="49">
        <f t="shared" si="212"/>
        <v>0</v>
      </c>
      <c r="F316" s="12"/>
      <c r="G316" s="9"/>
      <c r="H316" s="10"/>
      <c r="I316" s="49">
        <f t="shared" si="213"/>
        <v>0</v>
      </c>
      <c r="J316" s="11">
        <f t="shared" si="214"/>
        <v>0</v>
      </c>
      <c r="K316" s="62"/>
      <c r="L316" s="26" t="s">
        <v>367</v>
      </c>
      <c r="M316" s="13">
        <v>2</v>
      </c>
      <c r="N316" s="14">
        <v>7</v>
      </c>
      <c r="O316" s="53"/>
      <c r="P316" s="87">
        <f>SUM(M316:O316)</f>
        <v>9</v>
      </c>
      <c r="Q316" s="16">
        <v>2</v>
      </c>
      <c r="R316" s="14">
        <v>7</v>
      </c>
      <c r="S316" s="15"/>
      <c r="T316" s="49">
        <f>SUM(Q316:S316)</f>
        <v>9</v>
      </c>
      <c r="U316" s="11">
        <f>P316+T316</f>
        <v>18</v>
      </c>
      <c r="V316" s="98">
        <v>44146</v>
      </c>
    </row>
    <row r="317" spans="1:22" x14ac:dyDescent="0.15">
      <c r="A317" s="26"/>
      <c r="B317" s="8"/>
      <c r="C317" s="9"/>
      <c r="D317" s="10"/>
      <c r="E317" s="49">
        <f t="shared" si="212"/>
        <v>0</v>
      </c>
      <c r="F317" s="12"/>
      <c r="G317" s="9"/>
      <c r="H317" s="10"/>
      <c r="I317" s="49">
        <f t="shared" si="213"/>
        <v>0</v>
      </c>
      <c r="J317" s="11">
        <f t="shared" si="214"/>
        <v>0</v>
      </c>
      <c r="K317" s="62"/>
      <c r="L317" s="26" t="s">
        <v>370</v>
      </c>
      <c r="M317" s="13">
        <v>7</v>
      </c>
      <c r="N317" s="14">
        <v>4</v>
      </c>
      <c r="O317" s="53">
        <v>2</v>
      </c>
      <c r="P317" s="87">
        <f>SUM(M317:O317)</f>
        <v>13</v>
      </c>
      <c r="Q317" s="16">
        <v>7</v>
      </c>
      <c r="R317" s="14">
        <v>4</v>
      </c>
      <c r="S317" s="15">
        <v>2</v>
      </c>
      <c r="T317" s="49">
        <f>SUM(Q317:S317)</f>
        <v>13</v>
      </c>
      <c r="U317" s="11">
        <f>P317+T317</f>
        <v>26</v>
      </c>
      <c r="V317" s="98">
        <v>44147</v>
      </c>
    </row>
    <row r="318" spans="1:22" x14ac:dyDescent="0.15">
      <c r="A318" s="24"/>
      <c r="B318" s="8"/>
      <c r="C318" s="9"/>
      <c r="D318" s="10"/>
      <c r="E318" s="49">
        <f t="shared" si="212"/>
        <v>0</v>
      </c>
      <c r="F318" s="12"/>
      <c r="G318" s="9"/>
      <c r="H318" s="10"/>
      <c r="I318" s="49">
        <f t="shared" si="213"/>
        <v>0</v>
      </c>
      <c r="J318" s="11">
        <f t="shared" si="214"/>
        <v>0</v>
      </c>
      <c r="K318" s="62"/>
      <c r="L318" s="26" t="s">
        <v>369</v>
      </c>
      <c r="M318" s="8"/>
      <c r="N318" s="9">
        <v>3</v>
      </c>
      <c r="O318" s="52">
        <v>3</v>
      </c>
      <c r="P318" s="87">
        <f t="shared" ref="P318:P319" si="218">SUM(M318:O318)</f>
        <v>6</v>
      </c>
      <c r="Q318" s="12"/>
      <c r="R318" s="9">
        <v>3</v>
      </c>
      <c r="S318" s="10">
        <v>3</v>
      </c>
      <c r="T318" s="49">
        <f t="shared" ref="T318:T319" si="219">SUM(Q318:S318)</f>
        <v>6</v>
      </c>
      <c r="U318" s="11">
        <f t="shared" ref="U318:U319" si="220">P318+T318</f>
        <v>12</v>
      </c>
      <c r="V318" s="98">
        <v>44148</v>
      </c>
    </row>
    <row r="319" spans="1:22" x14ac:dyDescent="0.15">
      <c r="A319" s="25"/>
      <c r="B319" s="8"/>
      <c r="C319" s="9"/>
      <c r="D319" s="10"/>
      <c r="E319" s="49">
        <f t="shared" si="212"/>
        <v>0</v>
      </c>
      <c r="F319" s="12"/>
      <c r="G319" s="9"/>
      <c r="H319" s="10"/>
      <c r="I319" s="49">
        <f t="shared" si="213"/>
        <v>0</v>
      </c>
      <c r="J319" s="11">
        <f t="shared" si="214"/>
        <v>0</v>
      </c>
      <c r="K319" s="64"/>
      <c r="L319" s="26" t="s">
        <v>371</v>
      </c>
      <c r="M319" s="8">
        <v>1</v>
      </c>
      <c r="N319" s="9">
        <v>2</v>
      </c>
      <c r="O319" s="52">
        <v>8</v>
      </c>
      <c r="P319" s="87">
        <f t="shared" si="218"/>
        <v>11</v>
      </c>
      <c r="Q319" s="12">
        <v>1</v>
      </c>
      <c r="R319" s="9">
        <v>2</v>
      </c>
      <c r="S319" s="10">
        <v>8</v>
      </c>
      <c r="T319" s="49">
        <f t="shared" si="219"/>
        <v>11</v>
      </c>
      <c r="U319" s="11">
        <f t="shared" si="220"/>
        <v>22</v>
      </c>
      <c r="V319" s="98">
        <v>44149</v>
      </c>
    </row>
    <row r="320" spans="1:22" x14ac:dyDescent="0.15">
      <c r="A320" s="26"/>
      <c r="B320" s="8"/>
      <c r="C320" s="9"/>
      <c r="D320" s="10"/>
      <c r="E320" s="49">
        <f t="shared" si="212"/>
        <v>0</v>
      </c>
      <c r="F320" s="12"/>
      <c r="G320" s="9"/>
      <c r="H320" s="10"/>
      <c r="I320" s="49">
        <f t="shared" si="213"/>
        <v>0</v>
      </c>
      <c r="J320" s="11">
        <f t="shared" si="214"/>
        <v>0</v>
      </c>
      <c r="K320" s="62"/>
      <c r="L320" s="26" t="s">
        <v>373</v>
      </c>
      <c r="M320" s="13">
        <v>6</v>
      </c>
      <c r="N320" s="14">
        <v>9</v>
      </c>
      <c r="O320" s="53">
        <v>6</v>
      </c>
      <c r="P320" s="87">
        <f>SUM(M320:O320)</f>
        <v>21</v>
      </c>
      <c r="Q320" s="16">
        <v>6</v>
      </c>
      <c r="R320" s="14">
        <v>9</v>
      </c>
      <c r="S320" s="15">
        <v>6</v>
      </c>
      <c r="T320" s="49">
        <f>SUM(Q320:S320)</f>
        <v>21</v>
      </c>
      <c r="U320" s="11">
        <f>P320+T320</f>
        <v>42</v>
      </c>
      <c r="V320" s="98">
        <v>44152</v>
      </c>
    </row>
    <row r="321" spans="1:22" x14ac:dyDescent="0.15">
      <c r="A321" s="24"/>
      <c r="B321" s="8"/>
      <c r="C321" s="9"/>
      <c r="D321" s="10"/>
      <c r="E321" s="49">
        <f t="shared" si="212"/>
        <v>0</v>
      </c>
      <c r="F321" s="12"/>
      <c r="G321" s="9"/>
      <c r="H321" s="10"/>
      <c r="I321" s="49">
        <f t="shared" si="213"/>
        <v>0</v>
      </c>
      <c r="J321" s="11">
        <f t="shared" si="214"/>
        <v>0</v>
      </c>
      <c r="K321" s="62"/>
      <c r="L321" s="26" t="s">
        <v>375</v>
      </c>
      <c r="M321" s="8">
        <v>6</v>
      </c>
      <c r="N321" s="9">
        <v>2</v>
      </c>
      <c r="O321" s="52">
        <v>3</v>
      </c>
      <c r="P321" s="87">
        <f t="shared" ref="P321:P327" si="221">SUM(M321:O321)</f>
        <v>11</v>
      </c>
      <c r="Q321" s="8">
        <v>6</v>
      </c>
      <c r="R321" s="9">
        <v>2</v>
      </c>
      <c r="S321" s="10">
        <v>3</v>
      </c>
      <c r="T321" s="49">
        <f t="shared" ref="T321:T327" si="222">SUM(Q321:S321)</f>
        <v>11</v>
      </c>
      <c r="U321" s="11">
        <f t="shared" ref="U321:U326" si="223">P321+T321</f>
        <v>22</v>
      </c>
      <c r="V321" s="98">
        <v>44153</v>
      </c>
    </row>
    <row r="322" spans="1:22" x14ac:dyDescent="0.15">
      <c r="B322" s="13"/>
      <c r="C322" s="14"/>
      <c r="D322" s="15"/>
      <c r="E322" s="49">
        <f t="shared" si="212"/>
        <v>0</v>
      </c>
      <c r="F322" s="16"/>
      <c r="G322" s="14"/>
      <c r="H322" s="15"/>
      <c r="I322" s="49">
        <f t="shared" si="213"/>
        <v>0</v>
      </c>
      <c r="J322" s="11">
        <f t="shared" si="214"/>
        <v>0</v>
      </c>
      <c r="K322" s="65"/>
      <c r="L322" s="26" t="s">
        <v>376</v>
      </c>
      <c r="M322" s="8">
        <v>2</v>
      </c>
      <c r="N322" s="9">
        <v>4</v>
      </c>
      <c r="O322" s="52">
        <v>9</v>
      </c>
      <c r="P322" s="87">
        <f t="shared" si="221"/>
        <v>15</v>
      </c>
      <c r="Q322" s="12">
        <v>2</v>
      </c>
      <c r="R322" s="9">
        <v>4</v>
      </c>
      <c r="S322" s="10">
        <v>9</v>
      </c>
      <c r="T322" s="49">
        <f t="shared" si="222"/>
        <v>15</v>
      </c>
      <c r="U322" s="11">
        <f t="shared" si="223"/>
        <v>30</v>
      </c>
      <c r="V322" s="98">
        <v>44154</v>
      </c>
    </row>
    <row r="323" spans="1:22" x14ac:dyDescent="0.15">
      <c r="A323" s="26"/>
      <c r="B323" s="8"/>
      <c r="C323" s="9"/>
      <c r="D323" s="10"/>
      <c r="E323" s="49">
        <f t="shared" si="212"/>
        <v>0</v>
      </c>
      <c r="F323" s="12"/>
      <c r="G323" s="9"/>
      <c r="H323" s="10"/>
      <c r="I323" s="49">
        <f t="shared" si="213"/>
        <v>0</v>
      </c>
      <c r="J323" s="11">
        <f t="shared" si="214"/>
        <v>0</v>
      </c>
      <c r="K323" s="62"/>
      <c r="L323" s="26" t="s">
        <v>377</v>
      </c>
      <c r="M323" s="8">
        <v>1</v>
      </c>
      <c r="N323" s="9">
        <v>2</v>
      </c>
      <c r="O323" s="52">
        <v>1</v>
      </c>
      <c r="P323" s="87">
        <f t="shared" ref="P323" si="224">SUM(M323:O323)</f>
        <v>4</v>
      </c>
      <c r="Q323" s="12">
        <v>1</v>
      </c>
      <c r="R323" s="9">
        <v>2</v>
      </c>
      <c r="S323" s="10">
        <v>1</v>
      </c>
      <c r="T323" s="49">
        <f t="shared" ref="T323" si="225">SUM(Q323:S323)</f>
        <v>4</v>
      </c>
      <c r="U323" s="11">
        <f t="shared" ref="U323" si="226">P323+T323</f>
        <v>8</v>
      </c>
      <c r="V323" s="98">
        <v>44155</v>
      </c>
    </row>
    <row r="324" spans="1:22" x14ac:dyDescent="0.15">
      <c r="A324" s="26"/>
      <c r="B324" s="8"/>
      <c r="C324" s="9"/>
      <c r="D324" s="10"/>
      <c r="E324" s="49">
        <f t="shared" si="212"/>
        <v>0</v>
      </c>
      <c r="F324" s="12"/>
      <c r="G324" s="9"/>
      <c r="H324" s="10"/>
      <c r="I324" s="49">
        <f t="shared" si="213"/>
        <v>0</v>
      </c>
      <c r="J324" s="11">
        <f t="shared" si="214"/>
        <v>0</v>
      </c>
      <c r="K324" s="62"/>
      <c r="L324" s="86"/>
      <c r="M324" s="8"/>
      <c r="N324" s="9"/>
      <c r="O324" s="52"/>
      <c r="P324" s="87">
        <f t="shared" si="221"/>
        <v>0</v>
      </c>
      <c r="Q324" s="12"/>
      <c r="R324" s="9"/>
      <c r="S324" s="10"/>
      <c r="T324" s="49">
        <f t="shared" si="222"/>
        <v>0</v>
      </c>
      <c r="U324" s="11">
        <f t="shared" si="223"/>
        <v>0</v>
      </c>
      <c r="V324" s="100"/>
    </row>
    <row r="325" spans="1:22" x14ac:dyDescent="0.15">
      <c r="A325" s="26"/>
      <c r="B325" s="8"/>
      <c r="C325" s="9"/>
      <c r="D325" s="10"/>
      <c r="E325" s="49">
        <f t="shared" si="212"/>
        <v>0</v>
      </c>
      <c r="F325" s="12"/>
      <c r="G325" s="9"/>
      <c r="H325" s="10"/>
      <c r="I325" s="49">
        <f t="shared" si="213"/>
        <v>0</v>
      </c>
      <c r="J325" s="11">
        <f t="shared" si="214"/>
        <v>0</v>
      </c>
      <c r="K325" s="62"/>
      <c r="L325" s="86" t="s">
        <v>339</v>
      </c>
      <c r="M325" s="8"/>
      <c r="N325" s="9"/>
      <c r="O325" s="52"/>
      <c r="P325" s="87">
        <f t="shared" si="221"/>
        <v>0</v>
      </c>
      <c r="Q325" s="8"/>
      <c r="R325" s="9"/>
      <c r="S325" s="52"/>
      <c r="T325" s="49">
        <f t="shared" si="222"/>
        <v>0</v>
      </c>
      <c r="U325" s="11">
        <f t="shared" si="223"/>
        <v>0</v>
      </c>
      <c r="V325" s="100" t="s">
        <v>337</v>
      </c>
    </row>
    <row r="326" spans="1:22" ht="14.25" thickBot="1" x14ac:dyDescent="0.2">
      <c r="A326" s="23"/>
      <c r="B326" s="13"/>
      <c r="C326" s="14"/>
      <c r="D326" s="15"/>
      <c r="E326" s="49">
        <f>SUM(B326:D326)</f>
        <v>0</v>
      </c>
      <c r="F326" s="16"/>
      <c r="G326" s="14"/>
      <c r="H326" s="15"/>
      <c r="I326" s="49">
        <f>SUM(F326:H326)</f>
        <v>0</v>
      </c>
      <c r="J326" s="11">
        <f>E326+I326</f>
        <v>0</v>
      </c>
      <c r="K326" s="62"/>
      <c r="L326" s="86" t="s">
        <v>335</v>
      </c>
      <c r="M326" s="102"/>
      <c r="N326" s="103"/>
      <c r="O326" s="104"/>
      <c r="P326" s="87">
        <f t="shared" si="221"/>
        <v>0</v>
      </c>
      <c r="Q326" s="102"/>
      <c r="R326" s="103"/>
      <c r="S326" s="104"/>
      <c r="T326" s="49">
        <f t="shared" si="222"/>
        <v>0</v>
      </c>
      <c r="U326" s="11">
        <f t="shared" si="223"/>
        <v>0</v>
      </c>
      <c r="V326" s="100" t="s">
        <v>336</v>
      </c>
    </row>
    <row r="327" spans="1:22" ht="14.25" thickBot="1" x14ac:dyDescent="0.2">
      <c r="A327" s="41" t="s">
        <v>17</v>
      </c>
      <c r="B327" s="46">
        <f>SUM(B301:B326)</f>
        <v>1</v>
      </c>
      <c r="C327" s="47">
        <f t="shared" ref="C327:D327" si="227">SUM(C301:C326)</f>
        <v>1</v>
      </c>
      <c r="D327" s="58">
        <f t="shared" si="227"/>
        <v>0</v>
      </c>
      <c r="E327" s="45">
        <f t="shared" ref="E327" si="228">SUM(B327:D327)</f>
        <v>2</v>
      </c>
      <c r="F327" s="46">
        <f>SUM(F301:F326)</f>
        <v>1</v>
      </c>
      <c r="G327" s="47">
        <f t="shared" ref="G327:H327" si="229">SUM(G301:G326)</f>
        <v>1</v>
      </c>
      <c r="H327" s="58">
        <f t="shared" si="229"/>
        <v>0</v>
      </c>
      <c r="I327" s="45">
        <f t="shared" ref="I327" si="230">SUM(F327:H327)</f>
        <v>2</v>
      </c>
      <c r="J327" s="45">
        <f>E327+I327</f>
        <v>4</v>
      </c>
      <c r="K327" s="40"/>
      <c r="L327" s="41" t="s">
        <v>17</v>
      </c>
      <c r="M327" s="46">
        <f>SUM(M301:M326)</f>
        <v>69</v>
      </c>
      <c r="N327" s="47">
        <f t="shared" ref="N327:O327" si="231">SUM(N301:N326)</f>
        <v>102</v>
      </c>
      <c r="O327" s="58">
        <f t="shared" si="231"/>
        <v>89</v>
      </c>
      <c r="P327" s="45">
        <f t="shared" si="221"/>
        <v>260</v>
      </c>
      <c r="Q327" s="46">
        <f>SUM(Q301:Q326)</f>
        <v>69</v>
      </c>
      <c r="R327" s="47">
        <f t="shared" ref="R327:S327" si="232">SUM(R301:R326)</f>
        <v>102</v>
      </c>
      <c r="S327" s="58">
        <f t="shared" si="232"/>
        <v>89</v>
      </c>
      <c r="T327" s="45">
        <f t="shared" si="222"/>
        <v>260</v>
      </c>
      <c r="U327" s="45">
        <f>P327+T327</f>
        <v>520</v>
      </c>
    </row>
    <row r="328" spans="1:22" ht="14.25" thickBot="1" x14ac:dyDescent="0.2">
      <c r="A328" s="22" t="s">
        <v>16</v>
      </c>
      <c r="B328" s="50">
        <f>B300-B327</f>
        <v>1</v>
      </c>
      <c r="C328" s="56">
        <f t="shared" ref="C328:D328" si="233">C300-C327</f>
        <v>1</v>
      </c>
      <c r="D328" s="57">
        <f t="shared" si="233"/>
        <v>2</v>
      </c>
      <c r="E328" s="55">
        <f>SUM(B328:D328)</f>
        <v>4</v>
      </c>
      <c r="F328" s="50">
        <f>F300-F327</f>
        <v>2</v>
      </c>
      <c r="G328" s="56">
        <f t="shared" ref="G328:H328" si="234">G300-G327</f>
        <v>1</v>
      </c>
      <c r="H328" s="57">
        <f t="shared" si="234"/>
        <v>2</v>
      </c>
      <c r="I328" s="55">
        <f>SUM(F328:H328)</f>
        <v>5</v>
      </c>
      <c r="J328" s="31">
        <f>E328+I328</f>
        <v>9</v>
      </c>
      <c r="L328" s="22" t="s">
        <v>16</v>
      </c>
      <c r="M328" s="50">
        <f>M300-M327</f>
        <v>185</v>
      </c>
      <c r="N328" s="56">
        <f t="shared" ref="N328:O328" si="235">N300-N327</f>
        <v>214</v>
      </c>
      <c r="O328" s="57">
        <f t="shared" si="235"/>
        <v>190</v>
      </c>
      <c r="P328" s="55">
        <f>SUM(M328:O328)</f>
        <v>589</v>
      </c>
      <c r="Q328" s="50">
        <f>Q300-Q327</f>
        <v>185</v>
      </c>
      <c r="R328" s="56">
        <f t="shared" ref="R328:S328" si="236">R300-R327</f>
        <v>214</v>
      </c>
      <c r="S328" s="57">
        <f t="shared" si="236"/>
        <v>190</v>
      </c>
      <c r="T328" s="55">
        <f>SUM(Q328:S328)</f>
        <v>589</v>
      </c>
      <c r="U328" s="31">
        <f>P328+T328</f>
        <v>1178</v>
      </c>
    </row>
    <row r="329" spans="1:22" ht="19.5" thickBot="1" x14ac:dyDescent="0.25">
      <c r="A329" s="3" t="s">
        <v>20</v>
      </c>
      <c r="B329" s="1"/>
      <c r="C329" s="1"/>
      <c r="D329" s="1"/>
      <c r="E329" s="1"/>
      <c r="F329" s="1"/>
      <c r="G329" s="1"/>
      <c r="H329" s="1"/>
      <c r="I329" s="1"/>
      <c r="J329" s="1"/>
      <c r="L329" s="3" t="s">
        <v>21</v>
      </c>
      <c r="M329" s="1"/>
      <c r="N329" s="1"/>
      <c r="O329" s="1"/>
      <c r="P329" s="1"/>
      <c r="Q329" s="1"/>
      <c r="R329" s="1"/>
      <c r="S329" s="1"/>
      <c r="T329" s="1"/>
      <c r="U329" s="1"/>
    </row>
    <row r="330" spans="1:22" ht="14.25" thickBot="1" x14ac:dyDescent="0.2">
      <c r="A330" s="7"/>
      <c r="B330" s="176" t="s">
        <v>22</v>
      </c>
      <c r="C330" s="177"/>
      <c r="D330" s="177"/>
      <c r="E330" s="178"/>
      <c r="F330" s="176" t="s">
        <v>23</v>
      </c>
      <c r="G330" s="177"/>
      <c r="H330" s="177"/>
      <c r="I330" s="179"/>
      <c r="J330" s="174" t="s">
        <v>0</v>
      </c>
      <c r="L330" s="7"/>
      <c r="M330" s="169" t="s">
        <v>22</v>
      </c>
      <c r="N330" s="170"/>
      <c r="O330" s="170"/>
      <c r="P330" s="171"/>
      <c r="Q330" s="169" t="s">
        <v>23</v>
      </c>
      <c r="R330" s="170"/>
      <c r="S330" s="170"/>
      <c r="T330" s="171"/>
      <c r="U330" s="174" t="s">
        <v>0</v>
      </c>
    </row>
    <row r="331" spans="1:22" ht="14.25" thickBot="1" x14ac:dyDescent="0.2">
      <c r="A331" s="7" t="s">
        <v>1</v>
      </c>
      <c r="B331" s="4" t="s">
        <v>2</v>
      </c>
      <c r="C331" s="5" t="s">
        <v>3</v>
      </c>
      <c r="D331" s="6" t="s">
        <v>4</v>
      </c>
      <c r="E331" s="7" t="s">
        <v>5</v>
      </c>
      <c r="F331" s="4" t="s">
        <v>2</v>
      </c>
      <c r="G331" s="5" t="s">
        <v>3</v>
      </c>
      <c r="H331" s="6" t="s">
        <v>4</v>
      </c>
      <c r="I331" s="7" t="s">
        <v>5</v>
      </c>
      <c r="J331" s="175"/>
      <c r="L331" s="7" t="s">
        <v>1</v>
      </c>
      <c r="M331" s="4" t="s">
        <v>2</v>
      </c>
      <c r="N331" s="5" t="s">
        <v>3</v>
      </c>
      <c r="O331" s="6" t="s">
        <v>4</v>
      </c>
      <c r="P331" s="7" t="s">
        <v>5</v>
      </c>
      <c r="Q331" s="4" t="s">
        <v>2</v>
      </c>
      <c r="R331" s="5" t="s">
        <v>3</v>
      </c>
      <c r="S331" s="6" t="s">
        <v>4</v>
      </c>
      <c r="T331" s="7" t="s">
        <v>5</v>
      </c>
      <c r="U331" s="175"/>
    </row>
    <row r="332" spans="1:22" ht="14.25" thickBot="1" x14ac:dyDescent="0.2">
      <c r="A332" s="27" t="s">
        <v>16</v>
      </c>
      <c r="B332" s="38">
        <f>B328</f>
        <v>1</v>
      </c>
      <c r="C332" s="39">
        <f>C328</f>
        <v>1</v>
      </c>
      <c r="D332" s="2">
        <f>D328</f>
        <v>2</v>
      </c>
      <c r="E332" s="36">
        <f>SUM(B332:D332)</f>
        <v>4</v>
      </c>
      <c r="F332" s="38">
        <f>F328</f>
        <v>2</v>
      </c>
      <c r="G332" s="39">
        <f>G328</f>
        <v>1</v>
      </c>
      <c r="H332" s="2">
        <f>H328</f>
        <v>2</v>
      </c>
      <c r="I332" s="36">
        <f>SUM(F332:H332)</f>
        <v>5</v>
      </c>
      <c r="J332" s="36">
        <f>E332+I332</f>
        <v>9</v>
      </c>
      <c r="L332" s="27" t="s">
        <v>16</v>
      </c>
      <c r="M332" s="38">
        <f>M328</f>
        <v>185</v>
      </c>
      <c r="N332" s="39">
        <f>N328</f>
        <v>214</v>
      </c>
      <c r="O332" s="2">
        <f>O328</f>
        <v>190</v>
      </c>
      <c r="P332" s="36">
        <f>SUM(M332:O332)</f>
        <v>589</v>
      </c>
      <c r="Q332" s="38">
        <f>Q328</f>
        <v>185</v>
      </c>
      <c r="R332" s="39">
        <f>R328</f>
        <v>214</v>
      </c>
      <c r="S332" s="2">
        <f>S328</f>
        <v>190</v>
      </c>
      <c r="T332" s="36">
        <f>SUM(Q332:S332)</f>
        <v>589</v>
      </c>
      <c r="U332" s="36">
        <f>P332+T332</f>
        <v>1178</v>
      </c>
    </row>
    <row r="333" spans="1:22" x14ac:dyDescent="0.15">
      <c r="A333" s="25" t="s">
        <v>387</v>
      </c>
      <c r="B333" s="42">
        <v>1</v>
      </c>
      <c r="C333" s="43"/>
      <c r="D333" s="44">
        <v>1</v>
      </c>
      <c r="E333" s="48">
        <f>SUM(B333:D333)</f>
        <v>2</v>
      </c>
      <c r="F333" s="59">
        <v>1</v>
      </c>
      <c r="G333" s="43"/>
      <c r="H333" s="60">
        <v>1</v>
      </c>
      <c r="I333" s="48">
        <f>SUM(F333:H333)</f>
        <v>2</v>
      </c>
      <c r="J333" s="48">
        <f>E333+I333</f>
        <v>4</v>
      </c>
      <c r="K333" s="64">
        <v>44161</v>
      </c>
      <c r="L333" s="25" t="s">
        <v>312</v>
      </c>
      <c r="M333" s="42">
        <v>1</v>
      </c>
      <c r="N333" s="43"/>
      <c r="O333" s="44"/>
      <c r="P333" s="48">
        <f>SUM(M333:O333)</f>
        <v>1</v>
      </c>
      <c r="Q333" s="59">
        <v>1</v>
      </c>
      <c r="R333" s="43"/>
      <c r="S333" s="60"/>
      <c r="T333" s="48">
        <f>SUM(Q333:S333)</f>
        <v>1</v>
      </c>
      <c r="U333" s="48">
        <f>P333+T333</f>
        <v>2</v>
      </c>
      <c r="V333" s="99">
        <v>44156</v>
      </c>
    </row>
    <row r="334" spans="1:22" x14ac:dyDescent="0.15">
      <c r="A334" s="25" t="s">
        <v>52</v>
      </c>
      <c r="B334" s="8">
        <v>1</v>
      </c>
      <c r="C334" s="9">
        <v>2</v>
      </c>
      <c r="D334" s="52"/>
      <c r="E334" s="11">
        <f>SUM(B334:D334)</f>
        <v>3</v>
      </c>
      <c r="F334" s="12">
        <v>1</v>
      </c>
      <c r="G334" s="9">
        <v>2</v>
      </c>
      <c r="H334" s="10"/>
      <c r="I334" s="11">
        <f>SUM(F334:H334)</f>
        <v>3</v>
      </c>
      <c r="J334" s="11">
        <f>E334+I334</f>
        <v>6</v>
      </c>
      <c r="K334" s="64">
        <v>44189</v>
      </c>
      <c r="L334" s="25" t="s">
        <v>8</v>
      </c>
      <c r="M334" s="8"/>
      <c r="N334" s="9"/>
      <c r="O334" s="52"/>
      <c r="P334" s="11">
        <f>SUM(M334:O334)</f>
        <v>0</v>
      </c>
      <c r="Q334" s="8"/>
      <c r="R334" s="9"/>
      <c r="S334" s="52"/>
      <c r="T334" s="11">
        <f>SUM(Q334:S334)</f>
        <v>0</v>
      </c>
      <c r="U334" s="11">
        <f>P334+T334</f>
        <v>0</v>
      </c>
      <c r="V334" s="98"/>
    </row>
    <row r="335" spans="1:22" x14ac:dyDescent="0.15">
      <c r="A335" s="25" t="s">
        <v>52</v>
      </c>
      <c r="B335" s="17"/>
      <c r="C335" s="18"/>
      <c r="D335" s="51">
        <v>2</v>
      </c>
      <c r="E335" s="11">
        <f t="shared" ref="E335:E340" si="237">SUM(B335:D335)</f>
        <v>2</v>
      </c>
      <c r="F335" s="20"/>
      <c r="G335" s="18"/>
      <c r="H335" s="19">
        <v>2</v>
      </c>
      <c r="I335" s="11">
        <f t="shared" ref="I335:I340" si="238">SUM(F335:H335)</f>
        <v>2</v>
      </c>
      <c r="J335" s="11">
        <f t="shared" ref="J335:J340" si="239">E335+I335</f>
        <v>4</v>
      </c>
      <c r="K335" s="64">
        <v>44225</v>
      </c>
      <c r="L335" s="25" t="s">
        <v>9</v>
      </c>
      <c r="M335" s="8"/>
      <c r="N335" s="9"/>
      <c r="O335" s="52"/>
      <c r="P335" s="11">
        <f>SUM(M335:O335)</f>
        <v>0</v>
      </c>
      <c r="Q335" s="8"/>
      <c r="R335" s="9"/>
      <c r="S335" s="52"/>
      <c r="T335" s="11">
        <f>SUM(Q335:S335)</f>
        <v>0</v>
      </c>
      <c r="U335" s="11">
        <f>P335+T335</f>
        <v>0</v>
      </c>
      <c r="V335" s="100"/>
    </row>
    <row r="336" spans="1:22" x14ac:dyDescent="0.15">
      <c r="A336" s="25"/>
      <c r="B336" s="8"/>
      <c r="C336" s="9"/>
      <c r="D336" s="52"/>
      <c r="E336" s="11">
        <f t="shared" si="237"/>
        <v>0</v>
      </c>
      <c r="F336" s="12"/>
      <c r="G336" s="9"/>
      <c r="H336" s="10"/>
      <c r="I336" s="11">
        <f t="shared" si="238"/>
        <v>0</v>
      </c>
      <c r="J336" s="11">
        <f t="shared" si="239"/>
        <v>0</v>
      </c>
      <c r="L336" s="25" t="s">
        <v>10</v>
      </c>
      <c r="M336" s="8"/>
      <c r="N336" s="9"/>
      <c r="O336" s="52"/>
      <c r="P336" s="11">
        <f t="shared" ref="P336:P338" si="240">SUM(M336:O336)</f>
        <v>0</v>
      </c>
      <c r="Q336" s="12"/>
      <c r="R336" s="9"/>
      <c r="S336" s="10"/>
      <c r="T336" s="11">
        <f t="shared" ref="T336:T338" si="241">SUM(Q336:S336)</f>
        <v>0</v>
      </c>
      <c r="U336" s="11">
        <f t="shared" ref="U336:U338" si="242">P336+T336</f>
        <v>0</v>
      </c>
      <c r="V336" s="100"/>
    </row>
    <row r="337" spans="1:22" x14ac:dyDescent="0.15">
      <c r="A337" s="25"/>
      <c r="B337" s="8"/>
      <c r="C337" s="9"/>
      <c r="D337" s="52"/>
      <c r="E337" s="11">
        <f t="shared" si="237"/>
        <v>0</v>
      </c>
      <c r="F337" s="12"/>
      <c r="G337" s="9"/>
      <c r="H337" s="10"/>
      <c r="I337" s="11">
        <f t="shared" si="238"/>
        <v>0</v>
      </c>
      <c r="J337" s="11">
        <f t="shared" si="239"/>
        <v>0</v>
      </c>
      <c r="L337" s="25" t="s">
        <v>330</v>
      </c>
      <c r="M337" s="8">
        <v>97</v>
      </c>
      <c r="N337" s="9">
        <v>152</v>
      </c>
      <c r="O337" s="52">
        <v>65</v>
      </c>
      <c r="P337" s="11">
        <f t="shared" si="240"/>
        <v>314</v>
      </c>
      <c r="Q337" s="12">
        <v>97</v>
      </c>
      <c r="R337" s="9">
        <v>152</v>
      </c>
      <c r="S337" s="10">
        <v>65</v>
      </c>
      <c r="T337" s="11">
        <f t="shared" si="241"/>
        <v>314</v>
      </c>
      <c r="U337" s="11">
        <f t="shared" si="242"/>
        <v>628</v>
      </c>
      <c r="V337" s="98" t="s">
        <v>396</v>
      </c>
    </row>
    <row r="338" spans="1:22" x14ac:dyDescent="0.15">
      <c r="A338" s="25"/>
      <c r="B338" s="8"/>
      <c r="C338" s="9"/>
      <c r="D338" s="52"/>
      <c r="E338" s="11">
        <f t="shared" si="237"/>
        <v>0</v>
      </c>
      <c r="F338" s="12"/>
      <c r="G338" s="9"/>
      <c r="H338" s="10"/>
      <c r="I338" s="11">
        <f t="shared" si="238"/>
        <v>0</v>
      </c>
      <c r="J338" s="11">
        <f t="shared" si="239"/>
        <v>0</v>
      </c>
      <c r="L338" s="25" t="s">
        <v>312</v>
      </c>
      <c r="M338" s="8">
        <v>1</v>
      </c>
      <c r="N338" s="9"/>
      <c r="O338" s="52">
        <v>1</v>
      </c>
      <c r="P338" s="11">
        <f t="shared" si="240"/>
        <v>2</v>
      </c>
      <c r="Q338" s="12">
        <v>1</v>
      </c>
      <c r="R338" s="9"/>
      <c r="S338" s="10">
        <v>1</v>
      </c>
      <c r="T338" s="11">
        <f t="shared" si="241"/>
        <v>2</v>
      </c>
      <c r="U338" s="11">
        <f t="shared" si="242"/>
        <v>4</v>
      </c>
      <c r="V338" s="98">
        <v>44170</v>
      </c>
    </row>
    <row r="339" spans="1:22" x14ac:dyDescent="0.15">
      <c r="A339" s="25"/>
      <c r="B339" s="13"/>
      <c r="C339" s="14"/>
      <c r="D339" s="53"/>
      <c r="E339" s="11">
        <f t="shared" si="237"/>
        <v>0</v>
      </c>
      <c r="F339" s="16"/>
      <c r="G339" s="14"/>
      <c r="H339" s="15"/>
      <c r="I339" s="11">
        <f t="shared" si="238"/>
        <v>0</v>
      </c>
      <c r="J339" s="11">
        <f t="shared" si="239"/>
        <v>0</v>
      </c>
      <c r="L339" s="25" t="s">
        <v>13</v>
      </c>
      <c r="M339" s="8"/>
      <c r="N339" s="9"/>
      <c r="O339" s="52"/>
      <c r="P339" s="11">
        <f>SUM(M339:O339)</f>
        <v>0</v>
      </c>
      <c r="Q339" s="8"/>
      <c r="R339" s="9"/>
      <c r="S339" s="52"/>
      <c r="T339" s="11">
        <f>SUM(Q339:S339)</f>
        <v>0</v>
      </c>
      <c r="U339" s="11">
        <f>P339+T339</f>
        <v>0</v>
      </c>
    </row>
    <row r="340" spans="1:22" ht="14.25" thickBot="1" x14ac:dyDescent="0.2">
      <c r="A340" s="25"/>
      <c r="B340" s="32"/>
      <c r="C340" s="33"/>
      <c r="D340" s="54"/>
      <c r="E340" s="61">
        <f t="shared" si="237"/>
        <v>0</v>
      </c>
      <c r="F340" s="34"/>
      <c r="G340" s="34"/>
      <c r="H340" s="37"/>
      <c r="I340" s="61">
        <f t="shared" si="238"/>
        <v>0</v>
      </c>
      <c r="J340" s="21">
        <f t="shared" si="239"/>
        <v>0</v>
      </c>
      <c r="L340" s="25" t="s">
        <v>14</v>
      </c>
      <c r="M340" s="32"/>
      <c r="N340" s="33"/>
      <c r="O340" s="54"/>
      <c r="P340" s="61">
        <f t="shared" ref="P340" si="243">SUM(M340:O340)</f>
        <v>0</v>
      </c>
      <c r="Q340" s="34"/>
      <c r="R340" s="34"/>
      <c r="S340" s="37"/>
      <c r="T340" s="61">
        <f t="shared" ref="T340" si="244">SUM(Q340:S340)</f>
        <v>0</v>
      </c>
      <c r="U340" s="21">
        <f t="shared" ref="U340" si="245">P340+T340</f>
        <v>0</v>
      </c>
    </row>
    <row r="341" spans="1:22" ht="14.25" thickBot="1" x14ac:dyDescent="0.2">
      <c r="A341" s="35" t="s">
        <v>15</v>
      </c>
      <c r="B341" s="28">
        <f>SUM(B332:B340)</f>
        <v>3</v>
      </c>
      <c r="C341" s="29">
        <f>SUM(C332:C340)</f>
        <v>3</v>
      </c>
      <c r="D341" s="30">
        <f>SUM(D332:D340)</f>
        <v>5</v>
      </c>
      <c r="E341" s="31">
        <f>SUM(B341:D341)</f>
        <v>11</v>
      </c>
      <c r="F341" s="28">
        <f>SUM(F332:F340)</f>
        <v>4</v>
      </c>
      <c r="G341" s="29">
        <f>SUM(G332:G340)</f>
        <v>3</v>
      </c>
      <c r="H341" s="30">
        <f>SUM(H332:H340)</f>
        <v>5</v>
      </c>
      <c r="I341" s="31">
        <f>SUM(F341:H341)</f>
        <v>12</v>
      </c>
      <c r="J341" s="31">
        <f>E341+I341</f>
        <v>23</v>
      </c>
      <c r="L341" s="35" t="s">
        <v>15</v>
      </c>
      <c r="M341" s="38">
        <f>SUM(M332:M340)</f>
        <v>284</v>
      </c>
      <c r="N341" s="39">
        <f>SUM(N332:N340)</f>
        <v>366</v>
      </c>
      <c r="O341" s="2">
        <f>SUM(O332:O340)</f>
        <v>256</v>
      </c>
      <c r="P341" s="31">
        <f>SUM(M341:O341)</f>
        <v>906</v>
      </c>
      <c r="Q341" s="28">
        <f>SUM(Q332:Q340)</f>
        <v>284</v>
      </c>
      <c r="R341" s="29">
        <f>SUM(R332:R340)</f>
        <v>366</v>
      </c>
      <c r="S341" s="30">
        <f>SUM(S332:S340)</f>
        <v>256</v>
      </c>
      <c r="T341" s="31">
        <f>SUM(Q341:S341)</f>
        <v>906</v>
      </c>
      <c r="U341" s="31">
        <f>P341+T341</f>
        <v>1812</v>
      </c>
    </row>
    <row r="342" spans="1:22" x14ac:dyDescent="0.15">
      <c r="A342" s="26" t="s">
        <v>382</v>
      </c>
      <c r="B342" s="13">
        <v>1</v>
      </c>
      <c r="C342" s="14"/>
      <c r="D342" s="15"/>
      <c r="E342" s="49">
        <f>SUM(B342:D342)</f>
        <v>1</v>
      </c>
      <c r="F342" s="16">
        <v>1</v>
      </c>
      <c r="G342" s="14"/>
      <c r="H342" s="15"/>
      <c r="I342" s="49">
        <f>SUM(F342:H342)</f>
        <v>1</v>
      </c>
      <c r="J342" s="11">
        <f>E342+I342</f>
        <v>2</v>
      </c>
      <c r="K342" s="64">
        <v>44156</v>
      </c>
      <c r="L342" s="26" t="s">
        <v>381</v>
      </c>
      <c r="M342" s="91">
        <v>1</v>
      </c>
      <c r="N342" s="92"/>
      <c r="O342" s="109">
        <v>3</v>
      </c>
      <c r="P342" s="87">
        <f t="shared" ref="P342:P343" si="246">SUM(M342:O342)</f>
        <v>4</v>
      </c>
      <c r="Q342" s="12">
        <v>1</v>
      </c>
      <c r="R342" s="9"/>
      <c r="S342" s="10">
        <v>3</v>
      </c>
      <c r="T342" s="49">
        <f t="shared" ref="T342:T343" si="247">SUM(Q342:S342)</f>
        <v>4</v>
      </c>
      <c r="U342" s="11">
        <f t="shared" ref="U342:U343" si="248">P342+T342</f>
        <v>8</v>
      </c>
      <c r="V342" s="98">
        <v>44156</v>
      </c>
    </row>
    <row r="343" spans="1:22" x14ac:dyDescent="0.15">
      <c r="A343" s="26" t="s">
        <v>382</v>
      </c>
      <c r="B343" s="8">
        <v>1</v>
      </c>
      <c r="C343" s="9"/>
      <c r="D343" s="10">
        <v>1</v>
      </c>
      <c r="E343" s="49">
        <f t="shared" ref="E343:E366" si="249">SUM(B343:D343)</f>
        <v>2</v>
      </c>
      <c r="F343" s="12">
        <v>1</v>
      </c>
      <c r="G343" s="9"/>
      <c r="H343" s="10">
        <v>1</v>
      </c>
      <c r="I343" s="49">
        <f t="shared" ref="I343:I366" si="250">SUM(F343:H343)</f>
        <v>2</v>
      </c>
      <c r="J343" s="11">
        <f t="shared" ref="J343:J366" si="251">E343+I343</f>
        <v>4</v>
      </c>
      <c r="K343" s="64">
        <v>44170</v>
      </c>
      <c r="L343" s="26" t="s">
        <v>379</v>
      </c>
      <c r="M343" s="8">
        <v>2</v>
      </c>
      <c r="N343" s="9">
        <v>5</v>
      </c>
      <c r="O343" s="52">
        <v>2</v>
      </c>
      <c r="P343" s="87">
        <f t="shared" si="246"/>
        <v>9</v>
      </c>
      <c r="Q343" s="12">
        <v>2</v>
      </c>
      <c r="R343" s="9">
        <v>5</v>
      </c>
      <c r="S343" s="10">
        <v>2</v>
      </c>
      <c r="T343" s="49">
        <f t="shared" si="247"/>
        <v>9</v>
      </c>
      <c r="U343" s="11">
        <f t="shared" si="248"/>
        <v>18</v>
      </c>
      <c r="V343" s="98">
        <v>44160</v>
      </c>
    </row>
    <row r="344" spans="1:22" x14ac:dyDescent="0.15">
      <c r="A344" s="26" t="s">
        <v>412</v>
      </c>
      <c r="B344" s="8"/>
      <c r="C344" s="9">
        <v>1</v>
      </c>
      <c r="D344" s="10"/>
      <c r="E344" s="49">
        <f t="shared" si="249"/>
        <v>1</v>
      </c>
      <c r="F344" s="12"/>
      <c r="G344" s="9">
        <v>1</v>
      </c>
      <c r="H344" s="10"/>
      <c r="I344" s="49">
        <f t="shared" si="250"/>
        <v>1</v>
      </c>
      <c r="J344" s="11">
        <f t="shared" si="251"/>
        <v>2</v>
      </c>
      <c r="K344" s="64">
        <v>44182</v>
      </c>
      <c r="L344" s="26" t="s">
        <v>380</v>
      </c>
      <c r="M344" s="13">
        <v>3</v>
      </c>
      <c r="N344" s="14">
        <v>5</v>
      </c>
      <c r="O344" s="53">
        <v>2</v>
      </c>
      <c r="P344" s="87">
        <f>SUM(M344:O344)</f>
        <v>10</v>
      </c>
      <c r="Q344" s="16">
        <v>3</v>
      </c>
      <c r="R344" s="14">
        <v>5</v>
      </c>
      <c r="S344" s="15">
        <v>2</v>
      </c>
      <c r="T344" s="49">
        <f>SUM(Q344:S344)</f>
        <v>10</v>
      </c>
      <c r="U344" s="11">
        <f>P344+T344</f>
        <v>20</v>
      </c>
      <c r="V344" s="98">
        <v>44161</v>
      </c>
    </row>
    <row r="345" spans="1:22" x14ac:dyDescent="0.15">
      <c r="A345" s="26" t="s">
        <v>109</v>
      </c>
      <c r="B345" s="8"/>
      <c r="C345" s="9"/>
      <c r="D345" s="10">
        <v>1</v>
      </c>
      <c r="E345" s="49">
        <f t="shared" si="249"/>
        <v>1</v>
      </c>
      <c r="F345" s="12"/>
      <c r="G345" s="9"/>
      <c r="H345" s="10">
        <v>1</v>
      </c>
      <c r="I345" s="49">
        <f t="shared" si="250"/>
        <v>1</v>
      </c>
      <c r="J345" s="11">
        <f t="shared" si="251"/>
        <v>2</v>
      </c>
      <c r="K345" s="64">
        <v>44190</v>
      </c>
      <c r="L345" s="26" t="s">
        <v>384</v>
      </c>
      <c r="M345" s="8">
        <v>4</v>
      </c>
      <c r="N345" s="9"/>
      <c r="O345" s="52">
        <v>1</v>
      </c>
      <c r="P345" s="87">
        <f t="shared" ref="P345:P357" si="252">SUM(M345:O345)</f>
        <v>5</v>
      </c>
      <c r="Q345" s="12">
        <v>4</v>
      </c>
      <c r="R345" s="9"/>
      <c r="S345" s="10">
        <v>1</v>
      </c>
      <c r="T345" s="49">
        <f t="shared" ref="T345:T357" si="253">SUM(Q345:S345)</f>
        <v>5</v>
      </c>
      <c r="U345" s="11">
        <f t="shared" ref="U345:U357" si="254">P345+T345</f>
        <v>10</v>
      </c>
      <c r="V345" s="98">
        <v>44162</v>
      </c>
    </row>
    <row r="346" spans="1:22" x14ac:dyDescent="0.15">
      <c r="A346" s="26" t="s">
        <v>109</v>
      </c>
      <c r="B346" s="8"/>
      <c r="C346" s="9">
        <v>2</v>
      </c>
      <c r="D346" s="10"/>
      <c r="E346" s="49">
        <f t="shared" si="249"/>
        <v>2</v>
      </c>
      <c r="F346" s="12"/>
      <c r="G346" s="9">
        <v>2</v>
      </c>
      <c r="H346" s="10"/>
      <c r="I346" s="49">
        <f t="shared" si="250"/>
        <v>2</v>
      </c>
      <c r="J346" s="11">
        <f t="shared" si="251"/>
        <v>4</v>
      </c>
      <c r="K346" s="64">
        <v>44193</v>
      </c>
      <c r="L346" s="26" t="s">
        <v>390</v>
      </c>
      <c r="M346" s="8">
        <v>6</v>
      </c>
      <c r="N346" s="9">
        <v>6</v>
      </c>
      <c r="O346" s="52">
        <v>9</v>
      </c>
      <c r="P346" s="87">
        <f t="shared" si="252"/>
        <v>21</v>
      </c>
      <c r="Q346" s="12">
        <v>6</v>
      </c>
      <c r="R346" s="9">
        <v>6</v>
      </c>
      <c r="S346" s="10">
        <v>9</v>
      </c>
      <c r="T346" s="49">
        <f t="shared" si="253"/>
        <v>21</v>
      </c>
      <c r="U346" s="11">
        <f t="shared" si="254"/>
        <v>42</v>
      </c>
      <c r="V346" s="98">
        <v>44163</v>
      </c>
    </row>
    <row r="347" spans="1:22" x14ac:dyDescent="0.15">
      <c r="A347" s="26"/>
      <c r="B347" s="8"/>
      <c r="C347" s="9"/>
      <c r="D347" s="10"/>
      <c r="E347" s="49">
        <f t="shared" si="249"/>
        <v>0</v>
      </c>
      <c r="F347" s="12"/>
      <c r="G347" s="9"/>
      <c r="H347" s="10"/>
      <c r="I347" s="49">
        <f t="shared" si="250"/>
        <v>0</v>
      </c>
      <c r="J347" s="11">
        <f t="shared" si="251"/>
        <v>0</v>
      </c>
      <c r="L347" s="26" t="s">
        <v>392</v>
      </c>
      <c r="M347" s="8">
        <v>4</v>
      </c>
      <c r="N347" s="9">
        <v>10</v>
      </c>
      <c r="O347" s="52">
        <v>3</v>
      </c>
      <c r="P347" s="87">
        <f t="shared" si="252"/>
        <v>17</v>
      </c>
      <c r="Q347" s="12">
        <v>4</v>
      </c>
      <c r="R347" s="9">
        <v>10</v>
      </c>
      <c r="S347" s="10">
        <v>3</v>
      </c>
      <c r="T347" s="49">
        <f t="shared" si="253"/>
        <v>17</v>
      </c>
      <c r="U347" s="11">
        <f t="shared" si="254"/>
        <v>34</v>
      </c>
      <c r="V347" s="98">
        <v>44166</v>
      </c>
    </row>
    <row r="348" spans="1:22" x14ac:dyDescent="0.15">
      <c r="A348" s="26"/>
      <c r="B348" s="8"/>
      <c r="C348" s="9"/>
      <c r="D348" s="10"/>
      <c r="E348" s="49">
        <f t="shared" si="249"/>
        <v>0</v>
      </c>
      <c r="F348" s="12"/>
      <c r="G348" s="9"/>
      <c r="H348" s="10"/>
      <c r="I348" s="49">
        <f t="shared" si="250"/>
        <v>0</v>
      </c>
      <c r="J348" s="11">
        <f t="shared" si="251"/>
        <v>0</v>
      </c>
      <c r="L348" s="26" t="s">
        <v>389</v>
      </c>
      <c r="M348" s="8">
        <v>3</v>
      </c>
      <c r="N348" s="9">
        <v>5</v>
      </c>
      <c r="O348" s="52"/>
      <c r="P348" s="87">
        <f t="shared" si="252"/>
        <v>8</v>
      </c>
      <c r="Q348" s="12">
        <v>3</v>
      </c>
      <c r="R348" s="9">
        <v>5</v>
      </c>
      <c r="S348" s="10"/>
      <c r="T348" s="49">
        <f t="shared" si="253"/>
        <v>8</v>
      </c>
      <c r="U348" s="11">
        <f t="shared" si="254"/>
        <v>16</v>
      </c>
      <c r="V348" s="98">
        <v>44167</v>
      </c>
    </row>
    <row r="349" spans="1:22" x14ac:dyDescent="0.15">
      <c r="A349" s="26"/>
      <c r="B349" s="8"/>
      <c r="C349" s="9"/>
      <c r="D349" s="10"/>
      <c r="E349" s="49">
        <f t="shared" si="249"/>
        <v>0</v>
      </c>
      <c r="F349" s="12"/>
      <c r="G349" s="9"/>
      <c r="H349" s="10"/>
      <c r="I349" s="49">
        <f t="shared" si="250"/>
        <v>0</v>
      </c>
      <c r="J349" s="11">
        <f t="shared" si="251"/>
        <v>0</v>
      </c>
      <c r="L349" s="26" t="s">
        <v>395</v>
      </c>
      <c r="M349" s="8">
        <v>10</v>
      </c>
      <c r="N349" s="9">
        <v>5</v>
      </c>
      <c r="O349" s="52">
        <v>2</v>
      </c>
      <c r="P349" s="87">
        <f t="shared" si="252"/>
        <v>17</v>
      </c>
      <c r="Q349" s="12">
        <v>10</v>
      </c>
      <c r="R349" s="9">
        <v>5</v>
      </c>
      <c r="S349" s="10">
        <v>2</v>
      </c>
      <c r="T349" s="49">
        <f t="shared" si="253"/>
        <v>17</v>
      </c>
      <c r="U349" s="11">
        <f t="shared" si="254"/>
        <v>34</v>
      </c>
      <c r="V349" s="98">
        <v>44168</v>
      </c>
    </row>
    <row r="350" spans="1:22" x14ac:dyDescent="0.15">
      <c r="A350" s="26"/>
      <c r="B350" s="8"/>
      <c r="C350" s="9"/>
      <c r="D350" s="10"/>
      <c r="E350" s="49">
        <f t="shared" si="249"/>
        <v>0</v>
      </c>
      <c r="F350" s="12"/>
      <c r="G350" s="9"/>
      <c r="H350" s="10"/>
      <c r="I350" s="49">
        <f t="shared" si="250"/>
        <v>0</v>
      </c>
      <c r="J350" s="11">
        <f t="shared" si="251"/>
        <v>0</v>
      </c>
      <c r="L350" s="26" t="s">
        <v>393</v>
      </c>
      <c r="M350" s="8">
        <v>1</v>
      </c>
      <c r="N350" s="9">
        <v>6</v>
      </c>
      <c r="O350" s="52">
        <v>5</v>
      </c>
      <c r="P350" s="87">
        <f t="shared" si="252"/>
        <v>12</v>
      </c>
      <c r="Q350" s="12">
        <v>1</v>
      </c>
      <c r="R350" s="9">
        <v>6</v>
      </c>
      <c r="S350" s="10">
        <v>5</v>
      </c>
      <c r="T350" s="49">
        <f t="shared" si="253"/>
        <v>12</v>
      </c>
      <c r="U350" s="11">
        <f t="shared" si="254"/>
        <v>24</v>
      </c>
      <c r="V350" s="98">
        <v>44169</v>
      </c>
    </row>
    <row r="351" spans="1:22" x14ac:dyDescent="0.15">
      <c r="A351" s="26"/>
      <c r="B351" s="13"/>
      <c r="C351" s="14"/>
      <c r="D351" s="15"/>
      <c r="E351" s="49">
        <f t="shared" si="249"/>
        <v>0</v>
      </c>
      <c r="F351" s="16"/>
      <c r="G351" s="14"/>
      <c r="H351" s="15"/>
      <c r="I351" s="49">
        <f t="shared" si="250"/>
        <v>0</v>
      </c>
      <c r="J351" s="11">
        <f t="shared" si="251"/>
        <v>0</v>
      </c>
      <c r="L351" s="26" t="s">
        <v>400</v>
      </c>
      <c r="M351" s="13">
        <v>2</v>
      </c>
      <c r="N351" s="14">
        <v>2</v>
      </c>
      <c r="O351" s="53"/>
      <c r="P351" s="87">
        <f t="shared" si="252"/>
        <v>4</v>
      </c>
      <c r="Q351" s="16">
        <v>2</v>
      </c>
      <c r="R351" s="14">
        <v>2</v>
      </c>
      <c r="S351" s="15"/>
      <c r="T351" s="49">
        <f t="shared" si="253"/>
        <v>4</v>
      </c>
      <c r="U351" s="11">
        <f t="shared" si="254"/>
        <v>8</v>
      </c>
      <c r="V351" s="98">
        <v>44170</v>
      </c>
    </row>
    <row r="352" spans="1:22" x14ac:dyDescent="0.15">
      <c r="A352" s="26"/>
      <c r="B352" s="8"/>
      <c r="C352" s="9"/>
      <c r="D352" s="10"/>
      <c r="E352" s="49">
        <f t="shared" si="249"/>
        <v>0</v>
      </c>
      <c r="F352" s="12"/>
      <c r="G352" s="9"/>
      <c r="H352" s="10"/>
      <c r="I352" s="49">
        <f t="shared" si="250"/>
        <v>0</v>
      </c>
      <c r="J352" s="11">
        <f t="shared" si="251"/>
        <v>0</v>
      </c>
      <c r="L352" s="26" t="s">
        <v>398</v>
      </c>
      <c r="M352" s="8">
        <v>1</v>
      </c>
      <c r="N352" s="9">
        <v>5</v>
      </c>
      <c r="O352" s="52">
        <v>3</v>
      </c>
      <c r="P352" s="87">
        <f t="shared" si="252"/>
        <v>9</v>
      </c>
      <c r="Q352" s="12">
        <v>1</v>
      </c>
      <c r="R352" s="9">
        <v>5</v>
      </c>
      <c r="S352" s="10">
        <v>3</v>
      </c>
      <c r="T352" s="49">
        <f t="shared" si="253"/>
        <v>9</v>
      </c>
      <c r="U352" s="11">
        <f t="shared" si="254"/>
        <v>18</v>
      </c>
      <c r="V352" s="98">
        <v>44173</v>
      </c>
    </row>
    <row r="353" spans="1:22" x14ac:dyDescent="0.15">
      <c r="A353" s="26"/>
      <c r="B353" s="8"/>
      <c r="C353" s="9"/>
      <c r="D353" s="10"/>
      <c r="E353" s="49">
        <f t="shared" si="249"/>
        <v>0</v>
      </c>
      <c r="F353" s="12"/>
      <c r="G353" s="9"/>
      <c r="H353" s="10"/>
      <c r="I353" s="49">
        <f t="shared" si="250"/>
        <v>0</v>
      </c>
      <c r="J353" s="11">
        <f t="shared" si="251"/>
        <v>0</v>
      </c>
      <c r="L353" s="26" t="s">
        <v>399</v>
      </c>
      <c r="M353" s="8"/>
      <c r="N353" s="9">
        <v>3</v>
      </c>
      <c r="O353" s="52">
        <v>3</v>
      </c>
      <c r="P353" s="87">
        <f t="shared" si="252"/>
        <v>6</v>
      </c>
      <c r="Q353" s="12"/>
      <c r="R353" s="9">
        <v>3</v>
      </c>
      <c r="S353" s="10">
        <v>3</v>
      </c>
      <c r="T353" s="49">
        <f t="shared" si="253"/>
        <v>6</v>
      </c>
      <c r="U353" s="11">
        <f t="shared" si="254"/>
        <v>12</v>
      </c>
      <c r="V353" s="98">
        <v>44174</v>
      </c>
    </row>
    <row r="354" spans="1:22" x14ac:dyDescent="0.15">
      <c r="A354" s="26"/>
      <c r="B354" s="8"/>
      <c r="C354" s="9"/>
      <c r="D354" s="10"/>
      <c r="E354" s="49">
        <f t="shared" si="249"/>
        <v>0</v>
      </c>
      <c r="F354" s="12"/>
      <c r="G354" s="9"/>
      <c r="H354" s="10"/>
      <c r="I354" s="49">
        <f t="shared" si="250"/>
        <v>0</v>
      </c>
      <c r="J354" s="11">
        <f t="shared" si="251"/>
        <v>0</v>
      </c>
      <c r="L354" s="26" t="s">
        <v>401</v>
      </c>
      <c r="M354" s="8">
        <v>1</v>
      </c>
      <c r="N354" s="9">
        <v>2</v>
      </c>
      <c r="O354" s="52">
        <v>1</v>
      </c>
      <c r="P354" s="87">
        <f t="shared" si="252"/>
        <v>4</v>
      </c>
      <c r="Q354" s="12">
        <v>1</v>
      </c>
      <c r="R354" s="9">
        <v>2</v>
      </c>
      <c r="S354" s="10">
        <v>1</v>
      </c>
      <c r="T354" s="49">
        <f t="shared" si="253"/>
        <v>4</v>
      </c>
      <c r="U354" s="11">
        <f t="shared" si="254"/>
        <v>8</v>
      </c>
      <c r="V354" s="98">
        <v>44175</v>
      </c>
    </row>
    <row r="355" spans="1:22" x14ac:dyDescent="0.15">
      <c r="A355" s="26"/>
      <c r="B355" s="8"/>
      <c r="C355" s="9"/>
      <c r="D355" s="10"/>
      <c r="E355" s="49">
        <f t="shared" si="249"/>
        <v>0</v>
      </c>
      <c r="F355" s="12"/>
      <c r="G355" s="9"/>
      <c r="H355" s="10"/>
      <c r="I355" s="49">
        <f t="shared" si="250"/>
        <v>0</v>
      </c>
      <c r="J355" s="11">
        <f t="shared" si="251"/>
        <v>0</v>
      </c>
      <c r="L355" s="26" t="s">
        <v>407</v>
      </c>
      <c r="M355" s="8">
        <v>1</v>
      </c>
      <c r="N355" s="9">
        <v>3</v>
      </c>
      <c r="O355" s="52">
        <v>3</v>
      </c>
      <c r="P355" s="87">
        <f t="shared" si="252"/>
        <v>7</v>
      </c>
      <c r="Q355" s="12">
        <v>1</v>
      </c>
      <c r="R355" s="9">
        <v>3</v>
      </c>
      <c r="S355" s="10">
        <v>3</v>
      </c>
      <c r="T355" s="49">
        <f t="shared" si="253"/>
        <v>7</v>
      </c>
      <c r="U355" s="11">
        <f t="shared" si="254"/>
        <v>14</v>
      </c>
      <c r="V355" s="98">
        <v>44176</v>
      </c>
    </row>
    <row r="356" spans="1:22" x14ac:dyDescent="0.15">
      <c r="A356" s="26"/>
      <c r="B356" s="8"/>
      <c r="C356" s="9"/>
      <c r="D356" s="10"/>
      <c r="E356" s="49">
        <f t="shared" si="249"/>
        <v>0</v>
      </c>
      <c r="F356" s="12"/>
      <c r="G356" s="9"/>
      <c r="H356" s="10"/>
      <c r="I356" s="49">
        <f t="shared" si="250"/>
        <v>0</v>
      </c>
      <c r="J356" s="11">
        <f t="shared" si="251"/>
        <v>0</v>
      </c>
      <c r="L356" s="26" t="s">
        <v>403</v>
      </c>
      <c r="M356" s="8"/>
      <c r="N356" s="9">
        <v>3</v>
      </c>
      <c r="O356" s="52">
        <v>5</v>
      </c>
      <c r="P356" s="87">
        <f t="shared" si="252"/>
        <v>8</v>
      </c>
      <c r="Q356" s="12"/>
      <c r="R356" s="9">
        <v>3</v>
      </c>
      <c r="S356" s="10">
        <v>5</v>
      </c>
      <c r="T356" s="49">
        <f t="shared" si="253"/>
        <v>8</v>
      </c>
      <c r="U356" s="11">
        <f t="shared" si="254"/>
        <v>16</v>
      </c>
      <c r="V356" s="98">
        <v>44177</v>
      </c>
    </row>
    <row r="357" spans="1:22" x14ac:dyDescent="0.15">
      <c r="A357" s="26"/>
      <c r="B357" s="8"/>
      <c r="C357" s="9"/>
      <c r="D357" s="10"/>
      <c r="E357" s="49">
        <f t="shared" si="249"/>
        <v>0</v>
      </c>
      <c r="F357" s="12"/>
      <c r="G357" s="9"/>
      <c r="H357" s="10"/>
      <c r="I357" s="49">
        <f t="shared" si="250"/>
        <v>0</v>
      </c>
      <c r="J357" s="11">
        <f t="shared" si="251"/>
        <v>0</v>
      </c>
      <c r="L357" s="26" t="s">
        <v>410</v>
      </c>
      <c r="M357" s="8"/>
      <c r="N357" s="9">
        <v>4</v>
      </c>
      <c r="O357" s="52">
        <v>3</v>
      </c>
      <c r="P357" s="87">
        <f t="shared" si="252"/>
        <v>7</v>
      </c>
      <c r="Q357" s="12"/>
      <c r="R357" s="9">
        <v>4</v>
      </c>
      <c r="S357" s="10">
        <v>3</v>
      </c>
      <c r="T357" s="49">
        <f t="shared" si="253"/>
        <v>7</v>
      </c>
      <c r="U357" s="11">
        <f t="shared" si="254"/>
        <v>14</v>
      </c>
      <c r="V357" s="98">
        <v>44180</v>
      </c>
    </row>
    <row r="358" spans="1:22" x14ac:dyDescent="0.15">
      <c r="A358" s="26"/>
      <c r="B358" s="8"/>
      <c r="C358" s="9"/>
      <c r="D358" s="10"/>
      <c r="E358" s="49">
        <f t="shared" si="249"/>
        <v>0</v>
      </c>
      <c r="F358" s="12"/>
      <c r="G358" s="9"/>
      <c r="H358" s="10"/>
      <c r="I358" s="49">
        <f t="shared" si="250"/>
        <v>0</v>
      </c>
      <c r="J358" s="11">
        <f t="shared" si="251"/>
        <v>0</v>
      </c>
      <c r="L358" s="26" t="s">
        <v>408</v>
      </c>
      <c r="M358" s="13">
        <v>3</v>
      </c>
      <c r="N358" s="14"/>
      <c r="O358" s="53"/>
      <c r="P358" s="87">
        <f>SUM(M358:O358)</f>
        <v>3</v>
      </c>
      <c r="Q358" s="16">
        <v>3</v>
      </c>
      <c r="R358" s="14"/>
      <c r="S358" s="15"/>
      <c r="T358" s="49">
        <f>SUM(Q358:S358)</f>
        <v>3</v>
      </c>
      <c r="U358" s="11">
        <f>P358+T358</f>
        <v>6</v>
      </c>
      <c r="V358" s="98">
        <v>44181</v>
      </c>
    </row>
    <row r="359" spans="1:22" x14ac:dyDescent="0.15">
      <c r="A359" s="24"/>
      <c r="B359" s="8"/>
      <c r="C359" s="9"/>
      <c r="D359" s="10"/>
      <c r="E359" s="49">
        <f t="shared" si="249"/>
        <v>0</v>
      </c>
      <c r="F359" s="12"/>
      <c r="G359" s="9"/>
      <c r="H359" s="10"/>
      <c r="I359" s="49">
        <f t="shared" si="250"/>
        <v>0</v>
      </c>
      <c r="J359" s="11">
        <f t="shared" si="251"/>
        <v>0</v>
      </c>
      <c r="L359" s="26" t="s">
        <v>409</v>
      </c>
      <c r="M359" s="8">
        <v>1</v>
      </c>
      <c r="N359" s="9"/>
      <c r="O359" s="52"/>
      <c r="P359" s="87">
        <f t="shared" ref="P359:P360" si="255">SUM(M359:O359)</f>
        <v>1</v>
      </c>
      <c r="Q359" s="12">
        <v>1</v>
      </c>
      <c r="R359" s="9"/>
      <c r="S359" s="10"/>
      <c r="T359" s="49">
        <f t="shared" ref="T359:T360" si="256">SUM(Q359:S359)</f>
        <v>1</v>
      </c>
      <c r="U359" s="11">
        <f t="shared" ref="U359:U360" si="257">P359+T359</f>
        <v>2</v>
      </c>
      <c r="V359" s="98">
        <v>44183</v>
      </c>
    </row>
    <row r="360" spans="1:22" x14ac:dyDescent="0.15">
      <c r="A360" s="25"/>
      <c r="B360" s="8"/>
      <c r="C360" s="9"/>
      <c r="D360" s="10"/>
      <c r="E360" s="49">
        <f t="shared" si="249"/>
        <v>0</v>
      </c>
      <c r="F360" s="12"/>
      <c r="G360" s="9"/>
      <c r="H360" s="10"/>
      <c r="I360" s="49">
        <f t="shared" si="250"/>
        <v>0</v>
      </c>
      <c r="J360" s="11">
        <f t="shared" si="251"/>
        <v>0</v>
      </c>
      <c r="L360" s="26" t="s">
        <v>411</v>
      </c>
      <c r="M360" s="8">
        <v>1</v>
      </c>
      <c r="N360" s="9"/>
      <c r="O360" s="52">
        <v>5</v>
      </c>
      <c r="P360" s="87">
        <f t="shared" si="255"/>
        <v>6</v>
      </c>
      <c r="Q360" s="12">
        <v>1</v>
      </c>
      <c r="R360" s="9"/>
      <c r="S360" s="10">
        <v>5</v>
      </c>
      <c r="T360" s="49">
        <f t="shared" si="256"/>
        <v>6</v>
      </c>
      <c r="U360" s="11">
        <f t="shared" si="257"/>
        <v>12</v>
      </c>
      <c r="V360" s="98">
        <v>44187</v>
      </c>
    </row>
    <row r="361" spans="1:22" x14ac:dyDescent="0.15">
      <c r="A361" s="26"/>
      <c r="B361" s="8"/>
      <c r="C361" s="9"/>
      <c r="D361" s="10"/>
      <c r="E361" s="49">
        <f t="shared" si="249"/>
        <v>0</v>
      </c>
      <c r="F361" s="12"/>
      <c r="G361" s="9"/>
      <c r="H361" s="10"/>
      <c r="I361" s="49">
        <f t="shared" si="250"/>
        <v>0</v>
      </c>
      <c r="J361" s="11">
        <f t="shared" si="251"/>
        <v>0</v>
      </c>
      <c r="L361" s="26" t="s">
        <v>415</v>
      </c>
      <c r="M361" s="13">
        <v>1</v>
      </c>
      <c r="N361" s="14">
        <v>2</v>
      </c>
      <c r="O361" s="53"/>
      <c r="P361" s="87">
        <f>SUM(M361:O361)</f>
        <v>3</v>
      </c>
      <c r="Q361" s="16">
        <v>1</v>
      </c>
      <c r="R361" s="14">
        <v>2</v>
      </c>
      <c r="S361" s="15"/>
      <c r="T361" s="49">
        <f>SUM(Q361:S361)</f>
        <v>3</v>
      </c>
      <c r="U361" s="11">
        <f>P361+T361</f>
        <v>6</v>
      </c>
      <c r="V361" s="98">
        <v>44188</v>
      </c>
    </row>
    <row r="362" spans="1:22" x14ac:dyDescent="0.15">
      <c r="A362" s="24"/>
      <c r="B362" s="8"/>
      <c r="C362" s="9"/>
      <c r="D362" s="10"/>
      <c r="E362" s="49">
        <f t="shared" si="249"/>
        <v>0</v>
      </c>
      <c r="F362" s="12"/>
      <c r="G362" s="9"/>
      <c r="H362" s="10"/>
      <c r="I362" s="49">
        <f t="shared" si="250"/>
        <v>0</v>
      </c>
      <c r="J362" s="11">
        <f t="shared" si="251"/>
        <v>0</v>
      </c>
      <c r="L362" s="26"/>
      <c r="M362" s="8"/>
      <c r="N362" s="9"/>
      <c r="O362" s="52"/>
      <c r="P362" s="87">
        <f t="shared" ref="P362:P368" si="258">SUM(M362:O362)</f>
        <v>0</v>
      </c>
      <c r="Q362" s="8"/>
      <c r="R362" s="9"/>
      <c r="S362" s="10"/>
      <c r="T362" s="49">
        <f t="shared" ref="T362:T368" si="259">SUM(Q362:S362)</f>
        <v>0</v>
      </c>
      <c r="U362" s="11">
        <f t="shared" ref="U362" si="260">P362+T362</f>
        <v>0</v>
      </c>
      <c r="V362" s="98"/>
    </row>
    <row r="363" spans="1:22" x14ac:dyDescent="0.15">
      <c r="B363" s="13"/>
      <c r="C363" s="14"/>
      <c r="D363" s="15"/>
      <c r="E363" s="49">
        <f t="shared" si="249"/>
        <v>0</v>
      </c>
      <c r="F363" s="16"/>
      <c r="G363" s="14"/>
      <c r="H363" s="15"/>
      <c r="I363" s="49">
        <f t="shared" si="250"/>
        <v>0</v>
      </c>
      <c r="J363" s="11">
        <f t="shared" si="251"/>
        <v>0</v>
      </c>
      <c r="L363" s="86"/>
      <c r="M363" s="13"/>
      <c r="N363" s="14"/>
      <c r="O363" s="53"/>
      <c r="P363" s="87">
        <f>SUM(M363:O363)</f>
        <v>0</v>
      </c>
      <c r="Q363" s="16"/>
      <c r="R363" s="14"/>
      <c r="S363" s="15"/>
      <c r="T363" s="49">
        <f>SUM(Q363:S363)</f>
        <v>0</v>
      </c>
      <c r="U363" s="11">
        <f>P363+T363</f>
        <v>0</v>
      </c>
      <c r="V363" s="100"/>
    </row>
    <row r="364" spans="1:22" x14ac:dyDescent="0.15">
      <c r="A364" s="26"/>
      <c r="B364" s="8"/>
      <c r="C364" s="9"/>
      <c r="D364" s="10"/>
      <c r="E364" s="49">
        <f t="shared" si="249"/>
        <v>0</v>
      </c>
      <c r="F364" s="12"/>
      <c r="G364" s="9"/>
      <c r="H364" s="10"/>
      <c r="I364" s="49">
        <f t="shared" si="250"/>
        <v>0</v>
      </c>
      <c r="J364" s="11">
        <f t="shared" si="251"/>
        <v>0</v>
      </c>
      <c r="L364" s="86"/>
      <c r="M364" s="8"/>
      <c r="N364" s="9"/>
      <c r="O364" s="52"/>
      <c r="P364" s="87">
        <f t="shared" ref="P364:P365" si="261">SUM(M364:O364)</f>
        <v>0</v>
      </c>
      <c r="Q364" s="8"/>
      <c r="R364" s="9"/>
      <c r="S364" s="10"/>
      <c r="T364" s="49">
        <f t="shared" ref="T364:T365" si="262">SUM(Q364:S364)</f>
        <v>0</v>
      </c>
      <c r="U364" s="11">
        <f t="shared" ref="U364:U365" si="263">P364+T364</f>
        <v>0</v>
      </c>
      <c r="V364" s="100"/>
    </row>
    <row r="365" spans="1:22" x14ac:dyDescent="0.15">
      <c r="A365" s="26"/>
      <c r="B365" s="8"/>
      <c r="C365" s="9"/>
      <c r="D365" s="10"/>
      <c r="E365" s="49">
        <f t="shared" si="249"/>
        <v>0</v>
      </c>
      <c r="F365" s="12"/>
      <c r="G365" s="9"/>
      <c r="H365" s="10"/>
      <c r="I365" s="49">
        <f t="shared" si="250"/>
        <v>0</v>
      </c>
      <c r="J365" s="11">
        <f t="shared" si="251"/>
        <v>0</v>
      </c>
      <c r="L365" s="86" t="s">
        <v>219</v>
      </c>
      <c r="M365" s="8"/>
      <c r="N365" s="9"/>
      <c r="O365" s="52"/>
      <c r="P365" s="87">
        <f t="shared" si="261"/>
        <v>0</v>
      </c>
      <c r="Q365" s="12"/>
      <c r="R365" s="9"/>
      <c r="S365" s="10"/>
      <c r="T365" s="49">
        <f t="shared" si="262"/>
        <v>0</v>
      </c>
      <c r="U365" s="11">
        <f t="shared" si="263"/>
        <v>0</v>
      </c>
      <c r="V365" s="100" t="s">
        <v>220</v>
      </c>
    </row>
    <row r="366" spans="1:22" x14ac:dyDescent="0.15">
      <c r="A366" s="26"/>
      <c r="B366" s="8"/>
      <c r="C366" s="9"/>
      <c r="D366" s="10"/>
      <c r="E366" s="49">
        <f t="shared" si="249"/>
        <v>0</v>
      </c>
      <c r="F366" s="12"/>
      <c r="G366" s="9"/>
      <c r="H366" s="10"/>
      <c r="I366" s="49">
        <f t="shared" si="250"/>
        <v>0</v>
      </c>
      <c r="J366" s="11">
        <f t="shared" si="251"/>
        <v>0</v>
      </c>
      <c r="L366" s="86" t="s">
        <v>343</v>
      </c>
      <c r="M366" s="13"/>
      <c r="N366" s="14"/>
      <c r="O366" s="53"/>
      <c r="P366" s="87">
        <f>SUM(M366:O366)</f>
        <v>0</v>
      </c>
      <c r="Q366" s="16"/>
      <c r="R366" s="14"/>
      <c r="S366" s="15"/>
      <c r="T366" s="49">
        <f>SUM(Q366:S366)</f>
        <v>0</v>
      </c>
      <c r="U366" s="11">
        <f>P366+T366</f>
        <v>0</v>
      </c>
      <c r="V366" s="100" t="s">
        <v>344</v>
      </c>
    </row>
    <row r="367" spans="1:22" ht="14.25" thickBot="1" x14ac:dyDescent="0.2">
      <c r="A367" s="23"/>
      <c r="B367" s="13"/>
      <c r="C367" s="14"/>
      <c r="D367" s="15"/>
      <c r="E367" s="49">
        <f>SUM(B367:D367)</f>
        <v>0</v>
      </c>
      <c r="F367" s="16"/>
      <c r="G367" s="14"/>
      <c r="H367" s="15"/>
      <c r="I367" s="49">
        <f>SUM(F367:H367)</f>
        <v>0</v>
      </c>
      <c r="J367" s="11">
        <f>E367+I367</f>
        <v>0</v>
      </c>
      <c r="L367" s="86" t="s">
        <v>340</v>
      </c>
      <c r="M367" s="8"/>
      <c r="N367" s="9"/>
      <c r="O367" s="52"/>
      <c r="P367" s="87">
        <f t="shared" ref="P367" si="264">SUM(M367:O367)</f>
        <v>0</v>
      </c>
      <c r="Q367" s="8"/>
      <c r="R367" s="9"/>
      <c r="S367" s="10"/>
      <c r="T367" s="49">
        <f t="shared" ref="T367" si="265">SUM(Q367:S367)</f>
        <v>0</v>
      </c>
      <c r="U367" s="11">
        <f t="shared" ref="U367" si="266">P367+T367</f>
        <v>0</v>
      </c>
      <c r="V367" s="100" t="s">
        <v>341</v>
      </c>
    </row>
    <row r="368" spans="1:22" ht="14.25" thickBot="1" x14ac:dyDescent="0.2">
      <c r="A368" s="41" t="s">
        <v>17</v>
      </c>
      <c r="B368" s="46">
        <f>SUM(B342:B367)</f>
        <v>2</v>
      </c>
      <c r="C368" s="47">
        <f t="shared" ref="C368:D368" si="267">SUM(C342:C367)</f>
        <v>3</v>
      </c>
      <c r="D368" s="58">
        <f t="shared" si="267"/>
        <v>2</v>
      </c>
      <c r="E368" s="45">
        <f t="shared" ref="E368" si="268">SUM(B368:D368)</f>
        <v>7</v>
      </c>
      <c r="F368" s="46">
        <f>SUM(F342:F367)</f>
        <v>2</v>
      </c>
      <c r="G368" s="47">
        <f t="shared" ref="G368:H368" si="269">SUM(G342:G367)</f>
        <v>3</v>
      </c>
      <c r="H368" s="58">
        <f t="shared" si="269"/>
        <v>2</v>
      </c>
      <c r="I368" s="45">
        <f t="shared" ref="I368" si="270">SUM(F368:H368)</f>
        <v>7</v>
      </c>
      <c r="J368" s="45">
        <f>E368+I368</f>
        <v>14</v>
      </c>
      <c r="L368" s="41" t="s">
        <v>17</v>
      </c>
      <c r="M368" s="46">
        <f>SUM(M342:M367)</f>
        <v>45</v>
      </c>
      <c r="N368" s="47">
        <f t="shared" ref="N368:O368" si="271">SUM(N342:N367)</f>
        <v>66</v>
      </c>
      <c r="O368" s="58">
        <f t="shared" si="271"/>
        <v>50</v>
      </c>
      <c r="P368" s="45">
        <f t="shared" si="258"/>
        <v>161</v>
      </c>
      <c r="Q368" s="46">
        <f>SUM(Q342:Q367)</f>
        <v>45</v>
      </c>
      <c r="R368" s="47">
        <f t="shared" ref="R368:S368" si="272">SUM(R342:R367)</f>
        <v>66</v>
      </c>
      <c r="S368" s="58">
        <f t="shared" si="272"/>
        <v>50</v>
      </c>
      <c r="T368" s="45">
        <f t="shared" si="259"/>
        <v>161</v>
      </c>
      <c r="U368" s="45">
        <f>P368+T368</f>
        <v>322</v>
      </c>
    </row>
    <row r="369" spans="1:22" ht="14.25" thickBot="1" x14ac:dyDescent="0.2">
      <c r="A369" s="22" t="s">
        <v>16</v>
      </c>
      <c r="B369" s="50">
        <f>B341-B368</f>
        <v>1</v>
      </c>
      <c r="C369" s="56">
        <f t="shared" ref="C369:D369" si="273">C341-C368</f>
        <v>0</v>
      </c>
      <c r="D369" s="57">
        <f t="shared" si="273"/>
        <v>3</v>
      </c>
      <c r="E369" s="55">
        <f>SUM(B369:D369)</f>
        <v>4</v>
      </c>
      <c r="F369" s="50">
        <f>F341-F368</f>
        <v>2</v>
      </c>
      <c r="G369" s="56">
        <f t="shared" ref="G369:H369" si="274">G341-G368</f>
        <v>0</v>
      </c>
      <c r="H369" s="57">
        <f t="shared" si="274"/>
        <v>3</v>
      </c>
      <c r="I369" s="55">
        <f>SUM(F369:H369)</f>
        <v>5</v>
      </c>
      <c r="J369" s="31">
        <f>E369+I369</f>
        <v>9</v>
      </c>
      <c r="L369" s="22" t="s">
        <v>16</v>
      </c>
      <c r="M369" s="50">
        <f>M341-M368</f>
        <v>239</v>
      </c>
      <c r="N369" s="56">
        <f t="shared" ref="N369:O369" si="275">N341-N368</f>
        <v>300</v>
      </c>
      <c r="O369" s="57">
        <f t="shared" si="275"/>
        <v>206</v>
      </c>
      <c r="P369" s="55">
        <f>SUM(M369:O369)</f>
        <v>745</v>
      </c>
      <c r="Q369" s="50">
        <f>Q341-Q368</f>
        <v>239</v>
      </c>
      <c r="R369" s="56">
        <f t="shared" ref="R369:S369" si="276">R341-R368</f>
        <v>300</v>
      </c>
      <c r="S369" s="57">
        <f t="shared" si="276"/>
        <v>206</v>
      </c>
      <c r="T369" s="55">
        <f>SUM(Q369:S369)</f>
        <v>745</v>
      </c>
      <c r="U369" s="31">
        <f>P369+T369</f>
        <v>1490</v>
      </c>
    </row>
    <row r="370" spans="1:22" ht="19.5" thickBot="1" x14ac:dyDescent="0.25">
      <c r="A370" s="3" t="s">
        <v>20</v>
      </c>
      <c r="B370" s="1"/>
      <c r="C370" s="1"/>
      <c r="D370" s="1"/>
      <c r="E370" s="1"/>
      <c r="F370" s="1"/>
      <c r="G370" s="1"/>
      <c r="H370" s="1"/>
      <c r="I370" s="1"/>
      <c r="J370" s="1"/>
      <c r="L370" s="3" t="s">
        <v>21</v>
      </c>
      <c r="M370" s="1"/>
      <c r="N370" s="1"/>
      <c r="O370" s="1"/>
      <c r="P370" s="1"/>
      <c r="Q370" s="1"/>
      <c r="R370" s="1"/>
      <c r="S370" s="1"/>
      <c r="T370" s="1"/>
      <c r="U370" s="1"/>
    </row>
    <row r="371" spans="1:22" ht="14.25" thickBot="1" x14ac:dyDescent="0.2">
      <c r="A371" s="7"/>
      <c r="B371" s="176" t="s">
        <v>22</v>
      </c>
      <c r="C371" s="177"/>
      <c r="D371" s="177"/>
      <c r="E371" s="178"/>
      <c r="F371" s="176" t="s">
        <v>23</v>
      </c>
      <c r="G371" s="177"/>
      <c r="H371" s="177"/>
      <c r="I371" s="179"/>
      <c r="J371" s="174" t="s">
        <v>0</v>
      </c>
      <c r="L371" s="7"/>
      <c r="M371" s="169" t="s">
        <v>22</v>
      </c>
      <c r="N371" s="170"/>
      <c r="O371" s="170"/>
      <c r="P371" s="171"/>
      <c r="Q371" s="169" t="s">
        <v>23</v>
      </c>
      <c r="R371" s="170"/>
      <c r="S371" s="170"/>
      <c r="T371" s="171"/>
      <c r="U371" s="174" t="s">
        <v>0</v>
      </c>
    </row>
    <row r="372" spans="1:22" ht="14.25" thickBot="1" x14ac:dyDescent="0.2">
      <c r="A372" s="7" t="s">
        <v>1</v>
      </c>
      <c r="B372" s="4" t="s">
        <v>2</v>
      </c>
      <c r="C372" s="5" t="s">
        <v>3</v>
      </c>
      <c r="D372" s="6" t="s">
        <v>4</v>
      </c>
      <c r="E372" s="7" t="s">
        <v>5</v>
      </c>
      <c r="F372" s="4" t="s">
        <v>2</v>
      </c>
      <c r="G372" s="5" t="s">
        <v>3</v>
      </c>
      <c r="H372" s="6" t="s">
        <v>4</v>
      </c>
      <c r="I372" s="7" t="s">
        <v>5</v>
      </c>
      <c r="J372" s="175"/>
      <c r="L372" s="7" t="s">
        <v>1</v>
      </c>
      <c r="M372" s="4" t="s">
        <v>2</v>
      </c>
      <c r="N372" s="5" t="s">
        <v>3</v>
      </c>
      <c r="O372" s="6" t="s">
        <v>4</v>
      </c>
      <c r="P372" s="7" t="s">
        <v>5</v>
      </c>
      <c r="Q372" s="4" t="s">
        <v>2</v>
      </c>
      <c r="R372" s="5" t="s">
        <v>3</v>
      </c>
      <c r="S372" s="6" t="s">
        <v>4</v>
      </c>
      <c r="T372" s="7" t="s">
        <v>5</v>
      </c>
      <c r="U372" s="175"/>
    </row>
    <row r="373" spans="1:22" ht="14.25" thickBot="1" x14ac:dyDescent="0.2">
      <c r="A373" s="27" t="s">
        <v>16</v>
      </c>
      <c r="B373" s="38">
        <f>B369</f>
        <v>1</v>
      </c>
      <c r="C373" s="39">
        <f>C369</f>
        <v>0</v>
      </c>
      <c r="D373" s="2">
        <f>D369</f>
        <v>3</v>
      </c>
      <c r="E373" s="36">
        <f>SUM(B373:D373)</f>
        <v>4</v>
      </c>
      <c r="F373" s="38">
        <f>F369</f>
        <v>2</v>
      </c>
      <c r="G373" s="39">
        <f>G369</f>
        <v>0</v>
      </c>
      <c r="H373" s="2">
        <f>H369</f>
        <v>3</v>
      </c>
      <c r="I373" s="36">
        <f>SUM(F373:H373)</f>
        <v>5</v>
      </c>
      <c r="J373" s="36">
        <f>E373+I373</f>
        <v>9</v>
      </c>
      <c r="L373" s="27" t="s">
        <v>16</v>
      </c>
      <c r="M373" s="38">
        <f>M369</f>
        <v>239</v>
      </c>
      <c r="N373" s="39">
        <f>N369</f>
        <v>300</v>
      </c>
      <c r="O373" s="2">
        <f>O369</f>
        <v>206</v>
      </c>
      <c r="P373" s="36">
        <f>SUM(M373:O373)</f>
        <v>745</v>
      </c>
      <c r="Q373" s="38">
        <f>Q369</f>
        <v>239</v>
      </c>
      <c r="R373" s="39">
        <f>R369</f>
        <v>300</v>
      </c>
      <c r="S373" s="2">
        <f>S369</f>
        <v>206</v>
      </c>
      <c r="T373" s="36">
        <f>SUM(Q373:S373)</f>
        <v>745</v>
      </c>
      <c r="U373" s="36">
        <f>P373+T373</f>
        <v>1490</v>
      </c>
    </row>
    <row r="374" spans="1:22" x14ac:dyDescent="0.15">
      <c r="A374" s="25" t="s">
        <v>427</v>
      </c>
      <c r="B374" s="42">
        <v>1</v>
      </c>
      <c r="C374" s="43"/>
      <c r="D374" s="44"/>
      <c r="E374" s="48">
        <f>SUM(B374:D374)</f>
        <v>1</v>
      </c>
      <c r="F374" s="59">
        <v>1</v>
      </c>
      <c r="G374" s="43"/>
      <c r="H374" s="60"/>
      <c r="I374" s="48">
        <f>SUM(F374:H374)</f>
        <v>1</v>
      </c>
      <c r="J374" s="48">
        <f>E374+I374</f>
        <v>2</v>
      </c>
      <c r="K374" s="64">
        <v>44210</v>
      </c>
      <c r="L374" s="25" t="s">
        <v>312</v>
      </c>
      <c r="M374" s="42">
        <v>1</v>
      </c>
      <c r="N374" s="43"/>
      <c r="O374" s="44"/>
      <c r="P374" s="48">
        <f>SUM(M374:O374)</f>
        <v>1</v>
      </c>
      <c r="Q374" s="59">
        <v>1</v>
      </c>
      <c r="R374" s="43"/>
      <c r="S374" s="60"/>
      <c r="T374" s="48">
        <f>SUM(Q374:S374)</f>
        <v>1</v>
      </c>
      <c r="U374" s="48">
        <f>P374+T374</f>
        <v>2</v>
      </c>
      <c r="V374" s="99">
        <v>44205</v>
      </c>
    </row>
    <row r="375" spans="1:22" x14ac:dyDescent="0.15">
      <c r="A375" s="25"/>
      <c r="B375" s="8"/>
      <c r="C375" s="9"/>
      <c r="D375" s="52"/>
      <c r="E375" s="11">
        <f>SUM(B375:D375)</f>
        <v>0</v>
      </c>
      <c r="F375" s="12"/>
      <c r="G375" s="9"/>
      <c r="H375" s="10"/>
      <c r="I375" s="11">
        <f>SUM(F375:H375)</f>
        <v>0</v>
      </c>
      <c r="J375" s="11">
        <f>E375+I375</f>
        <v>0</v>
      </c>
      <c r="L375" s="25" t="s">
        <v>312</v>
      </c>
      <c r="M375" s="8">
        <v>1</v>
      </c>
      <c r="N375" s="9"/>
      <c r="O375" s="52"/>
      <c r="P375" s="11">
        <f>SUM(M375:O375)</f>
        <v>1</v>
      </c>
      <c r="Q375" s="8">
        <v>1</v>
      </c>
      <c r="R375" s="9"/>
      <c r="S375" s="52"/>
      <c r="T375" s="11">
        <f>SUM(Q375:S375)</f>
        <v>1</v>
      </c>
      <c r="U375" s="11">
        <f>P375+T375</f>
        <v>2</v>
      </c>
      <c r="V375" s="98">
        <v>44212</v>
      </c>
    </row>
    <row r="376" spans="1:22" x14ac:dyDescent="0.15">
      <c r="A376" s="25"/>
      <c r="B376" s="17"/>
      <c r="C376" s="18"/>
      <c r="D376" s="51"/>
      <c r="E376" s="11">
        <f t="shared" ref="E376:E381" si="277">SUM(B376:D376)</f>
        <v>0</v>
      </c>
      <c r="F376" s="20"/>
      <c r="G376" s="18"/>
      <c r="H376" s="19"/>
      <c r="I376" s="11">
        <f t="shared" ref="I376:I381" si="278">SUM(F376:H376)</f>
        <v>0</v>
      </c>
      <c r="J376" s="11">
        <f t="shared" ref="J376:J381" si="279">E376+I376</f>
        <v>0</v>
      </c>
      <c r="L376" s="25" t="s">
        <v>312</v>
      </c>
      <c r="M376" s="8"/>
      <c r="N376" s="9"/>
      <c r="O376" s="52">
        <v>2</v>
      </c>
      <c r="P376" s="11">
        <f>SUM(M376:O376)</f>
        <v>2</v>
      </c>
      <c r="Q376" s="8"/>
      <c r="R376" s="9"/>
      <c r="S376" s="52">
        <v>2</v>
      </c>
      <c r="T376" s="11">
        <f>SUM(Q376:S376)</f>
        <v>2</v>
      </c>
      <c r="U376" s="11">
        <f>P376+T376</f>
        <v>4</v>
      </c>
      <c r="V376" s="98">
        <v>44226</v>
      </c>
    </row>
    <row r="377" spans="1:22" x14ac:dyDescent="0.15">
      <c r="A377" s="25"/>
      <c r="B377" s="8"/>
      <c r="C377" s="9"/>
      <c r="D377" s="52"/>
      <c r="E377" s="11">
        <f t="shared" si="277"/>
        <v>0</v>
      </c>
      <c r="F377" s="12"/>
      <c r="G377" s="9"/>
      <c r="H377" s="10"/>
      <c r="I377" s="11">
        <f t="shared" si="278"/>
        <v>0</v>
      </c>
      <c r="J377" s="11">
        <f t="shared" si="279"/>
        <v>0</v>
      </c>
      <c r="L377" s="25" t="s">
        <v>10</v>
      </c>
      <c r="M377" s="8"/>
      <c r="N377" s="9"/>
      <c r="O377" s="52"/>
      <c r="P377" s="11">
        <f t="shared" ref="P377:P379" si="280">SUM(M377:O377)</f>
        <v>0</v>
      </c>
      <c r="Q377" s="12"/>
      <c r="R377" s="9"/>
      <c r="S377" s="10"/>
      <c r="T377" s="11">
        <f t="shared" ref="T377:T379" si="281">SUM(Q377:S377)</f>
        <v>0</v>
      </c>
      <c r="U377" s="11">
        <f t="shared" ref="U377:U379" si="282">P377+T377</f>
        <v>0</v>
      </c>
      <c r="V377" s="100"/>
    </row>
    <row r="378" spans="1:22" x14ac:dyDescent="0.15">
      <c r="A378" s="25"/>
      <c r="B378" s="8"/>
      <c r="C378" s="9"/>
      <c r="D378" s="52"/>
      <c r="E378" s="11">
        <f t="shared" si="277"/>
        <v>0</v>
      </c>
      <c r="F378" s="12"/>
      <c r="G378" s="9"/>
      <c r="H378" s="10"/>
      <c r="I378" s="11">
        <f t="shared" si="278"/>
        <v>0</v>
      </c>
      <c r="J378" s="11">
        <f t="shared" si="279"/>
        <v>0</v>
      </c>
      <c r="L378" s="25" t="s">
        <v>11</v>
      </c>
      <c r="M378" s="8"/>
      <c r="N378" s="9"/>
      <c r="O378" s="52"/>
      <c r="P378" s="11">
        <f t="shared" si="280"/>
        <v>0</v>
      </c>
      <c r="Q378" s="12"/>
      <c r="R378" s="9"/>
      <c r="S378" s="10"/>
      <c r="T378" s="11">
        <f t="shared" si="281"/>
        <v>0</v>
      </c>
      <c r="U378" s="11">
        <f t="shared" si="282"/>
        <v>0</v>
      </c>
      <c r="V378" s="98"/>
    </row>
    <row r="379" spans="1:22" x14ac:dyDescent="0.15">
      <c r="A379" s="25"/>
      <c r="B379" s="8"/>
      <c r="C379" s="9"/>
      <c r="D379" s="52"/>
      <c r="E379" s="11">
        <f t="shared" si="277"/>
        <v>0</v>
      </c>
      <c r="F379" s="12"/>
      <c r="G379" s="9"/>
      <c r="H379" s="10"/>
      <c r="I379" s="11">
        <f t="shared" si="278"/>
        <v>0</v>
      </c>
      <c r="J379" s="11">
        <f t="shared" si="279"/>
        <v>0</v>
      </c>
      <c r="L379" s="25" t="s">
        <v>12</v>
      </c>
      <c r="M379" s="8"/>
      <c r="N379" s="9"/>
      <c r="O379" s="52"/>
      <c r="P379" s="11">
        <f t="shared" si="280"/>
        <v>0</v>
      </c>
      <c r="Q379" s="12"/>
      <c r="R379" s="9"/>
      <c r="S379" s="10"/>
      <c r="T379" s="11">
        <f t="shared" si="281"/>
        <v>0</v>
      </c>
      <c r="U379" s="11">
        <f t="shared" si="282"/>
        <v>0</v>
      </c>
      <c r="V379" s="98"/>
    </row>
    <row r="380" spans="1:22" x14ac:dyDescent="0.15">
      <c r="A380" s="25"/>
      <c r="B380" s="13"/>
      <c r="C380" s="14"/>
      <c r="D380" s="53"/>
      <c r="E380" s="11">
        <f t="shared" si="277"/>
        <v>0</v>
      </c>
      <c r="F380" s="16"/>
      <c r="G380" s="14"/>
      <c r="H380" s="15"/>
      <c r="I380" s="11">
        <f t="shared" si="278"/>
        <v>0</v>
      </c>
      <c r="J380" s="11">
        <f t="shared" si="279"/>
        <v>0</v>
      </c>
      <c r="L380" s="25" t="s">
        <v>13</v>
      </c>
      <c r="M380" s="8"/>
      <c r="N380" s="9"/>
      <c r="O380" s="52"/>
      <c r="P380" s="11">
        <f>SUM(M380:O380)</f>
        <v>0</v>
      </c>
      <c r="Q380" s="8"/>
      <c r="R380" s="9"/>
      <c r="S380" s="52"/>
      <c r="T380" s="11">
        <f>SUM(Q380:S380)</f>
        <v>0</v>
      </c>
      <c r="U380" s="11">
        <f>P380+T380</f>
        <v>0</v>
      </c>
    </row>
    <row r="381" spans="1:22" ht="14.25" thickBot="1" x14ac:dyDescent="0.2">
      <c r="A381" s="25"/>
      <c r="B381" s="32"/>
      <c r="C381" s="33"/>
      <c r="D381" s="54"/>
      <c r="E381" s="61">
        <f t="shared" si="277"/>
        <v>0</v>
      </c>
      <c r="F381" s="34"/>
      <c r="G381" s="34"/>
      <c r="H381" s="37"/>
      <c r="I381" s="61">
        <f t="shared" si="278"/>
        <v>0</v>
      </c>
      <c r="J381" s="21">
        <f t="shared" si="279"/>
        <v>0</v>
      </c>
      <c r="L381" s="25" t="s">
        <v>14</v>
      </c>
      <c r="M381" s="32"/>
      <c r="N381" s="33"/>
      <c r="O381" s="54"/>
      <c r="P381" s="61">
        <f t="shared" ref="P381" si="283">SUM(M381:O381)</f>
        <v>0</v>
      </c>
      <c r="Q381" s="34"/>
      <c r="R381" s="34"/>
      <c r="S381" s="37"/>
      <c r="T381" s="61">
        <f t="shared" ref="T381" si="284">SUM(Q381:S381)</f>
        <v>0</v>
      </c>
      <c r="U381" s="21">
        <f t="shared" ref="U381" si="285">P381+T381</f>
        <v>0</v>
      </c>
    </row>
    <row r="382" spans="1:22" ht="14.25" thickBot="1" x14ac:dyDescent="0.2">
      <c r="A382" s="35" t="s">
        <v>15</v>
      </c>
      <c r="B382" s="28">
        <f>SUM(B373:B381)</f>
        <v>2</v>
      </c>
      <c r="C382" s="29">
        <f>SUM(C373:C381)</f>
        <v>0</v>
      </c>
      <c r="D382" s="30">
        <f>SUM(D373:D381)</f>
        <v>3</v>
      </c>
      <c r="E382" s="31">
        <f>SUM(B382:D382)</f>
        <v>5</v>
      </c>
      <c r="F382" s="28">
        <f>SUM(F373:F381)</f>
        <v>3</v>
      </c>
      <c r="G382" s="29">
        <f>SUM(G373:G381)</f>
        <v>0</v>
      </c>
      <c r="H382" s="30">
        <f>SUM(H373:H381)</f>
        <v>3</v>
      </c>
      <c r="I382" s="31">
        <f>SUM(F382:H382)</f>
        <v>6</v>
      </c>
      <c r="J382" s="31">
        <f>E382+I382</f>
        <v>11</v>
      </c>
      <c r="L382" s="35" t="s">
        <v>15</v>
      </c>
      <c r="M382" s="28">
        <f>SUM(M373:M381)</f>
        <v>241</v>
      </c>
      <c r="N382" s="29">
        <f>SUM(N373:N381)</f>
        <v>300</v>
      </c>
      <c r="O382" s="30">
        <f>SUM(O373:O381)</f>
        <v>208</v>
      </c>
      <c r="P382" s="31">
        <f>SUM(M382:O382)</f>
        <v>749</v>
      </c>
      <c r="Q382" s="28">
        <f>SUM(Q373:Q381)</f>
        <v>241</v>
      </c>
      <c r="R382" s="29">
        <f>SUM(R373:R381)</f>
        <v>300</v>
      </c>
      <c r="S382" s="30">
        <f>SUM(S373:S381)</f>
        <v>208</v>
      </c>
      <c r="T382" s="31">
        <f>SUM(Q382:S382)</f>
        <v>749</v>
      </c>
      <c r="U382" s="31">
        <f>P382+T382</f>
        <v>1498</v>
      </c>
    </row>
    <row r="383" spans="1:22" x14ac:dyDescent="0.15">
      <c r="A383" s="26" t="s">
        <v>382</v>
      </c>
      <c r="B383" s="42">
        <v>1</v>
      </c>
      <c r="C383" s="43"/>
      <c r="D383" s="44"/>
      <c r="E383" s="76">
        <f>SUM(B383:D383)</f>
        <v>1</v>
      </c>
      <c r="F383" s="59">
        <v>1</v>
      </c>
      <c r="G383" s="43"/>
      <c r="H383" s="60"/>
      <c r="I383" s="76">
        <f>SUM(F383:H383)</f>
        <v>1</v>
      </c>
      <c r="J383" s="48">
        <f>E383+I383</f>
        <v>2</v>
      </c>
      <c r="K383" s="99">
        <v>44205</v>
      </c>
      <c r="L383" s="108" t="s">
        <v>416</v>
      </c>
      <c r="M383" s="17">
        <v>4</v>
      </c>
      <c r="N383" s="18">
        <v>5</v>
      </c>
      <c r="O383" s="51">
        <v>7</v>
      </c>
      <c r="P383" s="87">
        <f t="shared" ref="P383" si="286">SUM(M383:O383)</f>
        <v>16</v>
      </c>
      <c r="Q383" s="8">
        <v>4</v>
      </c>
      <c r="R383" s="9">
        <v>5</v>
      </c>
      <c r="S383" s="10">
        <v>7</v>
      </c>
      <c r="T383" s="49">
        <f t="shared" ref="T383" si="287">SUM(Q383:S383)</f>
        <v>16</v>
      </c>
      <c r="U383" s="11">
        <f t="shared" ref="U383" si="288">P383+T383</f>
        <v>32</v>
      </c>
      <c r="V383" s="98">
        <v>43835</v>
      </c>
    </row>
    <row r="384" spans="1:22" x14ac:dyDescent="0.15">
      <c r="A384" s="26" t="s">
        <v>362</v>
      </c>
      <c r="B384" s="8">
        <v>1</v>
      </c>
      <c r="C384" s="9"/>
      <c r="D384" s="10"/>
      <c r="E384" s="49">
        <f t="shared" ref="E384:E407" si="289">SUM(B384:D384)</f>
        <v>1</v>
      </c>
      <c r="F384" s="12">
        <v>1</v>
      </c>
      <c r="G384" s="9"/>
      <c r="H384" s="10"/>
      <c r="I384" s="49">
        <f t="shared" ref="I384:I407" si="290">SUM(F384:H384)</f>
        <v>1</v>
      </c>
      <c r="J384" s="11">
        <f t="shared" ref="J384:J407" si="291">E384+I384</f>
        <v>2</v>
      </c>
      <c r="K384" s="99">
        <v>44212</v>
      </c>
      <c r="L384" s="108" t="s">
        <v>417</v>
      </c>
      <c r="M384" s="8">
        <v>8</v>
      </c>
      <c r="N384" s="9">
        <v>4</v>
      </c>
      <c r="O384" s="52"/>
      <c r="P384" s="87">
        <f t="shared" ref="P384" si="292">SUM(M384:O384)</f>
        <v>12</v>
      </c>
      <c r="Q384" s="12">
        <v>8</v>
      </c>
      <c r="R384" s="9">
        <v>4</v>
      </c>
      <c r="S384" s="10"/>
      <c r="T384" s="49">
        <f t="shared" ref="T384" si="293">SUM(Q384:S384)</f>
        <v>12</v>
      </c>
      <c r="U384" s="11">
        <f t="shared" ref="U384" si="294">P384+T384</f>
        <v>24</v>
      </c>
      <c r="V384" s="98">
        <v>44203</v>
      </c>
    </row>
    <row r="385" spans="1:22" x14ac:dyDescent="0.15">
      <c r="A385" s="26" t="s">
        <v>362</v>
      </c>
      <c r="B385" s="8"/>
      <c r="C385" s="9"/>
      <c r="D385" s="10">
        <v>2</v>
      </c>
      <c r="E385" s="49">
        <f t="shared" si="289"/>
        <v>2</v>
      </c>
      <c r="F385" s="12"/>
      <c r="G385" s="9"/>
      <c r="H385" s="10">
        <v>2</v>
      </c>
      <c r="I385" s="49">
        <f t="shared" si="290"/>
        <v>2</v>
      </c>
      <c r="J385" s="11">
        <f t="shared" si="291"/>
        <v>4</v>
      </c>
      <c r="K385" s="64">
        <v>44226</v>
      </c>
      <c r="L385" s="108" t="s">
        <v>419</v>
      </c>
      <c r="M385" s="13">
        <v>14</v>
      </c>
      <c r="N385" s="14">
        <v>20</v>
      </c>
      <c r="O385" s="53"/>
      <c r="P385" s="87">
        <f>SUM(M385:O385)</f>
        <v>34</v>
      </c>
      <c r="Q385" s="16">
        <v>14</v>
      </c>
      <c r="R385" s="14">
        <v>20</v>
      </c>
      <c r="S385" s="15"/>
      <c r="T385" s="49">
        <f>SUM(Q385:S385)</f>
        <v>34</v>
      </c>
      <c r="U385" s="11">
        <f>P385+T385</f>
        <v>68</v>
      </c>
      <c r="V385" s="98">
        <v>44204</v>
      </c>
    </row>
    <row r="386" spans="1:22" x14ac:dyDescent="0.15">
      <c r="A386" s="26"/>
      <c r="B386" s="8"/>
      <c r="C386" s="9"/>
      <c r="D386" s="10"/>
      <c r="E386" s="49">
        <f t="shared" si="289"/>
        <v>0</v>
      </c>
      <c r="F386" s="12"/>
      <c r="G386" s="9"/>
      <c r="H386" s="10"/>
      <c r="I386" s="49">
        <f t="shared" si="290"/>
        <v>0</v>
      </c>
      <c r="J386" s="11">
        <f t="shared" si="291"/>
        <v>0</v>
      </c>
      <c r="L386" s="108" t="s">
        <v>422</v>
      </c>
      <c r="M386" s="8">
        <v>5</v>
      </c>
      <c r="N386" s="9">
        <v>10</v>
      </c>
      <c r="O386" s="52">
        <v>17</v>
      </c>
      <c r="P386" s="87">
        <f t="shared" ref="P386:P398" si="295">SUM(M386:O386)</f>
        <v>32</v>
      </c>
      <c r="Q386" s="12">
        <v>5</v>
      </c>
      <c r="R386" s="9">
        <v>10</v>
      </c>
      <c r="S386" s="10">
        <v>17</v>
      </c>
      <c r="T386" s="49">
        <f t="shared" ref="T386:T398" si="296">SUM(Q386:S386)</f>
        <v>32</v>
      </c>
      <c r="U386" s="11">
        <f t="shared" ref="U386:U398" si="297">P386+T386</f>
        <v>64</v>
      </c>
      <c r="V386" s="98">
        <v>44205</v>
      </c>
    </row>
    <row r="387" spans="1:22" x14ac:dyDescent="0.15">
      <c r="A387" s="26"/>
      <c r="B387" s="8"/>
      <c r="C387" s="9"/>
      <c r="D387" s="10"/>
      <c r="E387" s="49">
        <f t="shared" si="289"/>
        <v>0</v>
      </c>
      <c r="F387" s="12"/>
      <c r="G387" s="9"/>
      <c r="H387" s="10"/>
      <c r="I387" s="49">
        <f t="shared" si="290"/>
        <v>0</v>
      </c>
      <c r="J387" s="11">
        <f t="shared" si="291"/>
        <v>0</v>
      </c>
      <c r="L387" s="108" t="s">
        <v>423</v>
      </c>
      <c r="M387" s="8">
        <v>10</v>
      </c>
      <c r="N387" s="9">
        <v>23</v>
      </c>
      <c r="O387" s="52">
        <v>10</v>
      </c>
      <c r="P387" s="87">
        <f t="shared" si="295"/>
        <v>43</v>
      </c>
      <c r="Q387" s="12">
        <v>10</v>
      </c>
      <c r="R387" s="9">
        <v>23</v>
      </c>
      <c r="S387" s="10">
        <v>10</v>
      </c>
      <c r="T387" s="49">
        <f t="shared" si="296"/>
        <v>43</v>
      </c>
      <c r="U387" s="11">
        <f t="shared" si="297"/>
        <v>86</v>
      </c>
      <c r="V387" s="98">
        <v>44209</v>
      </c>
    </row>
    <row r="388" spans="1:22" x14ac:dyDescent="0.15">
      <c r="A388" s="26"/>
      <c r="B388" s="8"/>
      <c r="C388" s="9"/>
      <c r="D388" s="10"/>
      <c r="E388" s="49">
        <f t="shared" si="289"/>
        <v>0</v>
      </c>
      <c r="F388" s="12"/>
      <c r="G388" s="9"/>
      <c r="H388" s="10"/>
      <c r="I388" s="49">
        <f t="shared" si="290"/>
        <v>0</v>
      </c>
      <c r="J388" s="11">
        <f t="shared" si="291"/>
        <v>0</v>
      </c>
      <c r="L388" s="108" t="s">
        <v>424</v>
      </c>
      <c r="M388" s="8">
        <v>6</v>
      </c>
      <c r="N388" s="9">
        <v>15</v>
      </c>
      <c r="O388" s="52">
        <v>8</v>
      </c>
      <c r="P388" s="87">
        <f t="shared" si="295"/>
        <v>29</v>
      </c>
      <c r="Q388" s="12">
        <v>6</v>
      </c>
      <c r="R388" s="9">
        <v>15</v>
      </c>
      <c r="S388" s="10">
        <v>8</v>
      </c>
      <c r="T388" s="49">
        <f t="shared" si="296"/>
        <v>29</v>
      </c>
      <c r="U388" s="11">
        <f t="shared" si="297"/>
        <v>58</v>
      </c>
      <c r="V388" s="98">
        <v>44210</v>
      </c>
    </row>
    <row r="389" spans="1:22" x14ac:dyDescent="0.15">
      <c r="A389" s="26"/>
      <c r="B389" s="8"/>
      <c r="C389" s="9"/>
      <c r="D389" s="10"/>
      <c r="E389" s="49">
        <f t="shared" si="289"/>
        <v>0</v>
      </c>
      <c r="F389" s="12"/>
      <c r="G389" s="9"/>
      <c r="H389" s="10"/>
      <c r="I389" s="49">
        <f t="shared" si="290"/>
        <v>0</v>
      </c>
      <c r="J389" s="11">
        <f t="shared" si="291"/>
        <v>0</v>
      </c>
      <c r="L389" s="108" t="s">
        <v>425</v>
      </c>
      <c r="M389" s="8">
        <v>7</v>
      </c>
      <c r="N389" s="9">
        <v>4</v>
      </c>
      <c r="O389" s="52">
        <v>4</v>
      </c>
      <c r="P389" s="87">
        <f t="shared" si="295"/>
        <v>15</v>
      </c>
      <c r="Q389" s="12">
        <v>7</v>
      </c>
      <c r="R389" s="9">
        <v>4</v>
      </c>
      <c r="S389" s="10">
        <v>4</v>
      </c>
      <c r="T389" s="49">
        <f t="shared" si="296"/>
        <v>15</v>
      </c>
      <c r="U389" s="11">
        <f t="shared" si="297"/>
        <v>30</v>
      </c>
      <c r="V389" s="98">
        <v>44212</v>
      </c>
    </row>
    <row r="390" spans="1:22" x14ac:dyDescent="0.15">
      <c r="A390" s="26"/>
      <c r="B390" s="8"/>
      <c r="C390" s="9"/>
      <c r="D390" s="10"/>
      <c r="E390" s="49">
        <f t="shared" si="289"/>
        <v>0</v>
      </c>
      <c r="F390" s="12"/>
      <c r="G390" s="9"/>
      <c r="H390" s="10"/>
      <c r="I390" s="49">
        <f t="shared" si="290"/>
        <v>0</v>
      </c>
      <c r="J390" s="11">
        <f t="shared" si="291"/>
        <v>0</v>
      </c>
      <c r="L390" s="108" t="s">
        <v>426</v>
      </c>
      <c r="M390" s="8">
        <v>4</v>
      </c>
      <c r="N390" s="9">
        <v>4</v>
      </c>
      <c r="O390" s="52"/>
      <c r="P390" s="87">
        <f t="shared" si="295"/>
        <v>8</v>
      </c>
      <c r="Q390" s="12">
        <v>4</v>
      </c>
      <c r="R390" s="9">
        <v>4</v>
      </c>
      <c r="S390" s="10"/>
      <c r="T390" s="49">
        <f t="shared" si="296"/>
        <v>8</v>
      </c>
      <c r="U390" s="11">
        <f t="shared" si="297"/>
        <v>16</v>
      </c>
      <c r="V390" s="98">
        <v>44215</v>
      </c>
    </row>
    <row r="391" spans="1:22" x14ac:dyDescent="0.15">
      <c r="A391" s="26"/>
      <c r="B391" s="8"/>
      <c r="C391" s="9"/>
      <c r="D391" s="10"/>
      <c r="E391" s="49">
        <f t="shared" si="289"/>
        <v>0</v>
      </c>
      <c r="F391" s="12"/>
      <c r="G391" s="9"/>
      <c r="H391" s="10"/>
      <c r="I391" s="49">
        <f t="shared" si="290"/>
        <v>0</v>
      </c>
      <c r="J391" s="11">
        <f t="shared" si="291"/>
        <v>0</v>
      </c>
      <c r="L391" s="108" t="s">
        <v>428</v>
      </c>
      <c r="M391" s="8">
        <v>10</v>
      </c>
      <c r="N391" s="9">
        <v>3</v>
      </c>
      <c r="O391" s="52">
        <v>1</v>
      </c>
      <c r="P391" s="87">
        <f t="shared" si="295"/>
        <v>14</v>
      </c>
      <c r="Q391" s="12">
        <v>10</v>
      </c>
      <c r="R391" s="9">
        <v>3</v>
      </c>
      <c r="S391" s="10">
        <v>1</v>
      </c>
      <c r="T391" s="49">
        <f t="shared" si="296"/>
        <v>14</v>
      </c>
      <c r="U391" s="11">
        <f t="shared" si="297"/>
        <v>28</v>
      </c>
      <c r="V391" s="98">
        <v>44217</v>
      </c>
    </row>
    <row r="392" spans="1:22" x14ac:dyDescent="0.15">
      <c r="A392" s="26"/>
      <c r="B392" s="13"/>
      <c r="C392" s="14"/>
      <c r="D392" s="15"/>
      <c r="E392" s="49">
        <f t="shared" si="289"/>
        <v>0</v>
      </c>
      <c r="F392" s="16"/>
      <c r="G392" s="14"/>
      <c r="H392" s="15"/>
      <c r="I392" s="49">
        <f t="shared" si="290"/>
        <v>0</v>
      </c>
      <c r="J392" s="11">
        <f t="shared" si="291"/>
        <v>0</v>
      </c>
      <c r="L392" s="108" t="s">
        <v>429</v>
      </c>
      <c r="M392" s="13">
        <v>4</v>
      </c>
      <c r="N392" s="14">
        <v>6</v>
      </c>
      <c r="O392" s="53">
        <v>7</v>
      </c>
      <c r="P392" s="87">
        <f t="shared" si="295"/>
        <v>17</v>
      </c>
      <c r="Q392" s="16">
        <v>4</v>
      </c>
      <c r="R392" s="14">
        <v>6</v>
      </c>
      <c r="S392" s="15">
        <v>7</v>
      </c>
      <c r="T392" s="49">
        <f t="shared" si="296"/>
        <v>17</v>
      </c>
      <c r="U392" s="11">
        <f t="shared" si="297"/>
        <v>34</v>
      </c>
      <c r="V392" s="98">
        <v>44218</v>
      </c>
    </row>
    <row r="393" spans="1:22" x14ac:dyDescent="0.15">
      <c r="A393" s="26"/>
      <c r="B393" s="8"/>
      <c r="C393" s="9"/>
      <c r="D393" s="10"/>
      <c r="E393" s="49">
        <f t="shared" si="289"/>
        <v>0</v>
      </c>
      <c r="F393" s="12"/>
      <c r="G393" s="9"/>
      <c r="H393" s="10"/>
      <c r="I393" s="49">
        <f t="shared" si="290"/>
        <v>0</v>
      </c>
      <c r="J393" s="11">
        <f t="shared" si="291"/>
        <v>0</v>
      </c>
      <c r="L393" s="108" t="s">
        <v>431</v>
      </c>
      <c r="M393" s="8">
        <v>9</v>
      </c>
      <c r="N393" s="9"/>
      <c r="O393" s="52">
        <v>10</v>
      </c>
      <c r="P393" s="87">
        <f t="shared" si="295"/>
        <v>19</v>
      </c>
      <c r="Q393" s="12">
        <v>9</v>
      </c>
      <c r="R393" s="9"/>
      <c r="S393" s="10">
        <v>10</v>
      </c>
      <c r="T393" s="49">
        <f t="shared" si="296"/>
        <v>19</v>
      </c>
      <c r="U393" s="11">
        <f t="shared" si="297"/>
        <v>38</v>
      </c>
      <c r="V393" s="98">
        <v>44219</v>
      </c>
    </row>
    <row r="394" spans="1:22" x14ac:dyDescent="0.15">
      <c r="A394" s="26"/>
      <c r="B394" s="8"/>
      <c r="C394" s="9"/>
      <c r="D394" s="10"/>
      <c r="E394" s="49">
        <f t="shared" si="289"/>
        <v>0</v>
      </c>
      <c r="F394" s="12"/>
      <c r="G394" s="9"/>
      <c r="H394" s="10"/>
      <c r="I394" s="49">
        <f t="shared" si="290"/>
        <v>0</v>
      </c>
      <c r="J394" s="11">
        <f t="shared" si="291"/>
        <v>0</v>
      </c>
      <c r="L394" s="108" t="s">
        <v>432</v>
      </c>
      <c r="M394" s="8">
        <v>6</v>
      </c>
      <c r="N394" s="9">
        <v>9</v>
      </c>
      <c r="O394" s="52"/>
      <c r="P394" s="87">
        <f t="shared" si="295"/>
        <v>15</v>
      </c>
      <c r="Q394" s="12">
        <v>6</v>
      </c>
      <c r="R394" s="9">
        <v>9</v>
      </c>
      <c r="S394" s="10"/>
      <c r="T394" s="49">
        <f t="shared" si="296"/>
        <v>15</v>
      </c>
      <c r="U394" s="11">
        <f t="shared" si="297"/>
        <v>30</v>
      </c>
      <c r="V394" s="98">
        <v>44222</v>
      </c>
    </row>
    <row r="395" spans="1:22" x14ac:dyDescent="0.15">
      <c r="A395" s="26"/>
      <c r="B395" s="8"/>
      <c r="C395" s="9"/>
      <c r="D395" s="10"/>
      <c r="E395" s="49">
        <f t="shared" si="289"/>
        <v>0</v>
      </c>
      <c r="F395" s="12"/>
      <c r="G395" s="9"/>
      <c r="H395" s="10"/>
      <c r="I395" s="49">
        <f t="shared" si="290"/>
        <v>0</v>
      </c>
      <c r="J395" s="11">
        <f t="shared" si="291"/>
        <v>0</v>
      </c>
      <c r="L395" s="108" t="s">
        <v>433</v>
      </c>
      <c r="M395" s="8"/>
      <c r="N395" s="9">
        <v>5</v>
      </c>
      <c r="O395" s="52"/>
      <c r="P395" s="87">
        <f t="shared" si="295"/>
        <v>5</v>
      </c>
      <c r="Q395" s="12"/>
      <c r="R395" s="9">
        <v>5</v>
      </c>
      <c r="S395" s="10"/>
      <c r="T395" s="49">
        <f t="shared" si="296"/>
        <v>5</v>
      </c>
      <c r="U395" s="11">
        <f t="shared" si="297"/>
        <v>10</v>
      </c>
      <c r="V395" s="98">
        <v>44223</v>
      </c>
    </row>
    <row r="396" spans="1:22" x14ac:dyDescent="0.15">
      <c r="A396" s="26"/>
      <c r="B396" s="8"/>
      <c r="C396" s="9"/>
      <c r="D396" s="10"/>
      <c r="E396" s="49">
        <f t="shared" si="289"/>
        <v>0</v>
      </c>
      <c r="F396" s="12"/>
      <c r="G396" s="9"/>
      <c r="H396" s="10"/>
      <c r="I396" s="49">
        <f t="shared" si="290"/>
        <v>0</v>
      </c>
      <c r="J396" s="11">
        <f t="shared" si="291"/>
        <v>0</v>
      </c>
      <c r="L396" s="108" t="s">
        <v>434</v>
      </c>
      <c r="M396" s="8">
        <v>3</v>
      </c>
      <c r="N396" s="9">
        <v>10</v>
      </c>
      <c r="O396" s="52"/>
      <c r="P396" s="87">
        <f t="shared" si="295"/>
        <v>13</v>
      </c>
      <c r="Q396" s="12">
        <v>3</v>
      </c>
      <c r="R396" s="9">
        <v>10</v>
      </c>
      <c r="S396" s="10"/>
      <c r="T396" s="49">
        <f t="shared" si="296"/>
        <v>13</v>
      </c>
      <c r="U396" s="11">
        <f t="shared" si="297"/>
        <v>26</v>
      </c>
      <c r="V396" s="98">
        <v>44224</v>
      </c>
    </row>
    <row r="397" spans="1:22" x14ac:dyDescent="0.15">
      <c r="A397" s="26"/>
      <c r="B397" s="8"/>
      <c r="C397" s="9"/>
      <c r="D397" s="10"/>
      <c r="E397" s="49">
        <f t="shared" si="289"/>
        <v>0</v>
      </c>
      <c r="F397" s="12"/>
      <c r="G397" s="9"/>
      <c r="H397" s="10"/>
      <c r="I397" s="49">
        <f t="shared" si="290"/>
        <v>0</v>
      </c>
      <c r="J397" s="11">
        <f t="shared" si="291"/>
        <v>0</v>
      </c>
      <c r="L397" s="108" t="s">
        <v>435</v>
      </c>
      <c r="M397" s="8"/>
      <c r="N397" s="9">
        <v>16</v>
      </c>
      <c r="O397" s="52">
        <v>5</v>
      </c>
      <c r="P397" s="87">
        <f t="shared" si="295"/>
        <v>21</v>
      </c>
      <c r="Q397" s="12"/>
      <c r="R397" s="9">
        <v>16</v>
      </c>
      <c r="S397" s="10">
        <v>5</v>
      </c>
      <c r="T397" s="49">
        <f t="shared" si="296"/>
        <v>21</v>
      </c>
      <c r="U397" s="11">
        <f t="shared" si="297"/>
        <v>42</v>
      </c>
      <c r="V397" s="98">
        <v>44226</v>
      </c>
    </row>
    <row r="398" spans="1:22" x14ac:dyDescent="0.15">
      <c r="A398" s="26"/>
      <c r="B398" s="8"/>
      <c r="C398" s="9"/>
      <c r="D398" s="10"/>
      <c r="E398" s="49">
        <f t="shared" si="289"/>
        <v>0</v>
      </c>
      <c r="F398" s="12"/>
      <c r="G398" s="9"/>
      <c r="H398" s="10"/>
      <c r="I398" s="49">
        <f t="shared" si="290"/>
        <v>0</v>
      </c>
      <c r="J398" s="11">
        <f t="shared" si="291"/>
        <v>0</v>
      </c>
      <c r="L398" s="108" t="s">
        <v>436</v>
      </c>
      <c r="M398" s="8">
        <v>4</v>
      </c>
      <c r="N398" s="9">
        <v>6</v>
      </c>
      <c r="O398" s="52">
        <v>5</v>
      </c>
      <c r="P398" s="87">
        <f t="shared" si="295"/>
        <v>15</v>
      </c>
      <c r="Q398" s="12">
        <v>4</v>
      </c>
      <c r="R398" s="9">
        <v>6</v>
      </c>
      <c r="S398" s="10">
        <v>5</v>
      </c>
      <c r="T398" s="49">
        <f t="shared" si="296"/>
        <v>15</v>
      </c>
      <c r="U398" s="11">
        <f t="shared" si="297"/>
        <v>30</v>
      </c>
      <c r="V398" s="98">
        <v>44229</v>
      </c>
    </row>
    <row r="399" spans="1:22" x14ac:dyDescent="0.15">
      <c r="A399" s="26"/>
      <c r="B399" s="8"/>
      <c r="C399" s="9"/>
      <c r="D399" s="10"/>
      <c r="E399" s="49">
        <f t="shared" si="289"/>
        <v>0</v>
      </c>
      <c r="F399" s="12"/>
      <c r="G399" s="9"/>
      <c r="H399" s="10"/>
      <c r="I399" s="49">
        <f t="shared" si="290"/>
        <v>0</v>
      </c>
      <c r="J399" s="11">
        <f t="shared" si="291"/>
        <v>0</v>
      </c>
      <c r="L399" s="108" t="s">
        <v>437</v>
      </c>
      <c r="M399" s="13">
        <v>3</v>
      </c>
      <c r="N399" s="14">
        <v>6</v>
      </c>
      <c r="O399" s="53">
        <v>2</v>
      </c>
      <c r="P399" s="87">
        <f>SUM(M399:O399)</f>
        <v>11</v>
      </c>
      <c r="Q399" s="16">
        <v>3</v>
      </c>
      <c r="R399" s="14">
        <v>6</v>
      </c>
      <c r="S399" s="15">
        <v>2</v>
      </c>
      <c r="T399" s="49">
        <f>SUM(Q399:S399)</f>
        <v>11</v>
      </c>
      <c r="U399" s="11">
        <f>P399+T399</f>
        <v>22</v>
      </c>
      <c r="V399" s="98">
        <v>44230</v>
      </c>
    </row>
    <row r="400" spans="1:22" x14ac:dyDescent="0.15">
      <c r="A400" s="24"/>
      <c r="B400" s="8"/>
      <c r="C400" s="9"/>
      <c r="D400" s="10"/>
      <c r="E400" s="49">
        <f t="shared" si="289"/>
        <v>0</v>
      </c>
      <c r="F400" s="12"/>
      <c r="G400" s="9"/>
      <c r="H400" s="10"/>
      <c r="I400" s="49">
        <f t="shared" si="290"/>
        <v>0</v>
      </c>
      <c r="J400" s="11">
        <f t="shared" si="291"/>
        <v>0</v>
      </c>
      <c r="L400" s="108" t="s">
        <v>438</v>
      </c>
      <c r="M400" s="8"/>
      <c r="N400" s="9"/>
      <c r="O400" s="52">
        <v>2</v>
      </c>
      <c r="P400" s="87">
        <f t="shared" ref="P400:P401" si="298">SUM(M400:O400)</f>
        <v>2</v>
      </c>
      <c r="Q400" s="12"/>
      <c r="R400" s="9"/>
      <c r="S400" s="10">
        <v>2</v>
      </c>
      <c r="T400" s="49">
        <f t="shared" ref="T400:T401" si="299">SUM(Q400:S400)</f>
        <v>2</v>
      </c>
      <c r="U400" s="11">
        <f t="shared" ref="U400:U401" si="300">P400+T400</f>
        <v>4</v>
      </c>
      <c r="V400" s="98">
        <v>44231</v>
      </c>
    </row>
    <row r="401" spans="1:22" x14ac:dyDescent="0.15">
      <c r="A401" s="25"/>
      <c r="B401" s="8"/>
      <c r="C401" s="9"/>
      <c r="D401" s="10"/>
      <c r="E401" s="49">
        <f t="shared" si="289"/>
        <v>0</v>
      </c>
      <c r="F401" s="12"/>
      <c r="G401" s="9"/>
      <c r="H401" s="10"/>
      <c r="I401" s="49">
        <f t="shared" si="290"/>
        <v>0</v>
      </c>
      <c r="J401" s="11">
        <f t="shared" si="291"/>
        <v>0</v>
      </c>
      <c r="L401" s="108" t="s">
        <v>439</v>
      </c>
      <c r="M401" s="8"/>
      <c r="N401" s="9">
        <v>5</v>
      </c>
      <c r="O401" s="52">
        <v>3</v>
      </c>
      <c r="P401" s="87">
        <f t="shared" si="298"/>
        <v>8</v>
      </c>
      <c r="Q401" s="12"/>
      <c r="R401" s="9">
        <v>5</v>
      </c>
      <c r="S401" s="10">
        <v>3</v>
      </c>
      <c r="T401" s="49">
        <f t="shared" si="299"/>
        <v>8</v>
      </c>
      <c r="U401" s="11">
        <f t="shared" si="300"/>
        <v>16</v>
      </c>
      <c r="V401" s="98">
        <v>44232</v>
      </c>
    </row>
    <row r="402" spans="1:22" x14ac:dyDescent="0.15">
      <c r="A402" s="26"/>
      <c r="B402" s="8"/>
      <c r="C402" s="9"/>
      <c r="D402" s="10"/>
      <c r="E402" s="49">
        <f t="shared" si="289"/>
        <v>0</v>
      </c>
      <c r="F402" s="12"/>
      <c r="G402" s="9"/>
      <c r="H402" s="10"/>
      <c r="I402" s="49">
        <f t="shared" si="290"/>
        <v>0</v>
      </c>
      <c r="J402" s="11">
        <f t="shared" si="291"/>
        <v>0</v>
      </c>
      <c r="L402" s="108" t="s">
        <v>440</v>
      </c>
      <c r="M402" s="13">
        <v>2</v>
      </c>
      <c r="N402" s="14">
        <v>2</v>
      </c>
      <c r="O402" s="53"/>
      <c r="P402" s="87">
        <f>SUM(M402:O402)</f>
        <v>4</v>
      </c>
      <c r="Q402" s="16">
        <v>2</v>
      </c>
      <c r="R402" s="14">
        <v>2</v>
      </c>
      <c r="S402" s="15"/>
      <c r="T402" s="49">
        <f>SUM(Q402:S402)</f>
        <v>4</v>
      </c>
      <c r="U402" s="11">
        <f>P402+T402</f>
        <v>8</v>
      </c>
      <c r="V402" s="98">
        <v>44233</v>
      </c>
    </row>
    <row r="403" spans="1:22" x14ac:dyDescent="0.15">
      <c r="A403" s="24"/>
      <c r="B403" s="8"/>
      <c r="C403" s="9"/>
      <c r="D403" s="10"/>
      <c r="E403" s="49">
        <f t="shared" si="289"/>
        <v>0</v>
      </c>
      <c r="F403" s="12"/>
      <c r="G403" s="9"/>
      <c r="H403" s="10"/>
      <c r="I403" s="49">
        <f t="shared" si="290"/>
        <v>0</v>
      </c>
      <c r="J403" s="11">
        <f t="shared" si="291"/>
        <v>0</v>
      </c>
      <c r="L403" s="108" t="s">
        <v>441</v>
      </c>
      <c r="M403" s="8">
        <v>4</v>
      </c>
      <c r="N403" s="9">
        <v>10</v>
      </c>
      <c r="O403" s="52">
        <v>4</v>
      </c>
      <c r="P403" s="87">
        <f t="shared" ref="P403" si="301">SUM(M403:O403)</f>
        <v>18</v>
      </c>
      <c r="Q403" s="8">
        <v>4</v>
      </c>
      <c r="R403" s="9">
        <v>10</v>
      </c>
      <c r="S403" s="10">
        <v>4</v>
      </c>
      <c r="T403" s="49">
        <f t="shared" ref="T403" si="302">SUM(Q403:S403)</f>
        <v>18</v>
      </c>
      <c r="U403" s="11">
        <f t="shared" ref="U403" si="303">P403+T403</f>
        <v>36</v>
      </c>
      <c r="V403" s="98">
        <v>44236</v>
      </c>
    </row>
    <row r="404" spans="1:22" x14ac:dyDescent="0.15">
      <c r="B404" s="13"/>
      <c r="C404" s="14"/>
      <c r="D404" s="15"/>
      <c r="E404" s="49">
        <f t="shared" si="289"/>
        <v>0</v>
      </c>
      <c r="F404" s="16"/>
      <c r="G404" s="14"/>
      <c r="H404" s="15"/>
      <c r="I404" s="49">
        <f t="shared" si="290"/>
        <v>0</v>
      </c>
      <c r="J404" s="11">
        <f t="shared" si="291"/>
        <v>0</v>
      </c>
      <c r="L404" s="108" t="s">
        <v>442</v>
      </c>
      <c r="M404" s="13">
        <v>2</v>
      </c>
      <c r="N404" s="14"/>
      <c r="O404" s="53">
        <v>2</v>
      </c>
      <c r="P404" s="87">
        <f>SUM(M404:O404)</f>
        <v>4</v>
      </c>
      <c r="Q404" s="16">
        <v>2</v>
      </c>
      <c r="R404" s="14"/>
      <c r="S404" s="15">
        <v>2</v>
      </c>
      <c r="T404" s="49">
        <f>SUM(Q404:S404)</f>
        <v>4</v>
      </c>
      <c r="U404" s="11">
        <f>P404+T404</f>
        <v>8</v>
      </c>
      <c r="V404" s="98">
        <v>44243</v>
      </c>
    </row>
    <row r="405" spans="1:22" x14ac:dyDescent="0.15">
      <c r="A405" s="26"/>
      <c r="B405" s="8"/>
      <c r="C405" s="9"/>
      <c r="D405" s="10"/>
      <c r="E405" s="49">
        <f t="shared" si="289"/>
        <v>0</v>
      </c>
      <c r="F405" s="12"/>
      <c r="G405" s="9"/>
      <c r="H405" s="10"/>
      <c r="I405" s="49">
        <f t="shared" si="290"/>
        <v>0</v>
      </c>
      <c r="J405" s="11">
        <f t="shared" si="291"/>
        <v>0</v>
      </c>
      <c r="L405" s="86"/>
      <c r="M405" s="8"/>
      <c r="N405" s="9"/>
      <c r="O405" s="52"/>
      <c r="P405" s="87">
        <f t="shared" ref="P405" si="304">SUM(M405:O405)</f>
        <v>0</v>
      </c>
      <c r="Q405" s="12"/>
      <c r="R405" s="9"/>
      <c r="S405" s="10"/>
      <c r="T405" s="49">
        <f t="shared" ref="T405" si="305">SUM(Q405:S405)</f>
        <v>0</v>
      </c>
      <c r="U405" s="11">
        <f t="shared" ref="U405" si="306">P405+T405</f>
        <v>0</v>
      </c>
      <c r="V405" s="100"/>
    </row>
    <row r="406" spans="1:22" x14ac:dyDescent="0.15">
      <c r="A406" s="26"/>
      <c r="B406" s="8"/>
      <c r="C406" s="9"/>
      <c r="D406" s="10"/>
      <c r="E406" s="49">
        <f t="shared" si="289"/>
        <v>0</v>
      </c>
      <c r="F406" s="12"/>
      <c r="G406" s="9"/>
      <c r="H406" s="10"/>
      <c r="I406" s="49">
        <f t="shared" si="290"/>
        <v>0</v>
      </c>
      <c r="J406" s="11">
        <f t="shared" si="291"/>
        <v>0</v>
      </c>
      <c r="L406" s="86" t="s">
        <v>413</v>
      </c>
      <c r="M406" s="8"/>
      <c r="N406" s="9"/>
      <c r="O406" s="52"/>
      <c r="P406" s="87">
        <f t="shared" ref="P406" si="307">SUM(M406:O406)</f>
        <v>0</v>
      </c>
      <c r="Q406" s="12"/>
      <c r="R406" s="9"/>
      <c r="S406" s="10"/>
      <c r="T406" s="49">
        <f t="shared" ref="T406" si="308">SUM(Q406:S406)</f>
        <v>0</v>
      </c>
      <c r="U406" s="11">
        <f t="shared" ref="U406:U407" si="309">P406+T406</f>
        <v>0</v>
      </c>
      <c r="V406" s="100" t="s">
        <v>414</v>
      </c>
    </row>
    <row r="407" spans="1:22" x14ac:dyDescent="0.15">
      <c r="A407" s="26"/>
      <c r="B407" s="8"/>
      <c r="C407" s="9"/>
      <c r="D407" s="10"/>
      <c r="E407" s="49">
        <f t="shared" si="289"/>
        <v>0</v>
      </c>
      <c r="F407" s="12"/>
      <c r="G407" s="9"/>
      <c r="H407" s="10"/>
      <c r="I407" s="49">
        <f t="shared" si="290"/>
        <v>0</v>
      </c>
      <c r="J407" s="11">
        <f t="shared" si="291"/>
        <v>0</v>
      </c>
      <c r="L407" s="86" t="s">
        <v>404</v>
      </c>
      <c r="M407" s="8"/>
      <c r="N407" s="9"/>
      <c r="O407" s="52"/>
      <c r="P407" s="87">
        <f t="shared" ref="P407" si="310">SUM(M407:O407)</f>
        <v>0</v>
      </c>
      <c r="Q407" s="12"/>
      <c r="R407" s="9"/>
      <c r="S407" s="10"/>
      <c r="T407" s="49">
        <f t="shared" ref="T407" si="311">SUM(Q407:S407)</f>
        <v>0</v>
      </c>
      <c r="U407" s="11">
        <f t="shared" si="309"/>
        <v>0</v>
      </c>
      <c r="V407" s="98">
        <v>43857</v>
      </c>
    </row>
    <row r="408" spans="1:22" ht="14.25" thickBot="1" x14ac:dyDescent="0.2">
      <c r="A408" s="23"/>
      <c r="B408" s="13"/>
      <c r="C408" s="14"/>
      <c r="D408" s="15"/>
      <c r="E408" s="49">
        <f>SUM(B408:D408)</f>
        <v>0</v>
      </c>
      <c r="F408" s="16"/>
      <c r="G408" s="14"/>
      <c r="H408" s="15"/>
      <c r="I408" s="49">
        <f>SUM(F408:H408)</f>
        <v>0</v>
      </c>
      <c r="J408" s="11">
        <f>E408+I408</f>
        <v>0</v>
      </c>
      <c r="L408" s="86" t="s">
        <v>388</v>
      </c>
      <c r="M408" s="8"/>
      <c r="N408" s="9"/>
      <c r="O408" s="52"/>
      <c r="P408" s="87">
        <f t="shared" ref="P408:P409" si="312">SUM(M408:O408)</f>
        <v>0</v>
      </c>
      <c r="Q408" s="12"/>
      <c r="R408" s="9"/>
      <c r="S408" s="10"/>
      <c r="T408" s="49">
        <f t="shared" ref="T408:T409" si="313">SUM(Q408:S408)</f>
        <v>0</v>
      </c>
      <c r="U408" s="11">
        <f t="shared" ref="U408" si="314">P408+T408</f>
        <v>0</v>
      </c>
      <c r="V408" s="100" t="s">
        <v>197</v>
      </c>
    </row>
    <row r="409" spans="1:22" ht="14.25" thickBot="1" x14ac:dyDescent="0.2">
      <c r="A409" s="41" t="s">
        <v>17</v>
      </c>
      <c r="B409" s="46">
        <f>SUM(B383:B408)</f>
        <v>2</v>
      </c>
      <c r="C409" s="47">
        <f t="shared" ref="C409:D409" si="315">SUM(C383:C408)</f>
        <v>0</v>
      </c>
      <c r="D409" s="58">
        <f t="shared" si="315"/>
        <v>2</v>
      </c>
      <c r="E409" s="45">
        <f t="shared" ref="E409" si="316">SUM(B409:D409)</f>
        <v>4</v>
      </c>
      <c r="F409" s="46">
        <f>SUM(F383:F408)</f>
        <v>2</v>
      </c>
      <c r="G409" s="47">
        <f t="shared" ref="G409:H409" si="317">SUM(G383:G408)</f>
        <v>0</v>
      </c>
      <c r="H409" s="58">
        <f t="shared" si="317"/>
        <v>2</v>
      </c>
      <c r="I409" s="45">
        <f t="shared" ref="I409" si="318">SUM(F409:H409)</f>
        <v>4</v>
      </c>
      <c r="J409" s="45">
        <f>E409+I409</f>
        <v>8</v>
      </c>
      <c r="L409" s="41" t="s">
        <v>17</v>
      </c>
      <c r="M409" s="46">
        <f>SUM(M383:M408)</f>
        <v>105</v>
      </c>
      <c r="N409" s="47">
        <f t="shared" ref="N409:O409" si="319">SUM(N383:N408)</f>
        <v>163</v>
      </c>
      <c r="O409" s="58">
        <f t="shared" si="319"/>
        <v>87</v>
      </c>
      <c r="P409" s="45">
        <f t="shared" si="312"/>
        <v>355</v>
      </c>
      <c r="Q409" s="46">
        <f>SUM(Q383:Q408)</f>
        <v>105</v>
      </c>
      <c r="R409" s="47">
        <f t="shared" ref="R409:S409" si="320">SUM(R383:R408)</f>
        <v>163</v>
      </c>
      <c r="S409" s="58">
        <f t="shared" si="320"/>
        <v>87</v>
      </c>
      <c r="T409" s="45">
        <f t="shared" si="313"/>
        <v>355</v>
      </c>
      <c r="U409" s="45">
        <f>P409+T409</f>
        <v>710</v>
      </c>
    </row>
    <row r="410" spans="1:22" ht="14.25" thickBot="1" x14ac:dyDescent="0.2">
      <c r="A410" s="22" t="s">
        <v>16</v>
      </c>
      <c r="B410" s="50">
        <f>B382-B409</f>
        <v>0</v>
      </c>
      <c r="C410" s="56">
        <f t="shared" ref="C410:D410" si="321">C382-C409</f>
        <v>0</v>
      </c>
      <c r="D410" s="57">
        <f t="shared" si="321"/>
        <v>1</v>
      </c>
      <c r="E410" s="55">
        <f>SUM(B410:D410)</f>
        <v>1</v>
      </c>
      <c r="F410" s="50">
        <f>F382-F409</f>
        <v>1</v>
      </c>
      <c r="G410" s="56">
        <f t="shared" ref="G410:H410" si="322">G382-G409</f>
        <v>0</v>
      </c>
      <c r="H410" s="57">
        <f t="shared" si="322"/>
        <v>1</v>
      </c>
      <c r="I410" s="55">
        <f>SUM(F410:H410)</f>
        <v>2</v>
      </c>
      <c r="J410" s="31">
        <f>E410+I410</f>
        <v>3</v>
      </c>
      <c r="L410" s="22" t="s">
        <v>16</v>
      </c>
      <c r="M410" s="50">
        <f>M382-M409</f>
        <v>136</v>
      </c>
      <c r="N410" s="56">
        <f t="shared" ref="N410:O410" si="323">N382-N409</f>
        <v>137</v>
      </c>
      <c r="O410" s="57">
        <f t="shared" si="323"/>
        <v>121</v>
      </c>
      <c r="P410" s="55">
        <f>SUM(M410:O410)</f>
        <v>394</v>
      </c>
      <c r="Q410" s="50">
        <f>Q382-Q409</f>
        <v>136</v>
      </c>
      <c r="R410" s="56">
        <f t="shared" ref="R410:S410" si="324">R382-R409</f>
        <v>137</v>
      </c>
      <c r="S410" s="57">
        <f t="shared" si="324"/>
        <v>121</v>
      </c>
      <c r="T410" s="55">
        <f>SUM(Q410:S410)</f>
        <v>394</v>
      </c>
      <c r="U410" s="31">
        <f>P410+T410</f>
        <v>788</v>
      </c>
    </row>
    <row r="411" spans="1:22" ht="19.5" thickBot="1" x14ac:dyDescent="0.25">
      <c r="A411" s="3" t="s">
        <v>20</v>
      </c>
      <c r="B411" s="1"/>
      <c r="C411" s="1"/>
      <c r="D411" s="1"/>
      <c r="E411" s="1"/>
      <c r="F411" s="1"/>
      <c r="G411" s="1"/>
      <c r="H411" s="1"/>
      <c r="I411" s="1"/>
      <c r="J411" s="1"/>
      <c r="L411" s="3"/>
      <c r="M411" s="1">
        <f>M409+M368+M327</f>
        <v>219</v>
      </c>
      <c r="N411" s="1">
        <f t="shared" ref="N411:T411" si="325">N409+N368+N327</f>
        <v>331</v>
      </c>
      <c r="O411" s="1">
        <f t="shared" si="325"/>
        <v>226</v>
      </c>
      <c r="P411" s="1">
        <f t="shared" si="325"/>
        <v>776</v>
      </c>
      <c r="Q411" s="1">
        <f>Q409+Q368+Q327</f>
        <v>219</v>
      </c>
      <c r="R411" s="1">
        <f t="shared" si="325"/>
        <v>331</v>
      </c>
      <c r="S411" s="1">
        <f t="shared" si="325"/>
        <v>226</v>
      </c>
      <c r="T411" s="1">
        <f t="shared" si="325"/>
        <v>776</v>
      </c>
      <c r="U411" s="1"/>
    </row>
    <row r="412" spans="1:22" ht="14.25" thickBot="1" x14ac:dyDescent="0.2">
      <c r="A412" s="7"/>
      <c r="B412" s="176" t="s">
        <v>22</v>
      </c>
      <c r="C412" s="177"/>
      <c r="D412" s="177"/>
      <c r="E412" s="178"/>
      <c r="F412" s="176" t="s">
        <v>23</v>
      </c>
      <c r="G412" s="177"/>
      <c r="H412" s="177"/>
      <c r="I412" s="179"/>
      <c r="J412" s="174" t="s">
        <v>0</v>
      </c>
      <c r="L412" s="7"/>
      <c r="M412" s="169" t="s">
        <v>22</v>
      </c>
      <c r="N412" s="170"/>
      <c r="O412" s="170"/>
      <c r="P412" s="171"/>
      <c r="Q412" s="169" t="s">
        <v>23</v>
      </c>
      <c r="R412" s="170"/>
      <c r="S412" s="170"/>
      <c r="T412" s="171"/>
      <c r="U412" s="174" t="s">
        <v>0</v>
      </c>
    </row>
    <row r="413" spans="1:22" ht="14.25" thickBot="1" x14ac:dyDescent="0.2">
      <c r="A413" s="7" t="s">
        <v>1</v>
      </c>
      <c r="B413" s="4" t="s">
        <v>2</v>
      </c>
      <c r="C413" s="5" t="s">
        <v>3</v>
      </c>
      <c r="D413" s="6" t="s">
        <v>4</v>
      </c>
      <c r="E413" s="7" t="s">
        <v>5</v>
      </c>
      <c r="F413" s="4" t="s">
        <v>2</v>
      </c>
      <c r="G413" s="5" t="s">
        <v>3</v>
      </c>
      <c r="H413" s="6" t="s">
        <v>4</v>
      </c>
      <c r="I413" s="7" t="s">
        <v>5</v>
      </c>
      <c r="J413" s="175"/>
      <c r="L413" s="7" t="s">
        <v>1</v>
      </c>
      <c r="M413" s="4" t="s">
        <v>2</v>
      </c>
      <c r="N413" s="5" t="s">
        <v>3</v>
      </c>
      <c r="O413" s="6" t="s">
        <v>4</v>
      </c>
      <c r="P413" s="7" t="s">
        <v>5</v>
      </c>
      <c r="Q413" s="4" t="s">
        <v>2</v>
      </c>
      <c r="R413" s="5" t="s">
        <v>3</v>
      </c>
      <c r="S413" s="6" t="s">
        <v>4</v>
      </c>
      <c r="T413" s="7" t="s">
        <v>5</v>
      </c>
      <c r="U413" s="175"/>
    </row>
    <row r="414" spans="1:22" ht="14.25" thickBot="1" x14ac:dyDescent="0.2">
      <c r="A414" s="27" t="s">
        <v>16</v>
      </c>
      <c r="B414" s="38">
        <f>B410</f>
        <v>0</v>
      </c>
      <c r="C414" s="39">
        <f>C410</f>
        <v>0</v>
      </c>
      <c r="D414" s="2">
        <f>D410</f>
        <v>1</v>
      </c>
      <c r="E414" s="36">
        <f>SUM(B414:D414)</f>
        <v>1</v>
      </c>
      <c r="F414" s="38">
        <f>F410</f>
        <v>1</v>
      </c>
      <c r="G414" s="39">
        <f>G410</f>
        <v>0</v>
      </c>
      <c r="H414" s="2">
        <f>H410</f>
        <v>1</v>
      </c>
      <c r="I414" s="36">
        <f>SUM(F414:H414)</f>
        <v>2</v>
      </c>
      <c r="J414" s="36">
        <f>E414+I414</f>
        <v>3</v>
      </c>
      <c r="L414" s="27" t="s">
        <v>16</v>
      </c>
      <c r="M414" s="38">
        <f>M410</f>
        <v>136</v>
      </c>
      <c r="N414" s="39">
        <f>N410</f>
        <v>137</v>
      </c>
      <c r="O414" s="2">
        <f>O410</f>
        <v>121</v>
      </c>
      <c r="P414" s="36">
        <f>SUM(M414:O414)</f>
        <v>394</v>
      </c>
      <c r="Q414" s="38">
        <f>Q410</f>
        <v>136</v>
      </c>
      <c r="R414" s="39">
        <f>R410</f>
        <v>137</v>
      </c>
      <c r="S414" s="2">
        <f>S410</f>
        <v>121</v>
      </c>
      <c r="T414" s="36">
        <f>SUM(Q414:S414)</f>
        <v>394</v>
      </c>
      <c r="U414" s="36">
        <f>P414+T414</f>
        <v>788</v>
      </c>
    </row>
    <row r="415" spans="1:22" x14ac:dyDescent="0.15">
      <c r="A415" s="25" t="s">
        <v>449</v>
      </c>
      <c r="B415" s="42"/>
      <c r="C415" s="43">
        <v>1</v>
      </c>
      <c r="D415" s="44"/>
      <c r="E415" s="48">
        <f>SUM(B415:D415)</f>
        <v>1</v>
      </c>
      <c r="F415" s="59"/>
      <c r="G415" s="43">
        <v>1</v>
      </c>
      <c r="H415" s="60"/>
      <c r="I415" s="48">
        <f>SUM(F415:H415)</f>
        <v>1</v>
      </c>
      <c r="J415" s="48">
        <f>E415+I415</f>
        <v>2</v>
      </c>
      <c r="K415" s="64">
        <v>44252</v>
      </c>
      <c r="L415" s="25" t="s">
        <v>312</v>
      </c>
      <c r="M415" s="42">
        <v>1</v>
      </c>
      <c r="N415" s="43">
        <v>2</v>
      </c>
      <c r="O415" s="44"/>
      <c r="P415" s="48">
        <f>SUM(M415:O415)</f>
        <v>3</v>
      </c>
      <c r="Q415" s="59">
        <v>1</v>
      </c>
      <c r="R415" s="43">
        <v>2</v>
      </c>
      <c r="S415" s="60"/>
      <c r="T415" s="48">
        <f>SUM(Q415:S415)</f>
        <v>3</v>
      </c>
      <c r="U415" s="48">
        <f>P415+T415</f>
        <v>6</v>
      </c>
      <c r="V415" s="99">
        <v>44271</v>
      </c>
    </row>
    <row r="416" spans="1:22" x14ac:dyDescent="0.15">
      <c r="A416" s="25" t="s">
        <v>52</v>
      </c>
      <c r="B416" s="8"/>
      <c r="C416" s="9">
        <v>1</v>
      </c>
      <c r="D416" s="52"/>
      <c r="E416" s="11">
        <f>SUM(B416:D416)</f>
        <v>1</v>
      </c>
      <c r="F416" s="12"/>
      <c r="G416" s="9">
        <v>1</v>
      </c>
      <c r="H416" s="10"/>
      <c r="I416" s="11">
        <f>SUM(F416:H416)</f>
        <v>1</v>
      </c>
      <c r="J416" s="11">
        <f>E416+I416</f>
        <v>2</v>
      </c>
      <c r="K416" s="64">
        <v>44266</v>
      </c>
      <c r="L416" s="25" t="s">
        <v>8</v>
      </c>
      <c r="M416" s="8"/>
      <c r="N416" s="9"/>
      <c r="O416" s="52"/>
      <c r="P416" s="11">
        <f>SUM(M416:O416)</f>
        <v>0</v>
      </c>
      <c r="Q416" s="8"/>
      <c r="R416" s="9"/>
      <c r="S416" s="52"/>
      <c r="T416" s="11">
        <f>SUM(Q416:S416)</f>
        <v>0</v>
      </c>
      <c r="U416" s="11">
        <f>P416+T416</f>
        <v>0</v>
      </c>
      <c r="V416" s="98"/>
    </row>
    <row r="417" spans="1:22" x14ac:dyDescent="0.15">
      <c r="A417" s="25" t="s">
        <v>52</v>
      </c>
      <c r="B417" s="17">
        <v>1</v>
      </c>
      <c r="C417" s="18"/>
      <c r="D417" s="51"/>
      <c r="E417" s="11">
        <f t="shared" ref="E417:E422" si="326">SUM(B417:D417)</f>
        <v>1</v>
      </c>
      <c r="F417" s="20">
        <v>1</v>
      </c>
      <c r="G417" s="18"/>
      <c r="H417" s="19"/>
      <c r="I417" s="11">
        <f t="shared" ref="I417:I422" si="327">SUM(F417:H417)</f>
        <v>1</v>
      </c>
      <c r="J417" s="11">
        <f t="shared" ref="J417:J422" si="328">E417+I417</f>
        <v>2</v>
      </c>
      <c r="K417" s="64">
        <v>44280</v>
      </c>
      <c r="L417" s="25" t="s">
        <v>9</v>
      </c>
      <c r="M417" s="8"/>
      <c r="N417" s="9"/>
      <c r="O417" s="52"/>
      <c r="P417" s="11">
        <f>SUM(M417:O417)</f>
        <v>0</v>
      </c>
      <c r="Q417" s="8"/>
      <c r="R417" s="9"/>
      <c r="S417" s="52"/>
      <c r="T417" s="11">
        <f>SUM(Q417:S417)</f>
        <v>0</v>
      </c>
      <c r="U417" s="11">
        <f>P417+T417</f>
        <v>0</v>
      </c>
      <c r="V417" s="98"/>
    </row>
    <row r="418" spans="1:22" x14ac:dyDescent="0.15">
      <c r="A418" s="25" t="s">
        <v>469</v>
      </c>
      <c r="B418" s="8"/>
      <c r="C418" s="9">
        <v>1</v>
      </c>
      <c r="D418" s="52"/>
      <c r="E418" s="11">
        <f t="shared" si="326"/>
        <v>1</v>
      </c>
      <c r="F418" s="12"/>
      <c r="G418" s="9">
        <v>1</v>
      </c>
      <c r="H418" s="10"/>
      <c r="I418" s="11">
        <f t="shared" si="327"/>
        <v>1</v>
      </c>
      <c r="J418" s="11">
        <f t="shared" si="328"/>
        <v>2</v>
      </c>
      <c r="K418" s="62">
        <v>44299</v>
      </c>
      <c r="L418" s="25" t="s">
        <v>10</v>
      </c>
      <c r="M418" s="8"/>
      <c r="N418" s="9"/>
      <c r="O418" s="52"/>
      <c r="P418" s="11">
        <f t="shared" ref="P418:P420" si="329">SUM(M418:O418)</f>
        <v>0</v>
      </c>
      <c r="Q418" s="12"/>
      <c r="R418" s="9"/>
      <c r="S418" s="10"/>
      <c r="T418" s="11">
        <f t="shared" ref="T418:T420" si="330">SUM(Q418:S418)</f>
        <v>0</v>
      </c>
      <c r="U418" s="11">
        <f t="shared" ref="U418:U420" si="331">P418+T418</f>
        <v>0</v>
      </c>
      <c r="V418" s="100"/>
    </row>
    <row r="419" spans="1:22" x14ac:dyDescent="0.15">
      <c r="A419" s="25"/>
      <c r="B419" s="8"/>
      <c r="C419" s="9"/>
      <c r="D419" s="52"/>
      <c r="E419" s="11">
        <f t="shared" si="326"/>
        <v>0</v>
      </c>
      <c r="F419" s="12"/>
      <c r="G419" s="9"/>
      <c r="H419" s="10"/>
      <c r="I419" s="11">
        <f t="shared" si="327"/>
        <v>0</v>
      </c>
      <c r="J419" s="11">
        <f t="shared" si="328"/>
        <v>0</v>
      </c>
      <c r="L419" s="25" t="s">
        <v>11</v>
      </c>
      <c r="M419" s="8"/>
      <c r="N419" s="9"/>
      <c r="O419" s="52"/>
      <c r="P419" s="11">
        <f t="shared" si="329"/>
        <v>0</v>
      </c>
      <c r="Q419" s="12"/>
      <c r="R419" s="9"/>
      <c r="S419" s="10"/>
      <c r="T419" s="11">
        <f t="shared" si="330"/>
        <v>0</v>
      </c>
      <c r="U419" s="11">
        <f t="shared" si="331"/>
        <v>0</v>
      </c>
      <c r="V419" s="98"/>
    </row>
    <row r="420" spans="1:22" x14ac:dyDescent="0.15">
      <c r="A420" s="25"/>
      <c r="B420" s="8"/>
      <c r="C420" s="9"/>
      <c r="D420" s="52"/>
      <c r="E420" s="11">
        <f t="shared" si="326"/>
        <v>0</v>
      </c>
      <c r="F420" s="12"/>
      <c r="G420" s="9"/>
      <c r="H420" s="10"/>
      <c r="I420" s="11">
        <f t="shared" si="327"/>
        <v>0</v>
      </c>
      <c r="J420" s="11">
        <f t="shared" si="328"/>
        <v>0</v>
      </c>
      <c r="L420" s="25" t="s">
        <v>12</v>
      </c>
      <c r="M420" s="8"/>
      <c r="N420" s="9"/>
      <c r="O420" s="52"/>
      <c r="P420" s="11">
        <f t="shared" si="329"/>
        <v>0</v>
      </c>
      <c r="Q420" s="12"/>
      <c r="R420" s="9"/>
      <c r="S420" s="10"/>
      <c r="T420" s="11">
        <f t="shared" si="330"/>
        <v>0</v>
      </c>
      <c r="U420" s="11">
        <f t="shared" si="331"/>
        <v>0</v>
      </c>
      <c r="V420" s="98"/>
    </row>
    <row r="421" spans="1:22" x14ac:dyDescent="0.15">
      <c r="A421" s="25"/>
      <c r="B421" s="13"/>
      <c r="C421" s="14"/>
      <c r="D421" s="53"/>
      <c r="E421" s="11">
        <f t="shared" si="326"/>
        <v>0</v>
      </c>
      <c r="F421" s="16"/>
      <c r="G421" s="14"/>
      <c r="H421" s="15"/>
      <c r="I421" s="11">
        <f t="shared" si="327"/>
        <v>0</v>
      </c>
      <c r="J421" s="11">
        <f t="shared" si="328"/>
        <v>0</v>
      </c>
      <c r="L421" s="25" t="s">
        <v>13</v>
      </c>
      <c r="M421" s="8"/>
      <c r="N421" s="9"/>
      <c r="O421" s="52"/>
      <c r="P421" s="11">
        <f>SUM(M421:O421)</f>
        <v>0</v>
      </c>
      <c r="Q421" s="8"/>
      <c r="R421" s="9"/>
      <c r="S421" s="52"/>
      <c r="T421" s="11">
        <f>SUM(Q421:S421)</f>
        <v>0</v>
      </c>
      <c r="U421" s="11">
        <f>P421+T421</f>
        <v>0</v>
      </c>
    </row>
    <row r="422" spans="1:22" ht="14.25" thickBot="1" x14ac:dyDescent="0.2">
      <c r="A422" s="25"/>
      <c r="B422" s="32"/>
      <c r="C422" s="33"/>
      <c r="D422" s="54"/>
      <c r="E422" s="61">
        <f t="shared" si="326"/>
        <v>0</v>
      </c>
      <c r="F422" s="34"/>
      <c r="G422" s="34"/>
      <c r="H422" s="37"/>
      <c r="I422" s="61">
        <f t="shared" si="327"/>
        <v>0</v>
      </c>
      <c r="J422" s="21">
        <f t="shared" si="328"/>
        <v>0</v>
      </c>
      <c r="L422" s="25" t="s">
        <v>14</v>
      </c>
      <c r="M422" s="32"/>
      <c r="N422" s="33"/>
      <c r="O422" s="54"/>
      <c r="P422" s="61">
        <f t="shared" ref="P422" si="332">SUM(M422:O422)</f>
        <v>0</v>
      </c>
      <c r="Q422" s="34"/>
      <c r="R422" s="34"/>
      <c r="S422" s="37"/>
      <c r="T422" s="61">
        <f t="shared" ref="T422" si="333">SUM(Q422:S422)</f>
        <v>0</v>
      </c>
      <c r="U422" s="21">
        <f t="shared" ref="U422" si="334">P422+T422</f>
        <v>0</v>
      </c>
    </row>
    <row r="423" spans="1:22" ht="14.25" thickBot="1" x14ac:dyDescent="0.2">
      <c r="A423" s="35" t="s">
        <v>15</v>
      </c>
      <c r="B423" s="28">
        <f>SUM(B414:B422)</f>
        <v>1</v>
      </c>
      <c r="C423" s="29">
        <f>SUM(C414:C422)</f>
        <v>3</v>
      </c>
      <c r="D423" s="30">
        <f>SUM(D414:D422)</f>
        <v>1</v>
      </c>
      <c r="E423" s="31">
        <f>SUM(B423:D423)</f>
        <v>5</v>
      </c>
      <c r="F423" s="28">
        <f>SUM(F414:F422)</f>
        <v>2</v>
      </c>
      <c r="G423" s="29">
        <f>SUM(G414:G422)</f>
        <v>3</v>
      </c>
      <c r="H423" s="30">
        <f>SUM(H414:H422)</f>
        <v>1</v>
      </c>
      <c r="I423" s="31">
        <f>SUM(F423:H423)</f>
        <v>6</v>
      </c>
      <c r="J423" s="31">
        <f>E423+I423</f>
        <v>11</v>
      </c>
      <c r="L423" s="35" t="s">
        <v>15</v>
      </c>
      <c r="M423" s="28">
        <f>SUM(M414:M422)</f>
        <v>137</v>
      </c>
      <c r="N423" s="29">
        <f>SUM(N414:N422)</f>
        <v>139</v>
      </c>
      <c r="O423" s="30">
        <f>SUM(O414:O422)</f>
        <v>121</v>
      </c>
      <c r="P423" s="31">
        <f>SUM(M423:O423)</f>
        <v>397</v>
      </c>
      <c r="Q423" s="28">
        <f>SUM(Q414:Q422)</f>
        <v>137</v>
      </c>
      <c r="R423" s="29">
        <f>SUM(R414:R422)</f>
        <v>139</v>
      </c>
      <c r="S423" s="30">
        <f>SUM(S414:S422)</f>
        <v>121</v>
      </c>
      <c r="T423" s="31">
        <f>SUM(Q423:S423)</f>
        <v>397</v>
      </c>
      <c r="U423" s="31">
        <f>P423+T423</f>
        <v>794</v>
      </c>
    </row>
    <row r="424" spans="1:22" x14ac:dyDescent="0.15">
      <c r="A424" s="26" t="s">
        <v>459</v>
      </c>
      <c r="B424" s="42">
        <v>1</v>
      </c>
      <c r="C424" s="43">
        <v>2</v>
      </c>
      <c r="D424" s="44"/>
      <c r="E424" s="76">
        <f>SUM(B424:D424)</f>
        <v>3</v>
      </c>
      <c r="F424" s="59">
        <v>1</v>
      </c>
      <c r="G424" s="43">
        <v>2</v>
      </c>
      <c r="H424" s="60"/>
      <c r="I424" s="76">
        <f>SUM(F424:H424)</f>
        <v>3</v>
      </c>
      <c r="J424" s="48">
        <f>E424+I424</f>
        <v>6</v>
      </c>
      <c r="K424" s="99">
        <v>44271</v>
      </c>
      <c r="L424" s="108" t="s">
        <v>445</v>
      </c>
      <c r="M424" s="17">
        <v>1</v>
      </c>
      <c r="N424" s="18"/>
      <c r="O424" s="51">
        <v>1</v>
      </c>
      <c r="P424" s="87">
        <f t="shared" ref="P424:P425" si="335">SUM(M424:O424)</f>
        <v>2</v>
      </c>
      <c r="Q424" s="8">
        <v>1</v>
      </c>
      <c r="R424" s="9"/>
      <c r="S424" s="10">
        <v>1</v>
      </c>
      <c r="T424" s="49">
        <f t="shared" ref="T424:T425" si="336">SUM(Q424:S424)</f>
        <v>2</v>
      </c>
      <c r="U424" s="11">
        <f t="shared" ref="U424:U425" si="337">P424+T424</f>
        <v>4</v>
      </c>
      <c r="V424" s="98">
        <v>44245</v>
      </c>
    </row>
    <row r="425" spans="1:22" x14ac:dyDescent="0.15">
      <c r="A425" s="26" t="s">
        <v>463</v>
      </c>
      <c r="B425" s="8"/>
      <c r="C425" s="9"/>
      <c r="D425" s="10">
        <v>1</v>
      </c>
      <c r="E425" s="49">
        <f t="shared" ref="E425:E448" si="338">SUM(B425:D425)</f>
        <v>1</v>
      </c>
      <c r="F425" s="12"/>
      <c r="G425" s="9"/>
      <c r="H425" s="10">
        <v>1</v>
      </c>
      <c r="I425" s="49">
        <f t="shared" ref="I425:I448" si="339">SUM(F425:H425)</f>
        <v>1</v>
      </c>
      <c r="J425" s="11">
        <f t="shared" ref="J425:J448" si="340">E425+I425</f>
        <v>2</v>
      </c>
      <c r="K425" s="99">
        <v>44286</v>
      </c>
      <c r="L425" s="108" t="s">
        <v>444</v>
      </c>
      <c r="M425" s="8">
        <v>5</v>
      </c>
      <c r="N425" s="9"/>
      <c r="O425" s="52">
        <v>5</v>
      </c>
      <c r="P425" s="87">
        <f t="shared" si="335"/>
        <v>10</v>
      </c>
      <c r="Q425" s="12">
        <v>5</v>
      </c>
      <c r="R425" s="9"/>
      <c r="S425" s="10">
        <v>5</v>
      </c>
      <c r="T425" s="49">
        <f t="shared" si="336"/>
        <v>10</v>
      </c>
      <c r="U425" s="11">
        <f t="shared" si="337"/>
        <v>20</v>
      </c>
      <c r="V425" s="98">
        <v>44246</v>
      </c>
    </row>
    <row r="426" spans="1:22" x14ac:dyDescent="0.15">
      <c r="A426" s="108" t="s">
        <v>468</v>
      </c>
      <c r="B426" s="8"/>
      <c r="C426" s="9">
        <v>1</v>
      </c>
      <c r="D426" s="10"/>
      <c r="E426" s="49">
        <f t="shared" si="338"/>
        <v>1</v>
      </c>
      <c r="F426" s="12"/>
      <c r="G426" s="9">
        <v>1</v>
      </c>
      <c r="H426" s="10"/>
      <c r="I426" s="49">
        <f t="shared" si="339"/>
        <v>1</v>
      </c>
      <c r="J426" s="11">
        <f t="shared" si="340"/>
        <v>2</v>
      </c>
      <c r="K426" s="62">
        <v>44300</v>
      </c>
      <c r="L426" s="108" t="s">
        <v>447</v>
      </c>
      <c r="M426" s="13"/>
      <c r="N426" s="14">
        <v>1</v>
      </c>
      <c r="O426" s="53"/>
      <c r="P426" s="87">
        <f>SUM(M426:O426)</f>
        <v>1</v>
      </c>
      <c r="Q426" s="16"/>
      <c r="R426" s="14">
        <v>1</v>
      </c>
      <c r="S426" s="15"/>
      <c r="T426" s="49">
        <f>SUM(Q426:S426)</f>
        <v>1</v>
      </c>
      <c r="U426" s="11">
        <f>P426+T426</f>
        <v>2</v>
      </c>
      <c r="V426" s="98">
        <v>44252</v>
      </c>
    </row>
    <row r="427" spans="1:22" x14ac:dyDescent="0.15">
      <c r="A427" s="26"/>
      <c r="B427" s="8"/>
      <c r="C427" s="9"/>
      <c r="D427" s="10"/>
      <c r="E427" s="49">
        <f t="shared" si="338"/>
        <v>0</v>
      </c>
      <c r="F427" s="12"/>
      <c r="G427" s="9"/>
      <c r="H427" s="10"/>
      <c r="I427" s="49">
        <f t="shared" si="339"/>
        <v>0</v>
      </c>
      <c r="J427" s="11">
        <f t="shared" si="340"/>
        <v>0</v>
      </c>
      <c r="K427" s="66"/>
      <c r="L427" s="108" t="s">
        <v>448</v>
      </c>
      <c r="M427" s="8"/>
      <c r="N427" s="9">
        <v>2</v>
      </c>
      <c r="O427" s="52"/>
      <c r="P427" s="87">
        <f t="shared" ref="P427:P439" si="341">SUM(M427:O427)</f>
        <v>2</v>
      </c>
      <c r="Q427" s="12"/>
      <c r="R427" s="9">
        <v>2</v>
      </c>
      <c r="S427" s="10"/>
      <c r="T427" s="49">
        <f t="shared" ref="T427:T439" si="342">SUM(Q427:S427)</f>
        <v>2</v>
      </c>
      <c r="U427" s="11">
        <f t="shared" ref="U427:U439" si="343">P427+T427</f>
        <v>4</v>
      </c>
      <c r="V427" s="98">
        <v>44253</v>
      </c>
    </row>
    <row r="428" spans="1:22" x14ac:dyDescent="0.15">
      <c r="A428" s="26"/>
      <c r="B428" s="8"/>
      <c r="C428" s="9"/>
      <c r="D428" s="10"/>
      <c r="E428" s="49">
        <f t="shared" si="338"/>
        <v>0</v>
      </c>
      <c r="F428" s="12"/>
      <c r="G428" s="9"/>
      <c r="H428" s="10"/>
      <c r="I428" s="49">
        <f t="shared" si="339"/>
        <v>0</v>
      </c>
      <c r="J428" s="11">
        <f t="shared" si="340"/>
        <v>0</v>
      </c>
      <c r="K428" s="66"/>
      <c r="L428" s="108" t="s">
        <v>450</v>
      </c>
      <c r="M428" s="8">
        <v>1</v>
      </c>
      <c r="N428" s="9">
        <v>2</v>
      </c>
      <c r="O428" s="52"/>
      <c r="P428" s="87">
        <f t="shared" si="341"/>
        <v>3</v>
      </c>
      <c r="Q428" s="12">
        <v>1</v>
      </c>
      <c r="R428" s="9">
        <v>2</v>
      </c>
      <c r="S428" s="10"/>
      <c r="T428" s="49">
        <f t="shared" si="342"/>
        <v>3</v>
      </c>
      <c r="U428" s="11">
        <f t="shared" si="343"/>
        <v>6</v>
      </c>
      <c r="V428" s="98">
        <v>44254</v>
      </c>
    </row>
    <row r="429" spans="1:22" x14ac:dyDescent="0.15">
      <c r="A429" s="26"/>
      <c r="B429" s="8"/>
      <c r="C429" s="9"/>
      <c r="D429" s="10"/>
      <c r="E429" s="49">
        <f t="shared" si="338"/>
        <v>0</v>
      </c>
      <c r="F429" s="12"/>
      <c r="G429" s="9"/>
      <c r="H429" s="10"/>
      <c r="I429" s="49">
        <f t="shared" si="339"/>
        <v>0</v>
      </c>
      <c r="J429" s="11">
        <f t="shared" si="340"/>
        <v>0</v>
      </c>
      <c r="L429" s="108" t="s">
        <v>451</v>
      </c>
      <c r="M429" s="8"/>
      <c r="N429" s="9"/>
      <c r="O429" s="52">
        <v>6</v>
      </c>
      <c r="P429" s="87">
        <f t="shared" si="341"/>
        <v>6</v>
      </c>
      <c r="Q429" s="12"/>
      <c r="R429" s="9"/>
      <c r="S429" s="10">
        <v>6</v>
      </c>
      <c r="T429" s="49">
        <f t="shared" si="342"/>
        <v>6</v>
      </c>
      <c r="U429" s="11">
        <f t="shared" si="343"/>
        <v>12</v>
      </c>
      <c r="V429" s="98">
        <v>44257</v>
      </c>
    </row>
    <row r="430" spans="1:22" x14ac:dyDescent="0.15">
      <c r="A430" s="26"/>
      <c r="B430" s="8"/>
      <c r="C430" s="9"/>
      <c r="D430" s="10"/>
      <c r="E430" s="49">
        <f t="shared" si="338"/>
        <v>0</v>
      </c>
      <c r="F430" s="12"/>
      <c r="G430" s="9"/>
      <c r="H430" s="10"/>
      <c r="I430" s="49">
        <f t="shared" si="339"/>
        <v>0</v>
      </c>
      <c r="J430" s="11">
        <f t="shared" si="340"/>
        <v>0</v>
      </c>
      <c r="L430" s="108" t="s">
        <v>453</v>
      </c>
      <c r="M430" s="8"/>
      <c r="N430" s="9">
        <v>2</v>
      </c>
      <c r="O430" s="52">
        <v>2</v>
      </c>
      <c r="P430" s="87">
        <f t="shared" si="341"/>
        <v>4</v>
      </c>
      <c r="Q430" s="12"/>
      <c r="R430" s="9">
        <v>2</v>
      </c>
      <c r="S430" s="10">
        <v>2</v>
      </c>
      <c r="T430" s="49">
        <f t="shared" si="342"/>
        <v>4</v>
      </c>
      <c r="U430" s="11">
        <f t="shared" si="343"/>
        <v>8</v>
      </c>
      <c r="V430" s="98">
        <v>44260</v>
      </c>
    </row>
    <row r="431" spans="1:22" x14ac:dyDescent="0.15">
      <c r="A431" s="26"/>
      <c r="B431" s="8"/>
      <c r="C431" s="9"/>
      <c r="D431" s="10"/>
      <c r="E431" s="49">
        <f t="shared" si="338"/>
        <v>0</v>
      </c>
      <c r="F431" s="12"/>
      <c r="G431" s="9"/>
      <c r="H431" s="10"/>
      <c r="I431" s="49">
        <f t="shared" si="339"/>
        <v>0</v>
      </c>
      <c r="J431" s="11">
        <f t="shared" si="340"/>
        <v>0</v>
      </c>
      <c r="L431" s="108" t="s">
        <v>454</v>
      </c>
      <c r="M431" s="8"/>
      <c r="N431" s="9"/>
      <c r="O431" s="52">
        <v>1</v>
      </c>
      <c r="P431" s="87">
        <f t="shared" si="341"/>
        <v>1</v>
      </c>
      <c r="Q431" s="12"/>
      <c r="R431" s="9"/>
      <c r="S431" s="10">
        <v>1</v>
      </c>
      <c r="T431" s="49">
        <f t="shared" si="342"/>
        <v>1</v>
      </c>
      <c r="U431" s="11">
        <f t="shared" si="343"/>
        <v>2</v>
      </c>
      <c r="V431" s="98">
        <v>44261</v>
      </c>
    </row>
    <row r="432" spans="1:22" x14ac:dyDescent="0.15">
      <c r="A432" s="26"/>
      <c r="B432" s="8"/>
      <c r="C432" s="9"/>
      <c r="D432" s="10"/>
      <c r="E432" s="49">
        <f t="shared" si="338"/>
        <v>0</v>
      </c>
      <c r="F432" s="12"/>
      <c r="G432" s="9"/>
      <c r="H432" s="10"/>
      <c r="I432" s="49">
        <f t="shared" si="339"/>
        <v>0</v>
      </c>
      <c r="J432" s="11">
        <f t="shared" si="340"/>
        <v>0</v>
      </c>
      <c r="L432" s="108" t="s">
        <v>455</v>
      </c>
      <c r="M432" s="8"/>
      <c r="N432" s="9">
        <v>1</v>
      </c>
      <c r="O432" s="52"/>
      <c r="P432" s="87">
        <f t="shared" si="341"/>
        <v>1</v>
      </c>
      <c r="Q432" s="12"/>
      <c r="R432" s="9">
        <v>1</v>
      </c>
      <c r="S432" s="10"/>
      <c r="T432" s="49">
        <f t="shared" si="342"/>
        <v>1</v>
      </c>
      <c r="U432" s="11">
        <f t="shared" si="343"/>
        <v>2</v>
      </c>
      <c r="V432" s="98">
        <v>44264</v>
      </c>
    </row>
    <row r="433" spans="1:22" x14ac:dyDescent="0.15">
      <c r="A433" s="26"/>
      <c r="B433" s="13"/>
      <c r="C433" s="14"/>
      <c r="D433" s="15"/>
      <c r="E433" s="49">
        <f t="shared" si="338"/>
        <v>0</v>
      </c>
      <c r="F433" s="16"/>
      <c r="G433" s="14"/>
      <c r="H433" s="15"/>
      <c r="I433" s="49">
        <f t="shared" si="339"/>
        <v>0</v>
      </c>
      <c r="J433" s="11">
        <f t="shared" si="340"/>
        <v>0</v>
      </c>
      <c r="L433" s="108" t="s">
        <v>460</v>
      </c>
      <c r="M433" s="13">
        <v>2</v>
      </c>
      <c r="N433" s="14"/>
      <c r="O433" s="53"/>
      <c r="P433" s="87">
        <f t="shared" si="341"/>
        <v>2</v>
      </c>
      <c r="Q433" s="16">
        <v>2</v>
      </c>
      <c r="R433" s="14"/>
      <c r="S433" s="15"/>
      <c r="T433" s="49">
        <f t="shared" si="342"/>
        <v>2</v>
      </c>
      <c r="U433" s="11">
        <f t="shared" si="343"/>
        <v>4</v>
      </c>
      <c r="V433" s="98">
        <v>44279</v>
      </c>
    </row>
    <row r="434" spans="1:22" x14ac:dyDescent="0.15">
      <c r="A434" s="26"/>
      <c r="B434" s="8"/>
      <c r="C434" s="9"/>
      <c r="D434" s="10"/>
      <c r="E434" s="49">
        <f t="shared" si="338"/>
        <v>0</v>
      </c>
      <c r="F434" s="12"/>
      <c r="G434" s="9"/>
      <c r="H434" s="10"/>
      <c r="I434" s="49">
        <f t="shared" si="339"/>
        <v>0</v>
      </c>
      <c r="J434" s="11">
        <f t="shared" si="340"/>
        <v>0</v>
      </c>
      <c r="L434" s="108" t="s">
        <v>461</v>
      </c>
      <c r="M434" s="8"/>
      <c r="N434" s="9">
        <v>1</v>
      </c>
      <c r="O434" s="52"/>
      <c r="P434" s="87">
        <f t="shared" si="341"/>
        <v>1</v>
      </c>
      <c r="Q434" s="12"/>
      <c r="R434" s="9">
        <v>1</v>
      </c>
      <c r="S434" s="10"/>
      <c r="T434" s="49">
        <f t="shared" si="342"/>
        <v>1</v>
      </c>
      <c r="U434" s="11">
        <f t="shared" si="343"/>
        <v>2</v>
      </c>
      <c r="V434" s="98">
        <v>44292</v>
      </c>
    </row>
    <row r="435" spans="1:22" x14ac:dyDescent="0.15">
      <c r="A435" s="26"/>
      <c r="B435" s="8"/>
      <c r="C435" s="9"/>
      <c r="D435" s="10"/>
      <c r="E435" s="49">
        <f t="shared" si="338"/>
        <v>0</v>
      </c>
      <c r="F435" s="12"/>
      <c r="G435" s="9"/>
      <c r="H435" s="10"/>
      <c r="I435" s="49">
        <f t="shared" si="339"/>
        <v>0</v>
      </c>
      <c r="J435" s="11">
        <f t="shared" si="340"/>
        <v>0</v>
      </c>
      <c r="L435" s="108" t="s">
        <v>462</v>
      </c>
      <c r="M435" s="8"/>
      <c r="N435" s="9">
        <v>1</v>
      </c>
      <c r="O435" s="52">
        <v>1</v>
      </c>
      <c r="P435" s="87">
        <f t="shared" si="341"/>
        <v>2</v>
      </c>
      <c r="Q435" s="12"/>
      <c r="R435" s="9">
        <v>1</v>
      </c>
      <c r="S435" s="10">
        <v>1</v>
      </c>
      <c r="T435" s="49">
        <f t="shared" si="342"/>
        <v>2</v>
      </c>
      <c r="U435" s="11">
        <f t="shared" si="343"/>
        <v>4</v>
      </c>
      <c r="V435" s="98">
        <v>44293</v>
      </c>
    </row>
    <row r="436" spans="1:22" x14ac:dyDescent="0.15">
      <c r="A436" s="26"/>
      <c r="B436" s="8"/>
      <c r="C436" s="9"/>
      <c r="D436" s="10"/>
      <c r="E436" s="49">
        <f t="shared" si="338"/>
        <v>0</v>
      </c>
      <c r="F436" s="12"/>
      <c r="G436" s="9"/>
      <c r="H436" s="10"/>
      <c r="I436" s="49">
        <f t="shared" si="339"/>
        <v>0</v>
      </c>
      <c r="J436" s="11">
        <f t="shared" si="340"/>
        <v>0</v>
      </c>
      <c r="L436" s="108" t="s">
        <v>464</v>
      </c>
      <c r="M436" s="8">
        <v>1</v>
      </c>
      <c r="N436" s="9"/>
      <c r="O436" s="52">
        <v>1</v>
      </c>
      <c r="P436" s="87">
        <f t="shared" si="341"/>
        <v>2</v>
      </c>
      <c r="Q436" s="12">
        <v>1</v>
      </c>
      <c r="R436" s="9"/>
      <c r="S436" s="10">
        <v>1</v>
      </c>
      <c r="T436" s="49">
        <f t="shared" si="342"/>
        <v>2</v>
      </c>
      <c r="U436" s="11">
        <f t="shared" si="343"/>
        <v>4</v>
      </c>
      <c r="V436" s="98">
        <v>44296</v>
      </c>
    </row>
    <row r="437" spans="1:22" x14ac:dyDescent="0.15">
      <c r="A437" s="26"/>
      <c r="B437" s="8"/>
      <c r="C437" s="9"/>
      <c r="D437" s="10"/>
      <c r="E437" s="49">
        <f t="shared" si="338"/>
        <v>0</v>
      </c>
      <c r="F437" s="12"/>
      <c r="G437" s="9"/>
      <c r="H437" s="10"/>
      <c r="I437" s="49">
        <f t="shared" si="339"/>
        <v>0</v>
      </c>
      <c r="J437" s="11">
        <f t="shared" si="340"/>
        <v>0</v>
      </c>
      <c r="L437" s="108" t="s">
        <v>465</v>
      </c>
      <c r="M437" s="8"/>
      <c r="N437" s="9">
        <v>1</v>
      </c>
      <c r="O437" s="52">
        <v>1</v>
      </c>
      <c r="P437" s="87">
        <f t="shared" si="341"/>
        <v>2</v>
      </c>
      <c r="Q437" s="12"/>
      <c r="R437" s="9">
        <v>1</v>
      </c>
      <c r="S437" s="10">
        <v>1</v>
      </c>
      <c r="T437" s="49">
        <f t="shared" si="342"/>
        <v>2</v>
      </c>
      <c r="U437" s="11">
        <f t="shared" si="343"/>
        <v>4</v>
      </c>
      <c r="V437" s="98">
        <v>44300</v>
      </c>
    </row>
    <row r="438" spans="1:22" x14ac:dyDescent="0.15">
      <c r="A438" s="26"/>
      <c r="B438" s="8"/>
      <c r="C438" s="9"/>
      <c r="D438" s="10"/>
      <c r="E438" s="49">
        <f t="shared" si="338"/>
        <v>0</v>
      </c>
      <c r="F438" s="12"/>
      <c r="G438" s="9"/>
      <c r="H438" s="10"/>
      <c r="I438" s="49">
        <f t="shared" si="339"/>
        <v>0</v>
      </c>
      <c r="J438" s="11">
        <f t="shared" si="340"/>
        <v>0</v>
      </c>
      <c r="L438" s="108" t="s">
        <v>470</v>
      </c>
      <c r="M438" s="8"/>
      <c r="N438" s="9">
        <v>1</v>
      </c>
      <c r="O438" s="52"/>
      <c r="P438" s="87">
        <f t="shared" si="341"/>
        <v>1</v>
      </c>
      <c r="Q438" s="12"/>
      <c r="R438" s="9">
        <v>1</v>
      </c>
      <c r="S438" s="10"/>
      <c r="T438" s="49">
        <f t="shared" si="342"/>
        <v>1</v>
      </c>
      <c r="U438" s="11">
        <f t="shared" si="343"/>
        <v>2</v>
      </c>
      <c r="V438" s="98">
        <v>44299</v>
      </c>
    </row>
    <row r="439" spans="1:22" x14ac:dyDescent="0.15">
      <c r="A439" s="26"/>
      <c r="B439" s="8"/>
      <c r="C439" s="9"/>
      <c r="D439" s="10"/>
      <c r="E439" s="49">
        <f t="shared" si="338"/>
        <v>0</v>
      </c>
      <c r="F439" s="12"/>
      <c r="G439" s="9"/>
      <c r="H439" s="10"/>
      <c r="I439" s="49">
        <f t="shared" si="339"/>
        <v>0</v>
      </c>
      <c r="J439" s="11">
        <f t="shared" si="340"/>
        <v>0</v>
      </c>
      <c r="L439" s="108" t="s">
        <v>472</v>
      </c>
      <c r="M439" s="8"/>
      <c r="N439" s="9"/>
      <c r="O439" s="52">
        <v>1</v>
      </c>
      <c r="P439" s="87">
        <f t="shared" si="341"/>
        <v>1</v>
      </c>
      <c r="Q439" s="12"/>
      <c r="R439" s="9"/>
      <c r="S439" s="10">
        <v>1</v>
      </c>
      <c r="T439" s="49">
        <f t="shared" si="342"/>
        <v>1</v>
      </c>
      <c r="U439" s="11">
        <f t="shared" si="343"/>
        <v>2</v>
      </c>
      <c r="V439" s="98">
        <v>44301</v>
      </c>
    </row>
    <row r="440" spans="1:22" x14ac:dyDescent="0.15">
      <c r="A440" s="26"/>
      <c r="B440" s="8"/>
      <c r="C440" s="9"/>
      <c r="D440" s="10"/>
      <c r="E440" s="49">
        <f t="shared" si="338"/>
        <v>0</v>
      </c>
      <c r="F440" s="12"/>
      <c r="G440" s="9"/>
      <c r="H440" s="10"/>
      <c r="I440" s="49">
        <f t="shared" si="339"/>
        <v>0</v>
      </c>
      <c r="J440" s="11">
        <f t="shared" si="340"/>
        <v>0</v>
      </c>
      <c r="L440" s="108" t="s">
        <v>467</v>
      </c>
      <c r="M440" s="13"/>
      <c r="N440" s="14">
        <v>1</v>
      </c>
      <c r="O440" s="53">
        <v>1</v>
      </c>
      <c r="P440" s="87">
        <f>SUM(M440:O440)</f>
        <v>2</v>
      </c>
      <c r="Q440" s="16"/>
      <c r="R440" s="14">
        <v>1</v>
      </c>
      <c r="S440" s="15">
        <v>1</v>
      </c>
      <c r="T440" s="49">
        <f>SUM(Q440:S440)</f>
        <v>2</v>
      </c>
      <c r="U440" s="11">
        <f>P440+T440</f>
        <v>4</v>
      </c>
      <c r="V440" s="98">
        <v>44313</v>
      </c>
    </row>
    <row r="441" spans="1:22" x14ac:dyDescent="0.15">
      <c r="A441" s="24"/>
      <c r="B441" s="8"/>
      <c r="C441" s="9"/>
      <c r="D441" s="10"/>
      <c r="E441" s="49">
        <f t="shared" si="338"/>
        <v>0</v>
      </c>
      <c r="F441" s="12"/>
      <c r="G441" s="9"/>
      <c r="H441" s="10"/>
      <c r="I441" s="49">
        <f t="shared" si="339"/>
        <v>0</v>
      </c>
      <c r="J441" s="11">
        <f t="shared" si="340"/>
        <v>0</v>
      </c>
      <c r="L441" s="108" t="s">
        <v>473</v>
      </c>
      <c r="M441" s="8"/>
      <c r="N441" s="9">
        <v>1</v>
      </c>
      <c r="O441" s="52"/>
      <c r="P441" s="87">
        <f t="shared" ref="P441:P442" si="344">SUM(M441:O441)</f>
        <v>1</v>
      </c>
      <c r="Q441" s="12"/>
      <c r="R441" s="9">
        <v>1</v>
      </c>
      <c r="S441" s="10"/>
      <c r="T441" s="49">
        <f t="shared" ref="T441:T442" si="345">SUM(Q441:S441)</f>
        <v>1</v>
      </c>
      <c r="U441" s="11">
        <f t="shared" ref="U441:U442" si="346">P441+T441</f>
        <v>2</v>
      </c>
      <c r="V441" s="98">
        <v>44342</v>
      </c>
    </row>
    <row r="442" spans="1:22" x14ac:dyDescent="0.15">
      <c r="A442" s="25"/>
      <c r="B442" s="8"/>
      <c r="C442" s="9"/>
      <c r="D442" s="10"/>
      <c r="E442" s="49">
        <f t="shared" si="338"/>
        <v>0</v>
      </c>
      <c r="F442" s="12"/>
      <c r="G442" s="9"/>
      <c r="H442" s="10"/>
      <c r="I442" s="49">
        <f t="shared" si="339"/>
        <v>0</v>
      </c>
      <c r="J442" s="11">
        <f t="shared" si="340"/>
        <v>0</v>
      </c>
      <c r="L442" s="108" t="s">
        <v>474</v>
      </c>
      <c r="M442" s="8"/>
      <c r="N442" s="9"/>
      <c r="O442" s="52">
        <v>1</v>
      </c>
      <c r="P442" s="87">
        <f t="shared" si="344"/>
        <v>1</v>
      </c>
      <c r="Q442" s="12"/>
      <c r="R442" s="9"/>
      <c r="S442" s="10">
        <v>1</v>
      </c>
      <c r="T442" s="49">
        <f t="shared" si="345"/>
        <v>1</v>
      </c>
      <c r="U442" s="11">
        <f t="shared" si="346"/>
        <v>2</v>
      </c>
      <c r="V442" s="98">
        <v>44344</v>
      </c>
    </row>
    <row r="443" spans="1:22" x14ac:dyDescent="0.15">
      <c r="A443" s="26"/>
      <c r="B443" s="8"/>
      <c r="C443" s="9"/>
      <c r="D443" s="10"/>
      <c r="E443" s="49">
        <f t="shared" si="338"/>
        <v>0</v>
      </c>
      <c r="F443" s="12"/>
      <c r="G443" s="9"/>
      <c r="H443" s="10"/>
      <c r="I443" s="49">
        <f t="shared" si="339"/>
        <v>0</v>
      </c>
      <c r="J443" s="11">
        <f t="shared" si="340"/>
        <v>0</v>
      </c>
      <c r="L443" s="108"/>
      <c r="M443" s="13"/>
      <c r="N443" s="14"/>
      <c r="O443" s="53"/>
      <c r="P443" s="87">
        <f>SUM(M443:O443)</f>
        <v>0</v>
      </c>
      <c r="Q443" s="16"/>
      <c r="R443" s="14"/>
      <c r="S443" s="15"/>
      <c r="T443" s="49">
        <f>SUM(Q443:S443)</f>
        <v>0</v>
      </c>
      <c r="U443" s="11">
        <f>P443+T443</f>
        <v>0</v>
      </c>
      <c r="V443" s="98"/>
    </row>
    <row r="444" spans="1:22" x14ac:dyDescent="0.15">
      <c r="A444" s="24"/>
      <c r="B444" s="8"/>
      <c r="C444" s="9"/>
      <c r="D444" s="10"/>
      <c r="E444" s="49">
        <f t="shared" si="338"/>
        <v>0</v>
      </c>
      <c r="F444" s="12"/>
      <c r="G444" s="9"/>
      <c r="H444" s="10"/>
      <c r="I444" s="49">
        <f t="shared" si="339"/>
        <v>0</v>
      </c>
      <c r="J444" s="11">
        <f t="shared" si="340"/>
        <v>0</v>
      </c>
      <c r="L444" s="108"/>
      <c r="M444" s="8"/>
      <c r="N444" s="9"/>
      <c r="O444" s="52"/>
      <c r="P444" s="87">
        <f t="shared" ref="P444" si="347">SUM(M444:O444)</f>
        <v>0</v>
      </c>
      <c r="Q444" s="8"/>
      <c r="R444" s="9"/>
      <c r="S444" s="10"/>
      <c r="T444" s="49">
        <f t="shared" ref="T444" si="348">SUM(Q444:S444)</f>
        <v>0</v>
      </c>
      <c r="U444" s="11">
        <f t="shared" ref="U444" si="349">P444+T444</f>
        <v>0</v>
      </c>
      <c r="V444" s="98"/>
    </row>
    <row r="445" spans="1:22" x14ac:dyDescent="0.15">
      <c r="B445" s="13"/>
      <c r="C445" s="14"/>
      <c r="D445" s="15"/>
      <c r="E445" s="49">
        <f t="shared" si="338"/>
        <v>0</v>
      </c>
      <c r="F445" s="16"/>
      <c r="G445" s="14"/>
      <c r="H445" s="15"/>
      <c r="I445" s="49">
        <f t="shared" si="339"/>
        <v>0</v>
      </c>
      <c r="J445" s="11">
        <f t="shared" si="340"/>
        <v>0</v>
      </c>
      <c r="L445" s="86"/>
      <c r="M445" s="13"/>
      <c r="N445" s="14"/>
      <c r="O445" s="53"/>
      <c r="P445" s="87">
        <f>SUM(M445:O445)</f>
        <v>0</v>
      </c>
      <c r="Q445" s="16"/>
      <c r="R445" s="14"/>
      <c r="S445" s="15"/>
      <c r="T445" s="49">
        <f>SUM(Q445:S445)</f>
        <v>0</v>
      </c>
      <c r="U445" s="11">
        <f>P445+T445</f>
        <v>0</v>
      </c>
      <c r="V445" s="100"/>
    </row>
    <row r="446" spans="1:22" x14ac:dyDescent="0.15">
      <c r="A446" s="26"/>
      <c r="B446" s="8"/>
      <c r="C446" s="9"/>
      <c r="D446" s="10"/>
      <c r="E446" s="49">
        <f t="shared" si="338"/>
        <v>0</v>
      </c>
      <c r="F446" s="12"/>
      <c r="G446" s="9"/>
      <c r="H446" s="10"/>
      <c r="I446" s="49">
        <f t="shared" si="339"/>
        <v>0</v>
      </c>
      <c r="J446" s="11">
        <f t="shared" si="340"/>
        <v>0</v>
      </c>
      <c r="L446" s="86"/>
      <c r="M446" s="8"/>
      <c r="N446" s="9"/>
      <c r="O446" s="52"/>
      <c r="P446" s="87">
        <f t="shared" ref="P446:P450" si="350">SUM(M446:O446)</f>
        <v>0</v>
      </c>
      <c r="Q446" s="12"/>
      <c r="R446" s="9"/>
      <c r="S446" s="10"/>
      <c r="T446" s="49">
        <f t="shared" ref="T446:T450" si="351">SUM(Q446:S446)</f>
        <v>0</v>
      </c>
      <c r="U446" s="11">
        <f t="shared" ref="U446:U448" si="352">P446+T446</f>
        <v>0</v>
      </c>
      <c r="V446" s="100"/>
    </row>
    <row r="447" spans="1:22" x14ac:dyDescent="0.15">
      <c r="A447" s="26"/>
      <c r="B447" s="8"/>
      <c r="C447" s="9"/>
      <c r="D447" s="10"/>
      <c r="E447" s="49">
        <f t="shared" si="338"/>
        <v>0</v>
      </c>
      <c r="F447" s="12"/>
      <c r="G447" s="9"/>
      <c r="H447" s="10"/>
      <c r="I447" s="49">
        <f t="shared" si="339"/>
        <v>0</v>
      </c>
      <c r="J447" s="11">
        <f t="shared" si="340"/>
        <v>0</v>
      </c>
      <c r="L447" s="86"/>
      <c r="M447" s="8"/>
      <c r="N447" s="9"/>
      <c r="O447" s="52"/>
      <c r="P447" s="87">
        <f t="shared" si="350"/>
        <v>0</v>
      </c>
      <c r="Q447" s="12"/>
      <c r="R447" s="9"/>
      <c r="S447" s="10"/>
      <c r="T447" s="49">
        <f t="shared" si="351"/>
        <v>0</v>
      </c>
      <c r="U447" s="11">
        <f t="shared" si="352"/>
        <v>0</v>
      </c>
      <c r="V447" s="100"/>
    </row>
    <row r="448" spans="1:22" x14ac:dyDescent="0.15">
      <c r="A448" s="26"/>
      <c r="B448" s="8"/>
      <c r="C448" s="9"/>
      <c r="D448" s="10"/>
      <c r="E448" s="49">
        <f t="shared" si="338"/>
        <v>0</v>
      </c>
      <c r="F448" s="12"/>
      <c r="G448" s="9"/>
      <c r="H448" s="10"/>
      <c r="I448" s="49">
        <f t="shared" si="339"/>
        <v>0</v>
      </c>
      <c r="J448" s="11">
        <f t="shared" si="340"/>
        <v>0</v>
      </c>
      <c r="L448" s="86"/>
      <c r="M448" s="8"/>
      <c r="N448" s="9"/>
      <c r="O448" s="52"/>
      <c r="P448" s="87">
        <f t="shared" si="350"/>
        <v>0</v>
      </c>
      <c r="Q448" s="12"/>
      <c r="R448" s="9"/>
      <c r="S448" s="10"/>
      <c r="T448" s="49">
        <f t="shared" si="351"/>
        <v>0</v>
      </c>
      <c r="U448" s="11">
        <f t="shared" si="352"/>
        <v>0</v>
      </c>
      <c r="V448" s="98"/>
    </row>
    <row r="449" spans="1:22" ht="14.25" thickBot="1" x14ac:dyDescent="0.2">
      <c r="A449" s="23"/>
      <c r="B449" s="13"/>
      <c r="C449" s="14"/>
      <c r="D449" s="15"/>
      <c r="E449" s="49">
        <f>SUM(B449:D449)</f>
        <v>0</v>
      </c>
      <c r="F449" s="16"/>
      <c r="G449" s="14"/>
      <c r="H449" s="15"/>
      <c r="I449" s="49">
        <f>SUM(F449:H449)</f>
        <v>0</v>
      </c>
      <c r="J449" s="11">
        <f>E449+I449</f>
        <v>0</v>
      </c>
      <c r="L449" s="86" t="s">
        <v>420</v>
      </c>
      <c r="M449" s="8"/>
      <c r="N449" s="9"/>
      <c r="O449" s="52"/>
      <c r="P449" s="87">
        <f t="shared" ref="P449" si="353">SUM(M449:O449)</f>
        <v>0</v>
      </c>
      <c r="Q449" s="12"/>
      <c r="R449" s="9"/>
      <c r="S449" s="10"/>
      <c r="T449" s="49">
        <f t="shared" ref="T449" si="354">SUM(Q449:S449)</f>
        <v>0</v>
      </c>
      <c r="U449" s="11">
        <f t="shared" ref="U449" si="355">P449+T449</f>
        <v>0</v>
      </c>
      <c r="V449" s="98">
        <v>44246</v>
      </c>
    </row>
    <row r="450" spans="1:22" ht="14.25" thickBot="1" x14ac:dyDescent="0.2">
      <c r="A450" s="41" t="s">
        <v>17</v>
      </c>
      <c r="B450" s="46">
        <f>SUM(B424:B449)</f>
        <v>1</v>
      </c>
      <c r="C450" s="47">
        <f t="shared" ref="C450:D450" si="356">SUM(C424:C449)</f>
        <v>3</v>
      </c>
      <c r="D450" s="58">
        <f t="shared" si="356"/>
        <v>1</v>
      </c>
      <c r="E450" s="45">
        <f t="shared" ref="E450" si="357">SUM(B450:D450)</f>
        <v>5</v>
      </c>
      <c r="F450" s="46">
        <f>SUM(F424:F449)</f>
        <v>1</v>
      </c>
      <c r="G450" s="47">
        <f t="shared" ref="G450:H450" si="358">SUM(G424:G449)</f>
        <v>3</v>
      </c>
      <c r="H450" s="58">
        <f t="shared" si="358"/>
        <v>1</v>
      </c>
      <c r="I450" s="45">
        <f t="shared" ref="I450" si="359">SUM(F450:H450)</f>
        <v>5</v>
      </c>
      <c r="J450" s="45">
        <f>E450+I450</f>
        <v>10</v>
      </c>
      <c r="L450" s="41" t="s">
        <v>17</v>
      </c>
      <c r="M450" s="46">
        <f>SUM(M424:M449)</f>
        <v>10</v>
      </c>
      <c r="N450" s="47">
        <f t="shared" ref="N450:O450" si="360">SUM(N424:N449)</f>
        <v>14</v>
      </c>
      <c r="O450" s="58">
        <f t="shared" si="360"/>
        <v>21</v>
      </c>
      <c r="P450" s="45">
        <f t="shared" si="350"/>
        <v>45</v>
      </c>
      <c r="Q450" s="46">
        <f>SUM(Q424:Q449)</f>
        <v>10</v>
      </c>
      <c r="R450" s="47">
        <f t="shared" ref="R450:S450" si="361">SUM(R424:R449)</f>
        <v>14</v>
      </c>
      <c r="S450" s="58">
        <f t="shared" si="361"/>
        <v>21</v>
      </c>
      <c r="T450" s="45">
        <f t="shared" si="351"/>
        <v>45</v>
      </c>
      <c r="U450" s="45">
        <f>P450+T450</f>
        <v>90</v>
      </c>
    </row>
    <row r="451" spans="1:22" ht="14.25" thickBot="1" x14ac:dyDescent="0.2">
      <c r="A451" s="22" t="s">
        <v>16</v>
      </c>
      <c r="B451" s="50">
        <f>B423-B450</f>
        <v>0</v>
      </c>
      <c r="C451" s="56">
        <f t="shared" ref="C451:D451" si="362">C423-C450</f>
        <v>0</v>
      </c>
      <c r="D451" s="57">
        <f t="shared" si="362"/>
        <v>0</v>
      </c>
      <c r="E451" s="55">
        <f>SUM(B451:D451)</f>
        <v>0</v>
      </c>
      <c r="F451" s="50">
        <f>F423-F450</f>
        <v>1</v>
      </c>
      <c r="G451" s="56">
        <f t="shared" ref="G451:H451" si="363">G423-G450</f>
        <v>0</v>
      </c>
      <c r="H451" s="57">
        <f t="shared" si="363"/>
        <v>0</v>
      </c>
      <c r="I451" s="55">
        <f>SUM(F451:H451)</f>
        <v>1</v>
      </c>
      <c r="J451" s="31">
        <f>E451+I451</f>
        <v>1</v>
      </c>
      <c r="L451" s="22" t="s">
        <v>16</v>
      </c>
      <c r="M451" s="50">
        <f>M423-M450</f>
        <v>127</v>
      </c>
      <c r="N451" s="56">
        <f t="shared" ref="N451:O451" si="364">N423-N450</f>
        <v>125</v>
      </c>
      <c r="O451" s="57">
        <f t="shared" si="364"/>
        <v>100</v>
      </c>
      <c r="P451" s="55">
        <f>SUM(M451:O451)</f>
        <v>352</v>
      </c>
      <c r="Q451" s="50">
        <f>Q423-Q450</f>
        <v>127</v>
      </c>
      <c r="R451" s="56">
        <f t="shared" ref="R451:S451" si="365">R423-R450</f>
        <v>125</v>
      </c>
      <c r="S451" s="57">
        <f t="shared" si="365"/>
        <v>100</v>
      </c>
      <c r="T451" s="55">
        <f>SUM(Q451:S451)</f>
        <v>352</v>
      </c>
      <c r="U451" s="31">
        <f>P451+T451</f>
        <v>704</v>
      </c>
    </row>
    <row r="452" spans="1:22" ht="19.5" thickBot="1" x14ac:dyDescent="0.25">
      <c r="A452" s="3" t="s">
        <v>20</v>
      </c>
      <c r="B452" s="1"/>
      <c r="C452" s="1"/>
      <c r="D452" s="1"/>
      <c r="E452" s="1"/>
      <c r="F452" s="1"/>
      <c r="G452" s="1"/>
      <c r="H452" s="1"/>
      <c r="I452" s="1"/>
      <c r="J452" s="1"/>
      <c r="L452" s="112"/>
      <c r="M452" s="117">
        <f>M450+M411</f>
        <v>229</v>
      </c>
      <c r="N452" s="117">
        <f t="shared" ref="N452:P452" si="366">N450+N411</f>
        <v>345</v>
      </c>
      <c r="O452" s="117">
        <f t="shared" si="366"/>
        <v>247</v>
      </c>
      <c r="P452" s="117">
        <f t="shared" si="366"/>
        <v>821</v>
      </c>
      <c r="Q452" s="112"/>
      <c r="R452" s="112"/>
      <c r="S452" s="112"/>
      <c r="T452" s="112"/>
      <c r="U452" s="1"/>
    </row>
    <row r="453" spans="1:22" ht="14.25" thickBot="1" x14ac:dyDescent="0.2">
      <c r="A453" s="7"/>
      <c r="B453" s="176" t="s">
        <v>22</v>
      </c>
      <c r="C453" s="177"/>
      <c r="D453" s="177"/>
      <c r="E453" s="178"/>
      <c r="F453" s="176" t="s">
        <v>23</v>
      </c>
      <c r="G453" s="177"/>
      <c r="H453" s="177"/>
      <c r="I453" s="179"/>
      <c r="J453" s="174" t="s">
        <v>0</v>
      </c>
      <c r="L453" s="41"/>
      <c r="M453" s="118">
        <f>M452/$P$452*100</f>
        <v>27.892813641900123</v>
      </c>
      <c r="N453" s="118">
        <f t="shared" ref="N453:P453" si="367">N452/$P$452*100</f>
        <v>42.021924482338612</v>
      </c>
      <c r="O453" s="118">
        <f t="shared" si="367"/>
        <v>30.085261875761265</v>
      </c>
      <c r="P453" s="118">
        <f t="shared" si="367"/>
        <v>100</v>
      </c>
      <c r="Q453" s="170" t="s">
        <v>23</v>
      </c>
      <c r="R453" s="170"/>
      <c r="S453" s="170"/>
      <c r="T453" s="171"/>
      <c r="U453" s="174" t="s">
        <v>0</v>
      </c>
    </row>
    <row r="454" spans="1:22" ht="14.25" thickBot="1" x14ac:dyDescent="0.2">
      <c r="A454" s="7" t="s">
        <v>1</v>
      </c>
      <c r="B454" s="4" t="s">
        <v>2</v>
      </c>
      <c r="C454" s="5" t="s">
        <v>3</v>
      </c>
      <c r="D454" s="6" t="s">
        <v>4</v>
      </c>
      <c r="E454" s="7" t="s">
        <v>5</v>
      </c>
      <c r="F454" s="4" t="s">
        <v>2</v>
      </c>
      <c r="G454" s="5" t="s">
        <v>3</v>
      </c>
      <c r="H454" s="6" t="s">
        <v>4</v>
      </c>
      <c r="I454" s="7" t="s">
        <v>5</v>
      </c>
      <c r="J454" s="175"/>
      <c r="L454" s="7" t="s">
        <v>1</v>
      </c>
      <c r="M454" s="114" t="s">
        <v>2</v>
      </c>
      <c r="N454" s="115" t="s">
        <v>3</v>
      </c>
      <c r="O454" s="116" t="s">
        <v>4</v>
      </c>
      <c r="P454" s="113" t="s">
        <v>5</v>
      </c>
      <c r="Q454" s="4" t="s">
        <v>2</v>
      </c>
      <c r="R454" s="5" t="s">
        <v>3</v>
      </c>
      <c r="S454" s="6" t="s">
        <v>4</v>
      </c>
      <c r="T454" s="7" t="s">
        <v>5</v>
      </c>
      <c r="U454" s="175"/>
    </row>
    <row r="455" spans="1:22" ht="14.25" thickBot="1" x14ac:dyDescent="0.2">
      <c r="A455" s="27" t="s">
        <v>16</v>
      </c>
      <c r="B455" s="38">
        <f>B451</f>
        <v>0</v>
      </c>
      <c r="C455" s="39">
        <f>C451</f>
        <v>0</v>
      </c>
      <c r="D455" s="2">
        <f>D451</f>
        <v>0</v>
      </c>
      <c r="E455" s="36">
        <f>SUM(B455:D455)</f>
        <v>0</v>
      </c>
      <c r="F455" s="38">
        <f>F451</f>
        <v>1</v>
      </c>
      <c r="G455" s="39">
        <f>G451</f>
        <v>0</v>
      </c>
      <c r="H455" s="2">
        <f>H451</f>
        <v>0</v>
      </c>
      <c r="I455" s="36">
        <f>SUM(F455:H455)</f>
        <v>1</v>
      </c>
      <c r="J455" s="36">
        <f>E455+I455</f>
        <v>1</v>
      </c>
      <c r="L455" s="27" t="s">
        <v>16</v>
      </c>
      <c r="M455" s="38">
        <f>M451</f>
        <v>127</v>
      </c>
      <c r="N455" s="39">
        <f>N451</f>
        <v>125</v>
      </c>
      <c r="O455" s="2">
        <f>O451</f>
        <v>100</v>
      </c>
      <c r="P455" s="36">
        <f>SUM(M455:O455)</f>
        <v>352</v>
      </c>
      <c r="Q455" s="38">
        <f>Q451</f>
        <v>127</v>
      </c>
      <c r="R455" s="39">
        <f>R451</f>
        <v>125</v>
      </c>
      <c r="S455" s="2">
        <f>S451</f>
        <v>100</v>
      </c>
      <c r="T455" s="36">
        <f>SUM(Q455:S455)</f>
        <v>352</v>
      </c>
      <c r="U455" s="36">
        <f>P455+T455</f>
        <v>704</v>
      </c>
    </row>
    <row r="456" spans="1:22" x14ac:dyDescent="0.15">
      <c r="A456" s="25" t="s">
        <v>484</v>
      </c>
      <c r="B456" s="42">
        <v>3</v>
      </c>
      <c r="C456" s="43">
        <v>3</v>
      </c>
      <c r="D456" s="44">
        <v>3</v>
      </c>
      <c r="E456" s="48">
        <f>SUM(B456:D456)</f>
        <v>9</v>
      </c>
      <c r="F456" s="59">
        <v>3</v>
      </c>
      <c r="G456" s="43">
        <v>3</v>
      </c>
      <c r="H456" s="60">
        <v>3</v>
      </c>
      <c r="I456" s="48">
        <f>SUM(F456:H456)</f>
        <v>9</v>
      </c>
      <c r="J456" s="48">
        <f>E456+I456</f>
        <v>18</v>
      </c>
      <c r="K456" s="62">
        <v>44457</v>
      </c>
      <c r="L456" s="25" t="s">
        <v>7</v>
      </c>
      <c r="M456" s="42"/>
      <c r="N456" s="43"/>
      <c r="O456" s="44"/>
      <c r="P456" s="48">
        <f>SUM(M456:O456)</f>
        <v>0</v>
      </c>
      <c r="Q456" s="59"/>
      <c r="R456" s="43"/>
      <c r="S456" s="60"/>
      <c r="T456" s="48">
        <f>SUM(Q456:S456)</f>
        <v>0</v>
      </c>
      <c r="U456" s="48">
        <f>P456+T456</f>
        <v>0</v>
      </c>
    </row>
    <row r="457" spans="1:22" x14ac:dyDescent="0.15">
      <c r="A457" s="25"/>
      <c r="B457" s="8"/>
      <c r="C457" s="9">
        <v>1</v>
      </c>
      <c r="D457" s="52"/>
      <c r="E457" s="11">
        <f>SUM(B457:D457)</f>
        <v>1</v>
      </c>
      <c r="F457" s="12"/>
      <c r="G457" s="9">
        <v>1</v>
      </c>
      <c r="H457" s="10"/>
      <c r="I457" s="11">
        <f>SUM(F457:H457)</f>
        <v>1</v>
      </c>
      <c r="J457" s="11">
        <f>E457+I457</f>
        <v>2</v>
      </c>
      <c r="L457" s="25" t="s">
        <v>8</v>
      </c>
      <c r="M457" s="8"/>
      <c r="N457" s="9"/>
      <c r="O457" s="52"/>
      <c r="P457" s="11">
        <f>SUM(M457:O457)</f>
        <v>0</v>
      </c>
      <c r="Q457" s="8"/>
      <c r="R457" s="9"/>
      <c r="S457" s="52"/>
      <c r="T457" s="11">
        <f>SUM(Q457:S457)</f>
        <v>0</v>
      </c>
      <c r="U457" s="11">
        <f>P457+T457</f>
        <v>0</v>
      </c>
    </row>
    <row r="458" spans="1:22" x14ac:dyDescent="0.15">
      <c r="A458" s="25"/>
      <c r="B458" s="17"/>
      <c r="C458" s="18"/>
      <c r="D458" s="51"/>
      <c r="E458" s="11">
        <f t="shared" ref="E458:E463" si="368">SUM(B458:D458)</f>
        <v>0</v>
      </c>
      <c r="F458" s="20"/>
      <c r="G458" s="18"/>
      <c r="H458" s="19"/>
      <c r="I458" s="11">
        <f t="shared" ref="I458:I463" si="369">SUM(F458:H458)</f>
        <v>0</v>
      </c>
      <c r="J458" s="11">
        <f t="shared" ref="J458:J463" si="370">E458+I458</f>
        <v>0</v>
      </c>
      <c r="L458" s="25" t="s">
        <v>9</v>
      </c>
      <c r="M458" s="8"/>
      <c r="N458" s="9"/>
      <c r="O458" s="52"/>
      <c r="P458" s="11">
        <f>SUM(M458:O458)</f>
        <v>0</v>
      </c>
      <c r="Q458" s="8"/>
      <c r="R458" s="9"/>
      <c r="S458" s="52"/>
      <c r="T458" s="11">
        <f>SUM(Q458:S458)</f>
        <v>0</v>
      </c>
      <c r="U458" s="11">
        <f>P458+T458</f>
        <v>0</v>
      </c>
      <c r="V458" s="98"/>
    </row>
    <row r="459" spans="1:22" x14ac:dyDescent="0.15">
      <c r="A459" s="25"/>
      <c r="B459" s="8"/>
      <c r="C459" s="9"/>
      <c r="D459" s="52"/>
      <c r="E459" s="11">
        <f t="shared" si="368"/>
        <v>0</v>
      </c>
      <c r="F459" s="12"/>
      <c r="G459" s="9"/>
      <c r="H459" s="10"/>
      <c r="I459" s="11">
        <f t="shared" si="369"/>
        <v>0</v>
      </c>
      <c r="J459" s="11">
        <f t="shared" si="370"/>
        <v>0</v>
      </c>
      <c r="L459" s="25" t="s">
        <v>10</v>
      </c>
      <c r="M459" s="8"/>
      <c r="N459" s="9"/>
      <c r="O459" s="52"/>
      <c r="P459" s="11">
        <f t="shared" ref="P459:P461" si="371">SUM(M459:O459)</f>
        <v>0</v>
      </c>
      <c r="Q459" s="12"/>
      <c r="R459" s="9"/>
      <c r="S459" s="10"/>
      <c r="T459" s="11">
        <f t="shared" ref="T459:T461" si="372">SUM(Q459:S459)</f>
        <v>0</v>
      </c>
      <c r="U459" s="11">
        <f t="shared" ref="U459:U461" si="373">P459+T459</f>
        <v>0</v>
      </c>
      <c r="V459" s="100"/>
    </row>
    <row r="460" spans="1:22" x14ac:dyDescent="0.15">
      <c r="A460" s="25"/>
      <c r="B460" s="8"/>
      <c r="C460" s="9"/>
      <c r="D460" s="52"/>
      <c r="E460" s="11">
        <f t="shared" si="368"/>
        <v>0</v>
      </c>
      <c r="F460" s="12"/>
      <c r="G460" s="9"/>
      <c r="H460" s="10"/>
      <c r="I460" s="11">
        <f t="shared" si="369"/>
        <v>0</v>
      </c>
      <c r="J460" s="11">
        <f t="shared" si="370"/>
        <v>0</v>
      </c>
      <c r="L460" s="25" t="s">
        <v>11</v>
      </c>
      <c r="M460" s="8"/>
      <c r="N460" s="9"/>
      <c r="O460" s="52"/>
      <c r="P460" s="11">
        <f>SUM(M460:O460)</f>
        <v>0</v>
      </c>
      <c r="Q460" s="8"/>
      <c r="R460" s="9"/>
      <c r="S460" s="52"/>
      <c r="T460" s="11">
        <f>SUM(Q460:S460)</f>
        <v>0</v>
      </c>
      <c r="U460" s="11">
        <f>P460+T460</f>
        <v>0</v>
      </c>
      <c r="V460" s="98"/>
    </row>
    <row r="461" spans="1:22" x14ac:dyDescent="0.15">
      <c r="A461" s="25"/>
      <c r="B461" s="8"/>
      <c r="C461" s="9"/>
      <c r="D461" s="52"/>
      <c r="E461" s="11">
        <f t="shared" si="368"/>
        <v>0</v>
      </c>
      <c r="F461" s="12"/>
      <c r="G461" s="9"/>
      <c r="H461" s="10"/>
      <c r="I461" s="11">
        <f t="shared" si="369"/>
        <v>0</v>
      </c>
      <c r="J461" s="11">
        <f t="shared" si="370"/>
        <v>0</v>
      </c>
      <c r="L461" s="25" t="s">
        <v>12</v>
      </c>
      <c r="M461" s="8"/>
      <c r="N461" s="9"/>
      <c r="O461" s="52"/>
      <c r="P461" s="11">
        <f t="shared" si="371"/>
        <v>0</v>
      </c>
      <c r="Q461" s="12"/>
      <c r="R461" s="9"/>
      <c r="S461" s="10"/>
      <c r="T461" s="11">
        <f t="shared" si="372"/>
        <v>0</v>
      </c>
      <c r="U461" s="11">
        <f t="shared" si="373"/>
        <v>0</v>
      </c>
      <c r="V461" s="100"/>
    </row>
    <row r="462" spans="1:22" x14ac:dyDescent="0.15">
      <c r="A462" s="25"/>
      <c r="B462" s="13"/>
      <c r="C462" s="14"/>
      <c r="D462" s="53"/>
      <c r="E462" s="11">
        <f t="shared" si="368"/>
        <v>0</v>
      </c>
      <c r="F462" s="16"/>
      <c r="G462" s="14"/>
      <c r="H462" s="15"/>
      <c r="I462" s="11">
        <f t="shared" si="369"/>
        <v>0</v>
      </c>
      <c r="J462" s="11">
        <f t="shared" si="370"/>
        <v>0</v>
      </c>
      <c r="L462" s="25" t="s">
        <v>13</v>
      </c>
      <c r="M462" s="8"/>
      <c r="N462" s="9"/>
      <c r="O462" s="52"/>
      <c r="P462" s="11">
        <f>SUM(M462:O462)</f>
        <v>0</v>
      </c>
      <c r="Q462" s="8"/>
      <c r="R462" s="9"/>
      <c r="S462" s="52"/>
      <c r="T462" s="11">
        <f>SUM(Q462:S462)</f>
        <v>0</v>
      </c>
      <c r="U462" s="11">
        <f>P462+T462</f>
        <v>0</v>
      </c>
    </row>
    <row r="463" spans="1:22" ht="14.25" thickBot="1" x14ac:dyDescent="0.2">
      <c r="A463" s="25"/>
      <c r="B463" s="32"/>
      <c r="C463" s="33"/>
      <c r="D463" s="54"/>
      <c r="E463" s="61">
        <f t="shared" si="368"/>
        <v>0</v>
      </c>
      <c r="F463" s="34"/>
      <c r="G463" s="34"/>
      <c r="H463" s="37"/>
      <c r="I463" s="61">
        <f t="shared" si="369"/>
        <v>0</v>
      </c>
      <c r="J463" s="21">
        <f t="shared" si="370"/>
        <v>0</v>
      </c>
      <c r="L463" s="25" t="s">
        <v>14</v>
      </c>
      <c r="M463" s="32"/>
      <c r="N463" s="33"/>
      <c r="O463" s="54"/>
      <c r="P463" s="61">
        <f t="shared" ref="P463" si="374">SUM(M463:O463)</f>
        <v>0</v>
      </c>
      <c r="Q463" s="34"/>
      <c r="R463" s="34"/>
      <c r="S463" s="37"/>
      <c r="T463" s="61">
        <f t="shared" ref="T463" si="375">SUM(Q463:S463)</f>
        <v>0</v>
      </c>
      <c r="U463" s="21">
        <f t="shared" ref="U463" si="376">P463+T463</f>
        <v>0</v>
      </c>
    </row>
    <row r="464" spans="1:22" ht="14.25" thickBot="1" x14ac:dyDescent="0.2">
      <c r="A464" s="35" t="s">
        <v>15</v>
      </c>
      <c r="B464" s="28">
        <f>SUM(B455:B463)</f>
        <v>3</v>
      </c>
      <c r="C464" s="29">
        <f>SUM(C455:C463)</f>
        <v>4</v>
      </c>
      <c r="D464" s="30">
        <f>SUM(D455:D463)</f>
        <v>3</v>
      </c>
      <c r="E464" s="31">
        <f>SUM(B464:D464)</f>
        <v>10</v>
      </c>
      <c r="F464" s="28">
        <f>SUM(F455:F463)</f>
        <v>4</v>
      </c>
      <c r="G464" s="29">
        <f>SUM(G455:G463)</f>
        <v>4</v>
      </c>
      <c r="H464" s="30">
        <f>SUM(H455:H463)</f>
        <v>3</v>
      </c>
      <c r="I464" s="31">
        <f>SUM(F464:H464)</f>
        <v>11</v>
      </c>
      <c r="J464" s="31">
        <f>E464+I464</f>
        <v>21</v>
      </c>
      <c r="L464" s="35" t="s">
        <v>15</v>
      </c>
      <c r="M464" s="28">
        <f>SUM(M455:M463)</f>
        <v>127</v>
      </c>
      <c r="N464" s="29">
        <f>SUM(N455:N463)</f>
        <v>125</v>
      </c>
      <c r="O464" s="30">
        <f>SUM(O455:O463)</f>
        <v>100</v>
      </c>
      <c r="P464" s="31">
        <f>SUM(M464:O464)</f>
        <v>352</v>
      </c>
      <c r="Q464" s="28">
        <f>SUM(Q455:Q463)</f>
        <v>127</v>
      </c>
      <c r="R464" s="29">
        <f>SUM(R455:R463)</f>
        <v>125</v>
      </c>
      <c r="S464" s="30">
        <f>SUM(S455:S463)</f>
        <v>100</v>
      </c>
      <c r="T464" s="31">
        <f>SUM(Q464:S464)</f>
        <v>352</v>
      </c>
      <c r="U464" s="31">
        <f>P464+T464</f>
        <v>704</v>
      </c>
    </row>
    <row r="465" spans="1:22" x14ac:dyDescent="0.15">
      <c r="A465" s="26" t="s">
        <v>463</v>
      </c>
      <c r="B465" s="42">
        <v>1</v>
      </c>
      <c r="C465" s="43"/>
      <c r="D465" s="44"/>
      <c r="E465" s="76">
        <f>SUM(B465:D465)</f>
        <v>1</v>
      </c>
      <c r="F465" s="59">
        <v>1</v>
      </c>
      <c r="G465" s="43"/>
      <c r="H465" s="60"/>
      <c r="I465" s="76">
        <f>SUM(F465:H465)</f>
        <v>1</v>
      </c>
      <c r="J465" s="48">
        <f>E465+I465</f>
        <v>2</v>
      </c>
      <c r="K465" s="98">
        <v>44470</v>
      </c>
      <c r="L465" s="108" t="s">
        <v>483</v>
      </c>
      <c r="M465" s="17">
        <v>2</v>
      </c>
      <c r="N465" s="18">
        <v>2</v>
      </c>
      <c r="O465" s="51"/>
      <c r="P465" s="87">
        <f t="shared" ref="P465:P466" si="377">SUM(M465:O465)</f>
        <v>4</v>
      </c>
      <c r="Q465" s="8">
        <v>2</v>
      </c>
      <c r="R465" s="9">
        <v>2</v>
      </c>
      <c r="S465" s="10"/>
      <c r="T465" s="49">
        <f t="shared" ref="T465:T466" si="378">SUM(Q465:S465)</f>
        <v>4</v>
      </c>
      <c r="U465" s="11">
        <f t="shared" ref="U465:U466" si="379">P465+T465</f>
        <v>8</v>
      </c>
      <c r="V465" s="98">
        <v>44457</v>
      </c>
    </row>
    <row r="466" spans="1:22" x14ac:dyDescent="0.15">
      <c r="A466" s="26" t="s">
        <v>499</v>
      </c>
      <c r="B466" s="8"/>
      <c r="C466" s="9"/>
      <c r="D466" s="10">
        <v>1</v>
      </c>
      <c r="E466" s="49">
        <f t="shared" ref="E466:E489" si="380">SUM(B466:D466)</f>
        <v>1</v>
      </c>
      <c r="F466" s="12"/>
      <c r="G466" s="9"/>
      <c r="H466" s="10"/>
      <c r="I466" s="49">
        <f t="shared" ref="I466:I489" si="381">SUM(F466:H466)</f>
        <v>0</v>
      </c>
      <c r="J466" s="11">
        <f t="shared" ref="J466:J489" si="382">E466+I466</f>
        <v>1</v>
      </c>
      <c r="K466" s="99">
        <v>44474</v>
      </c>
      <c r="L466" s="108" t="s">
        <v>485</v>
      </c>
      <c r="M466" s="8">
        <v>3</v>
      </c>
      <c r="N466" s="9">
        <v>3</v>
      </c>
      <c r="O466" s="52">
        <v>3</v>
      </c>
      <c r="P466" s="87">
        <f t="shared" si="377"/>
        <v>9</v>
      </c>
      <c r="Q466" s="12">
        <v>3</v>
      </c>
      <c r="R466" s="9">
        <v>3</v>
      </c>
      <c r="S466" s="10">
        <v>3</v>
      </c>
      <c r="T466" s="49">
        <f t="shared" si="378"/>
        <v>9</v>
      </c>
      <c r="U466" s="11">
        <f t="shared" si="379"/>
        <v>18</v>
      </c>
      <c r="V466" s="98">
        <v>44457</v>
      </c>
    </row>
    <row r="467" spans="1:22" x14ac:dyDescent="0.15">
      <c r="A467" s="26" t="s">
        <v>512</v>
      </c>
      <c r="B467" s="8">
        <v>1</v>
      </c>
      <c r="C467" s="9"/>
      <c r="D467" s="10"/>
      <c r="E467" s="49">
        <f t="shared" si="380"/>
        <v>1</v>
      </c>
      <c r="F467" s="12">
        <v>1</v>
      </c>
      <c r="G467" s="9"/>
      <c r="H467" s="10"/>
      <c r="I467" s="49">
        <f t="shared" si="381"/>
        <v>1</v>
      </c>
      <c r="J467" s="11">
        <f t="shared" si="382"/>
        <v>2</v>
      </c>
      <c r="K467" s="64">
        <v>44505</v>
      </c>
      <c r="L467" s="108" t="s">
        <v>487</v>
      </c>
      <c r="M467" s="13">
        <v>15</v>
      </c>
      <c r="N467" s="14">
        <v>8</v>
      </c>
      <c r="O467" s="53">
        <v>6</v>
      </c>
      <c r="P467" s="87">
        <f>SUM(M467:O467)</f>
        <v>29</v>
      </c>
      <c r="Q467" s="16">
        <v>15</v>
      </c>
      <c r="R467" s="14">
        <v>8</v>
      </c>
      <c r="S467" s="15">
        <v>6</v>
      </c>
      <c r="T467" s="49">
        <f>SUM(Q467:S467)</f>
        <v>29</v>
      </c>
      <c r="U467" s="11">
        <f>P467+T467</f>
        <v>58</v>
      </c>
      <c r="V467" s="98">
        <v>44461</v>
      </c>
    </row>
    <row r="468" spans="1:22" x14ac:dyDescent="0.15">
      <c r="A468" s="26"/>
      <c r="B468" s="8"/>
      <c r="C468" s="9"/>
      <c r="D468" s="10"/>
      <c r="E468" s="49">
        <f t="shared" si="380"/>
        <v>0</v>
      </c>
      <c r="F468" s="12"/>
      <c r="G468" s="9"/>
      <c r="H468" s="10"/>
      <c r="I468" s="49">
        <f t="shared" si="381"/>
        <v>0</v>
      </c>
      <c r="J468" s="11">
        <f t="shared" si="382"/>
        <v>0</v>
      </c>
      <c r="L468" s="108" t="s">
        <v>489</v>
      </c>
      <c r="M468" s="8"/>
      <c r="N468" s="9">
        <v>6</v>
      </c>
      <c r="O468" s="52"/>
      <c r="P468" s="87">
        <f t="shared" ref="P468:P480" si="383">SUM(M468:O468)</f>
        <v>6</v>
      </c>
      <c r="Q468" s="12"/>
      <c r="R468" s="9">
        <v>6</v>
      </c>
      <c r="S468" s="10"/>
      <c r="T468" s="49">
        <f t="shared" ref="T468:T480" si="384">SUM(Q468:S468)</f>
        <v>6</v>
      </c>
      <c r="U468" s="11">
        <f t="shared" ref="U468:U480" si="385">P468+T468</f>
        <v>12</v>
      </c>
      <c r="V468" s="98">
        <v>44462</v>
      </c>
    </row>
    <row r="469" spans="1:22" x14ac:dyDescent="0.15">
      <c r="A469" s="26"/>
      <c r="B469" s="8"/>
      <c r="C469" s="9"/>
      <c r="D469" s="10"/>
      <c r="E469" s="49">
        <f t="shared" si="380"/>
        <v>0</v>
      </c>
      <c r="F469" s="12"/>
      <c r="G469" s="9"/>
      <c r="H469" s="10"/>
      <c r="I469" s="49">
        <f t="shared" si="381"/>
        <v>0</v>
      </c>
      <c r="J469" s="11">
        <f t="shared" si="382"/>
        <v>0</v>
      </c>
      <c r="L469" s="108" t="s">
        <v>488</v>
      </c>
      <c r="M469" s="8">
        <v>1</v>
      </c>
      <c r="N469" s="9"/>
      <c r="O469" s="52">
        <v>3</v>
      </c>
      <c r="P469" s="87">
        <f t="shared" si="383"/>
        <v>4</v>
      </c>
      <c r="Q469" s="12">
        <v>1</v>
      </c>
      <c r="R469" s="9"/>
      <c r="S469" s="10">
        <v>3</v>
      </c>
      <c r="T469" s="49">
        <f t="shared" si="384"/>
        <v>4</v>
      </c>
      <c r="U469" s="11">
        <f t="shared" si="385"/>
        <v>8</v>
      </c>
      <c r="V469" s="98">
        <v>44464</v>
      </c>
    </row>
    <row r="470" spans="1:22" x14ac:dyDescent="0.15">
      <c r="A470" s="26"/>
      <c r="B470" s="8"/>
      <c r="C470" s="9"/>
      <c r="D470" s="10"/>
      <c r="E470" s="49">
        <f t="shared" si="380"/>
        <v>0</v>
      </c>
      <c r="F470" s="12"/>
      <c r="G470" s="9"/>
      <c r="H470" s="10"/>
      <c r="I470" s="49">
        <f t="shared" si="381"/>
        <v>0</v>
      </c>
      <c r="J470" s="11">
        <f t="shared" si="382"/>
        <v>0</v>
      </c>
      <c r="L470" s="108" t="s">
        <v>490</v>
      </c>
      <c r="M470" s="8"/>
      <c r="N470" s="9">
        <v>3</v>
      </c>
      <c r="O470" s="52"/>
      <c r="P470" s="87">
        <f t="shared" si="383"/>
        <v>3</v>
      </c>
      <c r="Q470" s="12"/>
      <c r="R470" s="9">
        <v>3</v>
      </c>
      <c r="S470" s="10"/>
      <c r="T470" s="49">
        <f t="shared" si="384"/>
        <v>3</v>
      </c>
      <c r="U470" s="11">
        <f t="shared" si="385"/>
        <v>6</v>
      </c>
      <c r="V470" s="98">
        <v>44467</v>
      </c>
    </row>
    <row r="471" spans="1:22" x14ac:dyDescent="0.15">
      <c r="A471" s="26"/>
      <c r="B471" s="8"/>
      <c r="C471" s="9"/>
      <c r="D471" s="10"/>
      <c r="E471" s="49">
        <f t="shared" si="380"/>
        <v>0</v>
      </c>
      <c r="F471" s="12"/>
      <c r="G471" s="9"/>
      <c r="H471" s="10"/>
      <c r="I471" s="49">
        <f t="shared" si="381"/>
        <v>0</v>
      </c>
      <c r="J471" s="11">
        <f t="shared" si="382"/>
        <v>0</v>
      </c>
      <c r="L471" s="108" t="s">
        <v>491</v>
      </c>
      <c r="M471" s="8">
        <v>1</v>
      </c>
      <c r="N471" s="9"/>
      <c r="O471" s="52">
        <v>1</v>
      </c>
      <c r="P471" s="87">
        <f t="shared" si="383"/>
        <v>2</v>
      </c>
      <c r="Q471" s="12">
        <v>1</v>
      </c>
      <c r="R471" s="9"/>
      <c r="S471" s="10">
        <v>1</v>
      </c>
      <c r="T471" s="49">
        <f t="shared" si="384"/>
        <v>2</v>
      </c>
      <c r="U471" s="11">
        <f t="shared" si="385"/>
        <v>4</v>
      </c>
      <c r="V471" s="98">
        <v>44468</v>
      </c>
    </row>
    <row r="472" spans="1:22" x14ac:dyDescent="0.15">
      <c r="A472" s="26"/>
      <c r="B472" s="8"/>
      <c r="C472" s="9"/>
      <c r="D472" s="10"/>
      <c r="E472" s="49">
        <f t="shared" si="380"/>
        <v>0</v>
      </c>
      <c r="F472" s="12"/>
      <c r="G472" s="9"/>
      <c r="H472" s="10"/>
      <c r="I472" s="49">
        <f t="shared" si="381"/>
        <v>0</v>
      </c>
      <c r="J472" s="11">
        <f t="shared" si="382"/>
        <v>0</v>
      </c>
      <c r="L472" s="108" t="s">
        <v>492</v>
      </c>
      <c r="M472" s="9">
        <v>1</v>
      </c>
      <c r="N472" s="9">
        <v>1</v>
      </c>
      <c r="O472" s="52">
        <v>1</v>
      </c>
      <c r="P472" s="87">
        <f t="shared" si="383"/>
        <v>3</v>
      </c>
      <c r="Q472" s="12">
        <v>1</v>
      </c>
      <c r="R472" s="9">
        <v>1</v>
      </c>
      <c r="S472" s="10">
        <v>1</v>
      </c>
      <c r="T472" s="49">
        <f t="shared" si="384"/>
        <v>3</v>
      </c>
      <c r="U472" s="11">
        <f t="shared" si="385"/>
        <v>6</v>
      </c>
      <c r="V472" s="98">
        <v>44470</v>
      </c>
    </row>
    <row r="473" spans="1:22" x14ac:dyDescent="0.15">
      <c r="A473" s="26"/>
      <c r="B473" s="8"/>
      <c r="C473" s="9"/>
      <c r="D473" s="10"/>
      <c r="E473" s="49">
        <f t="shared" si="380"/>
        <v>0</v>
      </c>
      <c r="F473" s="12"/>
      <c r="G473" s="9"/>
      <c r="H473" s="10"/>
      <c r="I473" s="49">
        <f t="shared" si="381"/>
        <v>0</v>
      </c>
      <c r="J473" s="11">
        <f t="shared" si="382"/>
        <v>0</v>
      </c>
      <c r="L473" s="108" t="s">
        <v>495</v>
      </c>
      <c r="M473" s="8"/>
      <c r="N473" s="9">
        <v>1</v>
      </c>
      <c r="O473" s="52"/>
      <c r="P473" s="87">
        <f t="shared" si="383"/>
        <v>1</v>
      </c>
      <c r="Q473" s="12"/>
      <c r="R473" s="9">
        <v>1</v>
      </c>
      <c r="S473" s="10"/>
      <c r="T473" s="49">
        <f t="shared" si="384"/>
        <v>1</v>
      </c>
      <c r="U473" s="11">
        <f t="shared" si="385"/>
        <v>2</v>
      </c>
      <c r="V473" s="98">
        <v>44474</v>
      </c>
    </row>
    <row r="474" spans="1:22" x14ac:dyDescent="0.15">
      <c r="A474" s="26"/>
      <c r="B474" s="13"/>
      <c r="C474" s="14"/>
      <c r="D474" s="15"/>
      <c r="E474" s="49">
        <f t="shared" si="380"/>
        <v>0</v>
      </c>
      <c r="F474" s="16"/>
      <c r="G474" s="14"/>
      <c r="H474" s="15"/>
      <c r="I474" s="49">
        <f t="shared" si="381"/>
        <v>0</v>
      </c>
      <c r="J474" s="11">
        <f t="shared" si="382"/>
        <v>0</v>
      </c>
      <c r="L474" s="108" t="s">
        <v>494</v>
      </c>
      <c r="M474" s="13"/>
      <c r="N474" s="14"/>
      <c r="O474" s="53">
        <v>1</v>
      </c>
      <c r="P474" s="87">
        <f t="shared" si="383"/>
        <v>1</v>
      </c>
      <c r="Q474" s="16"/>
      <c r="R474" s="14"/>
      <c r="S474" s="15">
        <v>1</v>
      </c>
      <c r="T474" s="49">
        <f t="shared" si="384"/>
        <v>1</v>
      </c>
      <c r="U474" s="11">
        <f t="shared" si="385"/>
        <v>2</v>
      </c>
      <c r="V474" s="98">
        <v>44475</v>
      </c>
    </row>
    <row r="475" spans="1:22" x14ac:dyDescent="0.15">
      <c r="A475" s="26"/>
      <c r="B475" s="8"/>
      <c r="C475" s="9"/>
      <c r="D475" s="10"/>
      <c r="E475" s="49">
        <f t="shared" si="380"/>
        <v>0</v>
      </c>
      <c r="F475" s="12"/>
      <c r="G475" s="9"/>
      <c r="H475" s="10"/>
      <c r="I475" s="49">
        <f t="shared" si="381"/>
        <v>0</v>
      </c>
      <c r="J475" s="11">
        <f t="shared" si="382"/>
        <v>0</v>
      </c>
      <c r="L475" s="108" t="s">
        <v>500</v>
      </c>
      <c r="M475" s="8"/>
      <c r="N475" s="9"/>
      <c r="O475" s="52">
        <v>1</v>
      </c>
      <c r="P475" s="87">
        <f t="shared" si="383"/>
        <v>1</v>
      </c>
      <c r="Q475" s="12"/>
      <c r="R475" s="9"/>
      <c r="S475" s="10">
        <v>1</v>
      </c>
      <c r="T475" s="49">
        <f t="shared" si="384"/>
        <v>1</v>
      </c>
      <c r="U475" s="11">
        <f t="shared" si="385"/>
        <v>2</v>
      </c>
      <c r="V475" s="98">
        <v>44481</v>
      </c>
    </row>
    <row r="476" spans="1:22" x14ac:dyDescent="0.15">
      <c r="A476" s="26"/>
      <c r="B476" s="8"/>
      <c r="C476" s="9"/>
      <c r="D476" s="10"/>
      <c r="E476" s="49">
        <f t="shared" si="380"/>
        <v>0</v>
      </c>
      <c r="F476" s="12"/>
      <c r="G476" s="9"/>
      <c r="H476" s="10"/>
      <c r="I476" s="49">
        <f t="shared" si="381"/>
        <v>0</v>
      </c>
      <c r="J476" s="11">
        <f t="shared" si="382"/>
        <v>0</v>
      </c>
      <c r="L476" s="108" t="s">
        <v>501</v>
      </c>
      <c r="M476" s="8"/>
      <c r="N476" s="9">
        <v>1</v>
      </c>
      <c r="O476" s="52"/>
      <c r="P476" s="87">
        <f t="shared" si="383"/>
        <v>1</v>
      </c>
      <c r="Q476" s="12"/>
      <c r="R476" s="9">
        <v>1</v>
      </c>
      <c r="S476" s="10"/>
      <c r="T476" s="49">
        <f t="shared" si="384"/>
        <v>1</v>
      </c>
      <c r="U476" s="11">
        <f t="shared" si="385"/>
        <v>2</v>
      </c>
      <c r="V476" s="98">
        <v>44482</v>
      </c>
    </row>
    <row r="477" spans="1:22" x14ac:dyDescent="0.15">
      <c r="A477" s="26"/>
      <c r="B477" s="8"/>
      <c r="C477" s="9"/>
      <c r="D477" s="10"/>
      <c r="E477" s="49">
        <f t="shared" si="380"/>
        <v>0</v>
      </c>
      <c r="F477" s="12"/>
      <c r="G477" s="9"/>
      <c r="H477" s="10"/>
      <c r="I477" s="49">
        <f t="shared" si="381"/>
        <v>0</v>
      </c>
      <c r="J477" s="11">
        <f t="shared" si="382"/>
        <v>0</v>
      </c>
      <c r="L477" s="108" t="s">
        <v>504</v>
      </c>
      <c r="M477" s="8"/>
      <c r="N477" s="9"/>
      <c r="O477" s="52">
        <v>1</v>
      </c>
      <c r="P477" s="87">
        <f t="shared" si="383"/>
        <v>1</v>
      </c>
      <c r="Q477" s="12"/>
      <c r="R477" s="9"/>
      <c r="S477" s="10">
        <v>1</v>
      </c>
      <c r="T477" s="49">
        <f t="shared" si="384"/>
        <v>1</v>
      </c>
      <c r="U477" s="11">
        <f t="shared" si="385"/>
        <v>2</v>
      </c>
      <c r="V477" s="98">
        <v>44496</v>
      </c>
    </row>
    <row r="478" spans="1:22" x14ac:dyDescent="0.15">
      <c r="A478" s="26"/>
      <c r="B478" s="8"/>
      <c r="C478" s="9"/>
      <c r="D478" s="10"/>
      <c r="E478" s="49">
        <f t="shared" si="380"/>
        <v>0</v>
      </c>
      <c r="F478" s="12"/>
      <c r="G478" s="9"/>
      <c r="H478" s="10"/>
      <c r="I478" s="49">
        <f t="shared" si="381"/>
        <v>0</v>
      </c>
      <c r="J478" s="11">
        <f t="shared" si="382"/>
        <v>0</v>
      </c>
      <c r="L478" s="108" t="s">
        <v>507</v>
      </c>
      <c r="M478" s="8">
        <v>2</v>
      </c>
      <c r="N478" s="9">
        <v>1</v>
      </c>
      <c r="O478" s="52">
        <v>7</v>
      </c>
      <c r="P478" s="87">
        <f t="shared" si="383"/>
        <v>10</v>
      </c>
      <c r="Q478" s="12">
        <v>2</v>
      </c>
      <c r="R478" s="9">
        <v>1</v>
      </c>
      <c r="S478" s="10">
        <v>7</v>
      </c>
      <c r="T478" s="49">
        <f t="shared" si="384"/>
        <v>10</v>
      </c>
      <c r="U478" s="11">
        <f t="shared" si="385"/>
        <v>20</v>
      </c>
      <c r="V478" s="98">
        <v>44502</v>
      </c>
    </row>
    <row r="479" spans="1:22" x14ac:dyDescent="0.15">
      <c r="A479" s="26"/>
      <c r="B479" s="8"/>
      <c r="C479" s="9"/>
      <c r="D479" s="10"/>
      <c r="E479" s="49">
        <f t="shared" si="380"/>
        <v>0</v>
      </c>
      <c r="F479" s="12"/>
      <c r="G479" s="9"/>
      <c r="H479" s="10"/>
      <c r="I479" s="49">
        <f t="shared" si="381"/>
        <v>0</v>
      </c>
      <c r="J479" s="11">
        <f t="shared" si="382"/>
        <v>0</v>
      </c>
      <c r="L479" s="108" t="s">
        <v>509</v>
      </c>
      <c r="M479" s="8">
        <v>3</v>
      </c>
      <c r="N479" s="9"/>
      <c r="O479" s="52">
        <v>11</v>
      </c>
      <c r="P479" s="87">
        <f t="shared" si="383"/>
        <v>14</v>
      </c>
      <c r="Q479" s="12">
        <v>3</v>
      </c>
      <c r="R479" s="9"/>
      <c r="S479" s="10">
        <v>11</v>
      </c>
      <c r="T479" s="49">
        <f t="shared" si="384"/>
        <v>14</v>
      </c>
      <c r="U479" s="11">
        <f t="shared" si="385"/>
        <v>28</v>
      </c>
      <c r="V479" s="98">
        <v>44503</v>
      </c>
    </row>
    <row r="480" spans="1:22" x14ac:dyDescent="0.15">
      <c r="A480" s="26"/>
      <c r="B480" s="8"/>
      <c r="C480" s="9"/>
      <c r="D480" s="10"/>
      <c r="E480" s="49">
        <f t="shared" si="380"/>
        <v>0</v>
      </c>
      <c r="F480" s="12"/>
      <c r="G480" s="9"/>
      <c r="H480" s="10"/>
      <c r="I480" s="49">
        <f t="shared" si="381"/>
        <v>0</v>
      </c>
      <c r="J480" s="11">
        <f t="shared" si="382"/>
        <v>0</v>
      </c>
      <c r="L480" s="108" t="s">
        <v>508</v>
      </c>
      <c r="M480" s="8">
        <v>1</v>
      </c>
      <c r="N480" s="9"/>
      <c r="O480" s="52">
        <v>4</v>
      </c>
      <c r="P480" s="87">
        <f t="shared" si="383"/>
        <v>5</v>
      </c>
      <c r="Q480" s="12">
        <v>1</v>
      </c>
      <c r="R480" s="9"/>
      <c r="S480" s="10">
        <v>4</v>
      </c>
      <c r="T480" s="49">
        <f t="shared" si="384"/>
        <v>5</v>
      </c>
      <c r="U480" s="11">
        <f t="shared" si="385"/>
        <v>10</v>
      </c>
      <c r="V480" s="98">
        <v>44505</v>
      </c>
    </row>
    <row r="481" spans="1:22" x14ac:dyDescent="0.15">
      <c r="A481" s="26"/>
      <c r="B481" s="8"/>
      <c r="C481" s="9"/>
      <c r="D481" s="10"/>
      <c r="E481" s="49">
        <f t="shared" si="380"/>
        <v>0</v>
      </c>
      <c r="F481" s="12"/>
      <c r="G481" s="9"/>
      <c r="H481" s="10"/>
      <c r="I481" s="49">
        <f t="shared" si="381"/>
        <v>0</v>
      </c>
      <c r="J481" s="11">
        <f t="shared" si="382"/>
        <v>0</v>
      </c>
      <c r="L481" s="108" t="s">
        <v>510</v>
      </c>
      <c r="M481" s="13"/>
      <c r="N481" s="14">
        <v>7</v>
      </c>
      <c r="O481" s="53"/>
      <c r="P481" s="87">
        <f>SUM(M481:O481)</f>
        <v>7</v>
      </c>
      <c r="Q481" s="16"/>
      <c r="R481" s="14">
        <v>7</v>
      </c>
      <c r="S481" s="15"/>
      <c r="T481" s="49">
        <f>SUM(Q481:S481)</f>
        <v>7</v>
      </c>
      <c r="U481" s="11">
        <f>P481+T481</f>
        <v>14</v>
      </c>
      <c r="V481" s="98">
        <v>44506</v>
      </c>
    </row>
    <row r="482" spans="1:22" x14ac:dyDescent="0.15">
      <c r="A482" s="24"/>
      <c r="B482" s="8"/>
      <c r="C482" s="9"/>
      <c r="D482" s="10"/>
      <c r="E482" s="49">
        <f t="shared" si="380"/>
        <v>0</v>
      </c>
      <c r="F482" s="12"/>
      <c r="G482" s="9"/>
      <c r="H482" s="10"/>
      <c r="I482" s="49">
        <f t="shared" si="381"/>
        <v>0</v>
      </c>
      <c r="J482" s="11">
        <f t="shared" si="382"/>
        <v>0</v>
      </c>
      <c r="L482" s="108" t="s">
        <v>511</v>
      </c>
      <c r="M482" s="8">
        <v>1</v>
      </c>
      <c r="N482" s="9"/>
      <c r="O482" s="52"/>
      <c r="P482" s="87">
        <f t="shared" ref="P482:P483" si="386">SUM(M482:O482)</f>
        <v>1</v>
      </c>
      <c r="Q482" s="12">
        <v>1</v>
      </c>
      <c r="R482" s="9"/>
      <c r="S482" s="10"/>
      <c r="T482" s="49">
        <f t="shared" ref="T482:T483" si="387">SUM(Q482:S482)</f>
        <v>1</v>
      </c>
      <c r="U482" s="11">
        <f t="shared" ref="U482:U483" si="388">P482+T482</f>
        <v>2</v>
      </c>
      <c r="V482" s="98">
        <v>44509</v>
      </c>
    </row>
    <row r="483" spans="1:22" x14ac:dyDescent="0.15">
      <c r="A483" s="25"/>
      <c r="B483" s="8"/>
      <c r="C483" s="9"/>
      <c r="D483" s="10"/>
      <c r="E483" s="49">
        <f t="shared" si="380"/>
        <v>0</v>
      </c>
      <c r="F483" s="12"/>
      <c r="G483" s="9"/>
      <c r="H483" s="10"/>
      <c r="I483" s="49">
        <f t="shared" si="381"/>
        <v>0</v>
      </c>
      <c r="J483" s="11">
        <f t="shared" si="382"/>
        <v>0</v>
      </c>
      <c r="L483" s="108" t="s">
        <v>513</v>
      </c>
      <c r="M483" s="8">
        <v>5</v>
      </c>
      <c r="N483" s="9">
        <v>2</v>
      </c>
      <c r="O483" s="52"/>
      <c r="P483" s="87">
        <f t="shared" si="386"/>
        <v>7</v>
      </c>
      <c r="Q483" s="12">
        <v>5</v>
      </c>
      <c r="R483" s="9">
        <v>2</v>
      </c>
      <c r="S483" s="10"/>
      <c r="T483" s="49">
        <f t="shared" si="387"/>
        <v>7</v>
      </c>
      <c r="U483" s="11">
        <f t="shared" si="388"/>
        <v>14</v>
      </c>
      <c r="V483" s="98">
        <v>44510</v>
      </c>
    </row>
    <row r="484" spans="1:22" x14ac:dyDescent="0.15">
      <c r="A484" s="26"/>
      <c r="B484" s="8"/>
      <c r="C484" s="9"/>
      <c r="D484" s="10"/>
      <c r="E484" s="49">
        <f t="shared" si="380"/>
        <v>0</v>
      </c>
      <c r="F484" s="12"/>
      <c r="G484" s="9"/>
      <c r="H484" s="10"/>
      <c r="I484" s="49">
        <f t="shared" si="381"/>
        <v>0</v>
      </c>
      <c r="J484" s="11">
        <f t="shared" si="382"/>
        <v>0</v>
      </c>
      <c r="L484" s="108" t="s">
        <v>516</v>
      </c>
      <c r="M484" s="13">
        <v>8</v>
      </c>
      <c r="N484" s="14">
        <v>20</v>
      </c>
      <c r="O484" s="53">
        <v>16</v>
      </c>
      <c r="P484" s="87">
        <f>SUM(M484:O484)</f>
        <v>44</v>
      </c>
      <c r="Q484" s="16">
        <v>8</v>
      </c>
      <c r="R484" s="14">
        <v>20</v>
      </c>
      <c r="S484" s="15">
        <v>16</v>
      </c>
      <c r="T484" s="49">
        <f>SUM(Q484:S484)</f>
        <v>44</v>
      </c>
      <c r="U484" s="11">
        <f>P484+T484</f>
        <v>88</v>
      </c>
      <c r="V484" s="98">
        <v>44511</v>
      </c>
    </row>
    <row r="485" spans="1:22" x14ac:dyDescent="0.15">
      <c r="A485" s="24"/>
      <c r="B485" s="8"/>
      <c r="C485" s="9"/>
      <c r="D485" s="10"/>
      <c r="E485" s="49">
        <f t="shared" si="380"/>
        <v>0</v>
      </c>
      <c r="F485" s="12"/>
      <c r="G485" s="9"/>
      <c r="H485" s="10"/>
      <c r="I485" s="49">
        <f t="shared" si="381"/>
        <v>0</v>
      </c>
      <c r="J485" s="11">
        <f t="shared" si="382"/>
        <v>0</v>
      </c>
      <c r="L485" s="108" t="s">
        <v>515</v>
      </c>
      <c r="M485" s="8">
        <v>12</v>
      </c>
      <c r="N485" s="9">
        <v>23</v>
      </c>
      <c r="O485" s="52">
        <v>25</v>
      </c>
      <c r="P485" s="87">
        <f t="shared" ref="P485" si="389">SUM(M485:O485)</f>
        <v>60</v>
      </c>
      <c r="Q485" s="8">
        <v>12</v>
      </c>
      <c r="R485" s="9">
        <v>23</v>
      </c>
      <c r="S485" s="10">
        <v>25</v>
      </c>
      <c r="T485" s="49">
        <f t="shared" ref="T485" si="390">SUM(Q485:S485)</f>
        <v>60</v>
      </c>
      <c r="U485" s="11">
        <f t="shared" ref="U485" si="391">P485+T485</f>
        <v>120</v>
      </c>
      <c r="V485" s="98">
        <v>44512</v>
      </c>
    </row>
    <row r="486" spans="1:22" x14ac:dyDescent="0.15">
      <c r="B486" s="13"/>
      <c r="C486" s="14"/>
      <c r="D486" s="15"/>
      <c r="E486" s="49">
        <f t="shared" si="380"/>
        <v>0</v>
      </c>
      <c r="F486" s="16"/>
      <c r="G486" s="14"/>
      <c r="H486" s="15"/>
      <c r="I486" s="49">
        <f t="shared" si="381"/>
        <v>0</v>
      </c>
      <c r="J486" s="11">
        <f t="shared" si="382"/>
        <v>0</v>
      </c>
      <c r="L486" s="108" t="s">
        <v>517</v>
      </c>
      <c r="M486" s="13">
        <v>9</v>
      </c>
      <c r="N486" s="14">
        <v>17</v>
      </c>
      <c r="O486" s="53">
        <v>10</v>
      </c>
      <c r="P486" s="87">
        <f>SUM(M486:O486)</f>
        <v>36</v>
      </c>
      <c r="Q486" s="16">
        <v>9</v>
      </c>
      <c r="R486" s="14">
        <v>17</v>
      </c>
      <c r="S486" s="15">
        <v>10</v>
      </c>
      <c r="T486" s="49">
        <f>SUM(Q486:S486)</f>
        <v>36</v>
      </c>
      <c r="U486" s="11">
        <f>P486+T486</f>
        <v>72</v>
      </c>
      <c r="V486" s="98">
        <v>44515</v>
      </c>
    </row>
    <row r="487" spans="1:22" x14ac:dyDescent="0.15">
      <c r="A487" s="26"/>
      <c r="B487" s="8"/>
      <c r="C487" s="9"/>
      <c r="D487" s="10"/>
      <c r="E487" s="49">
        <f t="shared" si="380"/>
        <v>0</v>
      </c>
      <c r="F487" s="12"/>
      <c r="G487" s="9"/>
      <c r="H487" s="10"/>
      <c r="I487" s="49">
        <f t="shared" si="381"/>
        <v>0</v>
      </c>
      <c r="J487" s="11">
        <f t="shared" si="382"/>
        <v>0</v>
      </c>
      <c r="L487" s="108" t="s">
        <v>518</v>
      </c>
      <c r="M487" s="8">
        <v>2</v>
      </c>
      <c r="N487" s="9">
        <v>11</v>
      </c>
      <c r="O487" s="52">
        <v>5</v>
      </c>
      <c r="P487" s="87">
        <f t="shared" ref="P487:P491" si="392">SUM(M487:O487)</f>
        <v>18</v>
      </c>
      <c r="Q487" s="12">
        <v>2</v>
      </c>
      <c r="R487" s="9">
        <v>11</v>
      </c>
      <c r="S487" s="10">
        <v>5</v>
      </c>
      <c r="T487" s="49">
        <f t="shared" ref="T487:T491" si="393">SUM(Q487:S487)</f>
        <v>18</v>
      </c>
      <c r="U487" s="11">
        <f t="shared" ref="U487:U490" si="394">P487+T487</f>
        <v>36</v>
      </c>
      <c r="V487" s="98">
        <v>44516</v>
      </c>
    </row>
    <row r="488" spans="1:22" x14ac:dyDescent="0.15">
      <c r="A488" s="26"/>
      <c r="B488" s="8"/>
      <c r="C488" s="9"/>
      <c r="D488" s="10"/>
      <c r="E488" s="49">
        <f t="shared" si="380"/>
        <v>0</v>
      </c>
      <c r="F488" s="12"/>
      <c r="G488" s="9"/>
      <c r="H488" s="10"/>
      <c r="I488" s="49">
        <f t="shared" si="381"/>
        <v>0</v>
      </c>
      <c r="J488" s="11">
        <f t="shared" si="382"/>
        <v>0</v>
      </c>
      <c r="L488" s="86"/>
      <c r="M488" s="8"/>
      <c r="N488" s="9"/>
      <c r="O488" s="52"/>
      <c r="P488" s="87">
        <f t="shared" si="392"/>
        <v>0</v>
      </c>
      <c r="Q488" s="12"/>
      <c r="R488" s="9"/>
      <c r="S488" s="10"/>
      <c r="T488" s="49">
        <f t="shared" si="393"/>
        <v>0</v>
      </c>
      <c r="U488" s="11">
        <f t="shared" si="394"/>
        <v>0</v>
      </c>
      <c r="V488" s="100"/>
    </row>
    <row r="489" spans="1:22" x14ac:dyDescent="0.15">
      <c r="A489" s="26"/>
      <c r="B489" s="8"/>
      <c r="C489" s="9"/>
      <c r="D489" s="10"/>
      <c r="E489" s="49">
        <f t="shared" si="380"/>
        <v>0</v>
      </c>
      <c r="F489" s="12"/>
      <c r="G489" s="9"/>
      <c r="H489" s="10"/>
      <c r="I489" s="49">
        <f t="shared" si="381"/>
        <v>0</v>
      </c>
      <c r="J489" s="11">
        <f t="shared" si="382"/>
        <v>0</v>
      </c>
      <c r="L489" s="86" t="s">
        <v>339</v>
      </c>
      <c r="M489" s="8"/>
      <c r="N489" s="9"/>
      <c r="O489" s="52"/>
      <c r="P489" s="87">
        <f t="shared" ref="P489" si="395">SUM(M489:O489)</f>
        <v>0</v>
      </c>
      <c r="Q489" s="12"/>
      <c r="R489" s="9"/>
      <c r="S489" s="10"/>
      <c r="T489" s="49">
        <f t="shared" ref="T489" si="396">SUM(Q489:S489)</f>
        <v>0</v>
      </c>
      <c r="U489" s="11">
        <f t="shared" ref="U489" si="397">P489+T489</f>
        <v>0</v>
      </c>
      <c r="V489" s="100" t="s">
        <v>337</v>
      </c>
    </row>
    <row r="490" spans="1:22" ht="14.25" thickBot="1" x14ac:dyDescent="0.2">
      <c r="A490" s="23"/>
      <c r="B490" s="13"/>
      <c r="C490" s="14"/>
      <c r="D490" s="15"/>
      <c r="E490" s="49">
        <f>SUM(B490:D490)</f>
        <v>0</v>
      </c>
      <c r="F490" s="16"/>
      <c r="G490" s="14"/>
      <c r="H490" s="15"/>
      <c r="I490" s="49">
        <f>SUM(F490:H490)</f>
        <v>0</v>
      </c>
      <c r="J490" s="11">
        <f>E490+I490</f>
        <v>0</v>
      </c>
      <c r="L490" s="86" t="s">
        <v>476</v>
      </c>
      <c r="M490" s="8"/>
      <c r="N490" s="9"/>
      <c r="O490" s="52"/>
      <c r="P490" s="87">
        <f t="shared" si="392"/>
        <v>0</v>
      </c>
      <c r="Q490" s="12"/>
      <c r="R490" s="9"/>
      <c r="S490" s="10"/>
      <c r="T490" s="49">
        <f t="shared" si="393"/>
        <v>0</v>
      </c>
      <c r="U490" s="11">
        <f t="shared" si="394"/>
        <v>0</v>
      </c>
      <c r="V490" s="100" t="s">
        <v>477</v>
      </c>
    </row>
    <row r="491" spans="1:22" ht="14.25" thickBot="1" x14ac:dyDescent="0.2">
      <c r="A491" s="41" t="s">
        <v>17</v>
      </c>
      <c r="B491" s="46">
        <f>SUM(B465:B490)</f>
        <v>2</v>
      </c>
      <c r="C491" s="47">
        <f t="shared" ref="C491:D491" si="398">SUM(C465:C490)</f>
        <v>0</v>
      </c>
      <c r="D491" s="58">
        <f t="shared" si="398"/>
        <v>1</v>
      </c>
      <c r="E491" s="45">
        <f t="shared" ref="E491" si="399">SUM(B491:D491)</f>
        <v>3</v>
      </c>
      <c r="F491" s="46">
        <f>SUM(F465:F490)</f>
        <v>2</v>
      </c>
      <c r="G491" s="47">
        <f t="shared" ref="G491:H491" si="400">SUM(G465:G490)</f>
        <v>0</v>
      </c>
      <c r="H491" s="58">
        <f t="shared" si="400"/>
        <v>0</v>
      </c>
      <c r="I491" s="45">
        <f t="shared" ref="I491" si="401">SUM(F491:H491)</f>
        <v>2</v>
      </c>
      <c r="J491" s="45">
        <f>E491+I491</f>
        <v>5</v>
      </c>
      <c r="L491" s="41" t="s">
        <v>17</v>
      </c>
      <c r="M491" s="46">
        <f>SUM(M465:M490)</f>
        <v>66</v>
      </c>
      <c r="N491" s="47">
        <f t="shared" ref="N491:O491" si="402">SUM(N465:N490)</f>
        <v>106</v>
      </c>
      <c r="O491" s="58">
        <f t="shared" si="402"/>
        <v>95</v>
      </c>
      <c r="P491" s="45">
        <f t="shared" si="392"/>
        <v>267</v>
      </c>
      <c r="Q491" s="46">
        <f>SUM(Q465:Q490)</f>
        <v>66</v>
      </c>
      <c r="R491" s="47">
        <f t="shared" ref="R491:S491" si="403">SUM(R465:R490)</f>
        <v>106</v>
      </c>
      <c r="S491" s="58">
        <f t="shared" si="403"/>
        <v>95</v>
      </c>
      <c r="T491" s="45">
        <f t="shared" si="393"/>
        <v>267</v>
      </c>
      <c r="U491" s="45">
        <f>P491+T491</f>
        <v>534</v>
      </c>
      <c r="V491" s="100"/>
    </row>
    <row r="492" spans="1:22" ht="14.25" thickBot="1" x14ac:dyDescent="0.2">
      <c r="A492" s="22" t="s">
        <v>16</v>
      </c>
      <c r="B492" s="50">
        <f>B464-B491</f>
        <v>1</v>
      </c>
      <c r="C492" s="56">
        <f t="shared" ref="C492:D492" si="404">C464-C491</f>
        <v>4</v>
      </c>
      <c r="D492" s="57">
        <f t="shared" si="404"/>
        <v>2</v>
      </c>
      <c r="E492" s="55">
        <f>SUM(B492:D492)</f>
        <v>7</v>
      </c>
      <c r="F492" s="50">
        <f>F464-F491</f>
        <v>2</v>
      </c>
      <c r="G492" s="56">
        <f t="shared" ref="G492:H492" si="405">G464-G491</f>
        <v>4</v>
      </c>
      <c r="H492" s="57">
        <f t="shared" si="405"/>
        <v>3</v>
      </c>
      <c r="I492" s="55">
        <f>SUM(F492:H492)</f>
        <v>9</v>
      </c>
      <c r="J492" s="31">
        <f>E492+I492</f>
        <v>16</v>
      </c>
      <c r="L492" s="22" t="s">
        <v>16</v>
      </c>
      <c r="M492" s="50">
        <f>M464-M491</f>
        <v>61</v>
      </c>
      <c r="N492" s="56">
        <f t="shared" ref="N492:O492" si="406">N464-N491</f>
        <v>19</v>
      </c>
      <c r="O492" s="57">
        <f t="shared" si="406"/>
        <v>5</v>
      </c>
      <c r="P492" s="55">
        <f>SUM(M492:O492)</f>
        <v>85</v>
      </c>
      <c r="Q492" s="50">
        <f>Q464-Q491</f>
        <v>61</v>
      </c>
      <c r="R492" s="56">
        <f t="shared" ref="R492:S492" si="407">R464-R491</f>
        <v>19</v>
      </c>
      <c r="S492" s="57">
        <f t="shared" si="407"/>
        <v>5</v>
      </c>
      <c r="T492" s="55">
        <f>SUM(Q492:S492)</f>
        <v>85</v>
      </c>
      <c r="U492" s="31">
        <f>P492+T492</f>
        <v>170</v>
      </c>
      <c r="V492" s="97" t="s">
        <v>595</v>
      </c>
    </row>
    <row r="493" spans="1:22" ht="19.5" thickBot="1" x14ac:dyDescent="0.25">
      <c r="A493" s="3" t="s">
        <v>20</v>
      </c>
      <c r="B493" s="1"/>
      <c r="C493" s="1"/>
      <c r="D493" s="1"/>
      <c r="E493" s="1"/>
      <c r="F493" s="1"/>
      <c r="G493" s="1"/>
      <c r="H493" s="1"/>
      <c r="I493" s="1"/>
      <c r="J493" s="1"/>
      <c r="L493" s="112" t="s">
        <v>21</v>
      </c>
      <c r="M493" s="112"/>
      <c r="N493" s="112"/>
      <c r="O493" s="112"/>
      <c r="P493" s="112"/>
      <c r="Q493" s="112"/>
      <c r="R493" s="112"/>
      <c r="S493" s="112"/>
      <c r="T493" s="112"/>
      <c r="U493" s="1"/>
      <c r="V493" s="97" t="s">
        <v>596</v>
      </c>
    </row>
    <row r="494" spans="1:22" ht="14.25" thickBot="1" x14ac:dyDescent="0.2">
      <c r="A494" s="7"/>
      <c r="B494" s="176" t="s">
        <v>22</v>
      </c>
      <c r="C494" s="177"/>
      <c r="D494" s="177"/>
      <c r="E494" s="178"/>
      <c r="F494" s="176" t="s">
        <v>23</v>
      </c>
      <c r="G494" s="177"/>
      <c r="H494" s="177"/>
      <c r="I494" s="179"/>
      <c r="J494" s="174" t="s">
        <v>0</v>
      </c>
      <c r="L494" s="7"/>
      <c r="M494" s="169" t="s">
        <v>22</v>
      </c>
      <c r="N494" s="170"/>
      <c r="O494" s="170"/>
      <c r="P494" s="171"/>
      <c r="Q494" s="169" t="s">
        <v>23</v>
      </c>
      <c r="R494" s="170"/>
      <c r="S494" s="170"/>
      <c r="T494" s="171"/>
      <c r="U494" s="174" t="s">
        <v>0</v>
      </c>
    </row>
    <row r="495" spans="1:22" ht="14.25" thickBot="1" x14ac:dyDescent="0.2">
      <c r="A495" s="7" t="s">
        <v>1</v>
      </c>
      <c r="B495" s="4" t="s">
        <v>2</v>
      </c>
      <c r="C495" s="5" t="s">
        <v>3</v>
      </c>
      <c r="D495" s="6" t="s">
        <v>4</v>
      </c>
      <c r="E495" s="7" t="s">
        <v>5</v>
      </c>
      <c r="F495" s="4" t="s">
        <v>2</v>
      </c>
      <c r="G495" s="5" t="s">
        <v>3</v>
      </c>
      <c r="H495" s="6" t="s">
        <v>4</v>
      </c>
      <c r="I495" s="7" t="s">
        <v>5</v>
      </c>
      <c r="J495" s="175"/>
      <c r="L495" s="7" t="s">
        <v>1</v>
      </c>
      <c r="M495" s="4" t="s">
        <v>2</v>
      </c>
      <c r="N495" s="5" t="s">
        <v>3</v>
      </c>
      <c r="O495" s="6" t="s">
        <v>4</v>
      </c>
      <c r="P495" s="7" t="s">
        <v>5</v>
      </c>
      <c r="Q495" s="4" t="s">
        <v>2</v>
      </c>
      <c r="R495" s="5" t="s">
        <v>3</v>
      </c>
      <c r="S495" s="6" t="s">
        <v>4</v>
      </c>
      <c r="T495" s="7" t="s">
        <v>5</v>
      </c>
      <c r="U495" s="175"/>
    </row>
    <row r="496" spans="1:22" ht="14.25" thickBot="1" x14ac:dyDescent="0.2">
      <c r="A496" s="27" t="s">
        <v>16</v>
      </c>
      <c r="B496" s="38">
        <f>B492</f>
        <v>1</v>
      </c>
      <c r="C496" s="39">
        <f>C492</f>
        <v>4</v>
      </c>
      <c r="D496" s="2">
        <f>D492</f>
        <v>2</v>
      </c>
      <c r="E496" s="36">
        <f>SUM(B496:D496)</f>
        <v>7</v>
      </c>
      <c r="F496" s="38">
        <f>F492</f>
        <v>2</v>
      </c>
      <c r="G496" s="39">
        <f>G492</f>
        <v>4</v>
      </c>
      <c r="H496" s="2">
        <f>H492</f>
        <v>3</v>
      </c>
      <c r="I496" s="36">
        <f>SUM(F496:H496)</f>
        <v>9</v>
      </c>
      <c r="J496" s="36">
        <f>E496+I496</f>
        <v>16</v>
      </c>
      <c r="L496" s="27" t="s">
        <v>16</v>
      </c>
      <c r="M496" s="38">
        <f>M492</f>
        <v>61</v>
      </c>
      <c r="N496" s="39">
        <f>N492</f>
        <v>19</v>
      </c>
      <c r="O496" s="2">
        <f>O492</f>
        <v>5</v>
      </c>
      <c r="P496" s="36">
        <f>SUM(M496:O496)</f>
        <v>85</v>
      </c>
      <c r="Q496" s="38">
        <f>Q492</f>
        <v>61</v>
      </c>
      <c r="R496" s="39">
        <f>R492</f>
        <v>19</v>
      </c>
      <c r="S496" s="2">
        <f>S492</f>
        <v>5</v>
      </c>
      <c r="T496" s="36">
        <f>SUM(Q496:S496)</f>
        <v>85</v>
      </c>
      <c r="U496" s="36">
        <f>P496+T496</f>
        <v>170</v>
      </c>
    </row>
    <row r="497" spans="1:22" x14ac:dyDescent="0.15">
      <c r="A497" s="25" t="s">
        <v>534</v>
      </c>
      <c r="B497" s="42"/>
      <c r="C497" s="43">
        <v>1</v>
      </c>
      <c r="D497" s="44"/>
      <c r="E497" s="48">
        <f>SUM(B497:D497)</f>
        <v>1</v>
      </c>
      <c r="F497" s="59"/>
      <c r="G497" s="43">
        <v>1</v>
      </c>
      <c r="H497" s="60"/>
      <c r="I497" s="48">
        <f>SUM(F497:H497)</f>
        <v>1</v>
      </c>
      <c r="J497" s="48">
        <f>E497+I497</f>
        <v>2</v>
      </c>
      <c r="K497" s="64">
        <v>44526</v>
      </c>
      <c r="L497" s="25" t="s">
        <v>7</v>
      </c>
      <c r="M497" s="42"/>
      <c r="N497" s="43"/>
      <c r="O497" s="44"/>
      <c r="P497" s="48">
        <f>SUM(M497:O497)</f>
        <v>0</v>
      </c>
      <c r="Q497" s="59"/>
      <c r="R497" s="43"/>
      <c r="S497" s="60"/>
      <c r="T497" s="48">
        <f>SUM(Q497:S497)</f>
        <v>0</v>
      </c>
      <c r="U497" s="48">
        <f>P497+T497</f>
        <v>0</v>
      </c>
    </row>
    <row r="498" spans="1:22" x14ac:dyDescent="0.15">
      <c r="A498" s="25" t="s">
        <v>535</v>
      </c>
      <c r="B498" s="8">
        <v>3</v>
      </c>
      <c r="C498" s="9">
        <v>3</v>
      </c>
      <c r="D498" s="52">
        <v>3</v>
      </c>
      <c r="E498" s="11">
        <f>SUM(B498:D498)</f>
        <v>9</v>
      </c>
      <c r="F498" s="12">
        <v>3</v>
      </c>
      <c r="G498" s="9">
        <v>3</v>
      </c>
      <c r="H498" s="10">
        <v>3</v>
      </c>
      <c r="I498" s="11">
        <f>SUM(F498:H498)</f>
        <v>9</v>
      </c>
      <c r="J498" s="11">
        <f>E498+I498</f>
        <v>18</v>
      </c>
      <c r="K498" s="62">
        <v>44529</v>
      </c>
      <c r="L498" s="25" t="s">
        <v>479</v>
      </c>
      <c r="M498" s="8"/>
      <c r="N498" s="9"/>
      <c r="O498" s="52"/>
      <c r="P498" s="11">
        <f>SUM(M498:O498)</f>
        <v>0</v>
      </c>
      <c r="Q498" s="8"/>
      <c r="R498" s="9"/>
      <c r="S498" s="52"/>
      <c r="T498" s="11">
        <f>SUM(Q498:S498)</f>
        <v>0</v>
      </c>
      <c r="U498" s="11">
        <f>P498+T498</f>
        <v>0</v>
      </c>
      <c r="V498" s="98"/>
    </row>
    <row r="499" spans="1:22" x14ac:dyDescent="0.15">
      <c r="A499" s="25" t="s">
        <v>32</v>
      </c>
      <c r="B499" s="17"/>
      <c r="C499" s="18">
        <v>3</v>
      </c>
      <c r="D499" s="51"/>
      <c r="E499" s="11">
        <f t="shared" ref="E499:E504" si="408">SUM(B499:D499)</f>
        <v>3</v>
      </c>
      <c r="F499" s="20"/>
      <c r="G499" s="18">
        <v>3</v>
      </c>
      <c r="H499" s="19"/>
      <c r="I499" s="11">
        <f t="shared" ref="I499:I504" si="409">SUM(F499:H499)</f>
        <v>3</v>
      </c>
      <c r="J499" s="11">
        <f t="shared" ref="J499:J504" si="410">E499+I499</f>
        <v>6</v>
      </c>
      <c r="K499" s="62">
        <v>44539</v>
      </c>
      <c r="L499" s="25" t="s">
        <v>480</v>
      </c>
      <c r="M499" s="8">
        <v>80</v>
      </c>
      <c r="N499" s="9">
        <v>120</v>
      </c>
      <c r="O499" s="52">
        <v>90</v>
      </c>
      <c r="P499" s="11">
        <f>SUM(M499:O499)</f>
        <v>290</v>
      </c>
      <c r="Q499" s="8">
        <v>80</v>
      </c>
      <c r="R499" s="9">
        <v>120</v>
      </c>
      <c r="S499" s="52">
        <v>90</v>
      </c>
      <c r="T499" s="11">
        <f>SUM(Q499:S499)</f>
        <v>290</v>
      </c>
      <c r="U499" s="11">
        <f>P499+T499</f>
        <v>580</v>
      </c>
      <c r="V499" s="98" t="s">
        <v>532</v>
      </c>
    </row>
    <row r="500" spans="1:22" x14ac:dyDescent="0.15">
      <c r="A500" s="25" t="s">
        <v>52</v>
      </c>
      <c r="B500" s="8"/>
      <c r="C500" s="9">
        <v>1</v>
      </c>
      <c r="D500" s="52">
        <v>4</v>
      </c>
      <c r="E500" s="11">
        <f t="shared" si="408"/>
        <v>5</v>
      </c>
      <c r="F500" s="12"/>
      <c r="G500" s="9">
        <v>1</v>
      </c>
      <c r="H500" s="10">
        <v>4</v>
      </c>
      <c r="I500" s="11">
        <f t="shared" si="409"/>
        <v>5</v>
      </c>
      <c r="J500" s="11">
        <f t="shared" si="410"/>
        <v>10</v>
      </c>
      <c r="K500" s="62">
        <v>44540</v>
      </c>
      <c r="L500" s="25" t="s">
        <v>10</v>
      </c>
      <c r="M500" s="8"/>
      <c r="N500" s="9"/>
      <c r="O500" s="52"/>
      <c r="P500" s="11">
        <f t="shared" ref="P500:P502" si="411">SUM(M500:O500)</f>
        <v>0</v>
      </c>
      <c r="Q500" s="12"/>
      <c r="R500" s="9"/>
      <c r="S500" s="10"/>
      <c r="T500" s="11">
        <f t="shared" ref="T500:T502" si="412">SUM(Q500:S500)</f>
        <v>0</v>
      </c>
      <c r="U500" s="11">
        <f t="shared" ref="U500:U502" si="413">P500+T500</f>
        <v>0</v>
      </c>
    </row>
    <row r="501" spans="1:22" x14ac:dyDescent="0.15">
      <c r="A501" s="25"/>
      <c r="B501" s="8"/>
      <c r="C501" s="9"/>
      <c r="D501" s="52"/>
      <c r="E501" s="11">
        <f t="shared" si="408"/>
        <v>0</v>
      </c>
      <c r="F501" s="12"/>
      <c r="G501" s="9"/>
      <c r="H501" s="10"/>
      <c r="I501" s="11">
        <f t="shared" si="409"/>
        <v>0</v>
      </c>
      <c r="J501" s="11">
        <f t="shared" si="410"/>
        <v>0</v>
      </c>
      <c r="L501" s="25" t="s">
        <v>11</v>
      </c>
      <c r="M501" s="8"/>
      <c r="N501" s="9"/>
      <c r="O501" s="52"/>
      <c r="P501" s="11">
        <f t="shared" si="411"/>
        <v>0</v>
      </c>
      <c r="Q501" s="12"/>
      <c r="R501" s="9"/>
      <c r="S501" s="10"/>
      <c r="T501" s="11">
        <f t="shared" si="412"/>
        <v>0</v>
      </c>
      <c r="U501" s="11">
        <f t="shared" si="413"/>
        <v>0</v>
      </c>
    </row>
    <row r="502" spans="1:22" x14ac:dyDescent="0.15">
      <c r="A502" s="25"/>
      <c r="B502" s="8"/>
      <c r="C502" s="9"/>
      <c r="D502" s="52"/>
      <c r="E502" s="11">
        <f t="shared" si="408"/>
        <v>0</v>
      </c>
      <c r="F502" s="12"/>
      <c r="G502" s="9"/>
      <c r="H502" s="10"/>
      <c r="I502" s="11">
        <f t="shared" si="409"/>
        <v>0</v>
      </c>
      <c r="J502" s="11">
        <f t="shared" si="410"/>
        <v>0</v>
      </c>
      <c r="L502" s="25" t="s">
        <v>12</v>
      </c>
      <c r="M502" s="8"/>
      <c r="N502" s="9"/>
      <c r="O502" s="52"/>
      <c r="P502" s="11">
        <f t="shared" si="411"/>
        <v>0</v>
      </c>
      <c r="Q502" s="12"/>
      <c r="R502" s="9"/>
      <c r="S502" s="10"/>
      <c r="T502" s="11">
        <f t="shared" si="412"/>
        <v>0</v>
      </c>
      <c r="U502" s="11">
        <f t="shared" si="413"/>
        <v>0</v>
      </c>
    </row>
    <row r="503" spans="1:22" x14ac:dyDescent="0.15">
      <c r="A503" s="25"/>
      <c r="B503" s="13"/>
      <c r="C503" s="14"/>
      <c r="D503" s="53"/>
      <c r="E503" s="11">
        <f t="shared" si="408"/>
        <v>0</v>
      </c>
      <c r="F503" s="16"/>
      <c r="G503" s="14"/>
      <c r="H503" s="15"/>
      <c r="I503" s="11">
        <f t="shared" si="409"/>
        <v>0</v>
      </c>
      <c r="J503" s="11">
        <f t="shared" si="410"/>
        <v>0</v>
      </c>
      <c r="L503" s="25" t="s">
        <v>13</v>
      </c>
      <c r="M503" s="8"/>
      <c r="N503" s="9"/>
      <c r="O503" s="52"/>
      <c r="P503" s="11">
        <f>SUM(M503:O503)</f>
        <v>0</v>
      </c>
      <c r="Q503" s="8"/>
      <c r="R503" s="9"/>
      <c r="S503" s="52"/>
      <c r="T503" s="11">
        <f>SUM(Q503:S503)</f>
        <v>0</v>
      </c>
      <c r="U503" s="11">
        <f>P503+T503</f>
        <v>0</v>
      </c>
    </row>
    <row r="504" spans="1:22" ht="14.25" thickBot="1" x14ac:dyDescent="0.2">
      <c r="A504" s="25"/>
      <c r="B504" s="32"/>
      <c r="C504" s="33"/>
      <c r="D504" s="54"/>
      <c r="E504" s="61">
        <f t="shared" si="408"/>
        <v>0</v>
      </c>
      <c r="F504" s="34"/>
      <c r="G504" s="34"/>
      <c r="H504" s="37"/>
      <c r="I504" s="61">
        <f t="shared" si="409"/>
        <v>0</v>
      </c>
      <c r="J504" s="21">
        <f t="shared" si="410"/>
        <v>0</v>
      </c>
      <c r="L504" s="25" t="s">
        <v>14</v>
      </c>
      <c r="M504" s="32"/>
      <c r="N504" s="33"/>
      <c r="O504" s="54"/>
      <c r="P504" s="61">
        <f t="shared" ref="P504" si="414">SUM(M504:O504)</f>
        <v>0</v>
      </c>
      <c r="Q504" s="34"/>
      <c r="R504" s="34"/>
      <c r="S504" s="37"/>
      <c r="T504" s="61">
        <f t="shared" ref="T504" si="415">SUM(Q504:S504)</f>
        <v>0</v>
      </c>
      <c r="U504" s="21">
        <f t="shared" ref="U504" si="416">P504+T504</f>
        <v>0</v>
      </c>
    </row>
    <row r="505" spans="1:22" ht="14.25" thickBot="1" x14ac:dyDescent="0.2">
      <c r="A505" s="35" t="s">
        <v>15</v>
      </c>
      <c r="B505" s="28">
        <f>SUM(B496:B504)</f>
        <v>4</v>
      </c>
      <c r="C505" s="29">
        <f>SUM(C496:C504)</f>
        <v>12</v>
      </c>
      <c r="D505" s="30">
        <f>SUM(D496:D504)</f>
        <v>9</v>
      </c>
      <c r="E505" s="31">
        <f>SUM(B505:D505)</f>
        <v>25</v>
      </c>
      <c r="F505" s="28">
        <f>SUM(F496:F504)</f>
        <v>5</v>
      </c>
      <c r="G505" s="29">
        <f>SUM(G496:G504)</f>
        <v>12</v>
      </c>
      <c r="H505" s="30">
        <f>SUM(H496:H504)</f>
        <v>10</v>
      </c>
      <c r="I505" s="31">
        <f>SUM(F505:H505)</f>
        <v>27</v>
      </c>
      <c r="J505" s="31">
        <f>E505+I505</f>
        <v>52</v>
      </c>
      <c r="L505" s="35" t="s">
        <v>15</v>
      </c>
      <c r="M505" s="28">
        <f>SUM(M496:M504)</f>
        <v>141</v>
      </c>
      <c r="N505" s="29">
        <f>SUM(N496:N504)</f>
        <v>139</v>
      </c>
      <c r="O505" s="30">
        <f>SUM(O496:O504)</f>
        <v>95</v>
      </c>
      <c r="P505" s="31">
        <f>SUM(M505:O505)</f>
        <v>375</v>
      </c>
      <c r="Q505" s="28">
        <f>SUM(Q496:Q504)</f>
        <v>141</v>
      </c>
      <c r="R505" s="29">
        <f>SUM(R496:R504)</f>
        <v>139</v>
      </c>
      <c r="S505" s="30">
        <f>SUM(S496:S504)</f>
        <v>95</v>
      </c>
      <c r="T505" s="31">
        <f>SUM(Q505:S505)</f>
        <v>375</v>
      </c>
      <c r="U505" s="31">
        <f>P505+T505</f>
        <v>750</v>
      </c>
    </row>
    <row r="506" spans="1:22" x14ac:dyDescent="0.15">
      <c r="A506" s="108" t="s">
        <v>525</v>
      </c>
      <c r="B506" s="42"/>
      <c r="C506" s="43"/>
      <c r="D506" s="44">
        <v>1</v>
      </c>
      <c r="E506" s="76">
        <f>SUM(B506:D506)</f>
        <v>1</v>
      </c>
      <c r="F506" s="59"/>
      <c r="G506" s="43"/>
      <c r="H506" s="60">
        <v>1</v>
      </c>
      <c r="I506" s="76">
        <f>SUM(F506:H506)</f>
        <v>1</v>
      </c>
      <c r="J506" s="48">
        <f>E506+I506</f>
        <v>2</v>
      </c>
      <c r="K506" s="98">
        <v>44519</v>
      </c>
      <c r="L506" s="108" t="s">
        <v>521</v>
      </c>
      <c r="M506" s="17">
        <v>8</v>
      </c>
      <c r="N506" s="18">
        <v>2</v>
      </c>
      <c r="O506" s="51"/>
      <c r="P506" s="87">
        <f t="shared" ref="P506:P507" si="417">SUM(M506:O506)</f>
        <v>10</v>
      </c>
      <c r="Q506" s="8">
        <v>8</v>
      </c>
      <c r="R506" s="9">
        <v>2</v>
      </c>
      <c r="S506" s="10"/>
      <c r="T506" s="49">
        <f t="shared" ref="T506:T507" si="418">SUM(Q506:S506)</f>
        <v>10</v>
      </c>
      <c r="U506" s="11">
        <f t="shared" ref="U506:U507" si="419">P506+T506</f>
        <v>20</v>
      </c>
      <c r="V506" s="98">
        <v>44517</v>
      </c>
    </row>
    <row r="507" spans="1:22" x14ac:dyDescent="0.15">
      <c r="A507" s="108" t="s">
        <v>524</v>
      </c>
      <c r="B507" s="8"/>
      <c r="C507" s="9">
        <v>3</v>
      </c>
      <c r="D507" s="10">
        <v>1</v>
      </c>
      <c r="E507" s="49">
        <f t="shared" ref="E507:E530" si="420">SUM(B507:D507)</f>
        <v>4</v>
      </c>
      <c r="F507" s="12"/>
      <c r="G507" s="9">
        <v>3</v>
      </c>
      <c r="H507" s="10">
        <v>1</v>
      </c>
      <c r="I507" s="49">
        <f t="shared" ref="I507:I530" si="421">SUM(F507:H507)</f>
        <v>4</v>
      </c>
      <c r="J507" s="11">
        <f t="shared" ref="J507:J530" si="422">E507+I507</f>
        <v>8</v>
      </c>
      <c r="K507" s="98">
        <v>44520</v>
      </c>
      <c r="L507" s="108" t="s">
        <v>523</v>
      </c>
      <c r="M507" s="8">
        <v>7</v>
      </c>
      <c r="N507" s="9">
        <v>8</v>
      </c>
      <c r="O507" s="52"/>
      <c r="P507" s="87">
        <f t="shared" si="417"/>
        <v>15</v>
      </c>
      <c r="Q507" s="12">
        <v>7</v>
      </c>
      <c r="R507" s="9">
        <v>8</v>
      </c>
      <c r="S507" s="10"/>
      <c r="T507" s="49">
        <f t="shared" si="418"/>
        <v>15</v>
      </c>
      <c r="U507" s="11">
        <f t="shared" si="419"/>
        <v>30</v>
      </c>
      <c r="V507" s="98">
        <v>44518</v>
      </c>
    </row>
    <row r="508" spans="1:22" x14ac:dyDescent="0.15">
      <c r="A508" s="108" t="s">
        <v>544</v>
      </c>
      <c r="B508" s="8"/>
      <c r="C508" s="9">
        <v>1</v>
      </c>
      <c r="D508" s="10"/>
      <c r="E508" s="49">
        <f t="shared" si="420"/>
        <v>1</v>
      </c>
      <c r="F508" s="12"/>
      <c r="G508" s="9">
        <v>1</v>
      </c>
      <c r="H508" s="10"/>
      <c r="I508" s="49">
        <f t="shared" si="421"/>
        <v>1</v>
      </c>
      <c r="J508" s="11">
        <f t="shared" si="422"/>
        <v>2</v>
      </c>
      <c r="K508" s="62">
        <v>44537</v>
      </c>
      <c r="L508" s="108" t="s">
        <v>525</v>
      </c>
      <c r="M508" s="13">
        <v>6</v>
      </c>
      <c r="N508" s="14">
        <v>6</v>
      </c>
      <c r="O508" s="53">
        <v>5</v>
      </c>
      <c r="P508" s="87">
        <f>SUM(M508:O508)</f>
        <v>17</v>
      </c>
      <c r="Q508" s="16">
        <v>6</v>
      </c>
      <c r="R508" s="14">
        <v>6</v>
      </c>
      <c r="S508" s="15">
        <v>5</v>
      </c>
      <c r="T508" s="49">
        <f>SUM(Q508:S508)</f>
        <v>17</v>
      </c>
      <c r="U508" s="11">
        <f>P508+T508</f>
        <v>34</v>
      </c>
      <c r="V508" s="98">
        <v>44519</v>
      </c>
    </row>
    <row r="509" spans="1:22" x14ac:dyDescent="0.15">
      <c r="A509" s="26" t="s">
        <v>545</v>
      </c>
      <c r="B509" s="8"/>
      <c r="C509" s="9">
        <v>1</v>
      </c>
      <c r="D509" s="10"/>
      <c r="E509" s="49">
        <f t="shared" si="420"/>
        <v>1</v>
      </c>
      <c r="F509" s="12"/>
      <c r="G509" s="9">
        <v>1</v>
      </c>
      <c r="H509" s="10"/>
      <c r="I509" s="49">
        <f t="shared" si="421"/>
        <v>1</v>
      </c>
      <c r="J509" s="11">
        <f t="shared" si="422"/>
        <v>2</v>
      </c>
      <c r="K509" s="64">
        <v>44536</v>
      </c>
      <c r="L509" s="108" t="s">
        <v>524</v>
      </c>
      <c r="M509" s="8">
        <v>8</v>
      </c>
      <c r="N509" s="9">
        <v>3</v>
      </c>
      <c r="O509" s="52"/>
      <c r="P509" s="87">
        <f t="shared" ref="P509:P521" si="423">SUM(M509:O509)</f>
        <v>11</v>
      </c>
      <c r="Q509" s="12">
        <v>8</v>
      </c>
      <c r="R509" s="9">
        <v>3</v>
      </c>
      <c r="S509" s="10"/>
      <c r="T509" s="49">
        <f t="shared" ref="T509:T521" si="424">SUM(Q509:S509)</f>
        <v>11</v>
      </c>
      <c r="U509" s="11">
        <f t="shared" ref="U509:U521" si="425">P509+T509</f>
        <v>22</v>
      </c>
      <c r="V509" s="98">
        <v>44520</v>
      </c>
    </row>
    <row r="510" spans="1:22" x14ac:dyDescent="0.15">
      <c r="A510" s="108" t="s">
        <v>547</v>
      </c>
      <c r="B510" s="8"/>
      <c r="C510" s="9">
        <v>1</v>
      </c>
      <c r="D510" s="10"/>
      <c r="E510" s="49">
        <f t="shared" si="420"/>
        <v>1</v>
      </c>
      <c r="F510" s="12"/>
      <c r="G510" s="9">
        <v>1</v>
      </c>
      <c r="H510" s="10"/>
      <c r="I510" s="49">
        <f t="shared" si="421"/>
        <v>1</v>
      </c>
      <c r="J510" s="11">
        <f t="shared" si="422"/>
        <v>2</v>
      </c>
      <c r="K510" s="62">
        <v>44538</v>
      </c>
      <c r="L510" s="108" t="s">
        <v>528</v>
      </c>
      <c r="M510" s="8">
        <v>7</v>
      </c>
      <c r="N510" s="9"/>
      <c r="O510" s="52"/>
      <c r="P510" s="87">
        <f t="shared" ref="P510:P511" si="426">SUM(M510:O510)</f>
        <v>7</v>
      </c>
      <c r="Q510" s="12">
        <v>7</v>
      </c>
      <c r="R510" s="9"/>
      <c r="S510" s="10"/>
      <c r="T510" s="49">
        <f t="shared" ref="T510:T511" si="427">SUM(Q510:S510)</f>
        <v>7</v>
      </c>
      <c r="U510" s="11">
        <f t="shared" ref="U510:U511" si="428">P510+T510</f>
        <v>14</v>
      </c>
      <c r="V510" s="98">
        <v>44524</v>
      </c>
    </row>
    <row r="511" spans="1:22" x14ac:dyDescent="0.15">
      <c r="A511" s="26"/>
      <c r="B511" s="8"/>
      <c r="C511" s="9"/>
      <c r="D511" s="10"/>
      <c r="E511" s="49">
        <f t="shared" si="420"/>
        <v>0</v>
      </c>
      <c r="F511" s="12"/>
      <c r="G511" s="9"/>
      <c r="H511" s="10"/>
      <c r="I511" s="49">
        <f t="shared" si="421"/>
        <v>0</v>
      </c>
      <c r="J511" s="11">
        <f t="shared" si="422"/>
        <v>0</v>
      </c>
      <c r="L511" s="108" t="s">
        <v>529</v>
      </c>
      <c r="M511" s="8">
        <v>1</v>
      </c>
      <c r="N511" s="9"/>
      <c r="O511" s="52"/>
      <c r="P511" s="87">
        <f t="shared" si="426"/>
        <v>1</v>
      </c>
      <c r="Q511" s="12">
        <v>1</v>
      </c>
      <c r="R511" s="9"/>
      <c r="S511" s="10"/>
      <c r="T511" s="49">
        <f t="shared" si="427"/>
        <v>1</v>
      </c>
      <c r="U511" s="11">
        <f t="shared" si="428"/>
        <v>2</v>
      </c>
      <c r="V511" s="98">
        <v>44525</v>
      </c>
    </row>
    <row r="512" spans="1:22" x14ac:dyDescent="0.15">
      <c r="A512" s="26"/>
      <c r="B512" s="8"/>
      <c r="C512" s="9"/>
      <c r="D512" s="10"/>
      <c r="E512" s="49">
        <f t="shared" si="420"/>
        <v>0</v>
      </c>
      <c r="F512" s="12"/>
      <c r="G512" s="9"/>
      <c r="H512" s="10"/>
      <c r="I512" s="49">
        <f t="shared" si="421"/>
        <v>0</v>
      </c>
      <c r="J512" s="11">
        <f t="shared" si="422"/>
        <v>0</v>
      </c>
      <c r="L512" s="108" t="s">
        <v>531</v>
      </c>
      <c r="M512" s="8">
        <v>4</v>
      </c>
      <c r="N512" s="9">
        <v>7</v>
      </c>
      <c r="O512" s="52">
        <v>15</v>
      </c>
      <c r="P512" s="87">
        <f t="shared" si="423"/>
        <v>26</v>
      </c>
      <c r="Q512" s="12">
        <v>4</v>
      </c>
      <c r="R512" s="9">
        <v>7</v>
      </c>
      <c r="S512" s="10">
        <v>15</v>
      </c>
      <c r="T512" s="49">
        <f t="shared" si="424"/>
        <v>26</v>
      </c>
      <c r="U512" s="11">
        <f t="shared" si="425"/>
        <v>52</v>
      </c>
      <c r="V512" s="98">
        <v>44526</v>
      </c>
    </row>
    <row r="513" spans="1:22" x14ac:dyDescent="0.15">
      <c r="A513" s="26"/>
      <c r="B513" s="8"/>
      <c r="C513" s="9"/>
      <c r="D513" s="10"/>
      <c r="E513" s="49">
        <f t="shared" si="420"/>
        <v>0</v>
      </c>
      <c r="F513" s="12"/>
      <c r="G513" s="9"/>
      <c r="H513" s="10"/>
      <c r="I513" s="49">
        <f t="shared" si="421"/>
        <v>0</v>
      </c>
      <c r="J513" s="11">
        <f t="shared" si="422"/>
        <v>0</v>
      </c>
      <c r="L513" s="108" t="s">
        <v>533</v>
      </c>
      <c r="M513" s="8">
        <v>9</v>
      </c>
      <c r="N513" s="9">
        <v>9</v>
      </c>
      <c r="O513" s="52">
        <v>6</v>
      </c>
      <c r="P513" s="87">
        <f t="shared" si="423"/>
        <v>24</v>
      </c>
      <c r="Q513" s="12">
        <v>9</v>
      </c>
      <c r="R513" s="9">
        <v>9</v>
      </c>
      <c r="S513" s="10">
        <v>6</v>
      </c>
      <c r="T513" s="49">
        <f t="shared" si="424"/>
        <v>24</v>
      </c>
      <c r="U513" s="11">
        <f t="shared" si="425"/>
        <v>48</v>
      </c>
      <c r="V513" s="98">
        <v>44527</v>
      </c>
    </row>
    <row r="514" spans="1:22" x14ac:dyDescent="0.15">
      <c r="A514" s="26"/>
      <c r="B514" s="8"/>
      <c r="C514" s="9"/>
      <c r="D514" s="10"/>
      <c r="E514" s="49">
        <f t="shared" si="420"/>
        <v>0</v>
      </c>
      <c r="F514" s="12"/>
      <c r="G514" s="9"/>
      <c r="H514" s="10"/>
      <c r="I514" s="49">
        <f t="shared" si="421"/>
        <v>0</v>
      </c>
      <c r="J514" s="11">
        <f t="shared" si="422"/>
        <v>0</v>
      </c>
      <c r="L514" s="108" t="s">
        <v>536</v>
      </c>
      <c r="M514" s="8">
        <v>3</v>
      </c>
      <c r="N514" s="9">
        <v>3</v>
      </c>
      <c r="O514" s="52">
        <v>3</v>
      </c>
      <c r="P514" s="87">
        <f t="shared" si="423"/>
        <v>9</v>
      </c>
      <c r="Q514" s="12">
        <v>3</v>
      </c>
      <c r="R514" s="9">
        <v>3</v>
      </c>
      <c r="S514" s="10">
        <v>3</v>
      </c>
      <c r="T514" s="49">
        <f t="shared" si="424"/>
        <v>9</v>
      </c>
      <c r="U514" s="11">
        <f t="shared" si="425"/>
        <v>18</v>
      </c>
      <c r="V514" s="98">
        <v>44529</v>
      </c>
    </row>
    <row r="515" spans="1:22" x14ac:dyDescent="0.15">
      <c r="A515" s="26"/>
      <c r="B515" s="13"/>
      <c r="C515" s="14"/>
      <c r="D515" s="15"/>
      <c r="E515" s="49">
        <f t="shared" si="420"/>
        <v>0</v>
      </c>
      <c r="F515" s="16"/>
      <c r="G515" s="14"/>
      <c r="H515" s="15"/>
      <c r="I515" s="49">
        <f t="shared" si="421"/>
        <v>0</v>
      </c>
      <c r="J515" s="11">
        <f t="shared" si="422"/>
        <v>0</v>
      </c>
      <c r="L515" s="108" t="s">
        <v>538</v>
      </c>
      <c r="M515" s="13">
        <v>6</v>
      </c>
      <c r="N515" s="14">
        <v>6</v>
      </c>
      <c r="O515" s="53">
        <v>2</v>
      </c>
      <c r="P515" s="87">
        <f t="shared" si="423"/>
        <v>14</v>
      </c>
      <c r="Q515" s="16">
        <v>6</v>
      </c>
      <c r="R515" s="14">
        <v>6</v>
      </c>
      <c r="S515" s="15">
        <v>2</v>
      </c>
      <c r="T515" s="49">
        <f t="shared" si="424"/>
        <v>14</v>
      </c>
      <c r="U515" s="11">
        <f t="shared" si="425"/>
        <v>28</v>
      </c>
      <c r="V515" s="98">
        <v>44531</v>
      </c>
    </row>
    <row r="516" spans="1:22" x14ac:dyDescent="0.15">
      <c r="A516" s="26"/>
      <c r="B516" s="8"/>
      <c r="C516" s="9"/>
      <c r="D516" s="10"/>
      <c r="E516" s="49">
        <f t="shared" si="420"/>
        <v>0</v>
      </c>
      <c r="F516" s="12"/>
      <c r="G516" s="9"/>
      <c r="H516" s="10"/>
      <c r="I516" s="49">
        <f t="shared" si="421"/>
        <v>0</v>
      </c>
      <c r="J516" s="11">
        <f t="shared" si="422"/>
        <v>0</v>
      </c>
      <c r="L516" s="108" t="s">
        <v>539</v>
      </c>
      <c r="M516" s="8">
        <v>4</v>
      </c>
      <c r="N516" s="9">
        <v>6</v>
      </c>
      <c r="O516" s="52">
        <v>3</v>
      </c>
      <c r="P516" s="87">
        <f t="shared" si="423"/>
        <v>13</v>
      </c>
      <c r="Q516" s="12">
        <v>4</v>
      </c>
      <c r="R516" s="9">
        <v>6</v>
      </c>
      <c r="S516" s="10">
        <v>3</v>
      </c>
      <c r="T516" s="49">
        <f t="shared" si="424"/>
        <v>13</v>
      </c>
      <c r="U516" s="11">
        <f t="shared" si="425"/>
        <v>26</v>
      </c>
      <c r="V516" s="98">
        <v>44532</v>
      </c>
    </row>
    <row r="517" spans="1:22" x14ac:dyDescent="0.15">
      <c r="A517" s="26"/>
      <c r="B517" s="8"/>
      <c r="C517" s="9"/>
      <c r="D517" s="10"/>
      <c r="E517" s="49">
        <f t="shared" si="420"/>
        <v>0</v>
      </c>
      <c r="F517" s="12"/>
      <c r="G517" s="9"/>
      <c r="H517" s="10"/>
      <c r="I517" s="49">
        <f t="shared" si="421"/>
        <v>0</v>
      </c>
      <c r="J517" s="11">
        <f t="shared" si="422"/>
        <v>0</v>
      </c>
      <c r="L517" s="108" t="s">
        <v>540</v>
      </c>
      <c r="M517" s="8">
        <v>1</v>
      </c>
      <c r="N517" s="9"/>
      <c r="O517" s="52">
        <v>4</v>
      </c>
      <c r="P517" s="87">
        <f t="shared" si="423"/>
        <v>5</v>
      </c>
      <c r="Q517" s="12">
        <v>1</v>
      </c>
      <c r="R517" s="9"/>
      <c r="S517" s="10">
        <v>4</v>
      </c>
      <c r="T517" s="49">
        <f t="shared" si="424"/>
        <v>5</v>
      </c>
      <c r="U517" s="11">
        <f t="shared" si="425"/>
        <v>10</v>
      </c>
      <c r="V517" s="98">
        <v>44533</v>
      </c>
    </row>
    <row r="518" spans="1:22" x14ac:dyDescent="0.15">
      <c r="A518" s="26"/>
      <c r="B518" s="8"/>
      <c r="C518" s="9"/>
      <c r="D518" s="10"/>
      <c r="E518" s="49">
        <f t="shared" si="420"/>
        <v>0</v>
      </c>
      <c r="F518" s="12"/>
      <c r="G518" s="9"/>
      <c r="H518" s="10"/>
      <c r="I518" s="49">
        <f t="shared" si="421"/>
        <v>0</v>
      </c>
      <c r="J518" s="11">
        <f t="shared" si="422"/>
        <v>0</v>
      </c>
      <c r="L518" s="108" t="s">
        <v>541</v>
      </c>
      <c r="M518" s="8">
        <v>2</v>
      </c>
      <c r="N518" s="9">
        <v>3</v>
      </c>
      <c r="O518" s="52"/>
      <c r="P518" s="87">
        <f t="shared" si="423"/>
        <v>5</v>
      </c>
      <c r="Q518" s="12">
        <v>2</v>
      </c>
      <c r="R518" s="9">
        <v>3</v>
      </c>
      <c r="S518" s="10"/>
      <c r="T518" s="49">
        <f t="shared" si="424"/>
        <v>5</v>
      </c>
      <c r="U518" s="11">
        <f t="shared" si="425"/>
        <v>10</v>
      </c>
      <c r="V518" s="98">
        <v>44534</v>
      </c>
    </row>
    <row r="519" spans="1:22" x14ac:dyDescent="0.15">
      <c r="A519" s="26"/>
      <c r="B519" s="8"/>
      <c r="C519" s="9"/>
      <c r="D519" s="10"/>
      <c r="E519" s="49">
        <f t="shared" si="420"/>
        <v>0</v>
      </c>
      <c r="F519" s="12"/>
      <c r="G519" s="9"/>
      <c r="H519" s="10"/>
      <c r="I519" s="49">
        <f t="shared" si="421"/>
        <v>0</v>
      </c>
      <c r="J519" s="11">
        <f t="shared" si="422"/>
        <v>0</v>
      </c>
      <c r="L519" s="108" t="s">
        <v>542</v>
      </c>
      <c r="M519" s="8">
        <v>5</v>
      </c>
      <c r="N519" s="9">
        <v>6</v>
      </c>
      <c r="O519" s="52">
        <v>6</v>
      </c>
      <c r="P519" s="87">
        <f t="shared" si="423"/>
        <v>17</v>
      </c>
      <c r="Q519" s="12">
        <v>5</v>
      </c>
      <c r="R519" s="9">
        <v>6</v>
      </c>
      <c r="S519" s="10">
        <v>6</v>
      </c>
      <c r="T519" s="49">
        <f t="shared" si="424"/>
        <v>17</v>
      </c>
      <c r="U519" s="11">
        <f t="shared" si="425"/>
        <v>34</v>
      </c>
      <c r="V519" s="98">
        <v>44537</v>
      </c>
    </row>
    <row r="520" spans="1:22" x14ac:dyDescent="0.15">
      <c r="A520" s="26"/>
      <c r="B520" s="8"/>
      <c r="C520" s="9"/>
      <c r="D520" s="10"/>
      <c r="E520" s="49">
        <f t="shared" si="420"/>
        <v>0</v>
      </c>
      <c r="F520" s="12"/>
      <c r="G520" s="9"/>
      <c r="H520" s="10"/>
      <c r="I520" s="49">
        <f t="shared" si="421"/>
        <v>0</v>
      </c>
      <c r="J520" s="11">
        <f t="shared" si="422"/>
        <v>0</v>
      </c>
      <c r="L520" s="108" t="s">
        <v>29</v>
      </c>
      <c r="M520" s="8"/>
      <c r="N520" s="9">
        <v>3</v>
      </c>
      <c r="O520" s="52"/>
      <c r="P520" s="87">
        <f t="shared" si="423"/>
        <v>3</v>
      </c>
      <c r="Q520" s="12"/>
      <c r="R520" s="9">
        <v>3</v>
      </c>
      <c r="S520" s="10"/>
      <c r="T520" s="49">
        <f t="shared" si="424"/>
        <v>3</v>
      </c>
      <c r="U520" s="11">
        <f t="shared" si="425"/>
        <v>6</v>
      </c>
      <c r="V520" s="98">
        <v>44539</v>
      </c>
    </row>
    <row r="521" spans="1:22" x14ac:dyDescent="0.15">
      <c r="A521" s="26"/>
      <c r="B521" s="8"/>
      <c r="C521" s="9"/>
      <c r="D521" s="10"/>
      <c r="E521" s="49">
        <f t="shared" si="420"/>
        <v>0</v>
      </c>
      <c r="F521" s="12"/>
      <c r="G521" s="9"/>
      <c r="H521" s="10"/>
      <c r="I521" s="49">
        <f t="shared" si="421"/>
        <v>0</v>
      </c>
      <c r="J521" s="11">
        <f t="shared" si="422"/>
        <v>0</v>
      </c>
      <c r="L521" s="108" t="s">
        <v>548</v>
      </c>
      <c r="M521" s="8">
        <v>1</v>
      </c>
      <c r="N521" s="9"/>
      <c r="O521" s="52">
        <v>1</v>
      </c>
      <c r="P521" s="87">
        <f t="shared" si="423"/>
        <v>2</v>
      </c>
      <c r="Q521" s="12">
        <v>1</v>
      </c>
      <c r="R521" s="9"/>
      <c r="S521" s="10">
        <v>1</v>
      </c>
      <c r="T521" s="49">
        <f t="shared" si="424"/>
        <v>2</v>
      </c>
      <c r="U521" s="11">
        <f t="shared" si="425"/>
        <v>4</v>
      </c>
      <c r="V521" s="98">
        <v>44540</v>
      </c>
    </row>
    <row r="522" spans="1:22" x14ac:dyDescent="0.15">
      <c r="A522" s="26"/>
      <c r="B522" s="8"/>
      <c r="C522" s="9"/>
      <c r="D522" s="10"/>
      <c r="E522" s="49">
        <f t="shared" si="420"/>
        <v>0</v>
      </c>
      <c r="F522" s="12"/>
      <c r="G522" s="9"/>
      <c r="H522" s="10"/>
      <c r="I522" s="49">
        <f t="shared" si="421"/>
        <v>0</v>
      </c>
      <c r="J522" s="11">
        <f t="shared" si="422"/>
        <v>0</v>
      </c>
      <c r="L522" s="108" t="s">
        <v>549</v>
      </c>
      <c r="M522" s="13"/>
      <c r="N522" s="14">
        <v>1</v>
      </c>
      <c r="O522" s="53"/>
      <c r="P522" s="87">
        <f>SUM(M522:O522)</f>
        <v>1</v>
      </c>
      <c r="Q522" s="16"/>
      <c r="R522" s="14">
        <v>1</v>
      </c>
      <c r="S522" s="15"/>
      <c r="T522" s="49">
        <f>SUM(Q522:S522)</f>
        <v>1</v>
      </c>
      <c r="U522" s="11">
        <f>P522+T522</f>
        <v>2</v>
      </c>
      <c r="V522" s="98">
        <v>44543</v>
      </c>
    </row>
    <row r="523" spans="1:22" x14ac:dyDescent="0.15">
      <c r="A523" s="24"/>
      <c r="B523" s="8"/>
      <c r="C523" s="9"/>
      <c r="D523" s="10"/>
      <c r="E523" s="49">
        <f t="shared" si="420"/>
        <v>0</v>
      </c>
      <c r="F523" s="12"/>
      <c r="G523" s="9"/>
      <c r="H523" s="10"/>
      <c r="I523" s="49">
        <f t="shared" si="421"/>
        <v>0</v>
      </c>
      <c r="J523" s="11">
        <f t="shared" si="422"/>
        <v>0</v>
      </c>
      <c r="L523" s="108"/>
      <c r="M523" s="8"/>
      <c r="N523" s="9"/>
      <c r="O523" s="52"/>
      <c r="P523" s="87">
        <f t="shared" ref="P523:P524" si="429">SUM(M523:O523)</f>
        <v>0</v>
      </c>
      <c r="Q523" s="12"/>
      <c r="R523" s="9"/>
      <c r="S523" s="10"/>
      <c r="T523" s="49">
        <f t="shared" ref="T523:T524" si="430">SUM(Q523:S523)</f>
        <v>0</v>
      </c>
      <c r="U523" s="11">
        <f t="shared" ref="U523:U524" si="431">P523+T523</f>
        <v>0</v>
      </c>
      <c r="V523" s="98"/>
    </row>
    <row r="524" spans="1:22" x14ac:dyDescent="0.15">
      <c r="A524" s="25"/>
      <c r="B524" s="8"/>
      <c r="C524" s="9"/>
      <c r="D524" s="10"/>
      <c r="E524" s="49">
        <f t="shared" si="420"/>
        <v>0</v>
      </c>
      <c r="F524" s="12"/>
      <c r="G524" s="9"/>
      <c r="H524" s="10"/>
      <c r="I524" s="49">
        <f t="shared" si="421"/>
        <v>0</v>
      </c>
      <c r="J524" s="11">
        <f t="shared" si="422"/>
        <v>0</v>
      </c>
      <c r="L524" s="108"/>
      <c r="M524" s="8"/>
      <c r="N524" s="9"/>
      <c r="O524" s="52"/>
      <c r="P524" s="87">
        <f t="shared" si="429"/>
        <v>0</v>
      </c>
      <c r="Q524" s="12"/>
      <c r="R524" s="9"/>
      <c r="S524" s="10"/>
      <c r="T524" s="49">
        <f t="shared" si="430"/>
        <v>0</v>
      </c>
      <c r="U524" s="11">
        <f t="shared" si="431"/>
        <v>0</v>
      </c>
      <c r="V524" s="98"/>
    </row>
    <row r="525" spans="1:22" x14ac:dyDescent="0.15">
      <c r="A525" s="26"/>
      <c r="B525" s="8"/>
      <c r="C525" s="9"/>
      <c r="D525" s="10"/>
      <c r="E525" s="49">
        <f t="shared" si="420"/>
        <v>0</v>
      </c>
      <c r="F525" s="12"/>
      <c r="G525" s="9"/>
      <c r="H525" s="10"/>
      <c r="I525" s="49">
        <f t="shared" si="421"/>
        <v>0</v>
      </c>
      <c r="J525" s="11">
        <f t="shared" si="422"/>
        <v>0</v>
      </c>
      <c r="L525" s="108"/>
      <c r="M525" s="13"/>
      <c r="N525" s="14"/>
      <c r="O525" s="53"/>
      <c r="P525" s="87">
        <f>SUM(M525:O525)</f>
        <v>0</v>
      </c>
      <c r="Q525" s="16"/>
      <c r="R525" s="14"/>
      <c r="S525" s="15"/>
      <c r="T525" s="49">
        <f>SUM(Q525:S525)</f>
        <v>0</v>
      </c>
      <c r="U525" s="11">
        <f>P525+T525</f>
        <v>0</v>
      </c>
      <c r="V525" s="98"/>
    </row>
    <row r="526" spans="1:22" x14ac:dyDescent="0.15">
      <c r="A526" s="24"/>
      <c r="B526" s="8"/>
      <c r="C526" s="9"/>
      <c r="D526" s="10"/>
      <c r="E526" s="49">
        <f t="shared" si="420"/>
        <v>0</v>
      </c>
      <c r="F526" s="12"/>
      <c r="G526" s="9"/>
      <c r="H526" s="10"/>
      <c r="I526" s="49">
        <f t="shared" si="421"/>
        <v>0</v>
      </c>
      <c r="J526" s="11">
        <f t="shared" si="422"/>
        <v>0</v>
      </c>
      <c r="L526" s="108"/>
      <c r="M526" s="8"/>
      <c r="N526" s="9"/>
      <c r="O526" s="52"/>
      <c r="P526" s="87">
        <f t="shared" ref="P526" si="432">SUM(M526:O526)</f>
        <v>0</v>
      </c>
      <c r="Q526" s="8"/>
      <c r="R526" s="9"/>
      <c r="S526" s="10"/>
      <c r="T526" s="49">
        <f t="shared" ref="T526" si="433">SUM(Q526:S526)</f>
        <v>0</v>
      </c>
      <c r="U526" s="11">
        <f t="shared" ref="U526" si="434">P526+T526</f>
        <v>0</v>
      </c>
    </row>
    <row r="527" spans="1:22" x14ac:dyDescent="0.15">
      <c r="B527" s="13"/>
      <c r="C527" s="14"/>
      <c r="D527" s="15"/>
      <c r="E527" s="49">
        <f t="shared" si="420"/>
        <v>0</v>
      </c>
      <c r="F527" s="16"/>
      <c r="G527" s="14"/>
      <c r="H527" s="15"/>
      <c r="I527" s="49">
        <f t="shared" si="421"/>
        <v>0</v>
      </c>
      <c r="J527" s="11">
        <f t="shared" si="422"/>
        <v>0</v>
      </c>
      <c r="L527" s="86"/>
      <c r="M527" s="13"/>
      <c r="N527" s="14"/>
      <c r="O527" s="53"/>
      <c r="P527" s="87">
        <f>SUM(M527:O527)</f>
        <v>0</v>
      </c>
      <c r="Q527" s="16"/>
      <c r="R527" s="14"/>
      <c r="S527" s="15"/>
      <c r="T527" s="49">
        <f>SUM(Q527:S527)</f>
        <v>0</v>
      </c>
      <c r="U527" s="11">
        <f>P527+T527</f>
        <v>0</v>
      </c>
    </row>
    <row r="528" spans="1:22" x14ac:dyDescent="0.15">
      <c r="A528" s="26"/>
      <c r="B528" s="8"/>
      <c r="C528" s="9"/>
      <c r="D528" s="10"/>
      <c r="E528" s="49">
        <f t="shared" si="420"/>
        <v>0</v>
      </c>
      <c r="F528" s="12"/>
      <c r="G528" s="9"/>
      <c r="H528" s="10"/>
      <c r="I528" s="49">
        <f t="shared" si="421"/>
        <v>0</v>
      </c>
      <c r="J528" s="11">
        <f t="shared" si="422"/>
        <v>0</v>
      </c>
      <c r="L528" s="86"/>
      <c r="M528" s="8"/>
      <c r="N528" s="9"/>
      <c r="O528" s="52"/>
      <c r="P528" s="87">
        <f t="shared" ref="P528:P532" si="435">SUM(M528:O528)</f>
        <v>0</v>
      </c>
      <c r="Q528" s="12"/>
      <c r="R528" s="9"/>
      <c r="S528" s="10"/>
      <c r="T528" s="49">
        <f t="shared" ref="T528:T532" si="436">SUM(Q528:S528)</f>
        <v>0</v>
      </c>
      <c r="U528" s="11">
        <f t="shared" ref="U528" si="437">P528+T528</f>
        <v>0</v>
      </c>
    </row>
    <row r="529" spans="1:22" x14ac:dyDescent="0.15">
      <c r="A529" s="26"/>
      <c r="B529" s="8"/>
      <c r="C529" s="9"/>
      <c r="D529" s="10"/>
      <c r="E529" s="49">
        <f t="shared" si="420"/>
        <v>0</v>
      </c>
      <c r="F529" s="12"/>
      <c r="G529" s="9"/>
      <c r="H529" s="10"/>
      <c r="I529" s="49">
        <f t="shared" si="421"/>
        <v>0</v>
      </c>
      <c r="J529" s="11">
        <f t="shared" si="422"/>
        <v>0</v>
      </c>
      <c r="L529" s="86"/>
      <c r="M529" s="8"/>
      <c r="N529" s="9"/>
      <c r="O529" s="52"/>
      <c r="P529" s="87">
        <f t="shared" ref="P529" si="438">SUM(M529:O529)</f>
        <v>0</v>
      </c>
      <c r="Q529" s="12"/>
      <c r="R529" s="9"/>
      <c r="S529" s="10"/>
      <c r="T529" s="49">
        <f t="shared" ref="T529" si="439">SUM(Q529:S529)</f>
        <v>0</v>
      </c>
      <c r="U529" s="11">
        <f t="shared" ref="U529" si="440">P529+T529</f>
        <v>0</v>
      </c>
      <c r="V529" s="100"/>
    </row>
    <row r="530" spans="1:22" x14ac:dyDescent="0.15">
      <c r="A530" s="26"/>
      <c r="B530" s="8"/>
      <c r="C530" s="9"/>
      <c r="D530" s="10"/>
      <c r="E530" s="49">
        <f t="shared" si="420"/>
        <v>0</v>
      </c>
      <c r="F530" s="12"/>
      <c r="G530" s="9"/>
      <c r="H530" s="10"/>
      <c r="I530" s="49">
        <f t="shared" si="421"/>
        <v>0</v>
      </c>
      <c r="J530" s="11">
        <f t="shared" si="422"/>
        <v>0</v>
      </c>
      <c r="L530" s="86" t="s">
        <v>498</v>
      </c>
      <c r="M530" s="8"/>
      <c r="N530" s="9"/>
      <c r="O530" s="52"/>
      <c r="P530" s="87">
        <f t="shared" si="435"/>
        <v>0</v>
      </c>
      <c r="Q530" s="12"/>
      <c r="R530" s="9"/>
      <c r="S530" s="10"/>
      <c r="T530" s="49">
        <f t="shared" si="436"/>
        <v>0</v>
      </c>
      <c r="U530" s="11">
        <f t="shared" ref="U530:U531" si="441">P530+T530</f>
        <v>0</v>
      </c>
      <c r="V530" s="100" t="s">
        <v>497</v>
      </c>
    </row>
    <row r="531" spans="1:22" ht="14.25" thickBot="1" x14ac:dyDescent="0.2">
      <c r="A531" s="23"/>
      <c r="B531" s="13"/>
      <c r="C531" s="14"/>
      <c r="D531" s="15"/>
      <c r="E531" s="49">
        <f>SUM(B531:D531)</f>
        <v>0</v>
      </c>
      <c r="F531" s="16"/>
      <c r="G531" s="14"/>
      <c r="H531" s="15"/>
      <c r="I531" s="49">
        <f>SUM(F531:H531)</f>
        <v>0</v>
      </c>
      <c r="J531" s="11">
        <f>E531+I531</f>
        <v>0</v>
      </c>
      <c r="L531" s="86" t="s">
        <v>502</v>
      </c>
      <c r="M531" s="8"/>
      <c r="N531" s="9"/>
      <c r="O531" s="52"/>
      <c r="P531" s="87">
        <f t="shared" si="435"/>
        <v>0</v>
      </c>
      <c r="Q531" s="12"/>
      <c r="R531" s="9"/>
      <c r="S531" s="10"/>
      <c r="T531" s="49">
        <f t="shared" si="436"/>
        <v>0</v>
      </c>
      <c r="U531" s="11">
        <f t="shared" si="441"/>
        <v>0</v>
      </c>
      <c r="V531" s="100" t="s">
        <v>503</v>
      </c>
    </row>
    <row r="532" spans="1:22" ht="14.25" thickBot="1" x14ac:dyDescent="0.2">
      <c r="A532" s="41" t="s">
        <v>17</v>
      </c>
      <c r="B532" s="46">
        <f>SUM(B506:B531)</f>
        <v>0</v>
      </c>
      <c r="C532" s="47">
        <f t="shared" ref="C532:D532" si="442">SUM(C506:C531)</f>
        <v>6</v>
      </c>
      <c r="D532" s="58">
        <f t="shared" si="442"/>
        <v>2</v>
      </c>
      <c r="E532" s="45">
        <f t="shared" ref="E532" si="443">SUM(B532:D532)</f>
        <v>8</v>
      </c>
      <c r="F532" s="46">
        <f>SUM(F506:F531)</f>
        <v>0</v>
      </c>
      <c r="G532" s="47">
        <f t="shared" ref="G532:H532" si="444">SUM(G506:G531)</f>
        <v>6</v>
      </c>
      <c r="H532" s="58">
        <f t="shared" si="444"/>
        <v>2</v>
      </c>
      <c r="I532" s="45">
        <f t="shared" ref="I532" si="445">SUM(F532:H532)</f>
        <v>8</v>
      </c>
      <c r="J532" s="45">
        <f>E532+I532</f>
        <v>16</v>
      </c>
      <c r="L532" s="41" t="s">
        <v>17</v>
      </c>
      <c r="M532" s="46">
        <f>SUM(M506:M531)</f>
        <v>72</v>
      </c>
      <c r="N532" s="47">
        <f t="shared" ref="N532:O532" si="446">SUM(N506:N531)</f>
        <v>63</v>
      </c>
      <c r="O532" s="58">
        <f t="shared" si="446"/>
        <v>45</v>
      </c>
      <c r="P532" s="45">
        <f t="shared" si="435"/>
        <v>180</v>
      </c>
      <c r="Q532" s="46">
        <f>SUM(Q506:Q531)</f>
        <v>72</v>
      </c>
      <c r="R532" s="47">
        <f t="shared" ref="R532:S532" si="447">SUM(R506:R531)</f>
        <v>63</v>
      </c>
      <c r="S532" s="58">
        <f t="shared" si="447"/>
        <v>45</v>
      </c>
      <c r="T532" s="45">
        <f t="shared" si="436"/>
        <v>180</v>
      </c>
      <c r="U532" s="45">
        <f>P532+T532</f>
        <v>360</v>
      </c>
    </row>
    <row r="533" spans="1:22" ht="14.25" thickBot="1" x14ac:dyDescent="0.2">
      <c r="A533" s="22" t="s">
        <v>16</v>
      </c>
      <c r="B533" s="50">
        <f>B505-B532</f>
        <v>4</v>
      </c>
      <c r="C533" s="56">
        <f t="shared" ref="C533:D533" si="448">C505-C532</f>
        <v>6</v>
      </c>
      <c r="D533" s="57">
        <f t="shared" si="448"/>
        <v>7</v>
      </c>
      <c r="E533" s="55">
        <f>SUM(B533:D533)</f>
        <v>17</v>
      </c>
      <c r="F533" s="50">
        <f>F505-F532</f>
        <v>5</v>
      </c>
      <c r="G533" s="56">
        <f t="shared" ref="G533:H533" si="449">G505-G532</f>
        <v>6</v>
      </c>
      <c r="H533" s="57">
        <f t="shared" si="449"/>
        <v>8</v>
      </c>
      <c r="I533" s="55">
        <f>SUM(F533:H533)</f>
        <v>19</v>
      </c>
      <c r="J533" s="31">
        <f>E533+I533</f>
        <v>36</v>
      </c>
      <c r="L533" s="22" t="s">
        <v>16</v>
      </c>
      <c r="M533" s="50">
        <f>M505-M532</f>
        <v>69</v>
      </c>
      <c r="N533" s="56">
        <f t="shared" ref="N533:O533" si="450">N505-N532</f>
        <v>76</v>
      </c>
      <c r="O533" s="57">
        <f t="shared" si="450"/>
        <v>50</v>
      </c>
      <c r="P533" s="55">
        <f>SUM(M533:O533)</f>
        <v>195</v>
      </c>
      <c r="Q533" s="50">
        <f>Q505-Q532</f>
        <v>69</v>
      </c>
      <c r="R533" s="56">
        <f t="shared" ref="R533:S533" si="451">R505-R532</f>
        <v>76</v>
      </c>
      <c r="S533" s="57">
        <f t="shared" si="451"/>
        <v>50</v>
      </c>
      <c r="T533" s="55">
        <f>SUM(Q533:S533)</f>
        <v>195</v>
      </c>
      <c r="U533" s="31">
        <f>P533+T533</f>
        <v>390</v>
      </c>
    </row>
    <row r="534" spans="1:22" ht="19.5" thickBot="1" x14ac:dyDescent="0.25">
      <c r="A534" s="3" t="s">
        <v>20</v>
      </c>
      <c r="B534" s="1"/>
      <c r="C534" s="1"/>
      <c r="D534" s="1"/>
      <c r="E534" s="1"/>
      <c r="F534" s="1"/>
      <c r="G534" s="1"/>
      <c r="H534" s="1"/>
      <c r="I534" s="1"/>
      <c r="J534" s="1"/>
      <c r="L534" s="112" t="s">
        <v>21</v>
      </c>
      <c r="M534" s="112"/>
      <c r="N534" s="112"/>
      <c r="O534" s="112"/>
      <c r="P534" s="112"/>
      <c r="Q534" s="112"/>
      <c r="R534" s="112"/>
      <c r="S534" s="112"/>
      <c r="T534" s="112"/>
      <c r="U534" s="1"/>
      <c r="V534" s="97" t="s">
        <v>593</v>
      </c>
    </row>
    <row r="535" spans="1:22" ht="14.25" thickBot="1" x14ac:dyDescent="0.2">
      <c r="A535" s="7"/>
      <c r="B535" s="176" t="s">
        <v>22</v>
      </c>
      <c r="C535" s="177"/>
      <c r="D535" s="177"/>
      <c r="E535" s="178"/>
      <c r="F535" s="176" t="s">
        <v>23</v>
      </c>
      <c r="G535" s="177"/>
      <c r="H535" s="177"/>
      <c r="I535" s="179"/>
      <c r="J535" s="174" t="s">
        <v>0</v>
      </c>
      <c r="L535" s="7"/>
      <c r="M535" s="169" t="s">
        <v>22</v>
      </c>
      <c r="N535" s="170"/>
      <c r="O535" s="170"/>
      <c r="P535" s="171"/>
      <c r="Q535" s="169" t="s">
        <v>23</v>
      </c>
      <c r="R535" s="170"/>
      <c r="S535" s="170"/>
      <c r="T535" s="171"/>
      <c r="U535" s="174" t="s">
        <v>0</v>
      </c>
    </row>
    <row r="536" spans="1:22" ht="14.25" thickBot="1" x14ac:dyDescent="0.2">
      <c r="A536" s="7" t="s">
        <v>1</v>
      </c>
      <c r="B536" s="4" t="s">
        <v>2</v>
      </c>
      <c r="C536" s="5" t="s">
        <v>3</v>
      </c>
      <c r="D536" s="6" t="s">
        <v>4</v>
      </c>
      <c r="E536" s="7" t="s">
        <v>5</v>
      </c>
      <c r="F536" s="4" t="s">
        <v>2</v>
      </c>
      <c r="G536" s="5" t="s">
        <v>3</v>
      </c>
      <c r="H536" s="6" t="s">
        <v>4</v>
      </c>
      <c r="I536" s="7" t="s">
        <v>5</v>
      </c>
      <c r="J536" s="175"/>
      <c r="L536" s="7" t="s">
        <v>1</v>
      </c>
      <c r="M536" s="4" t="s">
        <v>2</v>
      </c>
      <c r="N536" s="5" t="s">
        <v>3</v>
      </c>
      <c r="O536" s="6" t="s">
        <v>4</v>
      </c>
      <c r="P536" s="7" t="s">
        <v>5</v>
      </c>
      <c r="Q536" s="4" t="s">
        <v>2</v>
      </c>
      <c r="R536" s="5" t="s">
        <v>3</v>
      </c>
      <c r="S536" s="6" t="s">
        <v>4</v>
      </c>
      <c r="T536" s="7" t="s">
        <v>5</v>
      </c>
      <c r="U536" s="175"/>
    </row>
    <row r="537" spans="1:22" ht="14.25" thickBot="1" x14ac:dyDescent="0.2">
      <c r="A537" s="27" t="s">
        <v>16</v>
      </c>
      <c r="B537" s="38">
        <f>B533</f>
        <v>4</v>
      </c>
      <c r="C537" s="39">
        <f>C533</f>
        <v>6</v>
      </c>
      <c r="D537" s="2">
        <f>D533</f>
        <v>7</v>
      </c>
      <c r="E537" s="36">
        <f>SUM(B537:D537)</f>
        <v>17</v>
      </c>
      <c r="F537" s="38">
        <f>F533</f>
        <v>5</v>
      </c>
      <c r="G537" s="39">
        <f>G533</f>
        <v>6</v>
      </c>
      <c r="H537" s="2">
        <f>H533</f>
        <v>8</v>
      </c>
      <c r="I537" s="36">
        <f>SUM(F537:H537)</f>
        <v>19</v>
      </c>
      <c r="J537" s="36">
        <f>E537+I537</f>
        <v>36</v>
      </c>
      <c r="L537" s="27" t="s">
        <v>16</v>
      </c>
      <c r="M537" s="38">
        <f>M533</f>
        <v>69</v>
      </c>
      <c r="N537" s="39">
        <f>N533</f>
        <v>76</v>
      </c>
      <c r="O537" s="2">
        <f>O533</f>
        <v>50</v>
      </c>
      <c r="P537" s="36">
        <f>SUM(M537:O537)</f>
        <v>195</v>
      </c>
      <c r="Q537" s="38">
        <f>Q533</f>
        <v>69</v>
      </c>
      <c r="R537" s="39">
        <f>R533</f>
        <v>76</v>
      </c>
      <c r="S537" s="2">
        <f>S533</f>
        <v>50</v>
      </c>
      <c r="T537" s="36">
        <f>SUM(Q537:S537)</f>
        <v>195</v>
      </c>
      <c r="U537" s="36">
        <f>P537+T537</f>
        <v>390</v>
      </c>
    </row>
    <row r="538" spans="1:22" x14ac:dyDescent="0.15">
      <c r="A538" s="25" t="s">
        <v>566</v>
      </c>
      <c r="B538" s="42">
        <v>1</v>
      </c>
      <c r="C538" s="43"/>
      <c r="D538" s="44">
        <v>1</v>
      </c>
      <c r="E538" s="48">
        <f>SUM(B538:D538)</f>
        <v>2</v>
      </c>
      <c r="F538" s="59">
        <v>1</v>
      </c>
      <c r="G538" s="43"/>
      <c r="H538" s="60">
        <v>1</v>
      </c>
      <c r="I538" s="48">
        <f>SUM(F538:H538)</f>
        <v>2</v>
      </c>
      <c r="J538" s="48">
        <f>E538+I538</f>
        <v>4</v>
      </c>
      <c r="K538" s="64">
        <v>44553</v>
      </c>
      <c r="L538" s="25" t="s">
        <v>7</v>
      </c>
      <c r="M538" s="42"/>
      <c r="N538" s="43"/>
      <c r="O538" s="44"/>
      <c r="P538" s="48">
        <f>SUM(M538:O538)</f>
        <v>0</v>
      </c>
      <c r="Q538" s="59"/>
      <c r="R538" s="43"/>
      <c r="S538" s="60"/>
      <c r="T538" s="48">
        <f>SUM(Q538:S538)</f>
        <v>0</v>
      </c>
      <c r="U538" s="48">
        <f>P538+T538</f>
        <v>0</v>
      </c>
    </row>
    <row r="539" spans="1:22" x14ac:dyDescent="0.15">
      <c r="A539" s="25" t="s">
        <v>575</v>
      </c>
      <c r="B539" s="8">
        <v>3</v>
      </c>
      <c r="C539" s="9"/>
      <c r="D539" s="52"/>
      <c r="E539" s="11">
        <f>SUM(B539:D539)</f>
        <v>3</v>
      </c>
      <c r="F539" s="12">
        <v>3</v>
      </c>
      <c r="G539" s="9"/>
      <c r="H539" s="10"/>
      <c r="I539" s="11">
        <f>SUM(F539:H539)</f>
        <v>3</v>
      </c>
      <c r="J539" s="11">
        <f>E539+I539</f>
        <v>6</v>
      </c>
      <c r="K539" s="62">
        <v>44569</v>
      </c>
      <c r="L539" s="25" t="s">
        <v>29</v>
      </c>
      <c r="M539" s="8"/>
      <c r="N539" s="9"/>
      <c r="O539" s="52">
        <v>4</v>
      </c>
      <c r="P539" s="11">
        <f>SUM(M539:O539)</f>
        <v>4</v>
      </c>
      <c r="Q539" s="8"/>
      <c r="R539" s="9"/>
      <c r="S539" s="52">
        <v>4</v>
      </c>
      <c r="T539" s="11">
        <f>SUM(Q539:S539)</f>
        <v>4</v>
      </c>
      <c r="U539" s="11">
        <f>P539+T539</f>
        <v>8</v>
      </c>
      <c r="V539" s="99">
        <v>44548</v>
      </c>
    </row>
    <row r="540" spans="1:22" x14ac:dyDescent="0.15">
      <c r="A540" s="25" t="s">
        <v>52</v>
      </c>
      <c r="B540" s="17"/>
      <c r="C540" s="18"/>
      <c r="D540" s="51">
        <v>1</v>
      </c>
      <c r="E540" s="11">
        <f t="shared" ref="E540:E545" si="452">SUM(B540:D540)</f>
        <v>1</v>
      </c>
      <c r="F540" s="20"/>
      <c r="G540" s="18"/>
      <c r="H540" s="19">
        <v>1</v>
      </c>
      <c r="I540" s="11">
        <f t="shared" ref="I540:I545" si="453">SUM(F540:H540)</f>
        <v>1</v>
      </c>
      <c r="J540" s="11">
        <f t="shared" ref="J540:J545" si="454">E540+I540</f>
        <v>2</v>
      </c>
      <c r="K540" s="62">
        <v>44574</v>
      </c>
      <c r="L540" s="25" t="s">
        <v>29</v>
      </c>
      <c r="M540" s="8"/>
      <c r="N540" s="9">
        <v>1</v>
      </c>
      <c r="O540" s="52"/>
      <c r="P540" s="11">
        <f>SUM(M540:O540)</f>
        <v>1</v>
      </c>
      <c r="Q540" s="8"/>
      <c r="R540" s="9">
        <v>1</v>
      </c>
      <c r="S540" s="52"/>
      <c r="T540" s="11">
        <f>SUM(Q540:S540)</f>
        <v>1</v>
      </c>
      <c r="U540" s="11">
        <f>P540+T540</f>
        <v>2</v>
      </c>
      <c r="V540" s="99">
        <v>44590</v>
      </c>
    </row>
    <row r="541" spans="1:22" x14ac:dyDescent="0.15">
      <c r="A541" s="25" t="s">
        <v>579</v>
      </c>
      <c r="B541" s="8"/>
      <c r="C541" s="9">
        <v>1</v>
      </c>
      <c r="D541" s="52"/>
      <c r="E541" s="11">
        <f t="shared" si="452"/>
        <v>1</v>
      </c>
      <c r="F541" s="12"/>
      <c r="G541" s="9">
        <v>1</v>
      </c>
      <c r="H541" s="10"/>
      <c r="I541" s="11">
        <f t="shared" si="453"/>
        <v>1</v>
      </c>
      <c r="J541" s="11">
        <f t="shared" si="454"/>
        <v>2</v>
      </c>
      <c r="K541" s="62">
        <v>44589</v>
      </c>
      <c r="L541" s="25" t="s">
        <v>10</v>
      </c>
      <c r="M541" s="8"/>
      <c r="N541" s="9"/>
      <c r="O541" s="52"/>
      <c r="P541" s="11">
        <f t="shared" ref="P541:P542" si="455">SUM(M541:O541)</f>
        <v>0</v>
      </c>
      <c r="Q541" s="12"/>
      <c r="R541" s="9"/>
      <c r="S541" s="10"/>
      <c r="T541" s="11">
        <f t="shared" ref="T541:T542" si="456">SUM(Q541:S541)</f>
        <v>0</v>
      </c>
      <c r="U541" s="11">
        <f t="shared" ref="U541:U542" si="457">P541+T541</f>
        <v>0</v>
      </c>
    </row>
    <row r="542" spans="1:22" x14ac:dyDescent="0.15">
      <c r="A542" s="25" t="s">
        <v>32</v>
      </c>
      <c r="B542" s="8">
        <v>3</v>
      </c>
      <c r="C542" s="9"/>
      <c r="D542" s="52"/>
      <c r="E542" s="11">
        <f t="shared" si="452"/>
        <v>3</v>
      </c>
      <c r="F542" s="12">
        <v>3</v>
      </c>
      <c r="G542" s="9"/>
      <c r="H542" s="10"/>
      <c r="I542" s="11">
        <f t="shared" si="453"/>
        <v>3</v>
      </c>
      <c r="J542" s="11">
        <f t="shared" si="454"/>
        <v>6</v>
      </c>
      <c r="K542" s="62">
        <v>44593</v>
      </c>
      <c r="L542" s="25" t="s">
        <v>11</v>
      </c>
      <c r="M542" s="8"/>
      <c r="N542" s="9"/>
      <c r="O542" s="52"/>
      <c r="P542" s="11">
        <f t="shared" si="455"/>
        <v>0</v>
      </c>
      <c r="Q542" s="12"/>
      <c r="R542" s="9"/>
      <c r="S542" s="10"/>
      <c r="T542" s="11">
        <f t="shared" si="456"/>
        <v>0</v>
      </c>
      <c r="U542" s="11">
        <f t="shared" si="457"/>
        <v>0</v>
      </c>
    </row>
    <row r="543" spans="1:22" x14ac:dyDescent="0.15">
      <c r="A543" s="25"/>
      <c r="B543" s="8"/>
      <c r="C543" s="9"/>
      <c r="D543" s="52"/>
      <c r="E543" s="11">
        <f t="shared" si="452"/>
        <v>0</v>
      </c>
      <c r="F543" s="12"/>
      <c r="G543" s="9"/>
      <c r="H543" s="10"/>
      <c r="I543" s="11">
        <f t="shared" si="453"/>
        <v>0</v>
      </c>
      <c r="J543" s="11">
        <f t="shared" si="454"/>
        <v>0</v>
      </c>
      <c r="K543" s="66"/>
      <c r="L543" s="25" t="s">
        <v>478</v>
      </c>
      <c r="M543" s="8">
        <v>163</v>
      </c>
      <c r="N543" s="9">
        <v>323</v>
      </c>
      <c r="O543" s="52">
        <v>203</v>
      </c>
      <c r="P543" s="11">
        <f>SUM(M543:O543)</f>
        <v>689</v>
      </c>
      <c r="Q543" s="8">
        <v>163</v>
      </c>
      <c r="R543" s="9">
        <v>323</v>
      </c>
      <c r="S543" s="52">
        <v>203</v>
      </c>
      <c r="T543" s="11">
        <f>SUM(Q543:S543)</f>
        <v>689</v>
      </c>
      <c r="U543" s="11">
        <f>P543+T543</f>
        <v>1378</v>
      </c>
      <c r="V543" s="98" t="s">
        <v>532</v>
      </c>
    </row>
    <row r="544" spans="1:22" x14ac:dyDescent="0.15">
      <c r="A544" s="25"/>
      <c r="B544" s="13"/>
      <c r="C544" s="14"/>
      <c r="D544" s="53"/>
      <c r="E544" s="11">
        <f t="shared" si="452"/>
        <v>0</v>
      </c>
      <c r="F544" s="16"/>
      <c r="G544" s="14"/>
      <c r="H544" s="15"/>
      <c r="I544" s="11">
        <f t="shared" si="453"/>
        <v>0</v>
      </c>
      <c r="J544" s="11">
        <f t="shared" si="454"/>
        <v>0</v>
      </c>
      <c r="L544" s="25" t="s">
        <v>10</v>
      </c>
      <c r="M544" s="8"/>
      <c r="N544" s="9"/>
      <c r="O544" s="52"/>
      <c r="P544" s="11">
        <f t="shared" ref="P544" si="458">SUM(M544:O544)</f>
        <v>0</v>
      </c>
      <c r="Q544" s="12"/>
      <c r="R544" s="9"/>
      <c r="S544" s="10"/>
      <c r="T544" s="11">
        <f t="shared" ref="T544" si="459">SUM(Q544:S544)</f>
        <v>0</v>
      </c>
      <c r="U544" s="11">
        <f t="shared" ref="U544" si="460">P544+T544</f>
        <v>0</v>
      </c>
      <c r="V544" s="123" t="s">
        <v>471</v>
      </c>
    </row>
    <row r="545" spans="1:22" ht="14.25" thickBot="1" x14ac:dyDescent="0.2">
      <c r="A545" s="25"/>
      <c r="B545" s="32"/>
      <c r="C545" s="33"/>
      <c r="D545" s="54">
        <v>1</v>
      </c>
      <c r="E545" s="61">
        <f t="shared" si="452"/>
        <v>1</v>
      </c>
      <c r="F545" s="34"/>
      <c r="G545" s="34"/>
      <c r="H545" s="37"/>
      <c r="I545" s="61">
        <f t="shared" si="453"/>
        <v>0</v>
      </c>
      <c r="J545" s="21">
        <f t="shared" si="454"/>
        <v>1</v>
      </c>
      <c r="L545" s="25" t="s">
        <v>312</v>
      </c>
      <c r="M545" s="32"/>
      <c r="N545" s="33"/>
      <c r="O545" s="54">
        <v>1</v>
      </c>
      <c r="P545" s="61">
        <f t="shared" ref="P545" si="461">SUM(M545:O545)</f>
        <v>1</v>
      </c>
      <c r="Q545" s="34"/>
      <c r="R545" s="34"/>
      <c r="S545" s="37">
        <v>1</v>
      </c>
      <c r="T545" s="61">
        <f t="shared" ref="T545" si="462">SUM(Q545:S545)</f>
        <v>1</v>
      </c>
      <c r="U545" s="21">
        <f t="shared" ref="U545" si="463">P545+T545</f>
        <v>2</v>
      </c>
      <c r="V545" s="99">
        <v>44569</v>
      </c>
    </row>
    <row r="546" spans="1:22" ht="14.25" thickBot="1" x14ac:dyDescent="0.2">
      <c r="A546" s="35" t="s">
        <v>15</v>
      </c>
      <c r="B546" s="28">
        <f>SUM(B537:B545)</f>
        <v>11</v>
      </c>
      <c r="C546" s="29">
        <f>SUM(C537:C545)</f>
        <v>7</v>
      </c>
      <c r="D546" s="30">
        <f>SUM(D537:D545)</f>
        <v>10</v>
      </c>
      <c r="E546" s="31">
        <f>SUM(B546:D546)</f>
        <v>28</v>
      </c>
      <c r="F546" s="28">
        <f>SUM(F537:F545)</f>
        <v>12</v>
      </c>
      <c r="G546" s="29">
        <f>SUM(G537:G545)</f>
        <v>7</v>
      </c>
      <c r="H546" s="30">
        <f>SUM(H537:H545)</f>
        <v>10</v>
      </c>
      <c r="I546" s="31">
        <f>SUM(F546:H546)</f>
        <v>29</v>
      </c>
      <c r="J546" s="31">
        <f>E546+I546</f>
        <v>57</v>
      </c>
      <c r="L546" s="35" t="s">
        <v>15</v>
      </c>
      <c r="M546" s="28">
        <f>SUM(M537:M545)</f>
        <v>232</v>
      </c>
      <c r="N546" s="29">
        <f>SUM(N537:N545)</f>
        <v>400</v>
      </c>
      <c r="O546" s="30">
        <f>SUM(O537:O545)</f>
        <v>258</v>
      </c>
      <c r="P546" s="31">
        <f>SUM(M546:O546)</f>
        <v>890</v>
      </c>
      <c r="Q546" s="28">
        <f>SUM(Q537:Q545)</f>
        <v>232</v>
      </c>
      <c r="R546" s="29">
        <f>SUM(R537:R545)</f>
        <v>400</v>
      </c>
      <c r="S546" s="30">
        <f>SUM(S537:S545)</f>
        <v>258</v>
      </c>
      <c r="T546" s="31">
        <f>SUM(Q546:S546)</f>
        <v>890</v>
      </c>
      <c r="U546" s="31">
        <f>P546+T546</f>
        <v>1780</v>
      </c>
    </row>
    <row r="547" spans="1:22" x14ac:dyDescent="0.15">
      <c r="A547" s="26" t="s">
        <v>558</v>
      </c>
      <c r="B547" s="42"/>
      <c r="C547" s="43"/>
      <c r="D547" s="44">
        <v>4</v>
      </c>
      <c r="E547" s="76">
        <f>SUM(B547:D547)</f>
        <v>4</v>
      </c>
      <c r="F547" s="59"/>
      <c r="G547" s="43"/>
      <c r="H547" s="60">
        <v>4</v>
      </c>
      <c r="I547" s="76">
        <f>SUM(F547:H547)</f>
        <v>4</v>
      </c>
      <c r="J547" s="48">
        <f>E547+I547</f>
        <v>8</v>
      </c>
      <c r="K547" s="99">
        <v>44548</v>
      </c>
      <c r="L547" s="86" t="s">
        <v>552</v>
      </c>
      <c r="M547" s="17">
        <v>22</v>
      </c>
      <c r="N547" s="18">
        <v>22</v>
      </c>
      <c r="O547" s="51">
        <v>15</v>
      </c>
      <c r="P547" s="87">
        <f t="shared" ref="P547:P549" si="464">SUM(M547:O547)</f>
        <v>59</v>
      </c>
      <c r="Q547" s="8">
        <v>22</v>
      </c>
      <c r="R547" s="9">
        <v>22</v>
      </c>
      <c r="S547" s="10">
        <v>15</v>
      </c>
      <c r="T547" s="49">
        <f t="shared" ref="T547:T549" si="465">SUM(Q547:S547)</f>
        <v>59</v>
      </c>
      <c r="U547" s="11">
        <f t="shared" ref="U547:U549" si="466">P547+T547</f>
        <v>118</v>
      </c>
      <c r="V547" s="98">
        <v>44544</v>
      </c>
    </row>
    <row r="548" spans="1:22" x14ac:dyDescent="0.15">
      <c r="A548" s="26" t="s">
        <v>559</v>
      </c>
      <c r="B548" s="8">
        <v>2</v>
      </c>
      <c r="C548" s="9"/>
      <c r="D548" s="10"/>
      <c r="E548" s="49">
        <f t="shared" ref="E548:E571" si="467">SUM(B548:D548)</f>
        <v>2</v>
      </c>
      <c r="F548" s="12">
        <v>1</v>
      </c>
      <c r="G548" s="9"/>
      <c r="H548" s="10"/>
      <c r="I548" s="49">
        <f t="shared" ref="I548:I571" si="468">SUM(F548:H548)</f>
        <v>1</v>
      </c>
      <c r="J548" s="11">
        <f t="shared" ref="J548:J571" si="469">E548+I548</f>
        <v>3</v>
      </c>
      <c r="K548" s="99">
        <v>44550</v>
      </c>
      <c r="L548" s="108" t="s">
        <v>551</v>
      </c>
      <c r="M548" s="8">
        <v>2</v>
      </c>
      <c r="N548" s="9">
        <v>1</v>
      </c>
      <c r="O548" s="52"/>
      <c r="P548" s="87">
        <f t="shared" si="464"/>
        <v>3</v>
      </c>
      <c r="Q548" s="12">
        <v>2</v>
      </c>
      <c r="R548" s="9">
        <v>1</v>
      </c>
      <c r="S548" s="10"/>
      <c r="T548" s="49">
        <f t="shared" si="465"/>
        <v>3</v>
      </c>
      <c r="U548" s="11">
        <f t="shared" si="466"/>
        <v>6</v>
      </c>
      <c r="V548" s="98">
        <v>44544</v>
      </c>
    </row>
    <row r="549" spans="1:22" x14ac:dyDescent="0.15">
      <c r="A549" s="108" t="s">
        <v>560</v>
      </c>
      <c r="B549" s="8">
        <v>2</v>
      </c>
      <c r="C549" s="9">
        <v>1</v>
      </c>
      <c r="D549" s="10"/>
      <c r="E549" s="49">
        <f t="shared" si="467"/>
        <v>3</v>
      </c>
      <c r="F549" s="12">
        <v>2</v>
      </c>
      <c r="G549" s="9">
        <v>1</v>
      </c>
      <c r="H549" s="10"/>
      <c r="I549" s="49">
        <f t="shared" si="468"/>
        <v>3</v>
      </c>
      <c r="J549" s="11">
        <f t="shared" si="469"/>
        <v>6</v>
      </c>
      <c r="K549" s="62">
        <v>44552</v>
      </c>
      <c r="L549" s="108" t="s">
        <v>553</v>
      </c>
      <c r="M549" s="8"/>
      <c r="N549" s="9">
        <v>2</v>
      </c>
      <c r="O549" s="52">
        <v>3</v>
      </c>
      <c r="P549" s="87">
        <f t="shared" si="464"/>
        <v>5</v>
      </c>
      <c r="Q549" s="12"/>
      <c r="R549" s="9">
        <v>2</v>
      </c>
      <c r="S549" s="10">
        <v>3</v>
      </c>
      <c r="T549" s="49">
        <f t="shared" si="465"/>
        <v>5</v>
      </c>
      <c r="U549" s="11">
        <f t="shared" si="466"/>
        <v>10</v>
      </c>
      <c r="V549" s="98">
        <v>44545</v>
      </c>
    </row>
    <row r="550" spans="1:22" x14ac:dyDescent="0.15">
      <c r="A550" s="108" t="s">
        <v>562</v>
      </c>
      <c r="B550" s="8"/>
      <c r="C550" s="9">
        <v>1</v>
      </c>
      <c r="D550" s="10"/>
      <c r="E550" s="49">
        <f t="shared" si="467"/>
        <v>1</v>
      </c>
      <c r="F550" s="12"/>
      <c r="G550" s="9">
        <v>1</v>
      </c>
      <c r="H550" s="10"/>
      <c r="I550" s="49">
        <f t="shared" si="468"/>
        <v>1</v>
      </c>
      <c r="J550" s="11">
        <f t="shared" si="469"/>
        <v>2</v>
      </c>
      <c r="K550" s="62">
        <v>44553</v>
      </c>
      <c r="L550" s="108" t="s">
        <v>555</v>
      </c>
      <c r="M550" s="13"/>
      <c r="N550" s="14">
        <v>2</v>
      </c>
      <c r="O550" s="53">
        <v>2</v>
      </c>
      <c r="P550" s="87">
        <f>SUM(M550:O550)</f>
        <v>4</v>
      </c>
      <c r="Q550" s="16"/>
      <c r="R550" s="14">
        <v>2</v>
      </c>
      <c r="S550" s="15">
        <v>2</v>
      </c>
      <c r="T550" s="49">
        <f>SUM(Q550:S550)</f>
        <v>4</v>
      </c>
      <c r="U550" s="11">
        <f>P550+T550</f>
        <v>8</v>
      </c>
      <c r="V550" s="98">
        <v>44546</v>
      </c>
    </row>
    <row r="551" spans="1:22" x14ac:dyDescent="0.15">
      <c r="A551" s="108" t="s">
        <v>571</v>
      </c>
      <c r="B551" s="8">
        <v>1</v>
      </c>
      <c r="C551" s="9"/>
      <c r="D551" s="10">
        <v>1</v>
      </c>
      <c r="E551" s="49">
        <f t="shared" si="467"/>
        <v>2</v>
      </c>
      <c r="F551" s="12">
        <v>1</v>
      </c>
      <c r="G551" s="9"/>
      <c r="H551" s="10">
        <v>1</v>
      </c>
      <c r="I551" s="49">
        <f t="shared" si="468"/>
        <v>2</v>
      </c>
      <c r="J551" s="11">
        <f t="shared" si="469"/>
        <v>4</v>
      </c>
      <c r="K551" s="62">
        <v>44567</v>
      </c>
      <c r="L551" s="108" t="s">
        <v>556</v>
      </c>
      <c r="M551" s="8"/>
      <c r="N551" s="9">
        <v>1</v>
      </c>
      <c r="O551" s="52"/>
      <c r="P551" s="87">
        <f t="shared" ref="P551:P562" si="470">SUM(M551:O551)</f>
        <v>1</v>
      </c>
      <c r="Q551" s="12"/>
      <c r="R551" s="9">
        <v>1</v>
      </c>
      <c r="S551" s="10"/>
      <c r="T551" s="49">
        <f t="shared" ref="T551:T562" si="471">SUM(Q551:S551)</f>
        <v>1</v>
      </c>
      <c r="U551" s="11">
        <f t="shared" ref="U551:U562" si="472">P551+T551</f>
        <v>2</v>
      </c>
      <c r="V551" s="98">
        <v>44547</v>
      </c>
    </row>
    <row r="552" spans="1:22" x14ac:dyDescent="0.15">
      <c r="A552" s="26" t="s">
        <v>558</v>
      </c>
      <c r="B552" s="8"/>
      <c r="C552" s="9"/>
      <c r="D552" s="10">
        <v>1</v>
      </c>
      <c r="E552" s="49">
        <f t="shared" si="467"/>
        <v>1</v>
      </c>
      <c r="F552" s="12"/>
      <c r="G552" s="9"/>
      <c r="H552" s="10">
        <v>1</v>
      </c>
      <c r="I552" s="49">
        <f t="shared" si="468"/>
        <v>1</v>
      </c>
      <c r="J552" s="11">
        <f t="shared" si="469"/>
        <v>2</v>
      </c>
      <c r="K552" s="64">
        <v>44569</v>
      </c>
      <c r="L552" s="108" t="s">
        <v>557</v>
      </c>
      <c r="M552" s="8"/>
      <c r="N552" s="9">
        <v>2</v>
      </c>
      <c r="O552" s="52">
        <v>4</v>
      </c>
      <c r="P552" s="87">
        <f t="shared" si="470"/>
        <v>6</v>
      </c>
      <c r="Q552" s="12"/>
      <c r="R552" s="9">
        <v>2</v>
      </c>
      <c r="S552" s="10">
        <v>4</v>
      </c>
      <c r="T552" s="49">
        <f t="shared" si="471"/>
        <v>6</v>
      </c>
      <c r="U552" s="11">
        <f t="shared" si="472"/>
        <v>12</v>
      </c>
      <c r="V552" s="98">
        <v>44548</v>
      </c>
    </row>
    <row r="553" spans="1:22" x14ac:dyDescent="0.15">
      <c r="A553" s="26" t="s">
        <v>558</v>
      </c>
      <c r="B553" s="8"/>
      <c r="C553" s="9">
        <v>1</v>
      </c>
      <c r="D553" s="10"/>
      <c r="E553" s="49">
        <f t="shared" si="467"/>
        <v>1</v>
      </c>
      <c r="F553" s="12"/>
      <c r="G553" s="9">
        <v>1</v>
      </c>
      <c r="H553" s="10"/>
      <c r="I553" s="49">
        <f t="shared" si="468"/>
        <v>1</v>
      </c>
      <c r="J553" s="11">
        <f t="shared" si="469"/>
        <v>2</v>
      </c>
      <c r="K553" s="64">
        <v>44590</v>
      </c>
      <c r="L553" s="108" t="s">
        <v>565</v>
      </c>
      <c r="M553" s="8">
        <v>1</v>
      </c>
      <c r="N553" s="9"/>
      <c r="O553" s="52"/>
      <c r="P553" s="87">
        <f t="shared" si="470"/>
        <v>1</v>
      </c>
      <c r="Q553" s="12">
        <v>1</v>
      </c>
      <c r="R553" s="9"/>
      <c r="S553" s="10"/>
      <c r="T553" s="49">
        <f t="shared" si="471"/>
        <v>1</v>
      </c>
      <c r="U553" s="11">
        <f t="shared" si="472"/>
        <v>2</v>
      </c>
      <c r="V553" s="98">
        <v>44557</v>
      </c>
    </row>
    <row r="554" spans="1:22" x14ac:dyDescent="0.15">
      <c r="A554" s="108" t="s">
        <v>580</v>
      </c>
      <c r="B554" s="8">
        <v>2</v>
      </c>
      <c r="C554" s="9"/>
      <c r="D554" s="10"/>
      <c r="E554" s="49">
        <f t="shared" si="467"/>
        <v>2</v>
      </c>
      <c r="F554" s="12">
        <v>2</v>
      </c>
      <c r="G554" s="9"/>
      <c r="H554" s="10"/>
      <c r="I554" s="49">
        <f t="shared" si="468"/>
        <v>2</v>
      </c>
      <c r="J554" s="11">
        <f t="shared" si="469"/>
        <v>4</v>
      </c>
      <c r="K554" s="62">
        <v>44593</v>
      </c>
      <c r="L554" s="108" t="s">
        <v>568</v>
      </c>
      <c r="M554" s="8"/>
      <c r="N554" s="9">
        <v>1</v>
      </c>
      <c r="O554" s="52"/>
      <c r="P554" s="87">
        <f t="shared" si="470"/>
        <v>1</v>
      </c>
      <c r="Q554" s="12"/>
      <c r="R554" s="9">
        <v>1</v>
      </c>
      <c r="S554" s="10"/>
      <c r="T554" s="49">
        <f t="shared" si="471"/>
        <v>1</v>
      </c>
      <c r="U554" s="11">
        <f t="shared" si="472"/>
        <v>2</v>
      </c>
      <c r="V554" s="98">
        <v>44558</v>
      </c>
    </row>
    <row r="555" spans="1:22" x14ac:dyDescent="0.15">
      <c r="A555" s="26" t="s">
        <v>585</v>
      </c>
      <c r="B555" s="8"/>
      <c r="C555" s="9">
        <v>1</v>
      </c>
      <c r="D555" s="10"/>
      <c r="E555" s="49">
        <f t="shared" si="467"/>
        <v>1</v>
      </c>
      <c r="F555" s="12"/>
      <c r="G555" s="9">
        <v>1</v>
      </c>
      <c r="H555" s="10"/>
      <c r="I555" s="49">
        <f t="shared" si="468"/>
        <v>1</v>
      </c>
      <c r="J555" s="11">
        <f t="shared" si="469"/>
        <v>2</v>
      </c>
      <c r="K555" s="64">
        <v>44599</v>
      </c>
      <c r="L555" s="108" t="s">
        <v>569</v>
      </c>
      <c r="M555" s="8">
        <v>1</v>
      </c>
      <c r="N555" s="9"/>
      <c r="O555" s="52"/>
      <c r="P555" s="87">
        <f t="shared" si="470"/>
        <v>1</v>
      </c>
      <c r="Q555" s="12">
        <v>1</v>
      </c>
      <c r="R555" s="9"/>
      <c r="S555" s="10"/>
      <c r="T555" s="49">
        <f t="shared" si="471"/>
        <v>1</v>
      </c>
      <c r="U555" s="11">
        <f t="shared" si="472"/>
        <v>2</v>
      </c>
      <c r="V555" s="98">
        <v>44201</v>
      </c>
    </row>
    <row r="556" spans="1:22" x14ac:dyDescent="0.15">
      <c r="A556" s="26"/>
      <c r="B556" s="13"/>
      <c r="C556" s="14"/>
      <c r="D556" s="15"/>
      <c r="E556" s="49">
        <f t="shared" si="467"/>
        <v>0</v>
      </c>
      <c r="F556" s="16"/>
      <c r="G556" s="14"/>
      <c r="H556" s="15"/>
      <c r="I556" s="49">
        <f t="shared" si="468"/>
        <v>0</v>
      </c>
      <c r="J556" s="11">
        <f t="shared" si="469"/>
        <v>0</v>
      </c>
      <c r="L556" s="108" t="s">
        <v>573</v>
      </c>
      <c r="M556" s="13">
        <v>2</v>
      </c>
      <c r="N556" s="14">
        <v>5</v>
      </c>
      <c r="O556" s="53">
        <v>5</v>
      </c>
      <c r="P556" s="87">
        <f t="shared" si="470"/>
        <v>12</v>
      </c>
      <c r="Q556" s="16">
        <v>2</v>
      </c>
      <c r="R556" s="14">
        <v>5</v>
      </c>
      <c r="S556" s="15">
        <v>5</v>
      </c>
      <c r="T556" s="49">
        <f t="shared" si="471"/>
        <v>12</v>
      </c>
      <c r="U556" s="11">
        <f t="shared" si="472"/>
        <v>24</v>
      </c>
      <c r="V556" s="98">
        <v>44568</v>
      </c>
    </row>
    <row r="557" spans="1:22" x14ac:dyDescent="0.15">
      <c r="A557" s="26"/>
      <c r="B557" s="8"/>
      <c r="C557" s="9"/>
      <c r="D557" s="10"/>
      <c r="E557" s="49">
        <f t="shared" si="467"/>
        <v>0</v>
      </c>
      <c r="F557" s="12"/>
      <c r="G557" s="9"/>
      <c r="H557" s="10"/>
      <c r="I557" s="49">
        <f t="shared" si="468"/>
        <v>0</v>
      </c>
      <c r="J557" s="11">
        <f t="shared" si="469"/>
        <v>0</v>
      </c>
      <c r="L557" s="108" t="s">
        <v>574</v>
      </c>
      <c r="M557" s="8">
        <v>8</v>
      </c>
      <c r="N557" s="9">
        <v>11</v>
      </c>
      <c r="O557" s="52">
        <v>16</v>
      </c>
      <c r="P557" s="87">
        <f t="shared" si="470"/>
        <v>35</v>
      </c>
      <c r="Q557" s="12">
        <v>8</v>
      </c>
      <c r="R557" s="9">
        <v>11</v>
      </c>
      <c r="S557" s="10">
        <v>16</v>
      </c>
      <c r="T557" s="49">
        <f t="shared" si="471"/>
        <v>35</v>
      </c>
      <c r="U557" s="11">
        <f t="shared" si="472"/>
        <v>70</v>
      </c>
      <c r="V557" s="98">
        <v>44569</v>
      </c>
    </row>
    <row r="558" spans="1:22" x14ac:dyDescent="0.15">
      <c r="A558" s="26"/>
      <c r="B558" s="8"/>
      <c r="C558" s="9"/>
      <c r="D558" s="10"/>
      <c r="E558" s="49">
        <f t="shared" si="467"/>
        <v>0</v>
      </c>
      <c r="F558" s="12"/>
      <c r="G558" s="9"/>
      <c r="H558" s="10"/>
      <c r="I558" s="49">
        <f t="shared" si="468"/>
        <v>0</v>
      </c>
      <c r="J558" s="11">
        <f t="shared" si="469"/>
        <v>0</v>
      </c>
      <c r="L558" s="108" t="s">
        <v>576</v>
      </c>
      <c r="M558" s="8">
        <v>3</v>
      </c>
      <c r="N558" s="9"/>
      <c r="O558" s="52"/>
      <c r="P558" s="87">
        <f t="shared" si="470"/>
        <v>3</v>
      </c>
      <c r="Q558" s="12">
        <v>3</v>
      </c>
      <c r="R558" s="9"/>
      <c r="S558" s="10"/>
      <c r="T558" s="49">
        <f t="shared" si="471"/>
        <v>3</v>
      </c>
      <c r="U558" s="11">
        <f t="shared" si="472"/>
        <v>6</v>
      </c>
      <c r="V558" s="98">
        <v>44569</v>
      </c>
    </row>
    <row r="559" spans="1:22" x14ac:dyDescent="0.15">
      <c r="A559" s="26"/>
      <c r="B559" s="8"/>
      <c r="C559" s="9"/>
      <c r="D559" s="10"/>
      <c r="E559" s="49">
        <f t="shared" si="467"/>
        <v>0</v>
      </c>
      <c r="F559" s="12"/>
      <c r="G559" s="9"/>
      <c r="H559" s="10"/>
      <c r="I559" s="49">
        <f t="shared" si="468"/>
        <v>0</v>
      </c>
      <c r="J559" s="11">
        <f t="shared" si="469"/>
        <v>0</v>
      </c>
      <c r="L559" s="108" t="s">
        <v>577</v>
      </c>
      <c r="M559" s="8">
        <v>4</v>
      </c>
      <c r="N559" s="9">
        <v>4</v>
      </c>
      <c r="O559" s="52">
        <v>7</v>
      </c>
      <c r="P559" s="87">
        <f t="shared" si="470"/>
        <v>15</v>
      </c>
      <c r="Q559" s="12">
        <v>4</v>
      </c>
      <c r="R559" s="9">
        <v>4</v>
      </c>
      <c r="S559" s="10">
        <v>7</v>
      </c>
      <c r="T559" s="49">
        <f t="shared" si="471"/>
        <v>15</v>
      </c>
      <c r="U559" s="11">
        <f t="shared" si="472"/>
        <v>30</v>
      </c>
      <c r="V559" s="98">
        <v>44573</v>
      </c>
    </row>
    <row r="560" spans="1:22" x14ac:dyDescent="0.15">
      <c r="A560" s="26"/>
      <c r="B560" s="8"/>
      <c r="C560" s="9"/>
      <c r="D560" s="10"/>
      <c r="E560" s="49">
        <f t="shared" si="467"/>
        <v>0</v>
      </c>
      <c r="F560" s="12"/>
      <c r="G560" s="9"/>
      <c r="H560" s="10"/>
      <c r="I560" s="49">
        <f t="shared" si="468"/>
        <v>0</v>
      </c>
      <c r="J560" s="11">
        <f t="shared" si="469"/>
        <v>0</v>
      </c>
      <c r="L560" s="108" t="s">
        <v>428</v>
      </c>
      <c r="M560" s="8">
        <v>9</v>
      </c>
      <c r="N560" s="9">
        <v>10</v>
      </c>
      <c r="O560" s="52">
        <v>2</v>
      </c>
      <c r="P560" s="87">
        <f t="shared" si="470"/>
        <v>21</v>
      </c>
      <c r="Q560" s="12">
        <v>9</v>
      </c>
      <c r="R560" s="9">
        <v>10</v>
      </c>
      <c r="S560" s="10">
        <v>2</v>
      </c>
      <c r="T560" s="49">
        <f t="shared" si="471"/>
        <v>21</v>
      </c>
      <c r="U560" s="11">
        <f t="shared" si="472"/>
        <v>42</v>
      </c>
      <c r="V560" s="98">
        <v>44574</v>
      </c>
    </row>
    <row r="561" spans="1:22" x14ac:dyDescent="0.15">
      <c r="A561" s="26"/>
      <c r="B561" s="8"/>
      <c r="C561" s="9"/>
      <c r="D561" s="10"/>
      <c r="E561" s="49">
        <f t="shared" si="467"/>
        <v>0</v>
      </c>
      <c r="F561" s="12"/>
      <c r="G561" s="9"/>
      <c r="H561" s="10"/>
      <c r="I561" s="49">
        <f t="shared" si="468"/>
        <v>0</v>
      </c>
      <c r="J561" s="11">
        <f t="shared" si="469"/>
        <v>0</v>
      </c>
      <c r="L561" s="108" t="s">
        <v>429</v>
      </c>
      <c r="M561" s="8">
        <v>15</v>
      </c>
      <c r="N561" s="9">
        <v>14</v>
      </c>
      <c r="O561" s="52">
        <v>5</v>
      </c>
      <c r="P561" s="87">
        <f t="shared" si="470"/>
        <v>34</v>
      </c>
      <c r="Q561" s="12">
        <v>15</v>
      </c>
      <c r="R561" s="9">
        <v>14</v>
      </c>
      <c r="S561" s="10">
        <v>5</v>
      </c>
      <c r="T561" s="49">
        <f t="shared" si="471"/>
        <v>34</v>
      </c>
      <c r="U561" s="11">
        <f t="shared" si="472"/>
        <v>68</v>
      </c>
      <c r="V561" s="98">
        <v>44575</v>
      </c>
    </row>
    <row r="562" spans="1:22" x14ac:dyDescent="0.15">
      <c r="A562" s="26"/>
      <c r="B562" s="8"/>
      <c r="C562" s="9"/>
      <c r="D562" s="10"/>
      <c r="E562" s="49">
        <f t="shared" si="467"/>
        <v>0</v>
      </c>
      <c r="F562" s="12"/>
      <c r="G562" s="9"/>
      <c r="H562" s="10"/>
      <c r="I562" s="49">
        <f t="shared" si="468"/>
        <v>0</v>
      </c>
      <c r="J562" s="11">
        <f t="shared" si="469"/>
        <v>0</v>
      </c>
      <c r="L562" s="108" t="s">
        <v>431</v>
      </c>
      <c r="M562" s="8">
        <v>2</v>
      </c>
      <c r="N562" s="9"/>
      <c r="O562" s="52">
        <v>2</v>
      </c>
      <c r="P562" s="87">
        <f t="shared" si="470"/>
        <v>4</v>
      </c>
      <c r="Q562" s="12">
        <v>2</v>
      </c>
      <c r="R562" s="9"/>
      <c r="S562" s="10">
        <v>2</v>
      </c>
      <c r="T562" s="49">
        <f t="shared" si="471"/>
        <v>4</v>
      </c>
      <c r="U562" s="11">
        <f t="shared" si="472"/>
        <v>8</v>
      </c>
      <c r="V562" s="98">
        <v>44578</v>
      </c>
    </row>
    <row r="563" spans="1:22" x14ac:dyDescent="0.15">
      <c r="A563" s="26"/>
      <c r="B563" s="8"/>
      <c r="C563" s="9"/>
      <c r="D563" s="10"/>
      <c r="E563" s="49">
        <f t="shared" si="467"/>
        <v>0</v>
      </c>
      <c r="F563" s="12"/>
      <c r="G563" s="9"/>
      <c r="H563" s="10"/>
      <c r="I563" s="49">
        <f t="shared" si="468"/>
        <v>0</v>
      </c>
      <c r="J563" s="11">
        <f t="shared" si="469"/>
        <v>0</v>
      </c>
      <c r="L563" s="108" t="s">
        <v>432</v>
      </c>
      <c r="M563" s="13">
        <v>2</v>
      </c>
      <c r="N563" s="14">
        <v>3</v>
      </c>
      <c r="O563" s="53">
        <v>1</v>
      </c>
      <c r="P563" s="87">
        <f>SUM(M563:O563)</f>
        <v>6</v>
      </c>
      <c r="Q563" s="16">
        <v>2</v>
      </c>
      <c r="R563" s="14">
        <v>3</v>
      </c>
      <c r="S563" s="15">
        <v>1</v>
      </c>
      <c r="T563" s="49">
        <f>SUM(Q563:S563)</f>
        <v>6</v>
      </c>
      <c r="U563" s="11">
        <f>P563+T563</f>
        <v>12</v>
      </c>
      <c r="V563" s="98">
        <v>44579</v>
      </c>
    </row>
    <row r="564" spans="1:22" x14ac:dyDescent="0.15">
      <c r="A564" s="24"/>
      <c r="B564" s="8"/>
      <c r="C564" s="9"/>
      <c r="D564" s="10"/>
      <c r="E564" s="49">
        <f t="shared" si="467"/>
        <v>0</v>
      </c>
      <c r="F564" s="12"/>
      <c r="G564" s="9"/>
      <c r="H564" s="10"/>
      <c r="I564" s="49">
        <f t="shared" si="468"/>
        <v>0</v>
      </c>
      <c r="J564" s="11">
        <f t="shared" si="469"/>
        <v>0</v>
      </c>
      <c r="L564" s="108" t="s">
        <v>433</v>
      </c>
      <c r="M564" s="8">
        <v>1</v>
      </c>
      <c r="N564" s="9">
        <v>3</v>
      </c>
      <c r="O564" s="52">
        <v>4</v>
      </c>
      <c r="P564" s="87">
        <f t="shared" ref="P564:P565" si="473">SUM(M564:O564)</f>
        <v>8</v>
      </c>
      <c r="Q564" s="12">
        <v>1</v>
      </c>
      <c r="R564" s="9">
        <v>3</v>
      </c>
      <c r="S564" s="10">
        <v>4</v>
      </c>
      <c r="T564" s="49">
        <f t="shared" ref="T564:T565" si="474">SUM(Q564:S564)</f>
        <v>8</v>
      </c>
      <c r="U564" s="11">
        <f t="shared" ref="U564:U565" si="475">P564+T564</f>
        <v>16</v>
      </c>
      <c r="V564" s="98">
        <v>44580</v>
      </c>
    </row>
    <row r="565" spans="1:22" x14ac:dyDescent="0.15">
      <c r="A565" s="25"/>
      <c r="B565" s="8"/>
      <c r="C565" s="9"/>
      <c r="D565" s="10"/>
      <c r="E565" s="49">
        <f t="shared" si="467"/>
        <v>0</v>
      </c>
      <c r="F565" s="12"/>
      <c r="G565" s="9"/>
      <c r="H565" s="10"/>
      <c r="I565" s="49">
        <f t="shared" si="468"/>
        <v>0</v>
      </c>
      <c r="J565" s="11">
        <f t="shared" si="469"/>
        <v>0</v>
      </c>
      <c r="L565" s="108" t="s">
        <v>434</v>
      </c>
      <c r="M565" s="8">
        <v>7</v>
      </c>
      <c r="N565" s="9">
        <v>9</v>
      </c>
      <c r="O565" s="52">
        <v>6</v>
      </c>
      <c r="P565" s="87">
        <f t="shared" si="473"/>
        <v>22</v>
      </c>
      <c r="Q565" s="12">
        <v>7</v>
      </c>
      <c r="R565" s="9">
        <v>9</v>
      </c>
      <c r="S565" s="10">
        <v>6</v>
      </c>
      <c r="T565" s="49">
        <f t="shared" si="474"/>
        <v>22</v>
      </c>
      <c r="U565" s="11">
        <f t="shared" si="475"/>
        <v>44</v>
      </c>
      <c r="V565" s="98">
        <v>44581</v>
      </c>
    </row>
    <row r="566" spans="1:22" x14ac:dyDescent="0.15">
      <c r="A566" s="26"/>
      <c r="B566" s="8"/>
      <c r="C566" s="9"/>
      <c r="D566" s="10"/>
      <c r="E566" s="49">
        <f t="shared" si="467"/>
        <v>0</v>
      </c>
      <c r="F566" s="12"/>
      <c r="G566" s="9"/>
      <c r="H566" s="10"/>
      <c r="I566" s="49">
        <f t="shared" si="468"/>
        <v>0</v>
      </c>
      <c r="J566" s="11">
        <f t="shared" si="469"/>
        <v>0</v>
      </c>
      <c r="L566" s="108" t="s">
        <v>435</v>
      </c>
      <c r="M566" s="13"/>
      <c r="N566" s="14">
        <v>2</v>
      </c>
      <c r="O566" s="53"/>
      <c r="P566" s="87">
        <f>SUM(M566:O566)</f>
        <v>2</v>
      </c>
      <c r="Q566" s="16"/>
      <c r="R566" s="14">
        <v>2</v>
      </c>
      <c r="S566" s="15"/>
      <c r="T566" s="49">
        <f>SUM(Q566:S566)</f>
        <v>2</v>
      </c>
      <c r="U566" s="11">
        <f>P566+T566</f>
        <v>4</v>
      </c>
      <c r="V566" s="98">
        <v>44582</v>
      </c>
    </row>
    <row r="567" spans="1:22" x14ac:dyDescent="0.15">
      <c r="A567" s="24"/>
      <c r="B567" s="8"/>
      <c r="C567" s="9"/>
      <c r="D567" s="10"/>
      <c r="E567" s="49">
        <f t="shared" si="467"/>
        <v>0</v>
      </c>
      <c r="F567" s="12"/>
      <c r="G567" s="9"/>
      <c r="H567" s="10"/>
      <c r="I567" s="49">
        <f t="shared" si="468"/>
        <v>0</v>
      </c>
      <c r="J567" s="11">
        <f t="shared" si="469"/>
        <v>0</v>
      </c>
      <c r="L567" s="108" t="s">
        <v>436</v>
      </c>
      <c r="M567" s="8"/>
      <c r="N567" s="9">
        <v>1</v>
      </c>
      <c r="O567" s="52">
        <v>1</v>
      </c>
      <c r="P567" s="87">
        <f t="shared" ref="P567" si="476">SUM(M567:O567)</f>
        <v>2</v>
      </c>
      <c r="Q567" s="8"/>
      <c r="R567" s="9">
        <v>1</v>
      </c>
      <c r="S567" s="10">
        <v>1</v>
      </c>
      <c r="T567" s="49">
        <f t="shared" ref="T567" si="477">SUM(Q567:S567)</f>
        <v>2</v>
      </c>
      <c r="U567" s="11">
        <f t="shared" ref="U567" si="478">P567+T567</f>
        <v>4</v>
      </c>
      <c r="V567" s="98">
        <v>44585</v>
      </c>
    </row>
    <row r="568" spans="1:22" x14ac:dyDescent="0.15">
      <c r="B568" s="13"/>
      <c r="C568" s="14"/>
      <c r="D568" s="15"/>
      <c r="E568" s="49">
        <f t="shared" si="467"/>
        <v>0</v>
      </c>
      <c r="F568" s="16"/>
      <c r="G568" s="14"/>
      <c r="H568" s="15"/>
      <c r="I568" s="49">
        <f t="shared" si="468"/>
        <v>0</v>
      </c>
      <c r="J568" s="11">
        <f t="shared" si="469"/>
        <v>0</v>
      </c>
      <c r="L568" s="108" t="s">
        <v>437</v>
      </c>
      <c r="M568" s="13">
        <v>1</v>
      </c>
      <c r="N568" s="14"/>
      <c r="O568" s="53"/>
      <c r="P568" s="87">
        <f>SUM(M568:O568)</f>
        <v>1</v>
      </c>
      <c r="Q568" s="16">
        <v>1</v>
      </c>
      <c r="R568" s="14"/>
      <c r="S568" s="15"/>
      <c r="T568" s="49">
        <f>SUM(Q568:S568)</f>
        <v>1</v>
      </c>
      <c r="U568" s="11">
        <f>P568+T568</f>
        <v>2</v>
      </c>
      <c r="V568" s="98">
        <v>44587</v>
      </c>
    </row>
    <row r="569" spans="1:22" x14ac:dyDescent="0.15">
      <c r="A569" s="26"/>
      <c r="B569" s="8"/>
      <c r="C569" s="9"/>
      <c r="D569" s="10"/>
      <c r="E569" s="49">
        <f t="shared" si="467"/>
        <v>0</v>
      </c>
      <c r="F569" s="12"/>
      <c r="G569" s="9"/>
      <c r="H569" s="10"/>
      <c r="I569" s="49">
        <f t="shared" si="468"/>
        <v>0</v>
      </c>
      <c r="J569" s="11">
        <f t="shared" si="469"/>
        <v>0</v>
      </c>
      <c r="L569" s="108" t="s">
        <v>29</v>
      </c>
      <c r="M569" s="8">
        <v>3</v>
      </c>
      <c r="N569" s="9"/>
      <c r="O569" s="52"/>
      <c r="P569" s="87">
        <f t="shared" ref="P569" si="479">SUM(M569:O569)</f>
        <v>3</v>
      </c>
      <c r="Q569" s="12">
        <v>3</v>
      </c>
      <c r="R569" s="9"/>
      <c r="S569" s="10"/>
      <c r="T569" s="49">
        <f t="shared" ref="T569" si="480">SUM(Q569:S569)</f>
        <v>3</v>
      </c>
      <c r="U569" s="11">
        <f t="shared" ref="U569" si="481">P569+T569</f>
        <v>6</v>
      </c>
      <c r="V569" s="98">
        <v>44593</v>
      </c>
    </row>
    <row r="570" spans="1:22" x14ac:dyDescent="0.15">
      <c r="A570" s="26"/>
      <c r="B570" s="8"/>
      <c r="C570" s="9"/>
      <c r="D570" s="10"/>
      <c r="E570" s="49">
        <f t="shared" si="467"/>
        <v>0</v>
      </c>
      <c r="F570" s="12"/>
      <c r="G570" s="9"/>
      <c r="H570" s="10"/>
      <c r="I570" s="49">
        <f t="shared" si="468"/>
        <v>0</v>
      </c>
      <c r="J570" s="11">
        <f t="shared" si="469"/>
        <v>0</v>
      </c>
      <c r="L570" s="86"/>
      <c r="M570" s="8"/>
      <c r="N570" s="9"/>
      <c r="O570" s="52"/>
      <c r="P570" s="87">
        <f t="shared" ref="P570:P573" si="482">SUM(M570:O570)</f>
        <v>0</v>
      </c>
      <c r="Q570" s="12"/>
      <c r="R570" s="9"/>
      <c r="S570" s="10"/>
      <c r="T570" s="49">
        <f t="shared" ref="T570:T573" si="483">SUM(Q570:S570)</f>
        <v>0</v>
      </c>
      <c r="U570" s="11">
        <f t="shared" ref="U570" si="484">P570+T570</f>
        <v>0</v>
      </c>
      <c r="V570" s="100"/>
    </row>
    <row r="571" spans="1:22" x14ac:dyDescent="0.15">
      <c r="A571" s="26"/>
      <c r="B571" s="8"/>
      <c r="C571" s="9"/>
      <c r="D571" s="10"/>
      <c r="E571" s="49">
        <f t="shared" si="467"/>
        <v>0</v>
      </c>
      <c r="F571" s="12"/>
      <c r="G571" s="9"/>
      <c r="H571" s="10"/>
      <c r="I571" s="49">
        <f t="shared" si="468"/>
        <v>0</v>
      </c>
      <c r="J571" s="11">
        <f t="shared" si="469"/>
        <v>0</v>
      </c>
      <c r="L571" s="86" t="s">
        <v>496</v>
      </c>
      <c r="M571" s="8"/>
      <c r="N571" s="9"/>
      <c r="O571" s="52"/>
      <c r="P571" s="87">
        <f t="shared" ref="P571:P572" si="485">SUM(M571:O571)</f>
        <v>0</v>
      </c>
      <c r="Q571" s="12"/>
      <c r="R571" s="9"/>
      <c r="S571" s="10"/>
      <c r="T571" s="49">
        <f t="shared" ref="T571:T572" si="486">SUM(Q571:S571)</f>
        <v>0</v>
      </c>
      <c r="U571" s="11">
        <f t="shared" ref="U571:U572" si="487">P571+T571</f>
        <v>0</v>
      </c>
      <c r="V571" s="98">
        <v>44543</v>
      </c>
    </row>
    <row r="572" spans="1:22" ht="14.25" thickBot="1" x14ac:dyDescent="0.2">
      <c r="A572" s="23"/>
      <c r="B572" s="13"/>
      <c r="C572" s="14"/>
      <c r="D572" s="15"/>
      <c r="E572" s="49">
        <f>SUM(B572:D572)</f>
        <v>0</v>
      </c>
      <c r="F572" s="16"/>
      <c r="G572" s="14"/>
      <c r="H572" s="15"/>
      <c r="I572" s="49">
        <f>SUM(F572:H572)</f>
        <v>0</v>
      </c>
      <c r="J572" s="11">
        <f>E572+I572</f>
        <v>0</v>
      </c>
      <c r="L572" s="86" t="s">
        <v>219</v>
      </c>
      <c r="M572" s="8"/>
      <c r="N572" s="9"/>
      <c r="O572" s="52"/>
      <c r="P572" s="87">
        <f t="shared" si="485"/>
        <v>0</v>
      </c>
      <c r="Q572" s="12"/>
      <c r="R572" s="9"/>
      <c r="S572" s="10"/>
      <c r="T572" s="49">
        <f t="shared" si="486"/>
        <v>0</v>
      </c>
      <c r="U572" s="11">
        <f t="shared" si="487"/>
        <v>0</v>
      </c>
      <c r="V572" s="100" t="s">
        <v>220</v>
      </c>
    </row>
    <row r="573" spans="1:22" ht="14.25" thickBot="1" x14ac:dyDescent="0.2">
      <c r="A573" s="41" t="s">
        <v>17</v>
      </c>
      <c r="B573" s="46">
        <f>SUM(B547:B572)</f>
        <v>7</v>
      </c>
      <c r="C573" s="47">
        <f t="shared" ref="C573:D573" si="488">SUM(C547:C572)</f>
        <v>4</v>
      </c>
      <c r="D573" s="58">
        <f t="shared" si="488"/>
        <v>6</v>
      </c>
      <c r="E573" s="45">
        <f t="shared" ref="E573" si="489">SUM(B573:D573)</f>
        <v>17</v>
      </c>
      <c r="F573" s="46">
        <f>SUM(F547:F572)</f>
        <v>6</v>
      </c>
      <c r="G573" s="47">
        <f t="shared" ref="G573:H573" si="490">SUM(G547:G572)</f>
        <v>4</v>
      </c>
      <c r="H573" s="58">
        <f t="shared" si="490"/>
        <v>6</v>
      </c>
      <c r="I573" s="45">
        <f t="shared" ref="I573" si="491">SUM(F573:H573)</f>
        <v>16</v>
      </c>
      <c r="J573" s="45">
        <f>E573+I573</f>
        <v>33</v>
      </c>
      <c r="L573" s="41" t="s">
        <v>17</v>
      </c>
      <c r="M573" s="46">
        <f>SUM(M547:M572)</f>
        <v>83</v>
      </c>
      <c r="N573" s="47">
        <f t="shared" ref="N573:O573" si="492">SUM(N547:N572)</f>
        <v>93</v>
      </c>
      <c r="O573" s="58">
        <f t="shared" si="492"/>
        <v>73</v>
      </c>
      <c r="P573" s="45">
        <f t="shared" si="482"/>
        <v>249</v>
      </c>
      <c r="Q573" s="46">
        <f>SUM(Q547:Q572)</f>
        <v>83</v>
      </c>
      <c r="R573" s="47">
        <f t="shared" ref="R573:S573" si="493">SUM(R547:R572)</f>
        <v>93</v>
      </c>
      <c r="S573" s="58">
        <f t="shared" si="493"/>
        <v>73</v>
      </c>
      <c r="T573" s="45">
        <f t="shared" si="483"/>
        <v>249</v>
      </c>
      <c r="U573" s="45">
        <f>P573+T573</f>
        <v>498</v>
      </c>
    </row>
    <row r="574" spans="1:22" ht="14.25" thickBot="1" x14ac:dyDescent="0.2">
      <c r="A574" s="22" t="s">
        <v>16</v>
      </c>
      <c r="B574" s="50">
        <f>B546-B573</f>
        <v>4</v>
      </c>
      <c r="C574" s="56">
        <f t="shared" ref="C574:D574" si="494">C546-C573</f>
        <v>3</v>
      </c>
      <c r="D574" s="57">
        <f t="shared" si="494"/>
        <v>4</v>
      </c>
      <c r="E574" s="55">
        <f>SUM(B574:D574)</f>
        <v>11</v>
      </c>
      <c r="F574" s="50">
        <f>F546-F573</f>
        <v>6</v>
      </c>
      <c r="G574" s="56">
        <f t="shared" ref="G574:H574" si="495">G546-G573</f>
        <v>3</v>
      </c>
      <c r="H574" s="57">
        <f t="shared" si="495"/>
        <v>4</v>
      </c>
      <c r="I574" s="55">
        <f>SUM(F574:H574)</f>
        <v>13</v>
      </c>
      <c r="J574" s="31">
        <f>E574+I574</f>
        <v>24</v>
      </c>
      <c r="L574" s="22" t="s">
        <v>16</v>
      </c>
      <c r="M574" s="50">
        <f>M546-M573</f>
        <v>149</v>
      </c>
      <c r="N574" s="56">
        <f t="shared" ref="N574:O574" si="496">N546-N573</f>
        <v>307</v>
      </c>
      <c r="O574" s="57">
        <f t="shared" si="496"/>
        <v>185</v>
      </c>
      <c r="P574" s="55">
        <f>SUM(M574:O574)</f>
        <v>641</v>
      </c>
      <c r="Q574" s="50">
        <f>Q546-Q573</f>
        <v>149</v>
      </c>
      <c r="R574" s="56">
        <f t="shared" ref="R574:S574" si="497">R546-R573</f>
        <v>307</v>
      </c>
      <c r="S574" s="57">
        <f t="shared" si="497"/>
        <v>185</v>
      </c>
      <c r="T574" s="55">
        <f>SUM(Q574:S574)</f>
        <v>641</v>
      </c>
      <c r="U574" s="31">
        <f>P574+T574</f>
        <v>1282</v>
      </c>
      <c r="V574" s="97" t="s">
        <v>590</v>
      </c>
    </row>
    <row r="575" spans="1:22" ht="19.5" thickBot="1" x14ac:dyDescent="0.25">
      <c r="A575" s="3" t="s">
        <v>20</v>
      </c>
      <c r="B575" s="1"/>
      <c r="C575" s="1"/>
      <c r="D575" s="1"/>
      <c r="E575" s="1"/>
      <c r="F575" s="1"/>
      <c r="G575" s="1"/>
      <c r="H575" s="1"/>
      <c r="I575" s="1"/>
      <c r="J575" s="1"/>
      <c r="L575" s="112" t="s">
        <v>21</v>
      </c>
      <c r="M575" s="112"/>
      <c r="N575" s="112"/>
      <c r="O575" s="112"/>
      <c r="P575" s="112"/>
      <c r="Q575" s="112"/>
      <c r="R575" s="112"/>
      <c r="S575" s="112"/>
      <c r="T575" s="112"/>
      <c r="U575" s="1"/>
      <c r="V575" s="97" t="s">
        <v>589</v>
      </c>
    </row>
    <row r="576" spans="1:22" ht="14.25" thickBot="1" x14ac:dyDescent="0.2">
      <c r="A576" s="7"/>
      <c r="B576" s="176" t="s">
        <v>22</v>
      </c>
      <c r="C576" s="177"/>
      <c r="D576" s="177"/>
      <c r="E576" s="178"/>
      <c r="F576" s="176" t="s">
        <v>23</v>
      </c>
      <c r="G576" s="177"/>
      <c r="H576" s="177"/>
      <c r="I576" s="179"/>
      <c r="J576" s="174" t="s">
        <v>0</v>
      </c>
      <c r="L576" s="7"/>
      <c r="M576" s="169" t="s">
        <v>22</v>
      </c>
      <c r="N576" s="170"/>
      <c r="O576" s="170"/>
      <c r="P576" s="171"/>
      <c r="Q576" s="169" t="s">
        <v>23</v>
      </c>
      <c r="R576" s="170"/>
      <c r="S576" s="170"/>
      <c r="T576" s="171"/>
      <c r="U576" s="174" t="s">
        <v>0</v>
      </c>
    </row>
    <row r="577" spans="1:23" ht="14.25" thickBot="1" x14ac:dyDescent="0.2">
      <c r="A577" s="7" t="s">
        <v>1</v>
      </c>
      <c r="B577" s="4" t="s">
        <v>2</v>
      </c>
      <c r="C577" s="5" t="s">
        <v>3</v>
      </c>
      <c r="D577" s="6" t="s">
        <v>4</v>
      </c>
      <c r="E577" s="7" t="s">
        <v>5</v>
      </c>
      <c r="F577" s="4" t="s">
        <v>2</v>
      </c>
      <c r="G577" s="5" t="s">
        <v>3</v>
      </c>
      <c r="H577" s="6" t="s">
        <v>4</v>
      </c>
      <c r="I577" s="7" t="s">
        <v>5</v>
      </c>
      <c r="J577" s="175"/>
      <c r="L577" s="7" t="s">
        <v>1</v>
      </c>
      <c r="M577" s="4" t="s">
        <v>2</v>
      </c>
      <c r="N577" s="5" t="s">
        <v>3</v>
      </c>
      <c r="O577" s="6" t="s">
        <v>4</v>
      </c>
      <c r="P577" s="7" t="s">
        <v>5</v>
      </c>
      <c r="Q577" s="4" t="s">
        <v>2</v>
      </c>
      <c r="R577" s="5" t="s">
        <v>3</v>
      </c>
      <c r="S577" s="6" t="s">
        <v>4</v>
      </c>
      <c r="T577" s="7" t="s">
        <v>5</v>
      </c>
      <c r="U577" s="175"/>
    </row>
    <row r="578" spans="1:23" ht="14.25" thickBot="1" x14ac:dyDescent="0.2">
      <c r="A578" s="27" t="s">
        <v>16</v>
      </c>
      <c r="B578" s="38">
        <f>B574</f>
        <v>4</v>
      </c>
      <c r="C578" s="39">
        <f>C574</f>
        <v>3</v>
      </c>
      <c r="D578" s="2">
        <f>D574</f>
        <v>4</v>
      </c>
      <c r="E578" s="36">
        <f>SUM(B578:D578)</f>
        <v>11</v>
      </c>
      <c r="F578" s="38">
        <f>F574</f>
        <v>6</v>
      </c>
      <c r="G578" s="39">
        <f>G574</f>
        <v>3</v>
      </c>
      <c r="H578" s="2">
        <f>H574</f>
        <v>4</v>
      </c>
      <c r="I578" s="36">
        <f>SUM(F578:H578)</f>
        <v>13</v>
      </c>
      <c r="J578" s="36">
        <f>E578+I578</f>
        <v>24</v>
      </c>
      <c r="L578" s="27" t="s">
        <v>16</v>
      </c>
      <c r="M578" s="38">
        <f>M574</f>
        <v>149</v>
      </c>
      <c r="N578" s="39">
        <f>N574</f>
        <v>307</v>
      </c>
      <c r="O578" s="2">
        <f>O574</f>
        <v>185</v>
      </c>
      <c r="P578" s="36">
        <f>SUM(M578:O578)</f>
        <v>641</v>
      </c>
      <c r="Q578" s="38">
        <f>Q574</f>
        <v>149</v>
      </c>
      <c r="R578" s="39">
        <f>R574</f>
        <v>307</v>
      </c>
      <c r="S578" s="2">
        <f>S574</f>
        <v>185</v>
      </c>
      <c r="T578" s="36">
        <f>SUM(Q578:S578)</f>
        <v>641</v>
      </c>
      <c r="U578" s="36">
        <f>P578+T578</f>
        <v>1282</v>
      </c>
    </row>
    <row r="579" spans="1:23" x14ac:dyDescent="0.15">
      <c r="A579" s="25" t="s">
        <v>597</v>
      </c>
      <c r="B579" s="42">
        <v>1</v>
      </c>
      <c r="C579" s="43">
        <v>3</v>
      </c>
      <c r="D579" s="44">
        <v>3</v>
      </c>
      <c r="E579" s="48">
        <f>SUM(B579:D579)</f>
        <v>7</v>
      </c>
      <c r="F579" s="59">
        <v>1</v>
      </c>
      <c r="G579" s="43">
        <v>3</v>
      </c>
      <c r="H579" s="60">
        <v>3</v>
      </c>
      <c r="I579" s="48">
        <f>SUM(F579:H579)</f>
        <v>7</v>
      </c>
      <c r="J579" s="48">
        <f>E579+I579</f>
        <v>14</v>
      </c>
      <c r="K579" s="64">
        <v>44617</v>
      </c>
      <c r="L579" s="25" t="s">
        <v>312</v>
      </c>
      <c r="M579" s="42">
        <v>2</v>
      </c>
      <c r="N579" s="43">
        <v>2</v>
      </c>
      <c r="O579" s="44">
        <v>3</v>
      </c>
      <c r="P579" s="48">
        <f>SUM(M579:O579)</f>
        <v>7</v>
      </c>
      <c r="Q579" s="59">
        <v>2</v>
      </c>
      <c r="R579" s="43">
        <v>2</v>
      </c>
      <c r="S579" s="60">
        <v>3</v>
      </c>
      <c r="T579" s="48">
        <f>SUM(Q579:S579)</f>
        <v>7</v>
      </c>
      <c r="U579" s="48">
        <f>P579+T579</f>
        <v>14</v>
      </c>
      <c r="V579" s="99">
        <v>44625</v>
      </c>
    </row>
    <row r="580" spans="1:23" x14ac:dyDescent="0.15">
      <c r="A580" s="25" t="s">
        <v>52</v>
      </c>
      <c r="B580" s="8">
        <v>1</v>
      </c>
      <c r="C580" s="9"/>
      <c r="D580" s="52"/>
      <c r="E580" s="11">
        <f>SUM(B580:D580)</f>
        <v>1</v>
      </c>
      <c r="F580" s="12">
        <v>1</v>
      </c>
      <c r="G580" s="9"/>
      <c r="H580" s="10"/>
      <c r="I580" s="11">
        <f>SUM(F580:H580)</f>
        <v>1</v>
      </c>
      <c r="J580" s="11">
        <f>E580+I580</f>
        <v>2</v>
      </c>
      <c r="K580" s="64">
        <v>44645</v>
      </c>
      <c r="L580" s="25" t="s">
        <v>8</v>
      </c>
      <c r="M580" s="8"/>
      <c r="N580" s="9"/>
      <c r="O580" s="52"/>
      <c r="P580" s="11">
        <f>SUM(M580:O580)</f>
        <v>0</v>
      </c>
      <c r="Q580" s="8"/>
      <c r="R580" s="9"/>
      <c r="S580" s="52"/>
      <c r="T580" s="11">
        <f>SUM(Q580:S580)</f>
        <v>0</v>
      </c>
      <c r="U580" s="11">
        <f>P580+T580</f>
        <v>0</v>
      </c>
      <c r="V580" s="99"/>
    </row>
    <row r="581" spans="1:23" x14ac:dyDescent="0.15">
      <c r="A581" s="25"/>
      <c r="B581" s="17"/>
      <c r="C581" s="18"/>
      <c r="D581" s="51"/>
      <c r="E581" s="11">
        <f t="shared" ref="E581:E586" si="498">SUM(B581:D581)</f>
        <v>0</v>
      </c>
      <c r="F581" s="20"/>
      <c r="G581" s="18"/>
      <c r="H581" s="19"/>
      <c r="I581" s="11">
        <f t="shared" ref="I581:I586" si="499">SUM(F581:H581)</f>
        <v>0</v>
      </c>
      <c r="J581" s="11">
        <f t="shared" ref="J581:J586" si="500">E581+I581</f>
        <v>0</v>
      </c>
      <c r="L581" s="25" t="s">
        <v>9</v>
      </c>
      <c r="M581" s="8"/>
      <c r="N581" s="9"/>
      <c r="O581" s="52"/>
      <c r="P581" s="11">
        <f>SUM(M581:O581)</f>
        <v>0</v>
      </c>
      <c r="Q581" s="8"/>
      <c r="R581" s="9"/>
      <c r="S581" s="52"/>
      <c r="T581" s="11">
        <f>SUM(Q581:S581)</f>
        <v>0</v>
      </c>
      <c r="U581" s="11">
        <f>P581+T581</f>
        <v>0</v>
      </c>
    </row>
    <row r="582" spans="1:23" x14ac:dyDescent="0.15">
      <c r="A582" s="25"/>
      <c r="B582" s="8"/>
      <c r="C582" s="9"/>
      <c r="D582" s="52"/>
      <c r="E582" s="11">
        <f t="shared" si="498"/>
        <v>0</v>
      </c>
      <c r="F582" s="12"/>
      <c r="G582" s="9"/>
      <c r="H582" s="10"/>
      <c r="I582" s="11">
        <f t="shared" si="499"/>
        <v>0</v>
      </c>
      <c r="J582" s="11">
        <f t="shared" si="500"/>
        <v>0</v>
      </c>
      <c r="L582" s="25" t="s">
        <v>10</v>
      </c>
      <c r="M582" s="8"/>
      <c r="N582" s="9"/>
      <c r="O582" s="52"/>
      <c r="P582" s="11">
        <f t="shared" ref="P582:P583" si="501">SUM(M582:O582)</f>
        <v>0</v>
      </c>
      <c r="Q582" s="12"/>
      <c r="R582" s="9"/>
      <c r="S582" s="10"/>
      <c r="T582" s="11">
        <f t="shared" ref="T582:T583" si="502">SUM(Q582:S582)</f>
        <v>0</v>
      </c>
      <c r="U582" s="11">
        <f t="shared" ref="U582:U583" si="503">P582+T582</f>
        <v>0</v>
      </c>
    </row>
    <row r="583" spans="1:23" x14ac:dyDescent="0.15">
      <c r="A583" s="25"/>
      <c r="B583" s="8"/>
      <c r="C583" s="9"/>
      <c r="D583" s="52"/>
      <c r="E583" s="11">
        <f t="shared" si="498"/>
        <v>0</v>
      </c>
      <c r="F583" s="12"/>
      <c r="G583" s="9"/>
      <c r="H583" s="10"/>
      <c r="I583" s="11">
        <f t="shared" si="499"/>
        <v>0</v>
      </c>
      <c r="J583" s="11">
        <f t="shared" si="500"/>
        <v>0</v>
      </c>
      <c r="L583" s="25" t="s">
        <v>11</v>
      </c>
      <c r="M583" s="8"/>
      <c r="N583" s="9"/>
      <c r="O583" s="52"/>
      <c r="P583" s="11">
        <f t="shared" si="501"/>
        <v>0</v>
      </c>
      <c r="Q583" s="12"/>
      <c r="R583" s="9"/>
      <c r="S583" s="10"/>
      <c r="T583" s="11">
        <f t="shared" si="502"/>
        <v>0</v>
      </c>
      <c r="U583" s="11">
        <f t="shared" si="503"/>
        <v>0</v>
      </c>
    </row>
    <row r="584" spans="1:23" x14ac:dyDescent="0.15">
      <c r="A584" s="25"/>
      <c r="B584" s="8"/>
      <c r="C584" s="9"/>
      <c r="D584" s="52"/>
      <c r="E584" s="11">
        <f t="shared" si="498"/>
        <v>0</v>
      </c>
      <c r="F584" s="12"/>
      <c r="G584" s="9"/>
      <c r="H584" s="10"/>
      <c r="I584" s="11">
        <f t="shared" si="499"/>
        <v>0</v>
      </c>
      <c r="J584" s="11">
        <f t="shared" si="500"/>
        <v>0</v>
      </c>
      <c r="L584" s="25" t="s">
        <v>12</v>
      </c>
      <c r="M584" s="8"/>
      <c r="N584" s="9"/>
      <c r="O584" s="52"/>
      <c r="P584" s="11">
        <f>SUM(M584:O584)</f>
        <v>0</v>
      </c>
      <c r="Q584" s="8"/>
      <c r="R584" s="9"/>
      <c r="S584" s="52"/>
      <c r="T584" s="11">
        <f>SUM(Q584:S584)</f>
        <v>0</v>
      </c>
      <c r="U584" s="11">
        <f>P584+T584</f>
        <v>0</v>
      </c>
      <c r="V584" s="98"/>
    </row>
    <row r="585" spans="1:23" x14ac:dyDescent="0.15">
      <c r="A585" s="25"/>
      <c r="B585" s="13"/>
      <c r="C585" s="14"/>
      <c r="D585" s="53"/>
      <c r="E585" s="11">
        <f t="shared" si="498"/>
        <v>0</v>
      </c>
      <c r="F585" s="16"/>
      <c r="G585" s="14"/>
      <c r="H585" s="15"/>
      <c r="I585" s="11">
        <f t="shared" si="499"/>
        <v>0</v>
      </c>
      <c r="J585" s="11">
        <f t="shared" si="500"/>
        <v>0</v>
      </c>
      <c r="L585" s="25" t="s">
        <v>13</v>
      </c>
      <c r="M585" s="8"/>
      <c r="N585" s="9"/>
      <c r="O585" s="52"/>
      <c r="P585" s="11">
        <f t="shared" ref="P585:P586" si="504">SUM(M585:O585)</f>
        <v>0</v>
      </c>
      <c r="Q585" s="12"/>
      <c r="R585" s="9"/>
      <c r="S585" s="10"/>
      <c r="T585" s="11">
        <f t="shared" ref="T585:T586" si="505">SUM(Q585:S585)</f>
        <v>0</v>
      </c>
      <c r="U585" s="11">
        <f t="shared" ref="U585:U586" si="506">P585+T585</f>
        <v>0</v>
      </c>
      <c r="V585" s="123"/>
    </row>
    <row r="586" spans="1:23" ht="14.25" thickBot="1" x14ac:dyDescent="0.2">
      <c r="A586" s="25"/>
      <c r="B586" s="32"/>
      <c r="C586" s="33"/>
      <c r="D586" s="54"/>
      <c r="E586" s="61">
        <f t="shared" si="498"/>
        <v>0</v>
      </c>
      <c r="F586" s="34"/>
      <c r="G586" s="34"/>
      <c r="H586" s="37"/>
      <c r="I586" s="61">
        <f t="shared" si="499"/>
        <v>0</v>
      </c>
      <c r="J586" s="21">
        <f t="shared" si="500"/>
        <v>0</v>
      </c>
      <c r="L586" s="25" t="s">
        <v>14</v>
      </c>
      <c r="M586" s="32"/>
      <c r="N586" s="33"/>
      <c r="O586" s="54"/>
      <c r="P586" s="61">
        <f t="shared" si="504"/>
        <v>0</v>
      </c>
      <c r="Q586" s="34"/>
      <c r="R586" s="34"/>
      <c r="S586" s="37"/>
      <c r="T586" s="61">
        <f t="shared" si="505"/>
        <v>0</v>
      </c>
      <c r="U586" s="21">
        <f t="shared" si="506"/>
        <v>0</v>
      </c>
    </row>
    <row r="587" spans="1:23" ht="14.25" thickBot="1" x14ac:dyDescent="0.2">
      <c r="A587" s="35" t="s">
        <v>15</v>
      </c>
      <c r="B587" s="28">
        <f>SUM(B578:B586)</f>
        <v>6</v>
      </c>
      <c r="C587" s="29">
        <f>SUM(C578:C586)</f>
        <v>6</v>
      </c>
      <c r="D587" s="30">
        <f>SUM(D578:D586)</f>
        <v>7</v>
      </c>
      <c r="E587" s="31">
        <f>SUM(B587:D587)</f>
        <v>19</v>
      </c>
      <c r="F587" s="28">
        <f>SUM(F578:F586)</f>
        <v>8</v>
      </c>
      <c r="G587" s="29">
        <f>SUM(G578:G586)</f>
        <v>6</v>
      </c>
      <c r="H587" s="30">
        <f>SUM(H578:H586)</f>
        <v>7</v>
      </c>
      <c r="I587" s="31">
        <f>SUM(F587:H587)</f>
        <v>21</v>
      </c>
      <c r="J587" s="31">
        <f>E587+I587</f>
        <v>40</v>
      </c>
      <c r="L587" s="35" t="s">
        <v>15</v>
      </c>
      <c r="M587" s="28">
        <f>SUM(M578:M586)</f>
        <v>151</v>
      </c>
      <c r="N587" s="29">
        <f>SUM(N578:N586)</f>
        <v>309</v>
      </c>
      <c r="O587" s="30">
        <f>SUM(O578:O586)</f>
        <v>188</v>
      </c>
      <c r="P587" s="31">
        <f>SUM(M587:O587)</f>
        <v>648</v>
      </c>
      <c r="Q587" s="28">
        <f>SUM(Q578:Q586)</f>
        <v>151</v>
      </c>
      <c r="R587" s="29">
        <f>SUM(R578:R586)</f>
        <v>309</v>
      </c>
      <c r="S587" s="30">
        <f>SUM(S578:S586)</f>
        <v>188</v>
      </c>
      <c r="T587" s="31">
        <f>SUM(Q587:S587)</f>
        <v>648</v>
      </c>
      <c r="U587" s="31">
        <f>P587+T587</f>
        <v>1296</v>
      </c>
    </row>
    <row r="588" spans="1:23" x14ac:dyDescent="0.15">
      <c r="A588" s="108" t="s">
        <v>586</v>
      </c>
      <c r="B588" s="42">
        <v>1</v>
      </c>
      <c r="C588" s="43"/>
      <c r="D588" s="44"/>
      <c r="E588" s="76">
        <f>SUM(B588:D588)</f>
        <v>1</v>
      </c>
      <c r="F588" s="59">
        <v>1</v>
      </c>
      <c r="G588" s="43"/>
      <c r="H588" s="60"/>
      <c r="I588" s="76">
        <f>SUM(F588:H588)</f>
        <v>1</v>
      </c>
      <c r="J588" s="48">
        <f>E588+I588</f>
        <v>2</v>
      </c>
      <c r="K588" s="62">
        <v>44602</v>
      </c>
      <c r="L588" s="108" t="s">
        <v>583</v>
      </c>
      <c r="M588" s="17"/>
      <c r="N588" s="18">
        <v>4</v>
      </c>
      <c r="O588" s="51">
        <v>2</v>
      </c>
      <c r="P588" s="87">
        <f t="shared" ref="P588:P590" si="507">SUM(M588:O588)</f>
        <v>6</v>
      </c>
      <c r="Q588" s="8"/>
      <c r="R588" s="9">
        <v>4</v>
      </c>
      <c r="S588" s="10">
        <v>2</v>
      </c>
      <c r="T588" s="49">
        <f t="shared" ref="T588:T590" si="508">SUM(Q588:S588)</f>
        <v>6</v>
      </c>
      <c r="U588" s="11">
        <f t="shared" ref="U588:U590" si="509">P588+T588</f>
        <v>12</v>
      </c>
      <c r="V588" s="98">
        <v>44594</v>
      </c>
    </row>
    <row r="589" spans="1:23" x14ac:dyDescent="0.15">
      <c r="A589" s="26" t="s">
        <v>599</v>
      </c>
      <c r="B589" s="8"/>
      <c r="C589" s="9"/>
      <c r="D589" s="10">
        <v>2</v>
      </c>
      <c r="E589" s="49">
        <f t="shared" ref="E589:E612" si="510">SUM(B589:D589)</f>
        <v>2</v>
      </c>
      <c r="F589" s="12"/>
      <c r="G589" s="9">
        <v>2</v>
      </c>
      <c r="H589" s="10"/>
      <c r="I589" s="49">
        <f t="shared" ref="I589:I612" si="511">SUM(F589:H589)</f>
        <v>2</v>
      </c>
      <c r="J589" s="11">
        <f t="shared" ref="J589:J612" si="512">E589+I589</f>
        <v>4</v>
      </c>
      <c r="K589" s="62">
        <v>44623</v>
      </c>
      <c r="L589" s="108" t="s">
        <v>439</v>
      </c>
      <c r="M589" s="8">
        <v>2</v>
      </c>
      <c r="N589" s="9">
        <v>6</v>
      </c>
      <c r="O589" s="52">
        <v>2</v>
      </c>
      <c r="P589" s="87">
        <f t="shared" si="507"/>
        <v>10</v>
      </c>
      <c r="Q589" s="12">
        <v>2</v>
      </c>
      <c r="R589" s="9">
        <v>6</v>
      </c>
      <c r="S589" s="10">
        <v>2</v>
      </c>
      <c r="T589" s="49">
        <f t="shared" si="508"/>
        <v>10</v>
      </c>
      <c r="U589" s="11">
        <f t="shared" si="509"/>
        <v>20</v>
      </c>
      <c r="V589" s="98">
        <v>44595</v>
      </c>
    </row>
    <row r="590" spans="1:23" x14ac:dyDescent="0.15">
      <c r="A590" s="108" t="s">
        <v>558</v>
      </c>
      <c r="B590" s="8">
        <v>2</v>
      </c>
      <c r="C590" s="9">
        <v>2</v>
      </c>
      <c r="D590" s="10">
        <v>3</v>
      </c>
      <c r="E590" s="49">
        <f t="shared" si="510"/>
        <v>7</v>
      </c>
      <c r="F590" s="12">
        <v>2</v>
      </c>
      <c r="G590" s="9">
        <v>2</v>
      </c>
      <c r="H590" s="10">
        <v>3</v>
      </c>
      <c r="I590" s="49">
        <f t="shared" si="511"/>
        <v>7</v>
      </c>
      <c r="J590" s="11">
        <f t="shared" si="512"/>
        <v>14</v>
      </c>
      <c r="K590" s="62">
        <v>44625</v>
      </c>
      <c r="L590" s="108" t="s">
        <v>440</v>
      </c>
      <c r="M590" s="8">
        <v>4</v>
      </c>
      <c r="N590" s="9">
        <v>6</v>
      </c>
      <c r="O590" s="52">
        <v>4</v>
      </c>
      <c r="P590" s="87">
        <f t="shared" si="507"/>
        <v>14</v>
      </c>
      <c r="Q590" s="12">
        <v>4</v>
      </c>
      <c r="R590" s="9">
        <v>6</v>
      </c>
      <c r="S590" s="10">
        <v>4</v>
      </c>
      <c r="T590" s="49">
        <f t="shared" si="508"/>
        <v>14</v>
      </c>
      <c r="U590" s="11">
        <f t="shared" si="509"/>
        <v>28</v>
      </c>
      <c r="V590" s="98">
        <v>44596</v>
      </c>
    </row>
    <row r="591" spans="1:23" x14ac:dyDescent="0.15">
      <c r="A591" s="26" t="s">
        <v>499</v>
      </c>
      <c r="B591" s="8"/>
      <c r="C591" s="9">
        <v>1</v>
      </c>
      <c r="D591" s="10"/>
      <c r="E591" s="49">
        <f t="shared" si="510"/>
        <v>1</v>
      </c>
      <c r="F591" s="12"/>
      <c r="G591" s="9"/>
      <c r="H591" s="10"/>
      <c r="I591" s="49">
        <f t="shared" si="511"/>
        <v>0</v>
      </c>
      <c r="J591" s="11">
        <f t="shared" si="512"/>
        <v>1</v>
      </c>
      <c r="K591" s="62">
        <v>44642</v>
      </c>
      <c r="L591" s="108" t="s">
        <v>441</v>
      </c>
      <c r="M591" s="13"/>
      <c r="N591" s="14">
        <v>4</v>
      </c>
      <c r="O591" s="53"/>
      <c r="P591" s="87">
        <f>SUM(M591:O591)</f>
        <v>4</v>
      </c>
      <c r="Q591" s="16"/>
      <c r="R591" s="14">
        <v>4</v>
      </c>
      <c r="S591" s="15"/>
      <c r="T591" s="49">
        <f>SUM(Q591:S591)</f>
        <v>4</v>
      </c>
      <c r="U591" s="11">
        <f>P591+T591</f>
        <v>8</v>
      </c>
      <c r="V591" s="98">
        <v>44599</v>
      </c>
    </row>
    <row r="592" spans="1:23" x14ac:dyDescent="0.15">
      <c r="A592" s="108" t="s">
        <v>609</v>
      </c>
      <c r="B592" s="8">
        <v>1</v>
      </c>
      <c r="C592" s="9"/>
      <c r="D592" s="10"/>
      <c r="E592" s="49">
        <f t="shared" si="510"/>
        <v>1</v>
      </c>
      <c r="F592" s="12">
        <v>1</v>
      </c>
      <c r="G592" s="9"/>
      <c r="H592" s="10"/>
      <c r="I592" s="49">
        <f t="shared" si="511"/>
        <v>1</v>
      </c>
      <c r="J592" s="11">
        <f t="shared" si="512"/>
        <v>2</v>
      </c>
      <c r="K592" s="62">
        <v>44650</v>
      </c>
      <c r="L592" s="108" t="s">
        <v>442</v>
      </c>
      <c r="M592" s="8">
        <v>10</v>
      </c>
      <c r="N592" s="9">
        <v>3</v>
      </c>
      <c r="O592" s="52">
        <v>8</v>
      </c>
      <c r="P592" s="87">
        <f t="shared" ref="P592:P603" si="513">SUM(M592:O592)</f>
        <v>21</v>
      </c>
      <c r="Q592" s="12">
        <v>10</v>
      </c>
      <c r="R592" s="9">
        <v>3</v>
      </c>
      <c r="S592" s="10">
        <v>8</v>
      </c>
      <c r="T592" s="49">
        <f t="shared" ref="T592:T603" si="514">SUM(Q592:S592)</f>
        <v>21</v>
      </c>
      <c r="U592" s="11">
        <f t="shared" ref="U592:U603" si="515">P592+T592</f>
        <v>42</v>
      </c>
      <c r="V592" s="98">
        <v>44600</v>
      </c>
      <c r="W592" s="66"/>
    </row>
    <row r="593" spans="1:23" x14ac:dyDescent="0.15">
      <c r="A593" s="26"/>
      <c r="B593" s="8"/>
      <c r="C593" s="9"/>
      <c r="D593" s="10"/>
      <c r="E593" s="49">
        <f t="shared" si="510"/>
        <v>0</v>
      </c>
      <c r="F593" s="12"/>
      <c r="G593" s="9"/>
      <c r="H593" s="10"/>
      <c r="I593" s="49">
        <f t="shared" si="511"/>
        <v>0</v>
      </c>
      <c r="J593" s="11">
        <f t="shared" si="512"/>
        <v>0</v>
      </c>
      <c r="L593" s="108" t="s">
        <v>443</v>
      </c>
      <c r="M593" s="8">
        <v>7</v>
      </c>
      <c r="N593" s="9"/>
      <c r="O593" s="52">
        <v>8</v>
      </c>
      <c r="P593" s="87">
        <f t="shared" si="513"/>
        <v>15</v>
      </c>
      <c r="Q593" s="12">
        <v>7</v>
      </c>
      <c r="R593" s="9"/>
      <c r="S593" s="10">
        <v>8</v>
      </c>
      <c r="T593" s="49">
        <f t="shared" si="514"/>
        <v>15</v>
      </c>
      <c r="U593" s="11">
        <f t="shared" si="515"/>
        <v>30</v>
      </c>
      <c r="V593" s="98">
        <v>44601</v>
      </c>
      <c r="W593" s="66"/>
    </row>
    <row r="594" spans="1:23" x14ac:dyDescent="0.15">
      <c r="A594" s="26"/>
      <c r="B594" s="8"/>
      <c r="C594" s="9"/>
      <c r="D594" s="10"/>
      <c r="E594" s="49">
        <f t="shared" si="510"/>
        <v>0</v>
      </c>
      <c r="F594" s="12"/>
      <c r="G594" s="9"/>
      <c r="H594" s="10"/>
      <c r="I594" s="49">
        <f t="shared" si="511"/>
        <v>0</v>
      </c>
      <c r="J594" s="11">
        <f t="shared" si="512"/>
        <v>0</v>
      </c>
      <c r="L594" s="108" t="s">
        <v>587</v>
      </c>
      <c r="M594" s="8">
        <v>7</v>
      </c>
      <c r="N594" s="9">
        <v>7</v>
      </c>
      <c r="O594" s="52"/>
      <c r="P594" s="87">
        <f t="shared" si="513"/>
        <v>14</v>
      </c>
      <c r="Q594" s="12">
        <v>7</v>
      </c>
      <c r="R594" s="9">
        <v>7</v>
      </c>
      <c r="S594" s="10"/>
      <c r="T594" s="49">
        <f t="shared" si="514"/>
        <v>14</v>
      </c>
      <c r="U594" s="11">
        <f t="shared" si="515"/>
        <v>28</v>
      </c>
      <c r="V594" s="98">
        <v>44602</v>
      </c>
    </row>
    <row r="595" spans="1:23" x14ac:dyDescent="0.15">
      <c r="A595" s="26"/>
      <c r="B595" s="8"/>
      <c r="C595" s="9"/>
      <c r="D595" s="10"/>
      <c r="E595" s="49">
        <f t="shared" si="510"/>
        <v>0</v>
      </c>
      <c r="F595" s="12"/>
      <c r="G595" s="9"/>
      <c r="H595" s="10"/>
      <c r="I595" s="49">
        <f t="shared" si="511"/>
        <v>0</v>
      </c>
      <c r="J595" s="11">
        <f t="shared" si="512"/>
        <v>0</v>
      </c>
      <c r="L595" s="108" t="s">
        <v>447</v>
      </c>
      <c r="M595" s="8">
        <v>5</v>
      </c>
      <c r="N595" s="9">
        <v>5</v>
      </c>
      <c r="O595" s="52">
        <v>7</v>
      </c>
      <c r="P595" s="87">
        <f t="shared" si="513"/>
        <v>17</v>
      </c>
      <c r="Q595" s="12">
        <v>5</v>
      </c>
      <c r="R595" s="9">
        <v>5</v>
      </c>
      <c r="S595" s="10">
        <v>7</v>
      </c>
      <c r="T595" s="49">
        <f t="shared" si="514"/>
        <v>17</v>
      </c>
      <c r="U595" s="11">
        <f t="shared" si="515"/>
        <v>34</v>
      </c>
      <c r="V595" s="98">
        <v>44606</v>
      </c>
    </row>
    <row r="596" spans="1:23" x14ac:dyDescent="0.15">
      <c r="A596" s="26"/>
      <c r="B596" s="8"/>
      <c r="C596" s="9"/>
      <c r="D596" s="10"/>
      <c r="E596" s="49">
        <f t="shared" si="510"/>
        <v>0</v>
      </c>
      <c r="F596" s="12"/>
      <c r="G596" s="9"/>
      <c r="H596" s="10"/>
      <c r="I596" s="49">
        <f t="shared" si="511"/>
        <v>0</v>
      </c>
      <c r="J596" s="11">
        <f t="shared" si="512"/>
        <v>0</v>
      </c>
      <c r="L596" s="108" t="s">
        <v>448</v>
      </c>
      <c r="M596" s="8">
        <v>4</v>
      </c>
      <c r="N596" s="9">
        <v>2</v>
      </c>
      <c r="O596" s="52"/>
      <c r="P596" s="87">
        <f t="shared" si="513"/>
        <v>6</v>
      </c>
      <c r="Q596" s="12">
        <v>4</v>
      </c>
      <c r="R596" s="9">
        <v>2</v>
      </c>
      <c r="S596" s="10"/>
      <c r="T596" s="49">
        <f t="shared" si="514"/>
        <v>6</v>
      </c>
      <c r="U596" s="11">
        <f t="shared" si="515"/>
        <v>12</v>
      </c>
      <c r="V596" s="98">
        <v>44607</v>
      </c>
      <c r="W596" s="66"/>
    </row>
    <row r="597" spans="1:23" x14ac:dyDescent="0.15">
      <c r="A597" s="26"/>
      <c r="B597" s="13"/>
      <c r="C597" s="14"/>
      <c r="D597" s="15"/>
      <c r="E597" s="49">
        <f t="shared" si="510"/>
        <v>0</v>
      </c>
      <c r="F597" s="16"/>
      <c r="G597" s="14"/>
      <c r="H597" s="15"/>
      <c r="I597" s="49">
        <f t="shared" si="511"/>
        <v>0</v>
      </c>
      <c r="J597" s="11">
        <f t="shared" si="512"/>
        <v>0</v>
      </c>
      <c r="L597" s="108" t="s">
        <v>450</v>
      </c>
      <c r="M597" s="13">
        <v>2</v>
      </c>
      <c r="N597" s="14">
        <v>4</v>
      </c>
      <c r="O597" s="53">
        <v>6</v>
      </c>
      <c r="P597" s="87">
        <f t="shared" si="513"/>
        <v>12</v>
      </c>
      <c r="Q597" s="16">
        <v>2</v>
      </c>
      <c r="R597" s="14">
        <v>4</v>
      </c>
      <c r="S597" s="15">
        <v>6</v>
      </c>
      <c r="T597" s="49">
        <f t="shared" si="514"/>
        <v>12</v>
      </c>
      <c r="U597" s="11">
        <f t="shared" si="515"/>
        <v>24</v>
      </c>
      <c r="V597" s="98">
        <v>44608</v>
      </c>
    </row>
    <row r="598" spans="1:23" x14ac:dyDescent="0.15">
      <c r="A598" s="26"/>
      <c r="B598" s="8"/>
      <c r="C598" s="9"/>
      <c r="D598" s="10"/>
      <c r="E598" s="49">
        <f t="shared" si="510"/>
        <v>0</v>
      </c>
      <c r="F598" s="12"/>
      <c r="G598" s="9"/>
      <c r="H598" s="10"/>
      <c r="I598" s="49">
        <f t="shared" si="511"/>
        <v>0</v>
      </c>
      <c r="J598" s="11">
        <f t="shared" si="512"/>
        <v>0</v>
      </c>
      <c r="L598" s="108" t="s">
        <v>451</v>
      </c>
      <c r="M598" s="8">
        <v>4</v>
      </c>
      <c r="N598" s="9">
        <v>4</v>
      </c>
      <c r="O598" s="52">
        <v>5</v>
      </c>
      <c r="P598" s="87">
        <f t="shared" si="513"/>
        <v>13</v>
      </c>
      <c r="Q598" s="12">
        <v>4</v>
      </c>
      <c r="R598" s="9">
        <v>4</v>
      </c>
      <c r="S598" s="10">
        <v>5</v>
      </c>
      <c r="T598" s="49">
        <f t="shared" si="514"/>
        <v>13</v>
      </c>
      <c r="U598" s="11">
        <f t="shared" si="515"/>
        <v>26</v>
      </c>
      <c r="V598" s="98">
        <v>44609</v>
      </c>
    </row>
    <row r="599" spans="1:23" x14ac:dyDescent="0.15">
      <c r="A599" s="26"/>
      <c r="B599" s="8"/>
      <c r="C599" s="9"/>
      <c r="D599" s="10"/>
      <c r="E599" s="49">
        <f t="shared" si="510"/>
        <v>0</v>
      </c>
      <c r="F599" s="12"/>
      <c r="G599" s="9"/>
      <c r="H599" s="10"/>
      <c r="I599" s="49">
        <f t="shared" si="511"/>
        <v>0</v>
      </c>
      <c r="J599" s="11">
        <f t="shared" si="512"/>
        <v>0</v>
      </c>
      <c r="L599" s="108" t="s">
        <v>453</v>
      </c>
      <c r="M599" s="8"/>
      <c r="N599" s="9">
        <v>1</v>
      </c>
      <c r="O599" s="52"/>
      <c r="P599" s="87">
        <f t="shared" si="513"/>
        <v>1</v>
      </c>
      <c r="Q599" s="12"/>
      <c r="R599" s="9">
        <v>1</v>
      </c>
      <c r="S599" s="10"/>
      <c r="T599" s="49">
        <f t="shared" si="514"/>
        <v>1</v>
      </c>
      <c r="U599" s="11">
        <f t="shared" si="515"/>
        <v>2</v>
      </c>
      <c r="V599" s="98">
        <v>44610</v>
      </c>
    </row>
    <row r="600" spans="1:23" x14ac:dyDescent="0.15">
      <c r="A600" s="26"/>
      <c r="B600" s="8"/>
      <c r="C600" s="9"/>
      <c r="D600" s="10"/>
      <c r="E600" s="49">
        <f t="shared" si="510"/>
        <v>0</v>
      </c>
      <c r="F600" s="12"/>
      <c r="G600" s="9"/>
      <c r="H600" s="10"/>
      <c r="I600" s="49">
        <f t="shared" si="511"/>
        <v>0</v>
      </c>
      <c r="J600" s="11">
        <f t="shared" si="512"/>
        <v>0</v>
      </c>
      <c r="L600" s="108" t="s">
        <v>454</v>
      </c>
      <c r="M600" s="8"/>
      <c r="N600" s="9"/>
      <c r="O600" s="52">
        <v>3</v>
      </c>
      <c r="P600" s="87">
        <f t="shared" si="513"/>
        <v>3</v>
      </c>
      <c r="Q600" s="12"/>
      <c r="R600" s="9"/>
      <c r="S600" s="10">
        <v>3</v>
      </c>
      <c r="T600" s="49">
        <f t="shared" si="514"/>
        <v>3</v>
      </c>
      <c r="U600" s="11">
        <f t="shared" si="515"/>
        <v>6</v>
      </c>
      <c r="V600" s="98">
        <v>44613</v>
      </c>
    </row>
    <row r="601" spans="1:23" x14ac:dyDescent="0.15">
      <c r="A601" s="26"/>
      <c r="B601" s="8"/>
      <c r="C601" s="9"/>
      <c r="D601" s="10"/>
      <c r="E601" s="49">
        <f t="shared" si="510"/>
        <v>0</v>
      </c>
      <c r="F601" s="12"/>
      <c r="G601" s="9"/>
      <c r="H601" s="10"/>
      <c r="I601" s="49">
        <f t="shared" si="511"/>
        <v>0</v>
      </c>
      <c r="J601" s="11">
        <f t="shared" si="512"/>
        <v>0</v>
      </c>
      <c r="L601" s="108" t="s">
        <v>455</v>
      </c>
      <c r="M601" s="8"/>
      <c r="N601" s="9">
        <v>1</v>
      </c>
      <c r="O601" s="52">
        <v>3</v>
      </c>
      <c r="P601" s="87">
        <f t="shared" si="513"/>
        <v>4</v>
      </c>
      <c r="Q601" s="12"/>
      <c r="R601" s="9">
        <v>1</v>
      </c>
      <c r="S601" s="10">
        <v>3</v>
      </c>
      <c r="T601" s="49">
        <f t="shared" si="514"/>
        <v>4</v>
      </c>
      <c r="U601" s="11">
        <f t="shared" si="515"/>
        <v>8</v>
      </c>
      <c r="V601" s="98">
        <v>44614</v>
      </c>
    </row>
    <row r="602" spans="1:23" x14ac:dyDescent="0.15">
      <c r="A602" s="26"/>
      <c r="B602" s="8"/>
      <c r="C602" s="9"/>
      <c r="D602" s="10"/>
      <c r="E602" s="49">
        <f t="shared" si="510"/>
        <v>0</v>
      </c>
      <c r="F602" s="12"/>
      <c r="G602" s="9"/>
      <c r="H602" s="10"/>
      <c r="I602" s="49">
        <f t="shared" si="511"/>
        <v>0</v>
      </c>
      <c r="J602" s="11">
        <f t="shared" si="512"/>
        <v>0</v>
      </c>
      <c r="L602" s="108" t="s">
        <v>460</v>
      </c>
      <c r="M602" s="8">
        <v>1</v>
      </c>
      <c r="N602" s="9">
        <v>2</v>
      </c>
      <c r="O602" s="52">
        <v>6</v>
      </c>
      <c r="P602" s="87">
        <f t="shared" si="513"/>
        <v>9</v>
      </c>
      <c r="Q602" s="12">
        <v>1</v>
      </c>
      <c r="R602" s="9">
        <v>2</v>
      </c>
      <c r="S602" s="10">
        <v>6</v>
      </c>
      <c r="T602" s="49">
        <f t="shared" si="514"/>
        <v>9</v>
      </c>
      <c r="U602" s="11">
        <f t="shared" si="515"/>
        <v>18</v>
      </c>
      <c r="V602" s="98">
        <v>44616</v>
      </c>
    </row>
    <row r="603" spans="1:23" x14ac:dyDescent="0.15">
      <c r="A603" s="26"/>
      <c r="B603" s="8"/>
      <c r="C603" s="9"/>
      <c r="D603" s="10"/>
      <c r="E603" s="49">
        <f t="shared" si="510"/>
        <v>0</v>
      </c>
      <c r="F603" s="12"/>
      <c r="G603" s="9"/>
      <c r="H603" s="10"/>
      <c r="I603" s="49">
        <f t="shared" si="511"/>
        <v>0</v>
      </c>
      <c r="J603" s="11">
        <f t="shared" si="512"/>
        <v>0</v>
      </c>
      <c r="L603" s="108" t="s">
        <v>461</v>
      </c>
      <c r="M603" s="8">
        <v>2</v>
      </c>
      <c r="N603" s="9">
        <v>1</v>
      </c>
      <c r="O603" s="52"/>
      <c r="P603" s="87">
        <f t="shared" si="513"/>
        <v>3</v>
      </c>
      <c r="Q603" s="12">
        <v>2</v>
      </c>
      <c r="R603" s="9">
        <v>1</v>
      </c>
      <c r="S603" s="10"/>
      <c r="T603" s="49">
        <f t="shared" si="514"/>
        <v>3</v>
      </c>
      <c r="U603" s="11">
        <f t="shared" si="515"/>
        <v>6</v>
      </c>
      <c r="V603" s="98">
        <v>44617</v>
      </c>
    </row>
    <row r="604" spans="1:23" x14ac:dyDescent="0.15">
      <c r="A604" s="26"/>
      <c r="B604" s="8"/>
      <c r="C604" s="9"/>
      <c r="D604" s="10"/>
      <c r="E604" s="49">
        <f t="shared" si="510"/>
        <v>0</v>
      </c>
      <c r="F604" s="12"/>
      <c r="G604" s="9"/>
      <c r="H604" s="10"/>
      <c r="I604" s="49">
        <f t="shared" si="511"/>
        <v>0</v>
      </c>
      <c r="J604" s="11">
        <f t="shared" si="512"/>
        <v>0</v>
      </c>
      <c r="L604" s="108" t="s">
        <v>462</v>
      </c>
      <c r="M604" s="13"/>
      <c r="N604" s="14"/>
      <c r="O604" s="53">
        <v>1</v>
      </c>
      <c r="P604" s="87">
        <f>SUM(M604:O604)</f>
        <v>1</v>
      </c>
      <c r="Q604" s="16"/>
      <c r="R604" s="14"/>
      <c r="S604" s="15">
        <v>1</v>
      </c>
      <c r="T604" s="49">
        <f>SUM(Q604:S604)</f>
        <v>1</v>
      </c>
      <c r="U604" s="11">
        <f>P604+T604</f>
        <v>2</v>
      </c>
      <c r="V604" s="98">
        <v>44620</v>
      </c>
    </row>
    <row r="605" spans="1:23" x14ac:dyDescent="0.15">
      <c r="A605" s="24"/>
      <c r="B605" s="8"/>
      <c r="C605" s="9"/>
      <c r="D605" s="10"/>
      <c r="E605" s="49">
        <f t="shared" si="510"/>
        <v>0</v>
      </c>
      <c r="F605" s="12"/>
      <c r="G605" s="9"/>
      <c r="H605" s="10"/>
      <c r="I605" s="49">
        <f t="shared" si="511"/>
        <v>0</v>
      </c>
      <c r="J605" s="11">
        <f t="shared" si="512"/>
        <v>0</v>
      </c>
      <c r="L605" s="108" t="s">
        <v>464</v>
      </c>
      <c r="M605" s="8"/>
      <c r="N605" s="9">
        <v>4</v>
      </c>
      <c r="O605" s="52"/>
      <c r="P605" s="87">
        <f t="shared" ref="P605:P606" si="516">SUM(M605:O605)</f>
        <v>4</v>
      </c>
      <c r="Q605" s="12"/>
      <c r="R605" s="9">
        <v>4</v>
      </c>
      <c r="S605" s="10"/>
      <c r="T605" s="49">
        <f t="shared" ref="T605:T606" si="517">SUM(Q605:S605)</f>
        <v>4</v>
      </c>
      <c r="U605" s="11">
        <f t="shared" ref="U605:U606" si="518">P605+T605</f>
        <v>8</v>
      </c>
      <c r="V605" s="98">
        <v>44621</v>
      </c>
    </row>
    <row r="606" spans="1:23" x14ac:dyDescent="0.15">
      <c r="A606" s="25"/>
      <c r="B606" s="8"/>
      <c r="C606" s="9"/>
      <c r="D606" s="10"/>
      <c r="E606" s="49">
        <f t="shared" si="510"/>
        <v>0</v>
      </c>
      <c r="F606" s="12"/>
      <c r="G606" s="9"/>
      <c r="H606" s="10"/>
      <c r="I606" s="49">
        <f t="shared" si="511"/>
        <v>0</v>
      </c>
      <c r="J606" s="11">
        <f t="shared" si="512"/>
        <v>0</v>
      </c>
      <c r="L606" s="108" t="s">
        <v>465</v>
      </c>
      <c r="M606" s="8"/>
      <c r="N606" s="9">
        <v>4</v>
      </c>
      <c r="O606" s="52"/>
      <c r="P606" s="87">
        <f t="shared" si="516"/>
        <v>4</v>
      </c>
      <c r="Q606" s="12"/>
      <c r="R606" s="9">
        <v>4</v>
      </c>
      <c r="S606" s="10"/>
      <c r="T606" s="49">
        <f t="shared" si="517"/>
        <v>4</v>
      </c>
      <c r="U606" s="11">
        <f t="shared" si="518"/>
        <v>8</v>
      </c>
      <c r="V606" s="98">
        <v>44627</v>
      </c>
    </row>
    <row r="607" spans="1:23" x14ac:dyDescent="0.15">
      <c r="A607" s="26"/>
      <c r="B607" s="8"/>
      <c r="C607" s="9"/>
      <c r="D607" s="10"/>
      <c r="E607" s="49">
        <f t="shared" si="510"/>
        <v>0</v>
      </c>
      <c r="F607" s="12"/>
      <c r="G607" s="9"/>
      <c r="H607" s="10"/>
      <c r="I607" s="49">
        <f t="shared" si="511"/>
        <v>0</v>
      </c>
      <c r="J607" s="11">
        <f t="shared" si="512"/>
        <v>0</v>
      </c>
      <c r="L607" s="108" t="s">
        <v>466</v>
      </c>
      <c r="M607" s="13">
        <v>1</v>
      </c>
      <c r="N607" s="14"/>
      <c r="O607" s="53">
        <v>1</v>
      </c>
      <c r="P607" s="87">
        <f>SUM(M607:O607)</f>
        <v>2</v>
      </c>
      <c r="Q607" s="16">
        <v>1</v>
      </c>
      <c r="R607" s="14"/>
      <c r="S607" s="15">
        <v>1</v>
      </c>
      <c r="T607" s="49">
        <f>SUM(Q607:S607)</f>
        <v>2</v>
      </c>
      <c r="U607" s="11">
        <f>P607+T607</f>
        <v>4</v>
      </c>
      <c r="V607" s="98">
        <v>44630</v>
      </c>
    </row>
    <row r="608" spans="1:23" x14ac:dyDescent="0.15">
      <c r="A608" s="24"/>
      <c r="B608" s="8"/>
      <c r="C608" s="9"/>
      <c r="D608" s="10"/>
      <c r="E608" s="49">
        <f t="shared" si="510"/>
        <v>0</v>
      </c>
      <c r="F608" s="12"/>
      <c r="G608" s="9"/>
      <c r="H608" s="10"/>
      <c r="I608" s="49">
        <f t="shared" si="511"/>
        <v>0</v>
      </c>
      <c r="J608" s="11">
        <f t="shared" si="512"/>
        <v>0</v>
      </c>
      <c r="L608" s="108" t="s">
        <v>467</v>
      </c>
      <c r="M608" s="8"/>
      <c r="N608" s="9"/>
      <c r="O608" s="52">
        <v>1</v>
      </c>
      <c r="P608" s="87">
        <f t="shared" ref="P608" si="519">SUM(M608:O608)</f>
        <v>1</v>
      </c>
      <c r="Q608" s="8"/>
      <c r="R608" s="9"/>
      <c r="S608" s="10">
        <v>1</v>
      </c>
      <c r="T608" s="49">
        <f t="shared" ref="T608" si="520">SUM(Q608:S608)</f>
        <v>1</v>
      </c>
      <c r="U608" s="11">
        <f t="shared" ref="U608" si="521">P608+T608</f>
        <v>2</v>
      </c>
      <c r="V608" s="98">
        <v>44635</v>
      </c>
    </row>
    <row r="609" spans="1:22" x14ac:dyDescent="0.15">
      <c r="B609" s="13"/>
      <c r="C609" s="14"/>
      <c r="D609" s="15"/>
      <c r="E609" s="49">
        <f t="shared" si="510"/>
        <v>0</v>
      </c>
      <c r="F609" s="16"/>
      <c r="G609" s="14"/>
      <c r="H609" s="15"/>
      <c r="I609" s="49">
        <f t="shared" si="511"/>
        <v>0</v>
      </c>
      <c r="J609" s="11">
        <f t="shared" si="512"/>
        <v>0</v>
      </c>
      <c r="L609" s="108" t="s">
        <v>473</v>
      </c>
      <c r="M609" s="13">
        <v>1</v>
      </c>
      <c r="N609" s="14"/>
      <c r="O609" s="53"/>
      <c r="P609" s="87">
        <f>SUM(M609:O609)</f>
        <v>1</v>
      </c>
      <c r="Q609" s="16">
        <v>1</v>
      </c>
      <c r="R609" s="14"/>
      <c r="S609" s="15"/>
      <c r="T609" s="49">
        <f>SUM(Q609:S609)</f>
        <v>1</v>
      </c>
      <c r="U609" s="11">
        <f>P609+T609</f>
        <v>2</v>
      </c>
      <c r="V609" s="98">
        <v>44648</v>
      </c>
    </row>
    <row r="610" spans="1:22" x14ac:dyDescent="0.15">
      <c r="A610" s="26"/>
      <c r="B610" s="8"/>
      <c r="C610" s="9"/>
      <c r="D610" s="10"/>
      <c r="E610" s="49">
        <f t="shared" si="510"/>
        <v>0</v>
      </c>
      <c r="F610" s="12"/>
      <c r="G610" s="9"/>
      <c r="H610" s="10"/>
      <c r="I610" s="49">
        <f t="shared" si="511"/>
        <v>0</v>
      </c>
      <c r="J610" s="11">
        <f t="shared" si="512"/>
        <v>0</v>
      </c>
      <c r="L610" s="108" t="s">
        <v>613</v>
      </c>
      <c r="M610" s="8">
        <v>1</v>
      </c>
      <c r="N610" s="9"/>
      <c r="O610" s="52">
        <v>1</v>
      </c>
      <c r="P610" s="87">
        <f t="shared" ref="P610:P614" si="522">SUM(M610:O610)</f>
        <v>2</v>
      </c>
      <c r="Q610" s="12">
        <v>1</v>
      </c>
      <c r="R610" s="9"/>
      <c r="S610" s="10">
        <v>1</v>
      </c>
      <c r="T610" s="49">
        <f t="shared" ref="T610:T614" si="523">SUM(Q610:S610)</f>
        <v>2</v>
      </c>
      <c r="U610" s="11">
        <f t="shared" ref="U610:U613" si="524">P610+T610</f>
        <v>4</v>
      </c>
      <c r="V610" s="98">
        <v>44652</v>
      </c>
    </row>
    <row r="611" spans="1:22" x14ac:dyDescent="0.15">
      <c r="A611" s="26"/>
      <c r="B611" s="8"/>
      <c r="C611" s="9"/>
      <c r="D611" s="10"/>
      <c r="E611" s="49">
        <f t="shared" si="510"/>
        <v>0</v>
      </c>
      <c r="F611" s="12"/>
      <c r="G611" s="9"/>
      <c r="H611" s="10"/>
      <c r="I611" s="49">
        <f t="shared" si="511"/>
        <v>0</v>
      </c>
      <c r="J611" s="11">
        <f t="shared" si="512"/>
        <v>0</v>
      </c>
      <c r="L611" s="86"/>
      <c r="M611" s="8"/>
      <c r="N611" s="9"/>
      <c r="O611" s="52"/>
      <c r="P611" s="87">
        <f t="shared" si="522"/>
        <v>0</v>
      </c>
      <c r="Q611" s="12"/>
      <c r="R611" s="9"/>
      <c r="S611" s="10"/>
      <c r="T611" s="49">
        <f t="shared" si="523"/>
        <v>0</v>
      </c>
      <c r="U611" s="11">
        <f t="shared" si="524"/>
        <v>0</v>
      </c>
      <c r="V611" s="100"/>
    </row>
    <row r="612" spans="1:22" x14ac:dyDescent="0.15">
      <c r="A612" s="26"/>
      <c r="B612" s="8"/>
      <c r="C612" s="9"/>
      <c r="D612" s="10"/>
      <c r="E612" s="49">
        <f t="shared" si="510"/>
        <v>0</v>
      </c>
      <c r="F612" s="12"/>
      <c r="G612" s="9"/>
      <c r="H612" s="10"/>
      <c r="I612" s="49">
        <f t="shared" si="511"/>
        <v>0</v>
      </c>
      <c r="J612" s="11">
        <f t="shared" si="512"/>
        <v>0</v>
      </c>
      <c r="L612" s="86" t="s">
        <v>563</v>
      </c>
      <c r="M612" s="8"/>
      <c r="N612" s="9"/>
      <c r="O612" s="52"/>
      <c r="P612" s="87">
        <f t="shared" ref="P612" si="525">SUM(M612:O612)</f>
        <v>0</v>
      </c>
      <c r="Q612" s="12"/>
      <c r="R612" s="9"/>
      <c r="S612" s="10"/>
      <c r="T612" s="49">
        <f t="shared" ref="T612" si="526">SUM(Q612:S612)</f>
        <v>0</v>
      </c>
      <c r="U612" s="11">
        <f t="shared" ref="U612" si="527">P612+T612</f>
        <v>0</v>
      </c>
      <c r="V612" s="100" t="s">
        <v>564</v>
      </c>
    </row>
    <row r="613" spans="1:22" ht="14.25" thickBot="1" x14ac:dyDescent="0.2">
      <c r="A613" s="23"/>
      <c r="B613" s="13"/>
      <c r="C613" s="14"/>
      <c r="D613" s="15"/>
      <c r="E613" s="49">
        <f>SUM(B613:D613)</f>
        <v>0</v>
      </c>
      <c r="F613" s="16"/>
      <c r="G613" s="14"/>
      <c r="H613" s="15"/>
      <c r="I613" s="49">
        <f>SUM(F613:H613)</f>
        <v>0</v>
      </c>
      <c r="J613" s="11">
        <f>E613+I613</f>
        <v>0</v>
      </c>
      <c r="L613" s="86" t="s">
        <v>550</v>
      </c>
      <c r="M613" s="8"/>
      <c r="N613" s="9"/>
      <c r="O613" s="52"/>
      <c r="P613" s="87">
        <f t="shared" si="522"/>
        <v>0</v>
      </c>
      <c r="Q613" s="12"/>
      <c r="R613" s="9"/>
      <c r="S613" s="10"/>
      <c r="T613" s="49">
        <f t="shared" si="523"/>
        <v>0</v>
      </c>
      <c r="U613" s="11">
        <f t="shared" si="524"/>
        <v>0</v>
      </c>
      <c r="V613" s="100" t="s">
        <v>405</v>
      </c>
    </row>
    <row r="614" spans="1:22" ht="14.25" thickBot="1" x14ac:dyDescent="0.2">
      <c r="A614" s="41" t="s">
        <v>17</v>
      </c>
      <c r="B614" s="46">
        <f>SUM(B588:B613)</f>
        <v>4</v>
      </c>
      <c r="C614" s="47">
        <f t="shared" ref="C614:D614" si="528">SUM(C588:C613)</f>
        <v>3</v>
      </c>
      <c r="D614" s="58">
        <f t="shared" si="528"/>
        <v>5</v>
      </c>
      <c r="E614" s="45">
        <f t="shared" ref="E614" si="529">SUM(B614:D614)</f>
        <v>12</v>
      </c>
      <c r="F614" s="46">
        <f>SUM(F588:F613)</f>
        <v>4</v>
      </c>
      <c r="G614" s="47">
        <f t="shared" ref="G614:H614" si="530">SUM(G588:G613)</f>
        <v>4</v>
      </c>
      <c r="H614" s="58">
        <f t="shared" si="530"/>
        <v>3</v>
      </c>
      <c r="I614" s="45">
        <f t="shared" ref="I614" si="531">SUM(F614:H614)</f>
        <v>11</v>
      </c>
      <c r="J614" s="45">
        <f>E614+I614</f>
        <v>23</v>
      </c>
      <c r="L614" s="41" t="s">
        <v>17</v>
      </c>
      <c r="M614" s="46">
        <f>SUM(M588:M613)</f>
        <v>51</v>
      </c>
      <c r="N614" s="47">
        <f t="shared" ref="N614:O614" si="532">SUM(N588:N613)</f>
        <v>58</v>
      </c>
      <c r="O614" s="58">
        <f t="shared" si="532"/>
        <v>58</v>
      </c>
      <c r="P614" s="45">
        <f t="shared" si="522"/>
        <v>167</v>
      </c>
      <c r="Q614" s="46">
        <f>SUM(Q588:Q613)</f>
        <v>51</v>
      </c>
      <c r="R614" s="47">
        <f t="shared" ref="R614:S614" si="533">SUM(R588:R613)</f>
        <v>58</v>
      </c>
      <c r="S614" s="58">
        <f t="shared" si="533"/>
        <v>58</v>
      </c>
      <c r="T614" s="45">
        <f t="shared" si="523"/>
        <v>167</v>
      </c>
      <c r="U614" s="45">
        <f>P614+T614</f>
        <v>334</v>
      </c>
    </row>
    <row r="615" spans="1:22" ht="14.25" thickBot="1" x14ac:dyDescent="0.2">
      <c r="A615" s="22" t="s">
        <v>16</v>
      </c>
      <c r="B615" s="50">
        <f>B587-B614</f>
        <v>2</v>
      </c>
      <c r="C615" s="56">
        <f t="shared" ref="C615:D615" si="534">C587-C614</f>
        <v>3</v>
      </c>
      <c r="D615" s="57">
        <f t="shared" si="534"/>
        <v>2</v>
      </c>
      <c r="E615" s="55">
        <f>SUM(B615:D615)</f>
        <v>7</v>
      </c>
      <c r="F615" s="50">
        <f>F587-F614</f>
        <v>4</v>
      </c>
      <c r="G615" s="56">
        <f t="shared" ref="G615:H615" si="535">G587-G614</f>
        <v>2</v>
      </c>
      <c r="H615" s="57">
        <f t="shared" si="535"/>
        <v>4</v>
      </c>
      <c r="I615" s="55">
        <f>SUM(F615:H615)</f>
        <v>10</v>
      </c>
      <c r="J615" s="31">
        <f>E615+I615</f>
        <v>17</v>
      </c>
      <c r="L615" s="22" t="s">
        <v>16</v>
      </c>
      <c r="M615" s="50">
        <f>M587-M614</f>
        <v>100</v>
      </c>
      <c r="N615" s="56">
        <f t="shared" ref="N615:O615" si="536">N587-N614</f>
        <v>251</v>
      </c>
      <c r="O615" s="57">
        <f t="shared" si="536"/>
        <v>130</v>
      </c>
      <c r="P615" s="55">
        <f>SUM(M615:O615)</f>
        <v>481</v>
      </c>
      <c r="Q615" s="50">
        <f>Q587-Q614</f>
        <v>100</v>
      </c>
      <c r="R615" s="56">
        <f t="shared" ref="R615:S615" si="537">R587-R614</f>
        <v>251</v>
      </c>
      <c r="S615" s="57">
        <f t="shared" si="537"/>
        <v>130</v>
      </c>
      <c r="T615" s="55">
        <f>SUM(Q615:S615)</f>
        <v>481</v>
      </c>
      <c r="U615" s="31">
        <f>P615+T615</f>
        <v>962</v>
      </c>
    </row>
    <row r="616" spans="1:22" x14ac:dyDescent="0.15">
      <c r="M616">
        <f>M614+M573+M532+M491</f>
        <v>272</v>
      </c>
      <c r="N616">
        <f t="shared" ref="N616:U616" si="538">N614+N573+N532+N491</f>
        <v>320</v>
      </c>
      <c r="O616">
        <f t="shared" si="538"/>
        <v>271</v>
      </c>
      <c r="P616">
        <f t="shared" si="538"/>
        <v>863</v>
      </c>
      <c r="Q616">
        <f t="shared" si="538"/>
        <v>272</v>
      </c>
      <c r="R616">
        <f t="shared" si="538"/>
        <v>320</v>
      </c>
      <c r="S616">
        <f t="shared" si="538"/>
        <v>271</v>
      </c>
      <c r="T616">
        <f t="shared" si="538"/>
        <v>863</v>
      </c>
      <c r="U616">
        <f t="shared" si="538"/>
        <v>1726</v>
      </c>
    </row>
    <row r="617" spans="1:22" ht="14.25" thickBot="1" x14ac:dyDescent="0.2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L617" s="130"/>
      <c r="M617" s="131">
        <f>M616/$P$616*100</f>
        <v>31.517960602549245</v>
      </c>
      <c r="N617" s="131">
        <f t="shared" ref="N617:P617" si="539">N616/$P$616*100</f>
        <v>37.079953650057938</v>
      </c>
      <c r="O617" s="131">
        <f t="shared" si="539"/>
        <v>31.402085747392817</v>
      </c>
      <c r="P617" s="131">
        <f t="shared" si="539"/>
        <v>100</v>
      </c>
      <c r="Q617" s="130"/>
      <c r="R617" s="130"/>
      <c r="S617" s="130"/>
      <c r="T617" s="130"/>
      <c r="U617" s="130"/>
    </row>
    <row r="618" spans="1:22" ht="19.5" thickBot="1" x14ac:dyDescent="0.25">
      <c r="A618" s="3" t="s">
        <v>20</v>
      </c>
      <c r="B618" s="1"/>
      <c r="C618" s="1"/>
      <c r="D618" s="1"/>
      <c r="E618" s="1"/>
      <c r="F618" s="1"/>
      <c r="G618" s="1"/>
      <c r="H618" s="1"/>
      <c r="I618" s="1"/>
      <c r="J618" s="1"/>
      <c r="L618" s="129" t="s">
        <v>21</v>
      </c>
      <c r="M618" s="129"/>
      <c r="N618" s="129"/>
      <c r="O618" s="129"/>
      <c r="P618" s="129"/>
      <c r="Q618" s="129"/>
      <c r="R618" s="129"/>
      <c r="S618" s="129"/>
      <c r="T618" s="129"/>
      <c r="U618" s="1"/>
    </row>
    <row r="619" spans="1:22" ht="14.25" thickBot="1" x14ac:dyDescent="0.2">
      <c r="A619" s="7"/>
      <c r="B619" s="176" t="s">
        <v>22</v>
      </c>
      <c r="C619" s="177"/>
      <c r="D619" s="177"/>
      <c r="E619" s="178"/>
      <c r="F619" s="176" t="s">
        <v>23</v>
      </c>
      <c r="G619" s="177"/>
      <c r="H619" s="177"/>
      <c r="I619" s="179"/>
      <c r="J619" s="174" t="s">
        <v>0</v>
      </c>
      <c r="L619" s="7"/>
      <c r="M619" s="169" t="s">
        <v>22</v>
      </c>
      <c r="N619" s="170"/>
      <c r="O619" s="170"/>
      <c r="P619" s="171"/>
      <c r="Q619" s="169" t="s">
        <v>23</v>
      </c>
      <c r="R619" s="170"/>
      <c r="S619" s="170"/>
      <c r="T619" s="171"/>
      <c r="U619" s="174" t="s">
        <v>0</v>
      </c>
    </row>
    <row r="620" spans="1:22" ht="14.25" thickBot="1" x14ac:dyDescent="0.2">
      <c r="A620" s="7" t="s">
        <v>1</v>
      </c>
      <c r="B620" s="4" t="s">
        <v>2</v>
      </c>
      <c r="C620" s="5" t="s">
        <v>3</v>
      </c>
      <c r="D620" s="6" t="s">
        <v>4</v>
      </c>
      <c r="E620" s="7" t="s">
        <v>5</v>
      </c>
      <c r="F620" s="4" t="s">
        <v>2</v>
      </c>
      <c r="G620" s="5" t="s">
        <v>3</v>
      </c>
      <c r="H620" s="6" t="s">
        <v>4</v>
      </c>
      <c r="I620" s="7" t="s">
        <v>5</v>
      </c>
      <c r="J620" s="175"/>
      <c r="L620" s="7" t="s">
        <v>1</v>
      </c>
      <c r="M620" s="4" t="s">
        <v>2</v>
      </c>
      <c r="N620" s="5" t="s">
        <v>3</v>
      </c>
      <c r="O620" s="6" t="s">
        <v>4</v>
      </c>
      <c r="P620" s="7" t="s">
        <v>5</v>
      </c>
      <c r="Q620" s="4" t="s">
        <v>2</v>
      </c>
      <c r="R620" s="5" t="s">
        <v>3</v>
      </c>
      <c r="S620" s="6" t="s">
        <v>4</v>
      </c>
      <c r="T620" s="7" t="s">
        <v>5</v>
      </c>
      <c r="U620" s="175"/>
    </row>
    <row r="621" spans="1:22" ht="14.25" thickBot="1" x14ac:dyDescent="0.2">
      <c r="A621" s="27" t="s">
        <v>16</v>
      </c>
      <c r="B621" s="38">
        <f t="shared" ref="B621:I621" si="540">B615</f>
        <v>2</v>
      </c>
      <c r="C621" s="39">
        <f t="shared" si="540"/>
        <v>3</v>
      </c>
      <c r="D621" s="2">
        <f t="shared" si="540"/>
        <v>2</v>
      </c>
      <c r="E621" s="36">
        <f t="shared" si="540"/>
        <v>7</v>
      </c>
      <c r="F621" s="38">
        <f t="shared" si="540"/>
        <v>4</v>
      </c>
      <c r="G621" s="39">
        <f t="shared" si="540"/>
        <v>2</v>
      </c>
      <c r="H621" s="2">
        <f t="shared" si="540"/>
        <v>4</v>
      </c>
      <c r="I621" s="36">
        <f t="shared" si="540"/>
        <v>10</v>
      </c>
      <c r="J621" s="36">
        <f>E621+I621</f>
        <v>17</v>
      </c>
      <c r="L621" s="27" t="s">
        <v>16</v>
      </c>
      <c r="M621" s="50">
        <f t="shared" ref="M621:U621" si="541">M615</f>
        <v>100</v>
      </c>
      <c r="N621" s="56">
        <f t="shared" si="541"/>
        <v>251</v>
      </c>
      <c r="O621" s="57">
        <f t="shared" si="541"/>
        <v>130</v>
      </c>
      <c r="P621" s="55">
        <f t="shared" si="541"/>
        <v>481</v>
      </c>
      <c r="Q621" s="50">
        <f t="shared" si="541"/>
        <v>100</v>
      </c>
      <c r="R621" s="56">
        <f t="shared" si="541"/>
        <v>251</v>
      </c>
      <c r="S621" s="57">
        <f t="shared" si="541"/>
        <v>130</v>
      </c>
      <c r="T621" s="55">
        <f t="shared" si="541"/>
        <v>481</v>
      </c>
      <c r="U621" s="31">
        <f t="shared" si="541"/>
        <v>962</v>
      </c>
    </row>
    <row r="622" spans="1:22" x14ac:dyDescent="0.15">
      <c r="A622" s="25" t="s">
        <v>618</v>
      </c>
      <c r="B622" s="42">
        <v>1</v>
      </c>
      <c r="C622" s="43"/>
      <c r="D622" s="44"/>
      <c r="E622" s="48">
        <f>SUM(B622:D622)</f>
        <v>1</v>
      </c>
      <c r="F622" s="59">
        <v>1</v>
      </c>
      <c r="G622" s="43"/>
      <c r="H622" s="60"/>
      <c r="I622" s="48">
        <f>SUM(F622:H622)</f>
        <v>1</v>
      </c>
      <c r="J622" s="48">
        <f>E622+I622</f>
        <v>2</v>
      </c>
      <c r="K622" s="64">
        <v>44677</v>
      </c>
      <c r="L622" s="25" t="s">
        <v>7</v>
      </c>
      <c r="M622" s="42"/>
      <c r="N622" s="43"/>
      <c r="O622" s="44"/>
      <c r="P622" s="48">
        <f>SUM(M622:O622)</f>
        <v>0</v>
      </c>
      <c r="Q622" s="59"/>
      <c r="R622" s="43"/>
      <c r="S622" s="60"/>
      <c r="T622" s="48">
        <f>SUM(Q622:S622)</f>
        <v>0</v>
      </c>
      <c r="U622" s="48">
        <f>P622+T622</f>
        <v>0</v>
      </c>
      <c r="V622" s="100"/>
    </row>
    <row r="623" spans="1:22" x14ac:dyDescent="0.15">
      <c r="A623" s="132" t="s">
        <v>625</v>
      </c>
      <c r="B623" s="133">
        <v>0</v>
      </c>
      <c r="C623" s="134">
        <v>0</v>
      </c>
      <c r="D623" s="135">
        <v>0</v>
      </c>
      <c r="E623" s="136">
        <f>SUM(B623:D623)</f>
        <v>0</v>
      </c>
      <c r="F623" s="137">
        <v>0</v>
      </c>
      <c r="G623" s="134">
        <v>0</v>
      </c>
      <c r="H623" s="138">
        <v>0</v>
      </c>
      <c r="I623" s="136">
        <f>SUM(F623:H623)</f>
        <v>0</v>
      </c>
      <c r="J623" s="136">
        <f>E623+I623</f>
        <v>0</v>
      </c>
      <c r="K623" s="139">
        <v>44797</v>
      </c>
      <c r="L623" s="25" t="s">
        <v>8</v>
      </c>
      <c r="M623" s="8"/>
      <c r="N623" s="9"/>
      <c r="O623" s="52"/>
      <c r="P623" s="11">
        <f>SUM(M623:O623)</f>
        <v>0</v>
      </c>
      <c r="Q623" s="8"/>
      <c r="R623" s="9"/>
      <c r="S623" s="52"/>
      <c r="T623" s="11">
        <f>SUM(Q623:S623)</f>
        <v>0</v>
      </c>
      <c r="U623" s="11">
        <f>P623+T623</f>
        <v>0</v>
      </c>
      <c r="V623" s="98"/>
    </row>
    <row r="624" spans="1:22" x14ac:dyDescent="0.15">
      <c r="A624" s="25"/>
      <c r="B624" s="17"/>
      <c r="C624" s="18"/>
      <c r="D624" s="51"/>
      <c r="E624" s="11">
        <f t="shared" ref="E624:E629" si="542">SUM(B624:D624)</f>
        <v>0</v>
      </c>
      <c r="F624" s="20"/>
      <c r="G624" s="18"/>
      <c r="H624" s="19"/>
      <c r="I624" s="11">
        <f t="shared" ref="I624:I629" si="543">SUM(F624:H624)</f>
        <v>0</v>
      </c>
      <c r="J624" s="11">
        <f t="shared" ref="J624:J629" si="544">E624+I624</f>
        <v>0</v>
      </c>
      <c r="L624" s="25" t="s">
        <v>9</v>
      </c>
      <c r="M624" s="8"/>
      <c r="N624" s="9"/>
      <c r="O624" s="52"/>
      <c r="P624" s="11">
        <f>SUM(M624:O624)</f>
        <v>0</v>
      </c>
      <c r="Q624" s="8"/>
      <c r="R624" s="9"/>
      <c r="S624" s="52"/>
      <c r="T624" s="11">
        <f>SUM(Q624:S624)</f>
        <v>0</v>
      </c>
      <c r="U624" s="11">
        <f>P624+T624</f>
        <v>0</v>
      </c>
      <c r="V624" s="98"/>
    </row>
    <row r="625" spans="1:22" x14ac:dyDescent="0.15">
      <c r="A625" s="25"/>
      <c r="B625" s="8"/>
      <c r="C625" s="9"/>
      <c r="D625" s="52"/>
      <c r="E625" s="11">
        <f t="shared" si="542"/>
        <v>0</v>
      </c>
      <c r="F625" s="12"/>
      <c r="G625" s="9"/>
      <c r="H625" s="10"/>
      <c r="I625" s="11">
        <f t="shared" si="543"/>
        <v>0</v>
      </c>
      <c r="J625" s="11">
        <f t="shared" si="544"/>
        <v>0</v>
      </c>
      <c r="L625" s="25" t="s">
        <v>10</v>
      </c>
      <c r="M625" s="8"/>
      <c r="N625" s="9"/>
      <c r="O625" s="52"/>
      <c r="P625" s="11">
        <f t="shared" ref="P625:P626" si="545">SUM(M625:O625)</f>
        <v>0</v>
      </c>
      <c r="Q625" s="12"/>
      <c r="R625" s="9"/>
      <c r="S625" s="10"/>
      <c r="T625" s="11">
        <f t="shared" ref="T625:T626" si="546">SUM(Q625:S625)</f>
        <v>0</v>
      </c>
      <c r="U625" s="11">
        <f t="shared" ref="U625:U626" si="547">P625+T625</f>
        <v>0</v>
      </c>
      <c r="V625" s="100"/>
    </row>
    <row r="626" spans="1:22" x14ac:dyDescent="0.15">
      <c r="A626" s="25"/>
      <c r="B626" s="8"/>
      <c r="C626" s="9"/>
      <c r="D626" s="52"/>
      <c r="E626" s="11">
        <f t="shared" si="542"/>
        <v>0</v>
      </c>
      <c r="F626" s="12"/>
      <c r="G626" s="9"/>
      <c r="H626" s="10"/>
      <c r="I626" s="11">
        <f t="shared" si="543"/>
        <v>0</v>
      </c>
      <c r="J626" s="11">
        <f t="shared" si="544"/>
        <v>0</v>
      </c>
      <c r="L626" s="25" t="s">
        <v>11</v>
      </c>
      <c r="M626" s="8"/>
      <c r="N626" s="9"/>
      <c r="O626" s="52"/>
      <c r="P626" s="11">
        <f t="shared" si="545"/>
        <v>0</v>
      </c>
      <c r="Q626" s="12"/>
      <c r="R626" s="9"/>
      <c r="S626" s="10"/>
      <c r="T626" s="11">
        <f t="shared" si="546"/>
        <v>0</v>
      </c>
      <c r="U626" s="11">
        <f t="shared" si="547"/>
        <v>0</v>
      </c>
    </row>
    <row r="627" spans="1:22" x14ac:dyDescent="0.15">
      <c r="A627" s="25"/>
      <c r="B627" s="8"/>
      <c r="C627" s="9"/>
      <c r="D627" s="52"/>
      <c r="E627" s="11">
        <f t="shared" si="542"/>
        <v>0</v>
      </c>
      <c r="F627" s="12"/>
      <c r="G627" s="9"/>
      <c r="H627" s="10"/>
      <c r="I627" s="11">
        <f t="shared" si="543"/>
        <v>0</v>
      </c>
      <c r="J627" s="11">
        <f t="shared" si="544"/>
        <v>0</v>
      </c>
      <c r="L627" s="25" t="s">
        <v>12</v>
      </c>
      <c r="M627" s="8"/>
      <c r="N627" s="9"/>
      <c r="O627" s="52"/>
      <c r="P627" s="11">
        <f>SUM(M627:O627)</f>
        <v>0</v>
      </c>
      <c r="Q627" s="8"/>
      <c r="R627" s="9"/>
      <c r="S627" s="52"/>
      <c r="T627" s="11">
        <f>SUM(Q627:S627)</f>
        <v>0</v>
      </c>
      <c r="U627" s="11">
        <f>P627+T627</f>
        <v>0</v>
      </c>
    </row>
    <row r="628" spans="1:22" x14ac:dyDescent="0.15">
      <c r="A628" s="25"/>
      <c r="B628" s="13"/>
      <c r="C628" s="14"/>
      <c r="D628" s="53"/>
      <c r="E628" s="11">
        <f t="shared" si="542"/>
        <v>0</v>
      </c>
      <c r="F628" s="16"/>
      <c r="G628" s="14"/>
      <c r="H628" s="15"/>
      <c r="I628" s="11">
        <f t="shared" si="543"/>
        <v>0</v>
      </c>
      <c r="J628" s="11">
        <f t="shared" si="544"/>
        <v>0</v>
      </c>
      <c r="L628" s="25" t="s">
        <v>13</v>
      </c>
      <c r="M628" s="8"/>
      <c r="N628" s="9"/>
      <c r="O628" s="52"/>
      <c r="P628" s="11">
        <f t="shared" ref="P628:P629" si="548">SUM(M628:O628)</f>
        <v>0</v>
      </c>
      <c r="Q628" s="12"/>
      <c r="R628" s="9"/>
      <c r="S628" s="10"/>
      <c r="T628" s="11">
        <f t="shared" ref="T628:T629" si="549">SUM(Q628:S628)</f>
        <v>0</v>
      </c>
      <c r="U628" s="11">
        <f t="shared" ref="U628:U629" si="550">P628+T628</f>
        <v>0</v>
      </c>
    </row>
    <row r="629" spans="1:22" ht="14.25" thickBot="1" x14ac:dyDescent="0.2">
      <c r="A629" s="25"/>
      <c r="B629" s="32"/>
      <c r="C629" s="33"/>
      <c r="D629" s="54"/>
      <c r="E629" s="61">
        <f t="shared" si="542"/>
        <v>0</v>
      </c>
      <c r="F629" s="34"/>
      <c r="G629" s="34"/>
      <c r="H629" s="37"/>
      <c r="I629" s="61">
        <f t="shared" si="543"/>
        <v>0</v>
      </c>
      <c r="J629" s="21">
        <f t="shared" si="544"/>
        <v>0</v>
      </c>
      <c r="L629" s="25" t="s">
        <v>14</v>
      </c>
      <c r="M629" s="32"/>
      <c r="N629" s="33"/>
      <c r="O629" s="54"/>
      <c r="P629" s="61">
        <f t="shared" si="548"/>
        <v>0</v>
      </c>
      <c r="Q629" s="34"/>
      <c r="R629" s="34"/>
      <c r="S629" s="37"/>
      <c r="T629" s="61">
        <f t="shared" si="549"/>
        <v>0</v>
      </c>
      <c r="U629" s="21">
        <f t="shared" si="550"/>
        <v>0</v>
      </c>
    </row>
    <row r="630" spans="1:22" ht="14.25" thickBot="1" x14ac:dyDescent="0.2">
      <c r="A630" s="35" t="s">
        <v>15</v>
      </c>
      <c r="B630" s="28">
        <f>SUM(B621:B629)</f>
        <v>3</v>
      </c>
      <c r="C630" s="29">
        <f>SUM(C621:C629)</f>
        <v>3</v>
      </c>
      <c r="D630" s="30">
        <f>SUM(D621:D629)</f>
        <v>2</v>
      </c>
      <c r="E630" s="31">
        <f>SUM(B630:D630)</f>
        <v>8</v>
      </c>
      <c r="F630" s="28">
        <f>SUM(F621:F629)</f>
        <v>5</v>
      </c>
      <c r="G630" s="29">
        <f>SUM(G621:G629)</f>
        <v>2</v>
      </c>
      <c r="H630" s="30">
        <f>SUM(H621:H629)</f>
        <v>4</v>
      </c>
      <c r="I630" s="31">
        <f>SUM(F630:H630)</f>
        <v>11</v>
      </c>
      <c r="J630" s="31">
        <f>E630+I630</f>
        <v>19</v>
      </c>
      <c r="L630" s="35" t="s">
        <v>15</v>
      </c>
      <c r="M630" s="28">
        <f>SUM(M621:M629)</f>
        <v>100</v>
      </c>
      <c r="N630" s="29">
        <f>SUM(N621:N629)</f>
        <v>251</v>
      </c>
      <c r="O630" s="30">
        <f>SUM(O621:O629)</f>
        <v>130</v>
      </c>
      <c r="P630" s="31">
        <f>SUM(M630:O630)</f>
        <v>481</v>
      </c>
      <c r="Q630" s="28">
        <f>SUM(Q621:Q629)</f>
        <v>100</v>
      </c>
      <c r="R630" s="29">
        <f>SUM(R621:R629)</f>
        <v>251</v>
      </c>
      <c r="S630" s="30">
        <f>SUM(S621:S629)</f>
        <v>130</v>
      </c>
      <c r="T630" s="31">
        <f>SUM(Q630:S630)</f>
        <v>481</v>
      </c>
      <c r="U630" s="31">
        <f>P630+T630</f>
        <v>962</v>
      </c>
    </row>
    <row r="631" spans="1:22" x14ac:dyDescent="0.15">
      <c r="A631" s="108" t="s">
        <v>620</v>
      </c>
      <c r="B631" s="42"/>
      <c r="C631" s="43"/>
      <c r="D631" s="44">
        <v>2</v>
      </c>
      <c r="E631" s="76">
        <f>SUM(B631:D631)</f>
        <v>2</v>
      </c>
      <c r="F631" s="59"/>
      <c r="G631" s="43"/>
      <c r="H631" s="60">
        <v>2</v>
      </c>
      <c r="I631" s="76">
        <f>SUM(F631:H631)</f>
        <v>2</v>
      </c>
      <c r="J631" s="48">
        <f>E631+I631</f>
        <v>4</v>
      </c>
      <c r="K631" s="62">
        <v>44698</v>
      </c>
      <c r="L631" s="108" t="s">
        <v>614</v>
      </c>
      <c r="M631" s="17">
        <v>1</v>
      </c>
      <c r="N631" s="18"/>
      <c r="O631" s="51"/>
      <c r="P631" s="87">
        <f t="shared" ref="P631:P632" si="551">SUM(M631:O631)</f>
        <v>1</v>
      </c>
      <c r="Q631" s="8">
        <v>1</v>
      </c>
      <c r="R631" s="9"/>
      <c r="S631" s="10"/>
      <c r="T631" s="49">
        <f t="shared" ref="T631:T632" si="552">SUM(Q631:S631)</f>
        <v>1</v>
      </c>
      <c r="U631" s="11">
        <f t="shared" ref="U631:U632" si="553">P631+T631</f>
        <v>2</v>
      </c>
      <c r="V631" s="98">
        <v>44658</v>
      </c>
    </row>
    <row r="632" spans="1:22" x14ac:dyDescent="0.15">
      <c r="A632" s="26"/>
      <c r="B632" s="8"/>
      <c r="C632" s="9"/>
      <c r="D632" s="10"/>
      <c r="E632" s="49">
        <f t="shared" ref="E632:E655" si="554">SUM(B632:D632)</f>
        <v>0</v>
      </c>
      <c r="F632" s="12"/>
      <c r="G632" s="9"/>
      <c r="H632" s="10"/>
      <c r="I632" s="49">
        <f t="shared" ref="I632:I655" si="555">SUM(F632:H632)</f>
        <v>0</v>
      </c>
      <c r="J632" s="11">
        <f t="shared" ref="J632:J655" si="556">E632+I632</f>
        <v>0</v>
      </c>
      <c r="K632" s="62"/>
      <c r="L632" s="108" t="s">
        <v>617</v>
      </c>
      <c r="M632" s="8"/>
      <c r="N632" s="9">
        <v>1</v>
      </c>
      <c r="O632" s="52"/>
      <c r="P632" s="87">
        <f t="shared" si="551"/>
        <v>1</v>
      </c>
      <c r="Q632" s="12"/>
      <c r="R632" s="9">
        <v>1</v>
      </c>
      <c r="S632" s="10"/>
      <c r="T632" s="49">
        <f t="shared" si="552"/>
        <v>1</v>
      </c>
      <c r="U632" s="11">
        <f t="shared" si="553"/>
        <v>2</v>
      </c>
      <c r="V632" s="98">
        <v>44670</v>
      </c>
    </row>
    <row r="633" spans="1:22" x14ac:dyDescent="0.15">
      <c r="A633" s="108"/>
      <c r="B633" s="8"/>
      <c r="C633" s="9"/>
      <c r="D633" s="10"/>
      <c r="E633" s="49">
        <f t="shared" si="554"/>
        <v>0</v>
      </c>
      <c r="F633" s="12"/>
      <c r="G633" s="9"/>
      <c r="H633" s="10"/>
      <c r="I633" s="49">
        <f t="shared" si="555"/>
        <v>0</v>
      </c>
      <c r="J633" s="11">
        <f t="shared" si="556"/>
        <v>0</v>
      </c>
      <c r="K633" s="62"/>
      <c r="L633" s="108"/>
      <c r="M633" s="13"/>
      <c r="N633" s="14"/>
      <c r="O633" s="53"/>
      <c r="P633" s="87">
        <f>SUM(M633:O633)</f>
        <v>0</v>
      </c>
      <c r="Q633" s="16"/>
      <c r="R633" s="14"/>
      <c r="S633" s="15"/>
      <c r="T633" s="49">
        <f>SUM(Q633:S633)</f>
        <v>0</v>
      </c>
      <c r="U633" s="11">
        <f>P633+T633</f>
        <v>0</v>
      </c>
    </row>
    <row r="634" spans="1:22" x14ac:dyDescent="0.15">
      <c r="A634" s="26"/>
      <c r="B634" s="8"/>
      <c r="C634" s="9"/>
      <c r="D634" s="10"/>
      <c r="E634" s="49">
        <f t="shared" si="554"/>
        <v>0</v>
      </c>
      <c r="F634" s="12"/>
      <c r="G634" s="9"/>
      <c r="H634" s="10"/>
      <c r="I634" s="49">
        <f t="shared" si="555"/>
        <v>0</v>
      </c>
      <c r="J634" s="11">
        <f t="shared" si="556"/>
        <v>0</v>
      </c>
      <c r="K634" s="62"/>
      <c r="L634" s="108"/>
      <c r="M634" s="13"/>
      <c r="N634" s="14"/>
      <c r="O634" s="53"/>
      <c r="P634" s="87">
        <f>SUM(M634:O634)</f>
        <v>0</v>
      </c>
      <c r="Q634" s="16"/>
      <c r="R634" s="14"/>
      <c r="S634" s="15"/>
      <c r="T634" s="49">
        <f>SUM(Q634:S634)</f>
        <v>0</v>
      </c>
      <c r="U634" s="11">
        <f>P634+T634</f>
        <v>0</v>
      </c>
    </row>
    <row r="635" spans="1:22" x14ac:dyDescent="0.15">
      <c r="A635" s="26"/>
      <c r="B635" s="8"/>
      <c r="C635" s="9"/>
      <c r="D635" s="10"/>
      <c r="E635" s="49">
        <f t="shared" si="554"/>
        <v>0</v>
      </c>
      <c r="F635" s="12"/>
      <c r="G635" s="9"/>
      <c r="H635" s="10"/>
      <c r="I635" s="49">
        <f t="shared" si="555"/>
        <v>0</v>
      </c>
      <c r="J635" s="11">
        <f t="shared" si="556"/>
        <v>0</v>
      </c>
      <c r="K635" s="66"/>
      <c r="L635" s="108"/>
      <c r="M635" s="8"/>
      <c r="N635" s="9"/>
      <c r="O635" s="52"/>
      <c r="P635" s="87">
        <f t="shared" ref="P635:P646" si="557">SUM(M635:O635)</f>
        <v>0</v>
      </c>
      <c r="Q635" s="12"/>
      <c r="R635" s="9"/>
      <c r="S635" s="10"/>
      <c r="T635" s="49">
        <f t="shared" ref="T635:T646" si="558">SUM(Q635:S635)</f>
        <v>0</v>
      </c>
      <c r="U635" s="11">
        <f t="shared" ref="U635:U646" si="559">P635+T635</f>
        <v>0</v>
      </c>
    </row>
    <row r="636" spans="1:22" x14ac:dyDescent="0.15">
      <c r="A636" s="26"/>
      <c r="B636" s="8"/>
      <c r="C636" s="9"/>
      <c r="D636" s="10"/>
      <c r="E636" s="49">
        <f t="shared" si="554"/>
        <v>0</v>
      </c>
      <c r="F636" s="12"/>
      <c r="G636" s="9"/>
      <c r="H636" s="10"/>
      <c r="I636" s="49">
        <f t="shared" si="555"/>
        <v>0</v>
      </c>
      <c r="J636" s="11">
        <f t="shared" si="556"/>
        <v>0</v>
      </c>
      <c r="L636" s="108"/>
      <c r="M636" s="8"/>
      <c r="N636" s="9"/>
      <c r="O636" s="52"/>
      <c r="P636" s="87">
        <f t="shared" si="557"/>
        <v>0</v>
      </c>
      <c r="Q636" s="12"/>
      <c r="R636" s="9"/>
      <c r="S636" s="10"/>
      <c r="T636" s="49">
        <f t="shared" si="558"/>
        <v>0</v>
      </c>
      <c r="U636" s="11">
        <f t="shared" si="559"/>
        <v>0</v>
      </c>
    </row>
    <row r="637" spans="1:22" x14ac:dyDescent="0.15">
      <c r="A637" s="26"/>
      <c r="B637" s="8"/>
      <c r="C637" s="9"/>
      <c r="D637" s="10"/>
      <c r="E637" s="49">
        <f t="shared" si="554"/>
        <v>0</v>
      </c>
      <c r="F637" s="12"/>
      <c r="G637" s="9"/>
      <c r="H637" s="10"/>
      <c r="I637" s="49">
        <f t="shared" si="555"/>
        <v>0</v>
      </c>
      <c r="J637" s="11">
        <f t="shared" si="556"/>
        <v>0</v>
      </c>
      <c r="L637" s="108"/>
      <c r="M637" s="8"/>
      <c r="N637" s="9"/>
      <c r="O637" s="52"/>
      <c r="P637" s="87">
        <f t="shared" si="557"/>
        <v>0</v>
      </c>
      <c r="Q637" s="12"/>
      <c r="R637" s="9"/>
      <c r="S637" s="10"/>
      <c r="T637" s="49">
        <f t="shared" si="558"/>
        <v>0</v>
      </c>
      <c r="U637" s="11">
        <f t="shared" si="559"/>
        <v>0</v>
      </c>
    </row>
    <row r="638" spans="1:22" x14ac:dyDescent="0.15">
      <c r="A638" s="26"/>
      <c r="B638" s="8"/>
      <c r="C638" s="9"/>
      <c r="D638" s="10"/>
      <c r="E638" s="49">
        <f t="shared" si="554"/>
        <v>0</v>
      </c>
      <c r="F638" s="12"/>
      <c r="G638" s="9"/>
      <c r="H638" s="10"/>
      <c r="I638" s="49">
        <f t="shared" si="555"/>
        <v>0</v>
      </c>
      <c r="J638" s="11">
        <f t="shared" si="556"/>
        <v>0</v>
      </c>
      <c r="L638" s="108"/>
      <c r="M638" s="8"/>
      <c r="N638" s="9"/>
      <c r="O638" s="52"/>
      <c r="P638" s="87">
        <f t="shared" si="557"/>
        <v>0</v>
      </c>
      <c r="Q638" s="12"/>
      <c r="R638" s="9"/>
      <c r="S638" s="10"/>
      <c r="T638" s="49">
        <f t="shared" si="558"/>
        <v>0</v>
      </c>
      <c r="U638" s="11">
        <f t="shared" si="559"/>
        <v>0</v>
      </c>
    </row>
    <row r="639" spans="1:22" x14ac:dyDescent="0.15">
      <c r="A639" s="26"/>
      <c r="B639" s="8"/>
      <c r="C639" s="9"/>
      <c r="D639" s="10"/>
      <c r="E639" s="49">
        <f t="shared" si="554"/>
        <v>0</v>
      </c>
      <c r="F639" s="12"/>
      <c r="G639" s="9"/>
      <c r="H639" s="10"/>
      <c r="I639" s="49">
        <f t="shared" si="555"/>
        <v>0</v>
      </c>
      <c r="J639" s="11">
        <f t="shared" si="556"/>
        <v>0</v>
      </c>
      <c r="L639" s="108"/>
      <c r="M639" s="8"/>
      <c r="N639" s="9"/>
      <c r="O639" s="52"/>
      <c r="P639" s="87">
        <f t="shared" si="557"/>
        <v>0</v>
      </c>
      <c r="Q639" s="12"/>
      <c r="R639" s="9"/>
      <c r="S639" s="10"/>
      <c r="T639" s="49">
        <f t="shared" si="558"/>
        <v>0</v>
      </c>
      <c r="U639" s="11">
        <f t="shared" si="559"/>
        <v>0</v>
      </c>
    </row>
    <row r="640" spans="1:22" x14ac:dyDescent="0.15">
      <c r="A640" s="26"/>
      <c r="B640" s="13"/>
      <c r="C640" s="14"/>
      <c r="D640" s="15"/>
      <c r="E640" s="49">
        <f t="shared" si="554"/>
        <v>0</v>
      </c>
      <c r="F640" s="16"/>
      <c r="G640" s="14"/>
      <c r="H640" s="15"/>
      <c r="I640" s="49">
        <f t="shared" si="555"/>
        <v>0</v>
      </c>
      <c r="J640" s="11">
        <f t="shared" si="556"/>
        <v>0</v>
      </c>
      <c r="L640" s="108"/>
      <c r="M640" s="13"/>
      <c r="N640" s="14"/>
      <c r="O640" s="53"/>
      <c r="P640" s="87">
        <f t="shared" si="557"/>
        <v>0</v>
      </c>
      <c r="Q640" s="16"/>
      <c r="R640" s="14"/>
      <c r="S640" s="15"/>
      <c r="T640" s="49">
        <f t="shared" si="558"/>
        <v>0</v>
      </c>
      <c r="U640" s="11">
        <f t="shared" si="559"/>
        <v>0</v>
      </c>
    </row>
    <row r="641" spans="1:22" x14ac:dyDescent="0.15">
      <c r="A641" s="26"/>
      <c r="B641" s="8"/>
      <c r="C641" s="9"/>
      <c r="D641" s="10"/>
      <c r="E641" s="49">
        <f t="shared" si="554"/>
        <v>0</v>
      </c>
      <c r="F641" s="12"/>
      <c r="G641" s="9"/>
      <c r="H641" s="10"/>
      <c r="I641" s="49">
        <f t="shared" si="555"/>
        <v>0</v>
      </c>
      <c r="J641" s="11">
        <f t="shared" si="556"/>
        <v>0</v>
      </c>
      <c r="L641" s="108"/>
      <c r="M641" s="8"/>
      <c r="N641" s="9"/>
      <c r="O641" s="52"/>
      <c r="P641" s="87">
        <f t="shared" si="557"/>
        <v>0</v>
      </c>
      <c r="Q641" s="12"/>
      <c r="R641" s="9"/>
      <c r="S641" s="10"/>
      <c r="T641" s="49">
        <f t="shared" si="558"/>
        <v>0</v>
      </c>
      <c r="U641" s="11">
        <f t="shared" si="559"/>
        <v>0</v>
      </c>
    </row>
    <row r="642" spans="1:22" x14ac:dyDescent="0.15">
      <c r="A642" s="26"/>
      <c r="B642" s="8"/>
      <c r="C642" s="9"/>
      <c r="D642" s="10"/>
      <c r="E642" s="49">
        <f t="shared" si="554"/>
        <v>0</v>
      </c>
      <c r="F642" s="12"/>
      <c r="G642" s="9"/>
      <c r="H642" s="10"/>
      <c r="I642" s="49">
        <f t="shared" si="555"/>
        <v>0</v>
      </c>
      <c r="J642" s="11">
        <f t="shared" si="556"/>
        <v>0</v>
      </c>
      <c r="L642" s="108"/>
      <c r="M642" s="8"/>
      <c r="N642" s="9"/>
      <c r="O642" s="52"/>
      <c r="P642" s="87">
        <f t="shared" si="557"/>
        <v>0</v>
      </c>
      <c r="Q642" s="12"/>
      <c r="R642" s="9"/>
      <c r="S642" s="10"/>
      <c r="T642" s="49">
        <f t="shared" si="558"/>
        <v>0</v>
      </c>
      <c r="U642" s="11">
        <f t="shared" si="559"/>
        <v>0</v>
      </c>
    </row>
    <row r="643" spans="1:22" x14ac:dyDescent="0.15">
      <c r="A643" s="26"/>
      <c r="B643" s="8"/>
      <c r="C643" s="9"/>
      <c r="D643" s="10"/>
      <c r="E643" s="49">
        <f t="shared" si="554"/>
        <v>0</v>
      </c>
      <c r="F643" s="12"/>
      <c r="G643" s="9"/>
      <c r="H643" s="10"/>
      <c r="I643" s="49">
        <f t="shared" si="555"/>
        <v>0</v>
      </c>
      <c r="J643" s="11">
        <f t="shared" si="556"/>
        <v>0</v>
      </c>
      <c r="L643" s="108"/>
      <c r="M643" s="8"/>
      <c r="N643" s="9"/>
      <c r="O643" s="52"/>
      <c r="P643" s="87">
        <f t="shared" si="557"/>
        <v>0</v>
      </c>
      <c r="Q643" s="12"/>
      <c r="R643" s="9"/>
      <c r="S643" s="10"/>
      <c r="T643" s="49">
        <f t="shared" si="558"/>
        <v>0</v>
      </c>
      <c r="U643" s="11">
        <f t="shared" si="559"/>
        <v>0</v>
      </c>
    </row>
    <row r="644" spans="1:22" x14ac:dyDescent="0.15">
      <c r="A644" s="26"/>
      <c r="B644" s="8"/>
      <c r="C644" s="9"/>
      <c r="D644" s="10"/>
      <c r="E644" s="49">
        <f t="shared" si="554"/>
        <v>0</v>
      </c>
      <c r="F644" s="12"/>
      <c r="G644" s="9"/>
      <c r="H644" s="10"/>
      <c r="I644" s="49">
        <f t="shared" si="555"/>
        <v>0</v>
      </c>
      <c r="J644" s="11">
        <f t="shared" si="556"/>
        <v>0</v>
      </c>
      <c r="L644" s="108"/>
      <c r="M644" s="8"/>
      <c r="N644" s="9"/>
      <c r="O644" s="52"/>
      <c r="P644" s="87">
        <f t="shared" si="557"/>
        <v>0</v>
      </c>
      <c r="Q644" s="12"/>
      <c r="R644" s="9"/>
      <c r="S644" s="10"/>
      <c r="T644" s="49">
        <f t="shared" si="558"/>
        <v>0</v>
      </c>
      <c r="U644" s="11">
        <f t="shared" si="559"/>
        <v>0</v>
      </c>
    </row>
    <row r="645" spans="1:22" x14ac:dyDescent="0.15">
      <c r="A645" s="26"/>
      <c r="B645" s="8"/>
      <c r="C645" s="9"/>
      <c r="D645" s="10"/>
      <c r="E645" s="49">
        <f t="shared" si="554"/>
        <v>0</v>
      </c>
      <c r="F645" s="12"/>
      <c r="G645" s="9"/>
      <c r="H645" s="10"/>
      <c r="I645" s="49">
        <f t="shared" si="555"/>
        <v>0</v>
      </c>
      <c r="J645" s="11">
        <f t="shared" si="556"/>
        <v>0</v>
      </c>
      <c r="L645" s="108"/>
      <c r="M645" s="8"/>
      <c r="N645" s="9"/>
      <c r="O645" s="52"/>
      <c r="P645" s="87">
        <f t="shared" si="557"/>
        <v>0</v>
      </c>
      <c r="Q645" s="12"/>
      <c r="R645" s="9"/>
      <c r="S645" s="10"/>
      <c r="T645" s="49">
        <f t="shared" si="558"/>
        <v>0</v>
      </c>
      <c r="U645" s="11">
        <f t="shared" si="559"/>
        <v>0</v>
      </c>
    </row>
    <row r="646" spans="1:22" x14ac:dyDescent="0.15">
      <c r="A646" s="26"/>
      <c r="B646" s="8"/>
      <c r="C646" s="9"/>
      <c r="D646" s="10"/>
      <c r="E646" s="49">
        <f t="shared" si="554"/>
        <v>0</v>
      </c>
      <c r="F646" s="12"/>
      <c r="G646" s="9"/>
      <c r="H646" s="10"/>
      <c r="I646" s="49">
        <f t="shared" si="555"/>
        <v>0</v>
      </c>
      <c r="J646" s="11">
        <f t="shared" si="556"/>
        <v>0</v>
      </c>
      <c r="L646" s="108"/>
      <c r="M646" s="8"/>
      <c r="N646" s="9"/>
      <c r="O646" s="52"/>
      <c r="P646" s="87">
        <f t="shared" si="557"/>
        <v>0</v>
      </c>
      <c r="Q646" s="12"/>
      <c r="R646" s="9"/>
      <c r="S646" s="10"/>
      <c r="T646" s="49">
        <f t="shared" si="558"/>
        <v>0</v>
      </c>
      <c r="U646" s="11">
        <f t="shared" si="559"/>
        <v>0</v>
      </c>
    </row>
    <row r="647" spans="1:22" x14ac:dyDescent="0.15">
      <c r="A647" s="26"/>
      <c r="B647" s="8"/>
      <c r="C647" s="9"/>
      <c r="D647" s="10"/>
      <c r="E647" s="49">
        <f t="shared" si="554"/>
        <v>0</v>
      </c>
      <c r="F647" s="12"/>
      <c r="G647" s="9"/>
      <c r="H647" s="10"/>
      <c r="I647" s="49">
        <f t="shared" si="555"/>
        <v>0</v>
      </c>
      <c r="J647" s="11">
        <f t="shared" si="556"/>
        <v>0</v>
      </c>
      <c r="L647" s="108"/>
      <c r="M647" s="13"/>
      <c r="N647" s="14"/>
      <c r="O647" s="53"/>
      <c r="P647" s="87">
        <f>SUM(M647:O647)</f>
        <v>0</v>
      </c>
      <c r="Q647" s="16"/>
      <c r="R647" s="14"/>
      <c r="S647" s="15"/>
      <c r="T647" s="49">
        <f>SUM(Q647:S647)</f>
        <v>0</v>
      </c>
      <c r="U647" s="11">
        <f>P647+T647</f>
        <v>0</v>
      </c>
    </row>
    <row r="648" spans="1:22" x14ac:dyDescent="0.15">
      <c r="A648" s="24"/>
      <c r="B648" s="8"/>
      <c r="C648" s="9"/>
      <c r="D648" s="10"/>
      <c r="E648" s="49">
        <f t="shared" si="554"/>
        <v>0</v>
      </c>
      <c r="F648" s="12"/>
      <c r="G648" s="9"/>
      <c r="H648" s="10"/>
      <c r="I648" s="49">
        <f t="shared" si="555"/>
        <v>0</v>
      </c>
      <c r="J648" s="11">
        <f t="shared" si="556"/>
        <v>0</v>
      </c>
      <c r="L648" s="108"/>
      <c r="M648" s="8"/>
      <c r="N648" s="9"/>
      <c r="O648" s="52"/>
      <c r="P648" s="87">
        <f t="shared" ref="P648:P649" si="560">SUM(M648:O648)</f>
        <v>0</v>
      </c>
      <c r="Q648" s="12"/>
      <c r="R648" s="9"/>
      <c r="S648" s="10"/>
      <c r="T648" s="49">
        <f t="shared" ref="T648:T649" si="561">SUM(Q648:S648)</f>
        <v>0</v>
      </c>
      <c r="U648" s="11">
        <f t="shared" ref="U648:U649" si="562">P648+T648</f>
        <v>0</v>
      </c>
    </row>
    <row r="649" spans="1:22" x14ac:dyDescent="0.15">
      <c r="A649" s="25"/>
      <c r="B649" s="8"/>
      <c r="C649" s="9"/>
      <c r="D649" s="10"/>
      <c r="E649" s="49">
        <f t="shared" si="554"/>
        <v>0</v>
      </c>
      <c r="F649" s="12"/>
      <c r="G649" s="9"/>
      <c r="H649" s="10"/>
      <c r="I649" s="49">
        <f t="shared" si="555"/>
        <v>0</v>
      </c>
      <c r="J649" s="11">
        <f t="shared" si="556"/>
        <v>0</v>
      </c>
      <c r="L649" s="108"/>
      <c r="M649" s="8"/>
      <c r="N649" s="9"/>
      <c r="O649" s="52"/>
      <c r="P649" s="87">
        <f t="shared" si="560"/>
        <v>0</v>
      </c>
      <c r="Q649" s="12"/>
      <c r="R649" s="9"/>
      <c r="S649" s="10"/>
      <c r="T649" s="49">
        <f t="shared" si="561"/>
        <v>0</v>
      </c>
      <c r="U649" s="11">
        <f t="shared" si="562"/>
        <v>0</v>
      </c>
    </row>
    <row r="650" spans="1:22" x14ac:dyDescent="0.15">
      <c r="A650" s="26"/>
      <c r="B650" s="8"/>
      <c r="C650" s="9"/>
      <c r="D650" s="10"/>
      <c r="E650" s="49">
        <f t="shared" si="554"/>
        <v>0</v>
      </c>
      <c r="F650" s="12"/>
      <c r="G650" s="9"/>
      <c r="H650" s="10"/>
      <c r="I650" s="49">
        <f t="shared" si="555"/>
        <v>0</v>
      </c>
      <c r="J650" s="11">
        <f t="shared" si="556"/>
        <v>0</v>
      </c>
      <c r="L650" s="108"/>
      <c r="M650" s="13"/>
      <c r="N650" s="14"/>
      <c r="O650" s="53"/>
      <c r="P650" s="87">
        <f>SUM(M650:O650)</f>
        <v>0</v>
      </c>
      <c r="Q650" s="16"/>
      <c r="R650" s="14"/>
      <c r="S650" s="15"/>
      <c r="T650" s="49">
        <f>SUM(Q650:S650)</f>
        <v>0</v>
      </c>
      <c r="U650" s="11">
        <f>P650+T650</f>
        <v>0</v>
      </c>
    </row>
    <row r="651" spans="1:22" x14ac:dyDescent="0.15">
      <c r="A651" s="24"/>
      <c r="B651" s="8"/>
      <c r="C651" s="9"/>
      <c r="D651" s="10"/>
      <c r="E651" s="49">
        <f t="shared" si="554"/>
        <v>0</v>
      </c>
      <c r="F651" s="12"/>
      <c r="G651" s="9"/>
      <c r="H651" s="10"/>
      <c r="I651" s="49">
        <f t="shared" si="555"/>
        <v>0</v>
      </c>
      <c r="J651" s="11">
        <f t="shared" si="556"/>
        <v>0</v>
      </c>
      <c r="L651" s="108"/>
      <c r="M651" s="8"/>
      <c r="N651" s="9"/>
      <c r="O651" s="52"/>
      <c r="P651" s="87">
        <f t="shared" ref="P651" si="563">SUM(M651:O651)</f>
        <v>0</v>
      </c>
      <c r="Q651" s="8"/>
      <c r="R651" s="9"/>
      <c r="S651" s="10"/>
      <c r="T651" s="49">
        <f t="shared" ref="T651" si="564">SUM(Q651:S651)</f>
        <v>0</v>
      </c>
      <c r="U651" s="11">
        <f t="shared" ref="U651" si="565">P651+T651</f>
        <v>0</v>
      </c>
      <c r="V651" s="100"/>
    </row>
    <row r="652" spans="1:22" x14ac:dyDescent="0.15">
      <c r="B652" s="13"/>
      <c r="C652" s="14"/>
      <c r="D652" s="15"/>
      <c r="E652" s="49">
        <f t="shared" si="554"/>
        <v>0</v>
      </c>
      <c r="F652" s="16"/>
      <c r="G652" s="14"/>
      <c r="H652" s="15"/>
      <c r="I652" s="49">
        <f t="shared" si="555"/>
        <v>0</v>
      </c>
      <c r="J652" s="11">
        <f t="shared" si="556"/>
        <v>0</v>
      </c>
      <c r="L652" s="108"/>
      <c r="M652" s="13"/>
      <c r="N652" s="14"/>
      <c r="O652" s="53"/>
      <c r="P652" s="87">
        <f>SUM(M652:O652)</f>
        <v>0</v>
      </c>
      <c r="Q652" s="16"/>
      <c r="R652" s="14"/>
      <c r="S652" s="15"/>
      <c r="T652" s="49">
        <f>SUM(Q652:S652)</f>
        <v>0</v>
      </c>
      <c r="U652" s="11">
        <f>P652+T652</f>
        <v>0</v>
      </c>
      <c r="V652" s="100"/>
    </row>
    <row r="653" spans="1:22" x14ac:dyDescent="0.15">
      <c r="A653" s="26"/>
      <c r="B653" s="8"/>
      <c r="C653" s="9"/>
      <c r="D653" s="10"/>
      <c r="E653" s="49">
        <f t="shared" si="554"/>
        <v>0</v>
      </c>
      <c r="F653" s="12"/>
      <c r="G653" s="9"/>
      <c r="H653" s="10"/>
      <c r="I653" s="49">
        <f t="shared" si="555"/>
        <v>0</v>
      </c>
      <c r="J653" s="11">
        <f t="shared" si="556"/>
        <v>0</v>
      </c>
      <c r="L653" s="86"/>
      <c r="M653" s="8"/>
      <c r="N653" s="9"/>
      <c r="O653" s="52"/>
      <c r="P653" s="87">
        <f t="shared" ref="P653:P657" si="566">SUM(M653:O653)</f>
        <v>0</v>
      </c>
      <c r="Q653" s="12"/>
      <c r="R653" s="9"/>
      <c r="S653" s="10"/>
      <c r="T653" s="49">
        <f t="shared" ref="T653:T657" si="567">SUM(Q653:S653)</f>
        <v>0</v>
      </c>
      <c r="U653" s="11">
        <f t="shared" ref="U653:U654" si="568">P653+T653</f>
        <v>0</v>
      </c>
      <c r="V653" s="100"/>
    </row>
    <row r="654" spans="1:22" x14ac:dyDescent="0.15">
      <c r="A654" s="26"/>
      <c r="B654" s="8"/>
      <c r="C654" s="9"/>
      <c r="D654" s="10"/>
      <c r="E654" s="49">
        <f t="shared" si="554"/>
        <v>0</v>
      </c>
      <c r="F654" s="12"/>
      <c r="G654" s="9"/>
      <c r="H654" s="10"/>
      <c r="I654" s="49">
        <f t="shared" si="555"/>
        <v>0</v>
      </c>
      <c r="J654" s="11">
        <f t="shared" si="556"/>
        <v>0</v>
      </c>
      <c r="L654" s="86"/>
      <c r="M654" s="8"/>
      <c r="N654" s="9"/>
      <c r="O654" s="52"/>
      <c r="P654" s="87">
        <f t="shared" si="566"/>
        <v>0</v>
      </c>
      <c r="Q654" s="12"/>
      <c r="R654" s="9"/>
      <c r="S654" s="10"/>
      <c r="T654" s="49">
        <f t="shared" si="567"/>
        <v>0</v>
      </c>
      <c r="U654" s="11">
        <f t="shared" si="568"/>
        <v>0</v>
      </c>
    </row>
    <row r="655" spans="1:22" x14ac:dyDescent="0.15">
      <c r="A655" s="26"/>
      <c r="B655" s="8"/>
      <c r="C655" s="9"/>
      <c r="D655" s="10"/>
      <c r="E655" s="49">
        <f t="shared" si="554"/>
        <v>0</v>
      </c>
      <c r="F655" s="12"/>
      <c r="G655" s="9"/>
      <c r="H655" s="10"/>
      <c r="I655" s="49">
        <f t="shared" si="555"/>
        <v>0</v>
      </c>
      <c r="J655" s="11">
        <f t="shared" si="556"/>
        <v>0</v>
      </c>
      <c r="L655" s="86"/>
      <c r="M655" s="8"/>
      <c r="N655" s="9"/>
      <c r="O655" s="52"/>
      <c r="P655" s="87">
        <f t="shared" ref="P655:P656" si="569">SUM(M655:O655)</f>
        <v>0</v>
      </c>
      <c r="Q655" s="12"/>
      <c r="R655" s="9"/>
      <c r="S655" s="10"/>
      <c r="T655" s="49">
        <f t="shared" ref="T655:T656" si="570">SUM(Q655:S655)</f>
        <v>0</v>
      </c>
      <c r="U655" s="11">
        <f t="shared" ref="U655:U656" si="571">P655+T655</f>
        <v>0</v>
      </c>
    </row>
    <row r="656" spans="1:22" ht="14.25" thickBot="1" x14ac:dyDescent="0.2">
      <c r="A656" s="23"/>
      <c r="B656" s="13"/>
      <c r="C656" s="14"/>
      <c r="D656" s="15"/>
      <c r="E656" s="49">
        <f>SUM(B656:D656)</f>
        <v>0</v>
      </c>
      <c r="F656" s="16"/>
      <c r="G656" s="14"/>
      <c r="H656" s="15"/>
      <c r="I656" s="49">
        <f>SUM(F656:H656)</f>
        <v>0</v>
      </c>
      <c r="J656" s="11">
        <f>E656+I656</f>
        <v>0</v>
      </c>
      <c r="L656" s="86"/>
      <c r="M656" s="8"/>
      <c r="N656" s="9"/>
      <c r="O656" s="52"/>
      <c r="P656" s="87">
        <f t="shared" si="569"/>
        <v>0</v>
      </c>
      <c r="Q656" s="12"/>
      <c r="R656" s="9"/>
      <c r="S656" s="10"/>
      <c r="T656" s="49">
        <f t="shared" si="570"/>
        <v>0</v>
      </c>
      <c r="U656" s="11">
        <f t="shared" si="571"/>
        <v>0</v>
      </c>
    </row>
    <row r="657" spans="1:22" ht="14.25" thickBot="1" x14ac:dyDescent="0.2">
      <c r="A657" s="41" t="s">
        <v>17</v>
      </c>
      <c r="B657" s="46">
        <f>SUM(B631:B656)</f>
        <v>0</v>
      </c>
      <c r="C657" s="47">
        <f t="shared" ref="C657:D657" si="572">SUM(C631:C656)</f>
        <v>0</v>
      </c>
      <c r="D657" s="58">
        <f t="shared" si="572"/>
        <v>2</v>
      </c>
      <c r="E657" s="45">
        <f t="shared" ref="E657" si="573">SUM(B657:D657)</f>
        <v>2</v>
      </c>
      <c r="F657" s="46">
        <f>SUM(F631:F656)</f>
        <v>0</v>
      </c>
      <c r="G657" s="47">
        <f t="shared" ref="G657:H657" si="574">SUM(G631:G656)</f>
        <v>0</v>
      </c>
      <c r="H657" s="58">
        <f t="shared" si="574"/>
        <v>2</v>
      </c>
      <c r="I657" s="45">
        <f t="shared" ref="I657" si="575">SUM(F657:H657)</f>
        <v>2</v>
      </c>
      <c r="J657" s="45">
        <f>E657+I657</f>
        <v>4</v>
      </c>
      <c r="L657" s="41" t="s">
        <v>17</v>
      </c>
      <c r="M657" s="46">
        <f>SUM(M631:M656)</f>
        <v>1</v>
      </c>
      <c r="N657" s="47">
        <f t="shared" ref="N657:O657" si="576">SUM(N631:N656)</f>
        <v>1</v>
      </c>
      <c r="O657" s="58">
        <f t="shared" si="576"/>
        <v>0</v>
      </c>
      <c r="P657" s="45">
        <f t="shared" si="566"/>
        <v>2</v>
      </c>
      <c r="Q657" s="46">
        <f>SUM(Q631:Q656)</f>
        <v>1</v>
      </c>
      <c r="R657" s="47">
        <f t="shared" ref="R657:S657" si="577">SUM(R631:R656)</f>
        <v>1</v>
      </c>
      <c r="S657" s="58">
        <f t="shared" si="577"/>
        <v>0</v>
      </c>
      <c r="T657" s="45">
        <f t="shared" si="567"/>
        <v>2</v>
      </c>
      <c r="U657" s="45">
        <f>P657+T657</f>
        <v>4</v>
      </c>
    </row>
    <row r="658" spans="1:22" ht="14.25" thickBot="1" x14ac:dyDescent="0.2">
      <c r="A658" s="22" t="s">
        <v>16</v>
      </c>
      <c r="B658" s="50">
        <f>B630-B657</f>
        <v>3</v>
      </c>
      <c r="C658" s="56">
        <f t="shared" ref="C658:D658" si="578">C630-C657</f>
        <v>3</v>
      </c>
      <c r="D658" s="57">
        <f t="shared" si="578"/>
        <v>0</v>
      </c>
      <c r="E658" s="55">
        <f>SUM(B658:D658)</f>
        <v>6</v>
      </c>
      <c r="F658" s="50">
        <f>F630-F657</f>
        <v>5</v>
      </c>
      <c r="G658" s="56">
        <f t="shared" ref="G658:H658" si="579">G630-G657</f>
        <v>2</v>
      </c>
      <c r="H658" s="57">
        <f t="shared" si="579"/>
        <v>2</v>
      </c>
      <c r="I658" s="55">
        <f>SUM(F658:H658)</f>
        <v>9</v>
      </c>
      <c r="J658" s="31">
        <f>E658+I658</f>
        <v>15</v>
      </c>
      <c r="L658" s="22" t="s">
        <v>16</v>
      </c>
      <c r="M658" s="50">
        <f>M630-M657</f>
        <v>99</v>
      </c>
      <c r="N658" s="56">
        <f t="shared" ref="N658:O658" si="580">N630-N657</f>
        <v>250</v>
      </c>
      <c r="O658" s="57">
        <f t="shared" si="580"/>
        <v>130</v>
      </c>
      <c r="P658" s="55">
        <f>SUM(M658:O658)</f>
        <v>479</v>
      </c>
      <c r="Q658" s="50">
        <f>Q630-Q657</f>
        <v>99</v>
      </c>
      <c r="R658" s="56">
        <f t="shared" ref="R658:S658" si="581">R630-R657</f>
        <v>250</v>
      </c>
      <c r="S658" s="57">
        <f t="shared" si="581"/>
        <v>130</v>
      </c>
      <c r="T658" s="55">
        <f>SUM(Q658:S658)</f>
        <v>479</v>
      </c>
      <c r="U658" s="31">
        <f>P658+T658</f>
        <v>958</v>
      </c>
    </row>
    <row r="659" spans="1:22" x14ac:dyDescent="0.15">
      <c r="M659" s="124"/>
      <c r="N659" s="124"/>
      <c r="O659" s="124"/>
      <c r="P659" s="124"/>
    </row>
    <row r="661" spans="1:22" ht="19.5" thickBot="1" x14ac:dyDescent="0.25">
      <c r="A661" s="3" t="s">
        <v>20</v>
      </c>
      <c r="B661" s="1"/>
      <c r="C661" s="1"/>
      <c r="D661" s="1"/>
      <c r="E661" s="1"/>
      <c r="F661" s="1"/>
      <c r="G661" s="1"/>
      <c r="H661" s="1"/>
      <c r="I661" s="1"/>
      <c r="J661" s="1"/>
      <c r="L661" s="129" t="s">
        <v>21</v>
      </c>
      <c r="M661" s="129"/>
      <c r="N661" s="129"/>
      <c r="O661" s="129"/>
      <c r="P661" s="129"/>
      <c r="Q661" s="129"/>
      <c r="R661" s="129"/>
      <c r="S661" s="129"/>
      <c r="T661" s="129"/>
      <c r="U661" s="1"/>
    </row>
    <row r="662" spans="1:22" ht="14.25" thickBot="1" x14ac:dyDescent="0.2">
      <c r="A662" s="7"/>
      <c r="B662" s="176" t="s">
        <v>22</v>
      </c>
      <c r="C662" s="177"/>
      <c r="D662" s="177"/>
      <c r="E662" s="178"/>
      <c r="F662" s="176" t="s">
        <v>23</v>
      </c>
      <c r="G662" s="177"/>
      <c r="H662" s="177"/>
      <c r="I662" s="179"/>
      <c r="J662" s="174" t="s">
        <v>0</v>
      </c>
      <c r="L662" s="7"/>
      <c r="M662" s="169" t="s">
        <v>22</v>
      </c>
      <c r="N662" s="170"/>
      <c r="O662" s="170"/>
      <c r="P662" s="171"/>
      <c r="Q662" s="169" t="s">
        <v>23</v>
      </c>
      <c r="R662" s="170"/>
      <c r="S662" s="170"/>
      <c r="T662" s="171"/>
      <c r="U662" s="174" t="s">
        <v>0</v>
      </c>
    </row>
    <row r="663" spans="1:22" ht="14.25" thickBot="1" x14ac:dyDescent="0.2">
      <c r="A663" s="7" t="s">
        <v>1</v>
      </c>
      <c r="B663" s="4" t="s">
        <v>2</v>
      </c>
      <c r="C663" s="5" t="s">
        <v>3</v>
      </c>
      <c r="D663" s="6" t="s">
        <v>4</v>
      </c>
      <c r="E663" s="7" t="s">
        <v>5</v>
      </c>
      <c r="F663" s="4" t="s">
        <v>2</v>
      </c>
      <c r="G663" s="5" t="s">
        <v>3</v>
      </c>
      <c r="H663" s="6" t="s">
        <v>4</v>
      </c>
      <c r="I663" s="7" t="s">
        <v>5</v>
      </c>
      <c r="J663" s="175"/>
      <c r="L663" s="7" t="s">
        <v>1</v>
      </c>
      <c r="M663" s="4" t="s">
        <v>2</v>
      </c>
      <c r="N663" s="5" t="s">
        <v>3</v>
      </c>
      <c r="O663" s="6" t="s">
        <v>4</v>
      </c>
      <c r="P663" s="7" t="s">
        <v>5</v>
      </c>
      <c r="Q663" s="4" t="s">
        <v>2</v>
      </c>
      <c r="R663" s="5" t="s">
        <v>3</v>
      </c>
      <c r="S663" s="6" t="s">
        <v>4</v>
      </c>
      <c r="T663" s="7" t="s">
        <v>5</v>
      </c>
      <c r="U663" s="175"/>
    </row>
    <row r="664" spans="1:22" ht="14.25" thickBot="1" x14ac:dyDescent="0.2">
      <c r="A664" s="27" t="s">
        <v>16</v>
      </c>
      <c r="B664" s="38">
        <f t="shared" ref="B664:I664" si="582">B658</f>
        <v>3</v>
      </c>
      <c r="C664" s="39">
        <f t="shared" si="582"/>
        <v>3</v>
      </c>
      <c r="D664" s="2">
        <f t="shared" si="582"/>
        <v>0</v>
      </c>
      <c r="E664" s="36">
        <f t="shared" si="582"/>
        <v>6</v>
      </c>
      <c r="F664" s="38">
        <f t="shared" si="582"/>
        <v>5</v>
      </c>
      <c r="G664" s="39">
        <f t="shared" si="582"/>
        <v>2</v>
      </c>
      <c r="H664" s="2">
        <f t="shared" si="582"/>
        <v>2</v>
      </c>
      <c r="I664" s="36">
        <f t="shared" si="582"/>
        <v>9</v>
      </c>
      <c r="J664" s="36">
        <f>E664+I664</f>
        <v>15</v>
      </c>
      <c r="L664" s="27" t="s">
        <v>16</v>
      </c>
      <c r="M664" s="50">
        <f t="shared" ref="M664:U664" si="583">M658</f>
        <v>99</v>
      </c>
      <c r="N664" s="56">
        <f t="shared" si="583"/>
        <v>250</v>
      </c>
      <c r="O664" s="57">
        <f t="shared" si="583"/>
        <v>130</v>
      </c>
      <c r="P664" s="55">
        <f t="shared" si="583"/>
        <v>479</v>
      </c>
      <c r="Q664" s="50">
        <f t="shared" si="583"/>
        <v>99</v>
      </c>
      <c r="R664" s="56">
        <f t="shared" si="583"/>
        <v>250</v>
      </c>
      <c r="S664" s="57">
        <f t="shared" si="583"/>
        <v>130</v>
      </c>
      <c r="T664" s="55">
        <f t="shared" si="583"/>
        <v>479</v>
      </c>
      <c r="U664" s="31">
        <f t="shared" si="583"/>
        <v>958</v>
      </c>
    </row>
    <row r="665" spans="1:22" x14ac:dyDescent="0.15">
      <c r="A665" s="25" t="s">
        <v>645</v>
      </c>
      <c r="B665" s="42"/>
      <c r="C665" s="43"/>
      <c r="D665" s="44">
        <v>2</v>
      </c>
      <c r="E665" s="48">
        <f>SUM(B665:D665)</f>
        <v>2</v>
      </c>
      <c r="F665" s="59"/>
      <c r="G665" s="43"/>
      <c r="H665" s="60">
        <v>2</v>
      </c>
      <c r="I665" s="48">
        <f>SUM(F665:H665)</f>
        <v>2</v>
      </c>
      <c r="J665" s="48">
        <f>E665+I665</f>
        <v>4</v>
      </c>
      <c r="K665" s="62">
        <v>44845</v>
      </c>
      <c r="L665" s="25" t="s">
        <v>7</v>
      </c>
      <c r="M665" s="42"/>
      <c r="N665" s="43"/>
      <c r="O665" s="44"/>
      <c r="P665" s="48">
        <f>SUM(M665:O665)</f>
        <v>0</v>
      </c>
      <c r="Q665" s="59"/>
      <c r="R665" s="43"/>
      <c r="S665" s="60"/>
      <c r="T665" s="48">
        <f>SUM(Q665:S665)</f>
        <v>0</v>
      </c>
      <c r="U665" s="48">
        <f>P665+T665</f>
        <v>0</v>
      </c>
    </row>
    <row r="666" spans="1:22" x14ac:dyDescent="0.15">
      <c r="A666" s="25" t="s">
        <v>658</v>
      </c>
      <c r="B666" s="8">
        <v>1</v>
      </c>
      <c r="C666" s="9"/>
      <c r="D666" s="52"/>
      <c r="E666" s="11">
        <f>SUM(B666:D666)</f>
        <v>1</v>
      </c>
      <c r="F666" s="12">
        <v>1</v>
      </c>
      <c r="G666" s="9"/>
      <c r="H666" s="10"/>
      <c r="I666" s="11">
        <f>SUM(F666:H666)</f>
        <v>1</v>
      </c>
      <c r="J666" s="11">
        <f>E666+I666</f>
        <v>2</v>
      </c>
      <c r="K666" s="62">
        <v>44848</v>
      </c>
      <c r="L666" s="25" t="s">
        <v>8</v>
      </c>
      <c r="M666" s="8"/>
      <c r="N666" s="9"/>
      <c r="O666" s="52"/>
      <c r="P666" s="11">
        <f>SUM(M666:O666)</f>
        <v>0</v>
      </c>
      <c r="Q666" s="8"/>
      <c r="R666" s="9"/>
      <c r="S666" s="52"/>
      <c r="T666" s="11">
        <f>SUM(Q666:S666)</f>
        <v>0</v>
      </c>
      <c r="U666" s="11">
        <f>P666+T666</f>
        <v>0</v>
      </c>
      <c r="V666" s="98"/>
    </row>
    <row r="667" spans="1:22" x14ac:dyDescent="0.15">
      <c r="A667" s="25" t="s">
        <v>52</v>
      </c>
      <c r="B667" s="17">
        <v>1</v>
      </c>
      <c r="C667" s="18">
        <v>1</v>
      </c>
      <c r="D667" s="51"/>
      <c r="E667" s="11">
        <f t="shared" ref="E667:E672" si="584">SUM(B667:D667)</f>
        <v>2</v>
      </c>
      <c r="F667" s="20">
        <v>1</v>
      </c>
      <c r="G667" s="18">
        <v>1</v>
      </c>
      <c r="H667" s="19"/>
      <c r="I667" s="11">
        <f t="shared" ref="I667:I672" si="585">SUM(F667:H667)</f>
        <v>2</v>
      </c>
      <c r="J667" s="11">
        <f t="shared" ref="J667:J672" si="586">E667+I667</f>
        <v>4</v>
      </c>
      <c r="K667" s="62">
        <v>44861</v>
      </c>
      <c r="L667" s="25" t="s">
        <v>9</v>
      </c>
      <c r="M667" s="8"/>
      <c r="N667" s="9"/>
      <c r="O667" s="52"/>
      <c r="P667" s="11">
        <f t="shared" ref="P667" si="587">SUM(M667:O667)</f>
        <v>0</v>
      </c>
      <c r="Q667" s="12"/>
      <c r="R667" s="9"/>
      <c r="S667" s="10"/>
      <c r="T667" s="11">
        <f t="shared" ref="T667" si="588">SUM(Q667:S667)</f>
        <v>0</v>
      </c>
      <c r="U667" s="11">
        <f t="shared" ref="U667" si="589">P667+T667</f>
        <v>0</v>
      </c>
    </row>
    <row r="668" spans="1:22" x14ac:dyDescent="0.15">
      <c r="A668" s="25"/>
      <c r="B668" s="8"/>
      <c r="C668" s="9"/>
      <c r="D668" s="52"/>
      <c r="E668" s="11">
        <f t="shared" si="584"/>
        <v>0</v>
      </c>
      <c r="F668" s="12"/>
      <c r="G668" s="9"/>
      <c r="H668" s="10"/>
      <c r="I668" s="11">
        <f t="shared" si="585"/>
        <v>0</v>
      </c>
      <c r="J668" s="11">
        <f t="shared" si="586"/>
        <v>0</v>
      </c>
      <c r="L668" s="25" t="s">
        <v>10</v>
      </c>
      <c r="M668" s="8"/>
      <c r="N668" s="9"/>
      <c r="O668" s="52"/>
      <c r="P668" s="11">
        <f t="shared" ref="P668:P669" si="590">SUM(M668:O668)</f>
        <v>0</v>
      </c>
      <c r="Q668" s="12"/>
      <c r="R668" s="9"/>
      <c r="S668" s="10"/>
      <c r="T668" s="11">
        <f t="shared" ref="T668:T669" si="591">SUM(Q668:S668)</f>
        <v>0</v>
      </c>
      <c r="U668" s="11">
        <f t="shared" ref="U668:U669" si="592">P668+T668</f>
        <v>0</v>
      </c>
    </row>
    <row r="669" spans="1:22" x14ac:dyDescent="0.15">
      <c r="A669" s="25"/>
      <c r="B669" s="8"/>
      <c r="C669" s="9"/>
      <c r="D669" s="52"/>
      <c r="E669" s="11">
        <f t="shared" si="584"/>
        <v>0</v>
      </c>
      <c r="F669" s="12"/>
      <c r="G669" s="9"/>
      <c r="H669" s="10"/>
      <c r="I669" s="11">
        <f t="shared" si="585"/>
        <v>0</v>
      </c>
      <c r="J669" s="11">
        <f t="shared" si="586"/>
        <v>0</v>
      </c>
      <c r="L669" s="25" t="s">
        <v>11</v>
      </c>
      <c r="M669" s="8"/>
      <c r="N669" s="9"/>
      <c r="O669" s="52"/>
      <c r="P669" s="11">
        <f t="shared" si="590"/>
        <v>0</v>
      </c>
      <c r="Q669" s="12"/>
      <c r="R669" s="9"/>
      <c r="S669" s="10"/>
      <c r="T669" s="11">
        <f t="shared" si="591"/>
        <v>0</v>
      </c>
      <c r="U669" s="11">
        <f t="shared" si="592"/>
        <v>0</v>
      </c>
    </row>
    <row r="670" spans="1:22" x14ac:dyDescent="0.15">
      <c r="A670" s="25"/>
      <c r="B670" s="8"/>
      <c r="C670" s="9"/>
      <c r="D670" s="52"/>
      <c r="E670" s="11">
        <f t="shared" si="584"/>
        <v>0</v>
      </c>
      <c r="F670" s="12"/>
      <c r="G670" s="9"/>
      <c r="H670" s="10"/>
      <c r="I670" s="11">
        <f t="shared" si="585"/>
        <v>0</v>
      </c>
      <c r="J670" s="11">
        <f t="shared" si="586"/>
        <v>0</v>
      </c>
      <c r="L670" s="25" t="s">
        <v>12</v>
      </c>
      <c r="M670" s="8"/>
      <c r="N670" s="9"/>
      <c r="O670" s="52"/>
      <c r="P670" s="11">
        <f>SUM(M670:O670)</f>
        <v>0</v>
      </c>
      <c r="Q670" s="8"/>
      <c r="R670" s="9"/>
      <c r="S670" s="52"/>
      <c r="T670" s="11">
        <f>SUM(Q670:S670)</f>
        <v>0</v>
      </c>
      <c r="U670" s="11">
        <f>P670+T670</f>
        <v>0</v>
      </c>
    </row>
    <row r="671" spans="1:22" x14ac:dyDescent="0.15">
      <c r="A671" s="25"/>
      <c r="B671" s="13"/>
      <c r="C671" s="14"/>
      <c r="D671" s="53"/>
      <c r="E671" s="11">
        <f t="shared" si="584"/>
        <v>0</v>
      </c>
      <c r="F671" s="16"/>
      <c r="G671" s="14"/>
      <c r="H671" s="15"/>
      <c r="I671" s="11">
        <f t="shared" si="585"/>
        <v>0</v>
      </c>
      <c r="J671" s="11">
        <f t="shared" si="586"/>
        <v>0</v>
      </c>
      <c r="L671" s="25" t="s">
        <v>13</v>
      </c>
      <c r="M671" s="8"/>
      <c r="N671" s="9"/>
      <c r="O671" s="52"/>
      <c r="P671" s="11">
        <f t="shared" ref="P671:P672" si="593">SUM(M671:O671)</f>
        <v>0</v>
      </c>
      <c r="Q671" s="12"/>
      <c r="R671" s="9"/>
      <c r="S671" s="10"/>
      <c r="T671" s="11">
        <f t="shared" ref="T671:T672" si="594">SUM(Q671:S671)</f>
        <v>0</v>
      </c>
      <c r="U671" s="11">
        <f t="shared" ref="U671:U672" si="595">P671+T671</f>
        <v>0</v>
      </c>
    </row>
    <row r="672" spans="1:22" ht="14.25" thickBot="1" x14ac:dyDescent="0.2">
      <c r="A672" s="25"/>
      <c r="B672" s="32"/>
      <c r="C672" s="33"/>
      <c r="D672" s="54"/>
      <c r="E672" s="61">
        <f t="shared" si="584"/>
        <v>0</v>
      </c>
      <c r="F672" s="34"/>
      <c r="G672" s="34"/>
      <c r="H672" s="37"/>
      <c r="I672" s="61">
        <f t="shared" si="585"/>
        <v>0</v>
      </c>
      <c r="J672" s="21">
        <f t="shared" si="586"/>
        <v>0</v>
      </c>
      <c r="L672" s="25" t="s">
        <v>14</v>
      </c>
      <c r="M672" s="32"/>
      <c r="N672" s="33"/>
      <c r="O672" s="54"/>
      <c r="P672" s="61">
        <f t="shared" si="593"/>
        <v>0</v>
      </c>
      <c r="Q672" s="34"/>
      <c r="R672" s="34"/>
      <c r="S672" s="37"/>
      <c r="T672" s="61">
        <f t="shared" si="594"/>
        <v>0</v>
      </c>
      <c r="U672" s="21">
        <f t="shared" si="595"/>
        <v>0</v>
      </c>
    </row>
    <row r="673" spans="1:22" ht="14.25" thickBot="1" x14ac:dyDescent="0.2">
      <c r="A673" s="35" t="s">
        <v>15</v>
      </c>
      <c r="B673" s="28">
        <f>SUM(B664:B672)</f>
        <v>5</v>
      </c>
      <c r="C673" s="29">
        <f>SUM(C664:C672)</f>
        <v>4</v>
      </c>
      <c r="D673" s="30">
        <f>SUM(D664:D672)</f>
        <v>2</v>
      </c>
      <c r="E673" s="31">
        <f>SUM(B673:D673)</f>
        <v>11</v>
      </c>
      <c r="F673" s="28">
        <f>SUM(F664:F672)</f>
        <v>7</v>
      </c>
      <c r="G673" s="29">
        <f>SUM(G664:G672)</f>
        <v>3</v>
      </c>
      <c r="H673" s="30">
        <f>SUM(H664:H672)</f>
        <v>4</v>
      </c>
      <c r="I673" s="31">
        <f>SUM(F673:H673)</f>
        <v>14</v>
      </c>
      <c r="J673" s="31">
        <f>E673+I673</f>
        <v>25</v>
      </c>
      <c r="L673" s="35" t="s">
        <v>15</v>
      </c>
      <c r="M673" s="28">
        <f>SUM(M664:M672)</f>
        <v>99</v>
      </c>
      <c r="N673" s="29">
        <f>SUM(N664:N672)</f>
        <v>250</v>
      </c>
      <c r="O673" s="30">
        <f>SUM(O664:O672)</f>
        <v>130</v>
      </c>
      <c r="P673" s="31">
        <f>SUM(M673:O673)</f>
        <v>479</v>
      </c>
      <c r="Q673" s="28">
        <f>SUM(Q664:Q672)</f>
        <v>99</v>
      </c>
      <c r="R673" s="29">
        <f>SUM(R664:R672)</f>
        <v>250</v>
      </c>
      <c r="S673" s="30">
        <f>SUM(S664:S672)</f>
        <v>130</v>
      </c>
      <c r="T673" s="31">
        <f>SUM(Q673:S673)</f>
        <v>479</v>
      </c>
      <c r="U673" s="31">
        <f>P673+T673</f>
        <v>958</v>
      </c>
    </row>
    <row r="674" spans="1:22" x14ac:dyDescent="0.15">
      <c r="A674" s="108" t="s">
        <v>631</v>
      </c>
      <c r="B674" s="42">
        <v>1</v>
      </c>
      <c r="C674" s="43"/>
      <c r="D674" s="44"/>
      <c r="E674" s="76">
        <f>SUM(B674:D674)</f>
        <v>1</v>
      </c>
      <c r="F674" s="59">
        <v>1</v>
      </c>
      <c r="G674" s="43"/>
      <c r="H674" s="60"/>
      <c r="I674" s="76">
        <f>SUM(F674:H674)</f>
        <v>1</v>
      </c>
      <c r="J674" s="48">
        <f>E674+I674</f>
        <v>2</v>
      </c>
      <c r="K674" s="62">
        <v>44826</v>
      </c>
      <c r="L674" s="108" t="s">
        <v>110</v>
      </c>
      <c r="M674" s="8"/>
      <c r="N674" s="9"/>
      <c r="O674" s="52">
        <v>1</v>
      </c>
      <c r="P674" s="87">
        <f t="shared" ref="P674" si="596">SUM(M674:O674)</f>
        <v>1</v>
      </c>
      <c r="Q674" s="12"/>
      <c r="R674" s="9"/>
      <c r="S674" s="10">
        <v>1</v>
      </c>
      <c r="T674" s="49">
        <f t="shared" ref="T674" si="597">SUM(Q674:S674)</f>
        <v>1</v>
      </c>
      <c r="U674" s="11">
        <f t="shared" ref="U674" si="598">P674+T674</f>
        <v>2</v>
      </c>
      <c r="V674" s="98">
        <v>44824</v>
      </c>
    </row>
    <row r="675" spans="1:22" x14ac:dyDescent="0.15">
      <c r="A675" s="108" t="s">
        <v>651</v>
      </c>
      <c r="B675" s="8">
        <v>1</v>
      </c>
      <c r="C675" s="9"/>
      <c r="D675" s="10"/>
      <c r="E675" s="49">
        <f t="shared" ref="E675:E698" si="599">SUM(B675:D675)</f>
        <v>1</v>
      </c>
      <c r="F675" s="12">
        <v>1</v>
      </c>
      <c r="G675" s="9"/>
      <c r="H675" s="10"/>
      <c r="I675" s="49">
        <f t="shared" ref="I675:I698" si="600">SUM(F675:H675)</f>
        <v>1</v>
      </c>
      <c r="J675" s="11">
        <f t="shared" ref="J675:J698" si="601">E675+I675</f>
        <v>2</v>
      </c>
      <c r="K675" s="62">
        <v>44847</v>
      </c>
      <c r="L675" s="108" t="s">
        <v>628</v>
      </c>
      <c r="M675" s="8">
        <v>12</v>
      </c>
      <c r="N675" s="9">
        <v>1</v>
      </c>
      <c r="O675" s="52">
        <v>6</v>
      </c>
      <c r="P675" s="87">
        <f t="shared" ref="P675:P676" si="602">SUM(M675:O675)</f>
        <v>19</v>
      </c>
      <c r="Q675" s="12">
        <v>12</v>
      </c>
      <c r="R675" s="9">
        <v>1</v>
      </c>
      <c r="S675" s="10">
        <v>6</v>
      </c>
      <c r="T675" s="49">
        <f t="shared" ref="T675:T676" si="603">SUM(Q675:S675)</f>
        <v>19</v>
      </c>
      <c r="U675" s="11">
        <f t="shared" ref="U675:U676" si="604">P675+T675</f>
        <v>38</v>
      </c>
      <c r="V675" s="98">
        <v>44825</v>
      </c>
    </row>
    <row r="676" spans="1:22" x14ac:dyDescent="0.15">
      <c r="A676" s="108"/>
      <c r="B676" s="8"/>
      <c r="C676" s="9"/>
      <c r="D676" s="10"/>
      <c r="E676" s="49">
        <f t="shared" si="599"/>
        <v>0</v>
      </c>
      <c r="F676" s="12"/>
      <c r="G676" s="9"/>
      <c r="H676" s="10"/>
      <c r="I676" s="49">
        <f t="shared" si="600"/>
        <v>0</v>
      </c>
      <c r="J676" s="11">
        <f t="shared" si="601"/>
        <v>0</v>
      </c>
      <c r="K676" s="62"/>
      <c r="L676" s="108" t="s">
        <v>629</v>
      </c>
      <c r="M676" s="8">
        <v>1</v>
      </c>
      <c r="N676" s="9">
        <v>1</v>
      </c>
      <c r="O676" s="52">
        <v>4</v>
      </c>
      <c r="P676" s="87">
        <f t="shared" si="602"/>
        <v>6</v>
      </c>
      <c r="Q676" s="12">
        <v>1</v>
      </c>
      <c r="R676" s="9">
        <v>1</v>
      </c>
      <c r="S676" s="10">
        <v>4</v>
      </c>
      <c r="T676" s="49">
        <f t="shared" si="603"/>
        <v>6</v>
      </c>
      <c r="U676" s="11">
        <f t="shared" si="604"/>
        <v>12</v>
      </c>
      <c r="V676" s="98">
        <v>44826</v>
      </c>
    </row>
    <row r="677" spans="1:22" x14ac:dyDescent="0.15">
      <c r="A677" s="26"/>
      <c r="B677" s="8"/>
      <c r="C677" s="9"/>
      <c r="D677" s="10"/>
      <c r="E677" s="49">
        <f t="shared" si="599"/>
        <v>0</v>
      </c>
      <c r="F677" s="12"/>
      <c r="G677" s="9"/>
      <c r="H677" s="10"/>
      <c r="I677" s="49">
        <f t="shared" si="600"/>
        <v>0</v>
      </c>
      <c r="J677" s="11">
        <f t="shared" si="601"/>
        <v>0</v>
      </c>
      <c r="K677" s="62"/>
      <c r="L677" s="108" t="s">
        <v>633</v>
      </c>
      <c r="M677" s="13">
        <v>1</v>
      </c>
      <c r="N677" s="14">
        <v>10</v>
      </c>
      <c r="O677" s="53">
        <v>1</v>
      </c>
      <c r="P677" s="87">
        <f>SUM(M677:O677)</f>
        <v>12</v>
      </c>
      <c r="Q677" s="16">
        <v>1</v>
      </c>
      <c r="R677" s="14">
        <v>10</v>
      </c>
      <c r="S677" s="15">
        <v>1</v>
      </c>
      <c r="T677" s="49">
        <f>SUM(Q677:S677)</f>
        <v>12</v>
      </c>
      <c r="U677" s="11">
        <f>P677+T677</f>
        <v>24</v>
      </c>
      <c r="V677" s="98">
        <v>44830</v>
      </c>
    </row>
    <row r="678" spans="1:22" x14ac:dyDescent="0.15">
      <c r="A678" s="26"/>
      <c r="B678" s="8"/>
      <c r="C678" s="9"/>
      <c r="D678" s="10"/>
      <c r="E678" s="49">
        <f t="shared" si="599"/>
        <v>0</v>
      </c>
      <c r="F678" s="12"/>
      <c r="G678" s="9"/>
      <c r="H678" s="10"/>
      <c r="I678" s="49">
        <f t="shared" si="600"/>
        <v>0</v>
      </c>
      <c r="J678" s="11">
        <f t="shared" si="601"/>
        <v>0</v>
      </c>
      <c r="K678" s="66"/>
      <c r="L678" s="108" t="s">
        <v>635</v>
      </c>
      <c r="M678" s="8">
        <v>2</v>
      </c>
      <c r="N678" s="9">
        <v>4</v>
      </c>
      <c r="O678" s="52">
        <v>1</v>
      </c>
      <c r="P678" s="87">
        <f t="shared" ref="P678:P689" si="605">SUM(M678:O678)</f>
        <v>7</v>
      </c>
      <c r="Q678" s="12">
        <v>2</v>
      </c>
      <c r="R678" s="9">
        <v>4</v>
      </c>
      <c r="S678" s="10">
        <v>1</v>
      </c>
      <c r="T678" s="49">
        <f t="shared" ref="T678:T689" si="606">SUM(Q678:S678)</f>
        <v>7</v>
      </c>
      <c r="U678" s="11">
        <f t="shared" ref="U678:U689" si="607">P678+T678</f>
        <v>14</v>
      </c>
      <c r="V678" s="98">
        <v>44831</v>
      </c>
    </row>
    <row r="679" spans="1:22" x14ac:dyDescent="0.15">
      <c r="A679" s="26"/>
      <c r="B679" s="8"/>
      <c r="C679" s="9"/>
      <c r="D679" s="10"/>
      <c r="E679" s="49">
        <f t="shared" si="599"/>
        <v>0</v>
      </c>
      <c r="F679" s="12"/>
      <c r="G679" s="9"/>
      <c r="H679" s="10"/>
      <c r="I679" s="49">
        <f t="shared" si="600"/>
        <v>0</v>
      </c>
      <c r="J679" s="11">
        <f t="shared" si="601"/>
        <v>0</v>
      </c>
      <c r="L679" s="108" t="s">
        <v>637</v>
      </c>
      <c r="M679" s="8">
        <v>4</v>
      </c>
      <c r="N679" s="9">
        <v>3</v>
      </c>
      <c r="O679" s="52"/>
      <c r="P679" s="87">
        <f t="shared" si="605"/>
        <v>7</v>
      </c>
      <c r="Q679" s="12">
        <v>4</v>
      </c>
      <c r="R679" s="9">
        <v>3</v>
      </c>
      <c r="S679" s="10"/>
      <c r="T679" s="49">
        <f t="shared" si="606"/>
        <v>7</v>
      </c>
      <c r="U679" s="11">
        <f t="shared" si="607"/>
        <v>14</v>
      </c>
      <c r="V679" s="98">
        <v>44832</v>
      </c>
    </row>
    <row r="680" spans="1:22" x14ac:dyDescent="0.15">
      <c r="A680" s="26"/>
      <c r="B680" s="8"/>
      <c r="C680" s="9"/>
      <c r="D680" s="10"/>
      <c r="E680" s="49">
        <f t="shared" si="599"/>
        <v>0</v>
      </c>
      <c r="F680" s="12"/>
      <c r="G680" s="9"/>
      <c r="H680" s="10"/>
      <c r="I680" s="49">
        <f t="shared" si="600"/>
        <v>0</v>
      </c>
      <c r="J680" s="11">
        <f t="shared" si="601"/>
        <v>0</v>
      </c>
      <c r="L680" s="108" t="s">
        <v>639</v>
      </c>
      <c r="M680" s="8">
        <v>2</v>
      </c>
      <c r="N680" s="9">
        <v>5</v>
      </c>
      <c r="O680" s="52">
        <v>3</v>
      </c>
      <c r="P680" s="87">
        <f t="shared" si="605"/>
        <v>10</v>
      </c>
      <c r="Q680" s="12">
        <v>2</v>
      </c>
      <c r="R680" s="9">
        <v>5</v>
      </c>
      <c r="S680" s="10">
        <v>3</v>
      </c>
      <c r="T680" s="49">
        <f t="shared" si="606"/>
        <v>10</v>
      </c>
      <c r="U680" s="11">
        <f t="shared" si="607"/>
        <v>20</v>
      </c>
      <c r="V680" s="98">
        <v>44833</v>
      </c>
    </row>
    <row r="681" spans="1:22" x14ac:dyDescent="0.15">
      <c r="A681" s="26"/>
      <c r="B681" s="8"/>
      <c r="C681" s="9"/>
      <c r="D681" s="10"/>
      <c r="E681" s="49">
        <f t="shared" si="599"/>
        <v>0</v>
      </c>
      <c r="F681" s="12"/>
      <c r="G681" s="9"/>
      <c r="H681" s="10"/>
      <c r="I681" s="49">
        <f t="shared" si="600"/>
        <v>0</v>
      </c>
      <c r="J681" s="11">
        <f t="shared" si="601"/>
        <v>0</v>
      </c>
      <c r="L681" s="108" t="s">
        <v>641</v>
      </c>
      <c r="M681" s="8">
        <v>1</v>
      </c>
      <c r="N681" s="9"/>
      <c r="O681" s="52"/>
      <c r="P681" s="87">
        <f t="shared" si="605"/>
        <v>1</v>
      </c>
      <c r="Q681" s="12">
        <v>1</v>
      </c>
      <c r="R681" s="9"/>
      <c r="S681" s="10"/>
      <c r="T681" s="49">
        <f t="shared" si="606"/>
        <v>1</v>
      </c>
      <c r="U681" s="11">
        <f t="shared" si="607"/>
        <v>2</v>
      </c>
      <c r="V681" s="98">
        <v>44834</v>
      </c>
    </row>
    <row r="682" spans="1:22" x14ac:dyDescent="0.15">
      <c r="A682" s="26"/>
      <c r="B682" s="8"/>
      <c r="C682" s="9"/>
      <c r="D682" s="10"/>
      <c r="E682" s="49">
        <f t="shared" si="599"/>
        <v>0</v>
      </c>
      <c r="F682" s="12"/>
      <c r="G682" s="9"/>
      <c r="H682" s="10"/>
      <c r="I682" s="49">
        <f t="shared" si="600"/>
        <v>0</v>
      </c>
      <c r="J682" s="11">
        <f t="shared" si="601"/>
        <v>0</v>
      </c>
      <c r="L682" s="108" t="s">
        <v>643</v>
      </c>
      <c r="M682" s="8"/>
      <c r="N682" s="9"/>
      <c r="O682" s="52">
        <v>5</v>
      </c>
      <c r="P682" s="87">
        <f t="shared" si="605"/>
        <v>5</v>
      </c>
      <c r="Q682" s="12"/>
      <c r="R682" s="9"/>
      <c r="S682" s="10">
        <v>5</v>
      </c>
      <c r="T682" s="49">
        <f t="shared" si="606"/>
        <v>5</v>
      </c>
      <c r="U682" s="11">
        <f t="shared" si="607"/>
        <v>10</v>
      </c>
      <c r="V682" s="98">
        <v>44837</v>
      </c>
    </row>
    <row r="683" spans="1:22" x14ac:dyDescent="0.15">
      <c r="A683" s="26"/>
      <c r="B683" s="13"/>
      <c r="C683" s="14"/>
      <c r="D683" s="15"/>
      <c r="E683" s="49">
        <f t="shared" si="599"/>
        <v>0</v>
      </c>
      <c r="F683" s="16"/>
      <c r="G683" s="14"/>
      <c r="H683" s="15"/>
      <c r="I683" s="49">
        <f t="shared" si="600"/>
        <v>0</v>
      </c>
      <c r="J683" s="11">
        <f t="shared" si="601"/>
        <v>0</v>
      </c>
      <c r="L683" s="108" t="s">
        <v>131</v>
      </c>
      <c r="M683" s="13">
        <v>1</v>
      </c>
      <c r="N683" s="14">
        <v>2</v>
      </c>
      <c r="O683" s="53">
        <v>1</v>
      </c>
      <c r="P683" s="87">
        <f t="shared" si="605"/>
        <v>4</v>
      </c>
      <c r="Q683" s="16">
        <v>1</v>
      </c>
      <c r="R683" s="14">
        <v>2</v>
      </c>
      <c r="S683" s="15">
        <v>1</v>
      </c>
      <c r="T683" s="49">
        <f t="shared" si="606"/>
        <v>4</v>
      </c>
      <c r="U683" s="11">
        <f t="shared" si="607"/>
        <v>8</v>
      </c>
      <c r="V683" s="98">
        <v>44838</v>
      </c>
    </row>
    <row r="684" spans="1:22" x14ac:dyDescent="0.15">
      <c r="A684" s="26"/>
      <c r="B684" s="8"/>
      <c r="C684" s="9"/>
      <c r="D684" s="10"/>
      <c r="E684" s="49">
        <f t="shared" si="599"/>
        <v>0</v>
      </c>
      <c r="F684" s="12"/>
      <c r="G684" s="9"/>
      <c r="H684" s="10"/>
      <c r="I684" s="49">
        <f t="shared" si="600"/>
        <v>0</v>
      </c>
      <c r="J684" s="11">
        <f t="shared" si="601"/>
        <v>0</v>
      </c>
      <c r="L684" s="108" t="s">
        <v>646</v>
      </c>
      <c r="M684" s="8"/>
      <c r="N684" s="9"/>
      <c r="O684" s="52">
        <v>2</v>
      </c>
      <c r="P684" s="87">
        <f t="shared" si="605"/>
        <v>2</v>
      </c>
      <c r="Q684" s="12"/>
      <c r="R684" s="9"/>
      <c r="S684" s="10">
        <v>2</v>
      </c>
      <c r="T684" s="49">
        <f t="shared" si="606"/>
        <v>2</v>
      </c>
      <c r="U684" s="11">
        <f t="shared" si="607"/>
        <v>4</v>
      </c>
      <c r="V684" s="98">
        <v>44845</v>
      </c>
    </row>
    <row r="685" spans="1:22" x14ac:dyDescent="0.15">
      <c r="A685" s="26"/>
      <c r="B685" s="8"/>
      <c r="C685" s="9"/>
      <c r="D685" s="10"/>
      <c r="E685" s="49">
        <f t="shared" si="599"/>
        <v>0</v>
      </c>
      <c r="F685" s="12"/>
      <c r="G685" s="9"/>
      <c r="H685" s="10"/>
      <c r="I685" s="49">
        <f t="shared" si="600"/>
        <v>0</v>
      </c>
      <c r="J685" s="11">
        <f t="shared" si="601"/>
        <v>0</v>
      </c>
      <c r="L685" s="108" t="s">
        <v>649</v>
      </c>
      <c r="M685" s="8"/>
      <c r="N685" s="9">
        <v>6</v>
      </c>
      <c r="O685" s="52">
        <v>3</v>
      </c>
      <c r="P685" s="87">
        <f t="shared" si="605"/>
        <v>9</v>
      </c>
      <c r="Q685" s="12"/>
      <c r="R685" s="9">
        <v>6</v>
      </c>
      <c r="S685" s="10">
        <v>3</v>
      </c>
      <c r="T685" s="49">
        <f t="shared" si="606"/>
        <v>9</v>
      </c>
      <c r="U685" s="11">
        <f t="shared" si="607"/>
        <v>18</v>
      </c>
      <c r="V685" s="98">
        <v>44846</v>
      </c>
    </row>
    <row r="686" spans="1:22" x14ac:dyDescent="0.15">
      <c r="A686" s="26"/>
      <c r="B686" s="8"/>
      <c r="C686" s="9"/>
      <c r="D686" s="10"/>
      <c r="E686" s="49">
        <f t="shared" si="599"/>
        <v>0</v>
      </c>
      <c r="F686" s="12"/>
      <c r="G686" s="9"/>
      <c r="H686" s="10"/>
      <c r="I686" s="49">
        <f t="shared" si="600"/>
        <v>0</v>
      </c>
      <c r="J686" s="11">
        <f t="shared" si="601"/>
        <v>0</v>
      </c>
      <c r="L686" s="108" t="s">
        <v>653</v>
      </c>
      <c r="M686" s="8">
        <v>8</v>
      </c>
      <c r="N686" s="9">
        <v>9</v>
      </c>
      <c r="O686" s="52">
        <v>3</v>
      </c>
      <c r="P686" s="87">
        <f t="shared" si="605"/>
        <v>20</v>
      </c>
      <c r="Q686" s="12">
        <v>8</v>
      </c>
      <c r="R686" s="9">
        <v>9</v>
      </c>
      <c r="S686" s="10">
        <v>3</v>
      </c>
      <c r="T686" s="49">
        <f t="shared" si="606"/>
        <v>20</v>
      </c>
      <c r="U686" s="11">
        <f t="shared" si="607"/>
        <v>40</v>
      </c>
      <c r="V686" s="98">
        <v>44847</v>
      </c>
    </row>
    <row r="687" spans="1:22" x14ac:dyDescent="0.15">
      <c r="A687" s="26"/>
      <c r="B687" s="8"/>
      <c r="C687" s="9"/>
      <c r="D687" s="10"/>
      <c r="E687" s="49">
        <f t="shared" si="599"/>
        <v>0</v>
      </c>
      <c r="F687" s="12"/>
      <c r="G687" s="9"/>
      <c r="H687" s="10"/>
      <c r="I687" s="49">
        <f t="shared" si="600"/>
        <v>0</v>
      </c>
      <c r="J687" s="11">
        <f t="shared" si="601"/>
        <v>0</v>
      </c>
      <c r="L687" s="108" t="s">
        <v>655</v>
      </c>
      <c r="M687" s="8">
        <v>2</v>
      </c>
      <c r="N687" s="9">
        <v>9</v>
      </c>
      <c r="O687" s="52">
        <v>1</v>
      </c>
      <c r="P687" s="87">
        <f t="shared" si="605"/>
        <v>12</v>
      </c>
      <c r="Q687" s="12">
        <v>2</v>
      </c>
      <c r="R687" s="9">
        <v>9</v>
      </c>
      <c r="S687" s="10">
        <v>1</v>
      </c>
      <c r="T687" s="49">
        <f t="shared" si="606"/>
        <v>12</v>
      </c>
      <c r="U687" s="11">
        <f t="shared" si="607"/>
        <v>24</v>
      </c>
      <c r="V687" s="98">
        <v>44848</v>
      </c>
    </row>
    <row r="688" spans="1:22" x14ac:dyDescent="0.15">
      <c r="A688" s="26"/>
      <c r="B688" s="8"/>
      <c r="C688" s="9"/>
      <c r="D688" s="10"/>
      <c r="E688" s="49">
        <f t="shared" si="599"/>
        <v>0</v>
      </c>
      <c r="F688" s="12"/>
      <c r="G688" s="9"/>
      <c r="H688" s="10"/>
      <c r="I688" s="49">
        <f t="shared" si="600"/>
        <v>0</v>
      </c>
      <c r="J688" s="11">
        <f t="shared" si="601"/>
        <v>0</v>
      </c>
      <c r="L688" s="108" t="s">
        <v>657</v>
      </c>
      <c r="M688" s="8"/>
      <c r="N688" s="9">
        <v>3</v>
      </c>
      <c r="O688" s="52">
        <v>6</v>
      </c>
      <c r="P688" s="87">
        <f t="shared" si="605"/>
        <v>9</v>
      </c>
      <c r="Q688" s="12"/>
      <c r="R688" s="9">
        <v>3</v>
      </c>
      <c r="S688" s="10">
        <v>6</v>
      </c>
      <c r="T688" s="49">
        <f t="shared" si="606"/>
        <v>9</v>
      </c>
      <c r="U688" s="11">
        <f t="shared" si="607"/>
        <v>18</v>
      </c>
      <c r="V688" s="98">
        <v>44851</v>
      </c>
    </row>
    <row r="689" spans="1:22" x14ac:dyDescent="0.15">
      <c r="A689" s="26"/>
      <c r="B689" s="8"/>
      <c r="C689" s="9"/>
      <c r="D689" s="10"/>
      <c r="E689" s="49">
        <f t="shared" si="599"/>
        <v>0</v>
      </c>
      <c r="F689" s="12"/>
      <c r="G689" s="9"/>
      <c r="H689" s="10"/>
      <c r="I689" s="49">
        <f t="shared" si="600"/>
        <v>0</v>
      </c>
      <c r="J689" s="11">
        <f t="shared" si="601"/>
        <v>0</v>
      </c>
      <c r="L689" s="108" t="s">
        <v>660</v>
      </c>
      <c r="M689" s="8">
        <v>5</v>
      </c>
      <c r="N689" s="9">
        <v>6</v>
      </c>
      <c r="O689" s="52"/>
      <c r="P689" s="87">
        <f t="shared" si="605"/>
        <v>11</v>
      </c>
      <c r="Q689" s="12">
        <v>5</v>
      </c>
      <c r="R689" s="9">
        <v>6</v>
      </c>
      <c r="S689" s="10"/>
      <c r="T689" s="49">
        <f t="shared" si="606"/>
        <v>11</v>
      </c>
      <c r="U689" s="11">
        <f t="shared" si="607"/>
        <v>22</v>
      </c>
      <c r="V689" s="98">
        <v>44852</v>
      </c>
    </row>
    <row r="690" spans="1:22" x14ac:dyDescent="0.15">
      <c r="A690" s="26"/>
      <c r="B690" s="8"/>
      <c r="C690" s="9"/>
      <c r="D690" s="10"/>
      <c r="E690" s="49">
        <f t="shared" si="599"/>
        <v>0</v>
      </c>
      <c r="F690" s="12"/>
      <c r="G690" s="9"/>
      <c r="H690" s="10"/>
      <c r="I690" s="49">
        <f t="shared" si="600"/>
        <v>0</v>
      </c>
      <c r="J690" s="11">
        <f t="shared" si="601"/>
        <v>0</v>
      </c>
      <c r="L690" s="108" t="s">
        <v>665</v>
      </c>
      <c r="M690" s="13"/>
      <c r="N690" s="14">
        <v>3</v>
      </c>
      <c r="O690" s="53"/>
      <c r="P690" s="87">
        <f>SUM(M690:O690)</f>
        <v>3</v>
      </c>
      <c r="Q690" s="16"/>
      <c r="R690" s="14">
        <v>3</v>
      </c>
      <c r="S690" s="15"/>
      <c r="T690" s="49">
        <f>SUM(Q690:S690)</f>
        <v>3</v>
      </c>
      <c r="U690" s="11">
        <f>P690+T690</f>
        <v>6</v>
      </c>
      <c r="V690" s="98">
        <v>44853</v>
      </c>
    </row>
    <row r="691" spans="1:22" x14ac:dyDescent="0.15">
      <c r="A691" s="24"/>
      <c r="B691" s="8"/>
      <c r="C691" s="9"/>
      <c r="D691" s="10"/>
      <c r="E691" s="49">
        <f t="shared" si="599"/>
        <v>0</v>
      </c>
      <c r="F691" s="12"/>
      <c r="G691" s="9"/>
      <c r="H691" s="10"/>
      <c r="I691" s="49">
        <f t="shared" si="600"/>
        <v>0</v>
      </c>
      <c r="J691" s="11">
        <f t="shared" si="601"/>
        <v>0</v>
      </c>
      <c r="L691" s="108" t="s">
        <v>666</v>
      </c>
      <c r="M691" s="8"/>
      <c r="N691" s="9">
        <v>2</v>
      </c>
      <c r="O691" s="52">
        <v>2</v>
      </c>
      <c r="P691" s="87">
        <f t="shared" ref="P691:P692" si="608">SUM(M691:O691)</f>
        <v>4</v>
      </c>
      <c r="Q691" s="12"/>
      <c r="R691" s="9">
        <v>2</v>
      </c>
      <c r="S691" s="10">
        <v>2</v>
      </c>
      <c r="T691" s="49">
        <f t="shared" ref="T691:T692" si="609">SUM(Q691:S691)</f>
        <v>4</v>
      </c>
      <c r="U691" s="11">
        <f t="shared" ref="U691:U692" si="610">P691+T691</f>
        <v>8</v>
      </c>
      <c r="V691" s="98">
        <v>44854</v>
      </c>
    </row>
    <row r="692" spans="1:22" x14ac:dyDescent="0.15">
      <c r="A692" s="25"/>
      <c r="B692" s="8"/>
      <c r="C692" s="9"/>
      <c r="D692" s="10"/>
      <c r="E692" s="49">
        <f t="shared" si="599"/>
        <v>0</v>
      </c>
      <c r="F692" s="12"/>
      <c r="G692" s="9"/>
      <c r="H692" s="10"/>
      <c r="I692" s="49">
        <f t="shared" si="600"/>
        <v>0</v>
      </c>
      <c r="J692" s="11">
        <f t="shared" si="601"/>
        <v>0</v>
      </c>
      <c r="L692" s="108" t="s">
        <v>669</v>
      </c>
      <c r="M692" s="8"/>
      <c r="N692" s="9">
        <v>4</v>
      </c>
      <c r="O692" s="52">
        <v>1</v>
      </c>
      <c r="P692" s="87">
        <f t="shared" si="608"/>
        <v>5</v>
      </c>
      <c r="Q692" s="12"/>
      <c r="R692" s="9">
        <v>4</v>
      </c>
      <c r="S692" s="10">
        <v>1</v>
      </c>
      <c r="T692" s="49">
        <f t="shared" si="609"/>
        <v>5</v>
      </c>
      <c r="U692" s="11">
        <f t="shared" si="610"/>
        <v>10</v>
      </c>
      <c r="V692" s="98">
        <v>44855</v>
      </c>
    </row>
    <row r="693" spans="1:22" x14ac:dyDescent="0.15">
      <c r="A693" s="26"/>
      <c r="B693" s="8"/>
      <c r="C693" s="9"/>
      <c r="D693" s="10"/>
      <c r="E693" s="49">
        <f t="shared" si="599"/>
        <v>0</v>
      </c>
      <c r="F693" s="12"/>
      <c r="G693" s="9"/>
      <c r="H693" s="10"/>
      <c r="I693" s="49">
        <f t="shared" si="600"/>
        <v>0</v>
      </c>
      <c r="J693" s="11">
        <f t="shared" si="601"/>
        <v>0</v>
      </c>
      <c r="L693" s="108" t="s">
        <v>671</v>
      </c>
      <c r="M693" s="13">
        <v>1</v>
      </c>
      <c r="N693" s="14">
        <v>3</v>
      </c>
      <c r="O693" s="53"/>
      <c r="P693" s="87">
        <f>SUM(M693:O693)</f>
        <v>4</v>
      </c>
      <c r="Q693" s="16">
        <v>1</v>
      </c>
      <c r="R693" s="14">
        <v>3</v>
      </c>
      <c r="S693" s="15"/>
      <c r="T693" s="49">
        <f>SUM(Q693:S693)</f>
        <v>4</v>
      </c>
      <c r="U693" s="11">
        <f>P693+T693</f>
        <v>8</v>
      </c>
      <c r="V693" s="98">
        <v>44858</v>
      </c>
    </row>
    <row r="694" spans="1:22" x14ac:dyDescent="0.15">
      <c r="A694" s="24"/>
      <c r="B694" s="8"/>
      <c r="C694" s="9"/>
      <c r="D694" s="10"/>
      <c r="E694" s="49">
        <f t="shared" si="599"/>
        <v>0</v>
      </c>
      <c r="F694" s="12"/>
      <c r="G694" s="9"/>
      <c r="H694" s="10"/>
      <c r="I694" s="49">
        <f t="shared" si="600"/>
        <v>0</v>
      </c>
      <c r="J694" s="11">
        <f t="shared" si="601"/>
        <v>0</v>
      </c>
      <c r="L694" s="108" t="s">
        <v>673</v>
      </c>
      <c r="M694" s="8">
        <v>1</v>
      </c>
      <c r="N694" s="9"/>
      <c r="O694" s="52">
        <v>2</v>
      </c>
      <c r="P694" s="87">
        <f t="shared" ref="P694" si="611">SUM(M694:O694)</f>
        <v>3</v>
      </c>
      <c r="Q694" s="8">
        <v>1</v>
      </c>
      <c r="R694" s="9"/>
      <c r="S694" s="10">
        <v>2</v>
      </c>
      <c r="T694" s="49">
        <f t="shared" ref="T694" si="612">SUM(Q694:S694)</f>
        <v>3</v>
      </c>
      <c r="U694" s="11">
        <f t="shared" ref="U694" si="613">P694+T694</f>
        <v>6</v>
      </c>
      <c r="V694" s="98">
        <v>44859</v>
      </c>
    </row>
    <row r="695" spans="1:22" x14ac:dyDescent="0.15">
      <c r="B695" s="13"/>
      <c r="C695" s="14"/>
      <c r="D695" s="15"/>
      <c r="E695" s="49">
        <f t="shared" si="599"/>
        <v>0</v>
      </c>
      <c r="F695" s="16"/>
      <c r="G695" s="14"/>
      <c r="H695" s="15"/>
      <c r="I695" s="49">
        <f t="shared" si="600"/>
        <v>0</v>
      </c>
      <c r="J695" s="11">
        <f t="shared" si="601"/>
        <v>0</v>
      </c>
      <c r="L695" s="108" t="s">
        <v>675</v>
      </c>
      <c r="M695" s="13">
        <v>1</v>
      </c>
      <c r="N695" s="14"/>
      <c r="O695" s="53">
        <v>4</v>
      </c>
      <c r="P695" s="87">
        <f>SUM(M695:O695)</f>
        <v>5</v>
      </c>
      <c r="Q695" s="16">
        <v>1</v>
      </c>
      <c r="R695" s="14"/>
      <c r="S695" s="15">
        <v>4</v>
      </c>
      <c r="T695" s="49">
        <f>SUM(Q695:S695)</f>
        <v>5</v>
      </c>
      <c r="U695" s="11">
        <f>P695+T695</f>
        <v>10</v>
      </c>
      <c r="V695" s="98">
        <v>44860</v>
      </c>
    </row>
    <row r="696" spans="1:22" x14ac:dyDescent="0.15">
      <c r="A696" s="26"/>
      <c r="B696" s="8"/>
      <c r="C696" s="9"/>
      <c r="D696" s="10"/>
      <c r="E696" s="49">
        <f t="shared" si="599"/>
        <v>0</v>
      </c>
      <c r="F696" s="12"/>
      <c r="G696" s="9"/>
      <c r="H696" s="10"/>
      <c r="I696" s="49">
        <f t="shared" si="600"/>
        <v>0</v>
      </c>
      <c r="J696" s="11">
        <f t="shared" si="601"/>
        <v>0</v>
      </c>
      <c r="L696" s="108" t="s">
        <v>682</v>
      </c>
      <c r="M696" s="8"/>
      <c r="N696" s="9">
        <v>1</v>
      </c>
      <c r="O696" s="52"/>
      <c r="P696" s="87">
        <f t="shared" ref="P696:P700" si="614">SUM(M696:O696)</f>
        <v>1</v>
      </c>
      <c r="Q696" s="12"/>
      <c r="R696" s="9">
        <v>1</v>
      </c>
      <c r="S696" s="10"/>
      <c r="T696" s="49">
        <f t="shared" ref="T696:T700" si="615">SUM(Q696:S696)</f>
        <v>1</v>
      </c>
      <c r="U696" s="11">
        <f t="shared" ref="U696:U699" si="616">P696+T696</f>
        <v>2</v>
      </c>
      <c r="V696" s="98">
        <v>44861</v>
      </c>
    </row>
    <row r="697" spans="1:22" x14ac:dyDescent="0.15">
      <c r="A697" s="26"/>
      <c r="B697" s="8"/>
      <c r="C697" s="9"/>
      <c r="D697" s="10"/>
      <c r="E697" s="49">
        <f t="shared" si="599"/>
        <v>0</v>
      </c>
      <c r="F697" s="12"/>
      <c r="G697" s="9"/>
      <c r="H697" s="10"/>
      <c r="I697" s="49">
        <f t="shared" si="600"/>
        <v>0</v>
      </c>
      <c r="J697" s="11">
        <f t="shared" si="601"/>
        <v>0</v>
      </c>
      <c r="L697" s="86"/>
      <c r="M697" s="8"/>
      <c r="N697" s="9"/>
      <c r="O697" s="52"/>
      <c r="P697" s="87">
        <f t="shared" si="614"/>
        <v>0</v>
      </c>
      <c r="Q697" s="12"/>
      <c r="R697" s="9"/>
      <c r="S697" s="10"/>
      <c r="T697" s="49">
        <f t="shared" si="615"/>
        <v>0</v>
      </c>
      <c r="U697" s="11">
        <f t="shared" si="616"/>
        <v>0</v>
      </c>
    </row>
    <row r="698" spans="1:22" x14ac:dyDescent="0.15">
      <c r="A698" s="26"/>
      <c r="B698" s="8"/>
      <c r="C698" s="9"/>
      <c r="D698" s="10"/>
      <c r="E698" s="49">
        <f t="shared" si="599"/>
        <v>0</v>
      </c>
      <c r="F698" s="12"/>
      <c r="G698" s="9"/>
      <c r="H698" s="10"/>
      <c r="I698" s="49">
        <f t="shared" si="600"/>
        <v>0</v>
      </c>
      <c r="J698" s="11">
        <f t="shared" si="601"/>
        <v>0</v>
      </c>
      <c r="L698" s="86" t="s">
        <v>623</v>
      </c>
      <c r="M698" s="8"/>
      <c r="N698" s="9"/>
      <c r="O698" s="52"/>
      <c r="P698" s="87">
        <f t="shared" si="614"/>
        <v>0</v>
      </c>
      <c r="Q698" s="12"/>
      <c r="R698" s="9"/>
      <c r="S698" s="10"/>
      <c r="T698" s="49">
        <f t="shared" si="615"/>
        <v>0</v>
      </c>
      <c r="U698" s="11">
        <f t="shared" si="616"/>
        <v>0</v>
      </c>
      <c r="V698" s="100" t="s">
        <v>93</v>
      </c>
    </row>
    <row r="699" spans="1:22" ht="14.25" thickBot="1" x14ac:dyDescent="0.2">
      <c r="A699" s="23"/>
      <c r="B699" s="13"/>
      <c r="C699" s="14"/>
      <c r="D699" s="15"/>
      <c r="E699" s="49">
        <f>SUM(B699:D699)</f>
        <v>0</v>
      </c>
      <c r="F699" s="16"/>
      <c r="G699" s="14"/>
      <c r="H699" s="15"/>
      <c r="I699" s="49">
        <f>SUM(F699:H699)</f>
        <v>0</v>
      </c>
      <c r="J699" s="11">
        <f>E699+I699</f>
        <v>0</v>
      </c>
      <c r="L699" s="86" t="s">
        <v>621</v>
      </c>
      <c r="M699" s="8"/>
      <c r="N699" s="9"/>
      <c r="O699" s="52"/>
      <c r="P699" s="87">
        <f t="shared" si="614"/>
        <v>0</v>
      </c>
      <c r="Q699" s="12"/>
      <c r="R699" s="9"/>
      <c r="S699" s="10"/>
      <c r="T699" s="49">
        <f t="shared" si="615"/>
        <v>0</v>
      </c>
      <c r="U699" s="11">
        <f t="shared" si="616"/>
        <v>0</v>
      </c>
      <c r="V699" s="100" t="s">
        <v>622</v>
      </c>
    </row>
    <row r="700" spans="1:22" ht="14.25" thickBot="1" x14ac:dyDescent="0.2">
      <c r="A700" s="41" t="s">
        <v>17</v>
      </c>
      <c r="B700" s="46">
        <f>SUM(B674:B699)</f>
        <v>2</v>
      </c>
      <c r="C700" s="47">
        <f t="shared" ref="C700:D700" si="617">SUM(C674:C699)</f>
        <v>0</v>
      </c>
      <c r="D700" s="58">
        <f t="shared" si="617"/>
        <v>0</v>
      </c>
      <c r="E700" s="45">
        <f t="shared" ref="E700" si="618">SUM(B700:D700)</f>
        <v>2</v>
      </c>
      <c r="F700" s="46">
        <f>SUM(F674:F699)</f>
        <v>2</v>
      </c>
      <c r="G700" s="47">
        <f t="shared" ref="G700:H700" si="619">SUM(G674:G699)</f>
        <v>0</v>
      </c>
      <c r="H700" s="58">
        <f t="shared" si="619"/>
        <v>0</v>
      </c>
      <c r="I700" s="45">
        <f t="shared" ref="I700" si="620">SUM(F700:H700)</f>
        <v>2</v>
      </c>
      <c r="J700" s="45">
        <f>E700+I700</f>
        <v>4</v>
      </c>
      <c r="L700" s="41" t="s">
        <v>17</v>
      </c>
      <c r="M700" s="46">
        <f>SUM(M674:M699)</f>
        <v>42</v>
      </c>
      <c r="N700" s="47">
        <f t="shared" ref="N700:O700" si="621">SUM(N674:N699)</f>
        <v>72</v>
      </c>
      <c r="O700" s="58">
        <f t="shared" si="621"/>
        <v>46</v>
      </c>
      <c r="P700" s="45">
        <f t="shared" si="614"/>
        <v>160</v>
      </c>
      <c r="Q700" s="46">
        <f>SUM(Q674:Q699)</f>
        <v>42</v>
      </c>
      <c r="R700" s="47">
        <f t="shared" ref="R700:S700" si="622">SUM(R674:R699)</f>
        <v>72</v>
      </c>
      <c r="S700" s="58">
        <f t="shared" si="622"/>
        <v>46</v>
      </c>
      <c r="T700" s="45">
        <f t="shared" si="615"/>
        <v>160</v>
      </c>
      <c r="U700" s="45">
        <f>P700+T700</f>
        <v>320</v>
      </c>
    </row>
    <row r="701" spans="1:22" ht="14.25" thickBot="1" x14ac:dyDescent="0.2">
      <c r="A701" s="22" t="s">
        <v>16</v>
      </c>
      <c r="B701" s="50">
        <f>B673-B700</f>
        <v>3</v>
      </c>
      <c r="C701" s="56">
        <f t="shared" ref="C701:D701" si="623">C673-C700</f>
        <v>4</v>
      </c>
      <c r="D701" s="57">
        <f t="shared" si="623"/>
        <v>2</v>
      </c>
      <c r="E701" s="55">
        <f>SUM(B701:D701)</f>
        <v>9</v>
      </c>
      <c r="F701" s="50">
        <f>F673-F700</f>
        <v>5</v>
      </c>
      <c r="G701" s="56">
        <f t="shared" ref="G701:H701" si="624">G673-G700</f>
        <v>3</v>
      </c>
      <c r="H701" s="57">
        <f t="shared" si="624"/>
        <v>4</v>
      </c>
      <c r="I701" s="55">
        <f>SUM(F701:H701)</f>
        <v>12</v>
      </c>
      <c r="J701" s="31">
        <f>E701+I701</f>
        <v>21</v>
      </c>
      <c r="L701" s="22" t="s">
        <v>16</v>
      </c>
      <c r="M701" s="50">
        <f>M673-M700</f>
        <v>57</v>
      </c>
      <c r="N701" s="56">
        <f t="shared" ref="N701:O701" si="625">N673-N700</f>
        <v>178</v>
      </c>
      <c r="O701" s="57">
        <f t="shared" si="625"/>
        <v>84</v>
      </c>
      <c r="P701" s="55">
        <f>SUM(M701:O701)</f>
        <v>319</v>
      </c>
      <c r="Q701" s="50">
        <f>Q673-Q700</f>
        <v>57</v>
      </c>
      <c r="R701" s="56">
        <f t="shared" ref="R701:S701" si="626">R673-R700</f>
        <v>178</v>
      </c>
      <c r="S701" s="57">
        <f t="shared" si="626"/>
        <v>84</v>
      </c>
      <c r="T701" s="55">
        <f>SUM(Q701:S701)</f>
        <v>319</v>
      </c>
      <c r="U701" s="31">
        <f>P701+T701</f>
        <v>638</v>
      </c>
    </row>
    <row r="702" spans="1:22" x14ac:dyDescent="0.15">
      <c r="M702" s="124"/>
      <c r="N702" s="124"/>
      <c r="O702" s="124"/>
      <c r="P702" s="124"/>
    </row>
    <row r="704" spans="1:22" ht="19.5" thickBot="1" x14ac:dyDescent="0.25">
      <c r="A704" s="3" t="s">
        <v>679</v>
      </c>
      <c r="B704" s="1"/>
      <c r="C704" s="1"/>
      <c r="D704" s="1"/>
      <c r="E704" s="1"/>
      <c r="F704" s="1"/>
      <c r="G704" s="1"/>
      <c r="H704" s="1"/>
      <c r="I704" s="1"/>
      <c r="J704" s="1"/>
      <c r="L704" s="129" t="s">
        <v>680</v>
      </c>
      <c r="M704" s="129"/>
      <c r="N704" s="129"/>
      <c r="O704" s="129"/>
      <c r="P704" s="129"/>
      <c r="Q704" s="129"/>
      <c r="R704" s="129"/>
      <c r="S704" s="129"/>
      <c r="T704" s="129"/>
      <c r="U704" s="1"/>
    </row>
    <row r="705" spans="1:22" ht="14.25" thickBot="1" x14ac:dyDescent="0.2">
      <c r="A705" s="7"/>
      <c r="B705" s="176" t="s">
        <v>22</v>
      </c>
      <c r="C705" s="177"/>
      <c r="D705" s="177"/>
      <c r="E705" s="178"/>
      <c r="F705" s="176" t="s">
        <v>23</v>
      </c>
      <c r="G705" s="177"/>
      <c r="H705" s="177"/>
      <c r="I705" s="179"/>
      <c r="J705" s="174" t="s">
        <v>0</v>
      </c>
      <c r="L705" s="7"/>
      <c r="M705" s="169" t="s">
        <v>22</v>
      </c>
      <c r="N705" s="170"/>
      <c r="O705" s="170"/>
      <c r="P705" s="171"/>
      <c r="Q705" s="169" t="s">
        <v>23</v>
      </c>
      <c r="R705" s="170"/>
      <c r="S705" s="170"/>
      <c r="T705" s="171"/>
      <c r="U705" s="174" t="s">
        <v>0</v>
      </c>
    </row>
    <row r="706" spans="1:22" ht="14.25" thickBot="1" x14ac:dyDescent="0.2">
      <c r="A706" s="7" t="s">
        <v>1</v>
      </c>
      <c r="B706" s="4" t="s">
        <v>2</v>
      </c>
      <c r="C706" s="5" t="s">
        <v>3</v>
      </c>
      <c r="D706" s="6" t="s">
        <v>4</v>
      </c>
      <c r="E706" s="7" t="s">
        <v>5</v>
      </c>
      <c r="F706" s="4" t="s">
        <v>2</v>
      </c>
      <c r="G706" s="5" t="s">
        <v>3</v>
      </c>
      <c r="H706" s="6" t="s">
        <v>4</v>
      </c>
      <c r="I706" s="7" t="s">
        <v>5</v>
      </c>
      <c r="J706" s="175"/>
      <c r="L706" s="7" t="s">
        <v>1</v>
      </c>
      <c r="M706" s="4" t="s">
        <v>2</v>
      </c>
      <c r="N706" s="5" t="s">
        <v>3</v>
      </c>
      <c r="O706" s="6" t="s">
        <v>4</v>
      </c>
      <c r="P706" s="7" t="s">
        <v>5</v>
      </c>
      <c r="Q706" s="4" t="s">
        <v>2</v>
      </c>
      <c r="R706" s="5" t="s">
        <v>3</v>
      </c>
      <c r="S706" s="6" t="s">
        <v>4</v>
      </c>
      <c r="T706" s="7" t="s">
        <v>5</v>
      </c>
      <c r="U706" s="175"/>
    </row>
    <row r="707" spans="1:22" ht="14.25" thickBot="1" x14ac:dyDescent="0.2">
      <c r="A707" s="27" t="s">
        <v>16</v>
      </c>
      <c r="B707" s="38">
        <f t="shared" ref="B707:I707" si="627">B701</f>
        <v>3</v>
      </c>
      <c r="C707" s="39">
        <f t="shared" si="627"/>
        <v>4</v>
      </c>
      <c r="D707" s="2">
        <f t="shared" si="627"/>
        <v>2</v>
      </c>
      <c r="E707" s="36">
        <f t="shared" si="627"/>
        <v>9</v>
      </c>
      <c r="F707" s="38">
        <f t="shared" si="627"/>
        <v>5</v>
      </c>
      <c r="G707" s="39">
        <f t="shared" si="627"/>
        <v>3</v>
      </c>
      <c r="H707" s="2">
        <f t="shared" si="627"/>
        <v>4</v>
      </c>
      <c r="I707" s="36">
        <f t="shared" si="627"/>
        <v>12</v>
      </c>
      <c r="J707" s="36">
        <f>E707+I707</f>
        <v>21</v>
      </c>
      <c r="L707" s="27" t="s">
        <v>16</v>
      </c>
      <c r="M707" s="50">
        <f t="shared" ref="M707:U707" si="628">M701</f>
        <v>57</v>
      </c>
      <c r="N707" s="56">
        <f t="shared" si="628"/>
        <v>178</v>
      </c>
      <c r="O707" s="57">
        <f t="shared" si="628"/>
        <v>84</v>
      </c>
      <c r="P707" s="55">
        <f t="shared" si="628"/>
        <v>319</v>
      </c>
      <c r="Q707" s="50">
        <f t="shared" si="628"/>
        <v>57</v>
      </c>
      <c r="R707" s="56">
        <f t="shared" si="628"/>
        <v>178</v>
      </c>
      <c r="S707" s="57">
        <f t="shared" si="628"/>
        <v>84</v>
      </c>
      <c r="T707" s="55">
        <f t="shared" si="628"/>
        <v>319</v>
      </c>
      <c r="U707" s="31">
        <f t="shared" si="628"/>
        <v>638</v>
      </c>
    </row>
    <row r="708" spans="1:22" x14ac:dyDescent="0.15">
      <c r="A708" s="25" t="s">
        <v>703</v>
      </c>
      <c r="B708" s="42">
        <v>1</v>
      </c>
      <c r="C708" s="43"/>
      <c r="D708" s="44"/>
      <c r="E708" s="48">
        <f>SUM(B708:D708)</f>
        <v>1</v>
      </c>
      <c r="F708" s="59">
        <v>1</v>
      </c>
      <c r="G708" s="43"/>
      <c r="H708" s="60"/>
      <c r="I708" s="48">
        <f>SUM(F708:H708)</f>
        <v>1</v>
      </c>
      <c r="J708" s="48">
        <f>E708+I708</f>
        <v>2</v>
      </c>
      <c r="K708" s="64">
        <v>44875</v>
      </c>
      <c r="L708" s="25" t="s">
        <v>774</v>
      </c>
      <c r="M708" s="42"/>
      <c r="N708" s="43">
        <v>2</v>
      </c>
      <c r="O708" s="44">
        <v>-2</v>
      </c>
      <c r="P708" s="48">
        <f>SUM(M708:O708)</f>
        <v>0</v>
      </c>
      <c r="Q708" s="59"/>
      <c r="R708" s="43">
        <v>2</v>
      </c>
      <c r="S708" s="60">
        <v>-2</v>
      </c>
      <c r="T708" s="48">
        <f>SUM(Q708:S708)</f>
        <v>0</v>
      </c>
      <c r="U708" s="48">
        <f>P708+T708</f>
        <v>0</v>
      </c>
    </row>
    <row r="709" spans="1:22" x14ac:dyDescent="0.15">
      <c r="A709" s="25" t="s">
        <v>52</v>
      </c>
      <c r="B709" s="8"/>
      <c r="C709" s="9">
        <v>1</v>
      </c>
      <c r="D709" s="52"/>
      <c r="E709" s="11">
        <f>SUM(B709:D709)</f>
        <v>1</v>
      </c>
      <c r="F709" s="12"/>
      <c r="G709" s="9">
        <v>1</v>
      </c>
      <c r="H709" s="10"/>
      <c r="I709" s="11">
        <f>SUM(F709:H709)</f>
        <v>1</v>
      </c>
      <c r="J709" s="11">
        <f>E709+I709</f>
        <v>2</v>
      </c>
      <c r="K709" s="64">
        <v>44894</v>
      </c>
      <c r="L709" s="25" t="s">
        <v>8</v>
      </c>
      <c r="M709" s="8"/>
      <c r="N709" s="9"/>
      <c r="O709" s="52"/>
      <c r="P709" s="11">
        <f>SUM(M709:O709)</f>
        <v>0</v>
      </c>
      <c r="Q709" s="8"/>
      <c r="R709" s="9"/>
      <c r="S709" s="52"/>
      <c r="T709" s="11">
        <f>SUM(Q709:S709)</f>
        <v>0</v>
      </c>
      <c r="U709" s="11">
        <f>P709+T709</f>
        <v>0</v>
      </c>
      <c r="V709" s="98"/>
    </row>
    <row r="710" spans="1:22" x14ac:dyDescent="0.15">
      <c r="A710" s="25"/>
      <c r="B710" s="17"/>
      <c r="C710" s="18"/>
      <c r="D710" s="51"/>
      <c r="E710" s="11">
        <f t="shared" ref="E710:E715" si="629">SUM(B710:D710)</f>
        <v>0</v>
      </c>
      <c r="F710" s="20"/>
      <c r="G710" s="18"/>
      <c r="H710" s="19"/>
      <c r="I710" s="11">
        <f t="shared" ref="I710:I715" si="630">SUM(F710:H710)</f>
        <v>0</v>
      </c>
      <c r="J710" s="11">
        <f t="shared" ref="J710:J715" si="631">E710+I710</f>
        <v>0</v>
      </c>
      <c r="L710" s="25" t="s">
        <v>616</v>
      </c>
      <c r="M710" s="8">
        <v>140</v>
      </c>
      <c r="N710" s="9">
        <v>50</v>
      </c>
      <c r="O710" s="52">
        <v>120</v>
      </c>
      <c r="P710" s="11">
        <f>SUM(M710:O710)</f>
        <v>310</v>
      </c>
      <c r="Q710" s="8">
        <v>140</v>
      </c>
      <c r="R710" s="9">
        <v>50</v>
      </c>
      <c r="S710" s="52">
        <v>120</v>
      </c>
      <c r="T710" s="11">
        <f>SUM(Q710:S710)</f>
        <v>310</v>
      </c>
      <c r="U710" s="11">
        <f>P710+T710</f>
        <v>620</v>
      </c>
      <c r="V710" s="98" t="s">
        <v>695</v>
      </c>
    </row>
    <row r="711" spans="1:22" x14ac:dyDescent="0.15">
      <c r="A711" s="25"/>
      <c r="B711" s="8"/>
      <c r="C711" s="9"/>
      <c r="D711" s="52"/>
      <c r="E711" s="11">
        <f t="shared" si="629"/>
        <v>0</v>
      </c>
      <c r="F711" s="12"/>
      <c r="G711" s="9"/>
      <c r="H711" s="10"/>
      <c r="I711" s="11">
        <f t="shared" si="630"/>
        <v>0</v>
      </c>
      <c r="J711" s="11">
        <f t="shared" si="631"/>
        <v>0</v>
      </c>
      <c r="L711" s="25" t="s">
        <v>676</v>
      </c>
      <c r="M711" s="8">
        <v>3</v>
      </c>
      <c r="N711" s="9"/>
      <c r="O711" s="52">
        <v>7</v>
      </c>
      <c r="P711" s="11">
        <f t="shared" ref="P711:P712" si="632">SUM(M711:O711)</f>
        <v>10</v>
      </c>
      <c r="Q711" s="12">
        <v>3</v>
      </c>
      <c r="R711" s="9"/>
      <c r="S711" s="10">
        <v>7</v>
      </c>
      <c r="T711" s="11">
        <f t="shared" ref="T711:T712" si="633">SUM(Q711:S711)</f>
        <v>10</v>
      </c>
      <c r="U711" s="11">
        <f t="shared" ref="U711:U712" si="634">P711+T711</f>
        <v>20</v>
      </c>
      <c r="V711" s="100"/>
    </row>
    <row r="712" spans="1:22" x14ac:dyDescent="0.15">
      <c r="A712" s="25"/>
      <c r="B712" s="8"/>
      <c r="C712" s="9"/>
      <c r="D712" s="52"/>
      <c r="E712" s="11">
        <f t="shared" si="629"/>
        <v>0</v>
      </c>
      <c r="F712" s="12"/>
      <c r="G712" s="9"/>
      <c r="H712" s="10"/>
      <c r="I712" s="11">
        <f t="shared" si="630"/>
        <v>0</v>
      </c>
      <c r="J712" s="11">
        <f t="shared" si="631"/>
        <v>0</v>
      </c>
      <c r="L712" s="25" t="s">
        <v>11</v>
      </c>
      <c r="M712" s="8"/>
      <c r="N712" s="9"/>
      <c r="O712" s="52"/>
      <c r="P712" s="11">
        <f t="shared" si="632"/>
        <v>0</v>
      </c>
      <c r="Q712" s="12"/>
      <c r="R712" s="9"/>
      <c r="S712" s="10"/>
      <c r="T712" s="11">
        <f t="shared" si="633"/>
        <v>0</v>
      </c>
      <c r="U712" s="11">
        <f t="shared" si="634"/>
        <v>0</v>
      </c>
    </row>
    <row r="713" spans="1:22" x14ac:dyDescent="0.15">
      <c r="A713" s="25"/>
      <c r="B713" s="8"/>
      <c r="C713" s="9"/>
      <c r="D713" s="52"/>
      <c r="E713" s="11">
        <f t="shared" si="629"/>
        <v>0</v>
      </c>
      <c r="F713" s="12"/>
      <c r="G713" s="9"/>
      <c r="H713" s="10"/>
      <c r="I713" s="11">
        <f t="shared" si="630"/>
        <v>0</v>
      </c>
      <c r="J713" s="11">
        <f t="shared" si="631"/>
        <v>0</v>
      </c>
      <c r="L713" s="25" t="s">
        <v>12</v>
      </c>
      <c r="M713" s="8"/>
      <c r="N713" s="9"/>
      <c r="O713" s="52"/>
      <c r="P713" s="11">
        <f>SUM(M713:O713)</f>
        <v>0</v>
      </c>
      <c r="Q713" s="8"/>
      <c r="R713" s="9"/>
      <c r="S713" s="52"/>
      <c r="T713" s="11">
        <f>SUM(Q713:S713)</f>
        <v>0</v>
      </c>
      <c r="U713" s="11">
        <f>P713+T713</f>
        <v>0</v>
      </c>
    </row>
    <row r="714" spans="1:22" x14ac:dyDescent="0.15">
      <c r="A714" s="25"/>
      <c r="B714" s="13"/>
      <c r="C714" s="14"/>
      <c r="D714" s="53"/>
      <c r="E714" s="11">
        <f t="shared" si="629"/>
        <v>0</v>
      </c>
      <c r="F714" s="16"/>
      <c r="G714" s="14"/>
      <c r="H714" s="15"/>
      <c r="I714" s="11">
        <f t="shared" si="630"/>
        <v>0</v>
      </c>
      <c r="J714" s="11">
        <f t="shared" si="631"/>
        <v>0</v>
      </c>
      <c r="L714" s="25" t="s">
        <v>13</v>
      </c>
      <c r="M714" s="8"/>
      <c r="N714" s="9"/>
      <c r="O714" s="52"/>
      <c r="P714" s="11">
        <f t="shared" ref="P714:P715" si="635">SUM(M714:O714)</f>
        <v>0</v>
      </c>
      <c r="Q714" s="12"/>
      <c r="R714" s="9"/>
      <c r="S714" s="10"/>
      <c r="T714" s="11">
        <f t="shared" ref="T714:T715" si="636">SUM(Q714:S714)</f>
        <v>0</v>
      </c>
      <c r="U714" s="11">
        <f t="shared" ref="U714:U715" si="637">P714+T714</f>
        <v>0</v>
      </c>
    </row>
    <row r="715" spans="1:22" ht="14.25" thickBot="1" x14ac:dyDescent="0.2">
      <c r="A715" s="25"/>
      <c r="B715" s="32"/>
      <c r="C715" s="33"/>
      <c r="D715" s="54"/>
      <c r="E715" s="61">
        <f t="shared" si="629"/>
        <v>0</v>
      </c>
      <c r="F715" s="34"/>
      <c r="G715" s="34"/>
      <c r="H715" s="37"/>
      <c r="I715" s="61">
        <f t="shared" si="630"/>
        <v>0</v>
      </c>
      <c r="J715" s="21">
        <f t="shared" si="631"/>
        <v>0</v>
      </c>
      <c r="L715" s="25" t="s">
        <v>14</v>
      </c>
      <c r="M715" s="32"/>
      <c r="N715" s="33"/>
      <c r="O715" s="54"/>
      <c r="P715" s="61">
        <f t="shared" si="635"/>
        <v>0</v>
      </c>
      <c r="Q715" s="34"/>
      <c r="R715" s="34"/>
      <c r="S715" s="37"/>
      <c r="T715" s="61">
        <f t="shared" si="636"/>
        <v>0</v>
      </c>
      <c r="U715" s="21">
        <f t="shared" si="637"/>
        <v>0</v>
      </c>
    </row>
    <row r="716" spans="1:22" ht="14.25" thickBot="1" x14ac:dyDescent="0.2">
      <c r="A716" s="35" t="s">
        <v>15</v>
      </c>
      <c r="B716" s="28">
        <f>SUM(B707:B715)</f>
        <v>4</v>
      </c>
      <c r="C716" s="29">
        <f>SUM(C707:C715)</f>
        <v>5</v>
      </c>
      <c r="D716" s="30">
        <f>SUM(D707:D715)</f>
        <v>2</v>
      </c>
      <c r="E716" s="31">
        <f>SUM(B716:D716)</f>
        <v>11</v>
      </c>
      <c r="F716" s="28">
        <f>SUM(F707:F715)</f>
        <v>6</v>
      </c>
      <c r="G716" s="29">
        <f>SUM(G707:G715)</f>
        <v>4</v>
      </c>
      <c r="H716" s="30">
        <f>SUM(H707:H715)</f>
        <v>4</v>
      </c>
      <c r="I716" s="31">
        <f>SUM(F716:H716)</f>
        <v>14</v>
      </c>
      <c r="J716" s="31">
        <f>E716+I716</f>
        <v>25</v>
      </c>
      <c r="L716" s="35" t="s">
        <v>15</v>
      </c>
      <c r="M716" s="28">
        <f>SUM(M707:M715)</f>
        <v>200</v>
      </c>
      <c r="N716" s="29">
        <f>SUM(N707:N715)</f>
        <v>230</v>
      </c>
      <c r="O716" s="30">
        <f>SUM(O707:O715)</f>
        <v>209</v>
      </c>
      <c r="P716" s="31">
        <f>SUM(M716:O716)</f>
        <v>639</v>
      </c>
      <c r="Q716" s="28">
        <f>SUM(Q707:Q715)</f>
        <v>200</v>
      </c>
      <c r="R716" s="29">
        <f>SUM(R707:R715)</f>
        <v>230</v>
      </c>
      <c r="S716" s="30">
        <f>SUM(S707:S715)</f>
        <v>209</v>
      </c>
      <c r="T716" s="31">
        <f>SUM(Q716:S716)</f>
        <v>639</v>
      </c>
      <c r="U716" s="31">
        <f>P716+T716</f>
        <v>1278</v>
      </c>
    </row>
    <row r="717" spans="1:22" x14ac:dyDescent="0.15">
      <c r="A717" s="108" t="s">
        <v>712</v>
      </c>
      <c r="B717" s="42"/>
      <c r="C717" s="43">
        <v>1</v>
      </c>
      <c r="D717" s="44"/>
      <c r="E717" s="76">
        <f>SUM(B717:D717)</f>
        <v>1</v>
      </c>
      <c r="F717" s="59"/>
      <c r="G717" s="43">
        <v>1</v>
      </c>
      <c r="H717" s="60"/>
      <c r="I717" s="76">
        <f>SUM(F717:H717)</f>
        <v>1</v>
      </c>
      <c r="J717" s="48">
        <f>E717+I717</f>
        <v>2</v>
      </c>
      <c r="K717" s="62">
        <v>44883</v>
      </c>
      <c r="L717" s="108" t="s">
        <v>684</v>
      </c>
      <c r="M717" s="17"/>
      <c r="N717" s="18">
        <v>2</v>
      </c>
      <c r="O717" s="51">
        <v>1</v>
      </c>
      <c r="P717" s="87">
        <f t="shared" ref="P717:P719" si="638">SUM(M717:O717)</f>
        <v>3</v>
      </c>
      <c r="Q717" s="8"/>
      <c r="R717" s="9">
        <v>2</v>
      </c>
      <c r="S717" s="10">
        <v>1</v>
      </c>
      <c r="T717" s="49">
        <f t="shared" ref="T717:T719" si="639">SUM(Q717:S717)</f>
        <v>3</v>
      </c>
      <c r="U717" s="11">
        <f t="shared" ref="U717:U719" si="640">P717+T717</f>
        <v>6</v>
      </c>
      <c r="V717" s="98">
        <v>44862</v>
      </c>
    </row>
    <row r="718" spans="1:22" x14ac:dyDescent="0.15">
      <c r="A718" s="26"/>
      <c r="B718" s="8"/>
      <c r="C718" s="9"/>
      <c r="D718" s="10"/>
      <c r="E718" s="49">
        <f t="shared" ref="E718:E741" si="641">SUM(B718:D718)</f>
        <v>0</v>
      </c>
      <c r="F718" s="12"/>
      <c r="G718" s="9"/>
      <c r="H718" s="10"/>
      <c r="I718" s="49">
        <f t="shared" ref="I718:I741" si="642">SUM(F718:H718)</f>
        <v>0</v>
      </c>
      <c r="J718" s="11">
        <f t="shared" ref="J718:J741" si="643">E718+I718</f>
        <v>0</v>
      </c>
      <c r="K718" s="62"/>
      <c r="L718" s="108" t="s">
        <v>688</v>
      </c>
      <c r="M718" s="8"/>
      <c r="N718" s="9"/>
      <c r="O718" s="52">
        <v>1</v>
      </c>
      <c r="P718" s="87">
        <f t="shared" si="638"/>
        <v>1</v>
      </c>
      <c r="Q718" s="12"/>
      <c r="R718" s="9"/>
      <c r="S718" s="10">
        <v>1</v>
      </c>
      <c r="T718" s="49">
        <f t="shared" si="639"/>
        <v>1</v>
      </c>
      <c r="U718" s="11">
        <f t="shared" si="640"/>
        <v>2</v>
      </c>
      <c r="V718" s="98">
        <v>44866</v>
      </c>
    </row>
    <row r="719" spans="1:22" x14ac:dyDescent="0.15">
      <c r="A719" s="108"/>
      <c r="B719" s="8"/>
      <c r="C719" s="9"/>
      <c r="D719" s="10"/>
      <c r="E719" s="49">
        <f t="shared" si="641"/>
        <v>0</v>
      </c>
      <c r="F719" s="12"/>
      <c r="G719" s="9"/>
      <c r="H719" s="10"/>
      <c r="I719" s="49">
        <f t="shared" si="642"/>
        <v>0</v>
      </c>
      <c r="J719" s="11">
        <f t="shared" si="643"/>
        <v>0</v>
      </c>
      <c r="K719" s="62"/>
      <c r="L719" s="108" t="s">
        <v>690</v>
      </c>
      <c r="M719" s="8"/>
      <c r="N719" s="9">
        <v>3</v>
      </c>
      <c r="O719" s="52"/>
      <c r="P719" s="87">
        <f t="shared" si="638"/>
        <v>3</v>
      </c>
      <c r="Q719" s="12"/>
      <c r="R719" s="9">
        <v>3</v>
      </c>
      <c r="S719" s="10"/>
      <c r="T719" s="49">
        <f t="shared" si="639"/>
        <v>3</v>
      </c>
      <c r="U719" s="11">
        <f t="shared" si="640"/>
        <v>6</v>
      </c>
      <c r="V719" s="98">
        <v>44867</v>
      </c>
    </row>
    <row r="720" spans="1:22" x14ac:dyDescent="0.15">
      <c r="A720" s="26"/>
      <c r="B720" s="8"/>
      <c r="C720" s="9"/>
      <c r="D720" s="10"/>
      <c r="E720" s="49">
        <f t="shared" si="641"/>
        <v>0</v>
      </c>
      <c r="F720" s="12"/>
      <c r="G720" s="9"/>
      <c r="H720" s="10"/>
      <c r="I720" s="49">
        <f t="shared" si="642"/>
        <v>0</v>
      </c>
      <c r="J720" s="11">
        <f t="shared" si="643"/>
        <v>0</v>
      </c>
      <c r="K720" s="62"/>
      <c r="L720" s="108" t="s">
        <v>692</v>
      </c>
      <c r="M720" s="13">
        <v>1</v>
      </c>
      <c r="N720" s="14">
        <v>1</v>
      </c>
      <c r="O720" s="53">
        <v>2</v>
      </c>
      <c r="P720" s="87">
        <f>SUM(M720:O720)</f>
        <v>4</v>
      </c>
      <c r="Q720" s="16">
        <v>1</v>
      </c>
      <c r="R720" s="14">
        <v>1</v>
      </c>
      <c r="S720" s="15">
        <v>2</v>
      </c>
      <c r="T720" s="49">
        <f>SUM(Q720:S720)</f>
        <v>4</v>
      </c>
      <c r="U720" s="11">
        <f>P720+T720</f>
        <v>8</v>
      </c>
      <c r="V720" s="98">
        <v>44869</v>
      </c>
    </row>
    <row r="721" spans="1:25" x14ac:dyDescent="0.15">
      <c r="A721" s="26"/>
      <c r="B721" s="8"/>
      <c r="C721" s="9"/>
      <c r="D721" s="10"/>
      <c r="E721" s="49">
        <f t="shared" si="641"/>
        <v>0</v>
      </c>
      <c r="F721" s="12"/>
      <c r="G721" s="9"/>
      <c r="H721" s="10"/>
      <c r="I721" s="49">
        <f t="shared" si="642"/>
        <v>0</v>
      </c>
      <c r="J721" s="11">
        <f t="shared" si="643"/>
        <v>0</v>
      </c>
      <c r="K721" s="66"/>
      <c r="L721" s="108" t="s">
        <v>694</v>
      </c>
      <c r="M721" s="8">
        <v>2</v>
      </c>
      <c r="N721" s="9"/>
      <c r="O721" s="52"/>
      <c r="P721" s="87">
        <f t="shared" ref="P721:P732" si="644">SUM(M721:O721)</f>
        <v>2</v>
      </c>
      <c r="Q721" s="12">
        <v>2</v>
      </c>
      <c r="R721" s="9"/>
      <c r="S721" s="10"/>
      <c r="T721" s="49">
        <f t="shared" ref="T721:T732" si="645">SUM(Q721:S721)</f>
        <v>2</v>
      </c>
      <c r="U721" s="11">
        <f t="shared" ref="U721:U732" si="646">P721+T721</f>
        <v>4</v>
      </c>
      <c r="V721" s="98">
        <v>44872</v>
      </c>
    </row>
    <row r="722" spans="1:25" x14ac:dyDescent="0.15">
      <c r="A722" s="26"/>
      <c r="B722" s="8"/>
      <c r="C722" s="9"/>
      <c r="D722" s="10"/>
      <c r="E722" s="49">
        <f t="shared" si="641"/>
        <v>0</v>
      </c>
      <c r="F722" s="12"/>
      <c r="G722" s="9"/>
      <c r="H722" s="10"/>
      <c r="I722" s="49">
        <f t="shared" si="642"/>
        <v>0</v>
      </c>
      <c r="J722" s="11">
        <f t="shared" si="643"/>
        <v>0</v>
      </c>
      <c r="L722" s="108" t="s">
        <v>696</v>
      </c>
      <c r="M722" s="8">
        <v>2</v>
      </c>
      <c r="N722" s="9">
        <v>1</v>
      </c>
      <c r="O722" s="52"/>
      <c r="P722" s="87">
        <f t="shared" si="644"/>
        <v>3</v>
      </c>
      <c r="Q722" s="12">
        <v>2</v>
      </c>
      <c r="R722" s="9">
        <v>1</v>
      </c>
      <c r="S722" s="10"/>
      <c r="T722" s="49">
        <f t="shared" si="645"/>
        <v>3</v>
      </c>
      <c r="U722" s="11">
        <f t="shared" si="646"/>
        <v>6</v>
      </c>
      <c r="V722" s="98">
        <v>44873</v>
      </c>
    </row>
    <row r="723" spans="1:25" x14ac:dyDescent="0.15">
      <c r="A723" s="26"/>
      <c r="B723" s="8"/>
      <c r="C723" s="9"/>
      <c r="D723" s="10"/>
      <c r="E723" s="49">
        <f t="shared" si="641"/>
        <v>0</v>
      </c>
      <c r="F723" s="12"/>
      <c r="G723" s="9"/>
      <c r="H723" s="10"/>
      <c r="I723" s="49">
        <f t="shared" si="642"/>
        <v>0</v>
      </c>
      <c r="J723" s="11">
        <f t="shared" si="643"/>
        <v>0</v>
      </c>
      <c r="L723" s="108" t="s">
        <v>698</v>
      </c>
      <c r="M723" s="8">
        <v>1</v>
      </c>
      <c r="N723" s="9"/>
      <c r="O723" s="52">
        <v>1</v>
      </c>
      <c r="P723" s="87">
        <f t="shared" si="644"/>
        <v>2</v>
      </c>
      <c r="Q723" s="12">
        <v>1</v>
      </c>
      <c r="R723" s="9"/>
      <c r="S723" s="10">
        <v>1</v>
      </c>
      <c r="T723" s="49">
        <f t="shared" si="645"/>
        <v>2</v>
      </c>
      <c r="U723" s="11">
        <f t="shared" si="646"/>
        <v>4</v>
      </c>
      <c r="V723" s="98">
        <v>44874</v>
      </c>
    </row>
    <row r="724" spans="1:25" x14ac:dyDescent="0.15">
      <c r="A724" s="26"/>
      <c r="B724" s="8"/>
      <c r="C724" s="9"/>
      <c r="D724" s="10"/>
      <c r="E724" s="49">
        <f t="shared" si="641"/>
        <v>0</v>
      </c>
      <c r="F724" s="12"/>
      <c r="G724" s="9"/>
      <c r="H724" s="10"/>
      <c r="I724" s="49">
        <f t="shared" si="642"/>
        <v>0</v>
      </c>
      <c r="J724" s="11">
        <f t="shared" si="643"/>
        <v>0</v>
      </c>
      <c r="L724" s="108" t="s">
        <v>700</v>
      </c>
      <c r="M724" s="8"/>
      <c r="N724" s="9"/>
      <c r="O724" s="52">
        <v>1</v>
      </c>
      <c r="P724" s="87">
        <f t="shared" si="644"/>
        <v>1</v>
      </c>
      <c r="Q724" s="12"/>
      <c r="R724" s="9"/>
      <c r="S724" s="10">
        <v>1</v>
      </c>
      <c r="T724" s="49">
        <f t="shared" si="645"/>
        <v>1</v>
      </c>
      <c r="U724" s="11">
        <f t="shared" si="646"/>
        <v>2</v>
      </c>
      <c r="V724" s="98">
        <v>44875</v>
      </c>
    </row>
    <row r="725" spans="1:25" x14ac:dyDescent="0.15">
      <c r="A725" s="26"/>
      <c r="B725" s="8"/>
      <c r="C725" s="9"/>
      <c r="D725" s="10"/>
      <c r="E725" s="49">
        <f t="shared" si="641"/>
        <v>0</v>
      </c>
      <c r="F725" s="12"/>
      <c r="G725" s="9"/>
      <c r="H725" s="10"/>
      <c r="I725" s="49">
        <f t="shared" si="642"/>
        <v>0</v>
      </c>
      <c r="J725" s="11">
        <f t="shared" si="643"/>
        <v>0</v>
      </c>
      <c r="L725" s="108" t="s">
        <v>702</v>
      </c>
      <c r="M725" s="8"/>
      <c r="N725" s="9"/>
      <c r="O725" s="52">
        <v>2</v>
      </c>
      <c r="P725" s="87">
        <f t="shared" si="644"/>
        <v>2</v>
      </c>
      <c r="Q725" s="12"/>
      <c r="R725" s="9"/>
      <c r="S725" s="10">
        <v>2</v>
      </c>
      <c r="T725" s="49">
        <f t="shared" si="645"/>
        <v>2</v>
      </c>
      <c r="U725" s="11">
        <f t="shared" si="646"/>
        <v>4</v>
      </c>
      <c r="V725" s="98">
        <v>44876</v>
      </c>
    </row>
    <row r="726" spans="1:25" x14ac:dyDescent="0.15">
      <c r="A726" s="26"/>
      <c r="B726" s="13"/>
      <c r="C726" s="14"/>
      <c r="D726" s="15"/>
      <c r="E726" s="49">
        <f t="shared" si="641"/>
        <v>0</v>
      </c>
      <c r="F726" s="16"/>
      <c r="G726" s="14"/>
      <c r="H726" s="15"/>
      <c r="I726" s="49">
        <f t="shared" si="642"/>
        <v>0</v>
      </c>
      <c r="J726" s="11">
        <f t="shared" si="643"/>
        <v>0</v>
      </c>
      <c r="L726" s="108" t="s">
        <v>705</v>
      </c>
      <c r="M726" s="13"/>
      <c r="N726" s="14">
        <v>1</v>
      </c>
      <c r="O726" s="53"/>
      <c r="P726" s="87">
        <f t="shared" si="644"/>
        <v>1</v>
      </c>
      <c r="Q726" s="16"/>
      <c r="R726" s="14">
        <v>1</v>
      </c>
      <c r="S726" s="15"/>
      <c r="T726" s="49">
        <f t="shared" si="645"/>
        <v>1</v>
      </c>
      <c r="U726" s="11">
        <f t="shared" si="646"/>
        <v>2</v>
      </c>
      <c r="V726" s="98">
        <v>44879</v>
      </c>
    </row>
    <row r="727" spans="1:25" x14ac:dyDescent="0.15">
      <c r="A727" s="26"/>
      <c r="B727" s="8"/>
      <c r="C727" s="9"/>
      <c r="D727" s="10"/>
      <c r="E727" s="49">
        <f t="shared" si="641"/>
        <v>0</v>
      </c>
      <c r="F727" s="12"/>
      <c r="G727" s="9"/>
      <c r="H727" s="10"/>
      <c r="I727" s="49">
        <f t="shared" si="642"/>
        <v>0</v>
      </c>
      <c r="J727" s="11">
        <f t="shared" si="643"/>
        <v>0</v>
      </c>
      <c r="L727" s="108" t="s">
        <v>707</v>
      </c>
      <c r="M727" s="8">
        <v>1</v>
      </c>
      <c r="N727" s="9"/>
      <c r="O727" s="52">
        <v>1</v>
      </c>
      <c r="P727" s="87">
        <f t="shared" si="644"/>
        <v>2</v>
      </c>
      <c r="Q727" s="12">
        <v>1</v>
      </c>
      <c r="R727" s="9"/>
      <c r="S727" s="10">
        <v>1</v>
      </c>
      <c r="T727" s="49">
        <f t="shared" si="645"/>
        <v>2</v>
      </c>
      <c r="U727" s="11">
        <f t="shared" si="646"/>
        <v>4</v>
      </c>
      <c r="V727" s="98">
        <v>44880</v>
      </c>
    </row>
    <row r="728" spans="1:25" x14ac:dyDescent="0.15">
      <c r="A728" s="26"/>
      <c r="B728" s="8"/>
      <c r="C728" s="9"/>
      <c r="D728" s="10"/>
      <c r="E728" s="49">
        <f t="shared" si="641"/>
        <v>0</v>
      </c>
      <c r="F728" s="12"/>
      <c r="G728" s="9"/>
      <c r="H728" s="10"/>
      <c r="I728" s="49">
        <f t="shared" si="642"/>
        <v>0</v>
      </c>
      <c r="J728" s="11">
        <f t="shared" si="643"/>
        <v>0</v>
      </c>
      <c r="L728" s="108" t="s">
        <v>709</v>
      </c>
      <c r="M728" s="8"/>
      <c r="N728" s="9"/>
      <c r="O728" s="52">
        <v>1</v>
      </c>
      <c r="P728" s="87">
        <f t="shared" si="644"/>
        <v>1</v>
      </c>
      <c r="Q728" s="12"/>
      <c r="R728" s="9"/>
      <c r="S728" s="10">
        <v>1</v>
      </c>
      <c r="T728" s="49">
        <f t="shared" si="645"/>
        <v>1</v>
      </c>
      <c r="U728" s="11">
        <f t="shared" si="646"/>
        <v>2</v>
      </c>
      <c r="V728" s="98">
        <v>44881</v>
      </c>
    </row>
    <row r="729" spans="1:25" x14ac:dyDescent="0.15">
      <c r="A729" s="26"/>
      <c r="B729" s="8"/>
      <c r="C729" s="9"/>
      <c r="D729" s="10"/>
      <c r="E729" s="49">
        <f t="shared" si="641"/>
        <v>0</v>
      </c>
      <c r="F729" s="12"/>
      <c r="G729" s="9"/>
      <c r="H729" s="10"/>
      <c r="I729" s="49">
        <f t="shared" si="642"/>
        <v>0</v>
      </c>
      <c r="J729" s="11">
        <f t="shared" si="643"/>
        <v>0</v>
      </c>
      <c r="L729" s="108" t="s">
        <v>714</v>
      </c>
      <c r="M729" s="8"/>
      <c r="N729" s="9">
        <v>1</v>
      </c>
      <c r="O729" s="52"/>
      <c r="P729" s="87">
        <f t="shared" si="644"/>
        <v>1</v>
      </c>
      <c r="Q729" s="12"/>
      <c r="R729" s="9">
        <v>1</v>
      </c>
      <c r="S729" s="10"/>
      <c r="T729" s="49">
        <f t="shared" si="645"/>
        <v>1</v>
      </c>
      <c r="U729" s="11">
        <f t="shared" si="646"/>
        <v>2</v>
      </c>
      <c r="V729" s="98">
        <v>44886</v>
      </c>
    </row>
    <row r="730" spans="1:25" x14ac:dyDescent="0.15">
      <c r="A730" s="26"/>
      <c r="B730" s="8"/>
      <c r="C730" s="9"/>
      <c r="D730" s="10"/>
      <c r="E730" s="49">
        <f t="shared" si="641"/>
        <v>0</v>
      </c>
      <c r="F730" s="12"/>
      <c r="G730" s="9"/>
      <c r="H730" s="10"/>
      <c r="I730" s="49">
        <f t="shared" si="642"/>
        <v>0</v>
      </c>
      <c r="J730" s="11">
        <f t="shared" si="643"/>
        <v>0</v>
      </c>
      <c r="L730" s="108" t="s">
        <v>716</v>
      </c>
      <c r="M730" s="8">
        <v>2</v>
      </c>
      <c r="N730" s="9">
        <v>1</v>
      </c>
      <c r="O730" s="52"/>
      <c r="P730" s="87">
        <f t="shared" si="644"/>
        <v>3</v>
      </c>
      <c r="Q730" s="12">
        <v>2</v>
      </c>
      <c r="R730" s="9">
        <v>1</v>
      </c>
      <c r="S730" s="10"/>
      <c r="T730" s="49">
        <f t="shared" si="645"/>
        <v>3</v>
      </c>
      <c r="U730" s="11">
        <f t="shared" si="646"/>
        <v>6</v>
      </c>
      <c r="V730" s="98">
        <v>44887</v>
      </c>
    </row>
    <row r="731" spans="1:25" x14ac:dyDescent="0.15">
      <c r="A731" s="26"/>
      <c r="B731" s="8"/>
      <c r="C731" s="9"/>
      <c r="D731" s="10"/>
      <c r="E731" s="49">
        <f t="shared" si="641"/>
        <v>0</v>
      </c>
      <c r="F731" s="12"/>
      <c r="G731" s="9"/>
      <c r="H731" s="10"/>
      <c r="I731" s="49">
        <f t="shared" si="642"/>
        <v>0</v>
      </c>
      <c r="J731" s="11">
        <f t="shared" si="643"/>
        <v>0</v>
      </c>
      <c r="L731" s="108" t="s">
        <v>718</v>
      </c>
      <c r="M731" s="8"/>
      <c r="N731" s="9">
        <v>2</v>
      </c>
      <c r="O731" s="52"/>
      <c r="P731" s="87">
        <f t="shared" si="644"/>
        <v>2</v>
      </c>
      <c r="Q731" s="12"/>
      <c r="R731" s="9">
        <v>2</v>
      </c>
      <c r="S731" s="10"/>
      <c r="T731" s="49">
        <f t="shared" si="645"/>
        <v>2</v>
      </c>
      <c r="U731" s="11">
        <f t="shared" si="646"/>
        <v>4</v>
      </c>
      <c r="V731" s="98">
        <v>44889</v>
      </c>
      <c r="W731" s="66"/>
      <c r="X731" s="66"/>
      <c r="Y731" s="66"/>
    </row>
    <row r="732" spans="1:25" x14ac:dyDescent="0.15">
      <c r="A732" s="26"/>
      <c r="B732" s="8"/>
      <c r="C732" s="9"/>
      <c r="D732" s="10"/>
      <c r="E732" s="49">
        <f t="shared" si="641"/>
        <v>0</v>
      </c>
      <c r="F732" s="12"/>
      <c r="G732" s="9"/>
      <c r="H732" s="10"/>
      <c r="I732" s="49">
        <f t="shared" si="642"/>
        <v>0</v>
      </c>
      <c r="J732" s="11">
        <f t="shared" si="643"/>
        <v>0</v>
      </c>
      <c r="L732" s="108" t="s">
        <v>720</v>
      </c>
      <c r="M732" s="8"/>
      <c r="N732" s="9">
        <v>1</v>
      </c>
      <c r="O732" s="52">
        <v>2</v>
      </c>
      <c r="P732" s="87">
        <f t="shared" si="644"/>
        <v>3</v>
      </c>
      <c r="Q732" s="12"/>
      <c r="R732" s="9">
        <v>1</v>
      </c>
      <c r="S732" s="10">
        <v>2</v>
      </c>
      <c r="T732" s="49">
        <f t="shared" si="645"/>
        <v>3</v>
      </c>
      <c r="U732" s="11">
        <f t="shared" si="646"/>
        <v>6</v>
      </c>
      <c r="V732" s="98">
        <v>44893</v>
      </c>
    </row>
    <row r="733" spans="1:25" x14ac:dyDescent="0.15">
      <c r="A733" s="26"/>
      <c r="B733" s="8"/>
      <c r="C733" s="9"/>
      <c r="D733" s="10"/>
      <c r="E733" s="49">
        <f t="shared" si="641"/>
        <v>0</v>
      </c>
      <c r="F733" s="12"/>
      <c r="G733" s="9"/>
      <c r="H733" s="10"/>
      <c r="I733" s="49">
        <f t="shared" si="642"/>
        <v>0</v>
      </c>
      <c r="J733" s="11">
        <f t="shared" si="643"/>
        <v>0</v>
      </c>
      <c r="L733" s="108" t="s">
        <v>721</v>
      </c>
      <c r="M733" s="13"/>
      <c r="N733" s="14">
        <v>1</v>
      </c>
      <c r="O733" s="53"/>
      <c r="P733" s="87">
        <f>SUM(M733:O733)</f>
        <v>1</v>
      </c>
      <c r="Q733" s="16"/>
      <c r="R733" s="14">
        <v>1</v>
      </c>
      <c r="S733" s="15"/>
      <c r="T733" s="49">
        <f>SUM(Q733:S733)</f>
        <v>1</v>
      </c>
      <c r="U733" s="11">
        <f>P733+T733</f>
        <v>2</v>
      </c>
      <c r="V733" s="98">
        <v>44894</v>
      </c>
      <c r="W733" s="66"/>
    </row>
    <row r="734" spans="1:25" x14ac:dyDescent="0.15">
      <c r="A734" s="24"/>
      <c r="B734" s="8"/>
      <c r="C734" s="9"/>
      <c r="D734" s="10"/>
      <c r="E734" s="49">
        <f t="shared" si="641"/>
        <v>0</v>
      </c>
      <c r="F734" s="12"/>
      <c r="G734" s="9"/>
      <c r="H734" s="10"/>
      <c r="I734" s="49">
        <f t="shared" si="642"/>
        <v>0</v>
      </c>
      <c r="J734" s="11">
        <f t="shared" si="643"/>
        <v>0</v>
      </c>
      <c r="L734" s="108" t="s">
        <v>723</v>
      </c>
      <c r="M734" s="8"/>
      <c r="N734" s="9">
        <v>1</v>
      </c>
      <c r="O734" s="52"/>
      <c r="P734" s="87">
        <f t="shared" ref="P734:P735" si="647">SUM(M734:O734)</f>
        <v>1</v>
      </c>
      <c r="Q734" s="12"/>
      <c r="R734" s="9">
        <v>1</v>
      </c>
      <c r="S734" s="10"/>
      <c r="T734" s="49">
        <f t="shared" ref="T734:T735" si="648">SUM(Q734:S734)</f>
        <v>1</v>
      </c>
      <c r="U734" s="11">
        <f t="shared" ref="U734:U735" si="649">P734+T734</f>
        <v>2</v>
      </c>
      <c r="V734" s="98">
        <v>44895</v>
      </c>
    </row>
    <row r="735" spans="1:25" x14ac:dyDescent="0.15">
      <c r="A735" s="25"/>
      <c r="B735" s="8"/>
      <c r="C735" s="9"/>
      <c r="D735" s="10"/>
      <c r="E735" s="49">
        <f t="shared" si="641"/>
        <v>0</v>
      </c>
      <c r="F735" s="12"/>
      <c r="G735" s="9"/>
      <c r="H735" s="10"/>
      <c r="I735" s="49">
        <f t="shared" si="642"/>
        <v>0</v>
      </c>
      <c r="J735" s="11">
        <f t="shared" si="643"/>
        <v>0</v>
      </c>
      <c r="L735" s="108" t="s">
        <v>725</v>
      </c>
      <c r="M735" s="8"/>
      <c r="N735" s="9">
        <v>1</v>
      </c>
      <c r="O735" s="52">
        <v>1</v>
      </c>
      <c r="P735" s="87">
        <f t="shared" si="647"/>
        <v>2</v>
      </c>
      <c r="Q735" s="12"/>
      <c r="R735" s="9">
        <v>1</v>
      </c>
      <c r="S735" s="10">
        <v>1</v>
      </c>
      <c r="T735" s="49">
        <f t="shared" si="648"/>
        <v>2</v>
      </c>
      <c r="U735" s="11">
        <f t="shared" si="649"/>
        <v>4</v>
      </c>
      <c r="V735" s="98">
        <v>44896</v>
      </c>
    </row>
    <row r="736" spans="1:25" x14ac:dyDescent="0.15">
      <c r="A736" s="26"/>
      <c r="B736" s="8"/>
      <c r="C736" s="9"/>
      <c r="D736" s="10"/>
      <c r="E736" s="49">
        <f t="shared" si="641"/>
        <v>0</v>
      </c>
      <c r="F736" s="12"/>
      <c r="G736" s="9"/>
      <c r="H736" s="10"/>
      <c r="I736" s="49">
        <f t="shared" si="642"/>
        <v>0</v>
      </c>
      <c r="J736" s="11">
        <f t="shared" si="643"/>
        <v>0</v>
      </c>
      <c r="L736" s="108" t="s">
        <v>727</v>
      </c>
      <c r="M736" s="13">
        <v>2</v>
      </c>
      <c r="N736" s="14"/>
      <c r="O736" s="53">
        <v>3</v>
      </c>
      <c r="P736" s="87">
        <f>SUM(M736:O736)</f>
        <v>5</v>
      </c>
      <c r="Q736" s="16">
        <v>2</v>
      </c>
      <c r="R736" s="14"/>
      <c r="S736" s="15">
        <v>3</v>
      </c>
      <c r="T736" s="49">
        <f>SUM(Q736:S736)</f>
        <v>5</v>
      </c>
      <c r="U736" s="11">
        <f>P736+T736</f>
        <v>10</v>
      </c>
      <c r="V736" s="98">
        <v>44897</v>
      </c>
    </row>
    <row r="737" spans="1:22" x14ac:dyDescent="0.15">
      <c r="A737" s="24"/>
      <c r="B737" s="8"/>
      <c r="C737" s="9"/>
      <c r="D737" s="10"/>
      <c r="E737" s="49">
        <f t="shared" si="641"/>
        <v>0</v>
      </c>
      <c r="F737" s="12"/>
      <c r="G737" s="9"/>
      <c r="H737" s="10"/>
      <c r="I737" s="49">
        <f t="shared" si="642"/>
        <v>0</v>
      </c>
      <c r="J737" s="11">
        <f t="shared" si="643"/>
        <v>0</v>
      </c>
      <c r="L737" s="108" t="s">
        <v>729</v>
      </c>
      <c r="M737" s="8">
        <v>13</v>
      </c>
      <c r="N737" s="9">
        <v>6</v>
      </c>
      <c r="O737" s="52">
        <v>6</v>
      </c>
      <c r="P737" s="87">
        <f t="shared" ref="P737" si="650">SUM(M737:O737)</f>
        <v>25</v>
      </c>
      <c r="Q737" s="8">
        <v>13</v>
      </c>
      <c r="R737" s="9">
        <v>6</v>
      </c>
      <c r="S737" s="10">
        <v>6</v>
      </c>
      <c r="T737" s="49">
        <f t="shared" ref="T737" si="651">SUM(Q737:S737)</f>
        <v>25</v>
      </c>
      <c r="U737" s="11">
        <f t="shared" ref="U737" si="652">P737+T737</f>
        <v>50</v>
      </c>
      <c r="V737" s="98">
        <v>44900</v>
      </c>
    </row>
    <row r="738" spans="1:22" x14ac:dyDescent="0.15">
      <c r="B738" s="13"/>
      <c r="C738" s="14"/>
      <c r="D738" s="15"/>
      <c r="E738" s="49">
        <f t="shared" si="641"/>
        <v>0</v>
      </c>
      <c r="F738" s="16"/>
      <c r="G738" s="14"/>
      <c r="H738" s="15"/>
      <c r="I738" s="49">
        <f t="shared" si="642"/>
        <v>0</v>
      </c>
      <c r="J738" s="11">
        <f t="shared" si="643"/>
        <v>0</v>
      </c>
      <c r="L738" s="108" t="s">
        <v>731</v>
      </c>
      <c r="M738" s="13">
        <v>3</v>
      </c>
      <c r="N738" s="14">
        <v>3</v>
      </c>
      <c r="O738" s="53">
        <v>8</v>
      </c>
      <c r="P738" s="87">
        <f>SUM(M738:O738)</f>
        <v>14</v>
      </c>
      <c r="Q738" s="16">
        <v>3</v>
      </c>
      <c r="R738" s="14">
        <v>3</v>
      </c>
      <c r="S738" s="15">
        <v>8</v>
      </c>
      <c r="T738" s="49">
        <f>SUM(Q738:S738)</f>
        <v>14</v>
      </c>
      <c r="U738" s="11">
        <f>P738+T738</f>
        <v>28</v>
      </c>
      <c r="V738" s="98">
        <v>44901</v>
      </c>
    </row>
    <row r="739" spans="1:22" x14ac:dyDescent="0.15">
      <c r="A739" s="26"/>
      <c r="B739" s="8"/>
      <c r="C739" s="9"/>
      <c r="D739" s="10"/>
      <c r="E739" s="49">
        <f t="shared" si="641"/>
        <v>0</v>
      </c>
      <c r="F739" s="12"/>
      <c r="G739" s="9"/>
      <c r="H739" s="10"/>
      <c r="I739" s="49">
        <f t="shared" si="642"/>
        <v>0</v>
      </c>
      <c r="J739" s="11">
        <f t="shared" si="643"/>
        <v>0</v>
      </c>
      <c r="L739" s="108" t="s">
        <v>733</v>
      </c>
      <c r="M739" s="8">
        <v>3</v>
      </c>
      <c r="N739" s="9"/>
      <c r="O739" s="52">
        <v>5</v>
      </c>
      <c r="P739" s="87">
        <f t="shared" ref="P739:P743" si="653">SUM(M739:O739)</f>
        <v>8</v>
      </c>
      <c r="Q739" s="12">
        <v>3</v>
      </c>
      <c r="R739" s="9"/>
      <c r="S739" s="10">
        <v>5</v>
      </c>
      <c r="T739" s="49">
        <f t="shared" ref="T739:T743" si="654">SUM(Q739:S739)</f>
        <v>8</v>
      </c>
      <c r="U739" s="11">
        <f t="shared" ref="U739:U741" si="655">P739+T739</f>
        <v>16</v>
      </c>
      <c r="V739" s="98">
        <v>44902</v>
      </c>
    </row>
    <row r="740" spans="1:22" x14ac:dyDescent="0.15">
      <c r="A740" s="26"/>
      <c r="B740" s="8"/>
      <c r="C740" s="9"/>
      <c r="D740" s="10"/>
      <c r="E740" s="49">
        <f t="shared" si="641"/>
        <v>0</v>
      </c>
      <c r="F740" s="12"/>
      <c r="G740" s="9"/>
      <c r="H740" s="10"/>
      <c r="I740" s="49">
        <f t="shared" si="642"/>
        <v>0</v>
      </c>
      <c r="J740" s="11">
        <f t="shared" si="643"/>
        <v>0</v>
      </c>
      <c r="L740" s="108" t="s">
        <v>735</v>
      </c>
      <c r="M740" s="8"/>
      <c r="N740" s="9">
        <v>1</v>
      </c>
      <c r="O740" s="52">
        <v>2</v>
      </c>
      <c r="P740" s="87">
        <f t="shared" si="653"/>
        <v>3</v>
      </c>
      <c r="Q740" s="12"/>
      <c r="R740" s="9">
        <v>1</v>
      </c>
      <c r="S740" s="10">
        <v>2</v>
      </c>
      <c r="T740" s="49">
        <f t="shared" si="654"/>
        <v>3</v>
      </c>
      <c r="U740" s="11">
        <f t="shared" si="655"/>
        <v>6</v>
      </c>
      <c r="V740" s="98">
        <v>44903</v>
      </c>
    </row>
    <row r="741" spans="1:22" x14ac:dyDescent="0.15">
      <c r="A741" s="26"/>
      <c r="B741" s="8"/>
      <c r="C741" s="9"/>
      <c r="D741" s="10"/>
      <c r="E741" s="49">
        <f t="shared" si="641"/>
        <v>0</v>
      </c>
      <c r="F741" s="12"/>
      <c r="G741" s="9"/>
      <c r="H741" s="10"/>
      <c r="I741" s="49">
        <f t="shared" si="642"/>
        <v>0</v>
      </c>
      <c r="J741" s="11">
        <f t="shared" si="643"/>
        <v>0</v>
      </c>
      <c r="L741" s="86"/>
      <c r="M741" s="8"/>
      <c r="N741" s="9"/>
      <c r="O741" s="52"/>
      <c r="P741" s="87">
        <f t="shared" si="653"/>
        <v>0</v>
      </c>
      <c r="Q741" s="12"/>
      <c r="R741" s="9"/>
      <c r="S741" s="10"/>
      <c r="T741" s="49">
        <f t="shared" si="654"/>
        <v>0</v>
      </c>
      <c r="U741" s="11">
        <f t="shared" si="655"/>
        <v>0</v>
      </c>
      <c r="V741" s="98"/>
    </row>
    <row r="742" spans="1:22" ht="14.25" thickBot="1" x14ac:dyDescent="0.2">
      <c r="A742" s="23"/>
      <c r="B742" s="13"/>
      <c r="C742" s="14"/>
      <c r="D742" s="15"/>
      <c r="E742" s="49">
        <f>SUM(B742:D742)</f>
        <v>0</v>
      </c>
      <c r="F742" s="16"/>
      <c r="G742" s="14"/>
      <c r="H742" s="15"/>
      <c r="I742" s="49">
        <f>SUM(F742:H742)</f>
        <v>0</v>
      </c>
      <c r="J742" s="11">
        <f>E742+I742</f>
        <v>0</v>
      </c>
      <c r="K742" s="64"/>
      <c r="L742" s="86" t="s">
        <v>661</v>
      </c>
      <c r="M742" s="8"/>
      <c r="N742" s="9"/>
      <c r="O742" s="52"/>
      <c r="P742" s="87">
        <f t="shared" ref="P742" si="656">SUM(M742:O742)</f>
        <v>0</v>
      </c>
      <c r="Q742" s="12"/>
      <c r="R742" s="9"/>
      <c r="S742" s="10"/>
      <c r="T742" s="49">
        <f t="shared" ref="T742" si="657">SUM(Q742:S742)</f>
        <v>0</v>
      </c>
      <c r="U742" s="11">
        <f t="shared" ref="U742" si="658">P742+T742</f>
        <v>0</v>
      </c>
      <c r="V742" s="100" t="s">
        <v>662</v>
      </c>
    </row>
    <row r="743" spans="1:22" ht="14.25" thickBot="1" x14ac:dyDescent="0.2">
      <c r="A743" s="41" t="s">
        <v>17</v>
      </c>
      <c r="B743" s="46">
        <f>SUM(B717:B742)</f>
        <v>0</v>
      </c>
      <c r="C743" s="47">
        <f t="shared" ref="C743:D743" si="659">SUM(C717:C742)</f>
        <v>1</v>
      </c>
      <c r="D743" s="58">
        <f t="shared" si="659"/>
        <v>0</v>
      </c>
      <c r="E743" s="45">
        <f t="shared" ref="E743" si="660">SUM(B743:D743)</f>
        <v>1</v>
      </c>
      <c r="F743" s="46">
        <f>SUM(F717:F742)</f>
        <v>0</v>
      </c>
      <c r="G743" s="47">
        <f t="shared" ref="G743:H743" si="661">SUM(G717:G742)</f>
        <v>1</v>
      </c>
      <c r="H743" s="58">
        <f t="shared" si="661"/>
        <v>0</v>
      </c>
      <c r="I743" s="45">
        <f t="shared" ref="I743" si="662">SUM(F743:H743)</f>
        <v>1</v>
      </c>
      <c r="J743" s="45">
        <f>E743+I743</f>
        <v>2</v>
      </c>
      <c r="L743" s="41" t="s">
        <v>17</v>
      </c>
      <c r="M743" s="46">
        <f>SUM(M717:M742)</f>
        <v>30</v>
      </c>
      <c r="N743" s="47">
        <f t="shared" ref="N743:O743" si="663">SUM(N717:N742)</f>
        <v>26</v>
      </c>
      <c r="O743" s="58">
        <f t="shared" si="663"/>
        <v>37</v>
      </c>
      <c r="P743" s="45">
        <f t="shared" si="653"/>
        <v>93</v>
      </c>
      <c r="Q743" s="46">
        <f>SUM(Q717:Q742)</f>
        <v>30</v>
      </c>
      <c r="R743" s="47">
        <f t="shared" ref="R743:S743" si="664">SUM(R717:R742)</f>
        <v>26</v>
      </c>
      <c r="S743" s="58">
        <f t="shared" si="664"/>
        <v>37</v>
      </c>
      <c r="T743" s="45">
        <f t="shared" si="654"/>
        <v>93</v>
      </c>
      <c r="U743" s="45">
        <f>P743+T743</f>
        <v>186</v>
      </c>
    </row>
    <row r="744" spans="1:22" ht="14.25" thickBot="1" x14ac:dyDescent="0.2">
      <c r="A744" s="22" t="s">
        <v>16</v>
      </c>
      <c r="B744" s="50">
        <f>B716-B743</f>
        <v>4</v>
      </c>
      <c r="C744" s="56">
        <f t="shared" ref="C744:D744" si="665">C716-C743</f>
        <v>4</v>
      </c>
      <c r="D744" s="57">
        <f t="shared" si="665"/>
        <v>2</v>
      </c>
      <c r="E744" s="55">
        <f>SUM(B744:D744)</f>
        <v>10</v>
      </c>
      <c r="F744" s="50">
        <f>F716-F743</f>
        <v>6</v>
      </c>
      <c r="G744" s="56">
        <f t="shared" ref="G744:H744" si="666">G716-G743</f>
        <v>3</v>
      </c>
      <c r="H744" s="57">
        <f t="shared" si="666"/>
        <v>4</v>
      </c>
      <c r="I744" s="55">
        <f>SUM(F744:H744)</f>
        <v>13</v>
      </c>
      <c r="J744" s="31">
        <f>E744+I744</f>
        <v>23</v>
      </c>
      <c r="L744" s="22" t="s">
        <v>16</v>
      </c>
      <c r="M744" s="50">
        <f>M716-M743</f>
        <v>170</v>
      </c>
      <c r="N744" s="56">
        <f t="shared" ref="N744:O744" si="667">N716-N743</f>
        <v>204</v>
      </c>
      <c r="O744" s="57">
        <f t="shared" si="667"/>
        <v>172</v>
      </c>
      <c r="P744" s="55">
        <f>SUM(M744:O744)</f>
        <v>546</v>
      </c>
      <c r="Q744" s="50">
        <f>Q716-Q743</f>
        <v>170</v>
      </c>
      <c r="R744" s="56">
        <f t="shared" ref="R744:S744" si="668">R716-R743</f>
        <v>204</v>
      </c>
      <c r="S744" s="57">
        <f t="shared" si="668"/>
        <v>172</v>
      </c>
      <c r="T744" s="55">
        <f>SUM(Q744:S744)</f>
        <v>546</v>
      </c>
      <c r="U744" s="31">
        <f>P744+T744</f>
        <v>1092</v>
      </c>
    </row>
    <row r="747" spans="1:22" ht="19.5" thickBot="1" x14ac:dyDescent="0.25">
      <c r="A747" s="3" t="s">
        <v>679</v>
      </c>
      <c r="B747" s="1"/>
      <c r="C747" s="1"/>
      <c r="D747" s="1"/>
      <c r="E747" s="1"/>
      <c r="F747" s="1"/>
      <c r="G747" s="1"/>
      <c r="H747" s="1"/>
      <c r="I747" s="1"/>
      <c r="J747" s="1"/>
      <c r="L747" s="129" t="s">
        <v>680</v>
      </c>
      <c r="M747" s="129"/>
      <c r="N747" s="129"/>
      <c r="O747" s="129"/>
      <c r="P747" s="129"/>
      <c r="Q747" s="129"/>
      <c r="R747" s="129"/>
      <c r="S747" s="129"/>
      <c r="T747" s="129"/>
      <c r="U747" s="1"/>
    </row>
    <row r="748" spans="1:22" ht="14.25" thickBot="1" x14ac:dyDescent="0.2">
      <c r="A748" s="7"/>
      <c r="B748" s="176" t="s">
        <v>22</v>
      </c>
      <c r="C748" s="177"/>
      <c r="D748" s="177"/>
      <c r="E748" s="178"/>
      <c r="F748" s="176" t="s">
        <v>23</v>
      </c>
      <c r="G748" s="177"/>
      <c r="H748" s="177"/>
      <c r="I748" s="179"/>
      <c r="J748" s="174" t="s">
        <v>0</v>
      </c>
      <c r="L748" s="7"/>
      <c r="M748" s="169" t="s">
        <v>22</v>
      </c>
      <c r="N748" s="170"/>
      <c r="O748" s="170"/>
      <c r="P748" s="171"/>
      <c r="Q748" s="169" t="s">
        <v>23</v>
      </c>
      <c r="R748" s="170"/>
      <c r="S748" s="170"/>
      <c r="T748" s="171"/>
      <c r="U748" s="174" t="s">
        <v>0</v>
      </c>
    </row>
    <row r="749" spans="1:22" ht="14.25" thickBot="1" x14ac:dyDescent="0.2">
      <c r="A749" s="7" t="s">
        <v>1</v>
      </c>
      <c r="B749" s="4" t="s">
        <v>2</v>
      </c>
      <c r="C749" s="5" t="s">
        <v>3</v>
      </c>
      <c r="D749" s="6" t="s">
        <v>4</v>
      </c>
      <c r="E749" s="7" t="s">
        <v>5</v>
      </c>
      <c r="F749" s="4" t="s">
        <v>2</v>
      </c>
      <c r="G749" s="5" t="s">
        <v>3</v>
      </c>
      <c r="H749" s="6" t="s">
        <v>4</v>
      </c>
      <c r="I749" s="7" t="s">
        <v>5</v>
      </c>
      <c r="J749" s="175"/>
      <c r="L749" s="7" t="s">
        <v>1</v>
      </c>
      <c r="M749" s="4" t="s">
        <v>2</v>
      </c>
      <c r="N749" s="5" t="s">
        <v>3</v>
      </c>
      <c r="O749" s="6" t="s">
        <v>4</v>
      </c>
      <c r="P749" s="7" t="s">
        <v>5</v>
      </c>
      <c r="Q749" s="4" t="s">
        <v>2</v>
      </c>
      <c r="R749" s="5" t="s">
        <v>3</v>
      </c>
      <c r="S749" s="6" t="s">
        <v>4</v>
      </c>
      <c r="T749" s="7" t="s">
        <v>5</v>
      </c>
      <c r="U749" s="175"/>
    </row>
    <row r="750" spans="1:22" ht="14.25" thickBot="1" x14ac:dyDescent="0.2">
      <c r="A750" s="27" t="s">
        <v>16</v>
      </c>
      <c r="B750" s="38">
        <f t="shared" ref="B750:I750" si="669">B744</f>
        <v>4</v>
      </c>
      <c r="C750" s="39">
        <f t="shared" si="669"/>
        <v>4</v>
      </c>
      <c r="D750" s="2">
        <f t="shared" si="669"/>
        <v>2</v>
      </c>
      <c r="E750" s="36">
        <f t="shared" si="669"/>
        <v>10</v>
      </c>
      <c r="F750" s="38">
        <f t="shared" si="669"/>
        <v>6</v>
      </c>
      <c r="G750" s="39">
        <f t="shared" si="669"/>
        <v>3</v>
      </c>
      <c r="H750" s="2">
        <f t="shared" si="669"/>
        <v>4</v>
      </c>
      <c r="I750" s="36">
        <f t="shared" si="669"/>
        <v>13</v>
      </c>
      <c r="J750" s="36">
        <f>E750+I750</f>
        <v>23</v>
      </c>
      <c r="L750" s="27" t="s">
        <v>16</v>
      </c>
      <c r="M750" s="50">
        <f t="shared" ref="M750:U750" si="670">M744</f>
        <v>170</v>
      </c>
      <c r="N750" s="56">
        <f t="shared" si="670"/>
        <v>204</v>
      </c>
      <c r="O750" s="57">
        <f t="shared" si="670"/>
        <v>172</v>
      </c>
      <c r="P750" s="55">
        <f t="shared" si="670"/>
        <v>546</v>
      </c>
      <c r="Q750" s="50">
        <f t="shared" si="670"/>
        <v>170</v>
      </c>
      <c r="R750" s="56">
        <f t="shared" si="670"/>
        <v>204</v>
      </c>
      <c r="S750" s="57">
        <f t="shared" si="670"/>
        <v>172</v>
      </c>
      <c r="T750" s="55">
        <f t="shared" si="670"/>
        <v>546</v>
      </c>
      <c r="U750" s="31">
        <f t="shared" si="670"/>
        <v>1092</v>
      </c>
    </row>
    <row r="751" spans="1:22" x14ac:dyDescent="0.15">
      <c r="A751" s="25"/>
      <c r="B751" s="42"/>
      <c r="C751" s="43"/>
      <c r="D751" s="44"/>
      <c r="E751" s="48">
        <f>SUM(B751:D751)</f>
        <v>0</v>
      </c>
      <c r="F751" s="59"/>
      <c r="G751" s="43"/>
      <c r="H751" s="60"/>
      <c r="I751" s="48">
        <f>SUM(F751:H751)</f>
        <v>0</v>
      </c>
      <c r="J751" s="48">
        <f>E751+I751</f>
        <v>0</v>
      </c>
      <c r="L751" s="25" t="s">
        <v>7</v>
      </c>
      <c r="M751" s="42"/>
      <c r="N751" s="43"/>
      <c r="O751" s="44"/>
      <c r="P751" s="48">
        <f>SUM(M751:O751)</f>
        <v>0</v>
      </c>
      <c r="Q751" s="59"/>
      <c r="R751" s="43"/>
      <c r="S751" s="60"/>
      <c r="T751" s="48">
        <f>SUM(Q751:S751)</f>
        <v>0</v>
      </c>
      <c r="U751" s="48">
        <f>P751+T751</f>
        <v>0</v>
      </c>
    </row>
    <row r="752" spans="1:22" x14ac:dyDescent="0.15">
      <c r="A752" s="25"/>
      <c r="B752" s="8"/>
      <c r="C752" s="9"/>
      <c r="D752" s="52"/>
      <c r="E752" s="11">
        <f>SUM(B752:D752)</f>
        <v>0</v>
      </c>
      <c r="F752" s="12"/>
      <c r="G752" s="9"/>
      <c r="H752" s="10"/>
      <c r="I752" s="11">
        <f>SUM(F752:H752)</f>
        <v>0</v>
      </c>
      <c r="J752" s="11">
        <f>E752+I752</f>
        <v>0</v>
      </c>
      <c r="L752" s="25" t="s">
        <v>8</v>
      </c>
      <c r="M752" s="8"/>
      <c r="N752" s="9"/>
      <c r="O752" s="52"/>
      <c r="P752" s="11">
        <f>SUM(M752:O752)</f>
        <v>0</v>
      </c>
      <c r="Q752" s="8"/>
      <c r="R752" s="9"/>
      <c r="S752" s="52"/>
      <c r="T752" s="11">
        <f>SUM(Q752:S752)</f>
        <v>0</v>
      </c>
      <c r="U752" s="11">
        <f>P752+T752</f>
        <v>0</v>
      </c>
    </row>
    <row r="753" spans="1:22" x14ac:dyDescent="0.15">
      <c r="A753" s="25"/>
      <c r="B753" s="17"/>
      <c r="C753" s="18"/>
      <c r="D753" s="51"/>
      <c r="E753" s="11">
        <f t="shared" ref="E753:E758" si="671">SUM(B753:D753)</f>
        <v>0</v>
      </c>
      <c r="F753" s="20"/>
      <c r="G753" s="18"/>
      <c r="H753" s="19"/>
      <c r="I753" s="11">
        <f t="shared" ref="I753:I758" si="672">SUM(F753:H753)</f>
        <v>0</v>
      </c>
      <c r="J753" s="11">
        <f t="shared" ref="J753:J758" si="673">E753+I753</f>
        <v>0</v>
      </c>
      <c r="L753" s="25" t="s">
        <v>9</v>
      </c>
      <c r="M753" s="8"/>
      <c r="N753" s="9"/>
      <c r="O753" s="52"/>
      <c r="P753" s="11">
        <f>SUM(M753:O753)</f>
        <v>0</v>
      </c>
      <c r="Q753" s="8"/>
      <c r="R753" s="9"/>
      <c r="S753" s="52"/>
      <c r="T753" s="11">
        <f>SUM(Q753:S753)</f>
        <v>0</v>
      </c>
      <c r="U753" s="11">
        <f>P753+T753</f>
        <v>0</v>
      </c>
    </row>
    <row r="754" spans="1:22" x14ac:dyDescent="0.15">
      <c r="A754" s="25"/>
      <c r="B754" s="8"/>
      <c r="C754" s="9"/>
      <c r="D754" s="52"/>
      <c r="E754" s="11">
        <f t="shared" si="671"/>
        <v>0</v>
      </c>
      <c r="F754" s="12"/>
      <c r="G754" s="9"/>
      <c r="H754" s="10"/>
      <c r="I754" s="11">
        <f t="shared" si="672"/>
        <v>0</v>
      </c>
      <c r="J754" s="11">
        <f t="shared" si="673"/>
        <v>0</v>
      </c>
      <c r="L754" s="25" t="s">
        <v>10</v>
      </c>
      <c r="M754" s="8"/>
      <c r="N754" s="9"/>
      <c r="O754" s="52"/>
      <c r="P754" s="11">
        <f t="shared" ref="P754:P755" si="674">SUM(M754:O754)</f>
        <v>0</v>
      </c>
      <c r="Q754" s="12"/>
      <c r="R754" s="9"/>
      <c r="S754" s="10"/>
      <c r="T754" s="11">
        <f t="shared" ref="T754:T755" si="675">SUM(Q754:S754)</f>
        <v>0</v>
      </c>
      <c r="U754" s="11">
        <f t="shared" ref="U754:U755" si="676">P754+T754</f>
        <v>0</v>
      </c>
    </row>
    <row r="755" spans="1:22" x14ac:dyDescent="0.15">
      <c r="A755" s="25"/>
      <c r="B755" s="8"/>
      <c r="C755" s="9"/>
      <c r="D755" s="52"/>
      <c r="E755" s="11">
        <f t="shared" si="671"/>
        <v>0</v>
      </c>
      <c r="F755" s="12"/>
      <c r="G755" s="9"/>
      <c r="H755" s="10"/>
      <c r="I755" s="11">
        <f t="shared" si="672"/>
        <v>0</v>
      </c>
      <c r="J755" s="11">
        <f t="shared" si="673"/>
        <v>0</v>
      </c>
      <c r="L755" s="25" t="s">
        <v>11</v>
      </c>
      <c r="M755" s="8"/>
      <c r="N755" s="9"/>
      <c r="O755" s="52"/>
      <c r="P755" s="11">
        <f t="shared" si="674"/>
        <v>0</v>
      </c>
      <c r="Q755" s="12"/>
      <c r="R755" s="9"/>
      <c r="S755" s="10"/>
      <c r="T755" s="11">
        <f t="shared" si="675"/>
        <v>0</v>
      </c>
      <c r="U755" s="11">
        <f t="shared" si="676"/>
        <v>0</v>
      </c>
    </row>
    <row r="756" spans="1:22" x14ac:dyDescent="0.15">
      <c r="A756" s="25"/>
      <c r="B756" s="8"/>
      <c r="C756" s="9"/>
      <c r="D756" s="52"/>
      <c r="E756" s="11">
        <f t="shared" si="671"/>
        <v>0</v>
      </c>
      <c r="F756" s="12"/>
      <c r="G756" s="9"/>
      <c r="H756" s="10"/>
      <c r="I756" s="11">
        <f t="shared" si="672"/>
        <v>0</v>
      </c>
      <c r="J756" s="11">
        <f t="shared" si="673"/>
        <v>0</v>
      </c>
      <c r="L756" s="25" t="s">
        <v>12</v>
      </c>
      <c r="M756" s="8"/>
      <c r="N756" s="9"/>
      <c r="O756" s="52"/>
      <c r="P756" s="11">
        <f>SUM(M756:O756)</f>
        <v>0</v>
      </c>
      <c r="Q756" s="8"/>
      <c r="R756" s="9"/>
      <c r="S756" s="52"/>
      <c r="T756" s="11">
        <f>SUM(Q756:S756)</f>
        <v>0</v>
      </c>
      <c r="U756" s="11">
        <f>P756+T756</f>
        <v>0</v>
      </c>
    </row>
    <row r="757" spans="1:22" x14ac:dyDescent="0.15">
      <c r="A757" s="25"/>
      <c r="B757" s="13"/>
      <c r="C757" s="14"/>
      <c r="D757" s="53"/>
      <c r="E757" s="11">
        <f t="shared" si="671"/>
        <v>0</v>
      </c>
      <c r="F757" s="16"/>
      <c r="G757" s="14"/>
      <c r="H757" s="15"/>
      <c r="I757" s="11">
        <f t="shared" si="672"/>
        <v>0</v>
      </c>
      <c r="J757" s="11">
        <f t="shared" si="673"/>
        <v>0</v>
      </c>
      <c r="L757" s="25" t="s">
        <v>13</v>
      </c>
      <c r="M757" s="8"/>
      <c r="N757" s="9"/>
      <c r="O757" s="52"/>
      <c r="P757" s="11">
        <f t="shared" ref="P757:P758" si="677">SUM(M757:O757)</f>
        <v>0</v>
      </c>
      <c r="Q757" s="12"/>
      <c r="R757" s="9"/>
      <c r="S757" s="10"/>
      <c r="T757" s="11">
        <f t="shared" ref="T757:T758" si="678">SUM(Q757:S757)</f>
        <v>0</v>
      </c>
      <c r="U757" s="11">
        <f t="shared" ref="U757:U758" si="679">P757+T757</f>
        <v>0</v>
      </c>
    </row>
    <row r="758" spans="1:22" ht="14.25" thickBot="1" x14ac:dyDescent="0.2">
      <c r="A758" s="25"/>
      <c r="B758" s="32"/>
      <c r="C758" s="33"/>
      <c r="D758" s="54"/>
      <c r="E758" s="61">
        <f t="shared" si="671"/>
        <v>0</v>
      </c>
      <c r="F758" s="34"/>
      <c r="G758" s="34"/>
      <c r="H758" s="37"/>
      <c r="I758" s="61">
        <f t="shared" si="672"/>
        <v>0</v>
      </c>
      <c r="J758" s="21">
        <f t="shared" si="673"/>
        <v>0</v>
      </c>
      <c r="L758" s="25" t="s">
        <v>14</v>
      </c>
      <c r="M758" s="32"/>
      <c r="N758" s="33"/>
      <c r="O758" s="54"/>
      <c r="P758" s="61">
        <f t="shared" si="677"/>
        <v>0</v>
      </c>
      <c r="Q758" s="34"/>
      <c r="R758" s="34"/>
      <c r="S758" s="37"/>
      <c r="T758" s="61">
        <f t="shared" si="678"/>
        <v>0</v>
      </c>
      <c r="U758" s="21">
        <f t="shared" si="679"/>
        <v>0</v>
      </c>
    </row>
    <row r="759" spans="1:22" ht="14.25" thickBot="1" x14ac:dyDescent="0.2">
      <c r="A759" s="35" t="s">
        <v>15</v>
      </c>
      <c r="B759" s="28">
        <f>SUM(B750:B758)</f>
        <v>4</v>
      </c>
      <c r="C759" s="29">
        <f>SUM(C750:C758)</f>
        <v>4</v>
      </c>
      <c r="D759" s="30">
        <f>SUM(D750:D758)</f>
        <v>2</v>
      </c>
      <c r="E759" s="31">
        <f>SUM(B759:D759)</f>
        <v>10</v>
      </c>
      <c r="F759" s="28">
        <f>SUM(F750:F758)</f>
        <v>6</v>
      </c>
      <c r="G759" s="29">
        <f>SUM(G750:G758)</f>
        <v>3</v>
      </c>
      <c r="H759" s="30">
        <f>SUM(H750:H758)</f>
        <v>4</v>
      </c>
      <c r="I759" s="31">
        <f>SUM(F759:H759)</f>
        <v>13</v>
      </c>
      <c r="J759" s="31">
        <f>E759+I759</f>
        <v>23</v>
      </c>
      <c r="L759" s="35" t="s">
        <v>15</v>
      </c>
      <c r="M759" s="28">
        <f>SUM(M750:M758)</f>
        <v>170</v>
      </c>
      <c r="N759" s="29">
        <f>SUM(N750:N758)</f>
        <v>204</v>
      </c>
      <c r="O759" s="30">
        <f>SUM(O750:O758)</f>
        <v>172</v>
      </c>
      <c r="P759" s="31">
        <f>SUM(M759:O759)</f>
        <v>546</v>
      </c>
      <c r="Q759" s="28">
        <f>SUM(Q750:Q758)</f>
        <v>170</v>
      </c>
      <c r="R759" s="29">
        <f>SUM(R750:R758)</f>
        <v>204</v>
      </c>
      <c r="S759" s="30">
        <f>SUM(S750:S758)</f>
        <v>172</v>
      </c>
      <c r="T759" s="31">
        <f>SUM(Q759:S759)</f>
        <v>546</v>
      </c>
      <c r="U759" s="31">
        <f>P759+T759</f>
        <v>1092</v>
      </c>
    </row>
    <row r="760" spans="1:22" x14ac:dyDescent="0.15">
      <c r="A760" s="108" t="s">
        <v>746</v>
      </c>
      <c r="B760" s="42"/>
      <c r="C760" s="43">
        <v>1</v>
      </c>
      <c r="D760" s="44"/>
      <c r="E760" s="76">
        <f>SUM(B760:D760)</f>
        <v>1</v>
      </c>
      <c r="F760" s="59"/>
      <c r="G760" s="43">
        <v>1</v>
      </c>
      <c r="H760" s="60"/>
      <c r="I760" s="76">
        <f>SUM(F760:H760)</f>
        <v>1</v>
      </c>
      <c r="J760" s="48">
        <f>E760+I760</f>
        <v>2</v>
      </c>
      <c r="K760" s="64">
        <v>44912</v>
      </c>
      <c r="L760" s="108" t="s">
        <v>737</v>
      </c>
      <c r="M760" s="17">
        <v>6</v>
      </c>
      <c r="N760" s="18">
        <v>5</v>
      </c>
      <c r="O760" s="51">
        <v>3</v>
      </c>
      <c r="P760" s="87">
        <f t="shared" ref="P760:P762" si="680">SUM(M760:O760)</f>
        <v>14</v>
      </c>
      <c r="Q760" s="8">
        <v>6</v>
      </c>
      <c r="R760" s="9">
        <v>5</v>
      </c>
      <c r="S760" s="10">
        <v>3</v>
      </c>
      <c r="T760" s="49">
        <f t="shared" ref="T760:T762" si="681">SUM(Q760:S760)</f>
        <v>14</v>
      </c>
      <c r="U760" s="11">
        <f t="shared" ref="U760:U762" si="682">P760+T760</f>
        <v>28</v>
      </c>
      <c r="V760" s="98">
        <v>44904</v>
      </c>
    </row>
    <row r="761" spans="1:22" x14ac:dyDescent="0.15">
      <c r="A761" s="26"/>
      <c r="B761" s="8"/>
      <c r="C761" s="9"/>
      <c r="D761" s="10"/>
      <c r="E761" s="49">
        <f t="shared" ref="E761:E784" si="683">SUM(B761:D761)</f>
        <v>0</v>
      </c>
      <c r="F761" s="12"/>
      <c r="G761" s="9"/>
      <c r="H761" s="10"/>
      <c r="I761" s="49">
        <f t="shared" ref="I761:I784" si="684">SUM(F761:H761)</f>
        <v>0</v>
      </c>
      <c r="J761" s="11">
        <f t="shared" ref="J761:J784" si="685">E761+I761</f>
        <v>0</v>
      </c>
      <c r="L761" s="108" t="s">
        <v>739</v>
      </c>
      <c r="M761" s="8">
        <v>8</v>
      </c>
      <c r="N761" s="9">
        <v>4</v>
      </c>
      <c r="O761" s="52">
        <v>4</v>
      </c>
      <c r="P761" s="87">
        <f t="shared" si="680"/>
        <v>16</v>
      </c>
      <c r="Q761" s="12">
        <v>8</v>
      </c>
      <c r="R761" s="9">
        <v>4</v>
      </c>
      <c r="S761" s="10">
        <v>4</v>
      </c>
      <c r="T761" s="49">
        <f t="shared" si="681"/>
        <v>16</v>
      </c>
      <c r="U761" s="11">
        <f t="shared" si="682"/>
        <v>32</v>
      </c>
      <c r="V761" s="98">
        <v>44907</v>
      </c>
    </row>
    <row r="762" spans="1:22" x14ac:dyDescent="0.15">
      <c r="A762" s="108"/>
      <c r="B762" s="8"/>
      <c r="C762" s="9"/>
      <c r="D762" s="10"/>
      <c r="E762" s="49">
        <f t="shared" si="683"/>
        <v>0</v>
      </c>
      <c r="F762" s="12"/>
      <c r="G762" s="9"/>
      <c r="H762" s="10"/>
      <c r="I762" s="49">
        <f t="shared" si="684"/>
        <v>0</v>
      </c>
      <c r="J762" s="11">
        <f t="shared" si="685"/>
        <v>0</v>
      </c>
      <c r="L762" s="108" t="s">
        <v>743</v>
      </c>
      <c r="M762" s="8"/>
      <c r="N762" s="9">
        <v>3</v>
      </c>
      <c r="O762" s="52"/>
      <c r="P762" s="87">
        <f t="shared" si="680"/>
        <v>3</v>
      </c>
      <c r="Q762" s="12"/>
      <c r="R762" s="9">
        <v>3</v>
      </c>
      <c r="S762" s="10"/>
      <c r="T762" s="49">
        <f t="shared" si="681"/>
        <v>3</v>
      </c>
      <c r="U762" s="11">
        <f t="shared" si="682"/>
        <v>6</v>
      </c>
      <c r="V762" s="98">
        <v>44908</v>
      </c>
    </row>
    <row r="763" spans="1:22" x14ac:dyDescent="0.15">
      <c r="A763" s="26"/>
      <c r="B763" s="8"/>
      <c r="C763" s="9"/>
      <c r="D763" s="10"/>
      <c r="E763" s="49">
        <f t="shared" si="683"/>
        <v>0</v>
      </c>
      <c r="F763" s="12"/>
      <c r="G763" s="9"/>
      <c r="H763" s="10"/>
      <c r="I763" s="49">
        <f t="shared" si="684"/>
        <v>0</v>
      </c>
      <c r="J763" s="11">
        <f t="shared" si="685"/>
        <v>0</v>
      </c>
      <c r="L763" s="108" t="s">
        <v>257</v>
      </c>
      <c r="M763" s="13"/>
      <c r="N763" s="14">
        <v>1</v>
      </c>
      <c r="O763" s="53"/>
      <c r="P763" s="87">
        <f>SUM(M763:O763)</f>
        <v>1</v>
      </c>
      <c r="Q763" s="16"/>
      <c r="R763" s="14">
        <v>1</v>
      </c>
      <c r="S763" s="15"/>
      <c r="T763" s="49">
        <f>SUM(Q763:S763)</f>
        <v>1</v>
      </c>
      <c r="U763" s="11">
        <f>P763+T763</f>
        <v>2</v>
      </c>
      <c r="V763" s="98">
        <v>44909</v>
      </c>
    </row>
    <row r="764" spans="1:22" x14ac:dyDescent="0.15">
      <c r="A764" s="26"/>
      <c r="B764" s="8"/>
      <c r="C764" s="9"/>
      <c r="D764" s="10"/>
      <c r="E764" s="49">
        <f t="shared" si="683"/>
        <v>0</v>
      </c>
      <c r="F764" s="12"/>
      <c r="G764" s="9"/>
      <c r="H764" s="10"/>
      <c r="I764" s="49">
        <f t="shared" si="684"/>
        <v>0</v>
      </c>
      <c r="J764" s="11">
        <f t="shared" si="685"/>
        <v>0</v>
      </c>
      <c r="L764" s="108" t="s">
        <v>264</v>
      </c>
      <c r="M764" s="8"/>
      <c r="N764" s="9">
        <v>3</v>
      </c>
      <c r="O764" s="52"/>
      <c r="P764" s="87">
        <f t="shared" ref="P764:P775" si="686">SUM(M764:O764)</f>
        <v>3</v>
      </c>
      <c r="Q764" s="12"/>
      <c r="R764" s="9">
        <v>3</v>
      </c>
      <c r="S764" s="10"/>
      <c r="T764" s="49">
        <f t="shared" ref="T764:T775" si="687">SUM(Q764:S764)</f>
        <v>3</v>
      </c>
      <c r="U764" s="11">
        <f t="shared" ref="U764:U775" si="688">P764+T764</f>
        <v>6</v>
      </c>
      <c r="V764" s="98">
        <v>44909</v>
      </c>
    </row>
    <row r="765" spans="1:22" x14ac:dyDescent="0.15">
      <c r="A765" s="26"/>
      <c r="B765" s="8"/>
      <c r="C765" s="9"/>
      <c r="D765" s="10"/>
      <c r="E765" s="49">
        <f t="shared" si="683"/>
        <v>0</v>
      </c>
      <c r="F765" s="12"/>
      <c r="G765" s="9"/>
      <c r="H765" s="10"/>
      <c r="I765" s="49">
        <f t="shared" si="684"/>
        <v>0</v>
      </c>
      <c r="J765" s="11">
        <f t="shared" si="685"/>
        <v>0</v>
      </c>
      <c r="L765" s="108" t="s">
        <v>262</v>
      </c>
      <c r="M765" s="8"/>
      <c r="N765" s="9"/>
      <c r="O765" s="52">
        <v>4</v>
      </c>
      <c r="P765" s="87">
        <f t="shared" si="686"/>
        <v>4</v>
      </c>
      <c r="Q765" s="12"/>
      <c r="R765" s="9"/>
      <c r="S765" s="10">
        <v>4</v>
      </c>
      <c r="T765" s="49">
        <f t="shared" si="687"/>
        <v>4</v>
      </c>
      <c r="U765" s="11">
        <f t="shared" si="688"/>
        <v>8</v>
      </c>
      <c r="V765" s="98">
        <v>44911</v>
      </c>
    </row>
    <row r="766" spans="1:22" x14ac:dyDescent="0.15">
      <c r="A766" s="26"/>
      <c r="B766" s="8"/>
      <c r="C766" s="9"/>
      <c r="D766" s="10"/>
      <c r="E766" s="49">
        <f t="shared" si="683"/>
        <v>0</v>
      </c>
      <c r="F766" s="12"/>
      <c r="G766" s="9"/>
      <c r="H766" s="10"/>
      <c r="I766" s="49">
        <f t="shared" si="684"/>
        <v>0</v>
      </c>
      <c r="J766" s="11">
        <f t="shared" si="685"/>
        <v>0</v>
      </c>
      <c r="L766" s="108" t="s">
        <v>263</v>
      </c>
      <c r="M766" s="8"/>
      <c r="N766" s="9"/>
      <c r="O766" s="52">
        <v>2</v>
      </c>
      <c r="P766" s="87">
        <f t="shared" si="686"/>
        <v>2</v>
      </c>
      <c r="Q766" s="12"/>
      <c r="R766" s="9"/>
      <c r="S766" s="10">
        <v>2</v>
      </c>
      <c r="T766" s="49">
        <f t="shared" si="687"/>
        <v>2</v>
      </c>
      <c r="U766" s="11">
        <f t="shared" si="688"/>
        <v>4</v>
      </c>
      <c r="V766" s="98">
        <v>44914</v>
      </c>
    </row>
    <row r="767" spans="1:22" x14ac:dyDescent="0.15">
      <c r="A767" s="26"/>
      <c r="B767" s="8"/>
      <c r="C767" s="9"/>
      <c r="D767" s="10"/>
      <c r="E767" s="49">
        <f t="shared" si="683"/>
        <v>0</v>
      </c>
      <c r="F767" s="12"/>
      <c r="G767" s="9"/>
      <c r="H767" s="10"/>
      <c r="I767" s="49">
        <f t="shared" si="684"/>
        <v>0</v>
      </c>
      <c r="J767" s="11">
        <f t="shared" si="685"/>
        <v>0</v>
      </c>
      <c r="L767" s="108" t="s">
        <v>271</v>
      </c>
      <c r="M767" s="8"/>
      <c r="N767" s="9">
        <v>2</v>
      </c>
      <c r="O767" s="52">
        <v>1</v>
      </c>
      <c r="P767" s="87">
        <f t="shared" ref="P767" si="689">SUM(M767:O767)</f>
        <v>3</v>
      </c>
      <c r="Q767" s="12"/>
      <c r="R767" s="9">
        <v>2</v>
      </c>
      <c r="S767" s="10">
        <v>1</v>
      </c>
      <c r="T767" s="49">
        <f t="shared" ref="T767" si="690">SUM(Q767:S767)</f>
        <v>3</v>
      </c>
      <c r="U767" s="11">
        <f t="shared" ref="U767" si="691">P767+T767</f>
        <v>6</v>
      </c>
      <c r="V767" s="98">
        <v>44916</v>
      </c>
    </row>
    <row r="768" spans="1:22" x14ac:dyDescent="0.15">
      <c r="A768" s="26"/>
      <c r="B768" s="8"/>
      <c r="C768" s="9"/>
      <c r="D768" s="10"/>
      <c r="E768" s="49">
        <f t="shared" si="683"/>
        <v>0</v>
      </c>
      <c r="F768" s="12"/>
      <c r="G768" s="9"/>
      <c r="H768" s="10"/>
      <c r="I768" s="49">
        <f t="shared" si="684"/>
        <v>0</v>
      </c>
      <c r="J768" s="11">
        <f t="shared" si="685"/>
        <v>0</v>
      </c>
      <c r="L768" s="108" t="s">
        <v>272</v>
      </c>
      <c r="M768" s="8"/>
      <c r="N768" s="9">
        <v>1</v>
      </c>
      <c r="O768" s="52"/>
      <c r="P768" s="87">
        <f t="shared" si="686"/>
        <v>1</v>
      </c>
      <c r="Q768" s="12"/>
      <c r="R768" s="9">
        <v>1</v>
      </c>
      <c r="S768" s="10"/>
      <c r="T768" s="49">
        <f t="shared" si="687"/>
        <v>1</v>
      </c>
      <c r="U768" s="11">
        <f t="shared" si="688"/>
        <v>2</v>
      </c>
      <c r="V768" s="98">
        <v>44917</v>
      </c>
    </row>
    <row r="769" spans="1:22" x14ac:dyDescent="0.15">
      <c r="A769" s="26"/>
      <c r="B769" s="13"/>
      <c r="C769" s="14"/>
      <c r="D769" s="15"/>
      <c r="E769" s="49">
        <f t="shared" si="683"/>
        <v>0</v>
      </c>
      <c r="F769" s="16"/>
      <c r="G769" s="14"/>
      <c r="H769" s="15"/>
      <c r="I769" s="49">
        <f t="shared" si="684"/>
        <v>0</v>
      </c>
      <c r="J769" s="11">
        <f t="shared" si="685"/>
        <v>0</v>
      </c>
      <c r="L769" s="108" t="s">
        <v>274</v>
      </c>
      <c r="M769" s="13"/>
      <c r="N769" s="14"/>
      <c r="O769" s="53">
        <v>1</v>
      </c>
      <c r="P769" s="87">
        <f t="shared" si="686"/>
        <v>1</v>
      </c>
      <c r="Q769" s="16"/>
      <c r="R769" s="14"/>
      <c r="S769" s="15">
        <v>1</v>
      </c>
      <c r="T769" s="49">
        <f t="shared" si="687"/>
        <v>1</v>
      </c>
      <c r="U769" s="11">
        <f t="shared" si="688"/>
        <v>2</v>
      </c>
      <c r="V769" s="98">
        <v>44918</v>
      </c>
    </row>
    <row r="770" spans="1:22" x14ac:dyDescent="0.15">
      <c r="A770" s="26"/>
      <c r="B770" s="8"/>
      <c r="C770" s="9"/>
      <c r="D770" s="10"/>
      <c r="E770" s="49">
        <f t="shared" si="683"/>
        <v>0</v>
      </c>
      <c r="F770" s="12"/>
      <c r="G770" s="9"/>
      <c r="H770" s="10"/>
      <c r="I770" s="49">
        <f t="shared" si="684"/>
        <v>0</v>
      </c>
      <c r="J770" s="11">
        <f t="shared" si="685"/>
        <v>0</v>
      </c>
      <c r="L770" s="108" t="s">
        <v>275</v>
      </c>
      <c r="M770" s="8"/>
      <c r="N770" s="9"/>
      <c r="O770" s="52">
        <v>1</v>
      </c>
      <c r="P770" s="87">
        <f t="shared" si="686"/>
        <v>1</v>
      </c>
      <c r="Q770" s="12"/>
      <c r="R770" s="9"/>
      <c r="S770" s="10">
        <v>1</v>
      </c>
      <c r="T770" s="49">
        <f t="shared" si="687"/>
        <v>1</v>
      </c>
      <c r="U770" s="11">
        <f t="shared" si="688"/>
        <v>2</v>
      </c>
      <c r="V770" s="98">
        <v>44921</v>
      </c>
    </row>
    <row r="771" spans="1:22" x14ac:dyDescent="0.15">
      <c r="A771" s="26"/>
      <c r="B771" s="8"/>
      <c r="C771" s="9"/>
      <c r="D771" s="10"/>
      <c r="E771" s="49">
        <f t="shared" si="683"/>
        <v>0</v>
      </c>
      <c r="F771" s="12"/>
      <c r="G771" s="9"/>
      <c r="H771" s="10"/>
      <c r="I771" s="49">
        <f t="shared" si="684"/>
        <v>0</v>
      </c>
      <c r="J771" s="11">
        <f t="shared" si="685"/>
        <v>0</v>
      </c>
      <c r="L771" s="108" t="s">
        <v>276</v>
      </c>
      <c r="M771" s="8">
        <v>2</v>
      </c>
      <c r="N771" s="9">
        <v>2</v>
      </c>
      <c r="O771" s="52"/>
      <c r="P771" s="87">
        <f t="shared" si="686"/>
        <v>4</v>
      </c>
      <c r="Q771" s="12">
        <v>2</v>
      </c>
      <c r="R771" s="9">
        <v>2</v>
      </c>
      <c r="S771" s="10"/>
      <c r="T771" s="49">
        <f t="shared" si="687"/>
        <v>4</v>
      </c>
      <c r="U771" s="11">
        <f t="shared" si="688"/>
        <v>8</v>
      </c>
      <c r="V771" s="98">
        <v>44923</v>
      </c>
    </row>
    <row r="772" spans="1:22" x14ac:dyDescent="0.15">
      <c r="A772" s="26"/>
      <c r="B772" s="8"/>
      <c r="C772" s="9"/>
      <c r="D772" s="10"/>
      <c r="E772" s="49">
        <f t="shared" si="683"/>
        <v>0</v>
      </c>
      <c r="F772" s="12"/>
      <c r="G772" s="9"/>
      <c r="H772" s="10"/>
      <c r="I772" s="49">
        <f t="shared" si="684"/>
        <v>0</v>
      </c>
      <c r="J772" s="11">
        <f t="shared" si="685"/>
        <v>0</v>
      </c>
      <c r="L772" s="108" t="s">
        <v>277</v>
      </c>
      <c r="M772" s="8"/>
      <c r="N772" s="9"/>
      <c r="O772" s="52">
        <v>1</v>
      </c>
      <c r="P772" s="87">
        <f t="shared" si="686"/>
        <v>1</v>
      </c>
      <c r="Q772" s="12"/>
      <c r="R772" s="9"/>
      <c r="S772" s="10">
        <v>1</v>
      </c>
      <c r="T772" s="49">
        <f t="shared" si="687"/>
        <v>1</v>
      </c>
      <c r="U772" s="11">
        <f t="shared" si="688"/>
        <v>2</v>
      </c>
      <c r="V772" s="98">
        <v>44932</v>
      </c>
    </row>
    <row r="773" spans="1:22" x14ac:dyDescent="0.15">
      <c r="A773" s="26"/>
      <c r="B773" s="8"/>
      <c r="C773" s="9"/>
      <c r="D773" s="10"/>
      <c r="E773" s="49">
        <f t="shared" si="683"/>
        <v>0</v>
      </c>
      <c r="F773" s="12"/>
      <c r="G773" s="9"/>
      <c r="H773" s="10"/>
      <c r="I773" s="49">
        <f t="shared" si="684"/>
        <v>0</v>
      </c>
      <c r="J773" s="11">
        <f t="shared" si="685"/>
        <v>0</v>
      </c>
      <c r="L773" s="86" t="s">
        <v>755</v>
      </c>
      <c r="M773" s="8">
        <v>12</v>
      </c>
      <c r="N773" s="9">
        <v>12</v>
      </c>
      <c r="O773" s="52">
        <v>5</v>
      </c>
      <c r="P773" s="87">
        <f t="shared" si="686"/>
        <v>29</v>
      </c>
      <c r="Q773" s="12">
        <v>12</v>
      </c>
      <c r="R773" s="9">
        <v>12</v>
      </c>
      <c r="S773" s="10">
        <v>5</v>
      </c>
      <c r="T773" s="49">
        <f t="shared" si="687"/>
        <v>29</v>
      </c>
      <c r="U773" s="11">
        <f t="shared" si="688"/>
        <v>58</v>
      </c>
      <c r="V773" s="98">
        <v>44936</v>
      </c>
    </row>
    <row r="774" spans="1:22" x14ac:dyDescent="0.15">
      <c r="A774" s="26"/>
      <c r="B774" s="8"/>
      <c r="C774" s="9"/>
      <c r="D774" s="10"/>
      <c r="E774" s="49">
        <f t="shared" si="683"/>
        <v>0</v>
      </c>
      <c r="F774" s="12"/>
      <c r="G774" s="9"/>
      <c r="H774" s="10"/>
      <c r="I774" s="49">
        <f t="shared" si="684"/>
        <v>0</v>
      </c>
      <c r="J774" s="11">
        <f t="shared" si="685"/>
        <v>0</v>
      </c>
      <c r="L774" s="108" t="s">
        <v>756</v>
      </c>
      <c r="M774" s="8">
        <v>2</v>
      </c>
      <c r="N774" s="9"/>
      <c r="O774" s="52"/>
      <c r="P774" s="87">
        <f t="shared" si="686"/>
        <v>2</v>
      </c>
      <c r="Q774" s="12">
        <v>2</v>
      </c>
      <c r="R774" s="9"/>
      <c r="S774" s="10"/>
      <c r="T774" s="49">
        <f t="shared" si="687"/>
        <v>2</v>
      </c>
      <c r="U774" s="11">
        <f t="shared" si="688"/>
        <v>4</v>
      </c>
      <c r="V774" s="98">
        <v>44937</v>
      </c>
    </row>
    <row r="775" spans="1:22" x14ac:dyDescent="0.15">
      <c r="A775" s="26"/>
      <c r="B775" s="8"/>
      <c r="C775" s="9"/>
      <c r="D775" s="10"/>
      <c r="E775" s="49">
        <f t="shared" si="683"/>
        <v>0</v>
      </c>
      <c r="F775" s="12"/>
      <c r="G775" s="9"/>
      <c r="H775" s="10"/>
      <c r="I775" s="49">
        <f t="shared" si="684"/>
        <v>0</v>
      </c>
      <c r="J775" s="11">
        <f t="shared" si="685"/>
        <v>0</v>
      </c>
      <c r="L775" s="86" t="s">
        <v>757</v>
      </c>
      <c r="M775" s="8"/>
      <c r="N775" s="9"/>
      <c r="O775" s="52">
        <v>5</v>
      </c>
      <c r="P775" s="87">
        <f t="shared" si="686"/>
        <v>5</v>
      </c>
      <c r="Q775" s="12"/>
      <c r="R775" s="9"/>
      <c r="S775" s="10">
        <v>5</v>
      </c>
      <c r="T775" s="49">
        <f t="shared" si="687"/>
        <v>5</v>
      </c>
      <c r="U775" s="11">
        <f t="shared" si="688"/>
        <v>10</v>
      </c>
      <c r="V775" s="98">
        <v>44937</v>
      </c>
    </row>
    <row r="776" spans="1:22" x14ac:dyDescent="0.15">
      <c r="A776" s="26"/>
      <c r="B776" s="8"/>
      <c r="C776" s="9"/>
      <c r="D776" s="10"/>
      <c r="E776" s="49">
        <f t="shared" si="683"/>
        <v>0</v>
      </c>
      <c r="F776" s="12"/>
      <c r="G776" s="9"/>
      <c r="H776" s="10"/>
      <c r="I776" s="49">
        <f t="shared" si="684"/>
        <v>0</v>
      </c>
      <c r="J776" s="11">
        <f t="shared" si="685"/>
        <v>0</v>
      </c>
      <c r="L776" s="26" t="s">
        <v>761</v>
      </c>
      <c r="M776" s="13"/>
      <c r="N776" s="14">
        <v>5</v>
      </c>
      <c r="O776" s="53"/>
      <c r="P776" s="87">
        <f>SUM(M776:O776)</f>
        <v>5</v>
      </c>
      <c r="Q776" s="16"/>
      <c r="R776" s="14">
        <v>5</v>
      </c>
      <c r="S776" s="15"/>
      <c r="T776" s="49">
        <f>SUM(Q776:S776)</f>
        <v>5</v>
      </c>
      <c r="U776" s="11">
        <f>P776+T776</f>
        <v>10</v>
      </c>
      <c r="V776" s="98">
        <v>44942</v>
      </c>
    </row>
    <row r="777" spans="1:22" x14ac:dyDescent="0.15">
      <c r="A777" s="24"/>
      <c r="B777" s="8"/>
      <c r="C777" s="9"/>
      <c r="D777" s="10"/>
      <c r="E777" s="49">
        <f t="shared" si="683"/>
        <v>0</v>
      </c>
      <c r="F777" s="12"/>
      <c r="G777" s="9"/>
      <c r="H777" s="10"/>
      <c r="I777" s="49">
        <f t="shared" si="684"/>
        <v>0</v>
      </c>
      <c r="J777" s="11">
        <f t="shared" si="685"/>
        <v>0</v>
      </c>
      <c r="L777" s="108" t="s">
        <v>769</v>
      </c>
      <c r="M777" s="8"/>
      <c r="N777" s="9">
        <v>2</v>
      </c>
      <c r="O777" s="52"/>
      <c r="P777" s="87">
        <f t="shared" ref="P777:P778" si="692">SUM(M777:O777)</f>
        <v>2</v>
      </c>
      <c r="Q777" s="12"/>
      <c r="R777" s="9">
        <v>2</v>
      </c>
      <c r="S777" s="10"/>
      <c r="T777" s="49">
        <f t="shared" ref="T777:T778" si="693">SUM(Q777:S777)</f>
        <v>2</v>
      </c>
      <c r="U777" s="11">
        <f t="shared" ref="U777:U778" si="694">P777+T777</f>
        <v>4</v>
      </c>
      <c r="V777" s="98">
        <v>44945</v>
      </c>
    </row>
    <row r="778" spans="1:22" x14ac:dyDescent="0.15">
      <c r="A778" s="25"/>
      <c r="B778" s="8"/>
      <c r="C778" s="9"/>
      <c r="D778" s="10"/>
      <c r="E778" s="49">
        <f t="shared" si="683"/>
        <v>0</v>
      </c>
      <c r="F778" s="12"/>
      <c r="G778" s="9"/>
      <c r="H778" s="10"/>
      <c r="I778" s="49">
        <f t="shared" si="684"/>
        <v>0</v>
      </c>
      <c r="J778" s="11">
        <f t="shared" si="685"/>
        <v>0</v>
      </c>
      <c r="L778" s="108" t="s">
        <v>280</v>
      </c>
      <c r="M778" s="8"/>
      <c r="N778" s="9">
        <v>1</v>
      </c>
      <c r="O778" s="52">
        <v>1</v>
      </c>
      <c r="P778" s="87">
        <f t="shared" si="692"/>
        <v>2</v>
      </c>
      <c r="Q778" s="12"/>
      <c r="R778" s="9">
        <v>1</v>
      </c>
      <c r="S778" s="10">
        <v>1</v>
      </c>
      <c r="T778" s="49">
        <f t="shared" si="693"/>
        <v>2</v>
      </c>
      <c r="U778" s="11">
        <f t="shared" si="694"/>
        <v>4</v>
      </c>
      <c r="V778" s="98">
        <v>44946</v>
      </c>
    </row>
    <row r="779" spans="1:22" x14ac:dyDescent="0.15">
      <c r="A779" s="26"/>
      <c r="B779" s="8"/>
      <c r="C779" s="9"/>
      <c r="D779" s="10"/>
      <c r="E779" s="49">
        <f t="shared" si="683"/>
        <v>0</v>
      </c>
      <c r="F779" s="12"/>
      <c r="G779" s="9"/>
      <c r="H779" s="10"/>
      <c r="I779" s="49">
        <f t="shared" si="684"/>
        <v>0</v>
      </c>
      <c r="J779" s="11">
        <f t="shared" si="685"/>
        <v>0</v>
      </c>
      <c r="L779" s="108" t="s">
        <v>773</v>
      </c>
      <c r="M779" s="13">
        <v>2</v>
      </c>
      <c r="N779" s="14">
        <v>4</v>
      </c>
      <c r="O779" s="53">
        <v>1</v>
      </c>
      <c r="P779" s="87">
        <f>SUM(M779:O779)</f>
        <v>7</v>
      </c>
      <c r="Q779" s="16">
        <v>2</v>
      </c>
      <c r="R779" s="14">
        <v>4</v>
      </c>
      <c r="S779" s="15">
        <v>1</v>
      </c>
      <c r="T779" s="49">
        <f>SUM(Q779:S779)</f>
        <v>7</v>
      </c>
      <c r="U779" s="11">
        <f>P779+T779</f>
        <v>14</v>
      </c>
      <c r="V779" s="98">
        <v>44949</v>
      </c>
    </row>
    <row r="780" spans="1:22" x14ac:dyDescent="0.15">
      <c r="A780" s="24"/>
      <c r="B780" s="8"/>
      <c r="C780" s="9"/>
      <c r="D780" s="10"/>
      <c r="E780" s="49">
        <f t="shared" si="683"/>
        <v>0</v>
      </c>
      <c r="F780" s="12"/>
      <c r="G780" s="9"/>
      <c r="H780" s="10"/>
      <c r="I780" s="49">
        <f t="shared" si="684"/>
        <v>0</v>
      </c>
      <c r="J780" s="11">
        <f t="shared" si="685"/>
        <v>0</v>
      </c>
      <c r="L780" s="26" t="s">
        <v>776</v>
      </c>
      <c r="M780" s="8">
        <v>6</v>
      </c>
      <c r="N780" s="9">
        <v>14</v>
      </c>
      <c r="O780" s="52">
        <v>9</v>
      </c>
      <c r="P780" s="87">
        <f t="shared" ref="P780" si="695">SUM(M780:O780)</f>
        <v>29</v>
      </c>
      <c r="Q780" s="8">
        <v>6</v>
      </c>
      <c r="R780" s="9">
        <v>14</v>
      </c>
      <c r="S780" s="10">
        <v>9</v>
      </c>
      <c r="T780" s="49">
        <f t="shared" ref="T780" si="696">SUM(Q780:S780)</f>
        <v>29</v>
      </c>
      <c r="U780" s="11">
        <f t="shared" ref="U780" si="697">P780+T780</f>
        <v>58</v>
      </c>
      <c r="V780" s="98">
        <v>44949</v>
      </c>
    </row>
    <row r="781" spans="1:22" x14ac:dyDescent="0.15">
      <c r="B781" s="13"/>
      <c r="C781" s="14"/>
      <c r="D781" s="15"/>
      <c r="E781" s="49">
        <f t="shared" si="683"/>
        <v>0</v>
      </c>
      <c r="F781" s="16"/>
      <c r="G781" s="14"/>
      <c r="H781" s="15"/>
      <c r="I781" s="49">
        <f t="shared" si="684"/>
        <v>0</v>
      </c>
      <c r="J781" s="11">
        <f t="shared" si="685"/>
        <v>0</v>
      </c>
      <c r="L781" s="108" t="s">
        <v>775</v>
      </c>
      <c r="M781" s="13"/>
      <c r="N781" s="14">
        <v>1</v>
      </c>
      <c r="O781" s="53">
        <v>1</v>
      </c>
      <c r="P781" s="87">
        <f>SUM(M781:O781)</f>
        <v>2</v>
      </c>
      <c r="Q781" s="16"/>
      <c r="R781" s="14">
        <v>1</v>
      </c>
      <c r="S781" s="15">
        <v>1</v>
      </c>
      <c r="T781" s="49">
        <f>SUM(Q781:S781)</f>
        <v>2</v>
      </c>
      <c r="U781" s="11">
        <f>P781+T781</f>
        <v>4</v>
      </c>
      <c r="V781" s="98">
        <v>44950</v>
      </c>
    </row>
    <row r="782" spans="1:22" x14ac:dyDescent="0.15">
      <c r="A782" s="26"/>
      <c r="B782" s="8"/>
      <c r="C782" s="9"/>
      <c r="D782" s="10"/>
      <c r="E782" s="49">
        <f t="shared" si="683"/>
        <v>0</v>
      </c>
      <c r="F782" s="12"/>
      <c r="G782" s="9"/>
      <c r="H782" s="10"/>
      <c r="I782" s="49">
        <f t="shared" si="684"/>
        <v>0</v>
      </c>
      <c r="J782" s="11">
        <f t="shared" si="685"/>
        <v>0</v>
      </c>
      <c r="L782" s="108" t="s">
        <v>779</v>
      </c>
      <c r="M782" s="8"/>
      <c r="N782" s="9">
        <v>1</v>
      </c>
      <c r="O782" s="52"/>
      <c r="P782" s="87">
        <f t="shared" ref="P782:P786" si="698">SUM(M782:O782)</f>
        <v>1</v>
      </c>
      <c r="Q782" s="12"/>
      <c r="R782" s="9">
        <v>1</v>
      </c>
      <c r="S782" s="10"/>
      <c r="T782" s="49">
        <f t="shared" ref="T782:T786" si="699">SUM(Q782:S782)</f>
        <v>1</v>
      </c>
      <c r="U782" s="11">
        <f t="shared" ref="U782:U784" si="700">P782+T782</f>
        <v>2</v>
      </c>
      <c r="V782" s="98">
        <v>44951</v>
      </c>
    </row>
    <row r="783" spans="1:22" x14ac:dyDescent="0.15">
      <c r="A783" s="26"/>
      <c r="B783" s="8"/>
      <c r="C783" s="9"/>
      <c r="D783" s="10"/>
      <c r="E783" s="49">
        <f t="shared" si="683"/>
        <v>0</v>
      </c>
      <c r="F783" s="12"/>
      <c r="G783" s="9"/>
      <c r="H783" s="10"/>
      <c r="I783" s="49">
        <f t="shared" si="684"/>
        <v>0</v>
      </c>
      <c r="J783" s="11">
        <f t="shared" si="685"/>
        <v>0</v>
      </c>
      <c r="L783" s="86"/>
      <c r="M783" s="8"/>
      <c r="N783" s="9"/>
      <c r="O783" s="52"/>
      <c r="P783" s="87">
        <f t="shared" ref="P783" si="701">SUM(M783:O783)</f>
        <v>0</v>
      </c>
      <c r="Q783" s="12"/>
      <c r="R783" s="9"/>
      <c r="S783" s="10"/>
      <c r="T783" s="49">
        <f t="shared" ref="T783" si="702">SUM(Q783:S783)</f>
        <v>0</v>
      </c>
      <c r="U783" s="11">
        <f t="shared" ref="U783" si="703">P783+T783</f>
        <v>0</v>
      </c>
      <c r="V783" s="98"/>
    </row>
    <row r="784" spans="1:22" x14ac:dyDescent="0.15">
      <c r="A784" s="26"/>
      <c r="B784" s="8"/>
      <c r="C784" s="9"/>
      <c r="D784" s="10"/>
      <c r="E784" s="49">
        <f t="shared" si="683"/>
        <v>0</v>
      </c>
      <c r="F784" s="12"/>
      <c r="G784" s="9"/>
      <c r="H784" s="10"/>
      <c r="I784" s="49">
        <f t="shared" si="684"/>
        <v>0</v>
      </c>
      <c r="J784" s="11">
        <f t="shared" si="685"/>
        <v>0</v>
      </c>
      <c r="L784" s="86" t="s">
        <v>760</v>
      </c>
      <c r="M784" s="8"/>
      <c r="N784" s="9"/>
      <c r="O784" s="52"/>
      <c r="P784" s="87">
        <f t="shared" si="698"/>
        <v>0</v>
      </c>
      <c r="Q784" s="8"/>
      <c r="R784" s="9"/>
      <c r="S784" s="52"/>
      <c r="T784" s="49">
        <f t="shared" si="699"/>
        <v>0</v>
      </c>
      <c r="U784" s="11">
        <f t="shared" si="700"/>
        <v>0</v>
      </c>
      <c r="V784" s="98">
        <v>44571</v>
      </c>
    </row>
    <row r="785" spans="1:22" ht="14.25" thickBot="1" x14ac:dyDescent="0.2">
      <c r="A785" s="23"/>
      <c r="B785" s="13"/>
      <c r="C785" s="14"/>
      <c r="D785" s="15"/>
      <c r="E785" s="49">
        <f>SUM(B785:D785)</f>
        <v>0</v>
      </c>
      <c r="F785" s="16"/>
      <c r="G785" s="14"/>
      <c r="H785" s="15"/>
      <c r="I785" s="49">
        <f>SUM(F785:H785)</f>
        <v>0</v>
      </c>
      <c r="J785" s="11">
        <f>E785+I785</f>
        <v>0</v>
      </c>
      <c r="L785" s="86" t="s">
        <v>740</v>
      </c>
      <c r="M785" s="13"/>
      <c r="N785" s="14"/>
      <c r="O785" s="53"/>
      <c r="P785" s="87">
        <f>SUM(M785:O785)</f>
        <v>0</v>
      </c>
      <c r="Q785" s="16"/>
      <c r="R785" s="14"/>
      <c r="S785" s="15"/>
      <c r="T785" s="49">
        <f>SUM(Q785:S785)</f>
        <v>0</v>
      </c>
      <c r="U785" s="11">
        <f>P785+T785</f>
        <v>0</v>
      </c>
      <c r="V785" s="100" t="s">
        <v>741</v>
      </c>
    </row>
    <row r="786" spans="1:22" ht="14.25" thickBot="1" x14ac:dyDescent="0.2">
      <c r="A786" s="41" t="s">
        <v>17</v>
      </c>
      <c r="B786" s="46">
        <f>SUM(B760:B785)</f>
        <v>0</v>
      </c>
      <c r="C786" s="47">
        <f t="shared" ref="C786:D786" si="704">SUM(C760:C785)</f>
        <v>1</v>
      </c>
      <c r="D786" s="58">
        <f t="shared" si="704"/>
        <v>0</v>
      </c>
      <c r="E786" s="45">
        <f t="shared" ref="E786" si="705">SUM(B786:D786)</f>
        <v>1</v>
      </c>
      <c r="F786" s="46">
        <f>SUM(F760:F785)</f>
        <v>0</v>
      </c>
      <c r="G786" s="47">
        <f t="shared" ref="G786:H786" si="706">SUM(G760:G785)</f>
        <v>1</v>
      </c>
      <c r="H786" s="58">
        <f t="shared" si="706"/>
        <v>0</v>
      </c>
      <c r="I786" s="45">
        <f t="shared" ref="I786" si="707">SUM(F786:H786)</f>
        <v>1</v>
      </c>
      <c r="J786" s="45">
        <f>E786+I786</f>
        <v>2</v>
      </c>
      <c r="L786" s="41" t="s">
        <v>17</v>
      </c>
      <c r="M786" s="46">
        <f>SUM(M760:M785)</f>
        <v>38</v>
      </c>
      <c r="N786" s="47">
        <f t="shared" ref="N786:O786" si="708">SUM(N760:N785)</f>
        <v>61</v>
      </c>
      <c r="O786" s="58">
        <f t="shared" si="708"/>
        <v>39</v>
      </c>
      <c r="P786" s="45">
        <f t="shared" si="698"/>
        <v>138</v>
      </c>
      <c r="Q786" s="46">
        <f>SUM(Q760:Q785)</f>
        <v>38</v>
      </c>
      <c r="R786" s="47">
        <f t="shared" ref="R786:S786" si="709">SUM(R760:R785)</f>
        <v>61</v>
      </c>
      <c r="S786" s="58">
        <f t="shared" si="709"/>
        <v>39</v>
      </c>
      <c r="T786" s="45">
        <f t="shared" si="699"/>
        <v>138</v>
      </c>
      <c r="U786" s="45">
        <f>P786+T786</f>
        <v>276</v>
      </c>
    </row>
    <row r="787" spans="1:22" ht="14.25" thickBot="1" x14ac:dyDescent="0.2">
      <c r="A787" s="22" t="s">
        <v>16</v>
      </c>
      <c r="B787" s="50">
        <f>B759-B786</f>
        <v>4</v>
      </c>
      <c r="C787" s="56">
        <f t="shared" ref="C787:D787" si="710">C759-C786</f>
        <v>3</v>
      </c>
      <c r="D787" s="57">
        <f t="shared" si="710"/>
        <v>2</v>
      </c>
      <c r="E787" s="55">
        <f>SUM(B787:D787)</f>
        <v>9</v>
      </c>
      <c r="F787" s="50">
        <f>F759-F786</f>
        <v>6</v>
      </c>
      <c r="G787" s="56">
        <f t="shared" ref="G787:H787" si="711">G759-G786</f>
        <v>2</v>
      </c>
      <c r="H787" s="57">
        <f t="shared" si="711"/>
        <v>4</v>
      </c>
      <c r="I787" s="55">
        <f>SUM(F787:H787)</f>
        <v>12</v>
      </c>
      <c r="J787" s="31">
        <f>E787+I787</f>
        <v>21</v>
      </c>
      <c r="L787" s="22" t="s">
        <v>16</v>
      </c>
      <c r="M787" s="50">
        <f>M759-M786</f>
        <v>132</v>
      </c>
      <c r="N787" s="56">
        <f t="shared" ref="N787:O787" si="712">N759-N786</f>
        <v>143</v>
      </c>
      <c r="O787" s="57">
        <f t="shared" si="712"/>
        <v>133</v>
      </c>
      <c r="P787" s="55">
        <f>SUM(M787:O787)</f>
        <v>408</v>
      </c>
      <c r="Q787" s="50">
        <f>Q759-Q786</f>
        <v>132</v>
      </c>
      <c r="R787" s="56">
        <f t="shared" ref="R787:S787" si="713">R759-R786</f>
        <v>143</v>
      </c>
      <c r="S787" s="57">
        <f t="shared" si="713"/>
        <v>133</v>
      </c>
      <c r="T787" s="55">
        <f>SUM(Q787:S787)</f>
        <v>408</v>
      </c>
      <c r="U787" s="31">
        <f>P787+T787</f>
        <v>816</v>
      </c>
    </row>
    <row r="790" spans="1:22" ht="19.5" thickBot="1" x14ac:dyDescent="0.25">
      <c r="A790" s="3" t="s">
        <v>679</v>
      </c>
      <c r="B790" s="1"/>
      <c r="C790" s="1"/>
      <c r="D790" s="1"/>
      <c r="E790" s="1"/>
      <c r="F790" s="1"/>
      <c r="G790" s="1"/>
      <c r="H790" s="1"/>
      <c r="I790" s="1"/>
      <c r="J790" s="1"/>
      <c r="L790" s="129" t="s">
        <v>680</v>
      </c>
      <c r="M790" s="129"/>
      <c r="N790" s="129"/>
      <c r="O790" s="129"/>
      <c r="P790" s="129"/>
      <c r="Q790" s="129"/>
      <c r="R790" s="129"/>
      <c r="S790" s="129"/>
      <c r="T790" s="129"/>
      <c r="U790" s="1"/>
    </row>
    <row r="791" spans="1:22" ht="14.25" thickBot="1" x14ac:dyDescent="0.2">
      <c r="A791" s="7"/>
      <c r="B791" s="176" t="s">
        <v>22</v>
      </c>
      <c r="C791" s="177"/>
      <c r="D791" s="177"/>
      <c r="E791" s="178"/>
      <c r="F791" s="176" t="s">
        <v>23</v>
      </c>
      <c r="G791" s="177"/>
      <c r="H791" s="177"/>
      <c r="I791" s="179"/>
      <c r="J791" s="174" t="s">
        <v>0</v>
      </c>
      <c r="L791" s="7"/>
      <c r="M791" s="169" t="s">
        <v>22</v>
      </c>
      <c r="N791" s="170"/>
      <c r="O791" s="170"/>
      <c r="P791" s="171"/>
      <c r="Q791" s="169" t="s">
        <v>23</v>
      </c>
      <c r="R791" s="170"/>
      <c r="S791" s="170"/>
      <c r="T791" s="171"/>
      <c r="U791" s="174" t="s">
        <v>0</v>
      </c>
    </row>
    <row r="792" spans="1:22" ht="14.25" thickBot="1" x14ac:dyDescent="0.2">
      <c r="A792" s="7" t="s">
        <v>1</v>
      </c>
      <c r="B792" s="4" t="s">
        <v>2</v>
      </c>
      <c r="C792" s="5" t="s">
        <v>3</v>
      </c>
      <c r="D792" s="6" t="s">
        <v>4</v>
      </c>
      <c r="E792" s="7" t="s">
        <v>5</v>
      </c>
      <c r="F792" s="4" t="s">
        <v>2</v>
      </c>
      <c r="G792" s="5" t="s">
        <v>3</v>
      </c>
      <c r="H792" s="6" t="s">
        <v>4</v>
      </c>
      <c r="I792" s="7" t="s">
        <v>5</v>
      </c>
      <c r="J792" s="175"/>
      <c r="L792" s="7" t="s">
        <v>1</v>
      </c>
      <c r="M792" s="4" t="s">
        <v>2</v>
      </c>
      <c r="N792" s="5" t="s">
        <v>3</v>
      </c>
      <c r="O792" s="6" t="s">
        <v>4</v>
      </c>
      <c r="P792" s="7" t="s">
        <v>5</v>
      </c>
      <c r="Q792" s="4" t="s">
        <v>2</v>
      </c>
      <c r="R792" s="5" t="s">
        <v>3</v>
      </c>
      <c r="S792" s="6" t="s">
        <v>4</v>
      </c>
      <c r="T792" s="7" t="s">
        <v>5</v>
      </c>
      <c r="U792" s="175"/>
    </row>
    <row r="793" spans="1:22" ht="14.25" thickBot="1" x14ac:dyDescent="0.2">
      <c r="A793" s="27" t="s">
        <v>16</v>
      </c>
      <c r="B793" s="38">
        <f t="shared" ref="B793:I793" si="714">B787</f>
        <v>4</v>
      </c>
      <c r="C793" s="39">
        <f t="shared" si="714"/>
        <v>3</v>
      </c>
      <c r="D793" s="2">
        <f t="shared" si="714"/>
        <v>2</v>
      </c>
      <c r="E793" s="36">
        <f t="shared" si="714"/>
        <v>9</v>
      </c>
      <c r="F793" s="38">
        <f t="shared" si="714"/>
        <v>6</v>
      </c>
      <c r="G793" s="39">
        <f t="shared" si="714"/>
        <v>2</v>
      </c>
      <c r="H793" s="2">
        <f t="shared" si="714"/>
        <v>4</v>
      </c>
      <c r="I793" s="36">
        <f t="shared" si="714"/>
        <v>12</v>
      </c>
      <c r="J793" s="36">
        <f>E793+I793</f>
        <v>21</v>
      </c>
      <c r="L793" s="27" t="s">
        <v>16</v>
      </c>
      <c r="M793" s="50">
        <f t="shared" ref="M793:U793" si="715">M787</f>
        <v>132</v>
      </c>
      <c r="N793" s="56">
        <f t="shared" si="715"/>
        <v>143</v>
      </c>
      <c r="O793" s="57">
        <f t="shared" si="715"/>
        <v>133</v>
      </c>
      <c r="P793" s="55">
        <f t="shared" si="715"/>
        <v>408</v>
      </c>
      <c r="Q793" s="50">
        <f t="shared" si="715"/>
        <v>132</v>
      </c>
      <c r="R793" s="56">
        <f t="shared" si="715"/>
        <v>143</v>
      </c>
      <c r="S793" s="57">
        <f t="shared" si="715"/>
        <v>133</v>
      </c>
      <c r="T793" s="55">
        <f t="shared" si="715"/>
        <v>408</v>
      </c>
      <c r="U793" s="31">
        <f t="shared" si="715"/>
        <v>816</v>
      </c>
    </row>
    <row r="794" spans="1:22" x14ac:dyDescent="0.15">
      <c r="A794" s="25" t="s">
        <v>794</v>
      </c>
      <c r="B794" s="42"/>
      <c r="C794" s="43">
        <v>1</v>
      </c>
      <c r="D794" s="44"/>
      <c r="E794" s="48">
        <f>SUM(B794:D794)</f>
        <v>1</v>
      </c>
      <c r="F794" s="59"/>
      <c r="G794" s="43">
        <v>1</v>
      </c>
      <c r="H794" s="60"/>
      <c r="I794" s="48">
        <f>SUM(F794:H794)</f>
        <v>1</v>
      </c>
      <c r="J794" s="48">
        <f>E794+I794</f>
        <v>2</v>
      </c>
      <c r="K794" s="64">
        <v>44981</v>
      </c>
      <c r="L794" s="25" t="s">
        <v>783</v>
      </c>
      <c r="M794" s="42">
        <v>6</v>
      </c>
      <c r="N794" s="43">
        <v>3</v>
      </c>
      <c r="O794" s="44">
        <v>1</v>
      </c>
      <c r="P794" s="48">
        <f>SUM(M794:O794)</f>
        <v>10</v>
      </c>
      <c r="Q794" s="59">
        <v>6</v>
      </c>
      <c r="R794" s="43">
        <v>3</v>
      </c>
      <c r="S794" s="60">
        <v>1</v>
      </c>
      <c r="T794" s="48">
        <f>SUM(Q794:S794)</f>
        <v>10</v>
      </c>
      <c r="U794" s="48">
        <f>P794+T794</f>
        <v>20</v>
      </c>
      <c r="V794" s="99">
        <v>44950</v>
      </c>
    </row>
    <row r="795" spans="1:22" x14ac:dyDescent="0.15">
      <c r="A795" s="25" t="s">
        <v>579</v>
      </c>
      <c r="B795" s="8">
        <v>1</v>
      </c>
      <c r="C795" s="9">
        <v>1</v>
      </c>
      <c r="D795" s="52">
        <v>1</v>
      </c>
      <c r="E795" s="11">
        <f>SUM(B795:D795)</f>
        <v>3</v>
      </c>
      <c r="F795" s="12">
        <v>1</v>
      </c>
      <c r="G795" s="9">
        <v>1</v>
      </c>
      <c r="H795" s="10">
        <v>1</v>
      </c>
      <c r="I795" s="11">
        <f>SUM(F795:H795)</f>
        <v>3</v>
      </c>
      <c r="J795" s="11">
        <f>E795+I795</f>
        <v>6</v>
      </c>
      <c r="K795" s="64">
        <v>45034</v>
      </c>
      <c r="L795" s="25" t="s">
        <v>801</v>
      </c>
      <c r="M795" s="8">
        <v>4</v>
      </c>
      <c r="N795" s="9"/>
      <c r="O795" s="52">
        <v>2</v>
      </c>
      <c r="P795" s="11">
        <f t="shared" ref="P795" si="716">SUM(M795:O795)</f>
        <v>6</v>
      </c>
      <c r="Q795" s="8">
        <v>4</v>
      </c>
      <c r="R795" s="9"/>
      <c r="S795" s="52">
        <v>2</v>
      </c>
      <c r="T795" s="11">
        <f t="shared" ref="T795" si="717">SUM(Q795:S795)</f>
        <v>6</v>
      </c>
      <c r="U795" s="11">
        <f t="shared" ref="U795" si="718">P795+T795</f>
        <v>12</v>
      </c>
      <c r="V795" s="99">
        <v>45043</v>
      </c>
    </row>
    <row r="796" spans="1:22" x14ac:dyDescent="0.15">
      <c r="A796" s="144" t="s">
        <v>334</v>
      </c>
      <c r="B796" s="8"/>
      <c r="C796" s="9">
        <v>-2</v>
      </c>
      <c r="D796" s="52">
        <v>1</v>
      </c>
      <c r="E796" s="11">
        <f t="shared" ref="E796" si="719">SUM(B796:D796)</f>
        <v>-1</v>
      </c>
      <c r="F796" s="12"/>
      <c r="G796" s="12">
        <v>-2</v>
      </c>
      <c r="H796" s="145">
        <v>1</v>
      </c>
      <c r="I796" s="11">
        <f t="shared" ref="I796" si="720">SUM(F796:H796)</f>
        <v>-1</v>
      </c>
      <c r="J796" s="11">
        <f t="shared" ref="J796" si="721">E796+I796</f>
        <v>-2</v>
      </c>
      <c r="K796" s="64">
        <v>45163</v>
      </c>
      <c r="L796" s="25" t="s">
        <v>774</v>
      </c>
      <c r="M796" s="8">
        <v>-6</v>
      </c>
      <c r="N796" s="9">
        <v>-1</v>
      </c>
      <c r="O796" s="52">
        <v>6</v>
      </c>
      <c r="P796" s="11">
        <f>SUM(M796:O796)</f>
        <v>-1</v>
      </c>
      <c r="Q796" s="8">
        <v>-6</v>
      </c>
      <c r="R796" s="9">
        <v>-1</v>
      </c>
      <c r="S796" s="52">
        <v>6</v>
      </c>
      <c r="T796" s="11">
        <f>SUM(Q796:S796)</f>
        <v>-1</v>
      </c>
      <c r="U796" s="11">
        <f>P796+T796</f>
        <v>-2</v>
      </c>
    </row>
    <row r="797" spans="1:22" x14ac:dyDescent="0.15">
      <c r="A797" s="25"/>
      <c r="B797" s="17"/>
      <c r="C797" s="18"/>
      <c r="D797" s="51"/>
      <c r="E797" s="49">
        <f t="shared" ref="E797:E800" si="722">SUM(B797:D797)</f>
        <v>0</v>
      </c>
      <c r="F797" s="20"/>
      <c r="G797" s="18"/>
      <c r="H797" s="19"/>
      <c r="I797" s="49">
        <f t="shared" ref="I797:I800" si="723">SUM(F797:H797)</f>
        <v>0</v>
      </c>
      <c r="J797" s="49">
        <f t="shared" ref="J797:J800" si="724">E797+I797</f>
        <v>0</v>
      </c>
      <c r="L797" s="25" t="s">
        <v>10</v>
      </c>
      <c r="M797" s="8"/>
      <c r="N797" s="9"/>
      <c r="O797" s="52"/>
      <c r="P797" s="11">
        <f t="shared" ref="P797:P798" si="725">SUM(M797:O797)</f>
        <v>0</v>
      </c>
      <c r="Q797" s="12"/>
      <c r="R797" s="9"/>
      <c r="S797" s="10"/>
      <c r="T797" s="11">
        <f t="shared" ref="T797:T798" si="726">SUM(Q797:S797)</f>
        <v>0</v>
      </c>
      <c r="U797" s="11">
        <f t="shared" ref="U797:U798" si="727">P797+T797</f>
        <v>0</v>
      </c>
    </row>
    <row r="798" spans="1:22" x14ac:dyDescent="0.15">
      <c r="A798" s="25"/>
      <c r="B798" s="8"/>
      <c r="C798" s="9"/>
      <c r="D798" s="52"/>
      <c r="E798" s="11">
        <f t="shared" si="722"/>
        <v>0</v>
      </c>
      <c r="F798" s="12"/>
      <c r="G798" s="9"/>
      <c r="H798" s="10"/>
      <c r="I798" s="11">
        <f t="shared" si="723"/>
        <v>0</v>
      </c>
      <c r="J798" s="11">
        <f t="shared" si="724"/>
        <v>0</v>
      </c>
      <c r="L798" s="25" t="s">
        <v>11</v>
      </c>
      <c r="M798" s="8"/>
      <c r="N798" s="9"/>
      <c r="O798" s="52"/>
      <c r="P798" s="11">
        <f t="shared" si="725"/>
        <v>0</v>
      </c>
      <c r="Q798" s="12"/>
      <c r="R798" s="9"/>
      <c r="S798" s="10"/>
      <c r="T798" s="11">
        <f t="shared" si="726"/>
        <v>0</v>
      </c>
      <c r="U798" s="11">
        <f t="shared" si="727"/>
        <v>0</v>
      </c>
    </row>
    <row r="799" spans="1:22" x14ac:dyDescent="0.15">
      <c r="A799" s="25"/>
      <c r="B799" s="8"/>
      <c r="C799" s="9"/>
      <c r="D799" s="52"/>
      <c r="E799" s="11">
        <f t="shared" si="722"/>
        <v>0</v>
      </c>
      <c r="F799" s="12"/>
      <c r="G799" s="9"/>
      <c r="H799" s="10"/>
      <c r="I799" s="11">
        <f t="shared" si="723"/>
        <v>0</v>
      </c>
      <c r="J799" s="11">
        <f t="shared" si="724"/>
        <v>0</v>
      </c>
      <c r="L799" s="25" t="s">
        <v>12</v>
      </c>
      <c r="M799" s="8"/>
      <c r="N799" s="9"/>
      <c r="O799" s="52"/>
      <c r="P799" s="11">
        <f>SUM(M799:O799)</f>
        <v>0</v>
      </c>
      <c r="Q799" s="8"/>
      <c r="R799" s="9"/>
      <c r="S799" s="52"/>
      <c r="T799" s="11">
        <f>SUM(Q799:S799)</f>
        <v>0</v>
      </c>
      <c r="U799" s="11">
        <f>P799+T799</f>
        <v>0</v>
      </c>
    </row>
    <row r="800" spans="1:22" x14ac:dyDescent="0.15">
      <c r="A800" s="25"/>
      <c r="B800" s="13"/>
      <c r="C800" s="14"/>
      <c r="D800" s="53"/>
      <c r="E800" s="11">
        <f t="shared" si="722"/>
        <v>0</v>
      </c>
      <c r="F800" s="16"/>
      <c r="G800" s="14"/>
      <c r="H800" s="15"/>
      <c r="I800" s="11">
        <f t="shared" si="723"/>
        <v>0</v>
      </c>
      <c r="J800" s="11">
        <f t="shared" si="724"/>
        <v>0</v>
      </c>
      <c r="L800" s="25" t="s">
        <v>13</v>
      </c>
      <c r="M800" s="8"/>
      <c r="N800" s="9"/>
      <c r="O800" s="52"/>
      <c r="P800" s="11">
        <f t="shared" ref="P800:P801" si="728">SUM(M800:O800)</f>
        <v>0</v>
      </c>
      <c r="Q800" s="12"/>
      <c r="R800" s="9"/>
      <c r="S800" s="10"/>
      <c r="T800" s="11">
        <f t="shared" ref="T800:T801" si="729">SUM(Q800:S800)</f>
        <v>0</v>
      </c>
      <c r="U800" s="11">
        <f t="shared" ref="U800:U801" si="730">P800+T800</f>
        <v>0</v>
      </c>
    </row>
    <row r="801" spans="1:22" ht="14.25" thickBot="1" x14ac:dyDescent="0.2">
      <c r="A801" s="25"/>
      <c r="B801" s="13"/>
      <c r="C801" s="14"/>
      <c r="D801" s="53"/>
      <c r="E801" s="11">
        <f t="shared" ref="E801" si="731">SUM(B801:D801)</f>
        <v>0</v>
      </c>
      <c r="F801" s="16"/>
      <c r="G801" s="14"/>
      <c r="H801" s="15"/>
      <c r="I801" s="11">
        <f t="shared" ref="I801" si="732">SUM(F801:H801)</f>
        <v>0</v>
      </c>
      <c r="J801" s="11">
        <f t="shared" ref="J801" si="733">E801+I801</f>
        <v>0</v>
      </c>
      <c r="L801" s="25" t="s">
        <v>14</v>
      </c>
      <c r="M801" s="32"/>
      <c r="N801" s="33"/>
      <c r="O801" s="54"/>
      <c r="P801" s="61">
        <f t="shared" si="728"/>
        <v>0</v>
      </c>
      <c r="Q801" s="34"/>
      <c r="R801" s="34"/>
      <c r="S801" s="37"/>
      <c r="T801" s="61">
        <f t="shared" si="729"/>
        <v>0</v>
      </c>
      <c r="U801" s="21">
        <f t="shared" si="730"/>
        <v>0</v>
      </c>
    </row>
    <row r="802" spans="1:22" ht="14.25" thickBot="1" x14ac:dyDescent="0.2">
      <c r="A802" s="35" t="s">
        <v>15</v>
      </c>
      <c r="B802" s="28">
        <f>SUM(B793:B801)</f>
        <v>5</v>
      </c>
      <c r="C802" s="29">
        <f>SUM(C793:C801)</f>
        <v>3</v>
      </c>
      <c r="D802" s="30">
        <f>SUM(D793:D801)</f>
        <v>4</v>
      </c>
      <c r="E802" s="31">
        <f>SUM(B802:D802)</f>
        <v>12</v>
      </c>
      <c r="F802" s="28">
        <f>SUM(F793:F801)</f>
        <v>7</v>
      </c>
      <c r="G802" s="29">
        <f>SUM(G793:G801)</f>
        <v>2</v>
      </c>
      <c r="H802" s="30">
        <f>SUM(H793:H801)</f>
        <v>6</v>
      </c>
      <c r="I802" s="31">
        <f>SUM(F802:H802)</f>
        <v>15</v>
      </c>
      <c r="J802" s="31">
        <f>E802+I802</f>
        <v>27</v>
      </c>
      <c r="L802" s="35" t="s">
        <v>15</v>
      </c>
      <c r="M802" s="28">
        <f>SUM(M793:M801)</f>
        <v>136</v>
      </c>
      <c r="N802" s="29">
        <f>SUM(N793:N801)</f>
        <v>145</v>
      </c>
      <c r="O802" s="30">
        <f>SUM(O793:O801)</f>
        <v>142</v>
      </c>
      <c r="P802" s="31">
        <f>SUM(M802:O802)</f>
        <v>423</v>
      </c>
      <c r="Q802" s="28">
        <f>SUM(Q793:Q801)</f>
        <v>136</v>
      </c>
      <c r="R802" s="29">
        <f>SUM(R793:R801)</f>
        <v>145</v>
      </c>
      <c r="S802" s="30">
        <f>SUM(S793:S801)</f>
        <v>142</v>
      </c>
      <c r="T802" s="31">
        <f>SUM(Q802:S802)</f>
        <v>423</v>
      </c>
      <c r="U802" s="31">
        <f>P802+T802</f>
        <v>846</v>
      </c>
    </row>
    <row r="803" spans="1:22" x14ac:dyDescent="0.15">
      <c r="A803" s="108" t="s">
        <v>785</v>
      </c>
      <c r="B803" s="42"/>
      <c r="C803" s="43"/>
      <c r="D803" s="44">
        <v>1</v>
      </c>
      <c r="E803" s="76">
        <f>SUM(B803:D803)</f>
        <v>1</v>
      </c>
      <c r="F803" s="59"/>
      <c r="G803" s="43"/>
      <c r="H803" s="60">
        <v>1</v>
      </c>
      <c r="I803" s="76">
        <f>SUM(F803:H803)</f>
        <v>1</v>
      </c>
      <c r="J803" s="48">
        <f>E803+I803</f>
        <v>2</v>
      </c>
      <c r="K803" s="62">
        <v>44963</v>
      </c>
      <c r="L803" s="108" t="s">
        <v>781</v>
      </c>
      <c r="M803" s="17"/>
      <c r="N803" s="18">
        <v>1</v>
      </c>
      <c r="O803" s="51"/>
      <c r="P803" s="87">
        <f t="shared" ref="P803:P805" si="734">SUM(M803:O803)</f>
        <v>1</v>
      </c>
      <c r="Q803" s="8"/>
      <c r="R803" s="9">
        <v>1</v>
      </c>
      <c r="S803" s="10"/>
      <c r="T803" s="49">
        <f t="shared" ref="T803:T805" si="735">SUM(Q803:S803)</f>
        <v>1</v>
      </c>
      <c r="U803" s="11">
        <f t="shared" ref="U803:U805" si="736">P803+T803</f>
        <v>2</v>
      </c>
      <c r="V803" s="98">
        <v>44953</v>
      </c>
    </row>
    <row r="804" spans="1:22" x14ac:dyDescent="0.15">
      <c r="A804" s="108" t="s">
        <v>290</v>
      </c>
      <c r="B804" s="8"/>
      <c r="C804" s="9">
        <v>1</v>
      </c>
      <c r="D804" s="52"/>
      <c r="E804" s="87">
        <f t="shared" ref="E804" si="737">SUM(B804:D804)</f>
        <v>1</v>
      </c>
      <c r="F804" s="12"/>
      <c r="G804" s="9">
        <v>1</v>
      </c>
      <c r="H804" s="10"/>
      <c r="I804" s="49">
        <f t="shared" ref="I804" si="738">SUM(F804:H804)</f>
        <v>1</v>
      </c>
      <c r="J804" s="11">
        <f t="shared" ref="J804" si="739">E804+I804</f>
        <v>2</v>
      </c>
      <c r="K804" s="143">
        <v>44973</v>
      </c>
      <c r="L804" s="108" t="s">
        <v>286</v>
      </c>
      <c r="M804" s="8">
        <v>1</v>
      </c>
      <c r="N804" s="9"/>
      <c r="O804" s="52"/>
      <c r="P804" s="87">
        <f t="shared" si="734"/>
        <v>1</v>
      </c>
      <c r="Q804" s="12">
        <v>1</v>
      </c>
      <c r="R804" s="9"/>
      <c r="S804" s="10"/>
      <c r="T804" s="49">
        <f t="shared" si="735"/>
        <v>1</v>
      </c>
      <c r="U804" s="11">
        <f t="shared" si="736"/>
        <v>2</v>
      </c>
      <c r="V804" s="98">
        <v>44958</v>
      </c>
    </row>
    <row r="805" spans="1:22" x14ac:dyDescent="0.15">
      <c r="A805" s="108" t="s">
        <v>798</v>
      </c>
      <c r="B805" s="8"/>
      <c r="C805" s="9"/>
      <c r="D805" s="10">
        <v>1</v>
      </c>
      <c r="E805" s="49">
        <f t="shared" ref="E805:E827" si="740">SUM(B805:D805)</f>
        <v>1</v>
      </c>
      <c r="F805" s="12"/>
      <c r="G805" s="9"/>
      <c r="H805" s="10">
        <v>1</v>
      </c>
      <c r="I805" s="49">
        <f t="shared" ref="I805:I827" si="741">SUM(F805:H805)</f>
        <v>1</v>
      </c>
      <c r="J805" s="11">
        <f t="shared" ref="J805:J827" si="742">E805+I805</f>
        <v>2</v>
      </c>
      <c r="K805" s="62">
        <v>45013</v>
      </c>
      <c r="L805" s="86" t="s">
        <v>791</v>
      </c>
      <c r="M805" s="8">
        <v>15</v>
      </c>
      <c r="N805" s="9">
        <v>21</v>
      </c>
      <c r="O805" s="52">
        <v>7</v>
      </c>
      <c r="P805" s="87">
        <f t="shared" si="734"/>
        <v>43</v>
      </c>
      <c r="Q805" s="12">
        <v>15</v>
      </c>
      <c r="R805" s="9">
        <v>21</v>
      </c>
      <c r="S805" s="10">
        <v>7</v>
      </c>
      <c r="T805" s="49">
        <f t="shared" si="735"/>
        <v>43</v>
      </c>
      <c r="U805" s="11">
        <f t="shared" si="736"/>
        <v>86</v>
      </c>
      <c r="V805" s="98">
        <v>44965</v>
      </c>
    </row>
    <row r="806" spans="1:22" x14ac:dyDescent="0.15">
      <c r="A806" s="26" t="s">
        <v>800</v>
      </c>
      <c r="B806" s="8">
        <v>4</v>
      </c>
      <c r="C806" s="9"/>
      <c r="D806" s="10">
        <v>2</v>
      </c>
      <c r="E806" s="49">
        <f t="shared" si="740"/>
        <v>6</v>
      </c>
      <c r="F806" s="12">
        <v>4</v>
      </c>
      <c r="G806" s="9"/>
      <c r="H806" s="10">
        <v>2</v>
      </c>
      <c r="I806" s="49">
        <f t="shared" si="741"/>
        <v>6</v>
      </c>
      <c r="J806" s="11">
        <f t="shared" si="742"/>
        <v>12</v>
      </c>
      <c r="K806" s="64">
        <v>45043</v>
      </c>
      <c r="L806" s="108" t="s">
        <v>789</v>
      </c>
      <c r="M806" s="13">
        <v>1</v>
      </c>
      <c r="N806" s="14">
        <v>1</v>
      </c>
      <c r="O806" s="53"/>
      <c r="P806" s="87">
        <f>SUM(M806:O806)</f>
        <v>2</v>
      </c>
      <c r="Q806" s="16">
        <v>1</v>
      </c>
      <c r="R806" s="14">
        <v>1</v>
      </c>
      <c r="S806" s="15"/>
      <c r="T806" s="49">
        <f>SUM(Q806:S806)</f>
        <v>2</v>
      </c>
      <c r="U806" s="11">
        <f>P806+T806</f>
        <v>4</v>
      </c>
      <c r="V806" s="98">
        <v>44965</v>
      </c>
    </row>
    <row r="807" spans="1:22" x14ac:dyDescent="0.15">
      <c r="A807" s="26"/>
      <c r="B807" s="8"/>
      <c r="C807" s="9"/>
      <c r="D807" s="10"/>
      <c r="E807" s="49">
        <f t="shared" si="740"/>
        <v>0</v>
      </c>
      <c r="F807" s="12"/>
      <c r="G807" s="9"/>
      <c r="H807" s="10"/>
      <c r="I807" s="49">
        <f t="shared" si="741"/>
        <v>0</v>
      </c>
      <c r="J807" s="11">
        <f t="shared" si="742"/>
        <v>0</v>
      </c>
      <c r="L807" s="108" t="s">
        <v>289</v>
      </c>
      <c r="M807" s="8"/>
      <c r="N807" s="9"/>
      <c r="O807" s="52">
        <v>1</v>
      </c>
      <c r="P807" s="87">
        <f t="shared" ref="P807:P818" si="743">SUM(M807:O807)</f>
        <v>1</v>
      </c>
      <c r="Q807" s="12"/>
      <c r="R807" s="9"/>
      <c r="S807" s="10">
        <v>1</v>
      </c>
      <c r="T807" s="49">
        <f t="shared" ref="T807:T818" si="744">SUM(Q807:S807)</f>
        <v>1</v>
      </c>
      <c r="U807" s="11">
        <f t="shared" ref="U807:U818" si="745">P807+T807</f>
        <v>2</v>
      </c>
      <c r="V807" s="98">
        <v>44967</v>
      </c>
    </row>
    <row r="808" spans="1:22" x14ac:dyDescent="0.15">
      <c r="A808" s="26"/>
      <c r="B808" s="8"/>
      <c r="C808" s="9"/>
      <c r="D808" s="10"/>
      <c r="E808" s="49">
        <f t="shared" si="740"/>
        <v>0</v>
      </c>
      <c r="F808" s="12"/>
      <c r="G808" s="9"/>
      <c r="H808" s="10"/>
      <c r="I808" s="49">
        <f t="shared" si="741"/>
        <v>0</v>
      </c>
      <c r="J808" s="11">
        <f t="shared" si="742"/>
        <v>0</v>
      </c>
      <c r="L808" s="108" t="s">
        <v>793</v>
      </c>
      <c r="M808" s="8">
        <v>1</v>
      </c>
      <c r="N808" s="9"/>
      <c r="O808" s="52"/>
      <c r="P808" s="87">
        <f t="shared" ref="P808" si="746">SUM(M808:O808)</f>
        <v>1</v>
      </c>
      <c r="Q808" s="12">
        <v>1</v>
      </c>
      <c r="R808" s="9"/>
      <c r="S808" s="10"/>
      <c r="T808" s="49">
        <f t="shared" ref="T808" si="747">SUM(Q808:S808)</f>
        <v>1</v>
      </c>
      <c r="U808" s="11">
        <f t="shared" ref="U808" si="748">P808+T808</f>
        <v>2</v>
      </c>
      <c r="V808" s="98">
        <v>44978</v>
      </c>
    </row>
    <row r="809" spans="1:22" x14ac:dyDescent="0.15">
      <c r="A809" s="26"/>
      <c r="B809" s="8"/>
      <c r="C809" s="9"/>
      <c r="D809" s="10"/>
      <c r="E809" s="49">
        <f t="shared" si="740"/>
        <v>0</v>
      </c>
      <c r="F809" s="12"/>
      <c r="G809" s="9"/>
      <c r="H809" s="10"/>
      <c r="I809" s="49">
        <f t="shared" si="741"/>
        <v>0</v>
      </c>
      <c r="J809" s="11">
        <f t="shared" si="742"/>
        <v>0</v>
      </c>
      <c r="L809" s="108" t="s">
        <v>293</v>
      </c>
      <c r="M809" s="8"/>
      <c r="N809" s="9"/>
      <c r="O809" s="52">
        <v>1</v>
      </c>
      <c r="P809" s="87">
        <f t="shared" si="743"/>
        <v>1</v>
      </c>
      <c r="Q809" s="12"/>
      <c r="R809" s="9"/>
      <c r="S809" s="10">
        <v>1</v>
      </c>
      <c r="T809" s="49">
        <f t="shared" si="744"/>
        <v>1</v>
      </c>
      <c r="U809" s="11">
        <f t="shared" si="745"/>
        <v>2</v>
      </c>
      <c r="V809" s="98">
        <v>44999</v>
      </c>
    </row>
    <row r="810" spans="1:22" x14ac:dyDescent="0.15">
      <c r="A810" s="26"/>
      <c r="B810" s="8"/>
      <c r="C810" s="9"/>
      <c r="D810" s="10"/>
      <c r="E810" s="49">
        <f t="shared" si="740"/>
        <v>0</v>
      </c>
      <c r="F810" s="12"/>
      <c r="G810" s="9"/>
      <c r="H810" s="10"/>
      <c r="I810" s="49">
        <f t="shared" si="741"/>
        <v>0</v>
      </c>
      <c r="J810" s="11">
        <f t="shared" si="742"/>
        <v>0</v>
      </c>
      <c r="L810" s="108" t="s">
        <v>295</v>
      </c>
      <c r="M810" s="8">
        <v>2</v>
      </c>
      <c r="N810" s="9"/>
      <c r="O810" s="52"/>
      <c r="P810" s="87">
        <f t="shared" si="743"/>
        <v>2</v>
      </c>
      <c r="Q810" s="12">
        <v>2</v>
      </c>
      <c r="R810" s="9"/>
      <c r="S810" s="10"/>
      <c r="T810" s="49">
        <f t="shared" si="744"/>
        <v>2</v>
      </c>
      <c r="U810" s="11">
        <f t="shared" si="745"/>
        <v>4</v>
      </c>
      <c r="V810" s="98">
        <v>45008</v>
      </c>
    </row>
    <row r="811" spans="1:22" x14ac:dyDescent="0.15">
      <c r="A811" s="26"/>
      <c r="B811" s="8"/>
      <c r="C811" s="9"/>
      <c r="D811" s="10"/>
      <c r="E811" s="49">
        <f t="shared" si="740"/>
        <v>0</v>
      </c>
      <c r="F811" s="12"/>
      <c r="G811" s="9"/>
      <c r="H811" s="10"/>
      <c r="I811" s="49">
        <f t="shared" si="741"/>
        <v>0</v>
      </c>
      <c r="J811" s="11">
        <f t="shared" si="742"/>
        <v>0</v>
      </c>
      <c r="L811" s="108" t="s">
        <v>805</v>
      </c>
      <c r="M811" s="8"/>
      <c r="N811" s="9"/>
      <c r="O811" s="52">
        <v>1</v>
      </c>
      <c r="P811" s="87">
        <f t="shared" si="743"/>
        <v>1</v>
      </c>
      <c r="Q811" s="12"/>
      <c r="R811" s="9"/>
      <c r="S811" s="10">
        <v>1</v>
      </c>
      <c r="T811" s="49">
        <f t="shared" si="744"/>
        <v>1</v>
      </c>
      <c r="U811" s="11">
        <f t="shared" si="745"/>
        <v>2</v>
      </c>
      <c r="V811" s="98">
        <v>45054</v>
      </c>
    </row>
    <row r="812" spans="1:22" x14ac:dyDescent="0.15">
      <c r="A812" s="26"/>
      <c r="B812" s="13"/>
      <c r="C812" s="14"/>
      <c r="D812" s="15"/>
      <c r="E812" s="49">
        <f t="shared" si="740"/>
        <v>0</v>
      </c>
      <c r="F812" s="16"/>
      <c r="G812" s="14"/>
      <c r="H812" s="15"/>
      <c r="I812" s="49">
        <f t="shared" si="741"/>
        <v>0</v>
      </c>
      <c r="J812" s="11">
        <f t="shared" si="742"/>
        <v>0</v>
      </c>
      <c r="L812" s="108" t="s">
        <v>299</v>
      </c>
      <c r="M812" s="13"/>
      <c r="N812" s="14"/>
      <c r="O812" s="53">
        <v>1</v>
      </c>
      <c r="P812" s="87">
        <f t="shared" si="743"/>
        <v>1</v>
      </c>
      <c r="Q812" s="16"/>
      <c r="R812" s="14"/>
      <c r="S812" s="15">
        <v>1</v>
      </c>
      <c r="T812" s="49">
        <f t="shared" si="744"/>
        <v>1</v>
      </c>
      <c r="U812" s="11">
        <f t="shared" si="745"/>
        <v>2</v>
      </c>
      <c r="V812" s="98">
        <v>45096</v>
      </c>
    </row>
    <row r="813" spans="1:22" x14ac:dyDescent="0.15">
      <c r="A813" s="26"/>
      <c r="B813" s="8"/>
      <c r="C813" s="9"/>
      <c r="D813" s="10"/>
      <c r="E813" s="49">
        <f t="shared" si="740"/>
        <v>0</v>
      </c>
      <c r="F813" s="12"/>
      <c r="G813" s="9"/>
      <c r="H813" s="10"/>
      <c r="I813" s="49">
        <f t="shared" si="741"/>
        <v>0</v>
      </c>
      <c r="J813" s="11">
        <f t="shared" si="742"/>
        <v>0</v>
      </c>
      <c r="L813" s="108"/>
      <c r="M813" s="8"/>
      <c r="N813" s="9"/>
      <c r="O813" s="52"/>
      <c r="P813" s="87">
        <f t="shared" si="743"/>
        <v>0</v>
      </c>
      <c r="Q813" s="12"/>
      <c r="R813" s="9"/>
      <c r="S813" s="10"/>
      <c r="T813" s="49">
        <f t="shared" si="744"/>
        <v>0</v>
      </c>
      <c r="U813" s="11">
        <f t="shared" si="745"/>
        <v>0</v>
      </c>
      <c r="V813" s="98"/>
    </row>
    <row r="814" spans="1:22" x14ac:dyDescent="0.15">
      <c r="A814" s="26"/>
      <c r="B814" s="8"/>
      <c r="C814" s="9"/>
      <c r="D814" s="10"/>
      <c r="E814" s="49">
        <f t="shared" si="740"/>
        <v>0</v>
      </c>
      <c r="F814" s="12"/>
      <c r="G814" s="9"/>
      <c r="H814" s="10"/>
      <c r="I814" s="49">
        <f t="shared" si="741"/>
        <v>0</v>
      </c>
      <c r="J814" s="11">
        <f t="shared" si="742"/>
        <v>0</v>
      </c>
      <c r="L814" s="108"/>
      <c r="M814" s="8"/>
      <c r="N814" s="9"/>
      <c r="O814" s="52"/>
      <c r="P814" s="87">
        <f t="shared" si="743"/>
        <v>0</v>
      </c>
      <c r="Q814" s="12"/>
      <c r="R814" s="9"/>
      <c r="S814" s="10"/>
      <c r="T814" s="49">
        <f t="shared" si="744"/>
        <v>0</v>
      </c>
      <c r="U814" s="11">
        <f t="shared" si="745"/>
        <v>0</v>
      </c>
      <c r="V814" s="98"/>
    </row>
    <row r="815" spans="1:22" x14ac:dyDescent="0.15">
      <c r="A815" s="26"/>
      <c r="B815" s="8"/>
      <c r="C815" s="9"/>
      <c r="D815" s="10"/>
      <c r="E815" s="49">
        <f t="shared" si="740"/>
        <v>0</v>
      </c>
      <c r="F815" s="12"/>
      <c r="G815" s="9"/>
      <c r="H815" s="10"/>
      <c r="I815" s="49">
        <f t="shared" si="741"/>
        <v>0</v>
      </c>
      <c r="J815" s="11">
        <f t="shared" si="742"/>
        <v>0</v>
      </c>
      <c r="L815" s="108"/>
      <c r="M815" s="8"/>
      <c r="N815" s="9"/>
      <c r="O815" s="52"/>
      <c r="P815" s="87">
        <f t="shared" si="743"/>
        <v>0</v>
      </c>
      <c r="Q815" s="12"/>
      <c r="R815" s="9"/>
      <c r="S815" s="10"/>
      <c r="T815" s="49">
        <f t="shared" si="744"/>
        <v>0</v>
      </c>
      <c r="U815" s="11">
        <f t="shared" si="745"/>
        <v>0</v>
      </c>
      <c r="V815" s="98"/>
    </row>
    <row r="816" spans="1:22" x14ac:dyDescent="0.15">
      <c r="A816" s="26"/>
      <c r="B816" s="8"/>
      <c r="C816" s="9"/>
      <c r="D816" s="10"/>
      <c r="E816" s="49">
        <f t="shared" si="740"/>
        <v>0</v>
      </c>
      <c r="F816" s="12"/>
      <c r="G816" s="9"/>
      <c r="H816" s="10"/>
      <c r="I816" s="49">
        <f t="shared" si="741"/>
        <v>0</v>
      </c>
      <c r="J816" s="11">
        <f t="shared" si="742"/>
        <v>0</v>
      </c>
      <c r="L816" s="86"/>
      <c r="M816" s="8"/>
      <c r="N816" s="9"/>
      <c r="O816" s="52"/>
      <c r="P816" s="87">
        <f t="shared" si="743"/>
        <v>0</v>
      </c>
      <c r="Q816" s="12"/>
      <c r="R816" s="9"/>
      <c r="S816" s="10"/>
      <c r="T816" s="49">
        <f t="shared" si="744"/>
        <v>0</v>
      </c>
      <c r="U816" s="11">
        <f t="shared" si="745"/>
        <v>0</v>
      </c>
      <c r="V816" s="98"/>
    </row>
    <row r="817" spans="1:22" x14ac:dyDescent="0.15">
      <c r="A817" s="26"/>
      <c r="B817" s="8"/>
      <c r="C817" s="9"/>
      <c r="D817" s="10"/>
      <c r="E817" s="49">
        <f t="shared" si="740"/>
        <v>0</v>
      </c>
      <c r="F817" s="12"/>
      <c r="G817" s="9"/>
      <c r="H817" s="10"/>
      <c r="I817" s="49">
        <f t="shared" si="741"/>
        <v>0</v>
      </c>
      <c r="J817" s="11">
        <f t="shared" si="742"/>
        <v>0</v>
      </c>
      <c r="L817" s="108"/>
      <c r="M817" s="8"/>
      <c r="N817" s="9"/>
      <c r="O817" s="52"/>
      <c r="P817" s="87">
        <f t="shared" si="743"/>
        <v>0</v>
      </c>
      <c r="Q817" s="12"/>
      <c r="R817" s="9"/>
      <c r="S817" s="10"/>
      <c r="T817" s="49">
        <f t="shared" si="744"/>
        <v>0</v>
      </c>
      <c r="U817" s="11">
        <f t="shared" si="745"/>
        <v>0</v>
      </c>
      <c r="V817" s="98"/>
    </row>
    <row r="818" spans="1:22" x14ac:dyDescent="0.15">
      <c r="A818" s="26"/>
      <c r="B818" s="8"/>
      <c r="C818" s="9"/>
      <c r="D818" s="10"/>
      <c r="E818" s="49">
        <f t="shared" si="740"/>
        <v>0</v>
      </c>
      <c r="F818" s="12"/>
      <c r="G818" s="9"/>
      <c r="H818" s="10"/>
      <c r="I818" s="49">
        <f t="shared" si="741"/>
        <v>0</v>
      </c>
      <c r="J818" s="11">
        <f t="shared" si="742"/>
        <v>0</v>
      </c>
      <c r="L818" s="86"/>
      <c r="M818" s="8"/>
      <c r="N818" s="9"/>
      <c r="O818" s="52"/>
      <c r="P818" s="87">
        <f t="shared" si="743"/>
        <v>0</v>
      </c>
      <c r="Q818" s="12"/>
      <c r="R818" s="9"/>
      <c r="S818" s="10"/>
      <c r="T818" s="49">
        <f t="shared" si="744"/>
        <v>0</v>
      </c>
      <c r="U818" s="11">
        <f t="shared" si="745"/>
        <v>0</v>
      </c>
      <c r="V818" s="98"/>
    </row>
    <row r="819" spans="1:22" x14ac:dyDescent="0.15">
      <c r="A819" s="26"/>
      <c r="B819" s="8"/>
      <c r="C819" s="9"/>
      <c r="D819" s="10"/>
      <c r="E819" s="49">
        <f t="shared" si="740"/>
        <v>0</v>
      </c>
      <c r="F819" s="12"/>
      <c r="G819" s="9"/>
      <c r="H819" s="10"/>
      <c r="I819" s="49">
        <f t="shared" si="741"/>
        <v>0</v>
      </c>
      <c r="J819" s="11">
        <f t="shared" si="742"/>
        <v>0</v>
      </c>
      <c r="L819" s="26"/>
      <c r="M819" s="13"/>
      <c r="N819" s="14"/>
      <c r="O819" s="53"/>
      <c r="P819" s="87">
        <f>SUM(M819:O819)</f>
        <v>0</v>
      </c>
      <c r="Q819" s="16"/>
      <c r="R819" s="14"/>
      <c r="S819" s="15"/>
      <c r="T819" s="49">
        <f>SUM(Q819:S819)</f>
        <v>0</v>
      </c>
      <c r="U819" s="11">
        <f>P819+T819</f>
        <v>0</v>
      </c>
      <c r="V819" s="98"/>
    </row>
    <row r="820" spans="1:22" x14ac:dyDescent="0.15">
      <c r="A820" s="24"/>
      <c r="B820" s="8"/>
      <c r="C820" s="9"/>
      <c r="D820" s="10"/>
      <c r="E820" s="49">
        <f t="shared" si="740"/>
        <v>0</v>
      </c>
      <c r="F820" s="12"/>
      <c r="G820" s="9"/>
      <c r="H820" s="10"/>
      <c r="I820" s="49">
        <f t="shared" si="741"/>
        <v>0</v>
      </c>
      <c r="J820" s="11">
        <f t="shared" si="742"/>
        <v>0</v>
      </c>
      <c r="L820" s="108"/>
      <c r="M820" s="8"/>
      <c r="N820" s="9"/>
      <c r="O820" s="52"/>
      <c r="P820" s="87">
        <f t="shared" ref="P820:P821" si="749">SUM(M820:O820)</f>
        <v>0</v>
      </c>
      <c r="Q820" s="12"/>
      <c r="R820" s="9"/>
      <c r="S820" s="10"/>
      <c r="T820" s="49">
        <f t="shared" ref="T820:T821" si="750">SUM(Q820:S820)</f>
        <v>0</v>
      </c>
      <c r="U820" s="11">
        <f t="shared" ref="U820:U821" si="751">P820+T820</f>
        <v>0</v>
      </c>
      <c r="V820" s="98"/>
    </row>
    <row r="821" spans="1:22" x14ac:dyDescent="0.15">
      <c r="A821" s="25"/>
      <c r="B821" s="8"/>
      <c r="C821" s="9"/>
      <c r="D821" s="10"/>
      <c r="E821" s="49">
        <f t="shared" si="740"/>
        <v>0</v>
      </c>
      <c r="F821" s="12"/>
      <c r="G821" s="9"/>
      <c r="H821" s="10"/>
      <c r="I821" s="49">
        <f t="shared" si="741"/>
        <v>0</v>
      </c>
      <c r="J821" s="11">
        <f t="shared" si="742"/>
        <v>0</v>
      </c>
      <c r="L821" s="108"/>
      <c r="M821" s="8"/>
      <c r="N821" s="9"/>
      <c r="O821" s="52"/>
      <c r="P821" s="87">
        <f t="shared" si="749"/>
        <v>0</v>
      </c>
      <c r="Q821" s="12"/>
      <c r="R821" s="9"/>
      <c r="S821" s="10"/>
      <c r="T821" s="49">
        <f t="shared" si="750"/>
        <v>0</v>
      </c>
      <c r="U821" s="11">
        <f t="shared" si="751"/>
        <v>0</v>
      </c>
      <c r="V821" s="98"/>
    </row>
    <row r="822" spans="1:22" x14ac:dyDescent="0.15">
      <c r="A822" s="26"/>
      <c r="B822" s="8"/>
      <c r="C822" s="9"/>
      <c r="D822" s="10"/>
      <c r="E822" s="49">
        <f t="shared" si="740"/>
        <v>0</v>
      </c>
      <c r="F822" s="12"/>
      <c r="G822" s="9"/>
      <c r="H822" s="10"/>
      <c r="I822" s="49">
        <f t="shared" si="741"/>
        <v>0</v>
      </c>
      <c r="J822" s="11">
        <f t="shared" si="742"/>
        <v>0</v>
      </c>
      <c r="L822" s="108"/>
      <c r="M822" s="13"/>
      <c r="N822" s="14"/>
      <c r="O822" s="53"/>
      <c r="P822" s="87">
        <f>SUM(M822:O822)</f>
        <v>0</v>
      </c>
      <c r="Q822" s="16"/>
      <c r="R822" s="14"/>
      <c r="S822" s="15"/>
      <c r="T822" s="49">
        <f>SUM(Q822:S822)</f>
        <v>0</v>
      </c>
      <c r="U822" s="11">
        <f>P822+T822</f>
        <v>0</v>
      </c>
      <c r="V822" s="98"/>
    </row>
    <row r="823" spans="1:22" x14ac:dyDescent="0.15">
      <c r="A823" s="24"/>
      <c r="B823" s="8"/>
      <c r="C823" s="9"/>
      <c r="D823" s="10"/>
      <c r="E823" s="49">
        <f t="shared" si="740"/>
        <v>0</v>
      </c>
      <c r="F823" s="12"/>
      <c r="G823" s="9"/>
      <c r="H823" s="10"/>
      <c r="I823" s="49">
        <f t="shared" si="741"/>
        <v>0</v>
      </c>
      <c r="J823" s="11">
        <f t="shared" si="742"/>
        <v>0</v>
      </c>
      <c r="L823" s="26"/>
      <c r="M823" s="8"/>
      <c r="N823" s="9"/>
      <c r="O823" s="52"/>
      <c r="P823" s="87">
        <f t="shared" ref="P823" si="752">SUM(M823:O823)</f>
        <v>0</v>
      </c>
      <c r="Q823" s="8"/>
      <c r="R823" s="9"/>
      <c r="S823" s="10"/>
      <c r="T823" s="49">
        <f t="shared" ref="T823" si="753">SUM(Q823:S823)</f>
        <v>0</v>
      </c>
      <c r="U823" s="11">
        <f t="shared" ref="U823" si="754">P823+T823</f>
        <v>0</v>
      </c>
      <c r="V823" s="98"/>
    </row>
    <row r="824" spans="1:22" x14ac:dyDescent="0.15">
      <c r="B824" s="13"/>
      <c r="C824" s="14"/>
      <c r="D824" s="15"/>
      <c r="E824" s="49">
        <f t="shared" si="740"/>
        <v>0</v>
      </c>
      <c r="F824" s="16"/>
      <c r="G824" s="14"/>
      <c r="H824" s="15"/>
      <c r="I824" s="49">
        <f t="shared" si="741"/>
        <v>0</v>
      </c>
      <c r="J824" s="11">
        <f t="shared" si="742"/>
        <v>0</v>
      </c>
      <c r="L824" s="108"/>
      <c r="M824" s="13"/>
      <c r="N824" s="14"/>
      <c r="O824" s="53"/>
      <c r="P824" s="87">
        <f>SUM(M824:O824)</f>
        <v>0</v>
      </c>
      <c r="Q824" s="16"/>
      <c r="R824" s="14"/>
      <c r="S824" s="15"/>
      <c r="T824" s="49">
        <f>SUM(Q824:S824)</f>
        <v>0</v>
      </c>
      <c r="U824" s="11">
        <f>P824+T824</f>
        <v>0</v>
      </c>
      <c r="V824" s="98"/>
    </row>
    <row r="825" spans="1:22" x14ac:dyDescent="0.15">
      <c r="A825" s="26"/>
      <c r="B825" s="8"/>
      <c r="C825" s="9"/>
      <c r="D825" s="10"/>
      <c r="E825" s="49">
        <f t="shared" si="740"/>
        <v>0</v>
      </c>
      <c r="F825" s="12"/>
      <c r="G825" s="9"/>
      <c r="H825" s="10"/>
      <c r="I825" s="49">
        <f t="shared" si="741"/>
        <v>0</v>
      </c>
      <c r="J825" s="11">
        <f t="shared" si="742"/>
        <v>0</v>
      </c>
      <c r="L825" s="86"/>
      <c r="M825" s="8"/>
      <c r="N825" s="9"/>
      <c r="O825" s="52"/>
      <c r="P825" s="87">
        <f t="shared" ref="P825:P827" si="755">SUM(M825:O825)</f>
        <v>0</v>
      </c>
      <c r="Q825" s="12"/>
      <c r="R825" s="9"/>
      <c r="S825" s="10"/>
      <c r="T825" s="49">
        <f t="shared" ref="T825:T827" si="756">SUM(Q825:S825)</f>
        <v>0</v>
      </c>
      <c r="U825" s="11">
        <f t="shared" ref="U825:U827" si="757">P825+T825</f>
        <v>0</v>
      </c>
      <c r="V825" s="98"/>
    </row>
    <row r="826" spans="1:22" x14ac:dyDescent="0.15">
      <c r="A826" s="26"/>
      <c r="B826" s="8"/>
      <c r="C826" s="9"/>
      <c r="D826" s="10"/>
      <c r="E826" s="49">
        <f t="shared" si="740"/>
        <v>0</v>
      </c>
      <c r="F826" s="12"/>
      <c r="G826" s="9"/>
      <c r="H826" s="10"/>
      <c r="I826" s="49">
        <f t="shared" si="741"/>
        <v>0</v>
      </c>
      <c r="J826" s="11">
        <f t="shared" si="742"/>
        <v>0</v>
      </c>
      <c r="L826" s="86"/>
      <c r="M826" s="8"/>
      <c r="N826" s="9"/>
      <c r="O826" s="52"/>
      <c r="P826" s="87">
        <f t="shared" si="755"/>
        <v>0</v>
      </c>
      <c r="Q826" s="12"/>
      <c r="R826" s="9"/>
      <c r="S826" s="10"/>
      <c r="T826" s="49">
        <f t="shared" si="756"/>
        <v>0</v>
      </c>
      <c r="U826" s="11">
        <f t="shared" si="757"/>
        <v>0</v>
      </c>
      <c r="V826" s="98"/>
    </row>
    <row r="827" spans="1:22" x14ac:dyDescent="0.15">
      <c r="A827" s="26"/>
      <c r="B827" s="8"/>
      <c r="C827" s="9"/>
      <c r="D827" s="10"/>
      <c r="E827" s="49">
        <f t="shared" si="740"/>
        <v>0</v>
      </c>
      <c r="F827" s="12"/>
      <c r="G827" s="9"/>
      <c r="H827" s="10"/>
      <c r="I827" s="49">
        <f t="shared" si="741"/>
        <v>0</v>
      </c>
      <c r="J827" s="11">
        <f t="shared" si="742"/>
        <v>0</v>
      </c>
      <c r="L827" s="86" t="s">
        <v>786</v>
      </c>
      <c r="M827" s="8"/>
      <c r="N827" s="9"/>
      <c r="O827" s="52"/>
      <c r="P827" s="87">
        <f t="shared" si="755"/>
        <v>0</v>
      </c>
      <c r="Q827" s="8"/>
      <c r="R827" s="9"/>
      <c r="S827" s="52"/>
      <c r="T827" s="49">
        <f t="shared" si="756"/>
        <v>0</v>
      </c>
      <c r="U827" s="11">
        <f t="shared" si="757"/>
        <v>0</v>
      </c>
      <c r="V827" s="98" t="s">
        <v>787</v>
      </c>
    </row>
    <row r="828" spans="1:22" ht="14.25" thickBot="1" x14ac:dyDescent="0.2">
      <c r="A828" s="23"/>
      <c r="B828" s="13"/>
      <c r="C828" s="14"/>
      <c r="D828" s="15"/>
      <c r="E828" s="49">
        <f>SUM(B828:D828)</f>
        <v>0</v>
      </c>
      <c r="F828" s="16"/>
      <c r="G828" s="14"/>
      <c r="H828" s="15"/>
      <c r="I828" s="49">
        <f>SUM(F828:H828)</f>
        <v>0</v>
      </c>
      <c r="J828" s="11">
        <f>E828+I828</f>
        <v>0</v>
      </c>
      <c r="L828" s="86" t="s">
        <v>792</v>
      </c>
      <c r="M828" s="8"/>
      <c r="N828" s="9"/>
      <c r="O828" s="52"/>
      <c r="P828" s="87">
        <f t="shared" ref="P828" si="758">SUM(M828:O828)</f>
        <v>0</v>
      </c>
      <c r="Q828" s="8"/>
      <c r="R828" s="9"/>
      <c r="S828" s="52"/>
      <c r="T828" s="49">
        <f t="shared" ref="T828" si="759">SUM(Q828:S828)</f>
        <v>0</v>
      </c>
      <c r="U828" s="11">
        <f t="shared" ref="U828" si="760">P828+T828</f>
        <v>0</v>
      </c>
      <c r="V828" s="98">
        <v>44606</v>
      </c>
    </row>
    <row r="829" spans="1:22" ht="14.25" thickBot="1" x14ac:dyDescent="0.2">
      <c r="A829" s="41" t="s">
        <v>17</v>
      </c>
      <c r="B829" s="46">
        <f>SUM(B803:B828)</f>
        <v>4</v>
      </c>
      <c r="C829" s="47">
        <f t="shared" ref="C829:D829" si="761">SUM(C803:C828)</f>
        <v>1</v>
      </c>
      <c r="D829" s="58">
        <f t="shared" si="761"/>
        <v>4</v>
      </c>
      <c r="E829" s="45">
        <f t="shared" ref="E829" si="762">SUM(B829:D829)</f>
        <v>9</v>
      </c>
      <c r="F829" s="46">
        <f>SUM(F803:F828)</f>
        <v>4</v>
      </c>
      <c r="G829" s="47">
        <f t="shared" ref="G829:H829" si="763">SUM(G803:G828)</f>
        <v>1</v>
      </c>
      <c r="H829" s="58">
        <f t="shared" si="763"/>
        <v>4</v>
      </c>
      <c r="I829" s="45">
        <f t="shared" ref="I829" si="764">SUM(F829:H829)</f>
        <v>9</v>
      </c>
      <c r="J829" s="45">
        <f>E829+I829</f>
        <v>18</v>
      </c>
      <c r="L829" s="41" t="s">
        <v>17</v>
      </c>
      <c r="M829" s="46">
        <f>SUM(M803:M828)</f>
        <v>20</v>
      </c>
      <c r="N829" s="47">
        <f t="shared" ref="N829:O829" si="765">SUM(N803:N828)</f>
        <v>23</v>
      </c>
      <c r="O829" s="58">
        <f t="shared" si="765"/>
        <v>11</v>
      </c>
      <c r="P829" s="45">
        <f t="shared" ref="P829" si="766">SUM(M829:O829)</f>
        <v>54</v>
      </c>
      <c r="Q829" s="46">
        <f>SUM(Q803:Q828)</f>
        <v>20</v>
      </c>
      <c r="R829" s="47">
        <f t="shared" ref="R829:S829" si="767">SUM(R803:R828)</f>
        <v>23</v>
      </c>
      <c r="S829" s="58">
        <f t="shared" si="767"/>
        <v>11</v>
      </c>
      <c r="T829" s="45">
        <f t="shared" ref="T829" si="768">SUM(Q829:S829)</f>
        <v>54</v>
      </c>
      <c r="U829" s="45">
        <f>P829+T829</f>
        <v>108</v>
      </c>
    </row>
    <row r="830" spans="1:22" ht="14.25" thickBot="1" x14ac:dyDescent="0.2">
      <c r="A830" s="22" t="s">
        <v>16</v>
      </c>
      <c r="B830" s="50">
        <f>B802-B829</f>
        <v>1</v>
      </c>
      <c r="C830" s="56">
        <f t="shared" ref="C830:D830" si="769">C802-C829</f>
        <v>2</v>
      </c>
      <c r="D830" s="57">
        <f t="shared" si="769"/>
        <v>0</v>
      </c>
      <c r="E830" s="55">
        <f>SUM(B830:D830)</f>
        <v>3</v>
      </c>
      <c r="F830" s="50">
        <f>F802-F829</f>
        <v>3</v>
      </c>
      <c r="G830" s="56">
        <f t="shared" ref="G830:H830" si="770">G802-G829</f>
        <v>1</v>
      </c>
      <c r="H830" s="57">
        <f t="shared" si="770"/>
        <v>2</v>
      </c>
      <c r="I830" s="55">
        <f>SUM(F830:H830)</f>
        <v>6</v>
      </c>
      <c r="J830" s="31">
        <f>E830+I830</f>
        <v>9</v>
      </c>
      <c r="L830" s="22" t="s">
        <v>16</v>
      </c>
      <c r="M830" s="50">
        <f>M802-M829</f>
        <v>116</v>
      </c>
      <c r="N830" s="56">
        <f t="shared" ref="N830:O830" si="771">N802-N829</f>
        <v>122</v>
      </c>
      <c r="O830" s="57">
        <f t="shared" si="771"/>
        <v>131</v>
      </c>
      <c r="P830" s="55">
        <f>SUM(M830:O830)</f>
        <v>369</v>
      </c>
      <c r="Q830" s="50">
        <f>Q802-Q829</f>
        <v>116</v>
      </c>
      <c r="R830" s="56">
        <f t="shared" ref="R830:S830" si="772">R802-R829</f>
        <v>122</v>
      </c>
      <c r="S830" s="57">
        <f t="shared" si="772"/>
        <v>131</v>
      </c>
      <c r="T830" s="55">
        <f>SUM(Q830:S830)</f>
        <v>369</v>
      </c>
      <c r="U830" s="31">
        <f>P830+T830</f>
        <v>738</v>
      </c>
    </row>
    <row r="833" spans="1:22" ht="19.5" thickBot="1" x14ac:dyDescent="0.25">
      <c r="A833" s="3" t="s">
        <v>679</v>
      </c>
      <c r="B833" s="1"/>
      <c r="C833" s="1"/>
      <c r="D833" s="1"/>
      <c r="E833" s="1"/>
      <c r="F833" s="1"/>
      <c r="G833" s="1"/>
      <c r="H833" s="1"/>
      <c r="I833" s="1"/>
      <c r="J833" s="1"/>
      <c r="L833" s="129" t="s">
        <v>680</v>
      </c>
      <c r="M833" s="129"/>
      <c r="N833" s="129"/>
      <c r="O833" s="129"/>
      <c r="P833" s="129"/>
      <c r="Q833" s="129"/>
      <c r="R833" s="129"/>
      <c r="S833" s="129"/>
      <c r="T833" s="129"/>
      <c r="U833" s="1"/>
    </row>
    <row r="834" spans="1:22" ht="14.25" thickBot="1" x14ac:dyDescent="0.2">
      <c r="A834" s="7"/>
      <c r="B834" s="176" t="s">
        <v>22</v>
      </c>
      <c r="C834" s="177"/>
      <c r="D834" s="177"/>
      <c r="E834" s="178"/>
      <c r="F834" s="176" t="s">
        <v>23</v>
      </c>
      <c r="G834" s="177"/>
      <c r="H834" s="177"/>
      <c r="I834" s="179"/>
      <c r="J834" s="174" t="s">
        <v>0</v>
      </c>
      <c r="L834" s="7"/>
      <c r="M834" s="169" t="s">
        <v>22</v>
      </c>
      <c r="N834" s="170"/>
      <c r="O834" s="170"/>
      <c r="P834" s="171"/>
      <c r="Q834" s="169" t="s">
        <v>23</v>
      </c>
      <c r="R834" s="170"/>
      <c r="S834" s="170"/>
      <c r="T834" s="171"/>
      <c r="U834" s="174" t="s">
        <v>0</v>
      </c>
    </row>
    <row r="835" spans="1:22" ht="14.25" thickBot="1" x14ac:dyDescent="0.2">
      <c r="A835" s="7" t="s">
        <v>1</v>
      </c>
      <c r="B835" s="4" t="s">
        <v>2</v>
      </c>
      <c r="C835" s="5" t="s">
        <v>3</v>
      </c>
      <c r="D835" s="6" t="s">
        <v>4</v>
      </c>
      <c r="E835" s="7" t="s">
        <v>5</v>
      </c>
      <c r="F835" s="4" t="s">
        <v>2</v>
      </c>
      <c r="G835" s="5" t="s">
        <v>3</v>
      </c>
      <c r="H835" s="6" t="s">
        <v>4</v>
      </c>
      <c r="I835" s="7" t="s">
        <v>5</v>
      </c>
      <c r="J835" s="175"/>
      <c r="L835" s="7" t="s">
        <v>1</v>
      </c>
      <c r="M835" s="4" t="s">
        <v>2</v>
      </c>
      <c r="N835" s="5" t="s">
        <v>3</v>
      </c>
      <c r="O835" s="6" t="s">
        <v>4</v>
      </c>
      <c r="P835" s="7" t="s">
        <v>5</v>
      </c>
      <c r="Q835" s="4" t="s">
        <v>2</v>
      </c>
      <c r="R835" s="5" t="s">
        <v>3</v>
      </c>
      <c r="S835" s="6" t="s">
        <v>4</v>
      </c>
      <c r="T835" s="7" t="s">
        <v>5</v>
      </c>
      <c r="U835" s="175"/>
    </row>
    <row r="836" spans="1:22" ht="14.25" thickBot="1" x14ac:dyDescent="0.2">
      <c r="A836" s="27" t="s">
        <v>16</v>
      </c>
      <c r="B836" s="38">
        <f t="shared" ref="B836:I836" si="773">B830</f>
        <v>1</v>
      </c>
      <c r="C836" s="39">
        <f t="shared" si="773"/>
        <v>2</v>
      </c>
      <c r="D836" s="2">
        <f t="shared" si="773"/>
        <v>0</v>
      </c>
      <c r="E836" s="36">
        <f t="shared" si="773"/>
        <v>3</v>
      </c>
      <c r="F836" s="38">
        <f t="shared" si="773"/>
        <v>3</v>
      </c>
      <c r="G836" s="39">
        <f t="shared" si="773"/>
        <v>1</v>
      </c>
      <c r="H836" s="2">
        <f t="shared" si="773"/>
        <v>2</v>
      </c>
      <c r="I836" s="36">
        <f t="shared" si="773"/>
        <v>6</v>
      </c>
      <c r="J836" s="36">
        <f>E836+I836</f>
        <v>9</v>
      </c>
      <c r="L836" s="27" t="s">
        <v>16</v>
      </c>
      <c r="M836" s="50">
        <f t="shared" ref="M836:U836" si="774">M830</f>
        <v>116</v>
      </c>
      <c r="N836" s="56">
        <f t="shared" si="774"/>
        <v>122</v>
      </c>
      <c r="O836" s="57">
        <f t="shared" si="774"/>
        <v>131</v>
      </c>
      <c r="P836" s="55">
        <f t="shared" si="774"/>
        <v>369</v>
      </c>
      <c r="Q836" s="50">
        <f t="shared" si="774"/>
        <v>116</v>
      </c>
      <c r="R836" s="56">
        <f t="shared" si="774"/>
        <v>122</v>
      </c>
      <c r="S836" s="57">
        <f t="shared" si="774"/>
        <v>131</v>
      </c>
      <c r="T836" s="55">
        <f t="shared" si="774"/>
        <v>369</v>
      </c>
      <c r="U836" s="31">
        <f t="shared" si="774"/>
        <v>738</v>
      </c>
    </row>
    <row r="837" spans="1:22" x14ac:dyDescent="0.15">
      <c r="A837" s="25" t="s">
        <v>7</v>
      </c>
      <c r="B837" s="42">
        <v>5</v>
      </c>
      <c r="C837" s="43">
        <v>5</v>
      </c>
      <c r="D837" s="44">
        <v>5</v>
      </c>
      <c r="E837" s="48">
        <f>SUM(B837:D837)</f>
        <v>15</v>
      </c>
      <c r="F837" s="59">
        <v>5</v>
      </c>
      <c r="G837" s="43">
        <v>5</v>
      </c>
      <c r="H837" s="60">
        <v>5</v>
      </c>
      <c r="I837" s="48">
        <f>SUM(F837:H837)</f>
        <v>15</v>
      </c>
      <c r="J837" s="48">
        <f>E837+I837</f>
        <v>30</v>
      </c>
      <c r="K837" s="62">
        <v>45199</v>
      </c>
      <c r="L837" s="25" t="s">
        <v>7</v>
      </c>
      <c r="M837" s="42"/>
      <c r="N837" s="43"/>
      <c r="O837" s="44"/>
      <c r="P837" s="48">
        <f>SUM(M837:O837)</f>
        <v>0</v>
      </c>
      <c r="Q837" s="59"/>
      <c r="R837" s="43"/>
      <c r="S837" s="60"/>
      <c r="T837" s="48">
        <f>SUM(Q837:S837)</f>
        <v>0</v>
      </c>
      <c r="U837" s="48">
        <f>P837+T837</f>
        <v>0</v>
      </c>
    </row>
    <row r="838" spans="1:22" x14ac:dyDescent="0.15">
      <c r="A838" s="25" t="s">
        <v>8</v>
      </c>
      <c r="B838" s="8"/>
      <c r="C838" s="9"/>
      <c r="D838" s="52"/>
      <c r="E838" s="11">
        <f>SUM(B838:D838)</f>
        <v>0</v>
      </c>
      <c r="F838" s="12"/>
      <c r="G838" s="9"/>
      <c r="H838" s="10"/>
      <c r="I838" s="11">
        <f>SUM(F838:H838)</f>
        <v>0</v>
      </c>
      <c r="J838" s="11">
        <f>E838+I838</f>
        <v>0</v>
      </c>
      <c r="K838" s="62"/>
      <c r="L838" s="25" t="s">
        <v>8</v>
      </c>
      <c r="M838" s="8"/>
      <c r="N838" s="9"/>
      <c r="O838" s="52"/>
      <c r="P838" s="11">
        <f>SUM(M838:O838)</f>
        <v>0</v>
      </c>
      <c r="Q838" s="8"/>
      <c r="R838" s="9"/>
      <c r="S838" s="52"/>
      <c r="T838" s="11">
        <f>SUM(Q838:S838)</f>
        <v>0</v>
      </c>
      <c r="U838" s="11">
        <f>P838+T838</f>
        <v>0</v>
      </c>
    </row>
    <row r="839" spans="1:22" x14ac:dyDescent="0.15">
      <c r="A839" s="25" t="s">
        <v>9</v>
      </c>
      <c r="B839" s="17"/>
      <c r="C839" s="18"/>
      <c r="D839" s="51"/>
      <c r="E839" s="11">
        <f t="shared" ref="E839:E844" si="775">SUM(B839:D839)</f>
        <v>0</v>
      </c>
      <c r="F839" s="20"/>
      <c r="G839" s="18"/>
      <c r="H839" s="19"/>
      <c r="I839" s="11">
        <f t="shared" ref="I839:I844" si="776">SUM(F839:H839)</f>
        <v>0</v>
      </c>
      <c r="J839" s="11">
        <f t="shared" ref="J839:J844" si="777">E839+I839</f>
        <v>0</v>
      </c>
      <c r="L839" s="25" t="s">
        <v>9</v>
      </c>
      <c r="M839" s="8"/>
      <c r="N839" s="9"/>
      <c r="O839" s="52"/>
      <c r="P839" s="11">
        <f>SUM(M839:O839)</f>
        <v>0</v>
      </c>
      <c r="Q839" s="8"/>
      <c r="R839" s="9"/>
      <c r="S839" s="52"/>
      <c r="T839" s="11">
        <f>SUM(Q839:S839)</f>
        <v>0</v>
      </c>
      <c r="U839" s="11">
        <f>P839+T839</f>
        <v>0</v>
      </c>
    </row>
    <row r="840" spans="1:22" x14ac:dyDescent="0.15">
      <c r="A840" s="25" t="s">
        <v>10</v>
      </c>
      <c r="B840" s="8"/>
      <c r="C840" s="9"/>
      <c r="D840" s="52"/>
      <c r="E840" s="11">
        <f t="shared" si="775"/>
        <v>0</v>
      </c>
      <c r="F840" s="12"/>
      <c r="G840" s="9"/>
      <c r="H840" s="10"/>
      <c r="I840" s="11">
        <f t="shared" si="776"/>
        <v>0</v>
      </c>
      <c r="J840" s="11">
        <f t="shared" si="777"/>
        <v>0</v>
      </c>
      <c r="L840" s="25" t="s">
        <v>10</v>
      </c>
      <c r="M840" s="8"/>
      <c r="N840" s="9"/>
      <c r="O840" s="52"/>
      <c r="P840" s="11">
        <f t="shared" ref="P840:P841" si="778">SUM(M840:O840)</f>
        <v>0</v>
      </c>
      <c r="Q840" s="12"/>
      <c r="R840" s="9"/>
      <c r="S840" s="10"/>
      <c r="T840" s="11">
        <f t="shared" ref="T840:T841" si="779">SUM(Q840:S840)</f>
        <v>0</v>
      </c>
      <c r="U840" s="11">
        <f t="shared" ref="U840:U841" si="780">P840+T840</f>
        <v>0</v>
      </c>
    </row>
    <row r="841" spans="1:22" x14ac:dyDescent="0.15">
      <c r="A841" s="25" t="s">
        <v>11</v>
      </c>
      <c r="B841" s="8"/>
      <c r="C841" s="9"/>
      <c r="D841" s="52"/>
      <c r="E841" s="11">
        <f t="shared" si="775"/>
        <v>0</v>
      </c>
      <c r="F841" s="12"/>
      <c r="G841" s="9"/>
      <c r="H841" s="10"/>
      <c r="I841" s="11">
        <f t="shared" si="776"/>
        <v>0</v>
      </c>
      <c r="J841" s="11">
        <f t="shared" si="777"/>
        <v>0</v>
      </c>
      <c r="L841" s="25" t="s">
        <v>11</v>
      </c>
      <c r="M841" s="8"/>
      <c r="N841" s="9"/>
      <c r="O841" s="52"/>
      <c r="P841" s="11">
        <f t="shared" si="778"/>
        <v>0</v>
      </c>
      <c r="Q841" s="12"/>
      <c r="R841" s="9"/>
      <c r="S841" s="10"/>
      <c r="T841" s="11">
        <f t="shared" si="779"/>
        <v>0</v>
      </c>
      <c r="U841" s="11">
        <f t="shared" si="780"/>
        <v>0</v>
      </c>
    </row>
    <row r="842" spans="1:22" x14ac:dyDescent="0.15">
      <c r="A842" s="25" t="s">
        <v>12</v>
      </c>
      <c r="B842" s="8"/>
      <c r="C842" s="9"/>
      <c r="D842" s="52"/>
      <c r="E842" s="11">
        <f t="shared" si="775"/>
        <v>0</v>
      </c>
      <c r="F842" s="12"/>
      <c r="G842" s="9"/>
      <c r="H842" s="10"/>
      <c r="I842" s="11">
        <f t="shared" si="776"/>
        <v>0</v>
      </c>
      <c r="J842" s="11">
        <f t="shared" si="777"/>
        <v>0</v>
      </c>
      <c r="L842" s="25" t="s">
        <v>12</v>
      </c>
      <c r="M842" s="8"/>
      <c r="N842" s="9"/>
      <c r="O842" s="52"/>
      <c r="P842" s="11">
        <f>SUM(M842:O842)</f>
        <v>0</v>
      </c>
      <c r="Q842" s="8"/>
      <c r="R842" s="9"/>
      <c r="S842" s="52"/>
      <c r="T842" s="11">
        <f>SUM(Q842:S842)</f>
        <v>0</v>
      </c>
      <c r="U842" s="11">
        <f>P842+T842</f>
        <v>0</v>
      </c>
    </row>
    <row r="843" spans="1:22" x14ac:dyDescent="0.15">
      <c r="A843" s="25" t="s">
        <v>13</v>
      </c>
      <c r="B843" s="13"/>
      <c r="C843" s="14"/>
      <c r="D843" s="53"/>
      <c r="E843" s="11">
        <f t="shared" si="775"/>
        <v>0</v>
      </c>
      <c r="F843" s="16"/>
      <c r="G843" s="14"/>
      <c r="H843" s="15"/>
      <c r="I843" s="11">
        <f t="shared" si="776"/>
        <v>0</v>
      </c>
      <c r="J843" s="11">
        <f t="shared" si="777"/>
        <v>0</v>
      </c>
      <c r="L843" s="25" t="s">
        <v>13</v>
      </c>
      <c r="M843" s="8"/>
      <c r="N843" s="9"/>
      <c r="O843" s="52"/>
      <c r="P843" s="11">
        <f>SUM(M843:O843)</f>
        <v>0</v>
      </c>
      <c r="Q843" s="8"/>
      <c r="R843" s="9"/>
      <c r="S843" s="52"/>
      <c r="T843" s="11">
        <f>SUM(Q843:S843)</f>
        <v>0</v>
      </c>
      <c r="U843" s="11">
        <f>P843+T843</f>
        <v>0</v>
      </c>
    </row>
    <row r="844" spans="1:22" ht="14.25" thickBot="1" x14ac:dyDescent="0.2">
      <c r="A844" s="25" t="s">
        <v>14</v>
      </c>
      <c r="B844" s="32"/>
      <c r="C844" s="33"/>
      <c r="D844" s="54"/>
      <c r="E844" s="61">
        <f t="shared" si="775"/>
        <v>0</v>
      </c>
      <c r="F844" s="34"/>
      <c r="G844" s="34"/>
      <c r="H844" s="37"/>
      <c r="I844" s="61">
        <f t="shared" si="776"/>
        <v>0</v>
      </c>
      <c r="J844" s="21">
        <f t="shared" si="777"/>
        <v>0</v>
      </c>
      <c r="L844" s="25" t="s">
        <v>14</v>
      </c>
      <c r="M844" s="32"/>
      <c r="N844" s="33"/>
      <c r="O844" s="54"/>
      <c r="P844" s="61">
        <f t="shared" ref="P844" si="781">SUM(M844:O844)</f>
        <v>0</v>
      </c>
      <c r="Q844" s="34"/>
      <c r="R844" s="34"/>
      <c r="S844" s="37"/>
      <c r="T844" s="61">
        <f t="shared" ref="T844" si="782">SUM(Q844:S844)</f>
        <v>0</v>
      </c>
      <c r="U844" s="21">
        <f t="shared" ref="U844" si="783">P844+T844</f>
        <v>0</v>
      </c>
    </row>
    <row r="845" spans="1:22" ht="14.25" thickBot="1" x14ac:dyDescent="0.2">
      <c r="A845" s="35" t="s">
        <v>15</v>
      </c>
      <c r="B845" s="28">
        <f>SUM(B836:B844)</f>
        <v>6</v>
      </c>
      <c r="C845" s="29">
        <f>SUM(C836:C844)</f>
        <v>7</v>
      </c>
      <c r="D845" s="30">
        <f>SUM(D836:D844)</f>
        <v>5</v>
      </c>
      <c r="E845" s="31">
        <f>SUM(B845:D845)</f>
        <v>18</v>
      </c>
      <c r="F845" s="28">
        <f>SUM(F836:F844)</f>
        <v>8</v>
      </c>
      <c r="G845" s="29">
        <f>SUM(G836:G844)</f>
        <v>6</v>
      </c>
      <c r="H845" s="30">
        <f>SUM(H836:H844)</f>
        <v>7</v>
      </c>
      <c r="I845" s="31">
        <f>SUM(F845:H845)</f>
        <v>21</v>
      </c>
      <c r="J845" s="31">
        <f>E845+I845</f>
        <v>39</v>
      </c>
      <c r="L845" s="35" t="s">
        <v>15</v>
      </c>
      <c r="M845" s="28">
        <f>SUM(M836:M844)</f>
        <v>116</v>
      </c>
      <c r="N845" s="29">
        <f>SUM(N836:N844)</f>
        <v>122</v>
      </c>
      <c r="O845" s="30">
        <f>SUM(O836:O844)</f>
        <v>131</v>
      </c>
      <c r="P845" s="31">
        <f>SUM(M845:O845)</f>
        <v>369</v>
      </c>
      <c r="Q845" s="28">
        <f>SUM(Q836:Q844)</f>
        <v>116</v>
      </c>
      <c r="R845" s="29">
        <f>SUM(R836:R844)</f>
        <v>122</v>
      </c>
      <c r="S845" s="30">
        <f>SUM(S836:S844)</f>
        <v>131</v>
      </c>
      <c r="T845" s="31">
        <f>SUM(Q845:S845)</f>
        <v>369</v>
      </c>
      <c r="U845" s="31">
        <f>P845+T845</f>
        <v>738</v>
      </c>
    </row>
    <row r="846" spans="1:22" x14ac:dyDescent="0.15">
      <c r="A846" s="108" t="s">
        <v>832</v>
      </c>
      <c r="B846" s="42">
        <v>1</v>
      </c>
      <c r="C846" s="43"/>
      <c r="D846" s="44"/>
      <c r="E846" s="76">
        <f>SUM(B846:D846)</f>
        <v>1</v>
      </c>
      <c r="F846" s="59">
        <v>1</v>
      </c>
      <c r="G846" s="43"/>
      <c r="H846" s="60"/>
      <c r="I846" s="76">
        <f>SUM(F846:H846)</f>
        <v>1</v>
      </c>
      <c r="J846" s="48">
        <f>E846+I846</f>
        <v>2</v>
      </c>
      <c r="K846" s="62">
        <v>45217</v>
      </c>
      <c r="L846" s="108" t="s">
        <v>812</v>
      </c>
      <c r="M846" s="17">
        <v>1</v>
      </c>
      <c r="N846" s="18"/>
      <c r="O846" s="51">
        <v>1</v>
      </c>
      <c r="P846" s="87">
        <f t="shared" ref="P846:P848" si="784">SUM(M846:O846)</f>
        <v>2</v>
      </c>
      <c r="Q846" s="8">
        <v>1</v>
      </c>
      <c r="R846" s="9"/>
      <c r="S846" s="10">
        <v>1</v>
      </c>
      <c r="T846" s="49">
        <f t="shared" ref="T846:T848" si="785">SUM(Q846:S846)</f>
        <v>2</v>
      </c>
      <c r="U846" s="11">
        <f t="shared" ref="U846:U848" si="786">P846+T846</f>
        <v>4</v>
      </c>
      <c r="V846" s="98">
        <v>45196</v>
      </c>
    </row>
    <row r="847" spans="1:22" x14ac:dyDescent="0.15">
      <c r="A847" s="108" t="s">
        <v>847</v>
      </c>
      <c r="B847" s="8">
        <v>1</v>
      </c>
      <c r="C847" s="9"/>
      <c r="D847" s="52"/>
      <c r="E847" s="87">
        <f t="shared" ref="E847:E848" si="787">SUM(B847:D847)</f>
        <v>1</v>
      </c>
      <c r="F847" s="12">
        <v>1</v>
      </c>
      <c r="G847" s="9"/>
      <c r="H847" s="10"/>
      <c r="I847" s="49">
        <f t="shared" ref="I847:I848" si="788">SUM(F847:H847)</f>
        <v>1</v>
      </c>
      <c r="J847" s="11">
        <f t="shared" ref="J847:J848" si="789">E847+I847</f>
        <v>2</v>
      </c>
      <c r="K847" s="143">
        <v>45229</v>
      </c>
      <c r="L847" s="108" t="s">
        <v>814</v>
      </c>
      <c r="M847" s="8">
        <v>1</v>
      </c>
      <c r="N847" s="9"/>
      <c r="O847" s="52"/>
      <c r="P847" s="87">
        <f t="shared" si="784"/>
        <v>1</v>
      </c>
      <c r="Q847" s="12">
        <v>1</v>
      </c>
      <c r="R847" s="9"/>
      <c r="S847" s="10"/>
      <c r="T847" s="49">
        <f t="shared" si="785"/>
        <v>1</v>
      </c>
      <c r="U847" s="11">
        <f t="shared" si="786"/>
        <v>2</v>
      </c>
      <c r="V847" s="98">
        <v>45197</v>
      </c>
    </row>
    <row r="848" spans="1:22" x14ac:dyDescent="0.15">
      <c r="A848" s="108" t="s">
        <v>849</v>
      </c>
      <c r="B848" s="8">
        <v>2</v>
      </c>
      <c r="C848" s="9"/>
      <c r="D848" s="10">
        <v>1</v>
      </c>
      <c r="E848" s="49">
        <f t="shared" si="787"/>
        <v>3</v>
      </c>
      <c r="F848" s="12">
        <v>2</v>
      </c>
      <c r="G848" s="9"/>
      <c r="H848" s="10">
        <v>1</v>
      </c>
      <c r="I848" s="49">
        <f t="shared" si="788"/>
        <v>3</v>
      </c>
      <c r="J848" s="11">
        <f t="shared" si="789"/>
        <v>6</v>
      </c>
      <c r="K848" s="62">
        <v>45230</v>
      </c>
      <c r="L848" s="108" t="s">
        <v>815</v>
      </c>
      <c r="M848" s="8">
        <v>8</v>
      </c>
      <c r="N848" s="9"/>
      <c r="O848" s="52">
        <v>1</v>
      </c>
      <c r="P848" s="87">
        <f t="shared" si="784"/>
        <v>9</v>
      </c>
      <c r="Q848" s="12">
        <v>8</v>
      </c>
      <c r="R848" s="9"/>
      <c r="S848" s="10">
        <v>1</v>
      </c>
      <c r="T848" s="49">
        <f t="shared" si="785"/>
        <v>9</v>
      </c>
      <c r="U848" s="11">
        <f t="shared" si="786"/>
        <v>18</v>
      </c>
      <c r="V848" s="98">
        <v>45198</v>
      </c>
    </row>
    <row r="849" spans="1:24" x14ac:dyDescent="0.15">
      <c r="A849" s="108"/>
      <c r="B849" s="8"/>
      <c r="C849" s="9"/>
      <c r="D849" s="10"/>
      <c r="E849" s="49">
        <f t="shared" ref="E849:E870" si="790">SUM(B849:D849)</f>
        <v>0</v>
      </c>
      <c r="F849" s="12"/>
      <c r="G849" s="9"/>
      <c r="H849" s="10"/>
      <c r="I849" s="49">
        <f t="shared" ref="I849:I870" si="791">SUM(F849:H849)</f>
        <v>0</v>
      </c>
      <c r="J849" s="11">
        <f t="shared" ref="J849:J870" si="792">E849+I849</f>
        <v>0</v>
      </c>
      <c r="K849" s="62"/>
      <c r="L849" s="108" t="s">
        <v>816</v>
      </c>
      <c r="M849" s="13"/>
      <c r="N849" s="14"/>
      <c r="O849" s="53">
        <v>8</v>
      </c>
      <c r="P849" s="87">
        <f>SUM(M849:O849)</f>
        <v>8</v>
      </c>
      <c r="Q849" s="16"/>
      <c r="R849" s="14"/>
      <c r="S849" s="15">
        <v>8</v>
      </c>
      <c r="T849" s="49">
        <f>SUM(Q849:S849)</f>
        <v>8</v>
      </c>
      <c r="U849" s="11">
        <f>P849+T849</f>
        <v>16</v>
      </c>
      <c r="V849" s="98">
        <v>45201</v>
      </c>
    </row>
    <row r="850" spans="1:24" x14ac:dyDescent="0.15">
      <c r="A850" s="108"/>
      <c r="B850" s="8"/>
      <c r="C850" s="9"/>
      <c r="D850" s="10"/>
      <c r="E850" s="49">
        <f t="shared" si="790"/>
        <v>0</v>
      </c>
      <c r="F850" s="12"/>
      <c r="G850" s="9"/>
      <c r="H850" s="10"/>
      <c r="I850" s="49">
        <f t="shared" si="791"/>
        <v>0</v>
      </c>
      <c r="J850" s="11">
        <f t="shared" si="792"/>
        <v>0</v>
      </c>
      <c r="K850" s="62"/>
      <c r="L850" s="146" t="s">
        <v>836</v>
      </c>
      <c r="M850" s="8">
        <v>5</v>
      </c>
      <c r="N850" s="9">
        <v>5</v>
      </c>
      <c r="O850" s="52">
        <v>5</v>
      </c>
      <c r="P850" s="87"/>
      <c r="Q850" s="12">
        <v>5</v>
      </c>
      <c r="R850" s="9">
        <v>5</v>
      </c>
      <c r="S850" s="10">
        <v>5</v>
      </c>
      <c r="T850" s="49"/>
      <c r="U850" s="11"/>
      <c r="V850" s="98">
        <v>45199</v>
      </c>
    </row>
    <row r="851" spans="1:24" x14ac:dyDescent="0.15">
      <c r="A851" s="108"/>
      <c r="B851" s="8"/>
      <c r="C851" s="9"/>
      <c r="D851" s="10"/>
      <c r="E851" s="49">
        <f t="shared" si="790"/>
        <v>0</v>
      </c>
      <c r="F851" s="12"/>
      <c r="G851" s="9"/>
      <c r="H851" s="10"/>
      <c r="I851" s="49">
        <f t="shared" si="791"/>
        <v>0</v>
      </c>
      <c r="J851" s="11">
        <f t="shared" si="792"/>
        <v>0</v>
      </c>
      <c r="K851" s="62"/>
      <c r="L851" s="108" t="s">
        <v>819</v>
      </c>
      <c r="M851" s="8">
        <v>1</v>
      </c>
      <c r="N851" s="9">
        <v>8</v>
      </c>
      <c r="O851" s="52">
        <v>4</v>
      </c>
      <c r="P851" s="87">
        <f t="shared" ref="P851:P861" si="793">SUM(M851:O851)</f>
        <v>13</v>
      </c>
      <c r="Q851" s="12">
        <v>1</v>
      </c>
      <c r="R851" s="9">
        <v>8</v>
      </c>
      <c r="S851" s="10">
        <v>4</v>
      </c>
      <c r="T851" s="49">
        <f t="shared" ref="T851:T861" si="794">SUM(Q851:S851)</f>
        <v>13</v>
      </c>
      <c r="U851" s="11">
        <f t="shared" ref="U851:U861" si="795">P851+T851</f>
        <v>26</v>
      </c>
      <c r="V851" s="98">
        <v>45202</v>
      </c>
    </row>
    <row r="852" spans="1:24" x14ac:dyDescent="0.15">
      <c r="A852" s="108"/>
      <c r="B852" s="8"/>
      <c r="C852" s="9"/>
      <c r="D852" s="10"/>
      <c r="E852" s="49">
        <f t="shared" si="790"/>
        <v>0</v>
      </c>
      <c r="F852" s="12"/>
      <c r="G852" s="9"/>
      <c r="H852" s="10"/>
      <c r="I852" s="49">
        <f t="shared" si="791"/>
        <v>0</v>
      </c>
      <c r="J852" s="11">
        <f t="shared" si="792"/>
        <v>0</v>
      </c>
      <c r="K852" s="62"/>
      <c r="L852" s="108" t="s">
        <v>820</v>
      </c>
      <c r="M852" s="8">
        <v>1</v>
      </c>
      <c r="N852" s="9">
        <v>1</v>
      </c>
      <c r="O852" s="52">
        <v>6</v>
      </c>
      <c r="P852" s="87">
        <f t="shared" si="793"/>
        <v>8</v>
      </c>
      <c r="Q852" s="12">
        <v>1</v>
      </c>
      <c r="R852" s="9">
        <v>1</v>
      </c>
      <c r="S852" s="10">
        <v>6</v>
      </c>
      <c r="T852" s="49">
        <f t="shared" si="794"/>
        <v>8</v>
      </c>
      <c r="U852" s="11">
        <f t="shared" si="795"/>
        <v>16</v>
      </c>
      <c r="V852" s="98">
        <v>45203</v>
      </c>
    </row>
    <row r="853" spans="1:24" x14ac:dyDescent="0.15">
      <c r="A853" s="108"/>
      <c r="B853" s="8"/>
      <c r="C853" s="9"/>
      <c r="D853" s="10"/>
      <c r="E853" s="49">
        <f t="shared" si="790"/>
        <v>0</v>
      </c>
      <c r="F853" s="12"/>
      <c r="G853" s="9"/>
      <c r="H853" s="10"/>
      <c r="I853" s="49">
        <f t="shared" si="791"/>
        <v>0</v>
      </c>
      <c r="J853" s="11">
        <f t="shared" si="792"/>
        <v>0</v>
      </c>
      <c r="K853" s="62"/>
      <c r="L853" s="108" t="s">
        <v>821</v>
      </c>
      <c r="M853" s="8">
        <v>4</v>
      </c>
      <c r="N853" s="9"/>
      <c r="O853" s="52">
        <v>6</v>
      </c>
      <c r="P853" s="87">
        <f t="shared" si="793"/>
        <v>10</v>
      </c>
      <c r="Q853" s="12">
        <v>4</v>
      </c>
      <c r="R853" s="9"/>
      <c r="S853" s="10">
        <v>6</v>
      </c>
      <c r="T853" s="49">
        <f t="shared" si="794"/>
        <v>10</v>
      </c>
      <c r="U853" s="11">
        <f t="shared" si="795"/>
        <v>20</v>
      </c>
      <c r="V853" s="98">
        <v>45204</v>
      </c>
    </row>
    <row r="854" spans="1:24" x14ac:dyDescent="0.15">
      <c r="A854" s="108"/>
      <c r="B854" s="8"/>
      <c r="C854" s="9"/>
      <c r="D854" s="10"/>
      <c r="E854" s="49">
        <f t="shared" si="790"/>
        <v>0</v>
      </c>
      <c r="F854" s="12"/>
      <c r="G854" s="9"/>
      <c r="H854" s="10"/>
      <c r="I854" s="49">
        <f t="shared" si="791"/>
        <v>0</v>
      </c>
      <c r="J854" s="11">
        <f t="shared" si="792"/>
        <v>0</v>
      </c>
      <c r="K854" s="62"/>
      <c r="L854" s="108" t="s">
        <v>127</v>
      </c>
      <c r="M854" s="8">
        <v>4</v>
      </c>
      <c r="N854" s="9">
        <v>5</v>
      </c>
      <c r="O854" s="52">
        <v>2</v>
      </c>
      <c r="P854" s="87">
        <f t="shared" si="793"/>
        <v>11</v>
      </c>
      <c r="Q854" s="12">
        <v>4</v>
      </c>
      <c r="R854" s="9">
        <v>5</v>
      </c>
      <c r="S854" s="10">
        <v>2</v>
      </c>
      <c r="T854" s="49">
        <f t="shared" si="794"/>
        <v>11</v>
      </c>
      <c r="U854" s="11">
        <f t="shared" si="795"/>
        <v>22</v>
      </c>
      <c r="V854" s="98">
        <v>45205</v>
      </c>
    </row>
    <row r="855" spans="1:24" x14ac:dyDescent="0.15">
      <c r="A855" s="108"/>
      <c r="B855" s="8"/>
      <c r="C855" s="9"/>
      <c r="D855" s="10"/>
      <c r="E855" s="49">
        <f t="shared" si="790"/>
        <v>0</v>
      </c>
      <c r="F855" s="12"/>
      <c r="G855" s="9"/>
      <c r="H855" s="10"/>
      <c r="I855" s="49">
        <f t="shared" si="791"/>
        <v>0</v>
      </c>
      <c r="J855" s="11">
        <f t="shared" si="792"/>
        <v>0</v>
      </c>
      <c r="K855" s="62"/>
      <c r="L855" s="108" t="s">
        <v>823</v>
      </c>
      <c r="M855" s="13">
        <v>4</v>
      </c>
      <c r="N855" s="14">
        <v>4</v>
      </c>
      <c r="O855" s="53"/>
      <c r="P855" s="87">
        <f t="shared" si="793"/>
        <v>8</v>
      </c>
      <c r="Q855" s="16">
        <v>4</v>
      </c>
      <c r="R855" s="14">
        <v>4</v>
      </c>
      <c r="S855" s="15"/>
      <c r="T855" s="49">
        <f t="shared" si="794"/>
        <v>8</v>
      </c>
      <c r="U855" s="11">
        <f t="shared" si="795"/>
        <v>16</v>
      </c>
      <c r="V855" s="98">
        <v>45209</v>
      </c>
      <c r="W855" s="66"/>
    </row>
    <row r="856" spans="1:24" x14ac:dyDescent="0.15">
      <c r="A856" s="108"/>
      <c r="B856" s="8"/>
      <c r="C856" s="9"/>
      <c r="D856" s="10"/>
      <c r="E856" s="49">
        <f t="shared" si="790"/>
        <v>0</v>
      </c>
      <c r="F856" s="12"/>
      <c r="G856" s="9"/>
      <c r="H856" s="10"/>
      <c r="I856" s="49">
        <f t="shared" si="791"/>
        <v>0</v>
      </c>
      <c r="J856" s="11">
        <f t="shared" si="792"/>
        <v>0</v>
      </c>
      <c r="K856" s="62"/>
      <c r="L856" s="108" t="s">
        <v>826</v>
      </c>
      <c r="M856" s="8">
        <v>4</v>
      </c>
      <c r="N856" s="9">
        <v>10</v>
      </c>
      <c r="O856" s="52">
        <v>3</v>
      </c>
      <c r="P856" s="87">
        <f t="shared" si="793"/>
        <v>17</v>
      </c>
      <c r="Q856" s="12">
        <v>4</v>
      </c>
      <c r="R856" s="9">
        <v>10</v>
      </c>
      <c r="S856" s="10">
        <v>3</v>
      </c>
      <c r="T856" s="49">
        <f t="shared" si="794"/>
        <v>17</v>
      </c>
      <c r="U856" s="11">
        <f t="shared" si="795"/>
        <v>34</v>
      </c>
      <c r="V856" s="98">
        <v>45210</v>
      </c>
      <c r="W856" s="66"/>
    </row>
    <row r="857" spans="1:24" x14ac:dyDescent="0.15">
      <c r="A857" s="108"/>
      <c r="B857" s="8"/>
      <c r="C857" s="9"/>
      <c r="D857" s="10"/>
      <c r="E857" s="49">
        <f t="shared" si="790"/>
        <v>0</v>
      </c>
      <c r="F857" s="12"/>
      <c r="G857" s="9"/>
      <c r="H857" s="10"/>
      <c r="I857" s="49">
        <f t="shared" si="791"/>
        <v>0</v>
      </c>
      <c r="J857" s="11">
        <f t="shared" si="792"/>
        <v>0</v>
      </c>
      <c r="K857" s="62"/>
      <c r="L857" s="108" t="s">
        <v>827</v>
      </c>
      <c r="M857" s="8">
        <v>4</v>
      </c>
      <c r="N857" s="9">
        <v>6</v>
      </c>
      <c r="O857" s="52">
        <v>3</v>
      </c>
      <c r="P857" s="87">
        <f t="shared" si="793"/>
        <v>13</v>
      </c>
      <c r="Q857" s="12">
        <v>4</v>
      </c>
      <c r="R857" s="9">
        <v>6</v>
      </c>
      <c r="S857" s="10">
        <v>3</v>
      </c>
      <c r="T857" s="49">
        <f t="shared" si="794"/>
        <v>13</v>
      </c>
      <c r="U857" s="11">
        <f t="shared" si="795"/>
        <v>26</v>
      </c>
      <c r="V857" s="98">
        <v>45211</v>
      </c>
    </row>
    <row r="858" spans="1:24" x14ac:dyDescent="0.15">
      <c r="A858" s="108"/>
      <c r="B858" s="8"/>
      <c r="C858" s="9"/>
      <c r="D858" s="10"/>
      <c r="E858" s="49">
        <f t="shared" si="790"/>
        <v>0</v>
      </c>
      <c r="F858" s="12"/>
      <c r="G858" s="9"/>
      <c r="H858" s="10"/>
      <c r="I858" s="49">
        <f t="shared" si="791"/>
        <v>0</v>
      </c>
      <c r="J858" s="11">
        <f t="shared" si="792"/>
        <v>0</v>
      </c>
      <c r="K858" s="62"/>
      <c r="L858" s="108" t="s">
        <v>828</v>
      </c>
      <c r="M858" s="8">
        <v>1</v>
      </c>
      <c r="N858" s="9"/>
      <c r="O858" s="52">
        <v>5</v>
      </c>
      <c r="P858" s="87">
        <f t="shared" si="793"/>
        <v>6</v>
      </c>
      <c r="Q858" s="12">
        <v>1</v>
      </c>
      <c r="R858" s="9"/>
      <c r="S858" s="10">
        <v>5</v>
      </c>
      <c r="T858" s="49">
        <f t="shared" si="794"/>
        <v>6</v>
      </c>
      <c r="U858" s="11">
        <f t="shared" si="795"/>
        <v>12</v>
      </c>
      <c r="V858" s="98">
        <v>45212</v>
      </c>
    </row>
    <row r="859" spans="1:24" x14ac:dyDescent="0.15">
      <c r="A859" s="108"/>
      <c r="B859" s="8"/>
      <c r="C859" s="9"/>
      <c r="D859" s="10"/>
      <c r="E859" s="49">
        <f t="shared" si="790"/>
        <v>0</v>
      </c>
      <c r="F859" s="12"/>
      <c r="G859" s="9"/>
      <c r="H859" s="10"/>
      <c r="I859" s="49">
        <f t="shared" si="791"/>
        <v>0</v>
      </c>
      <c r="J859" s="11">
        <f t="shared" si="792"/>
        <v>0</v>
      </c>
      <c r="K859" s="62"/>
      <c r="L859" s="108" t="s">
        <v>829</v>
      </c>
      <c r="M859" s="8"/>
      <c r="N859" s="9">
        <v>2</v>
      </c>
      <c r="O859" s="52"/>
      <c r="P859" s="87">
        <f t="shared" si="793"/>
        <v>2</v>
      </c>
      <c r="Q859" s="12"/>
      <c r="R859" s="9">
        <v>2</v>
      </c>
      <c r="S859" s="10"/>
      <c r="T859" s="49">
        <f t="shared" si="794"/>
        <v>2</v>
      </c>
      <c r="U859" s="11">
        <f t="shared" si="795"/>
        <v>4</v>
      </c>
      <c r="V859" s="98">
        <v>45215</v>
      </c>
    </row>
    <row r="860" spans="1:24" x14ac:dyDescent="0.15">
      <c r="A860" s="108"/>
      <c r="B860" s="8"/>
      <c r="C860" s="9"/>
      <c r="D860" s="10"/>
      <c r="E860" s="49">
        <f t="shared" si="790"/>
        <v>0</v>
      </c>
      <c r="F860" s="12"/>
      <c r="G860" s="9"/>
      <c r="H860" s="10"/>
      <c r="I860" s="49">
        <f t="shared" si="791"/>
        <v>0</v>
      </c>
      <c r="J860" s="11">
        <f t="shared" si="792"/>
        <v>0</v>
      </c>
      <c r="K860" s="62"/>
      <c r="L860" s="108" t="s">
        <v>831</v>
      </c>
      <c r="M860" s="8"/>
      <c r="N860" s="9">
        <v>3</v>
      </c>
      <c r="O860" s="52"/>
      <c r="P860" s="87">
        <f t="shared" si="793"/>
        <v>3</v>
      </c>
      <c r="Q860" s="12"/>
      <c r="R860" s="9">
        <v>3</v>
      </c>
      <c r="S860" s="10"/>
      <c r="T860" s="49">
        <f t="shared" si="794"/>
        <v>3</v>
      </c>
      <c r="U860" s="11">
        <f t="shared" si="795"/>
        <v>6</v>
      </c>
      <c r="V860" s="98">
        <v>45216</v>
      </c>
    </row>
    <row r="861" spans="1:24" x14ac:dyDescent="0.15">
      <c r="A861" s="108"/>
      <c r="B861" s="8"/>
      <c r="C861" s="9"/>
      <c r="D861" s="10"/>
      <c r="E861" s="49">
        <f t="shared" si="790"/>
        <v>0</v>
      </c>
      <c r="F861" s="12"/>
      <c r="G861" s="9"/>
      <c r="H861" s="10"/>
      <c r="I861" s="49">
        <f t="shared" si="791"/>
        <v>0</v>
      </c>
      <c r="J861" s="11">
        <f t="shared" si="792"/>
        <v>0</v>
      </c>
      <c r="K861" s="62"/>
      <c r="L861" s="108" t="s">
        <v>834</v>
      </c>
      <c r="M861" s="8">
        <v>2</v>
      </c>
      <c r="N861" s="9">
        <v>3</v>
      </c>
      <c r="O861" s="52"/>
      <c r="P861" s="87">
        <f t="shared" si="793"/>
        <v>5</v>
      </c>
      <c r="Q861" s="12">
        <v>2</v>
      </c>
      <c r="R861" s="9">
        <v>3</v>
      </c>
      <c r="S861" s="10"/>
      <c r="T861" s="49">
        <f t="shared" si="794"/>
        <v>5</v>
      </c>
      <c r="U861" s="11">
        <f t="shared" si="795"/>
        <v>10</v>
      </c>
      <c r="V861" s="98">
        <v>45217</v>
      </c>
    </row>
    <row r="862" spans="1:24" x14ac:dyDescent="0.15">
      <c r="A862" s="108"/>
      <c r="B862" s="8"/>
      <c r="C862" s="9"/>
      <c r="D862" s="10"/>
      <c r="E862" s="49">
        <f t="shared" si="790"/>
        <v>0</v>
      </c>
      <c r="F862" s="12"/>
      <c r="G862" s="9"/>
      <c r="H862" s="10"/>
      <c r="I862" s="49">
        <f t="shared" si="791"/>
        <v>0</v>
      </c>
      <c r="J862" s="11">
        <f t="shared" si="792"/>
        <v>0</v>
      </c>
      <c r="K862" s="62"/>
      <c r="L862" s="108" t="s">
        <v>837</v>
      </c>
      <c r="M862" s="13"/>
      <c r="N862" s="14">
        <v>2</v>
      </c>
      <c r="O862" s="53">
        <v>1</v>
      </c>
      <c r="P862" s="87">
        <f>SUM(M862:O862)</f>
        <v>3</v>
      </c>
      <c r="Q862" s="16"/>
      <c r="R862" s="14">
        <v>2</v>
      </c>
      <c r="S862" s="15">
        <v>1</v>
      </c>
      <c r="T862" s="49">
        <f>SUM(Q862:S862)</f>
        <v>3</v>
      </c>
      <c r="U862" s="11">
        <f>P862+T862</f>
        <v>6</v>
      </c>
      <c r="V862" s="98">
        <v>45218</v>
      </c>
    </row>
    <row r="863" spans="1:24" x14ac:dyDescent="0.15">
      <c r="A863" s="108"/>
      <c r="B863" s="8"/>
      <c r="C863" s="9"/>
      <c r="D863" s="10"/>
      <c r="E863" s="49">
        <f t="shared" si="790"/>
        <v>0</v>
      </c>
      <c r="F863" s="12"/>
      <c r="G863" s="9"/>
      <c r="H863" s="10"/>
      <c r="I863" s="49">
        <f t="shared" si="791"/>
        <v>0</v>
      </c>
      <c r="J863" s="11">
        <f t="shared" si="792"/>
        <v>0</v>
      </c>
      <c r="K863" s="62"/>
      <c r="L863" s="108" t="s">
        <v>838</v>
      </c>
      <c r="M863" s="8">
        <v>3</v>
      </c>
      <c r="N863" s="9"/>
      <c r="O863" s="52">
        <v>1</v>
      </c>
      <c r="P863" s="87">
        <f t="shared" ref="P863:P864" si="796">SUM(M863:O863)</f>
        <v>4</v>
      </c>
      <c r="Q863" s="12">
        <v>3</v>
      </c>
      <c r="R863" s="9"/>
      <c r="S863" s="10">
        <v>1</v>
      </c>
      <c r="T863" s="49">
        <f t="shared" ref="T863:T864" si="797">SUM(Q863:S863)</f>
        <v>4</v>
      </c>
      <c r="U863" s="11">
        <f t="shared" ref="U863:U864" si="798">P863+T863</f>
        <v>8</v>
      </c>
      <c r="V863" s="98">
        <v>45219</v>
      </c>
      <c r="W863" s="66"/>
      <c r="X863" s="66"/>
    </row>
    <row r="864" spans="1:24" x14ac:dyDescent="0.15">
      <c r="A864" s="108"/>
      <c r="B864" s="8"/>
      <c r="C864" s="9"/>
      <c r="D864" s="10"/>
      <c r="E864" s="49">
        <f t="shared" si="790"/>
        <v>0</v>
      </c>
      <c r="F864" s="12"/>
      <c r="G864" s="9"/>
      <c r="H864" s="10"/>
      <c r="I864" s="49">
        <f t="shared" si="791"/>
        <v>0</v>
      </c>
      <c r="J864" s="11">
        <f t="shared" si="792"/>
        <v>0</v>
      </c>
      <c r="K864" s="62"/>
      <c r="L864" s="108" t="s">
        <v>840</v>
      </c>
      <c r="M864" s="8">
        <v>2</v>
      </c>
      <c r="N864" s="9"/>
      <c r="O864" s="52">
        <v>1</v>
      </c>
      <c r="P864" s="87">
        <f t="shared" si="796"/>
        <v>3</v>
      </c>
      <c r="Q864" s="12">
        <v>2</v>
      </c>
      <c r="R864" s="9"/>
      <c r="S864" s="10">
        <v>1</v>
      </c>
      <c r="T864" s="49">
        <f t="shared" si="797"/>
        <v>3</v>
      </c>
      <c r="U864" s="11">
        <f t="shared" si="798"/>
        <v>6</v>
      </c>
      <c r="V864" s="98">
        <v>45222</v>
      </c>
    </row>
    <row r="865" spans="1:22" x14ac:dyDescent="0.15">
      <c r="A865" s="108"/>
      <c r="B865" s="8"/>
      <c r="C865" s="9"/>
      <c r="D865" s="10"/>
      <c r="E865" s="49">
        <f t="shared" si="790"/>
        <v>0</v>
      </c>
      <c r="F865" s="12"/>
      <c r="G865" s="9"/>
      <c r="H865" s="10"/>
      <c r="I865" s="49">
        <f t="shared" si="791"/>
        <v>0</v>
      </c>
      <c r="J865" s="11">
        <f t="shared" si="792"/>
        <v>0</v>
      </c>
      <c r="K865" s="62"/>
      <c r="L865" s="108" t="s">
        <v>841</v>
      </c>
      <c r="M865" s="13">
        <v>1</v>
      </c>
      <c r="N865" s="14"/>
      <c r="O865" s="53"/>
      <c r="P865" s="87">
        <f>SUM(M865:O865)</f>
        <v>1</v>
      </c>
      <c r="Q865" s="16">
        <v>1</v>
      </c>
      <c r="R865" s="14"/>
      <c r="S865" s="15"/>
      <c r="T865" s="49">
        <f>SUM(Q865:S865)</f>
        <v>1</v>
      </c>
      <c r="U865" s="11">
        <f>P865+T865</f>
        <v>2</v>
      </c>
      <c r="V865" s="98">
        <v>45223</v>
      </c>
    </row>
    <row r="866" spans="1:22" x14ac:dyDescent="0.15">
      <c r="A866" s="108"/>
      <c r="B866" s="8"/>
      <c r="C866" s="9"/>
      <c r="D866" s="10"/>
      <c r="E866" s="49">
        <f t="shared" si="790"/>
        <v>0</v>
      </c>
      <c r="F866" s="12"/>
      <c r="G866" s="9"/>
      <c r="H866" s="10"/>
      <c r="I866" s="49">
        <f t="shared" si="791"/>
        <v>0</v>
      </c>
      <c r="J866" s="11">
        <f t="shared" si="792"/>
        <v>0</v>
      </c>
      <c r="K866" s="62"/>
      <c r="L866" s="108" t="s">
        <v>843</v>
      </c>
      <c r="M866" s="8"/>
      <c r="N866" s="9"/>
      <c r="O866" s="52">
        <v>2</v>
      </c>
      <c r="P866" s="87">
        <f t="shared" ref="P866" si="799">SUM(M866:O866)</f>
        <v>2</v>
      </c>
      <c r="Q866" s="8"/>
      <c r="R866" s="9"/>
      <c r="S866" s="10">
        <v>2</v>
      </c>
      <c r="T866" s="49">
        <f t="shared" ref="T866" si="800">SUM(Q866:S866)</f>
        <v>2</v>
      </c>
      <c r="U866" s="11">
        <f t="shared" ref="U866" si="801">P866+T866</f>
        <v>4</v>
      </c>
      <c r="V866" s="98">
        <v>45224</v>
      </c>
    </row>
    <row r="867" spans="1:22" x14ac:dyDescent="0.15">
      <c r="A867" s="108"/>
      <c r="B867" s="8"/>
      <c r="C867" s="9"/>
      <c r="D867" s="10"/>
      <c r="E867" s="49">
        <f t="shared" si="790"/>
        <v>0</v>
      </c>
      <c r="F867" s="12"/>
      <c r="G867" s="9"/>
      <c r="H867" s="10"/>
      <c r="I867" s="49">
        <f t="shared" si="791"/>
        <v>0</v>
      </c>
      <c r="J867" s="11">
        <f t="shared" si="792"/>
        <v>0</v>
      </c>
      <c r="K867" s="62"/>
      <c r="L867" s="108" t="s">
        <v>845</v>
      </c>
      <c r="M867" s="8">
        <v>1</v>
      </c>
      <c r="N867" s="9"/>
      <c r="O867" s="52">
        <v>2</v>
      </c>
      <c r="P867" s="87">
        <f t="shared" ref="P867:P868" si="802">SUM(M867:O867)</f>
        <v>3</v>
      </c>
      <c r="Q867" s="8">
        <v>1</v>
      </c>
      <c r="R867" s="9"/>
      <c r="S867" s="10">
        <v>2</v>
      </c>
      <c r="T867" s="49">
        <f t="shared" ref="T867:T868" si="803">SUM(Q867:S867)</f>
        <v>3</v>
      </c>
      <c r="U867" s="11">
        <f t="shared" ref="U867:U868" si="804">P867+T867</f>
        <v>6</v>
      </c>
      <c r="V867" s="98">
        <v>45225</v>
      </c>
    </row>
    <row r="868" spans="1:22" x14ac:dyDescent="0.15">
      <c r="A868" s="108"/>
      <c r="B868" s="8"/>
      <c r="C868" s="9"/>
      <c r="D868" s="10"/>
      <c r="E868" s="49">
        <f t="shared" si="790"/>
        <v>0</v>
      </c>
      <c r="F868" s="12"/>
      <c r="G868" s="9"/>
      <c r="H868" s="10"/>
      <c r="I868" s="49">
        <f t="shared" si="791"/>
        <v>0</v>
      </c>
      <c r="J868" s="11">
        <f t="shared" si="792"/>
        <v>0</v>
      </c>
      <c r="K868" s="62"/>
      <c r="L868" s="108" t="s">
        <v>851</v>
      </c>
      <c r="M868" s="8">
        <v>1</v>
      </c>
      <c r="N868" s="9"/>
      <c r="O868" s="52"/>
      <c r="P868" s="87">
        <f t="shared" si="802"/>
        <v>1</v>
      </c>
      <c r="Q868" s="8">
        <v>1</v>
      </c>
      <c r="R868" s="9"/>
      <c r="S868" s="10"/>
      <c r="T868" s="49">
        <f t="shared" si="803"/>
        <v>1</v>
      </c>
      <c r="U868" s="11">
        <f t="shared" si="804"/>
        <v>2</v>
      </c>
      <c r="V868" s="98">
        <v>45231</v>
      </c>
    </row>
    <row r="869" spans="1:22" x14ac:dyDescent="0.15">
      <c r="A869" s="108"/>
      <c r="B869" s="8"/>
      <c r="C869" s="9"/>
      <c r="D869" s="10"/>
      <c r="E869" s="49">
        <f t="shared" si="790"/>
        <v>0</v>
      </c>
      <c r="F869" s="12"/>
      <c r="G869" s="9"/>
      <c r="H869" s="10"/>
      <c r="I869" s="49">
        <f t="shared" si="791"/>
        <v>0</v>
      </c>
      <c r="J869" s="11">
        <f t="shared" si="792"/>
        <v>0</v>
      </c>
      <c r="K869" s="62"/>
      <c r="L869" s="26"/>
      <c r="M869" s="8"/>
      <c r="N869" s="9"/>
      <c r="O869" s="52"/>
      <c r="P869" s="87">
        <f t="shared" ref="P869" si="805">SUM(M869:O869)</f>
        <v>0</v>
      </c>
      <c r="Q869" s="8"/>
      <c r="R869" s="9"/>
      <c r="S869" s="10"/>
      <c r="T869" s="49">
        <f t="shared" ref="T869" si="806">SUM(Q869:S869)</f>
        <v>0</v>
      </c>
      <c r="U869" s="11">
        <f t="shared" ref="U869" si="807">P869+T869</f>
        <v>0</v>
      </c>
    </row>
    <row r="870" spans="1:22" x14ac:dyDescent="0.15">
      <c r="A870" s="108"/>
      <c r="B870" s="8"/>
      <c r="C870" s="9"/>
      <c r="D870" s="10"/>
      <c r="E870" s="49">
        <f t="shared" si="790"/>
        <v>0</v>
      </c>
      <c r="F870" s="12"/>
      <c r="G870" s="9"/>
      <c r="H870" s="10"/>
      <c r="I870" s="49">
        <f t="shared" si="791"/>
        <v>0</v>
      </c>
      <c r="J870" s="11">
        <f t="shared" si="792"/>
        <v>0</v>
      </c>
      <c r="K870" s="62"/>
      <c r="L870" s="86" t="s">
        <v>807</v>
      </c>
      <c r="M870" s="8"/>
      <c r="N870" s="9"/>
      <c r="O870" s="52"/>
      <c r="P870" s="87">
        <f t="shared" ref="P870:P872" si="808">SUM(M870:O870)</f>
        <v>0</v>
      </c>
      <c r="Q870" s="8"/>
      <c r="R870" s="9"/>
      <c r="S870" s="52"/>
      <c r="T870" s="49">
        <f t="shared" ref="T870:T872" si="809">SUM(Q870:S870)</f>
        <v>0</v>
      </c>
      <c r="U870" s="11">
        <f t="shared" ref="U870:U871" si="810">P870+T870</f>
        <v>0</v>
      </c>
      <c r="V870" s="100" t="s">
        <v>808</v>
      </c>
    </row>
    <row r="871" spans="1:22" ht="14.25" thickBot="1" x14ac:dyDescent="0.2">
      <c r="A871" s="108"/>
      <c r="B871" s="8"/>
      <c r="C871" s="9"/>
      <c r="D871" s="10"/>
      <c r="E871" s="49">
        <f t="shared" ref="E871" si="811">SUM(B871:D871)</f>
        <v>0</v>
      </c>
      <c r="F871" s="12"/>
      <c r="G871" s="9"/>
      <c r="H871" s="10"/>
      <c r="I871" s="49">
        <f t="shared" ref="I871" si="812">SUM(F871:H871)</f>
        <v>0</v>
      </c>
      <c r="J871" s="11">
        <f t="shared" ref="J871" si="813">E871+I871</f>
        <v>0</v>
      </c>
      <c r="K871" s="62"/>
      <c r="L871" s="86"/>
      <c r="M871" s="8"/>
      <c r="N871" s="9"/>
      <c r="O871" s="52"/>
      <c r="P871" s="87">
        <f t="shared" si="808"/>
        <v>0</v>
      </c>
      <c r="Q871" s="8"/>
      <c r="R871" s="9"/>
      <c r="S871" s="52"/>
      <c r="T871" s="49">
        <f t="shared" si="809"/>
        <v>0</v>
      </c>
      <c r="U871" s="11">
        <f t="shared" si="810"/>
        <v>0</v>
      </c>
    </row>
    <row r="872" spans="1:22" ht="14.25" thickBot="1" x14ac:dyDescent="0.2">
      <c r="A872" s="41" t="s">
        <v>17</v>
      </c>
      <c r="B872" s="46">
        <f>SUM(B846:B871)</f>
        <v>4</v>
      </c>
      <c r="C872" s="47">
        <f t="shared" ref="C872:D872" si="814">SUM(C846:C871)</f>
        <v>0</v>
      </c>
      <c r="D872" s="58">
        <f t="shared" si="814"/>
        <v>1</v>
      </c>
      <c r="E872" s="45">
        <f t="shared" ref="E872" si="815">SUM(B872:D872)</f>
        <v>5</v>
      </c>
      <c r="F872" s="46">
        <f>SUM(F846:F871)</f>
        <v>4</v>
      </c>
      <c r="G872" s="47">
        <f t="shared" ref="G872:H872" si="816">SUM(G846:G871)</f>
        <v>0</v>
      </c>
      <c r="H872" s="58">
        <f t="shared" si="816"/>
        <v>1</v>
      </c>
      <c r="I872" s="45">
        <f t="shared" ref="I872" si="817">SUM(F872:H872)</f>
        <v>5</v>
      </c>
      <c r="J872" s="45">
        <f>E872+I872</f>
        <v>10</v>
      </c>
      <c r="L872" s="41" t="s">
        <v>17</v>
      </c>
      <c r="M872" s="46">
        <f>SUM(M846:M871)</f>
        <v>48</v>
      </c>
      <c r="N872" s="47">
        <f t="shared" ref="N872:O872" si="818">SUM(N846:N871)</f>
        <v>49</v>
      </c>
      <c r="O872" s="58">
        <f t="shared" si="818"/>
        <v>51</v>
      </c>
      <c r="P872" s="45">
        <f t="shared" si="808"/>
        <v>148</v>
      </c>
      <c r="Q872" s="46">
        <f>SUM(Q846:Q871)</f>
        <v>48</v>
      </c>
      <c r="R872" s="47">
        <f t="shared" ref="R872:S872" si="819">SUM(R846:R871)</f>
        <v>49</v>
      </c>
      <c r="S872" s="58">
        <f t="shared" si="819"/>
        <v>51</v>
      </c>
      <c r="T872" s="45">
        <f t="shared" si="809"/>
        <v>148</v>
      </c>
      <c r="U872" s="45">
        <f>P872+T872</f>
        <v>296</v>
      </c>
    </row>
    <row r="873" spans="1:22" ht="14.25" thickBot="1" x14ac:dyDescent="0.2">
      <c r="A873" s="22" t="s">
        <v>16</v>
      </c>
      <c r="B873" s="50">
        <f>B845-B872</f>
        <v>2</v>
      </c>
      <c r="C873" s="56">
        <f t="shared" ref="C873:D873" si="820">C845-C872</f>
        <v>7</v>
      </c>
      <c r="D873" s="57">
        <f t="shared" si="820"/>
        <v>4</v>
      </c>
      <c r="E873" s="55">
        <f>SUM(B873:D873)</f>
        <v>13</v>
      </c>
      <c r="F873" s="50">
        <f>F845-F872</f>
        <v>4</v>
      </c>
      <c r="G873" s="56">
        <f t="shared" ref="G873:H873" si="821">G845-G872</f>
        <v>6</v>
      </c>
      <c r="H873" s="57">
        <f t="shared" si="821"/>
        <v>6</v>
      </c>
      <c r="I873" s="55">
        <f>SUM(F873:H873)</f>
        <v>16</v>
      </c>
      <c r="J873" s="31">
        <f>E873+I873</f>
        <v>29</v>
      </c>
      <c r="L873" s="22" t="s">
        <v>16</v>
      </c>
      <c r="M873" s="50">
        <f>M845-M872</f>
        <v>68</v>
      </c>
      <c r="N873" s="56">
        <f t="shared" ref="N873:O873" si="822">N845-N872</f>
        <v>73</v>
      </c>
      <c r="O873" s="57">
        <f t="shared" si="822"/>
        <v>80</v>
      </c>
      <c r="P873" s="55">
        <f>SUM(M873:O873)</f>
        <v>221</v>
      </c>
      <c r="Q873" s="50">
        <f>Q845-Q872</f>
        <v>68</v>
      </c>
      <c r="R873" s="56">
        <f t="shared" ref="R873:S873" si="823">R845-R872</f>
        <v>73</v>
      </c>
      <c r="S873" s="57">
        <f t="shared" si="823"/>
        <v>80</v>
      </c>
      <c r="T873" s="55">
        <f>SUM(Q873:S873)</f>
        <v>221</v>
      </c>
      <c r="U873" s="31">
        <f>P873+T873</f>
        <v>442</v>
      </c>
    </row>
    <row r="875" spans="1:22" x14ac:dyDescent="0.15">
      <c r="L875" t="s">
        <v>803</v>
      </c>
      <c r="M875">
        <v>98</v>
      </c>
      <c r="N875">
        <v>132</v>
      </c>
      <c r="O875">
        <v>104</v>
      </c>
    </row>
    <row r="876" spans="1:22" ht="19.5" thickBot="1" x14ac:dyDescent="0.25">
      <c r="A876" s="3" t="s">
        <v>679</v>
      </c>
      <c r="B876" s="1"/>
      <c r="C876" s="1"/>
      <c r="D876" s="1"/>
      <c r="E876" s="1"/>
      <c r="F876" s="1"/>
      <c r="G876" s="1"/>
      <c r="H876" s="1"/>
      <c r="I876" s="1"/>
      <c r="J876" s="1"/>
      <c r="L876" s="129" t="s">
        <v>680</v>
      </c>
      <c r="M876" s="129"/>
      <c r="N876" s="129"/>
      <c r="O876" s="129"/>
      <c r="P876" s="129"/>
      <c r="Q876" s="129"/>
      <c r="R876" s="129"/>
      <c r="S876" s="129"/>
      <c r="T876" s="129"/>
      <c r="U876" s="1"/>
    </row>
    <row r="877" spans="1:22" ht="14.25" thickBot="1" x14ac:dyDescent="0.2">
      <c r="A877" s="7"/>
      <c r="B877" s="176" t="s">
        <v>22</v>
      </c>
      <c r="C877" s="177"/>
      <c r="D877" s="177"/>
      <c r="E877" s="178"/>
      <c r="F877" s="176" t="s">
        <v>23</v>
      </c>
      <c r="G877" s="177"/>
      <c r="H877" s="177"/>
      <c r="I877" s="179"/>
      <c r="J877" s="174" t="s">
        <v>0</v>
      </c>
      <c r="L877" s="7"/>
      <c r="M877" s="169" t="s">
        <v>22</v>
      </c>
      <c r="N877" s="170"/>
      <c r="O877" s="170"/>
      <c r="P877" s="171"/>
      <c r="Q877" s="169" t="s">
        <v>23</v>
      </c>
      <c r="R877" s="170"/>
      <c r="S877" s="170"/>
      <c r="T877" s="171"/>
      <c r="U877" s="174" t="s">
        <v>0</v>
      </c>
    </row>
    <row r="878" spans="1:22" ht="14.25" thickBot="1" x14ac:dyDescent="0.2">
      <c r="A878" s="7" t="s">
        <v>1</v>
      </c>
      <c r="B878" s="4" t="s">
        <v>2</v>
      </c>
      <c r="C878" s="5" t="s">
        <v>3</v>
      </c>
      <c r="D878" s="6" t="s">
        <v>4</v>
      </c>
      <c r="E878" s="7" t="s">
        <v>5</v>
      </c>
      <c r="F878" s="4" t="s">
        <v>2</v>
      </c>
      <c r="G878" s="5" t="s">
        <v>3</v>
      </c>
      <c r="H878" s="6" t="s">
        <v>4</v>
      </c>
      <c r="I878" s="7" t="s">
        <v>5</v>
      </c>
      <c r="J878" s="175"/>
      <c r="L878" s="7" t="s">
        <v>1</v>
      </c>
      <c r="M878" s="4" t="s">
        <v>2</v>
      </c>
      <c r="N878" s="5" t="s">
        <v>3</v>
      </c>
      <c r="O878" s="6" t="s">
        <v>4</v>
      </c>
      <c r="P878" s="7" t="s">
        <v>5</v>
      </c>
      <c r="Q878" s="4" t="s">
        <v>2</v>
      </c>
      <c r="R878" s="5" t="s">
        <v>3</v>
      </c>
      <c r="S878" s="6" t="s">
        <v>4</v>
      </c>
      <c r="T878" s="7" t="s">
        <v>5</v>
      </c>
      <c r="U878" s="175"/>
    </row>
    <row r="879" spans="1:22" ht="14.25" thickBot="1" x14ac:dyDescent="0.2">
      <c r="A879" s="27" t="s">
        <v>16</v>
      </c>
      <c r="B879" s="28">
        <f t="shared" ref="B879:I879" si="824">B873</f>
        <v>2</v>
      </c>
      <c r="C879" s="29">
        <f t="shared" si="824"/>
        <v>7</v>
      </c>
      <c r="D879" s="30">
        <f t="shared" si="824"/>
        <v>4</v>
      </c>
      <c r="E879" s="31">
        <f t="shared" si="824"/>
        <v>13</v>
      </c>
      <c r="F879" s="28">
        <f t="shared" si="824"/>
        <v>4</v>
      </c>
      <c r="G879" s="29">
        <f t="shared" si="824"/>
        <v>6</v>
      </c>
      <c r="H879" s="30">
        <f t="shared" si="824"/>
        <v>6</v>
      </c>
      <c r="I879" s="31">
        <f t="shared" si="824"/>
        <v>16</v>
      </c>
      <c r="J879" s="31">
        <f>E879+I879</f>
        <v>29</v>
      </c>
      <c r="L879" s="27" t="s">
        <v>16</v>
      </c>
      <c r="M879" s="50">
        <f t="shared" ref="M879:U879" si="825">M873</f>
        <v>68</v>
      </c>
      <c r="N879" s="56">
        <f t="shared" si="825"/>
        <v>73</v>
      </c>
      <c r="O879" s="57">
        <f t="shared" si="825"/>
        <v>80</v>
      </c>
      <c r="P879" s="55">
        <f t="shared" si="825"/>
        <v>221</v>
      </c>
      <c r="Q879" s="50">
        <f t="shared" si="825"/>
        <v>68</v>
      </c>
      <c r="R879" s="56">
        <f t="shared" si="825"/>
        <v>73</v>
      </c>
      <c r="S879" s="57">
        <f t="shared" si="825"/>
        <v>80</v>
      </c>
      <c r="T879" s="55">
        <f t="shared" si="825"/>
        <v>221</v>
      </c>
      <c r="U879" s="31">
        <f t="shared" si="825"/>
        <v>442</v>
      </c>
    </row>
    <row r="880" spans="1:22" x14ac:dyDescent="0.15">
      <c r="A880" s="25" t="s">
        <v>885</v>
      </c>
      <c r="B880" s="17"/>
      <c r="C880" s="18"/>
      <c r="D880" s="51">
        <v>1</v>
      </c>
      <c r="E880" s="49">
        <f>SUM(B880:D880)</f>
        <v>1</v>
      </c>
      <c r="F880" s="20"/>
      <c r="G880" s="18"/>
      <c r="H880" s="19">
        <v>1</v>
      </c>
      <c r="I880" s="49">
        <f>SUM(F880:H880)</f>
        <v>1</v>
      </c>
      <c r="J880" s="49">
        <f>E880+I880</f>
        <v>2</v>
      </c>
      <c r="K880" s="62">
        <v>45260</v>
      </c>
      <c r="L880" s="25" t="s">
        <v>7</v>
      </c>
      <c r="M880" s="42">
        <v>2</v>
      </c>
      <c r="N880" s="43">
        <v>6</v>
      </c>
      <c r="O880" s="44">
        <v>4</v>
      </c>
      <c r="P880" s="48">
        <f t="shared" ref="P880" si="826">SUM(M880:O880)</f>
        <v>12</v>
      </c>
      <c r="Q880" s="59">
        <v>2</v>
      </c>
      <c r="R880" s="43">
        <v>6</v>
      </c>
      <c r="S880" s="60">
        <v>4</v>
      </c>
      <c r="T880" s="48">
        <f t="shared" ref="T880" si="827">SUM(Q880:S880)</f>
        <v>12</v>
      </c>
      <c r="U880" s="48">
        <f t="shared" ref="U880" si="828">P880+T880</f>
        <v>24</v>
      </c>
      <c r="V880" s="99">
        <v>45248</v>
      </c>
    </row>
    <row r="881" spans="1:22" x14ac:dyDescent="0.15">
      <c r="A881" s="25" t="s">
        <v>8</v>
      </c>
      <c r="B881" s="8"/>
      <c r="C881" s="9"/>
      <c r="D881" s="52"/>
      <c r="E881" s="11">
        <f t="shared" ref="E881:E882" si="829">SUM(B881:D881)</f>
        <v>0</v>
      </c>
      <c r="F881" s="12"/>
      <c r="G881" s="9"/>
      <c r="H881" s="10"/>
      <c r="I881" s="11">
        <f t="shared" ref="I881:I882" si="830">SUM(F881:H881)</f>
        <v>0</v>
      </c>
      <c r="J881" s="11">
        <f t="shared" ref="J881:J882" si="831">E881+I881</f>
        <v>0</v>
      </c>
      <c r="L881" s="25" t="s">
        <v>888</v>
      </c>
      <c r="M881" s="8"/>
      <c r="N881" s="9">
        <v>1</v>
      </c>
      <c r="O881" s="52">
        <f>3+1</f>
        <v>4</v>
      </c>
      <c r="P881" s="11">
        <f>SUM(M881:O881)</f>
        <v>5</v>
      </c>
      <c r="Q881" s="8"/>
      <c r="R881" s="9">
        <v>1</v>
      </c>
      <c r="S881" s="52">
        <f>3+1</f>
        <v>4</v>
      </c>
      <c r="T881" s="11">
        <f>SUM(Q881:S881)</f>
        <v>5</v>
      </c>
      <c r="U881" s="11">
        <f>P881+T881</f>
        <v>10</v>
      </c>
      <c r="V881" s="99">
        <v>45262</v>
      </c>
    </row>
    <row r="882" spans="1:22" x14ac:dyDescent="0.15">
      <c r="A882" s="25" t="s">
        <v>9</v>
      </c>
      <c r="B882" s="8"/>
      <c r="C882" s="9"/>
      <c r="D882" s="52"/>
      <c r="E882" s="11">
        <f t="shared" si="829"/>
        <v>0</v>
      </c>
      <c r="F882" s="12"/>
      <c r="G882" s="9"/>
      <c r="H882" s="10"/>
      <c r="I882" s="11">
        <f t="shared" si="830"/>
        <v>0</v>
      </c>
      <c r="J882" s="11">
        <f t="shared" si="831"/>
        <v>0</v>
      </c>
      <c r="L882" s="25" t="s">
        <v>9</v>
      </c>
      <c r="M882" s="8"/>
      <c r="N882" s="9"/>
      <c r="O882" s="52"/>
      <c r="P882" s="11">
        <f>SUM(M882:O882)</f>
        <v>0</v>
      </c>
      <c r="Q882" s="8"/>
      <c r="R882" s="9"/>
      <c r="S882" s="52"/>
      <c r="T882" s="11">
        <f>SUM(Q882:S882)</f>
        <v>0</v>
      </c>
      <c r="U882" s="11">
        <f>P882+T882</f>
        <v>0</v>
      </c>
    </row>
    <row r="883" spans="1:22" x14ac:dyDescent="0.15">
      <c r="A883" s="25" t="s">
        <v>10</v>
      </c>
      <c r="B883" s="8"/>
      <c r="C883" s="9"/>
      <c r="D883" s="52"/>
      <c r="E883" s="11">
        <f t="shared" ref="E883:E887" si="832">SUM(B883:D883)</f>
        <v>0</v>
      </c>
      <c r="F883" s="12"/>
      <c r="G883" s="9"/>
      <c r="H883" s="10"/>
      <c r="I883" s="11">
        <f t="shared" ref="I883:I887" si="833">SUM(F883:H883)</f>
        <v>0</v>
      </c>
      <c r="J883" s="11">
        <f t="shared" ref="J883:J887" si="834">E883+I883</f>
        <v>0</v>
      </c>
      <c r="L883" s="25" t="s">
        <v>10</v>
      </c>
      <c r="M883" s="8"/>
      <c r="N883" s="9"/>
      <c r="O883" s="52"/>
      <c r="P883" s="11">
        <f t="shared" ref="P883:P884" si="835">SUM(M883:O883)</f>
        <v>0</v>
      </c>
      <c r="Q883" s="12"/>
      <c r="R883" s="9"/>
      <c r="S883" s="10"/>
      <c r="T883" s="11">
        <f t="shared" ref="T883:T884" si="836">SUM(Q883:S883)</f>
        <v>0</v>
      </c>
      <c r="U883" s="11">
        <f t="shared" ref="U883:U884" si="837">P883+T883</f>
        <v>0</v>
      </c>
    </row>
    <row r="884" spans="1:22" x14ac:dyDescent="0.15">
      <c r="A884" s="25" t="s">
        <v>11</v>
      </c>
      <c r="B884" s="8"/>
      <c r="C884" s="9"/>
      <c r="D884" s="52"/>
      <c r="E884" s="11">
        <f t="shared" si="832"/>
        <v>0</v>
      </c>
      <c r="F884" s="12"/>
      <c r="G884" s="9"/>
      <c r="H884" s="10"/>
      <c r="I884" s="11">
        <f t="shared" si="833"/>
        <v>0</v>
      </c>
      <c r="J884" s="11">
        <f t="shared" si="834"/>
        <v>0</v>
      </c>
      <c r="L884" s="25" t="s">
        <v>11</v>
      </c>
      <c r="M884" s="8"/>
      <c r="N884" s="9"/>
      <c r="O884" s="52"/>
      <c r="P884" s="11">
        <f t="shared" si="835"/>
        <v>0</v>
      </c>
      <c r="Q884" s="12"/>
      <c r="R884" s="9"/>
      <c r="S884" s="10"/>
      <c r="T884" s="11">
        <f t="shared" si="836"/>
        <v>0</v>
      </c>
      <c r="U884" s="11">
        <f t="shared" si="837"/>
        <v>0</v>
      </c>
    </row>
    <row r="885" spans="1:22" x14ac:dyDescent="0.15">
      <c r="A885" s="25" t="s">
        <v>12</v>
      </c>
      <c r="B885" s="8"/>
      <c r="C885" s="9"/>
      <c r="D885" s="52"/>
      <c r="E885" s="11">
        <f t="shared" si="832"/>
        <v>0</v>
      </c>
      <c r="F885" s="12"/>
      <c r="G885" s="9"/>
      <c r="H885" s="10"/>
      <c r="I885" s="11">
        <f t="shared" si="833"/>
        <v>0</v>
      </c>
      <c r="J885" s="11">
        <f t="shared" si="834"/>
        <v>0</v>
      </c>
      <c r="L885" s="25" t="s">
        <v>12</v>
      </c>
      <c r="M885" s="8"/>
      <c r="N885" s="9"/>
      <c r="O885" s="52"/>
      <c r="P885" s="11">
        <f t="shared" ref="P885:P886" si="838">SUM(M885:O885)</f>
        <v>0</v>
      </c>
      <c r="Q885" s="12"/>
      <c r="R885" s="9"/>
      <c r="S885" s="10"/>
      <c r="T885" s="11">
        <f t="shared" ref="T885:T886" si="839">SUM(Q885:S885)</f>
        <v>0</v>
      </c>
      <c r="U885" s="11">
        <f t="shared" ref="U885:U886" si="840">P885+T885</f>
        <v>0</v>
      </c>
    </row>
    <row r="886" spans="1:22" x14ac:dyDescent="0.15">
      <c r="A886" s="25" t="s">
        <v>13</v>
      </c>
      <c r="B886" s="13"/>
      <c r="C886" s="14"/>
      <c r="D886" s="53"/>
      <c r="E886" s="11">
        <f t="shared" si="832"/>
        <v>0</v>
      </c>
      <c r="F886" s="16"/>
      <c r="G886" s="14"/>
      <c r="H886" s="15"/>
      <c r="I886" s="11">
        <f t="shared" si="833"/>
        <v>0</v>
      </c>
      <c r="J886" s="11">
        <f t="shared" si="834"/>
        <v>0</v>
      </c>
      <c r="L886" s="25" t="s">
        <v>13</v>
      </c>
      <c r="M886" s="8"/>
      <c r="N886" s="9"/>
      <c r="O886" s="52"/>
      <c r="P886" s="11">
        <f t="shared" si="838"/>
        <v>0</v>
      </c>
      <c r="Q886" s="12"/>
      <c r="R886" s="9"/>
      <c r="S886" s="10"/>
      <c r="T886" s="11">
        <f t="shared" si="839"/>
        <v>0</v>
      </c>
      <c r="U886" s="11">
        <f t="shared" si="840"/>
        <v>0</v>
      </c>
    </row>
    <row r="887" spans="1:22" ht="14.25" thickBot="1" x14ac:dyDescent="0.2">
      <c r="A887" s="25" t="s">
        <v>14</v>
      </c>
      <c r="B887" s="32"/>
      <c r="C887" s="33"/>
      <c r="D887" s="54"/>
      <c r="E887" s="61">
        <f t="shared" si="832"/>
        <v>0</v>
      </c>
      <c r="F887" s="34"/>
      <c r="G887" s="34"/>
      <c r="H887" s="37"/>
      <c r="I887" s="61">
        <f t="shared" si="833"/>
        <v>0</v>
      </c>
      <c r="J887" s="21">
        <f t="shared" si="834"/>
        <v>0</v>
      </c>
      <c r="L887" s="25" t="s">
        <v>14</v>
      </c>
      <c r="M887" s="32"/>
      <c r="N887" s="33"/>
      <c r="O887" s="54"/>
      <c r="P887" s="61">
        <f t="shared" ref="P887" si="841">SUM(M887:O887)</f>
        <v>0</v>
      </c>
      <c r="Q887" s="34"/>
      <c r="R887" s="34"/>
      <c r="S887" s="37"/>
      <c r="T887" s="61">
        <f t="shared" ref="T887" si="842">SUM(Q887:S887)</f>
        <v>0</v>
      </c>
      <c r="U887" s="21">
        <f t="shared" ref="U887" si="843">P887+T887</f>
        <v>0</v>
      </c>
    </row>
    <row r="888" spans="1:22" ht="14.25" thickBot="1" x14ac:dyDescent="0.2">
      <c r="A888" s="35" t="s">
        <v>15</v>
      </c>
      <c r="B888" s="28">
        <f>SUM(B879:B887)</f>
        <v>2</v>
      </c>
      <c r="C888" s="29">
        <f>SUM(C879:C887)</f>
        <v>7</v>
      </c>
      <c r="D888" s="30">
        <f>SUM(D879:D887)</f>
        <v>5</v>
      </c>
      <c r="E888" s="31">
        <f>SUM(B888:D888)</f>
        <v>14</v>
      </c>
      <c r="F888" s="28">
        <f>SUM(F879:F887)</f>
        <v>4</v>
      </c>
      <c r="G888" s="29">
        <f>SUM(G879:G887)</f>
        <v>6</v>
      </c>
      <c r="H888" s="30">
        <f>SUM(H879:H887)</f>
        <v>7</v>
      </c>
      <c r="I888" s="31">
        <f>SUM(F888:H888)</f>
        <v>17</v>
      </c>
      <c r="J888" s="31">
        <f>E888+I888</f>
        <v>31</v>
      </c>
      <c r="L888" s="35" t="s">
        <v>15</v>
      </c>
      <c r="M888" s="28">
        <f>SUM(M879:M887)</f>
        <v>70</v>
      </c>
      <c r="N888" s="29">
        <f>SUM(N879:N887)</f>
        <v>80</v>
      </c>
      <c r="O888" s="30">
        <f>SUM(O879:O887)</f>
        <v>88</v>
      </c>
      <c r="P888" s="31">
        <f>SUM(M888:O888)</f>
        <v>238</v>
      </c>
      <c r="Q888" s="28">
        <f>SUM(Q879:Q887)</f>
        <v>70</v>
      </c>
      <c r="R888" s="29">
        <f>SUM(R879:R887)</f>
        <v>80</v>
      </c>
      <c r="S888" s="30">
        <f>SUM(S879:S887)</f>
        <v>88</v>
      </c>
      <c r="T888" s="31">
        <f>SUM(Q888:S888)</f>
        <v>238</v>
      </c>
      <c r="U888" s="31">
        <f>P888+T888</f>
        <v>476</v>
      </c>
    </row>
    <row r="889" spans="1:22" x14ac:dyDescent="0.15">
      <c r="A889" s="108" t="s">
        <v>872</v>
      </c>
      <c r="B889" s="8">
        <v>2</v>
      </c>
      <c r="C889" s="9">
        <v>6</v>
      </c>
      <c r="D889" s="10">
        <v>4</v>
      </c>
      <c r="E889" s="49">
        <f t="shared" ref="E889:E893" si="844">SUM(B889:D889)</f>
        <v>12</v>
      </c>
      <c r="F889" s="12">
        <v>2</v>
      </c>
      <c r="G889" s="9">
        <v>6</v>
      </c>
      <c r="H889" s="10">
        <v>4</v>
      </c>
      <c r="I889" s="49">
        <f t="shared" ref="I889:I893" si="845">SUM(F889:H889)</f>
        <v>12</v>
      </c>
      <c r="J889" s="11">
        <f t="shared" ref="J889:J893" si="846">E889+I889</f>
        <v>24</v>
      </c>
      <c r="K889" s="62">
        <v>45248</v>
      </c>
      <c r="L889" s="108" t="s">
        <v>852</v>
      </c>
      <c r="M889" s="8"/>
      <c r="N889" s="9">
        <v>1</v>
      </c>
      <c r="O889" s="52"/>
      <c r="P889" s="87">
        <f t="shared" ref="P889:P908" si="847">SUM(M889:O889)</f>
        <v>1</v>
      </c>
      <c r="Q889" s="8"/>
      <c r="R889" s="9">
        <v>1</v>
      </c>
      <c r="S889" s="10"/>
      <c r="T889" s="49">
        <f t="shared" ref="T889:T908" si="848">SUM(Q889:S889)</f>
        <v>1</v>
      </c>
      <c r="U889" s="11">
        <f t="shared" ref="U889:U908" si="849">P889+T889</f>
        <v>2</v>
      </c>
      <c r="V889" s="98">
        <v>45232</v>
      </c>
    </row>
    <row r="890" spans="1:22" x14ac:dyDescent="0.15">
      <c r="A890" s="108" t="s">
        <v>558</v>
      </c>
      <c r="B890" s="8"/>
      <c r="C890" s="9"/>
      <c r="D890" s="10">
        <v>1</v>
      </c>
      <c r="E890" s="49">
        <f t="shared" si="844"/>
        <v>1</v>
      </c>
      <c r="F890" s="12"/>
      <c r="G890" s="9"/>
      <c r="H890" s="10">
        <v>1</v>
      </c>
      <c r="I890" s="49">
        <f t="shared" si="845"/>
        <v>1</v>
      </c>
      <c r="J890" s="11">
        <f t="shared" si="846"/>
        <v>2</v>
      </c>
      <c r="K890" s="62">
        <v>45262</v>
      </c>
      <c r="L890" s="108" t="s">
        <v>854</v>
      </c>
      <c r="M890" s="8"/>
      <c r="N890" s="9">
        <v>3</v>
      </c>
      <c r="O890" s="52">
        <v>2</v>
      </c>
      <c r="P890" s="87">
        <f t="shared" si="847"/>
        <v>5</v>
      </c>
      <c r="Q890" s="8"/>
      <c r="R890" s="9">
        <v>3</v>
      </c>
      <c r="S890" s="10">
        <v>2</v>
      </c>
      <c r="T890" s="49">
        <f t="shared" si="848"/>
        <v>5</v>
      </c>
      <c r="U890" s="11">
        <f t="shared" si="849"/>
        <v>10</v>
      </c>
      <c r="V890" s="98">
        <v>45236</v>
      </c>
    </row>
    <row r="891" spans="1:22" x14ac:dyDescent="0.15">
      <c r="A891" s="108" t="s">
        <v>910</v>
      </c>
      <c r="B891" s="8"/>
      <c r="C891" s="9">
        <v>1</v>
      </c>
      <c r="D891" s="10"/>
      <c r="E891" s="49">
        <f t="shared" si="844"/>
        <v>1</v>
      </c>
      <c r="F891" s="12"/>
      <c r="G891" s="9"/>
      <c r="H891" s="10"/>
      <c r="I891" s="49">
        <f t="shared" si="845"/>
        <v>0</v>
      </c>
      <c r="J891" s="11">
        <f t="shared" si="846"/>
        <v>1</v>
      </c>
      <c r="K891" s="62">
        <v>45338</v>
      </c>
      <c r="L891" s="108" t="s">
        <v>856</v>
      </c>
      <c r="M891" s="8">
        <v>2</v>
      </c>
      <c r="N891" s="9">
        <v>14</v>
      </c>
      <c r="O891" s="52">
        <v>8</v>
      </c>
      <c r="P891" s="87">
        <f t="shared" si="847"/>
        <v>24</v>
      </c>
      <c r="Q891" s="8">
        <v>2</v>
      </c>
      <c r="R891" s="9">
        <v>14</v>
      </c>
      <c r="S891" s="10">
        <v>8</v>
      </c>
      <c r="T891" s="49">
        <f t="shared" si="848"/>
        <v>24</v>
      </c>
      <c r="U891" s="11">
        <f t="shared" si="849"/>
        <v>48</v>
      </c>
      <c r="V891" s="98">
        <v>45237</v>
      </c>
    </row>
    <row r="892" spans="1:22" x14ac:dyDescent="0.15">
      <c r="A892" s="108"/>
      <c r="B892" s="8"/>
      <c r="C892" s="9"/>
      <c r="D892" s="10"/>
      <c r="E892" s="49">
        <f t="shared" si="844"/>
        <v>0</v>
      </c>
      <c r="F892" s="12"/>
      <c r="G892" s="9"/>
      <c r="H892" s="10"/>
      <c r="I892" s="49">
        <f t="shared" si="845"/>
        <v>0</v>
      </c>
      <c r="J892" s="11">
        <f t="shared" si="846"/>
        <v>0</v>
      </c>
      <c r="K892" s="62"/>
      <c r="L892" s="108" t="s">
        <v>858</v>
      </c>
      <c r="M892" s="8"/>
      <c r="N892" s="9">
        <v>3</v>
      </c>
      <c r="O892" s="52">
        <v>1</v>
      </c>
      <c r="P892" s="87">
        <f t="shared" si="847"/>
        <v>4</v>
      </c>
      <c r="Q892" s="8"/>
      <c r="R892" s="9">
        <v>3</v>
      </c>
      <c r="S892" s="10">
        <v>1</v>
      </c>
      <c r="T892" s="49">
        <f t="shared" si="848"/>
        <v>4</v>
      </c>
      <c r="U892" s="11">
        <f t="shared" si="849"/>
        <v>8</v>
      </c>
      <c r="V892" s="98">
        <v>45238</v>
      </c>
    </row>
    <row r="893" spans="1:22" x14ac:dyDescent="0.15">
      <c r="A893" s="108"/>
      <c r="B893" s="8"/>
      <c r="C893" s="9"/>
      <c r="D893" s="10"/>
      <c r="E893" s="49">
        <f t="shared" si="844"/>
        <v>0</v>
      </c>
      <c r="F893" s="12"/>
      <c r="G893" s="9"/>
      <c r="H893" s="10"/>
      <c r="I893" s="49">
        <f t="shared" si="845"/>
        <v>0</v>
      </c>
      <c r="J893" s="11">
        <f t="shared" si="846"/>
        <v>0</v>
      </c>
      <c r="K893" s="62"/>
      <c r="L893" s="108" t="s">
        <v>860</v>
      </c>
      <c r="M893" s="8">
        <v>2</v>
      </c>
      <c r="N893" s="9"/>
      <c r="O893" s="52"/>
      <c r="P893" s="87">
        <f t="shared" si="847"/>
        <v>2</v>
      </c>
      <c r="Q893" s="8">
        <v>2</v>
      </c>
      <c r="R893" s="9"/>
      <c r="S893" s="10"/>
      <c r="T893" s="49">
        <f t="shared" si="848"/>
        <v>2</v>
      </c>
      <c r="U893" s="11">
        <f t="shared" si="849"/>
        <v>4</v>
      </c>
      <c r="V893" s="98">
        <v>45239</v>
      </c>
    </row>
    <row r="894" spans="1:22" x14ac:dyDescent="0.15">
      <c r="A894" s="108"/>
      <c r="B894" s="8"/>
      <c r="C894" s="9"/>
      <c r="D894" s="10"/>
      <c r="E894" s="49">
        <f t="shared" ref="E894:E911" si="850">SUM(B894:D894)</f>
        <v>0</v>
      </c>
      <c r="F894" s="12"/>
      <c r="G894" s="9"/>
      <c r="H894" s="10"/>
      <c r="I894" s="49">
        <f t="shared" ref="I894:I911" si="851">SUM(F894:H894)</f>
        <v>0</v>
      </c>
      <c r="J894" s="11">
        <f t="shared" ref="J894:J911" si="852">E894+I894</f>
        <v>0</v>
      </c>
      <c r="K894" s="62"/>
      <c r="L894" s="108" t="s">
        <v>862</v>
      </c>
      <c r="M894" s="8"/>
      <c r="N894" s="9">
        <v>3</v>
      </c>
      <c r="O894" s="52"/>
      <c r="P894" s="87">
        <f t="shared" si="847"/>
        <v>3</v>
      </c>
      <c r="Q894" s="8"/>
      <c r="R894" s="9">
        <v>3</v>
      </c>
      <c r="S894" s="10"/>
      <c r="T894" s="49">
        <f t="shared" si="848"/>
        <v>3</v>
      </c>
      <c r="U894" s="11">
        <f t="shared" si="849"/>
        <v>6</v>
      </c>
      <c r="V894" s="98">
        <v>45240</v>
      </c>
    </row>
    <row r="895" spans="1:22" x14ac:dyDescent="0.15">
      <c r="A895" s="108"/>
      <c r="B895" s="8"/>
      <c r="C895" s="9"/>
      <c r="D895" s="10"/>
      <c r="E895" s="49">
        <f t="shared" si="850"/>
        <v>0</v>
      </c>
      <c r="F895" s="12"/>
      <c r="G895" s="9"/>
      <c r="H895" s="10"/>
      <c r="I895" s="49">
        <f t="shared" si="851"/>
        <v>0</v>
      </c>
      <c r="J895" s="11">
        <f t="shared" si="852"/>
        <v>0</v>
      </c>
      <c r="K895" s="62"/>
      <c r="L895" s="108" t="s">
        <v>864</v>
      </c>
      <c r="M895" s="8">
        <v>6</v>
      </c>
      <c r="N895" s="9"/>
      <c r="O895" s="52"/>
      <c r="P895" s="87">
        <f t="shared" si="847"/>
        <v>6</v>
      </c>
      <c r="Q895" s="8">
        <v>6</v>
      </c>
      <c r="R895" s="9"/>
      <c r="S895" s="10"/>
      <c r="T895" s="49">
        <f t="shared" si="848"/>
        <v>6</v>
      </c>
      <c r="U895" s="11">
        <f t="shared" si="849"/>
        <v>12</v>
      </c>
      <c r="V895" s="98">
        <v>45243</v>
      </c>
    </row>
    <row r="896" spans="1:22" x14ac:dyDescent="0.15">
      <c r="A896" s="108"/>
      <c r="B896" s="8"/>
      <c r="C896" s="9"/>
      <c r="D896" s="10"/>
      <c r="E896" s="49">
        <f t="shared" si="850"/>
        <v>0</v>
      </c>
      <c r="F896" s="12"/>
      <c r="G896" s="9"/>
      <c r="H896" s="10"/>
      <c r="I896" s="49">
        <f t="shared" si="851"/>
        <v>0</v>
      </c>
      <c r="J896" s="11">
        <f t="shared" si="852"/>
        <v>0</v>
      </c>
      <c r="K896" s="62"/>
      <c r="L896" s="108" t="s">
        <v>866</v>
      </c>
      <c r="M896" s="8"/>
      <c r="N896" s="9"/>
      <c r="O896" s="52">
        <v>3</v>
      </c>
      <c r="P896" s="87">
        <f t="shared" si="847"/>
        <v>3</v>
      </c>
      <c r="Q896" s="8"/>
      <c r="R896" s="9"/>
      <c r="S896" s="10">
        <v>3</v>
      </c>
      <c r="T896" s="49">
        <f t="shared" si="848"/>
        <v>3</v>
      </c>
      <c r="U896" s="11">
        <f t="shared" si="849"/>
        <v>6</v>
      </c>
      <c r="V896" s="98">
        <v>45244</v>
      </c>
    </row>
    <row r="897" spans="1:22" x14ac:dyDescent="0.15">
      <c r="A897" s="108"/>
      <c r="B897" s="8"/>
      <c r="C897" s="9"/>
      <c r="D897" s="10"/>
      <c r="E897" s="49">
        <f t="shared" si="850"/>
        <v>0</v>
      </c>
      <c r="F897" s="12"/>
      <c r="G897" s="9"/>
      <c r="H897" s="10"/>
      <c r="I897" s="49">
        <f t="shared" si="851"/>
        <v>0</v>
      </c>
      <c r="J897" s="11">
        <f t="shared" si="852"/>
        <v>0</v>
      </c>
      <c r="K897" s="62"/>
      <c r="L897" s="108" t="s">
        <v>869</v>
      </c>
      <c r="M897" s="8">
        <v>1</v>
      </c>
      <c r="N897" s="9"/>
      <c r="O897" s="52"/>
      <c r="P897" s="87">
        <f t="shared" si="847"/>
        <v>1</v>
      </c>
      <c r="Q897" s="8">
        <v>1</v>
      </c>
      <c r="R897" s="9"/>
      <c r="S897" s="10"/>
      <c r="T897" s="49">
        <f t="shared" si="848"/>
        <v>1</v>
      </c>
      <c r="U897" s="11">
        <f t="shared" si="849"/>
        <v>2</v>
      </c>
      <c r="V897" s="98">
        <v>45247</v>
      </c>
    </row>
    <row r="898" spans="1:22" x14ac:dyDescent="0.15">
      <c r="A898" s="108"/>
      <c r="B898" s="8"/>
      <c r="C898" s="9"/>
      <c r="D898" s="10"/>
      <c r="E898" s="49">
        <f t="shared" si="850"/>
        <v>0</v>
      </c>
      <c r="F898" s="12"/>
      <c r="G898" s="9"/>
      <c r="H898" s="10"/>
      <c r="I898" s="49">
        <f t="shared" si="851"/>
        <v>0</v>
      </c>
      <c r="J898" s="11">
        <f t="shared" si="852"/>
        <v>0</v>
      </c>
      <c r="K898" s="62"/>
      <c r="L898" s="108" t="s">
        <v>870</v>
      </c>
      <c r="M898" s="8"/>
      <c r="N898" s="9"/>
      <c r="O898" s="52">
        <v>2</v>
      </c>
      <c r="P898" s="87">
        <f t="shared" si="847"/>
        <v>2</v>
      </c>
      <c r="Q898" s="8"/>
      <c r="R898" s="9"/>
      <c r="S898" s="10">
        <v>2</v>
      </c>
      <c r="T898" s="49">
        <f t="shared" si="848"/>
        <v>2</v>
      </c>
      <c r="U898" s="11">
        <f t="shared" si="849"/>
        <v>4</v>
      </c>
      <c r="V898" s="98">
        <v>45250</v>
      </c>
    </row>
    <row r="899" spans="1:22" x14ac:dyDescent="0.15">
      <c r="A899" s="108"/>
      <c r="B899" s="8"/>
      <c r="C899" s="9"/>
      <c r="D899" s="10"/>
      <c r="E899" s="49">
        <f t="shared" si="850"/>
        <v>0</v>
      </c>
      <c r="F899" s="12"/>
      <c r="G899" s="9"/>
      <c r="H899" s="10"/>
      <c r="I899" s="49">
        <f t="shared" si="851"/>
        <v>0</v>
      </c>
      <c r="J899" s="11">
        <f t="shared" si="852"/>
        <v>0</v>
      </c>
      <c r="K899" s="62"/>
      <c r="L899" s="108" t="s">
        <v>871</v>
      </c>
      <c r="M899" s="8">
        <v>1</v>
      </c>
      <c r="N899" s="9">
        <v>1</v>
      </c>
      <c r="O899" s="52"/>
      <c r="P899" s="87">
        <f t="shared" si="847"/>
        <v>2</v>
      </c>
      <c r="Q899" s="8">
        <v>1</v>
      </c>
      <c r="R899" s="9">
        <v>1</v>
      </c>
      <c r="S899" s="10"/>
      <c r="T899" s="49">
        <f t="shared" si="848"/>
        <v>2</v>
      </c>
      <c r="U899" s="11">
        <f t="shared" si="849"/>
        <v>4</v>
      </c>
      <c r="V899" s="98">
        <v>45250</v>
      </c>
    </row>
    <row r="900" spans="1:22" x14ac:dyDescent="0.15">
      <c r="A900" s="108"/>
      <c r="B900" s="8"/>
      <c r="C900" s="9"/>
      <c r="D900" s="10"/>
      <c r="E900" s="49">
        <f t="shared" si="850"/>
        <v>0</v>
      </c>
      <c r="F900" s="12"/>
      <c r="G900" s="9"/>
      <c r="H900" s="10"/>
      <c r="I900" s="49">
        <f t="shared" si="851"/>
        <v>0</v>
      </c>
      <c r="J900" s="11">
        <f t="shared" si="852"/>
        <v>0</v>
      </c>
      <c r="K900" s="62"/>
      <c r="L900" s="108" t="s">
        <v>874</v>
      </c>
      <c r="M900" s="8">
        <v>1</v>
      </c>
      <c r="N900" s="9"/>
      <c r="O900" s="52"/>
      <c r="P900" s="87">
        <f t="shared" si="847"/>
        <v>1</v>
      </c>
      <c r="Q900" s="8">
        <v>1</v>
      </c>
      <c r="R900" s="9"/>
      <c r="S900" s="10"/>
      <c r="T900" s="49">
        <f t="shared" si="848"/>
        <v>1</v>
      </c>
      <c r="U900" s="11">
        <f t="shared" si="849"/>
        <v>2</v>
      </c>
      <c r="V900" s="98">
        <v>45252</v>
      </c>
    </row>
    <row r="901" spans="1:22" x14ac:dyDescent="0.15">
      <c r="A901" s="108"/>
      <c r="B901" s="8"/>
      <c r="C901" s="9"/>
      <c r="D901" s="10"/>
      <c r="E901" s="49">
        <f t="shared" si="850"/>
        <v>0</v>
      </c>
      <c r="F901" s="12"/>
      <c r="G901" s="9"/>
      <c r="H901" s="10"/>
      <c r="I901" s="49">
        <f t="shared" si="851"/>
        <v>0</v>
      </c>
      <c r="J901" s="11">
        <f t="shared" si="852"/>
        <v>0</v>
      </c>
      <c r="K901" s="62"/>
      <c r="L901" s="108" t="s">
        <v>877</v>
      </c>
      <c r="M901" s="8"/>
      <c r="N901" s="9">
        <v>6</v>
      </c>
      <c r="O901" s="52">
        <v>2</v>
      </c>
      <c r="P901" s="87">
        <f t="shared" si="847"/>
        <v>8</v>
      </c>
      <c r="Q901" s="8"/>
      <c r="R901" s="9">
        <v>6</v>
      </c>
      <c r="S901" s="10">
        <v>2</v>
      </c>
      <c r="T901" s="49">
        <f t="shared" si="848"/>
        <v>8</v>
      </c>
      <c r="U901" s="11">
        <f t="shared" si="849"/>
        <v>16</v>
      </c>
      <c r="V901" s="98">
        <v>45254</v>
      </c>
    </row>
    <row r="902" spans="1:22" x14ac:dyDescent="0.15">
      <c r="A902" s="108"/>
      <c r="B902" s="8"/>
      <c r="C902" s="9"/>
      <c r="D902" s="10"/>
      <c r="E902" s="49">
        <f t="shared" si="850"/>
        <v>0</v>
      </c>
      <c r="F902" s="12"/>
      <c r="G902" s="9"/>
      <c r="H902" s="10"/>
      <c r="I902" s="49">
        <f t="shared" si="851"/>
        <v>0</v>
      </c>
      <c r="J902" s="11">
        <f t="shared" si="852"/>
        <v>0</v>
      </c>
      <c r="K902" s="62"/>
      <c r="L902" s="108" t="s">
        <v>879</v>
      </c>
      <c r="M902" s="8">
        <v>1</v>
      </c>
      <c r="N902" s="9"/>
      <c r="O902" s="52"/>
      <c r="P902" s="87">
        <f t="shared" si="847"/>
        <v>1</v>
      </c>
      <c r="Q902" s="8">
        <v>1</v>
      </c>
      <c r="R902" s="9"/>
      <c r="S902" s="10"/>
      <c r="T902" s="49">
        <f t="shared" si="848"/>
        <v>1</v>
      </c>
      <c r="U902" s="11">
        <f t="shared" si="849"/>
        <v>2</v>
      </c>
      <c r="V902" s="98">
        <v>45257</v>
      </c>
    </row>
    <row r="903" spans="1:22" x14ac:dyDescent="0.15">
      <c r="A903" s="108"/>
      <c r="B903" s="8"/>
      <c r="C903" s="9"/>
      <c r="D903" s="10"/>
      <c r="E903" s="49">
        <f t="shared" si="850"/>
        <v>0</v>
      </c>
      <c r="F903" s="12"/>
      <c r="G903" s="9"/>
      <c r="H903" s="10"/>
      <c r="I903" s="49">
        <f t="shared" si="851"/>
        <v>0</v>
      </c>
      <c r="J903" s="11">
        <f t="shared" si="852"/>
        <v>0</v>
      </c>
      <c r="K903" s="62"/>
      <c r="L903" s="108" t="s">
        <v>222</v>
      </c>
      <c r="M903" s="8">
        <v>1</v>
      </c>
      <c r="N903" s="9">
        <v>6</v>
      </c>
      <c r="O903" s="52">
        <v>3</v>
      </c>
      <c r="P903" s="87">
        <f t="shared" si="847"/>
        <v>10</v>
      </c>
      <c r="Q903" s="8">
        <v>1</v>
      </c>
      <c r="R903" s="9">
        <v>6</v>
      </c>
      <c r="S903" s="10">
        <v>3</v>
      </c>
      <c r="T903" s="49">
        <f t="shared" si="848"/>
        <v>10</v>
      </c>
      <c r="U903" s="11">
        <f t="shared" si="849"/>
        <v>20</v>
      </c>
      <c r="V903" s="98">
        <v>45259</v>
      </c>
    </row>
    <row r="904" spans="1:22" x14ac:dyDescent="0.15">
      <c r="A904" s="108"/>
      <c r="B904" s="8"/>
      <c r="C904" s="9"/>
      <c r="D904" s="10"/>
      <c r="E904" s="49">
        <f t="shared" si="850"/>
        <v>0</v>
      </c>
      <c r="F904" s="12"/>
      <c r="G904" s="9"/>
      <c r="H904" s="10"/>
      <c r="I904" s="49">
        <f t="shared" si="851"/>
        <v>0</v>
      </c>
      <c r="J904" s="11">
        <f t="shared" si="852"/>
        <v>0</v>
      </c>
      <c r="K904" s="62"/>
      <c r="L904" s="108" t="s">
        <v>881</v>
      </c>
      <c r="M904" s="8">
        <v>2</v>
      </c>
      <c r="N904" s="9">
        <v>7</v>
      </c>
      <c r="O904" s="52"/>
      <c r="P904" s="87">
        <f t="shared" si="847"/>
        <v>9</v>
      </c>
      <c r="Q904" s="8">
        <v>2</v>
      </c>
      <c r="R904" s="9">
        <v>7</v>
      </c>
      <c r="S904" s="10"/>
      <c r="T904" s="49">
        <f t="shared" si="848"/>
        <v>9</v>
      </c>
      <c r="U904" s="11">
        <f t="shared" si="849"/>
        <v>18</v>
      </c>
      <c r="V904" s="98">
        <v>45260</v>
      </c>
    </row>
    <row r="905" spans="1:22" x14ac:dyDescent="0.15">
      <c r="A905" s="108"/>
      <c r="B905" s="8"/>
      <c r="C905" s="9"/>
      <c r="D905" s="10"/>
      <c r="E905" s="49">
        <f t="shared" si="850"/>
        <v>0</v>
      </c>
      <c r="F905" s="12"/>
      <c r="G905" s="9"/>
      <c r="H905" s="10"/>
      <c r="I905" s="49">
        <f t="shared" si="851"/>
        <v>0</v>
      </c>
      <c r="J905" s="11">
        <f t="shared" si="852"/>
        <v>0</v>
      </c>
      <c r="K905" s="62"/>
      <c r="L905" s="108" t="s">
        <v>883</v>
      </c>
      <c r="M905" s="8"/>
      <c r="N905" s="9">
        <v>5</v>
      </c>
      <c r="O905" s="52">
        <v>12</v>
      </c>
      <c r="P905" s="87">
        <f t="shared" si="847"/>
        <v>17</v>
      </c>
      <c r="Q905" s="8"/>
      <c r="R905" s="9">
        <v>5</v>
      </c>
      <c r="S905" s="10">
        <v>12</v>
      </c>
      <c r="T905" s="49">
        <f t="shared" si="848"/>
        <v>17</v>
      </c>
      <c r="U905" s="11">
        <f t="shared" si="849"/>
        <v>34</v>
      </c>
      <c r="V905" s="98">
        <v>45261</v>
      </c>
    </row>
    <row r="906" spans="1:22" x14ac:dyDescent="0.15">
      <c r="A906" s="108"/>
      <c r="B906" s="8"/>
      <c r="C906" s="9"/>
      <c r="D906" s="10"/>
      <c r="E906" s="49">
        <f t="shared" si="850"/>
        <v>0</v>
      </c>
      <c r="F906" s="12"/>
      <c r="G906" s="9"/>
      <c r="H906" s="10"/>
      <c r="I906" s="49">
        <f t="shared" si="851"/>
        <v>0</v>
      </c>
      <c r="J906" s="11">
        <f t="shared" si="852"/>
        <v>0</v>
      </c>
      <c r="K906" s="62"/>
      <c r="L906" s="108" t="s">
        <v>884</v>
      </c>
      <c r="M906" s="8">
        <v>1</v>
      </c>
      <c r="N906" s="9">
        <v>3</v>
      </c>
      <c r="O906" s="52">
        <v>3</v>
      </c>
      <c r="P906" s="87">
        <f t="shared" ref="P906" si="853">SUM(M906:O906)</f>
        <v>7</v>
      </c>
      <c r="Q906" s="8">
        <v>1</v>
      </c>
      <c r="R906" s="9">
        <v>3</v>
      </c>
      <c r="S906" s="10">
        <v>3</v>
      </c>
      <c r="T906" s="49">
        <f t="shared" ref="T906" si="854">SUM(Q906:S906)</f>
        <v>7</v>
      </c>
      <c r="U906" s="11">
        <f t="shared" ref="U906" si="855">P906+T906</f>
        <v>14</v>
      </c>
      <c r="V906" s="98">
        <v>45264</v>
      </c>
    </row>
    <row r="907" spans="1:22" x14ac:dyDescent="0.15">
      <c r="A907" s="108"/>
      <c r="B907" s="8"/>
      <c r="C907" s="9"/>
      <c r="D907" s="10"/>
      <c r="E907" s="49">
        <f t="shared" si="850"/>
        <v>0</v>
      </c>
      <c r="F907" s="12"/>
      <c r="G907" s="9"/>
      <c r="H907" s="10"/>
      <c r="I907" s="49">
        <f t="shared" si="851"/>
        <v>0</v>
      </c>
      <c r="J907" s="11">
        <f t="shared" si="852"/>
        <v>0</v>
      </c>
      <c r="K907" s="62"/>
      <c r="L907" s="108" t="s">
        <v>887</v>
      </c>
      <c r="M907" s="8">
        <v>4</v>
      </c>
      <c r="N907" s="9"/>
      <c r="O907" s="52">
        <v>1</v>
      </c>
      <c r="P907" s="87">
        <f t="shared" si="847"/>
        <v>5</v>
      </c>
      <c r="Q907" s="8">
        <v>4</v>
      </c>
      <c r="R907" s="9"/>
      <c r="S907" s="10">
        <v>1</v>
      </c>
      <c r="T907" s="49">
        <f t="shared" si="848"/>
        <v>5</v>
      </c>
      <c r="U907" s="11">
        <f t="shared" si="849"/>
        <v>10</v>
      </c>
      <c r="V907" s="98">
        <v>45264</v>
      </c>
    </row>
    <row r="908" spans="1:22" x14ac:dyDescent="0.15">
      <c r="A908" s="108"/>
      <c r="B908" s="8"/>
      <c r="C908" s="9"/>
      <c r="D908" s="10"/>
      <c r="E908" s="49">
        <f t="shared" si="850"/>
        <v>0</v>
      </c>
      <c r="F908" s="12"/>
      <c r="G908" s="9"/>
      <c r="H908" s="10"/>
      <c r="I908" s="49">
        <f t="shared" si="851"/>
        <v>0</v>
      </c>
      <c r="J908" s="11">
        <f t="shared" si="852"/>
        <v>0</v>
      </c>
      <c r="K908" s="62"/>
      <c r="L908" s="108" t="s">
        <v>890</v>
      </c>
      <c r="M908" s="8">
        <v>5</v>
      </c>
      <c r="N908" s="9">
        <v>9</v>
      </c>
      <c r="O908" s="52">
        <v>6</v>
      </c>
      <c r="P908" s="87">
        <f t="shared" si="847"/>
        <v>20</v>
      </c>
      <c r="Q908" s="8">
        <v>5</v>
      </c>
      <c r="R908" s="9">
        <v>9</v>
      </c>
      <c r="S908" s="10">
        <v>6</v>
      </c>
      <c r="T908" s="49">
        <f t="shared" si="848"/>
        <v>20</v>
      </c>
      <c r="U908" s="11">
        <f t="shared" si="849"/>
        <v>40</v>
      </c>
      <c r="V908" s="98">
        <v>45266</v>
      </c>
    </row>
    <row r="909" spans="1:22" x14ac:dyDescent="0.15">
      <c r="A909" s="108"/>
      <c r="B909" s="8"/>
      <c r="C909" s="9"/>
      <c r="D909" s="10"/>
      <c r="E909" s="49">
        <f t="shared" si="850"/>
        <v>0</v>
      </c>
      <c r="F909" s="12"/>
      <c r="G909" s="9"/>
      <c r="H909" s="10"/>
      <c r="I909" s="49">
        <f t="shared" si="851"/>
        <v>0</v>
      </c>
      <c r="J909" s="11">
        <f t="shared" si="852"/>
        <v>0</v>
      </c>
      <c r="K909" s="62"/>
      <c r="L909" s="26"/>
      <c r="M909" s="8"/>
      <c r="N909" s="9"/>
      <c r="O909" s="52"/>
      <c r="P909" s="87">
        <f t="shared" ref="P909" si="856">SUM(M909:O909)</f>
        <v>0</v>
      </c>
      <c r="Q909" s="8"/>
      <c r="R909" s="9"/>
      <c r="S909" s="10"/>
      <c r="T909" s="49">
        <f t="shared" ref="T909" si="857">SUM(Q909:S909)</f>
        <v>0</v>
      </c>
      <c r="U909" s="11">
        <f t="shared" ref="U909" si="858">P909+T909</f>
        <v>0</v>
      </c>
    </row>
    <row r="910" spans="1:22" x14ac:dyDescent="0.15">
      <c r="A910" s="108"/>
      <c r="B910" s="8"/>
      <c r="C910" s="9"/>
      <c r="D910" s="10"/>
      <c r="E910" s="49">
        <f t="shared" si="850"/>
        <v>0</v>
      </c>
      <c r="F910" s="12"/>
      <c r="G910" s="9"/>
      <c r="H910" s="10"/>
      <c r="I910" s="49">
        <f t="shared" si="851"/>
        <v>0</v>
      </c>
      <c r="J910" s="11">
        <f t="shared" si="852"/>
        <v>0</v>
      </c>
      <c r="K910" s="62"/>
      <c r="L910" s="86" t="s">
        <v>835</v>
      </c>
      <c r="M910" s="8"/>
      <c r="N910" s="9"/>
      <c r="O910" s="52"/>
      <c r="P910" s="87">
        <f t="shared" ref="P910:P915" si="859">SUM(M910:O910)</f>
        <v>0</v>
      </c>
      <c r="Q910" s="8"/>
      <c r="R910" s="9"/>
      <c r="S910" s="52"/>
      <c r="T910" s="49">
        <f t="shared" ref="T910:T915" si="860">SUM(Q910:S910)</f>
        <v>0</v>
      </c>
      <c r="U910" s="11">
        <f t="shared" ref="U910:U914" si="861">P910+T910</f>
        <v>0</v>
      </c>
      <c r="V910" s="98" t="s">
        <v>503</v>
      </c>
    </row>
    <row r="911" spans="1:22" x14ac:dyDescent="0.15">
      <c r="A911" s="108"/>
      <c r="B911" s="8"/>
      <c r="C911" s="9"/>
      <c r="D911" s="10"/>
      <c r="E911" s="49">
        <f t="shared" si="850"/>
        <v>0</v>
      </c>
      <c r="F911" s="12"/>
      <c r="G911" s="9"/>
      <c r="H911" s="10"/>
      <c r="I911" s="49">
        <f t="shared" si="851"/>
        <v>0</v>
      </c>
      <c r="J911" s="11">
        <f t="shared" si="852"/>
        <v>0</v>
      </c>
      <c r="K911" s="62"/>
      <c r="L911" s="86" t="s">
        <v>824</v>
      </c>
      <c r="M911" s="8"/>
      <c r="N911" s="9"/>
      <c r="O911" s="52"/>
      <c r="P911" s="87">
        <f t="shared" si="859"/>
        <v>0</v>
      </c>
      <c r="Q911" s="8"/>
      <c r="R911" s="9"/>
      <c r="S911" s="52"/>
      <c r="T911" s="49">
        <f t="shared" si="860"/>
        <v>0</v>
      </c>
      <c r="U911" s="11">
        <f t="shared" si="861"/>
        <v>0</v>
      </c>
      <c r="V911" s="98" t="s">
        <v>825</v>
      </c>
    </row>
    <row r="912" spans="1:22" x14ac:dyDescent="0.15">
      <c r="A912" s="108"/>
      <c r="B912" s="8"/>
      <c r="C912" s="9"/>
      <c r="D912" s="10"/>
      <c r="E912" s="49">
        <f t="shared" ref="E912:E914" si="862">SUM(B912:D912)</f>
        <v>0</v>
      </c>
      <c r="F912" s="12"/>
      <c r="G912" s="9"/>
      <c r="H912" s="10"/>
      <c r="I912" s="49">
        <f t="shared" ref="I912:I914" si="863">SUM(F912:H912)</f>
        <v>0</v>
      </c>
      <c r="J912" s="11">
        <f t="shared" ref="J912:J914" si="864">E912+I912</f>
        <v>0</v>
      </c>
      <c r="K912" s="62"/>
      <c r="L912" s="86" t="s">
        <v>810</v>
      </c>
      <c r="M912" s="8"/>
      <c r="N912" s="9"/>
      <c r="O912" s="52"/>
      <c r="P912" s="87">
        <f t="shared" si="859"/>
        <v>0</v>
      </c>
      <c r="Q912" s="8"/>
      <c r="R912" s="9"/>
      <c r="S912" s="52"/>
      <c r="T912" s="49">
        <f t="shared" si="860"/>
        <v>0</v>
      </c>
      <c r="U912" s="11">
        <f t="shared" si="861"/>
        <v>0</v>
      </c>
      <c r="V912" s="98" t="s">
        <v>159</v>
      </c>
    </row>
    <row r="913" spans="1:22" x14ac:dyDescent="0.15">
      <c r="A913" s="108"/>
      <c r="B913" s="8"/>
      <c r="C913" s="9"/>
      <c r="D913" s="10"/>
      <c r="E913" s="49">
        <f t="shared" si="862"/>
        <v>0</v>
      </c>
      <c r="F913" s="12"/>
      <c r="G913" s="9"/>
      <c r="H913" s="10"/>
      <c r="I913" s="49">
        <f t="shared" si="863"/>
        <v>0</v>
      </c>
      <c r="J913" s="11">
        <f t="shared" si="864"/>
        <v>0</v>
      </c>
      <c r="K913" s="62"/>
      <c r="L913" s="86" t="s">
        <v>807</v>
      </c>
      <c r="M913" s="8"/>
      <c r="N913" s="9"/>
      <c r="O913" s="52"/>
      <c r="P913" s="87">
        <f t="shared" si="859"/>
        <v>0</v>
      </c>
      <c r="Q913" s="8"/>
      <c r="R913" s="9"/>
      <c r="S913" s="52"/>
      <c r="T913" s="49">
        <f t="shared" si="860"/>
        <v>0</v>
      </c>
      <c r="U913" s="11">
        <f t="shared" si="861"/>
        <v>0</v>
      </c>
      <c r="V913" s="100" t="s">
        <v>808</v>
      </c>
    </row>
    <row r="914" spans="1:22" ht="14.25" thickBot="1" x14ac:dyDescent="0.2">
      <c r="A914" s="108"/>
      <c r="B914" s="8"/>
      <c r="C914" s="9"/>
      <c r="D914" s="10"/>
      <c r="E914" s="49">
        <f t="shared" si="862"/>
        <v>0</v>
      </c>
      <c r="F914" s="12"/>
      <c r="G914" s="9"/>
      <c r="H914" s="10"/>
      <c r="I914" s="49">
        <f t="shared" si="863"/>
        <v>0</v>
      </c>
      <c r="J914" s="11">
        <f t="shared" si="864"/>
        <v>0</v>
      </c>
      <c r="K914" s="62"/>
      <c r="L914" s="86"/>
      <c r="M914" s="8"/>
      <c r="N914" s="9"/>
      <c r="O914" s="52"/>
      <c r="P914" s="87">
        <f t="shared" si="859"/>
        <v>0</v>
      </c>
      <c r="Q914" s="8"/>
      <c r="R914" s="9"/>
      <c r="S914" s="52"/>
      <c r="T914" s="49">
        <f t="shared" si="860"/>
        <v>0</v>
      </c>
      <c r="U914" s="11">
        <f t="shared" si="861"/>
        <v>0</v>
      </c>
    </row>
    <row r="915" spans="1:22" ht="14.25" thickBot="1" x14ac:dyDescent="0.2">
      <c r="A915" s="41" t="s">
        <v>17</v>
      </c>
      <c r="B915" s="46">
        <f>SUM(B889:B914)</f>
        <v>2</v>
      </c>
      <c r="C915" s="47">
        <f t="shared" ref="C915:D915" si="865">SUM(C889:C914)</f>
        <v>7</v>
      </c>
      <c r="D915" s="58">
        <f t="shared" si="865"/>
        <v>5</v>
      </c>
      <c r="E915" s="45">
        <f t="shared" ref="E915" si="866">SUM(B915:D915)</f>
        <v>14</v>
      </c>
      <c r="F915" s="46">
        <f>SUM(F889:F914)</f>
        <v>2</v>
      </c>
      <c r="G915" s="47">
        <f t="shared" ref="G915:H915" si="867">SUM(G889:G914)</f>
        <v>6</v>
      </c>
      <c r="H915" s="58">
        <f t="shared" si="867"/>
        <v>5</v>
      </c>
      <c r="I915" s="45">
        <f t="shared" ref="I915" si="868">SUM(F915:H915)</f>
        <v>13</v>
      </c>
      <c r="J915" s="45">
        <f>E915+I915</f>
        <v>27</v>
      </c>
      <c r="L915" s="41" t="s">
        <v>17</v>
      </c>
      <c r="M915" s="46">
        <f>SUM(M889:M914)</f>
        <v>27</v>
      </c>
      <c r="N915" s="47">
        <f t="shared" ref="N915:O915" si="869">SUM(N889:N914)</f>
        <v>61</v>
      </c>
      <c r="O915" s="58">
        <f t="shared" si="869"/>
        <v>43</v>
      </c>
      <c r="P915" s="45">
        <f t="shared" si="859"/>
        <v>131</v>
      </c>
      <c r="Q915" s="46">
        <f>SUM(Q889:Q914)</f>
        <v>27</v>
      </c>
      <c r="R915" s="47">
        <f t="shared" ref="R915:S915" si="870">SUM(R889:R914)</f>
        <v>61</v>
      </c>
      <c r="S915" s="58">
        <f t="shared" si="870"/>
        <v>43</v>
      </c>
      <c r="T915" s="45">
        <f t="shared" si="860"/>
        <v>131</v>
      </c>
      <c r="U915" s="45">
        <f>P915+T915</f>
        <v>262</v>
      </c>
    </row>
    <row r="916" spans="1:22" ht="14.25" thickBot="1" x14ac:dyDescent="0.2">
      <c r="A916" s="22" t="s">
        <v>16</v>
      </c>
      <c r="B916" s="50">
        <f>B888-B915</f>
        <v>0</v>
      </c>
      <c r="C916" s="56">
        <f t="shared" ref="C916:D916" si="871">C888-C915</f>
        <v>0</v>
      </c>
      <c r="D916" s="57">
        <f t="shared" si="871"/>
        <v>0</v>
      </c>
      <c r="E916" s="55">
        <f>SUM(B916:D916)</f>
        <v>0</v>
      </c>
      <c r="F916" s="50">
        <f>F888-F915</f>
        <v>2</v>
      </c>
      <c r="G916" s="56">
        <f t="shared" ref="G916:H916" si="872">G888-G915</f>
        <v>0</v>
      </c>
      <c r="H916" s="57">
        <f t="shared" si="872"/>
        <v>2</v>
      </c>
      <c r="I916" s="55">
        <f>SUM(F916:H916)</f>
        <v>4</v>
      </c>
      <c r="J916" s="31">
        <f>E916+I916</f>
        <v>4</v>
      </c>
      <c r="L916" s="22" t="s">
        <v>16</v>
      </c>
      <c r="M916" s="50">
        <f>M888-M915</f>
        <v>43</v>
      </c>
      <c r="N916" s="56">
        <f t="shared" ref="N916:O916" si="873">N888-N915</f>
        <v>19</v>
      </c>
      <c r="O916" s="57">
        <f t="shared" si="873"/>
        <v>45</v>
      </c>
      <c r="P916" s="55">
        <f>SUM(M916:O916)</f>
        <v>107</v>
      </c>
      <c r="Q916" s="50">
        <f>Q888-Q915</f>
        <v>43</v>
      </c>
      <c r="R916" s="56">
        <f t="shared" ref="R916:S916" si="874">R888-R915</f>
        <v>19</v>
      </c>
      <c r="S916" s="57">
        <f t="shared" si="874"/>
        <v>45</v>
      </c>
      <c r="T916" s="55">
        <f>SUM(Q916:S916)</f>
        <v>107</v>
      </c>
      <c r="U916" s="31">
        <f>P916+T916</f>
        <v>214</v>
      </c>
    </row>
    <row r="918" spans="1:22" x14ac:dyDescent="0.15">
      <c r="L918" t="s">
        <v>803</v>
      </c>
      <c r="M918">
        <v>98</v>
      </c>
      <c r="N918">
        <v>132</v>
      </c>
      <c r="O918">
        <v>104</v>
      </c>
    </row>
    <row r="919" spans="1:22" ht="19.5" thickBot="1" x14ac:dyDescent="0.25">
      <c r="A919" s="3" t="s">
        <v>908</v>
      </c>
      <c r="B919" s="1"/>
      <c r="C919" s="1"/>
      <c r="D919" s="1"/>
      <c r="E919" s="1"/>
      <c r="F919" s="1"/>
      <c r="G919" s="1"/>
      <c r="H919" s="1"/>
      <c r="I919" s="1"/>
      <c r="J919" s="1"/>
      <c r="L919" s="129" t="s">
        <v>680</v>
      </c>
      <c r="M919" s="129"/>
      <c r="N919" s="129"/>
      <c r="O919" s="129"/>
      <c r="P919" s="129"/>
      <c r="Q919" s="129"/>
      <c r="R919" s="129"/>
      <c r="S919" s="129"/>
      <c r="T919" s="129"/>
      <c r="U919" s="1"/>
    </row>
    <row r="920" spans="1:22" ht="14.25" thickBot="1" x14ac:dyDescent="0.2">
      <c r="A920" s="7"/>
      <c r="B920" s="176" t="s">
        <v>22</v>
      </c>
      <c r="C920" s="177"/>
      <c r="D920" s="177"/>
      <c r="E920" s="178"/>
      <c r="F920" s="176" t="s">
        <v>23</v>
      </c>
      <c r="G920" s="177"/>
      <c r="H920" s="177"/>
      <c r="I920" s="179"/>
      <c r="J920" s="174" t="s">
        <v>0</v>
      </c>
      <c r="L920" s="7"/>
      <c r="M920" s="169" t="s">
        <v>22</v>
      </c>
      <c r="N920" s="170"/>
      <c r="O920" s="170"/>
      <c r="P920" s="171"/>
      <c r="Q920" s="169" t="s">
        <v>23</v>
      </c>
      <c r="R920" s="170"/>
      <c r="S920" s="170"/>
      <c r="T920" s="171"/>
      <c r="U920" s="174" t="s">
        <v>0</v>
      </c>
    </row>
    <row r="921" spans="1:22" ht="14.25" thickBot="1" x14ac:dyDescent="0.2">
      <c r="A921" s="7" t="s">
        <v>1</v>
      </c>
      <c r="B921" s="4" t="s">
        <v>2</v>
      </c>
      <c r="C921" s="5" t="s">
        <v>3</v>
      </c>
      <c r="D921" s="6" t="s">
        <v>4</v>
      </c>
      <c r="E921" s="7" t="s">
        <v>5</v>
      </c>
      <c r="F921" s="4" t="s">
        <v>2</v>
      </c>
      <c r="G921" s="5" t="s">
        <v>3</v>
      </c>
      <c r="H921" s="6" t="s">
        <v>4</v>
      </c>
      <c r="I921" s="7" t="s">
        <v>5</v>
      </c>
      <c r="J921" s="175"/>
      <c r="L921" s="7" t="s">
        <v>1</v>
      </c>
      <c r="M921" s="4" t="s">
        <v>2</v>
      </c>
      <c r="N921" s="5" t="s">
        <v>3</v>
      </c>
      <c r="O921" s="6" t="s">
        <v>4</v>
      </c>
      <c r="P921" s="7" t="s">
        <v>5</v>
      </c>
      <c r="Q921" s="4" t="s">
        <v>2</v>
      </c>
      <c r="R921" s="5" t="s">
        <v>3</v>
      </c>
      <c r="S921" s="6" t="s">
        <v>4</v>
      </c>
      <c r="T921" s="7" t="s">
        <v>5</v>
      </c>
      <c r="U921" s="175"/>
    </row>
    <row r="922" spans="1:22" ht="14.25" thickBot="1" x14ac:dyDescent="0.2">
      <c r="A922" s="27" t="s">
        <v>16</v>
      </c>
      <c r="B922" s="28">
        <f t="shared" ref="B922:I922" si="875">B916</f>
        <v>0</v>
      </c>
      <c r="C922" s="29">
        <f t="shared" si="875"/>
        <v>0</v>
      </c>
      <c r="D922" s="30">
        <f t="shared" si="875"/>
        <v>0</v>
      </c>
      <c r="E922" s="31">
        <f t="shared" si="875"/>
        <v>0</v>
      </c>
      <c r="F922" s="28">
        <f t="shared" si="875"/>
        <v>2</v>
      </c>
      <c r="G922" s="29">
        <f t="shared" si="875"/>
        <v>0</v>
      </c>
      <c r="H922" s="30">
        <f t="shared" si="875"/>
        <v>2</v>
      </c>
      <c r="I922" s="31">
        <f t="shared" si="875"/>
        <v>4</v>
      </c>
      <c r="J922" s="31">
        <f>E922+I922</f>
        <v>4</v>
      </c>
      <c r="L922" s="27" t="s">
        <v>16</v>
      </c>
      <c r="M922" s="50">
        <f t="shared" ref="M922:U922" si="876">M916</f>
        <v>43</v>
      </c>
      <c r="N922" s="56">
        <f t="shared" si="876"/>
        <v>19</v>
      </c>
      <c r="O922" s="57">
        <f t="shared" si="876"/>
        <v>45</v>
      </c>
      <c r="P922" s="55">
        <f t="shared" si="876"/>
        <v>107</v>
      </c>
      <c r="Q922" s="50">
        <f t="shared" si="876"/>
        <v>43</v>
      </c>
      <c r="R922" s="56">
        <f t="shared" si="876"/>
        <v>19</v>
      </c>
      <c r="S922" s="57">
        <f t="shared" si="876"/>
        <v>45</v>
      </c>
      <c r="T922" s="55">
        <f t="shared" si="876"/>
        <v>107</v>
      </c>
      <c r="U922" s="31">
        <f t="shared" si="876"/>
        <v>214</v>
      </c>
    </row>
    <row r="923" spans="1:22" x14ac:dyDescent="0.15">
      <c r="A923" s="25" t="s">
        <v>7</v>
      </c>
      <c r="B923" s="8"/>
      <c r="C923" s="9"/>
      <c r="D923" s="52"/>
      <c r="E923" s="11">
        <f>SUM(B923:D923)</f>
        <v>0</v>
      </c>
      <c r="F923" s="12"/>
      <c r="G923" s="9"/>
      <c r="H923" s="10"/>
      <c r="I923" s="11">
        <f>SUM(F923:H923)</f>
        <v>0</v>
      </c>
      <c r="J923" s="11">
        <f>E923+I923</f>
        <v>0</v>
      </c>
      <c r="K923" s="62"/>
      <c r="L923" s="25" t="s">
        <v>7</v>
      </c>
      <c r="M923" s="8"/>
      <c r="N923" s="9"/>
      <c r="O923" s="52"/>
      <c r="P923" s="11">
        <f t="shared" ref="P923:P924" si="877">SUM(M923:O923)</f>
        <v>0</v>
      </c>
      <c r="Q923" s="8"/>
      <c r="R923" s="9"/>
      <c r="S923" s="52"/>
      <c r="T923" s="11">
        <f t="shared" ref="T923:T924" si="878">SUM(Q923:S923)</f>
        <v>0</v>
      </c>
      <c r="U923" s="11">
        <f t="shared" ref="U923:U924" si="879">P923+T923</f>
        <v>0</v>
      </c>
    </row>
    <row r="924" spans="1:22" x14ac:dyDescent="0.15">
      <c r="A924" s="25" t="s">
        <v>8</v>
      </c>
      <c r="B924" s="8"/>
      <c r="C924" s="9"/>
      <c r="D924" s="52"/>
      <c r="E924" s="11">
        <f>SUM(B924:D924)</f>
        <v>0</v>
      </c>
      <c r="F924" s="12"/>
      <c r="G924" s="9"/>
      <c r="H924" s="10"/>
      <c r="I924" s="11">
        <f>SUM(F924:H924)</f>
        <v>0</v>
      </c>
      <c r="J924" s="11">
        <f>E924+I924</f>
        <v>0</v>
      </c>
      <c r="K924" s="62"/>
      <c r="L924" s="25" t="s">
        <v>8</v>
      </c>
      <c r="M924" s="8"/>
      <c r="N924" s="9"/>
      <c r="O924" s="52"/>
      <c r="P924" s="11">
        <f t="shared" si="877"/>
        <v>0</v>
      </c>
      <c r="Q924" s="8"/>
      <c r="R924" s="9"/>
      <c r="S924" s="52"/>
      <c r="T924" s="11">
        <f t="shared" si="878"/>
        <v>0</v>
      </c>
      <c r="U924" s="11">
        <f t="shared" si="879"/>
        <v>0</v>
      </c>
    </row>
    <row r="925" spans="1:22" x14ac:dyDescent="0.15">
      <c r="A925" s="25" t="s">
        <v>9</v>
      </c>
      <c r="B925" s="17"/>
      <c r="C925" s="18"/>
      <c r="D925" s="51"/>
      <c r="E925" s="11">
        <f t="shared" ref="E925:E930" si="880">SUM(B925:D925)</f>
        <v>0</v>
      </c>
      <c r="F925" s="20"/>
      <c r="G925" s="18"/>
      <c r="H925" s="19"/>
      <c r="I925" s="11">
        <f t="shared" ref="I925:I930" si="881">SUM(F925:H925)</f>
        <v>0</v>
      </c>
      <c r="J925" s="11">
        <f t="shared" ref="J925:J930" si="882">E925+I925</f>
        <v>0</v>
      </c>
      <c r="L925" s="25" t="s">
        <v>9</v>
      </c>
      <c r="M925" s="8"/>
      <c r="N925" s="9"/>
      <c r="O925" s="52"/>
      <c r="P925" s="11">
        <f>SUM(M925:O925)</f>
        <v>0</v>
      </c>
      <c r="Q925" s="8"/>
      <c r="R925" s="9"/>
      <c r="S925" s="52"/>
      <c r="T925" s="11">
        <f>SUM(Q925:S925)</f>
        <v>0</v>
      </c>
      <c r="U925" s="11">
        <f>P925+T925</f>
        <v>0</v>
      </c>
    </row>
    <row r="926" spans="1:22" x14ac:dyDescent="0.15">
      <c r="A926" s="25" t="s">
        <v>10</v>
      </c>
      <c r="B926" s="8"/>
      <c r="C926" s="9"/>
      <c r="D926" s="52"/>
      <c r="E926" s="11">
        <f t="shared" si="880"/>
        <v>0</v>
      </c>
      <c r="F926" s="12"/>
      <c r="G926" s="9"/>
      <c r="H926" s="10"/>
      <c r="I926" s="11">
        <f t="shared" si="881"/>
        <v>0</v>
      </c>
      <c r="J926" s="11">
        <f t="shared" si="882"/>
        <v>0</v>
      </c>
      <c r="L926" s="25" t="s">
        <v>10</v>
      </c>
      <c r="M926" s="8"/>
      <c r="N926" s="9"/>
      <c r="O926" s="52"/>
      <c r="P926" s="11">
        <f t="shared" ref="P926:P930" si="883">SUM(M926:O926)</f>
        <v>0</v>
      </c>
      <c r="Q926" s="12"/>
      <c r="R926" s="9"/>
      <c r="S926" s="10"/>
      <c r="T926" s="11">
        <f t="shared" ref="T926:T930" si="884">SUM(Q926:S926)</f>
        <v>0</v>
      </c>
      <c r="U926" s="11">
        <f t="shared" ref="U926:U930" si="885">P926+T926</f>
        <v>0</v>
      </c>
    </row>
    <row r="927" spans="1:22" x14ac:dyDescent="0.15">
      <c r="A927" s="25" t="s">
        <v>11</v>
      </c>
      <c r="B927" s="8"/>
      <c r="C927" s="9"/>
      <c r="D927" s="52"/>
      <c r="E927" s="11">
        <f t="shared" si="880"/>
        <v>0</v>
      </c>
      <c r="F927" s="12"/>
      <c r="G927" s="9"/>
      <c r="H927" s="10"/>
      <c r="I927" s="11">
        <f t="shared" si="881"/>
        <v>0</v>
      </c>
      <c r="J927" s="11">
        <f t="shared" si="882"/>
        <v>0</v>
      </c>
      <c r="L927" s="25" t="s">
        <v>11</v>
      </c>
      <c r="M927" s="8"/>
      <c r="N927" s="9"/>
      <c r="O927" s="52"/>
      <c r="P927" s="11">
        <f t="shared" si="883"/>
        <v>0</v>
      </c>
      <c r="Q927" s="12"/>
      <c r="R927" s="9"/>
      <c r="S927" s="10"/>
      <c r="T927" s="11">
        <f t="shared" si="884"/>
        <v>0</v>
      </c>
      <c r="U927" s="11">
        <f t="shared" si="885"/>
        <v>0</v>
      </c>
    </row>
    <row r="928" spans="1:22" x14ac:dyDescent="0.15">
      <c r="A928" s="25" t="s">
        <v>12</v>
      </c>
      <c r="B928" s="8"/>
      <c r="C928" s="9"/>
      <c r="D928" s="52"/>
      <c r="E928" s="11">
        <f t="shared" si="880"/>
        <v>0</v>
      </c>
      <c r="F928" s="12"/>
      <c r="G928" s="9"/>
      <c r="H928" s="10"/>
      <c r="I928" s="11">
        <f t="shared" si="881"/>
        <v>0</v>
      </c>
      <c r="J928" s="11">
        <f t="shared" si="882"/>
        <v>0</v>
      </c>
      <c r="L928" s="25" t="s">
        <v>12</v>
      </c>
      <c r="M928" s="8"/>
      <c r="N928" s="9"/>
      <c r="O928" s="52"/>
      <c r="P928" s="11">
        <f t="shared" si="883"/>
        <v>0</v>
      </c>
      <c r="Q928" s="12"/>
      <c r="R928" s="9"/>
      <c r="S928" s="10"/>
      <c r="T928" s="11">
        <f t="shared" si="884"/>
        <v>0</v>
      </c>
      <c r="U928" s="11">
        <f t="shared" si="885"/>
        <v>0</v>
      </c>
    </row>
    <row r="929" spans="1:23" x14ac:dyDescent="0.15">
      <c r="A929" s="25" t="s">
        <v>13</v>
      </c>
      <c r="B929" s="13"/>
      <c r="C929" s="14"/>
      <c r="D929" s="53"/>
      <c r="E929" s="11">
        <f t="shared" si="880"/>
        <v>0</v>
      </c>
      <c r="F929" s="16"/>
      <c r="G929" s="14"/>
      <c r="H929" s="15"/>
      <c r="I929" s="11">
        <f t="shared" si="881"/>
        <v>0</v>
      </c>
      <c r="J929" s="11">
        <f t="shared" si="882"/>
        <v>0</v>
      </c>
      <c r="L929" s="25" t="s">
        <v>13</v>
      </c>
      <c r="M929" s="8"/>
      <c r="N929" s="9"/>
      <c r="O929" s="52"/>
      <c r="P929" s="11">
        <f t="shared" si="883"/>
        <v>0</v>
      </c>
      <c r="Q929" s="12"/>
      <c r="R929" s="9"/>
      <c r="S929" s="10"/>
      <c r="T929" s="11">
        <f t="shared" si="884"/>
        <v>0</v>
      </c>
      <c r="U929" s="11">
        <f t="shared" si="885"/>
        <v>0</v>
      </c>
    </row>
    <row r="930" spans="1:23" ht="14.25" thickBot="1" x14ac:dyDescent="0.2">
      <c r="A930" s="25" t="s">
        <v>14</v>
      </c>
      <c r="B930" s="32"/>
      <c r="C930" s="33"/>
      <c r="D930" s="54"/>
      <c r="E930" s="61">
        <f t="shared" si="880"/>
        <v>0</v>
      </c>
      <c r="F930" s="34"/>
      <c r="G930" s="34"/>
      <c r="H930" s="37"/>
      <c r="I930" s="61">
        <f t="shared" si="881"/>
        <v>0</v>
      </c>
      <c r="J930" s="21">
        <f t="shared" si="882"/>
        <v>0</v>
      </c>
      <c r="L930" s="25" t="s">
        <v>14</v>
      </c>
      <c r="M930" s="32"/>
      <c r="N930" s="33"/>
      <c r="O930" s="54"/>
      <c r="P930" s="61">
        <f t="shared" si="883"/>
        <v>0</v>
      </c>
      <c r="Q930" s="34"/>
      <c r="R930" s="34"/>
      <c r="S930" s="37"/>
      <c r="T930" s="61">
        <f t="shared" si="884"/>
        <v>0</v>
      </c>
      <c r="U930" s="21">
        <f t="shared" si="885"/>
        <v>0</v>
      </c>
    </row>
    <row r="931" spans="1:23" ht="14.25" thickBot="1" x14ac:dyDescent="0.2">
      <c r="A931" s="35" t="s">
        <v>15</v>
      </c>
      <c r="B931" s="28">
        <f>SUM(B922:B930)</f>
        <v>0</v>
      </c>
      <c r="C931" s="29">
        <f>SUM(C922:C930)</f>
        <v>0</v>
      </c>
      <c r="D931" s="30">
        <f>SUM(D922:D930)</f>
        <v>0</v>
      </c>
      <c r="E931" s="31">
        <f>SUM(B931:D931)</f>
        <v>0</v>
      </c>
      <c r="F931" s="28">
        <f>SUM(F922:F930)</f>
        <v>2</v>
      </c>
      <c r="G931" s="29">
        <f>SUM(G922:G930)</f>
        <v>0</v>
      </c>
      <c r="H931" s="30">
        <f>SUM(H922:H930)</f>
        <v>2</v>
      </c>
      <c r="I931" s="31">
        <f>SUM(F931:H931)</f>
        <v>4</v>
      </c>
      <c r="J931" s="31">
        <f>E931+I931</f>
        <v>4</v>
      </c>
      <c r="L931" s="35" t="s">
        <v>15</v>
      </c>
      <c r="M931" s="28">
        <f>SUM(M922:M930)</f>
        <v>43</v>
      </c>
      <c r="N931" s="29">
        <f>SUM(N922:N930)</f>
        <v>19</v>
      </c>
      <c r="O931" s="30">
        <f>SUM(O922:O930)</f>
        <v>45</v>
      </c>
      <c r="P931" s="31">
        <f>SUM(M931:O931)</f>
        <v>107</v>
      </c>
      <c r="Q931" s="28">
        <f>SUM(Q922:Q930)</f>
        <v>43</v>
      </c>
      <c r="R931" s="29">
        <f>SUM(R922:R930)</f>
        <v>19</v>
      </c>
      <c r="S931" s="30">
        <f>SUM(S922:S930)</f>
        <v>45</v>
      </c>
      <c r="T931" s="31">
        <f>SUM(Q931:S931)</f>
        <v>107</v>
      </c>
      <c r="U931" s="31">
        <f>P931+T931</f>
        <v>214</v>
      </c>
    </row>
    <row r="932" spans="1:23" x14ac:dyDescent="0.15">
      <c r="A932" s="108"/>
      <c r="B932" s="8"/>
      <c r="C932" s="9"/>
      <c r="D932" s="10"/>
      <c r="E932" s="49">
        <f t="shared" ref="E932:E933" si="886">SUM(B932:D932)</f>
        <v>0</v>
      </c>
      <c r="F932" s="12"/>
      <c r="G932" s="9"/>
      <c r="H932" s="10"/>
      <c r="I932" s="49">
        <f t="shared" ref="I932:I933" si="887">SUM(F932:H932)</f>
        <v>0</v>
      </c>
      <c r="J932" s="11">
        <f t="shared" ref="J932:J933" si="888">E932+I932</f>
        <v>0</v>
      </c>
      <c r="K932" s="62"/>
      <c r="L932" s="108" t="s">
        <v>892</v>
      </c>
      <c r="M932" s="8">
        <v>3</v>
      </c>
      <c r="N932" s="9">
        <v>3</v>
      </c>
      <c r="O932" s="52"/>
      <c r="P932" s="87">
        <f t="shared" ref="P932:P951" si="889">SUM(M932:O932)</f>
        <v>6</v>
      </c>
      <c r="Q932" s="8">
        <v>3</v>
      </c>
      <c r="R932" s="9">
        <v>3</v>
      </c>
      <c r="S932" s="10"/>
      <c r="T932" s="49">
        <f t="shared" ref="T932:T951" si="890">SUM(Q932:S932)</f>
        <v>6</v>
      </c>
      <c r="U932" s="11">
        <f t="shared" ref="U932:U951" si="891">P932+T932</f>
        <v>12</v>
      </c>
      <c r="V932" s="98">
        <v>45267</v>
      </c>
    </row>
    <row r="933" spans="1:23" x14ac:dyDescent="0.15">
      <c r="A933" s="108"/>
      <c r="B933" s="8"/>
      <c r="C933" s="9"/>
      <c r="D933" s="10"/>
      <c r="E933" s="49">
        <f t="shared" si="886"/>
        <v>0</v>
      </c>
      <c r="F933" s="12"/>
      <c r="G933" s="9"/>
      <c r="H933" s="10"/>
      <c r="I933" s="49">
        <f t="shared" si="887"/>
        <v>0</v>
      </c>
      <c r="J933" s="11">
        <f t="shared" si="888"/>
        <v>0</v>
      </c>
      <c r="K933" s="62"/>
      <c r="L933" s="108" t="s">
        <v>897</v>
      </c>
      <c r="M933" s="8"/>
      <c r="N933" s="9"/>
      <c r="O933" s="52">
        <v>3</v>
      </c>
      <c r="P933" s="87">
        <f t="shared" si="889"/>
        <v>3</v>
      </c>
      <c r="Q933" s="8"/>
      <c r="R933" s="9"/>
      <c r="S933" s="10">
        <v>3</v>
      </c>
      <c r="T933" s="49">
        <f t="shared" si="890"/>
        <v>3</v>
      </c>
      <c r="U933" s="11">
        <f t="shared" si="891"/>
        <v>6</v>
      </c>
      <c r="V933" s="98">
        <v>45271</v>
      </c>
    </row>
    <row r="934" spans="1:23" x14ac:dyDescent="0.15">
      <c r="A934" s="108"/>
      <c r="B934" s="8"/>
      <c r="C934" s="9"/>
      <c r="D934" s="10"/>
      <c r="E934" s="49">
        <f t="shared" ref="E934:E958" si="892">SUM(B934:D934)</f>
        <v>0</v>
      </c>
      <c r="F934" s="12"/>
      <c r="G934" s="9"/>
      <c r="H934" s="10"/>
      <c r="I934" s="49">
        <f t="shared" ref="I934:I958" si="893">SUM(F934:H934)</f>
        <v>0</v>
      </c>
      <c r="J934" s="11">
        <f t="shared" ref="J934:J957" si="894">E934+I934</f>
        <v>0</v>
      </c>
      <c r="K934" s="62"/>
      <c r="L934" s="108" t="s">
        <v>899</v>
      </c>
      <c r="M934" s="8"/>
      <c r="N934" s="9">
        <v>1</v>
      </c>
      <c r="O934" s="52"/>
      <c r="P934" s="87">
        <f t="shared" si="889"/>
        <v>1</v>
      </c>
      <c r="Q934" s="8"/>
      <c r="R934" s="9">
        <v>1</v>
      </c>
      <c r="S934" s="10"/>
      <c r="T934" s="49">
        <f t="shared" si="890"/>
        <v>1</v>
      </c>
      <c r="U934" s="11">
        <f t="shared" si="891"/>
        <v>2</v>
      </c>
      <c r="V934" s="98">
        <v>45273</v>
      </c>
    </row>
    <row r="935" spans="1:23" x14ac:dyDescent="0.15">
      <c r="A935" s="108"/>
      <c r="B935" s="8"/>
      <c r="C935" s="9"/>
      <c r="D935" s="10"/>
      <c r="E935" s="49">
        <f t="shared" si="892"/>
        <v>0</v>
      </c>
      <c r="F935" s="12"/>
      <c r="G935" s="9"/>
      <c r="H935" s="10"/>
      <c r="I935" s="49">
        <f t="shared" si="893"/>
        <v>0</v>
      </c>
      <c r="J935" s="11">
        <f t="shared" si="894"/>
        <v>0</v>
      </c>
      <c r="K935" s="62"/>
      <c r="L935" s="108" t="s">
        <v>901</v>
      </c>
      <c r="M935" s="8"/>
      <c r="N935" s="9">
        <v>3</v>
      </c>
      <c r="O935" s="52"/>
      <c r="P935" s="87">
        <f t="shared" si="889"/>
        <v>3</v>
      </c>
      <c r="Q935" s="8"/>
      <c r="R935" s="9">
        <v>3</v>
      </c>
      <c r="S935" s="10"/>
      <c r="T935" s="49">
        <f t="shared" si="890"/>
        <v>3</v>
      </c>
      <c r="U935" s="11">
        <f t="shared" si="891"/>
        <v>6</v>
      </c>
      <c r="V935" s="98">
        <v>45274</v>
      </c>
    </row>
    <row r="936" spans="1:23" x14ac:dyDescent="0.15">
      <c r="A936" s="108"/>
      <c r="B936" s="8"/>
      <c r="C936" s="9"/>
      <c r="D936" s="10"/>
      <c r="E936" s="49">
        <f t="shared" si="892"/>
        <v>0</v>
      </c>
      <c r="F936" s="12"/>
      <c r="G936" s="9"/>
      <c r="H936" s="10"/>
      <c r="I936" s="49">
        <f t="shared" si="893"/>
        <v>0</v>
      </c>
      <c r="J936" s="11">
        <f t="shared" si="894"/>
        <v>0</v>
      </c>
      <c r="K936" s="62"/>
      <c r="L936" s="108" t="s">
        <v>904</v>
      </c>
      <c r="M936" s="8">
        <v>1</v>
      </c>
      <c r="N936" s="9">
        <v>1</v>
      </c>
      <c r="O936" s="52">
        <v>1</v>
      </c>
      <c r="P936" s="87">
        <f t="shared" si="889"/>
        <v>3</v>
      </c>
      <c r="Q936" s="8">
        <v>1</v>
      </c>
      <c r="R936" s="9">
        <v>1</v>
      </c>
      <c r="S936" s="10">
        <v>1</v>
      </c>
      <c r="T936" s="49">
        <f t="shared" si="890"/>
        <v>3</v>
      </c>
      <c r="U936" s="11">
        <f t="shared" si="891"/>
        <v>6</v>
      </c>
      <c r="V936" s="98">
        <v>45275</v>
      </c>
    </row>
    <row r="937" spans="1:23" x14ac:dyDescent="0.15">
      <c r="A937" s="108"/>
      <c r="B937" s="8"/>
      <c r="C937" s="9"/>
      <c r="D937" s="10"/>
      <c r="E937" s="49">
        <f t="shared" si="892"/>
        <v>0</v>
      </c>
      <c r="F937" s="12"/>
      <c r="G937" s="9"/>
      <c r="H937" s="10"/>
      <c r="I937" s="49">
        <f t="shared" si="893"/>
        <v>0</v>
      </c>
      <c r="J937" s="11">
        <f t="shared" si="894"/>
        <v>0</v>
      </c>
      <c r="K937" s="62"/>
      <c r="L937" s="108" t="s">
        <v>905</v>
      </c>
      <c r="M937" s="8"/>
      <c r="N937" s="9"/>
      <c r="O937" s="52">
        <v>1</v>
      </c>
      <c r="P937" s="87">
        <f t="shared" si="889"/>
        <v>1</v>
      </c>
      <c r="Q937" s="8"/>
      <c r="R937" s="9"/>
      <c r="S937" s="10">
        <v>1</v>
      </c>
      <c r="T937" s="49">
        <f t="shared" si="890"/>
        <v>1</v>
      </c>
      <c r="U937" s="11">
        <f t="shared" si="891"/>
        <v>2</v>
      </c>
      <c r="V937" s="98">
        <v>45278</v>
      </c>
    </row>
    <row r="938" spans="1:23" x14ac:dyDescent="0.15">
      <c r="A938" s="108"/>
      <c r="B938" s="8"/>
      <c r="C938" s="9"/>
      <c r="D938" s="10"/>
      <c r="E938" s="49">
        <f t="shared" si="892"/>
        <v>0</v>
      </c>
      <c r="F938" s="12"/>
      <c r="G938" s="9"/>
      <c r="H938" s="10"/>
      <c r="I938" s="49">
        <f t="shared" si="893"/>
        <v>0</v>
      </c>
      <c r="J938" s="11">
        <f t="shared" si="894"/>
        <v>0</v>
      </c>
      <c r="K938" s="62"/>
      <c r="L938" s="108" t="s">
        <v>906</v>
      </c>
      <c r="M938" s="8"/>
      <c r="N938" s="9">
        <v>1</v>
      </c>
      <c r="O938" s="52"/>
      <c r="P938" s="87">
        <f t="shared" si="889"/>
        <v>1</v>
      </c>
      <c r="Q938" s="8"/>
      <c r="R938" s="9">
        <v>1</v>
      </c>
      <c r="S938" s="10"/>
      <c r="T938" s="49">
        <f t="shared" si="890"/>
        <v>1</v>
      </c>
      <c r="U938" s="11">
        <f t="shared" si="891"/>
        <v>2</v>
      </c>
      <c r="V938" s="98">
        <v>45280</v>
      </c>
    </row>
    <row r="939" spans="1:23" x14ac:dyDescent="0.15">
      <c r="A939" s="108"/>
      <c r="B939" s="8"/>
      <c r="C939" s="9"/>
      <c r="D939" s="10"/>
      <c r="E939" s="49">
        <f t="shared" si="892"/>
        <v>0</v>
      </c>
      <c r="F939" s="12"/>
      <c r="G939" s="9"/>
      <c r="H939" s="10"/>
      <c r="I939" s="49">
        <f t="shared" si="893"/>
        <v>0</v>
      </c>
      <c r="J939" s="11">
        <f t="shared" si="894"/>
        <v>0</v>
      </c>
      <c r="K939" s="62"/>
      <c r="L939" s="108" t="s">
        <v>257</v>
      </c>
      <c r="M939" s="8"/>
      <c r="N939" s="9"/>
      <c r="O939" s="52">
        <v>1</v>
      </c>
      <c r="P939" s="87">
        <f t="shared" si="889"/>
        <v>1</v>
      </c>
      <c r="Q939" s="8"/>
      <c r="R939" s="9"/>
      <c r="S939" s="10">
        <v>1</v>
      </c>
      <c r="T939" s="49">
        <f t="shared" si="890"/>
        <v>1</v>
      </c>
      <c r="U939" s="11">
        <f t="shared" si="891"/>
        <v>2</v>
      </c>
      <c r="V939" s="98">
        <v>45281</v>
      </c>
    </row>
    <row r="940" spans="1:23" x14ac:dyDescent="0.15">
      <c r="A940" s="108"/>
      <c r="B940" s="8"/>
      <c r="C940" s="9"/>
      <c r="D940" s="10"/>
      <c r="E940" s="49">
        <f t="shared" si="892"/>
        <v>0</v>
      </c>
      <c r="F940" s="12"/>
      <c r="G940" s="9"/>
      <c r="H940" s="10"/>
      <c r="I940" s="49">
        <f t="shared" si="893"/>
        <v>0</v>
      </c>
      <c r="J940" s="11">
        <f t="shared" si="894"/>
        <v>0</v>
      </c>
      <c r="K940" s="62"/>
      <c r="L940" s="108" t="s">
        <v>264</v>
      </c>
      <c r="M940" s="8"/>
      <c r="N940" s="9">
        <v>1</v>
      </c>
      <c r="O940" s="52">
        <v>1</v>
      </c>
      <c r="P940" s="87">
        <f t="shared" si="889"/>
        <v>2</v>
      </c>
      <c r="Q940" s="8"/>
      <c r="R940" s="9">
        <v>1</v>
      </c>
      <c r="S940" s="10">
        <v>1</v>
      </c>
      <c r="T940" s="49">
        <f t="shared" si="890"/>
        <v>2</v>
      </c>
      <c r="U940" s="11">
        <f t="shared" si="891"/>
        <v>4</v>
      </c>
      <c r="V940" s="98">
        <v>45282</v>
      </c>
    </row>
    <row r="941" spans="1:23" x14ac:dyDescent="0.15">
      <c r="A941" s="108"/>
      <c r="B941" s="8"/>
      <c r="C941" s="9"/>
      <c r="D941" s="10"/>
      <c r="E941" s="49">
        <f t="shared" si="892"/>
        <v>0</v>
      </c>
      <c r="F941" s="12"/>
      <c r="G941" s="9"/>
      <c r="H941" s="10"/>
      <c r="I941" s="49">
        <f t="shared" si="893"/>
        <v>0</v>
      </c>
      <c r="J941" s="11">
        <f t="shared" si="894"/>
        <v>0</v>
      </c>
      <c r="K941" s="62"/>
      <c r="L941" s="108" t="s">
        <v>262</v>
      </c>
      <c r="M941" s="8"/>
      <c r="N941" s="9">
        <v>1</v>
      </c>
      <c r="O941" s="52"/>
      <c r="P941" s="87">
        <f t="shared" si="889"/>
        <v>1</v>
      </c>
      <c r="Q941" s="8"/>
      <c r="R941" s="9">
        <v>1</v>
      </c>
      <c r="S941" s="10"/>
      <c r="T941" s="49">
        <f t="shared" si="890"/>
        <v>1</v>
      </c>
      <c r="U941" s="11">
        <f t="shared" si="891"/>
        <v>2</v>
      </c>
      <c r="V941" s="98">
        <v>45282</v>
      </c>
      <c r="W941" s="66"/>
    </row>
    <row r="942" spans="1:23" x14ac:dyDescent="0.15">
      <c r="A942" s="108"/>
      <c r="B942" s="8"/>
      <c r="C942" s="9"/>
      <c r="D942" s="10"/>
      <c r="E942" s="49">
        <f t="shared" si="892"/>
        <v>0</v>
      </c>
      <c r="F942" s="12"/>
      <c r="G942" s="9"/>
      <c r="H942" s="10"/>
      <c r="I942" s="49">
        <f t="shared" si="893"/>
        <v>0</v>
      </c>
      <c r="J942" s="11">
        <f t="shared" si="894"/>
        <v>0</v>
      </c>
      <c r="K942" s="62"/>
      <c r="L942" s="108" t="s">
        <v>263</v>
      </c>
      <c r="M942" s="8"/>
      <c r="N942" s="9">
        <v>3</v>
      </c>
      <c r="O942" s="52">
        <v>1</v>
      </c>
      <c r="P942" s="87">
        <f t="shared" si="889"/>
        <v>4</v>
      </c>
      <c r="Q942" s="8"/>
      <c r="R942" s="9">
        <v>3</v>
      </c>
      <c r="S942" s="10">
        <v>1</v>
      </c>
      <c r="T942" s="49">
        <f t="shared" si="890"/>
        <v>4</v>
      </c>
      <c r="U942" s="11">
        <f t="shared" si="891"/>
        <v>8</v>
      </c>
      <c r="V942" s="98">
        <v>45285</v>
      </c>
    </row>
    <row r="943" spans="1:23" x14ac:dyDescent="0.15">
      <c r="A943" s="108"/>
      <c r="B943" s="8"/>
      <c r="C943" s="9"/>
      <c r="D943" s="10"/>
      <c r="E943" s="49">
        <f t="shared" si="892"/>
        <v>0</v>
      </c>
      <c r="F943" s="12"/>
      <c r="G943" s="9"/>
      <c r="H943" s="10"/>
      <c r="I943" s="49">
        <f t="shared" si="893"/>
        <v>0</v>
      </c>
      <c r="J943" s="11">
        <f t="shared" si="894"/>
        <v>0</v>
      </c>
      <c r="K943" s="62"/>
      <c r="L943" s="108" t="s">
        <v>271</v>
      </c>
      <c r="M943" s="8"/>
      <c r="N943" s="9"/>
      <c r="O943" s="52">
        <v>1</v>
      </c>
      <c r="P943" s="87">
        <f t="shared" si="889"/>
        <v>1</v>
      </c>
      <c r="Q943" s="8"/>
      <c r="R943" s="9"/>
      <c r="S943" s="10">
        <v>1</v>
      </c>
      <c r="T943" s="49">
        <f t="shared" si="890"/>
        <v>1</v>
      </c>
      <c r="U943" s="11">
        <f t="shared" si="891"/>
        <v>2</v>
      </c>
      <c r="V943" s="98">
        <v>45288</v>
      </c>
    </row>
    <row r="944" spans="1:23" x14ac:dyDescent="0.15">
      <c r="A944" s="108"/>
      <c r="B944" s="8"/>
      <c r="C944" s="9"/>
      <c r="D944" s="10"/>
      <c r="E944" s="49">
        <f t="shared" si="892"/>
        <v>0</v>
      </c>
      <c r="F944" s="12"/>
      <c r="G944" s="9"/>
      <c r="H944" s="10"/>
      <c r="I944" s="49">
        <f t="shared" si="893"/>
        <v>0</v>
      </c>
      <c r="J944" s="11">
        <f t="shared" si="894"/>
        <v>0</v>
      </c>
      <c r="K944" s="62"/>
      <c r="L944" s="108" t="s">
        <v>272</v>
      </c>
      <c r="M944" s="8"/>
      <c r="N944" s="9"/>
      <c r="O944" s="52">
        <v>1</v>
      </c>
      <c r="P944" s="87">
        <f t="shared" si="889"/>
        <v>1</v>
      </c>
      <c r="Q944" s="8"/>
      <c r="R944" s="9"/>
      <c r="S944" s="10">
        <v>1</v>
      </c>
      <c r="T944" s="49">
        <f t="shared" si="890"/>
        <v>1</v>
      </c>
      <c r="U944" s="11">
        <f t="shared" si="891"/>
        <v>2</v>
      </c>
      <c r="V944" s="98">
        <v>45303</v>
      </c>
    </row>
    <row r="945" spans="1:22" x14ac:dyDescent="0.15">
      <c r="A945" s="108"/>
      <c r="B945" s="8"/>
      <c r="C945" s="9"/>
      <c r="D945" s="10"/>
      <c r="E945" s="49">
        <f t="shared" si="892"/>
        <v>0</v>
      </c>
      <c r="F945" s="12"/>
      <c r="G945" s="9"/>
      <c r="H945" s="10"/>
      <c r="I945" s="49">
        <f t="shared" si="893"/>
        <v>0</v>
      </c>
      <c r="J945" s="11">
        <f t="shared" si="894"/>
        <v>0</v>
      </c>
      <c r="K945" s="62"/>
      <c r="L945" s="108" t="s">
        <v>274</v>
      </c>
      <c r="M945" s="8">
        <v>1</v>
      </c>
      <c r="N945" s="9"/>
      <c r="O945" s="52"/>
      <c r="P945" s="87">
        <f t="shared" si="889"/>
        <v>1</v>
      </c>
      <c r="Q945" s="8">
        <v>1</v>
      </c>
      <c r="R945" s="9"/>
      <c r="S945" s="10"/>
      <c r="T945" s="49">
        <f t="shared" si="890"/>
        <v>1</v>
      </c>
      <c r="U945" s="11">
        <f t="shared" si="891"/>
        <v>2</v>
      </c>
      <c r="V945" s="98">
        <v>45310</v>
      </c>
    </row>
    <row r="946" spans="1:22" x14ac:dyDescent="0.15">
      <c r="A946" s="108"/>
      <c r="B946" s="8"/>
      <c r="C946" s="9"/>
      <c r="D946" s="10"/>
      <c r="E946" s="49">
        <f t="shared" si="892"/>
        <v>0</v>
      </c>
      <c r="F946" s="12"/>
      <c r="G946" s="9"/>
      <c r="H946" s="10"/>
      <c r="I946" s="49">
        <f t="shared" si="893"/>
        <v>0</v>
      </c>
      <c r="J946" s="11">
        <f t="shared" si="894"/>
        <v>0</v>
      </c>
      <c r="K946" s="62"/>
      <c r="L946" s="108" t="s">
        <v>275</v>
      </c>
      <c r="M946" s="8">
        <v>1</v>
      </c>
      <c r="N946" s="9">
        <v>1</v>
      </c>
      <c r="O946" s="52"/>
      <c r="P946" s="87">
        <f t="shared" si="889"/>
        <v>2</v>
      </c>
      <c r="Q946" s="8">
        <v>1</v>
      </c>
      <c r="R946" s="9">
        <v>1</v>
      </c>
      <c r="S946" s="10"/>
      <c r="T946" s="49">
        <f t="shared" si="890"/>
        <v>2</v>
      </c>
      <c r="U946" s="11">
        <f t="shared" si="891"/>
        <v>4</v>
      </c>
      <c r="V946" s="98">
        <v>45315</v>
      </c>
    </row>
    <row r="947" spans="1:22" x14ac:dyDescent="0.15">
      <c r="A947" s="108"/>
      <c r="B947" s="8"/>
      <c r="C947" s="9"/>
      <c r="D947" s="10"/>
      <c r="E947" s="49">
        <f t="shared" si="892"/>
        <v>0</v>
      </c>
      <c r="F947" s="12"/>
      <c r="G947" s="9"/>
      <c r="H947" s="10"/>
      <c r="I947" s="49">
        <f t="shared" si="893"/>
        <v>0</v>
      </c>
      <c r="J947" s="11">
        <f t="shared" si="894"/>
        <v>0</v>
      </c>
      <c r="K947" s="62"/>
      <c r="L947" s="108" t="s">
        <v>276</v>
      </c>
      <c r="M947" s="8"/>
      <c r="N947" s="9"/>
      <c r="O947" s="52">
        <v>1</v>
      </c>
      <c r="P947" s="87">
        <f t="shared" si="889"/>
        <v>1</v>
      </c>
      <c r="Q947" s="8"/>
      <c r="R947" s="9"/>
      <c r="S947" s="10">
        <v>1</v>
      </c>
      <c r="T947" s="49">
        <f t="shared" si="890"/>
        <v>1</v>
      </c>
      <c r="U947" s="11">
        <f t="shared" si="891"/>
        <v>2</v>
      </c>
      <c r="V947" s="98">
        <v>45316</v>
      </c>
    </row>
    <row r="948" spans="1:22" x14ac:dyDescent="0.15">
      <c r="A948" s="108"/>
      <c r="B948" s="8"/>
      <c r="C948" s="9"/>
      <c r="D948" s="10"/>
      <c r="E948" s="49">
        <f t="shared" si="892"/>
        <v>0</v>
      </c>
      <c r="F948" s="12"/>
      <c r="G948" s="9"/>
      <c r="H948" s="10"/>
      <c r="I948" s="49">
        <f t="shared" si="893"/>
        <v>0</v>
      </c>
      <c r="J948" s="11">
        <f t="shared" si="894"/>
        <v>0</v>
      </c>
      <c r="K948" s="62"/>
      <c r="L948" s="108" t="s">
        <v>277</v>
      </c>
      <c r="M948" s="8"/>
      <c r="N948" s="9">
        <v>1</v>
      </c>
      <c r="O948" s="52"/>
      <c r="P948" s="87">
        <f t="shared" si="889"/>
        <v>1</v>
      </c>
      <c r="Q948" s="8"/>
      <c r="R948" s="9">
        <v>1</v>
      </c>
      <c r="S948" s="10"/>
      <c r="T948" s="49">
        <f t="shared" si="890"/>
        <v>1</v>
      </c>
      <c r="U948" s="11">
        <f t="shared" si="891"/>
        <v>2</v>
      </c>
      <c r="V948" s="98">
        <v>45317</v>
      </c>
    </row>
    <row r="949" spans="1:22" x14ac:dyDescent="0.15">
      <c r="A949" s="108"/>
      <c r="B949" s="8"/>
      <c r="C949" s="9"/>
      <c r="D949" s="10"/>
      <c r="E949" s="49">
        <f t="shared" si="892"/>
        <v>0</v>
      </c>
      <c r="F949" s="12"/>
      <c r="G949" s="9"/>
      <c r="H949" s="10"/>
      <c r="I949" s="49">
        <f t="shared" si="893"/>
        <v>0</v>
      </c>
      <c r="J949" s="11">
        <f t="shared" si="894"/>
        <v>0</v>
      </c>
      <c r="K949" s="62"/>
      <c r="L949" s="108" t="s">
        <v>278</v>
      </c>
      <c r="M949" s="8"/>
      <c r="N949" s="9"/>
      <c r="O949" s="52">
        <v>1</v>
      </c>
      <c r="P949" s="87">
        <f t="shared" si="889"/>
        <v>1</v>
      </c>
      <c r="Q949" s="8"/>
      <c r="R949" s="9"/>
      <c r="S949" s="10">
        <v>1</v>
      </c>
      <c r="T949" s="49">
        <f t="shared" si="890"/>
        <v>1</v>
      </c>
      <c r="U949" s="11">
        <f t="shared" si="891"/>
        <v>2</v>
      </c>
      <c r="V949" s="98">
        <v>45323</v>
      </c>
    </row>
    <row r="950" spans="1:22" x14ac:dyDescent="0.15">
      <c r="A950" s="108"/>
      <c r="B950" s="8"/>
      <c r="C950" s="9"/>
      <c r="D950" s="10"/>
      <c r="E950" s="49">
        <f t="shared" si="892"/>
        <v>0</v>
      </c>
      <c r="F950" s="12"/>
      <c r="G950" s="9"/>
      <c r="H950" s="10"/>
      <c r="I950" s="49">
        <f t="shared" si="893"/>
        <v>0</v>
      </c>
      <c r="J950" s="11">
        <f t="shared" si="894"/>
        <v>0</v>
      </c>
      <c r="K950" s="62"/>
      <c r="L950" s="108" t="s">
        <v>279</v>
      </c>
      <c r="M950" s="8">
        <v>1</v>
      </c>
      <c r="N950" s="9"/>
      <c r="O950" s="52"/>
      <c r="P950" s="87">
        <f t="shared" si="889"/>
        <v>1</v>
      </c>
      <c r="Q950" s="8">
        <v>1</v>
      </c>
      <c r="R950" s="9"/>
      <c r="S950" s="10"/>
      <c r="T950" s="49">
        <f t="shared" si="890"/>
        <v>1</v>
      </c>
      <c r="U950" s="11">
        <f t="shared" si="891"/>
        <v>2</v>
      </c>
      <c r="V950" s="98">
        <v>45324</v>
      </c>
    </row>
    <row r="951" spans="1:22" x14ac:dyDescent="0.15">
      <c r="A951" s="108"/>
      <c r="B951" s="8"/>
      <c r="C951" s="9"/>
      <c r="D951" s="10"/>
      <c r="E951" s="49">
        <f t="shared" si="892"/>
        <v>0</v>
      </c>
      <c r="F951" s="12"/>
      <c r="G951" s="9"/>
      <c r="H951" s="10"/>
      <c r="I951" s="49">
        <f t="shared" si="893"/>
        <v>0</v>
      </c>
      <c r="J951" s="11">
        <f t="shared" si="894"/>
        <v>0</v>
      </c>
      <c r="K951" s="62"/>
      <c r="L951" s="108" t="s">
        <v>280</v>
      </c>
      <c r="M951" s="8">
        <v>1</v>
      </c>
      <c r="N951" s="9"/>
      <c r="O951" s="52"/>
      <c r="P951" s="87">
        <f t="shared" si="889"/>
        <v>1</v>
      </c>
      <c r="Q951" s="8">
        <v>1</v>
      </c>
      <c r="R951" s="9"/>
      <c r="S951" s="10"/>
      <c r="T951" s="49">
        <f t="shared" si="890"/>
        <v>1</v>
      </c>
      <c r="U951" s="11">
        <f t="shared" si="891"/>
        <v>2</v>
      </c>
      <c r="V951" s="98">
        <v>45350</v>
      </c>
    </row>
    <row r="952" spans="1:22" x14ac:dyDescent="0.15">
      <c r="A952" s="108"/>
      <c r="B952" s="8"/>
      <c r="C952" s="9"/>
      <c r="D952" s="10"/>
      <c r="E952" s="49">
        <f t="shared" si="892"/>
        <v>0</v>
      </c>
      <c r="F952" s="12"/>
      <c r="G952" s="9"/>
      <c r="H952" s="10"/>
      <c r="I952" s="49">
        <f t="shared" si="893"/>
        <v>0</v>
      </c>
      <c r="J952" s="11">
        <f t="shared" si="894"/>
        <v>0</v>
      </c>
      <c r="K952" s="62"/>
      <c r="L952" s="26"/>
      <c r="M952" s="8"/>
      <c r="N952" s="9"/>
      <c r="O952" s="52"/>
      <c r="P952" s="87">
        <f t="shared" ref="P952:P958" si="895">SUM(M952:O952)</f>
        <v>0</v>
      </c>
      <c r="Q952" s="8"/>
      <c r="R952" s="9"/>
      <c r="S952" s="10"/>
      <c r="T952" s="49">
        <f t="shared" ref="T952:T958" si="896">SUM(Q952:S952)</f>
        <v>0</v>
      </c>
      <c r="U952" s="11">
        <f t="shared" ref="U952:U957" si="897">P952+T952</f>
        <v>0</v>
      </c>
      <c r="V952" s="100"/>
    </row>
    <row r="953" spans="1:22" x14ac:dyDescent="0.15">
      <c r="A953" s="108"/>
      <c r="B953" s="8"/>
      <c r="C953" s="9"/>
      <c r="D953" s="10"/>
      <c r="E953" s="49">
        <f t="shared" si="892"/>
        <v>0</v>
      </c>
      <c r="F953" s="12"/>
      <c r="G953" s="9"/>
      <c r="H953" s="10"/>
      <c r="I953" s="49">
        <f t="shared" si="893"/>
        <v>0</v>
      </c>
      <c r="J953" s="11">
        <f t="shared" si="894"/>
        <v>0</v>
      </c>
      <c r="K953" s="62"/>
      <c r="L953" s="26"/>
      <c r="M953" s="8"/>
      <c r="N953" s="9"/>
      <c r="O953" s="52"/>
      <c r="P953" s="87">
        <f t="shared" ref="P953:P956" si="898">SUM(M953:O953)</f>
        <v>0</v>
      </c>
      <c r="Q953" s="8"/>
      <c r="R953" s="9"/>
      <c r="S953" s="10"/>
      <c r="T953" s="49">
        <f t="shared" ref="T953:T956" si="899">SUM(Q953:S953)</f>
        <v>0</v>
      </c>
      <c r="U953" s="11">
        <f t="shared" ref="U953:U956" si="900">P953+T953</f>
        <v>0</v>
      </c>
    </row>
    <row r="954" spans="1:22" x14ac:dyDescent="0.15">
      <c r="A954" s="108"/>
      <c r="B954" s="8"/>
      <c r="C954" s="9"/>
      <c r="D954" s="10"/>
      <c r="E954" s="49">
        <f t="shared" si="892"/>
        <v>0</v>
      </c>
      <c r="F954" s="12"/>
      <c r="G954" s="9"/>
      <c r="H954" s="10"/>
      <c r="I954" s="49">
        <f t="shared" si="893"/>
        <v>0</v>
      </c>
      <c r="J954" s="11">
        <f t="shared" si="894"/>
        <v>0</v>
      </c>
      <c r="K954" s="62"/>
      <c r="L954" s="26"/>
      <c r="M954" s="8"/>
      <c r="N954" s="9"/>
      <c r="O954" s="52"/>
      <c r="P954" s="87">
        <f t="shared" si="898"/>
        <v>0</v>
      </c>
      <c r="Q954" s="8"/>
      <c r="R954" s="9"/>
      <c r="S954" s="10"/>
      <c r="T954" s="49">
        <f t="shared" si="899"/>
        <v>0</v>
      </c>
      <c r="U954" s="11">
        <f t="shared" si="900"/>
        <v>0</v>
      </c>
    </row>
    <row r="955" spans="1:22" x14ac:dyDescent="0.15">
      <c r="A955" s="108"/>
      <c r="B955" s="8"/>
      <c r="C955" s="9"/>
      <c r="D955" s="10"/>
      <c r="E955" s="49">
        <f t="shared" si="892"/>
        <v>0</v>
      </c>
      <c r="F955" s="12"/>
      <c r="G955" s="9"/>
      <c r="H955" s="10"/>
      <c r="I955" s="49">
        <f t="shared" si="893"/>
        <v>0</v>
      </c>
      <c r="J955" s="11">
        <f t="shared" si="894"/>
        <v>0</v>
      </c>
      <c r="K955" s="62"/>
      <c r="L955" s="26"/>
      <c r="M955" s="8"/>
      <c r="N955" s="9"/>
      <c r="O955" s="52"/>
      <c r="P955" s="87">
        <f t="shared" si="898"/>
        <v>0</v>
      </c>
      <c r="Q955" s="8"/>
      <c r="R955" s="9"/>
      <c r="S955" s="10"/>
      <c r="T955" s="49">
        <f t="shared" si="899"/>
        <v>0</v>
      </c>
      <c r="U955" s="11">
        <f t="shared" si="900"/>
        <v>0</v>
      </c>
    </row>
    <row r="956" spans="1:22" x14ac:dyDescent="0.15">
      <c r="A956" s="108"/>
      <c r="B956" s="8"/>
      <c r="C956" s="9"/>
      <c r="D956" s="10"/>
      <c r="E956" s="49">
        <f t="shared" si="892"/>
        <v>0</v>
      </c>
      <c r="F956" s="12"/>
      <c r="G956" s="9"/>
      <c r="H956" s="10"/>
      <c r="I956" s="49">
        <f t="shared" si="893"/>
        <v>0</v>
      </c>
      <c r="J956" s="11">
        <f t="shared" si="894"/>
        <v>0</v>
      </c>
      <c r="K956" s="62"/>
      <c r="L956" s="26"/>
      <c r="M956" s="8"/>
      <c r="N956" s="9"/>
      <c r="O956" s="52"/>
      <c r="P956" s="87">
        <f t="shared" si="898"/>
        <v>0</v>
      </c>
      <c r="Q956" s="8"/>
      <c r="R956" s="9"/>
      <c r="S956" s="10"/>
      <c r="T956" s="49">
        <f t="shared" si="899"/>
        <v>0</v>
      </c>
      <c r="U956" s="11">
        <f t="shared" si="900"/>
        <v>0</v>
      </c>
    </row>
    <row r="957" spans="1:22" ht="14.25" thickBot="1" x14ac:dyDescent="0.2">
      <c r="A957" s="108"/>
      <c r="B957" s="8"/>
      <c r="C957" s="9"/>
      <c r="D957" s="10"/>
      <c r="E957" s="49">
        <f t="shared" si="892"/>
        <v>0</v>
      </c>
      <c r="F957" s="12"/>
      <c r="G957" s="9"/>
      <c r="H957" s="10"/>
      <c r="I957" s="49">
        <f t="shared" si="893"/>
        <v>0</v>
      </c>
      <c r="J957" s="11">
        <f t="shared" si="894"/>
        <v>0</v>
      </c>
      <c r="K957" s="62"/>
      <c r="L957" s="86"/>
      <c r="M957" s="8"/>
      <c r="N957" s="9"/>
      <c r="O957" s="52"/>
      <c r="P957" s="87">
        <f t="shared" si="895"/>
        <v>0</v>
      </c>
      <c r="Q957" s="8"/>
      <c r="R957" s="9"/>
      <c r="S957" s="52"/>
      <c r="T957" s="49">
        <f t="shared" si="896"/>
        <v>0</v>
      </c>
      <c r="U957" s="11">
        <f t="shared" si="897"/>
        <v>0</v>
      </c>
    </row>
    <row r="958" spans="1:22" ht="14.25" thickBot="1" x14ac:dyDescent="0.2">
      <c r="A958" s="41" t="s">
        <v>17</v>
      </c>
      <c r="B958" s="46">
        <f>SUM(B932:B957)</f>
        <v>0</v>
      </c>
      <c r="C958" s="47">
        <f t="shared" ref="C958:D958" si="901">SUM(C932:C957)</f>
        <v>0</v>
      </c>
      <c r="D958" s="58">
        <f t="shared" si="901"/>
        <v>0</v>
      </c>
      <c r="E958" s="45">
        <f t="shared" si="892"/>
        <v>0</v>
      </c>
      <c r="F958" s="46">
        <f>SUM(F932:F957)</f>
        <v>0</v>
      </c>
      <c r="G958" s="47">
        <f t="shared" ref="G958:H958" si="902">SUM(G932:G957)</f>
        <v>0</v>
      </c>
      <c r="H958" s="58">
        <f t="shared" si="902"/>
        <v>0</v>
      </c>
      <c r="I958" s="45">
        <f t="shared" si="893"/>
        <v>0</v>
      </c>
      <c r="J958" s="45">
        <f>E958+I958</f>
        <v>0</v>
      </c>
      <c r="L958" s="41" t="s">
        <v>17</v>
      </c>
      <c r="M958" s="46">
        <f>SUM(M932:M957)</f>
        <v>8</v>
      </c>
      <c r="N958" s="47">
        <f t="shared" ref="N958:O958" si="903">SUM(N932:N957)</f>
        <v>16</v>
      </c>
      <c r="O958" s="58">
        <f t="shared" si="903"/>
        <v>12</v>
      </c>
      <c r="P958" s="45">
        <f t="shared" si="895"/>
        <v>36</v>
      </c>
      <c r="Q958" s="46">
        <f>SUM(Q932:Q957)</f>
        <v>8</v>
      </c>
      <c r="R958" s="47">
        <f t="shared" ref="R958:S958" si="904">SUM(R932:R957)</f>
        <v>16</v>
      </c>
      <c r="S958" s="58">
        <f t="shared" si="904"/>
        <v>12</v>
      </c>
      <c r="T958" s="45">
        <f t="shared" si="896"/>
        <v>36</v>
      </c>
      <c r="U958" s="45">
        <f>P958+T958</f>
        <v>72</v>
      </c>
    </row>
    <row r="959" spans="1:22" ht="14.25" thickBot="1" x14ac:dyDescent="0.2">
      <c r="A959" s="22" t="s">
        <v>16</v>
      </c>
      <c r="B959" s="50">
        <f>B931-B958</f>
        <v>0</v>
      </c>
      <c r="C959" s="56">
        <f t="shared" ref="C959:D959" si="905">C931-C958</f>
        <v>0</v>
      </c>
      <c r="D959" s="57">
        <f t="shared" si="905"/>
        <v>0</v>
      </c>
      <c r="E959" s="55">
        <f>SUM(B959:D959)</f>
        <v>0</v>
      </c>
      <c r="F959" s="50">
        <f>F931-F958</f>
        <v>2</v>
      </c>
      <c r="G959" s="56">
        <f t="shared" ref="G959:H959" si="906">G931-G958</f>
        <v>0</v>
      </c>
      <c r="H959" s="57">
        <f t="shared" si="906"/>
        <v>2</v>
      </c>
      <c r="I959" s="55">
        <f>SUM(F959:H959)</f>
        <v>4</v>
      </c>
      <c r="J959" s="31">
        <f>E959+I959</f>
        <v>4</v>
      </c>
      <c r="L959" s="22" t="s">
        <v>16</v>
      </c>
      <c r="M959" s="50">
        <f>M931-M958</f>
        <v>35</v>
      </c>
      <c r="N959" s="56">
        <f t="shared" ref="N959:O959" si="907">N931-N958</f>
        <v>3</v>
      </c>
      <c r="O959" s="57">
        <f t="shared" si="907"/>
        <v>33</v>
      </c>
      <c r="P959" s="55">
        <f>SUM(M959:O959)</f>
        <v>71</v>
      </c>
      <c r="Q959" s="50">
        <f>Q931-Q958</f>
        <v>35</v>
      </c>
      <c r="R959" s="56">
        <f t="shared" ref="R959:S959" si="908">R931-R958</f>
        <v>3</v>
      </c>
      <c r="S959" s="57">
        <f t="shared" si="908"/>
        <v>33</v>
      </c>
      <c r="T959" s="55">
        <f>SUM(Q959:S959)</f>
        <v>71</v>
      </c>
      <c r="U959" s="31">
        <f>P959+T959</f>
        <v>142</v>
      </c>
    </row>
    <row r="960" spans="1:22" x14ac:dyDescent="0.15">
      <c r="M960" s="147">
        <f>M958+M915+M872</f>
        <v>83</v>
      </c>
      <c r="N960" s="147">
        <f t="shared" ref="N960:U960" si="909">N958+N915+N872</f>
        <v>126</v>
      </c>
      <c r="O960" s="147">
        <f t="shared" si="909"/>
        <v>106</v>
      </c>
      <c r="P960" s="147">
        <f t="shared" si="909"/>
        <v>315</v>
      </c>
      <c r="Q960" s="147">
        <f t="shared" si="909"/>
        <v>83</v>
      </c>
      <c r="R960" s="147">
        <f t="shared" si="909"/>
        <v>126</v>
      </c>
      <c r="S960" s="147">
        <f t="shared" si="909"/>
        <v>106</v>
      </c>
      <c r="T960" s="147">
        <f t="shared" si="909"/>
        <v>315</v>
      </c>
      <c r="U960" s="147">
        <f t="shared" si="909"/>
        <v>630</v>
      </c>
    </row>
    <row r="961" spans="1:21" x14ac:dyDescent="0.15">
      <c r="M961" s="125">
        <f>M960/$P$960*100</f>
        <v>26.349206349206352</v>
      </c>
      <c r="N961" s="125">
        <f t="shared" ref="N961:P961" si="910">N960/$P$960*100</f>
        <v>40</v>
      </c>
      <c r="O961" s="125">
        <f t="shared" si="910"/>
        <v>33.650793650793652</v>
      </c>
      <c r="P961" s="125">
        <f t="shared" si="910"/>
        <v>100</v>
      </c>
    </row>
    <row r="962" spans="1:21" ht="19.5" thickBot="1" x14ac:dyDescent="0.25">
      <c r="A962" s="3" t="s">
        <v>908</v>
      </c>
      <c r="B962" s="1"/>
      <c r="C962" s="1"/>
      <c r="D962" s="1"/>
      <c r="E962" s="1"/>
      <c r="F962" s="1"/>
      <c r="G962" s="1"/>
      <c r="H962" s="1"/>
      <c r="I962" s="1"/>
      <c r="J962" s="1"/>
      <c r="L962" s="129" t="s">
        <v>680</v>
      </c>
      <c r="M962" s="129"/>
      <c r="N962" s="129"/>
      <c r="O962" s="129"/>
      <c r="P962" s="129"/>
      <c r="Q962" s="129"/>
      <c r="R962" s="129"/>
      <c r="S962" s="129"/>
      <c r="T962" s="129"/>
      <c r="U962" s="1"/>
    </row>
    <row r="963" spans="1:21" ht="14.25" thickBot="1" x14ac:dyDescent="0.2">
      <c r="A963" s="7"/>
      <c r="B963" s="176" t="s">
        <v>22</v>
      </c>
      <c r="C963" s="177"/>
      <c r="D963" s="177"/>
      <c r="E963" s="178"/>
      <c r="F963" s="176" t="s">
        <v>23</v>
      </c>
      <c r="G963" s="177"/>
      <c r="H963" s="177"/>
      <c r="I963" s="179"/>
      <c r="J963" s="174" t="s">
        <v>0</v>
      </c>
      <c r="L963" s="7"/>
      <c r="M963" s="169" t="s">
        <v>22</v>
      </c>
      <c r="N963" s="170"/>
      <c r="O963" s="170"/>
      <c r="P963" s="171"/>
      <c r="Q963" s="169" t="s">
        <v>23</v>
      </c>
      <c r="R963" s="170"/>
      <c r="S963" s="170"/>
      <c r="T963" s="171"/>
      <c r="U963" s="174" t="s">
        <v>0</v>
      </c>
    </row>
    <row r="964" spans="1:21" ht="14.25" thickBot="1" x14ac:dyDescent="0.2">
      <c r="A964" s="7" t="s">
        <v>1</v>
      </c>
      <c r="B964" s="4" t="s">
        <v>2</v>
      </c>
      <c r="C964" s="5" t="s">
        <v>3</v>
      </c>
      <c r="D964" s="6" t="s">
        <v>4</v>
      </c>
      <c r="E964" s="7" t="s">
        <v>5</v>
      </c>
      <c r="F964" s="4" t="s">
        <v>2</v>
      </c>
      <c r="G964" s="5" t="s">
        <v>3</v>
      </c>
      <c r="H964" s="6" t="s">
        <v>4</v>
      </c>
      <c r="I964" s="7" t="s">
        <v>5</v>
      </c>
      <c r="J964" s="175"/>
      <c r="L964" s="7" t="s">
        <v>1</v>
      </c>
      <c r="M964" s="4" t="s">
        <v>2</v>
      </c>
      <c r="N964" s="5" t="s">
        <v>3</v>
      </c>
      <c r="O964" s="6" t="s">
        <v>4</v>
      </c>
      <c r="P964" s="7" t="s">
        <v>5</v>
      </c>
      <c r="Q964" s="4" t="s">
        <v>2</v>
      </c>
      <c r="R964" s="5" t="s">
        <v>3</v>
      </c>
      <c r="S964" s="6" t="s">
        <v>4</v>
      </c>
      <c r="T964" s="7" t="s">
        <v>5</v>
      </c>
      <c r="U964" s="175"/>
    </row>
    <row r="965" spans="1:21" ht="14.25" thickBot="1" x14ac:dyDescent="0.2">
      <c r="A965" s="27" t="s">
        <v>16</v>
      </c>
      <c r="B965" s="28">
        <f t="shared" ref="B965:I965" si="911">B959</f>
        <v>0</v>
      </c>
      <c r="C965" s="29">
        <f t="shared" si="911"/>
        <v>0</v>
      </c>
      <c r="D965" s="30">
        <f t="shared" si="911"/>
        <v>0</v>
      </c>
      <c r="E965" s="31">
        <f t="shared" si="911"/>
        <v>0</v>
      </c>
      <c r="F965" s="28">
        <f t="shared" si="911"/>
        <v>2</v>
      </c>
      <c r="G965" s="29">
        <f t="shared" si="911"/>
        <v>0</v>
      </c>
      <c r="H965" s="30">
        <f t="shared" si="911"/>
        <v>2</v>
      </c>
      <c r="I965" s="31">
        <f t="shared" si="911"/>
        <v>4</v>
      </c>
      <c r="J965" s="31">
        <f>E965+I965</f>
        <v>4</v>
      </c>
      <c r="L965" s="27" t="s">
        <v>16</v>
      </c>
      <c r="M965" s="50">
        <f t="shared" ref="M965:U965" si="912">M959</f>
        <v>35</v>
      </c>
      <c r="N965" s="56">
        <f t="shared" si="912"/>
        <v>3</v>
      </c>
      <c r="O965" s="57">
        <f t="shared" si="912"/>
        <v>33</v>
      </c>
      <c r="P965" s="55">
        <f t="shared" si="912"/>
        <v>71</v>
      </c>
      <c r="Q965" s="50">
        <f t="shared" si="912"/>
        <v>35</v>
      </c>
      <c r="R965" s="56">
        <f t="shared" si="912"/>
        <v>3</v>
      </c>
      <c r="S965" s="57">
        <f t="shared" si="912"/>
        <v>33</v>
      </c>
      <c r="T965" s="55">
        <f t="shared" si="912"/>
        <v>71</v>
      </c>
      <c r="U965" s="31">
        <f t="shared" si="912"/>
        <v>142</v>
      </c>
    </row>
    <row r="966" spans="1:21" x14ac:dyDescent="0.15">
      <c r="A966" s="25" t="s">
        <v>774</v>
      </c>
      <c r="B966" s="8"/>
      <c r="C966" s="9"/>
      <c r="D966" s="52"/>
      <c r="E966" s="11">
        <f>SUM(B966:D966)</f>
        <v>0</v>
      </c>
      <c r="F966" s="12">
        <v>0</v>
      </c>
      <c r="G966" s="9"/>
      <c r="H966" s="10">
        <v>0</v>
      </c>
      <c r="I966" s="11">
        <f>SUM(F966:H966)</f>
        <v>0</v>
      </c>
      <c r="J966" s="11">
        <f>E966+I966</f>
        <v>0</v>
      </c>
      <c r="K966" s="62">
        <v>45531</v>
      </c>
      <c r="L966" s="25" t="s">
        <v>7</v>
      </c>
      <c r="M966" s="8"/>
      <c r="N966" s="9"/>
      <c r="O966" s="52"/>
      <c r="P966" s="11">
        <f t="shared" ref="P966:P967" si="913">SUM(M966:O966)</f>
        <v>0</v>
      </c>
      <c r="Q966" s="8"/>
      <c r="R966" s="9"/>
      <c r="S966" s="52"/>
      <c r="T966" s="11">
        <f t="shared" ref="T966:T967" si="914">SUM(Q966:S966)</f>
        <v>0</v>
      </c>
      <c r="U966" s="11">
        <f t="shared" ref="U966:U967" si="915">P966+T966</f>
        <v>0</v>
      </c>
    </row>
    <row r="967" spans="1:21" x14ac:dyDescent="0.15">
      <c r="A967" s="25" t="s">
        <v>8</v>
      </c>
      <c r="B967" s="8"/>
      <c r="C967" s="9"/>
      <c r="D967" s="52"/>
      <c r="E967" s="11">
        <f>SUM(B967:D967)</f>
        <v>0</v>
      </c>
      <c r="F967" s="12"/>
      <c r="G967" s="9"/>
      <c r="H967" s="10"/>
      <c r="I967" s="11">
        <f>SUM(F967:H967)</f>
        <v>0</v>
      </c>
      <c r="J967" s="11">
        <f>E967+I967</f>
        <v>0</v>
      </c>
      <c r="K967" s="62"/>
      <c r="L967" s="25" t="s">
        <v>8</v>
      </c>
      <c r="M967" s="8"/>
      <c r="N967" s="9"/>
      <c r="O967" s="52"/>
      <c r="P967" s="11">
        <f t="shared" si="913"/>
        <v>0</v>
      </c>
      <c r="Q967" s="8"/>
      <c r="R967" s="9"/>
      <c r="S967" s="52"/>
      <c r="T967" s="11">
        <f t="shared" si="914"/>
        <v>0</v>
      </c>
      <c r="U967" s="11">
        <f t="shared" si="915"/>
        <v>0</v>
      </c>
    </row>
    <row r="968" spans="1:21" x14ac:dyDescent="0.15">
      <c r="A968" s="25" t="s">
        <v>9</v>
      </c>
      <c r="B968" s="17"/>
      <c r="C968" s="18"/>
      <c r="D968" s="51"/>
      <c r="E968" s="11">
        <f t="shared" ref="E968:E973" si="916">SUM(B968:D968)</f>
        <v>0</v>
      </c>
      <c r="F968" s="20"/>
      <c r="G968" s="18"/>
      <c r="H968" s="19"/>
      <c r="I968" s="11">
        <f t="shared" ref="I968:I973" si="917">SUM(F968:H968)</f>
        <v>0</v>
      </c>
      <c r="J968" s="11">
        <f t="shared" ref="J968:J973" si="918">E968+I968</f>
        <v>0</v>
      </c>
      <c r="L968" s="25" t="s">
        <v>9</v>
      </c>
      <c r="M968" s="8"/>
      <c r="N968" s="9"/>
      <c r="O968" s="52"/>
      <c r="P968" s="11">
        <f>SUM(M968:O968)</f>
        <v>0</v>
      </c>
      <c r="Q968" s="8"/>
      <c r="R968" s="9"/>
      <c r="S968" s="52"/>
      <c r="T968" s="11">
        <f>SUM(Q968:S968)</f>
        <v>0</v>
      </c>
      <c r="U968" s="11">
        <f>P968+T968</f>
        <v>0</v>
      </c>
    </row>
    <row r="969" spans="1:21" x14ac:dyDescent="0.15">
      <c r="A969" s="25" t="s">
        <v>10</v>
      </c>
      <c r="B969" s="8"/>
      <c r="C969" s="9"/>
      <c r="D969" s="52"/>
      <c r="E969" s="11">
        <f t="shared" si="916"/>
        <v>0</v>
      </c>
      <c r="F969" s="12"/>
      <c r="G969" s="9"/>
      <c r="H969" s="10"/>
      <c r="I969" s="11">
        <f t="shared" si="917"/>
        <v>0</v>
      </c>
      <c r="J969" s="11">
        <f t="shared" si="918"/>
        <v>0</v>
      </c>
      <c r="L969" s="25" t="s">
        <v>10</v>
      </c>
      <c r="M969" s="8"/>
      <c r="N969" s="9"/>
      <c r="O969" s="52"/>
      <c r="P969" s="11">
        <f t="shared" ref="P969:P973" si="919">SUM(M969:O969)</f>
        <v>0</v>
      </c>
      <c r="Q969" s="12"/>
      <c r="R969" s="9"/>
      <c r="S969" s="10"/>
      <c r="T969" s="11">
        <f t="shared" ref="T969:T973" si="920">SUM(Q969:S969)</f>
        <v>0</v>
      </c>
      <c r="U969" s="11">
        <f t="shared" ref="U969:U973" si="921">P969+T969</f>
        <v>0</v>
      </c>
    </row>
    <row r="970" spans="1:21" x14ac:dyDescent="0.15">
      <c r="A970" s="25" t="s">
        <v>11</v>
      </c>
      <c r="B970" s="8"/>
      <c r="C970" s="9"/>
      <c r="D970" s="52"/>
      <c r="E970" s="11">
        <f t="shared" si="916"/>
        <v>0</v>
      </c>
      <c r="F970" s="12"/>
      <c r="G970" s="9"/>
      <c r="H970" s="10"/>
      <c r="I970" s="11">
        <f t="shared" si="917"/>
        <v>0</v>
      </c>
      <c r="J970" s="11">
        <f t="shared" si="918"/>
        <v>0</v>
      </c>
      <c r="L970" s="25" t="s">
        <v>11</v>
      </c>
      <c r="M970" s="8"/>
      <c r="N970" s="9"/>
      <c r="O970" s="52"/>
      <c r="P970" s="11">
        <f t="shared" si="919"/>
        <v>0</v>
      </c>
      <c r="Q970" s="12"/>
      <c r="R970" s="9"/>
      <c r="S970" s="10"/>
      <c r="T970" s="11">
        <f t="shared" si="920"/>
        <v>0</v>
      </c>
      <c r="U970" s="11">
        <f t="shared" si="921"/>
        <v>0</v>
      </c>
    </row>
    <row r="971" spans="1:21" x14ac:dyDescent="0.15">
      <c r="A971" s="25" t="s">
        <v>12</v>
      </c>
      <c r="B971" s="8"/>
      <c r="C971" s="9"/>
      <c r="D971" s="52"/>
      <c r="E971" s="11">
        <f t="shared" si="916"/>
        <v>0</v>
      </c>
      <c r="F971" s="12"/>
      <c r="G971" s="9"/>
      <c r="H971" s="10"/>
      <c r="I971" s="11">
        <f t="shared" si="917"/>
        <v>0</v>
      </c>
      <c r="J971" s="11">
        <f t="shared" si="918"/>
        <v>0</v>
      </c>
      <c r="L971" s="25" t="s">
        <v>12</v>
      </c>
      <c r="M971" s="8"/>
      <c r="N971" s="9"/>
      <c r="O971" s="52"/>
      <c r="P971" s="11">
        <f t="shared" si="919"/>
        <v>0</v>
      </c>
      <c r="Q971" s="12"/>
      <c r="R971" s="9"/>
      <c r="S971" s="10"/>
      <c r="T971" s="11">
        <f t="shared" si="920"/>
        <v>0</v>
      </c>
      <c r="U971" s="11">
        <f t="shared" si="921"/>
        <v>0</v>
      </c>
    </row>
    <row r="972" spans="1:21" x14ac:dyDescent="0.15">
      <c r="A972" s="25" t="s">
        <v>13</v>
      </c>
      <c r="B972" s="13"/>
      <c r="C972" s="14"/>
      <c r="D972" s="53"/>
      <c r="E972" s="11">
        <f t="shared" si="916"/>
        <v>0</v>
      </c>
      <c r="F972" s="16"/>
      <c r="G972" s="14"/>
      <c r="H972" s="15"/>
      <c r="I972" s="11">
        <f t="shared" si="917"/>
        <v>0</v>
      </c>
      <c r="J972" s="11">
        <f t="shared" si="918"/>
        <v>0</v>
      </c>
      <c r="L972" s="25" t="s">
        <v>13</v>
      </c>
      <c r="M972" s="8"/>
      <c r="N972" s="9"/>
      <c r="O972" s="52"/>
      <c r="P972" s="11">
        <f t="shared" si="919"/>
        <v>0</v>
      </c>
      <c r="Q972" s="12"/>
      <c r="R972" s="9"/>
      <c r="S972" s="10"/>
      <c r="T972" s="11">
        <f t="shared" si="920"/>
        <v>0</v>
      </c>
      <c r="U972" s="11">
        <f t="shared" si="921"/>
        <v>0</v>
      </c>
    </row>
    <row r="973" spans="1:21" ht="14.25" thickBot="1" x14ac:dyDescent="0.2">
      <c r="A973" s="25" t="s">
        <v>14</v>
      </c>
      <c r="B973" s="32"/>
      <c r="C973" s="33"/>
      <c r="D973" s="54"/>
      <c r="E973" s="61">
        <f t="shared" si="916"/>
        <v>0</v>
      </c>
      <c r="F973" s="34"/>
      <c r="G973" s="34"/>
      <c r="H973" s="37"/>
      <c r="I973" s="61">
        <f t="shared" si="917"/>
        <v>0</v>
      </c>
      <c r="J973" s="21">
        <f t="shared" si="918"/>
        <v>0</v>
      </c>
      <c r="L973" s="25" t="s">
        <v>14</v>
      </c>
      <c r="M973" s="32"/>
      <c r="N973" s="33"/>
      <c r="O973" s="54"/>
      <c r="P973" s="61">
        <f t="shared" si="919"/>
        <v>0</v>
      </c>
      <c r="Q973" s="34"/>
      <c r="R973" s="34"/>
      <c r="S973" s="37"/>
      <c r="T973" s="61">
        <f t="shared" si="920"/>
        <v>0</v>
      </c>
      <c r="U973" s="21">
        <f t="shared" si="921"/>
        <v>0</v>
      </c>
    </row>
    <row r="974" spans="1:21" ht="14.25" thickBot="1" x14ac:dyDescent="0.2">
      <c r="A974" s="35" t="s">
        <v>15</v>
      </c>
      <c r="B974" s="28">
        <f>SUM(B965:B973)</f>
        <v>0</v>
      </c>
      <c r="C974" s="29">
        <f>SUM(C965:C973)</f>
        <v>0</v>
      </c>
      <c r="D974" s="30">
        <f>SUM(D965:D973)</f>
        <v>0</v>
      </c>
      <c r="E974" s="31">
        <f>SUM(B974:D974)</f>
        <v>0</v>
      </c>
      <c r="F974" s="28">
        <f>SUM(F965:F973)</f>
        <v>2</v>
      </c>
      <c r="G974" s="29">
        <f>SUM(G965:G973)</f>
        <v>0</v>
      </c>
      <c r="H974" s="30">
        <f>SUM(H965:H973)</f>
        <v>2</v>
      </c>
      <c r="I974" s="31">
        <f>SUM(F974:H974)</f>
        <v>4</v>
      </c>
      <c r="J974" s="31">
        <f>E974+I974</f>
        <v>4</v>
      </c>
      <c r="L974" s="35" t="s">
        <v>15</v>
      </c>
      <c r="M974" s="28">
        <f>SUM(M965:M973)</f>
        <v>35</v>
      </c>
      <c r="N974" s="29">
        <f>SUM(N965:N973)</f>
        <v>3</v>
      </c>
      <c r="O974" s="30">
        <f>SUM(O965:O973)</f>
        <v>33</v>
      </c>
      <c r="P974" s="31">
        <f>SUM(M974:O974)</f>
        <v>71</v>
      </c>
      <c r="Q974" s="28">
        <f>SUM(Q965:Q973)</f>
        <v>35</v>
      </c>
      <c r="R974" s="29">
        <f>SUM(R965:R973)</f>
        <v>3</v>
      </c>
      <c r="S974" s="30">
        <f>SUM(S965:S973)</f>
        <v>33</v>
      </c>
      <c r="T974" s="31">
        <f>SUM(Q974:S974)</f>
        <v>71</v>
      </c>
      <c r="U974" s="31">
        <f>P974+T974</f>
        <v>142</v>
      </c>
    </row>
    <row r="975" spans="1:21" x14ac:dyDescent="0.15">
      <c r="A975" s="108"/>
      <c r="B975" s="8"/>
      <c r="C975" s="9"/>
      <c r="D975" s="10"/>
      <c r="E975" s="49">
        <f t="shared" ref="E975:E1001" si="922">SUM(B975:D975)</f>
        <v>0</v>
      </c>
      <c r="F975" s="12"/>
      <c r="G975" s="9"/>
      <c r="H975" s="10"/>
      <c r="I975" s="49">
        <f t="shared" ref="I975:I1001" si="923">SUM(F975:H975)</f>
        <v>0</v>
      </c>
      <c r="J975" s="11">
        <f t="shared" ref="J975:J1000" si="924">E975+I975</f>
        <v>0</v>
      </c>
      <c r="K975" s="62"/>
      <c r="L975" s="26"/>
      <c r="M975" s="8"/>
      <c r="N975" s="9"/>
      <c r="O975" s="52"/>
      <c r="P975" s="87">
        <f t="shared" ref="P975:P993" si="925">SUM(M975:O975)</f>
        <v>0</v>
      </c>
      <c r="Q975" s="8"/>
      <c r="R975" s="9"/>
      <c r="S975" s="10"/>
      <c r="T975" s="49">
        <f t="shared" ref="T975:T993" si="926">SUM(Q975:S975)</f>
        <v>0</v>
      </c>
      <c r="U975" s="11">
        <f t="shared" ref="U975:U993" si="927">P975+T975</f>
        <v>0</v>
      </c>
    </row>
    <row r="976" spans="1:21" x14ac:dyDescent="0.15">
      <c r="A976" s="108"/>
      <c r="B976" s="8"/>
      <c r="C976" s="9"/>
      <c r="D976" s="10"/>
      <c r="E976" s="49">
        <f t="shared" si="922"/>
        <v>0</v>
      </c>
      <c r="F976" s="12"/>
      <c r="G976" s="9"/>
      <c r="H976" s="10"/>
      <c r="I976" s="49">
        <f t="shared" si="923"/>
        <v>0</v>
      </c>
      <c r="J976" s="11">
        <f t="shared" si="924"/>
        <v>0</v>
      </c>
      <c r="K976" s="62"/>
      <c r="L976" s="26"/>
      <c r="M976" s="8"/>
      <c r="N976" s="9"/>
      <c r="O976" s="52"/>
      <c r="P976" s="87">
        <f t="shared" si="925"/>
        <v>0</v>
      </c>
      <c r="Q976" s="8"/>
      <c r="R976" s="9"/>
      <c r="S976" s="10"/>
      <c r="T976" s="49">
        <f t="shared" si="926"/>
        <v>0</v>
      </c>
      <c r="U976" s="11">
        <f t="shared" si="927"/>
        <v>0</v>
      </c>
    </row>
    <row r="977" spans="1:21" x14ac:dyDescent="0.15">
      <c r="A977" s="108"/>
      <c r="B977" s="8"/>
      <c r="C977" s="9"/>
      <c r="D977" s="10"/>
      <c r="E977" s="49">
        <f t="shared" si="922"/>
        <v>0</v>
      </c>
      <c r="F977" s="12"/>
      <c r="G977" s="9"/>
      <c r="H977" s="10"/>
      <c r="I977" s="49">
        <f t="shared" si="923"/>
        <v>0</v>
      </c>
      <c r="J977" s="11">
        <f t="shared" si="924"/>
        <v>0</v>
      </c>
      <c r="K977" s="62"/>
      <c r="L977" s="26"/>
      <c r="M977" s="8"/>
      <c r="N977" s="9"/>
      <c r="O977" s="52"/>
      <c r="P977" s="87">
        <f t="shared" si="925"/>
        <v>0</v>
      </c>
      <c r="Q977" s="8"/>
      <c r="R977" s="9"/>
      <c r="S977" s="10"/>
      <c r="T977" s="49">
        <f t="shared" si="926"/>
        <v>0</v>
      </c>
      <c r="U977" s="11">
        <f t="shared" si="927"/>
        <v>0</v>
      </c>
    </row>
    <row r="978" spans="1:21" x14ac:dyDescent="0.15">
      <c r="A978" s="108"/>
      <c r="B978" s="8"/>
      <c r="C978" s="9"/>
      <c r="D978" s="10"/>
      <c r="E978" s="49">
        <f t="shared" si="922"/>
        <v>0</v>
      </c>
      <c r="F978" s="12"/>
      <c r="G978" s="9"/>
      <c r="H978" s="10"/>
      <c r="I978" s="49">
        <f t="shared" si="923"/>
        <v>0</v>
      </c>
      <c r="J978" s="11">
        <f t="shared" si="924"/>
        <v>0</v>
      </c>
      <c r="K978" s="62"/>
      <c r="L978" s="26"/>
      <c r="M978" s="8"/>
      <c r="N978" s="9"/>
      <c r="O978" s="52"/>
      <c r="P978" s="87">
        <f t="shared" si="925"/>
        <v>0</v>
      </c>
      <c r="Q978" s="8"/>
      <c r="R978" s="9"/>
      <c r="S978" s="10"/>
      <c r="T978" s="49">
        <f t="shared" si="926"/>
        <v>0</v>
      </c>
      <c r="U978" s="11">
        <f t="shared" si="927"/>
        <v>0</v>
      </c>
    </row>
    <row r="979" spans="1:21" x14ac:dyDescent="0.15">
      <c r="A979" s="108"/>
      <c r="B979" s="8"/>
      <c r="C979" s="9"/>
      <c r="D979" s="10"/>
      <c r="E979" s="49">
        <f t="shared" si="922"/>
        <v>0</v>
      </c>
      <c r="F979" s="12"/>
      <c r="G979" s="9"/>
      <c r="H979" s="10"/>
      <c r="I979" s="49">
        <f t="shared" si="923"/>
        <v>0</v>
      </c>
      <c r="J979" s="11">
        <f t="shared" si="924"/>
        <v>0</v>
      </c>
      <c r="K979" s="62"/>
      <c r="L979" s="26"/>
      <c r="M979" s="8"/>
      <c r="N979" s="9"/>
      <c r="O979" s="52"/>
      <c r="P979" s="87">
        <f t="shared" si="925"/>
        <v>0</v>
      </c>
      <c r="Q979" s="8"/>
      <c r="R979" s="9"/>
      <c r="S979" s="10"/>
      <c r="T979" s="49">
        <f t="shared" si="926"/>
        <v>0</v>
      </c>
      <c r="U979" s="11">
        <f t="shared" si="927"/>
        <v>0</v>
      </c>
    </row>
    <row r="980" spans="1:21" x14ac:dyDescent="0.15">
      <c r="A980" s="108"/>
      <c r="B980" s="8"/>
      <c r="C980" s="9"/>
      <c r="D980" s="10"/>
      <c r="E980" s="49">
        <f t="shared" si="922"/>
        <v>0</v>
      </c>
      <c r="F980" s="12"/>
      <c r="G980" s="9"/>
      <c r="H980" s="10"/>
      <c r="I980" s="49">
        <f t="shared" si="923"/>
        <v>0</v>
      </c>
      <c r="J980" s="11">
        <f t="shared" si="924"/>
        <v>0</v>
      </c>
      <c r="K980" s="62"/>
      <c r="L980" s="26"/>
      <c r="M980" s="8"/>
      <c r="N980" s="9"/>
      <c r="O980" s="52"/>
      <c r="P980" s="87">
        <f t="shared" si="925"/>
        <v>0</v>
      </c>
      <c r="Q980" s="8"/>
      <c r="R980" s="9"/>
      <c r="S980" s="10"/>
      <c r="T980" s="49">
        <f t="shared" si="926"/>
        <v>0</v>
      </c>
      <c r="U980" s="11">
        <f t="shared" si="927"/>
        <v>0</v>
      </c>
    </row>
    <row r="981" spans="1:21" x14ac:dyDescent="0.15">
      <c r="A981" s="108"/>
      <c r="B981" s="8"/>
      <c r="C981" s="9"/>
      <c r="D981" s="10"/>
      <c r="E981" s="49">
        <f t="shared" si="922"/>
        <v>0</v>
      </c>
      <c r="F981" s="12"/>
      <c r="G981" s="9"/>
      <c r="H981" s="10"/>
      <c r="I981" s="49">
        <f t="shared" si="923"/>
        <v>0</v>
      </c>
      <c r="J981" s="11">
        <f t="shared" si="924"/>
        <v>0</v>
      </c>
      <c r="K981" s="62"/>
      <c r="L981" s="26"/>
      <c r="M981" s="8"/>
      <c r="N981" s="9"/>
      <c r="O981" s="52"/>
      <c r="P981" s="87">
        <f t="shared" si="925"/>
        <v>0</v>
      </c>
      <c r="Q981" s="8"/>
      <c r="R981" s="9"/>
      <c r="S981" s="10"/>
      <c r="T981" s="49">
        <f t="shared" si="926"/>
        <v>0</v>
      </c>
      <c r="U981" s="11">
        <f t="shared" si="927"/>
        <v>0</v>
      </c>
    </row>
    <row r="982" spans="1:21" x14ac:dyDescent="0.15">
      <c r="A982" s="108"/>
      <c r="B982" s="8"/>
      <c r="C982" s="9"/>
      <c r="D982" s="10"/>
      <c r="E982" s="49">
        <f t="shared" si="922"/>
        <v>0</v>
      </c>
      <c r="F982" s="12"/>
      <c r="G982" s="9"/>
      <c r="H982" s="10"/>
      <c r="I982" s="49">
        <f t="shared" si="923"/>
        <v>0</v>
      </c>
      <c r="J982" s="11">
        <f t="shared" si="924"/>
        <v>0</v>
      </c>
      <c r="K982" s="62"/>
      <c r="L982" s="26"/>
      <c r="M982" s="8"/>
      <c r="N982" s="9"/>
      <c r="O982" s="52"/>
      <c r="P982" s="87">
        <f t="shared" si="925"/>
        <v>0</v>
      </c>
      <c r="Q982" s="8"/>
      <c r="R982" s="9"/>
      <c r="S982" s="10"/>
      <c r="T982" s="49">
        <f t="shared" si="926"/>
        <v>0</v>
      </c>
      <c r="U982" s="11">
        <f t="shared" si="927"/>
        <v>0</v>
      </c>
    </row>
    <row r="983" spans="1:21" x14ac:dyDescent="0.15">
      <c r="A983" s="108"/>
      <c r="B983" s="8"/>
      <c r="C983" s="9"/>
      <c r="D983" s="10"/>
      <c r="E983" s="49">
        <f t="shared" si="922"/>
        <v>0</v>
      </c>
      <c r="F983" s="12"/>
      <c r="G983" s="9"/>
      <c r="H983" s="10"/>
      <c r="I983" s="49">
        <f t="shared" si="923"/>
        <v>0</v>
      </c>
      <c r="J983" s="11">
        <f t="shared" si="924"/>
        <v>0</v>
      </c>
      <c r="K983" s="62"/>
      <c r="L983" s="26"/>
      <c r="M983" s="8"/>
      <c r="N983" s="9"/>
      <c r="O983" s="52"/>
      <c r="P983" s="87">
        <f t="shared" si="925"/>
        <v>0</v>
      </c>
      <c r="Q983" s="8"/>
      <c r="R983" s="9"/>
      <c r="S983" s="10"/>
      <c r="T983" s="49">
        <f t="shared" si="926"/>
        <v>0</v>
      </c>
      <c r="U983" s="11">
        <f t="shared" si="927"/>
        <v>0</v>
      </c>
    </row>
    <row r="984" spans="1:21" x14ac:dyDescent="0.15">
      <c r="A984" s="108"/>
      <c r="B984" s="8"/>
      <c r="C984" s="9"/>
      <c r="D984" s="10"/>
      <c r="E984" s="49">
        <f t="shared" si="922"/>
        <v>0</v>
      </c>
      <c r="F984" s="12"/>
      <c r="G984" s="9"/>
      <c r="H984" s="10"/>
      <c r="I984" s="49">
        <f t="shared" si="923"/>
        <v>0</v>
      </c>
      <c r="J984" s="11">
        <f t="shared" si="924"/>
        <v>0</v>
      </c>
      <c r="K984" s="62"/>
      <c r="L984" s="26"/>
      <c r="M984" s="8"/>
      <c r="N984" s="9"/>
      <c r="O984" s="52"/>
      <c r="P984" s="87">
        <f t="shared" si="925"/>
        <v>0</v>
      </c>
      <c r="Q984" s="8"/>
      <c r="R984" s="9"/>
      <c r="S984" s="10"/>
      <c r="T984" s="49">
        <f t="shared" si="926"/>
        <v>0</v>
      </c>
      <c r="U984" s="11">
        <f t="shared" si="927"/>
        <v>0</v>
      </c>
    </row>
    <row r="985" spans="1:21" x14ac:dyDescent="0.15">
      <c r="A985" s="108"/>
      <c r="B985" s="8"/>
      <c r="C985" s="9"/>
      <c r="D985" s="10"/>
      <c r="E985" s="49">
        <f t="shared" si="922"/>
        <v>0</v>
      </c>
      <c r="F985" s="12"/>
      <c r="G985" s="9"/>
      <c r="H985" s="10"/>
      <c r="I985" s="49">
        <f t="shared" si="923"/>
        <v>0</v>
      </c>
      <c r="J985" s="11">
        <f t="shared" si="924"/>
        <v>0</v>
      </c>
      <c r="K985" s="62"/>
      <c r="L985" s="26"/>
      <c r="M985" s="8"/>
      <c r="N985" s="9"/>
      <c r="O985" s="52"/>
      <c r="P985" s="87">
        <f t="shared" si="925"/>
        <v>0</v>
      </c>
      <c r="Q985" s="8"/>
      <c r="R985" s="9"/>
      <c r="S985" s="10"/>
      <c r="T985" s="49">
        <f t="shared" si="926"/>
        <v>0</v>
      </c>
      <c r="U985" s="11">
        <f t="shared" si="927"/>
        <v>0</v>
      </c>
    </row>
    <row r="986" spans="1:21" x14ac:dyDescent="0.15">
      <c r="A986" s="108"/>
      <c r="B986" s="8"/>
      <c r="C986" s="9"/>
      <c r="D986" s="10"/>
      <c r="E986" s="49">
        <f t="shared" si="922"/>
        <v>0</v>
      </c>
      <c r="F986" s="12"/>
      <c r="G986" s="9"/>
      <c r="H986" s="10"/>
      <c r="I986" s="49">
        <f t="shared" si="923"/>
        <v>0</v>
      </c>
      <c r="J986" s="11">
        <f t="shared" si="924"/>
        <v>0</v>
      </c>
      <c r="K986" s="62"/>
      <c r="L986" s="26"/>
      <c r="M986" s="8"/>
      <c r="N986" s="9"/>
      <c r="O986" s="52"/>
      <c r="P986" s="87">
        <f t="shared" si="925"/>
        <v>0</v>
      </c>
      <c r="Q986" s="8"/>
      <c r="R986" s="9"/>
      <c r="S986" s="10"/>
      <c r="T986" s="49">
        <f t="shared" si="926"/>
        <v>0</v>
      </c>
      <c r="U986" s="11">
        <f t="shared" si="927"/>
        <v>0</v>
      </c>
    </row>
    <row r="987" spans="1:21" x14ac:dyDescent="0.15">
      <c r="A987" s="108"/>
      <c r="B987" s="8"/>
      <c r="C987" s="9"/>
      <c r="D987" s="10"/>
      <c r="E987" s="49">
        <f t="shared" si="922"/>
        <v>0</v>
      </c>
      <c r="F987" s="12"/>
      <c r="G987" s="9"/>
      <c r="H987" s="10"/>
      <c r="I987" s="49">
        <f t="shared" si="923"/>
        <v>0</v>
      </c>
      <c r="J987" s="11">
        <f t="shared" si="924"/>
        <v>0</v>
      </c>
      <c r="K987" s="62"/>
      <c r="L987" s="26"/>
      <c r="M987" s="8"/>
      <c r="N987" s="9"/>
      <c r="O987" s="52"/>
      <c r="P987" s="87">
        <f t="shared" si="925"/>
        <v>0</v>
      </c>
      <c r="Q987" s="8"/>
      <c r="R987" s="9"/>
      <c r="S987" s="10"/>
      <c r="T987" s="49">
        <f t="shared" si="926"/>
        <v>0</v>
      </c>
      <c r="U987" s="11">
        <f t="shared" si="927"/>
        <v>0</v>
      </c>
    </row>
    <row r="988" spans="1:21" x14ac:dyDescent="0.15">
      <c r="A988" s="108"/>
      <c r="B988" s="8"/>
      <c r="C988" s="9"/>
      <c r="D988" s="10"/>
      <c r="E988" s="49">
        <f t="shared" si="922"/>
        <v>0</v>
      </c>
      <c r="F988" s="12"/>
      <c r="G988" s="9"/>
      <c r="H988" s="10"/>
      <c r="I988" s="49">
        <f t="shared" si="923"/>
        <v>0</v>
      </c>
      <c r="J988" s="11">
        <f t="shared" si="924"/>
        <v>0</v>
      </c>
      <c r="K988" s="62"/>
      <c r="L988" s="26"/>
      <c r="M988" s="8"/>
      <c r="N988" s="9"/>
      <c r="O988" s="52"/>
      <c r="P988" s="87">
        <f t="shared" si="925"/>
        <v>0</v>
      </c>
      <c r="Q988" s="8"/>
      <c r="R988" s="9"/>
      <c r="S988" s="10"/>
      <c r="T988" s="49">
        <f t="shared" si="926"/>
        <v>0</v>
      </c>
      <c r="U988" s="11">
        <f t="shared" si="927"/>
        <v>0</v>
      </c>
    </row>
    <row r="989" spans="1:21" x14ac:dyDescent="0.15">
      <c r="A989" s="108"/>
      <c r="B989" s="8"/>
      <c r="C989" s="9"/>
      <c r="D989" s="10"/>
      <c r="E989" s="49">
        <f t="shared" si="922"/>
        <v>0</v>
      </c>
      <c r="F989" s="12"/>
      <c r="G989" s="9"/>
      <c r="H989" s="10"/>
      <c r="I989" s="49">
        <f t="shared" si="923"/>
        <v>0</v>
      </c>
      <c r="J989" s="11">
        <f t="shared" si="924"/>
        <v>0</v>
      </c>
      <c r="K989" s="62"/>
      <c r="L989" s="26"/>
      <c r="M989" s="8"/>
      <c r="N989" s="9"/>
      <c r="O989" s="52"/>
      <c r="P989" s="87">
        <f t="shared" si="925"/>
        <v>0</v>
      </c>
      <c r="Q989" s="8"/>
      <c r="R989" s="9"/>
      <c r="S989" s="10"/>
      <c r="T989" s="49">
        <f t="shared" si="926"/>
        <v>0</v>
      </c>
      <c r="U989" s="11">
        <f t="shared" si="927"/>
        <v>0</v>
      </c>
    </row>
    <row r="990" spans="1:21" x14ac:dyDescent="0.15">
      <c r="A990" s="108"/>
      <c r="B990" s="8"/>
      <c r="C990" s="9"/>
      <c r="D990" s="10"/>
      <c r="E990" s="49">
        <f t="shared" si="922"/>
        <v>0</v>
      </c>
      <c r="F990" s="12"/>
      <c r="G990" s="9"/>
      <c r="H990" s="10"/>
      <c r="I990" s="49">
        <f t="shared" si="923"/>
        <v>0</v>
      </c>
      <c r="J990" s="11">
        <f t="shared" si="924"/>
        <v>0</v>
      </c>
      <c r="K990" s="62"/>
      <c r="L990" s="26"/>
      <c r="M990" s="8"/>
      <c r="N990" s="9"/>
      <c r="O990" s="52"/>
      <c r="P990" s="87">
        <f t="shared" si="925"/>
        <v>0</v>
      </c>
      <c r="Q990" s="8"/>
      <c r="R990" s="9"/>
      <c r="S990" s="10"/>
      <c r="T990" s="49">
        <f t="shared" si="926"/>
        <v>0</v>
      </c>
      <c r="U990" s="11">
        <f t="shared" si="927"/>
        <v>0</v>
      </c>
    </row>
    <row r="991" spans="1:21" x14ac:dyDescent="0.15">
      <c r="A991" s="108"/>
      <c r="B991" s="8"/>
      <c r="C991" s="9"/>
      <c r="D991" s="10"/>
      <c r="E991" s="49">
        <f t="shared" si="922"/>
        <v>0</v>
      </c>
      <c r="F991" s="12"/>
      <c r="G991" s="9"/>
      <c r="H991" s="10"/>
      <c r="I991" s="49">
        <f t="shared" si="923"/>
        <v>0</v>
      </c>
      <c r="J991" s="11">
        <f t="shared" si="924"/>
        <v>0</v>
      </c>
      <c r="K991" s="62"/>
      <c r="L991" s="26"/>
      <c r="M991" s="8"/>
      <c r="N991" s="9"/>
      <c r="O991" s="52"/>
      <c r="P991" s="87">
        <f t="shared" si="925"/>
        <v>0</v>
      </c>
      <c r="Q991" s="8"/>
      <c r="R991" s="9"/>
      <c r="S991" s="10"/>
      <c r="T991" s="49">
        <f t="shared" si="926"/>
        <v>0</v>
      </c>
      <c r="U991" s="11">
        <f t="shared" si="927"/>
        <v>0</v>
      </c>
    </row>
    <row r="992" spans="1:21" x14ac:dyDescent="0.15">
      <c r="A992" s="108"/>
      <c r="B992" s="8"/>
      <c r="C992" s="9"/>
      <c r="D992" s="10"/>
      <c r="E992" s="49">
        <f t="shared" si="922"/>
        <v>0</v>
      </c>
      <c r="F992" s="12"/>
      <c r="G992" s="9"/>
      <c r="H992" s="10"/>
      <c r="I992" s="49">
        <f t="shared" si="923"/>
        <v>0</v>
      </c>
      <c r="J992" s="11">
        <f t="shared" si="924"/>
        <v>0</v>
      </c>
      <c r="K992" s="62"/>
      <c r="L992" s="26"/>
      <c r="M992" s="8"/>
      <c r="N992" s="9"/>
      <c r="O992" s="52"/>
      <c r="P992" s="87">
        <f t="shared" si="925"/>
        <v>0</v>
      </c>
      <c r="Q992" s="8"/>
      <c r="R992" s="9"/>
      <c r="S992" s="10"/>
      <c r="T992" s="49">
        <f t="shared" si="926"/>
        <v>0</v>
      </c>
      <c r="U992" s="11">
        <f t="shared" si="927"/>
        <v>0</v>
      </c>
    </row>
    <row r="993" spans="1:21" x14ac:dyDescent="0.15">
      <c r="A993" s="108"/>
      <c r="B993" s="8"/>
      <c r="C993" s="9"/>
      <c r="D993" s="10"/>
      <c r="E993" s="49">
        <f t="shared" si="922"/>
        <v>0</v>
      </c>
      <c r="F993" s="12"/>
      <c r="G993" s="9"/>
      <c r="H993" s="10"/>
      <c r="I993" s="49">
        <f t="shared" si="923"/>
        <v>0</v>
      </c>
      <c r="J993" s="11">
        <f t="shared" si="924"/>
        <v>0</v>
      </c>
      <c r="K993" s="62"/>
      <c r="L993" s="26"/>
      <c r="M993" s="8"/>
      <c r="N993" s="9"/>
      <c r="O993" s="52"/>
      <c r="P993" s="87">
        <f t="shared" si="925"/>
        <v>0</v>
      </c>
      <c r="Q993" s="8"/>
      <c r="R993" s="9"/>
      <c r="S993" s="10"/>
      <c r="T993" s="49">
        <f t="shared" si="926"/>
        <v>0</v>
      </c>
      <c r="U993" s="11">
        <f t="shared" si="927"/>
        <v>0</v>
      </c>
    </row>
    <row r="994" spans="1:21" x14ac:dyDescent="0.15">
      <c r="A994" s="108"/>
      <c r="B994" s="8"/>
      <c r="C994" s="9"/>
      <c r="D994" s="10"/>
      <c r="E994" s="49">
        <f t="shared" si="922"/>
        <v>0</v>
      </c>
      <c r="F994" s="12"/>
      <c r="G994" s="9"/>
      <c r="H994" s="10"/>
      <c r="I994" s="49">
        <f t="shared" si="923"/>
        <v>0</v>
      </c>
      <c r="J994" s="11">
        <f t="shared" si="924"/>
        <v>0</v>
      </c>
      <c r="K994" s="62"/>
      <c r="L994" s="26"/>
      <c r="M994" s="8"/>
      <c r="N994" s="9"/>
      <c r="O994" s="52"/>
      <c r="P994" s="87">
        <f t="shared" ref="P994:P1001" si="928">SUM(M994:O994)</f>
        <v>0</v>
      </c>
      <c r="Q994" s="8"/>
      <c r="R994" s="9"/>
      <c r="S994" s="10"/>
      <c r="T994" s="49">
        <f t="shared" ref="T994:T1001" si="929">SUM(Q994:S994)</f>
        <v>0</v>
      </c>
      <c r="U994" s="11">
        <f t="shared" ref="U994:U1000" si="930">P994+T994</f>
        <v>0</v>
      </c>
    </row>
    <row r="995" spans="1:21" x14ac:dyDescent="0.15">
      <c r="A995" s="108"/>
      <c r="B995" s="8"/>
      <c r="C995" s="9"/>
      <c r="D995" s="10"/>
      <c r="E995" s="49">
        <f t="shared" si="922"/>
        <v>0</v>
      </c>
      <c r="F995" s="12"/>
      <c r="G995" s="9"/>
      <c r="H995" s="10"/>
      <c r="I995" s="49">
        <f t="shared" si="923"/>
        <v>0</v>
      </c>
      <c r="J995" s="11">
        <f t="shared" si="924"/>
        <v>0</v>
      </c>
      <c r="K995" s="62"/>
      <c r="L995" s="26"/>
      <c r="M995" s="8"/>
      <c r="N995" s="9"/>
      <c r="O995" s="52"/>
      <c r="P995" s="87">
        <f t="shared" si="928"/>
        <v>0</v>
      </c>
      <c r="Q995" s="8"/>
      <c r="R995" s="9"/>
      <c r="S995" s="10"/>
      <c r="T995" s="49">
        <f t="shared" si="929"/>
        <v>0</v>
      </c>
      <c r="U995" s="11">
        <f t="shared" si="930"/>
        <v>0</v>
      </c>
    </row>
    <row r="996" spans="1:21" x14ac:dyDescent="0.15">
      <c r="A996" s="108"/>
      <c r="B996" s="8"/>
      <c r="C996" s="9"/>
      <c r="D996" s="10"/>
      <c r="E996" s="49">
        <f t="shared" si="922"/>
        <v>0</v>
      </c>
      <c r="F996" s="12"/>
      <c r="G996" s="9"/>
      <c r="H996" s="10"/>
      <c r="I996" s="49">
        <f t="shared" si="923"/>
        <v>0</v>
      </c>
      <c r="J996" s="11">
        <f t="shared" si="924"/>
        <v>0</v>
      </c>
      <c r="K996" s="62"/>
      <c r="L996" s="26"/>
      <c r="M996" s="8"/>
      <c r="N996" s="9"/>
      <c r="O996" s="52"/>
      <c r="P996" s="87">
        <f t="shared" si="928"/>
        <v>0</v>
      </c>
      <c r="Q996" s="8"/>
      <c r="R996" s="9"/>
      <c r="S996" s="10"/>
      <c r="T996" s="49">
        <f t="shared" si="929"/>
        <v>0</v>
      </c>
      <c r="U996" s="11">
        <f t="shared" si="930"/>
        <v>0</v>
      </c>
    </row>
    <row r="997" spans="1:21" x14ac:dyDescent="0.15">
      <c r="A997" s="108"/>
      <c r="B997" s="8"/>
      <c r="C997" s="9"/>
      <c r="D997" s="10"/>
      <c r="E997" s="49">
        <f t="shared" si="922"/>
        <v>0</v>
      </c>
      <c r="F997" s="12"/>
      <c r="G997" s="9"/>
      <c r="H997" s="10"/>
      <c r="I997" s="49">
        <f t="shared" si="923"/>
        <v>0</v>
      </c>
      <c r="J997" s="11">
        <f t="shared" si="924"/>
        <v>0</v>
      </c>
      <c r="K997" s="62"/>
      <c r="L997" s="26"/>
      <c r="M997" s="8"/>
      <c r="N997" s="9"/>
      <c r="O997" s="52"/>
      <c r="P997" s="87">
        <f t="shared" si="928"/>
        <v>0</v>
      </c>
      <c r="Q997" s="8"/>
      <c r="R997" s="9"/>
      <c r="S997" s="10"/>
      <c r="T997" s="49">
        <f t="shared" si="929"/>
        <v>0</v>
      </c>
      <c r="U997" s="11">
        <f t="shared" si="930"/>
        <v>0</v>
      </c>
    </row>
    <row r="998" spans="1:21" x14ac:dyDescent="0.15">
      <c r="A998" s="108"/>
      <c r="B998" s="8"/>
      <c r="C998" s="9"/>
      <c r="D998" s="10"/>
      <c r="E998" s="49">
        <f t="shared" si="922"/>
        <v>0</v>
      </c>
      <c r="F998" s="12"/>
      <c r="G998" s="9"/>
      <c r="H998" s="10"/>
      <c r="I998" s="49">
        <f t="shared" si="923"/>
        <v>0</v>
      </c>
      <c r="J998" s="11">
        <f t="shared" si="924"/>
        <v>0</v>
      </c>
      <c r="K998" s="62"/>
      <c r="L998" s="26"/>
      <c r="M998" s="8"/>
      <c r="N998" s="9"/>
      <c r="O998" s="52"/>
      <c r="P998" s="87">
        <f t="shared" si="928"/>
        <v>0</v>
      </c>
      <c r="Q998" s="8"/>
      <c r="R998" s="9"/>
      <c r="S998" s="10"/>
      <c r="T998" s="49">
        <f t="shared" si="929"/>
        <v>0</v>
      </c>
      <c r="U998" s="11">
        <f t="shared" si="930"/>
        <v>0</v>
      </c>
    </row>
    <row r="999" spans="1:21" x14ac:dyDescent="0.15">
      <c r="A999" s="108"/>
      <c r="B999" s="8"/>
      <c r="C999" s="9"/>
      <c r="D999" s="10"/>
      <c r="E999" s="49">
        <f t="shared" si="922"/>
        <v>0</v>
      </c>
      <c r="F999" s="12"/>
      <c r="G999" s="9"/>
      <c r="H999" s="10"/>
      <c r="I999" s="49">
        <f t="shared" si="923"/>
        <v>0</v>
      </c>
      <c r="J999" s="11">
        <f t="shared" si="924"/>
        <v>0</v>
      </c>
      <c r="K999" s="62"/>
      <c r="L999" s="26"/>
      <c r="M999" s="8"/>
      <c r="N999" s="9"/>
      <c r="O999" s="52"/>
      <c r="P999" s="87">
        <f t="shared" si="928"/>
        <v>0</v>
      </c>
      <c r="Q999" s="8"/>
      <c r="R999" s="9"/>
      <c r="S999" s="10"/>
      <c r="T999" s="49">
        <f t="shared" si="929"/>
        <v>0</v>
      </c>
      <c r="U999" s="11">
        <f t="shared" si="930"/>
        <v>0</v>
      </c>
    </row>
    <row r="1000" spans="1:21" ht="14.25" thickBot="1" x14ac:dyDescent="0.2">
      <c r="A1000" s="108"/>
      <c r="B1000" s="8"/>
      <c r="C1000" s="9"/>
      <c r="D1000" s="10"/>
      <c r="E1000" s="49">
        <f t="shared" si="922"/>
        <v>0</v>
      </c>
      <c r="F1000" s="12"/>
      <c r="G1000" s="9"/>
      <c r="H1000" s="10"/>
      <c r="I1000" s="49">
        <f t="shared" si="923"/>
        <v>0</v>
      </c>
      <c r="J1000" s="11">
        <f t="shared" si="924"/>
        <v>0</v>
      </c>
      <c r="K1000" s="62"/>
      <c r="L1000" s="86"/>
      <c r="M1000" s="8"/>
      <c r="N1000" s="9"/>
      <c r="O1000" s="52"/>
      <c r="P1000" s="87">
        <f t="shared" si="928"/>
        <v>0</v>
      </c>
      <c r="Q1000" s="8"/>
      <c r="R1000" s="9"/>
      <c r="S1000" s="52"/>
      <c r="T1000" s="49">
        <f t="shared" si="929"/>
        <v>0</v>
      </c>
      <c r="U1000" s="11">
        <f t="shared" si="930"/>
        <v>0</v>
      </c>
    </row>
    <row r="1001" spans="1:21" ht="14.25" thickBot="1" x14ac:dyDescent="0.2">
      <c r="A1001" s="41" t="s">
        <v>17</v>
      </c>
      <c r="B1001" s="46">
        <f>SUM(B975:B1000)</f>
        <v>0</v>
      </c>
      <c r="C1001" s="47">
        <f t="shared" ref="C1001:D1001" si="931">SUM(C975:C1000)</f>
        <v>0</v>
      </c>
      <c r="D1001" s="58">
        <f t="shared" si="931"/>
        <v>0</v>
      </c>
      <c r="E1001" s="45">
        <f t="shared" si="922"/>
        <v>0</v>
      </c>
      <c r="F1001" s="46">
        <f>SUM(F975:F1000)</f>
        <v>0</v>
      </c>
      <c r="G1001" s="47">
        <f t="shared" ref="G1001:H1001" si="932">SUM(G975:G1000)</f>
        <v>0</v>
      </c>
      <c r="H1001" s="58">
        <f t="shared" si="932"/>
        <v>0</v>
      </c>
      <c r="I1001" s="45">
        <f t="shared" si="923"/>
        <v>0</v>
      </c>
      <c r="J1001" s="45">
        <f>E1001+I1001</f>
        <v>0</v>
      </c>
      <c r="L1001" s="41" t="s">
        <v>17</v>
      </c>
      <c r="M1001" s="46">
        <f>SUM(M975:M1000)</f>
        <v>0</v>
      </c>
      <c r="N1001" s="47">
        <f t="shared" ref="N1001:O1001" si="933">SUM(N975:N1000)</f>
        <v>0</v>
      </c>
      <c r="O1001" s="58">
        <f t="shared" si="933"/>
        <v>0</v>
      </c>
      <c r="P1001" s="45">
        <f t="shared" si="928"/>
        <v>0</v>
      </c>
      <c r="Q1001" s="46">
        <f>SUM(Q975:Q1000)</f>
        <v>0</v>
      </c>
      <c r="R1001" s="47">
        <f t="shared" ref="R1001:S1001" si="934">SUM(R975:R1000)</f>
        <v>0</v>
      </c>
      <c r="S1001" s="58">
        <f t="shared" si="934"/>
        <v>0</v>
      </c>
      <c r="T1001" s="45">
        <f t="shared" si="929"/>
        <v>0</v>
      </c>
      <c r="U1001" s="45">
        <f>P1001+T1001</f>
        <v>0</v>
      </c>
    </row>
    <row r="1002" spans="1:21" ht="14.25" thickBot="1" x14ac:dyDescent="0.2">
      <c r="A1002" s="22" t="s">
        <v>16</v>
      </c>
      <c r="B1002" s="50">
        <f>B974-B1001</f>
        <v>0</v>
      </c>
      <c r="C1002" s="56">
        <f t="shared" ref="C1002:D1002" si="935">C974-C1001</f>
        <v>0</v>
      </c>
      <c r="D1002" s="57">
        <f t="shared" si="935"/>
        <v>0</v>
      </c>
      <c r="E1002" s="55">
        <f>SUM(B1002:D1002)</f>
        <v>0</v>
      </c>
      <c r="F1002" s="50">
        <f>F974-F1001</f>
        <v>2</v>
      </c>
      <c r="G1002" s="56">
        <f t="shared" ref="G1002:H1002" si="936">G974-G1001</f>
        <v>0</v>
      </c>
      <c r="H1002" s="57">
        <f t="shared" si="936"/>
        <v>2</v>
      </c>
      <c r="I1002" s="55">
        <f>SUM(F1002:H1002)</f>
        <v>4</v>
      </c>
      <c r="J1002" s="31">
        <f>E1002+I1002</f>
        <v>4</v>
      </c>
      <c r="L1002" s="22" t="s">
        <v>16</v>
      </c>
      <c r="M1002" s="50">
        <f>M974-M1001</f>
        <v>35</v>
      </c>
      <c r="N1002" s="56">
        <f t="shared" ref="N1002:O1002" si="937">N974-N1001</f>
        <v>3</v>
      </c>
      <c r="O1002" s="57">
        <f t="shared" si="937"/>
        <v>33</v>
      </c>
      <c r="P1002" s="55">
        <f>SUM(M1002:O1002)</f>
        <v>71</v>
      </c>
      <c r="Q1002" s="50">
        <f>Q974-Q1001</f>
        <v>35</v>
      </c>
      <c r="R1002" s="56">
        <f t="shared" ref="R1002:S1002" si="938">R974-R1001</f>
        <v>3</v>
      </c>
      <c r="S1002" s="57">
        <f t="shared" si="938"/>
        <v>33</v>
      </c>
      <c r="T1002" s="55">
        <f>SUM(Q1002:S1002)</f>
        <v>71</v>
      </c>
      <c r="U1002" s="31">
        <f>P1002+T1002</f>
        <v>142</v>
      </c>
    </row>
    <row r="1004" spans="1:21" ht="36" customHeight="1" x14ac:dyDescent="0.15">
      <c r="H1004" s="181" t="s">
        <v>909</v>
      </c>
      <c r="I1004" s="181"/>
      <c r="J1004" s="181"/>
      <c r="K1004" s="181"/>
      <c r="L1004" s="181"/>
      <c r="M1004" s="181"/>
    </row>
    <row r="1005" spans="1:21" ht="19.5" thickBot="1" x14ac:dyDescent="0.25">
      <c r="A1005" s="3" t="s">
        <v>908</v>
      </c>
      <c r="B1005" s="1"/>
      <c r="C1005" s="1"/>
      <c r="D1005" s="1"/>
      <c r="E1005" s="1"/>
      <c r="F1005" s="1"/>
      <c r="G1005" s="1"/>
      <c r="H1005" s="1"/>
      <c r="I1005" s="1"/>
      <c r="J1005" s="1"/>
      <c r="L1005" s="129" t="s">
        <v>680</v>
      </c>
      <c r="M1005" s="129"/>
      <c r="N1005" s="129"/>
      <c r="O1005" s="129"/>
      <c r="P1005" s="129"/>
      <c r="Q1005" s="129"/>
      <c r="R1005" s="129"/>
      <c r="S1005" s="129"/>
      <c r="T1005" s="129"/>
      <c r="U1005" s="1">
        <v>1040</v>
      </c>
    </row>
    <row r="1006" spans="1:21" ht="14.25" thickBot="1" x14ac:dyDescent="0.2">
      <c r="A1006" s="7"/>
      <c r="B1006" s="176" t="s">
        <v>22</v>
      </c>
      <c r="C1006" s="177"/>
      <c r="D1006" s="177"/>
      <c r="E1006" s="178"/>
      <c r="F1006" s="176" t="s">
        <v>23</v>
      </c>
      <c r="G1006" s="177"/>
      <c r="H1006" s="177"/>
      <c r="I1006" s="179"/>
      <c r="J1006" s="174" t="s">
        <v>0</v>
      </c>
      <c r="L1006" s="7"/>
      <c r="M1006" s="169" t="s">
        <v>22</v>
      </c>
      <c r="N1006" s="170"/>
      <c r="O1006" s="170"/>
      <c r="P1006" s="171"/>
      <c r="Q1006" s="169" t="s">
        <v>23</v>
      </c>
      <c r="R1006" s="170"/>
      <c r="S1006" s="170"/>
      <c r="T1006" s="171"/>
      <c r="U1006" s="174" t="s">
        <v>0</v>
      </c>
    </row>
    <row r="1007" spans="1:21" ht="14.25" thickBot="1" x14ac:dyDescent="0.2">
      <c r="A1007" s="7" t="s">
        <v>1</v>
      </c>
      <c r="B1007" s="4" t="s">
        <v>2</v>
      </c>
      <c r="C1007" s="5" t="s">
        <v>3</v>
      </c>
      <c r="D1007" s="6" t="s">
        <v>4</v>
      </c>
      <c r="E1007" s="7" t="s">
        <v>5</v>
      </c>
      <c r="F1007" s="4" t="s">
        <v>2</v>
      </c>
      <c r="G1007" s="5" t="s">
        <v>3</v>
      </c>
      <c r="H1007" s="6" t="s">
        <v>4</v>
      </c>
      <c r="I1007" s="7" t="s">
        <v>5</v>
      </c>
      <c r="J1007" s="175"/>
      <c r="L1007" s="7" t="s">
        <v>1</v>
      </c>
      <c r="M1007" s="4" t="s">
        <v>2</v>
      </c>
      <c r="N1007" s="5" t="s">
        <v>3</v>
      </c>
      <c r="O1007" s="6" t="s">
        <v>4</v>
      </c>
      <c r="P1007" s="7" t="s">
        <v>5</v>
      </c>
      <c r="Q1007" s="4" t="s">
        <v>2</v>
      </c>
      <c r="R1007" s="5" t="s">
        <v>3</v>
      </c>
      <c r="S1007" s="6" t="s">
        <v>4</v>
      </c>
      <c r="T1007" s="7" t="s">
        <v>5</v>
      </c>
      <c r="U1007" s="175"/>
    </row>
    <row r="1008" spans="1:21" ht="14.25" thickBot="1" x14ac:dyDescent="0.2">
      <c r="A1008" s="27" t="s">
        <v>16</v>
      </c>
      <c r="B1008" s="28">
        <f t="shared" ref="B1008:I1008" si="939">B1002</f>
        <v>0</v>
      </c>
      <c r="C1008" s="29">
        <f t="shared" si="939"/>
        <v>0</v>
      </c>
      <c r="D1008" s="30">
        <f t="shared" si="939"/>
        <v>0</v>
      </c>
      <c r="E1008" s="31">
        <f t="shared" si="939"/>
        <v>0</v>
      </c>
      <c r="F1008" s="28">
        <f t="shared" si="939"/>
        <v>2</v>
      </c>
      <c r="G1008" s="29">
        <f t="shared" si="939"/>
        <v>0</v>
      </c>
      <c r="H1008" s="30">
        <f t="shared" si="939"/>
        <v>2</v>
      </c>
      <c r="I1008" s="31">
        <f t="shared" si="939"/>
        <v>4</v>
      </c>
      <c r="J1008" s="31">
        <f>E1008+I1008</f>
        <v>4</v>
      </c>
      <c r="L1008" s="27" t="s">
        <v>16</v>
      </c>
      <c r="M1008" s="50">
        <f t="shared" ref="M1008:U1008" si="940">M1002</f>
        <v>35</v>
      </c>
      <c r="N1008" s="56">
        <f t="shared" si="940"/>
        <v>3</v>
      </c>
      <c r="O1008" s="57">
        <f t="shared" si="940"/>
        <v>33</v>
      </c>
      <c r="P1008" s="55">
        <f t="shared" si="940"/>
        <v>71</v>
      </c>
      <c r="Q1008" s="50">
        <f t="shared" si="940"/>
        <v>35</v>
      </c>
      <c r="R1008" s="56">
        <f t="shared" si="940"/>
        <v>3</v>
      </c>
      <c r="S1008" s="57">
        <f t="shared" si="940"/>
        <v>33</v>
      </c>
      <c r="T1008" s="55">
        <f t="shared" si="940"/>
        <v>71</v>
      </c>
      <c r="U1008" s="31">
        <f t="shared" si="940"/>
        <v>142</v>
      </c>
    </row>
    <row r="1009" spans="1:24" x14ac:dyDescent="0.15">
      <c r="A1009" s="25" t="s">
        <v>7</v>
      </c>
      <c r="B1009" s="8">
        <v>3</v>
      </c>
      <c r="C1009" s="9">
        <v>3</v>
      </c>
      <c r="D1009" s="52">
        <v>3</v>
      </c>
      <c r="E1009" s="11">
        <f>SUM(B1009:D1009)</f>
        <v>9</v>
      </c>
      <c r="F1009" s="12">
        <v>3</v>
      </c>
      <c r="G1009" s="9">
        <v>3</v>
      </c>
      <c r="H1009" s="10">
        <v>3</v>
      </c>
      <c r="I1009" s="11">
        <f>SUM(F1009:H1009)</f>
        <v>9</v>
      </c>
      <c r="J1009" s="11">
        <f>E1009+I1009</f>
        <v>18</v>
      </c>
      <c r="K1009" s="62">
        <v>45566</v>
      </c>
      <c r="L1009" s="25" t="s">
        <v>7</v>
      </c>
      <c r="M1009" s="8">
        <v>1</v>
      </c>
      <c r="N1009" s="9"/>
      <c r="O1009" s="52">
        <v>1</v>
      </c>
      <c r="P1009" s="11">
        <f t="shared" ref="P1009" si="941">SUM(M1009:O1009)</f>
        <v>2</v>
      </c>
      <c r="Q1009" s="8">
        <v>1</v>
      </c>
      <c r="R1009" s="9"/>
      <c r="S1009" s="52">
        <v>1</v>
      </c>
      <c r="T1009" s="11">
        <f t="shared" ref="T1009" si="942">SUM(Q1009:S1009)</f>
        <v>2</v>
      </c>
      <c r="U1009" s="11">
        <f t="shared" ref="U1009" si="943">P1009+T1009</f>
        <v>4</v>
      </c>
      <c r="V1009" s="99">
        <v>45598</v>
      </c>
    </row>
    <row r="1010" spans="1:24" x14ac:dyDescent="0.15">
      <c r="A1010" s="25" t="s">
        <v>885</v>
      </c>
      <c r="B1010" s="8">
        <v>1</v>
      </c>
      <c r="C1010" s="9"/>
      <c r="D1010" s="52">
        <v>1</v>
      </c>
      <c r="E1010" s="11">
        <f>SUM(B1010:D1010)</f>
        <v>2</v>
      </c>
      <c r="F1010" s="12">
        <v>1</v>
      </c>
      <c r="G1010" s="9"/>
      <c r="H1010" s="10">
        <v>1</v>
      </c>
      <c r="I1010" s="11">
        <f>SUM(F1010:H1010)</f>
        <v>2</v>
      </c>
      <c r="J1010" s="11">
        <f>E1010+I1010</f>
        <v>4</v>
      </c>
      <c r="K1010" s="62">
        <v>45590</v>
      </c>
      <c r="L1010" s="25" t="s">
        <v>8</v>
      </c>
      <c r="M1010" s="8"/>
      <c r="N1010" s="9"/>
      <c r="O1010" s="52"/>
      <c r="P1010" s="11">
        <f t="shared" ref="P1010:P1011" si="944">SUM(M1010:O1010)</f>
        <v>0</v>
      </c>
      <c r="Q1010" s="8"/>
      <c r="R1010" s="9"/>
      <c r="S1010" s="52"/>
      <c r="T1010" s="11">
        <f t="shared" ref="T1010:T1011" si="945">SUM(Q1010:S1010)</f>
        <v>0</v>
      </c>
      <c r="U1010" s="11">
        <f t="shared" ref="U1010:U1011" si="946">P1010+T1010</f>
        <v>0</v>
      </c>
      <c r="V1010" s="100" t="s">
        <v>916</v>
      </c>
    </row>
    <row r="1011" spans="1:24" x14ac:dyDescent="0.15">
      <c r="A1011" s="25" t="s">
        <v>9</v>
      </c>
      <c r="B1011" s="17"/>
      <c r="C1011" s="18"/>
      <c r="D1011" s="51"/>
      <c r="E1011" s="11">
        <f t="shared" ref="E1011:E1016" si="947">SUM(B1011:D1011)</f>
        <v>0</v>
      </c>
      <c r="F1011" s="20"/>
      <c r="G1011" s="18"/>
      <c r="H1011" s="19"/>
      <c r="I1011" s="11">
        <f t="shared" ref="I1011:I1016" si="948">SUM(F1011:H1011)</f>
        <v>0</v>
      </c>
      <c r="J1011" s="11">
        <f t="shared" ref="J1011:J1016" si="949">E1011+I1011</f>
        <v>0</v>
      </c>
      <c r="L1011" s="25" t="s">
        <v>9</v>
      </c>
      <c r="M1011" s="8">
        <v>49</v>
      </c>
      <c r="N1011" s="9">
        <v>145</v>
      </c>
      <c r="O1011" s="52">
        <v>99</v>
      </c>
      <c r="P1011" s="11">
        <f t="shared" si="944"/>
        <v>293</v>
      </c>
      <c r="Q1011" s="12">
        <v>49</v>
      </c>
      <c r="R1011" s="9">
        <v>145</v>
      </c>
      <c r="S1011" s="10">
        <v>99</v>
      </c>
      <c r="T1011" s="11">
        <f t="shared" si="945"/>
        <v>293</v>
      </c>
      <c r="U1011" s="11">
        <f t="shared" si="946"/>
        <v>586</v>
      </c>
      <c r="V1011" s="98" t="s">
        <v>920</v>
      </c>
    </row>
    <row r="1012" spans="1:24" x14ac:dyDescent="0.15">
      <c r="A1012" s="25" t="s">
        <v>10</v>
      </c>
      <c r="B1012" s="8"/>
      <c r="C1012" s="9"/>
      <c r="D1012" s="52"/>
      <c r="E1012" s="11">
        <f t="shared" si="947"/>
        <v>0</v>
      </c>
      <c r="F1012" s="12"/>
      <c r="G1012" s="9"/>
      <c r="H1012" s="10"/>
      <c r="I1012" s="11">
        <f t="shared" si="948"/>
        <v>0</v>
      </c>
      <c r="J1012" s="11">
        <f t="shared" si="949"/>
        <v>0</v>
      </c>
      <c r="L1012" s="25" t="s">
        <v>10</v>
      </c>
      <c r="M1012" s="8"/>
      <c r="N1012" s="9"/>
      <c r="O1012" s="52"/>
      <c r="P1012" s="11">
        <f t="shared" ref="P1012:P1016" si="950">SUM(M1012:O1012)</f>
        <v>0</v>
      </c>
      <c r="Q1012" s="12"/>
      <c r="R1012" s="9"/>
      <c r="S1012" s="10"/>
      <c r="T1012" s="11">
        <f t="shared" ref="T1012:T1016" si="951">SUM(Q1012:S1012)</f>
        <v>0</v>
      </c>
      <c r="U1012" s="11">
        <f t="shared" ref="U1012:U1016" si="952">P1012+T1012</f>
        <v>0</v>
      </c>
      <c r="V1012" s="100" t="s">
        <v>911</v>
      </c>
    </row>
    <row r="1013" spans="1:24" x14ac:dyDescent="0.15">
      <c r="A1013" s="25" t="s">
        <v>11</v>
      </c>
      <c r="B1013" s="8"/>
      <c r="C1013" s="9"/>
      <c r="D1013" s="52"/>
      <c r="E1013" s="11">
        <f t="shared" si="947"/>
        <v>0</v>
      </c>
      <c r="F1013" s="12"/>
      <c r="G1013" s="9"/>
      <c r="H1013" s="10"/>
      <c r="I1013" s="11">
        <f t="shared" si="948"/>
        <v>0</v>
      </c>
      <c r="J1013" s="11">
        <f t="shared" si="949"/>
        <v>0</v>
      </c>
      <c r="L1013" s="25" t="s">
        <v>919</v>
      </c>
      <c r="M1013" s="8">
        <v>22</v>
      </c>
      <c r="N1013" s="9">
        <v>5</v>
      </c>
      <c r="O1013" s="52">
        <v>1</v>
      </c>
      <c r="P1013" s="11">
        <f t="shared" si="950"/>
        <v>28</v>
      </c>
      <c r="Q1013" s="12">
        <v>22</v>
      </c>
      <c r="R1013" s="9">
        <v>5</v>
      </c>
      <c r="S1013" s="10">
        <v>1</v>
      </c>
      <c r="T1013" s="11">
        <f t="shared" si="951"/>
        <v>28</v>
      </c>
      <c r="U1013" s="11">
        <f t="shared" si="952"/>
        <v>56</v>
      </c>
      <c r="V1013" s="98" t="s">
        <v>926</v>
      </c>
    </row>
    <row r="1014" spans="1:24" x14ac:dyDescent="0.15">
      <c r="A1014" s="25" t="s">
        <v>12</v>
      </c>
      <c r="B1014" s="8"/>
      <c r="C1014" s="9"/>
      <c r="D1014" s="52"/>
      <c r="E1014" s="11">
        <f t="shared" si="947"/>
        <v>0</v>
      </c>
      <c r="F1014" s="12"/>
      <c r="G1014" s="9"/>
      <c r="H1014" s="10"/>
      <c r="I1014" s="11">
        <f t="shared" si="948"/>
        <v>0</v>
      </c>
      <c r="J1014" s="11">
        <f t="shared" si="949"/>
        <v>0</v>
      </c>
      <c r="L1014" s="25" t="s">
        <v>12</v>
      </c>
      <c r="M1014" s="8"/>
      <c r="N1014" s="9"/>
      <c r="O1014" s="52"/>
      <c r="P1014" s="11">
        <f t="shared" si="950"/>
        <v>0</v>
      </c>
      <c r="Q1014" s="12"/>
      <c r="R1014" s="9"/>
      <c r="S1014" s="10"/>
      <c r="T1014" s="11">
        <f t="shared" si="951"/>
        <v>0</v>
      </c>
      <c r="U1014" s="11">
        <f t="shared" si="952"/>
        <v>0</v>
      </c>
    </row>
    <row r="1015" spans="1:24" x14ac:dyDescent="0.15">
      <c r="A1015" s="25" t="s">
        <v>13</v>
      </c>
      <c r="B1015" s="13"/>
      <c r="C1015" s="14"/>
      <c r="D1015" s="53"/>
      <c r="E1015" s="11">
        <f t="shared" si="947"/>
        <v>0</v>
      </c>
      <c r="F1015" s="16"/>
      <c r="G1015" s="14"/>
      <c r="H1015" s="15"/>
      <c r="I1015" s="11">
        <f t="shared" si="948"/>
        <v>0</v>
      </c>
      <c r="J1015" s="11">
        <f t="shared" si="949"/>
        <v>0</v>
      </c>
      <c r="L1015" s="25" t="s">
        <v>13</v>
      </c>
      <c r="M1015" s="8"/>
      <c r="N1015" s="9"/>
      <c r="O1015" s="52"/>
      <c r="P1015" s="11">
        <f t="shared" si="950"/>
        <v>0</v>
      </c>
      <c r="Q1015" s="12"/>
      <c r="R1015" s="9"/>
      <c r="S1015" s="10"/>
      <c r="T1015" s="11">
        <f t="shared" si="951"/>
        <v>0</v>
      </c>
      <c r="U1015" s="11">
        <f t="shared" si="952"/>
        <v>0</v>
      </c>
    </row>
    <row r="1016" spans="1:24" ht="14.25" thickBot="1" x14ac:dyDescent="0.2">
      <c r="A1016" s="25" t="s">
        <v>14</v>
      </c>
      <c r="B1016" s="32"/>
      <c r="C1016" s="33"/>
      <c r="D1016" s="54"/>
      <c r="E1016" s="61">
        <f t="shared" si="947"/>
        <v>0</v>
      </c>
      <c r="F1016" s="34"/>
      <c r="G1016" s="34"/>
      <c r="H1016" s="37"/>
      <c r="I1016" s="61">
        <f t="shared" si="948"/>
        <v>0</v>
      </c>
      <c r="J1016" s="21">
        <f t="shared" si="949"/>
        <v>0</v>
      </c>
      <c r="L1016" s="25" t="s">
        <v>14</v>
      </c>
      <c r="M1016" s="32"/>
      <c r="N1016" s="33"/>
      <c r="O1016" s="54"/>
      <c r="P1016" s="61">
        <f t="shared" si="950"/>
        <v>0</v>
      </c>
      <c r="Q1016" s="34"/>
      <c r="R1016" s="34"/>
      <c r="S1016" s="37"/>
      <c r="T1016" s="61">
        <f t="shared" si="951"/>
        <v>0</v>
      </c>
      <c r="U1016" s="21">
        <f t="shared" si="952"/>
        <v>0</v>
      </c>
    </row>
    <row r="1017" spans="1:24" ht="14.25" thickBot="1" x14ac:dyDescent="0.2">
      <c r="A1017" s="35" t="s">
        <v>15</v>
      </c>
      <c r="B1017" s="28">
        <f>SUM(B1008:B1016)</f>
        <v>4</v>
      </c>
      <c r="C1017" s="29">
        <f>SUM(C1008:C1016)</f>
        <v>3</v>
      </c>
      <c r="D1017" s="30">
        <f>SUM(D1008:D1016)</f>
        <v>4</v>
      </c>
      <c r="E1017" s="31">
        <f>SUM(B1017:D1017)</f>
        <v>11</v>
      </c>
      <c r="F1017" s="28">
        <f>SUM(F1008:F1016)</f>
        <v>6</v>
      </c>
      <c r="G1017" s="29">
        <f>SUM(G1008:G1016)</f>
        <v>3</v>
      </c>
      <c r="H1017" s="30">
        <f>SUM(H1008:H1016)</f>
        <v>6</v>
      </c>
      <c r="I1017" s="31">
        <f>SUM(F1017:H1017)</f>
        <v>15</v>
      </c>
      <c r="J1017" s="31">
        <f>E1017+I1017</f>
        <v>26</v>
      </c>
      <c r="L1017" s="35" t="s">
        <v>15</v>
      </c>
      <c r="M1017" s="28">
        <f>SUM(M1008:M1016)</f>
        <v>107</v>
      </c>
      <c r="N1017" s="29">
        <f>SUM(N1008:N1016)</f>
        <v>153</v>
      </c>
      <c r="O1017" s="30">
        <f>SUM(O1008:O1016)</f>
        <v>134</v>
      </c>
      <c r="P1017" s="31">
        <f>SUM(M1017:O1017)</f>
        <v>394</v>
      </c>
      <c r="Q1017" s="28">
        <f>SUM(Q1008:Q1016)</f>
        <v>107</v>
      </c>
      <c r="R1017" s="29">
        <f>SUM(R1008:R1016)</f>
        <v>153</v>
      </c>
      <c r="S1017" s="30">
        <f>SUM(S1008:S1016)</f>
        <v>134</v>
      </c>
      <c r="T1017" s="31">
        <f>SUM(Q1017:S1017)</f>
        <v>394</v>
      </c>
      <c r="U1017" s="31">
        <f>P1017+T1017</f>
        <v>788</v>
      </c>
    </row>
    <row r="1018" spans="1:24" x14ac:dyDescent="0.15">
      <c r="A1018" s="26" t="s">
        <v>139</v>
      </c>
      <c r="B1018" s="8">
        <v>1</v>
      </c>
      <c r="C1018" s="9">
        <v>1</v>
      </c>
      <c r="D1018" s="10"/>
      <c r="E1018" s="49">
        <f t="shared" ref="E1018:E1044" si="953">SUM(B1018:D1018)</f>
        <v>2</v>
      </c>
      <c r="F1018" s="12">
        <v>1</v>
      </c>
      <c r="G1018" s="9">
        <v>1</v>
      </c>
      <c r="H1018" s="10"/>
      <c r="I1018" s="49">
        <f t="shared" ref="I1018:I1044" si="954">SUM(F1018:H1018)</f>
        <v>2</v>
      </c>
      <c r="J1018" s="11">
        <f t="shared" ref="J1018:J1043" si="955">E1018+I1018</f>
        <v>4</v>
      </c>
      <c r="K1018" s="62">
        <v>45586</v>
      </c>
      <c r="L1018" s="26" t="s">
        <v>922</v>
      </c>
      <c r="M1018" s="8"/>
      <c r="N1018" s="9">
        <v>1</v>
      </c>
      <c r="O1018" s="52"/>
      <c r="P1018" s="87">
        <f t="shared" ref="P1018:P1044" si="956">SUM(M1018:O1018)</f>
        <v>1</v>
      </c>
      <c r="Q1018" s="8"/>
      <c r="R1018" s="9">
        <v>1</v>
      </c>
      <c r="S1018" s="10"/>
      <c r="T1018" s="49">
        <f t="shared" ref="T1018:T1044" si="957">SUM(Q1018:S1018)</f>
        <v>1</v>
      </c>
      <c r="U1018" s="11">
        <f t="shared" ref="U1018:U1043" si="958">P1018+T1018</f>
        <v>2</v>
      </c>
      <c r="V1018" s="98">
        <v>45565</v>
      </c>
    </row>
    <row r="1019" spans="1:24" x14ac:dyDescent="0.15">
      <c r="A1019" s="108" t="s">
        <v>928</v>
      </c>
      <c r="B1019" s="8">
        <v>1</v>
      </c>
      <c r="C1019" s="9"/>
      <c r="D1019" s="10">
        <v>1</v>
      </c>
      <c r="E1019" s="49">
        <f t="shared" si="953"/>
        <v>2</v>
      </c>
      <c r="F1019" s="12">
        <v>1</v>
      </c>
      <c r="G1019" s="9"/>
      <c r="H1019" s="10">
        <v>1</v>
      </c>
      <c r="I1019" s="49">
        <f t="shared" si="954"/>
        <v>2</v>
      </c>
      <c r="J1019" s="11">
        <f t="shared" si="955"/>
        <v>4</v>
      </c>
      <c r="K1019" s="62">
        <v>45598</v>
      </c>
      <c r="L1019" s="26" t="s">
        <v>113</v>
      </c>
      <c r="M1019" s="8">
        <v>1</v>
      </c>
      <c r="N1019" s="9"/>
      <c r="O1019" s="52">
        <v>1</v>
      </c>
      <c r="P1019" s="87">
        <f t="shared" si="956"/>
        <v>2</v>
      </c>
      <c r="Q1019" s="8">
        <v>1</v>
      </c>
      <c r="R1019" s="9"/>
      <c r="S1019" s="10">
        <v>1</v>
      </c>
      <c r="T1019" s="49">
        <f t="shared" si="957"/>
        <v>2</v>
      </c>
      <c r="U1019" s="11">
        <f t="shared" si="958"/>
        <v>4</v>
      </c>
      <c r="V1019" s="98">
        <v>45567</v>
      </c>
    </row>
    <row r="1020" spans="1:24" x14ac:dyDescent="0.15">
      <c r="A1020" s="108"/>
      <c r="B1020" s="8"/>
      <c r="C1020" s="9"/>
      <c r="D1020" s="10"/>
      <c r="E1020" s="49">
        <f t="shared" si="953"/>
        <v>0</v>
      </c>
      <c r="F1020" s="12"/>
      <c r="G1020" s="9"/>
      <c r="H1020" s="10"/>
      <c r="I1020" s="49">
        <f t="shared" si="954"/>
        <v>0</v>
      </c>
      <c r="J1020" s="11">
        <f t="shared" si="955"/>
        <v>0</v>
      </c>
      <c r="K1020" s="62"/>
      <c r="L1020" s="142" t="s">
        <v>925</v>
      </c>
      <c r="M1020" s="8">
        <v>3</v>
      </c>
      <c r="N1020" s="9">
        <v>3</v>
      </c>
      <c r="O1020" s="52">
        <v>3</v>
      </c>
      <c r="P1020" s="87">
        <f>SUM(M1020:O1020)</f>
        <v>9</v>
      </c>
      <c r="Q1020" s="8">
        <v>3</v>
      </c>
      <c r="R1020" s="9">
        <v>3</v>
      </c>
      <c r="S1020" s="10">
        <v>3</v>
      </c>
      <c r="T1020" s="49">
        <f>SUM(Q1020:S1020)</f>
        <v>9</v>
      </c>
      <c r="U1020" s="11">
        <f>P1020+T1020</f>
        <v>18</v>
      </c>
      <c r="V1020" s="98">
        <v>45566</v>
      </c>
      <c r="W1020" s="66"/>
      <c r="X1020" s="66"/>
    </row>
    <row r="1021" spans="1:24" x14ac:dyDescent="0.15">
      <c r="A1021" s="108"/>
      <c r="B1021" s="8"/>
      <c r="C1021" s="9"/>
      <c r="D1021" s="10"/>
      <c r="E1021" s="49">
        <f t="shared" si="953"/>
        <v>0</v>
      </c>
      <c r="F1021" s="12"/>
      <c r="G1021" s="9"/>
      <c r="H1021" s="10"/>
      <c r="I1021" s="49">
        <f t="shared" si="954"/>
        <v>0</v>
      </c>
      <c r="J1021" s="11">
        <f t="shared" si="955"/>
        <v>0</v>
      </c>
      <c r="K1021" s="62"/>
      <c r="L1021" s="26" t="s">
        <v>115</v>
      </c>
      <c r="M1021" s="8">
        <v>15</v>
      </c>
      <c r="N1021" s="9">
        <v>10</v>
      </c>
      <c r="O1021" s="52">
        <v>7</v>
      </c>
      <c r="P1021" s="87">
        <f t="shared" si="956"/>
        <v>32</v>
      </c>
      <c r="Q1021" s="8">
        <v>15</v>
      </c>
      <c r="R1021" s="9">
        <v>10</v>
      </c>
      <c r="S1021" s="10">
        <v>7</v>
      </c>
      <c r="T1021" s="49">
        <f t="shared" si="957"/>
        <v>32</v>
      </c>
      <c r="U1021" s="11">
        <f t="shared" si="958"/>
        <v>64</v>
      </c>
      <c r="V1021" s="98">
        <v>45568</v>
      </c>
    </row>
    <row r="1022" spans="1:24" x14ac:dyDescent="0.15">
      <c r="A1022" s="108"/>
      <c r="B1022" s="8"/>
      <c r="C1022" s="9"/>
      <c r="D1022" s="10"/>
      <c r="E1022" s="49">
        <f t="shared" si="953"/>
        <v>0</v>
      </c>
      <c r="F1022" s="12"/>
      <c r="G1022" s="9"/>
      <c r="H1022" s="10"/>
      <c r="I1022" s="49">
        <f t="shared" si="954"/>
        <v>0</v>
      </c>
      <c r="J1022" s="11">
        <f t="shared" si="955"/>
        <v>0</v>
      </c>
      <c r="K1022" s="62"/>
      <c r="L1022" s="26" t="s">
        <v>117</v>
      </c>
      <c r="M1022" s="8">
        <v>6</v>
      </c>
      <c r="N1022" s="9">
        <v>7</v>
      </c>
      <c r="O1022" s="52">
        <v>10</v>
      </c>
      <c r="P1022" s="87">
        <f t="shared" si="956"/>
        <v>23</v>
      </c>
      <c r="Q1022" s="8">
        <v>6</v>
      </c>
      <c r="R1022" s="9">
        <v>7</v>
      </c>
      <c r="S1022" s="10">
        <v>10</v>
      </c>
      <c r="T1022" s="49">
        <f t="shared" si="957"/>
        <v>23</v>
      </c>
      <c r="U1022" s="11">
        <f t="shared" si="958"/>
        <v>46</v>
      </c>
      <c r="V1022" s="98">
        <v>45569</v>
      </c>
    </row>
    <row r="1023" spans="1:24" x14ac:dyDescent="0.15">
      <c r="A1023" s="108"/>
      <c r="B1023" s="8"/>
      <c r="C1023" s="9"/>
      <c r="D1023" s="10"/>
      <c r="E1023" s="49">
        <f t="shared" si="953"/>
        <v>0</v>
      </c>
      <c r="F1023" s="12"/>
      <c r="G1023" s="9"/>
      <c r="H1023" s="10"/>
      <c r="I1023" s="49">
        <f t="shared" si="954"/>
        <v>0</v>
      </c>
      <c r="J1023" s="11">
        <f t="shared" si="955"/>
        <v>0</v>
      </c>
      <c r="K1023" s="62"/>
      <c r="L1023" s="26" t="s">
        <v>118</v>
      </c>
      <c r="M1023" s="8">
        <v>1</v>
      </c>
      <c r="N1023" s="9">
        <v>11</v>
      </c>
      <c r="O1023" s="52">
        <v>8</v>
      </c>
      <c r="P1023" s="87">
        <f t="shared" si="956"/>
        <v>20</v>
      </c>
      <c r="Q1023" s="8">
        <v>1</v>
      </c>
      <c r="R1023" s="9">
        <v>11</v>
      </c>
      <c r="S1023" s="10">
        <v>8</v>
      </c>
      <c r="T1023" s="49">
        <f t="shared" si="957"/>
        <v>20</v>
      </c>
      <c r="U1023" s="11">
        <f t="shared" si="958"/>
        <v>40</v>
      </c>
      <c r="V1023" s="98">
        <v>45569</v>
      </c>
    </row>
    <row r="1024" spans="1:24" x14ac:dyDescent="0.15">
      <c r="A1024" s="108"/>
      <c r="B1024" s="8"/>
      <c r="C1024" s="9"/>
      <c r="D1024" s="10"/>
      <c r="E1024" s="49">
        <f t="shared" si="953"/>
        <v>0</v>
      </c>
      <c r="F1024" s="12"/>
      <c r="G1024" s="9"/>
      <c r="H1024" s="10"/>
      <c r="I1024" s="49">
        <f t="shared" si="954"/>
        <v>0</v>
      </c>
      <c r="J1024" s="11">
        <f t="shared" si="955"/>
        <v>0</v>
      </c>
      <c r="K1024" s="62"/>
      <c r="L1024" s="26" t="s">
        <v>122</v>
      </c>
      <c r="M1024" s="8">
        <v>9</v>
      </c>
      <c r="N1024" s="9">
        <v>17</v>
      </c>
      <c r="O1024" s="52">
        <v>4</v>
      </c>
      <c r="P1024" s="87">
        <f t="shared" si="956"/>
        <v>30</v>
      </c>
      <c r="Q1024" s="8">
        <v>9</v>
      </c>
      <c r="R1024" s="9">
        <v>17</v>
      </c>
      <c r="S1024" s="10">
        <v>4</v>
      </c>
      <c r="T1024" s="49">
        <f t="shared" si="957"/>
        <v>30</v>
      </c>
      <c r="U1024" s="11">
        <f t="shared" si="958"/>
        <v>60</v>
      </c>
      <c r="V1024" s="98">
        <v>45572</v>
      </c>
    </row>
    <row r="1025" spans="1:23" x14ac:dyDescent="0.15">
      <c r="A1025" s="108"/>
      <c r="B1025" s="8"/>
      <c r="C1025" s="9"/>
      <c r="D1025" s="10"/>
      <c r="E1025" s="49">
        <f t="shared" si="953"/>
        <v>0</v>
      </c>
      <c r="F1025" s="12"/>
      <c r="G1025" s="9"/>
      <c r="H1025" s="10"/>
      <c r="I1025" s="49">
        <f t="shared" si="954"/>
        <v>0</v>
      </c>
      <c r="J1025" s="11">
        <f t="shared" si="955"/>
        <v>0</v>
      </c>
      <c r="K1025" s="62"/>
      <c r="L1025" s="26" t="s">
        <v>126</v>
      </c>
      <c r="M1025" s="8">
        <v>11</v>
      </c>
      <c r="N1025" s="9">
        <v>5</v>
      </c>
      <c r="O1025" s="52">
        <v>2</v>
      </c>
      <c r="P1025" s="87">
        <f t="shared" si="956"/>
        <v>18</v>
      </c>
      <c r="Q1025" s="8">
        <v>11</v>
      </c>
      <c r="R1025" s="9">
        <v>5</v>
      </c>
      <c r="S1025" s="10">
        <v>2</v>
      </c>
      <c r="T1025" s="49">
        <f t="shared" si="957"/>
        <v>18</v>
      </c>
      <c r="U1025" s="11">
        <f t="shared" si="958"/>
        <v>36</v>
      </c>
      <c r="V1025" s="98">
        <v>45574</v>
      </c>
    </row>
    <row r="1026" spans="1:23" x14ac:dyDescent="0.15">
      <c r="A1026" s="108"/>
      <c r="B1026" s="8"/>
      <c r="C1026" s="9"/>
      <c r="D1026" s="10"/>
      <c r="E1026" s="49">
        <f t="shared" si="953"/>
        <v>0</v>
      </c>
      <c r="F1026" s="12"/>
      <c r="G1026" s="9"/>
      <c r="H1026" s="10"/>
      <c r="I1026" s="49">
        <f t="shared" si="954"/>
        <v>0</v>
      </c>
      <c r="J1026" s="11">
        <f t="shared" si="955"/>
        <v>0</v>
      </c>
      <c r="K1026" s="62"/>
      <c r="L1026" s="26" t="s">
        <v>127</v>
      </c>
      <c r="M1026" s="8">
        <v>6</v>
      </c>
      <c r="N1026" s="9">
        <v>3</v>
      </c>
      <c r="O1026" s="52">
        <v>2</v>
      </c>
      <c r="P1026" s="87">
        <f t="shared" si="956"/>
        <v>11</v>
      </c>
      <c r="Q1026" s="8">
        <v>6</v>
      </c>
      <c r="R1026" s="9">
        <v>3</v>
      </c>
      <c r="S1026" s="10">
        <v>2</v>
      </c>
      <c r="T1026" s="49">
        <f t="shared" si="957"/>
        <v>11</v>
      </c>
      <c r="U1026" s="11">
        <f t="shared" si="958"/>
        <v>22</v>
      </c>
      <c r="V1026" s="98">
        <v>45575</v>
      </c>
    </row>
    <row r="1027" spans="1:23" x14ac:dyDescent="0.15">
      <c r="A1027" s="108"/>
      <c r="B1027" s="8"/>
      <c r="C1027" s="9"/>
      <c r="D1027" s="10"/>
      <c r="E1027" s="49">
        <f t="shared" si="953"/>
        <v>0</v>
      </c>
      <c r="F1027" s="12"/>
      <c r="G1027" s="9"/>
      <c r="H1027" s="10"/>
      <c r="I1027" s="49">
        <f t="shared" si="954"/>
        <v>0</v>
      </c>
      <c r="J1027" s="11">
        <f t="shared" si="955"/>
        <v>0</v>
      </c>
      <c r="K1027" s="62"/>
      <c r="L1027" s="26" t="s">
        <v>129</v>
      </c>
      <c r="M1027" s="8">
        <v>5</v>
      </c>
      <c r="N1027" s="9">
        <v>4</v>
      </c>
      <c r="O1027" s="52">
        <v>2</v>
      </c>
      <c r="P1027" s="87">
        <f t="shared" si="956"/>
        <v>11</v>
      </c>
      <c r="Q1027" s="8">
        <v>5</v>
      </c>
      <c r="R1027" s="9">
        <v>4</v>
      </c>
      <c r="S1027" s="10">
        <v>2</v>
      </c>
      <c r="T1027" s="49">
        <f t="shared" si="957"/>
        <v>11</v>
      </c>
      <c r="U1027" s="11">
        <f t="shared" si="958"/>
        <v>22</v>
      </c>
      <c r="V1027" s="98">
        <v>45576</v>
      </c>
    </row>
    <row r="1028" spans="1:23" x14ac:dyDescent="0.15">
      <c r="A1028" s="108"/>
      <c r="B1028" s="8"/>
      <c r="C1028" s="9"/>
      <c r="D1028" s="10"/>
      <c r="E1028" s="49">
        <f t="shared" si="953"/>
        <v>0</v>
      </c>
      <c r="F1028" s="12"/>
      <c r="G1028" s="9"/>
      <c r="H1028" s="10"/>
      <c r="I1028" s="49">
        <f t="shared" si="954"/>
        <v>0</v>
      </c>
      <c r="J1028" s="11">
        <f t="shared" si="955"/>
        <v>0</v>
      </c>
      <c r="K1028" s="62"/>
      <c r="L1028" s="26" t="s">
        <v>131</v>
      </c>
      <c r="M1028" s="8"/>
      <c r="N1028" s="9">
        <v>4</v>
      </c>
      <c r="O1028" s="52">
        <v>6</v>
      </c>
      <c r="P1028" s="87">
        <f t="shared" si="956"/>
        <v>10</v>
      </c>
      <c r="Q1028" s="8"/>
      <c r="R1028" s="9">
        <v>4</v>
      </c>
      <c r="S1028" s="10">
        <v>6</v>
      </c>
      <c r="T1028" s="49">
        <f t="shared" si="957"/>
        <v>10</v>
      </c>
      <c r="U1028" s="11">
        <f t="shared" si="958"/>
        <v>20</v>
      </c>
      <c r="V1028" s="98">
        <v>45576</v>
      </c>
    </row>
    <row r="1029" spans="1:23" x14ac:dyDescent="0.15">
      <c r="A1029" s="108"/>
      <c r="B1029" s="8"/>
      <c r="C1029" s="9"/>
      <c r="D1029" s="10"/>
      <c r="E1029" s="49">
        <f t="shared" si="953"/>
        <v>0</v>
      </c>
      <c r="F1029" s="12"/>
      <c r="G1029" s="9"/>
      <c r="H1029" s="10"/>
      <c r="I1029" s="49">
        <f t="shared" si="954"/>
        <v>0</v>
      </c>
      <c r="J1029" s="11">
        <f t="shared" si="955"/>
        <v>0</v>
      </c>
      <c r="K1029" s="62"/>
      <c r="L1029" s="26" t="s">
        <v>133</v>
      </c>
      <c r="M1029" s="8"/>
      <c r="N1029" s="9">
        <v>4</v>
      </c>
      <c r="O1029" s="52">
        <v>5</v>
      </c>
      <c r="P1029" s="87">
        <f t="shared" si="956"/>
        <v>9</v>
      </c>
      <c r="Q1029" s="8"/>
      <c r="R1029" s="9">
        <v>4</v>
      </c>
      <c r="S1029" s="10">
        <v>5</v>
      </c>
      <c r="T1029" s="49">
        <f t="shared" si="957"/>
        <v>9</v>
      </c>
      <c r="U1029" s="11">
        <f t="shared" si="958"/>
        <v>18</v>
      </c>
      <c r="V1029" s="98">
        <v>45580</v>
      </c>
    </row>
    <row r="1030" spans="1:23" x14ac:dyDescent="0.15">
      <c r="A1030" s="108"/>
      <c r="B1030" s="8"/>
      <c r="C1030" s="9"/>
      <c r="D1030" s="10"/>
      <c r="E1030" s="49">
        <f t="shared" si="953"/>
        <v>0</v>
      </c>
      <c r="F1030" s="12"/>
      <c r="G1030" s="9"/>
      <c r="H1030" s="10"/>
      <c r="I1030" s="49">
        <f t="shared" si="954"/>
        <v>0</v>
      </c>
      <c r="J1030" s="11">
        <f t="shared" si="955"/>
        <v>0</v>
      </c>
      <c r="K1030" s="62"/>
      <c r="L1030" s="26" t="s">
        <v>134</v>
      </c>
      <c r="M1030" s="8"/>
      <c r="N1030" s="9">
        <v>7</v>
      </c>
      <c r="O1030" s="52">
        <v>1</v>
      </c>
      <c r="P1030" s="87">
        <f t="shared" si="956"/>
        <v>8</v>
      </c>
      <c r="Q1030" s="8"/>
      <c r="R1030" s="9">
        <v>7</v>
      </c>
      <c r="S1030" s="10">
        <v>1</v>
      </c>
      <c r="T1030" s="49">
        <f t="shared" si="957"/>
        <v>8</v>
      </c>
      <c r="U1030" s="11">
        <f t="shared" si="958"/>
        <v>16</v>
      </c>
      <c r="V1030" s="98">
        <v>45582</v>
      </c>
    </row>
    <row r="1031" spans="1:23" x14ac:dyDescent="0.15">
      <c r="A1031" s="108"/>
      <c r="B1031" s="8"/>
      <c r="C1031" s="9"/>
      <c r="D1031" s="10"/>
      <c r="E1031" s="49">
        <f t="shared" si="953"/>
        <v>0</v>
      </c>
      <c r="F1031" s="12"/>
      <c r="G1031" s="9"/>
      <c r="H1031" s="10"/>
      <c r="I1031" s="49">
        <f t="shared" si="954"/>
        <v>0</v>
      </c>
      <c r="J1031" s="11">
        <f t="shared" si="955"/>
        <v>0</v>
      </c>
      <c r="K1031" s="62"/>
      <c r="L1031" s="26" t="s">
        <v>135</v>
      </c>
      <c r="M1031" s="8"/>
      <c r="N1031" s="9">
        <v>2</v>
      </c>
      <c r="O1031" s="52"/>
      <c r="P1031" s="87">
        <f t="shared" si="956"/>
        <v>2</v>
      </c>
      <c r="Q1031" s="8"/>
      <c r="R1031" s="9">
        <v>2</v>
      </c>
      <c r="S1031" s="10"/>
      <c r="T1031" s="49">
        <f t="shared" si="957"/>
        <v>2</v>
      </c>
      <c r="U1031" s="11">
        <f t="shared" si="958"/>
        <v>4</v>
      </c>
      <c r="V1031" s="98">
        <v>45583</v>
      </c>
    </row>
    <row r="1032" spans="1:23" x14ac:dyDescent="0.15">
      <c r="A1032" s="108"/>
      <c r="B1032" s="8"/>
      <c r="C1032" s="9"/>
      <c r="D1032" s="10"/>
      <c r="E1032" s="49">
        <f t="shared" si="953"/>
        <v>0</v>
      </c>
      <c r="F1032" s="12"/>
      <c r="G1032" s="9"/>
      <c r="H1032" s="10"/>
      <c r="I1032" s="49">
        <f t="shared" si="954"/>
        <v>0</v>
      </c>
      <c r="J1032" s="11">
        <f t="shared" si="955"/>
        <v>0</v>
      </c>
      <c r="K1032" s="62"/>
      <c r="L1032" s="26" t="s">
        <v>137</v>
      </c>
      <c r="M1032" s="8">
        <v>1</v>
      </c>
      <c r="N1032" s="9"/>
      <c r="O1032" s="52"/>
      <c r="P1032" s="87">
        <f t="shared" si="956"/>
        <v>1</v>
      </c>
      <c r="Q1032" s="8">
        <v>1</v>
      </c>
      <c r="R1032" s="9"/>
      <c r="S1032" s="10"/>
      <c r="T1032" s="49">
        <f t="shared" si="957"/>
        <v>1</v>
      </c>
      <c r="U1032" s="11">
        <f t="shared" si="958"/>
        <v>2</v>
      </c>
      <c r="V1032" s="98">
        <v>45583</v>
      </c>
    </row>
    <row r="1033" spans="1:23" x14ac:dyDescent="0.15">
      <c r="A1033" s="108"/>
      <c r="B1033" s="8"/>
      <c r="C1033" s="9"/>
      <c r="D1033" s="10"/>
      <c r="E1033" s="49">
        <f t="shared" si="953"/>
        <v>0</v>
      </c>
      <c r="F1033" s="12"/>
      <c r="G1033" s="9"/>
      <c r="H1033" s="10"/>
      <c r="I1033" s="49">
        <f t="shared" si="954"/>
        <v>0</v>
      </c>
      <c r="J1033" s="11">
        <f t="shared" si="955"/>
        <v>0</v>
      </c>
      <c r="K1033" s="62"/>
      <c r="L1033" s="26" t="s">
        <v>141</v>
      </c>
      <c r="M1033" s="8"/>
      <c r="N1033" s="9">
        <v>3</v>
      </c>
      <c r="O1033" s="52"/>
      <c r="P1033" s="87">
        <f t="shared" si="956"/>
        <v>3</v>
      </c>
      <c r="Q1033" s="8"/>
      <c r="R1033" s="9">
        <v>3</v>
      </c>
      <c r="S1033" s="10"/>
      <c r="T1033" s="49">
        <f t="shared" si="957"/>
        <v>3</v>
      </c>
      <c r="U1033" s="11">
        <f t="shared" si="958"/>
        <v>6</v>
      </c>
      <c r="V1033" s="98">
        <v>45588</v>
      </c>
    </row>
    <row r="1034" spans="1:23" x14ac:dyDescent="0.15">
      <c r="A1034" s="108"/>
      <c r="B1034" s="8"/>
      <c r="C1034" s="9"/>
      <c r="D1034" s="10"/>
      <c r="E1034" s="49">
        <f t="shared" si="953"/>
        <v>0</v>
      </c>
      <c r="F1034" s="12"/>
      <c r="G1034" s="9"/>
      <c r="H1034" s="10"/>
      <c r="I1034" s="49">
        <f t="shared" si="954"/>
        <v>0</v>
      </c>
      <c r="J1034" s="11">
        <f t="shared" si="955"/>
        <v>0</v>
      </c>
      <c r="K1034" s="62"/>
      <c r="L1034" s="26" t="s">
        <v>143</v>
      </c>
      <c r="M1034" s="8"/>
      <c r="N1034" s="9">
        <v>5</v>
      </c>
      <c r="O1034" s="52"/>
      <c r="P1034" s="87">
        <f t="shared" si="956"/>
        <v>5</v>
      </c>
      <c r="Q1034" s="8"/>
      <c r="R1034" s="9">
        <v>5</v>
      </c>
      <c r="S1034" s="10"/>
      <c r="T1034" s="49">
        <f t="shared" si="957"/>
        <v>5</v>
      </c>
      <c r="U1034" s="11">
        <f t="shared" si="958"/>
        <v>10</v>
      </c>
      <c r="V1034" s="98">
        <v>45589</v>
      </c>
    </row>
    <row r="1035" spans="1:23" x14ac:dyDescent="0.15">
      <c r="A1035" s="108"/>
      <c r="B1035" s="8"/>
      <c r="C1035" s="9"/>
      <c r="D1035" s="10"/>
      <c r="E1035" s="49">
        <f t="shared" si="953"/>
        <v>0</v>
      </c>
      <c r="F1035" s="12"/>
      <c r="G1035" s="9"/>
      <c r="H1035" s="10"/>
      <c r="I1035" s="49">
        <f t="shared" si="954"/>
        <v>0</v>
      </c>
      <c r="J1035" s="11">
        <f t="shared" si="955"/>
        <v>0</v>
      </c>
      <c r="K1035" s="62"/>
      <c r="L1035" s="26" t="s">
        <v>144</v>
      </c>
      <c r="M1035" s="8"/>
      <c r="N1035" s="9">
        <v>1</v>
      </c>
      <c r="O1035" s="52">
        <v>2</v>
      </c>
      <c r="P1035" s="87">
        <f t="shared" si="956"/>
        <v>3</v>
      </c>
      <c r="Q1035" s="8"/>
      <c r="R1035" s="9">
        <v>1</v>
      </c>
      <c r="S1035" s="10">
        <v>2</v>
      </c>
      <c r="T1035" s="49">
        <f t="shared" si="957"/>
        <v>3</v>
      </c>
      <c r="U1035" s="11">
        <f t="shared" si="958"/>
        <v>6</v>
      </c>
      <c r="V1035" s="98">
        <v>45590</v>
      </c>
    </row>
    <row r="1036" spans="1:23" x14ac:dyDescent="0.15">
      <c r="A1036" s="108"/>
      <c r="B1036" s="8"/>
      <c r="C1036" s="9"/>
      <c r="D1036" s="10"/>
      <c r="E1036" s="49">
        <f t="shared" si="953"/>
        <v>0</v>
      </c>
      <c r="F1036" s="12"/>
      <c r="G1036" s="9"/>
      <c r="H1036" s="10"/>
      <c r="I1036" s="49">
        <f t="shared" si="954"/>
        <v>0</v>
      </c>
      <c r="J1036" s="11">
        <f t="shared" si="955"/>
        <v>0</v>
      </c>
      <c r="K1036" s="62"/>
      <c r="L1036" s="26" t="s">
        <v>146</v>
      </c>
      <c r="M1036" s="8"/>
      <c r="N1036" s="9">
        <v>3</v>
      </c>
      <c r="O1036" s="52">
        <v>2</v>
      </c>
      <c r="P1036" s="87">
        <f t="shared" si="956"/>
        <v>5</v>
      </c>
      <c r="Q1036" s="8"/>
      <c r="R1036" s="9">
        <v>3</v>
      </c>
      <c r="S1036" s="10">
        <v>2</v>
      </c>
      <c r="T1036" s="49">
        <f t="shared" si="957"/>
        <v>5</v>
      </c>
      <c r="U1036" s="11">
        <f t="shared" si="958"/>
        <v>10</v>
      </c>
      <c r="V1036" s="98">
        <v>45595</v>
      </c>
      <c r="W1036" s="66"/>
    </row>
    <row r="1037" spans="1:23" x14ac:dyDescent="0.15">
      <c r="A1037" s="108"/>
      <c r="B1037" s="8"/>
      <c r="C1037" s="9"/>
      <c r="D1037" s="10"/>
      <c r="E1037" s="49">
        <f t="shared" si="953"/>
        <v>0</v>
      </c>
      <c r="F1037" s="12"/>
      <c r="G1037" s="9"/>
      <c r="H1037" s="10"/>
      <c r="I1037" s="49">
        <f t="shared" si="954"/>
        <v>0</v>
      </c>
      <c r="J1037" s="11">
        <f t="shared" si="955"/>
        <v>0</v>
      </c>
      <c r="K1037" s="62"/>
      <c r="L1037" s="26" t="s">
        <v>150</v>
      </c>
      <c r="M1037" s="8">
        <v>1</v>
      </c>
      <c r="N1037" s="9">
        <v>2</v>
      </c>
      <c r="O1037" s="52">
        <v>1</v>
      </c>
      <c r="P1037" s="87">
        <f t="shared" si="956"/>
        <v>4</v>
      </c>
      <c r="Q1037" s="8">
        <v>1</v>
      </c>
      <c r="R1037" s="9">
        <v>2</v>
      </c>
      <c r="S1037" s="10">
        <v>1</v>
      </c>
      <c r="T1037" s="49">
        <f t="shared" si="957"/>
        <v>4</v>
      </c>
      <c r="U1037" s="11">
        <f t="shared" si="958"/>
        <v>8</v>
      </c>
      <c r="V1037" s="98">
        <v>45596</v>
      </c>
      <c r="W1037" s="66"/>
    </row>
    <row r="1038" spans="1:23" x14ac:dyDescent="0.15">
      <c r="A1038" s="108"/>
      <c r="B1038" s="8"/>
      <c r="C1038" s="9"/>
      <c r="D1038" s="10"/>
      <c r="E1038" s="49">
        <f t="shared" si="953"/>
        <v>0</v>
      </c>
      <c r="F1038" s="12"/>
      <c r="G1038" s="9"/>
      <c r="H1038" s="10"/>
      <c r="I1038" s="49">
        <f t="shared" si="954"/>
        <v>0</v>
      </c>
      <c r="J1038" s="11">
        <f t="shared" si="955"/>
        <v>0</v>
      </c>
      <c r="K1038" s="62"/>
      <c r="L1038" s="26" t="s">
        <v>154</v>
      </c>
      <c r="M1038" s="8">
        <v>10</v>
      </c>
      <c r="N1038" s="9">
        <v>7</v>
      </c>
      <c r="O1038" s="52">
        <v>9</v>
      </c>
      <c r="P1038" s="87">
        <f t="shared" si="956"/>
        <v>26</v>
      </c>
      <c r="Q1038" s="8">
        <v>10</v>
      </c>
      <c r="R1038" s="9">
        <v>7</v>
      </c>
      <c r="S1038" s="10">
        <v>9</v>
      </c>
      <c r="T1038" s="49">
        <f t="shared" si="957"/>
        <v>26</v>
      </c>
      <c r="U1038" s="11">
        <f t="shared" si="958"/>
        <v>52</v>
      </c>
      <c r="V1038" s="98">
        <v>45603</v>
      </c>
    </row>
    <row r="1039" spans="1:23" x14ac:dyDescent="0.15">
      <c r="A1039" s="108"/>
      <c r="B1039" s="8"/>
      <c r="C1039" s="9"/>
      <c r="D1039" s="10"/>
      <c r="E1039" s="49">
        <f t="shared" si="953"/>
        <v>0</v>
      </c>
      <c r="F1039" s="12"/>
      <c r="G1039" s="9"/>
      <c r="H1039" s="10"/>
      <c r="I1039" s="49">
        <f t="shared" si="954"/>
        <v>0</v>
      </c>
      <c r="J1039" s="11">
        <f t="shared" si="955"/>
        <v>0</v>
      </c>
      <c r="K1039" s="62"/>
      <c r="L1039" s="26" t="s">
        <v>156</v>
      </c>
      <c r="M1039" s="8">
        <v>2</v>
      </c>
      <c r="N1039" s="9"/>
      <c r="O1039" s="52"/>
      <c r="P1039" s="87">
        <f t="shared" si="956"/>
        <v>2</v>
      </c>
      <c r="Q1039" s="8">
        <v>2</v>
      </c>
      <c r="R1039" s="9"/>
      <c r="S1039" s="10"/>
      <c r="T1039" s="49">
        <f t="shared" si="957"/>
        <v>2</v>
      </c>
      <c r="U1039" s="11">
        <f t="shared" si="958"/>
        <v>4</v>
      </c>
      <c r="V1039" s="98">
        <v>45604</v>
      </c>
    </row>
    <row r="1040" spans="1:23" x14ac:dyDescent="0.15">
      <c r="A1040" s="108"/>
      <c r="B1040" s="8"/>
      <c r="C1040" s="9"/>
      <c r="D1040" s="10"/>
      <c r="E1040" s="49">
        <f t="shared" si="953"/>
        <v>0</v>
      </c>
      <c r="F1040" s="12"/>
      <c r="G1040" s="9"/>
      <c r="H1040" s="10"/>
      <c r="I1040" s="49">
        <f t="shared" si="954"/>
        <v>0</v>
      </c>
      <c r="J1040" s="11">
        <f t="shared" si="955"/>
        <v>0</v>
      </c>
      <c r="K1040" s="62"/>
      <c r="L1040" s="26"/>
      <c r="M1040" s="8"/>
      <c r="N1040" s="9"/>
      <c r="O1040" s="52"/>
      <c r="P1040" s="87">
        <f t="shared" si="956"/>
        <v>0</v>
      </c>
      <c r="Q1040" s="8"/>
      <c r="R1040" s="9"/>
      <c r="S1040" s="10"/>
      <c r="T1040" s="49">
        <f t="shared" si="957"/>
        <v>0</v>
      </c>
      <c r="U1040" s="11">
        <f t="shared" si="958"/>
        <v>0</v>
      </c>
    </row>
    <row r="1041" spans="1:22" x14ac:dyDescent="0.15">
      <c r="A1041" s="108"/>
      <c r="B1041" s="8"/>
      <c r="C1041" s="9"/>
      <c r="D1041" s="10"/>
      <c r="E1041" s="49">
        <f t="shared" si="953"/>
        <v>0</v>
      </c>
      <c r="F1041" s="12"/>
      <c r="G1041" s="9"/>
      <c r="H1041" s="10"/>
      <c r="I1041" s="49">
        <f t="shared" si="954"/>
        <v>0</v>
      </c>
      <c r="J1041" s="11">
        <f t="shared" si="955"/>
        <v>0</v>
      </c>
      <c r="K1041" s="62"/>
      <c r="L1041" s="86" t="s">
        <v>914</v>
      </c>
      <c r="M1041" s="8"/>
      <c r="N1041" s="9"/>
      <c r="O1041" s="52"/>
      <c r="P1041" s="87">
        <f t="shared" si="956"/>
        <v>0</v>
      </c>
      <c r="Q1041" s="8"/>
      <c r="R1041" s="9"/>
      <c r="S1041" s="52"/>
      <c r="T1041" s="49">
        <f t="shared" si="957"/>
        <v>0</v>
      </c>
      <c r="U1041" s="11">
        <f t="shared" si="958"/>
        <v>0</v>
      </c>
      <c r="V1041" s="100" t="s">
        <v>913</v>
      </c>
    </row>
    <row r="1042" spans="1:22" x14ac:dyDescent="0.15">
      <c r="A1042" s="108"/>
      <c r="B1042" s="8"/>
      <c r="C1042" s="9"/>
      <c r="D1042" s="10"/>
      <c r="E1042" s="49">
        <f t="shared" si="953"/>
        <v>0</v>
      </c>
      <c r="F1042" s="12"/>
      <c r="G1042" s="9"/>
      <c r="H1042" s="10"/>
      <c r="I1042" s="49">
        <f t="shared" si="954"/>
        <v>0</v>
      </c>
      <c r="J1042" s="11">
        <f t="shared" si="955"/>
        <v>0</v>
      </c>
      <c r="K1042" s="62"/>
      <c r="L1042" s="86" t="s">
        <v>158</v>
      </c>
      <c r="M1042" s="8"/>
      <c r="N1042" s="9"/>
      <c r="O1042" s="52"/>
      <c r="P1042" s="87">
        <f t="shared" ref="P1042" si="959">SUM(M1042:O1042)</f>
        <v>0</v>
      </c>
      <c r="Q1042" s="8"/>
      <c r="R1042" s="9"/>
      <c r="S1042" s="52"/>
      <c r="T1042" s="49">
        <f t="shared" ref="T1042" si="960">SUM(Q1042:S1042)</f>
        <v>0</v>
      </c>
      <c r="U1042" s="11">
        <f t="shared" ref="U1042" si="961">P1042+T1042</f>
        <v>0</v>
      </c>
      <c r="V1042" s="100" t="s">
        <v>159</v>
      </c>
    </row>
    <row r="1043" spans="1:22" ht="14.25" thickBot="1" x14ac:dyDescent="0.2">
      <c r="A1043" s="108"/>
      <c r="B1043" s="8"/>
      <c r="C1043" s="9"/>
      <c r="D1043" s="10"/>
      <c r="E1043" s="49">
        <f t="shared" si="953"/>
        <v>0</v>
      </c>
      <c r="F1043" s="12"/>
      <c r="G1043" s="9"/>
      <c r="H1043" s="10"/>
      <c r="I1043" s="49">
        <f t="shared" si="954"/>
        <v>0</v>
      </c>
      <c r="J1043" s="11">
        <f t="shared" si="955"/>
        <v>0</v>
      </c>
      <c r="K1043" s="62"/>
      <c r="L1043" s="86" t="s">
        <v>927</v>
      </c>
      <c r="M1043" s="8"/>
      <c r="N1043" s="9"/>
      <c r="O1043" s="52"/>
      <c r="P1043" s="87">
        <f t="shared" si="956"/>
        <v>0</v>
      </c>
      <c r="Q1043" s="8"/>
      <c r="R1043" s="9"/>
      <c r="S1043" s="52"/>
      <c r="T1043" s="49">
        <f t="shared" si="957"/>
        <v>0</v>
      </c>
      <c r="U1043" s="11">
        <f t="shared" si="958"/>
        <v>0</v>
      </c>
      <c r="V1043" s="100" t="s">
        <v>497</v>
      </c>
    </row>
    <row r="1044" spans="1:22" ht="14.25" thickBot="1" x14ac:dyDescent="0.2">
      <c r="A1044" s="41" t="s">
        <v>17</v>
      </c>
      <c r="B1044" s="46">
        <f>SUM(B1018:B1043)</f>
        <v>2</v>
      </c>
      <c r="C1044" s="47">
        <f t="shared" ref="C1044:D1044" si="962">SUM(C1018:C1043)</f>
        <v>1</v>
      </c>
      <c r="D1044" s="58">
        <f t="shared" si="962"/>
        <v>1</v>
      </c>
      <c r="E1044" s="45">
        <f t="shared" si="953"/>
        <v>4</v>
      </c>
      <c r="F1044" s="46">
        <f>SUM(F1018:F1043)</f>
        <v>2</v>
      </c>
      <c r="G1044" s="47">
        <f t="shared" ref="G1044:H1044" si="963">SUM(G1018:G1043)</f>
        <v>1</v>
      </c>
      <c r="H1044" s="58">
        <f t="shared" si="963"/>
        <v>1</v>
      </c>
      <c r="I1044" s="45">
        <f t="shared" si="954"/>
        <v>4</v>
      </c>
      <c r="J1044" s="45">
        <f>E1044+I1044</f>
        <v>8</v>
      </c>
      <c r="L1044" s="41" t="s">
        <v>17</v>
      </c>
      <c r="M1044" s="46">
        <f>SUM(M1018:M1043)</f>
        <v>71</v>
      </c>
      <c r="N1044" s="47">
        <f t="shared" ref="N1044:O1044" si="964">SUM(N1018:N1043)</f>
        <v>99</v>
      </c>
      <c r="O1044" s="58">
        <f t="shared" si="964"/>
        <v>65</v>
      </c>
      <c r="P1044" s="45">
        <f t="shared" si="956"/>
        <v>235</v>
      </c>
      <c r="Q1044" s="46">
        <f>SUM(Q1018:Q1043)</f>
        <v>71</v>
      </c>
      <c r="R1044" s="47">
        <f t="shared" ref="R1044:S1044" si="965">SUM(R1018:R1043)</f>
        <v>99</v>
      </c>
      <c r="S1044" s="58">
        <f t="shared" si="965"/>
        <v>65</v>
      </c>
      <c r="T1044" s="45">
        <f t="shared" si="957"/>
        <v>235</v>
      </c>
      <c r="U1044" s="45">
        <f>P1044+T1044</f>
        <v>470</v>
      </c>
    </row>
    <row r="1045" spans="1:22" ht="14.25" thickBot="1" x14ac:dyDescent="0.2">
      <c r="A1045" s="22" t="s">
        <v>16</v>
      </c>
      <c r="B1045" s="50">
        <f>B1017-B1044</f>
        <v>2</v>
      </c>
      <c r="C1045" s="56">
        <f t="shared" ref="C1045:D1045" si="966">C1017-C1044</f>
        <v>2</v>
      </c>
      <c r="D1045" s="57">
        <f t="shared" si="966"/>
        <v>3</v>
      </c>
      <c r="E1045" s="55">
        <f>SUM(B1045:D1045)</f>
        <v>7</v>
      </c>
      <c r="F1045" s="50">
        <f>F1017-F1044</f>
        <v>4</v>
      </c>
      <c r="G1045" s="56">
        <f t="shared" ref="G1045:H1045" si="967">G1017-G1044</f>
        <v>2</v>
      </c>
      <c r="H1045" s="57">
        <f t="shared" si="967"/>
        <v>5</v>
      </c>
      <c r="I1045" s="55">
        <f>SUM(F1045:H1045)</f>
        <v>11</v>
      </c>
      <c r="J1045" s="31">
        <f>E1045+I1045</f>
        <v>18</v>
      </c>
      <c r="L1045" s="22" t="s">
        <v>16</v>
      </c>
      <c r="M1045" s="50">
        <f>M1017-M1044</f>
        <v>36</v>
      </c>
      <c r="N1045" s="56">
        <f t="shared" ref="N1045:O1045" si="968">N1017-N1044</f>
        <v>54</v>
      </c>
      <c r="O1045" s="57">
        <f t="shared" si="968"/>
        <v>69</v>
      </c>
      <c r="P1045" s="55">
        <f>SUM(M1045:O1045)</f>
        <v>159</v>
      </c>
      <c r="Q1045" s="50">
        <f>Q1017-Q1044</f>
        <v>36</v>
      </c>
      <c r="R1045" s="56">
        <f t="shared" ref="R1045:S1045" si="969">R1017-R1044</f>
        <v>54</v>
      </c>
      <c r="S1045" s="57">
        <f t="shared" si="969"/>
        <v>69</v>
      </c>
      <c r="T1045" s="55">
        <f>SUM(Q1045:S1045)</f>
        <v>159</v>
      </c>
      <c r="U1045" s="31">
        <f>P1045+T1045</f>
        <v>318</v>
      </c>
    </row>
    <row r="1046" spans="1:22" x14ac:dyDescent="0.15">
      <c r="M1046" s="148">
        <f>M1045/$P$1045*100</f>
        <v>22.641509433962266</v>
      </c>
      <c r="N1046" s="148">
        <f t="shared" ref="N1046:P1046" si="970">N1045/$P$1045*100</f>
        <v>33.962264150943398</v>
      </c>
      <c r="O1046" s="148">
        <f t="shared" si="970"/>
        <v>43.39622641509434</v>
      </c>
      <c r="P1046" s="148">
        <f t="shared" si="970"/>
        <v>100</v>
      </c>
    </row>
    <row r="1047" spans="1:22" x14ac:dyDescent="0.15">
      <c r="M1047" s="149">
        <v>26.1</v>
      </c>
      <c r="N1047" s="149">
        <v>40.1</v>
      </c>
      <c r="O1047" s="149">
        <v>33.799999999999997</v>
      </c>
      <c r="P1047" s="149">
        <v>100</v>
      </c>
    </row>
    <row r="1048" spans="1:22" ht="19.5" thickBot="1" x14ac:dyDescent="0.25">
      <c r="A1048" s="3" t="s">
        <v>908</v>
      </c>
      <c r="L1048" s="129" t="s">
        <v>680</v>
      </c>
      <c r="M1048">
        <v>82</v>
      </c>
      <c r="N1048">
        <v>126</v>
      </c>
      <c r="O1048">
        <v>106</v>
      </c>
      <c r="P1048">
        <v>314</v>
      </c>
    </row>
    <row r="1049" spans="1:22" ht="14.25" thickBot="1" x14ac:dyDescent="0.2">
      <c r="A1049" s="7"/>
      <c r="B1049" s="176" t="s">
        <v>22</v>
      </c>
      <c r="C1049" s="177"/>
      <c r="D1049" s="177"/>
      <c r="E1049" s="178"/>
      <c r="F1049" s="176" t="s">
        <v>23</v>
      </c>
      <c r="G1049" s="177"/>
      <c r="H1049" s="177"/>
      <c r="I1049" s="179"/>
      <c r="J1049" s="174" t="s">
        <v>0</v>
      </c>
      <c r="L1049" s="7"/>
      <c r="M1049" s="169" t="s">
        <v>22</v>
      </c>
      <c r="N1049" s="170"/>
      <c r="O1049" s="170"/>
      <c r="P1049" s="171"/>
      <c r="Q1049" s="169" t="s">
        <v>23</v>
      </c>
      <c r="R1049" s="170"/>
      <c r="S1049" s="170"/>
      <c r="T1049" s="171"/>
      <c r="U1049" s="174" t="s">
        <v>0</v>
      </c>
    </row>
    <row r="1050" spans="1:22" ht="14.25" thickBot="1" x14ac:dyDescent="0.2">
      <c r="A1050" s="7" t="s">
        <v>1</v>
      </c>
      <c r="B1050" s="4" t="s">
        <v>2</v>
      </c>
      <c r="C1050" s="5" t="s">
        <v>3</v>
      </c>
      <c r="D1050" s="6" t="s">
        <v>4</v>
      </c>
      <c r="E1050" s="7" t="s">
        <v>5</v>
      </c>
      <c r="F1050" s="4" t="s">
        <v>2</v>
      </c>
      <c r="G1050" s="5" t="s">
        <v>3</v>
      </c>
      <c r="H1050" s="6" t="s">
        <v>4</v>
      </c>
      <c r="I1050" s="7" t="s">
        <v>5</v>
      </c>
      <c r="J1050" s="175"/>
      <c r="L1050" s="7" t="s">
        <v>1</v>
      </c>
      <c r="M1050" s="4" t="s">
        <v>2</v>
      </c>
      <c r="N1050" s="5" t="s">
        <v>3</v>
      </c>
      <c r="O1050" s="6" t="s">
        <v>4</v>
      </c>
      <c r="P1050" s="7" t="s">
        <v>5</v>
      </c>
      <c r="Q1050" s="4" t="s">
        <v>2</v>
      </c>
      <c r="R1050" s="5" t="s">
        <v>3</v>
      </c>
      <c r="S1050" s="6" t="s">
        <v>4</v>
      </c>
      <c r="T1050" s="7" t="s">
        <v>5</v>
      </c>
      <c r="U1050" s="175"/>
    </row>
    <row r="1051" spans="1:22" ht="14.25" thickBot="1" x14ac:dyDescent="0.2">
      <c r="A1051" s="27" t="s">
        <v>16</v>
      </c>
      <c r="B1051" s="28">
        <f t="shared" ref="B1051:I1051" si="971">B1045</f>
        <v>2</v>
      </c>
      <c r="C1051" s="29">
        <f t="shared" si="971"/>
        <v>2</v>
      </c>
      <c r="D1051" s="30">
        <f t="shared" si="971"/>
        <v>3</v>
      </c>
      <c r="E1051" s="31">
        <f t="shared" si="971"/>
        <v>7</v>
      </c>
      <c r="F1051" s="28">
        <f t="shared" si="971"/>
        <v>4</v>
      </c>
      <c r="G1051" s="29">
        <f t="shared" si="971"/>
        <v>2</v>
      </c>
      <c r="H1051" s="30">
        <f t="shared" si="971"/>
        <v>5</v>
      </c>
      <c r="I1051" s="31">
        <f t="shared" si="971"/>
        <v>11</v>
      </c>
      <c r="J1051" s="31">
        <f>E1051+I1051</f>
        <v>18</v>
      </c>
      <c r="L1051" s="27" t="s">
        <v>16</v>
      </c>
      <c r="M1051" s="50">
        <f t="shared" ref="M1051:U1051" si="972">M1045</f>
        <v>36</v>
      </c>
      <c r="N1051" s="56">
        <f t="shared" si="972"/>
        <v>54</v>
      </c>
      <c r="O1051" s="57">
        <f t="shared" si="972"/>
        <v>69</v>
      </c>
      <c r="P1051" s="55">
        <f t="shared" si="972"/>
        <v>159</v>
      </c>
      <c r="Q1051" s="50">
        <f t="shared" si="972"/>
        <v>36</v>
      </c>
      <c r="R1051" s="56">
        <f t="shared" si="972"/>
        <v>54</v>
      </c>
      <c r="S1051" s="57">
        <f t="shared" si="972"/>
        <v>69</v>
      </c>
      <c r="T1051" s="55">
        <f t="shared" si="972"/>
        <v>159</v>
      </c>
      <c r="U1051" s="31">
        <f t="shared" si="972"/>
        <v>318</v>
      </c>
    </row>
    <row r="1052" spans="1:22" x14ac:dyDescent="0.15">
      <c r="A1052" s="25" t="s">
        <v>885</v>
      </c>
      <c r="B1052" s="17"/>
      <c r="C1052" s="18">
        <v>2</v>
      </c>
      <c r="D1052" s="51">
        <v>1</v>
      </c>
      <c r="E1052" s="11">
        <f t="shared" ref="E1052:E1053" si="973">SUM(B1052:D1052)</f>
        <v>3</v>
      </c>
      <c r="F1052" s="20"/>
      <c r="G1052" s="18">
        <v>2</v>
      </c>
      <c r="H1052" s="19">
        <v>1</v>
      </c>
      <c r="I1052" s="11">
        <f t="shared" ref="I1052:I1053" si="974">SUM(F1052:H1052)</f>
        <v>3</v>
      </c>
      <c r="J1052" s="11">
        <f t="shared" ref="J1052:J1053" si="975">E1052+I1052</f>
        <v>6</v>
      </c>
      <c r="K1052" s="64">
        <v>45610</v>
      </c>
      <c r="L1052" s="25" t="s">
        <v>801</v>
      </c>
      <c r="M1052" s="8"/>
      <c r="N1052" s="9">
        <v>3</v>
      </c>
      <c r="O1052" s="52">
        <v>1</v>
      </c>
      <c r="P1052" s="11">
        <f t="shared" ref="P1052" si="976">SUM(M1052:O1052)</f>
        <v>4</v>
      </c>
      <c r="Q1052" s="12"/>
      <c r="R1052" s="9">
        <v>3</v>
      </c>
      <c r="S1052" s="10">
        <v>1</v>
      </c>
      <c r="T1052" s="11">
        <f t="shared" ref="T1052" si="977">SUM(Q1052:S1052)</f>
        <v>4</v>
      </c>
      <c r="U1052" s="11">
        <f t="shared" ref="U1052" si="978">P1052+T1052</f>
        <v>8</v>
      </c>
      <c r="V1052" s="99">
        <v>45647</v>
      </c>
    </row>
    <row r="1053" spans="1:22" x14ac:dyDescent="0.15">
      <c r="A1053" s="25" t="s">
        <v>885</v>
      </c>
      <c r="B1053" s="17">
        <v>1</v>
      </c>
      <c r="C1053" s="18"/>
      <c r="D1053" s="51"/>
      <c r="E1053" s="11">
        <f t="shared" si="973"/>
        <v>1</v>
      </c>
      <c r="F1053" s="20">
        <v>1</v>
      </c>
      <c r="G1053" s="18"/>
      <c r="H1053" s="19">
        <v>2</v>
      </c>
      <c r="I1053" s="11">
        <f t="shared" si="974"/>
        <v>3</v>
      </c>
      <c r="J1053" s="11">
        <f t="shared" si="975"/>
        <v>4</v>
      </c>
      <c r="K1053" s="64">
        <v>45624</v>
      </c>
      <c r="L1053" s="25" t="s">
        <v>8</v>
      </c>
      <c r="M1053" s="8"/>
      <c r="N1053" s="9"/>
      <c r="O1053" s="52"/>
      <c r="P1053" s="11">
        <f t="shared" ref="P1053:P1056" si="979">SUM(M1053:O1053)</f>
        <v>0</v>
      </c>
      <c r="Q1053" s="12"/>
      <c r="R1053" s="9"/>
      <c r="S1053" s="10"/>
      <c r="T1053" s="11">
        <f t="shared" ref="T1053:T1056" si="980">SUM(Q1053:S1053)</f>
        <v>0</v>
      </c>
      <c r="U1053" s="11">
        <f t="shared" ref="U1053:U1056" si="981">P1053+T1053</f>
        <v>0</v>
      </c>
    </row>
    <row r="1054" spans="1:22" x14ac:dyDescent="0.15">
      <c r="A1054" s="25" t="s">
        <v>885</v>
      </c>
      <c r="B1054" s="17"/>
      <c r="C1054" s="18">
        <v>3</v>
      </c>
      <c r="D1054" s="51">
        <v>1</v>
      </c>
      <c r="E1054" s="11">
        <f t="shared" ref="E1054:E1059" si="982">SUM(B1054:D1054)</f>
        <v>4</v>
      </c>
      <c r="F1054" s="20"/>
      <c r="G1054" s="18">
        <v>3</v>
      </c>
      <c r="H1054" s="19">
        <v>1</v>
      </c>
      <c r="I1054" s="11">
        <f t="shared" ref="I1054:I1059" si="983">SUM(F1054:H1054)</f>
        <v>4</v>
      </c>
      <c r="J1054" s="11">
        <f t="shared" ref="J1054:J1059" si="984">E1054+I1054</f>
        <v>8</v>
      </c>
      <c r="K1054" s="64">
        <v>45637</v>
      </c>
      <c r="L1054" s="25" t="s">
        <v>9</v>
      </c>
      <c r="M1054" s="8"/>
      <c r="N1054" s="9"/>
      <c r="O1054" s="52"/>
      <c r="P1054" s="11">
        <f t="shared" si="979"/>
        <v>0</v>
      </c>
      <c r="Q1054" s="12"/>
      <c r="R1054" s="9"/>
      <c r="S1054" s="10"/>
      <c r="T1054" s="11">
        <f t="shared" si="980"/>
        <v>0</v>
      </c>
      <c r="U1054" s="11">
        <f t="shared" si="981"/>
        <v>0</v>
      </c>
    </row>
    <row r="1055" spans="1:22" x14ac:dyDescent="0.15">
      <c r="A1055" s="25" t="s">
        <v>774</v>
      </c>
      <c r="B1055" s="8"/>
      <c r="C1055" s="9">
        <v>1</v>
      </c>
      <c r="D1055" s="52"/>
      <c r="E1055" s="11">
        <f t="shared" si="982"/>
        <v>1</v>
      </c>
      <c r="F1055" s="12"/>
      <c r="G1055" s="9"/>
      <c r="H1055" s="10">
        <v>-2</v>
      </c>
      <c r="I1055" s="11">
        <f t="shared" si="983"/>
        <v>-2</v>
      </c>
      <c r="J1055" s="11">
        <f t="shared" si="984"/>
        <v>-1</v>
      </c>
      <c r="K1055" s="64">
        <v>45646</v>
      </c>
      <c r="L1055" s="25" t="s">
        <v>10</v>
      </c>
      <c r="M1055" s="8"/>
      <c r="N1055" s="9"/>
      <c r="O1055" s="52"/>
      <c r="P1055" s="11">
        <f t="shared" si="979"/>
        <v>0</v>
      </c>
      <c r="Q1055" s="12"/>
      <c r="R1055" s="9"/>
      <c r="S1055" s="10"/>
      <c r="T1055" s="11">
        <f t="shared" si="980"/>
        <v>0</v>
      </c>
      <c r="U1055" s="11">
        <f t="shared" si="981"/>
        <v>0</v>
      </c>
    </row>
    <row r="1056" spans="1:22" x14ac:dyDescent="0.15">
      <c r="A1056" s="25" t="s">
        <v>885</v>
      </c>
      <c r="B1056" s="8">
        <v>2</v>
      </c>
      <c r="C1056" s="9"/>
      <c r="D1056" s="52"/>
      <c r="E1056" s="11">
        <f t="shared" si="982"/>
        <v>2</v>
      </c>
      <c r="F1056" s="12">
        <v>2</v>
      </c>
      <c r="G1056" s="9"/>
      <c r="H1056" s="10"/>
      <c r="I1056" s="11">
        <f t="shared" si="983"/>
        <v>2</v>
      </c>
      <c r="J1056" s="11">
        <f t="shared" si="984"/>
        <v>4</v>
      </c>
      <c r="K1056" s="64">
        <v>45651</v>
      </c>
      <c r="L1056" s="25" t="s">
        <v>11</v>
      </c>
      <c r="M1056" s="8"/>
      <c r="N1056" s="9"/>
      <c r="O1056" s="52"/>
      <c r="P1056" s="11">
        <f t="shared" si="979"/>
        <v>0</v>
      </c>
      <c r="Q1056" s="12"/>
      <c r="R1056" s="9"/>
      <c r="S1056" s="10"/>
      <c r="T1056" s="11">
        <f t="shared" si="980"/>
        <v>0</v>
      </c>
      <c r="U1056" s="11">
        <f t="shared" si="981"/>
        <v>0</v>
      </c>
    </row>
    <row r="1057" spans="1:22" x14ac:dyDescent="0.15">
      <c r="A1057" s="25" t="s">
        <v>12</v>
      </c>
      <c r="B1057" s="8"/>
      <c r="C1057" s="9"/>
      <c r="D1057" s="52"/>
      <c r="E1057" s="11">
        <f t="shared" si="982"/>
        <v>0</v>
      </c>
      <c r="F1057" s="12"/>
      <c r="G1057" s="9"/>
      <c r="H1057" s="10"/>
      <c r="I1057" s="11">
        <f t="shared" si="983"/>
        <v>0</v>
      </c>
      <c r="J1057" s="11">
        <f t="shared" si="984"/>
        <v>0</v>
      </c>
      <c r="L1057" s="25" t="s">
        <v>12</v>
      </c>
      <c r="M1057" s="8"/>
      <c r="N1057" s="9"/>
      <c r="O1057" s="52"/>
      <c r="P1057" s="11">
        <f t="shared" ref="P1057:P1059" si="985">SUM(M1057:O1057)</f>
        <v>0</v>
      </c>
      <c r="Q1057" s="12"/>
      <c r="R1057" s="9"/>
      <c r="S1057" s="10"/>
      <c r="T1057" s="11">
        <f t="shared" ref="T1057:T1059" si="986">SUM(Q1057:S1057)</f>
        <v>0</v>
      </c>
      <c r="U1057" s="11">
        <f t="shared" ref="U1057:U1059" si="987">P1057+T1057</f>
        <v>0</v>
      </c>
    </row>
    <row r="1058" spans="1:22" x14ac:dyDescent="0.15">
      <c r="A1058" s="25" t="s">
        <v>13</v>
      </c>
      <c r="B1058" s="13"/>
      <c r="C1058" s="14"/>
      <c r="D1058" s="53"/>
      <c r="E1058" s="11">
        <f t="shared" si="982"/>
        <v>0</v>
      </c>
      <c r="F1058" s="16"/>
      <c r="G1058" s="14"/>
      <c r="H1058" s="15"/>
      <c r="I1058" s="11">
        <f t="shared" si="983"/>
        <v>0</v>
      </c>
      <c r="J1058" s="11">
        <f t="shared" si="984"/>
        <v>0</v>
      </c>
      <c r="L1058" s="25" t="s">
        <v>13</v>
      </c>
      <c r="M1058" s="8"/>
      <c r="N1058" s="9"/>
      <c r="O1058" s="52"/>
      <c r="P1058" s="11">
        <f t="shared" ref="P1058" si="988">SUM(M1058:O1058)</f>
        <v>0</v>
      </c>
      <c r="Q1058" s="12"/>
      <c r="R1058" s="9"/>
      <c r="S1058" s="10"/>
      <c r="T1058" s="11">
        <f t="shared" ref="T1058" si="989">SUM(Q1058:S1058)</f>
        <v>0</v>
      </c>
      <c r="U1058" s="11">
        <f t="shared" ref="U1058" si="990">P1058+T1058</f>
        <v>0</v>
      </c>
    </row>
    <row r="1059" spans="1:22" ht="14.25" thickBot="1" x14ac:dyDescent="0.2">
      <c r="A1059" s="25" t="s">
        <v>14</v>
      </c>
      <c r="B1059" s="32"/>
      <c r="C1059" s="33"/>
      <c r="D1059" s="54"/>
      <c r="E1059" s="61">
        <f t="shared" si="982"/>
        <v>0</v>
      </c>
      <c r="F1059" s="34"/>
      <c r="G1059" s="34"/>
      <c r="H1059" s="37"/>
      <c r="I1059" s="61">
        <f t="shared" si="983"/>
        <v>0</v>
      </c>
      <c r="J1059" s="21">
        <f t="shared" si="984"/>
        <v>0</v>
      </c>
      <c r="L1059" s="25" t="s">
        <v>14</v>
      </c>
      <c r="M1059" s="32"/>
      <c r="N1059" s="33"/>
      <c r="O1059" s="54"/>
      <c r="P1059" s="61">
        <f t="shared" si="985"/>
        <v>0</v>
      </c>
      <c r="Q1059" s="34"/>
      <c r="R1059" s="34"/>
      <c r="S1059" s="37"/>
      <c r="T1059" s="61">
        <f t="shared" si="986"/>
        <v>0</v>
      </c>
      <c r="U1059" s="21">
        <f t="shared" si="987"/>
        <v>0</v>
      </c>
    </row>
    <row r="1060" spans="1:22" ht="14.25" thickBot="1" x14ac:dyDescent="0.2">
      <c r="A1060" s="35" t="s">
        <v>15</v>
      </c>
      <c r="B1060" s="28">
        <f>SUM(B1051:B1059)</f>
        <v>5</v>
      </c>
      <c r="C1060" s="29">
        <f>SUM(C1051:C1059)</f>
        <v>8</v>
      </c>
      <c r="D1060" s="30">
        <f>SUM(D1051:D1059)</f>
        <v>5</v>
      </c>
      <c r="E1060" s="31">
        <f>SUM(B1060:D1060)</f>
        <v>18</v>
      </c>
      <c r="F1060" s="28">
        <f>SUM(F1051:F1059)</f>
        <v>7</v>
      </c>
      <c r="G1060" s="29">
        <f>SUM(G1051:G1059)</f>
        <v>7</v>
      </c>
      <c r="H1060" s="30">
        <f>SUM(H1051:H1059)</f>
        <v>7</v>
      </c>
      <c r="I1060" s="31">
        <f>SUM(F1060:H1060)</f>
        <v>21</v>
      </c>
      <c r="J1060" s="31">
        <f>E1060+I1060</f>
        <v>39</v>
      </c>
      <c r="L1060" s="35" t="s">
        <v>15</v>
      </c>
      <c r="M1060" s="28">
        <f>SUM(M1051:M1059)</f>
        <v>36</v>
      </c>
      <c r="N1060" s="29">
        <f>SUM(N1051:N1059)</f>
        <v>57</v>
      </c>
      <c r="O1060" s="30">
        <f>SUM(O1051:O1059)</f>
        <v>70</v>
      </c>
      <c r="P1060" s="31">
        <f>SUM(M1060:O1060)</f>
        <v>163</v>
      </c>
      <c r="Q1060" s="28">
        <f>SUM(Q1051:Q1059)</f>
        <v>36</v>
      </c>
      <c r="R1060" s="29">
        <f>SUM(R1051:R1059)</f>
        <v>57</v>
      </c>
      <c r="S1060" s="30">
        <f>SUM(S1051:S1059)</f>
        <v>70</v>
      </c>
      <c r="T1060" s="31">
        <f>SUM(Q1060:S1060)</f>
        <v>163</v>
      </c>
      <c r="U1060" s="31">
        <f>P1060+T1060</f>
        <v>326</v>
      </c>
    </row>
    <row r="1061" spans="1:22" x14ac:dyDescent="0.15">
      <c r="A1061" s="26" t="s">
        <v>247</v>
      </c>
      <c r="B1061" s="8"/>
      <c r="C1061" s="9">
        <v>1</v>
      </c>
      <c r="D1061" s="10">
        <v>1</v>
      </c>
      <c r="E1061" s="49">
        <f t="shared" ref="E1061:E1062" si="991">SUM(B1061:D1061)</f>
        <v>2</v>
      </c>
      <c r="F1061" s="12"/>
      <c r="G1061" s="9">
        <v>1</v>
      </c>
      <c r="H1061" s="10">
        <v>1</v>
      </c>
      <c r="I1061" s="49">
        <f t="shared" ref="I1061:I1062" si="992">SUM(F1061:H1061)</f>
        <v>2</v>
      </c>
      <c r="J1061" s="11">
        <f t="shared" ref="J1061:J1062" si="993">E1061+I1061</f>
        <v>4</v>
      </c>
      <c r="K1061" s="62">
        <v>45645</v>
      </c>
      <c r="L1061" s="26" t="s">
        <v>162</v>
      </c>
      <c r="M1061" s="8">
        <v>3</v>
      </c>
      <c r="N1061" s="9"/>
      <c r="O1061" s="52">
        <v>4</v>
      </c>
      <c r="P1061" s="87">
        <f t="shared" ref="P1061:P1081" si="994">SUM(M1061:O1061)</f>
        <v>7</v>
      </c>
      <c r="Q1061" s="8">
        <v>3</v>
      </c>
      <c r="R1061" s="9"/>
      <c r="S1061" s="10">
        <v>4</v>
      </c>
      <c r="T1061" s="49">
        <f t="shared" ref="T1061:T1081" si="995">SUM(Q1061:S1061)</f>
        <v>7</v>
      </c>
      <c r="U1061" s="11">
        <f t="shared" ref="U1061:U1081" si="996">P1061+T1061</f>
        <v>14</v>
      </c>
      <c r="V1061" s="98">
        <v>45604</v>
      </c>
    </row>
    <row r="1062" spans="1:22" x14ac:dyDescent="0.15">
      <c r="A1062" s="26" t="s">
        <v>249</v>
      </c>
      <c r="B1062" s="8">
        <v>2</v>
      </c>
      <c r="C1062" s="9"/>
      <c r="D1062" s="10"/>
      <c r="E1062" s="49">
        <f t="shared" si="991"/>
        <v>2</v>
      </c>
      <c r="F1062" s="12">
        <v>2</v>
      </c>
      <c r="G1062" s="9"/>
      <c r="H1062" s="10"/>
      <c r="I1062" s="49">
        <f t="shared" si="992"/>
        <v>2</v>
      </c>
      <c r="J1062" s="11">
        <f t="shared" si="993"/>
        <v>4</v>
      </c>
      <c r="K1062" s="62">
        <v>45649</v>
      </c>
      <c r="L1062" s="26" t="s">
        <v>164</v>
      </c>
      <c r="M1062" s="8">
        <v>1</v>
      </c>
      <c r="N1062" s="9">
        <v>10</v>
      </c>
      <c r="O1062" s="52">
        <v>1</v>
      </c>
      <c r="P1062" s="87">
        <f t="shared" si="994"/>
        <v>12</v>
      </c>
      <c r="Q1062" s="8">
        <v>1</v>
      </c>
      <c r="R1062" s="9">
        <v>10</v>
      </c>
      <c r="S1062" s="10">
        <v>1</v>
      </c>
      <c r="T1062" s="49">
        <f t="shared" si="995"/>
        <v>12</v>
      </c>
      <c r="U1062" s="11">
        <f t="shared" si="996"/>
        <v>24</v>
      </c>
      <c r="V1062" s="98">
        <v>45607</v>
      </c>
    </row>
    <row r="1063" spans="1:22" x14ac:dyDescent="0.15">
      <c r="A1063" s="108" t="s">
        <v>558</v>
      </c>
      <c r="B1063" s="8"/>
      <c r="C1063" s="9">
        <v>3</v>
      </c>
      <c r="D1063" s="10">
        <v>1</v>
      </c>
      <c r="E1063" s="49">
        <f t="shared" ref="E1063:E1087" si="997">SUM(B1063:D1063)</f>
        <v>4</v>
      </c>
      <c r="F1063" s="12"/>
      <c r="G1063" s="9">
        <v>3</v>
      </c>
      <c r="H1063" s="10">
        <v>1</v>
      </c>
      <c r="I1063" s="49">
        <f t="shared" ref="I1063:I1087" si="998">SUM(F1063:H1063)</f>
        <v>4</v>
      </c>
      <c r="J1063" s="11">
        <f t="shared" ref="J1063:J1086" si="999">E1063+I1063</f>
        <v>8</v>
      </c>
      <c r="K1063" s="62">
        <v>45647</v>
      </c>
      <c r="L1063" s="26" t="s">
        <v>168</v>
      </c>
      <c r="M1063" s="8">
        <v>8</v>
      </c>
      <c r="N1063" s="9"/>
      <c r="O1063" s="52"/>
      <c r="P1063" s="87">
        <f t="shared" ref="P1063" si="1000">SUM(M1063:O1063)</f>
        <v>8</v>
      </c>
      <c r="Q1063" s="8">
        <v>8</v>
      </c>
      <c r="R1063" s="9"/>
      <c r="S1063" s="10"/>
      <c r="T1063" s="49">
        <f t="shared" ref="T1063" si="1001">SUM(Q1063:S1063)</f>
        <v>8</v>
      </c>
      <c r="U1063" s="11">
        <f t="shared" ref="U1063" si="1002">P1063+T1063</f>
        <v>16</v>
      </c>
      <c r="V1063" s="98">
        <v>45610</v>
      </c>
    </row>
    <row r="1064" spans="1:22" x14ac:dyDescent="0.15">
      <c r="A1064" s="26" t="s">
        <v>255</v>
      </c>
      <c r="B1064" s="8"/>
      <c r="C1064" s="9">
        <v>1</v>
      </c>
      <c r="D1064" s="10"/>
      <c r="E1064" s="49">
        <f t="shared" si="997"/>
        <v>1</v>
      </c>
      <c r="F1064" s="12"/>
      <c r="G1064" s="9">
        <v>1</v>
      </c>
      <c r="H1064" s="10"/>
      <c r="I1064" s="49">
        <f t="shared" si="998"/>
        <v>1</v>
      </c>
      <c r="J1064" s="11">
        <f t="shared" si="999"/>
        <v>2</v>
      </c>
      <c r="K1064" s="62">
        <v>45297</v>
      </c>
      <c r="L1064" s="26" t="s">
        <v>171</v>
      </c>
      <c r="M1064" s="8">
        <v>3</v>
      </c>
      <c r="N1064" s="9"/>
      <c r="O1064" s="52">
        <v>1</v>
      </c>
      <c r="P1064" s="87">
        <f t="shared" si="994"/>
        <v>4</v>
      </c>
      <c r="Q1064" s="8">
        <v>3</v>
      </c>
      <c r="R1064" s="9"/>
      <c r="S1064" s="10">
        <v>1</v>
      </c>
      <c r="T1064" s="49">
        <f t="shared" si="995"/>
        <v>4</v>
      </c>
      <c r="U1064" s="11">
        <f t="shared" si="996"/>
        <v>8</v>
      </c>
      <c r="V1064" s="98">
        <v>45611</v>
      </c>
    </row>
    <row r="1065" spans="1:22" x14ac:dyDescent="0.15">
      <c r="A1065" s="108"/>
      <c r="B1065" s="8"/>
      <c r="C1065" s="9"/>
      <c r="D1065" s="10"/>
      <c r="E1065" s="49">
        <f t="shared" si="997"/>
        <v>0</v>
      </c>
      <c r="F1065" s="12"/>
      <c r="G1065" s="9"/>
      <c r="H1065" s="10"/>
      <c r="I1065" s="49">
        <f t="shared" si="998"/>
        <v>0</v>
      </c>
      <c r="J1065" s="11">
        <f t="shared" si="999"/>
        <v>0</v>
      </c>
      <c r="K1065" s="62"/>
      <c r="L1065" s="26" t="s">
        <v>172</v>
      </c>
      <c r="M1065" s="8"/>
      <c r="N1065" s="9">
        <v>7</v>
      </c>
      <c r="O1065" s="52"/>
      <c r="P1065" s="87">
        <f t="shared" si="994"/>
        <v>7</v>
      </c>
      <c r="Q1065" s="8"/>
      <c r="R1065" s="9">
        <v>7</v>
      </c>
      <c r="S1065" s="10"/>
      <c r="T1065" s="49">
        <f t="shared" si="995"/>
        <v>7</v>
      </c>
      <c r="U1065" s="11">
        <f t="shared" si="996"/>
        <v>14</v>
      </c>
      <c r="V1065" s="98">
        <v>45611</v>
      </c>
    </row>
    <row r="1066" spans="1:22" x14ac:dyDescent="0.15">
      <c r="A1066" s="108"/>
      <c r="B1066" s="8"/>
      <c r="C1066" s="9"/>
      <c r="D1066" s="10"/>
      <c r="E1066" s="49">
        <f t="shared" si="997"/>
        <v>0</v>
      </c>
      <c r="F1066" s="12"/>
      <c r="G1066" s="9"/>
      <c r="H1066" s="10"/>
      <c r="I1066" s="49">
        <f t="shared" si="998"/>
        <v>0</v>
      </c>
      <c r="J1066" s="11">
        <f t="shared" si="999"/>
        <v>0</v>
      </c>
      <c r="K1066" s="62"/>
      <c r="L1066" s="26" t="s">
        <v>175</v>
      </c>
      <c r="M1066" s="8"/>
      <c r="N1066" s="9">
        <v>1</v>
      </c>
      <c r="O1066" s="52"/>
      <c r="P1066" s="87">
        <f t="shared" si="994"/>
        <v>1</v>
      </c>
      <c r="Q1066" s="8"/>
      <c r="R1066" s="9">
        <v>1</v>
      </c>
      <c r="S1066" s="10"/>
      <c r="T1066" s="49">
        <f t="shared" si="995"/>
        <v>1</v>
      </c>
      <c r="U1066" s="11">
        <f t="shared" si="996"/>
        <v>2</v>
      </c>
      <c r="V1066" s="98">
        <v>45614</v>
      </c>
    </row>
    <row r="1067" spans="1:22" x14ac:dyDescent="0.15">
      <c r="A1067" s="108"/>
      <c r="B1067" s="8"/>
      <c r="C1067" s="9"/>
      <c r="D1067" s="10"/>
      <c r="E1067" s="49">
        <f t="shared" si="997"/>
        <v>0</v>
      </c>
      <c r="F1067" s="12"/>
      <c r="G1067" s="9"/>
      <c r="H1067" s="10"/>
      <c r="I1067" s="49">
        <f t="shared" si="998"/>
        <v>0</v>
      </c>
      <c r="J1067" s="11">
        <f t="shared" si="999"/>
        <v>0</v>
      </c>
      <c r="K1067" s="62"/>
      <c r="L1067" s="26" t="s">
        <v>179</v>
      </c>
      <c r="M1067" s="8">
        <v>4</v>
      </c>
      <c r="N1067" s="9">
        <v>9</v>
      </c>
      <c r="O1067" s="52">
        <v>5</v>
      </c>
      <c r="P1067" s="87">
        <f t="shared" si="994"/>
        <v>18</v>
      </c>
      <c r="Q1067" s="8">
        <v>4</v>
      </c>
      <c r="R1067" s="9">
        <v>9</v>
      </c>
      <c r="S1067" s="10">
        <v>5</v>
      </c>
      <c r="T1067" s="49">
        <f t="shared" si="995"/>
        <v>18</v>
      </c>
      <c r="U1067" s="11">
        <f t="shared" si="996"/>
        <v>36</v>
      </c>
      <c r="V1067" s="98">
        <v>45616</v>
      </c>
    </row>
    <row r="1068" spans="1:22" x14ac:dyDescent="0.15">
      <c r="A1068" s="108"/>
      <c r="B1068" s="8"/>
      <c r="C1068" s="9"/>
      <c r="D1068" s="10"/>
      <c r="E1068" s="49">
        <f t="shared" si="997"/>
        <v>0</v>
      </c>
      <c r="F1068" s="12"/>
      <c r="G1068" s="9"/>
      <c r="H1068" s="10"/>
      <c r="I1068" s="49">
        <f t="shared" si="998"/>
        <v>0</v>
      </c>
      <c r="J1068" s="11">
        <f t="shared" si="999"/>
        <v>0</v>
      </c>
      <c r="K1068" s="62"/>
      <c r="L1068" s="26" t="s">
        <v>181</v>
      </c>
      <c r="M1068" s="8"/>
      <c r="N1068" s="9">
        <v>3</v>
      </c>
      <c r="O1068" s="52">
        <v>3</v>
      </c>
      <c r="P1068" s="87">
        <f t="shared" si="994"/>
        <v>6</v>
      </c>
      <c r="Q1068" s="8"/>
      <c r="R1068" s="9">
        <v>3</v>
      </c>
      <c r="S1068" s="10">
        <v>3</v>
      </c>
      <c r="T1068" s="49">
        <f t="shared" si="995"/>
        <v>6</v>
      </c>
      <c r="U1068" s="11">
        <f t="shared" si="996"/>
        <v>12</v>
      </c>
      <c r="V1068" s="98">
        <v>45617</v>
      </c>
    </row>
    <row r="1069" spans="1:22" x14ac:dyDescent="0.15">
      <c r="A1069" s="108"/>
      <c r="B1069" s="8"/>
      <c r="C1069" s="9"/>
      <c r="D1069" s="10"/>
      <c r="E1069" s="49">
        <f t="shared" si="997"/>
        <v>0</v>
      </c>
      <c r="F1069" s="12"/>
      <c r="G1069" s="9"/>
      <c r="H1069" s="10"/>
      <c r="I1069" s="49">
        <f t="shared" si="998"/>
        <v>0</v>
      </c>
      <c r="J1069" s="11">
        <f t="shared" si="999"/>
        <v>0</v>
      </c>
      <c r="K1069" s="62"/>
      <c r="L1069" s="26" t="s">
        <v>185</v>
      </c>
      <c r="M1069" s="8">
        <v>1</v>
      </c>
      <c r="N1069" s="9">
        <v>3</v>
      </c>
      <c r="O1069" s="52"/>
      <c r="P1069" s="87">
        <f t="shared" si="994"/>
        <v>4</v>
      </c>
      <c r="Q1069" s="8">
        <v>1</v>
      </c>
      <c r="R1069" s="9">
        <v>3</v>
      </c>
      <c r="S1069" s="10"/>
      <c r="T1069" s="49">
        <f t="shared" si="995"/>
        <v>4</v>
      </c>
      <c r="U1069" s="11">
        <f t="shared" si="996"/>
        <v>8</v>
      </c>
      <c r="V1069" s="98">
        <v>45618</v>
      </c>
    </row>
    <row r="1070" spans="1:22" x14ac:dyDescent="0.15">
      <c r="A1070" s="108"/>
      <c r="B1070" s="8"/>
      <c r="C1070" s="9"/>
      <c r="D1070" s="10"/>
      <c r="E1070" s="49">
        <f t="shared" si="997"/>
        <v>0</v>
      </c>
      <c r="F1070" s="12"/>
      <c r="G1070" s="9"/>
      <c r="H1070" s="10"/>
      <c r="I1070" s="49">
        <f t="shared" si="998"/>
        <v>0</v>
      </c>
      <c r="J1070" s="11">
        <f t="shared" si="999"/>
        <v>0</v>
      </c>
      <c r="K1070" s="62"/>
      <c r="L1070" s="26" t="s">
        <v>198</v>
      </c>
      <c r="M1070" s="8">
        <v>1</v>
      </c>
      <c r="N1070" s="9">
        <v>2</v>
      </c>
      <c r="O1070" s="52">
        <v>1</v>
      </c>
      <c r="P1070" s="87">
        <f t="shared" si="994"/>
        <v>4</v>
      </c>
      <c r="Q1070" s="8">
        <v>1</v>
      </c>
      <c r="R1070" s="9">
        <v>2</v>
      </c>
      <c r="S1070" s="10">
        <v>1</v>
      </c>
      <c r="T1070" s="49">
        <f t="shared" si="995"/>
        <v>4</v>
      </c>
      <c r="U1070" s="11">
        <f t="shared" si="996"/>
        <v>8</v>
      </c>
      <c r="V1070" s="98">
        <v>45618</v>
      </c>
    </row>
    <row r="1071" spans="1:22" x14ac:dyDescent="0.15">
      <c r="A1071" s="108"/>
      <c r="B1071" s="8"/>
      <c r="C1071" s="9"/>
      <c r="D1071" s="10"/>
      <c r="E1071" s="49">
        <f t="shared" si="997"/>
        <v>0</v>
      </c>
      <c r="F1071" s="12"/>
      <c r="G1071" s="9"/>
      <c r="H1071" s="10"/>
      <c r="I1071" s="49">
        <f t="shared" si="998"/>
        <v>0</v>
      </c>
      <c r="J1071" s="11">
        <f t="shared" si="999"/>
        <v>0</v>
      </c>
      <c r="K1071" s="62"/>
      <c r="L1071" s="26" t="s">
        <v>200</v>
      </c>
      <c r="M1071" s="8"/>
      <c r="N1071" s="9"/>
      <c r="O1071" s="52">
        <v>1</v>
      </c>
      <c r="P1071" s="87">
        <f t="shared" si="994"/>
        <v>1</v>
      </c>
      <c r="Q1071" s="8"/>
      <c r="R1071" s="9"/>
      <c r="S1071" s="10">
        <v>1</v>
      </c>
      <c r="T1071" s="49">
        <f t="shared" si="995"/>
        <v>1</v>
      </c>
      <c r="U1071" s="11">
        <f t="shared" si="996"/>
        <v>2</v>
      </c>
      <c r="V1071" s="98">
        <v>45621</v>
      </c>
    </row>
    <row r="1072" spans="1:22" x14ac:dyDescent="0.15">
      <c r="A1072" s="108"/>
      <c r="B1072" s="8"/>
      <c r="C1072" s="9"/>
      <c r="D1072" s="10"/>
      <c r="E1072" s="49">
        <f t="shared" si="997"/>
        <v>0</v>
      </c>
      <c r="F1072" s="12"/>
      <c r="G1072" s="9"/>
      <c r="H1072" s="10"/>
      <c r="I1072" s="49">
        <f t="shared" si="998"/>
        <v>0</v>
      </c>
      <c r="J1072" s="11">
        <f t="shared" si="999"/>
        <v>0</v>
      </c>
      <c r="K1072" s="62"/>
      <c r="L1072" s="26" t="s">
        <v>204</v>
      </c>
      <c r="M1072" s="8">
        <v>1</v>
      </c>
      <c r="N1072" s="9">
        <v>2</v>
      </c>
      <c r="O1072" s="52">
        <v>2</v>
      </c>
      <c r="P1072" s="87">
        <f t="shared" si="994"/>
        <v>5</v>
      </c>
      <c r="Q1072" s="8">
        <v>1</v>
      </c>
      <c r="R1072" s="9">
        <v>2</v>
      </c>
      <c r="S1072" s="10">
        <v>2</v>
      </c>
      <c r="T1072" s="49">
        <f t="shared" si="995"/>
        <v>5</v>
      </c>
      <c r="U1072" s="11">
        <f t="shared" si="996"/>
        <v>10</v>
      </c>
      <c r="V1072" s="98">
        <v>45624</v>
      </c>
    </row>
    <row r="1073" spans="1:22" x14ac:dyDescent="0.15">
      <c r="A1073" s="108"/>
      <c r="B1073" s="8"/>
      <c r="C1073" s="9"/>
      <c r="D1073" s="10"/>
      <c r="E1073" s="49">
        <f t="shared" si="997"/>
        <v>0</v>
      </c>
      <c r="F1073" s="12"/>
      <c r="G1073" s="9"/>
      <c r="H1073" s="10"/>
      <c r="I1073" s="49">
        <f t="shared" si="998"/>
        <v>0</v>
      </c>
      <c r="J1073" s="11">
        <f t="shared" si="999"/>
        <v>0</v>
      </c>
      <c r="K1073" s="62"/>
      <c r="L1073" s="26" t="s">
        <v>211</v>
      </c>
      <c r="M1073" s="8">
        <v>1</v>
      </c>
      <c r="N1073" s="9"/>
      <c r="O1073" s="52">
        <v>4</v>
      </c>
      <c r="P1073" s="87">
        <f t="shared" si="994"/>
        <v>5</v>
      </c>
      <c r="Q1073" s="8">
        <v>1</v>
      </c>
      <c r="R1073" s="9"/>
      <c r="S1073" s="10">
        <v>4</v>
      </c>
      <c r="T1073" s="49">
        <f t="shared" si="995"/>
        <v>5</v>
      </c>
      <c r="U1073" s="11">
        <f t="shared" si="996"/>
        <v>10</v>
      </c>
      <c r="V1073" s="98">
        <v>45625</v>
      </c>
    </row>
    <row r="1074" spans="1:22" x14ac:dyDescent="0.15">
      <c r="A1074" s="108"/>
      <c r="B1074" s="8"/>
      <c r="C1074" s="9"/>
      <c r="D1074" s="10"/>
      <c r="E1074" s="49">
        <f t="shared" si="997"/>
        <v>0</v>
      </c>
      <c r="F1074" s="12"/>
      <c r="G1074" s="9"/>
      <c r="H1074" s="10"/>
      <c r="I1074" s="49">
        <f t="shared" si="998"/>
        <v>0</v>
      </c>
      <c r="J1074" s="11">
        <f t="shared" si="999"/>
        <v>0</v>
      </c>
      <c r="K1074" s="62"/>
      <c r="L1074" s="26" t="s">
        <v>214</v>
      </c>
      <c r="M1074" s="8">
        <v>3</v>
      </c>
      <c r="N1074" s="9">
        <v>1</v>
      </c>
      <c r="O1074" s="52"/>
      <c r="P1074" s="87">
        <f t="shared" si="994"/>
        <v>4</v>
      </c>
      <c r="Q1074" s="8">
        <v>3</v>
      </c>
      <c r="R1074" s="9">
        <v>1</v>
      </c>
      <c r="S1074" s="10"/>
      <c r="T1074" s="49">
        <f t="shared" si="995"/>
        <v>4</v>
      </c>
      <c r="U1074" s="11">
        <f t="shared" si="996"/>
        <v>8</v>
      </c>
      <c r="V1074" s="98">
        <v>45625</v>
      </c>
    </row>
    <row r="1075" spans="1:22" x14ac:dyDescent="0.15">
      <c r="A1075" s="108"/>
      <c r="B1075" s="8"/>
      <c r="C1075" s="9"/>
      <c r="D1075" s="10"/>
      <c r="E1075" s="49">
        <f t="shared" si="997"/>
        <v>0</v>
      </c>
      <c r="F1075" s="12"/>
      <c r="G1075" s="9"/>
      <c r="H1075" s="10"/>
      <c r="I1075" s="49">
        <f t="shared" si="998"/>
        <v>0</v>
      </c>
      <c r="J1075" s="11">
        <f t="shared" si="999"/>
        <v>0</v>
      </c>
      <c r="K1075" s="62"/>
      <c r="L1075" s="26" t="s">
        <v>217</v>
      </c>
      <c r="M1075" s="8"/>
      <c r="N1075" s="9">
        <v>1</v>
      </c>
      <c r="O1075" s="52"/>
      <c r="P1075" s="87">
        <f t="shared" si="994"/>
        <v>1</v>
      </c>
      <c r="Q1075" s="8"/>
      <c r="R1075" s="9">
        <v>1</v>
      </c>
      <c r="S1075" s="10"/>
      <c r="T1075" s="49">
        <f t="shared" si="995"/>
        <v>1</v>
      </c>
      <c r="U1075" s="11">
        <f t="shared" si="996"/>
        <v>2</v>
      </c>
      <c r="V1075" s="98">
        <v>45628</v>
      </c>
    </row>
    <row r="1076" spans="1:22" x14ac:dyDescent="0.15">
      <c r="A1076" s="108"/>
      <c r="B1076" s="8"/>
      <c r="C1076" s="9"/>
      <c r="D1076" s="10"/>
      <c r="E1076" s="49">
        <f t="shared" si="997"/>
        <v>0</v>
      </c>
      <c r="F1076" s="12"/>
      <c r="G1076" s="9"/>
      <c r="H1076" s="10"/>
      <c r="I1076" s="49">
        <f t="shared" si="998"/>
        <v>0</v>
      </c>
      <c r="J1076" s="11">
        <f t="shared" si="999"/>
        <v>0</v>
      </c>
      <c r="K1076" s="62"/>
      <c r="L1076" s="26" t="s">
        <v>222</v>
      </c>
      <c r="M1076" s="8">
        <v>1</v>
      </c>
      <c r="N1076" s="9">
        <v>1</v>
      </c>
      <c r="O1076" s="52"/>
      <c r="P1076" s="87">
        <f t="shared" si="994"/>
        <v>2</v>
      </c>
      <c r="Q1076" s="8">
        <v>1</v>
      </c>
      <c r="R1076" s="9">
        <v>1</v>
      </c>
      <c r="S1076" s="10"/>
      <c r="T1076" s="49">
        <f t="shared" si="995"/>
        <v>2</v>
      </c>
      <c r="U1076" s="11">
        <f t="shared" si="996"/>
        <v>4</v>
      </c>
      <c r="V1076" s="98">
        <v>45630</v>
      </c>
    </row>
    <row r="1077" spans="1:22" x14ac:dyDescent="0.15">
      <c r="A1077" s="108"/>
      <c r="B1077" s="8"/>
      <c r="C1077" s="9"/>
      <c r="D1077" s="10"/>
      <c r="E1077" s="49">
        <f t="shared" si="997"/>
        <v>0</v>
      </c>
      <c r="F1077" s="12"/>
      <c r="G1077" s="9"/>
      <c r="H1077" s="10"/>
      <c r="I1077" s="49">
        <f t="shared" si="998"/>
        <v>0</v>
      </c>
      <c r="J1077" s="11">
        <f t="shared" si="999"/>
        <v>0</v>
      </c>
      <c r="K1077" s="62"/>
      <c r="L1077" s="26" t="s">
        <v>224</v>
      </c>
      <c r="M1077" s="8"/>
      <c r="N1077" s="9">
        <v>1</v>
      </c>
      <c r="O1077" s="52">
        <v>1</v>
      </c>
      <c r="P1077" s="87">
        <f t="shared" ref="P1077" si="1003">SUM(M1077:O1077)</f>
        <v>2</v>
      </c>
      <c r="Q1077" s="8"/>
      <c r="R1077" s="9">
        <v>1</v>
      </c>
      <c r="S1077" s="10">
        <v>1</v>
      </c>
      <c r="T1077" s="49">
        <f t="shared" ref="T1077" si="1004">SUM(Q1077:S1077)</f>
        <v>2</v>
      </c>
      <c r="U1077" s="11">
        <f t="shared" ref="U1077" si="1005">P1077+T1077</f>
        <v>4</v>
      </c>
      <c r="V1077" s="98">
        <v>45631</v>
      </c>
    </row>
    <row r="1078" spans="1:22" x14ac:dyDescent="0.15">
      <c r="A1078" s="108"/>
      <c r="B1078" s="8"/>
      <c r="C1078" s="9"/>
      <c r="D1078" s="10"/>
      <c r="E1078" s="49">
        <f t="shared" si="997"/>
        <v>0</v>
      </c>
      <c r="F1078" s="12"/>
      <c r="G1078" s="9"/>
      <c r="H1078" s="10"/>
      <c r="I1078" s="49">
        <f t="shared" si="998"/>
        <v>0</v>
      </c>
      <c r="J1078" s="11">
        <f t="shared" si="999"/>
        <v>0</v>
      </c>
      <c r="K1078" s="62"/>
      <c r="L1078" s="26" t="s">
        <v>226</v>
      </c>
      <c r="M1078" s="8">
        <v>1</v>
      </c>
      <c r="N1078" s="9"/>
      <c r="O1078" s="52"/>
      <c r="P1078" s="87">
        <f t="shared" si="994"/>
        <v>1</v>
      </c>
      <c r="Q1078" s="8">
        <v>1</v>
      </c>
      <c r="R1078" s="9"/>
      <c r="S1078" s="10"/>
      <c r="T1078" s="49">
        <f t="shared" si="995"/>
        <v>1</v>
      </c>
      <c r="U1078" s="11">
        <f t="shared" si="996"/>
        <v>2</v>
      </c>
      <c r="V1078" s="98">
        <v>45632</v>
      </c>
    </row>
    <row r="1079" spans="1:22" x14ac:dyDescent="0.15">
      <c r="A1079" s="108"/>
      <c r="B1079" s="8"/>
      <c r="C1079" s="9"/>
      <c r="D1079" s="10"/>
      <c r="E1079" s="49">
        <f t="shared" si="997"/>
        <v>0</v>
      </c>
      <c r="F1079" s="12"/>
      <c r="G1079" s="9"/>
      <c r="H1079" s="10"/>
      <c r="I1079" s="49">
        <f t="shared" si="998"/>
        <v>0</v>
      </c>
      <c r="J1079" s="11">
        <f t="shared" si="999"/>
        <v>0</v>
      </c>
      <c r="K1079" s="62"/>
      <c r="L1079" s="26" t="s">
        <v>230</v>
      </c>
      <c r="M1079" s="8">
        <v>1</v>
      </c>
      <c r="N1079" s="9"/>
      <c r="O1079" s="52"/>
      <c r="P1079" s="87">
        <f t="shared" si="994"/>
        <v>1</v>
      </c>
      <c r="Q1079" s="8">
        <v>1</v>
      </c>
      <c r="R1079" s="9"/>
      <c r="S1079" s="10"/>
      <c r="T1079" s="49">
        <f t="shared" si="995"/>
        <v>1</v>
      </c>
      <c r="U1079" s="11">
        <f t="shared" si="996"/>
        <v>2</v>
      </c>
      <c r="V1079" s="98">
        <v>45632</v>
      </c>
    </row>
    <row r="1080" spans="1:22" x14ac:dyDescent="0.15">
      <c r="A1080" s="108"/>
      <c r="B1080" s="8"/>
      <c r="C1080" s="9"/>
      <c r="D1080" s="10"/>
      <c r="E1080" s="49">
        <f t="shared" si="997"/>
        <v>0</v>
      </c>
      <c r="F1080" s="12"/>
      <c r="G1080" s="9"/>
      <c r="H1080" s="10"/>
      <c r="I1080" s="49">
        <f t="shared" si="998"/>
        <v>0</v>
      </c>
      <c r="J1080" s="11">
        <f t="shared" si="999"/>
        <v>0</v>
      </c>
      <c r="K1080" s="62"/>
      <c r="L1080" s="26" t="s">
        <v>238</v>
      </c>
      <c r="M1080" s="8"/>
      <c r="N1080" s="9">
        <v>1</v>
      </c>
      <c r="O1080" s="52">
        <v>3</v>
      </c>
      <c r="P1080" s="87">
        <f t="shared" si="994"/>
        <v>4</v>
      </c>
      <c r="Q1080" s="8"/>
      <c r="R1080" s="9">
        <v>1</v>
      </c>
      <c r="S1080" s="10">
        <v>3</v>
      </c>
      <c r="T1080" s="49">
        <f t="shared" si="995"/>
        <v>4</v>
      </c>
      <c r="U1080" s="11">
        <f t="shared" si="996"/>
        <v>8</v>
      </c>
      <c r="V1080" s="98">
        <v>45637</v>
      </c>
    </row>
    <row r="1081" spans="1:22" x14ac:dyDescent="0.15">
      <c r="A1081" s="108"/>
      <c r="B1081" s="8"/>
      <c r="C1081" s="9"/>
      <c r="D1081" s="10"/>
      <c r="E1081" s="49">
        <f t="shared" si="997"/>
        <v>0</v>
      </c>
      <c r="F1081" s="12"/>
      <c r="G1081" s="9"/>
      <c r="H1081" s="10"/>
      <c r="I1081" s="49">
        <f t="shared" si="998"/>
        <v>0</v>
      </c>
      <c r="J1081" s="11">
        <f t="shared" si="999"/>
        <v>0</v>
      </c>
      <c r="K1081" s="62"/>
      <c r="L1081" s="26" t="s">
        <v>240</v>
      </c>
      <c r="M1081" s="8">
        <v>1</v>
      </c>
      <c r="N1081" s="9"/>
      <c r="O1081" s="52">
        <v>2</v>
      </c>
      <c r="P1081" s="87">
        <f t="shared" si="994"/>
        <v>3</v>
      </c>
      <c r="Q1081" s="8">
        <v>1</v>
      </c>
      <c r="R1081" s="9"/>
      <c r="S1081" s="10">
        <v>2</v>
      </c>
      <c r="T1081" s="49">
        <f t="shared" si="995"/>
        <v>3</v>
      </c>
      <c r="U1081" s="11">
        <f t="shared" si="996"/>
        <v>6</v>
      </c>
      <c r="V1081" s="98">
        <v>45638</v>
      </c>
    </row>
    <row r="1082" spans="1:22" x14ac:dyDescent="0.15">
      <c r="A1082" s="108"/>
      <c r="B1082" s="8"/>
      <c r="C1082" s="9"/>
      <c r="D1082" s="10"/>
      <c r="E1082" s="49">
        <f t="shared" si="997"/>
        <v>0</v>
      </c>
      <c r="F1082" s="12"/>
      <c r="G1082" s="9"/>
      <c r="H1082" s="10"/>
      <c r="I1082" s="49">
        <f t="shared" si="998"/>
        <v>0</v>
      </c>
      <c r="J1082" s="11">
        <f t="shared" si="999"/>
        <v>0</v>
      </c>
      <c r="K1082" s="62"/>
      <c r="L1082" s="26" t="s">
        <v>243</v>
      </c>
      <c r="M1082" s="8">
        <v>1</v>
      </c>
      <c r="N1082" s="9">
        <v>1</v>
      </c>
      <c r="O1082" s="52"/>
      <c r="P1082" s="87">
        <f t="shared" ref="P1082:P1087" si="1006">SUM(M1082:O1082)</f>
        <v>2</v>
      </c>
      <c r="Q1082" s="8">
        <v>1</v>
      </c>
      <c r="R1082" s="9">
        <v>1</v>
      </c>
      <c r="S1082" s="10"/>
      <c r="T1082" s="49">
        <f t="shared" ref="T1082:T1087" si="1007">SUM(Q1082:S1082)</f>
        <v>2</v>
      </c>
      <c r="U1082" s="11">
        <f t="shared" ref="U1082:U1083" si="1008">P1082+T1082</f>
        <v>4</v>
      </c>
      <c r="V1082" s="98">
        <v>45639</v>
      </c>
    </row>
    <row r="1083" spans="1:22" x14ac:dyDescent="0.15">
      <c r="A1083" s="108"/>
      <c r="B1083" s="8"/>
      <c r="C1083" s="9"/>
      <c r="D1083" s="10"/>
      <c r="E1083" s="49">
        <f t="shared" si="997"/>
        <v>0</v>
      </c>
      <c r="F1083" s="12"/>
      <c r="G1083" s="9"/>
      <c r="H1083" s="10"/>
      <c r="I1083" s="49">
        <f t="shared" si="998"/>
        <v>0</v>
      </c>
      <c r="J1083" s="11">
        <f t="shared" si="999"/>
        <v>0</v>
      </c>
      <c r="K1083" s="62"/>
      <c r="L1083" s="26" t="s">
        <v>245</v>
      </c>
      <c r="M1083" s="8">
        <v>1</v>
      </c>
      <c r="N1083" s="9">
        <v>1</v>
      </c>
      <c r="O1083" s="52"/>
      <c r="P1083" s="87">
        <f t="shared" si="1006"/>
        <v>2</v>
      </c>
      <c r="Q1083" s="8">
        <v>1</v>
      </c>
      <c r="R1083" s="9">
        <v>1</v>
      </c>
      <c r="S1083" s="10"/>
      <c r="T1083" s="49">
        <f t="shared" si="1007"/>
        <v>2</v>
      </c>
      <c r="U1083" s="11">
        <f t="shared" si="1008"/>
        <v>4</v>
      </c>
      <c r="V1083" s="98">
        <v>45642</v>
      </c>
    </row>
    <row r="1084" spans="1:22" x14ac:dyDescent="0.15">
      <c r="A1084" s="108"/>
      <c r="B1084" s="8"/>
      <c r="C1084" s="9"/>
      <c r="D1084" s="10"/>
      <c r="E1084" s="49">
        <f t="shared" si="997"/>
        <v>0</v>
      </c>
      <c r="F1084" s="12"/>
      <c r="G1084" s="9"/>
      <c r="H1084" s="10"/>
      <c r="I1084" s="49">
        <f t="shared" si="998"/>
        <v>0</v>
      </c>
      <c r="J1084" s="11">
        <f t="shared" si="999"/>
        <v>0</v>
      </c>
      <c r="K1084" s="62"/>
      <c r="L1084" s="26" t="s">
        <v>251</v>
      </c>
      <c r="M1084" s="8"/>
      <c r="N1084" s="9"/>
      <c r="O1084" s="52">
        <v>2</v>
      </c>
      <c r="P1084" s="87">
        <f t="shared" ref="P1084:P1086" si="1009">SUM(M1084:O1084)</f>
        <v>2</v>
      </c>
      <c r="Q1084" s="8"/>
      <c r="R1084" s="9"/>
      <c r="S1084" s="10">
        <v>2</v>
      </c>
      <c r="T1084" s="49">
        <f t="shared" ref="T1084:T1086" si="1010">SUM(Q1084:S1084)</f>
        <v>2</v>
      </c>
      <c r="U1084" s="11">
        <f t="shared" ref="U1084:U1086" si="1011">P1084+T1084</f>
        <v>4</v>
      </c>
      <c r="V1084" s="98">
        <v>45651</v>
      </c>
    </row>
    <row r="1085" spans="1:22" x14ac:dyDescent="0.15">
      <c r="A1085" s="108"/>
      <c r="B1085" s="8"/>
      <c r="C1085" s="9"/>
      <c r="D1085" s="10"/>
      <c r="E1085" s="49">
        <f t="shared" si="997"/>
        <v>0</v>
      </c>
      <c r="F1085" s="12"/>
      <c r="G1085" s="9"/>
      <c r="H1085" s="10"/>
      <c r="I1085" s="49">
        <f t="shared" si="998"/>
        <v>0</v>
      </c>
      <c r="J1085" s="11">
        <f t="shared" si="999"/>
        <v>0</v>
      </c>
      <c r="K1085" s="62"/>
      <c r="L1085" s="26" t="s">
        <v>739</v>
      </c>
      <c r="M1085" s="8">
        <v>1</v>
      </c>
      <c r="N1085" s="9"/>
      <c r="O1085" s="52"/>
      <c r="P1085" s="87">
        <f t="shared" si="1009"/>
        <v>1</v>
      </c>
      <c r="Q1085" s="8">
        <v>1</v>
      </c>
      <c r="R1085" s="9"/>
      <c r="S1085" s="10"/>
      <c r="T1085" s="49">
        <f t="shared" si="1010"/>
        <v>1</v>
      </c>
      <c r="U1085" s="11">
        <f t="shared" si="1011"/>
        <v>2</v>
      </c>
      <c r="V1085" s="98">
        <v>45652</v>
      </c>
    </row>
    <row r="1086" spans="1:22" ht="14.25" thickBot="1" x14ac:dyDescent="0.2">
      <c r="A1086" s="108"/>
      <c r="B1086" s="8"/>
      <c r="C1086" s="9"/>
      <c r="D1086" s="10"/>
      <c r="E1086" s="49">
        <f t="shared" si="997"/>
        <v>0</v>
      </c>
      <c r="F1086" s="12"/>
      <c r="G1086" s="9"/>
      <c r="H1086" s="10"/>
      <c r="I1086" s="49">
        <f t="shared" si="998"/>
        <v>0</v>
      </c>
      <c r="J1086" s="11">
        <f t="shared" si="999"/>
        <v>0</v>
      </c>
      <c r="K1086" s="62"/>
      <c r="L1086" s="26" t="s">
        <v>931</v>
      </c>
      <c r="M1086" s="8">
        <v>1</v>
      </c>
      <c r="N1086" s="9"/>
      <c r="O1086" s="52"/>
      <c r="P1086" s="87">
        <f t="shared" si="1009"/>
        <v>1</v>
      </c>
      <c r="Q1086" s="8">
        <v>1</v>
      </c>
      <c r="R1086" s="9"/>
      <c r="S1086" s="10"/>
      <c r="T1086" s="49">
        <f t="shared" si="1010"/>
        <v>1</v>
      </c>
      <c r="U1086" s="11">
        <f t="shared" si="1011"/>
        <v>2</v>
      </c>
      <c r="V1086" s="98">
        <v>45666</v>
      </c>
    </row>
    <row r="1087" spans="1:22" ht="14.25" thickBot="1" x14ac:dyDescent="0.2">
      <c r="A1087" s="41" t="s">
        <v>17</v>
      </c>
      <c r="B1087" s="46">
        <f>SUM(B1061:B1086)</f>
        <v>2</v>
      </c>
      <c r="C1087" s="47">
        <f t="shared" ref="C1087:D1087" si="1012">SUM(C1061:C1086)</f>
        <v>5</v>
      </c>
      <c r="D1087" s="58">
        <f t="shared" si="1012"/>
        <v>2</v>
      </c>
      <c r="E1087" s="45">
        <f t="shared" si="997"/>
        <v>9</v>
      </c>
      <c r="F1087" s="46">
        <f>SUM(F1061:F1086)</f>
        <v>2</v>
      </c>
      <c r="G1087" s="47">
        <f t="shared" ref="G1087:H1087" si="1013">SUM(G1061:G1086)</f>
        <v>5</v>
      </c>
      <c r="H1087" s="58">
        <f t="shared" si="1013"/>
        <v>2</v>
      </c>
      <c r="I1087" s="45">
        <f t="shared" si="998"/>
        <v>9</v>
      </c>
      <c r="J1087" s="45">
        <f>E1087+I1087</f>
        <v>18</v>
      </c>
      <c r="L1087" s="41" t="s">
        <v>17</v>
      </c>
      <c r="M1087" s="46">
        <f>SUM(M1061:M1086)</f>
        <v>34</v>
      </c>
      <c r="N1087" s="47">
        <f t="shared" ref="N1087:O1087" si="1014">SUM(N1061:N1086)</f>
        <v>44</v>
      </c>
      <c r="O1087" s="58">
        <f t="shared" si="1014"/>
        <v>30</v>
      </c>
      <c r="P1087" s="45">
        <f t="shared" si="1006"/>
        <v>108</v>
      </c>
      <c r="Q1087" s="46">
        <f>SUM(Q1061:Q1086)</f>
        <v>34</v>
      </c>
      <c r="R1087" s="47">
        <f t="shared" ref="R1087:S1087" si="1015">SUM(R1061:R1086)</f>
        <v>44</v>
      </c>
      <c r="S1087" s="58">
        <f t="shared" si="1015"/>
        <v>30</v>
      </c>
      <c r="T1087" s="45">
        <f t="shared" si="1007"/>
        <v>108</v>
      </c>
      <c r="U1087" s="45">
        <f>P1087+T1087</f>
        <v>216</v>
      </c>
    </row>
    <row r="1088" spans="1:22" ht="14.25" thickBot="1" x14ac:dyDescent="0.2">
      <c r="A1088" s="22" t="s">
        <v>16</v>
      </c>
      <c r="B1088" s="50">
        <f>B1060-B1087</f>
        <v>3</v>
      </c>
      <c r="C1088" s="56">
        <f t="shared" ref="C1088:D1088" si="1016">C1060-C1087</f>
        <v>3</v>
      </c>
      <c r="D1088" s="57">
        <f t="shared" si="1016"/>
        <v>3</v>
      </c>
      <c r="E1088" s="55">
        <f>SUM(B1088:D1088)</f>
        <v>9</v>
      </c>
      <c r="F1088" s="50">
        <f>F1060-F1087</f>
        <v>5</v>
      </c>
      <c r="G1088" s="56">
        <f t="shared" ref="G1088:H1088" si="1017">G1060-G1087</f>
        <v>2</v>
      </c>
      <c r="H1088" s="57">
        <f t="shared" si="1017"/>
        <v>5</v>
      </c>
      <c r="I1088" s="55">
        <f>SUM(F1088:H1088)</f>
        <v>12</v>
      </c>
      <c r="J1088" s="31">
        <f>E1088+I1088</f>
        <v>21</v>
      </c>
      <c r="L1088" s="22" t="s">
        <v>16</v>
      </c>
      <c r="M1088" s="50">
        <f>M1060-M1087</f>
        <v>2</v>
      </c>
      <c r="N1088" s="56">
        <f t="shared" ref="N1088:O1088" si="1018">N1060-N1087</f>
        <v>13</v>
      </c>
      <c r="O1088" s="57">
        <f t="shared" si="1018"/>
        <v>40</v>
      </c>
      <c r="P1088" s="55">
        <f>SUM(M1088:O1088)</f>
        <v>55</v>
      </c>
      <c r="Q1088" s="50">
        <f>Q1060-Q1087</f>
        <v>2</v>
      </c>
      <c r="R1088" s="56">
        <f t="shared" ref="R1088:S1088" si="1019">R1060-R1087</f>
        <v>13</v>
      </c>
      <c r="S1088" s="57">
        <f t="shared" si="1019"/>
        <v>40</v>
      </c>
      <c r="T1088" s="55">
        <f>SUM(Q1088:S1088)</f>
        <v>55</v>
      </c>
      <c r="U1088" s="31">
        <f>P1088+T1088</f>
        <v>110</v>
      </c>
    </row>
    <row r="1091" spans="1:22" ht="19.5" thickBot="1" x14ac:dyDescent="0.25">
      <c r="A1091" s="3" t="s">
        <v>908</v>
      </c>
      <c r="L1091" s="129" t="s">
        <v>680</v>
      </c>
    </row>
    <row r="1092" spans="1:22" ht="14.25" thickBot="1" x14ac:dyDescent="0.2">
      <c r="A1092" s="7"/>
      <c r="B1092" s="176" t="s">
        <v>22</v>
      </c>
      <c r="C1092" s="177"/>
      <c r="D1092" s="177"/>
      <c r="E1092" s="178"/>
      <c r="F1092" s="176" t="s">
        <v>23</v>
      </c>
      <c r="G1092" s="177"/>
      <c r="H1092" s="177"/>
      <c r="I1092" s="179"/>
      <c r="J1092" s="174" t="s">
        <v>0</v>
      </c>
      <c r="L1092" s="7"/>
      <c r="M1092" s="169" t="s">
        <v>22</v>
      </c>
      <c r="N1092" s="170"/>
      <c r="O1092" s="170"/>
      <c r="P1092" s="171"/>
      <c r="Q1092" s="169" t="s">
        <v>23</v>
      </c>
      <c r="R1092" s="170"/>
      <c r="S1092" s="170"/>
      <c r="T1092" s="171"/>
      <c r="U1092" s="174" t="s">
        <v>0</v>
      </c>
    </row>
    <row r="1093" spans="1:22" ht="14.25" thickBot="1" x14ac:dyDescent="0.2">
      <c r="A1093" s="7" t="s">
        <v>1</v>
      </c>
      <c r="B1093" s="4" t="s">
        <v>2</v>
      </c>
      <c r="C1093" s="5" t="s">
        <v>3</v>
      </c>
      <c r="D1093" s="6" t="s">
        <v>4</v>
      </c>
      <c r="E1093" s="7" t="s">
        <v>5</v>
      </c>
      <c r="F1093" s="4" t="s">
        <v>2</v>
      </c>
      <c r="G1093" s="5" t="s">
        <v>3</v>
      </c>
      <c r="H1093" s="6" t="s">
        <v>4</v>
      </c>
      <c r="I1093" s="7" t="s">
        <v>5</v>
      </c>
      <c r="J1093" s="175"/>
      <c r="L1093" s="7" t="s">
        <v>1</v>
      </c>
      <c r="M1093" s="4" t="s">
        <v>2</v>
      </c>
      <c r="N1093" s="5" t="s">
        <v>3</v>
      </c>
      <c r="O1093" s="6" t="s">
        <v>4</v>
      </c>
      <c r="P1093" s="7" t="s">
        <v>5</v>
      </c>
      <c r="Q1093" s="4" t="s">
        <v>2</v>
      </c>
      <c r="R1093" s="5" t="s">
        <v>3</v>
      </c>
      <c r="S1093" s="6" t="s">
        <v>4</v>
      </c>
      <c r="T1093" s="7" t="s">
        <v>5</v>
      </c>
      <c r="U1093" s="175"/>
    </row>
    <row r="1094" spans="1:22" ht="14.25" thickBot="1" x14ac:dyDescent="0.2">
      <c r="A1094" s="27" t="s">
        <v>16</v>
      </c>
      <c r="B1094" s="28">
        <f t="shared" ref="B1094:I1094" si="1020">B1088</f>
        <v>3</v>
      </c>
      <c r="C1094" s="29">
        <f t="shared" si="1020"/>
        <v>3</v>
      </c>
      <c r="D1094" s="30">
        <f t="shared" si="1020"/>
        <v>3</v>
      </c>
      <c r="E1094" s="31">
        <f t="shared" si="1020"/>
        <v>9</v>
      </c>
      <c r="F1094" s="28">
        <f t="shared" si="1020"/>
        <v>5</v>
      </c>
      <c r="G1094" s="29">
        <f t="shared" si="1020"/>
        <v>2</v>
      </c>
      <c r="H1094" s="30">
        <f t="shared" si="1020"/>
        <v>5</v>
      </c>
      <c r="I1094" s="31">
        <f t="shared" si="1020"/>
        <v>12</v>
      </c>
      <c r="J1094" s="31">
        <f>E1094+I1094</f>
        <v>21</v>
      </c>
      <c r="L1094" s="27" t="s">
        <v>16</v>
      </c>
      <c r="M1094" s="50">
        <f t="shared" ref="M1094:U1094" si="1021">M1088</f>
        <v>2</v>
      </c>
      <c r="N1094" s="56">
        <f t="shared" si="1021"/>
        <v>13</v>
      </c>
      <c r="O1094" s="57">
        <f t="shared" si="1021"/>
        <v>40</v>
      </c>
      <c r="P1094" s="55">
        <f t="shared" si="1021"/>
        <v>55</v>
      </c>
      <c r="Q1094" s="50">
        <f t="shared" si="1021"/>
        <v>2</v>
      </c>
      <c r="R1094" s="56">
        <f t="shared" si="1021"/>
        <v>13</v>
      </c>
      <c r="S1094" s="57">
        <f t="shared" si="1021"/>
        <v>40</v>
      </c>
      <c r="T1094" s="55">
        <f t="shared" si="1021"/>
        <v>55</v>
      </c>
      <c r="U1094" s="31">
        <f t="shared" si="1021"/>
        <v>110</v>
      </c>
    </row>
    <row r="1095" spans="1:22" x14ac:dyDescent="0.15">
      <c r="A1095" s="25" t="s">
        <v>7</v>
      </c>
      <c r="B1095" s="8"/>
      <c r="C1095" s="9"/>
      <c r="D1095" s="52">
        <v>1</v>
      </c>
      <c r="E1095" s="11">
        <f t="shared" ref="E1095:E1098" si="1022">SUM(B1095:D1095)</f>
        <v>1</v>
      </c>
      <c r="F1095" s="12"/>
      <c r="G1095" s="9"/>
      <c r="H1095" s="10">
        <v>1</v>
      </c>
      <c r="I1095" s="11">
        <f t="shared" ref="I1095:I1098" si="1023">SUM(F1095:H1095)</f>
        <v>1</v>
      </c>
      <c r="J1095" s="11">
        <f t="shared" ref="J1095:J1098" si="1024">E1095+I1095</f>
        <v>2</v>
      </c>
      <c r="K1095" s="62">
        <v>45890</v>
      </c>
      <c r="L1095" s="25" t="s">
        <v>7</v>
      </c>
      <c r="M1095" s="8">
        <v>2</v>
      </c>
      <c r="N1095" s="9"/>
      <c r="O1095" s="52"/>
      <c r="P1095" s="11">
        <f t="shared" ref="P1095:P1096" si="1025">SUM(M1095:O1095)</f>
        <v>2</v>
      </c>
      <c r="Q1095" s="12">
        <v>2</v>
      </c>
      <c r="R1095" s="9"/>
      <c r="S1095" s="10"/>
      <c r="T1095" s="11">
        <f t="shared" ref="T1095:T1096" si="1026">SUM(Q1095:S1095)</f>
        <v>2</v>
      </c>
      <c r="U1095" s="11">
        <f t="shared" ref="U1095:U1096" si="1027">P1095+T1095</f>
        <v>4</v>
      </c>
      <c r="V1095" s="99">
        <v>45674</v>
      </c>
    </row>
    <row r="1096" spans="1:22" x14ac:dyDescent="0.15">
      <c r="A1096" s="25" t="s">
        <v>8</v>
      </c>
      <c r="B1096" s="8"/>
      <c r="C1096" s="9"/>
      <c r="D1096" s="52"/>
      <c r="E1096" s="11">
        <f t="shared" si="1022"/>
        <v>0</v>
      </c>
      <c r="F1096" s="12"/>
      <c r="G1096" s="9"/>
      <c r="H1096" s="10"/>
      <c r="I1096" s="11">
        <f t="shared" si="1023"/>
        <v>0</v>
      </c>
      <c r="J1096" s="11">
        <f t="shared" si="1024"/>
        <v>0</v>
      </c>
      <c r="L1096" s="25" t="s">
        <v>8</v>
      </c>
      <c r="M1096" s="8">
        <v>1</v>
      </c>
      <c r="N1096" s="9">
        <f>1+1</f>
        <v>2</v>
      </c>
      <c r="O1096" s="52">
        <v>2</v>
      </c>
      <c r="P1096" s="11">
        <f t="shared" si="1025"/>
        <v>5</v>
      </c>
      <c r="Q1096" s="12">
        <f>2+1</f>
        <v>3</v>
      </c>
      <c r="R1096" s="9">
        <v>1</v>
      </c>
      <c r="S1096" s="10">
        <v>2</v>
      </c>
      <c r="T1096" s="11">
        <f t="shared" si="1026"/>
        <v>6</v>
      </c>
      <c r="U1096" s="11">
        <f t="shared" si="1027"/>
        <v>11</v>
      </c>
      <c r="V1096" s="99">
        <v>45689</v>
      </c>
    </row>
    <row r="1097" spans="1:22" x14ac:dyDescent="0.15">
      <c r="A1097" s="25" t="s">
        <v>9</v>
      </c>
      <c r="B1097" s="8"/>
      <c r="C1097" s="9"/>
      <c r="D1097" s="52"/>
      <c r="E1097" s="11">
        <f t="shared" si="1022"/>
        <v>0</v>
      </c>
      <c r="F1097" s="12"/>
      <c r="G1097" s="9"/>
      <c r="H1097" s="10"/>
      <c r="I1097" s="11">
        <f t="shared" si="1023"/>
        <v>0</v>
      </c>
      <c r="J1097" s="11">
        <f t="shared" si="1024"/>
        <v>0</v>
      </c>
      <c r="L1097" s="25" t="s">
        <v>9</v>
      </c>
      <c r="M1097" s="8"/>
      <c r="N1097" s="9"/>
      <c r="O1097" s="52"/>
      <c r="P1097" s="11">
        <f t="shared" ref="P1097:P1102" si="1028">SUM(M1097:O1097)</f>
        <v>0</v>
      </c>
      <c r="Q1097" s="12"/>
      <c r="R1097" s="9"/>
      <c r="S1097" s="10"/>
      <c r="T1097" s="11">
        <f t="shared" ref="T1097:T1102" si="1029">SUM(Q1097:S1097)</f>
        <v>0</v>
      </c>
      <c r="U1097" s="11">
        <f t="shared" ref="U1097:U1102" si="1030">P1097+T1097</f>
        <v>0</v>
      </c>
    </row>
    <row r="1098" spans="1:22" x14ac:dyDescent="0.15">
      <c r="A1098" s="25" t="s">
        <v>10</v>
      </c>
      <c r="B1098" s="8"/>
      <c r="C1098" s="9"/>
      <c r="D1098" s="52"/>
      <c r="E1098" s="11">
        <f t="shared" si="1022"/>
        <v>0</v>
      </c>
      <c r="F1098" s="12"/>
      <c r="G1098" s="9"/>
      <c r="H1098" s="10"/>
      <c r="I1098" s="11">
        <f t="shared" si="1023"/>
        <v>0</v>
      </c>
      <c r="J1098" s="11">
        <f t="shared" si="1024"/>
        <v>0</v>
      </c>
      <c r="L1098" s="25" t="s">
        <v>10</v>
      </c>
      <c r="M1098" s="8"/>
      <c r="N1098" s="9"/>
      <c r="O1098" s="52"/>
      <c r="P1098" s="11">
        <f t="shared" si="1028"/>
        <v>0</v>
      </c>
      <c r="Q1098" s="12"/>
      <c r="R1098" s="9"/>
      <c r="S1098" s="10"/>
      <c r="T1098" s="11">
        <f t="shared" si="1029"/>
        <v>0</v>
      </c>
      <c r="U1098" s="11">
        <f t="shared" si="1030"/>
        <v>0</v>
      </c>
    </row>
    <row r="1099" spans="1:22" x14ac:dyDescent="0.15">
      <c r="A1099" s="25" t="s">
        <v>11</v>
      </c>
      <c r="B1099" s="8"/>
      <c r="C1099" s="9"/>
      <c r="D1099" s="52"/>
      <c r="E1099" s="11">
        <f t="shared" ref="E1099:E1102" si="1031">SUM(B1099:D1099)</f>
        <v>0</v>
      </c>
      <c r="F1099" s="12"/>
      <c r="G1099" s="9"/>
      <c r="H1099" s="10"/>
      <c r="I1099" s="11">
        <f t="shared" ref="I1099:I1102" si="1032">SUM(F1099:H1099)</f>
        <v>0</v>
      </c>
      <c r="J1099" s="11">
        <f t="shared" ref="J1099:J1102" si="1033">E1099+I1099</f>
        <v>0</v>
      </c>
      <c r="L1099" s="25" t="s">
        <v>11</v>
      </c>
      <c r="M1099" s="8"/>
      <c r="N1099" s="9"/>
      <c r="O1099" s="52"/>
      <c r="P1099" s="11">
        <f t="shared" si="1028"/>
        <v>0</v>
      </c>
      <c r="Q1099" s="12"/>
      <c r="R1099" s="9"/>
      <c r="S1099" s="10"/>
      <c r="T1099" s="11">
        <f t="shared" si="1029"/>
        <v>0</v>
      </c>
      <c r="U1099" s="11">
        <f t="shared" si="1030"/>
        <v>0</v>
      </c>
    </row>
    <row r="1100" spans="1:22" x14ac:dyDescent="0.15">
      <c r="A1100" s="25" t="s">
        <v>12</v>
      </c>
      <c r="B1100" s="8"/>
      <c r="C1100" s="9"/>
      <c r="D1100" s="52"/>
      <c r="E1100" s="11">
        <f t="shared" si="1031"/>
        <v>0</v>
      </c>
      <c r="F1100" s="12"/>
      <c r="G1100" s="9"/>
      <c r="H1100" s="10"/>
      <c r="I1100" s="11">
        <f t="shared" si="1032"/>
        <v>0</v>
      </c>
      <c r="J1100" s="11">
        <f t="shared" si="1033"/>
        <v>0</v>
      </c>
      <c r="L1100" s="25" t="s">
        <v>12</v>
      </c>
      <c r="M1100" s="8"/>
      <c r="N1100" s="9"/>
      <c r="O1100" s="52"/>
      <c r="P1100" s="11">
        <f t="shared" si="1028"/>
        <v>0</v>
      </c>
      <c r="Q1100" s="12"/>
      <c r="R1100" s="9"/>
      <c r="S1100" s="10"/>
      <c r="T1100" s="11">
        <f t="shared" si="1029"/>
        <v>0</v>
      </c>
      <c r="U1100" s="11">
        <f t="shared" si="1030"/>
        <v>0</v>
      </c>
    </row>
    <row r="1101" spans="1:22" x14ac:dyDescent="0.15">
      <c r="A1101" s="25" t="s">
        <v>13</v>
      </c>
      <c r="B1101" s="13"/>
      <c r="C1101" s="14"/>
      <c r="D1101" s="53"/>
      <c r="E1101" s="11">
        <f t="shared" si="1031"/>
        <v>0</v>
      </c>
      <c r="F1101" s="16"/>
      <c r="G1101" s="14"/>
      <c r="H1101" s="15"/>
      <c r="I1101" s="11">
        <f t="shared" si="1032"/>
        <v>0</v>
      </c>
      <c r="J1101" s="11">
        <f t="shared" si="1033"/>
        <v>0</v>
      </c>
      <c r="L1101" s="25" t="s">
        <v>13</v>
      </c>
      <c r="M1101" s="8"/>
      <c r="N1101" s="9"/>
      <c r="O1101" s="52"/>
      <c r="P1101" s="11">
        <f t="shared" si="1028"/>
        <v>0</v>
      </c>
      <c r="Q1101" s="12"/>
      <c r="R1101" s="9"/>
      <c r="S1101" s="10"/>
      <c r="T1101" s="11">
        <f t="shared" si="1029"/>
        <v>0</v>
      </c>
      <c r="U1101" s="11">
        <f t="shared" si="1030"/>
        <v>0</v>
      </c>
    </row>
    <row r="1102" spans="1:22" ht="14.25" thickBot="1" x14ac:dyDescent="0.2">
      <c r="A1102" s="25" t="s">
        <v>14</v>
      </c>
      <c r="B1102" s="32"/>
      <c r="C1102" s="33"/>
      <c r="D1102" s="54"/>
      <c r="E1102" s="61">
        <f t="shared" si="1031"/>
        <v>0</v>
      </c>
      <c r="F1102" s="34"/>
      <c r="G1102" s="34"/>
      <c r="H1102" s="37"/>
      <c r="I1102" s="61">
        <f t="shared" si="1032"/>
        <v>0</v>
      </c>
      <c r="J1102" s="21">
        <f t="shared" si="1033"/>
        <v>0</v>
      </c>
      <c r="L1102" s="25" t="s">
        <v>14</v>
      </c>
      <c r="M1102" s="32"/>
      <c r="N1102" s="33"/>
      <c r="O1102" s="54"/>
      <c r="P1102" s="61">
        <f t="shared" si="1028"/>
        <v>0</v>
      </c>
      <c r="Q1102" s="34"/>
      <c r="R1102" s="34"/>
      <c r="S1102" s="37"/>
      <c r="T1102" s="61">
        <f t="shared" si="1029"/>
        <v>0</v>
      </c>
      <c r="U1102" s="21">
        <f t="shared" si="1030"/>
        <v>0</v>
      </c>
    </row>
    <row r="1103" spans="1:22" ht="14.25" thickBot="1" x14ac:dyDescent="0.2">
      <c r="A1103" s="35" t="s">
        <v>15</v>
      </c>
      <c r="B1103" s="28">
        <f>SUM(B1094:B1102)</f>
        <v>3</v>
      </c>
      <c r="C1103" s="29">
        <f>SUM(C1094:C1102)</f>
        <v>3</v>
      </c>
      <c r="D1103" s="30">
        <f>SUM(D1094:D1102)</f>
        <v>4</v>
      </c>
      <c r="E1103" s="31">
        <f>SUM(B1103:D1103)</f>
        <v>10</v>
      </c>
      <c r="F1103" s="28">
        <f>SUM(F1094:F1102)</f>
        <v>5</v>
      </c>
      <c r="G1103" s="29">
        <f>SUM(G1094:G1102)</f>
        <v>2</v>
      </c>
      <c r="H1103" s="30">
        <f>SUM(H1094:H1102)</f>
        <v>6</v>
      </c>
      <c r="I1103" s="31">
        <f>SUM(F1103:H1103)</f>
        <v>13</v>
      </c>
      <c r="J1103" s="31">
        <f>E1103+I1103</f>
        <v>23</v>
      </c>
      <c r="L1103" s="35" t="s">
        <v>15</v>
      </c>
      <c r="M1103" s="28">
        <f>SUM(M1094:M1102)</f>
        <v>5</v>
      </c>
      <c r="N1103" s="29">
        <f>SUM(N1094:N1102)</f>
        <v>15</v>
      </c>
      <c r="O1103" s="30">
        <f>SUM(O1094:O1102)</f>
        <v>42</v>
      </c>
      <c r="P1103" s="31">
        <f>SUM(M1103:O1103)</f>
        <v>62</v>
      </c>
      <c r="Q1103" s="28">
        <f>SUM(Q1094:Q1102)</f>
        <v>7</v>
      </c>
      <c r="R1103" s="29">
        <f>SUM(R1094:R1102)</f>
        <v>14</v>
      </c>
      <c r="S1103" s="30">
        <f>SUM(S1094:S1102)</f>
        <v>42</v>
      </c>
      <c r="T1103" s="31">
        <f>SUM(Q1103:S1103)</f>
        <v>63</v>
      </c>
      <c r="U1103" s="31">
        <f>P1103+T1103</f>
        <v>125</v>
      </c>
    </row>
    <row r="1104" spans="1:22" x14ac:dyDescent="0.15">
      <c r="A1104" s="26" t="s">
        <v>267</v>
      </c>
      <c r="B1104" s="8"/>
      <c r="C1104" s="9">
        <v>1</v>
      </c>
      <c r="D1104" s="10"/>
      <c r="E1104" s="49">
        <f t="shared" ref="E1104:E1130" si="1034">SUM(B1104:D1104)</f>
        <v>1</v>
      </c>
      <c r="F1104" s="12"/>
      <c r="G1104" s="9">
        <v>1</v>
      </c>
      <c r="H1104" s="10"/>
      <c r="I1104" s="49">
        <f t="shared" ref="I1104:I1130" si="1035">SUM(F1104:H1104)</f>
        <v>1</v>
      </c>
      <c r="J1104" s="11">
        <f t="shared" ref="J1104:J1128" si="1036">E1104+I1104</f>
        <v>2</v>
      </c>
      <c r="K1104" s="62">
        <v>45677</v>
      </c>
      <c r="L1104" s="26" t="s">
        <v>260</v>
      </c>
      <c r="M1104" s="8"/>
      <c r="N1104" s="9"/>
      <c r="O1104" s="52">
        <v>1</v>
      </c>
      <c r="P1104" s="87">
        <f t="shared" ref="P1104:P1126" si="1037">SUM(M1104:O1104)</f>
        <v>1</v>
      </c>
      <c r="Q1104" s="8"/>
      <c r="R1104" s="9"/>
      <c r="S1104" s="10">
        <v>1</v>
      </c>
      <c r="T1104" s="49">
        <f t="shared" ref="T1104:T1126" si="1038">SUM(Q1104:S1104)</f>
        <v>1</v>
      </c>
      <c r="U1104" s="11">
        <f t="shared" ref="U1104:U1126" si="1039">P1104+T1104</f>
        <v>2</v>
      </c>
      <c r="V1104" s="98">
        <v>45671</v>
      </c>
    </row>
    <row r="1105" spans="1:23" x14ac:dyDescent="0.15">
      <c r="A1105" s="108" t="s">
        <v>558</v>
      </c>
      <c r="B1105" s="8">
        <v>2</v>
      </c>
      <c r="C1105" s="9"/>
      <c r="D1105" s="10"/>
      <c r="E1105" s="49">
        <f t="shared" si="1034"/>
        <v>2</v>
      </c>
      <c r="F1105" s="12">
        <v>2</v>
      </c>
      <c r="G1105" s="9"/>
      <c r="H1105" s="10"/>
      <c r="I1105" s="49">
        <f t="shared" si="1035"/>
        <v>2</v>
      </c>
      <c r="J1105" s="11">
        <f t="shared" si="1036"/>
        <v>4</v>
      </c>
      <c r="K1105" s="62">
        <v>45674</v>
      </c>
      <c r="L1105" s="26" t="s">
        <v>269</v>
      </c>
      <c r="M1105" s="8"/>
      <c r="N1105" s="9">
        <v>1</v>
      </c>
      <c r="O1105" s="52"/>
      <c r="P1105" s="87">
        <f t="shared" si="1037"/>
        <v>1</v>
      </c>
      <c r="Q1105" s="8"/>
      <c r="R1105" s="9">
        <v>1</v>
      </c>
      <c r="S1105" s="10"/>
      <c r="T1105" s="49">
        <f t="shared" si="1038"/>
        <v>1</v>
      </c>
      <c r="U1105" s="11">
        <f t="shared" si="1039"/>
        <v>2</v>
      </c>
      <c r="V1105" s="98">
        <v>45679</v>
      </c>
    </row>
    <row r="1106" spans="1:23" x14ac:dyDescent="0.15">
      <c r="A1106" s="108" t="s">
        <v>933</v>
      </c>
      <c r="B1106" s="8"/>
      <c r="C1106" s="9"/>
      <c r="D1106" s="10">
        <v>1</v>
      </c>
      <c r="E1106" s="49">
        <f t="shared" si="1034"/>
        <v>1</v>
      </c>
      <c r="F1106" s="12"/>
      <c r="G1106" s="9"/>
      <c r="H1106" s="10">
        <v>1</v>
      </c>
      <c r="I1106" s="49">
        <f t="shared" si="1035"/>
        <v>1</v>
      </c>
      <c r="J1106" s="11">
        <f t="shared" si="1036"/>
        <v>2</v>
      </c>
      <c r="K1106" s="62">
        <v>45686</v>
      </c>
      <c r="L1106" s="26" t="s">
        <v>271</v>
      </c>
      <c r="M1106" s="8"/>
      <c r="N1106" s="9">
        <v>1</v>
      </c>
      <c r="O1106" s="52"/>
      <c r="P1106" s="87">
        <f t="shared" si="1037"/>
        <v>1</v>
      </c>
      <c r="Q1106" s="8"/>
      <c r="R1106" s="9">
        <v>1</v>
      </c>
      <c r="S1106" s="10"/>
      <c r="T1106" s="49">
        <f t="shared" si="1038"/>
        <v>1</v>
      </c>
      <c r="U1106" s="11">
        <f t="shared" si="1039"/>
        <v>2</v>
      </c>
      <c r="V1106" s="98">
        <v>45681</v>
      </c>
    </row>
    <row r="1107" spans="1:23" x14ac:dyDescent="0.15">
      <c r="A1107" s="108" t="s">
        <v>558</v>
      </c>
      <c r="B1107" s="8">
        <v>1</v>
      </c>
      <c r="C1107" s="9">
        <f>1+1</f>
        <v>2</v>
      </c>
      <c r="D1107" s="10">
        <v>2</v>
      </c>
      <c r="E1107" s="49">
        <f t="shared" si="1034"/>
        <v>5</v>
      </c>
      <c r="F1107" s="12">
        <f>2+1</f>
        <v>3</v>
      </c>
      <c r="G1107" s="9">
        <v>1</v>
      </c>
      <c r="H1107" s="10">
        <f>2+2</f>
        <v>4</v>
      </c>
      <c r="I1107" s="49">
        <f t="shared" si="1035"/>
        <v>8</v>
      </c>
      <c r="J1107" s="11">
        <f t="shared" si="1036"/>
        <v>13</v>
      </c>
      <c r="K1107" s="62">
        <v>45689</v>
      </c>
      <c r="L1107" s="26" t="s">
        <v>272</v>
      </c>
      <c r="M1107" s="8"/>
      <c r="N1107" s="9"/>
      <c r="O1107" s="52">
        <v>1</v>
      </c>
      <c r="P1107" s="87">
        <f t="shared" ref="P1107" si="1040">SUM(M1107:O1107)</f>
        <v>1</v>
      </c>
      <c r="Q1107" s="8"/>
      <c r="R1107" s="9"/>
      <c r="S1107" s="10">
        <v>1</v>
      </c>
      <c r="T1107" s="49">
        <f t="shared" ref="T1107" si="1041">SUM(Q1107:S1107)</f>
        <v>1</v>
      </c>
      <c r="U1107" s="11">
        <f t="shared" ref="U1107" si="1042">P1107+T1107</f>
        <v>2</v>
      </c>
      <c r="V1107" s="98">
        <v>45686</v>
      </c>
      <c r="W1107" s="66"/>
    </row>
    <row r="1108" spans="1:23" x14ac:dyDescent="0.15">
      <c r="A1108" s="108"/>
      <c r="B1108" s="8"/>
      <c r="C1108" s="9"/>
      <c r="D1108" s="10"/>
      <c r="E1108" s="49">
        <f t="shared" si="1034"/>
        <v>0</v>
      </c>
      <c r="F1108" s="12"/>
      <c r="G1108" s="9"/>
      <c r="H1108" s="10"/>
      <c r="I1108" s="49">
        <f t="shared" si="1035"/>
        <v>0</v>
      </c>
      <c r="J1108" s="11">
        <f t="shared" si="1036"/>
        <v>0</v>
      </c>
      <c r="K1108" s="62"/>
      <c r="L1108" s="26" t="s">
        <v>274</v>
      </c>
      <c r="M1108" s="8">
        <v>1</v>
      </c>
      <c r="N1108" s="9"/>
      <c r="O1108" s="52"/>
      <c r="P1108" s="87">
        <f t="shared" si="1037"/>
        <v>1</v>
      </c>
      <c r="Q1108" s="8">
        <v>1</v>
      </c>
      <c r="R1108" s="9"/>
      <c r="S1108" s="10"/>
      <c r="T1108" s="49">
        <f t="shared" si="1038"/>
        <v>1</v>
      </c>
      <c r="U1108" s="11">
        <f t="shared" si="1039"/>
        <v>2</v>
      </c>
      <c r="V1108" s="98">
        <v>45688</v>
      </c>
    </row>
    <row r="1109" spans="1:23" x14ac:dyDescent="0.15">
      <c r="A1109" s="108"/>
      <c r="B1109" s="8"/>
      <c r="C1109" s="9"/>
      <c r="D1109" s="10"/>
      <c r="E1109" s="49">
        <f t="shared" si="1034"/>
        <v>0</v>
      </c>
      <c r="F1109" s="12"/>
      <c r="G1109" s="9"/>
      <c r="H1109" s="10"/>
      <c r="I1109" s="49">
        <f t="shared" si="1035"/>
        <v>0</v>
      </c>
      <c r="J1109" s="11">
        <f t="shared" si="1036"/>
        <v>0</v>
      </c>
      <c r="K1109" s="62"/>
      <c r="L1109" s="26" t="s">
        <v>938</v>
      </c>
      <c r="M1109" s="8"/>
      <c r="N1109" s="9"/>
      <c r="O1109" s="52">
        <v>1</v>
      </c>
      <c r="P1109" s="87">
        <f t="shared" si="1037"/>
        <v>1</v>
      </c>
      <c r="Q1109" s="8"/>
      <c r="R1109" s="9"/>
      <c r="S1109" s="10">
        <v>1</v>
      </c>
      <c r="T1109" s="49">
        <f t="shared" si="1038"/>
        <v>1</v>
      </c>
      <c r="U1109" s="11">
        <f t="shared" si="1039"/>
        <v>2</v>
      </c>
      <c r="V1109" s="98">
        <v>45890</v>
      </c>
    </row>
    <row r="1110" spans="1:23" x14ac:dyDescent="0.15">
      <c r="A1110" s="108"/>
      <c r="B1110" s="8"/>
      <c r="C1110" s="9"/>
      <c r="D1110" s="10"/>
      <c r="E1110" s="49">
        <f t="shared" si="1034"/>
        <v>0</v>
      </c>
      <c r="F1110" s="12"/>
      <c r="G1110" s="9"/>
      <c r="H1110" s="10"/>
      <c r="I1110" s="49">
        <f t="shared" si="1035"/>
        <v>0</v>
      </c>
      <c r="J1110" s="11">
        <f t="shared" si="1036"/>
        <v>0</v>
      </c>
      <c r="K1110" s="62"/>
      <c r="L1110" s="26" t="s">
        <v>981</v>
      </c>
      <c r="M1110" s="8">
        <v>0</v>
      </c>
      <c r="N1110" s="9">
        <v>1</v>
      </c>
      <c r="O1110" s="52">
        <v>0</v>
      </c>
      <c r="P1110" s="87">
        <f t="shared" si="1037"/>
        <v>1</v>
      </c>
      <c r="Q1110" s="8">
        <v>2</v>
      </c>
      <c r="R1110" s="9">
        <v>0</v>
      </c>
      <c r="S1110" s="10">
        <v>0</v>
      </c>
      <c r="T1110" s="49">
        <f t="shared" si="1038"/>
        <v>2</v>
      </c>
      <c r="U1110" s="11">
        <f t="shared" si="1039"/>
        <v>3</v>
      </c>
      <c r="V1110" s="98">
        <v>46079</v>
      </c>
    </row>
    <row r="1111" spans="1:23" x14ac:dyDescent="0.15">
      <c r="A1111" s="108"/>
      <c r="B1111" s="8"/>
      <c r="C1111" s="9"/>
      <c r="D1111" s="10"/>
      <c r="E1111" s="49">
        <f t="shared" si="1034"/>
        <v>0</v>
      </c>
      <c r="F1111" s="12"/>
      <c r="G1111" s="9"/>
      <c r="H1111" s="10"/>
      <c r="I1111" s="49">
        <f t="shared" si="1035"/>
        <v>0</v>
      </c>
      <c r="J1111" s="11">
        <f t="shared" si="1036"/>
        <v>0</v>
      </c>
      <c r="K1111" s="62"/>
      <c r="L1111" s="26"/>
      <c r="M1111" s="8"/>
      <c r="N1111" s="9"/>
      <c r="O1111" s="52"/>
      <c r="P1111" s="87">
        <f t="shared" si="1037"/>
        <v>0</v>
      </c>
      <c r="Q1111" s="8"/>
      <c r="R1111" s="9"/>
      <c r="S1111" s="10"/>
      <c r="T1111" s="49">
        <f t="shared" si="1038"/>
        <v>0</v>
      </c>
      <c r="U1111" s="11">
        <f t="shared" si="1039"/>
        <v>0</v>
      </c>
      <c r="V1111" s="100"/>
    </row>
    <row r="1112" spans="1:23" x14ac:dyDescent="0.15">
      <c r="A1112" s="108"/>
      <c r="B1112" s="8"/>
      <c r="C1112" s="9"/>
      <c r="D1112" s="10"/>
      <c r="E1112" s="49">
        <f t="shared" si="1034"/>
        <v>0</v>
      </c>
      <c r="F1112" s="12"/>
      <c r="G1112" s="9"/>
      <c r="H1112" s="10"/>
      <c r="I1112" s="49">
        <f t="shared" si="1035"/>
        <v>0</v>
      </c>
      <c r="J1112" s="11">
        <f t="shared" si="1036"/>
        <v>0</v>
      </c>
      <c r="K1112" s="62"/>
      <c r="L1112" s="26"/>
      <c r="M1112" s="8"/>
      <c r="N1112" s="9"/>
      <c r="O1112" s="52"/>
      <c r="P1112" s="87">
        <f t="shared" si="1037"/>
        <v>0</v>
      </c>
      <c r="Q1112" s="8"/>
      <c r="R1112" s="9"/>
      <c r="S1112" s="10"/>
      <c r="T1112" s="49">
        <f t="shared" si="1038"/>
        <v>0</v>
      </c>
      <c r="U1112" s="11">
        <f t="shared" si="1039"/>
        <v>0</v>
      </c>
      <c r="V1112" s="100"/>
    </row>
    <row r="1113" spans="1:23" x14ac:dyDescent="0.15">
      <c r="A1113" s="108"/>
      <c r="B1113" s="8"/>
      <c r="C1113" s="9"/>
      <c r="D1113" s="10"/>
      <c r="E1113" s="49">
        <f t="shared" si="1034"/>
        <v>0</v>
      </c>
      <c r="F1113" s="12"/>
      <c r="G1113" s="9"/>
      <c r="H1113" s="10"/>
      <c r="I1113" s="49">
        <f t="shared" si="1035"/>
        <v>0</v>
      </c>
      <c r="J1113" s="11">
        <f t="shared" si="1036"/>
        <v>0</v>
      </c>
      <c r="K1113" s="62"/>
      <c r="L1113" s="26"/>
      <c r="M1113" s="8"/>
      <c r="N1113" s="9"/>
      <c r="O1113" s="52"/>
      <c r="P1113" s="87">
        <f t="shared" si="1037"/>
        <v>0</v>
      </c>
      <c r="Q1113" s="8"/>
      <c r="R1113" s="9"/>
      <c r="S1113" s="10"/>
      <c r="T1113" s="49">
        <f t="shared" si="1038"/>
        <v>0</v>
      </c>
      <c r="U1113" s="11">
        <f t="shared" si="1039"/>
        <v>0</v>
      </c>
      <c r="V1113" s="100"/>
    </row>
    <row r="1114" spans="1:23" x14ac:dyDescent="0.15">
      <c r="A1114" s="108"/>
      <c r="B1114" s="8"/>
      <c r="C1114" s="9"/>
      <c r="D1114" s="10"/>
      <c r="E1114" s="49">
        <f t="shared" si="1034"/>
        <v>0</v>
      </c>
      <c r="F1114" s="12"/>
      <c r="G1114" s="9"/>
      <c r="H1114" s="10"/>
      <c r="I1114" s="49">
        <f t="shared" si="1035"/>
        <v>0</v>
      </c>
      <c r="J1114" s="11">
        <f t="shared" si="1036"/>
        <v>0</v>
      </c>
      <c r="K1114" s="62"/>
      <c r="L1114" s="26"/>
      <c r="M1114" s="8"/>
      <c r="N1114" s="9"/>
      <c r="O1114" s="52"/>
      <c r="P1114" s="87">
        <f t="shared" si="1037"/>
        <v>0</v>
      </c>
      <c r="Q1114" s="8"/>
      <c r="R1114" s="9"/>
      <c r="S1114" s="10"/>
      <c r="T1114" s="49">
        <f t="shared" si="1038"/>
        <v>0</v>
      </c>
      <c r="U1114" s="11">
        <f t="shared" si="1039"/>
        <v>0</v>
      </c>
      <c r="V1114" s="100"/>
    </row>
    <row r="1115" spans="1:23" x14ac:dyDescent="0.15">
      <c r="A1115" s="108"/>
      <c r="B1115" s="8"/>
      <c r="C1115" s="9"/>
      <c r="D1115" s="10"/>
      <c r="E1115" s="49">
        <f t="shared" si="1034"/>
        <v>0</v>
      </c>
      <c r="F1115" s="12"/>
      <c r="G1115" s="9"/>
      <c r="H1115" s="10"/>
      <c r="I1115" s="49">
        <f t="shared" si="1035"/>
        <v>0</v>
      </c>
      <c r="J1115" s="11">
        <f t="shared" si="1036"/>
        <v>0</v>
      </c>
      <c r="K1115" s="62"/>
      <c r="L1115" s="26"/>
      <c r="M1115" s="8"/>
      <c r="N1115" s="9"/>
      <c r="O1115" s="52"/>
      <c r="P1115" s="87">
        <f t="shared" si="1037"/>
        <v>0</v>
      </c>
      <c r="Q1115" s="8"/>
      <c r="R1115" s="9"/>
      <c r="S1115" s="10"/>
      <c r="T1115" s="49">
        <f t="shared" si="1038"/>
        <v>0</v>
      </c>
      <c r="U1115" s="11">
        <f t="shared" si="1039"/>
        <v>0</v>
      </c>
    </row>
    <row r="1116" spans="1:23" x14ac:dyDescent="0.15">
      <c r="A1116" s="108"/>
      <c r="B1116" s="8"/>
      <c r="C1116" s="9"/>
      <c r="D1116" s="10"/>
      <c r="E1116" s="49">
        <f t="shared" si="1034"/>
        <v>0</v>
      </c>
      <c r="F1116" s="12"/>
      <c r="G1116" s="9"/>
      <c r="H1116" s="10"/>
      <c r="I1116" s="49">
        <f t="shared" si="1035"/>
        <v>0</v>
      </c>
      <c r="J1116" s="11">
        <f t="shared" si="1036"/>
        <v>0</v>
      </c>
      <c r="K1116" s="62"/>
      <c r="L1116" s="26"/>
      <c r="M1116" s="8"/>
      <c r="N1116" s="9"/>
      <c r="O1116" s="52"/>
      <c r="P1116" s="87">
        <f t="shared" si="1037"/>
        <v>0</v>
      </c>
      <c r="Q1116" s="8"/>
      <c r="R1116" s="9"/>
      <c r="S1116" s="10"/>
      <c r="T1116" s="49">
        <f t="shared" si="1038"/>
        <v>0</v>
      </c>
      <c r="U1116" s="11">
        <f t="shared" si="1039"/>
        <v>0</v>
      </c>
    </row>
    <row r="1117" spans="1:23" x14ac:dyDescent="0.15">
      <c r="A1117" s="108"/>
      <c r="B1117" s="8"/>
      <c r="C1117" s="9"/>
      <c r="D1117" s="10"/>
      <c r="E1117" s="49">
        <f t="shared" si="1034"/>
        <v>0</v>
      </c>
      <c r="F1117" s="12"/>
      <c r="G1117" s="9"/>
      <c r="H1117" s="10"/>
      <c r="I1117" s="49">
        <f t="shared" si="1035"/>
        <v>0</v>
      </c>
      <c r="J1117" s="11">
        <f t="shared" si="1036"/>
        <v>0</v>
      </c>
      <c r="K1117" s="62"/>
      <c r="L1117" s="26"/>
      <c r="M1117" s="8"/>
      <c r="N1117" s="9"/>
      <c r="O1117" s="52"/>
      <c r="P1117" s="87">
        <f t="shared" si="1037"/>
        <v>0</v>
      </c>
      <c r="Q1117" s="8"/>
      <c r="R1117" s="9"/>
      <c r="S1117" s="10"/>
      <c r="T1117" s="49">
        <f t="shared" si="1038"/>
        <v>0</v>
      </c>
      <c r="U1117" s="11">
        <f t="shared" si="1039"/>
        <v>0</v>
      </c>
    </row>
    <row r="1118" spans="1:23" x14ac:dyDescent="0.15">
      <c r="A1118" s="108"/>
      <c r="B1118" s="8"/>
      <c r="C1118" s="9"/>
      <c r="D1118" s="10"/>
      <c r="E1118" s="49">
        <f t="shared" si="1034"/>
        <v>0</v>
      </c>
      <c r="F1118" s="12"/>
      <c r="G1118" s="9"/>
      <c r="H1118" s="10"/>
      <c r="I1118" s="49">
        <f t="shared" si="1035"/>
        <v>0</v>
      </c>
      <c r="J1118" s="11">
        <f t="shared" si="1036"/>
        <v>0</v>
      </c>
      <c r="K1118" s="62"/>
      <c r="L1118" s="26"/>
      <c r="M1118" s="8"/>
      <c r="N1118" s="9"/>
      <c r="O1118" s="52"/>
      <c r="P1118" s="87">
        <f t="shared" si="1037"/>
        <v>0</v>
      </c>
      <c r="Q1118" s="8"/>
      <c r="R1118" s="9"/>
      <c r="S1118" s="10"/>
      <c r="T1118" s="49">
        <f t="shared" si="1038"/>
        <v>0</v>
      </c>
      <c r="U1118" s="11">
        <f t="shared" si="1039"/>
        <v>0</v>
      </c>
    </row>
    <row r="1119" spans="1:23" x14ac:dyDescent="0.15">
      <c r="A1119" s="108"/>
      <c r="B1119" s="8"/>
      <c r="C1119" s="9"/>
      <c r="D1119" s="10"/>
      <c r="E1119" s="49">
        <f t="shared" si="1034"/>
        <v>0</v>
      </c>
      <c r="F1119" s="12"/>
      <c r="G1119" s="9"/>
      <c r="H1119" s="10"/>
      <c r="I1119" s="49">
        <f t="shared" si="1035"/>
        <v>0</v>
      </c>
      <c r="J1119" s="11">
        <f t="shared" si="1036"/>
        <v>0</v>
      </c>
      <c r="K1119" s="62"/>
      <c r="L1119" s="26"/>
      <c r="M1119" s="8"/>
      <c r="N1119" s="9"/>
      <c r="O1119" s="52"/>
      <c r="P1119" s="87">
        <f t="shared" si="1037"/>
        <v>0</v>
      </c>
      <c r="Q1119" s="8"/>
      <c r="R1119" s="9"/>
      <c r="S1119" s="10"/>
      <c r="T1119" s="49">
        <f t="shared" si="1038"/>
        <v>0</v>
      </c>
      <c r="U1119" s="11">
        <f t="shared" si="1039"/>
        <v>0</v>
      </c>
    </row>
    <row r="1120" spans="1:23" x14ac:dyDescent="0.15">
      <c r="A1120" s="108"/>
      <c r="B1120" s="8"/>
      <c r="C1120" s="9"/>
      <c r="D1120" s="10"/>
      <c r="E1120" s="49">
        <f t="shared" si="1034"/>
        <v>0</v>
      </c>
      <c r="F1120" s="12"/>
      <c r="G1120" s="9"/>
      <c r="H1120" s="10"/>
      <c r="I1120" s="49">
        <f t="shared" si="1035"/>
        <v>0</v>
      </c>
      <c r="J1120" s="11">
        <f t="shared" si="1036"/>
        <v>0</v>
      </c>
      <c r="K1120" s="62"/>
      <c r="L1120" s="26"/>
      <c r="M1120" s="8"/>
      <c r="N1120" s="9"/>
      <c r="O1120" s="52"/>
      <c r="P1120" s="87">
        <f t="shared" si="1037"/>
        <v>0</v>
      </c>
      <c r="Q1120" s="8"/>
      <c r="R1120" s="9"/>
      <c r="S1120" s="10"/>
      <c r="T1120" s="49">
        <f t="shared" si="1038"/>
        <v>0</v>
      </c>
      <c r="U1120" s="11">
        <f t="shared" si="1039"/>
        <v>0</v>
      </c>
    </row>
    <row r="1121" spans="1:22" x14ac:dyDescent="0.15">
      <c r="A1121" s="108"/>
      <c r="B1121" s="8"/>
      <c r="C1121" s="9"/>
      <c r="D1121" s="10"/>
      <c r="E1121" s="49">
        <f t="shared" si="1034"/>
        <v>0</v>
      </c>
      <c r="F1121" s="12"/>
      <c r="G1121" s="9"/>
      <c r="H1121" s="10"/>
      <c r="I1121" s="49">
        <f t="shared" si="1035"/>
        <v>0</v>
      </c>
      <c r="J1121" s="11">
        <f t="shared" si="1036"/>
        <v>0</v>
      </c>
      <c r="K1121" s="62"/>
      <c r="L1121" s="26"/>
      <c r="M1121" s="8"/>
      <c r="N1121" s="9"/>
      <c r="O1121" s="52"/>
      <c r="P1121" s="87">
        <f t="shared" si="1037"/>
        <v>0</v>
      </c>
      <c r="Q1121" s="8"/>
      <c r="R1121" s="9"/>
      <c r="S1121" s="10"/>
      <c r="T1121" s="49">
        <f t="shared" si="1038"/>
        <v>0</v>
      </c>
      <c r="U1121" s="11">
        <f t="shared" si="1039"/>
        <v>0</v>
      </c>
    </row>
    <row r="1122" spans="1:22" x14ac:dyDescent="0.15">
      <c r="A1122" s="108"/>
      <c r="B1122" s="8"/>
      <c r="C1122" s="9"/>
      <c r="D1122" s="10"/>
      <c r="E1122" s="49">
        <f t="shared" si="1034"/>
        <v>0</v>
      </c>
      <c r="F1122" s="12"/>
      <c r="G1122" s="9"/>
      <c r="H1122" s="10"/>
      <c r="I1122" s="49">
        <f t="shared" si="1035"/>
        <v>0</v>
      </c>
      <c r="J1122" s="11">
        <f t="shared" si="1036"/>
        <v>0</v>
      </c>
      <c r="K1122" s="62"/>
      <c r="L1122" s="26"/>
      <c r="M1122" s="8"/>
      <c r="N1122" s="9"/>
      <c r="O1122" s="52"/>
      <c r="P1122" s="87">
        <f t="shared" si="1037"/>
        <v>0</v>
      </c>
      <c r="Q1122" s="8"/>
      <c r="R1122" s="9"/>
      <c r="S1122" s="10"/>
      <c r="T1122" s="49">
        <f t="shared" si="1038"/>
        <v>0</v>
      </c>
      <c r="U1122" s="11">
        <f t="shared" si="1039"/>
        <v>0</v>
      </c>
    </row>
    <row r="1123" spans="1:22" x14ac:dyDescent="0.15">
      <c r="A1123" s="108"/>
      <c r="B1123" s="8"/>
      <c r="C1123" s="9"/>
      <c r="D1123" s="10"/>
      <c r="E1123" s="49">
        <f t="shared" si="1034"/>
        <v>0</v>
      </c>
      <c r="F1123" s="12"/>
      <c r="G1123" s="9"/>
      <c r="H1123" s="10"/>
      <c r="I1123" s="49">
        <f t="shared" si="1035"/>
        <v>0</v>
      </c>
      <c r="J1123" s="11">
        <f t="shared" si="1036"/>
        <v>0</v>
      </c>
      <c r="K1123" s="62"/>
      <c r="L1123" s="26"/>
      <c r="M1123" s="8"/>
      <c r="N1123" s="9"/>
      <c r="O1123" s="52"/>
      <c r="P1123" s="87">
        <f t="shared" si="1037"/>
        <v>0</v>
      </c>
      <c r="Q1123" s="8"/>
      <c r="R1123" s="9"/>
      <c r="S1123" s="10"/>
      <c r="T1123" s="49">
        <f t="shared" si="1038"/>
        <v>0</v>
      </c>
      <c r="U1123" s="11">
        <f t="shared" si="1039"/>
        <v>0</v>
      </c>
    </row>
    <row r="1124" spans="1:22" x14ac:dyDescent="0.15">
      <c r="A1124" s="108"/>
      <c r="B1124" s="8"/>
      <c r="C1124" s="9"/>
      <c r="D1124" s="10"/>
      <c r="E1124" s="49">
        <f t="shared" si="1034"/>
        <v>0</v>
      </c>
      <c r="F1124" s="12"/>
      <c r="G1124" s="9"/>
      <c r="H1124" s="10"/>
      <c r="I1124" s="49">
        <f t="shared" si="1035"/>
        <v>0</v>
      </c>
      <c r="J1124" s="11">
        <f t="shared" si="1036"/>
        <v>0</v>
      </c>
      <c r="K1124" s="62"/>
      <c r="L1124" s="26"/>
      <c r="M1124" s="8"/>
      <c r="N1124" s="9"/>
      <c r="O1124" s="52"/>
      <c r="P1124" s="87">
        <f t="shared" si="1037"/>
        <v>0</v>
      </c>
      <c r="Q1124" s="8"/>
      <c r="R1124" s="9"/>
      <c r="S1124" s="10"/>
      <c r="T1124" s="49">
        <f t="shared" si="1038"/>
        <v>0</v>
      </c>
      <c r="U1124" s="11">
        <f t="shared" si="1039"/>
        <v>0</v>
      </c>
    </row>
    <row r="1125" spans="1:22" x14ac:dyDescent="0.15">
      <c r="A1125" s="108"/>
      <c r="B1125" s="8"/>
      <c r="C1125" s="9"/>
      <c r="D1125" s="10"/>
      <c r="E1125" s="49">
        <f t="shared" si="1034"/>
        <v>0</v>
      </c>
      <c r="F1125" s="12"/>
      <c r="G1125" s="9"/>
      <c r="H1125" s="10"/>
      <c r="I1125" s="49">
        <f t="shared" si="1035"/>
        <v>0</v>
      </c>
      <c r="J1125" s="11">
        <f t="shared" si="1036"/>
        <v>0</v>
      </c>
      <c r="K1125" s="62"/>
      <c r="L1125" s="26"/>
      <c r="M1125" s="8"/>
      <c r="N1125" s="9"/>
      <c r="O1125" s="52"/>
      <c r="P1125" s="87">
        <f t="shared" si="1037"/>
        <v>0</v>
      </c>
      <c r="Q1125" s="8"/>
      <c r="R1125" s="9"/>
      <c r="S1125" s="10"/>
      <c r="T1125" s="49">
        <f t="shared" si="1038"/>
        <v>0</v>
      </c>
      <c r="U1125" s="11">
        <f t="shared" si="1039"/>
        <v>0</v>
      </c>
    </row>
    <row r="1126" spans="1:22" x14ac:dyDescent="0.15">
      <c r="A1126" s="108"/>
      <c r="B1126" s="8"/>
      <c r="C1126" s="9"/>
      <c r="D1126" s="10"/>
      <c r="E1126" s="49">
        <f t="shared" si="1034"/>
        <v>0</v>
      </c>
      <c r="F1126" s="12"/>
      <c r="G1126" s="9"/>
      <c r="H1126" s="10"/>
      <c r="I1126" s="49">
        <f t="shared" si="1035"/>
        <v>0</v>
      </c>
      <c r="J1126" s="11">
        <f t="shared" si="1036"/>
        <v>0</v>
      </c>
      <c r="K1126" s="62"/>
      <c r="L1126" s="26"/>
      <c r="M1126" s="8"/>
      <c r="N1126" s="9"/>
      <c r="O1126" s="52"/>
      <c r="P1126" s="87">
        <f t="shared" si="1037"/>
        <v>0</v>
      </c>
      <c r="Q1126" s="8"/>
      <c r="R1126" s="9"/>
      <c r="S1126" s="10"/>
      <c r="T1126" s="49">
        <f t="shared" si="1038"/>
        <v>0</v>
      </c>
      <c r="U1126" s="11">
        <f t="shared" si="1039"/>
        <v>0</v>
      </c>
    </row>
    <row r="1127" spans="1:22" x14ac:dyDescent="0.15">
      <c r="A1127" s="108"/>
      <c r="B1127" s="8"/>
      <c r="C1127" s="9"/>
      <c r="D1127" s="10"/>
      <c r="E1127" s="49">
        <f t="shared" si="1034"/>
        <v>0</v>
      </c>
      <c r="F1127" s="12"/>
      <c r="G1127" s="9"/>
      <c r="H1127" s="10"/>
      <c r="I1127" s="49">
        <f t="shared" si="1035"/>
        <v>0</v>
      </c>
      <c r="J1127" s="11">
        <f t="shared" si="1036"/>
        <v>0</v>
      </c>
      <c r="K1127" s="62"/>
      <c r="L1127" s="26"/>
      <c r="M1127" s="8"/>
      <c r="N1127" s="9"/>
      <c r="O1127" s="52"/>
      <c r="P1127" s="87">
        <f t="shared" ref="P1127:P1130" si="1043">SUM(M1127:O1127)</f>
        <v>0</v>
      </c>
      <c r="Q1127" s="8"/>
      <c r="R1127" s="9"/>
      <c r="S1127" s="10"/>
      <c r="T1127" s="49">
        <f t="shared" ref="T1127:T1130" si="1044">SUM(Q1127:S1127)</f>
        <v>0</v>
      </c>
      <c r="U1127" s="11">
        <f t="shared" ref="U1127:U1129" si="1045">P1127+T1127</f>
        <v>0</v>
      </c>
    </row>
    <row r="1128" spans="1:22" x14ac:dyDescent="0.15">
      <c r="A1128" s="108"/>
      <c r="B1128" s="8"/>
      <c r="C1128" s="9"/>
      <c r="D1128" s="10"/>
      <c r="E1128" s="49">
        <f t="shared" si="1034"/>
        <v>0</v>
      </c>
      <c r="F1128" s="12"/>
      <c r="G1128" s="9"/>
      <c r="H1128" s="10"/>
      <c r="I1128" s="49">
        <f t="shared" si="1035"/>
        <v>0</v>
      </c>
      <c r="J1128" s="11">
        <f t="shared" si="1036"/>
        <v>0</v>
      </c>
      <c r="K1128" s="62"/>
      <c r="L1128" s="26"/>
      <c r="M1128" s="8"/>
      <c r="N1128" s="9"/>
      <c r="O1128" s="52"/>
      <c r="P1128" s="87">
        <f t="shared" si="1043"/>
        <v>0</v>
      </c>
      <c r="Q1128" s="8"/>
      <c r="R1128" s="9"/>
      <c r="S1128" s="10"/>
      <c r="T1128" s="49">
        <f t="shared" si="1044"/>
        <v>0</v>
      </c>
      <c r="U1128" s="11">
        <f t="shared" si="1045"/>
        <v>0</v>
      </c>
    </row>
    <row r="1129" spans="1:22" ht="14.25" thickBot="1" x14ac:dyDescent="0.2">
      <c r="A1129" s="108"/>
      <c r="B1129" s="8"/>
      <c r="C1129" s="9"/>
      <c r="D1129" s="10"/>
      <c r="E1129" s="49">
        <f t="shared" ref="E1129" si="1046">SUM(B1129:D1129)</f>
        <v>0</v>
      </c>
      <c r="F1129" s="12"/>
      <c r="G1129" s="9"/>
      <c r="H1129" s="10"/>
      <c r="I1129" s="49">
        <f t="shared" ref="I1129" si="1047">SUM(F1129:H1129)</f>
        <v>0</v>
      </c>
      <c r="J1129" s="11">
        <f t="shared" ref="J1129" si="1048">E1129+I1129</f>
        <v>0</v>
      </c>
      <c r="K1129" s="62"/>
      <c r="L1129" s="26"/>
      <c r="M1129" s="8"/>
      <c r="N1129" s="9"/>
      <c r="O1129" s="52"/>
      <c r="P1129" s="87">
        <f t="shared" si="1043"/>
        <v>0</v>
      </c>
      <c r="Q1129" s="8"/>
      <c r="R1129" s="9"/>
      <c r="S1129" s="10"/>
      <c r="T1129" s="49">
        <f t="shared" si="1044"/>
        <v>0</v>
      </c>
      <c r="U1129" s="11">
        <f t="shared" si="1045"/>
        <v>0</v>
      </c>
    </row>
    <row r="1130" spans="1:22" ht="14.25" thickBot="1" x14ac:dyDescent="0.2">
      <c r="A1130" s="41" t="s">
        <v>17</v>
      </c>
      <c r="B1130" s="46">
        <f>SUM(B1104:B1129)</f>
        <v>3</v>
      </c>
      <c r="C1130" s="47">
        <f t="shared" ref="C1130:D1130" si="1049">SUM(C1104:C1129)</f>
        <v>3</v>
      </c>
      <c r="D1130" s="58">
        <f t="shared" si="1049"/>
        <v>3</v>
      </c>
      <c r="E1130" s="45">
        <f t="shared" si="1034"/>
        <v>9</v>
      </c>
      <c r="F1130" s="46">
        <f>SUM(F1104:F1129)</f>
        <v>5</v>
      </c>
      <c r="G1130" s="47">
        <f t="shared" ref="G1130:H1130" si="1050">SUM(G1104:G1129)</f>
        <v>2</v>
      </c>
      <c r="H1130" s="58">
        <f t="shared" si="1050"/>
        <v>5</v>
      </c>
      <c r="I1130" s="45">
        <f t="shared" si="1035"/>
        <v>12</v>
      </c>
      <c r="J1130" s="45">
        <f>E1130+I1130</f>
        <v>21</v>
      </c>
      <c r="L1130" s="41" t="s">
        <v>17</v>
      </c>
      <c r="M1130" s="46">
        <f>SUM(M1104:M1129)</f>
        <v>1</v>
      </c>
      <c r="N1130" s="47">
        <f t="shared" ref="N1130:O1130" si="1051">SUM(N1104:N1129)</f>
        <v>3</v>
      </c>
      <c r="O1130" s="58">
        <f t="shared" si="1051"/>
        <v>3</v>
      </c>
      <c r="P1130" s="45">
        <f t="shared" si="1043"/>
        <v>7</v>
      </c>
      <c r="Q1130" s="46">
        <f>SUM(Q1104:Q1129)</f>
        <v>3</v>
      </c>
      <c r="R1130" s="47">
        <f t="shared" ref="R1130:S1130" si="1052">SUM(R1104:R1129)</f>
        <v>2</v>
      </c>
      <c r="S1130" s="58">
        <f t="shared" si="1052"/>
        <v>3</v>
      </c>
      <c r="T1130" s="45">
        <f t="shared" si="1044"/>
        <v>8</v>
      </c>
      <c r="U1130" s="45">
        <f>P1130+T1130</f>
        <v>15</v>
      </c>
    </row>
    <row r="1131" spans="1:22" ht="14.25" thickBot="1" x14ac:dyDescent="0.2">
      <c r="A1131" s="22" t="s">
        <v>16</v>
      </c>
      <c r="B1131" s="50">
        <f>B1103-B1130</f>
        <v>0</v>
      </c>
      <c r="C1131" s="56">
        <f t="shared" ref="C1131:D1131" si="1053">C1103-C1130</f>
        <v>0</v>
      </c>
      <c r="D1131" s="57">
        <f t="shared" si="1053"/>
        <v>1</v>
      </c>
      <c r="E1131" s="55">
        <f>SUM(B1131:D1131)</f>
        <v>1</v>
      </c>
      <c r="F1131" s="50">
        <f>F1103-F1130</f>
        <v>0</v>
      </c>
      <c r="G1131" s="56">
        <f t="shared" ref="G1131:H1131" si="1054">G1103-G1130</f>
        <v>0</v>
      </c>
      <c r="H1131" s="57">
        <f t="shared" si="1054"/>
        <v>1</v>
      </c>
      <c r="I1131" s="55">
        <f>SUM(F1131:H1131)</f>
        <v>1</v>
      </c>
      <c r="J1131" s="31">
        <f>E1131+I1131</f>
        <v>2</v>
      </c>
      <c r="L1131" s="22" t="s">
        <v>16</v>
      </c>
      <c r="M1131" s="50">
        <f>M1103-M1130</f>
        <v>4</v>
      </c>
      <c r="N1131" s="56">
        <f t="shared" ref="N1131:O1131" si="1055">N1103-N1130</f>
        <v>12</v>
      </c>
      <c r="O1131" s="57">
        <f t="shared" si="1055"/>
        <v>39</v>
      </c>
      <c r="P1131" s="55">
        <f>SUM(M1131:O1131)</f>
        <v>55</v>
      </c>
      <c r="Q1131" s="50">
        <f>Q1103-Q1130</f>
        <v>4</v>
      </c>
      <c r="R1131" s="56">
        <f t="shared" ref="R1131:S1131" si="1056">R1103-R1130</f>
        <v>12</v>
      </c>
      <c r="S1131" s="57">
        <f t="shared" si="1056"/>
        <v>39</v>
      </c>
      <c r="T1131" s="55">
        <f>SUM(Q1131:S1131)</f>
        <v>55</v>
      </c>
      <c r="U1131" s="31">
        <f>P1131+T1131</f>
        <v>110</v>
      </c>
      <c r="V1131" s="97" t="s">
        <v>932</v>
      </c>
    </row>
    <row r="1132" spans="1:22" s="151" customFormat="1" ht="35.25" customHeight="1" x14ac:dyDescent="0.15">
      <c r="A1132" s="180" t="s">
        <v>941</v>
      </c>
      <c r="B1132" s="180"/>
      <c r="C1132" s="180"/>
      <c r="D1132" s="180"/>
      <c r="E1132" s="180"/>
      <c r="F1132" s="180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80"/>
    </row>
    <row r="1133" spans="1:22" ht="15.75" customHeight="1" x14ac:dyDescent="0.2">
      <c r="A1133" s="3"/>
      <c r="L1133" s="3"/>
    </row>
    <row r="1134" spans="1:22" ht="19.5" thickBot="1" x14ac:dyDescent="0.25">
      <c r="A1134" s="3" t="s">
        <v>908</v>
      </c>
      <c r="L1134" s="129" t="s">
        <v>680</v>
      </c>
    </row>
    <row r="1135" spans="1:22" ht="14.25" thickBot="1" x14ac:dyDescent="0.2">
      <c r="A1135" s="7"/>
      <c r="B1135" s="176" t="s">
        <v>22</v>
      </c>
      <c r="C1135" s="177"/>
      <c r="D1135" s="177"/>
      <c r="E1135" s="178"/>
      <c r="F1135" s="176" t="s">
        <v>23</v>
      </c>
      <c r="G1135" s="177"/>
      <c r="H1135" s="177"/>
      <c r="I1135" s="179"/>
      <c r="J1135" s="174" t="s">
        <v>0</v>
      </c>
      <c r="L1135" s="7"/>
      <c r="M1135" s="169" t="s">
        <v>22</v>
      </c>
      <c r="N1135" s="170"/>
      <c r="O1135" s="170"/>
      <c r="P1135" s="171"/>
      <c r="Q1135" s="169" t="s">
        <v>23</v>
      </c>
      <c r="R1135" s="170"/>
      <c r="S1135" s="170"/>
      <c r="T1135" s="171"/>
      <c r="U1135" s="174" t="s">
        <v>0</v>
      </c>
    </row>
    <row r="1136" spans="1:22" ht="14.25" thickBot="1" x14ac:dyDescent="0.2">
      <c r="A1136" s="7" t="s">
        <v>1</v>
      </c>
      <c r="B1136" s="4" t="s">
        <v>2</v>
      </c>
      <c r="C1136" s="5" t="s">
        <v>3</v>
      </c>
      <c r="D1136" s="6" t="s">
        <v>4</v>
      </c>
      <c r="E1136" s="7" t="s">
        <v>5</v>
      </c>
      <c r="F1136" s="4" t="s">
        <v>2</v>
      </c>
      <c r="G1136" s="5" t="s">
        <v>3</v>
      </c>
      <c r="H1136" s="6" t="s">
        <v>4</v>
      </c>
      <c r="I1136" s="7" t="s">
        <v>5</v>
      </c>
      <c r="J1136" s="175"/>
      <c r="L1136" s="7" t="s">
        <v>1</v>
      </c>
      <c r="M1136" s="4" t="s">
        <v>2</v>
      </c>
      <c r="N1136" s="5" t="s">
        <v>3</v>
      </c>
      <c r="O1136" s="6" t="s">
        <v>4</v>
      </c>
      <c r="P1136" s="7" t="s">
        <v>5</v>
      </c>
      <c r="Q1136" s="4" t="s">
        <v>2</v>
      </c>
      <c r="R1136" s="5" t="s">
        <v>3</v>
      </c>
      <c r="S1136" s="6" t="s">
        <v>4</v>
      </c>
      <c r="T1136" s="7" t="s">
        <v>5</v>
      </c>
      <c r="U1136" s="175"/>
    </row>
    <row r="1137" spans="1:24" ht="14.25" thickBot="1" x14ac:dyDescent="0.2">
      <c r="A1137" s="27" t="s">
        <v>16</v>
      </c>
      <c r="B1137" s="28">
        <f t="shared" ref="B1137:I1137" si="1057">B1131</f>
        <v>0</v>
      </c>
      <c r="C1137" s="29">
        <f t="shared" si="1057"/>
        <v>0</v>
      </c>
      <c r="D1137" s="30">
        <f t="shared" si="1057"/>
        <v>1</v>
      </c>
      <c r="E1137" s="31">
        <f t="shared" si="1057"/>
        <v>1</v>
      </c>
      <c r="F1137" s="28">
        <f t="shared" si="1057"/>
        <v>0</v>
      </c>
      <c r="G1137" s="29">
        <f t="shared" si="1057"/>
        <v>0</v>
      </c>
      <c r="H1137" s="30">
        <f t="shared" si="1057"/>
        <v>1</v>
      </c>
      <c r="I1137" s="31">
        <f t="shared" si="1057"/>
        <v>1</v>
      </c>
      <c r="J1137" s="31">
        <f>E1137+I1137</f>
        <v>2</v>
      </c>
      <c r="L1137" s="27" t="s">
        <v>16</v>
      </c>
      <c r="M1137" s="50">
        <f t="shared" ref="M1137:U1137" si="1058">M1131</f>
        <v>4</v>
      </c>
      <c r="N1137" s="56">
        <f t="shared" si="1058"/>
        <v>12</v>
      </c>
      <c r="O1137" s="57">
        <f t="shared" si="1058"/>
        <v>39</v>
      </c>
      <c r="P1137" s="55">
        <f t="shared" si="1058"/>
        <v>55</v>
      </c>
      <c r="Q1137" s="50">
        <f t="shared" si="1058"/>
        <v>4</v>
      </c>
      <c r="R1137" s="56">
        <f t="shared" si="1058"/>
        <v>12</v>
      </c>
      <c r="S1137" s="57">
        <f t="shared" si="1058"/>
        <v>39</v>
      </c>
      <c r="T1137" s="55">
        <f t="shared" si="1058"/>
        <v>55</v>
      </c>
      <c r="U1137" s="31">
        <f t="shared" si="1058"/>
        <v>110</v>
      </c>
    </row>
    <row r="1138" spans="1:24" x14ac:dyDescent="0.15">
      <c r="A1138" s="25" t="s">
        <v>7</v>
      </c>
      <c r="B1138" s="8"/>
      <c r="C1138" s="9"/>
      <c r="D1138" s="52"/>
      <c r="E1138" s="11">
        <f t="shared" ref="E1138:E1145" si="1059">SUM(B1138:D1138)</f>
        <v>0</v>
      </c>
      <c r="F1138" s="12"/>
      <c r="G1138" s="9"/>
      <c r="H1138" s="10"/>
      <c r="I1138" s="11">
        <f t="shared" ref="I1138:I1145" si="1060">SUM(F1138:H1138)</f>
        <v>0</v>
      </c>
      <c r="J1138" s="11">
        <f t="shared" ref="J1138:J1145" si="1061">E1138+I1138</f>
        <v>0</v>
      </c>
      <c r="L1138" s="25" t="s">
        <v>7</v>
      </c>
      <c r="M1138" s="8"/>
      <c r="N1138" s="9"/>
      <c r="O1138" s="52"/>
      <c r="P1138" s="11">
        <f t="shared" ref="P1138:P1139" si="1062">SUM(M1138:O1138)</f>
        <v>0</v>
      </c>
      <c r="Q1138" s="12"/>
      <c r="R1138" s="9"/>
      <c r="S1138" s="10"/>
      <c r="T1138" s="11">
        <f t="shared" ref="T1138:T1139" si="1063">SUM(Q1138:S1138)</f>
        <v>0</v>
      </c>
      <c r="U1138" s="11">
        <f t="shared" ref="U1138:U1139" si="1064">P1138+T1138</f>
        <v>0</v>
      </c>
    </row>
    <row r="1139" spans="1:24" x14ac:dyDescent="0.15">
      <c r="A1139" s="25" t="s">
        <v>8</v>
      </c>
      <c r="B1139" s="8"/>
      <c r="C1139" s="9"/>
      <c r="D1139" s="52"/>
      <c r="E1139" s="11">
        <f t="shared" si="1059"/>
        <v>0</v>
      </c>
      <c r="F1139" s="12"/>
      <c r="G1139" s="9"/>
      <c r="H1139" s="10"/>
      <c r="I1139" s="11">
        <f t="shared" si="1060"/>
        <v>0</v>
      </c>
      <c r="J1139" s="11">
        <f t="shared" si="1061"/>
        <v>0</v>
      </c>
      <c r="L1139" s="25" t="s">
        <v>936</v>
      </c>
      <c r="M1139" s="8">
        <v>100</v>
      </c>
      <c r="N1139" s="9">
        <v>120</v>
      </c>
      <c r="O1139" s="52">
        <v>50</v>
      </c>
      <c r="P1139" s="11">
        <f t="shared" si="1062"/>
        <v>270</v>
      </c>
      <c r="Q1139" s="8">
        <v>100</v>
      </c>
      <c r="R1139" s="9">
        <v>120</v>
      </c>
      <c r="S1139" s="52">
        <v>50</v>
      </c>
      <c r="T1139" s="11">
        <f t="shared" si="1063"/>
        <v>270</v>
      </c>
      <c r="U1139" s="11">
        <f t="shared" si="1064"/>
        <v>540</v>
      </c>
      <c r="V1139" s="98" t="s">
        <v>944</v>
      </c>
      <c r="W1139" s="66" t="s">
        <v>937</v>
      </c>
    </row>
    <row r="1140" spans="1:24" x14ac:dyDescent="0.15">
      <c r="A1140" s="25" t="s">
        <v>9</v>
      </c>
      <c r="B1140" s="8"/>
      <c r="C1140" s="9"/>
      <c r="D1140" s="52"/>
      <c r="E1140" s="11">
        <f t="shared" si="1059"/>
        <v>0</v>
      </c>
      <c r="F1140" s="12"/>
      <c r="G1140" s="9"/>
      <c r="H1140" s="10"/>
      <c r="I1140" s="11">
        <f t="shared" si="1060"/>
        <v>0</v>
      </c>
      <c r="J1140" s="11">
        <f t="shared" si="1061"/>
        <v>0</v>
      </c>
      <c r="L1140" s="25" t="s">
        <v>676</v>
      </c>
      <c r="M1140" s="8"/>
      <c r="N1140" s="9">
        <v>30</v>
      </c>
      <c r="O1140" s="52">
        <v>50</v>
      </c>
      <c r="P1140" s="11">
        <f t="shared" ref="P1140:P1144" si="1065">SUM(M1140:O1140)</f>
        <v>80</v>
      </c>
      <c r="Q1140" s="8"/>
      <c r="R1140" s="9">
        <v>30</v>
      </c>
      <c r="S1140" s="52">
        <v>50</v>
      </c>
      <c r="T1140" s="11">
        <f t="shared" ref="T1140:T1144" si="1066">SUM(Q1140:S1140)</f>
        <v>80</v>
      </c>
      <c r="U1140" s="11">
        <f t="shared" ref="U1140:U1144" si="1067">P1140+T1140</f>
        <v>160</v>
      </c>
      <c r="V1140" s="98">
        <v>45909</v>
      </c>
      <c r="W1140" s="66"/>
    </row>
    <row r="1141" spans="1:24" x14ac:dyDescent="0.15">
      <c r="A1141" s="25" t="s">
        <v>10</v>
      </c>
      <c r="B1141" s="8"/>
      <c r="C1141" s="9"/>
      <c r="D1141" s="52"/>
      <c r="E1141" s="11">
        <f t="shared" si="1059"/>
        <v>0</v>
      </c>
      <c r="F1141" s="12"/>
      <c r="G1141" s="9"/>
      <c r="H1141" s="10"/>
      <c r="I1141" s="11">
        <f t="shared" si="1060"/>
        <v>0</v>
      </c>
      <c r="J1141" s="11">
        <f t="shared" si="1061"/>
        <v>0</v>
      </c>
      <c r="L1141" s="25" t="s">
        <v>10</v>
      </c>
      <c r="M1141" s="8"/>
      <c r="N1141" s="9"/>
      <c r="O1141" s="52"/>
      <c r="P1141" s="11">
        <f t="shared" si="1065"/>
        <v>0</v>
      </c>
      <c r="Q1141" s="8"/>
      <c r="R1141" s="9"/>
      <c r="S1141" s="52"/>
      <c r="T1141" s="11">
        <f t="shared" si="1066"/>
        <v>0</v>
      </c>
      <c r="U1141" s="11">
        <f t="shared" si="1067"/>
        <v>0</v>
      </c>
      <c r="V1141" s="98"/>
    </row>
    <row r="1142" spans="1:24" x14ac:dyDescent="0.15">
      <c r="A1142" s="25" t="s">
        <v>11</v>
      </c>
      <c r="B1142" s="8"/>
      <c r="C1142" s="9"/>
      <c r="D1142" s="52"/>
      <c r="E1142" s="11">
        <f t="shared" si="1059"/>
        <v>0</v>
      </c>
      <c r="F1142" s="12"/>
      <c r="G1142" s="9"/>
      <c r="H1142" s="10"/>
      <c r="I1142" s="11">
        <f t="shared" si="1060"/>
        <v>0</v>
      </c>
      <c r="J1142" s="11">
        <f t="shared" si="1061"/>
        <v>0</v>
      </c>
      <c r="L1142" s="25" t="s">
        <v>11</v>
      </c>
      <c r="M1142" s="8"/>
      <c r="N1142" s="9"/>
      <c r="O1142" s="52"/>
      <c r="P1142" s="11">
        <f t="shared" ref="P1142:P1143" si="1068">SUM(M1142:O1142)</f>
        <v>0</v>
      </c>
      <c r="Q1142" s="8"/>
      <c r="R1142" s="9"/>
      <c r="S1142" s="52"/>
      <c r="T1142" s="11">
        <f t="shared" ref="T1142:T1143" si="1069">SUM(Q1142:S1142)</f>
        <v>0</v>
      </c>
      <c r="U1142" s="11">
        <f t="shared" ref="U1142:U1143" si="1070">P1142+T1142</f>
        <v>0</v>
      </c>
      <c r="V1142" s="98"/>
    </row>
    <row r="1143" spans="1:24" x14ac:dyDescent="0.15">
      <c r="A1143" s="25" t="s">
        <v>12</v>
      </c>
      <c r="B1143" s="8"/>
      <c r="C1143" s="9"/>
      <c r="D1143" s="52"/>
      <c r="E1143" s="11">
        <f t="shared" si="1059"/>
        <v>0</v>
      </c>
      <c r="F1143" s="12"/>
      <c r="G1143" s="9"/>
      <c r="H1143" s="10"/>
      <c r="I1143" s="11">
        <f t="shared" si="1060"/>
        <v>0</v>
      </c>
      <c r="J1143" s="11">
        <f t="shared" si="1061"/>
        <v>0</v>
      </c>
      <c r="L1143" s="25" t="s">
        <v>12</v>
      </c>
      <c r="M1143" s="8"/>
      <c r="N1143" s="9"/>
      <c r="O1143" s="52"/>
      <c r="P1143" s="11">
        <f t="shared" si="1068"/>
        <v>0</v>
      </c>
      <c r="Q1143" s="8"/>
      <c r="R1143" s="9"/>
      <c r="S1143" s="52"/>
      <c r="T1143" s="11">
        <f t="shared" si="1069"/>
        <v>0</v>
      </c>
      <c r="U1143" s="11">
        <f t="shared" si="1070"/>
        <v>0</v>
      </c>
      <c r="V1143" s="98"/>
    </row>
    <row r="1144" spans="1:24" x14ac:dyDescent="0.15">
      <c r="A1144" s="25" t="s">
        <v>13</v>
      </c>
      <c r="B1144" s="13"/>
      <c r="C1144" s="14"/>
      <c r="D1144" s="53"/>
      <c r="E1144" s="11">
        <f t="shared" si="1059"/>
        <v>0</v>
      </c>
      <c r="F1144" s="16"/>
      <c r="G1144" s="14"/>
      <c r="H1144" s="15"/>
      <c r="I1144" s="11">
        <f t="shared" si="1060"/>
        <v>0</v>
      </c>
      <c r="J1144" s="11">
        <f t="shared" si="1061"/>
        <v>0</v>
      </c>
      <c r="L1144" s="25" t="s">
        <v>13</v>
      </c>
      <c r="M1144" s="8"/>
      <c r="N1144" s="9"/>
      <c r="O1144" s="52"/>
      <c r="P1144" s="11">
        <f t="shared" si="1065"/>
        <v>0</v>
      </c>
      <c r="Q1144" s="12"/>
      <c r="R1144" s="9"/>
      <c r="S1144" s="10"/>
      <c r="T1144" s="11">
        <f t="shared" si="1066"/>
        <v>0</v>
      </c>
      <c r="U1144" s="11">
        <f t="shared" si="1067"/>
        <v>0</v>
      </c>
    </row>
    <row r="1145" spans="1:24" ht="14.25" thickBot="1" x14ac:dyDescent="0.2">
      <c r="A1145" s="25" t="s">
        <v>14</v>
      </c>
      <c r="B1145" s="32"/>
      <c r="C1145" s="33"/>
      <c r="D1145" s="54"/>
      <c r="E1145" s="61">
        <f t="shared" si="1059"/>
        <v>0</v>
      </c>
      <c r="F1145" s="34"/>
      <c r="G1145" s="34"/>
      <c r="H1145" s="37"/>
      <c r="I1145" s="61">
        <f t="shared" si="1060"/>
        <v>0</v>
      </c>
      <c r="J1145" s="21">
        <f t="shared" si="1061"/>
        <v>0</v>
      </c>
      <c r="L1145" s="25" t="s">
        <v>14</v>
      </c>
      <c r="M1145" s="8"/>
      <c r="N1145" s="9"/>
      <c r="O1145" s="52"/>
      <c r="P1145" s="11">
        <f t="shared" ref="P1145" si="1071">SUM(M1145:O1145)</f>
        <v>0</v>
      </c>
      <c r="Q1145" s="12"/>
      <c r="R1145" s="9"/>
      <c r="S1145" s="10"/>
      <c r="T1145" s="11">
        <f t="shared" ref="T1145" si="1072">SUM(Q1145:S1145)</f>
        <v>0</v>
      </c>
      <c r="U1145" s="11">
        <f t="shared" ref="U1145" si="1073">P1145+T1145</f>
        <v>0</v>
      </c>
    </row>
    <row r="1146" spans="1:24" ht="14.25" thickBot="1" x14ac:dyDescent="0.2">
      <c r="A1146" s="35" t="s">
        <v>15</v>
      </c>
      <c r="B1146" s="28">
        <f>SUM(B1137:B1145)</f>
        <v>0</v>
      </c>
      <c r="C1146" s="29">
        <f>SUM(C1137:C1145)</f>
        <v>0</v>
      </c>
      <c r="D1146" s="30">
        <f>SUM(D1137:D1145)</f>
        <v>1</v>
      </c>
      <c r="E1146" s="31">
        <f>SUM(B1146:D1146)</f>
        <v>1</v>
      </c>
      <c r="F1146" s="28">
        <f>SUM(F1137:F1145)</f>
        <v>0</v>
      </c>
      <c r="G1146" s="29">
        <f>SUM(G1137:G1145)</f>
        <v>0</v>
      </c>
      <c r="H1146" s="30">
        <f>SUM(H1137:H1145)</f>
        <v>1</v>
      </c>
      <c r="I1146" s="31">
        <f>SUM(F1146:H1146)</f>
        <v>1</v>
      </c>
      <c r="J1146" s="31">
        <f>E1146+I1146</f>
        <v>2</v>
      </c>
      <c r="L1146" s="35" t="s">
        <v>15</v>
      </c>
      <c r="M1146" s="28">
        <f>SUM(M1137:M1145)</f>
        <v>104</v>
      </c>
      <c r="N1146" s="29">
        <f>SUM(N1137:N1145)</f>
        <v>162</v>
      </c>
      <c r="O1146" s="30">
        <f>SUM(O1137:O1145)</f>
        <v>139</v>
      </c>
      <c r="P1146" s="31">
        <f>SUM(M1146:O1146)</f>
        <v>405</v>
      </c>
      <c r="Q1146" s="28">
        <f>SUM(Q1137:Q1145)</f>
        <v>104</v>
      </c>
      <c r="R1146" s="29">
        <f>SUM(R1137:R1145)</f>
        <v>162</v>
      </c>
      <c r="S1146" s="30">
        <f>SUM(S1137:S1145)</f>
        <v>139</v>
      </c>
      <c r="T1146" s="31">
        <f>SUM(Q1146:S1146)</f>
        <v>405</v>
      </c>
      <c r="U1146" s="31">
        <f>P1146+T1146</f>
        <v>810</v>
      </c>
    </row>
    <row r="1147" spans="1:24" x14ac:dyDescent="0.15">
      <c r="A1147" s="108"/>
      <c r="B1147" s="8"/>
      <c r="C1147" s="9"/>
      <c r="D1147" s="10"/>
      <c r="E1147" s="49">
        <f t="shared" ref="E1147:E1150" si="1074">SUM(B1147:D1147)</f>
        <v>0</v>
      </c>
      <c r="F1147" s="12"/>
      <c r="G1147" s="9"/>
      <c r="H1147" s="10"/>
      <c r="I1147" s="49">
        <f t="shared" ref="I1147:I1150" si="1075">SUM(F1147:H1147)</f>
        <v>0</v>
      </c>
      <c r="J1147" s="11">
        <f t="shared" ref="J1147:J1150" si="1076">E1147+I1147</f>
        <v>0</v>
      </c>
      <c r="K1147" s="62"/>
      <c r="L1147" s="26" t="s">
        <v>110</v>
      </c>
      <c r="M1147" s="8">
        <v>1</v>
      </c>
      <c r="N1147" s="9"/>
      <c r="O1147" s="52"/>
      <c r="P1147" s="87">
        <f t="shared" ref="P1147:P1151" si="1077">SUM(M1147:O1147)</f>
        <v>1</v>
      </c>
      <c r="Q1147" s="8">
        <v>1</v>
      </c>
      <c r="R1147" s="9"/>
      <c r="S1147" s="10"/>
      <c r="T1147" s="49">
        <f t="shared" ref="T1147:T1151" si="1078">SUM(Q1147:S1147)</f>
        <v>1</v>
      </c>
      <c r="U1147" s="11">
        <f t="shared" ref="U1147:U1151" si="1079">P1147+T1147</f>
        <v>2</v>
      </c>
      <c r="V1147" s="98">
        <v>45931</v>
      </c>
    </row>
    <row r="1148" spans="1:24" x14ac:dyDescent="0.15">
      <c r="A1148" s="108"/>
      <c r="B1148" s="8"/>
      <c r="C1148" s="9"/>
      <c r="D1148" s="10"/>
      <c r="E1148" s="49">
        <f t="shared" si="1074"/>
        <v>0</v>
      </c>
      <c r="F1148" s="12"/>
      <c r="G1148" s="9"/>
      <c r="H1148" s="10"/>
      <c r="I1148" s="49">
        <f t="shared" si="1075"/>
        <v>0</v>
      </c>
      <c r="J1148" s="11">
        <f t="shared" si="1076"/>
        <v>0</v>
      </c>
      <c r="K1148" s="62"/>
      <c r="L1148" s="26" t="s">
        <v>113</v>
      </c>
      <c r="M1148" s="8"/>
      <c r="N1148" s="9"/>
      <c r="O1148" s="52">
        <v>2</v>
      </c>
      <c r="P1148" s="87">
        <f t="shared" si="1077"/>
        <v>2</v>
      </c>
      <c r="Q1148" s="8"/>
      <c r="R1148" s="9"/>
      <c r="S1148" s="10">
        <v>2</v>
      </c>
      <c r="T1148" s="49">
        <f t="shared" si="1078"/>
        <v>2</v>
      </c>
      <c r="U1148" s="11">
        <f t="shared" si="1079"/>
        <v>4</v>
      </c>
      <c r="V1148" s="98">
        <v>45932</v>
      </c>
      <c r="W1148" s="66"/>
      <c r="X1148" s="66"/>
    </row>
    <row r="1149" spans="1:24" x14ac:dyDescent="0.15">
      <c r="A1149" s="108"/>
      <c r="B1149" s="8"/>
      <c r="C1149" s="9"/>
      <c r="D1149" s="10"/>
      <c r="E1149" s="49">
        <f t="shared" si="1074"/>
        <v>0</v>
      </c>
      <c r="F1149" s="12"/>
      <c r="G1149" s="9"/>
      <c r="H1149" s="10"/>
      <c r="I1149" s="49">
        <f t="shared" si="1075"/>
        <v>0</v>
      </c>
      <c r="J1149" s="11">
        <f t="shared" si="1076"/>
        <v>0</v>
      </c>
      <c r="K1149" s="62"/>
      <c r="L1149" s="26" t="s">
        <v>115</v>
      </c>
      <c r="M1149" s="8">
        <v>9</v>
      </c>
      <c r="N1149" s="9">
        <v>1</v>
      </c>
      <c r="O1149" s="52">
        <v>10</v>
      </c>
      <c r="P1149" s="87">
        <f t="shared" si="1077"/>
        <v>20</v>
      </c>
      <c r="Q1149" s="8">
        <v>9</v>
      </c>
      <c r="R1149" s="9">
        <v>1</v>
      </c>
      <c r="S1149" s="10">
        <v>10</v>
      </c>
      <c r="T1149" s="49">
        <f t="shared" si="1078"/>
        <v>20</v>
      </c>
      <c r="U1149" s="11">
        <f t="shared" si="1079"/>
        <v>40</v>
      </c>
      <c r="V1149" s="98">
        <v>45933</v>
      </c>
      <c r="W1149" s="66"/>
      <c r="X1149" s="66"/>
    </row>
    <row r="1150" spans="1:24" x14ac:dyDescent="0.15">
      <c r="A1150" s="108"/>
      <c r="B1150" s="8"/>
      <c r="C1150" s="9"/>
      <c r="D1150" s="10"/>
      <c r="E1150" s="49">
        <f t="shared" si="1074"/>
        <v>0</v>
      </c>
      <c r="F1150" s="12"/>
      <c r="G1150" s="9"/>
      <c r="H1150" s="10"/>
      <c r="I1150" s="49">
        <f t="shared" si="1075"/>
        <v>0</v>
      </c>
      <c r="J1150" s="11">
        <f t="shared" si="1076"/>
        <v>0</v>
      </c>
      <c r="K1150" s="62"/>
      <c r="L1150" s="26" t="s">
        <v>117</v>
      </c>
      <c r="M1150" s="8"/>
      <c r="N1150" s="9">
        <v>5</v>
      </c>
      <c r="O1150" s="52">
        <v>7</v>
      </c>
      <c r="P1150" s="87">
        <f t="shared" si="1077"/>
        <v>12</v>
      </c>
      <c r="Q1150" s="8"/>
      <c r="R1150" s="9">
        <v>5</v>
      </c>
      <c r="S1150" s="10">
        <v>7</v>
      </c>
      <c r="T1150" s="49">
        <f t="shared" si="1078"/>
        <v>12</v>
      </c>
      <c r="U1150" s="11">
        <f t="shared" si="1079"/>
        <v>24</v>
      </c>
      <c r="V1150" s="98">
        <v>45933</v>
      </c>
    </row>
    <row r="1151" spans="1:24" x14ac:dyDescent="0.15">
      <c r="A1151" s="108"/>
      <c r="B1151" s="8"/>
      <c r="C1151" s="9"/>
      <c r="D1151" s="10"/>
      <c r="E1151" s="49">
        <f t="shared" ref="E1151:E1173" si="1080">SUM(B1151:D1151)</f>
        <v>0</v>
      </c>
      <c r="F1151" s="12"/>
      <c r="G1151" s="9"/>
      <c r="H1151" s="10"/>
      <c r="I1151" s="49">
        <f t="shared" ref="I1151:I1173" si="1081">SUM(F1151:H1151)</f>
        <v>0</v>
      </c>
      <c r="J1151" s="11">
        <f t="shared" ref="J1151:J1172" si="1082">E1151+I1151</f>
        <v>0</v>
      </c>
      <c r="K1151" s="62"/>
      <c r="L1151" s="26" t="s">
        <v>118</v>
      </c>
      <c r="M1151" s="8">
        <v>5</v>
      </c>
      <c r="N1151" s="9">
        <v>5</v>
      </c>
      <c r="O1151" s="52">
        <v>2</v>
      </c>
      <c r="P1151" s="87">
        <f t="shared" si="1077"/>
        <v>12</v>
      </c>
      <c r="Q1151" s="8">
        <v>5</v>
      </c>
      <c r="R1151" s="9">
        <v>5</v>
      </c>
      <c r="S1151" s="10">
        <v>2</v>
      </c>
      <c r="T1151" s="49">
        <f t="shared" si="1078"/>
        <v>12</v>
      </c>
      <c r="U1151" s="11">
        <f t="shared" si="1079"/>
        <v>24</v>
      </c>
      <c r="V1151" s="98">
        <v>45936</v>
      </c>
    </row>
    <row r="1152" spans="1:24" x14ac:dyDescent="0.15">
      <c r="A1152" s="108"/>
      <c r="B1152" s="8"/>
      <c r="C1152" s="9"/>
      <c r="D1152" s="10"/>
      <c r="E1152" s="49">
        <f t="shared" si="1080"/>
        <v>0</v>
      </c>
      <c r="F1152" s="12"/>
      <c r="G1152" s="9"/>
      <c r="H1152" s="10"/>
      <c r="I1152" s="49">
        <f t="shared" si="1081"/>
        <v>0</v>
      </c>
      <c r="J1152" s="11">
        <f t="shared" si="1082"/>
        <v>0</v>
      </c>
      <c r="K1152" s="62"/>
      <c r="L1152" s="26" t="s">
        <v>122</v>
      </c>
      <c r="M1152" s="8">
        <v>7</v>
      </c>
      <c r="N1152" s="9">
        <v>5</v>
      </c>
      <c r="O1152" s="52">
        <v>3</v>
      </c>
      <c r="P1152" s="87">
        <f t="shared" ref="P1152:P1173" si="1083">SUM(M1152:O1152)</f>
        <v>15</v>
      </c>
      <c r="Q1152" s="8">
        <v>7</v>
      </c>
      <c r="R1152" s="9">
        <v>5</v>
      </c>
      <c r="S1152" s="10">
        <v>3</v>
      </c>
      <c r="T1152" s="49">
        <f t="shared" ref="T1152:T1173" si="1084">SUM(Q1152:S1152)</f>
        <v>15</v>
      </c>
      <c r="U1152" s="11">
        <f t="shared" ref="U1152:U1172" si="1085">P1152+T1152</f>
        <v>30</v>
      </c>
      <c r="V1152" s="98">
        <v>45938</v>
      </c>
      <c r="W1152" s="66"/>
    </row>
    <row r="1153" spans="1:24" x14ac:dyDescent="0.15">
      <c r="A1153" s="108"/>
      <c r="B1153" s="8"/>
      <c r="C1153" s="9"/>
      <c r="D1153" s="10"/>
      <c r="E1153" s="49">
        <f t="shared" si="1080"/>
        <v>0</v>
      </c>
      <c r="F1153" s="12"/>
      <c r="G1153" s="9"/>
      <c r="H1153" s="10"/>
      <c r="I1153" s="49">
        <f t="shared" si="1081"/>
        <v>0</v>
      </c>
      <c r="J1153" s="11">
        <f t="shared" si="1082"/>
        <v>0</v>
      </c>
      <c r="K1153" s="62"/>
      <c r="L1153" s="26" t="s">
        <v>126</v>
      </c>
      <c r="M1153" s="8">
        <v>6</v>
      </c>
      <c r="N1153" s="9">
        <v>4</v>
      </c>
      <c r="O1153" s="52">
        <v>6</v>
      </c>
      <c r="P1153" s="87">
        <f t="shared" si="1083"/>
        <v>16</v>
      </c>
      <c r="Q1153" s="8">
        <v>6</v>
      </c>
      <c r="R1153" s="9">
        <v>4</v>
      </c>
      <c r="S1153" s="10">
        <v>6</v>
      </c>
      <c r="T1153" s="49">
        <f t="shared" si="1084"/>
        <v>16</v>
      </c>
      <c r="U1153" s="11">
        <f t="shared" si="1085"/>
        <v>32</v>
      </c>
      <c r="V1153" s="98">
        <v>45939</v>
      </c>
      <c r="W1153" s="66"/>
    </row>
    <row r="1154" spans="1:24" x14ac:dyDescent="0.15">
      <c r="A1154" s="108"/>
      <c r="B1154" s="8"/>
      <c r="C1154" s="9"/>
      <c r="D1154" s="10"/>
      <c r="E1154" s="49">
        <f t="shared" si="1080"/>
        <v>0</v>
      </c>
      <c r="F1154" s="12"/>
      <c r="G1154" s="9"/>
      <c r="H1154" s="10"/>
      <c r="I1154" s="49">
        <f t="shared" si="1081"/>
        <v>0</v>
      </c>
      <c r="J1154" s="11">
        <f t="shared" si="1082"/>
        <v>0</v>
      </c>
      <c r="K1154" s="62"/>
      <c r="L1154" s="26" t="s">
        <v>127</v>
      </c>
      <c r="M1154" s="8">
        <v>3</v>
      </c>
      <c r="N1154" s="9">
        <v>4</v>
      </c>
      <c r="O1154" s="52">
        <v>3</v>
      </c>
      <c r="P1154" s="87">
        <f t="shared" si="1083"/>
        <v>10</v>
      </c>
      <c r="Q1154" s="8">
        <v>3</v>
      </c>
      <c r="R1154" s="9">
        <v>4</v>
      </c>
      <c r="S1154" s="10">
        <v>3</v>
      </c>
      <c r="T1154" s="49">
        <f t="shared" si="1084"/>
        <v>10</v>
      </c>
      <c r="U1154" s="11">
        <f t="shared" si="1085"/>
        <v>20</v>
      </c>
      <c r="V1154" s="98">
        <v>45940</v>
      </c>
    </row>
    <row r="1155" spans="1:24" x14ac:dyDescent="0.15">
      <c r="A1155" s="108"/>
      <c r="B1155" s="8"/>
      <c r="C1155" s="9"/>
      <c r="D1155" s="10"/>
      <c r="E1155" s="49">
        <f t="shared" si="1080"/>
        <v>0</v>
      </c>
      <c r="F1155" s="12"/>
      <c r="G1155" s="9"/>
      <c r="H1155" s="10"/>
      <c r="I1155" s="49">
        <f t="shared" si="1081"/>
        <v>0</v>
      </c>
      <c r="J1155" s="11">
        <f t="shared" si="1082"/>
        <v>0</v>
      </c>
      <c r="K1155" s="62"/>
      <c r="L1155" s="26" t="s">
        <v>129</v>
      </c>
      <c r="M1155" s="8"/>
      <c r="N1155" s="9">
        <v>2</v>
      </c>
      <c r="O1155" s="52"/>
      <c r="P1155" s="87">
        <f t="shared" si="1083"/>
        <v>2</v>
      </c>
      <c r="Q1155" s="8"/>
      <c r="R1155" s="9">
        <v>2</v>
      </c>
      <c r="S1155" s="10"/>
      <c r="T1155" s="49">
        <f t="shared" si="1084"/>
        <v>2</v>
      </c>
      <c r="U1155" s="11">
        <f t="shared" si="1085"/>
        <v>4</v>
      </c>
      <c r="V1155" s="98">
        <v>45940</v>
      </c>
    </row>
    <row r="1156" spans="1:24" x14ac:dyDescent="0.15">
      <c r="A1156" s="108"/>
      <c r="B1156" s="8"/>
      <c r="C1156" s="9"/>
      <c r="D1156" s="10"/>
      <c r="E1156" s="49">
        <f t="shared" si="1080"/>
        <v>0</v>
      </c>
      <c r="F1156" s="12"/>
      <c r="G1156" s="9"/>
      <c r="H1156" s="10"/>
      <c r="I1156" s="49">
        <f t="shared" si="1081"/>
        <v>0</v>
      </c>
      <c r="J1156" s="11">
        <f t="shared" si="1082"/>
        <v>0</v>
      </c>
      <c r="K1156" s="62"/>
      <c r="L1156" s="26" t="s">
        <v>131</v>
      </c>
      <c r="M1156" s="8"/>
      <c r="N1156" s="9">
        <v>1</v>
      </c>
      <c r="O1156" s="52">
        <v>2</v>
      </c>
      <c r="P1156" s="87">
        <f t="shared" si="1083"/>
        <v>3</v>
      </c>
      <c r="Q1156" s="8"/>
      <c r="R1156" s="9">
        <v>1</v>
      </c>
      <c r="S1156" s="10">
        <v>2</v>
      </c>
      <c r="T1156" s="49">
        <f t="shared" si="1084"/>
        <v>3</v>
      </c>
      <c r="U1156" s="11">
        <f t="shared" si="1085"/>
        <v>6</v>
      </c>
      <c r="V1156" s="98">
        <v>45946</v>
      </c>
      <c r="W1156" s="66"/>
    </row>
    <row r="1157" spans="1:24" x14ac:dyDescent="0.15">
      <c r="A1157" s="108"/>
      <c r="B1157" s="8"/>
      <c r="C1157" s="9"/>
      <c r="D1157" s="10"/>
      <c r="E1157" s="49">
        <f t="shared" si="1080"/>
        <v>0</v>
      </c>
      <c r="F1157" s="12"/>
      <c r="G1157" s="9"/>
      <c r="H1157" s="10"/>
      <c r="I1157" s="49">
        <f t="shared" si="1081"/>
        <v>0</v>
      </c>
      <c r="J1157" s="11">
        <f t="shared" si="1082"/>
        <v>0</v>
      </c>
      <c r="K1157" s="62"/>
      <c r="L1157" s="26" t="s">
        <v>133</v>
      </c>
      <c r="M1157" s="8"/>
      <c r="N1157" s="9">
        <v>3</v>
      </c>
      <c r="O1157" s="52">
        <v>1</v>
      </c>
      <c r="P1157" s="87">
        <f t="shared" si="1083"/>
        <v>4</v>
      </c>
      <c r="Q1157" s="8"/>
      <c r="R1157" s="9">
        <v>3</v>
      </c>
      <c r="S1157" s="10">
        <v>1</v>
      </c>
      <c r="T1157" s="49">
        <f t="shared" si="1084"/>
        <v>4</v>
      </c>
      <c r="U1157" s="11">
        <f t="shared" si="1085"/>
        <v>8</v>
      </c>
      <c r="V1157" s="98">
        <v>45947</v>
      </c>
    </row>
    <row r="1158" spans="1:24" x14ac:dyDescent="0.15">
      <c r="A1158" s="108"/>
      <c r="B1158" s="8"/>
      <c r="C1158" s="9"/>
      <c r="D1158" s="10"/>
      <c r="E1158" s="49">
        <f t="shared" si="1080"/>
        <v>0</v>
      </c>
      <c r="F1158" s="12"/>
      <c r="G1158" s="9"/>
      <c r="H1158" s="10"/>
      <c r="I1158" s="49">
        <f t="shared" si="1081"/>
        <v>0</v>
      </c>
      <c r="J1158" s="11">
        <f t="shared" si="1082"/>
        <v>0</v>
      </c>
      <c r="K1158" s="62"/>
      <c r="L1158" s="26" t="s">
        <v>134</v>
      </c>
      <c r="M1158" s="8"/>
      <c r="N1158" s="9">
        <v>1</v>
      </c>
      <c r="O1158" s="52"/>
      <c r="P1158" s="87">
        <f t="shared" si="1083"/>
        <v>1</v>
      </c>
      <c r="Q1158" s="8"/>
      <c r="R1158" s="9">
        <v>1</v>
      </c>
      <c r="S1158" s="10"/>
      <c r="T1158" s="49">
        <f t="shared" si="1084"/>
        <v>1</v>
      </c>
      <c r="U1158" s="11">
        <f t="shared" si="1085"/>
        <v>2</v>
      </c>
      <c r="V1158" s="98">
        <v>45947</v>
      </c>
      <c r="W1158" s="66"/>
    </row>
    <row r="1159" spans="1:24" x14ac:dyDescent="0.15">
      <c r="A1159" s="108"/>
      <c r="B1159" s="8"/>
      <c r="C1159" s="9"/>
      <c r="D1159" s="10"/>
      <c r="E1159" s="49">
        <f t="shared" si="1080"/>
        <v>0</v>
      </c>
      <c r="F1159" s="12"/>
      <c r="G1159" s="9"/>
      <c r="H1159" s="10"/>
      <c r="I1159" s="49">
        <f t="shared" si="1081"/>
        <v>0</v>
      </c>
      <c r="J1159" s="11">
        <f t="shared" si="1082"/>
        <v>0</v>
      </c>
      <c r="K1159" s="62"/>
      <c r="L1159" s="26" t="s">
        <v>135</v>
      </c>
      <c r="M1159" s="8"/>
      <c r="N1159" s="9">
        <v>1</v>
      </c>
      <c r="O1159" s="52"/>
      <c r="P1159" s="87">
        <f t="shared" si="1083"/>
        <v>1</v>
      </c>
      <c r="Q1159" s="8"/>
      <c r="R1159" s="9">
        <v>1</v>
      </c>
      <c r="S1159" s="10"/>
      <c r="T1159" s="49">
        <f t="shared" si="1084"/>
        <v>1</v>
      </c>
      <c r="U1159" s="11">
        <f t="shared" si="1085"/>
        <v>2</v>
      </c>
      <c r="V1159" s="98">
        <v>45952</v>
      </c>
      <c r="W1159" s="66"/>
    </row>
    <row r="1160" spans="1:24" x14ac:dyDescent="0.15">
      <c r="A1160" s="108"/>
      <c r="B1160" s="8"/>
      <c r="C1160" s="9"/>
      <c r="D1160" s="10"/>
      <c r="E1160" s="49">
        <f t="shared" si="1080"/>
        <v>0</v>
      </c>
      <c r="F1160" s="12"/>
      <c r="G1160" s="9"/>
      <c r="H1160" s="10"/>
      <c r="I1160" s="49">
        <f t="shared" si="1081"/>
        <v>0</v>
      </c>
      <c r="J1160" s="11">
        <f t="shared" si="1082"/>
        <v>0</v>
      </c>
      <c r="K1160" s="62"/>
      <c r="L1160" s="26" t="s">
        <v>137</v>
      </c>
      <c r="M1160" s="8"/>
      <c r="N1160" s="9">
        <v>4</v>
      </c>
      <c r="O1160" s="52"/>
      <c r="P1160" s="87">
        <f t="shared" si="1083"/>
        <v>4</v>
      </c>
      <c r="Q1160" s="8"/>
      <c r="R1160" s="9">
        <v>4</v>
      </c>
      <c r="S1160" s="10"/>
      <c r="T1160" s="49">
        <f t="shared" si="1084"/>
        <v>4</v>
      </c>
      <c r="U1160" s="11">
        <f t="shared" si="1085"/>
        <v>8</v>
      </c>
      <c r="V1160" s="98">
        <v>45953</v>
      </c>
    </row>
    <row r="1161" spans="1:24" x14ac:dyDescent="0.15">
      <c r="A1161" s="108"/>
      <c r="B1161" s="8"/>
      <c r="C1161" s="9"/>
      <c r="D1161" s="10"/>
      <c r="E1161" s="49">
        <f t="shared" si="1080"/>
        <v>0</v>
      </c>
      <c r="F1161" s="12"/>
      <c r="G1161" s="9"/>
      <c r="H1161" s="10"/>
      <c r="I1161" s="49">
        <f t="shared" si="1081"/>
        <v>0</v>
      </c>
      <c r="J1161" s="11">
        <f t="shared" si="1082"/>
        <v>0</v>
      </c>
      <c r="K1161" s="62"/>
      <c r="L1161" s="26" t="s">
        <v>139</v>
      </c>
      <c r="M1161" s="8"/>
      <c r="N1161" s="9">
        <v>2</v>
      </c>
      <c r="O1161" s="52"/>
      <c r="P1161" s="87">
        <f t="shared" si="1083"/>
        <v>2</v>
      </c>
      <c r="Q1161" s="8"/>
      <c r="R1161" s="9">
        <v>2</v>
      </c>
      <c r="S1161" s="10"/>
      <c r="T1161" s="49">
        <f t="shared" si="1084"/>
        <v>2</v>
      </c>
      <c r="U1161" s="11">
        <f t="shared" si="1085"/>
        <v>4</v>
      </c>
      <c r="V1161" s="98">
        <v>45954</v>
      </c>
      <c r="W1161" s="66"/>
    </row>
    <row r="1162" spans="1:24" x14ac:dyDescent="0.15">
      <c r="A1162" s="108"/>
      <c r="B1162" s="8"/>
      <c r="C1162" s="9"/>
      <c r="D1162" s="10"/>
      <c r="E1162" s="49">
        <f t="shared" si="1080"/>
        <v>0</v>
      </c>
      <c r="F1162" s="12"/>
      <c r="G1162" s="9"/>
      <c r="H1162" s="10"/>
      <c r="I1162" s="49">
        <f t="shared" si="1081"/>
        <v>0</v>
      </c>
      <c r="J1162" s="11">
        <f t="shared" si="1082"/>
        <v>0</v>
      </c>
      <c r="K1162" s="62"/>
      <c r="L1162" s="26" t="s">
        <v>141</v>
      </c>
      <c r="M1162" s="8"/>
      <c r="N1162" s="9">
        <v>1</v>
      </c>
      <c r="O1162" s="52"/>
      <c r="P1162" s="87">
        <f t="shared" si="1083"/>
        <v>1</v>
      </c>
      <c r="Q1162" s="8"/>
      <c r="R1162" s="9">
        <v>1</v>
      </c>
      <c r="S1162" s="10"/>
      <c r="T1162" s="49">
        <f t="shared" si="1084"/>
        <v>1</v>
      </c>
      <c r="U1162" s="11">
        <f t="shared" si="1085"/>
        <v>2</v>
      </c>
      <c r="V1162" s="98">
        <v>45957</v>
      </c>
    </row>
    <row r="1163" spans="1:24" x14ac:dyDescent="0.15">
      <c r="A1163" s="108"/>
      <c r="B1163" s="8"/>
      <c r="C1163" s="9"/>
      <c r="D1163" s="10"/>
      <c r="E1163" s="49">
        <f t="shared" si="1080"/>
        <v>0</v>
      </c>
      <c r="F1163" s="12"/>
      <c r="G1163" s="9"/>
      <c r="H1163" s="10"/>
      <c r="I1163" s="49">
        <f t="shared" si="1081"/>
        <v>0</v>
      </c>
      <c r="J1163" s="11">
        <f t="shared" si="1082"/>
        <v>0</v>
      </c>
      <c r="K1163" s="62"/>
      <c r="L1163" s="26" t="s">
        <v>143</v>
      </c>
      <c r="M1163" s="8"/>
      <c r="N1163" s="9">
        <v>1</v>
      </c>
      <c r="O1163" s="52"/>
      <c r="P1163" s="87">
        <f t="shared" si="1083"/>
        <v>1</v>
      </c>
      <c r="Q1163" s="8"/>
      <c r="R1163" s="9">
        <v>1</v>
      </c>
      <c r="S1163" s="10"/>
      <c r="T1163" s="49">
        <f t="shared" si="1084"/>
        <v>1</v>
      </c>
      <c r="U1163" s="11">
        <f t="shared" si="1085"/>
        <v>2</v>
      </c>
      <c r="V1163" s="98">
        <v>45960</v>
      </c>
      <c r="W1163" s="66"/>
    </row>
    <row r="1164" spans="1:24" x14ac:dyDescent="0.15">
      <c r="A1164" s="108"/>
      <c r="B1164" s="8"/>
      <c r="C1164" s="9"/>
      <c r="D1164" s="10"/>
      <c r="E1164" s="49">
        <f t="shared" si="1080"/>
        <v>0</v>
      </c>
      <c r="F1164" s="12"/>
      <c r="G1164" s="9"/>
      <c r="H1164" s="10"/>
      <c r="I1164" s="49">
        <f t="shared" si="1081"/>
        <v>0</v>
      </c>
      <c r="J1164" s="11">
        <f t="shared" si="1082"/>
        <v>0</v>
      </c>
      <c r="K1164" s="62"/>
      <c r="L1164" s="26" t="s">
        <v>144</v>
      </c>
      <c r="M1164" s="8"/>
      <c r="N1164" s="9">
        <v>2</v>
      </c>
      <c r="O1164" s="52"/>
      <c r="P1164" s="87">
        <f t="shared" si="1083"/>
        <v>2</v>
      </c>
      <c r="Q1164" s="8"/>
      <c r="R1164" s="9">
        <v>2</v>
      </c>
      <c r="S1164" s="10"/>
      <c r="T1164" s="49">
        <f t="shared" si="1084"/>
        <v>2</v>
      </c>
      <c r="U1164" s="11">
        <f t="shared" si="1085"/>
        <v>4</v>
      </c>
      <c r="V1164" s="98">
        <v>45961</v>
      </c>
    </row>
    <row r="1165" spans="1:24" x14ac:dyDescent="0.15">
      <c r="A1165" s="108"/>
      <c r="B1165" s="8"/>
      <c r="C1165" s="9"/>
      <c r="D1165" s="10"/>
      <c r="E1165" s="49">
        <f t="shared" si="1080"/>
        <v>0</v>
      </c>
      <c r="F1165" s="12"/>
      <c r="G1165" s="9"/>
      <c r="H1165" s="10"/>
      <c r="I1165" s="49">
        <f t="shared" si="1081"/>
        <v>0</v>
      </c>
      <c r="J1165" s="11">
        <f t="shared" si="1082"/>
        <v>0</v>
      </c>
      <c r="K1165" s="62"/>
      <c r="L1165" s="26" t="s">
        <v>146</v>
      </c>
      <c r="M1165" s="8">
        <v>11</v>
      </c>
      <c r="N1165" s="9">
        <v>22</v>
      </c>
      <c r="O1165" s="52">
        <v>20</v>
      </c>
      <c r="P1165" s="87">
        <f t="shared" si="1083"/>
        <v>53</v>
      </c>
      <c r="Q1165" s="8">
        <v>11</v>
      </c>
      <c r="R1165" s="9">
        <v>22</v>
      </c>
      <c r="S1165" s="10">
        <v>20</v>
      </c>
      <c r="T1165" s="49">
        <f t="shared" si="1084"/>
        <v>53</v>
      </c>
      <c r="U1165" s="11">
        <f t="shared" si="1085"/>
        <v>106</v>
      </c>
      <c r="V1165" s="98">
        <v>45967</v>
      </c>
      <c r="W1165" s="66"/>
    </row>
    <row r="1166" spans="1:24" x14ac:dyDescent="0.15">
      <c r="A1166" s="108"/>
      <c r="B1166" s="8"/>
      <c r="C1166" s="9"/>
      <c r="D1166" s="10"/>
      <c r="E1166" s="49">
        <f t="shared" si="1080"/>
        <v>0</v>
      </c>
      <c r="F1166" s="12"/>
      <c r="G1166" s="9"/>
      <c r="H1166" s="10"/>
      <c r="I1166" s="49">
        <f t="shared" si="1081"/>
        <v>0</v>
      </c>
      <c r="J1166" s="11">
        <f t="shared" si="1082"/>
        <v>0</v>
      </c>
      <c r="K1166" s="62"/>
      <c r="L1166" s="26" t="s">
        <v>150</v>
      </c>
      <c r="M1166" s="8">
        <v>12</v>
      </c>
      <c r="N1166" s="9">
        <v>19</v>
      </c>
      <c r="O1166" s="52"/>
      <c r="P1166" s="87">
        <f t="shared" si="1083"/>
        <v>31</v>
      </c>
      <c r="Q1166" s="8">
        <v>12</v>
      </c>
      <c r="R1166" s="9">
        <v>19</v>
      </c>
      <c r="S1166" s="10"/>
      <c r="T1166" s="49">
        <f t="shared" si="1084"/>
        <v>31</v>
      </c>
      <c r="U1166" s="11">
        <f t="shared" si="1085"/>
        <v>62</v>
      </c>
      <c r="V1166" s="98">
        <v>45968</v>
      </c>
      <c r="W1166" s="66"/>
    </row>
    <row r="1167" spans="1:24" x14ac:dyDescent="0.15">
      <c r="A1167" s="108"/>
      <c r="B1167" s="8"/>
      <c r="C1167" s="9"/>
      <c r="D1167" s="10"/>
      <c r="E1167" s="49">
        <f t="shared" si="1080"/>
        <v>0</v>
      </c>
      <c r="F1167" s="12"/>
      <c r="G1167" s="9"/>
      <c r="H1167" s="10"/>
      <c r="I1167" s="49">
        <f t="shared" si="1081"/>
        <v>0</v>
      </c>
      <c r="J1167" s="11">
        <f t="shared" si="1082"/>
        <v>0</v>
      </c>
      <c r="K1167" s="62"/>
      <c r="L1167" s="26" t="s">
        <v>154</v>
      </c>
      <c r="M1167" s="8">
        <v>5</v>
      </c>
      <c r="N1167" s="9">
        <v>17</v>
      </c>
      <c r="O1167" s="52">
        <v>10</v>
      </c>
      <c r="P1167" s="87">
        <f t="shared" si="1083"/>
        <v>32</v>
      </c>
      <c r="Q1167" s="8">
        <v>5</v>
      </c>
      <c r="R1167" s="9">
        <v>17</v>
      </c>
      <c r="S1167" s="10">
        <v>10</v>
      </c>
      <c r="T1167" s="49">
        <f t="shared" si="1084"/>
        <v>32</v>
      </c>
      <c r="U1167" s="11">
        <f t="shared" si="1085"/>
        <v>64</v>
      </c>
      <c r="V1167" s="98">
        <v>45968</v>
      </c>
    </row>
    <row r="1168" spans="1:24" x14ac:dyDescent="0.15">
      <c r="A1168" s="108"/>
      <c r="B1168" s="8"/>
      <c r="C1168" s="9"/>
      <c r="D1168" s="10"/>
      <c r="E1168" s="49">
        <f t="shared" si="1080"/>
        <v>0</v>
      </c>
      <c r="F1168" s="12"/>
      <c r="G1168" s="9"/>
      <c r="H1168" s="10"/>
      <c r="I1168" s="49">
        <f t="shared" si="1081"/>
        <v>0</v>
      </c>
      <c r="J1168" s="11">
        <f t="shared" si="1082"/>
        <v>0</v>
      </c>
      <c r="K1168" s="62"/>
      <c r="L1168" s="26" t="s">
        <v>156</v>
      </c>
      <c r="M1168" s="8">
        <v>26</v>
      </c>
      <c r="N1168" s="9">
        <v>26</v>
      </c>
      <c r="O1168" s="52">
        <v>23</v>
      </c>
      <c r="P1168" s="87">
        <f t="shared" si="1083"/>
        <v>75</v>
      </c>
      <c r="Q1168" s="8">
        <v>26</v>
      </c>
      <c r="R1168" s="9">
        <v>26</v>
      </c>
      <c r="S1168" s="10">
        <v>23</v>
      </c>
      <c r="T1168" s="49">
        <f t="shared" si="1084"/>
        <v>75</v>
      </c>
      <c r="U1168" s="11">
        <f t="shared" si="1085"/>
        <v>150</v>
      </c>
      <c r="V1168" s="98">
        <v>45973</v>
      </c>
      <c r="W1168" s="66"/>
      <c r="X1168" s="66"/>
    </row>
    <row r="1169" spans="1:24" x14ac:dyDescent="0.15">
      <c r="A1169" s="108"/>
      <c r="B1169" s="8"/>
      <c r="C1169" s="9"/>
      <c r="D1169" s="10"/>
      <c r="E1169" s="49">
        <f t="shared" si="1080"/>
        <v>0</v>
      </c>
      <c r="F1169" s="12"/>
      <c r="G1169" s="9"/>
      <c r="H1169" s="10"/>
      <c r="I1169" s="49">
        <f t="shared" si="1081"/>
        <v>0</v>
      </c>
      <c r="J1169" s="11">
        <f t="shared" si="1082"/>
        <v>0</v>
      </c>
      <c r="K1169" s="62"/>
      <c r="L1169" s="26" t="s">
        <v>162</v>
      </c>
      <c r="M1169" s="8">
        <v>2</v>
      </c>
      <c r="N1169" s="9">
        <v>7</v>
      </c>
      <c r="O1169" s="52"/>
      <c r="P1169" s="87">
        <f t="shared" si="1083"/>
        <v>9</v>
      </c>
      <c r="Q1169" s="8">
        <v>2</v>
      </c>
      <c r="R1169" s="9">
        <v>7</v>
      </c>
      <c r="S1169" s="10"/>
      <c r="T1169" s="49">
        <f t="shared" si="1084"/>
        <v>9</v>
      </c>
      <c r="U1169" s="11">
        <f t="shared" si="1085"/>
        <v>18</v>
      </c>
      <c r="V1169" s="98">
        <v>45974</v>
      </c>
      <c r="W1169" s="66"/>
      <c r="X1169" s="66"/>
    </row>
    <row r="1170" spans="1:24" x14ac:dyDescent="0.15">
      <c r="A1170" s="108"/>
      <c r="B1170" s="8"/>
      <c r="C1170" s="9"/>
      <c r="D1170" s="10"/>
      <c r="E1170" s="49">
        <f t="shared" si="1080"/>
        <v>0</v>
      </c>
      <c r="F1170" s="12"/>
      <c r="G1170" s="9"/>
      <c r="H1170" s="10"/>
      <c r="I1170" s="49">
        <f t="shared" si="1081"/>
        <v>0</v>
      </c>
      <c r="J1170" s="11">
        <f t="shared" si="1082"/>
        <v>0</v>
      </c>
      <c r="K1170" s="62"/>
      <c r="L1170" s="26"/>
      <c r="M1170" s="8"/>
      <c r="N1170" s="9"/>
      <c r="O1170" s="52"/>
      <c r="P1170" s="87">
        <f t="shared" si="1083"/>
        <v>0</v>
      </c>
      <c r="Q1170" s="8"/>
      <c r="R1170" s="9"/>
      <c r="S1170" s="10"/>
      <c r="T1170" s="49">
        <f t="shared" si="1084"/>
        <v>0</v>
      </c>
      <c r="U1170" s="11">
        <f t="shared" si="1085"/>
        <v>0</v>
      </c>
    </row>
    <row r="1171" spans="1:24" x14ac:dyDescent="0.15">
      <c r="A1171" s="108"/>
      <c r="B1171" s="8"/>
      <c r="C1171" s="9"/>
      <c r="D1171" s="10"/>
      <c r="E1171" s="49">
        <f t="shared" si="1080"/>
        <v>0</v>
      </c>
      <c r="F1171" s="12"/>
      <c r="G1171" s="9"/>
      <c r="H1171" s="10"/>
      <c r="I1171" s="49">
        <f t="shared" si="1081"/>
        <v>0</v>
      </c>
      <c r="J1171" s="11">
        <f t="shared" si="1082"/>
        <v>0</v>
      </c>
      <c r="K1171" s="62"/>
      <c r="L1171" s="26" t="s">
        <v>939</v>
      </c>
      <c r="M1171" s="8"/>
      <c r="N1171" s="9"/>
      <c r="O1171" s="52"/>
      <c r="P1171" s="87">
        <f t="shared" ref="P1171" si="1086">SUM(M1171:O1171)</f>
        <v>0</v>
      </c>
      <c r="Q1171" s="8"/>
      <c r="R1171" s="9"/>
      <c r="S1171" s="10"/>
      <c r="T1171" s="49">
        <f t="shared" ref="T1171" si="1087">SUM(Q1171:S1171)</f>
        <v>0</v>
      </c>
      <c r="U1171" s="11">
        <f t="shared" ref="U1171" si="1088">P1171+T1171</f>
        <v>0</v>
      </c>
      <c r="V1171" s="100" t="s">
        <v>913</v>
      </c>
    </row>
    <row r="1172" spans="1:24" ht="14.25" thickBot="1" x14ac:dyDescent="0.2">
      <c r="A1172" s="108"/>
      <c r="B1172" s="8"/>
      <c r="C1172" s="9"/>
      <c r="D1172" s="10"/>
      <c r="E1172" s="49">
        <f t="shared" si="1080"/>
        <v>0</v>
      </c>
      <c r="F1172" s="12"/>
      <c r="G1172" s="9"/>
      <c r="H1172" s="10"/>
      <c r="I1172" s="49">
        <f t="shared" si="1081"/>
        <v>0</v>
      </c>
      <c r="J1172" s="11">
        <f t="shared" si="1082"/>
        <v>0</v>
      </c>
      <c r="K1172" s="62"/>
      <c r="L1172" s="26" t="s">
        <v>945</v>
      </c>
      <c r="M1172" s="8">
        <f>40-11-12-5-12</f>
        <v>0</v>
      </c>
      <c r="N1172" s="9">
        <f>40-22-18</f>
        <v>0</v>
      </c>
      <c r="O1172" s="52">
        <f>50-20-10-20</f>
        <v>0</v>
      </c>
      <c r="P1172" s="87">
        <f t="shared" si="1083"/>
        <v>0</v>
      </c>
      <c r="Q1172" s="8">
        <f>40-11-12-5-12</f>
        <v>0</v>
      </c>
      <c r="R1172" s="9">
        <f>40-22-18</f>
        <v>0</v>
      </c>
      <c r="S1172" s="52">
        <f>50-20-10-20</f>
        <v>0</v>
      </c>
      <c r="T1172" s="49">
        <f t="shared" si="1084"/>
        <v>0</v>
      </c>
      <c r="U1172" s="11">
        <f t="shared" si="1085"/>
        <v>0</v>
      </c>
      <c r="V1172" s="100" t="s">
        <v>337</v>
      </c>
    </row>
    <row r="1173" spans="1:24" ht="14.25" thickBot="1" x14ac:dyDescent="0.2">
      <c r="A1173" s="41" t="s">
        <v>17</v>
      </c>
      <c r="B1173" s="46">
        <f>SUM(B1147:B1172)</f>
        <v>0</v>
      </c>
      <c r="C1173" s="47">
        <f t="shared" ref="C1173:D1173" si="1089">SUM(C1147:C1172)</f>
        <v>0</v>
      </c>
      <c r="D1173" s="58">
        <f t="shared" si="1089"/>
        <v>0</v>
      </c>
      <c r="E1173" s="45">
        <f t="shared" si="1080"/>
        <v>0</v>
      </c>
      <c r="F1173" s="46">
        <f>SUM(F1147:F1172)</f>
        <v>0</v>
      </c>
      <c r="G1173" s="47">
        <f t="shared" ref="G1173:H1173" si="1090">SUM(G1147:G1172)</f>
        <v>0</v>
      </c>
      <c r="H1173" s="58">
        <f t="shared" si="1090"/>
        <v>0</v>
      </c>
      <c r="I1173" s="45">
        <f t="shared" si="1081"/>
        <v>0</v>
      </c>
      <c r="J1173" s="45">
        <f>E1173+I1173</f>
        <v>0</v>
      </c>
      <c r="L1173" s="41" t="s">
        <v>17</v>
      </c>
      <c r="M1173" s="46">
        <f>SUM(M1147:M1172)</f>
        <v>87</v>
      </c>
      <c r="N1173" s="47">
        <f t="shared" ref="N1173:O1173" si="1091">SUM(N1147:N1172)</f>
        <v>133</v>
      </c>
      <c r="O1173" s="58">
        <f t="shared" si="1091"/>
        <v>89</v>
      </c>
      <c r="P1173" s="45">
        <f t="shared" si="1083"/>
        <v>309</v>
      </c>
      <c r="Q1173" s="46">
        <f>SUM(Q1147:Q1172)</f>
        <v>87</v>
      </c>
      <c r="R1173" s="47">
        <f t="shared" ref="R1173:S1173" si="1092">SUM(R1147:R1172)</f>
        <v>133</v>
      </c>
      <c r="S1173" s="58">
        <f t="shared" si="1092"/>
        <v>89</v>
      </c>
      <c r="T1173" s="45">
        <f t="shared" si="1084"/>
        <v>309</v>
      </c>
      <c r="U1173" s="45">
        <f>P1173+T1173</f>
        <v>618</v>
      </c>
    </row>
    <row r="1174" spans="1:24" ht="14.25" thickBot="1" x14ac:dyDescent="0.2">
      <c r="A1174" s="22" t="s">
        <v>16</v>
      </c>
      <c r="B1174" s="50">
        <f>B1146-B1173</f>
        <v>0</v>
      </c>
      <c r="C1174" s="56">
        <f t="shared" ref="C1174:D1174" si="1093">C1146-C1173</f>
        <v>0</v>
      </c>
      <c r="D1174" s="57">
        <f t="shared" si="1093"/>
        <v>1</v>
      </c>
      <c r="E1174" s="55">
        <f>SUM(B1174:D1174)</f>
        <v>1</v>
      </c>
      <c r="F1174" s="50">
        <f>F1146-F1173</f>
        <v>0</v>
      </c>
      <c r="G1174" s="56">
        <f t="shared" ref="G1174:H1174" si="1094">G1146-G1173</f>
        <v>0</v>
      </c>
      <c r="H1174" s="57">
        <f t="shared" si="1094"/>
        <v>1</v>
      </c>
      <c r="I1174" s="55">
        <f>SUM(F1174:H1174)</f>
        <v>1</v>
      </c>
      <c r="J1174" s="31">
        <f>E1174+I1174</f>
        <v>2</v>
      </c>
      <c r="L1174" s="22" t="s">
        <v>16</v>
      </c>
      <c r="M1174" s="50">
        <f>M1146-M1173</f>
        <v>17</v>
      </c>
      <c r="N1174" s="56">
        <f t="shared" ref="N1174:O1174" si="1095">N1146-N1173</f>
        <v>29</v>
      </c>
      <c r="O1174" s="57">
        <f t="shared" si="1095"/>
        <v>50</v>
      </c>
      <c r="P1174" s="55">
        <f>SUM(M1174:O1174)</f>
        <v>96</v>
      </c>
      <c r="Q1174" s="50">
        <f>Q1146-Q1173</f>
        <v>17</v>
      </c>
      <c r="R1174" s="56">
        <f t="shared" ref="R1174:S1174" si="1096">R1146-R1173</f>
        <v>29</v>
      </c>
      <c r="S1174" s="57">
        <f t="shared" si="1096"/>
        <v>50</v>
      </c>
      <c r="T1174" s="55">
        <f>SUM(Q1174:S1174)</f>
        <v>96</v>
      </c>
      <c r="U1174" s="31">
        <f>P1174+T1174</f>
        <v>192</v>
      </c>
    </row>
    <row r="1175" spans="1:24" x14ac:dyDescent="0.15">
      <c r="L1175" s="150" t="s">
        <v>934</v>
      </c>
      <c r="M1175" s="147">
        <f>M1173+M1130+M1087+M1044</f>
        <v>193</v>
      </c>
      <c r="N1175" s="147">
        <f t="shared" ref="N1175:U1175" si="1097">N1173+N1130+N1087+N1044</f>
        <v>279</v>
      </c>
      <c r="O1175" s="147">
        <f t="shared" si="1097"/>
        <v>187</v>
      </c>
      <c r="P1175" s="147">
        <f t="shared" si="1097"/>
        <v>659</v>
      </c>
      <c r="Q1175" s="147">
        <f t="shared" si="1097"/>
        <v>195</v>
      </c>
      <c r="R1175" s="147">
        <f t="shared" si="1097"/>
        <v>278</v>
      </c>
      <c r="S1175" s="147">
        <f t="shared" si="1097"/>
        <v>187</v>
      </c>
      <c r="T1175" s="147">
        <f t="shared" si="1097"/>
        <v>660</v>
      </c>
      <c r="U1175" s="147">
        <f t="shared" si="1097"/>
        <v>1319</v>
      </c>
    </row>
    <row r="1176" spans="1:24" x14ac:dyDescent="0.15">
      <c r="M1176" s="125">
        <f>M1175/$P$1175*100</f>
        <v>29.286798179059183</v>
      </c>
      <c r="N1176" s="125">
        <f t="shared" ref="N1176:P1176" si="1098">N1175/$P$1175*100</f>
        <v>42.33687405159332</v>
      </c>
      <c r="O1176" s="125">
        <f t="shared" si="1098"/>
        <v>28.376327769347498</v>
      </c>
      <c r="P1176" s="125">
        <f t="shared" si="1098"/>
        <v>100</v>
      </c>
    </row>
    <row r="1177" spans="1:24" ht="19.5" thickBot="1" x14ac:dyDescent="0.25">
      <c r="A1177" s="3" t="s">
        <v>908</v>
      </c>
      <c r="L1177" s="168" t="s">
        <v>680</v>
      </c>
      <c r="M1177" s="168"/>
      <c r="N1177" s="168"/>
      <c r="O1177" s="168"/>
      <c r="P1177" s="168"/>
      <c r="Q1177" s="168"/>
    </row>
    <row r="1178" spans="1:24" ht="14.25" thickBot="1" x14ac:dyDescent="0.2">
      <c r="A1178" s="7"/>
      <c r="B1178" s="176" t="s">
        <v>22</v>
      </c>
      <c r="C1178" s="177"/>
      <c r="D1178" s="177"/>
      <c r="E1178" s="178"/>
      <c r="F1178" s="176" t="s">
        <v>23</v>
      </c>
      <c r="G1178" s="177"/>
      <c r="H1178" s="177"/>
      <c r="I1178" s="179"/>
      <c r="J1178" s="174" t="s">
        <v>0</v>
      </c>
      <c r="L1178" s="7"/>
      <c r="M1178" s="169" t="s">
        <v>22</v>
      </c>
      <c r="N1178" s="170"/>
      <c r="O1178" s="170"/>
      <c r="P1178" s="171"/>
      <c r="Q1178" s="169" t="s">
        <v>23</v>
      </c>
      <c r="R1178" s="170"/>
      <c r="S1178" s="170"/>
      <c r="T1178" s="171"/>
      <c r="U1178" s="174" t="s">
        <v>0</v>
      </c>
    </row>
    <row r="1179" spans="1:24" ht="14.25" thickBot="1" x14ac:dyDescent="0.2">
      <c r="A1179" s="7" t="s">
        <v>1</v>
      </c>
      <c r="B1179" s="4" t="s">
        <v>2</v>
      </c>
      <c r="C1179" s="5" t="s">
        <v>3</v>
      </c>
      <c r="D1179" s="6" t="s">
        <v>4</v>
      </c>
      <c r="E1179" s="7" t="s">
        <v>5</v>
      </c>
      <c r="F1179" s="4" t="s">
        <v>2</v>
      </c>
      <c r="G1179" s="5" t="s">
        <v>3</v>
      </c>
      <c r="H1179" s="6" t="s">
        <v>4</v>
      </c>
      <c r="I1179" s="7" t="s">
        <v>5</v>
      </c>
      <c r="J1179" s="175"/>
      <c r="L1179" s="7" t="s">
        <v>1</v>
      </c>
      <c r="M1179" s="4" t="s">
        <v>2</v>
      </c>
      <c r="N1179" s="5" t="s">
        <v>3</v>
      </c>
      <c r="O1179" s="6" t="s">
        <v>4</v>
      </c>
      <c r="P1179" s="7" t="s">
        <v>5</v>
      </c>
      <c r="Q1179" s="4" t="s">
        <v>2</v>
      </c>
      <c r="R1179" s="5" t="s">
        <v>3</v>
      </c>
      <c r="S1179" s="6" t="s">
        <v>4</v>
      </c>
      <c r="T1179" s="7" t="s">
        <v>5</v>
      </c>
      <c r="U1179" s="175"/>
    </row>
    <row r="1180" spans="1:24" ht="14.25" thickBot="1" x14ac:dyDescent="0.2">
      <c r="A1180" s="27" t="s">
        <v>16</v>
      </c>
      <c r="B1180" s="28">
        <f t="shared" ref="B1180:I1180" si="1099">B1174</f>
        <v>0</v>
      </c>
      <c r="C1180" s="29">
        <f t="shared" si="1099"/>
        <v>0</v>
      </c>
      <c r="D1180" s="30">
        <f t="shared" si="1099"/>
        <v>1</v>
      </c>
      <c r="E1180" s="31">
        <f t="shared" si="1099"/>
        <v>1</v>
      </c>
      <c r="F1180" s="28">
        <f t="shared" si="1099"/>
        <v>0</v>
      </c>
      <c r="G1180" s="29">
        <f t="shared" si="1099"/>
        <v>0</v>
      </c>
      <c r="H1180" s="30">
        <f t="shared" si="1099"/>
        <v>1</v>
      </c>
      <c r="I1180" s="31">
        <f t="shared" si="1099"/>
        <v>1</v>
      </c>
      <c r="J1180" s="31">
        <f>E1180+I1180</f>
        <v>2</v>
      </c>
      <c r="L1180" s="27" t="s">
        <v>16</v>
      </c>
      <c r="M1180" s="50">
        <f t="shared" ref="M1180:U1180" si="1100">M1174</f>
        <v>17</v>
      </c>
      <c r="N1180" s="56">
        <f t="shared" si="1100"/>
        <v>29</v>
      </c>
      <c r="O1180" s="57">
        <f t="shared" si="1100"/>
        <v>50</v>
      </c>
      <c r="P1180" s="55">
        <f t="shared" si="1100"/>
        <v>96</v>
      </c>
      <c r="Q1180" s="50">
        <f t="shared" si="1100"/>
        <v>17</v>
      </c>
      <c r="R1180" s="56">
        <f t="shared" si="1100"/>
        <v>29</v>
      </c>
      <c r="S1180" s="57">
        <f t="shared" si="1100"/>
        <v>50</v>
      </c>
      <c r="T1180" s="55">
        <f t="shared" si="1100"/>
        <v>96</v>
      </c>
      <c r="U1180" s="31">
        <f t="shared" si="1100"/>
        <v>192</v>
      </c>
    </row>
    <row r="1181" spans="1:24" x14ac:dyDescent="0.15">
      <c r="A1181" s="25" t="s">
        <v>885</v>
      </c>
      <c r="B1181" s="8"/>
      <c r="C1181" s="9">
        <v>2</v>
      </c>
      <c r="D1181" s="52"/>
      <c r="E1181" s="11">
        <f t="shared" ref="E1181:E1188" si="1101">SUM(B1181:D1181)</f>
        <v>2</v>
      </c>
      <c r="F1181" s="12"/>
      <c r="G1181" s="9">
        <v>2</v>
      </c>
      <c r="H1181" s="10"/>
      <c r="I1181" s="11">
        <f t="shared" ref="I1181:I1188" si="1102">SUM(F1181:H1181)</f>
        <v>2</v>
      </c>
      <c r="J1181" s="11">
        <f t="shared" ref="J1181:J1188" si="1103">E1181+I1181</f>
        <v>4</v>
      </c>
      <c r="K1181" s="64">
        <v>45986</v>
      </c>
      <c r="L1181" s="25" t="s">
        <v>7</v>
      </c>
      <c r="M1181" s="8"/>
      <c r="N1181" s="9"/>
      <c r="O1181" s="52"/>
      <c r="P1181" s="11">
        <f t="shared" ref="P1181:P1188" si="1104">SUM(M1181:O1181)</f>
        <v>0</v>
      </c>
      <c r="Q1181" s="12"/>
      <c r="R1181" s="9"/>
      <c r="S1181" s="10"/>
      <c r="T1181" s="11">
        <f t="shared" ref="T1181:T1188" si="1105">SUM(Q1181:S1181)</f>
        <v>0</v>
      </c>
      <c r="U1181" s="11">
        <f t="shared" ref="U1181:U1188" si="1106">P1181+T1181</f>
        <v>0</v>
      </c>
    </row>
    <row r="1182" spans="1:24" x14ac:dyDescent="0.15">
      <c r="A1182" s="25" t="s">
        <v>8</v>
      </c>
      <c r="B1182" s="8"/>
      <c r="C1182" s="9"/>
      <c r="D1182" s="52"/>
      <c r="E1182" s="11">
        <f t="shared" si="1101"/>
        <v>0</v>
      </c>
      <c r="F1182" s="12"/>
      <c r="G1182" s="9"/>
      <c r="H1182" s="10"/>
      <c r="I1182" s="11">
        <f t="shared" si="1102"/>
        <v>0</v>
      </c>
      <c r="J1182" s="11">
        <f t="shared" si="1103"/>
        <v>0</v>
      </c>
      <c r="L1182" s="25" t="s">
        <v>8</v>
      </c>
      <c r="M1182" s="8"/>
      <c r="N1182" s="9"/>
      <c r="O1182" s="52"/>
      <c r="P1182" s="11">
        <f t="shared" si="1104"/>
        <v>0</v>
      </c>
      <c r="Q1182" s="12"/>
      <c r="R1182" s="9"/>
      <c r="S1182" s="10"/>
      <c r="T1182" s="11">
        <f t="shared" si="1105"/>
        <v>0</v>
      </c>
      <c r="U1182" s="11">
        <f t="shared" si="1106"/>
        <v>0</v>
      </c>
    </row>
    <row r="1183" spans="1:24" x14ac:dyDescent="0.15">
      <c r="A1183" s="25" t="s">
        <v>9</v>
      </c>
      <c r="B1183" s="8"/>
      <c r="C1183" s="9"/>
      <c r="D1183" s="52"/>
      <c r="E1183" s="11">
        <f t="shared" si="1101"/>
        <v>0</v>
      </c>
      <c r="F1183" s="12"/>
      <c r="G1183" s="9"/>
      <c r="H1183" s="10"/>
      <c r="I1183" s="11">
        <f t="shared" si="1102"/>
        <v>0</v>
      </c>
      <c r="J1183" s="11">
        <f t="shared" si="1103"/>
        <v>0</v>
      </c>
      <c r="L1183" s="25" t="s">
        <v>942</v>
      </c>
      <c r="M1183" s="8">
        <v>60</v>
      </c>
      <c r="N1183" s="9">
        <v>100</v>
      </c>
      <c r="O1183" s="52">
        <v>70</v>
      </c>
      <c r="P1183" s="11">
        <f t="shared" si="1104"/>
        <v>230</v>
      </c>
      <c r="Q1183" s="8">
        <v>60</v>
      </c>
      <c r="R1183" s="9">
        <v>100</v>
      </c>
      <c r="S1183" s="52">
        <v>70</v>
      </c>
      <c r="T1183" s="11">
        <f t="shared" si="1105"/>
        <v>230</v>
      </c>
      <c r="U1183" s="11">
        <f t="shared" si="1106"/>
        <v>460</v>
      </c>
      <c r="V1183" s="98" t="s">
        <v>956</v>
      </c>
      <c r="W1183" s="147"/>
    </row>
    <row r="1184" spans="1:24" x14ac:dyDescent="0.15">
      <c r="A1184" s="25" t="s">
        <v>10</v>
      </c>
      <c r="B1184" s="8"/>
      <c r="C1184" s="9"/>
      <c r="D1184" s="52"/>
      <c r="E1184" s="11">
        <f t="shared" si="1101"/>
        <v>0</v>
      </c>
      <c r="F1184" s="12"/>
      <c r="G1184" s="9"/>
      <c r="H1184" s="10"/>
      <c r="I1184" s="11">
        <f t="shared" si="1102"/>
        <v>0</v>
      </c>
      <c r="J1184" s="11">
        <f t="shared" si="1103"/>
        <v>0</v>
      </c>
      <c r="L1184" s="25" t="s">
        <v>676</v>
      </c>
      <c r="M1184" s="8">
        <v>40</v>
      </c>
      <c r="N1184" s="9"/>
      <c r="O1184" s="52">
        <v>30</v>
      </c>
      <c r="P1184" s="11">
        <f t="shared" ref="P1184" si="1107">SUM(M1184:O1184)</f>
        <v>70</v>
      </c>
      <c r="Q1184" s="12">
        <v>40</v>
      </c>
      <c r="R1184" s="9"/>
      <c r="S1184" s="10">
        <v>30</v>
      </c>
      <c r="T1184" s="11">
        <f t="shared" ref="T1184" si="1108">SUM(Q1184:S1184)</f>
        <v>70</v>
      </c>
      <c r="U1184" s="11">
        <f t="shared" ref="U1184" si="1109">P1184+T1184</f>
        <v>140</v>
      </c>
      <c r="V1184" s="100"/>
    </row>
    <row r="1185" spans="1:23" x14ac:dyDescent="0.15">
      <c r="A1185" s="25" t="s">
        <v>11</v>
      </c>
      <c r="B1185" s="8"/>
      <c r="C1185" s="9"/>
      <c r="D1185" s="52"/>
      <c r="E1185" s="11">
        <f t="shared" si="1101"/>
        <v>0</v>
      </c>
      <c r="F1185" s="12"/>
      <c r="G1185" s="9"/>
      <c r="H1185" s="10"/>
      <c r="I1185" s="11">
        <f t="shared" si="1102"/>
        <v>0</v>
      </c>
      <c r="J1185" s="11">
        <f t="shared" si="1103"/>
        <v>0</v>
      </c>
      <c r="L1185" s="25" t="s">
        <v>11</v>
      </c>
      <c r="M1185" s="8"/>
      <c r="N1185" s="9"/>
      <c r="O1185" s="52"/>
      <c r="P1185" s="11">
        <f t="shared" si="1104"/>
        <v>0</v>
      </c>
      <c r="Q1185" s="12"/>
      <c r="R1185" s="9"/>
      <c r="S1185" s="10"/>
      <c r="T1185" s="11">
        <f t="shared" si="1105"/>
        <v>0</v>
      </c>
      <c r="U1185" s="11">
        <f t="shared" si="1106"/>
        <v>0</v>
      </c>
    </row>
    <row r="1186" spans="1:23" x14ac:dyDescent="0.15">
      <c r="A1186" s="25" t="s">
        <v>12</v>
      </c>
      <c r="B1186" s="8"/>
      <c r="C1186" s="9"/>
      <c r="D1186" s="52"/>
      <c r="E1186" s="11">
        <f t="shared" si="1101"/>
        <v>0</v>
      </c>
      <c r="F1186" s="12"/>
      <c r="G1186" s="9"/>
      <c r="H1186" s="10"/>
      <c r="I1186" s="11">
        <f t="shared" si="1102"/>
        <v>0</v>
      </c>
      <c r="J1186" s="11">
        <f t="shared" si="1103"/>
        <v>0</v>
      </c>
      <c r="L1186" s="25" t="s">
        <v>801</v>
      </c>
      <c r="M1186" s="8"/>
      <c r="N1186" s="9">
        <v>2</v>
      </c>
      <c r="O1186" s="52"/>
      <c r="P1186" s="11">
        <f t="shared" si="1104"/>
        <v>2</v>
      </c>
      <c r="Q1186" s="12"/>
      <c r="R1186" s="9">
        <v>2</v>
      </c>
      <c r="S1186" s="10"/>
      <c r="T1186" s="11">
        <f t="shared" si="1105"/>
        <v>2</v>
      </c>
      <c r="U1186" s="11">
        <f t="shared" si="1106"/>
        <v>4</v>
      </c>
      <c r="V1186" s="99">
        <v>45990</v>
      </c>
    </row>
    <row r="1187" spans="1:23" x14ac:dyDescent="0.15">
      <c r="A1187" s="25" t="s">
        <v>13</v>
      </c>
      <c r="B1187" s="13"/>
      <c r="C1187" s="14"/>
      <c r="D1187" s="53"/>
      <c r="E1187" s="11">
        <f t="shared" si="1101"/>
        <v>0</v>
      </c>
      <c r="F1187" s="16"/>
      <c r="G1187" s="14"/>
      <c r="H1187" s="15"/>
      <c r="I1187" s="11">
        <f t="shared" si="1102"/>
        <v>0</v>
      </c>
      <c r="J1187" s="11">
        <f t="shared" si="1103"/>
        <v>0</v>
      </c>
      <c r="L1187" s="25" t="s">
        <v>13</v>
      </c>
      <c r="M1187" s="8"/>
      <c r="N1187" s="9"/>
      <c r="O1187" s="52"/>
      <c r="P1187" s="11">
        <f t="shared" si="1104"/>
        <v>0</v>
      </c>
      <c r="Q1187" s="12"/>
      <c r="R1187" s="9"/>
      <c r="S1187" s="10"/>
      <c r="T1187" s="11">
        <f t="shared" si="1105"/>
        <v>0</v>
      </c>
      <c r="U1187" s="11">
        <f t="shared" si="1106"/>
        <v>0</v>
      </c>
    </row>
    <row r="1188" spans="1:23" ht="14.25" thickBot="1" x14ac:dyDescent="0.2">
      <c r="A1188" s="25" t="s">
        <v>14</v>
      </c>
      <c r="B1188" s="32"/>
      <c r="C1188" s="33"/>
      <c r="D1188" s="54"/>
      <c r="E1188" s="61">
        <f t="shared" si="1101"/>
        <v>0</v>
      </c>
      <c r="F1188" s="34"/>
      <c r="G1188" s="34"/>
      <c r="H1188" s="37"/>
      <c r="I1188" s="61">
        <f t="shared" si="1102"/>
        <v>0</v>
      </c>
      <c r="J1188" s="21">
        <f t="shared" si="1103"/>
        <v>0</v>
      </c>
      <c r="L1188" s="25" t="s">
        <v>14</v>
      </c>
      <c r="M1188" s="32"/>
      <c r="N1188" s="33"/>
      <c r="O1188" s="54"/>
      <c r="P1188" s="61">
        <f t="shared" si="1104"/>
        <v>0</v>
      </c>
      <c r="Q1188" s="34"/>
      <c r="R1188" s="34"/>
      <c r="S1188" s="37"/>
      <c r="T1188" s="61">
        <f t="shared" si="1105"/>
        <v>0</v>
      </c>
      <c r="U1188" s="21">
        <f t="shared" si="1106"/>
        <v>0</v>
      </c>
    </row>
    <row r="1189" spans="1:23" ht="14.25" thickBot="1" x14ac:dyDescent="0.2">
      <c r="A1189" s="35" t="s">
        <v>15</v>
      </c>
      <c r="B1189" s="28">
        <f>SUM(B1180:B1188)</f>
        <v>0</v>
      </c>
      <c r="C1189" s="29">
        <f>SUM(C1180:C1188)</f>
        <v>2</v>
      </c>
      <c r="D1189" s="30">
        <f>SUM(D1180:D1188)</f>
        <v>1</v>
      </c>
      <c r="E1189" s="31">
        <f>SUM(B1189:D1189)</f>
        <v>3</v>
      </c>
      <c r="F1189" s="28">
        <f>SUM(F1180:F1188)</f>
        <v>0</v>
      </c>
      <c r="G1189" s="29">
        <f>SUM(G1180:G1188)</f>
        <v>2</v>
      </c>
      <c r="H1189" s="30">
        <f>SUM(H1180:H1188)</f>
        <v>1</v>
      </c>
      <c r="I1189" s="31">
        <f>SUM(F1189:H1189)</f>
        <v>3</v>
      </c>
      <c r="J1189" s="31">
        <f>E1189+I1189</f>
        <v>6</v>
      </c>
      <c r="L1189" s="35" t="s">
        <v>15</v>
      </c>
      <c r="M1189" s="28">
        <f>SUM(M1180:M1188)</f>
        <v>117</v>
      </c>
      <c r="N1189" s="29">
        <f>SUM(N1180:N1188)</f>
        <v>131</v>
      </c>
      <c r="O1189" s="30">
        <f>SUM(O1180:O1188)</f>
        <v>150</v>
      </c>
      <c r="P1189" s="31">
        <f>SUM(M1189:O1189)</f>
        <v>398</v>
      </c>
      <c r="Q1189" s="28">
        <f>SUM(Q1180:Q1188)</f>
        <v>117</v>
      </c>
      <c r="R1189" s="29">
        <f>SUM(R1180:R1188)</f>
        <v>131</v>
      </c>
      <c r="S1189" s="30">
        <f>SUM(S1180:S1188)</f>
        <v>150</v>
      </c>
      <c r="T1189" s="31">
        <f>SUM(Q1189:S1189)</f>
        <v>398</v>
      </c>
      <c r="U1189" s="31">
        <f>P1189+T1189</f>
        <v>796</v>
      </c>
    </row>
    <row r="1190" spans="1:23" x14ac:dyDescent="0.15">
      <c r="A1190" s="108" t="s">
        <v>958</v>
      </c>
      <c r="B1190" s="8"/>
      <c r="C1190" s="9">
        <v>2</v>
      </c>
      <c r="D1190" s="10"/>
      <c r="E1190" s="49">
        <f t="shared" ref="E1190:E1216" si="1110">SUM(B1190:D1190)</f>
        <v>2</v>
      </c>
      <c r="F1190" s="12"/>
      <c r="G1190" s="9">
        <v>2</v>
      </c>
      <c r="H1190" s="10"/>
      <c r="I1190" s="49">
        <f t="shared" ref="I1190:I1216" si="1111">SUM(F1190:H1190)</f>
        <v>2</v>
      </c>
      <c r="J1190" s="11">
        <f t="shared" ref="J1190:J1215" si="1112">E1190+I1190</f>
        <v>4</v>
      </c>
      <c r="K1190" s="62">
        <v>45990</v>
      </c>
      <c r="L1190" s="26" t="s">
        <v>164</v>
      </c>
      <c r="M1190" s="8">
        <v>6</v>
      </c>
      <c r="N1190" s="9">
        <v>4</v>
      </c>
      <c r="O1190" s="52">
        <v>5</v>
      </c>
      <c r="P1190" s="87">
        <f t="shared" ref="P1190:P1216" si="1113">SUM(M1190:O1190)</f>
        <v>15</v>
      </c>
      <c r="Q1190" s="8">
        <v>6</v>
      </c>
      <c r="R1190" s="9">
        <v>4</v>
      </c>
      <c r="S1190" s="10">
        <v>5</v>
      </c>
      <c r="T1190" s="49">
        <f t="shared" ref="T1190:T1216" si="1114">SUM(Q1190:S1190)</f>
        <v>15</v>
      </c>
      <c r="U1190" s="11">
        <f t="shared" ref="U1190:U1213" si="1115">P1190+T1190</f>
        <v>30</v>
      </c>
      <c r="V1190" s="98">
        <v>45975</v>
      </c>
    </row>
    <row r="1191" spans="1:23" x14ac:dyDescent="0.15">
      <c r="A1191" s="108"/>
      <c r="B1191" s="8"/>
      <c r="C1191" s="9"/>
      <c r="D1191" s="10"/>
      <c r="E1191" s="49">
        <f t="shared" si="1110"/>
        <v>0</v>
      </c>
      <c r="F1191" s="12"/>
      <c r="G1191" s="9"/>
      <c r="H1191" s="10"/>
      <c r="I1191" s="49">
        <f t="shared" si="1111"/>
        <v>0</v>
      </c>
      <c r="J1191" s="11">
        <f t="shared" si="1112"/>
        <v>0</v>
      </c>
      <c r="K1191" s="62"/>
      <c r="L1191" s="26" t="s">
        <v>166</v>
      </c>
      <c r="M1191" s="8">
        <v>4</v>
      </c>
      <c r="N1191" s="9">
        <v>6</v>
      </c>
      <c r="O1191" s="52">
        <v>5</v>
      </c>
      <c r="P1191" s="87">
        <f t="shared" si="1113"/>
        <v>15</v>
      </c>
      <c r="Q1191" s="8">
        <v>4</v>
      </c>
      <c r="R1191" s="9">
        <v>6</v>
      </c>
      <c r="S1191" s="10">
        <v>5</v>
      </c>
      <c r="T1191" s="49">
        <f t="shared" si="1114"/>
        <v>15</v>
      </c>
      <c r="U1191" s="11">
        <f t="shared" si="1115"/>
        <v>30</v>
      </c>
      <c r="V1191" s="98">
        <v>45975</v>
      </c>
    </row>
    <row r="1192" spans="1:23" x14ac:dyDescent="0.15">
      <c r="A1192" s="108"/>
      <c r="B1192" s="8"/>
      <c r="C1192" s="9"/>
      <c r="D1192" s="10"/>
      <c r="E1192" s="49">
        <f t="shared" si="1110"/>
        <v>0</v>
      </c>
      <c r="F1192" s="12"/>
      <c r="G1192" s="9"/>
      <c r="H1192" s="10"/>
      <c r="I1192" s="49">
        <f t="shared" si="1111"/>
        <v>0</v>
      </c>
      <c r="J1192" s="11">
        <f t="shared" si="1112"/>
        <v>0</v>
      </c>
      <c r="K1192" s="62"/>
      <c r="L1192" s="26" t="s">
        <v>168</v>
      </c>
      <c r="M1192" s="8">
        <v>17</v>
      </c>
      <c r="N1192" s="9">
        <v>25</v>
      </c>
      <c r="O1192" s="52">
        <v>15</v>
      </c>
      <c r="P1192" s="87">
        <f t="shared" si="1113"/>
        <v>57</v>
      </c>
      <c r="Q1192" s="8">
        <v>17</v>
      </c>
      <c r="R1192" s="9">
        <v>25</v>
      </c>
      <c r="S1192" s="10">
        <v>15</v>
      </c>
      <c r="T1192" s="49">
        <f t="shared" si="1114"/>
        <v>57</v>
      </c>
      <c r="U1192" s="11">
        <f t="shared" si="1115"/>
        <v>114</v>
      </c>
      <c r="V1192" s="98">
        <v>45980</v>
      </c>
      <c r="W1192" s="66"/>
    </row>
    <row r="1193" spans="1:23" x14ac:dyDescent="0.15">
      <c r="A1193" s="108"/>
      <c r="B1193" s="8"/>
      <c r="C1193" s="9"/>
      <c r="D1193" s="10"/>
      <c r="E1193" s="49">
        <f t="shared" si="1110"/>
        <v>0</v>
      </c>
      <c r="F1193" s="12"/>
      <c r="G1193" s="9"/>
      <c r="H1193" s="10"/>
      <c r="I1193" s="49">
        <f t="shared" si="1111"/>
        <v>0</v>
      </c>
      <c r="J1193" s="11">
        <f t="shared" si="1112"/>
        <v>0</v>
      </c>
      <c r="K1193" s="62"/>
      <c r="L1193" s="26" t="s">
        <v>171</v>
      </c>
      <c r="M1193" s="8">
        <v>9</v>
      </c>
      <c r="N1193" s="9">
        <v>6</v>
      </c>
      <c r="O1193" s="52">
        <v>6</v>
      </c>
      <c r="P1193" s="87">
        <f t="shared" si="1113"/>
        <v>21</v>
      </c>
      <c r="Q1193" s="8">
        <v>9</v>
      </c>
      <c r="R1193" s="9">
        <v>6</v>
      </c>
      <c r="S1193" s="10">
        <v>6</v>
      </c>
      <c r="T1193" s="49">
        <f t="shared" si="1114"/>
        <v>21</v>
      </c>
      <c r="U1193" s="11">
        <f t="shared" si="1115"/>
        <v>42</v>
      </c>
      <c r="V1193" s="98">
        <v>45981</v>
      </c>
      <c r="W1193" s="66"/>
    </row>
    <row r="1194" spans="1:23" x14ac:dyDescent="0.15">
      <c r="A1194" s="108"/>
      <c r="B1194" s="8"/>
      <c r="C1194" s="9"/>
      <c r="D1194" s="10"/>
      <c r="E1194" s="49">
        <f t="shared" si="1110"/>
        <v>0</v>
      </c>
      <c r="F1194" s="12"/>
      <c r="G1194" s="9"/>
      <c r="H1194" s="10"/>
      <c r="I1194" s="49">
        <f t="shared" si="1111"/>
        <v>0</v>
      </c>
      <c r="J1194" s="11">
        <f t="shared" si="1112"/>
        <v>0</v>
      </c>
      <c r="K1194" s="62"/>
      <c r="L1194" s="26" t="s">
        <v>172</v>
      </c>
      <c r="M1194" s="8">
        <v>8</v>
      </c>
      <c r="N1194" s="9">
        <v>13</v>
      </c>
      <c r="O1194" s="52">
        <v>10</v>
      </c>
      <c r="P1194" s="87">
        <f t="shared" si="1113"/>
        <v>31</v>
      </c>
      <c r="Q1194" s="8">
        <v>8</v>
      </c>
      <c r="R1194" s="9">
        <v>13</v>
      </c>
      <c r="S1194" s="10">
        <v>10</v>
      </c>
      <c r="T1194" s="49">
        <f t="shared" si="1114"/>
        <v>31</v>
      </c>
      <c r="U1194" s="11">
        <f t="shared" si="1115"/>
        <v>62</v>
      </c>
      <c r="V1194" s="98">
        <v>45982</v>
      </c>
    </row>
    <row r="1195" spans="1:23" x14ac:dyDescent="0.15">
      <c r="A1195" s="108"/>
      <c r="B1195" s="8"/>
      <c r="C1195" s="9"/>
      <c r="D1195" s="10"/>
      <c r="E1195" s="49">
        <f t="shared" si="1110"/>
        <v>0</v>
      </c>
      <c r="F1195" s="12"/>
      <c r="G1195" s="9"/>
      <c r="H1195" s="10"/>
      <c r="I1195" s="49">
        <f t="shared" si="1111"/>
        <v>0</v>
      </c>
      <c r="J1195" s="11">
        <f t="shared" si="1112"/>
        <v>0</v>
      </c>
      <c r="K1195" s="62"/>
      <c r="L1195" s="26" t="s">
        <v>175</v>
      </c>
      <c r="M1195" s="8">
        <v>10</v>
      </c>
      <c r="N1195" s="9">
        <v>10</v>
      </c>
      <c r="O1195" s="52">
        <v>4</v>
      </c>
      <c r="P1195" s="87">
        <f t="shared" si="1113"/>
        <v>24</v>
      </c>
      <c r="Q1195" s="8">
        <v>10</v>
      </c>
      <c r="R1195" s="9">
        <v>10</v>
      </c>
      <c r="S1195" s="10">
        <v>4</v>
      </c>
      <c r="T1195" s="49">
        <f t="shared" si="1114"/>
        <v>24</v>
      </c>
      <c r="U1195" s="11">
        <f t="shared" si="1115"/>
        <v>48</v>
      </c>
      <c r="V1195" s="98">
        <v>45982</v>
      </c>
    </row>
    <row r="1196" spans="1:23" x14ac:dyDescent="0.15">
      <c r="A1196" s="108"/>
      <c r="B1196" s="8"/>
      <c r="C1196" s="9"/>
      <c r="D1196" s="10"/>
      <c r="E1196" s="49">
        <f t="shared" si="1110"/>
        <v>0</v>
      </c>
      <c r="F1196" s="12"/>
      <c r="G1196" s="9"/>
      <c r="H1196" s="10"/>
      <c r="I1196" s="49">
        <f t="shared" si="1111"/>
        <v>0</v>
      </c>
      <c r="J1196" s="11">
        <f t="shared" si="1112"/>
        <v>0</v>
      </c>
      <c r="K1196" s="62"/>
      <c r="L1196" s="26" t="s">
        <v>179</v>
      </c>
      <c r="M1196" s="8">
        <v>11</v>
      </c>
      <c r="N1196" s="9">
        <v>6</v>
      </c>
      <c r="O1196" s="52">
        <v>4</v>
      </c>
      <c r="P1196" s="87">
        <f t="shared" si="1113"/>
        <v>21</v>
      </c>
      <c r="Q1196" s="8">
        <v>11</v>
      </c>
      <c r="R1196" s="9">
        <v>6</v>
      </c>
      <c r="S1196" s="10">
        <v>4</v>
      </c>
      <c r="T1196" s="49">
        <f t="shared" si="1114"/>
        <v>21</v>
      </c>
      <c r="U1196" s="11">
        <f t="shared" si="1115"/>
        <v>42</v>
      </c>
      <c r="V1196" s="98">
        <v>45988</v>
      </c>
    </row>
    <row r="1197" spans="1:23" x14ac:dyDescent="0.15">
      <c r="A1197" s="108"/>
      <c r="B1197" s="8"/>
      <c r="C1197" s="9"/>
      <c r="D1197" s="10"/>
      <c r="E1197" s="49">
        <f t="shared" si="1110"/>
        <v>0</v>
      </c>
      <c r="F1197" s="12"/>
      <c r="G1197" s="9"/>
      <c r="H1197" s="10"/>
      <c r="I1197" s="49">
        <f t="shared" si="1111"/>
        <v>0</v>
      </c>
      <c r="J1197" s="11">
        <f t="shared" si="1112"/>
        <v>0</v>
      </c>
      <c r="K1197" s="62"/>
      <c r="L1197" s="26" t="s">
        <v>181</v>
      </c>
      <c r="M1197" s="8">
        <v>1</v>
      </c>
      <c r="N1197" s="9">
        <v>3</v>
      </c>
      <c r="O1197" s="52"/>
      <c r="P1197" s="87">
        <f t="shared" si="1113"/>
        <v>4</v>
      </c>
      <c r="Q1197" s="8">
        <v>1</v>
      </c>
      <c r="R1197" s="9">
        <v>3</v>
      </c>
      <c r="S1197" s="10"/>
      <c r="T1197" s="49">
        <f t="shared" si="1114"/>
        <v>4</v>
      </c>
      <c r="U1197" s="11">
        <f t="shared" si="1115"/>
        <v>8</v>
      </c>
      <c r="V1197" s="98">
        <v>45989</v>
      </c>
      <c r="W1197" s="66"/>
    </row>
    <row r="1198" spans="1:23" x14ac:dyDescent="0.15">
      <c r="A1198" s="108"/>
      <c r="B1198" s="8"/>
      <c r="C1198" s="9"/>
      <c r="D1198" s="10"/>
      <c r="E1198" s="49">
        <f t="shared" si="1110"/>
        <v>0</v>
      </c>
      <c r="F1198" s="12"/>
      <c r="G1198" s="9"/>
      <c r="H1198" s="10"/>
      <c r="I1198" s="49">
        <f t="shared" si="1111"/>
        <v>0</v>
      </c>
      <c r="J1198" s="11">
        <f t="shared" si="1112"/>
        <v>0</v>
      </c>
      <c r="K1198" s="62"/>
      <c r="L1198" s="26" t="s">
        <v>185</v>
      </c>
      <c r="M1198" s="8">
        <v>7</v>
      </c>
      <c r="N1198" s="9">
        <v>11</v>
      </c>
      <c r="O1198" s="52">
        <v>3</v>
      </c>
      <c r="P1198" s="87">
        <f t="shared" si="1113"/>
        <v>21</v>
      </c>
      <c r="Q1198" s="8">
        <v>7</v>
      </c>
      <c r="R1198" s="9">
        <v>11</v>
      </c>
      <c r="S1198" s="10">
        <v>3</v>
      </c>
      <c r="T1198" s="49">
        <f t="shared" si="1114"/>
        <v>21</v>
      </c>
      <c r="U1198" s="11">
        <f t="shared" si="1115"/>
        <v>42</v>
      </c>
      <c r="V1198" s="98">
        <v>45989</v>
      </c>
    </row>
    <row r="1199" spans="1:23" x14ac:dyDescent="0.15">
      <c r="A1199" s="108"/>
      <c r="B1199" s="8"/>
      <c r="C1199" s="9"/>
      <c r="D1199" s="10"/>
      <c r="E1199" s="49">
        <f t="shared" si="1110"/>
        <v>0</v>
      </c>
      <c r="F1199" s="12"/>
      <c r="G1199" s="9"/>
      <c r="H1199" s="10"/>
      <c r="I1199" s="49">
        <f t="shared" si="1111"/>
        <v>0</v>
      </c>
      <c r="J1199" s="11">
        <f t="shared" si="1112"/>
        <v>0</v>
      </c>
      <c r="K1199" s="62"/>
      <c r="L1199" s="26" t="s">
        <v>198</v>
      </c>
      <c r="M1199" s="8">
        <v>11</v>
      </c>
      <c r="N1199" s="9">
        <v>9</v>
      </c>
      <c r="O1199" s="52">
        <v>11</v>
      </c>
      <c r="P1199" s="87">
        <f t="shared" si="1113"/>
        <v>31</v>
      </c>
      <c r="Q1199" s="8">
        <v>11</v>
      </c>
      <c r="R1199" s="9">
        <v>9</v>
      </c>
      <c r="S1199" s="10">
        <v>11</v>
      </c>
      <c r="T1199" s="49">
        <f t="shared" si="1114"/>
        <v>31</v>
      </c>
      <c r="U1199" s="11">
        <f t="shared" si="1115"/>
        <v>62</v>
      </c>
      <c r="V1199" s="98">
        <v>45994</v>
      </c>
    </row>
    <row r="1200" spans="1:23" x14ac:dyDescent="0.15">
      <c r="A1200" s="108"/>
      <c r="B1200" s="8"/>
      <c r="C1200" s="9"/>
      <c r="D1200" s="10"/>
      <c r="E1200" s="49">
        <f t="shared" si="1110"/>
        <v>0</v>
      </c>
      <c r="F1200" s="12"/>
      <c r="G1200" s="9"/>
      <c r="H1200" s="10"/>
      <c r="I1200" s="49">
        <f t="shared" si="1111"/>
        <v>0</v>
      </c>
      <c r="J1200" s="11">
        <f t="shared" si="1112"/>
        <v>0</v>
      </c>
      <c r="K1200" s="62"/>
      <c r="L1200" s="26" t="s">
        <v>200</v>
      </c>
      <c r="M1200" s="8">
        <v>2</v>
      </c>
      <c r="N1200" s="9">
        <v>5</v>
      </c>
      <c r="O1200" s="52">
        <v>2</v>
      </c>
      <c r="P1200" s="87">
        <f t="shared" si="1113"/>
        <v>9</v>
      </c>
      <c r="Q1200" s="8">
        <v>2</v>
      </c>
      <c r="R1200" s="9">
        <v>5</v>
      </c>
      <c r="S1200" s="10">
        <v>2</v>
      </c>
      <c r="T1200" s="49">
        <f t="shared" si="1114"/>
        <v>9</v>
      </c>
      <c r="U1200" s="11">
        <f t="shared" si="1115"/>
        <v>18</v>
      </c>
      <c r="V1200" s="98">
        <v>45995</v>
      </c>
    </row>
    <row r="1201" spans="1:22" x14ac:dyDescent="0.15">
      <c r="A1201" s="108"/>
      <c r="B1201" s="8"/>
      <c r="C1201" s="9"/>
      <c r="D1201" s="10"/>
      <c r="E1201" s="49">
        <f t="shared" si="1110"/>
        <v>0</v>
      </c>
      <c r="F1201" s="12"/>
      <c r="G1201" s="9"/>
      <c r="H1201" s="10"/>
      <c r="I1201" s="49">
        <f t="shared" si="1111"/>
        <v>0</v>
      </c>
      <c r="J1201" s="11">
        <f t="shared" si="1112"/>
        <v>0</v>
      </c>
      <c r="K1201" s="62"/>
      <c r="L1201" s="26" t="s">
        <v>204</v>
      </c>
      <c r="M1201" s="8">
        <v>1</v>
      </c>
      <c r="N1201" s="9">
        <v>2</v>
      </c>
      <c r="O1201" s="52">
        <v>1</v>
      </c>
      <c r="P1201" s="87">
        <f t="shared" si="1113"/>
        <v>4</v>
      </c>
      <c r="Q1201" s="8">
        <v>1</v>
      </c>
      <c r="R1201" s="9">
        <v>2</v>
      </c>
      <c r="S1201" s="10">
        <v>1</v>
      </c>
      <c r="T1201" s="49">
        <f t="shared" si="1114"/>
        <v>4</v>
      </c>
      <c r="U1201" s="11">
        <f t="shared" si="1115"/>
        <v>8</v>
      </c>
      <c r="V1201" s="98">
        <v>45996</v>
      </c>
    </row>
    <row r="1202" spans="1:22" x14ac:dyDescent="0.15">
      <c r="A1202" s="108"/>
      <c r="B1202" s="8"/>
      <c r="C1202" s="9"/>
      <c r="D1202" s="10"/>
      <c r="E1202" s="49">
        <f t="shared" si="1110"/>
        <v>0</v>
      </c>
      <c r="F1202" s="12"/>
      <c r="G1202" s="9"/>
      <c r="H1202" s="10"/>
      <c r="I1202" s="49">
        <f t="shared" si="1111"/>
        <v>0</v>
      </c>
      <c r="J1202" s="11">
        <f t="shared" si="1112"/>
        <v>0</v>
      </c>
      <c r="K1202" s="62"/>
      <c r="L1202" s="26" t="s">
        <v>211</v>
      </c>
      <c r="M1202" s="8">
        <v>6</v>
      </c>
      <c r="N1202" s="9">
        <v>5</v>
      </c>
      <c r="O1202" s="52">
        <v>4</v>
      </c>
      <c r="P1202" s="87">
        <f t="shared" si="1113"/>
        <v>15</v>
      </c>
      <c r="Q1202" s="8">
        <v>6</v>
      </c>
      <c r="R1202" s="9">
        <v>5</v>
      </c>
      <c r="S1202" s="10">
        <v>4</v>
      </c>
      <c r="T1202" s="49">
        <f t="shared" si="1114"/>
        <v>15</v>
      </c>
      <c r="U1202" s="11">
        <f t="shared" si="1115"/>
        <v>30</v>
      </c>
      <c r="V1202" s="98">
        <v>45996</v>
      </c>
    </row>
    <row r="1203" spans="1:22" x14ac:dyDescent="0.15">
      <c r="A1203" s="108"/>
      <c r="B1203" s="8"/>
      <c r="C1203" s="9"/>
      <c r="D1203" s="10"/>
      <c r="E1203" s="49">
        <f t="shared" si="1110"/>
        <v>0</v>
      </c>
      <c r="F1203" s="12"/>
      <c r="G1203" s="9"/>
      <c r="H1203" s="10"/>
      <c r="I1203" s="49">
        <f t="shared" si="1111"/>
        <v>0</v>
      </c>
      <c r="J1203" s="11">
        <f t="shared" si="1112"/>
        <v>0</v>
      </c>
      <c r="K1203" s="62"/>
      <c r="L1203" s="26" t="s">
        <v>214</v>
      </c>
      <c r="M1203" s="8">
        <v>8</v>
      </c>
      <c r="N1203" s="9">
        <v>5</v>
      </c>
      <c r="O1203" s="52">
        <v>4</v>
      </c>
      <c r="P1203" s="87">
        <f t="shared" si="1113"/>
        <v>17</v>
      </c>
      <c r="Q1203" s="8">
        <v>8</v>
      </c>
      <c r="R1203" s="9">
        <v>5</v>
      </c>
      <c r="S1203" s="10">
        <v>4</v>
      </c>
      <c r="T1203" s="49">
        <f t="shared" si="1114"/>
        <v>17</v>
      </c>
      <c r="U1203" s="11">
        <f t="shared" si="1115"/>
        <v>34</v>
      </c>
      <c r="V1203" s="98">
        <v>45999</v>
      </c>
    </row>
    <row r="1204" spans="1:22" x14ac:dyDescent="0.15">
      <c r="A1204" s="108"/>
      <c r="B1204" s="8"/>
      <c r="C1204" s="9"/>
      <c r="D1204" s="10"/>
      <c r="E1204" s="49">
        <f t="shared" si="1110"/>
        <v>0</v>
      </c>
      <c r="F1204" s="12"/>
      <c r="G1204" s="9"/>
      <c r="H1204" s="10"/>
      <c r="I1204" s="49">
        <f t="shared" si="1111"/>
        <v>0</v>
      </c>
      <c r="J1204" s="11">
        <f t="shared" si="1112"/>
        <v>0</v>
      </c>
      <c r="K1204" s="62"/>
      <c r="L1204" s="26"/>
      <c r="M1204" s="8"/>
      <c r="N1204" s="9"/>
      <c r="O1204" s="52"/>
      <c r="P1204" s="87">
        <f t="shared" si="1113"/>
        <v>0</v>
      </c>
      <c r="Q1204" s="8"/>
      <c r="R1204" s="9"/>
      <c r="S1204" s="10"/>
      <c r="T1204" s="49">
        <f t="shared" si="1114"/>
        <v>0</v>
      </c>
      <c r="U1204" s="11">
        <f t="shared" si="1115"/>
        <v>0</v>
      </c>
      <c r="V1204" s="100"/>
    </row>
    <row r="1205" spans="1:22" x14ac:dyDescent="0.15">
      <c r="A1205" s="108"/>
      <c r="B1205" s="8"/>
      <c r="C1205" s="9"/>
      <c r="D1205" s="10"/>
      <c r="E1205" s="49">
        <f t="shared" si="1110"/>
        <v>0</v>
      </c>
      <c r="F1205" s="12"/>
      <c r="G1205" s="9"/>
      <c r="H1205" s="10"/>
      <c r="I1205" s="49">
        <f t="shared" si="1111"/>
        <v>0</v>
      </c>
      <c r="J1205" s="11">
        <f t="shared" si="1112"/>
        <v>0</v>
      </c>
      <c r="K1205" s="62"/>
      <c r="L1205" s="26"/>
      <c r="M1205" s="8"/>
      <c r="N1205" s="9"/>
      <c r="O1205" s="52"/>
      <c r="P1205" s="87">
        <f t="shared" si="1113"/>
        <v>0</v>
      </c>
      <c r="Q1205" s="8"/>
      <c r="R1205" s="9"/>
      <c r="S1205" s="10"/>
      <c r="T1205" s="49">
        <f t="shared" si="1114"/>
        <v>0</v>
      </c>
      <c r="U1205" s="11">
        <f t="shared" si="1115"/>
        <v>0</v>
      </c>
      <c r="V1205" s="100"/>
    </row>
    <row r="1206" spans="1:22" x14ac:dyDescent="0.15">
      <c r="A1206" s="108"/>
      <c r="B1206" s="8"/>
      <c r="C1206" s="9"/>
      <c r="D1206" s="10"/>
      <c r="E1206" s="49">
        <f t="shared" si="1110"/>
        <v>0</v>
      </c>
      <c r="F1206" s="12"/>
      <c r="G1206" s="9"/>
      <c r="H1206" s="10"/>
      <c r="I1206" s="49">
        <f t="shared" si="1111"/>
        <v>0</v>
      </c>
      <c r="J1206" s="11">
        <f t="shared" si="1112"/>
        <v>0</v>
      </c>
      <c r="K1206" s="62"/>
      <c r="L1206" s="26"/>
      <c r="M1206" s="8"/>
      <c r="N1206" s="9"/>
      <c r="O1206" s="52"/>
      <c r="P1206" s="87">
        <f t="shared" si="1113"/>
        <v>0</v>
      </c>
      <c r="Q1206" s="8"/>
      <c r="R1206" s="9"/>
      <c r="S1206" s="10"/>
      <c r="T1206" s="49">
        <f t="shared" si="1114"/>
        <v>0</v>
      </c>
      <c r="U1206" s="11">
        <f t="shared" si="1115"/>
        <v>0</v>
      </c>
      <c r="V1206" s="100"/>
    </row>
    <row r="1207" spans="1:22" x14ac:dyDescent="0.15">
      <c r="A1207" s="108"/>
      <c r="B1207" s="8"/>
      <c r="C1207" s="9"/>
      <c r="D1207" s="10"/>
      <c r="E1207" s="49">
        <f t="shared" si="1110"/>
        <v>0</v>
      </c>
      <c r="F1207" s="12"/>
      <c r="G1207" s="9"/>
      <c r="H1207" s="10"/>
      <c r="I1207" s="49">
        <f t="shared" si="1111"/>
        <v>0</v>
      </c>
      <c r="J1207" s="11">
        <f t="shared" si="1112"/>
        <v>0</v>
      </c>
      <c r="K1207" s="62"/>
      <c r="L1207" s="26"/>
      <c r="M1207" s="8"/>
      <c r="N1207" s="9"/>
      <c r="O1207" s="52"/>
      <c r="P1207" s="87">
        <f t="shared" si="1113"/>
        <v>0</v>
      </c>
      <c r="Q1207" s="8"/>
      <c r="R1207" s="9"/>
      <c r="S1207" s="10"/>
      <c r="T1207" s="49">
        <f t="shared" si="1114"/>
        <v>0</v>
      </c>
      <c r="U1207" s="11">
        <f t="shared" si="1115"/>
        <v>0</v>
      </c>
    </row>
    <row r="1208" spans="1:22" x14ac:dyDescent="0.15">
      <c r="A1208" s="108"/>
      <c r="B1208" s="8"/>
      <c r="C1208" s="9"/>
      <c r="D1208" s="10"/>
      <c r="E1208" s="49">
        <f t="shared" si="1110"/>
        <v>0</v>
      </c>
      <c r="F1208" s="12"/>
      <c r="G1208" s="9"/>
      <c r="H1208" s="10"/>
      <c r="I1208" s="49">
        <f t="shared" si="1111"/>
        <v>0</v>
      </c>
      <c r="J1208" s="11">
        <f t="shared" si="1112"/>
        <v>0</v>
      </c>
      <c r="K1208" s="62"/>
      <c r="L1208" s="26"/>
      <c r="M1208" s="8"/>
      <c r="N1208" s="9"/>
      <c r="O1208" s="52"/>
      <c r="P1208" s="87">
        <f t="shared" si="1113"/>
        <v>0</v>
      </c>
      <c r="Q1208" s="8"/>
      <c r="R1208" s="9"/>
      <c r="S1208" s="10"/>
      <c r="T1208" s="49">
        <f t="shared" si="1114"/>
        <v>0</v>
      </c>
      <c r="U1208" s="11">
        <f t="shared" si="1115"/>
        <v>0</v>
      </c>
    </row>
    <row r="1209" spans="1:22" x14ac:dyDescent="0.15">
      <c r="A1209" s="108"/>
      <c r="B1209" s="8"/>
      <c r="C1209" s="9"/>
      <c r="D1209" s="10"/>
      <c r="E1209" s="49">
        <f t="shared" si="1110"/>
        <v>0</v>
      </c>
      <c r="F1209" s="12"/>
      <c r="G1209" s="9"/>
      <c r="H1209" s="10"/>
      <c r="I1209" s="49">
        <f t="shared" si="1111"/>
        <v>0</v>
      </c>
      <c r="J1209" s="11">
        <f t="shared" si="1112"/>
        <v>0</v>
      </c>
      <c r="K1209" s="62"/>
      <c r="L1209" s="26"/>
      <c r="M1209" s="8"/>
      <c r="N1209" s="9"/>
      <c r="O1209" s="52"/>
      <c r="P1209" s="87">
        <f t="shared" si="1113"/>
        <v>0</v>
      </c>
      <c r="Q1209" s="8"/>
      <c r="R1209" s="9"/>
      <c r="S1209" s="10"/>
      <c r="T1209" s="49">
        <f t="shared" si="1114"/>
        <v>0</v>
      </c>
      <c r="U1209" s="11">
        <f t="shared" si="1115"/>
        <v>0</v>
      </c>
    </row>
    <row r="1210" spans="1:22" x14ac:dyDescent="0.15">
      <c r="A1210" s="108"/>
      <c r="B1210" s="8"/>
      <c r="C1210" s="9"/>
      <c r="D1210" s="10"/>
      <c r="E1210" s="49">
        <f t="shared" si="1110"/>
        <v>0</v>
      </c>
      <c r="F1210" s="12"/>
      <c r="G1210" s="9"/>
      <c r="H1210" s="10"/>
      <c r="I1210" s="49">
        <f t="shared" si="1111"/>
        <v>0</v>
      </c>
      <c r="J1210" s="11">
        <f t="shared" si="1112"/>
        <v>0</v>
      </c>
      <c r="K1210" s="62"/>
      <c r="L1210" s="26"/>
      <c r="M1210" s="8"/>
      <c r="N1210" s="9"/>
      <c r="O1210" s="52"/>
      <c r="P1210" s="87">
        <f t="shared" si="1113"/>
        <v>0</v>
      </c>
      <c r="Q1210" s="8"/>
      <c r="R1210" s="9"/>
      <c r="S1210" s="10"/>
      <c r="T1210" s="49">
        <f t="shared" si="1114"/>
        <v>0</v>
      </c>
      <c r="U1210" s="11">
        <f t="shared" si="1115"/>
        <v>0</v>
      </c>
    </row>
    <row r="1211" spans="1:22" x14ac:dyDescent="0.15">
      <c r="A1211" s="108"/>
      <c r="B1211" s="8"/>
      <c r="C1211" s="9"/>
      <c r="D1211" s="10"/>
      <c r="E1211" s="49">
        <f t="shared" si="1110"/>
        <v>0</v>
      </c>
      <c r="F1211" s="12"/>
      <c r="G1211" s="9"/>
      <c r="H1211" s="10"/>
      <c r="I1211" s="49">
        <f t="shared" si="1111"/>
        <v>0</v>
      </c>
      <c r="J1211" s="11">
        <f t="shared" si="1112"/>
        <v>0</v>
      </c>
      <c r="K1211" s="62"/>
      <c r="L1211" s="26"/>
      <c r="M1211" s="8"/>
      <c r="N1211" s="9"/>
      <c r="O1211" s="52"/>
      <c r="P1211" s="87">
        <f t="shared" si="1113"/>
        <v>0</v>
      </c>
      <c r="Q1211" s="8"/>
      <c r="R1211" s="9"/>
      <c r="S1211" s="10"/>
      <c r="T1211" s="49">
        <f t="shared" si="1114"/>
        <v>0</v>
      </c>
      <c r="U1211" s="11">
        <f t="shared" si="1115"/>
        <v>0</v>
      </c>
    </row>
    <row r="1212" spans="1:22" x14ac:dyDescent="0.15">
      <c r="A1212" s="108"/>
      <c r="B1212" s="8"/>
      <c r="C1212" s="9"/>
      <c r="D1212" s="10"/>
      <c r="E1212" s="49">
        <f t="shared" si="1110"/>
        <v>0</v>
      </c>
      <c r="F1212" s="12"/>
      <c r="G1212" s="9"/>
      <c r="H1212" s="10"/>
      <c r="I1212" s="49">
        <f t="shared" si="1111"/>
        <v>0</v>
      </c>
      <c r="J1212" s="11">
        <f t="shared" si="1112"/>
        <v>0</v>
      </c>
      <c r="K1212" s="62"/>
      <c r="L1212" s="26"/>
      <c r="M1212" s="8"/>
      <c r="N1212" s="9"/>
      <c r="O1212" s="52"/>
      <c r="P1212" s="87">
        <f t="shared" si="1113"/>
        <v>0</v>
      </c>
      <c r="Q1212" s="8"/>
      <c r="R1212" s="9"/>
      <c r="S1212" s="10"/>
      <c r="T1212" s="49">
        <f t="shared" si="1114"/>
        <v>0</v>
      </c>
      <c r="U1212" s="11">
        <f t="shared" si="1115"/>
        <v>0</v>
      </c>
    </row>
    <row r="1213" spans="1:22" x14ac:dyDescent="0.15">
      <c r="A1213" s="108"/>
      <c r="B1213" s="8"/>
      <c r="C1213" s="9"/>
      <c r="D1213" s="10"/>
      <c r="E1213" s="49">
        <f t="shared" si="1110"/>
        <v>0</v>
      </c>
      <c r="F1213" s="12"/>
      <c r="G1213" s="9"/>
      <c r="H1213" s="10"/>
      <c r="I1213" s="49">
        <f t="shared" si="1111"/>
        <v>0</v>
      </c>
      <c r="J1213" s="11">
        <f t="shared" si="1112"/>
        <v>0</v>
      </c>
      <c r="K1213" s="62"/>
      <c r="L1213" s="26" t="s">
        <v>948</v>
      </c>
      <c r="M1213" s="8"/>
      <c r="N1213" s="9"/>
      <c r="O1213" s="52"/>
      <c r="P1213" s="87">
        <f t="shared" si="1113"/>
        <v>0</v>
      </c>
      <c r="Q1213" s="8"/>
      <c r="R1213" s="9"/>
      <c r="S1213" s="10"/>
      <c r="T1213" s="49">
        <f t="shared" si="1114"/>
        <v>0</v>
      </c>
      <c r="U1213" s="11">
        <f t="shared" si="1115"/>
        <v>0</v>
      </c>
      <c r="V1213" s="100" t="s">
        <v>497</v>
      </c>
    </row>
    <row r="1214" spans="1:22" x14ac:dyDescent="0.15">
      <c r="A1214" s="108"/>
      <c r="B1214" s="8"/>
      <c r="C1214" s="9"/>
      <c r="D1214" s="10"/>
      <c r="E1214" s="49">
        <f t="shared" si="1110"/>
        <v>0</v>
      </c>
      <c r="F1214" s="12"/>
      <c r="G1214" s="9"/>
      <c r="H1214" s="10"/>
      <c r="I1214" s="49">
        <f t="shared" si="1111"/>
        <v>0</v>
      </c>
      <c r="J1214" s="11">
        <f t="shared" si="1112"/>
        <v>0</v>
      </c>
      <c r="K1214" s="62"/>
      <c r="L1214" s="26" t="s">
        <v>946</v>
      </c>
      <c r="M1214" s="8"/>
      <c r="N1214" s="9"/>
      <c r="O1214" s="52"/>
      <c r="P1214" s="87">
        <f t="shared" ref="P1214:P1215" si="1116">SUM(M1214:O1214)</f>
        <v>0</v>
      </c>
      <c r="Q1214" s="8"/>
      <c r="R1214" s="9"/>
      <c r="S1214" s="10"/>
      <c r="T1214" s="49">
        <f t="shared" ref="T1214:T1215" si="1117">SUM(Q1214:S1214)</f>
        <v>0</v>
      </c>
      <c r="U1214" s="11">
        <f t="shared" ref="U1214:U1215" si="1118">P1214+T1214</f>
        <v>0</v>
      </c>
      <c r="V1214" s="100" t="s">
        <v>341</v>
      </c>
    </row>
    <row r="1215" spans="1:22" ht="14.25" thickBot="1" x14ac:dyDescent="0.2">
      <c r="A1215" s="108"/>
      <c r="B1215" s="8"/>
      <c r="C1215" s="9"/>
      <c r="D1215" s="10"/>
      <c r="E1215" s="49">
        <f t="shared" si="1110"/>
        <v>0</v>
      </c>
      <c r="F1215" s="12"/>
      <c r="G1215" s="9"/>
      <c r="H1215" s="10"/>
      <c r="I1215" s="49">
        <f t="shared" si="1111"/>
        <v>0</v>
      </c>
      <c r="J1215" s="11">
        <f t="shared" si="1112"/>
        <v>0</v>
      </c>
      <c r="K1215" s="62"/>
      <c r="L1215" s="26" t="s">
        <v>949</v>
      </c>
      <c r="M1215" s="8"/>
      <c r="N1215" s="9"/>
      <c r="O1215" s="52"/>
      <c r="P1215" s="87">
        <f t="shared" si="1116"/>
        <v>0</v>
      </c>
      <c r="Q1215" s="8"/>
      <c r="R1215" s="9"/>
      <c r="S1215" s="10"/>
      <c r="T1215" s="49">
        <f t="shared" si="1117"/>
        <v>0</v>
      </c>
      <c r="U1215" s="11">
        <f t="shared" si="1118"/>
        <v>0</v>
      </c>
      <c r="V1215" s="100" t="s">
        <v>503</v>
      </c>
    </row>
    <row r="1216" spans="1:22" ht="14.25" thickBot="1" x14ac:dyDescent="0.2">
      <c r="A1216" s="41" t="s">
        <v>17</v>
      </c>
      <c r="B1216" s="46">
        <f>SUM(B1190:B1215)</f>
        <v>0</v>
      </c>
      <c r="C1216" s="47">
        <f t="shared" ref="C1216:D1216" si="1119">SUM(C1190:C1215)</f>
        <v>2</v>
      </c>
      <c r="D1216" s="58">
        <f t="shared" si="1119"/>
        <v>0</v>
      </c>
      <c r="E1216" s="45">
        <f t="shared" si="1110"/>
        <v>2</v>
      </c>
      <c r="F1216" s="46">
        <f>SUM(F1190:F1215)</f>
        <v>0</v>
      </c>
      <c r="G1216" s="47">
        <f t="shared" ref="G1216:H1216" si="1120">SUM(G1190:G1215)</f>
        <v>2</v>
      </c>
      <c r="H1216" s="58">
        <f t="shared" si="1120"/>
        <v>0</v>
      </c>
      <c r="I1216" s="45">
        <f t="shared" si="1111"/>
        <v>2</v>
      </c>
      <c r="J1216" s="45">
        <f>E1216+I1216</f>
        <v>4</v>
      </c>
      <c r="L1216" s="41" t="s">
        <v>17</v>
      </c>
      <c r="M1216" s="46">
        <f>SUM(M1190:M1215)</f>
        <v>101</v>
      </c>
      <c r="N1216" s="47">
        <f t="shared" ref="N1216:O1216" si="1121">SUM(N1190:N1215)</f>
        <v>110</v>
      </c>
      <c r="O1216" s="58">
        <f t="shared" si="1121"/>
        <v>74</v>
      </c>
      <c r="P1216" s="45">
        <f t="shared" si="1113"/>
        <v>285</v>
      </c>
      <c r="Q1216" s="46">
        <f>SUM(Q1190:Q1215)</f>
        <v>101</v>
      </c>
      <c r="R1216" s="47">
        <f t="shared" ref="R1216:S1216" si="1122">SUM(R1190:R1215)</f>
        <v>110</v>
      </c>
      <c r="S1216" s="58">
        <f t="shared" si="1122"/>
        <v>74</v>
      </c>
      <c r="T1216" s="45">
        <f t="shared" si="1114"/>
        <v>285</v>
      </c>
      <c r="U1216" s="45">
        <f>P1216+T1216</f>
        <v>570</v>
      </c>
    </row>
    <row r="1217" spans="1:24" ht="14.25" thickBot="1" x14ac:dyDescent="0.2">
      <c r="A1217" s="22" t="s">
        <v>16</v>
      </c>
      <c r="B1217" s="50">
        <f>B1189-B1216</f>
        <v>0</v>
      </c>
      <c r="C1217" s="56">
        <f t="shared" ref="C1217:D1217" si="1123">C1189-C1216</f>
        <v>0</v>
      </c>
      <c r="D1217" s="57">
        <f t="shared" si="1123"/>
        <v>1</v>
      </c>
      <c r="E1217" s="55">
        <f>SUM(B1217:D1217)</f>
        <v>1</v>
      </c>
      <c r="F1217" s="50">
        <f>F1189-F1216</f>
        <v>0</v>
      </c>
      <c r="G1217" s="56">
        <f t="shared" ref="G1217:H1217" si="1124">G1189-G1216</f>
        <v>0</v>
      </c>
      <c r="H1217" s="57">
        <f t="shared" si="1124"/>
        <v>1</v>
      </c>
      <c r="I1217" s="55">
        <f>SUM(F1217:H1217)</f>
        <v>1</v>
      </c>
      <c r="J1217" s="31">
        <f>E1217+I1217</f>
        <v>2</v>
      </c>
      <c r="L1217" s="22" t="s">
        <v>16</v>
      </c>
      <c r="M1217" s="50">
        <f>M1189-M1216</f>
        <v>16</v>
      </c>
      <c r="N1217" s="56">
        <f t="shared" ref="N1217:O1217" si="1125">N1189-N1216</f>
        <v>21</v>
      </c>
      <c r="O1217" s="57">
        <f t="shared" si="1125"/>
        <v>76</v>
      </c>
      <c r="P1217" s="55">
        <f>SUM(M1217:O1217)</f>
        <v>113</v>
      </c>
      <c r="Q1217" s="50">
        <f>Q1189-Q1216</f>
        <v>16</v>
      </c>
      <c r="R1217" s="56">
        <f t="shared" ref="R1217:S1217" si="1126">R1189-R1216</f>
        <v>21</v>
      </c>
      <c r="S1217" s="57">
        <f t="shared" si="1126"/>
        <v>76</v>
      </c>
      <c r="T1217" s="55">
        <f>SUM(Q1217:S1217)</f>
        <v>113</v>
      </c>
      <c r="U1217" s="31">
        <f>P1217+T1217</f>
        <v>226</v>
      </c>
    </row>
    <row r="1220" spans="1:24" ht="19.5" thickBot="1" x14ac:dyDescent="0.25">
      <c r="A1220" s="3" t="s">
        <v>908</v>
      </c>
      <c r="L1220" s="129" t="s">
        <v>994</v>
      </c>
      <c r="M1220" s="129"/>
      <c r="N1220" s="129"/>
      <c r="O1220" s="129"/>
      <c r="P1220" s="129"/>
      <c r="Q1220" s="129"/>
    </row>
    <row r="1221" spans="1:24" ht="14.25" thickBot="1" x14ac:dyDescent="0.2">
      <c r="A1221" s="7"/>
      <c r="B1221" s="169" t="s">
        <v>22</v>
      </c>
      <c r="C1221" s="170"/>
      <c r="D1221" s="170"/>
      <c r="E1221" s="171"/>
      <c r="F1221" s="169" t="s">
        <v>23</v>
      </c>
      <c r="G1221" s="170"/>
      <c r="H1221" s="170"/>
      <c r="I1221" s="171"/>
      <c r="J1221" s="172" t="s">
        <v>0</v>
      </c>
      <c r="L1221" s="7"/>
      <c r="M1221" s="169" t="s">
        <v>22</v>
      </c>
      <c r="N1221" s="170"/>
      <c r="O1221" s="170"/>
      <c r="P1221" s="171"/>
      <c r="Q1221" s="169" t="s">
        <v>23</v>
      </c>
      <c r="R1221" s="170"/>
      <c r="S1221" s="170"/>
      <c r="T1221" s="171"/>
      <c r="U1221" s="174" t="s">
        <v>0</v>
      </c>
    </row>
    <row r="1222" spans="1:24" ht="14.25" thickBot="1" x14ac:dyDescent="0.2">
      <c r="A1222" s="7" t="s">
        <v>1</v>
      </c>
      <c r="B1222" s="4" t="s">
        <v>2</v>
      </c>
      <c r="C1222" s="5" t="s">
        <v>3</v>
      </c>
      <c r="D1222" s="6" t="s">
        <v>4</v>
      </c>
      <c r="E1222" s="7" t="s">
        <v>5</v>
      </c>
      <c r="F1222" s="4" t="s">
        <v>2</v>
      </c>
      <c r="G1222" s="5" t="s">
        <v>3</v>
      </c>
      <c r="H1222" s="6" t="s">
        <v>4</v>
      </c>
      <c r="I1222" s="7" t="s">
        <v>5</v>
      </c>
      <c r="J1222" s="173"/>
      <c r="L1222" s="7" t="s">
        <v>1</v>
      </c>
      <c r="M1222" s="4" t="s">
        <v>2</v>
      </c>
      <c r="N1222" s="5" t="s">
        <v>3</v>
      </c>
      <c r="O1222" s="6" t="s">
        <v>4</v>
      </c>
      <c r="P1222" s="7" t="s">
        <v>5</v>
      </c>
      <c r="Q1222" s="4" t="s">
        <v>2</v>
      </c>
      <c r="R1222" s="5" t="s">
        <v>3</v>
      </c>
      <c r="S1222" s="6" t="s">
        <v>4</v>
      </c>
      <c r="T1222" s="7" t="s">
        <v>5</v>
      </c>
      <c r="U1222" s="175"/>
    </row>
    <row r="1223" spans="1:24" ht="14.25" thickBot="1" x14ac:dyDescent="0.2">
      <c r="A1223" s="27" t="s">
        <v>16</v>
      </c>
      <c r="B1223" s="28">
        <f t="shared" ref="B1223:I1223" si="1127">B1217</f>
        <v>0</v>
      </c>
      <c r="C1223" s="29">
        <f t="shared" si="1127"/>
        <v>0</v>
      </c>
      <c r="D1223" s="30">
        <f t="shared" si="1127"/>
        <v>1</v>
      </c>
      <c r="E1223" s="31">
        <f t="shared" si="1127"/>
        <v>1</v>
      </c>
      <c r="F1223" s="28">
        <f t="shared" si="1127"/>
        <v>0</v>
      </c>
      <c r="G1223" s="29">
        <f t="shared" si="1127"/>
        <v>0</v>
      </c>
      <c r="H1223" s="30">
        <f t="shared" si="1127"/>
        <v>1</v>
      </c>
      <c r="I1223" s="31">
        <f t="shared" si="1127"/>
        <v>1</v>
      </c>
      <c r="J1223" s="31">
        <f t="shared" ref="J1223:J1260" si="1128">E1223+I1223</f>
        <v>2</v>
      </c>
      <c r="L1223" s="27" t="s">
        <v>16</v>
      </c>
      <c r="M1223" s="50">
        <f t="shared" ref="M1223:U1223" si="1129">M1217</f>
        <v>16</v>
      </c>
      <c r="N1223" s="56">
        <f t="shared" si="1129"/>
        <v>21</v>
      </c>
      <c r="O1223" s="57">
        <f t="shared" si="1129"/>
        <v>76</v>
      </c>
      <c r="P1223" s="55">
        <f t="shared" si="1129"/>
        <v>113</v>
      </c>
      <c r="Q1223" s="50">
        <f t="shared" si="1129"/>
        <v>16</v>
      </c>
      <c r="R1223" s="56">
        <f t="shared" si="1129"/>
        <v>21</v>
      </c>
      <c r="S1223" s="57">
        <f t="shared" si="1129"/>
        <v>76</v>
      </c>
      <c r="T1223" s="55">
        <f t="shared" si="1129"/>
        <v>113</v>
      </c>
      <c r="U1223" s="31">
        <f t="shared" si="1129"/>
        <v>226</v>
      </c>
    </row>
    <row r="1224" spans="1:24" x14ac:dyDescent="0.15">
      <c r="A1224" s="25" t="s">
        <v>885</v>
      </c>
      <c r="B1224" s="8">
        <v>4</v>
      </c>
      <c r="C1224" s="9">
        <v>1</v>
      </c>
      <c r="D1224" s="52">
        <v>1</v>
      </c>
      <c r="E1224" s="11">
        <f t="shared" ref="E1224:E1260" si="1130">SUM(B1224:D1224)</f>
        <v>6</v>
      </c>
      <c r="F1224" s="12">
        <v>4</v>
      </c>
      <c r="G1224" s="9">
        <v>1</v>
      </c>
      <c r="H1224" s="10">
        <v>1</v>
      </c>
      <c r="I1224" s="11">
        <f t="shared" ref="I1224:I1260" si="1131">SUM(F1224:H1224)</f>
        <v>6</v>
      </c>
      <c r="J1224" s="11">
        <f t="shared" si="1128"/>
        <v>12</v>
      </c>
      <c r="K1224" s="64">
        <v>46000</v>
      </c>
      <c r="L1224" s="25" t="s">
        <v>7</v>
      </c>
      <c r="M1224" s="8"/>
      <c r="N1224" s="9"/>
      <c r="O1224" s="52"/>
      <c r="P1224" s="11">
        <f t="shared" ref="P1224:P1231" si="1132">SUM(M1224:O1224)</f>
        <v>0</v>
      </c>
      <c r="Q1224" s="12"/>
      <c r="R1224" s="9"/>
      <c r="S1224" s="10"/>
      <c r="T1224" s="11">
        <f t="shared" ref="T1224:T1231" si="1133">SUM(Q1224:S1224)</f>
        <v>0</v>
      </c>
      <c r="U1224" s="11">
        <f t="shared" ref="U1224:U1231" si="1134">P1224+T1224</f>
        <v>0</v>
      </c>
    </row>
    <row r="1225" spans="1:24" x14ac:dyDescent="0.15">
      <c r="A1225" s="25" t="s">
        <v>885</v>
      </c>
      <c r="B1225" s="8">
        <v>1</v>
      </c>
      <c r="C1225" s="9">
        <v>1</v>
      </c>
      <c r="D1225" s="52"/>
      <c r="E1225" s="11">
        <f t="shared" si="1130"/>
        <v>2</v>
      </c>
      <c r="F1225" s="12">
        <v>1</v>
      </c>
      <c r="G1225" s="9">
        <v>1</v>
      </c>
      <c r="H1225" s="10"/>
      <c r="I1225" s="11">
        <f t="shared" si="1131"/>
        <v>2</v>
      </c>
      <c r="J1225" s="11">
        <f t="shared" si="1128"/>
        <v>4</v>
      </c>
      <c r="K1225" s="64">
        <v>46015</v>
      </c>
      <c r="L1225" s="25" t="s">
        <v>8</v>
      </c>
      <c r="M1225" s="8"/>
      <c r="N1225" s="9"/>
      <c r="O1225" s="52"/>
      <c r="P1225" s="11">
        <f t="shared" si="1132"/>
        <v>0</v>
      </c>
      <c r="Q1225" s="12"/>
      <c r="R1225" s="9"/>
      <c r="S1225" s="10"/>
      <c r="T1225" s="11">
        <f t="shared" si="1133"/>
        <v>0</v>
      </c>
      <c r="U1225" s="11">
        <f t="shared" si="1134"/>
        <v>0</v>
      </c>
    </row>
    <row r="1226" spans="1:24" x14ac:dyDescent="0.15">
      <c r="A1226" s="25" t="s">
        <v>9</v>
      </c>
      <c r="B1226" s="8"/>
      <c r="C1226" s="9">
        <v>2</v>
      </c>
      <c r="D1226" s="52">
        <v>1</v>
      </c>
      <c r="E1226" s="11">
        <f t="shared" si="1130"/>
        <v>3</v>
      </c>
      <c r="F1226" s="12"/>
      <c r="G1226" s="9">
        <v>2</v>
      </c>
      <c r="H1226" s="10">
        <v>1</v>
      </c>
      <c r="I1226" s="11">
        <f t="shared" si="1131"/>
        <v>3</v>
      </c>
      <c r="J1226" s="11">
        <f t="shared" si="1128"/>
        <v>6</v>
      </c>
      <c r="K1226" s="64">
        <v>46038</v>
      </c>
      <c r="L1226" s="25" t="s">
        <v>9</v>
      </c>
      <c r="M1226" s="8">
        <v>100</v>
      </c>
      <c r="N1226" s="9">
        <v>130</v>
      </c>
      <c r="O1226" s="52">
        <v>100</v>
      </c>
      <c r="P1226" s="11">
        <f t="shared" si="1132"/>
        <v>330</v>
      </c>
      <c r="Q1226" s="12">
        <v>100</v>
      </c>
      <c r="R1226" s="12">
        <v>130</v>
      </c>
      <c r="S1226" s="145">
        <v>100</v>
      </c>
      <c r="T1226" s="11">
        <f t="shared" si="1133"/>
        <v>330</v>
      </c>
      <c r="U1226" s="11">
        <f t="shared" si="1134"/>
        <v>660</v>
      </c>
      <c r="V1226" s="98" t="s">
        <v>963</v>
      </c>
      <c r="W1226" s="66"/>
      <c r="X1226" s="66"/>
    </row>
    <row r="1227" spans="1:24" x14ac:dyDescent="0.15">
      <c r="A1227" s="25" t="s">
        <v>10</v>
      </c>
      <c r="B1227" s="8"/>
      <c r="C1227" s="9"/>
      <c r="D1227" s="52"/>
      <c r="E1227" s="11">
        <f t="shared" si="1130"/>
        <v>0</v>
      </c>
      <c r="F1227" s="12"/>
      <c r="G1227" s="9"/>
      <c r="H1227" s="10"/>
      <c r="I1227" s="11">
        <f t="shared" si="1131"/>
        <v>0</v>
      </c>
      <c r="J1227" s="11">
        <f t="shared" si="1128"/>
        <v>0</v>
      </c>
      <c r="L1227" s="25" t="s">
        <v>10</v>
      </c>
      <c r="M1227" s="17"/>
      <c r="N1227" s="18"/>
      <c r="O1227" s="51"/>
      <c r="P1227" s="49">
        <f t="shared" si="1132"/>
        <v>0</v>
      </c>
      <c r="Q1227" s="20"/>
      <c r="R1227" s="18"/>
      <c r="S1227" s="19"/>
      <c r="T1227" s="49">
        <f t="shared" si="1133"/>
        <v>0</v>
      </c>
      <c r="U1227" s="49">
        <f t="shared" si="1134"/>
        <v>0</v>
      </c>
      <c r="V1227" s="100"/>
      <c r="W1227" s="66"/>
      <c r="X1227" s="66"/>
    </row>
    <row r="1228" spans="1:24" x14ac:dyDescent="0.15">
      <c r="A1228" s="25" t="s">
        <v>11</v>
      </c>
      <c r="B1228" s="8"/>
      <c r="C1228" s="9"/>
      <c r="D1228" s="52"/>
      <c r="E1228" s="11">
        <f t="shared" si="1130"/>
        <v>0</v>
      </c>
      <c r="F1228" s="12"/>
      <c r="G1228" s="9"/>
      <c r="H1228" s="10"/>
      <c r="I1228" s="11">
        <f t="shared" si="1131"/>
        <v>0</v>
      </c>
      <c r="J1228" s="11">
        <f t="shared" si="1128"/>
        <v>0</v>
      </c>
      <c r="L1228" s="25" t="s">
        <v>13</v>
      </c>
      <c r="M1228" s="8">
        <v>50</v>
      </c>
      <c r="N1228" s="9">
        <v>40</v>
      </c>
      <c r="O1228" s="52">
        <v>50</v>
      </c>
      <c r="P1228" s="11">
        <f t="shared" ref="P1228" si="1135">SUM(M1228:O1228)</f>
        <v>140</v>
      </c>
      <c r="Q1228" s="8">
        <v>50</v>
      </c>
      <c r="R1228" s="9">
        <v>40</v>
      </c>
      <c r="S1228" s="52">
        <v>50</v>
      </c>
      <c r="T1228" s="11">
        <f t="shared" ref="T1228" si="1136">SUM(Q1228:S1228)</f>
        <v>140</v>
      </c>
      <c r="U1228" s="11">
        <f t="shared" ref="U1228" si="1137">P1228+T1228</f>
        <v>280</v>
      </c>
      <c r="V1228" s="98">
        <v>45667</v>
      </c>
      <c r="W1228" s="66" t="s">
        <v>965</v>
      </c>
      <c r="X1228" s="66"/>
    </row>
    <row r="1229" spans="1:24" x14ac:dyDescent="0.15">
      <c r="A1229" s="25" t="s">
        <v>12</v>
      </c>
      <c r="B1229" s="8"/>
      <c r="C1229" s="9"/>
      <c r="D1229" s="52"/>
      <c r="E1229" s="11">
        <f t="shared" si="1130"/>
        <v>0</v>
      </c>
      <c r="F1229" s="12"/>
      <c r="G1229" s="9"/>
      <c r="H1229" s="10"/>
      <c r="I1229" s="11">
        <f t="shared" si="1131"/>
        <v>0</v>
      </c>
      <c r="J1229" s="11">
        <f t="shared" si="1128"/>
        <v>0</v>
      </c>
      <c r="L1229" s="25" t="s">
        <v>950</v>
      </c>
      <c r="M1229" s="8">
        <v>-40</v>
      </c>
      <c r="N1229" s="9">
        <v>-29</v>
      </c>
      <c r="O1229" s="52">
        <v>-30</v>
      </c>
      <c r="P1229" s="11">
        <f t="shared" si="1132"/>
        <v>-99</v>
      </c>
      <c r="Q1229" s="12">
        <v>-40</v>
      </c>
      <c r="R1229" s="9">
        <v>-29</v>
      </c>
      <c r="S1229" s="10">
        <v>-30</v>
      </c>
      <c r="T1229" s="11">
        <f t="shared" si="1133"/>
        <v>-99</v>
      </c>
      <c r="U1229" s="11">
        <f t="shared" si="1134"/>
        <v>-198</v>
      </c>
      <c r="V1229" s="100"/>
      <c r="W1229" s="66"/>
      <c r="X1229" s="66"/>
    </row>
    <row r="1230" spans="1:24" x14ac:dyDescent="0.15">
      <c r="A1230" s="25" t="s">
        <v>13</v>
      </c>
      <c r="B1230" s="13"/>
      <c r="C1230" s="14"/>
      <c r="D1230" s="53"/>
      <c r="E1230" s="11">
        <f t="shared" si="1130"/>
        <v>0</v>
      </c>
      <c r="F1230" s="16"/>
      <c r="G1230" s="14"/>
      <c r="H1230" s="15"/>
      <c r="I1230" s="11">
        <f t="shared" si="1131"/>
        <v>0</v>
      </c>
      <c r="J1230" s="11">
        <f t="shared" si="1128"/>
        <v>0</v>
      </c>
      <c r="L1230" s="25" t="s">
        <v>969</v>
      </c>
      <c r="M1230" s="8">
        <v>4</v>
      </c>
      <c r="N1230" s="9">
        <v>1</v>
      </c>
      <c r="O1230" s="52">
        <v>1</v>
      </c>
      <c r="P1230" s="11">
        <f t="shared" ref="P1230" si="1138">SUM(M1230:O1230)</f>
        <v>6</v>
      </c>
      <c r="Q1230" s="12">
        <v>4</v>
      </c>
      <c r="R1230" s="9">
        <v>1</v>
      </c>
      <c r="S1230" s="10">
        <v>1</v>
      </c>
      <c r="T1230" s="11">
        <f t="shared" ref="T1230" si="1139">SUM(Q1230:S1230)</f>
        <v>6</v>
      </c>
      <c r="U1230" s="11">
        <f t="shared" ref="U1230" si="1140">P1230+T1230</f>
        <v>12</v>
      </c>
      <c r="V1230" s="98">
        <v>46011</v>
      </c>
      <c r="W1230" s="66"/>
      <c r="X1230" s="66"/>
    </row>
    <row r="1231" spans="1:24" ht="14.25" thickBot="1" x14ac:dyDescent="0.2">
      <c r="A1231" s="25" t="s">
        <v>14</v>
      </c>
      <c r="B1231" s="32"/>
      <c r="C1231" s="33"/>
      <c r="D1231" s="54"/>
      <c r="E1231" s="61">
        <f t="shared" si="1130"/>
        <v>0</v>
      </c>
      <c r="F1231" s="34"/>
      <c r="G1231" s="34"/>
      <c r="H1231" s="37"/>
      <c r="I1231" s="61">
        <f t="shared" si="1131"/>
        <v>0</v>
      </c>
      <c r="J1231" s="21">
        <f t="shared" si="1128"/>
        <v>0</v>
      </c>
      <c r="L1231" s="25" t="s">
        <v>969</v>
      </c>
      <c r="M1231" s="32">
        <v>1</v>
      </c>
      <c r="N1231" s="33">
        <v>1</v>
      </c>
      <c r="O1231" s="54"/>
      <c r="P1231" s="61">
        <f t="shared" si="1132"/>
        <v>2</v>
      </c>
      <c r="Q1231" s="34">
        <v>1</v>
      </c>
      <c r="R1231" s="34">
        <v>1</v>
      </c>
      <c r="S1231" s="37"/>
      <c r="T1231" s="61">
        <f t="shared" si="1133"/>
        <v>2</v>
      </c>
      <c r="U1231" s="21">
        <f t="shared" si="1134"/>
        <v>4</v>
      </c>
      <c r="V1231" s="99">
        <v>46032</v>
      </c>
    </row>
    <row r="1232" spans="1:24" ht="14.25" thickBot="1" x14ac:dyDescent="0.2">
      <c r="A1232" s="35" t="s">
        <v>15</v>
      </c>
      <c r="B1232" s="28">
        <f>SUM(B1223:B1231)</f>
        <v>5</v>
      </c>
      <c r="C1232" s="29">
        <f>SUM(C1223:C1231)</f>
        <v>4</v>
      </c>
      <c r="D1232" s="30">
        <f>SUM(D1223:D1231)</f>
        <v>3</v>
      </c>
      <c r="E1232" s="31">
        <f t="shared" si="1130"/>
        <v>12</v>
      </c>
      <c r="F1232" s="28">
        <f>SUM(F1223:F1231)</f>
        <v>5</v>
      </c>
      <c r="G1232" s="29">
        <f>SUM(G1223:G1231)</f>
        <v>4</v>
      </c>
      <c r="H1232" s="30">
        <f>SUM(H1223:H1231)</f>
        <v>3</v>
      </c>
      <c r="I1232" s="31">
        <f t="shared" si="1131"/>
        <v>12</v>
      </c>
      <c r="J1232" s="31">
        <f t="shared" si="1128"/>
        <v>24</v>
      </c>
      <c r="L1232" s="35" t="s">
        <v>15</v>
      </c>
      <c r="M1232" s="28">
        <f>SUM(M1223:M1231)</f>
        <v>131</v>
      </c>
      <c r="N1232" s="29">
        <f>SUM(N1223:N1231)</f>
        <v>164</v>
      </c>
      <c r="O1232" s="30">
        <f>SUM(O1223:O1231)</f>
        <v>197</v>
      </c>
      <c r="P1232" s="31">
        <f>SUM(M1232:O1232)</f>
        <v>492</v>
      </c>
      <c r="Q1232" s="28">
        <f>SUM(Q1223:Q1231)</f>
        <v>131</v>
      </c>
      <c r="R1232" s="29">
        <f>SUM(R1223:R1231)</f>
        <v>164</v>
      </c>
      <c r="S1232" s="30">
        <f>SUM(S1223:S1231)</f>
        <v>197</v>
      </c>
      <c r="T1232" s="31">
        <f>SUM(Q1232:S1232)</f>
        <v>492</v>
      </c>
      <c r="U1232" s="31">
        <f>P1232+T1232</f>
        <v>984</v>
      </c>
    </row>
    <row r="1233" spans="1:23" x14ac:dyDescent="0.15">
      <c r="A1233" s="108" t="s">
        <v>968</v>
      </c>
      <c r="B1233" s="8">
        <v>4</v>
      </c>
      <c r="C1233" s="9">
        <v>1</v>
      </c>
      <c r="D1233" s="10">
        <v>1</v>
      </c>
      <c r="E1233" s="49">
        <f t="shared" si="1130"/>
        <v>6</v>
      </c>
      <c r="F1233" s="12">
        <v>4</v>
      </c>
      <c r="G1233" s="9">
        <v>1</v>
      </c>
      <c r="H1233" s="10">
        <v>1</v>
      </c>
      <c r="I1233" s="49">
        <f t="shared" si="1131"/>
        <v>6</v>
      </c>
      <c r="J1233" s="11">
        <f t="shared" si="1128"/>
        <v>12</v>
      </c>
      <c r="K1233" s="64">
        <v>46011</v>
      </c>
      <c r="L1233" s="26" t="s">
        <v>217</v>
      </c>
      <c r="M1233" s="8"/>
      <c r="N1233" s="9">
        <v>8</v>
      </c>
      <c r="O1233" s="52"/>
      <c r="P1233" s="87">
        <f t="shared" ref="P1233:P1259" si="1141">SUM(M1233:O1233)</f>
        <v>8</v>
      </c>
      <c r="Q1233" s="8"/>
      <c r="R1233" s="9">
        <v>8</v>
      </c>
      <c r="S1233" s="10"/>
      <c r="T1233" s="49">
        <f t="shared" ref="T1233:T1259" si="1142">SUM(Q1233:S1233)</f>
        <v>8</v>
      </c>
      <c r="U1233" s="11">
        <f t="shared" ref="U1233:U1258" si="1143">P1233+T1233</f>
        <v>16</v>
      </c>
      <c r="V1233" s="98">
        <v>46001</v>
      </c>
    </row>
    <row r="1234" spans="1:23" x14ac:dyDescent="0.15">
      <c r="A1234" s="108" t="s">
        <v>362</v>
      </c>
      <c r="B1234" s="8">
        <v>1</v>
      </c>
      <c r="C1234" s="9">
        <v>1</v>
      </c>
      <c r="D1234" s="10"/>
      <c r="E1234" s="49">
        <f t="shared" si="1130"/>
        <v>2</v>
      </c>
      <c r="F1234" s="12">
        <v>1</v>
      </c>
      <c r="G1234" s="9">
        <v>1</v>
      </c>
      <c r="H1234" s="10"/>
      <c r="I1234" s="49">
        <f t="shared" si="1131"/>
        <v>2</v>
      </c>
      <c r="J1234" s="11">
        <f t="shared" si="1128"/>
        <v>4</v>
      </c>
      <c r="K1234" s="64">
        <v>46032</v>
      </c>
      <c r="L1234" s="26" t="s">
        <v>222</v>
      </c>
      <c r="M1234" s="8">
        <v>2</v>
      </c>
      <c r="N1234" s="9">
        <v>6</v>
      </c>
      <c r="O1234" s="52"/>
      <c r="P1234" s="87">
        <f t="shared" si="1141"/>
        <v>8</v>
      </c>
      <c r="Q1234" s="8">
        <v>2</v>
      </c>
      <c r="R1234" s="9">
        <v>6</v>
      </c>
      <c r="S1234" s="10"/>
      <c r="T1234" s="49">
        <f t="shared" si="1142"/>
        <v>8</v>
      </c>
      <c r="U1234" s="11">
        <f t="shared" si="1143"/>
        <v>16</v>
      </c>
      <c r="V1234" s="98">
        <v>46002</v>
      </c>
    </row>
    <row r="1235" spans="1:23" x14ac:dyDescent="0.15">
      <c r="A1235" s="108" t="s">
        <v>362</v>
      </c>
      <c r="B1235" s="8"/>
      <c r="C1235" s="9">
        <v>2</v>
      </c>
      <c r="D1235" s="10">
        <v>1</v>
      </c>
      <c r="E1235" s="49">
        <f t="shared" si="1130"/>
        <v>3</v>
      </c>
      <c r="F1235" s="12"/>
      <c r="G1235" s="9">
        <v>2</v>
      </c>
      <c r="H1235" s="10">
        <v>1</v>
      </c>
      <c r="I1235" s="49">
        <f t="shared" si="1131"/>
        <v>3</v>
      </c>
      <c r="J1235" s="11">
        <f t="shared" si="1128"/>
        <v>6</v>
      </c>
      <c r="K1235" s="64">
        <v>46039</v>
      </c>
      <c r="L1235" s="26" t="s">
        <v>224</v>
      </c>
      <c r="M1235" s="8">
        <v>1</v>
      </c>
      <c r="N1235" s="9">
        <v>9</v>
      </c>
      <c r="O1235" s="52"/>
      <c r="P1235" s="87">
        <f t="shared" si="1141"/>
        <v>10</v>
      </c>
      <c r="Q1235" s="8">
        <v>1</v>
      </c>
      <c r="R1235" s="9">
        <v>9</v>
      </c>
      <c r="S1235" s="10"/>
      <c r="T1235" s="49">
        <f t="shared" si="1142"/>
        <v>10</v>
      </c>
      <c r="U1235" s="11">
        <f t="shared" si="1143"/>
        <v>20</v>
      </c>
      <c r="V1235" s="98">
        <v>46003</v>
      </c>
      <c r="W1235" s="66"/>
    </row>
    <row r="1236" spans="1:23" x14ac:dyDescent="0.15">
      <c r="A1236" s="108"/>
      <c r="B1236" s="8"/>
      <c r="C1236" s="9"/>
      <c r="D1236" s="10"/>
      <c r="E1236" s="49">
        <f t="shared" si="1130"/>
        <v>0</v>
      </c>
      <c r="F1236" s="12"/>
      <c r="G1236" s="9"/>
      <c r="H1236" s="10"/>
      <c r="I1236" s="49">
        <f t="shared" si="1131"/>
        <v>0</v>
      </c>
      <c r="J1236" s="11">
        <f t="shared" si="1128"/>
        <v>0</v>
      </c>
      <c r="L1236" s="26" t="s">
        <v>226</v>
      </c>
      <c r="M1236" s="8">
        <v>12</v>
      </c>
      <c r="N1236" s="9">
        <v>9</v>
      </c>
      <c r="O1236" s="52"/>
      <c r="P1236" s="87">
        <f t="shared" si="1141"/>
        <v>21</v>
      </c>
      <c r="Q1236" s="8">
        <v>12</v>
      </c>
      <c r="R1236" s="9">
        <v>9</v>
      </c>
      <c r="S1236" s="10"/>
      <c r="T1236" s="49">
        <f t="shared" si="1142"/>
        <v>21</v>
      </c>
      <c r="U1236" s="11">
        <f t="shared" si="1143"/>
        <v>42</v>
      </c>
      <c r="V1236" s="98">
        <v>46006</v>
      </c>
      <c r="W1236" s="66"/>
    </row>
    <row r="1237" spans="1:23" x14ac:dyDescent="0.15">
      <c r="A1237" s="108"/>
      <c r="B1237" s="8"/>
      <c r="C1237" s="9"/>
      <c r="D1237" s="10"/>
      <c r="E1237" s="49">
        <f t="shared" si="1130"/>
        <v>0</v>
      </c>
      <c r="F1237" s="12"/>
      <c r="G1237" s="9"/>
      <c r="H1237" s="10"/>
      <c r="I1237" s="49">
        <f t="shared" si="1131"/>
        <v>0</v>
      </c>
      <c r="J1237" s="11">
        <f t="shared" si="1128"/>
        <v>0</v>
      </c>
      <c r="L1237" s="26" t="s">
        <v>230</v>
      </c>
      <c r="M1237" s="8">
        <v>1</v>
      </c>
      <c r="N1237" s="9">
        <v>2</v>
      </c>
      <c r="O1237" s="52">
        <v>7</v>
      </c>
      <c r="P1237" s="87">
        <f t="shared" si="1141"/>
        <v>10</v>
      </c>
      <c r="Q1237" s="8">
        <v>1</v>
      </c>
      <c r="R1237" s="9">
        <v>2</v>
      </c>
      <c r="S1237" s="10">
        <v>7</v>
      </c>
      <c r="T1237" s="49">
        <f t="shared" si="1142"/>
        <v>10</v>
      </c>
      <c r="U1237" s="11">
        <f t="shared" si="1143"/>
        <v>20</v>
      </c>
      <c r="V1237" s="98">
        <v>46008</v>
      </c>
      <c r="W1237" s="66"/>
    </row>
    <row r="1238" spans="1:23" x14ac:dyDescent="0.15">
      <c r="A1238" s="108"/>
      <c r="B1238" s="8"/>
      <c r="C1238" s="9"/>
      <c r="D1238" s="10"/>
      <c r="E1238" s="49">
        <f t="shared" si="1130"/>
        <v>0</v>
      </c>
      <c r="F1238" s="12"/>
      <c r="G1238" s="9"/>
      <c r="H1238" s="10"/>
      <c r="I1238" s="49">
        <f t="shared" si="1131"/>
        <v>0</v>
      </c>
      <c r="J1238" s="11">
        <f t="shared" si="1128"/>
        <v>0</v>
      </c>
      <c r="L1238" s="26" t="s">
        <v>238</v>
      </c>
      <c r="M1238" s="8"/>
      <c r="N1238" s="9"/>
      <c r="O1238" s="52">
        <v>1</v>
      </c>
      <c r="P1238" s="87">
        <f t="shared" si="1141"/>
        <v>1</v>
      </c>
      <c r="Q1238" s="8"/>
      <c r="R1238" s="9"/>
      <c r="S1238" s="10">
        <v>1</v>
      </c>
      <c r="T1238" s="49">
        <f t="shared" si="1142"/>
        <v>1</v>
      </c>
      <c r="U1238" s="11">
        <f t="shared" si="1143"/>
        <v>2</v>
      </c>
      <c r="V1238" s="98">
        <v>46009</v>
      </c>
      <c r="W1238" s="66"/>
    </row>
    <row r="1239" spans="1:23" x14ac:dyDescent="0.15">
      <c r="A1239" s="108"/>
      <c r="B1239" s="8"/>
      <c r="C1239" s="9"/>
      <c r="D1239" s="10"/>
      <c r="E1239" s="49">
        <f t="shared" si="1130"/>
        <v>0</v>
      </c>
      <c r="F1239" s="12"/>
      <c r="G1239" s="9"/>
      <c r="H1239" s="10"/>
      <c r="I1239" s="49">
        <f t="shared" si="1131"/>
        <v>0</v>
      </c>
      <c r="J1239" s="11">
        <f t="shared" si="1128"/>
        <v>0</v>
      </c>
      <c r="L1239" s="26" t="s">
        <v>240</v>
      </c>
      <c r="M1239" s="8">
        <v>2</v>
      </c>
      <c r="N1239" s="9">
        <v>8</v>
      </c>
      <c r="O1239" s="52">
        <v>4</v>
      </c>
      <c r="P1239" s="87">
        <f t="shared" si="1141"/>
        <v>14</v>
      </c>
      <c r="Q1239" s="8">
        <v>2</v>
      </c>
      <c r="R1239" s="9">
        <v>8</v>
      </c>
      <c r="S1239" s="10">
        <v>4</v>
      </c>
      <c r="T1239" s="49">
        <f t="shared" si="1142"/>
        <v>14</v>
      </c>
      <c r="U1239" s="11">
        <f t="shared" si="1143"/>
        <v>28</v>
      </c>
      <c r="V1239" s="98">
        <v>46010</v>
      </c>
    </row>
    <row r="1240" spans="1:23" x14ac:dyDescent="0.15">
      <c r="A1240" s="108"/>
      <c r="B1240" s="8"/>
      <c r="C1240" s="9"/>
      <c r="D1240" s="10"/>
      <c r="E1240" s="49">
        <f t="shared" si="1130"/>
        <v>0</v>
      </c>
      <c r="F1240" s="12"/>
      <c r="G1240" s="9"/>
      <c r="H1240" s="10"/>
      <c r="I1240" s="49">
        <f t="shared" si="1131"/>
        <v>0</v>
      </c>
      <c r="J1240" s="11">
        <f t="shared" si="1128"/>
        <v>0</v>
      </c>
      <c r="L1240" s="26" t="s">
        <v>243</v>
      </c>
      <c r="M1240" s="8">
        <v>6</v>
      </c>
      <c r="N1240" s="9">
        <v>4</v>
      </c>
      <c r="O1240" s="52">
        <v>7</v>
      </c>
      <c r="P1240" s="87">
        <f t="shared" si="1141"/>
        <v>17</v>
      </c>
      <c r="Q1240" s="8">
        <v>6</v>
      </c>
      <c r="R1240" s="9">
        <v>4</v>
      </c>
      <c r="S1240" s="10">
        <v>7</v>
      </c>
      <c r="T1240" s="49">
        <f t="shared" si="1142"/>
        <v>17</v>
      </c>
      <c r="U1240" s="11">
        <f t="shared" si="1143"/>
        <v>34</v>
      </c>
      <c r="V1240" s="98">
        <v>46010</v>
      </c>
    </row>
    <row r="1241" spans="1:23" x14ac:dyDescent="0.15">
      <c r="A1241" s="108"/>
      <c r="B1241" s="8"/>
      <c r="C1241" s="9"/>
      <c r="D1241" s="10"/>
      <c r="E1241" s="49">
        <f t="shared" si="1130"/>
        <v>0</v>
      </c>
      <c r="F1241" s="12"/>
      <c r="G1241" s="9"/>
      <c r="H1241" s="10"/>
      <c r="I1241" s="49">
        <f t="shared" si="1131"/>
        <v>0</v>
      </c>
      <c r="J1241" s="11">
        <f t="shared" si="1128"/>
        <v>0</v>
      </c>
      <c r="L1241" s="26" t="s">
        <v>245</v>
      </c>
      <c r="M1241" s="8">
        <v>2</v>
      </c>
      <c r="N1241" s="9">
        <v>6</v>
      </c>
      <c r="O1241" s="52">
        <v>3</v>
      </c>
      <c r="P1241" s="87">
        <f t="shared" si="1141"/>
        <v>11</v>
      </c>
      <c r="Q1241" s="8">
        <v>2</v>
      </c>
      <c r="R1241" s="9">
        <v>6</v>
      </c>
      <c r="S1241" s="10">
        <v>3</v>
      </c>
      <c r="T1241" s="49">
        <f t="shared" si="1142"/>
        <v>11</v>
      </c>
      <c r="U1241" s="11">
        <f t="shared" si="1143"/>
        <v>22</v>
      </c>
      <c r="V1241" s="98">
        <v>46013</v>
      </c>
      <c r="W1241" s="66"/>
    </row>
    <row r="1242" spans="1:23" x14ac:dyDescent="0.15">
      <c r="A1242" s="108"/>
      <c r="B1242" s="8"/>
      <c r="C1242" s="9"/>
      <c r="D1242" s="10"/>
      <c r="E1242" s="49">
        <f t="shared" si="1130"/>
        <v>0</v>
      </c>
      <c r="F1242" s="12"/>
      <c r="G1242" s="9"/>
      <c r="H1242" s="10"/>
      <c r="I1242" s="49">
        <f t="shared" si="1131"/>
        <v>0</v>
      </c>
      <c r="J1242" s="11">
        <f t="shared" si="1128"/>
        <v>0</v>
      </c>
      <c r="L1242" s="26" t="s">
        <v>247</v>
      </c>
      <c r="M1242" s="8">
        <v>5</v>
      </c>
      <c r="N1242" s="9">
        <v>7</v>
      </c>
      <c r="O1242" s="52">
        <v>5</v>
      </c>
      <c r="P1242" s="87">
        <f t="shared" si="1141"/>
        <v>17</v>
      </c>
      <c r="Q1242" s="8">
        <v>5</v>
      </c>
      <c r="R1242" s="9">
        <v>7</v>
      </c>
      <c r="S1242" s="10">
        <v>5</v>
      </c>
      <c r="T1242" s="49">
        <f t="shared" si="1142"/>
        <v>17</v>
      </c>
      <c r="U1242" s="11">
        <f t="shared" si="1143"/>
        <v>34</v>
      </c>
      <c r="V1242" s="98">
        <v>46015</v>
      </c>
      <c r="W1242" s="66"/>
    </row>
    <row r="1243" spans="1:23" x14ac:dyDescent="0.15">
      <c r="A1243" s="108"/>
      <c r="B1243" s="8"/>
      <c r="C1243" s="9"/>
      <c r="D1243" s="10"/>
      <c r="E1243" s="49">
        <f t="shared" si="1130"/>
        <v>0</v>
      </c>
      <c r="F1243" s="12"/>
      <c r="G1243" s="9"/>
      <c r="H1243" s="10"/>
      <c r="I1243" s="49">
        <f t="shared" si="1131"/>
        <v>0</v>
      </c>
      <c r="J1243" s="11">
        <f t="shared" si="1128"/>
        <v>0</v>
      </c>
      <c r="L1243" s="26" t="s">
        <v>249</v>
      </c>
      <c r="M1243" s="8"/>
      <c r="N1243" s="9"/>
      <c r="O1243" s="52">
        <v>3</v>
      </c>
      <c r="P1243" s="87">
        <f t="shared" si="1141"/>
        <v>3</v>
      </c>
      <c r="Q1243" s="8"/>
      <c r="R1243" s="9"/>
      <c r="S1243" s="10">
        <v>3</v>
      </c>
      <c r="T1243" s="49">
        <f t="shared" si="1142"/>
        <v>3</v>
      </c>
      <c r="U1243" s="11">
        <f t="shared" si="1143"/>
        <v>6</v>
      </c>
      <c r="V1243" s="98">
        <v>46016</v>
      </c>
      <c r="W1243" s="66"/>
    </row>
    <row r="1244" spans="1:23" x14ac:dyDescent="0.15">
      <c r="A1244" s="108"/>
      <c r="B1244" s="8"/>
      <c r="C1244" s="9"/>
      <c r="D1244" s="10"/>
      <c r="E1244" s="49">
        <f t="shared" si="1130"/>
        <v>0</v>
      </c>
      <c r="F1244" s="12"/>
      <c r="G1244" s="9"/>
      <c r="H1244" s="10"/>
      <c r="I1244" s="49">
        <f t="shared" si="1131"/>
        <v>0</v>
      </c>
      <c r="J1244" s="11">
        <f t="shared" si="1128"/>
        <v>0</v>
      </c>
      <c r="L1244" s="26" t="s">
        <v>251</v>
      </c>
      <c r="M1244" s="8">
        <v>3</v>
      </c>
      <c r="N1244" s="9"/>
      <c r="O1244" s="52">
        <v>3</v>
      </c>
      <c r="P1244" s="87">
        <f t="shared" si="1141"/>
        <v>6</v>
      </c>
      <c r="Q1244" s="8">
        <v>3</v>
      </c>
      <c r="R1244" s="9"/>
      <c r="S1244" s="10">
        <v>3</v>
      </c>
      <c r="T1244" s="49">
        <f t="shared" si="1142"/>
        <v>6</v>
      </c>
      <c r="U1244" s="11">
        <f t="shared" si="1143"/>
        <v>12</v>
      </c>
      <c r="V1244" s="98">
        <v>46017</v>
      </c>
    </row>
    <row r="1245" spans="1:23" x14ac:dyDescent="0.15">
      <c r="A1245" s="108"/>
      <c r="B1245" s="8"/>
      <c r="C1245" s="9"/>
      <c r="D1245" s="10"/>
      <c r="E1245" s="49">
        <f t="shared" si="1130"/>
        <v>0</v>
      </c>
      <c r="F1245" s="12"/>
      <c r="G1245" s="9"/>
      <c r="H1245" s="10"/>
      <c r="I1245" s="49">
        <f t="shared" si="1131"/>
        <v>0</v>
      </c>
      <c r="J1245" s="11">
        <f t="shared" si="1128"/>
        <v>0</v>
      </c>
      <c r="L1245" s="26" t="s">
        <v>739</v>
      </c>
      <c r="M1245" s="8">
        <v>3</v>
      </c>
      <c r="N1245" s="9"/>
      <c r="O1245" s="52">
        <v>1</v>
      </c>
      <c r="P1245" s="87">
        <f t="shared" si="1141"/>
        <v>4</v>
      </c>
      <c r="Q1245" s="8">
        <v>3</v>
      </c>
      <c r="R1245" s="9"/>
      <c r="S1245" s="10">
        <v>1</v>
      </c>
      <c r="T1245" s="49">
        <f t="shared" si="1142"/>
        <v>4</v>
      </c>
      <c r="U1245" s="11">
        <f t="shared" si="1143"/>
        <v>8</v>
      </c>
      <c r="V1245" s="98">
        <v>46017</v>
      </c>
    </row>
    <row r="1246" spans="1:23" x14ac:dyDescent="0.15">
      <c r="A1246" s="108"/>
      <c r="B1246" s="8"/>
      <c r="C1246" s="9"/>
      <c r="D1246" s="10"/>
      <c r="E1246" s="49">
        <f t="shared" si="1130"/>
        <v>0</v>
      </c>
      <c r="F1246" s="12"/>
      <c r="G1246" s="9"/>
      <c r="H1246" s="10"/>
      <c r="I1246" s="49">
        <f t="shared" si="1131"/>
        <v>0</v>
      </c>
      <c r="J1246" s="11">
        <f t="shared" si="1128"/>
        <v>0</v>
      </c>
      <c r="L1246" s="26" t="s">
        <v>255</v>
      </c>
      <c r="M1246" s="8"/>
      <c r="N1246" s="9">
        <v>1</v>
      </c>
      <c r="O1246" s="52">
        <v>1</v>
      </c>
      <c r="P1246" s="87">
        <f t="shared" si="1141"/>
        <v>2</v>
      </c>
      <c r="Q1246" s="8"/>
      <c r="R1246" s="9">
        <v>1</v>
      </c>
      <c r="S1246" s="10">
        <v>1</v>
      </c>
      <c r="T1246" s="49">
        <f t="shared" si="1142"/>
        <v>2</v>
      </c>
      <c r="U1246" s="11">
        <f t="shared" si="1143"/>
        <v>4</v>
      </c>
      <c r="V1246" s="98">
        <v>46029</v>
      </c>
    </row>
    <row r="1247" spans="1:23" x14ac:dyDescent="0.15">
      <c r="A1247" s="108"/>
      <c r="B1247" s="8"/>
      <c r="C1247" s="9"/>
      <c r="D1247" s="10"/>
      <c r="E1247" s="49">
        <f t="shared" si="1130"/>
        <v>0</v>
      </c>
      <c r="F1247" s="12"/>
      <c r="G1247" s="9"/>
      <c r="H1247" s="10"/>
      <c r="I1247" s="49">
        <f t="shared" si="1131"/>
        <v>0</v>
      </c>
      <c r="J1247" s="11">
        <f t="shared" si="1128"/>
        <v>0</v>
      </c>
      <c r="L1247" s="26" t="s">
        <v>257</v>
      </c>
      <c r="M1247" s="8"/>
      <c r="N1247" s="9">
        <v>3</v>
      </c>
      <c r="O1247" s="52">
        <v>3</v>
      </c>
      <c r="P1247" s="87">
        <f t="shared" si="1141"/>
        <v>6</v>
      </c>
      <c r="Q1247" s="8"/>
      <c r="R1247" s="9">
        <v>3</v>
      </c>
      <c r="S1247" s="10">
        <v>3</v>
      </c>
      <c r="T1247" s="49">
        <f t="shared" si="1142"/>
        <v>6</v>
      </c>
      <c r="U1247" s="11">
        <f t="shared" si="1143"/>
        <v>12</v>
      </c>
      <c r="V1247" s="98">
        <v>46030</v>
      </c>
    </row>
    <row r="1248" spans="1:23" x14ac:dyDescent="0.15">
      <c r="A1248" s="108"/>
      <c r="B1248" s="8"/>
      <c r="C1248" s="9"/>
      <c r="D1248" s="10"/>
      <c r="E1248" s="49">
        <f t="shared" si="1130"/>
        <v>0</v>
      </c>
      <c r="F1248" s="12"/>
      <c r="G1248" s="9"/>
      <c r="H1248" s="10"/>
      <c r="I1248" s="49">
        <f t="shared" si="1131"/>
        <v>0</v>
      </c>
      <c r="J1248" s="11">
        <f t="shared" si="1128"/>
        <v>0</v>
      </c>
      <c r="L1248" s="26" t="s">
        <v>264</v>
      </c>
      <c r="M1248" s="8">
        <v>1</v>
      </c>
      <c r="N1248" s="9">
        <v>1</v>
      </c>
      <c r="O1248" s="52">
        <v>8</v>
      </c>
      <c r="P1248" s="87">
        <f t="shared" si="1141"/>
        <v>10</v>
      </c>
      <c r="Q1248" s="8">
        <v>1</v>
      </c>
      <c r="R1248" s="9">
        <v>1</v>
      </c>
      <c r="S1248" s="10">
        <v>8</v>
      </c>
      <c r="T1248" s="49">
        <f t="shared" si="1142"/>
        <v>10</v>
      </c>
      <c r="U1248" s="11">
        <f t="shared" si="1143"/>
        <v>20</v>
      </c>
      <c r="V1248" s="98">
        <v>46031</v>
      </c>
    </row>
    <row r="1249" spans="1:23" x14ac:dyDescent="0.15">
      <c r="A1249" s="108"/>
      <c r="B1249" s="8"/>
      <c r="C1249" s="9"/>
      <c r="D1249" s="10"/>
      <c r="E1249" s="49">
        <f t="shared" si="1130"/>
        <v>0</v>
      </c>
      <c r="F1249" s="12"/>
      <c r="G1249" s="9"/>
      <c r="H1249" s="10"/>
      <c r="I1249" s="49">
        <f t="shared" si="1131"/>
        <v>0</v>
      </c>
      <c r="J1249" s="11">
        <f t="shared" si="1128"/>
        <v>0</v>
      </c>
      <c r="L1249" s="26" t="s">
        <v>262</v>
      </c>
      <c r="M1249" s="8">
        <v>2</v>
      </c>
      <c r="N1249" s="9">
        <v>3</v>
      </c>
      <c r="O1249" s="52">
        <v>7</v>
      </c>
      <c r="P1249" s="87">
        <f t="shared" si="1141"/>
        <v>12</v>
      </c>
      <c r="Q1249" s="8">
        <v>2</v>
      </c>
      <c r="R1249" s="9">
        <v>3</v>
      </c>
      <c r="S1249" s="10">
        <v>7</v>
      </c>
      <c r="T1249" s="49">
        <f t="shared" si="1142"/>
        <v>12</v>
      </c>
      <c r="U1249" s="11">
        <f t="shared" si="1143"/>
        <v>24</v>
      </c>
      <c r="V1249" s="98">
        <v>46031</v>
      </c>
    </row>
    <row r="1250" spans="1:23" x14ac:dyDescent="0.15">
      <c r="A1250" s="108"/>
      <c r="B1250" s="8"/>
      <c r="C1250" s="9"/>
      <c r="D1250" s="10"/>
      <c r="E1250" s="49">
        <f t="shared" si="1130"/>
        <v>0</v>
      </c>
      <c r="F1250" s="12"/>
      <c r="G1250" s="9"/>
      <c r="H1250" s="10"/>
      <c r="I1250" s="49">
        <f t="shared" si="1131"/>
        <v>0</v>
      </c>
      <c r="J1250" s="11">
        <f t="shared" si="1128"/>
        <v>0</v>
      </c>
      <c r="L1250" s="26" t="s">
        <v>263</v>
      </c>
      <c r="M1250" s="8">
        <v>3</v>
      </c>
      <c r="N1250" s="9">
        <v>12</v>
      </c>
      <c r="O1250" s="52">
        <v>6</v>
      </c>
      <c r="P1250" s="87">
        <f t="shared" si="1141"/>
        <v>21</v>
      </c>
      <c r="Q1250" s="8">
        <v>3</v>
      </c>
      <c r="R1250" s="9">
        <v>12</v>
      </c>
      <c r="S1250" s="10">
        <v>6</v>
      </c>
      <c r="T1250" s="49">
        <f t="shared" si="1142"/>
        <v>21</v>
      </c>
      <c r="U1250" s="11">
        <f t="shared" si="1143"/>
        <v>42</v>
      </c>
      <c r="V1250" s="98">
        <v>46035</v>
      </c>
    </row>
    <row r="1251" spans="1:23" x14ac:dyDescent="0.15">
      <c r="A1251" s="108"/>
      <c r="B1251" s="8"/>
      <c r="C1251" s="9"/>
      <c r="D1251" s="10"/>
      <c r="E1251" s="49">
        <f t="shared" si="1130"/>
        <v>0</v>
      </c>
      <c r="F1251" s="12"/>
      <c r="G1251" s="9"/>
      <c r="H1251" s="10"/>
      <c r="I1251" s="49">
        <f t="shared" si="1131"/>
        <v>0</v>
      </c>
      <c r="J1251" s="11">
        <f t="shared" si="1128"/>
        <v>0</v>
      </c>
      <c r="L1251" s="26" t="s">
        <v>271</v>
      </c>
      <c r="M1251" s="8">
        <v>10</v>
      </c>
      <c r="N1251" s="9">
        <v>9</v>
      </c>
      <c r="O1251" s="52">
        <v>13</v>
      </c>
      <c r="P1251" s="87">
        <f t="shared" si="1141"/>
        <v>32</v>
      </c>
      <c r="Q1251" s="8">
        <v>10</v>
      </c>
      <c r="R1251" s="9">
        <v>9</v>
      </c>
      <c r="S1251" s="10">
        <v>13</v>
      </c>
      <c r="T1251" s="49">
        <f t="shared" si="1142"/>
        <v>32</v>
      </c>
      <c r="U1251" s="11">
        <f t="shared" si="1143"/>
        <v>64</v>
      </c>
      <c r="V1251" s="98">
        <v>46037</v>
      </c>
      <c r="W1251" s="66"/>
    </row>
    <row r="1252" spans="1:23" x14ac:dyDescent="0.15">
      <c r="A1252" s="108"/>
      <c r="B1252" s="8"/>
      <c r="C1252" s="9"/>
      <c r="D1252" s="10"/>
      <c r="E1252" s="49">
        <f t="shared" si="1130"/>
        <v>0</v>
      </c>
      <c r="F1252" s="12"/>
      <c r="G1252" s="9"/>
      <c r="H1252" s="10"/>
      <c r="I1252" s="49">
        <f t="shared" si="1131"/>
        <v>0</v>
      </c>
      <c r="J1252" s="11">
        <f t="shared" si="1128"/>
        <v>0</v>
      </c>
      <c r="L1252" s="26" t="s">
        <v>272</v>
      </c>
      <c r="M1252" s="8">
        <v>3</v>
      </c>
      <c r="N1252" s="9">
        <v>1</v>
      </c>
      <c r="O1252" s="52"/>
      <c r="P1252" s="87">
        <f t="shared" si="1141"/>
        <v>4</v>
      </c>
      <c r="Q1252" s="8">
        <v>3</v>
      </c>
      <c r="R1252" s="9">
        <v>1</v>
      </c>
      <c r="S1252" s="10"/>
      <c r="T1252" s="49">
        <f t="shared" si="1142"/>
        <v>4</v>
      </c>
      <c r="U1252" s="11">
        <f t="shared" si="1143"/>
        <v>8</v>
      </c>
      <c r="V1252" s="98">
        <v>46038</v>
      </c>
      <c r="W1252" s="66"/>
    </row>
    <row r="1253" spans="1:23" x14ac:dyDescent="0.15">
      <c r="A1253" s="108"/>
      <c r="B1253" s="8"/>
      <c r="C1253" s="9"/>
      <c r="D1253" s="10"/>
      <c r="E1253" s="49">
        <f t="shared" si="1130"/>
        <v>0</v>
      </c>
      <c r="F1253" s="12"/>
      <c r="G1253" s="9"/>
      <c r="H1253" s="10"/>
      <c r="I1253" s="49">
        <f t="shared" si="1131"/>
        <v>0</v>
      </c>
      <c r="J1253" s="11">
        <f t="shared" si="1128"/>
        <v>0</v>
      </c>
      <c r="L1253" s="26" t="s">
        <v>274</v>
      </c>
      <c r="M1253" s="8">
        <v>1</v>
      </c>
      <c r="N1253" s="9">
        <v>6</v>
      </c>
      <c r="O1253" s="52">
        <v>2</v>
      </c>
      <c r="P1253" s="87">
        <f t="shared" si="1141"/>
        <v>9</v>
      </c>
      <c r="Q1253" s="8">
        <v>1</v>
      </c>
      <c r="R1253" s="9">
        <v>6</v>
      </c>
      <c r="S1253" s="10">
        <v>2</v>
      </c>
      <c r="T1253" s="49">
        <f t="shared" si="1142"/>
        <v>9</v>
      </c>
      <c r="U1253" s="11">
        <f t="shared" si="1143"/>
        <v>18</v>
      </c>
      <c r="V1253" s="98">
        <v>46038</v>
      </c>
      <c r="W1253" s="66"/>
    </row>
    <row r="1254" spans="1:23" x14ac:dyDescent="0.15">
      <c r="A1254" s="108"/>
      <c r="B1254" s="8"/>
      <c r="C1254" s="9"/>
      <c r="D1254" s="10"/>
      <c r="E1254" s="49">
        <f t="shared" si="1130"/>
        <v>0</v>
      </c>
      <c r="F1254" s="12"/>
      <c r="G1254" s="9"/>
      <c r="H1254" s="10"/>
      <c r="I1254" s="49">
        <f t="shared" si="1131"/>
        <v>0</v>
      </c>
      <c r="J1254" s="11">
        <f t="shared" si="1128"/>
        <v>0</v>
      </c>
      <c r="L1254" s="26"/>
      <c r="M1254" s="8"/>
      <c r="N1254" s="9"/>
      <c r="O1254" s="52"/>
      <c r="P1254" s="87">
        <f t="shared" ref="P1254" si="1144">SUM(M1254:O1254)</f>
        <v>0</v>
      </c>
      <c r="Q1254" s="8"/>
      <c r="R1254" s="9"/>
      <c r="S1254" s="10"/>
      <c r="T1254" s="49">
        <f t="shared" ref="T1254" si="1145">SUM(Q1254:S1254)</f>
        <v>0</v>
      </c>
      <c r="U1254" s="11">
        <f t="shared" ref="U1254" si="1146">P1254+T1254</f>
        <v>0</v>
      </c>
    </row>
    <row r="1255" spans="1:23" x14ac:dyDescent="0.15">
      <c r="A1255" s="108"/>
      <c r="B1255" s="8"/>
      <c r="C1255" s="9"/>
      <c r="D1255" s="10"/>
      <c r="E1255" s="49">
        <f t="shared" si="1130"/>
        <v>0</v>
      </c>
      <c r="F1255" s="12"/>
      <c r="G1255" s="9"/>
      <c r="H1255" s="10"/>
      <c r="I1255" s="49">
        <f t="shared" si="1131"/>
        <v>0</v>
      </c>
      <c r="J1255" s="11">
        <f t="shared" si="1128"/>
        <v>0</v>
      </c>
      <c r="L1255" s="26"/>
      <c r="M1255" s="8"/>
      <c r="N1255" s="9"/>
      <c r="O1255" s="52"/>
      <c r="P1255" s="87">
        <f t="shared" si="1141"/>
        <v>0</v>
      </c>
      <c r="Q1255" s="8"/>
      <c r="R1255" s="9"/>
      <c r="S1255" s="10"/>
      <c r="T1255" s="49">
        <f t="shared" si="1142"/>
        <v>0</v>
      </c>
      <c r="U1255" s="11">
        <f t="shared" si="1143"/>
        <v>0</v>
      </c>
    </row>
    <row r="1256" spans="1:23" x14ac:dyDescent="0.15">
      <c r="A1256" s="108"/>
      <c r="B1256" s="8"/>
      <c r="C1256" s="9"/>
      <c r="D1256" s="10"/>
      <c r="E1256" s="49">
        <f t="shared" si="1130"/>
        <v>0</v>
      </c>
      <c r="F1256" s="12"/>
      <c r="G1256" s="9"/>
      <c r="H1256" s="10"/>
      <c r="I1256" s="49">
        <f t="shared" si="1131"/>
        <v>0</v>
      </c>
      <c r="J1256" s="11">
        <f t="shared" si="1128"/>
        <v>0</v>
      </c>
      <c r="L1256" s="26"/>
      <c r="M1256" s="8"/>
      <c r="N1256" s="9"/>
      <c r="O1256" s="52"/>
      <c r="P1256" s="87">
        <f t="shared" si="1141"/>
        <v>0</v>
      </c>
      <c r="Q1256" s="8"/>
      <c r="R1256" s="9"/>
      <c r="S1256" s="10"/>
      <c r="T1256" s="49">
        <f t="shared" si="1142"/>
        <v>0</v>
      </c>
      <c r="U1256" s="11">
        <f t="shared" si="1143"/>
        <v>0</v>
      </c>
    </row>
    <row r="1257" spans="1:23" x14ac:dyDescent="0.15">
      <c r="A1257" s="108"/>
      <c r="B1257" s="8"/>
      <c r="C1257" s="9"/>
      <c r="D1257" s="10"/>
      <c r="E1257" s="49">
        <f t="shared" si="1130"/>
        <v>0</v>
      </c>
      <c r="F1257" s="12"/>
      <c r="G1257" s="9"/>
      <c r="H1257" s="10"/>
      <c r="I1257" s="49">
        <f t="shared" si="1131"/>
        <v>0</v>
      </c>
      <c r="J1257" s="11">
        <f t="shared" si="1128"/>
        <v>0</v>
      </c>
      <c r="L1257" s="26" t="s">
        <v>952</v>
      </c>
      <c r="M1257" s="8"/>
      <c r="N1257" s="9"/>
      <c r="O1257" s="52"/>
      <c r="P1257" s="87">
        <f t="shared" ref="P1257" si="1147">SUM(M1257:O1257)</f>
        <v>0</v>
      </c>
      <c r="Q1257" s="8"/>
      <c r="R1257" s="9"/>
      <c r="S1257" s="10"/>
      <c r="T1257" s="49">
        <f t="shared" ref="T1257" si="1148">SUM(Q1257:S1257)</f>
        <v>0</v>
      </c>
      <c r="U1257" s="11">
        <f t="shared" ref="U1257" si="1149">P1257+T1257</f>
        <v>0</v>
      </c>
      <c r="V1257" s="100" t="s">
        <v>953</v>
      </c>
      <c r="W1257" s="66"/>
    </row>
    <row r="1258" spans="1:23" ht="14.25" thickBot="1" x14ac:dyDescent="0.2">
      <c r="A1258" s="108"/>
      <c r="B1258" s="8"/>
      <c r="C1258" s="9"/>
      <c r="D1258" s="10"/>
      <c r="E1258" s="49">
        <f t="shared" si="1130"/>
        <v>0</v>
      </c>
      <c r="F1258" s="12"/>
      <c r="G1258" s="9"/>
      <c r="H1258" s="10"/>
      <c r="I1258" s="49">
        <f t="shared" si="1131"/>
        <v>0</v>
      </c>
      <c r="J1258" s="11">
        <f t="shared" si="1128"/>
        <v>0</v>
      </c>
      <c r="L1258" s="26" t="s">
        <v>957</v>
      </c>
      <c r="M1258" s="8"/>
      <c r="N1258" s="9"/>
      <c r="O1258" s="52"/>
      <c r="P1258" s="87">
        <f t="shared" si="1141"/>
        <v>0</v>
      </c>
      <c r="Q1258" s="8"/>
      <c r="R1258" s="9"/>
      <c r="S1258" s="10"/>
      <c r="T1258" s="49">
        <f t="shared" si="1142"/>
        <v>0</v>
      </c>
      <c r="U1258" s="11">
        <f t="shared" si="1143"/>
        <v>0</v>
      </c>
      <c r="V1258" s="100" t="s">
        <v>220</v>
      </c>
      <c r="W1258" s="66"/>
    </row>
    <row r="1259" spans="1:23" ht="14.25" thickBot="1" x14ac:dyDescent="0.2">
      <c r="A1259" s="41" t="s">
        <v>17</v>
      </c>
      <c r="B1259" s="46">
        <f>SUM(B1233:B1258)</f>
        <v>5</v>
      </c>
      <c r="C1259" s="47">
        <f>SUM(C1233:C1258)</f>
        <v>4</v>
      </c>
      <c r="D1259" s="58">
        <f>SUM(D1233:D1258)</f>
        <v>2</v>
      </c>
      <c r="E1259" s="45">
        <f t="shared" si="1130"/>
        <v>11</v>
      </c>
      <c r="F1259" s="46">
        <f>SUM(F1233:F1258)</f>
        <v>5</v>
      </c>
      <c r="G1259" s="47">
        <f>SUM(G1233:G1258)</f>
        <v>4</v>
      </c>
      <c r="H1259" s="58">
        <f>SUM(H1233:H1258)</f>
        <v>2</v>
      </c>
      <c r="I1259" s="45">
        <f t="shared" si="1131"/>
        <v>11</v>
      </c>
      <c r="J1259" s="45">
        <f t="shared" si="1128"/>
        <v>22</v>
      </c>
      <c r="L1259" s="41" t="s">
        <v>17</v>
      </c>
      <c r="M1259" s="46">
        <f>SUM(M1233:M1258)</f>
        <v>57</v>
      </c>
      <c r="N1259" s="47">
        <f t="shared" ref="N1259:O1259" si="1150">SUM(N1233:N1258)</f>
        <v>95</v>
      </c>
      <c r="O1259" s="58">
        <f t="shared" si="1150"/>
        <v>74</v>
      </c>
      <c r="P1259" s="45">
        <f t="shared" si="1141"/>
        <v>226</v>
      </c>
      <c r="Q1259" s="46">
        <f>SUM(Q1233:Q1258)</f>
        <v>57</v>
      </c>
      <c r="R1259" s="47">
        <f t="shared" ref="R1259:S1259" si="1151">SUM(R1233:R1258)</f>
        <v>95</v>
      </c>
      <c r="S1259" s="58">
        <f t="shared" si="1151"/>
        <v>74</v>
      </c>
      <c r="T1259" s="45">
        <f t="shared" si="1142"/>
        <v>226</v>
      </c>
      <c r="U1259" s="45">
        <f>P1259+T1259</f>
        <v>452</v>
      </c>
    </row>
    <row r="1260" spans="1:23" ht="14.25" thickBot="1" x14ac:dyDescent="0.2">
      <c r="A1260" s="22" t="s">
        <v>16</v>
      </c>
      <c r="B1260" s="50">
        <f>B1232-B1259</f>
        <v>0</v>
      </c>
      <c r="C1260" s="56">
        <f>C1232-C1259</f>
        <v>0</v>
      </c>
      <c r="D1260" s="57">
        <f>D1232-D1259</f>
        <v>1</v>
      </c>
      <c r="E1260" s="55">
        <f t="shared" si="1130"/>
        <v>1</v>
      </c>
      <c r="F1260" s="50">
        <f>F1232-F1259</f>
        <v>0</v>
      </c>
      <c r="G1260" s="56">
        <f>G1232-G1259</f>
        <v>0</v>
      </c>
      <c r="H1260" s="57">
        <f>H1232-H1259</f>
        <v>1</v>
      </c>
      <c r="I1260" s="55">
        <f t="shared" si="1131"/>
        <v>1</v>
      </c>
      <c r="J1260" s="31">
        <f t="shared" si="1128"/>
        <v>2</v>
      </c>
      <c r="L1260" s="22" t="s">
        <v>16</v>
      </c>
      <c r="M1260" s="50">
        <f>M1232-M1259</f>
        <v>74</v>
      </c>
      <c r="N1260" s="56">
        <f t="shared" ref="N1260:O1260" si="1152">N1232-N1259</f>
        <v>69</v>
      </c>
      <c r="O1260" s="57">
        <f t="shared" si="1152"/>
        <v>123</v>
      </c>
      <c r="P1260" s="55">
        <f>SUM(M1260:O1260)</f>
        <v>266</v>
      </c>
      <c r="Q1260" s="50">
        <f>Q1232-Q1259</f>
        <v>74</v>
      </c>
      <c r="R1260" s="56">
        <f t="shared" ref="R1260:S1260" si="1153">R1232-R1259</f>
        <v>69</v>
      </c>
      <c r="S1260" s="57">
        <f t="shared" si="1153"/>
        <v>123</v>
      </c>
      <c r="T1260" s="55">
        <f>SUM(Q1260:S1260)</f>
        <v>266</v>
      </c>
      <c r="U1260" s="31">
        <f>P1260+T1260</f>
        <v>532</v>
      </c>
    </row>
    <row r="1261" spans="1:23" x14ac:dyDescent="0.15">
      <c r="M1261" s="124">
        <f>M1260/$P$1260*100</f>
        <v>27.819548872180448</v>
      </c>
      <c r="N1261" s="124">
        <f t="shared" ref="N1261:P1261" si="1154">N1260/$P$1260*100</f>
        <v>25.939849624060152</v>
      </c>
      <c r="O1261" s="124">
        <f t="shared" si="1154"/>
        <v>46.2406015037594</v>
      </c>
      <c r="P1261" s="124">
        <f t="shared" si="1154"/>
        <v>100</v>
      </c>
    </row>
    <row r="1262" spans="1:23" x14ac:dyDescent="0.15">
      <c r="M1262" s="125">
        <v>30.5</v>
      </c>
      <c r="N1262" s="125">
        <v>40</v>
      </c>
      <c r="O1262" s="125">
        <v>29.5</v>
      </c>
      <c r="P1262" s="119">
        <f>SUM(M1262:O1262)</f>
        <v>100</v>
      </c>
    </row>
    <row r="1263" spans="1:23" ht="19.5" thickBot="1" x14ac:dyDescent="0.25">
      <c r="A1263" s="3" t="s">
        <v>908</v>
      </c>
      <c r="L1263" s="168" t="s">
        <v>680</v>
      </c>
      <c r="M1263" s="168"/>
      <c r="N1263" s="168"/>
      <c r="O1263" s="168"/>
      <c r="P1263" s="168"/>
      <c r="Q1263" s="168"/>
    </row>
    <row r="1264" spans="1:23" ht="14.25" thickBot="1" x14ac:dyDescent="0.2">
      <c r="A1264" s="7"/>
      <c r="B1264" s="169" t="s">
        <v>22</v>
      </c>
      <c r="C1264" s="170"/>
      <c r="D1264" s="170"/>
      <c r="E1264" s="171"/>
      <c r="F1264" s="169" t="s">
        <v>23</v>
      </c>
      <c r="G1264" s="170"/>
      <c r="H1264" s="170"/>
      <c r="I1264" s="171"/>
      <c r="J1264" s="172" t="s">
        <v>0</v>
      </c>
      <c r="L1264" s="7"/>
      <c r="M1264" s="169" t="s">
        <v>22</v>
      </c>
      <c r="N1264" s="170"/>
      <c r="O1264" s="170"/>
      <c r="P1264" s="171"/>
      <c r="Q1264" s="169" t="s">
        <v>23</v>
      </c>
      <c r="R1264" s="170"/>
      <c r="S1264" s="170"/>
      <c r="T1264" s="171"/>
      <c r="U1264" s="174" t="s">
        <v>0</v>
      </c>
    </row>
    <row r="1265" spans="1:23" ht="14.25" thickBot="1" x14ac:dyDescent="0.2">
      <c r="A1265" s="7" t="s">
        <v>1</v>
      </c>
      <c r="B1265" s="4" t="s">
        <v>2</v>
      </c>
      <c r="C1265" s="5" t="s">
        <v>3</v>
      </c>
      <c r="D1265" s="6" t="s">
        <v>4</v>
      </c>
      <c r="E1265" s="7" t="s">
        <v>5</v>
      </c>
      <c r="F1265" s="4" t="s">
        <v>2</v>
      </c>
      <c r="G1265" s="5" t="s">
        <v>3</v>
      </c>
      <c r="H1265" s="6" t="s">
        <v>4</v>
      </c>
      <c r="I1265" s="7" t="s">
        <v>5</v>
      </c>
      <c r="J1265" s="173"/>
      <c r="L1265" s="7" t="s">
        <v>1</v>
      </c>
      <c r="M1265" s="4" t="s">
        <v>2</v>
      </c>
      <c r="N1265" s="5" t="s">
        <v>3</v>
      </c>
      <c r="O1265" s="6" t="s">
        <v>4</v>
      </c>
      <c r="P1265" s="7" t="s">
        <v>5</v>
      </c>
      <c r="Q1265" s="4" t="s">
        <v>2</v>
      </c>
      <c r="R1265" s="5" t="s">
        <v>3</v>
      </c>
      <c r="S1265" s="6" t="s">
        <v>4</v>
      </c>
      <c r="T1265" s="7" t="s">
        <v>5</v>
      </c>
      <c r="U1265" s="175"/>
    </row>
    <row r="1266" spans="1:23" ht="14.25" thickBot="1" x14ac:dyDescent="0.2">
      <c r="A1266" s="27" t="s">
        <v>16</v>
      </c>
      <c r="B1266" s="28">
        <f t="shared" ref="B1266:I1266" si="1155">B1260</f>
        <v>0</v>
      </c>
      <c r="C1266" s="29">
        <f t="shared" si="1155"/>
        <v>0</v>
      </c>
      <c r="D1266" s="30">
        <f t="shared" si="1155"/>
        <v>1</v>
      </c>
      <c r="E1266" s="31">
        <f t="shared" si="1155"/>
        <v>1</v>
      </c>
      <c r="F1266" s="28">
        <f t="shared" si="1155"/>
        <v>0</v>
      </c>
      <c r="G1266" s="29">
        <f t="shared" si="1155"/>
        <v>0</v>
      </c>
      <c r="H1266" s="30">
        <f t="shared" si="1155"/>
        <v>1</v>
      </c>
      <c r="I1266" s="31">
        <f t="shared" si="1155"/>
        <v>1</v>
      </c>
      <c r="J1266" s="31">
        <f t="shared" ref="J1266:J1303" si="1156">E1266+I1266</f>
        <v>2</v>
      </c>
      <c r="L1266" s="27" t="s">
        <v>16</v>
      </c>
      <c r="M1266" s="50">
        <f t="shared" ref="M1266:U1266" si="1157">M1260</f>
        <v>74</v>
      </c>
      <c r="N1266" s="56">
        <f t="shared" si="1157"/>
        <v>69</v>
      </c>
      <c r="O1266" s="57">
        <f t="shared" si="1157"/>
        <v>123</v>
      </c>
      <c r="P1266" s="55">
        <f t="shared" si="1157"/>
        <v>266</v>
      </c>
      <c r="Q1266" s="50">
        <f t="shared" si="1157"/>
        <v>74</v>
      </c>
      <c r="R1266" s="56">
        <f t="shared" si="1157"/>
        <v>69</v>
      </c>
      <c r="S1266" s="57">
        <f t="shared" si="1157"/>
        <v>123</v>
      </c>
      <c r="T1266" s="55">
        <f t="shared" si="1157"/>
        <v>266</v>
      </c>
      <c r="U1266" s="31">
        <f t="shared" si="1157"/>
        <v>532</v>
      </c>
    </row>
    <row r="1267" spans="1:23" x14ac:dyDescent="0.15">
      <c r="A1267" s="25" t="s">
        <v>885</v>
      </c>
      <c r="B1267" s="8">
        <v>2</v>
      </c>
      <c r="C1267" s="9"/>
      <c r="D1267" s="52"/>
      <c r="E1267" s="11">
        <f t="shared" ref="E1267:E1303" si="1158">SUM(B1267:D1267)</f>
        <v>2</v>
      </c>
      <c r="F1267" s="12">
        <v>2</v>
      </c>
      <c r="G1267" s="9"/>
      <c r="H1267" s="10"/>
      <c r="I1267" s="11">
        <f t="shared" ref="I1267:I1303" si="1159">SUM(F1267:H1267)</f>
        <v>2</v>
      </c>
      <c r="J1267" s="11">
        <f t="shared" si="1156"/>
        <v>4</v>
      </c>
      <c r="K1267" s="64">
        <v>46051</v>
      </c>
      <c r="L1267" s="25" t="s">
        <v>969</v>
      </c>
      <c r="M1267" s="8"/>
      <c r="N1267" s="9">
        <v>2</v>
      </c>
      <c r="O1267" s="52">
        <v>1</v>
      </c>
      <c r="P1267" s="11">
        <f t="shared" ref="P1267:P1274" si="1160">SUM(M1267:O1267)</f>
        <v>3</v>
      </c>
      <c r="Q1267" s="12"/>
      <c r="R1267" s="9">
        <v>2</v>
      </c>
      <c r="S1267" s="10">
        <v>1</v>
      </c>
      <c r="T1267" s="11">
        <f t="shared" ref="T1267:T1274" si="1161">SUM(Q1267:S1267)</f>
        <v>3</v>
      </c>
      <c r="U1267" s="11">
        <f t="shared" ref="U1267:U1274" si="1162">P1267+T1267</f>
        <v>6</v>
      </c>
      <c r="V1267" s="99">
        <v>46039</v>
      </c>
    </row>
    <row r="1268" spans="1:23" x14ac:dyDescent="0.15">
      <c r="A1268" s="25" t="s">
        <v>8</v>
      </c>
      <c r="B1268" s="8"/>
      <c r="C1268" s="9"/>
      <c r="D1268" s="52"/>
      <c r="E1268" s="11">
        <f t="shared" si="1158"/>
        <v>0</v>
      </c>
      <c r="F1268" s="12"/>
      <c r="G1268" s="9"/>
      <c r="H1268" s="10"/>
      <c r="I1268" s="11">
        <f t="shared" si="1159"/>
        <v>0</v>
      </c>
      <c r="J1268" s="11">
        <f t="shared" si="1156"/>
        <v>0</v>
      </c>
      <c r="L1268" s="25" t="s">
        <v>8</v>
      </c>
      <c r="M1268" s="8"/>
      <c r="N1268" s="9"/>
      <c r="O1268" s="52"/>
      <c r="P1268" s="11">
        <f t="shared" si="1160"/>
        <v>0</v>
      </c>
      <c r="Q1268" s="12"/>
      <c r="R1268" s="9"/>
      <c r="S1268" s="10"/>
      <c r="T1268" s="11">
        <f t="shared" si="1161"/>
        <v>0</v>
      </c>
      <c r="U1268" s="11">
        <f t="shared" si="1162"/>
        <v>0</v>
      </c>
    </row>
    <row r="1269" spans="1:23" x14ac:dyDescent="0.15">
      <c r="A1269" s="25" t="s">
        <v>9</v>
      </c>
      <c r="B1269" s="8"/>
      <c r="C1269" s="9"/>
      <c r="D1269" s="52"/>
      <c r="E1269" s="11">
        <f t="shared" si="1158"/>
        <v>0</v>
      </c>
      <c r="F1269" s="12"/>
      <c r="G1269" s="9"/>
      <c r="H1269" s="10"/>
      <c r="I1269" s="11">
        <f t="shared" si="1159"/>
        <v>0</v>
      </c>
      <c r="J1269" s="11">
        <f t="shared" si="1156"/>
        <v>0</v>
      </c>
      <c r="L1269" s="25" t="s">
        <v>9</v>
      </c>
      <c r="M1269" s="8">
        <v>120</v>
      </c>
      <c r="N1269" s="9">
        <v>200</v>
      </c>
      <c r="O1269" s="52">
        <v>80</v>
      </c>
      <c r="P1269" s="11">
        <f t="shared" ref="P1269:P1273" si="1163">SUM(M1269:O1269)</f>
        <v>400</v>
      </c>
      <c r="Q1269" s="12">
        <v>120</v>
      </c>
      <c r="R1269" s="9">
        <v>200</v>
      </c>
      <c r="S1269" s="10">
        <v>80</v>
      </c>
      <c r="T1269" s="11">
        <f t="shared" ref="T1269:T1273" si="1164">SUM(Q1269:S1269)</f>
        <v>400</v>
      </c>
      <c r="U1269" s="11">
        <f t="shared" ref="U1269:U1273" si="1165">P1269+T1269</f>
        <v>800</v>
      </c>
      <c r="V1269" s="98" t="s">
        <v>972</v>
      </c>
    </row>
    <row r="1270" spans="1:23" x14ac:dyDescent="0.15">
      <c r="A1270" s="25" t="s">
        <v>10</v>
      </c>
      <c r="B1270" s="8"/>
      <c r="C1270" s="9"/>
      <c r="D1270" s="52"/>
      <c r="E1270" s="11">
        <f t="shared" si="1158"/>
        <v>0</v>
      </c>
      <c r="F1270" s="12"/>
      <c r="G1270" s="9"/>
      <c r="H1270" s="10"/>
      <c r="I1270" s="11">
        <f t="shared" si="1159"/>
        <v>0</v>
      </c>
      <c r="J1270" s="11">
        <f t="shared" si="1156"/>
        <v>0</v>
      </c>
      <c r="L1270" s="25" t="s">
        <v>10</v>
      </c>
      <c r="M1270" s="8"/>
      <c r="N1270" s="9"/>
      <c r="O1270" s="52"/>
      <c r="P1270" s="11">
        <f t="shared" si="1163"/>
        <v>0</v>
      </c>
      <c r="Q1270" s="12"/>
      <c r="R1270" s="9"/>
      <c r="S1270" s="10"/>
      <c r="T1270" s="11">
        <f t="shared" si="1164"/>
        <v>0</v>
      </c>
      <c r="U1270" s="11">
        <f t="shared" si="1165"/>
        <v>0</v>
      </c>
    </row>
    <row r="1271" spans="1:23" x14ac:dyDescent="0.15">
      <c r="A1271" s="25" t="s">
        <v>11</v>
      </c>
      <c r="B1271" s="8"/>
      <c r="C1271" s="9"/>
      <c r="D1271" s="52"/>
      <c r="E1271" s="11">
        <f t="shared" si="1158"/>
        <v>0</v>
      </c>
      <c r="F1271" s="12"/>
      <c r="G1271" s="9"/>
      <c r="H1271" s="10"/>
      <c r="I1271" s="11">
        <f t="shared" si="1159"/>
        <v>0</v>
      </c>
      <c r="J1271" s="11">
        <f t="shared" si="1156"/>
        <v>0</v>
      </c>
      <c r="L1271" s="25" t="s">
        <v>888</v>
      </c>
      <c r="M1271" s="8">
        <v>2</v>
      </c>
      <c r="N1271" s="9"/>
      <c r="O1271" s="52"/>
      <c r="P1271" s="11">
        <f t="shared" si="1163"/>
        <v>2</v>
      </c>
      <c r="Q1271" s="12">
        <v>2</v>
      </c>
      <c r="R1271" s="9"/>
      <c r="S1271" s="10"/>
      <c r="T1271" s="11">
        <f t="shared" si="1164"/>
        <v>2</v>
      </c>
      <c r="U1271" s="11">
        <f t="shared" si="1165"/>
        <v>4</v>
      </c>
      <c r="V1271" s="99">
        <v>46053</v>
      </c>
    </row>
    <row r="1272" spans="1:23" x14ac:dyDescent="0.15">
      <c r="A1272" s="25" t="s">
        <v>12</v>
      </c>
      <c r="B1272" s="8"/>
      <c r="C1272" s="9"/>
      <c r="D1272" s="52"/>
      <c r="E1272" s="11">
        <f t="shared" si="1158"/>
        <v>0</v>
      </c>
      <c r="F1272" s="12"/>
      <c r="G1272" s="9"/>
      <c r="H1272" s="10"/>
      <c r="I1272" s="11">
        <f t="shared" si="1159"/>
        <v>0</v>
      </c>
      <c r="J1272" s="11">
        <f t="shared" si="1156"/>
        <v>0</v>
      </c>
      <c r="L1272" s="25" t="s">
        <v>12</v>
      </c>
      <c r="M1272" s="8"/>
      <c r="N1272" s="9"/>
      <c r="O1272" s="52"/>
      <c r="P1272" s="11">
        <f t="shared" si="1163"/>
        <v>0</v>
      </c>
      <c r="Q1272" s="12"/>
      <c r="R1272" s="9"/>
      <c r="S1272" s="10"/>
      <c r="T1272" s="11">
        <f t="shared" si="1164"/>
        <v>0</v>
      </c>
      <c r="U1272" s="11">
        <f t="shared" si="1165"/>
        <v>0</v>
      </c>
    </row>
    <row r="1273" spans="1:23" x14ac:dyDescent="0.15">
      <c r="A1273" s="25" t="s">
        <v>13</v>
      </c>
      <c r="B1273" s="13"/>
      <c r="C1273" s="14"/>
      <c r="D1273" s="53"/>
      <c r="E1273" s="11">
        <f t="shared" si="1158"/>
        <v>0</v>
      </c>
      <c r="F1273" s="16"/>
      <c r="G1273" s="14"/>
      <c r="H1273" s="15"/>
      <c r="I1273" s="11">
        <f t="shared" si="1159"/>
        <v>0</v>
      </c>
      <c r="J1273" s="11">
        <f t="shared" si="1156"/>
        <v>0</v>
      </c>
      <c r="L1273" s="25" t="s">
        <v>13</v>
      </c>
      <c r="M1273" s="8"/>
      <c r="N1273" s="9"/>
      <c r="O1273" s="52"/>
      <c r="P1273" s="11">
        <f t="shared" si="1163"/>
        <v>0</v>
      </c>
      <c r="Q1273" s="12"/>
      <c r="R1273" s="9"/>
      <c r="S1273" s="10"/>
      <c r="T1273" s="11">
        <f t="shared" si="1164"/>
        <v>0</v>
      </c>
      <c r="U1273" s="11">
        <f t="shared" si="1165"/>
        <v>0</v>
      </c>
    </row>
    <row r="1274" spans="1:23" ht="14.25" thickBot="1" x14ac:dyDescent="0.2">
      <c r="A1274" s="25" t="s">
        <v>14</v>
      </c>
      <c r="B1274" s="32"/>
      <c r="C1274" s="33"/>
      <c r="D1274" s="54"/>
      <c r="E1274" s="61">
        <f t="shared" si="1158"/>
        <v>0</v>
      </c>
      <c r="F1274" s="34"/>
      <c r="G1274" s="34"/>
      <c r="H1274" s="37"/>
      <c r="I1274" s="61">
        <f t="shared" si="1159"/>
        <v>0</v>
      </c>
      <c r="J1274" s="21">
        <f t="shared" si="1156"/>
        <v>0</v>
      </c>
      <c r="L1274" s="25" t="s">
        <v>14</v>
      </c>
      <c r="M1274" s="32"/>
      <c r="N1274" s="33"/>
      <c r="O1274" s="54"/>
      <c r="P1274" s="61">
        <f t="shared" si="1160"/>
        <v>0</v>
      </c>
      <c r="Q1274" s="34"/>
      <c r="R1274" s="34"/>
      <c r="S1274" s="37"/>
      <c r="T1274" s="61">
        <f t="shared" si="1161"/>
        <v>0</v>
      </c>
      <c r="U1274" s="21">
        <f t="shared" si="1162"/>
        <v>0</v>
      </c>
    </row>
    <row r="1275" spans="1:23" ht="14.25" thickBot="1" x14ac:dyDescent="0.2">
      <c r="A1275" s="35" t="s">
        <v>15</v>
      </c>
      <c r="B1275" s="28">
        <f>SUM(B1266:B1274)</f>
        <v>2</v>
      </c>
      <c r="C1275" s="29">
        <f>SUM(C1266:C1274)</f>
        <v>0</v>
      </c>
      <c r="D1275" s="30">
        <f>SUM(D1266:D1274)</f>
        <v>1</v>
      </c>
      <c r="E1275" s="31">
        <f t="shared" si="1158"/>
        <v>3</v>
      </c>
      <c r="F1275" s="28">
        <f>SUM(F1266:F1274)</f>
        <v>2</v>
      </c>
      <c r="G1275" s="29">
        <f>SUM(G1266:G1274)</f>
        <v>0</v>
      </c>
      <c r="H1275" s="30">
        <f>SUM(H1266:H1274)</f>
        <v>1</v>
      </c>
      <c r="I1275" s="31">
        <f t="shared" si="1159"/>
        <v>3</v>
      </c>
      <c r="J1275" s="31">
        <f t="shared" si="1156"/>
        <v>6</v>
      </c>
      <c r="L1275" s="35" t="s">
        <v>15</v>
      </c>
      <c r="M1275" s="28">
        <f>SUM(M1266:M1274)</f>
        <v>196</v>
      </c>
      <c r="N1275" s="29">
        <f>SUM(N1266:N1274)</f>
        <v>271</v>
      </c>
      <c r="O1275" s="30">
        <f>SUM(O1266:O1274)</f>
        <v>204</v>
      </c>
      <c r="P1275" s="31">
        <f>SUM(M1275:O1275)</f>
        <v>671</v>
      </c>
      <c r="Q1275" s="28">
        <f>SUM(Q1266:Q1274)</f>
        <v>196</v>
      </c>
      <c r="R1275" s="29">
        <f>SUM(R1266:R1274)</f>
        <v>271</v>
      </c>
      <c r="S1275" s="30">
        <f>SUM(S1266:S1274)</f>
        <v>204</v>
      </c>
      <c r="T1275" s="31">
        <f>SUM(Q1275:S1275)</f>
        <v>671</v>
      </c>
      <c r="U1275" s="31">
        <f>P1275+T1275</f>
        <v>1342</v>
      </c>
    </row>
    <row r="1276" spans="1:23" x14ac:dyDescent="0.15">
      <c r="A1276" s="108" t="s">
        <v>977</v>
      </c>
      <c r="B1276" s="8">
        <v>2</v>
      </c>
      <c r="C1276" s="9"/>
      <c r="D1276" s="10"/>
      <c r="E1276" s="49">
        <f t="shared" si="1158"/>
        <v>2</v>
      </c>
      <c r="F1276" s="12">
        <v>2</v>
      </c>
      <c r="G1276" s="9"/>
      <c r="H1276" s="10"/>
      <c r="I1276" s="49">
        <f t="shared" si="1159"/>
        <v>2</v>
      </c>
      <c r="J1276" s="11">
        <f t="shared" si="1156"/>
        <v>4</v>
      </c>
      <c r="K1276" s="64">
        <v>46053</v>
      </c>
      <c r="L1276" s="26" t="s">
        <v>275</v>
      </c>
      <c r="M1276" s="8">
        <v>9</v>
      </c>
      <c r="N1276" s="9">
        <v>7</v>
      </c>
      <c r="O1276" s="52">
        <v>10</v>
      </c>
      <c r="P1276" s="87">
        <f t="shared" ref="P1276" si="1166">SUM(M1276:O1276)</f>
        <v>26</v>
      </c>
      <c r="Q1276" s="8">
        <v>9</v>
      </c>
      <c r="R1276" s="9">
        <v>7</v>
      </c>
      <c r="S1276" s="10">
        <v>10</v>
      </c>
      <c r="T1276" s="49">
        <f t="shared" ref="T1276" si="1167">SUM(Q1276:S1276)</f>
        <v>26</v>
      </c>
      <c r="U1276" s="11">
        <f t="shared" ref="U1276" si="1168">P1276+T1276</f>
        <v>52</v>
      </c>
      <c r="V1276" s="98">
        <v>46043</v>
      </c>
    </row>
    <row r="1277" spans="1:23" x14ac:dyDescent="0.15">
      <c r="A1277" s="108"/>
      <c r="B1277" s="8"/>
      <c r="C1277" s="9"/>
      <c r="D1277" s="10"/>
      <c r="E1277" s="49">
        <f t="shared" si="1158"/>
        <v>0</v>
      </c>
      <c r="F1277" s="12"/>
      <c r="G1277" s="9"/>
      <c r="H1277" s="10"/>
      <c r="I1277" s="49">
        <f t="shared" si="1159"/>
        <v>0</v>
      </c>
      <c r="J1277" s="11">
        <f t="shared" si="1156"/>
        <v>0</v>
      </c>
      <c r="L1277" s="26" t="s">
        <v>276</v>
      </c>
      <c r="M1277" s="8">
        <v>1</v>
      </c>
      <c r="N1277" s="9">
        <v>5</v>
      </c>
      <c r="O1277" s="52">
        <v>3</v>
      </c>
      <c r="P1277" s="87">
        <f t="shared" ref="P1277:P1302" si="1169">SUM(M1277:O1277)</f>
        <v>9</v>
      </c>
      <c r="Q1277" s="8">
        <v>1</v>
      </c>
      <c r="R1277" s="9">
        <v>5</v>
      </c>
      <c r="S1277" s="10">
        <v>3</v>
      </c>
      <c r="T1277" s="49">
        <f t="shared" ref="T1277:T1302" si="1170">SUM(Q1277:S1277)</f>
        <v>9</v>
      </c>
      <c r="U1277" s="11">
        <f t="shared" ref="U1277:U1301" si="1171">P1277+T1277</f>
        <v>18</v>
      </c>
      <c r="V1277" s="98">
        <v>46044</v>
      </c>
    </row>
    <row r="1278" spans="1:23" x14ac:dyDescent="0.15">
      <c r="A1278" s="108"/>
      <c r="B1278" s="8"/>
      <c r="C1278" s="9"/>
      <c r="D1278" s="10"/>
      <c r="E1278" s="49">
        <f t="shared" si="1158"/>
        <v>0</v>
      </c>
      <c r="F1278" s="12"/>
      <c r="G1278" s="9"/>
      <c r="H1278" s="10"/>
      <c r="I1278" s="49">
        <f t="shared" si="1159"/>
        <v>0</v>
      </c>
      <c r="J1278" s="11">
        <f t="shared" si="1156"/>
        <v>0</v>
      </c>
      <c r="L1278" s="26" t="s">
        <v>277</v>
      </c>
      <c r="M1278" s="8">
        <v>1</v>
      </c>
      <c r="N1278" s="9">
        <v>2</v>
      </c>
      <c r="O1278" s="52">
        <v>2</v>
      </c>
      <c r="P1278" s="87">
        <f t="shared" si="1169"/>
        <v>5</v>
      </c>
      <c r="Q1278" s="8">
        <v>1</v>
      </c>
      <c r="R1278" s="9">
        <v>2</v>
      </c>
      <c r="S1278" s="10">
        <v>2</v>
      </c>
      <c r="T1278" s="49">
        <f t="shared" si="1170"/>
        <v>5</v>
      </c>
      <c r="U1278" s="11">
        <f t="shared" si="1171"/>
        <v>10</v>
      </c>
      <c r="V1278" s="98">
        <v>46045</v>
      </c>
      <c r="W1278" s="66"/>
    </row>
    <row r="1279" spans="1:23" x14ac:dyDescent="0.15">
      <c r="A1279" s="108"/>
      <c r="B1279" s="8"/>
      <c r="C1279" s="9"/>
      <c r="D1279" s="10"/>
      <c r="E1279" s="49">
        <f t="shared" si="1158"/>
        <v>0</v>
      </c>
      <c r="F1279" s="12"/>
      <c r="G1279" s="9"/>
      <c r="H1279" s="10"/>
      <c r="I1279" s="49">
        <f t="shared" si="1159"/>
        <v>0</v>
      </c>
      <c r="J1279" s="11">
        <f t="shared" si="1156"/>
        <v>0</v>
      </c>
      <c r="L1279" s="26" t="s">
        <v>278</v>
      </c>
      <c r="M1279" s="8"/>
      <c r="N1279" s="9">
        <v>4</v>
      </c>
      <c r="O1279" s="52">
        <v>2</v>
      </c>
      <c r="P1279" s="87">
        <f t="shared" si="1169"/>
        <v>6</v>
      </c>
      <c r="Q1279" s="8"/>
      <c r="R1279" s="9">
        <v>4</v>
      </c>
      <c r="S1279" s="10">
        <v>2</v>
      </c>
      <c r="T1279" s="49">
        <f t="shared" si="1170"/>
        <v>6</v>
      </c>
      <c r="U1279" s="11">
        <f t="shared" si="1171"/>
        <v>12</v>
      </c>
      <c r="V1279" s="98">
        <v>46045</v>
      </c>
    </row>
    <row r="1280" spans="1:23" x14ac:dyDescent="0.15">
      <c r="A1280" s="108"/>
      <c r="B1280" s="8"/>
      <c r="C1280" s="9"/>
      <c r="D1280" s="10"/>
      <c r="E1280" s="49">
        <f t="shared" si="1158"/>
        <v>0</v>
      </c>
      <c r="F1280" s="12"/>
      <c r="G1280" s="9"/>
      <c r="H1280" s="10"/>
      <c r="I1280" s="49">
        <f t="shared" si="1159"/>
        <v>0</v>
      </c>
      <c r="J1280" s="11">
        <f t="shared" si="1156"/>
        <v>0</v>
      </c>
      <c r="L1280" s="26" t="s">
        <v>279</v>
      </c>
      <c r="M1280" s="8"/>
      <c r="N1280" s="9">
        <v>1</v>
      </c>
      <c r="O1280" s="52">
        <v>3</v>
      </c>
      <c r="P1280" s="87">
        <f t="shared" si="1169"/>
        <v>4</v>
      </c>
      <c r="Q1280" s="8"/>
      <c r="R1280" s="9">
        <v>1</v>
      </c>
      <c r="S1280" s="10">
        <v>3</v>
      </c>
      <c r="T1280" s="49">
        <f t="shared" si="1170"/>
        <v>4</v>
      </c>
      <c r="U1280" s="11">
        <f t="shared" si="1171"/>
        <v>8</v>
      </c>
      <c r="V1280" s="98">
        <v>46050</v>
      </c>
      <c r="W1280" s="66"/>
    </row>
    <row r="1281" spans="1:25" x14ac:dyDescent="0.15">
      <c r="A1281" s="108"/>
      <c r="B1281" s="8"/>
      <c r="C1281" s="9"/>
      <c r="D1281" s="10"/>
      <c r="E1281" s="49">
        <f t="shared" si="1158"/>
        <v>0</v>
      </c>
      <c r="F1281" s="12"/>
      <c r="G1281" s="9"/>
      <c r="H1281" s="10"/>
      <c r="I1281" s="49">
        <f t="shared" si="1159"/>
        <v>0</v>
      </c>
      <c r="J1281" s="11">
        <f t="shared" si="1156"/>
        <v>0</v>
      </c>
      <c r="L1281" s="26" t="s">
        <v>280</v>
      </c>
      <c r="M1281" s="8">
        <v>2</v>
      </c>
      <c r="N1281" s="9">
        <v>5</v>
      </c>
      <c r="O1281" s="52">
        <v>4</v>
      </c>
      <c r="P1281" s="87">
        <f t="shared" si="1169"/>
        <v>11</v>
      </c>
      <c r="Q1281" s="8">
        <v>2</v>
      </c>
      <c r="R1281" s="9">
        <v>5</v>
      </c>
      <c r="S1281" s="10">
        <v>4</v>
      </c>
      <c r="T1281" s="49">
        <f t="shared" si="1170"/>
        <v>11</v>
      </c>
      <c r="U1281" s="11">
        <f t="shared" si="1171"/>
        <v>22</v>
      </c>
      <c r="V1281" s="98">
        <v>46051</v>
      </c>
    </row>
    <row r="1282" spans="1:25" x14ac:dyDescent="0.15">
      <c r="A1282" s="108"/>
      <c r="B1282" s="8"/>
      <c r="C1282" s="9"/>
      <c r="D1282" s="10"/>
      <c r="E1282" s="49">
        <f t="shared" si="1158"/>
        <v>0</v>
      </c>
      <c r="F1282" s="12"/>
      <c r="G1282" s="9"/>
      <c r="H1282" s="10"/>
      <c r="I1282" s="49">
        <f t="shared" si="1159"/>
        <v>0</v>
      </c>
      <c r="J1282" s="11">
        <f t="shared" si="1156"/>
        <v>0</v>
      </c>
      <c r="L1282" s="26" t="s">
        <v>281</v>
      </c>
      <c r="M1282" s="8"/>
      <c r="N1282" s="9">
        <v>2</v>
      </c>
      <c r="O1282" s="52"/>
      <c r="P1282" s="87">
        <f t="shared" si="1169"/>
        <v>2</v>
      </c>
      <c r="Q1282" s="8"/>
      <c r="R1282" s="9">
        <v>2</v>
      </c>
      <c r="S1282" s="10"/>
      <c r="T1282" s="49">
        <f t="shared" si="1170"/>
        <v>2</v>
      </c>
      <c r="U1282" s="11">
        <f t="shared" si="1171"/>
        <v>4</v>
      </c>
      <c r="V1282" s="98">
        <v>46052</v>
      </c>
      <c r="W1282" s="66"/>
    </row>
    <row r="1283" spans="1:25" x14ac:dyDescent="0.15">
      <c r="A1283" s="108"/>
      <c r="B1283" s="8"/>
      <c r="C1283" s="9"/>
      <c r="D1283" s="10"/>
      <c r="E1283" s="49">
        <f t="shared" si="1158"/>
        <v>0</v>
      </c>
      <c r="F1283" s="12"/>
      <c r="G1283" s="9"/>
      <c r="H1283" s="10"/>
      <c r="I1283" s="49">
        <f t="shared" si="1159"/>
        <v>0</v>
      </c>
      <c r="J1283" s="11">
        <f t="shared" si="1156"/>
        <v>0</v>
      </c>
      <c r="L1283" s="26" t="s">
        <v>283</v>
      </c>
      <c r="M1283" s="8"/>
      <c r="N1283" s="9"/>
      <c r="O1283" s="52">
        <v>2</v>
      </c>
      <c r="P1283" s="87">
        <f t="shared" si="1169"/>
        <v>2</v>
      </c>
      <c r="Q1283" s="8"/>
      <c r="R1283" s="9"/>
      <c r="S1283" s="10">
        <v>2</v>
      </c>
      <c r="T1283" s="49">
        <f t="shared" si="1170"/>
        <v>2</v>
      </c>
      <c r="U1283" s="11">
        <f t="shared" si="1171"/>
        <v>4</v>
      </c>
      <c r="V1283" s="98">
        <v>46052</v>
      </c>
    </row>
    <row r="1284" spans="1:25" x14ac:dyDescent="0.15">
      <c r="A1284" s="108"/>
      <c r="B1284" s="8"/>
      <c r="C1284" s="9"/>
      <c r="D1284" s="10"/>
      <c r="E1284" s="49">
        <f t="shared" si="1158"/>
        <v>0</v>
      </c>
      <c r="F1284" s="12"/>
      <c r="G1284" s="9"/>
      <c r="H1284" s="10"/>
      <c r="I1284" s="49">
        <f t="shared" si="1159"/>
        <v>0</v>
      </c>
      <c r="J1284" s="11">
        <f t="shared" si="1156"/>
        <v>0</v>
      </c>
      <c r="L1284" s="26" t="s">
        <v>284</v>
      </c>
      <c r="M1284" s="8">
        <v>2</v>
      </c>
      <c r="N1284" s="9">
        <v>1</v>
      </c>
      <c r="O1284" s="52"/>
      <c r="P1284" s="87">
        <f t="shared" si="1169"/>
        <v>3</v>
      </c>
      <c r="Q1284" s="8">
        <v>2</v>
      </c>
      <c r="R1284" s="9">
        <v>1</v>
      </c>
      <c r="S1284" s="10"/>
      <c r="T1284" s="49">
        <f t="shared" si="1170"/>
        <v>3</v>
      </c>
      <c r="U1284" s="11">
        <f t="shared" si="1171"/>
        <v>6</v>
      </c>
      <c r="V1284" s="98">
        <v>46055</v>
      </c>
    </row>
    <row r="1285" spans="1:25" x14ac:dyDescent="0.15">
      <c r="A1285" s="108"/>
      <c r="B1285" s="8"/>
      <c r="C1285" s="9"/>
      <c r="D1285" s="10"/>
      <c r="E1285" s="49">
        <f t="shared" si="1158"/>
        <v>0</v>
      </c>
      <c r="F1285" s="12"/>
      <c r="G1285" s="9"/>
      <c r="H1285" s="10"/>
      <c r="I1285" s="49">
        <f t="shared" si="1159"/>
        <v>0</v>
      </c>
      <c r="J1285" s="11">
        <f t="shared" si="1156"/>
        <v>0</v>
      </c>
      <c r="L1285" s="26" t="s">
        <v>285</v>
      </c>
      <c r="M1285" s="8">
        <v>4</v>
      </c>
      <c r="N1285" s="9">
        <v>3</v>
      </c>
      <c r="O1285" s="52">
        <v>5</v>
      </c>
      <c r="P1285" s="87">
        <f t="shared" si="1169"/>
        <v>12</v>
      </c>
      <c r="Q1285" s="8">
        <v>4</v>
      </c>
      <c r="R1285" s="9">
        <v>3</v>
      </c>
      <c r="S1285" s="10">
        <v>5</v>
      </c>
      <c r="T1285" s="49">
        <f t="shared" si="1170"/>
        <v>12</v>
      </c>
      <c r="U1285" s="11">
        <f t="shared" si="1171"/>
        <v>24</v>
      </c>
      <c r="V1285" s="98">
        <v>46057</v>
      </c>
    </row>
    <row r="1286" spans="1:25" x14ac:dyDescent="0.15">
      <c r="A1286" s="108"/>
      <c r="B1286" s="8"/>
      <c r="C1286" s="9"/>
      <c r="D1286" s="10"/>
      <c r="E1286" s="49">
        <f t="shared" si="1158"/>
        <v>0</v>
      </c>
      <c r="F1286" s="12"/>
      <c r="G1286" s="9"/>
      <c r="H1286" s="10"/>
      <c r="I1286" s="49">
        <f t="shared" si="1159"/>
        <v>0</v>
      </c>
      <c r="J1286" s="11">
        <f t="shared" si="1156"/>
        <v>0</v>
      </c>
      <c r="L1286" s="26" t="s">
        <v>286</v>
      </c>
      <c r="M1286" s="8">
        <v>1</v>
      </c>
      <c r="N1286" s="9"/>
      <c r="O1286" s="52"/>
      <c r="P1286" s="87">
        <f t="shared" si="1169"/>
        <v>1</v>
      </c>
      <c r="Q1286" s="8">
        <v>1</v>
      </c>
      <c r="R1286" s="9"/>
      <c r="S1286" s="10"/>
      <c r="T1286" s="49">
        <f t="shared" si="1170"/>
        <v>1</v>
      </c>
      <c r="U1286" s="11">
        <f t="shared" si="1171"/>
        <v>2</v>
      </c>
      <c r="V1286" s="98">
        <v>46058</v>
      </c>
    </row>
    <row r="1287" spans="1:25" x14ac:dyDescent="0.15">
      <c r="A1287" s="108"/>
      <c r="B1287" s="8"/>
      <c r="C1287" s="9"/>
      <c r="D1287" s="10"/>
      <c r="E1287" s="49">
        <f t="shared" si="1158"/>
        <v>0</v>
      </c>
      <c r="F1287" s="12"/>
      <c r="G1287" s="9"/>
      <c r="H1287" s="10"/>
      <c r="I1287" s="49">
        <f t="shared" si="1159"/>
        <v>0</v>
      </c>
      <c r="J1287" s="11">
        <f t="shared" si="1156"/>
        <v>0</v>
      </c>
      <c r="L1287" s="26" t="s">
        <v>287</v>
      </c>
      <c r="M1287" s="8"/>
      <c r="N1287" s="9">
        <v>1</v>
      </c>
      <c r="O1287" s="52"/>
      <c r="P1287" s="87">
        <f t="shared" si="1169"/>
        <v>1</v>
      </c>
      <c r="Q1287" s="8"/>
      <c r="R1287" s="9">
        <v>1</v>
      </c>
      <c r="S1287" s="10"/>
      <c r="T1287" s="49">
        <f t="shared" si="1170"/>
        <v>1</v>
      </c>
      <c r="U1287" s="11">
        <f t="shared" si="1171"/>
        <v>2</v>
      </c>
      <c r="V1287" s="98">
        <v>46059</v>
      </c>
    </row>
    <row r="1288" spans="1:25" x14ac:dyDescent="0.15">
      <c r="A1288" s="108"/>
      <c r="B1288" s="8"/>
      <c r="C1288" s="9"/>
      <c r="D1288" s="10"/>
      <c r="E1288" s="49">
        <f t="shared" si="1158"/>
        <v>0</v>
      </c>
      <c r="F1288" s="12"/>
      <c r="G1288" s="9"/>
      <c r="H1288" s="10"/>
      <c r="I1288" s="49">
        <f t="shared" si="1159"/>
        <v>0</v>
      </c>
      <c r="J1288" s="11">
        <f t="shared" si="1156"/>
        <v>0</v>
      </c>
      <c r="L1288" s="26" t="s">
        <v>288</v>
      </c>
      <c r="M1288" s="8"/>
      <c r="N1288" s="9">
        <v>2</v>
      </c>
      <c r="O1288" s="52"/>
      <c r="P1288" s="87">
        <f t="shared" si="1169"/>
        <v>2</v>
      </c>
      <c r="Q1288" s="8"/>
      <c r="R1288" s="9">
        <v>2</v>
      </c>
      <c r="S1288" s="10"/>
      <c r="T1288" s="49">
        <f t="shared" si="1170"/>
        <v>2</v>
      </c>
      <c r="U1288" s="11">
        <f t="shared" si="1171"/>
        <v>4</v>
      </c>
      <c r="V1288" s="98">
        <v>46059</v>
      </c>
    </row>
    <row r="1289" spans="1:25" x14ac:dyDescent="0.15">
      <c r="A1289" s="108"/>
      <c r="B1289" s="8"/>
      <c r="C1289" s="9"/>
      <c r="D1289" s="10"/>
      <c r="E1289" s="49">
        <f t="shared" si="1158"/>
        <v>0</v>
      </c>
      <c r="F1289" s="12"/>
      <c r="G1289" s="9"/>
      <c r="H1289" s="10"/>
      <c r="I1289" s="49">
        <f t="shared" si="1159"/>
        <v>0</v>
      </c>
      <c r="J1289" s="11">
        <f t="shared" si="1156"/>
        <v>0</v>
      </c>
      <c r="L1289" s="26" t="s">
        <v>289</v>
      </c>
      <c r="M1289" s="8">
        <v>5</v>
      </c>
      <c r="N1289" s="9">
        <v>2</v>
      </c>
      <c r="O1289" s="52"/>
      <c r="P1289" s="87">
        <f t="shared" si="1169"/>
        <v>7</v>
      </c>
      <c r="Q1289" s="8">
        <v>5</v>
      </c>
      <c r="R1289" s="9">
        <v>2</v>
      </c>
      <c r="S1289" s="10"/>
      <c r="T1289" s="49">
        <f t="shared" si="1170"/>
        <v>7</v>
      </c>
      <c r="U1289" s="11">
        <f t="shared" si="1171"/>
        <v>14</v>
      </c>
      <c r="V1289" s="98">
        <v>46062</v>
      </c>
    </row>
    <row r="1290" spans="1:25" x14ac:dyDescent="0.15">
      <c r="A1290" s="108"/>
      <c r="B1290" s="8"/>
      <c r="C1290" s="9"/>
      <c r="D1290" s="10"/>
      <c r="E1290" s="49">
        <f t="shared" si="1158"/>
        <v>0</v>
      </c>
      <c r="F1290" s="12"/>
      <c r="G1290" s="9"/>
      <c r="H1290" s="10"/>
      <c r="I1290" s="49">
        <f t="shared" si="1159"/>
        <v>0</v>
      </c>
      <c r="J1290" s="11">
        <f t="shared" si="1156"/>
        <v>0</v>
      </c>
      <c r="L1290" s="26" t="s">
        <v>290</v>
      </c>
      <c r="M1290" s="8">
        <v>5</v>
      </c>
      <c r="N1290" s="9">
        <v>1</v>
      </c>
      <c r="O1290" s="52">
        <v>5</v>
      </c>
      <c r="P1290" s="87">
        <f t="shared" ref="P1290:P1291" si="1172">SUM(M1290:O1290)</f>
        <v>11</v>
      </c>
      <c r="Q1290" s="8">
        <v>5</v>
      </c>
      <c r="R1290" s="9">
        <v>1</v>
      </c>
      <c r="S1290" s="10">
        <v>5</v>
      </c>
      <c r="T1290" s="49">
        <f t="shared" ref="T1290:T1291" si="1173">SUM(Q1290:S1290)</f>
        <v>11</v>
      </c>
      <c r="U1290" s="11">
        <f t="shared" ref="U1290:U1291" si="1174">P1290+T1290</f>
        <v>22</v>
      </c>
      <c r="V1290" s="98">
        <v>46063</v>
      </c>
    </row>
    <row r="1291" spans="1:25" x14ac:dyDescent="0.15">
      <c r="A1291" s="108"/>
      <c r="B1291" s="8"/>
      <c r="C1291" s="9"/>
      <c r="D1291" s="10"/>
      <c r="E1291" s="49">
        <f t="shared" si="1158"/>
        <v>0</v>
      </c>
      <c r="F1291" s="12"/>
      <c r="G1291" s="9"/>
      <c r="H1291" s="10"/>
      <c r="I1291" s="49">
        <f t="shared" si="1159"/>
        <v>0</v>
      </c>
      <c r="J1291" s="11">
        <f t="shared" si="1156"/>
        <v>0</v>
      </c>
      <c r="L1291" s="26" t="s">
        <v>294</v>
      </c>
      <c r="M1291" s="8"/>
      <c r="N1291" s="9">
        <v>5</v>
      </c>
      <c r="O1291" s="52"/>
      <c r="P1291" s="87">
        <f t="shared" si="1172"/>
        <v>5</v>
      </c>
      <c r="Q1291" s="8"/>
      <c r="R1291" s="9">
        <v>5</v>
      </c>
      <c r="S1291" s="10"/>
      <c r="T1291" s="49">
        <f t="shared" si="1173"/>
        <v>5</v>
      </c>
      <c r="U1291" s="11">
        <f t="shared" si="1174"/>
        <v>10</v>
      </c>
      <c r="V1291" s="98">
        <v>46065</v>
      </c>
      <c r="W1291" s="66"/>
      <c r="X1291" s="66"/>
      <c r="Y1291" s="66"/>
    </row>
    <row r="1292" spans="1:25" x14ac:dyDescent="0.15">
      <c r="A1292" s="108"/>
      <c r="B1292" s="8"/>
      <c r="C1292" s="9"/>
      <c r="D1292" s="10"/>
      <c r="E1292" s="49">
        <f t="shared" si="1158"/>
        <v>0</v>
      </c>
      <c r="F1292" s="12"/>
      <c r="G1292" s="9"/>
      <c r="H1292" s="10"/>
      <c r="I1292" s="49">
        <f t="shared" si="1159"/>
        <v>0</v>
      </c>
      <c r="J1292" s="11">
        <f t="shared" si="1156"/>
        <v>0</v>
      </c>
      <c r="L1292" s="26" t="s">
        <v>293</v>
      </c>
      <c r="M1292" s="8"/>
      <c r="N1292" s="9">
        <v>1</v>
      </c>
      <c r="O1292" s="52">
        <v>2</v>
      </c>
      <c r="P1292" s="87">
        <f t="shared" si="1169"/>
        <v>3</v>
      </c>
      <c r="Q1292" s="8"/>
      <c r="R1292" s="9">
        <v>1</v>
      </c>
      <c r="S1292" s="10">
        <v>2</v>
      </c>
      <c r="T1292" s="49">
        <f t="shared" si="1170"/>
        <v>3</v>
      </c>
      <c r="U1292" s="11">
        <f t="shared" si="1171"/>
        <v>6</v>
      </c>
      <c r="V1292" s="98">
        <v>46066</v>
      </c>
    </row>
    <row r="1293" spans="1:25" x14ac:dyDescent="0.15">
      <c r="A1293" s="108"/>
      <c r="B1293" s="8"/>
      <c r="C1293" s="9"/>
      <c r="D1293" s="10"/>
      <c r="E1293" s="49">
        <f t="shared" si="1158"/>
        <v>0</v>
      </c>
      <c r="F1293" s="12"/>
      <c r="G1293" s="9"/>
      <c r="H1293" s="10"/>
      <c r="I1293" s="49">
        <f t="shared" si="1159"/>
        <v>0</v>
      </c>
      <c r="J1293" s="11">
        <f t="shared" si="1156"/>
        <v>0</v>
      </c>
      <c r="L1293" s="26" t="s">
        <v>295</v>
      </c>
      <c r="M1293" s="8">
        <v>1</v>
      </c>
      <c r="N1293" s="9"/>
      <c r="O1293" s="52"/>
      <c r="P1293" s="87">
        <f t="shared" si="1169"/>
        <v>1</v>
      </c>
      <c r="Q1293" s="8">
        <v>1</v>
      </c>
      <c r="R1293" s="9"/>
      <c r="S1293" s="10"/>
      <c r="T1293" s="49">
        <f t="shared" si="1170"/>
        <v>1</v>
      </c>
      <c r="U1293" s="11">
        <f t="shared" si="1171"/>
        <v>2</v>
      </c>
      <c r="V1293" s="98">
        <v>46069</v>
      </c>
      <c r="W1293" s="66"/>
    </row>
    <row r="1294" spans="1:25" x14ac:dyDescent="0.15">
      <c r="A1294" s="108"/>
      <c r="B1294" s="8"/>
      <c r="C1294" s="9"/>
      <c r="D1294" s="10"/>
      <c r="E1294" s="49">
        <f t="shared" si="1158"/>
        <v>0</v>
      </c>
      <c r="F1294" s="12"/>
      <c r="G1294" s="9"/>
      <c r="H1294" s="10"/>
      <c r="I1294" s="49">
        <f t="shared" si="1159"/>
        <v>0</v>
      </c>
      <c r="J1294" s="11">
        <f t="shared" si="1156"/>
        <v>0</v>
      </c>
      <c r="L1294" s="26" t="s">
        <v>296</v>
      </c>
      <c r="M1294" s="8"/>
      <c r="N1294" s="9">
        <v>4</v>
      </c>
      <c r="O1294" s="52"/>
      <c r="P1294" s="87">
        <f t="shared" si="1169"/>
        <v>4</v>
      </c>
      <c r="Q1294" s="8"/>
      <c r="R1294" s="9">
        <v>4</v>
      </c>
      <c r="S1294" s="10"/>
      <c r="T1294" s="49">
        <f t="shared" si="1170"/>
        <v>4</v>
      </c>
      <c r="U1294" s="11">
        <f t="shared" si="1171"/>
        <v>8</v>
      </c>
      <c r="V1294" s="98">
        <v>46071</v>
      </c>
    </row>
    <row r="1295" spans="1:25" x14ac:dyDescent="0.15">
      <c r="A1295" s="108"/>
      <c r="B1295" s="8"/>
      <c r="C1295" s="9"/>
      <c r="D1295" s="10"/>
      <c r="E1295" s="49">
        <f t="shared" si="1158"/>
        <v>0</v>
      </c>
      <c r="F1295" s="12"/>
      <c r="G1295" s="9"/>
      <c r="H1295" s="10"/>
      <c r="I1295" s="49">
        <f t="shared" si="1159"/>
        <v>0</v>
      </c>
      <c r="J1295" s="11">
        <f t="shared" si="1156"/>
        <v>0</v>
      </c>
      <c r="L1295" s="26" t="s">
        <v>300</v>
      </c>
      <c r="M1295" s="8"/>
      <c r="N1295" s="9">
        <v>1</v>
      </c>
      <c r="O1295" s="52"/>
      <c r="P1295" s="87">
        <f t="shared" si="1169"/>
        <v>1</v>
      </c>
      <c r="Q1295" s="8"/>
      <c r="R1295" s="9">
        <v>1</v>
      </c>
      <c r="S1295" s="10"/>
      <c r="T1295" s="49">
        <f t="shared" si="1170"/>
        <v>1</v>
      </c>
      <c r="U1295" s="11">
        <f t="shared" si="1171"/>
        <v>2</v>
      </c>
      <c r="V1295" s="98">
        <v>46072</v>
      </c>
    </row>
    <row r="1296" spans="1:25" x14ac:dyDescent="0.15">
      <c r="A1296" s="108"/>
      <c r="B1296" s="8"/>
      <c r="C1296" s="9"/>
      <c r="D1296" s="10"/>
      <c r="E1296" s="49">
        <f t="shared" si="1158"/>
        <v>0</v>
      </c>
      <c r="F1296" s="12"/>
      <c r="G1296" s="9"/>
      <c r="H1296" s="10"/>
      <c r="I1296" s="49">
        <f t="shared" si="1159"/>
        <v>0</v>
      </c>
      <c r="J1296" s="11">
        <f t="shared" si="1156"/>
        <v>0</v>
      </c>
      <c r="L1296" s="26" t="s">
        <v>299</v>
      </c>
      <c r="M1296" s="8">
        <v>1</v>
      </c>
      <c r="N1296" s="9"/>
      <c r="O1296" s="52">
        <v>1</v>
      </c>
      <c r="P1296" s="87">
        <f t="shared" si="1169"/>
        <v>2</v>
      </c>
      <c r="Q1296" s="8">
        <v>1</v>
      </c>
      <c r="R1296" s="9"/>
      <c r="S1296" s="10">
        <v>1</v>
      </c>
      <c r="T1296" s="49">
        <f t="shared" si="1170"/>
        <v>2</v>
      </c>
      <c r="U1296" s="11">
        <f t="shared" si="1171"/>
        <v>4</v>
      </c>
      <c r="V1296" s="98">
        <v>46073</v>
      </c>
      <c r="W1296" s="66"/>
    </row>
    <row r="1297" spans="1:22" x14ac:dyDescent="0.15">
      <c r="A1297" s="108"/>
      <c r="B1297" s="8"/>
      <c r="C1297" s="9"/>
      <c r="D1297" s="10"/>
      <c r="E1297" s="49">
        <f t="shared" si="1158"/>
        <v>0</v>
      </c>
      <c r="F1297" s="12"/>
      <c r="G1297" s="9"/>
      <c r="H1297" s="10"/>
      <c r="I1297" s="49">
        <f t="shared" si="1159"/>
        <v>0</v>
      </c>
      <c r="J1297" s="11">
        <f t="shared" si="1156"/>
        <v>0</v>
      </c>
      <c r="L1297" s="26"/>
      <c r="M1297" s="8"/>
      <c r="N1297" s="9"/>
      <c r="O1297" s="52"/>
      <c r="P1297" s="87">
        <f t="shared" si="1169"/>
        <v>0</v>
      </c>
      <c r="Q1297" s="8"/>
      <c r="R1297" s="9"/>
      <c r="S1297" s="10"/>
      <c r="T1297" s="49">
        <f t="shared" si="1170"/>
        <v>0</v>
      </c>
      <c r="U1297" s="11">
        <f t="shared" si="1171"/>
        <v>0</v>
      </c>
    </row>
    <row r="1298" spans="1:22" x14ac:dyDescent="0.15">
      <c r="A1298" s="108"/>
      <c r="B1298" s="8"/>
      <c r="C1298" s="9"/>
      <c r="D1298" s="10"/>
      <c r="E1298" s="49">
        <f t="shared" si="1158"/>
        <v>0</v>
      </c>
      <c r="F1298" s="12"/>
      <c r="G1298" s="9"/>
      <c r="H1298" s="10"/>
      <c r="I1298" s="49">
        <f t="shared" si="1159"/>
        <v>0</v>
      </c>
      <c r="J1298" s="11">
        <f t="shared" si="1156"/>
        <v>0</v>
      </c>
      <c r="L1298" s="26" t="s">
        <v>962</v>
      </c>
      <c r="M1298" s="8"/>
      <c r="N1298" s="9"/>
      <c r="O1298" s="52"/>
      <c r="P1298" s="87">
        <f t="shared" ref="P1298:P1300" si="1175">SUM(M1298:O1298)</f>
        <v>0</v>
      </c>
      <c r="Q1298" s="8"/>
      <c r="R1298" s="9"/>
      <c r="S1298" s="10"/>
      <c r="T1298" s="49">
        <f t="shared" ref="T1298:T1300" si="1176">SUM(Q1298:S1298)</f>
        <v>0</v>
      </c>
      <c r="U1298" s="11">
        <f t="shared" ref="U1298:U1300" si="1177">P1298+T1298</f>
        <v>0</v>
      </c>
      <c r="V1298" s="100" t="s">
        <v>961</v>
      </c>
    </row>
    <row r="1299" spans="1:22" x14ac:dyDescent="0.15">
      <c r="A1299" s="108"/>
      <c r="B1299" s="8"/>
      <c r="C1299" s="9"/>
      <c r="D1299" s="10"/>
      <c r="E1299" s="49">
        <f t="shared" si="1158"/>
        <v>0</v>
      </c>
      <c r="F1299" s="12"/>
      <c r="G1299" s="9"/>
      <c r="H1299" s="10"/>
      <c r="I1299" s="49">
        <f t="shared" si="1159"/>
        <v>0</v>
      </c>
      <c r="J1299" s="11">
        <f t="shared" si="1156"/>
        <v>0</v>
      </c>
      <c r="L1299" s="26" t="s">
        <v>966</v>
      </c>
      <c r="M1299" s="8"/>
      <c r="N1299" s="9"/>
      <c r="O1299" s="52"/>
      <c r="P1299" s="87">
        <f t="shared" si="1175"/>
        <v>0</v>
      </c>
      <c r="Q1299" s="8"/>
      <c r="R1299" s="9"/>
      <c r="S1299" s="10"/>
      <c r="T1299" s="49">
        <f t="shared" si="1176"/>
        <v>0</v>
      </c>
      <c r="U1299" s="11">
        <f t="shared" si="1177"/>
        <v>0</v>
      </c>
      <c r="V1299" s="100" t="s">
        <v>967</v>
      </c>
    </row>
    <row r="1300" spans="1:22" x14ac:dyDescent="0.15">
      <c r="A1300" s="108"/>
      <c r="B1300" s="8"/>
      <c r="C1300" s="9"/>
      <c r="D1300" s="10"/>
      <c r="E1300" s="49">
        <f t="shared" si="1158"/>
        <v>0</v>
      </c>
      <c r="F1300" s="12"/>
      <c r="G1300" s="9"/>
      <c r="H1300" s="10"/>
      <c r="I1300" s="49">
        <f t="shared" si="1159"/>
        <v>0</v>
      </c>
      <c r="J1300" s="11">
        <f t="shared" si="1156"/>
        <v>0</v>
      </c>
      <c r="L1300" s="26" t="s">
        <v>970</v>
      </c>
      <c r="M1300" s="8"/>
      <c r="N1300" s="9"/>
      <c r="O1300" s="52"/>
      <c r="P1300" s="87">
        <f t="shared" si="1175"/>
        <v>0</v>
      </c>
      <c r="Q1300" s="8"/>
      <c r="R1300" s="9"/>
      <c r="S1300" s="10"/>
      <c r="T1300" s="49">
        <f t="shared" si="1176"/>
        <v>0</v>
      </c>
      <c r="U1300" s="11">
        <f t="shared" si="1177"/>
        <v>0</v>
      </c>
      <c r="V1300" s="100" t="s">
        <v>971</v>
      </c>
    </row>
    <row r="1301" spans="1:22" ht="14.25" thickBot="1" x14ac:dyDescent="0.2">
      <c r="A1301" s="108"/>
      <c r="B1301" s="8"/>
      <c r="C1301" s="9"/>
      <c r="D1301" s="10"/>
      <c r="E1301" s="49">
        <f t="shared" si="1158"/>
        <v>0</v>
      </c>
      <c r="F1301" s="12"/>
      <c r="G1301" s="9"/>
      <c r="H1301" s="10"/>
      <c r="I1301" s="49">
        <f t="shared" si="1159"/>
        <v>0</v>
      </c>
      <c r="J1301" s="11">
        <f t="shared" si="1156"/>
        <v>0</v>
      </c>
      <c r="L1301" s="26" t="s">
        <v>973</v>
      </c>
      <c r="M1301" s="8"/>
      <c r="N1301" s="9"/>
      <c r="O1301" s="52"/>
      <c r="P1301" s="87">
        <f t="shared" si="1169"/>
        <v>0</v>
      </c>
      <c r="Q1301" s="8"/>
      <c r="R1301" s="9"/>
      <c r="S1301" s="10"/>
      <c r="T1301" s="49">
        <f t="shared" si="1170"/>
        <v>0</v>
      </c>
      <c r="U1301" s="11">
        <f t="shared" si="1171"/>
        <v>0</v>
      </c>
      <c r="V1301" s="100" t="s">
        <v>974</v>
      </c>
    </row>
    <row r="1302" spans="1:22" ht="14.25" thickBot="1" x14ac:dyDescent="0.2">
      <c r="A1302" s="41" t="s">
        <v>17</v>
      </c>
      <c r="B1302" s="46">
        <f>SUM(B1276:B1301)</f>
        <v>2</v>
      </c>
      <c r="C1302" s="47">
        <f>SUM(C1276:C1301)</f>
        <v>0</v>
      </c>
      <c r="D1302" s="58">
        <f>SUM(D1276:D1301)</f>
        <v>0</v>
      </c>
      <c r="E1302" s="45">
        <f t="shared" si="1158"/>
        <v>2</v>
      </c>
      <c r="F1302" s="46">
        <f>SUM(F1276:F1301)</f>
        <v>2</v>
      </c>
      <c r="G1302" s="47">
        <f>SUM(G1276:G1301)</f>
        <v>0</v>
      </c>
      <c r="H1302" s="58">
        <f>SUM(H1276:H1301)</f>
        <v>0</v>
      </c>
      <c r="I1302" s="45">
        <f t="shared" si="1159"/>
        <v>2</v>
      </c>
      <c r="J1302" s="45">
        <f t="shared" si="1156"/>
        <v>4</v>
      </c>
      <c r="L1302" s="41" t="s">
        <v>17</v>
      </c>
      <c r="M1302" s="46">
        <f>SUM(M1276:M1301)</f>
        <v>32</v>
      </c>
      <c r="N1302" s="47">
        <f t="shared" ref="N1302:O1302" si="1178">SUM(N1276:N1301)</f>
        <v>47</v>
      </c>
      <c r="O1302" s="58">
        <f t="shared" si="1178"/>
        <v>39</v>
      </c>
      <c r="P1302" s="45">
        <f t="shared" si="1169"/>
        <v>118</v>
      </c>
      <c r="Q1302" s="46">
        <f>SUM(Q1276:Q1301)</f>
        <v>32</v>
      </c>
      <c r="R1302" s="47">
        <f t="shared" ref="R1302:S1302" si="1179">SUM(R1276:R1301)</f>
        <v>47</v>
      </c>
      <c r="S1302" s="58">
        <f t="shared" si="1179"/>
        <v>39</v>
      </c>
      <c r="T1302" s="45">
        <f t="shared" si="1170"/>
        <v>118</v>
      </c>
      <c r="U1302" s="45">
        <f>P1302+T1302</f>
        <v>236</v>
      </c>
    </row>
    <row r="1303" spans="1:22" ht="14.25" thickBot="1" x14ac:dyDescent="0.2">
      <c r="A1303" s="22" t="s">
        <v>16</v>
      </c>
      <c r="B1303" s="50">
        <f>B1275-B1302</f>
        <v>0</v>
      </c>
      <c r="C1303" s="56">
        <f>C1275-C1302</f>
        <v>0</v>
      </c>
      <c r="D1303" s="57">
        <f>D1275-D1302</f>
        <v>1</v>
      </c>
      <c r="E1303" s="55">
        <f t="shared" si="1158"/>
        <v>1</v>
      </c>
      <c r="F1303" s="50">
        <f>F1275-F1302</f>
        <v>0</v>
      </c>
      <c r="G1303" s="56">
        <f>G1275-G1302</f>
        <v>0</v>
      </c>
      <c r="H1303" s="57">
        <f>H1275-H1302</f>
        <v>1</v>
      </c>
      <c r="I1303" s="55">
        <f t="shared" si="1159"/>
        <v>1</v>
      </c>
      <c r="J1303" s="31">
        <f t="shared" si="1156"/>
        <v>2</v>
      </c>
      <c r="L1303" s="22" t="s">
        <v>16</v>
      </c>
      <c r="M1303" s="50">
        <f>M1275-M1302</f>
        <v>164</v>
      </c>
      <c r="N1303" s="56">
        <f t="shared" ref="N1303:O1303" si="1180">N1275-N1302</f>
        <v>224</v>
      </c>
      <c r="O1303" s="57">
        <f t="shared" si="1180"/>
        <v>165</v>
      </c>
      <c r="P1303" s="55">
        <f>SUM(M1303:O1303)</f>
        <v>553</v>
      </c>
      <c r="Q1303" s="50">
        <f>Q1275-Q1302</f>
        <v>164</v>
      </c>
      <c r="R1303" s="56">
        <f t="shared" ref="R1303:S1303" si="1181">R1275-R1302</f>
        <v>224</v>
      </c>
      <c r="S1303" s="57">
        <f t="shared" si="1181"/>
        <v>165</v>
      </c>
      <c r="T1303" s="55">
        <f>SUM(Q1303:S1303)</f>
        <v>553</v>
      </c>
      <c r="U1303" s="31">
        <f>P1303+T1303</f>
        <v>1106</v>
      </c>
    </row>
    <row r="1304" spans="1:22" x14ac:dyDescent="0.15">
      <c r="L1304" s="150" t="s">
        <v>988</v>
      </c>
      <c r="M1304" s="147">
        <f>M1345+M1302+M1259+M1216+M1173</f>
        <v>290</v>
      </c>
      <c r="N1304" s="147">
        <f t="shared" ref="N1304:P1304" si="1182">N1345+N1302+N1259+N1216+N1173</f>
        <v>397</v>
      </c>
      <c r="O1304" s="147">
        <f t="shared" si="1182"/>
        <v>284</v>
      </c>
      <c r="P1304" s="147">
        <f t="shared" si="1182"/>
        <v>971</v>
      </c>
    </row>
    <row r="1305" spans="1:22" x14ac:dyDescent="0.15">
      <c r="L1305" s="152" t="s">
        <v>954</v>
      </c>
      <c r="M1305" s="125">
        <f>M1304/$P$1304*100</f>
        <v>29.866117404737384</v>
      </c>
      <c r="N1305" s="125">
        <f t="shared" ref="N1305:P1305" si="1183">N1304/$P$1304*100</f>
        <v>40.885684860968077</v>
      </c>
      <c r="O1305" s="125">
        <f t="shared" si="1183"/>
        <v>29.248197734294539</v>
      </c>
      <c r="P1305" s="125">
        <f t="shared" si="1183"/>
        <v>100</v>
      </c>
    </row>
    <row r="1306" spans="1:22" ht="19.5" thickBot="1" x14ac:dyDescent="0.25">
      <c r="A1306" s="3" t="s">
        <v>908</v>
      </c>
      <c r="L1306" s="168" t="s">
        <v>680</v>
      </c>
      <c r="M1306" s="168"/>
      <c r="N1306" s="168"/>
      <c r="O1306" s="168"/>
      <c r="P1306" s="168"/>
      <c r="Q1306" s="168"/>
    </row>
    <row r="1307" spans="1:22" ht="14.25" thickBot="1" x14ac:dyDescent="0.2">
      <c r="A1307" s="7"/>
      <c r="B1307" s="169" t="s">
        <v>22</v>
      </c>
      <c r="C1307" s="170"/>
      <c r="D1307" s="170"/>
      <c r="E1307" s="171"/>
      <c r="F1307" s="169" t="s">
        <v>23</v>
      </c>
      <c r="G1307" s="170"/>
      <c r="H1307" s="170"/>
      <c r="I1307" s="171"/>
      <c r="J1307" s="172" t="s">
        <v>0</v>
      </c>
      <c r="L1307" s="7"/>
      <c r="M1307" s="169" t="s">
        <v>22</v>
      </c>
      <c r="N1307" s="170"/>
      <c r="O1307" s="170"/>
      <c r="P1307" s="171"/>
      <c r="Q1307" s="169" t="s">
        <v>23</v>
      </c>
      <c r="R1307" s="170"/>
      <c r="S1307" s="170"/>
      <c r="T1307" s="171"/>
      <c r="U1307" s="174" t="s">
        <v>0</v>
      </c>
    </row>
    <row r="1308" spans="1:22" ht="14.25" thickBot="1" x14ac:dyDescent="0.2">
      <c r="A1308" s="7" t="s">
        <v>1</v>
      </c>
      <c r="B1308" s="4" t="s">
        <v>2</v>
      </c>
      <c r="C1308" s="5" t="s">
        <v>3</v>
      </c>
      <c r="D1308" s="6" t="s">
        <v>4</v>
      </c>
      <c r="E1308" s="7" t="s">
        <v>5</v>
      </c>
      <c r="F1308" s="4" t="s">
        <v>2</v>
      </c>
      <c r="G1308" s="5" t="s">
        <v>3</v>
      </c>
      <c r="H1308" s="6" t="s">
        <v>4</v>
      </c>
      <c r="I1308" s="7" t="s">
        <v>5</v>
      </c>
      <c r="J1308" s="173"/>
      <c r="L1308" s="7" t="s">
        <v>1</v>
      </c>
      <c r="M1308" s="4" t="s">
        <v>2</v>
      </c>
      <c r="N1308" s="5" t="s">
        <v>3</v>
      </c>
      <c r="O1308" s="6" t="s">
        <v>4</v>
      </c>
      <c r="P1308" s="7" t="s">
        <v>5</v>
      </c>
      <c r="Q1308" s="4" t="s">
        <v>2</v>
      </c>
      <c r="R1308" s="5" t="s">
        <v>3</v>
      </c>
      <c r="S1308" s="6" t="s">
        <v>4</v>
      </c>
      <c r="T1308" s="7" t="s">
        <v>5</v>
      </c>
      <c r="U1308" s="175"/>
    </row>
    <row r="1309" spans="1:22" ht="14.25" thickBot="1" x14ac:dyDescent="0.2">
      <c r="A1309" s="27" t="s">
        <v>16</v>
      </c>
      <c r="B1309" s="28">
        <f t="shared" ref="B1309:I1309" si="1184">B1303</f>
        <v>0</v>
      </c>
      <c r="C1309" s="29">
        <f t="shared" si="1184"/>
        <v>0</v>
      </c>
      <c r="D1309" s="30">
        <f t="shared" si="1184"/>
        <v>1</v>
      </c>
      <c r="E1309" s="31">
        <f t="shared" si="1184"/>
        <v>1</v>
      </c>
      <c r="F1309" s="28">
        <f t="shared" si="1184"/>
        <v>0</v>
      </c>
      <c r="G1309" s="29">
        <f t="shared" si="1184"/>
        <v>0</v>
      </c>
      <c r="H1309" s="30">
        <f t="shared" si="1184"/>
        <v>1</v>
      </c>
      <c r="I1309" s="31">
        <f t="shared" si="1184"/>
        <v>1</v>
      </c>
      <c r="J1309" s="31">
        <f t="shared" ref="J1309:J1346" si="1185">E1309+I1309</f>
        <v>2</v>
      </c>
      <c r="L1309" s="27" t="s">
        <v>16</v>
      </c>
      <c r="M1309" s="50">
        <f t="shared" ref="M1309:U1309" si="1186">M1303</f>
        <v>164</v>
      </c>
      <c r="N1309" s="56">
        <f t="shared" si="1186"/>
        <v>224</v>
      </c>
      <c r="O1309" s="57">
        <f t="shared" si="1186"/>
        <v>165</v>
      </c>
      <c r="P1309" s="55">
        <f t="shared" si="1186"/>
        <v>553</v>
      </c>
      <c r="Q1309" s="50">
        <f t="shared" si="1186"/>
        <v>164</v>
      </c>
      <c r="R1309" s="56">
        <f t="shared" si="1186"/>
        <v>224</v>
      </c>
      <c r="S1309" s="57">
        <f t="shared" si="1186"/>
        <v>165</v>
      </c>
      <c r="T1309" s="55">
        <f t="shared" si="1186"/>
        <v>553</v>
      </c>
      <c r="U1309" s="31">
        <f t="shared" si="1186"/>
        <v>1106</v>
      </c>
    </row>
    <row r="1310" spans="1:22" x14ac:dyDescent="0.15">
      <c r="A1310" s="25" t="s">
        <v>885</v>
      </c>
      <c r="B1310" s="8">
        <v>1</v>
      </c>
      <c r="C1310" s="9">
        <v>1</v>
      </c>
      <c r="D1310" s="52">
        <v>1</v>
      </c>
      <c r="E1310" s="11">
        <f t="shared" ref="E1310:E1311" si="1187">SUM(B1310:D1310)</f>
        <v>3</v>
      </c>
      <c r="F1310" s="12">
        <v>1</v>
      </c>
      <c r="G1310" s="9">
        <v>1</v>
      </c>
      <c r="H1310" s="10">
        <v>1</v>
      </c>
      <c r="I1310" s="11">
        <f t="shared" ref="I1310:I1311" si="1188">SUM(F1310:H1310)</f>
        <v>3</v>
      </c>
      <c r="J1310" s="11">
        <f t="shared" ref="J1310:J1311" si="1189">E1310+I1310</f>
        <v>6</v>
      </c>
      <c r="K1310" s="64">
        <v>46077</v>
      </c>
      <c r="L1310" s="25" t="s">
        <v>801</v>
      </c>
      <c r="M1310" s="8"/>
      <c r="N1310" s="9"/>
      <c r="O1310" s="52">
        <v>2</v>
      </c>
      <c r="P1310" s="11">
        <f t="shared" ref="P1310:P1314" si="1190">SUM(M1310:O1310)</f>
        <v>2</v>
      </c>
      <c r="Q1310" s="12"/>
      <c r="R1310" s="9"/>
      <c r="S1310" s="10">
        <v>2</v>
      </c>
      <c r="T1310" s="11">
        <f t="shared" ref="T1310:T1314" si="1191">SUM(Q1310:S1310)</f>
        <v>2</v>
      </c>
      <c r="U1310" s="11">
        <f t="shared" ref="U1310:U1314" si="1192">P1310+T1310</f>
        <v>4</v>
      </c>
      <c r="V1310" s="99">
        <v>46102</v>
      </c>
    </row>
    <row r="1311" spans="1:22" x14ac:dyDescent="0.15">
      <c r="A1311" s="156" t="s">
        <v>8</v>
      </c>
      <c r="B1311" s="157">
        <v>1</v>
      </c>
      <c r="C1311" s="158"/>
      <c r="D1311" s="159"/>
      <c r="E1311" s="160">
        <f t="shared" si="1187"/>
        <v>1</v>
      </c>
      <c r="F1311" s="161">
        <v>1</v>
      </c>
      <c r="G1311" s="158"/>
      <c r="H1311" s="162"/>
      <c r="I1311" s="160">
        <f t="shared" si="1188"/>
        <v>1</v>
      </c>
      <c r="J1311" s="160">
        <f t="shared" si="1189"/>
        <v>2</v>
      </c>
      <c r="K1311" s="163">
        <v>46120</v>
      </c>
      <c r="L1311" s="25" t="s">
        <v>8</v>
      </c>
      <c r="M1311" s="8"/>
      <c r="N1311" s="9"/>
      <c r="O1311" s="52"/>
      <c r="P1311" s="11">
        <f t="shared" si="1190"/>
        <v>0</v>
      </c>
      <c r="Q1311" s="12"/>
      <c r="R1311" s="9"/>
      <c r="S1311" s="10"/>
      <c r="T1311" s="11">
        <f t="shared" si="1191"/>
        <v>0</v>
      </c>
      <c r="U1311" s="11">
        <f t="shared" si="1192"/>
        <v>0</v>
      </c>
    </row>
    <row r="1312" spans="1:22" x14ac:dyDescent="0.15">
      <c r="A1312" s="25" t="s">
        <v>9</v>
      </c>
      <c r="B1312" s="8">
        <v>1</v>
      </c>
      <c r="C1312" s="9"/>
      <c r="D1312" s="52"/>
      <c r="E1312" s="11">
        <f t="shared" ref="E1312:E1346" si="1193">SUM(B1312:D1312)</f>
        <v>1</v>
      </c>
      <c r="F1312" s="12">
        <v>1</v>
      </c>
      <c r="G1312" s="9"/>
      <c r="H1312" s="10"/>
      <c r="I1312" s="11">
        <f t="shared" ref="I1312:I1346" si="1194">SUM(F1312:H1312)</f>
        <v>1</v>
      </c>
      <c r="J1312" s="11">
        <f t="shared" si="1185"/>
        <v>2</v>
      </c>
      <c r="K1312" s="64">
        <v>46144</v>
      </c>
      <c r="L1312" s="25" t="s">
        <v>9</v>
      </c>
      <c r="M1312" s="8"/>
      <c r="N1312" s="9"/>
      <c r="O1312" s="52"/>
      <c r="P1312" s="11">
        <f t="shared" si="1190"/>
        <v>0</v>
      </c>
      <c r="Q1312" s="12"/>
      <c r="R1312" s="9"/>
      <c r="S1312" s="10"/>
      <c r="T1312" s="11">
        <f t="shared" si="1191"/>
        <v>0</v>
      </c>
      <c r="U1312" s="11">
        <f t="shared" si="1192"/>
        <v>0</v>
      </c>
    </row>
    <row r="1313" spans="1:23" x14ac:dyDescent="0.15">
      <c r="A1313" s="25" t="s">
        <v>10</v>
      </c>
      <c r="B1313" s="8"/>
      <c r="C1313" s="9"/>
      <c r="D1313" s="52"/>
      <c r="E1313" s="11">
        <f t="shared" si="1193"/>
        <v>0</v>
      </c>
      <c r="F1313" s="12"/>
      <c r="G1313" s="9"/>
      <c r="H1313" s="10"/>
      <c r="I1313" s="11">
        <f t="shared" si="1194"/>
        <v>0</v>
      </c>
      <c r="J1313" s="11">
        <f t="shared" si="1185"/>
        <v>0</v>
      </c>
      <c r="L1313" s="25" t="s">
        <v>10</v>
      </c>
      <c r="M1313" s="8"/>
      <c r="N1313" s="9"/>
      <c r="O1313" s="52"/>
      <c r="P1313" s="11">
        <f t="shared" si="1190"/>
        <v>0</v>
      </c>
      <c r="Q1313" s="12"/>
      <c r="R1313" s="9"/>
      <c r="S1313" s="10"/>
      <c r="T1313" s="11">
        <f t="shared" si="1191"/>
        <v>0</v>
      </c>
      <c r="U1313" s="11">
        <f t="shared" si="1192"/>
        <v>0</v>
      </c>
    </row>
    <row r="1314" spans="1:23" x14ac:dyDescent="0.15">
      <c r="A1314" s="25" t="s">
        <v>11</v>
      </c>
      <c r="B1314" s="8"/>
      <c r="C1314" s="9"/>
      <c r="D1314" s="52"/>
      <c r="E1314" s="11">
        <f t="shared" si="1193"/>
        <v>0</v>
      </c>
      <c r="F1314" s="12"/>
      <c r="G1314" s="9"/>
      <c r="H1314" s="10"/>
      <c r="I1314" s="11">
        <f t="shared" si="1194"/>
        <v>0</v>
      </c>
      <c r="J1314" s="11">
        <f t="shared" si="1185"/>
        <v>0</v>
      </c>
      <c r="L1314" s="25" t="s">
        <v>11</v>
      </c>
      <c r="M1314" s="8"/>
      <c r="N1314" s="9"/>
      <c r="O1314" s="52"/>
      <c r="P1314" s="11">
        <f t="shared" si="1190"/>
        <v>0</v>
      </c>
      <c r="Q1314" s="12"/>
      <c r="R1314" s="9"/>
      <c r="S1314" s="10"/>
      <c r="T1314" s="11">
        <f t="shared" si="1191"/>
        <v>0</v>
      </c>
      <c r="U1314" s="11">
        <f t="shared" si="1192"/>
        <v>0</v>
      </c>
    </row>
    <row r="1315" spans="1:23" x14ac:dyDescent="0.15">
      <c r="A1315" s="25" t="s">
        <v>12</v>
      </c>
      <c r="B1315" s="8"/>
      <c r="C1315" s="9"/>
      <c r="D1315" s="52"/>
      <c r="E1315" s="11">
        <f t="shared" si="1193"/>
        <v>0</v>
      </c>
      <c r="F1315" s="12"/>
      <c r="G1315" s="9"/>
      <c r="H1315" s="10"/>
      <c r="I1315" s="11">
        <f t="shared" si="1194"/>
        <v>0</v>
      </c>
      <c r="J1315" s="11">
        <f t="shared" si="1185"/>
        <v>0</v>
      </c>
      <c r="L1315" s="25" t="s">
        <v>12</v>
      </c>
      <c r="M1315" s="8"/>
      <c r="N1315" s="9"/>
      <c r="O1315" s="52"/>
      <c r="P1315" s="11">
        <f t="shared" ref="P1315:P1317" si="1195">SUM(M1315:O1315)</f>
        <v>0</v>
      </c>
      <c r="Q1315" s="12"/>
      <c r="R1315" s="9"/>
      <c r="S1315" s="10"/>
      <c r="T1315" s="11">
        <f t="shared" ref="T1315:T1317" si="1196">SUM(Q1315:S1315)</f>
        <v>0</v>
      </c>
      <c r="U1315" s="11">
        <f t="shared" ref="U1315:U1317" si="1197">P1315+T1315</f>
        <v>0</v>
      </c>
    </row>
    <row r="1316" spans="1:23" x14ac:dyDescent="0.15">
      <c r="A1316" s="25" t="s">
        <v>13</v>
      </c>
      <c r="B1316" s="13"/>
      <c r="C1316" s="14"/>
      <c r="D1316" s="53"/>
      <c r="E1316" s="11">
        <f t="shared" si="1193"/>
        <v>0</v>
      </c>
      <c r="F1316" s="16"/>
      <c r="G1316" s="14"/>
      <c r="H1316" s="15"/>
      <c r="I1316" s="11">
        <f t="shared" si="1194"/>
        <v>0</v>
      </c>
      <c r="J1316" s="11">
        <f t="shared" si="1185"/>
        <v>0</v>
      </c>
      <c r="L1316" s="25" t="s">
        <v>13</v>
      </c>
      <c r="M1316" s="8"/>
      <c r="N1316" s="9"/>
      <c r="O1316" s="52"/>
      <c r="P1316" s="11">
        <f t="shared" si="1195"/>
        <v>0</v>
      </c>
      <c r="Q1316" s="12"/>
      <c r="R1316" s="9"/>
      <c r="S1316" s="10"/>
      <c r="T1316" s="11">
        <f t="shared" si="1196"/>
        <v>0</v>
      </c>
      <c r="U1316" s="11">
        <f t="shared" si="1197"/>
        <v>0</v>
      </c>
    </row>
    <row r="1317" spans="1:23" ht="14.25" thickBot="1" x14ac:dyDescent="0.2">
      <c r="A1317" s="25" t="s">
        <v>14</v>
      </c>
      <c r="B1317" s="32"/>
      <c r="C1317" s="33"/>
      <c r="D1317" s="54"/>
      <c r="E1317" s="61">
        <f t="shared" si="1193"/>
        <v>0</v>
      </c>
      <c r="F1317" s="34"/>
      <c r="G1317" s="34"/>
      <c r="H1317" s="37"/>
      <c r="I1317" s="61">
        <f t="shared" si="1194"/>
        <v>0</v>
      </c>
      <c r="J1317" s="21">
        <f t="shared" si="1185"/>
        <v>0</v>
      </c>
      <c r="L1317" s="25" t="s">
        <v>14</v>
      </c>
      <c r="M1317" s="32"/>
      <c r="N1317" s="33"/>
      <c r="O1317" s="54"/>
      <c r="P1317" s="61">
        <f t="shared" si="1195"/>
        <v>0</v>
      </c>
      <c r="Q1317" s="34"/>
      <c r="R1317" s="34"/>
      <c r="S1317" s="37"/>
      <c r="T1317" s="61">
        <f t="shared" si="1196"/>
        <v>0</v>
      </c>
      <c r="U1317" s="21">
        <f t="shared" si="1197"/>
        <v>0</v>
      </c>
    </row>
    <row r="1318" spans="1:23" ht="14.25" thickBot="1" x14ac:dyDescent="0.2">
      <c r="A1318" s="35" t="s">
        <v>15</v>
      </c>
      <c r="B1318" s="28">
        <f>SUM(B1309:B1317)</f>
        <v>3</v>
      </c>
      <c r="C1318" s="29">
        <f>SUM(C1309:C1317)</f>
        <v>1</v>
      </c>
      <c r="D1318" s="30">
        <f>SUM(D1309:D1317)</f>
        <v>2</v>
      </c>
      <c r="E1318" s="31">
        <f t="shared" si="1193"/>
        <v>6</v>
      </c>
      <c r="F1318" s="28">
        <f>SUM(F1309:F1317)</f>
        <v>3</v>
      </c>
      <c r="G1318" s="29">
        <f>SUM(G1309:G1317)</f>
        <v>1</v>
      </c>
      <c r="H1318" s="30">
        <f>SUM(H1309:H1317)</f>
        <v>2</v>
      </c>
      <c r="I1318" s="31">
        <f t="shared" si="1194"/>
        <v>6</v>
      </c>
      <c r="J1318" s="31">
        <f t="shared" si="1185"/>
        <v>12</v>
      </c>
      <c r="L1318" s="35" t="s">
        <v>15</v>
      </c>
      <c r="M1318" s="28">
        <f>SUM(M1309:M1317)</f>
        <v>164</v>
      </c>
      <c r="N1318" s="29">
        <f>SUM(N1309:N1317)</f>
        <v>224</v>
      </c>
      <c r="O1318" s="30">
        <f>SUM(O1309:O1317)</f>
        <v>167</v>
      </c>
      <c r="P1318" s="31">
        <f>SUM(M1318:O1318)</f>
        <v>555</v>
      </c>
      <c r="Q1318" s="28">
        <f>SUM(Q1309:Q1317)</f>
        <v>164</v>
      </c>
      <c r="R1318" s="29">
        <f>SUM(R1309:R1317)</f>
        <v>224</v>
      </c>
      <c r="S1318" s="30">
        <f>SUM(S1309:S1317)</f>
        <v>167</v>
      </c>
      <c r="T1318" s="31">
        <f>SUM(Q1318:S1318)</f>
        <v>555</v>
      </c>
      <c r="U1318" s="31">
        <f>P1318+T1318</f>
        <v>1110</v>
      </c>
    </row>
    <row r="1319" spans="1:23" x14ac:dyDescent="0.15">
      <c r="A1319" s="26" t="s">
        <v>984</v>
      </c>
      <c r="B1319" s="8">
        <v>1</v>
      </c>
      <c r="C1319" s="9">
        <v>1</v>
      </c>
      <c r="D1319" s="10"/>
      <c r="E1319" s="49">
        <f t="shared" ref="E1319" si="1198">SUM(B1319:D1319)</f>
        <v>2</v>
      </c>
      <c r="F1319" s="12">
        <v>1</v>
      </c>
      <c r="G1319" s="9">
        <v>1</v>
      </c>
      <c r="H1319" s="10"/>
      <c r="I1319" s="49">
        <f t="shared" ref="I1319" si="1199">SUM(F1319:H1319)</f>
        <v>2</v>
      </c>
      <c r="J1319" s="11">
        <f t="shared" ref="J1319" si="1200">E1319+I1319</f>
        <v>4</v>
      </c>
      <c r="K1319" s="62">
        <v>46100</v>
      </c>
      <c r="L1319" s="26" t="s">
        <v>978</v>
      </c>
      <c r="M1319" s="8"/>
      <c r="N1319" s="9"/>
      <c r="O1319" s="52">
        <v>1</v>
      </c>
      <c r="P1319" s="87">
        <f t="shared" ref="P1319:P1337" si="1201">SUM(M1319:O1319)</f>
        <v>1</v>
      </c>
      <c r="Q1319" s="8"/>
      <c r="R1319" s="9"/>
      <c r="S1319" s="10">
        <v>1</v>
      </c>
      <c r="T1319" s="49">
        <f t="shared" ref="T1319:T1337" si="1202">SUM(Q1319:S1319)</f>
        <v>1</v>
      </c>
      <c r="U1319" s="11">
        <f t="shared" ref="U1319:U1337" si="1203">P1319+T1319</f>
        <v>2</v>
      </c>
      <c r="V1319" s="98">
        <v>46073</v>
      </c>
    </row>
    <row r="1320" spans="1:23" x14ac:dyDescent="0.15">
      <c r="A1320" s="108" t="s">
        <v>362</v>
      </c>
      <c r="B1320" s="8"/>
      <c r="C1320" s="9"/>
      <c r="D1320" s="10">
        <v>2</v>
      </c>
      <c r="E1320" s="49">
        <f t="shared" si="1193"/>
        <v>2</v>
      </c>
      <c r="F1320" s="12"/>
      <c r="G1320" s="9"/>
      <c r="H1320" s="10">
        <v>2</v>
      </c>
      <c r="I1320" s="49">
        <f t="shared" si="1194"/>
        <v>2</v>
      </c>
      <c r="J1320" s="11">
        <f t="shared" si="1185"/>
        <v>4</v>
      </c>
      <c r="K1320" s="64">
        <v>46102</v>
      </c>
      <c r="L1320" s="26" t="s">
        <v>302</v>
      </c>
      <c r="M1320" s="8"/>
      <c r="N1320" s="9"/>
      <c r="O1320" s="52">
        <v>1</v>
      </c>
      <c r="P1320" s="87">
        <f t="shared" si="1201"/>
        <v>1</v>
      </c>
      <c r="Q1320" s="8"/>
      <c r="R1320" s="9"/>
      <c r="S1320" s="10">
        <v>1</v>
      </c>
      <c r="T1320" s="49">
        <f t="shared" si="1202"/>
        <v>1</v>
      </c>
      <c r="U1320" s="11">
        <f t="shared" si="1203"/>
        <v>2</v>
      </c>
      <c r="V1320" s="98">
        <v>46077</v>
      </c>
      <c r="W1320" s="66"/>
    </row>
    <row r="1321" spans="1:23" x14ac:dyDescent="0.15">
      <c r="A1321" s="108"/>
      <c r="B1321" s="8"/>
      <c r="C1321" s="9"/>
      <c r="D1321" s="10"/>
      <c r="E1321" s="49">
        <f t="shared" si="1193"/>
        <v>0</v>
      </c>
      <c r="F1321" s="12"/>
      <c r="G1321" s="9"/>
      <c r="H1321" s="10"/>
      <c r="I1321" s="49">
        <f t="shared" si="1194"/>
        <v>0</v>
      </c>
      <c r="J1321" s="11">
        <f t="shared" si="1185"/>
        <v>0</v>
      </c>
      <c r="L1321" s="26" t="s">
        <v>308</v>
      </c>
      <c r="M1321" s="8"/>
      <c r="N1321" s="9">
        <v>1</v>
      </c>
      <c r="O1321" s="52"/>
      <c r="P1321" s="87">
        <f t="shared" si="1201"/>
        <v>1</v>
      </c>
      <c r="Q1321" s="8"/>
      <c r="R1321" s="9">
        <v>1</v>
      </c>
      <c r="S1321" s="10"/>
      <c r="T1321" s="49">
        <f t="shared" si="1202"/>
        <v>1</v>
      </c>
      <c r="U1321" s="11">
        <f t="shared" si="1203"/>
        <v>2</v>
      </c>
      <c r="V1321" s="98">
        <v>46079</v>
      </c>
    </row>
    <row r="1322" spans="1:23" x14ac:dyDescent="0.15">
      <c r="A1322" s="108"/>
      <c r="B1322" s="8"/>
      <c r="C1322" s="9"/>
      <c r="D1322" s="10"/>
      <c r="E1322" s="49">
        <f t="shared" si="1193"/>
        <v>0</v>
      </c>
      <c r="F1322" s="12"/>
      <c r="G1322" s="9"/>
      <c r="H1322" s="10"/>
      <c r="I1322" s="49">
        <f t="shared" si="1194"/>
        <v>0</v>
      </c>
      <c r="J1322" s="11">
        <f t="shared" si="1185"/>
        <v>0</v>
      </c>
      <c r="L1322" s="26" t="s">
        <v>306</v>
      </c>
      <c r="M1322" s="8"/>
      <c r="N1322" s="9">
        <v>1</v>
      </c>
      <c r="O1322" s="52"/>
      <c r="P1322" s="87">
        <f t="shared" si="1201"/>
        <v>1</v>
      </c>
      <c r="Q1322" s="8"/>
      <c r="R1322" s="9">
        <v>1</v>
      </c>
      <c r="S1322" s="10"/>
      <c r="T1322" s="49">
        <f t="shared" si="1202"/>
        <v>1</v>
      </c>
      <c r="U1322" s="11">
        <f t="shared" si="1203"/>
        <v>2</v>
      </c>
      <c r="V1322" s="98">
        <v>46080</v>
      </c>
    </row>
    <row r="1323" spans="1:23" x14ac:dyDescent="0.15">
      <c r="A1323" s="108"/>
      <c r="B1323" s="8"/>
      <c r="C1323" s="9"/>
      <c r="D1323" s="10"/>
      <c r="E1323" s="49">
        <f t="shared" si="1193"/>
        <v>0</v>
      </c>
      <c r="F1323" s="12"/>
      <c r="G1323" s="9"/>
      <c r="H1323" s="10"/>
      <c r="I1323" s="49">
        <f t="shared" si="1194"/>
        <v>0</v>
      </c>
      <c r="J1323" s="11">
        <f t="shared" si="1185"/>
        <v>0</v>
      </c>
      <c r="L1323" s="26" t="s">
        <v>307</v>
      </c>
      <c r="M1323" s="8"/>
      <c r="N1323" s="9">
        <v>1</v>
      </c>
      <c r="O1323" s="52"/>
      <c r="P1323" s="87">
        <f t="shared" si="1201"/>
        <v>1</v>
      </c>
      <c r="Q1323" s="8"/>
      <c r="R1323" s="9">
        <v>1</v>
      </c>
      <c r="S1323" s="10"/>
      <c r="T1323" s="49">
        <f t="shared" si="1202"/>
        <v>1</v>
      </c>
      <c r="U1323" s="11">
        <f t="shared" si="1203"/>
        <v>2</v>
      </c>
      <c r="V1323" s="98">
        <v>46080</v>
      </c>
    </row>
    <row r="1324" spans="1:23" x14ac:dyDescent="0.15">
      <c r="A1324" s="108"/>
      <c r="B1324" s="8"/>
      <c r="C1324" s="9"/>
      <c r="D1324" s="10"/>
      <c r="E1324" s="49">
        <f t="shared" si="1193"/>
        <v>0</v>
      </c>
      <c r="F1324" s="12"/>
      <c r="G1324" s="9"/>
      <c r="H1324" s="10"/>
      <c r="I1324" s="49">
        <f t="shared" si="1194"/>
        <v>0</v>
      </c>
      <c r="J1324" s="11">
        <f t="shared" si="1185"/>
        <v>0</v>
      </c>
      <c r="L1324" s="26" t="s">
        <v>309</v>
      </c>
      <c r="M1324" s="8"/>
      <c r="N1324" s="9">
        <v>2</v>
      </c>
      <c r="O1324" s="52"/>
      <c r="P1324" s="87">
        <f t="shared" si="1201"/>
        <v>2</v>
      </c>
      <c r="Q1324" s="8"/>
      <c r="R1324" s="9">
        <v>2</v>
      </c>
      <c r="S1324" s="10"/>
      <c r="T1324" s="49">
        <f t="shared" si="1202"/>
        <v>2</v>
      </c>
      <c r="U1324" s="11">
        <f t="shared" si="1203"/>
        <v>4</v>
      </c>
      <c r="V1324" s="98">
        <v>46083</v>
      </c>
    </row>
    <row r="1325" spans="1:23" x14ac:dyDescent="0.15">
      <c r="A1325" s="108"/>
      <c r="B1325" s="8"/>
      <c r="C1325" s="9"/>
      <c r="D1325" s="10"/>
      <c r="E1325" s="49">
        <f t="shared" si="1193"/>
        <v>0</v>
      </c>
      <c r="F1325" s="12"/>
      <c r="G1325" s="9"/>
      <c r="H1325" s="10"/>
      <c r="I1325" s="49">
        <f t="shared" si="1194"/>
        <v>0</v>
      </c>
      <c r="J1325" s="11">
        <f t="shared" si="1185"/>
        <v>0</v>
      </c>
      <c r="L1325" s="26" t="s">
        <v>310</v>
      </c>
      <c r="M1325" s="8">
        <v>2</v>
      </c>
      <c r="N1325" s="9"/>
      <c r="O1325" s="52">
        <v>1</v>
      </c>
      <c r="P1325" s="87">
        <f t="shared" si="1201"/>
        <v>3</v>
      </c>
      <c r="Q1325" s="8">
        <v>2</v>
      </c>
      <c r="R1325" s="9"/>
      <c r="S1325" s="10">
        <v>1</v>
      </c>
      <c r="T1325" s="49">
        <f t="shared" si="1202"/>
        <v>3</v>
      </c>
      <c r="U1325" s="11">
        <f t="shared" si="1203"/>
        <v>6</v>
      </c>
      <c r="V1325" s="98">
        <v>46086</v>
      </c>
      <c r="W1325" s="66"/>
    </row>
    <row r="1326" spans="1:23" x14ac:dyDescent="0.15">
      <c r="A1326" s="108"/>
      <c r="B1326" s="8"/>
      <c r="C1326" s="9"/>
      <c r="D1326" s="10"/>
      <c r="E1326" s="49">
        <f t="shared" si="1193"/>
        <v>0</v>
      </c>
      <c r="F1326" s="12"/>
      <c r="G1326" s="9"/>
      <c r="H1326" s="10"/>
      <c r="I1326" s="49">
        <f t="shared" si="1194"/>
        <v>0</v>
      </c>
      <c r="J1326" s="11">
        <f t="shared" si="1185"/>
        <v>0</v>
      </c>
      <c r="L1326" s="26" t="s">
        <v>313</v>
      </c>
      <c r="M1326" s="8"/>
      <c r="N1326" s="9"/>
      <c r="O1326" s="52">
        <v>2</v>
      </c>
      <c r="P1326" s="87">
        <f t="shared" si="1201"/>
        <v>2</v>
      </c>
      <c r="Q1326" s="8"/>
      <c r="R1326" s="9"/>
      <c r="S1326" s="10">
        <v>2</v>
      </c>
      <c r="T1326" s="49">
        <f t="shared" si="1202"/>
        <v>2</v>
      </c>
      <c r="U1326" s="11">
        <f t="shared" si="1203"/>
        <v>4</v>
      </c>
      <c r="V1326" s="98">
        <v>46087</v>
      </c>
    </row>
    <row r="1327" spans="1:23" x14ac:dyDescent="0.15">
      <c r="A1327" s="108"/>
      <c r="B1327" s="8"/>
      <c r="C1327" s="9"/>
      <c r="D1327" s="10"/>
      <c r="E1327" s="49">
        <f t="shared" si="1193"/>
        <v>0</v>
      </c>
      <c r="F1327" s="12"/>
      <c r="G1327" s="9"/>
      <c r="H1327" s="10"/>
      <c r="I1327" s="49">
        <f t="shared" si="1194"/>
        <v>0</v>
      </c>
      <c r="J1327" s="11">
        <f t="shared" si="1185"/>
        <v>0</v>
      </c>
      <c r="L1327" s="26" t="s">
        <v>314</v>
      </c>
      <c r="M1327" s="8"/>
      <c r="N1327" s="9">
        <v>1</v>
      </c>
      <c r="O1327" s="52"/>
      <c r="P1327" s="87">
        <f t="shared" si="1201"/>
        <v>1</v>
      </c>
      <c r="Q1327" s="8"/>
      <c r="R1327" s="9">
        <v>1</v>
      </c>
      <c r="S1327" s="10"/>
      <c r="T1327" s="49">
        <f t="shared" si="1202"/>
        <v>1</v>
      </c>
      <c r="U1327" s="11">
        <f t="shared" si="1203"/>
        <v>2</v>
      </c>
      <c r="V1327" s="98">
        <v>46087</v>
      </c>
    </row>
    <row r="1328" spans="1:23" x14ac:dyDescent="0.15">
      <c r="A1328" s="108"/>
      <c r="B1328" s="8"/>
      <c r="C1328" s="9"/>
      <c r="D1328" s="10"/>
      <c r="E1328" s="49">
        <f t="shared" si="1193"/>
        <v>0</v>
      </c>
      <c r="F1328" s="12"/>
      <c r="G1328" s="9"/>
      <c r="H1328" s="10"/>
      <c r="I1328" s="49">
        <f t="shared" si="1194"/>
        <v>0</v>
      </c>
      <c r="J1328" s="11">
        <f t="shared" si="1185"/>
        <v>0</v>
      </c>
      <c r="L1328" s="26" t="s">
        <v>315</v>
      </c>
      <c r="M1328" s="8">
        <v>2</v>
      </c>
      <c r="N1328" s="9">
        <v>3</v>
      </c>
      <c r="O1328" s="52">
        <v>1</v>
      </c>
      <c r="P1328" s="87">
        <f t="shared" si="1201"/>
        <v>6</v>
      </c>
      <c r="Q1328" s="8">
        <v>2</v>
      </c>
      <c r="R1328" s="9">
        <v>3</v>
      </c>
      <c r="S1328" s="10">
        <v>1</v>
      </c>
      <c r="T1328" s="49">
        <f t="shared" si="1202"/>
        <v>6</v>
      </c>
      <c r="U1328" s="11">
        <f t="shared" si="1203"/>
        <v>12</v>
      </c>
      <c r="V1328" s="98">
        <v>46091</v>
      </c>
      <c r="W1328" s="66"/>
    </row>
    <row r="1329" spans="1:24" x14ac:dyDescent="0.15">
      <c r="A1329" s="108"/>
      <c r="B1329" s="8"/>
      <c r="C1329" s="9"/>
      <c r="D1329" s="10"/>
      <c r="E1329" s="49">
        <f t="shared" si="1193"/>
        <v>0</v>
      </c>
      <c r="F1329" s="12"/>
      <c r="G1329" s="9"/>
      <c r="H1329" s="10"/>
      <c r="I1329" s="49">
        <f t="shared" si="1194"/>
        <v>0</v>
      </c>
      <c r="J1329" s="11">
        <f t="shared" si="1185"/>
        <v>0</v>
      </c>
      <c r="L1329" s="26" t="s">
        <v>320</v>
      </c>
      <c r="M1329" s="8">
        <v>3</v>
      </c>
      <c r="N1329" s="9"/>
      <c r="O1329" s="52"/>
      <c r="P1329" s="87">
        <f t="shared" si="1201"/>
        <v>3</v>
      </c>
      <c r="Q1329" s="8">
        <v>3</v>
      </c>
      <c r="R1329" s="9"/>
      <c r="S1329" s="10"/>
      <c r="T1329" s="49">
        <f t="shared" si="1202"/>
        <v>3</v>
      </c>
      <c r="U1329" s="11">
        <f t="shared" si="1203"/>
        <v>6</v>
      </c>
      <c r="V1329" s="98">
        <v>46093</v>
      </c>
      <c r="W1329" s="66"/>
    </row>
    <row r="1330" spans="1:24" x14ac:dyDescent="0.15">
      <c r="A1330" s="108"/>
      <c r="B1330" s="8"/>
      <c r="C1330" s="9"/>
      <c r="D1330" s="10"/>
      <c r="E1330" s="49">
        <f t="shared" si="1193"/>
        <v>0</v>
      </c>
      <c r="F1330" s="12"/>
      <c r="G1330" s="9"/>
      <c r="H1330" s="10"/>
      <c r="I1330" s="49">
        <f t="shared" si="1194"/>
        <v>0</v>
      </c>
      <c r="J1330" s="11">
        <f t="shared" si="1185"/>
        <v>0</v>
      </c>
      <c r="L1330" s="26" t="s">
        <v>319</v>
      </c>
      <c r="M1330" s="8"/>
      <c r="N1330" s="9"/>
      <c r="O1330" s="52">
        <v>1</v>
      </c>
      <c r="P1330" s="87">
        <f t="shared" si="1201"/>
        <v>1</v>
      </c>
      <c r="Q1330" s="8"/>
      <c r="R1330" s="9"/>
      <c r="S1330" s="10">
        <v>1</v>
      </c>
      <c r="T1330" s="49">
        <f t="shared" si="1202"/>
        <v>1</v>
      </c>
      <c r="U1330" s="11">
        <f t="shared" si="1203"/>
        <v>2</v>
      </c>
      <c r="V1330" s="98">
        <v>46094</v>
      </c>
      <c r="W1330" s="66"/>
    </row>
    <row r="1331" spans="1:24" x14ac:dyDescent="0.15">
      <c r="A1331" s="108"/>
      <c r="B1331" s="8"/>
      <c r="C1331" s="9"/>
      <c r="D1331" s="10"/>
      <c r="E1331" s="49">
        <f t="shared" si="1193"/>
        <v>0</v>
      </c>
      <c r="F1331" s="12"/>
      <c r="G1331" s="9"/>
      <c r="H1331" s="10"/>
      <c r="I1331" s="49">
        <f t="shared" si="1194"/>
        <v>0</v>
      </c>
      <c r="J1331" s="11">
        <f t="shared" si="1185"/>
        <v>0</v>
      </c>
      <c r="L1331" s="26" t="s">
        <v>321</v>
      </c>
      <c r="M1331" s="8">
        <v>1</v>
      </c>
      <c r="N1331" s="9"/>
      <c r="O1331" s="52"/>
      <c r="P1331" s="87">
        <f t="shared" si="1201"/>
        <v>1</v>
      </c>
      <c r="Q1331" s="8">
        <v>1</v>
      </c>
      <c r="R1331" s="9"/>
      <c r="S1331" s="10"/>
      <c r="T1331" s="49">
        <f t="shared" si="1202"/>
        <v>1</v>
      </c>
      <c r="U1331" s="11">
        <f t="shared" si="1203"/>
        <v>2</v>
      </c>
      <c r="V1331" s="98">
        <v>46097</v>
      </c>
    </row>
    <row r="1332" spans="1:24" x14ac:dyDescent="0.15">
      <c r="A1332" s="108"/>
      <c r="B1332" s="8"/>
      <c r="C1332" s="9"/>
      <c r="D1332" s="10"/>
      <c r="E1332" s="49">
        <f t="shared" si="1193"/>
        <v>0</v>
      </c>
      <c r="F1332" s="12"/>
      <c r="G1332" s="9"/>
      <c r="H1332" s="10"/>
      <c r="I1332" s="49">
        <f t="shared" si="1194"/>
        <v>0</v>
      </c>
      <c r="J1332" s="11">
        <f t="shared" si="1185"/>
        <v>0</v>
      </c>
      <c r="L1332" s="26" t="s">
        <v>322</v>
      </c>
      <c r="M1332" s="8">
        <v>1</v>
      </c>
      <c r="N1332" s="9"/>
      <c r="O1332" s="52">
        <v>1</v>
      </c>
      <c r="P1332" s="87">
        <f t="shared" si="1201"/>
        <v>2</v>
      </c>
      <c r="Q1332" s="8">
        <v>1</v>
      </c>
      <c r="R1332" s="9"/>
      <c r="S1332" s="10">
        <v>1</v>
      </c>
      <c r="T1332" s="49">
        <f t="shared" si="1202"/>
        <v>2</v>
      </c>
      <c r="U1332" s="11">
        <f t="shared" si="1203"/>
        <v>4</v>
      </c>
      <c r="V1332" s="98">
        <v>46099</v>
      </c>
      <c r="W1332" s="66"/>
    </row>
    <row r="1333" spans="1:24" x14ac:dyDescent="0.15">
      <c r="A1333" s="108"/>
      <c r="B1333" s="8"/>
      <c r="C1333" s="9"/>
      <c r="D1333" s="10"/>
      <c r="E1333" s="49">
        <f t="shared" si="1193"/>
        <v>0</v>
      </c>
      <c r="F1333" s="12"/>
      <c r="G1333" s="9"/>
      <c r="H1333" s="10"/>
      <c r="I1333" s="49">
        <f t="shared" si="1194"/>
        <v>0</v>
      </c>
      <c r="J1333" s="11">
        <f t="shared" si="1185"/>
        <v>0</v>
      </c>
      <c r="L1333" s="26" t="s">
        <v>324</v>
      </c>
      <c r="M1333" s="8"/>
      <c r="N1333" s="9">
        <v>1</v>
      </c>
      <c r="O1333" s="52"/>
      <c r="P1333" s="87">
        <f t="shared" si="1201"/>
        <v>1</v>
      </c>
      <c r="Q1333" s="8"/>
      <c r="R1333" s="9">
        <v>1</v>
      </c>
      <c r="S1333" s="10"/>
      <c r="T1333" s="49">
        <f t="shared" si="1202"/>
        <v>1</v>
      </c>
      <c r="U1333" s="11">
        <f t="shared" si="1203"/>
        <v>2</v>
      </c>
      <c r="V1333" s="98">
        <v>46108</v>
      </c>
      <c r="W1333" s="66"/>
    </row>
    <row r="1334" spans="1:24" x14ac:dyDescent="0.15">
      <c r="A1334" s="108"/>
      <c r="B1334" s="8"/>
      <c r="C1334" s="9"/>
      <c r="D1334" s="10"/>
      <c r="E1334" s="49">
        <f t="shared" si="1193"/>
        <v>0</v>
      </c>
      <c r="F1334" s="12"/>
      <c r="G1334" s="9"/>
      <c r="H1334" s="10"/>
      <c r="I1334" s="49">
        <f t="shared" si="1194"/>
        <v>0</v>
      </c>
      <c r="J1334" s="11">
        <f t="shared" si="1185"/>
        <v>0</v>
      </c>
      <c r="L1334" s="26" t="s">
        <v>325</v>
      </c>
      <c r="M1334" s="8"/>
      <c r="N1334" s="9">
        <v>1</v>
      </c>
      <c r="O1334" s="52"/>
      <c r="P1334" s="87">
        <f t="shared" si="1201"/>
        <v>1</v>
      </c>
      <c r="Q1334" s="8"/>
      <c r="R1334" s="9">
        <v>1</v>
      </c>
      <c r="S1334" s="10"/>
      <c r="T1334" s="49">
        <f t="shared" si="1202"/>
        <v>1</v>
      </c>
      <c r="U1334" s="11">
        <f t="shared" si="1203"/>
        <v>2</v>
      </c>
      <c r="V1334" s="98">
        <v>46111</v>
      </c>
      <c r="W1334" s="66"/>
      <c r="X1334" s="66"/>
    </row>
    <row r="1335" spans="1:24" x14ac:dyDescent="0.15">
      <c r="A1335" s="108"/>
      <c r="B1335" s="8"/>
      <c r="C1335" s="9"/>
      <c r="D1335" s="10"/>
      <c r="E1335" s="49">
        <f t="shared" si="1193"/>
        <v>0</v>
      </c>
      <c r="F1335" s="12"/>
      <c r="G1335" s="9"/>
      <c r="H1335" s="10"/>
      <c r="I1335" s="49">
        <f t="shared" si="1194"/>
        <v>0</v>
      </c>
      <c r="J1335" s="11">
        <f t="shared" si="1185"/>
        <v>0</v>
      </c>
      <c r="L1335" s="26" t="s">
        <v>332</v>
      </c>
      <c r="M1335" s="8">
        <v>1</v>
      </c>
      <c r="N1335" s="9"/>
      <c r="O1335" s="52"/>
      <c r="P1335" s="87">
        <f t="shared" si="1201"/>
        <v>1</v>
      </c>
      <c r="Q1335" s="8">
        <v>1</v>
      </c>
      <c r="R1335" s="9"/>
      <c r="S1335" s="10"/>
      <c r="T1335" s="49">
        <f t="shared" si="1202"/>
        <v>1</v>
      </c>
      <c r="U1335" s="11">
        <f t="shared" si="1203"/>
        <v>2</v>
      </c>
      <c r="V1335" s="98">
        <v>46114</v>
      </c>
      <c r="W1335" s="66"/>
      <c r="X1335" s="66"/>
    </row>
    <row r="1336" spans="1:24" x14ac:dyDescent="0.15">
      <c r="A1336" s="108"/>
      <c r="B1336" s="8"/>
      <c r="C1336" s="9"/>
      <c r="D1336" s="10"/>
      <c r="E1336" s="49">
        <f t="shared" si="1193"/>
        <v>0</v>
      </c>
      <c r="F1336" s="12"/>
      <c r="G1336" s="9"/>
      <c r="H1336" s="10"/>
      <c r="I1336" s="49">
        <f t="shared" si="1194"/>
        <v>0</v>
      </c>
      <c r="J1336" s="11">
        <f t="shared" si="1185"/>
        <v>0</v>
      </c>
      <c r="L1336" s="26" t="s">
        <v>990</v>
      </c>
      <c r="M1336" s="8"/>
      <c r="N1336" s="9">
        <v>1</v>
      </c>
      <c r="O1336" s="52"/>
      <c r="P1336" s="87">
        <f t="shared" si="1201"/>
        <v>1</v>
      </c>
      <c r="Q1336" s="8"/>
      <c r="R1336" s="9">
        <v>1</v>
      </c>
      <c r="S1336" s="10"/>
      <c r="T1336" s="49">
        <f t="shared" si="1202"/>
        <v>1</v>
      </c>
      <c r="U1336" s="11">
        <f t="shared" si="1203"/>
        <v>2</v>
      </c>
      <c r="V1336" s="98">
        <v>46120</v>
      </c>
    </row>
    <row r="1337" spans="1:24" x14ac:dyDescent="0.15">
      <c r="A1337" s="108"/>
      <c r="B1337" s="8"/>
      <c r="C1337" s="9"/>
      <c r="D1337" s="10"/>
      <c r="E1337" s="49">
        <f t="shared" si="1193"/>
        <v>0</v>
      </c>
      <c r="F1337" s="12"/>
      <c r="G1337" s="9"/>
      <c r="H1337" s="10"/>
      <c r="I1337" s="49">
        <f t="shared" si="1194"/>
        <v>0</v>
      </c>
      <c r="J1337" s="11">
        <f t="shared" si="1185"/>
        <v>0</v>
      </c>
      <c r="L1337" s="26" t="s">
        <v>991</v>
      </c>
      <c r="M1337" s="8">
        <v>1</v>
      </c>
      <c r="N1337" s="9"/>
      <c r="O1337" s="52"/>
      <c r="P1337" s="87">
        <f t="shared" si="1201"/>
        <v>1</v>
      </c>
      <c r="Q1337" s="8">
        <v>1</v>
      </c>
      <c r="R1337" s="9"/>
      <c r="S1337" s="10"/>
      <c r="T1337" s="49">
        <f t="shared" si="1202"/>
        <v>1</v>
      </c>
      <c r="U1337" s="11">
        <f t="shared" si="1203"/>
        <v>2</v>
      </c>
      <c r="V1337" s="98">
        <v>46120</v>
      </c>
    </row>
    <row r="1338" spans="1:24" x14ac:dyDescent="0.15">
      <c r="A1338" s="108"/>
      <c r="B1338" s="8"/>
      <c r="C1338" s="9"/>
      <c r="D1338" s="10"/>
      <c r="E1338" s="49">
        <f t="shared" si="1193"/>
        <v>0</v>
      </c>
      <c r="F1338" s="12"/>
      <c r="G1338" s="9"/>
      <c r="H1338" s="10"/>
      <c r="I1338" s="49">
        <f t="shared" si="1194"/>
        <v>0</v>
      </c>
      <c r="J1338" s="11">
        <f t="shared" si="1185"/>
        <v>0</v>
      </c>
      <c r="L1338" s="26" t="s">
        <v>992</v>
      </c>
      <c r="M1338" s="8">
        <v>1</v>
      </c>
      <c r="N1338" s="9"/>
      <c r="O1338" s="52"/>
      <c r="P1338" s="87">
        <f t="shared" ref="P1338:P1345" si="1204">SUM(M1338:O1338)</f>
        <v>1</v>
      </c>
      <c r="Q1338" s="8">
        <v>1</v>
      </c>
      <c r="R1338" s="9"/>
      <c r="S1338" s="10"/>
      <c r="T1338" s="49">
        <f t="shared" ref="T1338:T1345" si="1205">SUM(Q1338:S1338)</f>
        <v>1</v>
      </c>
      <c r="U1338" s="11">
        <f t="shared" ref="U1338:U1340" si="1206">P1338+T1338</f>
        <v>2</v>
      </c>
      <c r="V1338" s="98">
        <v>46135</v>
      </c>
    </row>
    <row r="1339" spans="1:24" x14ac:dyDescent="0.15">
      <c r="A1339" s="108"/>
      <c r="B1339" s="8"/>
      <c r="C1339" s="9"/>
      <c r="D1339" s="10"/>
      <c r="E1339" s="49">
        <f t="shared" si="1193"/>
        <v>0</v>
      </c>
      <c r="F1339" s="12"/>
      <c r="G1339" s="9"/>
      <c r="H1339" s="10"/>
      <c r="I1339" s="49">
        <f t="shared" si="1194"/>
        <v>0</v>
      </c>
      <c r="J1339" s="11">
        <f t="shared" si="1185"/>
        <v>0</v>
      </c>
      <c r="L1339" s="26" t="s">
        <v>1009</v>
      </c>
      <c r="M1339" s="8">
        <v>1</v>
      </c>
      <c r="N1339" s="9"/>
      <c r="O1339" s="52"/>
      <c r="P1339" s="87">
        <f t="shared" si="1204"/>
        <v>1</v>
      </c>
      <c r="Q1339" s="8">
        <v>1</v>
      </c>
      <c r="R1339" s="9"/>
      <c r="S1339" s="10"/>
      <c r="T1339" s="49">
        <f t="shared" si="1205"/>
        <v>1</v>
      </c>
      <c r="U1339" s="11">
        <f t="shared" si="1206"/>
        <v>2</v>
      </c>
      <c r="V1339" s="99">
        <v>46144</v>
      </c>
    </row>
    <row r="1340" spans="1:24" x14ac:dyDescent="0.15">
      <c r="A1340" s="108"/>
      <c r="B1340" s="8"/>
      <c r="C1340" s="9"/>
      <c r="D1340" s="10"/>
      <c r="E1340" s="49">
        <f t="shared" si="1193"/>
        <v>0</v>
      </c>
      <c r="F1340" s="12"/>
      <c r="G1340" s="9"/>
      <c r="H1340" s="10"/>
      <c r="I1340" s="49">
        <f t="shared" si="1194"/>
        <v>0</v>
      </c>
      <c r="J1340" s="11">
        <f t="shared" si="1185"/>
        <v>0</v>
      </c>
      <c r="L1340" s="26"/>
      <c r="M1340" s="8"/>
      <c r="N1340" s="9"/>
      <c r="O1340" s="52"/>
      <c r="P1340" s="87">
        <f t="shared" si="1204"/>
        <v>0</v>
      </c>
      <c r="Q1340" s="8"/>
      <c r="R1340" s="9"/>
      <c r="S1340" s="10"/>
      <c r="T1340" s="49">
        <f t="shared" si="1205"/>
        <v>0</v>
      </c>
      <c r="U1340" s="11">
        <f t="shared" si="1206"/>
        <v>0</v>
      </c>
    </row>
    <row r="1341" spans="1:24" x14ac:dyDescent="0.15">
      <c r="A1341" s="108"/>
      <c r="B1341" s="8"/>
      <c r="C1341" s="9"/>
      <c r="D1341" s="10"/>
      <c r="E1341" s="49">
        <f t="shared" si="1193"/>
        <v>0</v>
      </c>
      <c r="F1341" s="12"/>
      <c r="G1341" s="9"/>
      <c r="H1341" s="10"/>
      <c r="I1341" s="49">
        <f t="shared" si="1194"/>
        <v>0</v>
      </c>
      <c r="J1341" s="11">
        <f t="shared" si="1185"/>
        <v>0</v>
      </c>
      <c r="L1341" s="26"/>
      <c r="M1341" s="8"/>
      <c r="N1341" s="9"/>
      <c r="O1341" s="52"/>
      <c r="P1341" s="87">
        <f t="shared" ref="P1341:P1344" si="1207">SUM(M1341:O1341)</f>
        <v>0</v>
      </c>
      <c r="Q1341" s="8"/>
      <c r="R1341" s="9"/>
      <c r="S1341" s="10"/>
      <c r="T1341" s="49">
        <f t="shared" ref="T1341:T1344" si="1208">SUM(Q1341:S1341)</f>
        <v>0</v>
      </c>
      <c r="U1341" s="11">
        <f t="shared" ref="U1341:U1344" si="1209">P1341+T1341</f>
        <v>0</v>
      </c>
    </row>
    <row r="1342" spans="1:24" x14ac:dyDescent="0.15">
      <c r="A1342" s="108"/>
      <c r="B1342" s="8"/>
      <c r="C1342" s="9"/>
      <c r="D1342" s="10"/>
      <c r="E1342" s="49">
        <f t="shared" si="1193"/>
        <v>0</v>
      </c>
      <c r="F1342" s="12"/>
      <c r="G1342" s="9"/>
      <c r="H1342" s="10"/>
      <c r="I1342" s="49">
        <f t="shared" si="1194"/>
        <v>0</v>
      </c>
      <c r="J1342" s="11">
        <f t="shared" si="1185"/>
        <v>0</v>
      </c>
      <c r="L1342" s="26"/>
      <c r="M1342" s="8"/>
      <c r="N1342" s="9"/>
      <c r="O1342" s="52"/>
      <c r="P1342" s="87">
        <f t="shared" si="1207"/>
        <v>0</v>
      </c>
      <c r="Q1342" s="8"/>
      <c r="R1342" s="9"/>
      <c r="S1342" s="10"/>
      <c r="T1342" s="49">
        <f t="shared" si="1208"/>
        <v>0</v>
      </c>
      <c r="U1342" s="11">
        <f t="shared" si="1209"/>
        <v>0</v>
      </c>
    </row>
    <row r="1343" spans="1:24" x14ac:dyDescent="0.15">
      <c r="A1343" s="108"/>
      <c r="B1343" s="8"/>
      <c r="C1343" s="9"/>
      <c r="D1343" s="10"/>
      <c r="E1343" s="49">
        <f t="shared" si="1193"/>
        <v>0</v>
      </c>
      <c r="F1343" s="12"/>
      <c r="G1343" s="9"/>
      <c r="H1343" s="10"/>
      <c r="I1343" s="49">
        <f t="shared" si="1194"/>
        <v>0</v>
      </c>
      <c r="J1343" s="11">
        <f t="shared" si="1185"/>
        <v>0</v>
      </c>
      <c r="L1343" s="26"/>
      <c r="M1343" s="8"/>
      <c r="N1343" s="9"/>
      <c r="O1343" s="52"/>
      <c r="P1343" s="87">
        <f t="shared" si="1207"/>
        <v>0</v>
      </c>
      <c r="Q1343" s="8"/>
      <c r="R1343" s="9"/>
      <c r="S1343" s="10"/>
      <c r="T1343" s="49">
        <f t="shared" si="1208"/>
        <v>0</v>
      </c>
      <c r="U1343" s="11">
        <f t="shared" si="1209"/>
        <v>0</v>
      </c>
    </row>
    <row r="1344" spans="1:24" ht="14.25" thickBot="1" x14ac:dyDescent="0.2">
      <c r="A1344" s="108"/>
      <c r="B1344" s="8"/>
      <c r="C1344" s="9"/>
      <c r="D1344" s="10"/>
      <c r="E1344" s="49">
        <f t="shared" si="1193"/>
        <v>0</v>
      </c>
      <c r="F1344" s="12"/>
      <c r="G1344" s="9"/>
      <c r="H1344" s="10"/>
      <c r="I1344" s="49">
        <f t="shared" si="1194"/>
        <v>0</v>
      </c>
      <c r="J1344" s="11">
        <f t="shared" si="1185"/>
        <v>0</v>
      </c>
      <c r="L1344" s="26"/>
      <c r="M1344" s="8"/>
      <c r="N1344" s="9"/>
      <c r="O1344" s="52"/>
      <c r="P1344" s="87">
        <f t="shared" si="1207"/>
        <v>0</v>
      </c>
      <c r="Q1344" s="8"/>
      <c r="R1344" s="9"/>
      <c r="S1344" s="10"/>
      <c r="T1344" s="49">
        <f t="shared" si="1208"/>
        <v>0</v>
      </c>
      <c r="U1344" s="11">
        <f t="shared" si="1209"/>
        <v>0</v>
      </c>
    </row>
    <row r="1345" spans="1:22" ht="14.25" thickBot="1" x14ac:dyDescent="0.2">
      <c r="A1345" s="41" t="s">
        <v>17</v>
      </c>
      <c r="B1345" s="46">
        <f>SUM(B1319:B1344)</f>
        <v>1</v>
      </c>
      <c r="C1345" s="47">
        <f>SUM(C1319:C1344)</f>
        <v>1</v>
      </c>
      <c r="D1345" s="58">
        <f>SUM(D1319:D1344)</f>
        <v>2</v>
      </c>
      <c r="E1345" s="45">
        <f t="shared" si="1193"/>
        <v>4</v>
      </c>
      <c r="F1345" s="46">
        <f>SUM(F1319:F1344)</f>
        <v>1</v>
      </c>
      <c r="G1345" s="47">
        <f>SUM(G1319:G1344)</f>
        <v>1</v>
      </c>
      <c r="H1345" s="58">
        <f>SUM(H1319:H1344)</f>
        <v>2</v>
      </c>
      <c r="I1345" s="45">
        <f t="shared" si="1194"/>
        <v>4</v>
      </c>
      <c r="J1345" s="45">
        <f t="shared" si="1185"/>
        <v>8</v>
      </c>
      <c r="L1345" s="41" t="s">
        <v>17</v>
      </c>
      <c r="M1345" s="46">
        <f>SUM(M1319:M1344)</f>
        <v>13</v>
      </c>
      <c r="N1345" s="47">
        <f t="shared" ref="N1345:O1345" si="1210">SUM(N1319:N1344)</f>
        <v>12</v>
      </c>
      <c r="O1345" s="58">
        <f t="shared" si="1210"/>
        <v>8</v>
      </c>
      <c r="P1345" s="45">
        <f t="shared" si="1204"/>
        <v>33</v>
      </c>
      <c r="Q1345" s="46">
        <f>SUM(Q1319:Q1344)</f>
        <v>13</v>
      </c>
      <c r="R1345" s="47">
        <f t="shared" ref="R1345:S1345" si="1211">SUM(R1319:R1344)</f>
        <v>12</v>
      </c>
      <c r="S1345" s="58">
        <f t="shared" si="1211"/>
        <v>8</v>
      </c>
      <c r="T1345" s="45">
        <f t="shared" si="1205"/>
        <v>33</v>
      </c>
      <c r="U1345" s="45">
        <f>P1345+T1345</f>
        <v>66</v>
      </c>
    </row>
    <row r="1346" spans="1:22" ht="14.25" thickBot="1" x14ac:dyDescent="0.2">
      <c r="A1346" s="22" t="s">
        <v>16</v>
      </c>
      <c r="B1346" s="50">
        <f>B1318-B1345</f>
        <v>2</v>
      </c>
      <c r="C1346" s="56">
        <f>C1318-C1345</f>
        <v>0</v>
      </c>
      <c r="D1346" s="57">
        <f>D1318-D1345</f>
        <v>0</v>
      </c>
      <c r="E1346" s="55">
        <f t="shared" si="1193"/>
        <v>2</v>
      </c>
      <c r="F1346" s="50">
        <f>F1318-F1345</f>
        <v>2</v>
      </c>
      <c r="G1346" s="56">
        <f>G1318-G1345</f>
        <v>0</v>
      </c>
      <c r="H1346" s="57">
        <f>H1318-H1345</f>
        <v>0</v>
      </c>
      <c r="I1346" s="55">
        <f t="shared" si="1194"/>
        <v>2</v>
      </c>
      <c r="J1346" s="31">
        <f t="shared" si="1185"/>
        <v>4</v>
      </c>
      <c r="L1346" s="22" t="s">
        <v>16</v>
      </c>
      <c r="M1346" s="50">
        <f>M1318-M1345</f>
        <v>151</v>
      </c>
      <c r="N1346" s="56">
        <f t="shared" ref="N1346:O1346" si="1212">N1318-N1345</f>
        <v>212</v>
      </c>
      <c r="O1346" s="57">
        <f t="shared" si="1212"/>
        <v>159</v>
      </c>
      <c r="P1346" s="55">
        <f>SUM(M1346:O1346)</f>
        <v>522</v>
      </c>
      <c r="Q1346" s="50">
        <f>Q1318-Q1345</f>
        <v>151</v>
      </c>
      <c r="R1346" s="56">
        <f t="shared" ref="R1346:S1346" si="1213">R1318-R1345</f>
        <v>212</v>
      </c>
      <c r="S1346" s="57">
        <f t="shared" si="1213"/>
        <v>159</v>
      </c>
      <c r="T1346" s="55">
        <f>SUM(Q1346:S1346)</f>
        <v>522</v>
      </c>
      <c r="U1346" s="31">
        <f>P1346+T1346</f>
        <v>1044</v>
      </c>
      <c r="V1346" s="153" t="s">
        <v>980</v>
      </c>
    </row>
    <row r="1348" spans="1:22" ht="33" customHeight="1" x14ac:dyDescent="0.15">
      <c r="A1348" s="182" t="s">
        <v>987</v>
      </c>
      <c r="B1348" s="182"/>
      <c r="C1348" s="182"/>
      <c r="D1348" s="182"/>
      <c r="E1348" s="182"/>
      <c r="F1348" s="182"/>
      <c r="G1348" s="182"/>
      <c r="H1348" s="182"/>
      <c r="I1348" s="182"/>
      <c r="J1348" s="182"/>
      <c r="K1348" s="182"/>
      <c r="L1348" s="182"/>
      <c r="M1348" s="182"/>
      <c r="N1348" s="182"/>
      <c r="O1348" s="182"/>
      <c r="P1348" s="182"/>
      <c r="Q1348" s="182"/>
      <c r="R1348" s="182"/>
      <c r="S1348" s="182"/>
      <c r="T1348" s="182"/>
      <c r="U1348" s="182"/>
    </row>
    <row r="1349" spans="1:22" ht="19.5" thickBot="1" x14ac:dyDescent="0.25">
      <c r="A1349" s="3" t="s">
        <v>908</v>
      </c>
      <c r="L1349" s="168" t="s">
        <v>680</v>
      </c>
      <c r="M1349" s="168"/>
      <c r="N1349" s="168"/>
      <c r="O1349" s="168"/>
      <c r="P1349" s="168"/>
      <c r="Q1349" s="168"/>
    </row>
    <row r="1350" spans="1:22" ht="14.25" thickBot="1" x14ac:dyDescent="0.2">
      <c r="A1350" s="7"/>
      <c r="B1350" s="169" t="s">
        <v>22</v>
      </c>
      <c r="C1350" s="170"/>
      <c r="D1350" s="170"/>
      <c r="E1350" s="171"/>
      <c r="F1350" s="169" t="s">
        <v>23</v>
      </c>
      <c r="G1350" s="170"/>
      <c r="H1350" s="170"/>
      <c r="I1350" s="171"/>
      <c r="J1350" s="172" t="s">
        <v>0</v>
      </c>
      <c r="L1350" s="7"/>
      <c r="M1350" s="169" t="s">
        <v>22</v>
      </c>
      <c r="N1350" s="170"/>
      <c r="O1350" s="170"/>
      <c r="P1350" s="171"/>
      <c r="Q1350" s="169" t="s">
        <v>23</v>
      </c>
      <c r="R1350" s="170"/>
      <c r="S1350" s="170"/>
      <c r="T1350" s="171"/>
      <c r="U1350" s="174" t="s">
        <v>0</v>
      </c>
    </row>
    <row r="1351" spans="1:22" ht="14.25" thickBot="1" x14ac:dyDescent="0.2">
      <c r="A1351" s="7" t="s">
        <v>1</v>
      </c>
      <c r="B1351" s="4" t="s">
        <v>2</v>
      </c>
      <c r="C1351" s="5" t="s">
        <v>3</v>
      </c>
      <c r="D1351" s="6" t="s">
        <v>4</v>
      </c>
      <c r="E1351" s="7" t="s">
        <v>5</v>
      </c>
      <c r="F1351" s="4" t="s">
        <v>2</v>
      </c>
      <c r="G1351" s="5" t="s">
        <v>3</v>
      </c>
      <c r="H1351" s="6" t="s">
        <v>4</v>
      </c>
      <c r="I1351" s="7" t="s">
        <v>5</v>
      </c>
      <c r="J1351" s="173"/>
      <c r="L1351" s="7" t="s">
        <v>1</v>
      </c>
      <c r="M1351" s="4" t="s">
        <v>2</v>
      </c>
      <c r="N1351" s="5" t="s">
        <v>3</v>
      </c>
      <c r="O1351" s="6" t="s">
        <v>4</v>
      </c>
      <c r="P1351" s="7" t="s">
        <v>5</v>
      </c>
      <c r="Q1351" s="4" t="s">
        <v>2</v>
      </c>
      <c r="R1351" s="5" t="s">
        <v>3</v>
      </c>
      <c r="S1351" s="6" t="s">
        <v>4</v>
      </c>
      <c r="T1351" s="7" t="s">
        <v>5</v>
      </c>
      <c r="U1351" s="175"/>
    </row>
    <row r="1352" spans="1:22" ht="14.25" thickBot="1" x14ac:dyDescent="0.2">
      <c r="A1352" s="27" t="s">
        <v>16</v>
      </c>
      <c r="B1352" s="28">
        <f t="shared" ref="B1352:I1352" si="1214">B1346</f>
        <v>2</v>
      </c>
      <c r="C1352" s="29">
        <f t="shared" si="1214"/>
        <v>0</v>
      </c>
      <c r="D1352" s="30">
        <f t="shared" si="1214"/>
        <v>0</v>
      </c>
      <c r="E1352" s="31">
        <f t="shared" si="1214"/>
        <v>2</v>
      </c>
      <c r="F1352" s="28">
        <f t="shared" si="1214"/>
        <v>2</v>
      </c>
      <c r="G1352" s="29">
        <f t="shared" si="1214"/>
        <v>0</v>
      </c>
      <c r="H1352" s="30">
        <f t="shared" si="1214"/>
        <v>0</v>
      </c>
      <c r="I1352" s="31">
        <f t="shared" si="1214"/>
        <v>2</v>
      </c>
      <c r="J1352" s="31">
        <f t="shared" ref="J1352:J1389" si="1215">E1352+I1352</f>
        <v>4</v>
      </c>
      <c r="L1352" s="27" t="s">
        <v>16</v>
      </c>
      <c r="M1352" s="50">
        <f t="shared" ref="M1352:U1352" si="1216">M1346</f>
        <v>151</v>
      </c>
      <c r="N1352" s="56">
        <f t="shared" si="1216"/>
        <v>212</v>
      </c>
      <c r="O1352" s="57">
        <f t="shared" si="1216"/>
        <v>159</v>
      </c>
      <c r="P1352" s="55">
        <f t="shared" si="1216"/>
        <v>522</v>
      </c>
      <c r="Q1352" s="50">
        <f t="shared" si="1216"/>
        <v>151</v>
      </c>
      <c r="R1352" s="56">
        <f t="shared" si="1216"/>
        <v>212</v>
      </c>
      <c r="S1352" s="57">
        <f t="shared" si="1216"/>
        <v>159</v>
      </c>
      <c r="T1352" s="55">
        <f t="shared" si="1216"/>
        <v>522</v>
      </c>
      <c r="U1352" s="31">
        <f t="shared" si="1216"/>
        <v>1044</v>
      </c>
    </row>
    <row r="1353" spans="1:22" x14ac:dyDescent="0.15">
      <c r="A1353" s="25" t="s">
        <v>7</v>
      </c>
      <c r="B1353" s="8"/>
      <c r="C1353" s="9"/>
      <c r="D1353" s="52"/>
      <c r="E1353" s="11">
        <f t="shared" ref="E1353" si="1217">SUM(B1353:D1353)</f>
        <v>0</v>
      </c>
      <c r="F1353" s="12"/>
      <c r="G1353" s="9"/>
      <c r="H1353" s="10"/>
      <c r="I1353" s="11">
        <f t="shared" ref="I1353" si="1218">SUM(F1353:H1353)</f>
        <v>0</v>
      </c>
      <c r="J1353" s="11">
        <f t="shared" ref="J1353" si="1219">E1353+I1353</f>
        <v>0</v>
      </c>
      <c r="L1353" s="25" t="s">
        <v>7</v>
      </c>
      <c r="M1353" s="8"/>
      <c r="N1353" s="9"/>
      <c r="O1353" s="52"/>
      <c r="P1353" s="11">
        <f t="shared" ref="P1353" si="1220">SUM(M1353:O1353)</f>
        <v>0</v>
      </c>
      <c r="Q1353" s="12"/>
      <c r="R1353" s="9"/>
      <c r="S1353" s="10"/>
      <c r="T1353" s="11">
        <f t="shared" ref="T1353" si="1221">SUM(Q1353:S1353)</f>
        <v>0</v>
      </c>
      <c r="U1353" s="11">
        <f t="shared" ref="U1353" si="1222">P1353+T1353</f>
        <v>0</v>
      </c>
    </row>
    <row r="1354" spans="1:22" x14ac:dyDescent="0.15">
      <c r="A1354" s="25" t="s">
        <v>8</v>
      </c>
      <c r="B1354" s="8"/>
      <c r="C1354" s="9"/>
      <c r="D1354" s="52"/>
      <c r="E1354" s="11">
        <f t="shared" ref="E1354:E1389" si="1223">SUM(B1354:D1354)</f>
        <v>0</v>
      </c>
      <c r="F1354" s="12"/>
      <c r="G1354" s="9"/>
      <c r="H1354" s="10"/>
      <c r="I1354" s="11">
        <f t="shared" ref="I1354:I1389" si="1224">SUM(F1354:H1354)</f>
        <v>0</v>
      </c>
      <c r="J1354" s="11">
        <f t="shared" si="1215"/>
        <v>0</v>
      </c>
      <c r="L1354" s="85" t="s">
        <v>999</v>
      </c>
      <c r="M1354" s="69">
        <v>100</v>
      </c>
      <c r="N1354" s="70">
        <v>140</v>
      </c>
      <c r="O1354" s="71">
        <v>100</v>
      </c>
      <c r="P1354" s="72">
        <f t="shared" ref="P1354:P1360" si="1225">SUM(M1354:O1354)</f>
        <v>340</v>
      </c>
      <c r="Q1354" s="69">
        <v>100</v>
      </c>
      <c r="R1354" s="70">
        <v>140</v>
      </c>
      <c r="S1354" s="71">
        <v>100</v>
      </c>
      <c r="T1354" s="72">
        <f t="shared" ref="T1354:T1360" si="1226">SUM(Q1354:S1354)</f>
        <v>340</v>
      </c>
      <c r="U1354" s="72">
        <f t="shared" ref="U1354:U1360" si="1227">P1354+T1354</f>
        <v>680</v>
      </c>
      <c r="V1354" s="121">
        <v>46296</v>
      </c>
    </row>
    <row r="1355" spans="1:22" x14ac:dyDescent="0.15">
      <c r="A1355" s="25" t="s">
        <v>9</v>
      </c>
      <c r="B1355" s="8"/>
      <c r="C1355" s="9"/>
      <c r="D1355" s="52"/>
      <c r="E1355" s="11">
        <f t="shared" si="1223"/>
        <v>0</v>
      </c>
      <c r="F1355" s="12"/>
      <c r="G1355" s="9"/>
      <c r="H1355" s="10"/>
      <c r="I1355" s="11">
        <f t="shared" si="1224"/>
        <v>0</v>
      </c>
      <c r="J1355" s="11">
        <f t="shared" si="1215"/>
        <v>0</v>
      </c>
      <c r="L1355" s="85" t="s">
        <v>1000</v>
      </c>
      <c r="M1355" s="69">
        <v>100</v>
      </c>
      <c r="N1355" s="70">
        <v>140</v>
      </c>
      <c r="O1355" s="71">
        <v>100</v>
      </c>
      <c r="P1355" s="72">
        <f t="shared" si="1225"/>
        <v>340</v>
      </c>
      <c r="Q1355" s="69">
        <v>100</v>
      </c>
      <c r="R1355" s="70">
        <v>140</v>
      </c>
      <c r="S1355" s="71">
        <v>100</v>
      </c>
      <c r="T1355" s="72">
        <f t="shared" si="1226"/>
        <v>340</v>
      </c>
      <c r="U1355" s="72">
        <f t="shared" si="1227"/>
        <v>680</v>
      </c>
      <c r="V1355" s="121">
        <v>46357</v>
      </c>
    </row>
    <row r="1356" spans="1:22" x14ac:dyDescent="0.15">
      <c r="A1356" s="25" t="s">
        <v>10</v>
      </c>
      <c r="B1356" s="8"/>
      <c r="C1356" s="9"/>
      <c r="D1356" s="52"/>
      <c r="E1356" s="11">
        <f t="shared" si="1223"/>
        <v>0</v>
      </c>
      <c r="F1356" s="12"/>
      <c r="G1356" s="9"/>
      <c r="H1356" s="10"/>
      <c r="I1356" s="11">
        <f t="shared" si="1224"/>
        <v>0</v>
      </c>
      <c r="J1356" s="11">
        <f t="shared" si="1215"/>
        <v>0</v>
      </c>
      <c r="L1356" s="85" t="s">
        <v>1003</v>
      </c>
      <c r="M1356" s="69">
        <v>100</v>
      </c>
      <c r="N1356" s="70">
        <v>130</v>
      </c>
      <c r="O1356" s="71">
        <v>100</v>
      </c>
      <c r="P1356" s="72">
        <f t="shared" si="1225"/>
        <v>330</v>
      </c>
      <c r="Q1356" s="89">
        <v>100</v>
      </c>
      <c r="R1356" s="70">
        <v>130</v>
      </c>
      <c r="S1356" s="90">
        <v>100</v>
      </c>
      <c r="T1356" s="72">
        <f t="shared" si="1226"/>
        <v>330</v>
      </c>
      <c r="U1356" s="72">
        <f t="shared" si="1227"/>
        <v>660</v>
      </c>
      <c r="V1356" s="121" t="s">
        <v>1002</v>
      </c>
    </row>
    <row r="1357" spans="1:22" x14ac:dyDescent="0.15">
      <c r="A1357" s="25" t="s">
        <v>11</v>
      </c>
      <c r="B1357" s="8"/>
      <c r="C1357" s="9"/>
      <c r="D1357" s="52"/>
      <c r="E1357" s="11">
        <f t="shared" si="1223"/>
        <v>0</v>
      </c>
      <c r="F1357" s="12"/>
      <c r="G1357" s="9"/>
      <c r="H1357" s="10"/>
      <c r="I1357" s="11">
        <f t="shared" si="1224"/>
        <v>0</v>
      </c>
      <c r="J1357" s="11">
        <f t="shared" si="1215"/>
        <v>0</v>
      </c>
      <c r="L1357" s="25" t="s">
        <v>11</v>
      </c>
      <c r="M1357" s="8"/>
      <c r="N1357" s="9"/>
      <c r="O1357" s="52"/>
      <c r="P1357" s="11">
        <f t="shared" si="1225"/>
        <v>0</v>
      </c>
      <c r="Q1357" s="12"/>
      <c r="R1357" s="9"/>
      <c r="S1357" s="10"/>
      <c r="T1357" s="11">
        <f t="shared" si="1226"/>
        <v>0</v>
      </c>
      <c r="U1357" s="11">
        <f t="shared" si="1227"/>
        <v>0</v>
      </c>
    </row>
    <row r="1358" spans="1:22" x14ac:dyDescent="0.15">
      <c r="A1358" s="25" t="s">
        <v>12</v>
      </c>
      <c r="B1358" s="8"/>
      <c r="C1358" s="9"/>
      <c r="D1358" s="52"/>
      <c r="E1358" s="11">
        <f t="shared" si="1223"/>
        <v>0</v>
      </c>
      <c r="F1358" s="12"/>
      <c r="G1358" s="9"/>
      <c r="H1358" s="10"/>
      <c r="I1358" s="11">
        <f t="shared" si="1224"/>
        <v>0</v>
      </c>
      <c r="J1358" s="11">
        <f t="shared" si="1215"/>
        <v>0</v>
      </c>
      <c r="L1358" s="25" t="s">
        <v>12</v>
      </c>
      <c r="M1358" s="8"/>
      <c r="N1358" s="9"/>
      <c r="O1358" s="52"/>
      <c r="P1358" s="11">
        <f t="shared" si="1225"/>
        <v>0</v>
      </c>
      <c r="Q1358" s="12"/>
      <c r="R1358" s="9"/>
      <c r="S1358" s="10"/>
      <c r="T1358" s="11">
        <f t="shared" si="1226"/>
        <v>0</v>
      </c>
      <c r="U1358" s="11">
        <f t="shared" si="1227"/>
        <v>0</v>
      </c>
    </row>
    <row r="1359" spans="1:22" x14ac:dyDescent="0.15">
      <c r="A1359" s="25" t="s">
        <v>13</v>
      </c>
      <c r="B1359" s="13"/>
      <c r="C1359" s="14"/>
      <c r="D1359" s="53"/>
      <c r="E1359" s="11">
        <f t="shared" si="1223"/>
        <v>0</v>
      </c>
      <c r="F1359" s="16"/>
      <c r="G1359" s="14"/>
      <c r="H1359" s="15"/>
      <c r="I1359" s="11">
        <f t="shared" si="1224"/>
        <v>0</v>
      </c>
      <c r="J1359" s="11">
        <f t="shared" si="1215"/>
        <v>0</v>
      </c>
      <c r="L1359" s="25" t="s">
        <v>13</v>
      </c>
      <c r="M1359" s="8"/>
      <c r="N1359" s="9"/>
      <c r="O1359" s="52"/>
      <c r="P1359" s="11">
        <f t="shared" si="1225"/>
        <v>0</v>
      </c>
      <c r="Q1359" s="12"/>
      <c r="R1359" s="9"/>
      <c r="S1359" s="10"/>
      <c r="T1359" s="11">
        <f t="shared" si="1226"/>
        <v>0</v>
      </c>
      <c r="U1359" s="11">
        <f t="shared" si="1227"/>
        <v>0</v>
      </c>
    </row>
    <row r="1360" spans="1:22" ht="14.25" thickBot="1" x14ac:dyDescent="0.2">
      <c r="A1360" s="25" t="s">
        <v>14</v>
      </c>
      <c r="B1360" s="32"/>
      <c r="C1360" s="33"/>
      <c r="D1360" s="54"/>
      <c r="E1360" s="61">
        <f t="shared" si="1223"/>
        <v>0</v>
      </c>
      <c r="F1360" s="34"/>
      <c r="G1360" s="34"/>
      <c r="H1360" s="37"/>
      <c r="I1360" s="61">
        <f t="shared" si="1224"/>
        <v>0</v>
      </c>
      <c r="J1360" s="21">
        <f t="shared" si="1215"/>
        <v>0</v>
      </c>
      <c r="L1360" s="25" t="s">
        <v>14</v>
      </c>
      <c r="M1360" s="32"/>
      <c r="N1360" s="33"/>
      <c r="O1360" s="54"/>
      <c r="P1360" s="61">
        <f t="shared" si="1225"/>
        <v>0</v>
      </c>
      <c r="Q1360" s="34"/>
      <c r="R1360" s="34"/>
      <c r="S1360" s="37"/>
      <c r="T1360" s="61">
        <f t="shared" si="1226"/>
        <v>0</v>
      </c>
      <c r="U1360" s="21">
        <f t="shared" si="1227"/>
        <v>0</v>
      </c>
    </row>
    <row r="1361" spans="1:21" ht="14.25" thickBot="1" x14ac:dyDescent="0.2">
      <c r="A1361" s="35" t="s">
        <v>15</v>
      </c>
      <c r="B1361" s="28">
        <f>SUM(B1352:B1360)</f>
        <v>2</v>
      </c>
      <c r="C1361" s="29">
        <f>SUM(C1352:C1360)</f>
        <v>0</v>
      </c>
      <c r="D1361" s="30">
        <f>SUM(D1352:D1360)</f>
        <v>0</v>
      </c>
      <c r="E1361" s="31">
        <f t="shared" si="1223"/>
        <v>2</v>
      </c>
      <c r="F1361" s="28">
        <f>SUM(F1352:F1360)</f>
        <v>2</v>
      </c>
      <c r="G1361" s="29">
        <f>SUM(G1352:G1360)</f>
        <v>0</v>
      </c>
      <c r="H1361" s="30">
        <f>SUM(H1352:H1360)</f>
        <v>0</v>
      </c>
      <c r="I1361" s="31">
        <f t="shared" si="1224"/>
        <v>2</v>
      </c>
      <c r="J1361" s="31">
        <f t="shared" si="1215"/>
        <v>4</v>
      </c>
      <c r="L1361" s="35" t="s">
        <v>15</v>
      </c>
      <c r="M1361" s="28">
        <f>SUM(M1352:M1360)</f>
        <v>451</v>
      </c>
      <c r="N1361" s="29">
        <f>SUM(N1352:N1360)</f>
        <v>622</v>
      </c>
      <c r="O1361" s="30">
        <f>SUM(O1352:O1360)</f>
        <v>459</v>
      </c>
      <c r="P1361" s="31">
        <f>SUM(M1361:O1361)</f>
        <v>1532</v>
      </c>
      <c r="Q1361" s="28">
        <f>SUM(Q1352:Q1360)</f>
        <v>451</v>
      </c>
      <c r="R1361" s="29">
        <f>SUM(R1352:R1360)</f>
        <v>622</v>
      </c>
      <c r="S1361" s="30">
        <f>SUM(S1352:S1360)</f>
        <v>459</v>
      </c>
      <c r="T1361" s="31">
        <f>SUM(Q1361:S1361)</f>
        <v>1532</v>
      </c>
      <c r="U1361" s="31">
        <f>P1361+T1361</f>
        <v>3064</v>
      </c>
    </row>
    <row r="1362" spans="1:21" x14ac:dyDescent="0.15">
      <c r="A1362" s="108" t="s">
        <v>995</v>
      </c>
      <c r="B1362" s="8">
        <v>1</v>
      </c>
      <c r="C1362" s="9"/>
      <c r="D1362" s="10"/>
      <c r="E1362" s="49">
        <f t="shared" ref="E1362:E1363" si="1228">SUM(B1362:D1362)</f>
        <v>1</v>
      </c>
      <c r="F1362" s="12">
        <v>1</v>
      </c>
      <c r="G1362" s="9"/>
      <c r="H1362" s="10"/>
      <c r="I1362" s="49">
        <f t="shared" ref="I1362:I1363" si="1229">SUM(F1362:H1362)</f>
        <v>1</v>
      </c>
      <c r="J1362" s="11">
        <f t="shared" ref="J1362:J1363" si="1230">E1362+I1362</f>
        <v>2</v>
      </c>
      <c r="K1362" s="64">
        <v>46121</v>
      </c>
      <c r="L1362" s="26"/>
      <c r="M1362" s="8"/>
      <c r="N1362" s="9"/>
      <c r="O1362" s="52"/>
      <c r="P1362" s="87">
        <f t="shared" ref="P1362:P1376" si="1231">SUM(M1362:O1362)</f>
        <v>0</v>
      </c>
      <c r="Q1362" s="8"/>
      <c r="R1362" s="9"/>
      <c r="S1362" s="10"/>
      <c r="T1362" s="49">
        <f t="shared" ref="T1362:T1376" si="1232">SUM(Q1362:S1362)</f>
        <v>0</v>
      </c>
      <c r="U1362" s="11">
        <f t="shared" ref="U1362:U1376" si="1233">P1362+T1362</f>
        <v>0</v>
      </c>
    </row>
    <row r="1363" spans="1:21" x14ac:dyDescent="0.15">
      <c r="A1363" s="108" t="s">
        <v>998</v>
      </c>
      <c r="B1363" s="8">
        <v>1</v>
      </c>
      <c r="C1363" s="9"/>
      <c r="D1363" s="10"/>
      <c r="E1363" s="49">
        <f t="shared" si="1228"/>
        <v>1</v>
      </c>
      <c r="F1363" s="12">
        <v>1</v>
      </c>
      <c r="G1363" s="9"/>
      <c r="H1363" s="10"/>
      <c r="I1363" s="49">
        <f t="shared" si="1229"/>
        <v>1</v>
      </c>
      <c r="J1363" s="11">
        <f t="shared" si="1230"/>
        <v>2</v>
      </c>
      <c r="K1363" s="64">
        <v>46150</v>
      </c>
      <c r="L1363" s="26"/>
      <c r="M1363" s="8"/>
      <c r="N1363" s="9"/>
      <c r="O1363" s="52"/>
      <c r="P1363" s="87">
        <f t="shared" si="1231"/>
        <v>0</v>
      </c>
      <c r="Q1363" s="8"/>
      <c r="R1363" s="9"/>
      <c r="S1363" s="10"/>
      <c r="T1363" s="49">
        <f t="shared" si="1232"/>
        <v>0</v>
      </c>
      <c r="U1363" s="11">
        <f t="shared" si="1233"/>
        <v>0</v>
      </c>
    </row>
    <row r="1364" spans="1:21" x14ac:dyDescent="0.15">
      <c r="A1364" s="108"/>
      <c r="B1364" s="8"/>
      <c r="C1364" s="9"/>
      <c r="D1364" s="10"/>
      <c r="E1364" s="49">
        <f t="shared" si="1223"/>
        <v>0</v>
      </c>
      <c r="F1364" s="12"/>
      <c r="G1364" s="9"/>
      <c r="H1364" s="10"/>
      <c r="I1364" s="49">
        <f t="shared" si="1224"/>
        <v>0</v>
      </c>
      <c r="J1364" s="11">
        <f t="shared" si="1215"/>
        <v>0</v>
      </c>
      <c r="L1364" s="26"/>
      <c r="M1364" s="8"/>
      <c r="N1364" s="9"/>
      <c r="O1364" s="52"/>
      <c r="P1364" s="87">
        <f t="shared" si="1231"/>
        <v>0</v>
      </c>
      <c r="Q1364" s="8"/>
      <c r="R1364" s="9"/>
      <c r="S1364" s="10"/>
      <c r="T1364" s="49">
        <f t="shared" si="1232"/>
        <v>0</v>
      </c>
      <c r="U1364" s="11">
        <f t="shared" si="1233"/>
        <v>0</v>
      </c>
    </row>
    <row r="1365" spans="1:21" x14ac:dyDescent="0.15">
      <c r="A1365" s="108"/>
      <c r="B1365" s="8"/>
      <c r="C1365" s="9"/>
      <c r="D1365" s="10"/>
      <c r="E1365" s="49">
        <f t="shared" si="1223"/>
        <v>0</v>
      </c>
      <c r="F1365" s="12"/>
      <c r="G1365" s="9"/>
      <c r="H1365" s="10"/>
      <c r="I1365" s="49">
        <f t="shared" si="1224"/>
        <v>0</v>
      </c>
      <c r="J1365" s="11">
        <f t="shared" si="1215"/>
        <v>0</v>
      </c>
      <c r="L1365" s="26"/>
      <c r="M1365" s="8"/>
      <c r="N1365" s="9"/>
      <c r="O1365" s="52"/>
      <c r="P1365" s="87">
        <f t="shared" si="1231"/>
        <v>0</v>
      </c>
      <c r="Q1365" s="8"/>
      <c r="R1365" s="9"/>
      <c r="S1365" s="10"/>
      <c r="T1365" s="49">
        <f t="shared" si="1232"/>
        <v>0</v>
      </c>
      <c r="U1365" s="11">
        <f t="shared" si="1233"/>
        <v>0</v>
      </c>
    </row>
    <row r="1366" spans="1:21" x14ac:dyDescent="0.15">
      <c r="A1366" s="108"/>
      <c r="B1366" s="8"/>
      <c r="C1366" s="9"/>
      <c r="D1366" s="10"/>
      <c r="E1366" s="49">
        <f t="shared" si="1223"/>
        <v>0</v>
      </c>
      <c r="F1366" s="12"/>
      <c r="G1366" s="9"/>
      <c r="H1366" s="10"/>
      <c r="I1366" s="49">
        <f t="shared" si="1224"/>
        <v>0</v>
      </c>
      <c r="J1366" s="11">
        <f t="shared" si="1215"/>
        <v>0</v>
      </c>
      <c r="L1366" s="26"/>
      <c r="M1366" s="8"/>
      <c r="N1366" s="9"/>
      <c r="O1366" s="52"/>
      <c r="P1366" s="87">
        <f t="shared" si="1231"/>
        <v>0</v>
      </c>
      <c r="Q1366" s="8"/>
      <c r="R1366" s="9"/>
      <c r="S1366" s="10"/>
      <c r="T1366" s="49">
        <f t="shared" si="1232"/>
        <v>0</v>
      </c>
      <c r="U1366" s="11">
        <f t="shared" si="1233"/>
        <v>0</v>
      </c>
    </row>
    <row r="1367" spans="1:21" x14ac:dyDescent="0.15">
      <c r="A1367" s="108"/>
      <c r="B1367" s="8"/>
      <c r="C1367" s="9"/>
      <c r="D1367" s="10"/>
      <c r="E1367" s="49">
        <f t="shared" si="1223"/>
        <v>0</v>
      </c>
      <c r="F1367" s="12"/>
      <c r="G1367" s="9"/>
      <c r="H1367" s="10"/>
      <c r="I1367" s="49">
        <f t="shared" si="1224"/>
        <v>0</v>
      </c>
      <c r="J1367" s="11">
        <f t="shared" si="1215"/>
        <v>0</v>
      </c>
      <c r="L1367" s="26"/>
      <c r="M1367" s="8"/>
      <c r="N1367" s="9"/>
      <c r="O1367" s="52"/>
      <c r="P1367" s="87">
        <f t="shared" si="1231"/>
        <v>0</v>
      </c>
      <c r="Q1367" s="8"/>
      <c r="R1367" s="9"/>
      <c r="S1367" s="10"/>
      <c r="T1367" s="49">
        <f t="shared" si="1232"/>
        <v>0</v>
      </c>
      <c r="U1367" s="11">
        <f t="shared" si="1233"/>
        <v>0</v>
      </c>
    </row>
    <row r="1368" spans="1:21" x14ac:dyDescent="0.15">
      <c r="A1368" s="108"/>
      <c r="B1368" s="8"/>
      <c r="C1368" s="9"/>
      <c r="D1368" s="10"/>
      <c r="E1368" s="49">
        <f t="shared" si="1223"/>
        <v>0</v>
      </c>
      <c r="F1368" s="12"/>
      <c r="G1368" s="9"/>
      <c r="H1368" s="10"/>
      <c r="I1368" s="49">
        <f t="shared" si="1224"/>
        <v>0</v>
      </c>
      <c r="J1368" s="11">
        <f t="shared" si="1215"/>
        <v>0</v>
      </c>
      <c r="L1368" s="26"/>
      <c r="M1368" s="8"/>
      <c r="N1368" s="9"/>
      <c r="O1368" s="52"/>
      <c r="P1368" s="87">
        <f t="shared" si="1231"/>
        <v>0</v>
      </c>
      <c r="Q1368" s="8"/>
      <c r="R1368" s="9"/>
      <c r="S1368" s="10"/>
      <c r="T1368" s="49">
        <f t="shared" si="1232"/>
        <v>0</v>
      </c>
      <c r="U1368" s="11">
        <f t="shared" si="1233"/>
        <v>0</v>
      </c>
    </row>
    <row r="1369" spans="1:21" x14ac:dyDescent="0.15">
      <c r="A1369" s="108"/>
      <c r="B1369" s="8"/>
      <c r="C1369" s="9"/>
      <c r="D1369" s="10"/>
      <c r="E1369" s="49">
        <f t="shared" si="1223"/>
        <v>0</v>
      </c>
      <c r="F1369" s="12"/>
      <c r="G1369" s="9"/>
      <c r="H1369" s="10"/>
      <c r="I1369" s="49">
        <f t="shared" si="1224"/>
        <v>0</v>
      </c>
      <c r="J1369" s="11">
        <f t="shared" si="1215"/>
        <v>0</v>
      </c>
      <c r="L1369" s="26"/>
      <c r="M1369" s="8"/>
      <c r="N1369" s="9"/>
      <c r="O1369" s="52"/>
      <c r="P1369" s="87">
        <f t="shared" si="1231"/>
        <v>0</v>
      </c>
      <c r="Q1369" s="8"/>
      <c r="R1369" s="9"/>
      <c r="S1369" s="10"/>
      <c r="T1369" s="49">
        <f t="shared" si="1232"/>
        <v>0</v>
      </c>
      <c r="U1369" s="11">
        <f t="shared" si="1233"/>
        <v>0</v>
      </c>
    </row>
    <row r="1370" spans="1:21" x14ac:dyDescent="0.15">
      <c r="A1370" s="108"/>
      <c r="B1370" s="8"/>
      <c r="C1370" s="9"/>
      <c r="D1370" s="10"/>
      <c r="E1370" s="49">
        <f t="shared" si="1223"/>
        <v>0</v>
      </c>
      <c r="F1370" s="12"/>
      <c r="G1370" s="9"/>
      <c r="H1370" s="10"/>
      <c r="I1370" s="49">
        <f t="shared" si="1224"/>
        <v>0</v>
      </c>
      <c r="J1370" s="11">
        <f t="shared" si="1215"/>
        <v>0</v>
      </c>
      <c r="L1370" s="26"/>
      <c r="M1370" s="8"/>
      <c r="N1370" s="9"/>
      <c r="O1370" s="52"/>
      <c r="P1370" s="87">
        <f t="shared" si="1231"/>
        <v>0</v>
      </c>
      <c r="Q1370" s="8"/>
      <c r="R1370" s="9"/>
      <c r="S1370" s="10"/>
      <c r="T1370" s="49">
        <f t="shared" si="1232"/>
        <v>0</v>
      </c>
      <c r="U1370" s="11">
        <f t="shared" si="1233"/>
        <v>0</v>
      </c>
    </row>
    <row r="1371" spans="1:21" x14ac:dyDescent="0.15">
      <c r="A1371" s="108"/>
      <c r="B1371" s="8"/>
      <c r="C1371" s="9"/>
      <c r="D1371" s="10"/>
      <c r="E1371" s="49">
        <f t="shared" si="1223"/>
        <v>0</v>
      </c>
      <c r="F1371" s="12"/>
      <c r="G1371" s="9"/>
      <c r="H1371" s="10"/>
      <c r="I1371" s="49">
        <f t="shared" si="1224"/>
        <v>0</v>
      </c>
      <c r="J1371" s="11">
        <f t="shared" si="1215"/>
        <v>0</v>
      </c>
      <c r="L1371" s="26"/>
      <c r="M1371" s="8"/>
      <c r="N1371" s="9"/>
      <c r="O1371" s="52"/>
      <c r="P1371" s="87">
        <f t="shared" si="1231"/>
        <v>0</v>
      </c>
      <c r="Q1371" s="8"/>
      <c r="R1371" s="9"/>
      <c r="S1371" s="10"/>
      <c r="T1371" s="49">
        <f t="shared" si="1232"/>
        <v>0</v>
      </c>
      <c r="U1371" s="11">
        <f t="shared" si="1233"/>
        <v>0</v>
      </c>
    </row>
    <row r="1372" spans="1:21" x14ac:dyDescent="0.15">
      <c r="A1372" s="108"/>
      <c r="B1372" s="8"/>
      <c r="C1372" s="9"/>
      <c r="D1372" s="10"/>
      <c r="E1372" s="49">
        <f t="shared" si="1223"/>
        <v>0</v>
      </c>
      <c r="F1372" s="12"/>
      <c r="G1372" s="9"/>
      <c r="H1372" s="10"/>
      <c r="I1372" s="49">
        <f t="shared" si="1224"/>
        <v>0</v>
      </c>
      <c r="J1372" s="11">
        <f t="shared" si="1215"/>
        <v>0</v>
      </c>
      <c r="L1372" s="26"/>
      <c r="M1372" s="8"/>
      <c r="N1372" s="9"/>
      <c r="O1372" s="52"/>
      <c r="P1372" s="87">
        <f t="shared" si="1231"/>
        <v>0</v>
      </c>
      <c r="Q1372" s="8"/>
      <c r="R1372" s="9"/>
      <c r="S1372" s="10"/>
      <c r="T1372" s="49">
        <f t="shared" si="1232"/>
        <v>0</v>
      </c>
      <c r="U1372" s="11">
        <f t="shared" si="1233"/>
        <v>0</v>
      </c>
    </row>
    <row r="1373" spans="1:21" x14ac:dyDescent="0.15">
      <c r="A1373" s="108"/>
      <c r="B1373" s="8"/>
      <c r="C1373" s="9"/>
      <c r="D1373" s="10"/>
      <c r="E1373" s="49">
        <f t="shared" si="1223"/>
        <v>0</v>
      </c>
      <c r="F1373" s="12"/>
      <c r="G1373" s="9"/>
      <c r="H1373" s="10"/>
      <c r="I1373" s="49">
        <f t="shared" si="1224"/>
        <v>0</v>
      </c>
      <c r="J1373" s="11">
        <f t="shared" si="1215"/>
        <v>0</v>
      </c>
      <c r="L1373" s="26"/>
      <c r="M1373" s="8"/>
      <c r="N1373" s="9"/>
      <c r="O1373" s="52"/>
      <c r="P1373" s="87">
        <f t="shared" si="1231"/>
        <v>0</v>
      </c>
      <c r="Q1373" s="8"/>
      <c r="R1373" s="9"/>
      <c r="S1373" s="10"/>
      <c r="T1373" s="49">
        <f t="shared" si="1232"/>
        <v>0</v>
      </c>
      <c r="U1373" s="11">
        <f t="shared" si="1233"/>
        <v>0</v>
      </c>
    </row>
    <row r="1374" spans="1:21" x14ac:dyDescent="0.15">
      <c r="A1374" s="108"/>
      <c r="B1374" s="8"/>
      <c r="C1374" s="9"/>
      <c r="D1374" s="10"/>
      <c r="E1374" s="49">
        <f t="shared" si="1223"/>
        <v>0</v>
      </c>
      <c r="F1374" s="12"/>
      <c r="G1374" s="9"/>
      <c r="H1374" s="10"/>
      <c r="I1374" s="49">
        <f t="shared" si="1224"/>
        <v>0</v>
      </c>
      <c r="J1374" s="11">
        <f t="shared" si="1215"/>
        <v>0</v>
      </c>
      <c r="L1374" s="26"/>
      <c r="M1374" s="8"/>
      <c r="N1374" s="9"/>
      <c r="O1374" s="52"/>
      <c r="P1374" s="87">
        <f t="shared" si="1231"/>
        <v>0</v>
      </c>
      <c r="Q1374" s="8"/>
      <c r="R1374" s="9"/>
      <c r="S1374" s="10"/>
      <c r="T1374" s="49">
        <f t="shared" si="1232"/>
        <v>0</v>
      </c>
      <c r="U1374" s="11">
        <f t="shared" si="1233"/>
        <v>0</v>
      </c>
    </row>
    <row r="1375" spans="1:21" x14ac:dyDescent="0.15">
      <c r="A1375" s="108"/>
      <c r="B1375" s="8"/>
      <c r="C1375" s="9"/>
      <c r="D1375" s="10"/>
      <c r="E1375" s="49">
        <f t="shared" si="1223"/>
        <v>0</v>
      </c>
      <c r="F1375" s="12"/>
      <c r="G1375" s="9"/>
      <c r="H1375" s="10"/>
      <c r="I1375" s="49">
        <f t="shared" si="1224"/>
        <v>0</v>
      </c>
      <c r="J1375" s="11">
        <f t="shared" si="1215"/>
        <v>0</v>
      </c>
      <c r="L1375" s="26"/>
      <c r="M1375" s="8"/>
      <c r="N1375" s="9"/>
      <c r="O1375" s="52"/>
      <c r="P1375" s="87">
        <f t="shared" si="1231"/>
        <v>0</v>
      </c>
      <c r="Q1375" s="8"/>
      <c r="R1375" s="9"/>
      <c r="S1375" s="10"/>
      <c r="T1375" s="49">
        <f t="shared" si="1232"/>
        <v>0</v>
      </c>
      <c r="U1375" s="11">
        <f t="shared" si="1233"/>
        <v>0</v>
      </c>
    </row>
    <row r="1376" spans="1:21" x14ac:dyDescent="0.15">
      <c r="A1376" s="108"/>
      <c r="B1376" s="8"/>
      <c r="C1376" s="9"/>
      <c r="D1376" s="10"/>
      <c r="E1376" s="49">
        <f t="shared" si="1223"/>
        <v>0</v>
      </c>
      <c r="F1376" s="12"/>
      <c r="G1376" s="9"/>
      <c r="H1376" s="10"/>
      <c r="I1376" s="49">
        <f t="shared" si="1224"/>
        <v>0</v>
      </c>
      <c r="J1376" s="11">
        <f t="shared" si="1215"/>
        <v>0</v>
      </c>
      <c r="L1376" s="26"/>
      <c r="M1376" s="8"/>
      <c r="N1376" s="9"/>
      <c r="O1376" s="52"/>
      <c r="P1376" s="87">
        <f t="shared" si="1231"/>
        <v>0</v>
      </c>
      <c r="Q1376" s="8"/>
      <c r="R1376" s="9"/>
      <c r="S1376" s="10"/>
      <c r="T1376" s="49">
        <f t="shared" si="1232"/>
        <v>0</v>
      </c>
      <c r="U1376" s="11">
        <f t="shared" si="1233"/>
        <v>0</v>
      </c>
    </row>
    <row r="1377" spans="1:22" x14ac:dyDescent="0.15">
      <c r="A1377" s="108"/>
      <c r="B1377" s="8"/>
      <c r="C1377" s="9"/>
      <c r="D1377" s="10"/>
      <c r="E1377" s="49">
        <f t="shared" si="1223"/>
        <v>0</v>
      </c>
      <c r="F1377" s="12"/>
      <c r="G1377" s="9"/>
      <c r="H1377" s="10"/>
      <c r="I1377" s="49">
        <f t="shared" si="1224"/>
        <v>0</v>
      </c>
      <c r="J1377" s="11">
        <f t="shared" si="1215"/>
        <v>0</v>
      </c>
      <c r="L1377" s="26"/>
      <c r="M1377" s="8"/>
      <c r="N1377" s="9"/>
      <c r="O1377" s="52"/>
      <c r="P1377" s="87">
        <f t="shared" ref="P1377:P1388" si="1234">SUM(M1377:O1377)</f>
        <v>0</v>
      </c>
      <c r="Q1377" s="8"/>
      <c r="R1377" s="9"/>
      <c r="S1377" s="10"/>
      <c r="T1377" s="49">
        <f t="shared" ref="T1377:T1388" si="1235">SUM(Q1377:S1377)</f>
        <v>0</v>
      </c>
      <c r="U1377" s="11">
        <f t="shared" ref="U1377:U1387" si="1236">P1377+T1377</f>
        <v>0</v>
      </c>
    </row>
    <row r="1378" spans="1:22" x14ac:dyDescent="0.15">
      <c r="A1378" s="108"/>
      <c r="B1378" s="8"/>
      <c r="C1378" s="9"/>
      <c r="D1378" s="10"/>
      <c r="E1378" s="49">
        <f t="shared" si="1223"/>
        <v>0</v>
      </c>
      <c r="F1378" s="12"/>
      <c r="G1378" s="9"/>
      <c r="H1378" s="10"/>
      <c r="I1378" s="49">
        <f t="shared" si="1224"/>
        <v>0</v>
      </c>
      <c r="J1378" s="11">
        <f t="shared" si="1215"/>
        <v>0</v>
      </c>
      <c r="L1378" s="26"/>
      <c r="M1378" s="8"/>
      <c r="N1378" s="9"/>
      <c r="O1378" s="52"/>
      <c r="P1378" s="87">
        <f t="shared" si="1234"/>
        <v>0</v>
      </c>
      <c r="Q1378" s="8"/>
      <c r="R1378" s="9"/>
      <c r="S1378" s="10"/>
      <c r="T1378" s="49">
        <f t="shared" si="1235"/>
        <v>0</v>
      </c>
      <c r="U1378" s="11">
        <f t="shared" si="1236"/>
        <v>0</v>
      </c>
    </row>
    <row r="1379" spans="1:22" x14ac:dyDescent="0.15">
      <c r="A1379" s="108"/>
      <c r="B1379" s="8"/>
      <c r="C1379" s="9"/>
      <c r="D1379" s="10"/>
      <c r="E1379" s="49">
        <f t="shared" si="1223"/>
        <v>0</v>
      </c>
      <c r="F1379" s="12"/>
      <c r="G1379" s="9"/>
      <c r="H1379" s="10"/>
      <c r="I1379" s="49">
        <f t="shared" si="1224"/>
        <v>0</v>
      </c>
      <c r="J1379" s="11">
        <f t="shared" si="1215"/>
        <v>0</v>
      </c>
      <c r="L1379" s="26"/>
      <c r="M1379" s="8"/>
      <c r="N1379" s="9"/>
      <c r="O1379" s="52"/>
      <c r="P1379" s="87">
        <f t="shared" si="1234"/>
        <v>0</v>
      </c>
      <c r="Q1379" s="8"/>
      <c r="R1379" s="9"/>
      <c r="S1379" s="10"/>
      <c r="T1379" s="49">
        <f t="shared" si="1235"/>
        <v>0</v>
      </c>
      <c r="U1379" s="11">
        <f t="shared" si="1236"/>
        <v>0</v>
      </c>
    </row>
    <row r="1380" spans="1:22" x14ac:dyDescent="0.15">
      <c r="A1380" s="108"/>
      <c r="B1380" s="8"/>
      <c r="C1380" s="9"/>
      <c r="D1380" s="10"/>
      <c r="E1380" s="49">
        <f t="shared" si="1223"/>
        <v>0</v>
      </c>
      <c r="F1380" s="12"/>
      <c r="G1380" s="9"/>
      <c r="H1380" s="10"/>
      <c r="I1380" s="49">
        <f t="shared" si="1224"/>
        <v>0</v>
      </c>
      <c r="J1380" s="11">
        <f t="shared" si="1215"/>
        <v>0</v>
      </c>
      <c r="L1380" s="26"/>
      <c r="M1380" s="8"/>
      <c r="N1380" s="9"/>
      <c r="O1380" s="52"/>
      <c r="P1380" s="87">
        <f t="shared" si="1234"/>
        <v>0</v>
      </c>
      <c r="Q1380" s="8"/>
      <c r="R1380" s="9"/>
      <c r="S1380" s="10"/>
      <c r="T1380" s="49">
        <f t="shared" si="1235"/>
        <v>0</v>
      </c>
      <c r="U1380" s="11">
        <f t="shared" si="1236"/>
        <v>0</v>
      </c>
    </row>
    <row r="1381" spans="1:22" x14ac:dyDescent="0.15">
      <c r="A1381" s="108"/>
      <c r="B1381" s="8"/>
      <c r="C1381" s="9"/>
      <c r="D1381" s="10"/>
      <c r="E1381" s="49">
        <f t="shared" si="1223"/>
        <v>0</v>
      </c>
      <c r="F1381" s="12"/>
      <c r="G1381" s="9"/>
      <c r="H1381" s="10"/>
      <c r="I1381" s="49">
        <f t="shared" si="1224"/>
        <v>0</v>
      </c>
      <c r="J1381" s="11">
        <f t="shared" si="1215"/>
        <v>0</v>
      </c>
      <c r="L1381" s="26"/>
      <c r="M1381" s="8"/>
      <c r="N1381" s="9"/>
      <c r="O1381" s="52"/>
      <c r="P1381" s="87">
        <f t="shared" si="1234"/>
        <v>0</v>
      </c>
      <c r="Q1381" s="8"/>
      <c r="R1381" s="9"/>
      <c r="S1381" s="10"/>
      <c r="T1381" s="49">
        <f t="shared" si="1235"/>
        <v>0</v>
      </c>
      <c r="U1381" s="11">
        <f t="shared" si="1236"/>
        <v>0</v>
      </c>
    </row>
    <row r="1382" spans="1:22" x14ac:dyDescent="0.15">
      <c r="A1382" s="108"/>
      <c r="B1382" s="8"/>
      <c r="C1382" s="9"/>
      <c r="D1382" s="10"/>
      <c r="E1382" s="49">
        <f t="shared" si="1223"/>
        <v>0</v>
      </c>
      <c r="F1382" s="12"/>
      <c r="G1382" s="9"/>
      <c r="H1382" s="10"/>
      <c r="I1382" s="49">
        <f t="shared" si="1224"/>
        <v>0</v>
      </c>
      <c r="J1382" s="11">
        <f t="shared" si="1215"/>
        <v>0</v>
      </c>
      <c r="L1382" s="26"/>
      <c r="M1382" s="8"/>
      <c r="N1382" s="9"/>
      <c r="O1382" s="52"/>
      <c r="P1382" s="87">
        <f t="shared" si="1234"/>
        <v>0</v>
      </c>
      <c r="Q1382" s="8"/>
      <c r="R1382" s="9"/>
      <c r="S1382" s="10"/>
      <c r="T1382" s="49">
        <f t="shared" si="1235"/>
        <v>0</v>
      </c>
      <c r="U1382" s="11">
        <f t="shared" si="1236"/>
        <v>0</v>
      </c>
    </row>
    <row r="1383" spans="1:22" x14ac:dyDescent="0.15">
      <c r="A1383" s="108"/>
      <c r="B1383" s="8"/>
      <c r="C1383" s="9"/>
      <c r="D1383" s="10"/>
      <c r="E1383" s="49">
        <f t="shared" si="1223"/>
        <v>0</v>
      </c>
      <c r="F1383" s="12"/>
      <c r="G1383" s="9"/>
      <c r="H1383" s="10"/>
      <c r="I1383" s="49">
        <f t="shared" si="1224"/>
        <v>0</v>
      </c>
      <c r="J1383" s="11">
        <f t="shared" si="1215"/>
        <v>0</v>
      </c>
      <c r="L1383" s="26"/>
      <c r="M1383" s="8"/>
      <c r="N1383" s="9"/>
      <c r="O1383" s="52"/>
      <c r="P1383" s="87">
        <f t="shared" si="1234"/>
        <v>0</v>
      </c>
      <c r="Q1383" s="8"/>
      <c r="R1383" s="9"/>
      <c r="S1383" s="10"/>
      <c r="T1383" s="49">
        <f t="shared" si="1235"/>
        <v>0</v>
      </c>
      <c r="U1383" s="11">
        <f t="shared" si="1236"/>
        <v>0</v>
      </c>
    </row>
    <row r="1384" spans="1:22" x14ac:dyDescent="0.15">
      <c r="A1384" s="108"/>
      <c r="B1384" s="8"/>
      <c r="C1384" s="9"/>
      <c r="D1384" s="10"/>
      <c r="E1384" s="49">
        <f t="shared" si="1223"/>
        <v>0</v>
      </c>
      <c r="F1384" s="12"/>
      <c r="G1384" s="9"/>
      <c r="H1384" s="10"/>
      <c r="I1384" s="49">
        <f t="shared" si="1224"/>
        <v>0</v>
      </c>
      <c r="J1384" s="11">
        <f t="shared" si="1215"/>
        <v>0</v>
      </c>
      <c r="L1384" s="26"/>
      <c r="M1384" s="8"/>
      <c r="N1384" s="9"/>
      <c r="O1384" s="52"/>
      <c r="P1384" s="87">
        <f t="shared" si="1234"/>
        <v>0</v>
      </c>
      <c r="Q1384" s="8"/>
      <c r="R1384" s="9"/>
      <c r="S1384" s="10"/>
      <c r="T1384" s="49">
        <f t="shared" si="1235"/>
        <v>0</v>
      </c>
      <c r="U1384" s="11">
        <f t="shared" si="1236"/>
        <v>0</v>
      </c>
    </row>
    <row r="1385" spans="1:22" x14ac:dyDescent="0.15">
      <c r="A1385" s="108"/>
      <c r="B1385" s="8"/>
      <c r="C1385" s="9"/>
      <c r="D1385" s="10"/>
      <c r="E1385" s="49">
        <f t="shared" si="1223"/>
        <v>0</v>
      </c>
      <c r="F1385" s="12"/>
      <c r="G1385" s="9"/>
      <c r="H1385" s="10"/>
      <c r="I1385" s="49">
        <f t="shared" si="1224"/>
        <v>0</v>
      </c>
      <c r="J1385" s="11">
        <f t="shared" si="1215"/>
        <v>0</v>
      </c>
      <c r="L1385" s="26" t="s">
        <v>1008</v>
      </c>
      <c r="M1385" s="8">
        <v>15</v>
      </c>
      <c r="N1385" s="9">
        <v>20</v>
      </c>
      <c r="O1385" s="52">
        <v>15</v>
      </c>
      <c r="P1385" s="87">
        <f t="shared" si="1234"/>
        <v>50</v>
      </c>
      <c r="Q1385" s="8">
        <v>15</v>
      </c>
      <c r="R1385" s="9">
        <v>20</v>
      </c>
      <c r="S1385" s="52">
        <v>15</v>
      </c>
      <c r="T1385" s="49">
        <f t="shared" si="1235"/>
        <v>50</v>
      </c>
      <c r="U1385" s="11">
        <f t="shared" si="1236"/>
        <v>100</v>
      </c>
    </row>
    <row r="1386" spans="1:22" x14ac:dyDescent="0.15">
      <c r="A1386" s="108"/>
      <c r="B1386" s="8"/>
      <c r="C1386" s="9"/>
      <c r="D1386" s="10"/>
      <c r="E1386" s="49">
        <f t="shared" si="1223"/>
        <v>0</v>
      </c>
      <c r="F1386" s="12"/>
      <c r="G1386" s="9"/>
      <c r="H1386" s="10"/>
      <c r="I1386" s="49">
        <f t="shared" si="1224"/>
        <v>0</v>
      </c>
      <c r="J1386" s="11">
        <f t="shared" si="1215"/>
        <v>0</v>
      </c>
      <c r="L1386" s="26" t="s">
        <v>1006</v>
      </c>
      <c r="M1386" s="8">
        <v>15</v>
      </c>
      <c r="N1386" s="9">
        <v>20</v>
      </c>
      <c r="O1386" s="52">
        <v>15</v>
      </c>
      <c r="P1386" s="87">
        <f t="shared" si="1234"/>
        <v>50</v>
      </c>
      <c r="Q1386" s="8">
        <v>15</v>
      </c>
      <c r="R1386" s="9">
        <v>20</v>
      </c>
      <c r="S1386" s="52">
        <v>15</v>
      </c>
      <c r="T1386" s="49">
        <f t="shared" si="1235"/>
        <v>50</v>
      </c>
      <c r="U1386" s="11">
        <f t="shared" si="1236"/>
        <v>100</v>
      </c>
    </row>
    <row r="1387" spans="1:22" ht="14.25" thickBot="1" x14ac:dyDescent="0.2">
      <c r="A1387" s="108"/>
      <c r="B1387" s="8"/>
      <c r="C1387" s="9"/>
      <c r="D1387" s="10"/>
      <c r="E1387" s="49">
        <f t="shared" si="1223"/>
        <v>0</v>
      </c>
      <c r="F1387" s="12"/>
      <c r="G1387" s="9"/>
      <c r="H1387" s="10"/>
      <c r="I1387" s="49">
        <f t="shared" si="1224"/>
        <v>0</v>
      </c>
      <c r="J1387" s="11">
        <f t="shared" si="1215"/>
        <v>0</v>
      </c>
      <c r="L1387" s="26" t="s">
        <v>1007</v>
      </c>
      <c r="M1387" s="8">
        <v>280</v>
      </c>
      <c r="N1387" s="9">
        <v>390</v>
      </c>
      <c r="O1387" s="52">
        <v>280</v>
      </c>
      <c r="P1387" s="87">
        <f t="shared" si="1234"/>
        <v>950</v>
      </c>
      <c r="Q1387" s="8">
        <v>280</v>
      </c>
      <c r="R1387" s="9">
        <v>390</v>
      </c>
      <c r="S1387" s="10">
        <v>280</v>
      </c>
      <c r="T1387" s="49">
        <f t="shared" si="1235"/>
        <v>950</v>
      </c>
      <c r="U1387" s="11">
        <f t="shared" si="1236"/>
        <v>1900</v>
      </c>
      <c r="V1387" s="97" t="s">
        <v>1004</v>
      </c>
    </row>
    <row r="1388" spans="1:22" ht="14.25" thickBot="1" x14ac:dyDescent="0.2">
      <c r="A1388" s="41" t="s">
        <v>17</v>
      </c>
      <c r="B1388" s="46">
        <f>SUM(B1362:B1387)</f>
        <v>2</v>
      </c>
      <c r="C1388" s="47">
        <f>SUM(C1362:C1387)</f>
        <v>0</v>
      </c>
      <c r="D1388" s="58">
        <f>SUM(D1362:D1387)</f>
        <v>0</v>
      </c>
      <c r="E1388" s="45">
        <f t="shared" si="1223"/>
        <v>2</v>
      </c>
      <c r="F1388" s="46">
        <f>SUM(F1362:F1387)</f>
        <v>2</v>
      </c>
      <c r="G1388" s="47">
        <f>SUM(G1362:G1387)</f>
        <v>0</v>
      </c>
      <c r="H1388" s="58">
        <f>SUM(H1362:H1387)</f>
        <v>0</v>
      </c>
      <c r="I1388" s="45">
        <f t="shared" si="1224"/>
        <v>2</v>
      </c>
      <c r="J1388" s="45">
        <f t="shared" si="1215"/>
        <v>4</v>
      </c>
      <c r="L1388" s="41" t="s">
        <v>17</v>
      </c>
      <c r="M1388" s="46">
        <f>SUM(M1362:M1387)</f>
        <v>310</v>
      </c>
      <c r="N1388" s="47">
        <f t="shared" ref="N1388:O1388" si="1237">SUM(N1362:N1387)</f>
        <v>430</v>
      </c>
      <c r="O1388" s="58">
        <f t="shared" si="1237"/>
        <v>310</v>
      </c>
      <c r="P1388" s="45">
        <f t="shared" si="1234"/>
        <v>1050</v>
      </c>
      <c r="Q1388" s="46">
        <f>SUM(Q1362:Q1387)</f>
        <v>310</v>
      </c>
      <c r="R1388" s="47">
        <f t="shared" ref="R1388:S1388" si="1238">SUM(R1362:R1387)</f>
        <v>430</v>
      </c>
      <c r="S1388" s="58">
        <f t="shared" si="1238"/>
        <v>310</v>
      </c>
      <c r="T1388" s="45">
        <f t="shared" si="1235"/>
        <v>1050</v>
      </c>
      <c r="U1388" s="45">
        <f>P1388+T1388</f>
        <v>2100</v>
      </c>
    </row>
    <row r="1389" spans="1:22" ht="14.25" thickBot="1" x14ac:dyDescent="0.2">
      <c r="A1389" s="22" t="s">
        <v>16</v>
      </c>
      <c r="B1389" s="50">
        <f>B1361-B1388</f>
        <v>0</v>
      </c>
      <c r="C1389" s="56">
        <f>C1361-C1388</f>
        <v>0</v>
      </c>
      <c r="D1389" s="57">
        <f>D1361-D1388</f>
        <v>0</v>
      </c>
      <c r="E1389" s="55">
        <f t="shared" si="1223"/>
        <v>0</v>
      </c>
      <c r="F1389" s="50">
        <f>F1361-F1388</f>
        <v>0</v>
      </c>
      <c r="G1389" s="56">
        <f>G1361-G1388</f>
        <v>0</v>
      </c>
      <c r="H1389" s="57">
        <f>H1361-H1388</f>
        <v>0</v>
      </c>
      <c r="I1389" s="55">
        <f t="shared" si="1224"/>
        <v>0</v>
      </c>
      <c r="J1389" s="31">
        <f t="shared" si="1215"/>
        <v>0</v>
      </c>
      <c r="L1389" s="22" t="s">
        <v>16</v>
      </c>
      <c r="M1389" s="50">
        <f>M1361-M1388</f>
        <v>141</v>
      </c>
      <c r="N1389" s="56">
        <f t="shared" ref="N1389:O1389" si="1239">N1361-N1388</f>
        <v>192</v>
      </c>
      <c r="O1389" s="57">
        <f t="shared" si="1239"/>
        <v>149</v>
      </c>
      <c r="P1389" s="55">
        <f>SUM(M1389:O1389)</f>
        <v>482</v>
      </c>
      <c r="Q1389" s="50">
        <f>Q1361-Q1388</f>
        <v>141</v>
      </c>
      <c r="R1389" s="56">
        <f t="shared" ref="R1389:S1389" si="1240">R1361-R1388</f>
        <v>192</v>
      </c>
      <c r="S1389" s="57">
        <f t="shared" si="1240"/>
        <v>149</v>
      </c>
      <c r="T1389" s="55">
        <f>SUM(Q1389:S1389)</f>
        <v>482</v>
      </c>
      <c r="U1389" s="31">
        <f>P1389+T1389</f>
        <v>964</v>
      </c>
      <c r="V1389" s="97">
        <v>123.3</v>
      </c>
    </row>
    <row r="1390" spans="1:22" x14ac:dyDescent="0.15">
      <c r="L1390" s="155" t="s">
        <v>955</v>
      </c>
      <c r="M1390" s="125">
        <f>M1389/$P$1389*100</f>
        <v>29.253112033195023</v>
      </c>
      <c r="N1390" s="125">
        <f t="shared" ref="N1390:P1390" si="1241">N1389/$P$1389*100</f>
        <v>39.834024896265561</v>
      </c>
      <c r="O1390" s="125">
        <f t="shared" si="1241"/>
        <v>30.912863070539419</v>
      </c>
      <c r="P1390" s="125">
        <f t="shared" si="1241"/>
        <v>100</v>
      </c>
    </row>
    <row r="1391" spans="1:22" x14ac:dyDescent="0.15">
      <c r="L1391" s="152" t="s">
        <v>954</v>
      </c>
      <c r="M1391" s="149">
        <v>29.6</v>
      </c>
      <c r="N1391" s="149">
        <v>40.9</v>
      </c>
      <c r="O1391" s="149">
        <v>29.4</v>
      </c>
      <c r="P1391" s="125">
        <v>100</v>
      </c>
    </row>
    <row r="1392" spans="1:22" x14ac:dyDescent="0.15">
      <c r="M1392" s="147">
        <v>286</v>
      </c>
      <c r="N1392" s="147">
        <v>395</v>
      </c>
      <c r="O1392" s="147">
        <v>284</v>
      </c>
      <c r="P1392" s="147">
        <f>SUM(M1392:O1392)</f>
        <v>965</v>
      </c>
    </row>
  </sheetData>
  <mergeCells count="204">
    <mergeCell ref="L1349:Q1349"/>
    <mergeCell ref="B1350:E1350"/>
    <mergeCell ref="F1350:I1350"/>
    <mergeCell ref="J1350:J1351"/>
    <mergeCell ref="M1350:P1350"/>
    <mergeCell ref="Q1350:T1350"/>
    <mergeCell ref="U1350:U1351"/>
    <mergeCell ref="A1348:U1348"/>
    <mergeCell ref="B705:E705"/>
    <mergeCell ref="F705:I705"/>
    <mergeCell ref="J705:J706"/>
    <mergeCell ref="M705:P705"/>
    <mergeCell ref="Q705:T705"/>
    <mergeCell ref="M791:P791"/>
    <mergeCell ref="Q791:T791"/>
    <mergeCell ref="B920:E920"/>
    <mergeCell ref="F920:I920"/>
    <mergeCell ref="J920:J921"/>
    <mergeCell ref="M920:P920"/>
    <mergeCell ref="Q920:T920"/>
    <mergeCell ref="B963:E963"/>
    <mergeCell ref="F963:I963"/>
    <mergeCell ref="J963:J964"/>
    <mergeCell ref="M963:P963"/>
    <mergeCell ref="Q963:T963"/>
    <mergeCell ref="Q1092:T1092"/>
    <mergeCell ref="U1092:U1093"/>
    <mergeCell ref="B1135:E1135"/>
    <mergeCell ref="F1135:I1135"/>
    <mergeCell ref="J1135:J1136"/>
    <mergeCell ref="M1135:P1135"/>
    <mergeCell ref="Q1135:T1135"/>
    <mergeCell ref="U963:U964"/>
    <mergeCell ref="B1006:E1006"/>
    <mergeCell ref="F1006:I1006"/>
    <mergeCell ref="J1006:J1007"/>
    <mergeCell ref="M1006:P1006"/>
    <mergeCell ref="Q1006:T1006"/>
    <mergeCell ref="U1006:U1007"/>
    <mergeCell ref="H1004:M1004"/>
    <mergeCell ref="B1049:E1049"/>
    <mergeCell ref="F1049:I1049"/>
    <mergeCell ref="J1049:J1050"/>
    <mergeCell ref="M1049:P1049"/>
    <mergeCell ref="Q1049:T1049"/>
    <mergeCell ref="U1049:U1050"/>
    <mergeCell ref="M1178:P1178"/>
    <mergeCell ref="Q1178:T1178"/>
    <mergeCell ref="U1178:U1179"/>
    <mergeCell ref="U1135:U1136"/>
    <mergeCell ref="A1132:U1132"/>
    <mergeCell ref="B1178:E1178"/>
    <mergeCell ref="F1178:I1178"/>
    <mergeCell ref="J1178:J1179"/>
    <mergeCell ref="M576:P576"/>
    <mergeCell ref="Q576:T576"/>
    <mergeCell ref="U576:U577"/>
    <mergeCell ref="B576:E576"/>
    <mergeCell ref="F576:I576"/>
    <mergeCell ref="J576:J577"/>
    <mergeCell ref="U662:U663"/>
    <mergeCell ref="B662:E662"/>
    <mergeCell ref="F662:I662"/>
    <mergeCell ref="J662:J663"/>
    <mergeCell ref="M662:P662"/>
    <mergeCell ref="Q662:T662"/>
    <mergeCell ref="U619:U620"/>
    <mergeCell ref="B619:E619"/>
    <mergeCell ref="F619:I619"/>
    <mergeCell ref="J619:J620"/>
    <mergeCell ref="M619:P619"/>
    <mergeCell ref="Q619:T619"/>
    <mergeCell ref="U2:U3"/>
    <mergeCell ref="B2:E2"/>
    <mergeCell ref="F2:I2"/>
    <mergeCell ref="J2:J3"/>
    <mergeCell ref="M2:P2"/>
    <mergeCell ref="Q2:T2"/>
    <mergeCell ref="U125:U126"/>
    <mergeCell ref="B125:E125"/>
    <mergeCell ref="F125:I125"/>
    <mergeCell ref="J125:J126"/>
    <mergeCell ref="M125:P125"/>
    <mergeCell ref="Q125:T125"/>
    <mergeCell ref="U84:U85"/>
    <mergeCell ref="B84:E84"/>
    <mergeCell ref="F84:I84"/>
    <mergeCell ref="J84:J85"/>
    <mergeCell ref="M84:P84"/>
    <mergeCell ref="Q84:T84"/>
    <mergeCell ref="U43:U44"/>
    <mergeCell ref="B43:E43"/>
    <mergeCell ref="F43:I43"/>
    <mergeCell ref="J43:J44"/>
    <mergeCell ref="M43:P43"/>
    <mergeCell ref="Q43:T43"/>
    <mergeCell ref="U166:U167"/>
    <mergeCell ref="B166:E166"/>
    <mergeCell ref="F166:I166"/>
    <mergeCell ref="J166:J167"/>
    <mergeCell ref="M166:P166"/>
    <mergeCell ref="Q166:T166"/>
    <mergeCell ref="U207:U208"/>
    <mergeCell ref="B207:E207"/>
    <mergeCell ref="F207:I207"/>
    <mergeCell ref="J207:J208"/>
    <mergeCell ref="M207:P207"/>
    <mergeCell ref="Q207:T207"/>
    <mergeCell ref="U248:U249"/>
    <mergeCell ref="B248:E248"/>
    <mergeCell ref="F248:I248"/>
    <mergeCell ref="J248:J249"/>
    <mergeCell ref="M248:P248"/>
    <mergeCell ref="Q248:T248"/>
    <mergeCell ref="U289:U290"/>
    <mergeCell ref="B289:E289"/>
    <mergeCell ref="F289:I289"/>
    <mergeCell ref="J289:J290"/>
    <mergeCell ref="M289:P289"/>
    <mergeCell ref="Q289:T289"/>
    <mergeCell ref="M330:P330"/>
    <mergeCell ref="Q330:T330"/>
    <mergeCell ref="U330:U331"/>
    <mergeCell ref="B330:E330"/>
    <mergeCell ref="F330:I330"/>
    <mergeCell ref="J330:J331"/>
    <mergeCell ref="U371:U372"/>
    <mergeCell ref="B371:E371"/>
    <mergeCell ref="F371:I371"/>
    <mergeCell ref="J371:J372"/>
    <mergeCell ref="M371:P371"/>
    <mergeCell ref="Q371:T371"/>
    <mergeCell ref="U705:U706"/>
    <mergeCell ref="U412:U413"/>
    <mergeCell ref="B412:E412"/>
    <mergeCell ref="F412:I412"/>
    <mergeCell ref="J412:J413"/>
    <mergeCell ref="M412:P412"/>
    <mergeCell ref="Q412:T412"/>
    <mergeCell ref="U535:U536"/>
    <mergeCell ref="B535:E535"/>
    <mergeCell ref="F535:I535"/>
    <mergeCell ref="J535:J536"/>
    <mergeCell ref="M535:P535"/>
    <mergeCell ref="Q535:T535"/>
    <mergeCell ref="U453:U454"/>
    <mergeCell ref="B494:E494"/>
    <mergeCell ref="F494:I494"/>
    <mergeCell ref="J494:J495"/>
    <mergeCell ref="M494:P494"/>
    <mergeCell ref="Q494:T494"/>
    <mergeCell ref="U494:U495"/>
    <mergeCell ref="B453:E453"/>
    <mergeCell ref="F453:I453"/>
    <mergeCell ref="J453:J454"/>
    <mergeCell ref="Q453:T453"/>
    <mergeCell ref="U791:U792"/>
    <mergeCell ref="M748:P748"/>
    <mergeCell ref="Q748:T748"/>
    <mergeCell ref="U748:U749"/>
    <mergeCell ref="B748:E748"/>
    <mergeCell ref="F748:I748"/>
    <mergeCell ref="J748:J749"/>
    <mergeCell ref="B791:E791"/>
    <mergeCell ref="F791:I791"/>
    <mergeCell ref="J791:J792"/>
    <mergeCell ref="M1221:P1221"/>
    <mergeCell ref="Q1221:T1221"/>
    <mergeCell ref="U1221:U1222"/>
    <mergeCell ref="U920:U921"/>
    <mergeCell ref="B834:E834"/>
    <mergeCell ref="F834:I834"/>
    <mergeCell ref="J834:J835"/>
    <mergeCell ref="M834:P834"/>
    <mergeCell ref="Q834:T834"/>
    <mergeCell ref="U834:U835"/>
    <mergeCell ref="B877:E877"/>
    <mergeCell ref="F877:I877"/>
    <mergeCell ref="J877:J878"/>
    <mergeCell ref="M877:P877"/>
    <mergeCell ref="Q877:T877"/>
    <mergeCell ref="U877:U878"/>
    <mergeCell ref="B1221:E1221"/>
    <mergeCell ref="F1221:I1221"/>
    <mergeCell ref="J1221:J1222"/>
    <mergeCell ref="L1177:Q1177"/>
    <mergeCell ref="B1092:E1092"/>
    <mergeCell ref="F1092:I1092"/>
    <mergeCell ref="J1092:J1093"/>
    <mergeCell ref="M1092:P1092"/>
    <mergeCell ref="L1306:Q1306"/>
    <mergeCell ref="B1307:E1307"/>
    <mergeCell ref="F1307:I1307"/>
    <mergeCell ref="J1307:J1308"/>
    <mergeCell ref="M1307:P1307"/>
    <mergeCell ref="Q1307:T1307"/>
    <mergeCell ref="U1307:U1308"/>
    <mergeCell ref="L1263:Q1263"/>
    <mergeCell ref="M1264:P1264"/>
    <mergeCell ref="Q1264:T1264"/>
    <mergeCell ref="U1264:U1265"/>
    <mergeCell ref="B1264:E1264"/>
    <mergeCell ref="F1264:I1264"/>
    <mergeCell ref="J1264:J1265"/>
  </mergeCells>
  <phoneticPr fontId="7"/>
  <pageMargins left="0.7" right="0.7" top="0.75" bottom="0.75" header="0.3" footer="0.3"/>
  <pageSetup paperSize="9" orientation="portrait" r:id="rId1"/>
  <ignoredErrors>
    <ignoredError sqref="P368:P369 P573:P574 E573:E57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８分袖インナー </vt:lpstr>
      <vt:lpstr>スラ下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村田敦彦</cp:lastModifiedBy>
  <dcterms:created xsi:type="dcterms:W3CDTF">2017-08-26T01:27:44Z</dcterms:created>
  <dcterms:modified xsi:type="dcterms:W3CDTF">2026-05-25T06:50:05Z</dcterms:modified>
</cp:coreProperties>
</file>