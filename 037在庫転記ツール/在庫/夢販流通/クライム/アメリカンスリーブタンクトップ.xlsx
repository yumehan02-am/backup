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63EC4B00-CE1A-4735-A206-8BE8F997C52C}" xr6:coauthVersionLast="47" xr6:coauthVersionMax="47" xr10:uidLastSave="{00000000-0000-0000-0000-000000000000}"/>
  <bookViews>
    <workbookView xWindow="11130" yWindow="915" windowWidth="16065" windowHeight="12450" tabRatio="57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E11" i="1"/>
  <c r="J11" i="1" s="1"/>
  <c r="T19" i="1"/>
  <c r="P19" i="1"/>
  <c r="U19" i="1" s="1"/>
  <c r="S83" i="1"/>
  <c r="R83" i="1"/>
  <c r="Q83" i="1"/>
  <c r="O83" i="1"/>
  <c r="N83" i="1"/>
  <c r="M83" i="1"/>
  <c r="N40" i="1"/>
  <c r="N41" i="1" s="1"/>
  <c r="O40" i="1"/>
  <c r="O41" i="1" s="1"/>
  <c r="Q40" i="1"/>
  <c r="Q41" i="1" s="1"/>
  <c r="R40" i="1"/>
  <c r="R41" i="1" s="1"/>
  <c r="S40" i="1"/>
  <c r="S41" i="1" s="1"/>
  <c r="M40" i="1"/>
  <c r="M41" i="1" s="1"/>
  <c r="N13" i="1"/>
  <c r="O13" i="1"/>
  <c r="P13" i="1"/>
  <c r="Q13" i="1"/>
  <c r="R13" i="1"/>
  <c r="S13" i="1"/>
  <c r="T13" i="1"/>
  <c r="U13" i="1"/>
  <c r="M13" i="1"/>
  <c r="T18" i="1"/>
  <c r="U18" i="1" s="1"/>
  <c r="P18" i="1"/>
  <c r="U15" i="1"/>
  <c r="T15" i="1"/>
  <c r="P15" i="1"/>
  <c r="B40" i="1"/>
  <c r="H13" i="1"/>
  <c r="G13" i="1"/>
  <c r="F13" i="1"/>
  <c r="D13" i="1"/>
  <c r="C13" i="1"/>
  <c r="B13" i="1"/>
  <c r="I14" i="1"/>
  <c r="E14" i="1"/>
  <c r="J14" i="1" s="1"/>
  <c r="P39" i="1"/>
  <c r="T39" i="1"/>
  <c r="P14" i="1"/>
  <c r="T14" i="1"/>
  <c r="U14" i="1" s="1"/>
  <c r="P80" i="1"/>
  <c r="T80" i="1"/>
  <c r="U80" i="1" s="1"/>
  <c r="P81" i="1"/>
  <c r="T81" i="1"/>
  <c r="U81" i="1"/>
  <c r="P82" i="1"/>
  <c r="T82" i="1"/>
  <c r="U82" i="1" s="1"/>
  <c r="P57" i="1"/>
  <c r="P83" i="1" s="1"/>
  <c r="T57" i="1"/>
  <c r="P58" i="1"/>
  <c r="T58" i="1"/>
  <c r="U58" i="1"/>
  <c r="P59" i="1"/>
  <c r="T59" i="1"/>
  <c r="U59" i="1" s="1"/>
  <c r="P60" i="1"/>
  <c r="T60" i="1"/>
  <c r="U60" i="1"/>
  <c r="P61" i="1"/>
  <c r="T61" i="1"/>
  <c r="U61" i="1" s="1"/>
  <c r="P62" i="1"/>
  <c r="T62" i="1"/>
  <c r="U62" i="1"/>
  <c r="P63" i="1"/>
  <c r="T63" i="1"/>
  <c r="U63" i="1" s="1"/>
  <c r="P64" i="1"/>
  <c r="T64" i="1"/>
  <c r="U64" i="1"/>
  <c r="P65" i="1"/>
  <c r="T65" i="1"/>
  <c r="U65" i="1" s="1"/>
  <c r="P66" i="1"/>
  <c r="T66" i="1"/>
  <c r="U66" i="1"/>
  <c r="P67" i="1"/>
  <c r="T67" i="1"/>
  <c r="U67" i="1" s="1"/>
  <c r="P68" i="1"/>
  <c r="T68" i="1"/>
  <c r="U68" i="1"/>
  <c r="P69" i="1"/>
  <c r="T69" i="1"/>
  <c r="U69" i="1" s="1"/>
  <c r="P70" i="1"/>
  <c r="T70" i="1"/>
  <c r="U70" i="1"/>
  <c r="P50" i="1"/>
  <c r="T50" i="1"/>
  <c r="U50" i="1" s="1"/>
  <c r="P51" i="1"/>
  <c r="T51" i="1"/>
  <c r="U51" i="1"/>
  <c r="P52" i="1"/>
  <c r="T52" i="1"/>
  <c r="U52" i="1" s="1"/>
  <c r="P36" i="1"/>
  <c r="T36" i="1"/>
  <c r="U36" i="1" s="1"/>
  <c r="P37" i="1"/>
  <c r="T37" i="1"/>
  <c r="U37" i="1"/>
  <c r="P38" i="1"/>
  <c r="T38" i="1"/>
  <c r="U38" i="1" s="1"/>
  <c r="P4" i="1"/>
  <c r="T4" i="1"/>
  <c r="P5" i="1"/>
  <c r="T5" i="1"/>
  <c r="U5" i="1" s="1"/>
  <c r="P16" i="1"/>
  <c r="T16" i="1"/>
  <c r="P17" i="1"/>
  <c r="T17" i="1"/>
  <c r="U17" i="1"/>
  <c r="P20" i="1"/>
  <c r="T20" i="1"/>
  <c r="U20" i="1" s="1"/>
  <c r="P21" i="1"/>
  <c r="T21" i="1"/>
  <c r="U21" i="1"/>
  <c r="P22" i="1"/>
  <c r="T22" i="1"/>
  <c r="U22" i="1" s="1"/>
  <c r="P23" i="1"/>
  <c r="T23" i="1"/>
  <c r="U23" i="1"/>
  <c r="E4" i="1"/>
  <c r="I4" i="1"/>
  <c r="E5" i="1"/>
  <c r="I5" i="1"/>
  <c r="J5" i="1" s="1"/>
  <c r="E6" i="1"/>
  <c r="I6" i="1"/>
  <c r="J6" i="1" s="1"/>
  <c r="E7" i="1"/>
  <c r="I7" i="1"/>
  <c r="E15" i="1"/>
  <c r="I15" i="1"/>
  <c r="E16" i="1"/>
  <c r="I16" i="1"/>
  <c r="J16" i="1" s="1"/>
  <c r="E17" i="1"/>
  <c r="I17" i="1"/>
  <c r="J17" i="1" s="1"/>
  <c r="E18" i="1"/>
  <c r="I18" i="1"/>
  <c r="J18" i="1" s="1"/>
  <c r="E19" i="1"/>
  <c r="I19" i="1"/>
  <c r="J19" i="1" s="1"/>
  <c r="E20" i="1"/>
  <c r="I20" i="1"/>
  <c r="J20" i="1" s="1"/>
  <c r="E21" i="1"/>
  <c r="I21" i="1"/>
  <c r="J21" i="1" s="1"/>
  <c r="E22" i="1"/>
  <c r="I22" i="1"/>
  <c r="J22" i="1" s="1"/>
  <c r="E23" i="1"/>
  <c r="I23" i="1"/>
  <c r="J23" i="1" s="1"/>
  <c r="E24" i="1"/>
  <c r="I24" i="1"/>
  <c r="J24" i="1" s="1"/>
  <c r="E25" i="1"/>
  <c r="I25" i="1"/>
  <c r="E26" i="1"/>
  <c r="I26" i="1"/>
  <c r="J26" i="1"/>
  <c r="E27" i="1"/>
  <c r="I27" i="1"/>
  <c r="J27" i="1" s="1"/>
  <c r="E28" i="1"/>
  <c r="I28" i="1"/>
  <c r="J28" i="1" s="1"/>
  <c r="E29" i="1"/>
  <c r="I29" i="1"/>
  <c r="J29" i="1" s="1"/>
  <c r="E48" i="1"/>
  <c r="I48" i="1"/>
  <c r="E49" i="1"/>
  <c r="I49" i="1"/>
  <c r="J49" i="1" s="1"/>
  <c r="E50" i="1"/>
  <c r="I50" i="1"/>
  <c r="E51" i="1"/>
  <c r="I51" i="1"/>
  <c r="J51" i="1" s="1"/>
  <c r="E52" i="1"/>
  <c r="I52" i="1"/>
  <c r="J52" i="1" s="1"/>
  <c r="E57" i="1"/>
  <c r="I57" i="1"/>
  <c r="J57" i="1" s="1"/>
  <c r="E58" i="1"/>
  <c r="I58" i="1"/>
  <c r="J58" i="1"/>
  <c r="E59" i="1"/>
  <c r="I59" i="1"/>
  <c r="J59" i="1" s="1"/>
  <c r="E60" i="1"/>
  <c r="I60" i="1"/>
  <c r="J60" i="1" s="1"/>
  <c r="E61" i="1"/>
  <c r="I61" i="1"/>
  <c r="J61" i="1" l="1"/>
  <c r="U57" i="1"/>
  <c r="U83" i="1" s="1"/>
  <c r="J50" i="1"/>
  <c r="J48" i="1"/>
  <c r="T83" i="1"/>
  <c r="T40" i="1"/>
  <c r="T41" i="1" s="1"/>
  <c r="P40" i="1"/>
  <c r="P41" i="1" s="1"/>
  <c r="J7" i="1"/>
  <c r="B41" i="1"/>
  <c r="J25" i="1"/>
  <c r="U16" i="1"/>
  <c r="U39" i="1"/>
  <c r="U40" i="1" s="1"/>
  <c r="U41" i="1" s="1"/>
  <c r="J15" i="1"/>
  <c r="J4" i="1"/>
  <c r="U4" i="1"/>
  <c r="P71" i="1"/>
  <c r="T71" i="1"/>
  <c r="U71" i="1" l="1"/>
  <c r="T55" i="1" l="1"/>
  <c r="P55" i="1"/>
  <c r="P49" i="1"/>
  <c r="U55" i="1" l="1"/>
  <c r="P35" i="1"/>
  <c r="T35" i="1"/>
  <c r="T79" i="1"/>
  <c r="P79" i="1"/>
  <c r="U79" i="1" l="1"/>
  <c r="U35" i="1"/>
  <c r="T34" i="1" l="1"/>
  <c r="P34" i="1"/>
  <c r="U34" i="1" l="1"/>
  <c r="T25" i="1" l="1"/>
  <c r="P25" i="1"/>
  <c r="U25" i="1" l="1"/>
  <c r="H83" i="1" l="1"/>
  <c r="G83" i="1"/>
  <c r="F83" i="1"/>
  <c r="D83" i="1"/>
  <c r="C83" i="1"/>
  <c r="B83" i="1"/>
  <c r="I82" i="1"/>
  <c r="E82" i="1"/>
  <c r="I81" i="1"/>
  <c r="E81" i="1"/>
  <c r="I80" i="1"/>
  <c r="E80" i="1"/>
  <c r="I79" i="1"/>
  <c r="E79" i="1"/>
  <c r="T78" i="1"/>
  <c r="P78" i="1"/>
  <c r="I78" i="1"/>
  <c r="E78" i="1"/>
  <c r="T77" i="1"/>
  <c r="P77" i="1"/>
  <c r="I77" i="1"/>
  <c r="E77" i="1"/>
  <c r="T76" i="1"/>
  <c r="P76" i="1"/>
  <c r="I76" i="1"/>
  <c r="E76" i="1"/>
  <c r="T75" i="1"/>
  <c r="P75" i="1"/>
  <c r="I75" i="1"/>
  <c r="E75" i="1"/>
  <c r="T74" i="1"/>
  <c r="P74" i="1"/>
  <c r="I74" i="1"/>
  <c r="E74" i="1"/>
  <c r="T73" i="1"/>
  <c r="P73" i="1"/>
  <c r="I73" i="1"/>
  <c r="E73" i="1"/>
  <c r="T72" i="1"/>
  <c r="P72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4" i="1"/>
  <c r="E64" i="1"/>
  <c r="I63" i="1"/>
  <c r="E63" i="1"/>
  <c r="I62" i="1"/>
  <c r="E62" i="1"/>
  <c r="I55" i="1"/>
  <c r="E55" i="1"/>
  <c r="T54" i="1"/>
  <c r="P54" i="1"/>
  <c r="I54" i="1"/>
  <c r="E54" i="1"/>
  <c r="T53" i="1"/>
  <c r="P53" i="1"/>
  <c r="I53" i="1"/>
  <c r="E53" i="1"/>
  <c r="T49" i="1"/>
  <c r="T48" i="1"/>
  <c r="P48" i="1"/>
  <c r="T7" i="1"/>
  <c r="T6" i="1"/>
  <c r="H40" i="1"/>
  <c r="G40" i="1"/>
  <c r="F40" i="1"/>
  <c r="D40" i="1"/>
  <c r="C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12" i="1"/>
  <c r="E12" i="1"/>
  <c r="I10" i="1"/>
  <c r="E10" i="1"/>
  <c r="I9" i="1"/>
  <c r="E9" i="1"/>
  <c r="I8" i="1"/>
  <c r="I13" i="1" s="1"/>
  <c r="E8" i="1"/>
  <c r="E13" i="1" s="1"/>
  <c r="T33" i="1"/>
  <c r="T32" i="1"/>
  <c r="T31" i="1"/>
  <c r="T30" i="1"/>
  <c r="T29" i="1"/>
  <c r="T28" i="1"/>
  <c r="T27" i="1"/>
  <c r="T26" i="1"/>
  <c r="T24" i="1"/>
  <c r="T12" i="1"/>
  <c r="T11" i="1"/>
  <c r="T10" i="1"/>
  <c r="T9" i="1"/>
  <c r="T8" i="1"/>
  <c r="P24" i="1"/>
  <c r="P26" i="1"/>
  <c r="P27" i="1"/>
  <c r="P28" i="1"/>
  <c r="P29" i="1"/>
  <c r="P30" i="1"/>
  <c r="P31" i="1"/>
  <c r="P32" i="1"/>
  <c r="P33" i="1"/>
  <c r="P11" i="1"/>
  <c r="P12" i="1"/>
  <c r="P6" i="1"/>
  <c r="P7" i="1"/>
  <c r="P8" i="1"/>
  <c r="P9" i="1"/>
  <c r="P10" i="1"/>
  <c r="J8" i="1" l="1"/>
  <c r="J62" i="1"/>
  <c r="H41" i="1"/>
  <c r="H47" i="1" s="1"/>
  <c r="J66" i="1"/>
  <c r="U49" i="1"/>
  <c r="U10" i="1"/>
  <c r="U31" i="1"/>
  <c r="U32" i="1"/>
  <c r="U29" i="1"/>
  <c r="U6" i="1"/>
  <c r="U26" i="1"/>
  <c r="U30" i="1"/>
  <c r="S47" i="1"/>
  <c r="J30" i="1"/>
  <c r="J33" i="1"/>
  <c r="J36" i="1"/>
  <c r="J39" i="1"/>
  <c r="Q47" i="1"/>
  <c r="U48" i="1"/>
  <c r="J63" i="1"/>
  <c r="J72" i="1"/>
  <c r="J75" i="1"/>
  <c r="U76" i="1"/>
  <c r="J81" i="1"/>
  <c r="I83" i="1"/>
  <c r="J31" i="1"/>
  <c r="J37" i="1"/>
  <c r="J34" i="1"/>
  <c r="J10" i="1"/>
  <c r="B47" i="1"/>
  <c r="G41" i="1"/>
  <c r="G47" i="1" s="1"/>
  <c r="U8" i="1"/>
  <c r="O47" i="1"/>
  <c r="J53" i="1"/>
  <c r="U54" i="1"/>
  <c r="J69" i="1"/>
  <c r="U73" i="1"/>
  <c r="J78" i="1"/>
  <c r="R47" i="1"/>
  <c r="U12" i="1"/>
  <c r="U9" i="1"/>
  <c r="U24" i="1"/>
  <c r="E40" i="1"/>
  <c r="U53" i="1"/>
  <c r="J65" i="1"/>
  <c r="J68" i="1"/>
  <c r="U72" i="1"/>
  <c r="U75" i="1"/>
  <c r="J80" i="1"/>
  <c r="J55" i="1"/>
  <c r="J71" i="1"/>
  <c r="J74" i="1"/>
  <c r="J77" i="1"/>
  <c r="U78" i="1"/>
  <c r="U27" i="1"/>
  <c r="U11" i="1"/>
  <c r="C41" i="1"/>
  <c r="C47" i="1" s="1"/>
  <c r="I40" i="1"/>
  <c r="J54" i="1"/>
  <c r="J64" i="1"/>
  <c r="J67" i="1"/>
  <c r="J70" i="1"/>
  <c r="J73" i="1"/>
  <c r="U74" i="1"/>
  <c r="J76" i="1"/>
  <c r="U77" i="1"/>
  <c r="J79" i="1"/>
  <c r="J82" i="1"/>
  <c r="N47" i="1"/>
  <c r="M47" i="1"/>
  <c r="U33" i="1"/>
  <c r="U7" i="1"/>
  <c r="U28" i="1"/>
  <c r="J9" i="1"/>
  <c r="J12" i="1"/>
  <c r="J32" i="1"/>
  <c r="J35" i="1"/>
  <c r="J38" i="1"/>
  <c r="E83" i="1"/>
  <c r="D41" i="1"/>
  <c r="D47" i="1" s="1"/>
  <c r="D56" i="1" s="1"/>
  <c r="F41" i="1"/>
  <c r="F47" i="1" s="1"/>
  <c r="F56" i="1" s="1"/>
  <c r="J13" i="1" l="1"/>
  <c r="R56" i="1"/>
  <c r="R84" i="1" s="1"/>
  <c r="S56" i="1"/>
  <c r="S84" i="1" s="1"/>
  <c r="Q56" i="1"/>
  <c r="Q84" i="1" s="1"/>
  <c r="N56" i="1"/>
  <c r="N84" i="1" s="1"/>
  <c r="O56" i="1"/>
  <c r="O84" i="1" s="1"/>
  <c r="M56" i="1"/>
  <c r="M84" i="1" s="1"/>
  <c r="B56" i="1"/>
  <c r="B84" i="1" s="1"/>
  <c r="C56" i="1"/>
  <c r="C84" i="1" s="1"/>
  <c r="H56" i="1"/>
  <c r="H84" i="1" s="1"/>
  <c r="G56" i="1"/>
  <c r="G84" i="1" s="1"/>
  <c r="E41" i="1"/>
  <c r="J83" i="1"/>
  <c r="T47" i="1"/>
  <c r="I41" i="1"/>
  <c r="J40" i="1"/>
  <c r="P47" i="1"/>
  <c r="F84" i="1"/>
  <c r="I47" i="1"/>
  <c r="D84" i="1"/>
  <c r="E47" i="1"/>
  <c r="E56" i="1" s="1"/>
  <c r="T56" i="1" l="1"/>
  <c r="T84" i="1" s="1"/>
  <c r="P56" i="1"/>
  <c r="P84" i="1" s="1"/>
  <c r="I56" i="1"/>
  <c r="I84" i="1" s="1"/>
  <c r="J41" i="1"/>
  <c r="U47" i="1"/>
  <c r="U56" i="1" s="1"/>
  <c r="U84" i="1" s="1"/>
  <c r="E84" i="1"/>
  <c r="J47" i="1"/>
  <c r="J56" i="1" s="1"/>
  <c r="J84" i="1" l="1"/>
</calcChain>
</file>

<file path=xl/sharedStrings.xml><?xml version="1.0" encoding="utf-8"?>
<sst xmlns="http://schemas.openxmlformats.org/spreadsheetml/2006/main" count="154" uniqueCount="40">
  <si>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</si>
  <si>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</si>
  <si>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</si>
  <si>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</si>
  <si>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</si>
  <si>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</si>
  <si>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</si>
  <si>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</si>
  <si>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</si>
  <si>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</si>
  <si>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</si>
  <si>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</si>
  <si>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</si>
  <si>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</si>
  <si>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</si>
  <si>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</si>
  <si>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</si>
  <si>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出荷数</t>
    <rPh sb="0" eb="2">
      <t>シュッカ</t>
    </rPh>
    <rPh sb="2" eb="3">
      <t>スウ</t>
    </rPh>
    <phoneticPr fontId="8"/>
  </si>
  <si>
    <t>残数</t>
    <rPh sb="0" eb="2">
      <t>ザンスウ</t>
    </rPh>
    <phoneticPr fontId="2"/>
  </si>
  <si>
    <t>ブラック</t>
    <phoneticPr fontId="8"/>
  </si>
  <si>
    <t>カラー</t>
    <phoneticPr fontId="8"/>
  </si>
  <si>
    <t>ブラウン</t>
    <phoneticPr fontId="8"/>
  </si>
  <si>
    <t>アメリカンスリーブタンクトップ　（夢販在庫）</t>
    <rPh sb="17" eb="19">
      <t>ユメハン</t>
    </rPh>
    <rPh sb="19" eb="21">
      <t>ザイコ</t>
    </rPh>
    <phoneticPr fontId="2"/>
  </si>
  <si>
    <t>アメリカンスリーブタンクトップ　（KPORT在庫） @625</t>
    <rPh sb="22" eb="24">
      <t>ザイコ</t>
    </rPh>
    <phoneticPr fontId="2"/>
  </si>
  <si>
    <t>過不足分</t>
    <rPh sb="0" eb="4">
      <t>カブソクブン</t>
    </rPh>
    <phoneticPr fontId="2"/>
  </si>
  <si>
    <t>夢販</t>
    <rPh sb="0" eb="2">
      <t>ユメハン</t>
    </rPh>
    <phoneticPr fontId="8"/>
  </si>
  <si>
    <t>2025/6/4数伝</t>
    <rPh sb="8" eb="10">
      <t>スウデン</t>
    </rPh>
    <phoneticPr fontId="8"/>
  </si>
  <si>
    <t xml:space="preserve">酒井個人買い </t>
    <rPh sb="0" eb="2">
      <t>サカイ</t>
    </rPh>
    <rPh sb="2" eb="5">
      <t>コジンガ</t>
    </rPh>
    <phoneticPr fontId="8"/>
  </si>
  <si>
    <t>ネット</t>
    <phoneticPr fontId="8"/>
  </si>
  <si>
    <t>JOD色合せ用sample</t>
    <rPh sb="3" eb="5">
      <t>イロアワ</t>
    </rPh>
    <rPh sb="6" eb="7">
      <t>ヨウ</t>
    </rPh>
    <phoneticPr fontId="8"/>
  </si>
  <si>
    <t>7/25～</t>
    <phoneticPr fontId="8"/>
  </si>
  <si>
    <t>JODメルシー0725/2色組</t>
    <rPh sb="13" eb="15">
      <t>ショククミ</t>
    </rPh>
    <phoneticPr fontId="8"/>
  </si>
  <si>
    <t>JOD</t>
    <phoneticPr fontId="8"/>
  </si>
  <si>
    <t>←式確認ここまで　2025/8/9</t>
    <rPh sb="1" eb="4">
      <t>シキカクニン</t>
    </rPh>
    <phoneticPr fontId="8"/>
  </si>
  <si>
    <t>在庫確認</t>
    <rPh sb="0" eb="4">
      <t>ザイコカクニン</t>
    </rPh>
    <phoneticPr fontId="2"/>
  </si>
  <si>
    <t>JOD返品</t>
    <rPh sb="3" eb="5">
      <t>ヘンピン</t>
    </rPh>
    <phoneticPr fontId="2"/>
  </si>
  <si>
    <t>JOD色合せ用sample返却</t>
    <rPh sb="3" eb="5">
      <t>イロアワ</t>
    </rPh>
    <rPh sb="6" eb="7">
      <t>ヨウ</t>
    </rPh>
    <rPh sb="13" eb="15">
      <t>ヘンキャク</t>
    </rPh>
    <phoneticPr fontId="8"/>
  </si>
  <si>
    <t>夢販</t>
    <rPh sb="0" eb="2">
      <t>y</t>
    </rPh>
    <phoneticPr fontId="8"/>
  </si>
  <si>
    <t>在庫調整</t>
    <rPh sb="0" eb="4">
      <t>ザイコチョウセイ</t>
    </rPh>
    <phoneticPr fontId="8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</si>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</sst>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5">
    <xf numFmtId="0" fontId="0" fillId="0" borderId="0" xfId="0">
      <alignment vertical="center"/>
    </xf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2" xfId="1" applyBorder="1"/>
    <xf numFmtId="0" fontId="6" fillId="0" borderId="24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56" fontId="1" fillId="0" borderId="23" xfId="1" applyNumberFormat="1" applyBorder="1" applyAlignment="1">
      <alignment horizontal="center" vertical="center"/>
    </xf>
    <xf numFmtId="0" fontId="1" fillId="0" borderId="9" xfId="1" applyBorder="1" applyAlignment="1">
      <alignment horizontal="center" vertical="center" shrinkToFit="1"/>
    </xf>
    <xf numFmtId="56" fontId="7" fillId="0" borderId="24" xfId="1" applyNumberFormat="1" applyFont="1" applyBorder="1" applyAlignment="1">
      <alignment horizontal="center" vertical="center"/>
    </xf>
    <xf numFmtId="0" fontId="7" fillId="0" borderId="1" xfId="1" applyFont="1" applyBorder="1"/>
    <xf numFmtId="0" fontId="7" fillId="0" borderId="2" xfId="1" applyFont="1" applyBorder="1"/>
    <xf numFmtId="0" fontId="7" fillId="0" borderId="10" xfId="1" applyFont="1" applyBorder="1"/>
    <xf numFmtId="0" fontId="1" fillId="0" borderId="25" xfId="1" applyBorder="1"/>
    <xf numFmtId="0" fontId="1" fillId="0" borderId="26" xfId="1" applyBorder="1"/>
    <xf numFmtId="0" fontId="7" fillId="0" borderId="24" xfId="1" applyFont="1" applyBorder="1" applyAlignment="1">
      <alignment horizontal="center" vertical="center"/>
    </xf>
    <xf numFmtId="0" fontId="7" fillId="0" borderId="14" xfId="1" applyFont="1" applyBorder="1"/>
    <xf numFmtId="0" fontId="9" fillId="0" borderId="0" xfId="0" applyFont="1">
      <alignment vertical="center"/>
    </xf>
    <xf numFmtId="0" fontId="1" fillId="0" borderId="24" xfId="1" applyBorder="1" applyAlignment="1">
      <alignment horizontal="center" vertical="center"/>
    </xf>
    <xf numFmtId="0" fontId="1" fillId="0" borderId="11" xfId="1" applyBorder="1"/>
    <xf numFmtId="0" fontId="1" fillId="0" borderId="12" xfId="1" applyBorder="1"/>
    <xf numFmtId="0" fontId="1" fillId="0" borderId="27" xfId="1" applyBorder="1"/>
    <xf numFmtId="0" fontId="1" fillId="0" borderId="10" xfId="1" applyBorder="1"/>
    <xf numFmtId="0" fontId="1" fillId="0" borderId="14" xfId="1" applyBorder="1"/>
    <xf numFmtId="0" fontId="1" fillId="0" borderId="29" xfId="1" applyBorder="1"/>
    <xf numFmtId="0" fontId="1" fillId="0" borderId="28" xfId="1" applyBorder="1"/>
    <xf numFmtId="0" fontId="1" fillId="0" borderId="30" xfId="1" applyBorder="1"/>
    <xf numFmtId="0" fontId="1" fillId="0" borderId="31" xfId="1" applyBorder="1"/>
    <xf numFmtId="56" fontId="10" fillId="0" borderId="0" xfId="0" applyNumberFormat="1" applyFont="1">
      <alignment vertical="center"/>
    </xf>
    <xf numFmtId="0" fontId="7" fillId="0" borderId="3" xfId="1" applyFont="1" applyBorder="1"/>
    <xf numFmtId="0" fontId="10" fillId="0" borderId="0" xfId="0" applyFont="1">
      <alignment vertical="center"/>
    </xf>
    <xf numFmtId="0" fontId="1" fillId="0" borderId="32" xfId="1" applyBorder="1"/>
    <xf numFmtId="0" fontId="1" fillId="0" borderId="33" xfId="1" applyBorder="1"/>
    <xf numFmtId="0" fontId="1" fillId="0" borderId="21" xfId="1" applyBorder="1"/>
    <xf numFmtId="56" fontId="0" fillId="0" borderId="0" xfId="0" applyNumberFormat="1">
      <alignment vertical="center"/>
    </xf>
    <xf numFmtId="0" fontId="1" fillId="0" borderId="5" xfId="1" applyBorder="1" applyAlignment="1">
      <alignment horizontal="center" vertical="center" shrinkToFit="1"/>
    </xf>
    <xf numFmtId="176" fontId="0" fillId="0" borderId="0" xfId="0" applyNumberFormat="1">
      <alignment vertical="center"/>
    </xf>
    <xf numFmtId="0" fontId="6" fillId="0" borderId="1" xfId="1" applyFont="1" applyBorder="1"/>
    <xf numFmtId="0" fontId="6" fillId="0" borderId="2" xfId="1" applyFont="1" applyBorder="1"/>
    <xf numFmtId="0" fontId="6" fillId="0" borderId="3" xfId="1" applyFont="1" applyBorder="1"/>
    <xf numFmtId="0" fontId="1" fillId="0" borderId="34" xfId="1" applyBorder="1"/>
    <xf numFmtId="0" fontId="1" fillId="0" borderId="35" xfId="1" applyBorder="1"/>
    <xf numFmtId="0" fontId="7" fillId="0" borderId="36" xfId="1" applyFont="1" applyBorder="1"/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7" fillId="0" borderId="37" xfId="1" applyFont="1" applyBorder="1"/>
    <xf numFmtId="0" fontId="7" fillId="0" borderId="38" xfId="1" applyFont="1" applyBorder="1"/>
    <xf numFmtId="0" fontId="11" fillId="0" borderId="9" xfId="1" applyFont="1" applyBorder="1" applyAlignment="1">
      <alignment horizontal="center" vertical="center" shrinkToFit="1"/>
    </xf>
    <xf numFmtId="0" fontId="3" fillId="3" borderId="0" xfId="1" applyFont="1" applyFill="1"/>
    <xf numFmtId="0" fontId="1" fillId="3" borderId="0" xfId="1" applyFill="1"/>
    <xf numFmtId="0" fontId="3" fillId="4" borderId="0" xfId="1" applyFont="1" applyFill="1"/>
    <xf numFmtId="0" fontId="1" fillId="4" borderId="0" xfId="1" applyFill="1"/>
    <xf numFmtId="0" fontId="1" fillId="0" borderId="39" xfId="1" applyBorder="1"/>
    <xf numFmtId="0" fontId="1" fillId="0" borderId="5" xfId="1" applyBorder="1"/>
    <xf numFmtId="0" fontId="1" fillId="0" borderId="23" xfId="1" applyBorder="1"/>
    <xf numFmtId="56" fontId="1" fillId="0" borderId="40" xfId="1" applyNumberFormat="1" applyBorder="1" applyAlignment="1">
      <alignment horizontal="center" vertical="center"/>
    </xf>
    <xf numFmtId="0" fontId="1" fillId="0" borderId="40" xfId="1" applyBorder="1"/>
    <xf numFmtId="56" fontId="12" fillId="0" borderId="23" xfId="1" applyNumberFormat="1" applyFont="1" applyBorder="1" applyAlignment="1">
      <alignment horizontal="center" vertical="center"/>
    </xf>
    <xf numFmtId="0" fontId="12" fillId="0" borderId="18" xfId="1" applyFont="1" applyBorder="1"/>
    <xf numFmtId="0" fontId="12" fillId="0" borderId="19" xfId="1" applyFont="1" applyBorder="1"/>
    <xf numFmtId="0" fontId="12" fillId="0" borderId="29" xfId="1" applyFont="1" applyBorder="1"/>
    <xf numFmtId="0" fontId="12" fillId="0" borderId="5" xfId="1" applyFont="1" applyBorder="1"/>
    <xf numFmtId="0" fontId="12" fillId="0" borderId="23" xfId="1" applyFont="1" applyBorder="1"/>
    <xf numFmtId="56" fontId="13" fillId="0" borderId="0" xfId="0" applyNumberFormat="1" applyFont="1">
      <alignment vertical="center"/>
    </xf>
    <xf numFmtId="0" fontId="12" fillId="0" borderId="9" xfId="1" applyFont="1" applyBorder="1" applyAlignment="1">
      <alignment horizontal="center" vertical="center"/>
    </xf>
    <xf numFmtId="0" fontId="12" fillId="0" borderId="6" xfId="1" applyFont="1" applyBorder="1"/>
    <xf numFmtId="0" fontId="12" fillId="0" borderId="7" xfId="1" applyFont="1" applyBorder="1"/>
    <xf numFmtId="0" fontId="12" fillId="0" borderId="8" xfId="1" applyFont="1" applyBorder="1"/>
    <xf numFmtId="0" fontId="12" fillId="0" borderId="9" xfId="1" applyFont="1" applyBorder="1"/>
    <xf numFmtId="0" fontId="12" fillId="0" borderId="35" xfId="1" applyFont="1" applyBorder="1"/>
    <xf numFmtId="0" fontId="12" fillId="0" borderId="28" xfId="1" applyFont="1" applyBorder="1"/>
    <xf numFmtId="0" fontId="13" fillId="0" borderId="0" xfId="0" applyFont="1">
      <alignment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/>
    </xf>
    <xf numFmtId="0" fontId="4" fillId="5" borderId="11" xfId="1" applyFont="1" applyFill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/>
    </xf>
    <xf numFmtId="0" fontId="4" fillId="5" borderId="13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4"/>
  <sheetViews>
    <sheetView tabSelected="1" topLeftCell="A55" zoomScaleNormal="100" workbookViewId="0">
      <selection activeCell="B66" sqref="B66"/>
    </sheetView>
  </sheetViews>
  <sheetFormatPr defaultRowHeight="13.5" x14ac:dyDescent="0.15"/>
  <cols>
    <col min="1" max="1" width="18.75" customWidth="1"/>
    <col min="11" max="11" width="9.25" bestFit="1" customWidth="1"/>
    <col min="12" max="12" width="27.75" customWidth="1"/>
    <col min="22" max="22" width="9.25" bestFit="1" customWidth="1"/>
  </cols>
  <sheetData>
    <row r="1" spans="1:23" ht="19.5" thickBot="1" x14ac:dyDescent="0.25">
      <c r="A1" s="63" t="s">
        <v>22</v>
      </c>
      <c r="B1" s="64"/>
      <c r="C1" s="64"/>
      <c r="D1" s="64"/>
      <c r="E1" s="64"/>
      <c r="F1" s="1"/>
      <c r="G1" s="1"/>
      <c r="H1" s="1"/>
      <c r="I1" s="1"/>
      <c r="J1" s="1"/>
      <c r="L1" s="65" t="s">
        <v>23</v>
      </c>
      <c r="M1" s="66"/>
      <c r="N1" s="66"/>
      <c r="O1" s="66"/>
      <c r="P1" s="66"/>
      <c r="Q1" s="1"/>
      <c r="R1" s="1"/>
      <c r="S1" s="1"/>
      <c r="T1" s="1"/>
      <c r="U1" s="1"/>
    </row>
    <row r="2" spans="1:23" ht="14.25" thickBot="1" x14ac:dyDescent="0.2">
      <c r="A2" s="6" t="s">
        <v>0</v>
      </c>
      <c r="B2" s="89" t="s">
        <v>19</v>
      </c>
      <c r="C2" s="90"/>
      <c r="D2" s="90"/>
      <c r="E2" s="91"/>
      <c r="F2" s="92" t="s">
        <v>21</v>
      </c>
      <c r="G2" s="93"/>
      <c r="H2" s="93"/>
      <c r="I2" s="94"/>
      <c r="J2" s="87" t="s">
        <v>1</v>
      </c>
      <c r="L2" s="6" t="s">
        <v>20</v>
      </c>
      <c r="M2" s="89" t="s">
        <v>19</v>
      </c>
      <c r="N2" s="90"/>
      <c r="O2" s="90"/>
      <c r="P2" s="91"/>
      <c r="Q2" s="92" t="s">
        <v>21</v>
      </c>
      <c r="R2" s="93"/>
      <c r="S2" s="93"/>
      <c r="T2" s="94"/>
      <c r="U2" s="87" t="s">
        <v>1</v>
      </c>
    </row>
    <row r="3" spans="1:23" ht="14.25" thickBot="1" x14ac:dyDescent="0.2">
      <c r="A3" s="6" t="s">
        <v>2</v>
      </c>
      <c r="B3" s="2" t="s">
        <v>3</v>
      </c>
      <c r="C3" s="3" t="s">
        <v>4</v>
      </c>
      <c r="D3" s="4" t="s">
        <v>5</v>
      </c>
      <c r="E3" s="6" t="s">
        <v>6</v>
      </c>
      <c r="F3" s="2" t="s">
        <v>3</v>
      </c>
      <c r="G3" s="3" t="s">
        <v>4</v>
      </c>
      <c r="H3" s="4" t="s">
        <v>5</v>
      </c>
      <c r="I3" s="6" t="s">
        <v>6</v>
      </c>
      <c r="J3" s="88"/>
      <c r="L3" s="6" t="s">
        <v>2</v>
      </c>
      <c r="M3" s="2" t="s">
        <v>3</v>
      </c>
      <c r="N3" s="3" t="s">
        <v>4</v>
      </c>
      <c r="O3" s="4" t="s">
        <v>5</v>
      </c>
      <c r="P3" s="6" t="s">
        <v>6</v>
      </c>
      <c r="Q3" s="2" t="s">
        <v>3</v>
      </c>
      <c r="R3" s="3" t="s">
        <v>4</v>
      </c>
      <c r="S3" s="4" t="s">
        <v>5</v>
      </c>
      <c r="T3" s="6" t="s">
        <v>6</v>
      </c>
      <c r="U3" s="88"/>
    </row>
    <row r="4" spans="1:23" x14ac:dyDescent="0.15">
      <c r="A4" s="21" t="s">
        <v>7</v>
      </c>
      <c r="B4" s="7">
        <v>5</v>
      </c>
      <c r="C4" s="8">
        <v>5</v>
      </c>
      <c r="D4" s="39">
        <v>3</v>
      </c>
      <c r="E4" s="10">
        <f t="shared" ref="E4:E7" si="0">SUM(B4:D4)</f>
        <v>13</v>
      </c>
      <c r="F4" s="7">
        <v>5</v>
      </c>
      <c r="G4" s="8">
        <v>5</v>
      </c>
      <c r="H4" s="39">
        <v>3</v>
      </c>
      <c r="I4" s="55">
        <f t="shared" ref="I4:I7" si="1">SUM(F4:H4)</f>
        <v>13</v>
      </c>
      <c r="J4" s="10">
        <f t="shared" ref="J4:J7" si="2">E4+I4</f>
        <v>26</v>
      </c>
      <c r="K4" s="42">
        <v>45813</v>
      </c>
      <c r="L4" s="21" t="s">
        <v>7</v>
      </c>
      <c r="M4" s="7">
        <v>180</v>
      </c>
      <c r="N4" s="8">
        <v>120</v>
      </c>
      <c r="O4" s="39">
        <v>50</v>
      </c>
      <c r="P4" s="10">
        <f t="shared" ref="P4:P5" si="3">SUM(M4:O4)</f>
        <v>350</v>
      </c>
      <c r="Q4" s="7">
        <v>180</v>
      </c>
      <c r="R4" s="8">
        <v>120</v>
      </c>
      <c r="S4" s="39">
        <v>50</v>
      </c>
      <c r="T4" s="10">
        <f t="shared" ref="T4:T5" si="4">SUM(Q4:S4)</f>
        <v>350</v>
      </c>
      <c r="U4" s="10">
        <f t="shared" ref="U4:U5" si="5">P4+T4</f>
        <v>700</v>
      </c>
      <c r="V4" s="42" t="s">
        <v>26</v>
      </c>
    </row>
    <row r="5" spans="1:23" x14ac:dyDescent="0.15">
      <c r="A5" s="21" t="s">
        <v>8</v>
      </c>
      <c r="B5" s="7">
        <v>3</v>
      </c>
      <c r="C5" s="8">
        <v>3</v>
      </c>
      <c r="D5" s="39">
        <v>3</v>
      </c>
      <c r="E5" s="10">
        <f t="shared" si="0"/>
        <v>9</v>
      </c>
      <c r="F5" s="7">
        <v>3</v>
      </c>
      <c r="G5" s="8">
        <v>3</v>
      </c>
      <c r="H5" s="39">
        <v>3</v>
      </c>
      <c r="I5" s="55">
        <f t="shared" si="1"/>
        <v>9</v>
      </c>
      <c r="J5" s="10">
        <f t="shared" si="2"/>
        <v>18</v>
      </c>
      <c r="K5" s="42">
        <v>45867</v>
      </c>
      <c r="L5" s="21" t="s">
        <v>24</v>
      </c>
      <c r="M5" s="7">
        <v>1</v>
      </c>
      <c r="N5" s="8">
        <v>4</v>
      </c>
      <c r="O5" s="39">
        <v>5</v>
      </c>
      <c r="P5" s="10">
        <f t="shared" si="3"/>
        <v>10</v>
      </c>
      <c r="Q5" s="7">
        <v>2</v>
      </c>
      <c r="R5" s="8">
        <v>-2</v>
      </c>
      <c r="S5" s="39">
        <v>-1</v>
      </c>
      <c r="T5" s="10">
        <f t="shared" si="4"/>
        <v>-1</v>
      </c>
      <c r="U5" s="10">
        <f t="shared" si="5"/>
        <v>9</v>
      </c>
      <c r="V5" s="44"/>
    </row>
    <row r="6" spans="1:23" x14ac:dyDescent="0.15">
      <c r="A6" s="21" t="s">
        <v>9</v>
      </c>
      <c r="B6" s="7">
        <v>5</v>
      </c>
      <c r="C6" s="8">
        <v>10</v>
      </c>
      <c r="D6" s="39">
        <v>5</v>
      </c>
      <c r="E6" s="10">
        <f t="shared" si="0"/>
        <v>20</v>
      </c>
      <c r="F6" s="7">
        <v>5</v>
      </c>
      <c r="G6" s="8">
        <v>10</v>
      </c>
      <c r="H6" s="39">
        <v>5</v>
      </c>
      <c r="I6" s="55">
        <f t="shared" si="1"/>
        <v>20</v>
      </c>
      <c r="J6" s="10">
        <f t="shared" si="2"/>
        <v>40</v>
      </c>
      <c r="K6" s="42">
        <v>45875</v>
      </c>
      <c r="L6" s="21" t="s">
        <v>9</v>
      </c>
      <c r="M6" s="7"/>
      <c r="N6" s="8"/>
      <c r="O6" s="39"/>
      <c r="P6" s="10">
        <f t="shared" ref="P6:P10" si="6">SUM(M6:O6)</f>
        <v>0</v>
      </c>
      <c r="Q6" s="7"/>
      <c r="R6" s="8"/>
      <c r="S6" s="39"/>
      <c r="T6" s="10">
        <f t="shared" ref="T6:T10" si="7">SUM(Q6:S6)</f>
        <v>0</v>
      </c>
      <c r="U6" s="10">
        <f t="shared" ref="U6:U33" si="8">P6+T6</f>
        <v>0</v>
      </c>
      <c r="V6" s="44"/>
      <c r="W6" s="44"/>
    </row>
    <row r="7" spans="1:23" x14ac:dyDescent="0.15">
      <c r="A7" s="21" t="s">
        <v>10</v>
      </c>
      <c r="B7" s="7">
        <v>5</v>
      </c>
      <c r="C7" s="8"/>
      <c r="D7" s="39"/>
      <c r="E7" s="10">
        <f t="shared" si="0"/>
        <v>5</v>
      </c>
      <c r="F7" s="7">
        <v>5</v>
      </c>
      <c r="G7" s="8"/>
      <c r="H7" s="39"/>
      <c r="I7" s="55">
        <f t="shared" si="1"/>
        <v>5</v>
      </c>
      <c r="J7" s="10">
        <f t="shared" si="2"/>
        <v>10</v>
      </c>
      <c r="K7" s="42">
        <v>45891</v>
      </c>
      <c r="L7" s="21" t="s">
        <v>10</v>
      </c>
      <c r="M7" s="14"/>
      <c r="N7" s="15"/>
      <c r="O7" s="38"/>
      <c r="P7" s="10">
        <f t="shared" si="6"/>
        <v>0</v>
      </c>
      <c r="Q7" s="14"/>
      <c r="R7" s="15"/>
      <c r="S7" s="38"/>
      <c r="T7" s="10">
        <f t="shared" si="7"/>
        <v>0</v>
      </c>
      <c r="U7" s="10">
        <f t="shared" si="8"/>
        <v>0</v>
      </c>
      <c r="V7" s="44"/>
      <c r="W7" s="44"/>
    </row>
    <row r="8" spans="1:23" x14ac:dyDescent="0.15">
      <c r="A8" s="21" t="s">
        <v>34</v>
      </c>
      <c r="B8" s="7">
        <v>-1</v>
      </c>
      <c r="C8" s="8">
        <v>0</v>
      </c>
      <c r="D8" s="39">
        <v>2</v>
      </c>
      <c r="E8" s="10">
        <f t="shared" ref="E8:E11" si="9">SUM(B8:D8)</f>
        <v>1</v>
      </c>
      <c r="F8" s="7">
        <v>0</v>
      </c>
      <c r="G8" s="8">
        <v>0</v>
      </c>
      <c r="H8" s="39">
        <v>2</v>
      </c>
      <c r="I8" s="55">
        <f t="shared" ref="I8:I11" si="10">SUM(F8:H8)</f>
        <v>2</v>
      </c>
      <c r="J8" s="10">
        <f t="shared" ref="J8:J41" si="11">E8+I8</f>
        <v>3</v>
      </c>
      <c r="K8" s="42">
        <v>45894</v>
      </c>
      <c r="L8" s="21" t="s">
        <v>11</v>
      </c>
      <c r="M8" s="7"/>
      <c r="N8" s="8"/>
      <c r="O8" s="39"/>
      <c r="P8" s="10">
        <f t="shared" si="6"/>
        <v>0</v>
      </c>
      <c r="Q8" s="7"/>
      <c r="R8" s="8"/>
      <c r="S8" s="39"/>
      <c r="T8" s="55">
        <f t="shared" si="7"/>
        <v>0</v>
      </c>
      <c r="U8" s="10">
        <f t="shared" si="8"/>
        <v>0</v>
      </c>
      <c r="V8" s="44"/>
      <c r="W8" s="44"/>
    </row>
    <row r="9" spans="1:23" x14ac:dyDescent="0.15">
      <c r="A9" s="21" t="s">
        <v>35</v>
      </c>
      <c r="B9" s="7"/>
      <c r="C9" s="8">
        <v>1</v>
      </c>
      <c r="D9" s="39"/>
      <c r="E9" s="10">
        <f t="shared" si="9"/>
        <v>1</v>
      </c>
      <c r="F9" s="7"/>
      <c r="G9" s="8">
        <v>1</v>
      </c>
      <c r="H9" s="39"/>
      <c r="I9" s="55">
        <f t="shared" si="10"/>
        <v>1</v>
      </c>
      <c r="J9" s="10">
        <f t="shared" si="11"/>
        <v>2</v>
      </c>
      <c r="K9" s="42">
        <v>45909</v>
      </c>
      <c r="L9" s="21" t="s">
        <v>12</v>
      </c>
      <c r="M9" s="7"/>
      <c r="N9" s="8"/>
      <c r="O9" s="39"/>
      <c r="P9" s="10">
        <f t="shared" si="6"/>
        <v>0</v>
      </c>
      <c r="Q9" s="7"/>
      <c r="R9" s="8"/>
      <c r="S9" s="39"/>
      <c r="T9" s="55">
        <f t="shared" si="7"/>
        <v>0</v>
      </c>
      <c r="U9" s="10">
        <f t="shared" si="8"/>
        <v>0</v>
      </c>
      <c r="V9" s="44"/>
      <c r="W9" s="44"/>
    </row>
    <row r="10" spans="1:23" x14ac:dyDescent="0.15">
      <c r="A10" s="21" t="s">
        <v>35</v>
      </c>
      <c r="B10" s="7"/>
      <c r="C10" s="8">
        <v>1</v>
      </c>
      <c r="D10" s="39"/>
      <c r="E10" s="10">
        <f t="shared" si="9"/>
        <v>1</v>
      </c>
      <c r="F10" s="7"/>
      <c r="G10" s="8">
        <v>1</v>
      </c>
      <c r="H10" s="39"/>
      <c r="I10" s="55">
        <f t="shared" si="10"/>
        <v>1</v>
      </c>
      <c r="J10" s="10">
        <f t="shared" si="11"/>
        <v>2</v>
      </c>
      <c r="K10" s="42">
        <v>45910</v>
      </c>
      <c r="L10" s="21" t="s">
        <v>13</v>
      </c>
      <c r="M10" s="7"/>
      <c r="N10" s="8"/>
      <c r="O10" s="39"/>
      <c r="P10" s="10">
        <f t="shared" si="6"/>
        <v>0</v>
      </c>
      <c r="Q10" s="7"/>
      <c r="R10" s="8"/>
      <c r="S10" s="39"/>
      <c r="T10" s="55">
        <f t="shared" si="7"/>
        <v>0</v>
      </c>
      <c r="U10" s="10">
        <f t="shared" si="8"/>
        <v>0</v>
      </c>
      <c r="V10" s="44"/>
    </row>
    <row r="11" spans="1:23" x14ac:dyDescent="0.15">
      <c r="A11" s="22" t="s">
        <v>36</v>
      </c>
      <c r="B11" s="7"/>
      <c r="C11" s="8"/>
      <c r="D11" s="9"/>
      <c r="E11" s="10">
        <f t="shared" si="9"/>
        <v>0</v>
      </c>
      <c r="F11" s="7"/>
      <c r="G11" s="8">
        <v>1</v>
      </c>
      <c r="H11" s="9"/>
      <c r="I11" s="55">
        <f t="shared" si="10"/>
        <v>1</v>
      </c>
      <c r="J11" s="10">
        <f t="shared" si="11"/>
        <v>1</v>
      </c>
      <c r="K11" s="48">
        <v>45948</v>
      </c>
      <c r="L11" s="21" t="s">
        <v>14</v>
      </c>
      <c r="M11" s="11"/>
      <c r="N11" s="12"/>
      <c r="O11" s="40"/>
      <c r="P11" s="10">
        <f t="shared" ref="P11:P12" si="12">SUM(M11:O11)</f>
        <v>0</v>
      </c>
      <c r="Q11" s="11"/>
      <c r="R11" s="12"/>
      <c r="S11" s="40"/>
      <c r="T11" s="55">
        <f t="shared" ref="T11:T12" si="13">SUM(Q11:S11)</f>
        <v>0</v>
      </c>
      <c r="U11" s="10">
        <f t="shared" si="8"/>
        <v>0</v>
      </c>
      <c r="V11" s="44"/>
    </row>
    <row r="12" spans="1:23" ht="14.25" thickBot="1" x14ac:dyDescent="0.2">
      <c r="A12" s="70" t="s">
        <v>15</v>
      </c>
      <c r="B12" s="27"/>
      <c r="C12" s="28"/>
      <c r="D12" s="41"/>
      <c r="E12" s="17">
        <f t="shared" ref="E12:E29" si="14">SUM(B12:D12)</f>
        <v>0</v>
      </c>
      <c r="F12" s="27"/>
      <c r="G12" s="28"/>
      <c r="H12" s="41"/>
      <c r="I12" s="71">
        <f t="shared" ref="I12:I29" si="15">SUM(F12:H12)</f>
        <v>0</v>
      </c>
      <c r="J12" s="17">
        <f t="shared" si="11"/>
        <v>0</v>
      </c>
      <c r="K12" s="44"/>
      <c r="L12" s="21" t="s">
        <v>15</v>
      </c>
      <c r="M12" s="11"/>
      <c r="N12" s="12"/>
      <c r="O12" s="40"/>
      <c r="P12" s="10">
        <f t="shared" si="12"/>
        <v>0</v>
      </c>
      <c r="Q12" s="11"/>
      <c r="R12" s="12"/>
      <c r="S12" s="40"/>
      <c r="T12" s="55">
        <f t="shared" si="13"/>
        <v>0</v>
      </c>
      <c r="U12" s="17">
        <f t="shared" si="8"/>
        <v>0</v>
      </c>
      <c r="V12" s="42"/>
    </row>
    <row r="13" spans="1:23" ht="14.25" thickBot="1" x14ac:dyDescent="0.2">
      <c r="A13" s="29" t="s">
        <v>16</v>
      </c>
      <c r="B13" s="24">
        <f>SUM(B4:B12)</f>
        <v>17</v>
      </c>
      <c r="C13" s="25">
        <f t="shared" ref="C13:J13" si="16">SUM(C4:C12)</f>
        <v>20</v>
      </c>
      <c r="D13" s="43">
        <f t="shared" si="16"/>
        <v>13</v>
      </c>
      <c r="E13" s="61">
        <f t="shared" si="16"/>
        <v>50</v>
      </c>
      <c r="F13" s="24">
        <f t="shared" si="16"/>
        <v>18</v>
      </c>
      <c r="G13" s="25">
        <f t="shared" si="16"/>
        <v>21</v>
      </c>
      <c r="H13" s="43">
        <f t="shared" si="16"/>
        <v>13</v>
      </c>
      <c r="I13" s="60">
        <f t="shared" si="16"/>
        <v>52</v>
      </c>
      <c r="J13" s="26">
        <f t="shared" si="16"/>
        <v>102</v>
      </c>
      <c r="K13" s="48"/>
      <c r="L13" s="29" t="s">
        <v>16</v>
      </c>
      <c r="M13" s="24">
        <f>SUM(M4:M12)</f>
        <v>181</v>
      </c>
      <c r="N13" s="25">
        <f t="shared" ref="N13:U13" si="17">SUM(N4:N12)</f>
        <v>124</v>
      </c>
      <c r="O13" s="43">
        <f t="shared" si="17"/>
        <v>55</v>
      </c>
      <c r="P13" s="61">
        <f t="shared" si="17"/>
        <v>360</v>
      </c>
      <c r="Q13" s="24">
        <f t="shared" si="17"/>
        <v>182</v>
      </c>
      <c r="R13" s="25">
        <f t="shared" si="17"/>
        <v>118</v>
      </c>
      <c r="S13" s="43">
        <f t="shared" si="17"/>
        <v>49</v>
      </c>
      <c r="T13" s="60">
        <f t="shared" si="17"/>
        <v>349</v>
      </c>
      <c r="U13" s="26">
        <f t="shared" si="17"/>
        <v>709</v>
      </c>
    </row>
    <row r="14" spans="1:23" x14ac:dyDescent="0.15">
      <c r="A14" s="49" t="s">
        <v>27</v>
      </c>
      <c r="B14" s="14"/>
      <c r="C14" s="15">
        <v>1</v>
      </c>
      <c r="D14" s="16"/>
      <c r="E14" s="68">
        <f t="shared" ref="E14" si="18">SUM(B14:D14)</f>
        <v>1</v>
      </c>
      <c r="F14" s="14"/>
      <c r="G14" s="15"/>
      <c r="H14" s="16"/>
      <c r="I14" s="69">
        <f t="shared" ref="I14" si="19">SUM(F14:H14)</f>
        <v>0</v>
      </c>
      <c r="J14" s="68">
        <f t="shared" ref="J14" si="20">E14+I14</f>
        <v>1</v>
      </c>
      <c r="K14" s="48">
        <v>45813</v>
      </c>
      <c r="L14" s="22" t="s">
        <v>25</v>
      </c>
      <c r="M14" s="7">
        <v>5</v>
      </c>
      <c r="N14" s="8">
        <v>5</v>
      </c>
      <c r="O14" s="9">
        <v>3</v>
      </c>
      <c r="P14" s="10">
        <f t="shared" ref="P14:P15" si="21">SUM(M14:O14)</f>
        <v>13</v>
      </c>
      <c r="Q14" s="7">
        <v>5</v>
      </c>
      <c r="R14" s="8">
        <v>5</v>
      </c>
      <c r="S14" s="9">
        <v>3</v>
      </c>
      <c r="T14" s="55">
        <f t="shared" ref="T14:T15" si="22">SUM(Q14:S14)</f>
        <v>13</v>
      </c>
      <c r="U14" s="10">
        <f t="shared" ref="U14:U15" si="23">P14+T14</f>
        <v>26</v>
      </c>
      <c r="V14" s="42">
        <v>45813</v>
      </c>
    </row>
    <row r="15" spans="1:23" x14ac:dyDescent="0.15">
      <c r="A15" s="22" t="s">
        <v>28</v>
      </c>
      <c r="B15" s="7">
        <v>1</v>
      </c>
      <c r="C15" s="8"/>
      <c r="D15" s="9"/>
      <c r="E15" s="10">
        <f t="shared" si="14"/>
        <v>1</v>
      </c>
      <c r="F15" s="7"/>
      <c r="G15" s="8"/>
      <c r="H15" s="9"/>
      <c r="I15" s="55">
        <f t="shared" si="15"/>
        <v>0</v>
      </c>
      <c r="J15" s="10">
        <f t="shared" ref="J15:J29" si="24">E15+I15</f>
        <v>1</v>
      </c>
      <c r="K15" s="48">
        <v>45817</v>
      </c>
      <c r="L15" s="22" t="s">
        <v>25</v>
      </c>
      <c r="M15" s="7">
        <v>3</v>
      </c>
      <c r="N15" s="8">
        <v>3</v>
      </c>
      <c r="O15" s="9">
        <v>3</v>
      </c>
      <c r="P15" s="10">
        <f t="shared" si="21"/>
        <v>9</v>
      </c>
      <c r="Q15" s="7">
        <v>3</v>
      </c>
      <c r="R15" s="8">
        <v>3</v>
      </c>
      <c r="S15" s="9">
        <v>3</v>
      </c>
      <c r="T15" s="55">
        <f t="shared" si="22"/>
        <v>9</v>
      </c>
      <c r="U15" s="10">
        <f t="shared" si="23"/>
        <v>18</v>
      </c>
      <c r="V15" s="42">
        <v>45867</v>
      </c>
    </row>
    <row r="16" spans="1:23" x14ac:dyDescent="0.15">
      <c r="A16" s="22" t="s">
        <v>29</v>
      </c>
      <c r="B16" s="7"/>
      <c r="C16" s="8"/>
      <c r="D16" s="9"/>
      <c r="E16" s="10">
        <f t="shared" si="14"/>
        <v>0</v>
      </c>
      <c r="F16" s="7"/>
      <c r="G16" s="8">
        <v>1</v>
      </c>
      <c r="H16" s="9"/>
      <c r="I16" s="55">
        <f t="shared" si="15"/>
        <v>1</v>
      </c>
      <c r="J16" s="10">
        <f t="shared" si="24"/>
        <v>1</v>
      </c>
      <c r="K16" s="48">
        <v>45819</v>
      </c>
      <c r="L16" s="22" t="s">
        <v>32</v>
      </c>
      <c r="M16" s="7"/>
      <c r="N16" s="8">
        <v>4</v>
      </c>
      <c r="O16" s="9"/>
      <c r="P16" s="10">
        <f t="shared" ref="P16:P23" si="25">SUM(M16:O16)</f>
        <v>4</v>
      </c>
      <c r="Q16" s="7"/>
      <c r="R16" s="8">
        <v>4</v>
      </c>
      <c r="S16" s="9"/>
      <c r="T16" s="55">
        <f t="shared" ref="T16:T23" si="26">SUM(Q16:S16)</f>
        <v>4</v>
      </c>
      <c r="U16" s="10">
        <f t="shared" ref="U16:U23" si="27">P16+T16</f>
        <v>8</v>
      </c>
      <c r="V16" s="42">
        <v>45875</v>
      </c>
      <c r="W16" s="44"/>
    </row>
    <row r="17" spans="1:23" x14ac:dyDescent="0.15">
      <c r="A17" s="22" t="s">
        <v>28</v>
      </c>
      <c r="B17" s="7"/>
      <c r="C17" s="8"/>
      <c r="D17" s="9"/>
      <c r="E17" s="10">
        <f t="shared" si="14"/>
        <v>0</v>
      </c>
      <c r="F17" s="7">
        <v>1</v>
      </c>
      <c r="G17" s="8"/>
      <c r="H17" s="9"/>
      <c r="I17" s="55">
        <f t="shared" si="15"/>
        <v>1</v>
      </c>
      <c r="J17" s="10">
        <f t="shared" si="24"/>
        <v>1</v>
      </c>
      <c r="K17" s="48">
        <v>45827</v>
      </c>
      <c r="L17" s="22" t="s">
        <v>32</v>
      </c>
      <c r="M17" s="7">
        <v>1</v>
      </c>
      <c r="N17" s="8"/>
      <c r="O17" s="9">
        <v>4</v>
      </c>
      <c r="P17" s="10">
        <f t="shared" si="25"/>
        <v>5</v>
      </c>
      <c r="Q17" s="7">
        <v>1</v>
      </c>
      <c r="R17" s="8"/>
      <c r="S17" s="9">
        <v>4</v>
      </c>
      <c r="T17" s="55">
        <f t="shared" si="26"/>
        <v>5</v>
      </c>
      <c r="U17" s="10">
        <f t="shared" si="27"/>
        <v>10</v>
      </c>
      <c r="V17" s="42">
        <v>45876</v>
      </c>
      <c r="W17" s="44"/>
    </row>
    <row r="18" spans="1:23" x14ac:dyDescent="0.15">
      <c r="A18" s="49" t="s">
        <v>27</v>
      </c>
      <c r="B18" s="7"/>
      <c r="C18" s="8"/>
      <c r="D18" s="9"/>
      <c r="E18" s="10">
        <f t="shared" si="14"/>
        <v>0</v>
      </c>
      <c r="F18" s="7"/>
      <c r="G18" s="8"/>
      <c r="H18" s="9">
        <v>1</v>
      </c>
      <c r="I18" s="55">
        <f t="shared" si="15"/>
        <v>1</v>
      </c>
      <c r="J18" s="10">
        <f t="shared" si="24"/>
        <v>1</v>
      </c>
      <c r="K18" s="48">
        <v>45839</v>
      </c>
      <c r="L18" s="22" t="s">
        <v>25</v>
      </c>
      <c r="M18" s="7">
        <v>5</v>
      </c>
      <c r="N18" s="8">
        <v>10</v>
      </c>
      <c r="O18" s="9">
        <v>5</v>
      </c>
      <c r="P18" s="10">
        <f t="shared" si="25"/>
        <v>20</v>
      </c>
      <c r="Q18" s="7">
        <v>5</v>
      </c>
      <c r="R18" s="8">
        <v>10</v>
      </c>
      <c r="S18" s="9">
        <v>5</v>
      </c>
      <c r="T18" s="55">
        <f t="shared" si="26"/>
        <v>20</v>
      </c>
      <c r="U18" s="10">
        <f t="shared" si="27"/>
        <v>40</v>
      </c>
      <c r="V18" s="42">
        <v>45875</v>
      </c>
      <c r="W18" s="44"/>
    </row>
    <row r="19" spans="1:23" x14ac:dyDescent="0.15">
      <c r="A19" s="22" t="s">
        <v>28</v>
      </c>
      <c r="B19" s="7"/>
      <c r="C19" s="8">
        <v>1</v>
      </c>
      <c r="D19" s="9"/>
      <c r="E19" s="10">
        <f t="shared" si="14"/>
        <v>1</v>
      </c>
      <c r="F19" s="7">
        <v>1</v>
      </c>
      <c r="G19" s="8"/>
      <c r="H19" s="9"/>
      <c r="I19" s="55">
        <f t="shared" si="15"/>
        <v>1</v>
      </c>
      <c r="J19" s="10">
        <f t="shared" si="24"/>
        <v>2</v>
      </c>
      <c r="K19" s="42">
        <v>45849</v>
      </c>
      <c r="L19" s="22" t="s">
        <v>25</v>
      </c>
      <c r="M19" s="7">
        <v>5</v>
      </c>
      <c r="N19" s="8"/>
      <c r="O19" s="9"/>
      <c r="P19" s="10">
        <f t="shared" si="25"/>
        <v>5</v>
      </c>
      <c r="Q19" s="7">
        <v>5</v>
      </c>
      <c r="R19" s="8"/>
      <c r="S19" s="9"/>
      <c r="T19" s="55">
        <f t="shared" si="26"/>
        <v>5</v>
      </c>
      <c r="U19" s="10">
        <f t="shared" si="27"/>
        <v>10</v>
      </c>
      <c r="V19" s="42">
        <v>45891</v>
      </c>
      <c r="W19" s="44"/>
    </row>
    <row r="20" spans="1:23" x14ac:dyDescent="0.15">
      <c r="A20" s="22" t="s">
        <v>32</v>
      </c>
      <c r="B20" s="7">
        <v>1</v>
      </c>
      <c r="C20" s="8">
        <v>1</v>
      </c>
      <c r="D20" s="9">
        <v>1</v>
      </c>
      <c r="E20" s="10">
        <f t="shared" si="14"/>
        <v>3</v>
      </c>
      <c r="F20" s="7">
        <v>1</v>
      </c>
      <c r="G20" s="8">
        <v>1</v>
      </c>
      <c r="H20" s="9">
        <v>1</v>
      </c>
      <c r="I20" s="55">
        <f t="shared" si="15"/>
        <v>3</v>
      </c>
      <c r="J20" s="10">
        <f t="shared" si="24"/>
        <v>6</v>
      </c>
      <c r="K20" s="42">
        <v>45868</v>
      </c>
      <c r="L20" s="22"/>
      <c r="M20" s="7"/>
      <c r="N20" s="8"/>
      <c r="O20" s="9"/>
      <c r="P20" s="10">
        <f t="shared" si="25"/>
        <v>0</v>
      </c>
      <c r="Q20" s="7"/>
      <c r="R20" s="8"/>
      <c r="S20" s="9"/>
      <c r="T20" s="55">
        <f t="shared" si="26"/>
        <v>0</v>
      </c>
      <c r="U20" s="10">
        <f t="shared" si="27"/>
        <v>0</v>
      </c>
      <c r="V20" s="42"/>
    </row>
    <row r="21" spans="1:23" x14ac:dyDescent="0.15">
      <c r="A21" s="22" t="s">
        <v>32</v>
      </c>
      <c r="B21" s="7"/>
      <c r="C21" s="8">
        <v>3</v>
      </c>
      <c r="D21" s="9">
        <v>1</v>
      </c>
      <c r="E21" s="10">
        <f t="shared" si="14"/>
        <v>4</v>
      </c>
      <c r="F21" s="7"/>
      <c r="G21" s="8">
        <v>3</v>
      </c>
      <c r="H21" s="9">
        <v>1</v>
      </c>
      <c r="I21" s="55">
        <f t="shared" si="15"/>
        <v>4</v>
      </c>
      <c r="J21" s="10">
        <f t="shared" si="24"/>
        <v>8</v>
      </c>
      <c r="K21" s="42">
        <v>45873</v>
      </c>
      <c r="L21" s="22"/>
      <c r="M21" s="7"/>
      <c r="N21" s="8"/>
      <c r="O21" s="9"/>
      <c r="P21" s="10">
        <f t="shared" si="25"/>
        <v>0</v>
      </c>
      <c r="Q21" s="7"/>
      <c r="R21" s="8"/>
      <c r="S21" s="9"/>
      <c r="T21" s="55">
        <f t="shared" si="26"/>
        <v>0</v>
      </c>
      <c r="U21" s="10">
        <f t="shared" si="27"/>
        <v>0</v>
      </c>
      <c r="V21" s="42"/>
    </row>
    <row r="22" spans="1:23" x14ac:dyDescent="0.15">
      <c r="A22" s="22" t="s">
        <v>32</v>
      </c>
      <c r="B22" s="7"/>
      <c r="C22" s="8"/>
      <c r="D22" s="9">
        <v>1</v>
      </c>
      <c r="E22" s="10">
        <f t="shared" si="14"/>
        <v>1</v>
      </c>
      <c r="F22" s="7"/>
      <c r="G22" s="8"/>
      <c r="H22" s="9">
        <v>1</v>
      </c>
      <c r="I22" s="55">
        <f t="shared" si="15"/>
        <v>1</v>
      </c>
      <c r="J22" s="10">
        <f t="shared" si="24"/>
        <v>2</v>
      </c>
      <c r="K22" s="42">
        <v>45877</v>
      </c>
      <c r="L22" s="22"/>
      <c r="M22" s="7"/>
      <c r="N22" s="8"/>
      <c r="O22" s="9"/>
      <c r="P22" s="10">
        <f t="shared" si="25"/>
        <v>0</v>
      </c>
      <c r="Q22" s="7"/>
      <c r="R22" s="8"/>
      <c r="S22" s="9"/>
      <c r="T22" s="55">
        <f t="shared" si="26"/>
        <v>0</v>
      </c>
      <c r="U22" s="10">
        <f t="shared" si="27"/>
        <v>0</v>
      </c>
      <c r="V22" s="42"/>
    </row>
    <row r="23" spans="1:23" x14ac:dyDescent="0.15">
      <c r="A23" s="22" t="s">
        <v>32</v>
      </c>
      <c r="B23" s="7">
        <v>2</v>
      </c>
      <c r="C23" s="8"/>
      <c r="D23" s="9"/>
      <c r="E23" s="10">
        <f t="shared" si="14"/>
        <v>2</v>
      </c>
      <c r="F23" s="7">
        <v>2</v>
      </c>
      <c r="G23" s="8"/>
      <c r="H23" s="9"/>
      <c r="I23" s="55">
        <f t="shared" si="15"/>
        <v>2</v>
      </c>
      <c r="J23" s="10">
        <f t="shared" si="24"/>
        <v>4</v>
      </c>
      <c r="K23" s="42">
        <v>45877</v>
      </c>
      <c r="L23" s="22"/>
      <c r="M23" s="7"/>
      <c r="N23" s="8"/>
      <c r="O23" s="9"/>
      <c r="P23" s="10">
        <f t="shared" si="25"/>
        <v>0</v>
      </c>
      <c r="Q23" s="7"/>
      <c r="R23" s="8"/>
      <c r="S23" s="9"/>
      <c r="T23" s="55">
        <f t="shared" si="26"/>
        <v>0</v>
      </c>
      <c r="U23" s="10">
        <f t="shared" si="27"/>
        <v>0</v>
      </c>
      <c r="V23" s="42"/>
    </row>
    <row r="24" spans="1:23" x14ac:dyDescent="0.15">
      <c r="A24" s="22" t="s">
        <v>32</v>
      </c>
      <c r="B24" s="7">
        <v>3</v>
      </c>
      <c r="C24" s="8"/>
      <c r="D24" s="9"/>
      <c r="E24" s="10">
        <f t="shared" si="14"/>
        <v>3</v>
      </c>
      <c r="F24" s="7">
        <v>3</v>
      </c>
      <c r="G24" s="8"/>
      <c r="H24" s="9"/>
      <c r="I24" s="55">
        <f t="shared" si="15"/>
        <v>3</v>
      </c>
      <c r="J24" s="10">
        <f t="shared" si="24"/>
        <v>6</v>
      </c>
      <c r="K24" s="42">
        <v>45889</v>
      </c>
      <c r="L24" s="22"/>
      <c r="M24" s="7"/>
      <c r="N24" s="8"/>
      <c r="O24" s="9"/>
      <c r="P24" s="10">
        <f t="shared" ref="P24:P33" si="28">SUM(M24:O24)</f>
        <v>0</v>
      </c>
      <c r="Q24" s="7"/>
      <c r="R24" s="8"/>
      <c r="S24" s="9"/>
      <c r="T24" s="55">
        <f t="shared" ref="T24:T33" si="29">SUM(Q24:S24)</f>
        <v>0</v>
      </c>
      <c r="U24" s="10">
        <f t="shared" si="8"/>
        <v>0</v>
      </c>
      <c r="V24" s="42"/>
    </row>
    <row r="25" spans="1:23" x14ac:dyDescent="0.15">
      <c r="A25" s="22" t="s">
        <v>32</v>
      </c>
      <c r="B25" s="7">
        <v>2</v>
      </c>
      <c r="C25" s="8">
        <v>1</v>
      </c>
      <c r="D25" s="9"/>
      <c r="E25" s="10">
        <f t="shared" si="14"/>
        <v>3</v>
      </c>
      <c r="F25" s="7">
        <v>2</v>
      </c>
      <c r="G25" s="8">
        <v>1</v>
      </c>
      <c r="H25" s="9"/>
      <c r="I25" s="55">
        <f t="shared" si="15"/>
        <v>3</v>
      </c>
      <c r="J25" s="10">
        <f t="shared" si="24"/>
        <v>6</v>
      </c>
      <c r="K25" s="42">
        <v>45891</v>
      </c>
      <c r="L25" s="20"/>
      <c r="M25" s="7"/>
      <c r="N25" s="8"/>
      <c r="O25" s="9"/>
      <c r="P25" s="10">
        <f t="shared" si="28"/>
        <v>0</v>
      </c>
      <c r="Q25" s="7"/>
      <c r="R25" s="8"/>
      <c r="S25" s="9"/>
      <c r="T25" s="55">
        <f t="shared" si="29"/>
        <v>0</v>
      </c>
      <c r="U25" s="10">
        <f t="shared" si="8"/>
        <v>0</v>
      </c>
      <c r="V25" s="42"/>
    </row>
    <row r="26" spans="1:23" x14ac:dyDescent="0.15">
      <c r="A26" s="22" t="s">
        <v>32</v>
      </c>
      <c r="B26" s="7">
        <v>1</v>
      </c>
      <c r="C26" s="8"/>
      <c r="D26" s="9"/>
      <c r="E26" s="10">
        <f t="shared" si="14"/>
        <v>1</v>
      </c>
      <c r="F26" s="7">
        <v>1</v>
      </c>
      <c r="G26" s="8"/>
      <c r="H26" s="9"/>
      <c r="I26" s="55">
        <f t="shared" si="15"/>
        <v>1</v>
      </c>
      <c r="J26" s="10">
        <f t="shared" si="24"/>
        <v>2</v>
      </c>
      <c r="K26" s="42">
        <v>45894</v>
      </c>
      <c r="L26" s="22"/>
      <c r="M26" s="7"/>
      <c r="N26" s="8"/>
      <c r="O26" s="9"/>
      <c r="P26" s="10">
        <f t="shared" si="28"/>
        <v>0</v>
      </c>
      <c r="Q26" s="7"/>
      <c r="R26" s="8"/>
      <c r="S26" s="9"/>
      <c r="T26" s="55">
        <f t="shared" si="29"/>
        <v>0</v>
      </c>
      <c r="U26" s="10">
        <f t="shared" si="8"/>
        <v>0</v>
      </c>
      <c r="V26" s="42"/>
    </row>
    <row r="27" spans="1:23" x14ac:dyDescent="0.15">
      <c r="A27" s="22" t="s">
        <v>32</v>
      </c>
      <c r="B27" s="7"/>
      <c r="C27" s="8"/>
      <c r="D27" s="9">
        <v>1</v>
      </c>
      <c r="E27" s="10">
        <f t="shared" si="14"/>
        <v>1</v>
      </c>
      <c r="F27" s="7"/>
      <c r="G27" s="8"/>
      <c r="H27" s="9">
        <v>1</v>
      </c>
      <c r="I27" s="55">
        <f t="shared" si="15"/>
        <v>1</v>
      </c>
      <c r="J27" s="10">
        <f t="shared" si="24"/>
        <v>2</v>
      </c>
      <c r="K27" s="42">
        <v>45896</v>
      </c>
      <c r="L27" s="49"/>
      <c r="M27" s="7"/>
      <c r="N27" s="8"/>
      <c r="O27" s="9"/>
      <c r="P27" s="10">
        <f t="shared" si="28"/>
        <v>0</v>
      </c>
      <c r="Q27" s="7"/>
      <c r="R27" s="8"/>
      <c r="S27" s="9"/>
      <c r="T27" s="55">
        <f t="shared" si="29"/>
        <v>0</v>
      </c>
      <c r="U27" s="10">
        <f t="shared" si="8"/>
        <v>0</v>
      </c>
      <c r="V27" s="42"/>
    </row>
    <row r="28" spans="1:23" x14ac:dyDescent="0.15">
      <c r="A28" s="22" t="s">
        <v>32</v>
      </c>
      <c r="B28" s="7"/>
      <c r="C28" s="8"/>
      <c r="D28" s="9">
        <v>1</v>
      </c>
      <c r="E28" s="10">
        <f t="shared" si="14"/>
        <v>1</v>
      </c>
      <c r="F28" s="7"/>
      <c r="G28" s="8"/>
      <c r="H28" s="9">
        <v>1</v>
      </c>
      <c r="I28" s="55">
        <f t="shared" si="15"/>
        <v>1</v>
      </c>
      <c r="J28" s="10">
        <f t="shared" si="24"/>
        <v>2</v>
      </c>
      <c r="K28" s="42">
        <v>45898</v>
      </c>
      <c r="L28" s="22"/>
      <c r="M28" s="7"/>
      <c r="N28" s="8"/>
      <c r="O28" s="9"/>
      <c r="P28" s="10">
        <f t="shared" si="28"/>
        <v>0</v>
      </c>
      <c r="Q28" s="7"/>
      <c r="R28" s="8"/>
      <c r="S28" s="9"/>
      <c r="T28" s="55">
        <f t="shared" si="29"/>
        <v>0</v>
      </c>
      <c r="U28" s="10">
        <f t="shared" si="8"/>
        <v>0</v>
      </c>
      <c r="V28" s="42"/>
    </row>
    <row r="29" spans="1:23" x14ac:dyDescent="0.15">
      <c r="A29" s="22" t="s">
        <v>32</v>
      </c>
      <c r="B29" s="7">
        <v>1</v>
      </c>
      <c r="C29" s="8"/>
      <c r="D29" s="9"/>
      <c r="E29" s="10">
        <f t="shared" si="14"/>
        <v>1</v>
      </c>
      <c r="F29" s="7">
        <v>1</v>
      </c>
      <c r="G29" s="8"/>
      <c r="H29" s="9"/>
      <c r="I29" s="55">
        <f t="shared" si="15"/>
        <v>1</v>
      </c>
      <c r="J29" s="10">
        <f t="shared" si="24"/>
        <v>2</v>
      </c>
      <c r="K29" s="42">
        <v>45905</v>
      </c>
      <c r="L29" s="22"/>
      <c r="M29" s="7"/>
      <c r="N29" s="8"/>
      <c r="O29" s="9"/>
      <c r="P29" s="10">
        <f t="shared" si="28"/>
        <v>0</v>
      </c>
      <c r="Q29" s="7"/>
      <c r="R29" s="8"/>
      <c r="S29" s="9"/>
      <c r="T29" s="55">
        <f t="shared" si="29"/>
        <v>0</v>
      </c>
      <c r="U29" s="10">
        <f t="shared" si="8"/>
        <v>0</v>
      </c>
      <c r="V29" s="42"/>
    </row>
    <row r="30" spans="1:23" x14ac:dyDescent="0.15">
      <c r="A30" s="22" t="s">
        <v>32</v>
      </c>
      <c r="B30" s="7"/>
      <c r="C30" s="8"/>
      <c r="D30" s="9">
        <v>1</v>
      </c>
      <c r="E30" s="10">
        <f t="shared" ref="E30:E39" si="30">SUM(B30:D30)</f>
        <v>1</v>
      </c>
      <c r="F30" s="7"/>
      <c r="G30" s="8"/>
      <c r="H30" s="9">
        <v>1</v>
      </c>
      <c r="I30" s="55">
        <f t="shared" ref="I30:I39" si="31">SUM(F30:H30)</f>
        <v>1</v>
      </c>
      <c r="J30" s="10">
        <f t="shared" si="11"/>
        <v>2</v>
      </c>
      <c r="K30" s="42">
        <v>45919</v>
      </c>
      <c r="L30" s="22"/>
      <c r="M30" s="7"/>
      <c r="N30" s="8"/>
      <c r="O30" s="9"/>
      <c r="P30" s="10">
        <f t="shared" si="28"/>
        <v>0</v>
      </c>
      <c r="Q30" s="7"/>
      <c r="R30" s="8"/>
      <c r="S30" s="9"/>
      <c r="T30" s="55">
        <f t="shared" si="29"/>
        <v>0</v>
      </c>
      <c r="U30" s="10">
        <f t="shared" si="8"/>
        <v>0</v>
      </c>
      <c r="V30" s="42"/>
    </row>
    <row r="31" spans="1:23" x14ac:dyDescent="0.15">
      <c r="A31" s="22" t="s">
        <v>32</v>
      </c>
      <c r="B31" s="7"/>
      <c r="C31" s="8"/>
      <c r="D31" s="9">
        <v>1</v>
      </c>
      <c r="E31" s="10">
        <f t="shared" si="30"/>
        <v>1</v>
      </c>
      <c r="F31" s="7"/>
      <c r="G31" s="8"/>
      <c r="H31" s="9">
        <v>1</v>
      </c>
      <c r="I31" s="55">
        <f t="shared" si="31"/>
        <v>1</v>
      </c>
      <c r="J31" s="10">
        <f t="shared" si="11"/>
        <v>2</v>
      </c>
      <c r="K31" s="42">
        <v>45926</v>
      </c>
      <c r="L31" s="22"/>
      <c r="M31" s="7"/>
      <c r="N31" s="8"/>
      <c r="O31" s="9"/>
      <c r="P31" s="10">
        <f t="shared" si="28"/>
        <v>0</v>
      </c>
      <c r="Q31" s="7"/>
      <c r="R31" s="8"/>
      <c r="S31" s="9"/>
      <c r="T31" s="55">
        <f t="shared" si="29"/>
        <v>0</v>
      </c>
      <c r="U31" s="10">
        <f t="shared" si="8"/>
        <v>0</v>
      </c>
      <c r="V31" s="42"/>
    </row>
    <row r="32" spans="1:23" x14ac:dyDescent="0.15">
      <c r="A32" s="22" t="s">
        <v>32</v>
      </c>
      <c r="B32" s="7"/>
      <c r="C32" s="8"/>
      <c r="D32" s="9">
        <v>1</v>
      </c>
      <c r="E32" s="10">
        <f t="shared" si="30"/>
        <v>1</v>
      </c>
      <c r="F32" s="7"/>
      <c r="G32" s="8"/>
      <c r="H32" s="9">
        <v>1</v>
      </c>
      <c r="I32" s="55">
        <f t="shared" si="31"/>
        <v>1</v>
      </c>
      <c r="J32" s="10">
        <f t="shared" si="11"/>
        <v>2</v>
      </c>
      <c r="K32" s="42">
        <v>45932</v>
      </c>
      <c r="L32" s="62"/>
      <c r="M32" s="7"/>
      <c r="N32" s="8"/>
      <c r="O32" s="9"/>
      <c r="P32" s="10">
        <f t="shared" si="28"/>
        <v>0</v>
      </c>
      <c r="Q32" s="7"/>
      <c r="R32" s="8"/>
      <c r="S32" s="9"/>
      <c r="T32" s="55">
        <f t="shared" si="29"/>
        <v>0</v>
      </c>
      <c r="U32" s="10">
        <f t="shared" si="8"/>
        <v>0</v>
      </c>
      <c r="V32" s="42"/>
    </row>
    <row r="33" spans="1:22" x14ac:dyDescent="0.15">
      <c r="A33" s="22" t="s">
        <v>32</v>
      </c>
      <c r="B33" s="7"/>
      <c r="C33" s="8"/>
      <c r="D33" s="9">
        <v>1</v>
      </c>
      <c r="E33" s="10">
        <f t="shared" si="30"/>
        <v>1</v>
      </c>
      <c r="F33" s="7"/>
      <c r="G33" s="8"/>
      <c r="H33" s="9">
        <v>1</v>
      </c>
      <c r="I33" s="55">
        <f t="shared" si="31"/>
        <v>1</v>
      </c>
      <c r="J33" s="10">
        <f t="shared" si="11"/>
        <v>2</v>
      </c>
      <c r="K33" s="42">
        <v>45947</v>
      </c>
      <c r="L33" s="22"/>
      <c r="M33" s="7"/>
      <c r="N33" s="8"/>
      <c r="O33" s="9"/>
      <c r="P33" s="10">
        <f t="shared" si="28"/>
        <v>0</v>
      </c>
      <c r="Q33" s="7"/>
      <c r="R33" s="8"/>
      <c r="S33" s="9"/>
      <c r="T33" s="55">
        <f t="shared" si="29"/>
        <v>0</v>
      </c>
      <c r="U33" s="10">
        <f t="shared" si="8"/>
        <v>0</v>
      </c>
      <c r="V33" s="42"/>
    </row>
    <row r="34" spans="1:22" x14ac:dyDescent="0.15">
      <c r="A34" s="22" t="s">
        <v>32</v>
      </c>
      <c r="B34" s="7"/>
      <c r="C34" s="8"/>
      <c r="D34" s="9">
        <v>1</v>
      </c>
      <c r="E34" s="10">
        <f t="shared" si="30"/>
        <v>1</v>
      </c>
      <c r="F34" s="7"/>
      <c r="G34" s="8"/>
      <c r="H34" s="9">
        <v>1</v>
      </c>
      <c r="I34" s="55">
        <f t="shared" si="31"/>
        <v>1</v>
      </c>
      <c r="J34" s="10">
        <f t="shared" si="11"/>
        <v>2</v>
      </c>
      <c r="K34" s="42">
        <v>45954</v>
      </c>
      <c r="L34" s="22"/>
      <c r="M34" s="7"/>
      <c r="N34" s="8"/>
      <c r="O34" s="9"/>
      <c r="P34" s="10">
        <f t="shared" ref="P34" si="32">SUM(M34:O34)</f>
        <v>0</v>
      </c>
      <c r="Q34" s="7"/>
      <c r="R34" s="8"/>
      <c r="S34" s="9"/>
      <c r="T34" s="55">
        <f t="shared" ref="T34" si="33">SUM(Q34:S34)</f>
        <v>0</v>
      </c>
      <c r="U34" s="10">
        <f t="shared" ref="U34" si="34">P34+T34</f>
        <v>0</v>
      </c>
      <c r="V34" s="42"/>
    </row>
    <row r="35" spans="1:22" x14ac:dyDescent="0.15">
      <c r="A35" s="22" t="s">
        <v>28</v>
      </c>
      <c r="B35" s="11"/>
      <c r="C35" s="12"/>
      <c r="D35" s="13"/>
      <c r="E35" s="10">
        <f t="shared" si="30"/>
        <v>0</v>
      </c>
      <c r="F35" s="11"/>
      <c r="G35" s="12">
        <v>1</v>
      </c>
      <c r="H35" s="13"/>
      <c r="I35" s="55">
        <f t="shared" si="31"/>
        <v>1</v>
      </c>
      <c r="J35" s="10">
        <f t="shared" si="11"/>
        <v>1</v>
      </c>
      <c r="K35" s="42">
        <v>45961</v>
      </c>
      <c r="L35" s="22"/>
      <c r="M35" s="7"/>
      <c r="N35" s="8"/>
      <c r="O35" s="9"/>
      <c r="P35" s="10">
        <f t="shared" ref="P35" si="35">SUM(M35:O35)</f>
        <v>0</v>
      </c>
      <c r="Q35" s="7"/>
      <c r="R35" s="8"/>
      <c r="S35" s="9"/>
      <c r="T35" s="55">
        <f t="shared" ref="T35" si="36">SUM(Q35:S35)</f>
        <v>0</v>
      </c>
      <c r="U35" s="10">
        <f t="shared" ref="U35" si="37">P35+T35</f>
        <v>0</v>
      </c>
      <c r="V35" s="42"/>
    </row>
    <row r="36" spans="1:22" x14ac:dyDescent="0.15">
      <c r="A36" s="22" t="s">
        <v>28</v>
      </c>
      <c r="B36" s="7"/>
      <c r="C36" s="8">
        <v>1</v>
      </c>
      <c r="D36" s="9"/>
      <c r="E36" s="10">
        <f t="shared" si="30"/>
        <v>1</v>
      </c>
      <c r="F36" s="7"/>
      <c r="G36" s="8">
        <v>1</v>
      </c>
      <c r="H36" s="9"/>
      <c r="I36" s="55">
        <f t="shared" si="31"/>
        <v>1</v>
      </c>
      <c r="J36" s="10">
        <f t="shared" si="11"/>
        <v>2</v>
      </c>
      <c r="K36" s="42">
        <v>46035</v>
      </c>
      <c r="L36" s="22"/>
      <c r="M36" s="7"/>
      <c r="N36" s="8"/>
      <c r="O36" s="9"/>
      <c r="P36" s="10">
        <f t="shared" ref="P36:P38" si="38">SUM(M36:O36)</f>
        <v>0</v>
      </c>
      <c r="Q36" s="7"/>
      <c r="R36" s="8"/>
      <c r="S36" s="9"/>
      <c r="T36" s="55">
        <f t="shared" ref="T36:T38" si="39">SUM(Q36:S36)</f>
        <v>0</v>
      </c>
      <c r="U36" s="10">
        <f t="shared" ref="U36:U38" si="40">P36+T36</f>
        <v>0</v>
      </c>
      <c r="V36" s="42"/>
    </row>
    <row r="37" spans="1:22" x14ac:dyDescent="0.15">
      <c r="A37" s="22" t="s">
        <v>28</v>
      </c>
      <c r="B37" s="7"/>
      <c r="C37" s="8"/>
      <c r="D37" s="9"/>
      <c r="E37" s="10">
        <f t="shared" si="30"/>
        <v>0</v>
      </c>
      <c r="F37" s="7">
        <v>1</v>
      </c>
      <c r="G37" s="8"/>
      <c r="H37" s="9"/>
      <c r="I37" s="55">
        <f t="shared" si="31"/>
        <v>1</v>
      </c>
      <c r="J37" s="10">
        <f t="shared" si="11"/>
        <v>1</v>
      </c>
      <c r="K37" s="42">
        <v>46051</v>
      </c>
      <c r="L37" s="22"/>
      <c r="M37" s="7"/>
      <c r="N37" s="8"/>
      <c r="O37" s="9"/>
      <c r="P37" s="10">
        <f t="shared" si="38"/>
        <v>0</v>
      </c>
      <c r="Q37" s="7"/>
      <c r="R37" s="8"/>
      <c r="S37" s="9"/>
      <c r="T37" s="55">
        <f t="shared" si="39"/>
        <v>0</v>
      </c>
      <c r="U37" s="10">
        <f t="shared" si="40"/>
        <v>0</v>
      </c>
      <c r="V37" s="42"/>
    </row>
    <row r="38" spans="1:22" x14ac:dyDescent="0.15">
      <c r="A38" s="22" t="s">
        <v>28</v>
      </c>
      <c r="B38" s="7"/>
      <c r="C38" s="8"/>
      <c r="D38" s="9"/>
      <c r="E38" s="10">
        <f t="shared" si="30"/>
        <v>0</v>
      </c>
      <c r="F38" s="7">
        <v>1</v>
      </c>
      <c r="G38" s="8"/>
      <c r="H38" s="9"/>
      <c r="I38" s="55">
        <f t="shared" si="31"/>
        <v>1</v>
      </c>
      <c r="J38" s="10">
        <f t="shared" si="11"/>
        <v>1</v>
      </c>
      <c r="K38" s="42">
        <v>46070</v>
      </c>
      <c r="L38" s="22"/>
      <c r="M38" s="7"/>
      <c r="N38" s="8"/>
      <c r="O38" s="9"/>
      <c r="P38" s="10">
        <f t="shared" si="38"/>
        <v>0</v>
      </c>
      <c r="Q38" s="7"/>
      <c r="R38" s="8"/>
      <c r="S38" s="9"/>
      <c r="T38" s="55">
        <f t="shared" si="39"/>
        <v>0</v>
      </c>
      <c r="U38" s="10">
        <f t="shared" si="40"/>
        <v>0</v>
      </c>
      <c r="V38" s="42"/>
    </row>
    <row r="39" spans="1:22" ht="14.25" thickBot="1" x14ac:dyDescent="0.2">
      <c r="A39" s="22" t="s">
        <v>28</v>
      </c>
      <c r="B39" s="7"/>
      <c r="C39" s="8"/>
      <c r="D39" s="9"/>
      <c r="E39" s="10">
        <f t="shared" si="30"/>
        <v>0</v>
      </c>
      <c r="F39" s="7">
        <v>2</v>
      </c>
      <c r="G39" s="8"/>
      <c r="H39" s="9"/>
      <c r="I39" s="55">
        <f t="shared" si="31"/>
        <v>2</v>
      </c>
      <c r="J39" s="17">
        <f t="shared" si="11"/>
        <v>2</v>
      </c>
      <c r="K39" s="42">
        <v>46112</v>
      </c>
      <c r="L39" s="22" t="s">
        <v>31</v>
      </c>
      <c r="M39" s="7"/>
      <c r="N39" s="8"/>
      <c r="O39" s="9"/>
      <c r="P39" s="10">
        <f t="shared" ref="P39" si="41">SUM(M39:O39)</f>
        <v>0</v>
      </c>
      <c r="Q39" s="7"/>
      <c r="R39" s="8"/>
      <c r="S39" s="9"/>
      <c r="T39" s="55">
        <f t="shared" ref="T39" si="42">SUM(Q39:S39)</f>
        <v>0</v>
      </c>
      <c r="U39" s="10">
        <f t="shared" ref="U39" si="43">P39+T39</f>
        <v>0</v>
      </c>
      <c r="V39" s="42" t="s">
        <v>30</v>
      </c>
    </row>
    <row r="40" spans="1:22" ht="14.25" thickBot="1" x14ac:dyDescent="0.2">
      <c r="A40" s="32" t="s">
        <v>17</v>
      </c>
      <c r="B40" s="33">
        <f>SUM(B14:B39)</f>
        <v>11</v>
      </c>
      <c r="C40" s="34">
        <f>SUM(C14:C39)</f>
        <v>8</v>
      </c>
      <c r="D40" s="35">
        <f>SUM(D14:D39)</f>
        <v>10</v>
      </c>
      <c r="E40" s="36">
        <f>SUM(B40:D40)</f>
        <v>29</v>
      </c>
      <c r="F40" s="33">
        <f>SUM(F14:F39)</f>
        <v>16</v>
      </c>
      <c r="G40" s="34">
        <f>SUM(G14:G39)</f>
        <v>8</v>
      </c>
      <c r="H40" s="35">
        <f>SUM(H14:H39)</f>
        <v>11</v>
      </c>
      <c r="I40" s="36">
        <f>SUM(F40:H40)</f>
        <v>35</v>
      </c>
      <c r="J40" s="37">
        <f t="shared" si="11"/>
        <v>64</v>
      </c>
      <c r="K40" s="31"/>
      <c r="L40" s="32" t="s">
        <v>17</v>
      </c>
      <c r="M40" s="33">
        <f>SUM(M14:M39)</f>
        <v>19</v>
      </c>
      <c r="N40" s="34">
        <f t="shared" ref="N40:U40" si="44">SUM(N14:N39)</f>
        <v>22</v>
      </c>
      <c r="O40" s="35">
        <f t="shared" si="44"/>
        <v>15</v>
      </c>
      <c r="P40" s="36">
        <f t="shared" si="44"/>
        <v>56</v>
      </c>
      <c r="Q40" s="33">
        <f t="shared" si="44"/>
        <v>19</v>
      </c>
      <c r="R40" s="34">
        <f t="shared" si="44"/>
        <v>22</v>
      </c>
      <c r="S40" s="35">
        <f t="shared" si="44"/>
        <v>15</v>
      </c>
      <c r="T40" s="36">
        <f t="shared" si="44"/>
        <v>56</v>
      </c>
      <c r="U40" s="37">
        <f t="shared" si="44"/>
        <v>112</v>
      </c>
    </row>
    <row r="41" spans="1:22" ht="14.25" thickBot="1" x14ac:dyDescent="0.2">
      <c r="A41" s="18" t="s">
        <v>18</v>
      </c>
      <c r="B41" s="51">
        <f>B13-B40</f>
        <v>6</v>
      </c>
      <c r="C41" s="52">
        <f t="shared" ref="C41" si="45">C13-C40</f>
        <v>12</v>
      </c>
      <c r="D41" s="53">
        <f t="shared" ref="D41" si="46">D13-D40</f>
        <v>3</v>
      </c>
      <c r="E41" s="53">
        <f t="shared" ref="E41" si="47">E13-E40</f>
        <v>21</v>
      </c>
      <c r="F41" s="51">
        <f>F13-F40</f>
        <v>2</v>
      </c>
      <c r="G41" s="52">
        <f t="shared" ref="G41" si="48">G13-G40</f>
        <v>13</v>
      </c>
      <c r="H41" s="53">
        <f t="shared" ref="H41" si="49">H13-H40</f>
        <v>2</v>
      </c>
      <c r="I41" s="53">
        <f t="shared" ref="I41" si="50">I13-I40</f>
        <v>17</v>
      </c>
      <c r="J41" s="26">
        <f t="shared" si="11"/>
        <v>38</v>
      </c>
      <c r="L41" s="18" t="s">
        <v>18</v>
      </c>
      <c r="M41" s="51">
        <f>M13-M40</f>
        <v>162</v>
      </c>
      <c r="N41" s="52">
        <f t="shared" ref="N41:U41" si="51">N13-N40</f>
        <v>102</v>
      </c>
      <c r="O41" s="53">
        <f t="shared" si="51"/>
        <v>40</v>
      </c>
      <c r="P41" s="53">
        <f t="shared" si="51"/>
        <v>304</v>
      </c>
      <c r="Q41" s="51">
        <f t="shared" si="51"/>
        <v>163</v>
      </c>
      <c r="R41" s="52">
        <f t="shared" si="51"/>
        <v>96</v>
      </c>
      <c r="S41" s="53">
        <f t="shared" si="51"/>
        <v>34</v>
      </c>
      <c r="T41" s="53">
        <f t="shared" si="51"/>
        <v>293</v>
      </c>
      <c r="U41" s="26">
        <f t="shared" si="51"/>
        <v>597</v>
      </c>
    </row>
    <row r="42" spans="1:22" x14ac:dyDescent="0.15">
      <c r="M42" s="50"/>
      <c r="N42" s="50"/>
      <c r="O42" s="50"/>
      <c r="P42" s="50"/>
    </row>
    <row r="44" spans="1:22" ht="19.5" thickBot="1" x14ac:dyDescent="0.25">
      <c r="A44" s="63" t="s">
        <v>22</v>
      </c>
      <c r="B44" s="64"/>
      <c r="C44" s="64"/>
      <c r="D44" s="64"/>
      <c r="E44" s="64"/>
      <c r="F44" s="1"/>
      <c r="G44" s="1"/>
      <c r="H44" s="1"/>
      <c r="I44" s="1"/>
      <c r="J44" s="1"/>
      <c r="L44" s="65" t="s">
        <v>23</v>
      </c>
      <c r="M44" s="66"/>
      <c r="N44" s="66"/>
      <c r="O44" s="66"/>
      <c r="P44" s="66"/>
      <c r="Q44" s="1"/>
      <c r="R44" s="1"/>
      <c r="S44" s="1"/>
      <c r="T44" s="1"/>
      <c r="U44" s="1"/>
    </row>
    <row r="45" spans="1:22" ht="14.25" thickBot="1" x14ac:dyDescent="0.2">
      <c r="A45" s="6" t="s">
        <v>0</v>
      </c>
      <c r="B45" s="89" t="s">
        <v>19</v>
      </c>
      <c r="C45" s="90"/>
      <c r="D45" s="90"/>
      <c r="E45" s="91"/>
      <c r="F45" s="92" t="s">
        <v>21</v>
      </c>
      <c r="G45" s="93"/>
      <c r="H45" s="93"/>
      <c r="I45" s="94"/>
      <c r="J45" s="87" t="s">
        <v>1</v>
      </c>
      <c r="L45" s="6" t="s">
        <v>0</v>
      </c>
      <c r="M45" s="89" t="s">
        <v>19</v>
      </c>
      <c r="N45" s="90"/>
      <c r="O45" s="90"/>
      <c r="P45" s="91"/>
      <c r="Q45" s="92" t="s">
        <v>21</v>
      </c>
      <c r="R45" s="93"/>
      <c r="S45" s="93"/>
      <c r="T45" s="94"/>
      <c r="U45" s="87" t="s">
        <v>1</v>
      </c>
    </row>
    <row r="46" spans="1:22" ht="14.25" thickBot="1" x14ac:dyDescent="0.2">
      <c r="A46" s="6" t="s">
        <v>2</v>
      </c>
      <c r="B46" s="2" t="s">
        <v>3</v>
      </c>
      <c r="C46" s="3" t="s">
        <v>4</v>
      </c>
      <c r="D46" s="4" t="s">
        <v>5</v>
      </c>
      <c r="E46" s="6" t="s">
        <v>6</v>
      </c>
      <c r="F46" s="2" t="s">
        <v>3</v>
      </c>
      <c r="G46" s="3" t="s">
        <v>4</v>
      </c>
      <c r="H46" s="4" t="s">
        <v>5</v>
      </c>
      <c r="I46" s="6" t="s">
        <v>6</v>
      </c>
      <c r="J46" s="88"/>
      <c r="L46" s="6" t="s">
        <v>2</v>
      </c>
      <c r="M46" s="57" t="s">
        <v>3</v>
      </c>
      <c r="N46" s="58" t="s">
        <v>4</v>
      </c>
      <c r="O46" s="59" t="s">
        <v>5</v>
      </c>
      <c r="P46" s="6" t="s">
        <v>6</v>
      </c>
      <c r="Q46" s="2" t="s">
        <v>3</v>
      </c>
      <c r="R46" s="3" t="s">
        <v>4</v>
      </c>
      <c r="S46" s="4" t="s">
        <v>5</v>
      </c>
      <c r="T46" s="6" t="s">
        <v>6</v>
      </c>
      <c r="U46" s="88"/>
    </row>
    <row r="47" spans="1:22" ht="14.25" thickBot="1" x14ac:dyDescent="0.2">
      <c r="A47" s="23" t="s">
        <v>18</v>
      </c>
      <c r="B47" s="24">
        <f>B41</f>
        <v>6</v>
      </c>
      <c r="C47" s="25">
        <f t="shared" ref="C47:D47" si="52">C41</f>
        <v>12</v>
      </c>
      <c r="D47" s="43">
        <f t="shared" si="52"/>
        <v>3</v>
      </c>
      <c r="E47" s="26">
        <f t="shared" ref="E47:E53" si="53">SUM(B47:D47)</f>
        <v>21</v>
      </c>
      <c r="F47" s="24">
        <f>F41</f>
        <v>2</v>
      </c>
      <c r="G47" s="25">
        <f t="shared" ref="G47:H47" si="54">G41</f>
        <v>13</v>
      </c>
      <c r="H47" s="43">
        <f t="shared" si="54"/>
        <v>2</v>
      </c>
      <c r="I47" s="26">
        <f t="shared" ref="I47:I53" si="55">SUM(F47:H47)</f>
        <v>17</v>
      </c>
      <c r="J47" s="26">
        <f>E47+I47</f>
        <v>38</v>
      </c>
      <c r="K47" s="42"/>
      <c r="L47" s="23" t="s">
        <v>18</v>
      </c>
      <c r="M47" s="24">
        <f>M41</f>
        <v>162</v>
      </c>
      <c r="N47" s="25">
        <f t="shared" ref="N47:O47" si="56">N41</f>
        <v>102</v>
      </c>
      <c r="O47" s="43">
        <f t="shared" si="56"/>
        <v>40</v>
      </c>
      <c r="P47" s="56">
        <f t="shared" ref="P47:P53" si="57">SUM(M47:O47)</f>
        <v>304</v>
      </c>
      <c r="Q47" s="24">
        <f>Q41</f>
        <v>163</v>
      </c>
      <c r="R47" s="25">
        <f t="shared" ref="R47:S47" si="58">R41</f>
        <v>96</v>
      </c>
      <c r="S47" s="43">
        <f t="shared" si="58"/>
        <v>34</v>
      </c>
      <c r="T47" s="30">
        <f t="shared" ref="T47:T53" si="59">SUM(Q47:S47)</f>
        <v>293</v>
      </c>
      <c r="U47" s="30">
        <f>P47+T47</f>
        <v>597</v>
      </c>
    </row>
    <row r="48" spans="1:22" x14ac:dyDescent="0.15">
      <c r="A48" s="72" t="s">
        <v>8</v>
      </c>
      <c r="B48" s="73">
        <v>3</v>
      </c>
      <c r="C48" s="74"/>
      <c r="D48" s="75">
        <v>2</v>
      </c>
      <c r="E48" s="76">
        <f t="shared" ref="E48:E52" si="60">SUM(B48:D48)</f>
        <v>5</v>
      </c>
      <c r="F48" s="73"/>
      <c r="G48" s="74"/>
      <c r="H48" s="75"/>
      <c r="I48" s="77">
        <f t="shared" ref="I48:I52" si="61">SUM(F48:H48)</f>
        <v>0</v>
      </c>
      <c r="J48" s="76">
        <f t="shared" ref="J48:J52" si="62">E48+I48</f>
        <v>5</v>
      </c>
      <c r="K48" s="78">
        <v>46130</v>
      </c>
      <c r="L48" s="21" t="s">
        <v>8</v>
      </c>
      <c r="M48" s="45"/>
      <c r="N48" s="46"/>
      <c r="O48" s="67"/>
      <c r="P48" s="47">
        <f t="shared" si="57"/>
        <v>0</v>
      </c>
      <c r="Q48" s="45"/>
      <c r="R48" s="46"/>
      <c r="S48" s="67"/>
      <c r="T48" s="54">
        <f t="shared" si="59"/>
        <v>0</v>
      </c>
      <c r="U48" s="47">
        <f t="shared" ref="U48:U79" si="63">P48+T48</f>
        <v>0</v>
      </c>
    </row>
    <row r="49" spans="1:25" x14ac:dyDescent="0.15">
      <c r="A49" s="21" t="s">
        <v>9</v>
      </c>
      <c r="B49" s="7"/>
      <c r="C49" s="8"/>
      <c r="D49" s="39"/>
      <c r="E49" s="10">
        <f t="shared" si="60"/>
        <v>0</v>
      </c>
      <c r="F49" s="7">
        <v>3</v>
      </c>
      <c r="G49" s="8"/>
      <c r="H49" s="39">
        <v>3</v>
      </c>
      <c r="I49" s="55">
        <f t="shared" si="61"/>
        <v>6</v>
      </c>
      <c r="J49" s="10">
        <f t="shared" si="62"/>
        <v>6</v>
      </c>
      <c r="K49" s="42">
        <v>46142</v>
      </c>
      <c r="L49" s="21" t="s">
        <v>9</v>
      </c>
      <c r="M49" s="14"/>
      <c r="N49" s="15"/>
      <c r="O49" s="38"/>
      <c r="P49" s="68">
        <f t="shared" si="57"/>
        <v>0</v>
      </c>
      <c r="Q49" s="14"/>
      <c r="R49" s="15"/>
      <c r="S49" s="38"/>
      <c r="T49" s="10">
        <f t="shared" si="59"/>
        <v>0</v>
      </c>
      <c r="U49" s="10">
        <f t="shared" si="63"/>
        <v>0</v>
      </c>
      <c r="V49" s="42"/>
    </row>
    <row r="50" spans="1:25" x14ac:dyDescent="0.15">
      <c r="A50" s="21" t="s">
        <v>38</v>
      </c>
      <c r="B50" s="7"/>
      <c r="C50" s="8">
        <v>-1</v>
      </c>
      <c r="D50" s="39">
        <v>1</v>
      </c>
      <c r="E50" s="10">
        <f t="shared" si="60"/>
        <v>0</v>
      </c>
      <c r="F50" s="7"/>
      <c r="G50" s="8"/>
      <c r="H50" s="39"/>
      <c r="I50" s="55">
        <f t="shared" si="61"/>
        <v>0</v>
      </c>
      <c r="J50" s="10">
        <f t="shared" si="62"/>
        <v>0</v>
      </c>
      <c r="K50" s="42">
        <v>46140</v>
      </c>
      <c r="L50" s="21" t="s">
        <v>10</v>
      </c>
      <c r="M50" s="7"/>
      <c r="N50" s="8"/>
      <c r="O50" s="39"/>
      <c r="P50" s="10">
        <f t="shared" ref="P50:P52" si="64">SUM(M50:O50)</f>
        <v>0</v>
      </c>
      <c r="Q50" s="7"/>
      <c r="R50" s="8"/>
      <c r="S50" s="39"/>
      <c r="T50" s="55">
        <f t="shared" ref="T50:T52" si="65">SUM(Q50:S50)</f>
        <v>0</v>
      </c>
      <c r="U50" s="10">
        <f t="shared" ref="U50:U52" si="66">P50+T50</f>
        <v>0</v>
      </c>
    </row>
    <row r="51" spans="1:25" x14ac:dyDescent="0.15">
      <c r="A51" s="21" t="s">
        <v>11</v>
      </c>
      <c r="B51" s="7"/>
      <c r="C51" s="8"/>
      <c r="D51" s="39"/>
      <c r="E51" s="10">
        <f t="shared" si="60"/>
        <v>0</v>
      </c>
      <c r="F51" s="7">
        <v>3</v>
      </c>
      <c r="G51" s="8"/>
      <c r="H51" s="39"/>
      <c r="I51" s="55">
        <f t="shared" si="61"/>
        <v>3</v>
      </c>
      <c r="J51" s="10">
        <f t="shared" si="62"/>
        <v>3</v>
      </c>
      <c r="K51" s="42">
        <v>46178</v>
      </c>
      <c r="L51" s="21" t="s">
        <v>11</v>
      </c>
      <c r="M51" s="7"/>
      <c r="N51" s="8"/>
      <c r="O51" s="39"/>
      <c r="P51" s="10">
        <f t="shared" si="64"/>
        <v>0</v>
      </c>
      <c r="Q51" s="7"/>
      <c r="R51" s="8"/>
      <c r="S51" s="39"/>
      <c r="T51" s="55">
        <f t="shared" si="65"/>
        <v>0</v>
      </c>
      <c r="U51" s="10">
        <f t="shared" si="66"/>
        <v>0</v>
      </c>
    </row>
    <row r="52" spans="1:25" x14ac:dyDescent="0.15">
      <c r="A52" s="72" t="s">
        <v>12</v>
      </c>
      <c r="B52" s="80"/>
      <c r="C52" s="81"/>
      <c r="D52" s="85"/>
      <c r="E52" s="83">
        <f t="shared" si="60"/>
        <v>0</v>
      </c>
      <c r="F52" s="80"/>
      <c r="G52" s="81"/>
      <c r="H52" s="85">
        <v>5</v>
      </c>
      <c r="I52" s="84">
        <f t="shared" si="61"/>
        <v>5</v>
      </c>
      <c r="J52" s="83">
        <f t="shared" si="62"/>
        <v>5</v>
      </c>
      <c r="K52" s="78">
        <v>46182</v>
      </c>
      <c r="L52" s="21" t="s">
        <v>12</v>
      </c>
      <c r="M52" s="7"/>
      <c r="N52" s="8"/>
      <c r="O52" s="39"/>
      <c r="P52" s="10">
        <f t="shared" si="64"/>
        <v>0</v>
      </c>
      <c r="Q52" s="7"/>
      <c r="R52" s="8"/>
      <c r="S52" s="39"/>
      <c r="T52" s="55">
        <f t="shared" si="65"/>
        <v>0</v>
      </c>
      <c r="U52" s="10">
        <f t="shared" si="66"/>
        <v>0</v>
      </c>
    </row>
    <row r="53" spans="1:25" x14ac:dyDescent="0.15">
      <c r="A53" s="21" t="s">
        <v>13</v>
      </c>
      <c r="B53" s="7"/>
      <c r="C53" s="8"/>
      <c r="D53" s="39"/>
      <c r="E53" s="10">
        <f t="shared" si="53"/>
        <v>0</v>
      </c>
      <c r="F53" s="7"/>
      <c r="G53" s="8"/>
      <c r="H53" s="39"/>
      <c r="I53" s="55">
        <f t="shared" si="55"/>
        <v>0</v>
      </c>
      <c r="J53" s="10">
        <f t="shared" ref="J53:J84" si="67">E53+I53</f>
        <v>0</v>
      </c>
      <c r="K53" s="42"/>
      <c r="L53" s="21" t="s">
        <v>13</v>
      </c>
      <c r="M53" s="7"/>
      <c r="N53" s="8"/>
      <c r="O53" s="39"/>
      <c r="P53" s="10">
        <f t="shared" si="57"/>
        <v>0</v>
      </c>
      <c r="Q53" s="7"/>
      <c r="R53" s="8"/>
      <c r="S53" s="39"/>
      <c r="T53" s="55">
        <f t="shared" si="59"/>
        <v>0</v>
      </c>
      <c r="U53" s="10">
        <f t="shared" si="63"/>
        <v>0</v>
      </c>
    </row>
    <row r="54" spans="1:25" x14ac:dyDescent="0.15">
      <c r="A54" s="21" t="s">
        <v>14</v>
      </c>
      <c r="B54" s="11"/>
      <c r="C54" s="12"/>
      <c r="D54" s="40"/>
      <c r="E54" s="10">
        <f t="shared" ref="E54:E55" si="68">SUM(B54:D54)</f>
        <v>0</v>
      </c>
      <c r="F54" s="11"/>
      <c r="G54" s="12"/>
      <c r="H54" s="40"/>
      <c r="I54" s="55">
        <f t="shared" ref="I54:I55" si="69">SUM(F54:H54)</f>
        <v>0</v>
      </c>
      <c r="J54" s="10">
        <f t="shared" si="67"/>
        <v>0</v>
      </c>
      <c r="K54" s="44"/>
      <c r="L54" s="21" t="s">
        <v>14</v>
      </c>
      <c r="M54" s="11"/>
      <c r="N54" s="12"/>
      <c r="O54" s="40"/>
      <c r="P54" s="10">
        <f t="shared" ref="P54:P55" si="70">SUM(M54:O54)</f>
        <v>0</v>
      </c>
      <c r="Q54" s="11"/>
      <c r="R54" s="12"/>
      <c r="S54" s="40"/>
      <c r="T54" s="55">
        <f t="shared" ref="T54:T55" si="71">SUM(Q54:S54)</f>
        <v>0</v>
      </c>
      <c r="U54" s="10">
        <f t="shared" si="63"/>
        <v>0</v>
      </c>
    </row>
    <row r="55" spans="1:25" ht="14.25" thickBot="1" x14ac:dyDescent="0.2">
      <c r="A55" s="21" t="s">
        <v>15</v>
      </c>
      <c r="B55" s="27"/>
      <c r="C55" s="28"/>
      <c r="D55" s="41"/>
      <c r="E55" s="10">
        <f t="shared" si="68"/>
        <v>0</v>
      </c>
      <c r="F55" s="27"/>
      <c r="G55" s="28"/>
      <c r="H55" s="41"/>
      <c r="I55" s="55">
        <f t="shared" si="69"/>
        <v>0</v>
      </c>
      <c r="J55" s="17">
        <f t="shared" si="67"/>
        <v>0</v>
      </c>
      <c r="K55" s="44"/>
      <c r="L55" s="21" t="s">
        <v>15</v>
      </c>
      <c r="M55" s="11"/>
      <c r="N55" s="12"/>
      <c r="O55" s="40"/>
      <c r="P55" s="10">
        <f t="shared" si="70"/>
        <v>0</v>
      </c>
      <c r="Q55" s="11"/>
      <c r="R55" s="12"/>
      <c r="S55" s="40"/>
      <c r="T55" s="55">
        <f t="shared" si="71"/>
        <v>0</v>
      </c>
      <c r="U55" s="17">
        <f t="shared" si="63"/>
        <v>0</v>
      </c>
      <c r="V55" s="42"/>
    </row>
    <row r="56" spans="1:25" ht="14.25" thickBot="1" x14ac:dyDescent="0.2">
      <c r="A56" s="29" t="s">
        <v>16</v>
      </c>
      <c r="B56" s="24">
        <f>SUM(B47:B55)</f>
        <v>9</v>
      </c>
      <c r="C56" s="25">
        <f t="shared" ref="C56:J56" si="72">SUM(C47:C55)</f>
        <v>11</v>
      </c>
      <c r="D56" s="43">
        <f t="shared" si="72"/>
        <v>6</v>
      </c>
      <c r="E56" s="61">
        <f t="shared" si="72"/>
        <v>26</v>
      </c>
      <c r="F56" s="24">
        <f t="shared" si="72"/>
        <v>8</v>
      </c>
      <c r="G56" s="25">
        <f t="shared" si="72"/>
        <v>13</v>
      </c>
      <c r="H56" s="43">
        <f t="shared" si="72"/>
        <v>10</v>
      </c>
      <c r="I56" s="60">
        <f t="shared" si="72"/>
        <v>31</v>
      </c>
      <c r="J56" s="26">
        <f t="shared" si="72"/>
        <v>57</v>
      </c>
      <c r="L56" s="29" t="s">
        <v>16</v>
      </c>
      <c r="M56" s="24">
        <f>SUM(M47:M55)</f>
        <v>162</v>
      </c>
      <c r="N56" s="25">
        <f t="shared" ref="N56" si="73">SUM(N47:N55)</f>
        <v>102</v>
      </c>
      <c r="O56" s="43">
        <f t="shared" ref="O56" si="74">SUM(O47:O55)</f>
        <v>40</v>
      </c>
      <c r="P56" s="61">
        <f t="shared" ref="P56" si="75">SUM(P47:P55)</f>
        <v>304</v>
      </c>
      <c r="Q56" s="24">
        <f t="shared" ref="Q56" si="76">SUM(Q47:Q55)</f>
        <v>163</v>
      </c>
      <c r="R56" s="25">
        <f t="shared" ref="R56" si="77">SUM(R47:R55)</f>
        <v>96</v>
      </c>
      <c r="S56" s="43">
        <f t="shared" ref="S56" si="78">SUM(S47:S55)</f>
        <v>34</v>
      </c>
      <c r="T56" s="60">
        <f t="shared" ref="T56" si="79">SUM(T47:T55)</f>
        <v>293</v>
      </c>
      <c r="U56" s="26">
        <f t="shared" ref="U56" si="80">SUM(U47:U55)</f>
        <v>597</v>
      </c>
    </row>
    <row r="57" spans="1:25" x14ac:dyDescent="0.15">
      <c r="A57" s="22" t="s">
        <v>28</v>
      </c>
      <c r="B57" s="7"/>
      <c r="C57" s="8"/>
      <c r="D57" s="9"/>
      <c r="E57" s="10">
        <f t="shared" ref="E57:E61" si="81">SUM(B57:D57)</f>
        <v>0</v>
      </c>
      <c r="F57" s="7">
        <v>1</v>
      </c>
      <c r="G57" s="8"/>
      <c r="H57" s="9"/>
      <c r="I57" s="55">
        <f t="shared" ref="I57:I61" si="82">SUM(F57:H57)</f>
        <v>1</v>
      </c>
      <c r="J57" s="10">
        <f t="shared" ref="J57:J61" si="83">E57+I57</f>
        <v>1</v>
      </c>
      <c r="K57" s="48">
        <v>46128</v>
      </c>
      <c r="L57" s="79" t="s">
        <v>37</v>
      </c>
      <c r="M57" s="80">
        <v>3</v>
      </c>
      <c r="N57" s="81"/>
      <c r="O57" s="82">
        <v>2</v>
      </c>
      <c r="P57" s="83">
        <f t="shared" ref="P57:P70" si="84">SUM(M57:O57)</f>
        <v>5</v>
      </c>
      <c r="Q57" s="80"/>
      <c r="R57" s="81"/>
      <c r="S57" s="82"/>
      <c r="T57" s="84">
        <f t="shared" ref="T57:T70" si="85">SUM(Q57:S57)</f>
        <v>0</v>
      </c>
      <c r="U57" s="83">
        <f t="shared" ref="U57:U70" si="86">P57+T57</f>
        <v>5</v>
      </c>
      <c r="V57" s="78">
        <v>46130</v>
      </c>
    </row>
    <row r="58" spans="1:25" x14ac:dyDescent="0.15">
      <c r="A58" s="22" t="s">
        <v>28</v>
      </c>
      <c r="B58" s="7"/>
      <c r="C58" s="8">
        <v>1</v>
      </c>
      <c r="D58" s="9"/>
      <c r="E58" s="10">
        <f t="shared" si="81"/>
        <v>1</v>
      </c>
      <c r="F58" s="7"/>
      <c r="G58" s="8"/>
      <c r="H58" s="9"/>
      <c r="I58" s="55">
        <f t="shared" si="82"/>
        <v>0</v>
      </c>
      <c r="J58" s="10">
        <f t="shared" si="83"/>
        <v>1</v>
      </c>
      <c r="K58" s="48">
        <v>46136</v>
      </c>
      <c r="L58" s="20" t="s">
        <v>37</v>
      </c>
      <c r="M58" s="7"/>
      <c r="N58" s="8"/>
      <c r="O58" s="9"/>
      <c r="P58" s="10">
        <f t="shared" si="84"/>
        <v>0</v>
      </c>
      <c r="Q58" s="7">
        <v>3</v>
      </c>
      <c r="R58" s="8"/>
      <c r="S58" s="9">
        <v>3</v>
      </c>
      <c r="T58" s="55">
        <f t="shared" si="85"/>
        <v>6</v>
      </c>
      <c r="U58" s="10">
        <f t="shared" si="86"/>
        <v>6</v>
      </c>
      <c r="V58" s="42">
        <v>46142</v>
      </c>
    </row>
    <row r="59" spans="1:25" x14ac:dyDescent="0.15">
      <c r="A59" s="22" t="s">
        <v>28</v>
      </c>
      <c r="B59" s="7"/>
      <c r="C59" s="8"/>
      <c r="D59" s="9"/>
      <c r="E59" s="10">
        <f t="shared" si="81"/>
        <v>0</v>
      </c>
      <c r="F59" s="7">
        <v>1</v>
      </c>
      <c r="G59" s="8"/>
      <c r="H59" s="9"/>
      <c r="I59" s="55">
        <f t="shared" si="82"/>
        <v>1</v>
      </c>
      <c r="J59" s="10">
        <f t="shared" si="83"/>
        <v>1</v>
      </c>
      <c r="K59" s="48">
        <v>46139</v>
      </c>
      <c r="L59" s="20" t="s">
        <v>37</v>
      </c>
      <c r="M59" s="7"/>
      <c r="N59" s="8"/>
      <c r="O59" s="9"/>
      <c r="P59" s="10">
        <f t="shared" si="84"/>
        <v>0</v>
      </c>
      <c r="Q59" s="7">
        <v>3</v>
      </c>
      <c r="R59" s="8"/>
      <c r="S59" s="9"/>
      <c r="T59" s="55">
        <f t="shared" si="85"/>
        <v>3</v>
      </c>
      <c r="U59" s="10">
        <f t="shared" si="86"/>
        <v>3</v>
      </c>
      <c r="V59" s="42">
        <v>46178</v>
      </c>
      <c r="W59" s="44"/>
      <c r="X59" s="44"/>
      <c r="Y59" s="44"/>
    </row>
    <row r="60" spans="1:25" x14ac:dyDescent="0.15">
      <c r="A60" s="22" t="s">
        <v>28</v>
      </c>
      <c r="B60" s="7"/>
      <c r="C60" s="8"/>
      <c r="D60" s="9"/>
      <c r="E60" s="10">
        <f t="shared" si="81"/>
        <v>0</v>
      </c>
      <c r="F60" s="7">
        <v>1</v>
      </c>
      <c r="G60" s="8"/>
      <c r="H60" s="9"/>
      <c r="I60" s="55">
        <f t="shared" si="82"/>
        <v>1</v>
      </c>
      <c r="J60" s="10">
        <f t="shared" si="83"/>
        <v>1</v>
      </c>
      <c r="K60" s="48">
        <v>46167</v>
      </c>
      <c r="L60" s="79" t="s">
        <v>37</v>
      </c>
      <c r="M60" s="80"/>
      <c r="N60" s="81"/>
      <c r="O60" s="82"/>
      <c r="P60" s="83">
        <f t="shared" si="84"/>
        <v>0</v>
      </c>
      <c r="Q60" s="80"/>
      <c r="R60" s="81"/>
      <c r="S60" s="82">
        <v>5</v>
      </c>
      <c r="T60" s="84">
        <f t="shared" si="85"/>
        <v>5</v>
      </c>
      <c r="U60" s="83">
        <f t="shared" si="86"/>
        <v>5</v>
      </c>
      <c r="V60" s="78">
        <v>46182</v>
      </c>
      <c r="W60" s="86"/>
    </row>
    <row r="61" spans="1:25" x14ac:dyDescent="0.15">
      <c r="A61" s="22" t="s">
        <v>28</v>
      </c>
      <c r="B61" s="7">
        <v>2</v>
      </c>
      <c r="C61" s="8"/>
      <c r="D61" s="9"/>
      <c r="E61" s="10">
        <f t="shared" si="81"/>
        <v>2</v>
      </c>
      <c r="F61" s="7">
        <v>1</v>
      </c>
      <c r="G61" s="8"/>
      <c r="H61" s="9"/>
      <c r="I61" s="55">
        <f t="shared" si="82"/>
        <v>1</v>
      </c>
      <c r="J61" s="10">
        <f t="shared" si="83"/>
        <v>3</v>
      </c>
      <c r="K61" s="48">
        <v>46177</v>
      </c>
      <c r="L61" s="20"/>
      <c r="M61" s="7"/>
      <c r="N61" s="8"/>
      <c r="O61" s="9"/>
      <c r="P61" s="10">
        <f t="shared" si="84"/>
        <v>0</v>
      </c>
      <c r="Q61" s="7"/>
      <c r="R61" s="8"/>
      <c r="S61" s="9"/>
      <c r="T61" s="55">
        <f t="shared" si="85"/>
        <v>0</v>
      </c>
      <c r="U61" s="10">
        <f t="shared" si="86"/>
        <v>0</v>
      </c>
      <c r="V61" s="42"/>
      <c r="W61" s="44"/>
    </row>
    <row r="62" spans="1:25" x14ac:dyDescent="0.15">
      <c r="A62" s="22" t="s">
        <v>28</v>
      </c>
      <c r="B62" s="7"/>
      <c r="C62" s="8"/>
      <c r="D62" s="9"/>
      <c r="E62" s="10">
        <f t="shared" ref="E62" si="87">SUM(B62:D62)</f>
        <v>0</v>
      </c>
      <c r="F62" s="7"/>
      <c r="G62" s="8"/>
      <c r="H62" s="9">
        <v>1</v>
      </c>
      <c r="I62" s="55">
        <f t="shared" ref="I62" si="88">SUM(F62:H62)</f>
        <v>1</v>
      </c>
      <c r="J62" s="10">
        <f t="shared" si="67"/>
        <v>1</v>
      </c>
      <c r="K62" s="48">
        <v>46178</v>
      </c>
      <c r="L62" s="20"/>
      <c r="M62" s="7"/>
      <c r="N62" s="8"/>
      <c r="O62" s="9"/>
      <c r="P62" s="10">
        <f t="shared" si="84"/>
        <v>0</v>
      </c>
      <c r="Q62" s="7"/>
      <c r="R62" s="8"/>
      <c r="S62" s="9"/>
      <c r="T62" s="55">
        <f t="shared" si="85"/>
        <v>0</v>
      </c>
      <c r="U62" s="10">
        <f t="shared" si="86"/>
        <v>0</v>
      </c>
      <c r="V62" s="42"/>
      <c r="W62" s="44"/>
    </row>
    <row r="63" spans="1:25" x14ac:dyDescent="0.15">
      <c r="A63" s="22" t="s">
        <v>28</v>
      </c>
      <c r="B63" s="7">
        <v>2</v>
      </c>
      <c r="C63" s="8"/>
      <c r="D63" s="9">
        <v>1</v>
      </c>
      <c r="E63" s="10">
        <f t="shared" ref="E63:E82" si="89">SUM(B63:D63)</f>
        <v>3</v>
      </c>
      <c r="F63" s="7"/>
      <c r="G63" s="8"/>
      <c r="H63" s="9">
        <v>3</v>
      </c>
      <c r="I63" s="55">
        <f t="shared" ref="I63:I82" si="90">SUM(F63:H63)</f>
        <v>3</v>
      </c>
      <c r="J63" s="10">
        <f t="shared" si="67"/>
        <v>6</v>
      </c>
      <c r="K63" s="42">
        <v>46181</v>
      </c>
      <c r="L63" s="20"/>
      <c r="M63" s="7"/>
      <c r="N63" s="8"/>
      <c r="O63" s="9"/>
      <c r="P63" s="10">
        <f t="shared" si="84"/>
        <v>0</v>
      </c>
      <c r="Q63" s="7"/>
      <c r="R63" s="8"/>
      <c r="S63" s="9"/>
      <c r="T63" s="55">
        <f t="shared" si="85"/>
        <v>0</v>
      </c>
      <c r="U63" s="10">
        <f t="shared" si="86"/>
        <v>0</v>
      </c>
      <c r="V63" s="42"/>
    </row>
    <row r="64" spans="1:25" x14ac:dyDescent="0.15">
      <c r="A64" s="22" t="s">
        <v>28</v>
      </c>
      <c r="B64" s="7"/>
      <c r="C64" s="8">
        <v>1</v>
      </c>
      <c r="D64" s="9"/>
      <c r="E64" s="10">
        <f t="shared" si="89"/>
        <v>1</v>
      </c>
      <c r="F64" s="7">
        <v>1</v>
      </c>
      <c r="G64" s="8"/>
      <c r="H64" s="9">
        <v>3</v>
      </c>
      <c r="I64" s="55">
        <f t="shared" si="90"/>
        <v>4</v>
      </c>
      <c r="J64" s="10">
        <f t="shared" si="67"/>
        <v>5</v>
      </c>
      <c r="K64" s="42">
        <v>46184</v>
      </c>
      <c r="L64" s="20"/>
      <c r="M64" s="7"/>
      <c r="N64" s="8"/>
      <c r="O64" s="9"/>
      <c r="P64" s="10">
        <f t="shared" si="84"/>
        <v>0</v>
      </c>
      <c r="Q64" s="7"/>
      <c r="R64" s="8"/>
      <c r="S64" s="9"/>
      <c r="T64" s="55">
        <f t="shared" si="85"/>
        <v>0</v>
      </c>
      <c r="U64" s="10">
        <f t="shared" si="86"/>
        <v>0</v>
      </c>
      <c r="V64" s="42"/>
    </row>
    <row r="65" spans="1:24" x14ac:dyDescent="0.15">
      <c r="A65" s="22" t="s">
        <v>28</v>
      </c>
      <c r="B65" s="7"/>
      <c r="C65" s="8"/>
      <c r="D65" s="9"/>
      <c r="E65" s="10">
        <f t="shared" si="89"/>
        <v>0</v>
      </c>
      <c r="F65" s="7">
        <v>1</v>
      </c>
      <c r="G65" s="8"/>
      <c r="H65" s="9"/>
      <c r="I65" s="55">
        <f t="shared" si="90"/>
        <v>1</v>
      </c>
      <c r="J65" s="10">
        <f t="shared" si="67"/>
        <v>1</v>
      </c>
      <c r="K65" s="42">
        <v>46190</v>
      </c>
      <c r="L65" s="20"/>
      <c r="M65" s="7"/>
      <c r="N65" s="8"/>
      <c r="O65" s="9"/>
      <c r="P65" s="10">
        <f t="shared" si="84"/>
        <v>0</v>
      </c>
      <c r="Q65" s="7"/>
      <c r="R65" s="8"/>
      <c r="S65" s="9"/>
      <c r="T65" s="55">
        <f t="shared" si="85"/>
        <v>0</v>
      </c>
      <c r="U65" s="10">
        <f t="shared" si="86"/>
        <v>0</v>
      </c>
      <c r="V65" s="42"/>
    </row>
    <row r="66" spans="1:24" x14ac:dyDescent="0.15">
      <c r="A66" s="22" t="s">
        <v>39</v>
      </c>
      <c r="B66" s="11">
        <v>1</v>
      </c>
      <c r="C66" s="12"/>
      <c r="D66" s="13"/>
      <c r="E66" s="10">
        <f t="shared" si="89"/>
        <v>1</v>
      </c>
      <c r="F66" s="11"/>
      <c r="G66" s="12"/>
      <c r="H66" s="13"/>
      <c r="I66" s="55">
        <f t="shared" si="90"/>
        <v>0</v>
      </c>
      <c r="J66" s="10">
        <f t="shared" si="67"/>
        <v>1</v>
      </c>
      <c r="K66" s="42">
        <v>46217</v>
      </c>
      <c r="L66" s="20"/>
      <c r="M66" s="7"/>
      <c r="N66" s="8"/>
      <c r="O66" s="9"/>
      <c r="P66" s="10">
        <f t="shared" si="84"/>
        <v>0</v>
      </c>
      <c r="Q66" s="7"/>
      <c r="R66" s="8"/>
      <c r="S66" s="9"/>
      <c r="T66" s="55">
        <f t="shared" si="85"/>
        <v>0</v>
      </c>
      <c r="U66" s="10">
        <f t="shared" si="86"/>
        <v>0</v>
      </c>
      <c r="V66" s="42"/>
      <c r="W66" s="44"/>
    </row>
    <row r="67" spans="1:24" x14ac:dyDescent="0.15">
      <c r="A67" s="22"/>
      <c r="B67" s="7"/>
      <c r="C67" s="8"/>
      <c r="D67" s="9"/>
      <c r="E67" s="10">
        <f t="shared" si="89"/>
        <v>0</v>
      </c>
      <c r="F67" s="7"/>
      <c r="G67" s="8"/>
      <c r="H67" s="9"/>
      <c r="I67" s="55">
        <f t="shared" si="90"/>
        <v>0</v>
      </c>
      <c r="J67" s="10">
        <f t="shared" si="67"/>
        <v>0</v>
      </c>
      <c r="K67" s="48"/>
      <c r="L67" s="20"/>
      <c r="M67" s="7"/>
      <c r="N67" s="8"/>
      <c r="O67" s="9"/>
      <c r="P67" s="10">
        <f t="shared" si="84"/>
        <v>0</v>
      </c>
      <c r="Q67" s="7"/>
      <c r="R67" s="8"/>
      <c r="S67" s="9"/>
      <c r="T67" s="55">
        <f t="shared" si="85"/>
        <v>0</v>
      </c>
      <c r="U67" s="10">
        <f t="shared" si="86"/>
        <v>0</v>
      </c>
      <c r="V67" s="42"/>
      <c r="W67" s="44"/>
    </row>
    <row r="68" spans="1:24" x14ac:dyDescent="0.15">
      <c r="A68" s="22"/>
      <c r="B68" s="7"/>
      <c r="C68" s="8"/>
      <c r="D68" s="9"/>
      <c r="E68" s="10">
        <f t="shared" si="89"/>
        <v>0</v>
      </c>
      <c r="F68" s="7"/>
      <c r="G68" s="8"/>
      <c r="H68" s="9"/>
      <c r="I68" s="55">
        <f t="shared" si="90"/>
        <v>0</v>
      </c>
      <c r="J68" s="10">
        <f t="shared" si="67"/>
        <v>0</v>
      </c>
      <c r="K68" s="48"/>
      <c r="L68" s="20"/>
      <c r="M68" s="7"/>
      <c r="N68" s="8"/>
      <c r="O68" s="9"/>
      <c r="P68" s="10">
        <f t="shared" si="84"/>
        <v>0</v>
      </c>
      <c r="Q68" s="7"/>
      <c r="R68" s="8"/>
      <c r="S68" s="9"/>
      <c r="T68" s="55">
        <f t="shared" si="85"/>
        <v>0</v>
      </c>
      <c r="U68" s="10">
        <f t="shared" si="86"/>
        <v>0</v>
      </c>
      <c r="V68" s="42"/>
    </row>
    <row r="69" spans="1:24" x14ac:dyDescent="0.15">
      <c r="A69" s="20"/>
      <c r="B69" s="7"/>
      <c r="C69" s="8"/>
      <c r="D69" s="9"/>
      <c r="E69" s="10">
        <f t="shared" si="89"/>
        <v>0</v>
      </c>
      <c r="F69" s="7"/>
      <c r="G69" s="8"/>
      <c r="H69" s="9"/>
      <c r="I69" s="55">
        <f t="shared" si="90"/>
        <v>0</v>
      </c>
      <c r="J69" s="10">
        <f t="shared" si="67"/>
        <v>0</v>
      </c>
      <c r="K69" s="42"/>
      <c r="L69" s="20"/>
      <c r="M69" s="7"/>
      <c r="N69" s="8"/>
      <c r="O69" s="9"/>
      <c r="P69" s="10">
        <f t="shared" si="84"/>
        <v>0</v>
      </c>
      <c r="Q69" s="7"/>
      <c r="R69" s="8"/>
      <c r="S69" s="9"/>
      <c r="T69" s="55">
        <f t="shared" si="85"/>
        <v>0</v>
      </c>
      <c r="U69" s="10">
        <f t="shared" si="86"/>
        <v>0</v>
      </c>
      <c r="V69" s="42"/>
    </row>
    <row r="70" spans="1:24" x14ac:dyDescent="0.15">
      <c r="A70" s="22"/>
      <c r="B70" s="7"/>
      <c r="C70" s="8"/>
      <c r="D70" s="9"/>
      <c r="E70" s="10">
        <f t="shared" si="89"/>
        <v>0</v>
      </c>
      <c r="F70" s="7"/>
      <c r="G70" s="8"/>
      <c r="H70" s="9"/>
      <c r="I70" s="55">
        <f t="shared" si="90"/>
        <v>0</v>
      </c>
      <c r="J70" s="10">
        <f t="shared" si="67"/>
        <v>0</v>
      </c>
      <c r="K70" s="42"/>
      <c r="L70" s="20"/>
      <c r="M70" s="7"/>
      <c r="N70" s="8"/>
      <c r="O70" s="9"/>
      <c r="P70" s="10">
        <f t="shared" si="84"/>
        <v>0</v>
      </c>
      <c r="Q70" s="7"/>
      <c r="R70" s="8"/>
      <c r="S70" s="9"/>
      <c r="T70" s="55">
        <f t="shared" si="85"/>
        <v>0</v>
      </c>
      <c r="U70" s="10">
        <f t="shared" si="86"/>
        <v>0</v>
      </c>
      <c r="V70" s="42"/>
    </row>
    <row r="71" spans="1:24" x14ac:dyDescent="0.15">
      <c r="A71" s="22"/>
      <c r="B71" s="7"/>
      <c r="C71" s="8"/>
      <c r="D71" s="9"/>
      <c r="E71" s="10">
        <f t="shared" si="89"/>
        <v>0</v>
      </c>
      <c r="F71" s="7"/>
      <c r="G71" s="8"/>
      <c r="H71" s="9"/>
      <c r="I71" s="55">
        <f t="shared" si="90"/>
        <v>0</v>
      </c>
      <c r="J71" s="10">
        <f t="shared" si="67"/>
        <v>0</v>
      </c>
      <c r="K71" s="42"/>
      <c r="L71" s="20"/>
      <c r="M71" s="7"/>
      <c r="N71" s="8"/>
      <c r="O71" s="9"/>
      <c r="P71" s="10">
        <f t="shared" ref="P71" si="91">SUM(M71:O71)</f>
        <v>0</v>
      </c>
      <c r="Q71" s="7"/>
      <c r="R71" s="8"/>
      <c r="S71" s="9"/>
      <c r="T71" s="55">
        <f t="shared" ref="T71" si="92">SUM(Q71:S71)</f>
        <v>0</v>
      </c>
      <c r="U71" s="10">
        <f t="shared" ref="U71" si="93">P71+T71</f>
        <v>0</v>
      </c>
      <c r="V71" s="42"/>
      <c r="W71" s="44"/>
      <c r="X71" s="44"/>
    </row>
    <row r="72" spans="1:24" x14ac:dyDescent="0.15">
      <c r="A72" s="20"/>
      <c r="B72" s="7"/>
      <c r="C72" s="8"/>
      <c r="D72" s="9"/>
      <c r="E72" s="10">
        <f t="shared" si="89"/>
        <v>0</v>
      </c>
      <c r="F72" s="7"/>
      <c r="G72" s="8"/>
      <c r="H72" s="9"/>
      <c r="I72" s="55">
        <f t="shared" si="90"/>
        <v>0</v>
      </c>
      <c r="J72" s="10">
        <f t="shared" si="67"/>
        <v>0</v>
      </c>
      <c r="K72" s="42"/>
      <c r="L72" s="20"/>
      <c r="M72" s="7"/>
      <c r="N72" s="8"/>
      <c r="O72" s="9"/>
      <c r="P72" s="10">
        <f t="shared" ref="P72:P79" si="94">SUM(M72:O72)</f>
        <v>0</v>
      </c>
      <c r="Q72" s="7"/>
      <c r="R72" s="8"/>
      <c r="S72" s="9"/>
      <c r="T72" s="55">
        <f t="shared" ref="T72:T79" si="95">SUM(Q72:S72)</f>
        <v>0</v>
      </c>
      <c r="U72" s="10">
        <f t="shared" si="63"/>
        <v>0</v>
      </c>
      <c r="V72" s="42"/>
    </row>
    <row r="73" spans="1:24" x14ac:dyDescent="0.15">
      <c r="A73" s="22"/>
      <c r="B73" s="7"/>
      <c r="C73" s="8"/>
      <c r="D73" s="9"/>
      <c r="E73" s="10">
        <f t="shared" si="89"/>
        <v>0</v>
      </c>
      <c r="F73" s="7"/>
      <c r="G73" s="8"/>
      <c r="H73" s="9"/>
      <c r="I73" s="55">
        <f t="shared" si="90"/>
        <v>0</v>
      </c>
      <c r="J73" s="10">
        <f t="shared" si="67"/>
        <v>0</v>
      </c>
      <c r="K73" s="48"/>
      <c r="L73" s="20"/>
      <c r="M73" s="7"/>
      <c r="N73" s="8"/>
      <c r="O73" s="9"/>
      <c r="P73" s="10">
        <f t="shared" si="94"/>
        <v>0</v>
      </c>
      <c r="Q73" s="7"/>
      <c r="R73" s="8"/>
      <c r="S73" s="9"/>
      <c r="T73" s="55">
        <f t="shared" si="95"/>
        <v>0</v>
      </c>
      <c r="U73" s="10">
        <f t="shared" si="63"/>
        <v>0</v>
      </c>
      <c r="V73" s="42"/>
    </row>
    <row r="74" spans="1:24" x14ac:dyDescent="0.15">
      <c r="A74" s="22"/>
      <c r="B74" s="7"/>
      <c r="C74" s="8"/>
      <c r="D74" s="9"/>
      <c r="E74" s="10">
        <f t="shared" si="89"/>
        <v>0</v>
      </c>
      <c r="F74" s="7"/>
      <c r="G74" s="8"/>
      <c r="H74" s="9"/>
      <c r="I74" s="55">
        <f t="shared" si="90"/>
        <v>0</v>
      </c>
      <c r="J74" s="10">
        <f t="shared" si="67"/>
        <v>0</v>
      </c>
      <c r="K74" s="42"/>
      <c r="L74" s="20"/>
      <c r="M74" s="7"/>
      <c r="N74" s="8"/>
      <c r="O74" s="9"/>
      <c r="P74" s="10">
        <f t="shared" si="94"/>
        <v>0</v>
      </c>
      <c r="Q74" s="7"/>
      <c r="R74" s="8"/>
      <c r="S74" s="9"/>
      <c r="T74" s="55">
        <f t="shared" si="95"/>
        <v>0</v>
      </c>
      <c r="U74" s="10">
        <f t="shared" si="63"/>
        <v>0</v>
      </c>
      <c r="V74" s="42"/>
    </row>
    <row r="75" spans="1:24" x14ac:dyDescent="0.15">
      <c r="A75" s="19"/>
      <c r="B75" s="7"/>
      <c r="C75" s="8"/>
      <c r="D75" s="9"/>
      <c r="E75" s="10">
        <f t="shared" si="89"/>
        <v>0</v>
      </c>
      <c r="F75" s="7"/>
      <c r="G75" s="8"/>
      <c r="H75" s="9"/>
      <c r="I75" s="55">
        <f t="shared" si="90"/>
        <v>0</v>
      </c>
      <c r="J75" s="10">
        <f t="shared" si="67"/>
        <v>0</v>
      </c>
      <c r="K75" s="48"/>
      <c r="L75" s="20"/>
      <c r="M75" s="7"/>
      <c r="N75" s="8"/>
      <c r="O75" s="9"/>
      <c r="P75" s="10">
        <f t="shared" si="94"/>
        <v>0</v>
      </c>
      <c r="Q75" s="7"/>
      <c r="R75" s="8"/>
      <c r="S75" s="9"/>
      <c r="T75" s="55">
        <f t="shared" si="95"/>
        <v>0</v>
      </c>
      <c r="U75" s="10">
        <f t="shared" si="63"/>
        <v>0</v>
      </c>
      <c r="V75" s="42"/>
    </row>
    <row r="76" spans="1:24" x14ac:dyDescent="0.15">
      <c r="A76" s="19"/>
      <c r="B76" s="7"/>
      <c r="C76" s="8"/>
      <c r="D76" s="9"/>
      <c r="E76" s="10">
        <f t="shared" si="89"/>
        <v>0</v>
      </c>
      <c r="F76" s="7"/>
      <c r="G76" s="8"/>
      <c r="H76" s="9"/>
      <c r="I76" s="55">
        <f t="shared" si="90"/>
        <v>0</v>
      </c>
      <c r="J76" s="10">
        <f t="shared" si="67"/>
        <v>0</v>
      </c>
      <c r="K76" s="42"/>
      <c r="L76" s="20"/>
      <c r="M76" s="7"/>
      <c r="N76" s="8"/>
      <c r="O76" s="9"/>
      <c r="P76" s="10">
        <f t="shared" si="94"/>
        <v>0</v>
      </c>
      <c r="Q76" s="7"/>
      <c r="R76" s="8"/>
      <c r="S76" s="9"/>
      <c r="T76" s="55">
        <f t="shared" si="95"/>
        <v>0</v>
      </c>
      <c r="U76" s="10">
        <f t="shared" si="63"/>
        <v>0</v>
      </c>
      <c r="V76" s="42"/>
    </row>
    <row r="77" spans="1:24" x14ac:dyDescent="0.15">
      <c r="A77" s="19"/>
      <c r="B77" s="7"/>
      <c r="C77" s="8"/>
      <c r="D77" s="9"/>
      <c r="E77" s="10">
        <f t="shared" si="89"/>
        <v>0</v>
      </c>
      <c r="F77" s="7"/>
      <c r="G77" s="8"/>
      <c r="H77" s="9"/>
      <c r="I77" s="55">
        <f t="shared" si="90"/>
        <v>0</v>
      </c>
      <c r="J77" s="10">
        <f t="shared" si="67"/>
        <v>0</v>
      </c>
      <c r="K77" s="42"/>
      <c r="L77" s="20"/>
      <c r="M77" s="7"/>
      <c r="N77" s="8"/>
      <c r="O77" s="9"/>
      <c r="P77" s="10">
        <f t="shared" si="94"/>
        <v>0</v>
      </c>
      <c r="Q77" s="7"/>
      <c r="R77" s="8"/>
      <c r="S77" s="9"/>
      <c r="T77" s="55">
        <f t="shared" si="95"/>
        <v>0</v>
      </c>
      <c r="U77" s="10">
        <f t="shared" si="63"/>
        <v>0</v>
      </c>
      <c r="V77" s="42"/>
    </row>
    <row r="78" spans="1:24" x14ac:dyDescent="0.15">
      <c r="A78" s="22"/>
      <c r="B78" s="11"/>
      <c r="C78" s="12"/>
      <c r="D78" s="13"/>
      <c r="E78" s="10">
        <f t="shared" si="89"/>
        <v>0</v>
      </c>
      <c r="F78" s="11"/>
      <c r="G78" s="12"/>
      <c r="H78" s="13"/>
      <c r="I78" s="55">
        <f t="shared" si="90"/>
        <v>0</v>
      </c>
      <c r="J78" s="10">
        <f t="shared" si="67"/>
        <v>0</v>
      </c>
      <c r="K78" s="42"/>
      <c r="L78" s="20"/>
      <c r="M78" s="11"/>
      <c r="N78" s="12"/>
      <c r="O78" s="13"/>
      <c r="P78" s="10">
        <f t="shared" si="94"/>
        <v>0</v>
      </c>
      <c r="Q78" s="11"/>
      <c r="R78" s="12"/>
      <c r="S78" s="13"/>
      <c r="T78" s="55">
        <f t="shared" si="95"/>
        <v>0</v>
      </c>
      <c r="U78" s="10">
        <f t="shared" si="63"/>
        <v>0</v>
      </c>
      <c r="V78" s="42"/>
    </row>
    <row r="79" spans="1:24" x14ac:dyDescent="0.15">
      <c r="A79" s="22"/>
      <c r="B79" s="7"/>
      <c r="C79" s="8"/>
      <c r="D79" s="9"/>
      <c r="E79" s="10">
        <f t="shared" si="89"/>
        <v>0</v>
      </c>
      <c r="F79" s="7"/>
      <c r="G79" s="8"/>
      <c r="H79" s="9"/>
      <c r="I79" s="55">
        <f t="shared" si="90"/>
        <v>0</v>
      </c>
      <c r="J79" s="10">
        <f t="shared" si="67"/>
        <v>0</v>
      </c>
      <c r="K79" s="42"/>
      <c r="L79" s="22"/>
      <c r="M79" s="7"/>
      <c r="N79" s="8"/>
      <c r="O79" s="9"/>
      <c r="P79" s="10">
        <f t="shared" si="94"/>
        <v>0</v>
      </c>
      <c r="Q79" s="7"/>
      <c r="R79" s="8"/>
      <c r="S79" s="9"/>
      <c r="T79" s="55">
        <f t="shared" si="95"/>
        <v>0</v>
      </c>
      <c r="U79" s="10">
        <f t="shared" si="63"/>
        <v>0</v>
      </c>
      <c r="V79" s="44"/>
    </row>
    <row r="80" spans="1:24" x14ac:dyDescent="0.15">
      <c r="A80" s="5"/>
      <c r="B80" s="7"/>
      <c r="C80" s="8"/>
      <c r="D80" s="9"/>
      <c r="E80" s="10">
        <f t="shared" si="89"/>
        <v>0</v>
      </c>
      <c r="F80" s="7"/>
      <c r="G80" s="8"/>
      <c r="H80" s="9"/>
      <c r="I80" s="55">
        <f t="shared" si="90"/>
        <v>0</v>
      </c>
      <c r="J80" s="10">
        <f t="shared" si="67"/>
        <v>0</v>
      </c>
      <c r="K80" s="42"/>
      <c r="L80" s="22"/>
      <c r="M80" s="7"/>
      <c r="N80" s="8"/>
      <c r="O80" s="9"/>
      <c r="P80" s="10">
        <f t="shared" ref="P80:P82" si="96">SUM(M80:O80)</f>
        <v>0</v>
      </c>
      <c r="Q80" s="7"/>
      <c r="R80" s="8"/>
      <c r="S80" s="9"/>
      <c r="T80" s="55">
        <f t="shared" ref="T80:T82" si="97">SUM(Q80:S80)</f>
        <v>0</v>
      </c>
      <c r="U80" s="10">
        <f t="shared" ref="U80:U82" si="98">P80+T80</f>
        <v>0</v>
      </c>
      <c r="V80" s="44"/>
    </row>
    <row r="81" spans="1:22" x14ac:dyDescent="0.15">
      <c r="A81" s="49"/>
      <c r="B81" s="7"/>
      <c r="C81" s="8"/>
      <c r="D81" s="9"/>
      <c r="E81" s="10">
        <f t="shared" si="89"/>
        <v>0</v>
      </c>
      <c r="F81" s="7"/>
      <c r="G81" s="8"/>
      <c r="H81" s="9"/>
      <c r="I81" s="55">
        <f t="shared" si="90"/>
        <v>0</v>
      </c>
      <c r="J81" s="10">
        <f t="shared" si="67"/>
        <v>0</v>
      </c>
      <c r="K81" s="42"/>
      <c r="L81" s="22"/>
      <c r="M81" s="7"/>
      <c r="N81" s="8"/>
      <c r="O81" s="9"/>
      <c r="P81" s="10">
        <f t="shared" si="96"/>
        <v>0</v>
      </c>
      <c r="Q81" s="7"/>
      <c r="R81" s="8"/>
      <c r="S81" s="9"/>
      <c r="T81" s="55">
        <f t="shared" si="97"/>
        <v>0</v>
      </c>
      <c r="U81" s="10">
        <f t="shared" si="98"/>
        <v>0</v>
      </c>
      <c r="V81" s="44"/>
    </row>
    <row r="82" spans="1:22" ht="14.25" thickBot="1" x14ac:dyDescent="0.2">
      <c r="A82" s="20"/>
      <c r="B82" s="7"/>
      <c r="C82" s="8"/>
      <c r="D82" s="9"/>
      <c r="E82" s="10">
        <f t="shared" si="89"/>
        <v>0</v>
      </c>
      <c r="F82" s="7"/>
      <c r="G82" s="8"/>
      <c r="H82" s="9"/>
      <c r="I82" s="55">
        <f t="shared" si="90"/>
        <v>0</v>
      </c>
      <c r="J82" s="17">
        <f t="shared" si="67"/>
        <v>0</v>
      </c>
      <c r="K82" s="48"/>
      <c r="L82" s="22"/>
      <c r="M82" s="7"/>
      <c r="N82" s="8"/>
      <c r="O82" s="9"/>
      <c r="P82" s="10">
        <f t="shared" si="96"/>
        <v>0</v>
      </c>
      <c r="Q82" s="7"/>
      <c r="R82" s="8"/>
      <c r="S82" s="9"/>
      <c r="T82" s="55">
        <f t="shared" si="97"/>
        <v>0</v>
      </c>
      <c r="U82" s="10">
        <f t="shared" si="98"/>
        <v>0</v>
      </c>
      <c r="V82" s="44"/>
    </row>
    <row r="83" spans="1:22" ht="14.25" thickBot="1" x14ac:dyDescent="0.2">
      <c r="A83" s="32" t="s">
        <v>17</v>
      </c>
      <c r="B83" s="33">
        <f>SUM(B57:B82)</f>
        <v>5</v>
      </c>
      <c r="C83" s="34">
        <f>SUM(C57:C82)</f>
        <v>2</v>
      </c>
      <c r="D83" s="35">
        <f>SUM(D57:D82)</f>
        <v>1</v>
      </c>
      <c r="E83" s="36">
        <f>SUM(B83:D83)</f>
        <v>8</v>
      </c>
      <c r="F83" s="33">
        <f>SUM(F57:F82)</f>
        <v>6</v>
      </c>
      <c r="G83" s="34">
        <f>SUM(G57:G82)</f>
        <v>0</v>
      </c>
      <c r="H83" s="35">
        <f>SUM(H57:H82)</f>
        <v>7</v>
      </c>
      <c r="I83" s="36">
        <f>SUM(F83:H83)</f>
        <v>13</v>
      </c>
      <c r="J83" s="37">
        <f t="shared" si="67"/>
        <v>21</v>
      </c>
      <c r="K83" s="31"/>
      <c r="L83" s="32" t="s">
        <v>17</v>
      </c>
      <c r="M83" s="33">
        <f>SUM(M57:M82)</f>
        <v>3</v>
      </c>
      <c r="N83" s="34">
        <f t="shared" ref="N83" si="99">SUM(N57:N82)</f>
        <v>0</v>
      </c>
      <c r="O83" s="35">
        <f t="shared" ref="O83" si="100">SUM(O57:O82)</f>
        <v>2</v>
      </c>
      <c r="P83" s="36">
        <f t="shared" ref="P83" si="101">SUM(P57:P82)</f>
        <v>5</v>
      </c>
      <c r="Q83" s="33">
        <f t="shared" ref="Q83" si="102">SUM(Q57:Q82)</f>
        <v>6</v>
      </c>
      <c r="R83" s="34">
        <f t="shared" ref="R83" si="103">SUM(R57:R82)</f>
        <v>0</v>
      </c>
      <c r="S83" s="35">
        <f t="shared" ref="S83" si="104">SUM(S57:S82)</f>
        <v>8</v>
      </c>
      <c r="T83" s="36">
        <f t="shared" ref="T83" si="105">SUM(T57:T82)</f>
        <v>14</v>
      </c>
      <c r="U83" s="37">
        <f t="shared" ref="U83" si="106">SUM(U57:U82)</f>
        <v>19</v>
      </c>
    </row>
    <row r="84" spans="1:22" ht="14.25" thickBot="1" x14ac:dyDescent="0.2">
      <c r="A84" s="18" t="s">
        <v>18</v>
      </c>
      <c r="B84" s="51">
        <f>B56-B83</f>
        <v>4</v>
      </c>
      <c r="C84" s="52">
        <f t="shared" ref="C84" si="107">C56-C83</f>
        <v>9</v>
      </c>
      <c r="D84" s="53">
        <f t="shared" ref="D84" si="108">D56-D83</f>
        <v>5</v>
      </c>
      <c r="E84" s="53">
        <f t="shared" ref="E84" si="109">E56-E83</f>
        <v>18</v>
      </c>
      <c r="F84" s="51">
        <f>F56-F83</f>
        <v>2</v>
      </c>
      <c r="G84" s="52">
        <f t="shared" ref="G84" si="110">G56-G83</f>
        <v>13</v>
      </c>
      <c r="H84" s="53">
        <f t="shared" ref="H84" si="111">H56-H83</f>
        <v>3</v>
      </c>
      <c r="I84" s="53">
        <f t="shared" ref="I84" si="112">I56-I83</f>
        <v>18</v>
      </c>
      <c r="J84" s="26">
        <f t="shared" si="67"/>
        <v>36</v>
      </c>
      <c r="L84" s="18" t="s">
        <v>18</v>
      </c>
      <c r="M84" s="51">
        <f>M56-M83</f>
        <v>159</v>
      </c>
      <c r="N84" s="52">
        <f t="shared" ref="N84" si="113">N56-N83</f>
        <v>102</v>
      </c>
      <c r="O84" s="53">
        <f t="shared" ref="O84" si="114">O56-O83</f>
        <v>38</v>
      </c>
      <c r="P84" s="53">
        <f t="shared" ref="P84" si="115">P56-P83</f>
        <v>299</v>
      </c>
      <c r="Q84" s="51">
        <f t="shared" ref="Q84" si="116">Q56-Q83</f>
        <v>157</v>
      </c>
      <c r="R84" s="52">
        <f t="shared" ref="R84" si="117">R56-R83</f>
        <v>96</v>
      </c>
      <c r="S84" s="53">
        <f t="shared" ref="S84" si="118">S56-S83</f>
        <v>26</v>
      </c>
      <c r="T84" s="53">
        <f t="shared" ref="T84" si="119">T56-T83</f>
        <v>279</v>
      </c>
      <c r="U84" s="26">
        <f t="shared" ref="U84" si="120">U56-U83</f>
        <v>578</v>
      </c>
      <c r="V84" t="s">
        <v>33</v>
      </c>
    </row>
  </sheetData>
  <mergeCells count="12">
    <mergeCell ref="U45:U46"/>
    <mergeCell ref="B45:E45"/>
    <mergeCell ref="F45:I45"/>
    <mergeCell ref="J45:J46"/>
    <mergeCell ref="M45:P45"/>
    <mergeCell ref="Q45:T45"/>
    <mergeCell ref="U2:U3"/>
    <mergeCell ref="B2:E2"/>
    <mergeCell ref="F2:I2"/>
    <mergeCell ref="J2:J3"/>
    <mergeCell ref="M2:P2"/>
    <mergeCell ref="Q2:T2"/>
  </mergeCells>
  <phoneticPr fontId="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2021-10-25T05:05:40Z</dcterms:created>
  <dcterms:modified xsi:type="dcterms:W3CDTF">2026-07-14T09:56:06Z</dcterms:modified>
</cp:coreProperties>
</file>