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A811A6C1-DE91-4322-86DD-526139CDDA7F}" xr6:coauthVersionLast="47" xr6:coauthVersionMax="47" xr10:uidLastSave="{00000000-0000-0000-0000-000000000000}"/>
  <bookViews>
    <workbookView xWindow="11130" yWindow="915" windowWidth="16065" windowHeight="12450" xr2:uid="{00000000-000D-0000-FFFF-FFFF00000000}"/>
  </bookViews>
  <sheets>
    <sheet name="淡色すっぽりショーツオリジナル" sheetId="5" r:id="rId1"/>
    <sheet name="ネット用単品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30" i="5" l="1"/>
  <c r="E2018" i="5"/>
  <c r="D2018" i="5"/>
  <c r="C2018" i="5"/>
  <c r="B2018" i="5"/>
  <c r="F2018" i="5" s="1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2" i="5"/>
  <c r="F1991" i="5"/>
  <c r="F1990" i="5"/>
  <c r="F1989" i="5"/>
  <c r="F1988" i="5"/>
  <c r="F1987" i="5"/>
  <c r="F1986" i="5"/>
  <c r="F1985" i="5"/>
  <c r="F1984" i="5"/>
  <c r="F1983" i="5"/>
  <c r="M1900" i="5"/>
  <c r="M1901" i="5"/>
  <c r="M1902" i="5"/>
  <c r="M1942" i="5"/>
  <c r="M1943" i="5"/>
  <c r="M2021" i="5"/>
  <c r="M2018" i="5"/>
  <c r="L2018" i="5"/>
  <c r="K2018" i="5"/>
  <c r="J2018" i="5"/>
  <c r="I2018" i="5"/>
  <c r="M2017" i="5"/>
  <c r="M2016" i="5"/>
  <c r="M2015" i="5"/>
  <c r="M2014" i="5"/>
  <c r="M2013" i="5"/>
  <c r="M2012" i="5"/>
  <c r="M2011" i="5"/>
  <c r="M2010" i="5"/>
  <c r="M2009" i="5"/>
  <c r="M2008" i="5"/>
  <c r="M2007" i="5"/>
  <c r="M2006" i="5"/>
  <c r="M2005" i="5"/>
  <c r="M2004" i="5"/>
  <c r="M2003" i="5"/>
  <c r="M2002" i="5"/>
  <c r="M2001" i="5"/>
  <c r="M2000" i="5"/>
  <c r="M1999" i="5"/>
  <c r="M1998" i="5"/>
  <c r="M1997" i="5"/>
  <c r="M1996" i="5"/>
  <c r="M1995" i="5"/>
  <c r="M1994" i="5"/>
  <c r="M1992" i="5"/>
  <c r="M1991" i="5"/>
  <c r="M1990" i="5"/>
  <c r="M1989" i="5"/>
  <c r="M1988" i="5"/>
  <c r="M1987" i="5"/>
  <c r="M1986" i="5"/>
  <c r="M1985" i="5"/>
  <c r="M1984" i="5"/>
  <c r="M1983" i="5"/>
  <c r="K1891" i="5"/>
  <c r="L1891" i="5"/>
  <c r="M1978" i="5"/>
  <c r="M1974" i="5"/>
  <c r="E1975" i="5"/>
  <c r="D1975" i="5"/>
  <c r="C1975" i="5"/>
  <c r="B1975" i="5"/>
  <c r="F1975" i="5" s="1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49" i="5"/>
  <c r="F1948" i="5"/>
  <c r="F1947" i="5"/>
  <c r="F1946" i="5"/>
  <c r="F1945" i="5"/>
  <c r="F1944" i="5"/>
  <c r="F1943" i="5"/>
  <c r="F1942" i="5"/>
  <c r="F1941" i="5"/>
  <c r="F1940" i="5"/>
  <c r="M1944" i="5"/>
  <c r="L1975" i="5"/>
  <c r="K1975" i="5"/>
  <c r="J1975" i="5"/>
  <c r="I1975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49" i="5"/>
  <c r="M1948" i="5"/>
  <c r="M1947" i="5"/>
  <c r="M1946" i="5"/>
  <c r="M1945" i="5"/>
  <c r="M1941" i="5"/>
  <c r="M1940" i="5"/>
  <c r="M1931" i="5"/>
  <c r="M1857" i="5"/>
  <c r="J1865" i="5"/>
  <c r="M1845" i="5"/>
  <c r="F1845" i="5"/>
  <c r="M1820" i="5"/>
  <c r="F1829" i="5"/>
  <c r="M1886" i="5"/>
  <c r="M1885" i="5"/>
  <c r="M1887" i="5"/>
  <c r="E1932" i="5"/>
  <c r="D1932" i="5"/>
  <c r="C1932" i="5"/>
  <c r="B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6" i="5"/>
  <c r="F1905" i="5"/>
  <c r="F1904" i="5"/>
  <c r="F1903" i="5"/>
  <c r="F1902" i="5"/>
  <c r="F1901" i="5"/>
  <c r="F1900" i="5"/>
  <c r="F1899" i="5"/>
  <c r="F1898" i="5"/>
  <c r="F1897" i="5"/>
  <c r="M1899" i="5"/>
  <c r="L1932" i="5"/>
  <c r="K1932" i="5"/>
  <c r="J1932" i="5"/>
  <c r="I1932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6" i="5"/>
  <c r="M1905" i="5"/>
  <c r="M1904" i="5"/>
  <c r="M1903" i="5"/>
  <c r="M1898" i="5"/>
  <c r="M1897" i="5"/>
  <c r="M1844" i="5"/>
  <c r="M1888" i="5"/>
  <c r="M1813" i="5"/>
  <c r="M1814" i="5"/>
  <c r="L1889" i="5"/>
  <c r="K1889" i="5"/>
  <c r="J1889" i="5"/>
  <c r="J1891" i="5" s="1"/>
  <c r="I1889" i="5"/>
  <c r="I1891" i="5" s="1"/>
  <c r="E1889" i="5"/>
  <c r="D1889" i="5"/>
  <c r="C1889" i="5"/>
  <c r="B1889" i="5"/>
  <c r="F1888" i="5"/>
  <c r="F1887" i="5"/>
  <c r="F1886" i="5"/>
  <c r="F1885" i="5"/>
  <c r="M1884" i="5"/>
  <c r="F1884" i="5"/>
  <c r="M1883" i="5"/>
  <c r="F1883" i="5"/>
  <c r="M1882" i="5"/>
  <c r="F1882" i="5"/>
  <c r="M1881" i="5"/>
  <c r="F1881" i="5"/>
  <c r="M1880" i="5"/>
  <c r="F1880" i="5"/>
  <c r="M1879" i="5"/>
  <c r="F1879" i="5"/>
  <c r="M1878" i="5"/>
  <c r="F1878" i="5"/>
  <c r="M1877" i="5"/>
  <c r="F1877" i="5"/>
  <c r="M1876" i="5"/>
  <c r="F1876" i="5"/>
  <c r="M1875" i="5"/>
  <c r="F1875" i="5"/>
  <c r="M1874" i="5"/>
  <c r="F1874" i="5"/>
  <c r="M1873" i="5"/>
  <c r="F1873" i="5"/>
  <c r="M1872" i="5"/>
  <c r="F1872" i="5"/>
  <c r="M1871" i="5"/>
  <c r="F1871" i="5"/>
  <c r="M1870" i="5"/>
  <c r="F1870" i="5"/>
  <c r="M1869" i="5"/>
  <c r="F1869" i="5"/>
  <c r="M1868" i="5"/>
  <c r="F1868" i="5"/>
  <c r="M1867" i="5"/>
  <c r="F1867" i="5"/>
  <c r="M1866" i="5"/>
  <c r="F1866" i="5"/>
  <c r="M1865" i="5"/>
  <c r="F1865" i="5"/>
  <c r="M1863" i="5"/>
  <c r="F1863" i="5"/>
  <c r="M1862" i="5"/>
  <c r="F1862" i="5"/>
  <c r="M1861" i="5"/>
  <c r="F1861" i="5"/>
  <c r="M1860" i="5"/>
  <c r="F1860" i="5"/>
  <c r="M1859" i="5"/>
  <c r="F1859" i="5"/>
  <c r="M1858" i="5"/>
  <c r="F1858" i="5"/>
  <c r="F1857" i="5"/>
  <c r="M1856" i="5"/>
  <c r="F1856" i="5"/>
  <c r="M1855" i="5"/>
  <c r="F1855" i="5"/>
  <c r="M1854" i="5"/>
  <c r="F1854" i="5"/>
  <c r="M1815" i="5"/>
  <c r="M1816" i="5"/>
  <c r="M1849" i="5"/>
  <c r="M1771" i="5"/>
  <c r="M1772" i="5"/>
  <c r="M1773" i="5"/>
  <c r="F1822" i="5"/>
  <c r="F1823" i="5"/>
  <c r="M1843" i="5"/>
  <c r="L1846" i="5"/>
  <c r="E1846" i="5"/>
  <c r="D1846" i="5"/>
  <c r="C1846" i="5"/>
  <c r="B1846" i="5"/>
  <c r="K1846" i="5"/>
  <c r="J1846" i="5"/>
  <c r="F1844" i="5"/>
  <c r="F1843" i="5"/>
  <c r="M1842" i="5"/>
  <c r="F1842" i="5"/>
  <c r="M1841" i="5"/>
  <c r="F1841" i="5"/>
  <c r="M1840" i="5"/>
  <c r="F1840" i="5"/>
  <c r="M1839" i="5"/>
  <c r="F1839" i="5"/>
  <c r="M1838" i="5"/>
  <c r="F1838" i="5"/>
  <c r="M1837" i="5"/>
  <c r="F1837" i="5"/>
  <c r="M1836" i="5"/>
  <c r="F1836" i="5"/>
  <c r="M1835" i="5"/>
  <c r="F1835" i="5"/>
  <c r="M1834" i="5"/>
  <c r="F1834" i="5"/>
  <c r="M1833" i="5"/>
  <c r="F1833" i="5"/>
  <c r="M1832" i="5"/>
  <c r="F1832" i="5"/>
  <c r="M1831" i="5"/>
  <c r="F1831" i="5"/>
  <c r="M1830" i="5"/>
  <c r="F1830" i="5"/>
  <c r="M1829" i="5"/>
  <c r="F1828" i="5"/>
  <c r="F1827" i="5"/>
  <c r="M1826" i="5"/>
  <c r="F1826" i="5"/>
  <c r="M1825" i="5"/>
  <c r="F1825" i="5"/>
  <c r="M1824" i="5"/>
  <c r="F1824" i="5"/>
  <c r="M1823" i="5"/>
  <c r="M1822" i="5"/>
  <c r="F1820" i="5"/>
  <c r="M1819" i="5"/>
  <c r="F1819" i="5"/>
  <c r="M1818" i="5"/>
  <c r="F1818" i="5"/>
  <c r="M1817" i="5"/>
  <c r="F1817" i="5"/>
  <c r="F1816" i="5"/>
  <c r="F1815" i="5"/>
  <c r="F1814" i="5"/>
  <c r="F1813" i="5"/>
  <c r="M1812" i="5"/>
  <c r="F1812" i="5"/>
  <c r="M1811" i="5"/>
  <c r="F1811" i="5"/>
  <c r="F1779" i="5"/>
  <c r="M1750" i="5"/>
  <c r="M1806" i="5"/>
  <c r="M1800" i="5"/>
  <c r="M1758" i="5"/>
  <c r="M1757" i="5"/>
  <c r="M1759" i="5"/>
  <c r="L1803" i="5"/>
  <c r="K1803" i="5"/>
  <c r="J1803" i="5"/>
  <c r="I1803" i="5"/>
  <c r="E1803" i="5"/>
  <c r="D1803" i="5"/>
  <c r="C1803" i="5"/>
  <c r="B1803" i="5"/>
  <c r="M1802" i="5"/>
  <c r="F1802" i="5"/>
  <c r="M1801" i="5"/>
  <c r="F1801" i="5"/>
  <c r="F1800" i="5"/>
  <c r="M1799" i="5"/>
  <c r="F1799" i="5"/>
  <c r="M1798" i="5"/>
  <c r="F1798" i="5"/>
  <c r="M1797" i="5"/>
  <c r="F1797" i="5"/>
  <c r="M1796" i="5"/>
  <c r="F1796" i="5"/>
  <c r="M1795" i="5"/>
  <c r="F1795" i="5"/>
  <c r="M1794" i="5"/>
  <c r="F1794" i="5"/>
  <c r="M1793" i="5"/>
  <c r="F1793" i="5"/>
  <c r="M1792" i="5"/>
  <c r="F1792" i="5"/>
  <c r="M1791" i="5"/>
  <c r="F1791" i="5"/>
  <c r="M1790" i="5"/>
  <c r="F1790" i="5"/>
  <c r="M1789" i="5"/>
  <c r="F1789" i="5"/>
  <c r="M1788" i="5"/>
  <c r="F1788" i="5"/>
  <c r="M1787" i="5"/>
  <c r="F1787" i="5"/>
  <c r="M1786" i="5"/>
  <c r="F1786" i="5"/>
  <c r="M1785" i="5"/>
  <c r="F1785" i="5"/>
  <c r="M1784" i="5"/>
  <c r="F1784" i="5"/>
  <c r="M1783" i="5"/>
  <c r="F1783" i="5"/>
  <c r="M1782" i="5"/>
  <c r="F1782" i="5"/>
  <c r="M1781" i="5"/>
  <c r="F1781" i="5"/>
  <c r="M1780" i="5"/>
  <c r="F1780" i="5"/>
  <c r="M1779" i="5"/>
  <c r="M1777" i="5"/>
  <c r="F1777" i="5"/>
  <c r="M1776" i="5"/>
  <c r="F1776" i="5"/>
  <c r="M1775" i="5"/>
  <c r="F1775" i="5"/>
  <c r="M1774" i="5"/>
  <c r="F1774" i="5"/>
  <c r="F1773" i="5"/>
  <c r="F1772" i="5"/>
  <c r="F1771" i="5"/>
  <c r="M1770" i="5"/>
  <c r="F1770" i="5"/>
  <c r="M1769" i="5"/>
  <c r="F1769" i="5"/>
  <c r="M1768" i="5"/>
  <c r="F1768" i="5"/>
  <c r="F1714" i="5"/>
  <c r="M1709" i="5"/>
  <c r="L1760" i="5"/>
  <c r="L1762" i="5" s="1"/>
  <c r="E1760" i="5"/>
  <c r="D1760" i="5"/>
  <c r="C1760" i="5"/>
  <c r="B1760" i="5"/>
  <c r="K1760" i="5"/>
  <c r="K1762" i="5" s="1"/>
  <c r="J1760" i="5"/>
  <c r="J1762" i="5" s="1"/>
  <c r="I1760" i="5"/>
  <c r="I1762" i="5" s="1"/>
  <c r="F1759" i="5"/>
  <c r="F1758" i="5"/>
  <c r="F1757" i="5"/>
  <c r="M1756" i="5"/>
  <c r="F1756" i="5"/>
  <c r="M1755" i="5"/>
  <c r="F1755" i="5"/>
  <c r="M1754" i="5"/>
  <c r="F1754" i="5"/>
  <c r="M1753" i="5"/>
  <c r="F1753" i="5"/>
  <c r="M1752" i="5"/>
  <c r="F1752" i="5"/>
  <c r="M1751" i="5"/>
  <c r="F1751" i="5"/>
  <c r="F1750" i="5"/>
  <c r="M1749" i="5"/>
  <c r="F1749" i="5"/>
  <c r="M1748" i="5"/>
  <c r="F1748" i="5"/>
  <c r="M1747" i="5"/>
  <c r="F1747" i="5"/>
  <c r="M1746" i="5"/>
  <c r="F1746" i="5"/>
  <c r="M1745" i="5"/>
  <c r="F1745" i="5"/>
  <c r="M1744" i="5"/>
  <c r="F1744" i="5"/>
  <c r="M1743" i="5"/>
  <c r="F1743" i="5"/>
  <c r="M1742" i="5"/>
  <c r="F1742" i="5"/>
  <c r="M1741" i="5"/>
  <c r="F1741" i="5"/>
  <c r="M1740" i="5"/>
  <c r="F1740" i="5"/>
  <c r="M1739" i="5"/>
  <c r="F1739" i="5"/>
  <c r="M1738" i="5"/>
  <c r="F1738" i="5"/>
  <c r="M1737" i="5"/>
  <c r="F1737" i="5"/>
  <c r="M1736" i="5"/>
  <c r="F1736" i="5"/>
  <c r="M1734" i="5"/>
  <c r="F1734" i="5"/>
  <c r="M1733" i="5"/>
  <c r="F1733" i="5"/>
  <c r="M1732" i="5"/>
  <c r="F1732" i="5"/>
  <c r="M1731" i="5"/>
  <c r="F1731" i="5"/>
  <c r="M1730" i="5"/>
  <c r="F1730" i="5"/>
  <c r="M1729" i="5"/>
  <c r="F1729" i="5"/>
  <c r="M1728" i="5"/>
  <c r="F1728" i="5"/>
  <c r="M1727" i="5"/>
  <c r="F1727" i="5"/>
  <c r="M1726" i="5"/>
  <c r="F1726" i="5"/>
  <c r="M1725" i="5"/>
  <c r="F1725" i="5"/>
  <c r="M1693" i="5"/>
  <c r="M1671" i="5"/>
  <c r="M1672" i="5"/>
  <c r="M1673" i="5"/>
  <c r="M1714" i="5"/>
  <c r="M1694" i="5"/>
  <c r="M1695" i="5"/>
  <c r="M1696" i="5"/>
  <c r="M1697" i="5"/>
  <c r="M1698" i="5"/>
  <c r="M1699" i="5"/>
  <c r="M1700" i="5"/>
  <c r="M1701" i="5"/>
  <c r="M170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682" i="5"/>
  <c r="F1683" i="5"/>
  <c r="F1684" i="5"/>
  <c r="F1685" i="5"/>
  <c r="F1686" i="5"/>
  <c r="F1687" i="5"/>
  <c r="F1688" i="5"/>
  <c r="F1689" i="5"/>
  <c r="L1717" i="5"/>
  <c r="K1717" i="5"/>
  <c r="J1717" i="5"/>
  <c r="I1717" i="5"/>
  <c r="E1717" i="5"/>
  <c r="D1717" i="5"/>
  <c r="C1717" i="5"/>
  <c r="B1717" i="5"/>
  <c r="M1716" i="5"/>
  <c r="F1716" i="5"/>
  <c r="M1715" i="5"/>
  <c r="F1715" i="5"/>
  <c r="M1713" i="5"/>
  <c r="M1712" i="5"/>
  <c r="M1711" i="5"/>
  <c r="M1710" i="5"/>
  <c r="M1708" i="5"/>
  <c r="M1707" i="5"/>
  <c r="M1706" i="5"/>
  <c r="M1705" i="5"/>
  <c r="M1704" i="5"/>
  <c r="M1703" i="5"/>
  <c r="D1692" i="5"/>
  <c r="D1718" i="5" s="1"/>
  <c r="D1724" i="5" s="1"/>
  <c r="D1735" i="5" s="1"/>
  <c r="D1761" i="5" s="1"/>
  <c r="D1767" i="5" s="1"/>
  <c r="D1778" i="5" s="1"/>
  <c r="M1691" i="5"/>
  <c r="F1691" i="5"/>
  <c r="M1690" i="5"/>
  <c r="F1690" i="5"/>
  <c r="M1689" i="5"/>
  <c r="M1688" i="5"/>
  <c r="M1687" i="5"/>
  <c r="M1686" i="5"/>
  <c r="M1685" i="5"/>
  <c r="M1684" i="5"/>
  <c r="M1683" i="5"/>
  <c r="M1682" i="5"/>
  <c r="D1681" i="5"/>
  <c r="M1658" i="5"/>
  <c r="M1655" i="5"/>
  <c r="M1654" i="5"/>
  <c r="F1639" i="5"/>
  <c r="M1623" i="5"/>
  <c r="M1621" i="5"/>
  <c r="M1620" i="5"/>
  <c r="F1599" i="5"/>
  <c r="M1613" i="5"/>
  <c r="M1612" i="5"/>
  <c r="F1597" i="5"/>
  <c r="M1639" i="5"/>
  <c r="F1640" i="5"/>
  <c r="M1640" i="5"/>
  <c r="F1641" i="5"/>
  <c r="M1641" i="5"/>
  <c r="F1642" i="5"/>
  <c r="M1642" i="5"/>
  <c r="F1643" i="5"/>
  <c r="M1643" i="5"/>
  <c r="F1650" i="5"/>
  <c r="M1650" i="5"/>
  <c r="F1651" i="5"/>
  <c r="M1651" i="5"/>
  <c r="F1652" i="5"/>
  <c r="M1652" i="5"/>
  <c r="F1653" i="5"/>
  <c r="M1653" i="5"/>
  <c r="F1654" i="5"/>
  <c r="F1655" i="5"/>
  <c r="F1656" i="5"/>
  <c r="M1656" i="5"/>
  <c r="F1657" i="5"/>
  <c r="M1657" i="5"/>
  <c r="F1658" i="5"/>
  <c r="F1659" i="5"/>
  <c r="M1659" i="5"/>
  <c r="F1660" i="5"/>
  <c r="M1660" i="5"/>
  <c r="F1661" i="5"/>
  <c r="M1661" i="5"/>
  <c r="F1663" i="5"/>
  <c r="M1663" i="5"/>
  <c r="F1664" i="5"/>
  <c r="M1664" i="5"/>
  <c r="F1665" i="5"/>
  <c r="M1665" i="5"/>
  <c r="F1666" i="5"/>
  <c r="M1666" i="5"/>
  <c r="F1667" i="5"/>
  <c r="M1667" i="5"/>
  <c r="F1668" i="5"/>
  <c r="M1668" i="5"/>
  <c r="F1669" i="5"/>
  <c r="M1669" i="5"/>
  <c r="F1670" i="5"/>
  <c r="M1670" i="5"/>
  <c r="F1671" i="5"/>
  <c r="F1672" i="5"/>
  <c r="F1673" i="5"/>
  <c r="L1674" i="5"/>
  <c r="K1674" i="5"/>
  <c r="J1674" i="5"/>
  <c r="I1674" i="5"/>
  <c r="E1674" i="5"/>
  <c r="D1674" i="5"/>
  <c r="C1674" i="5"/>
  <c r="B1674" i="5"/>
  <c r="M1662" i="5"/>
  <c r="F1662" i="5"/>
  <c r="M1648" i="5"/>
  <c r="F1648" i="5"/>
  <c r="M1647" i="5"/>
  <c r="F1647" i="5"/>
  <c r="M1646" i="5"/>
  <c r="F1646" i="5"/>
  <c r="M1645" i="5"/>
  <c r="F1645" i="5"/>
  <c r="M1644" i="5"/>
  <c r="F1644" i="5"/>
  <c r="M1609" i="5"/>
  <c r="M1583" i="5"/>
  <c r="M1581" i="5"/>
  <c r="M1629" i="5"/>
  <c r="M1555" i="5"/>
  <c r="M1556" i="5"/>
  <c r="M1585" i="5"/>
  <c r="M1586" i="5"/>
  <c r="M1587" i="5"/>
  <c r="M1628" i="5"/>
  <c r="M1607" i="5"/>
  <c r="M1608" i="5"/>
  <c r="M1610" i="5"/>
  <c r="M1611" i="5"/>
  <c r="M1614" i="5"/>
  <c r="M1615" i="5"/>
  <c r="M1616" i="5"/>
  <c r="M1617" i="5"/>
  <c r="M1618" i="5"/>
  <c r="M1619" i="5"/>
  <c r="M1622" i="5"/>
  <c r="F1607" i="5"/>
  <c r="F1608" i="5"/>
  <c r="F1609" i="5"/>
  <c r="F1610" i="5"/>
  <c r="F1611" i="5"/>
  <c r="F1612" i="5"/>
  <c r="F1613" i="5"/>
  <c r="F1614" i="5"/>
  <c r="F1615" i="5"/>
  <c r="F1616" i="5"/>
  <c r="F1617" i="5"/>
  <c r="F1596" i="5"/>
  <c r="F1598" i="5"/>
  <c r="L1631" i="5"/>
  <c r="K1631" i="5"/>
  <c r="I1631" i="5"/>
  <c r="D1631" i="5"/>
  <c r="C1631" i="5"/>
  <c r="B1631" i="5"/>
  <c r="M1630" i="5"/>
  <c r="F1630" i="5"/>
  <c r="F1629" i="5"/>
  <c r="F1628" i="5"/>
  <c r="M1627" i="5"/>
  <c r="F1627" i="5"/>
  <c r="M1626" i="5"/>
  <c r="F1626" i="5"/>
  <c r="M1625" i="5"/>
  <c r="F1625" i="5"/>
  <c r="M1624" i="5"/>
  <c r="F1624" i="5"/>
  <c r="F1623" i="5"/>
  <c r="F1622" i="5"/>
  <c r="F1621" i="5"/>
  <c r="F1620" i="5"/>
  <c r="F1619" i="5"/>
  <c r="F1618" i="5"/>
  <c r="E1631" i="5"/>
  <c r="M1605" i="5"/>
  <c r="F1605" i="5"/>
  <c r="M1604" i="5"/>
  <c r="F1604" i="5"/>
  <c r="M1603" i="5"/>
  <c r="F1603" i="5"/>
  <c r="M1602" i="5"/>
  <c r="F1602" i="5"/>
  <c r="M1601" i="5"/>
  <c r="F1601" i="5"/>
  <c r="M1600" i="5"/>
  <c r="F1600" i="5"/>
  <c r="M1599" i="5"/>
  <c r="M1598" i="5"/>
  <c r="M1597" i="5"/>
  <c r="M1596" i="5"/>
  <c r="M1579" i="5"/>
  <c r="J1577" i="5"/>
  <c r="M1575" i="5"/>
  <c r="M1574" i="5"/>
  <c r="E1566" i="5"/>
  <c r="M1569" i="5"/>
  <c r="M1567" i="5"/>
  <c r="E1512" i="5"/>
  <c r="M1532" i="5"/>
  <c r="J1512" i="5"/>
  <c r="K1512" i="5"/>
  <c r="L1512" i="5"/>
  <c r="M1540" i="5"/>
  <c r="M1523" i="5"/>
  <c r="M1584" i="5"/>
  <c r="L1588" i="5"/>
  <c r="M1554" i="5"/>
  <c r="M1557" i="5"/>
  <c r="E1588" i="5"/>
  <c r="D1588" i="5"/>
  <c r="C1588" i="5"/>
  <c r="B1588" i="5"/>
  <c r="F1587" i="5"/>
  <c r="F1586" i="5"/>
  <c r="K1588" i="5"/>
  <c r="J1588" i="5"/>
  <c r="F1585" i="5"/>
  <c r="F1584" i="5"/>
  <c r="F1583" i="5"/>
  <c r="M1582" i="5"/>
  <c r="F1582" i="5"/>
  <c r="F1581" i="5"/>
  <c r="M1580" i="5"/>
  <c r="F1580" i="5"/>
  <c r="F1579" i="5"/>
  <c r="M1578" i="5"/>
  <c r="F1578" i="5"/>
  <c r="M1577" i="5"/>
  <c r="F1577" i="5"/>
  <c r="M1576" i="5"/>
  <c r="F1576" i="5"/>
  <c r="F1575" i="5"/>
  <c r="F1574" i="5"/>
  <c r="M1573" i="5"/>
  <c r="F1573" i="5"/>
  <c r="M1572" i="5"/>
  <c r="F1572" i="5"/>
  <c r="M1571" i="5"/>
  <c r="F1571" i="5"/>
  <c r="M1570" i="5"/>
  <c r="F1570" i="5"/>
  <c r="F1569" i="5"/>
  <c r="M1568" i="5"/>
  <c r="F1568" i="5"/>
  <c r="F1567" i="5"/>
  <c r="M1566" i="5"/>
  <c r="F1566" i="5"/>
  <c r="M1565" i="5"/>
  <c r="F1565" i="5"/>
  <c r="M1564" i="5"/>
  <c r="F1564" i="5"/>
  <c r="M1562" i="5"/>
  <c r="F1562" i="5"/>
  <c r="M1561" i="5"/>
  <c r="F1561" i="5"/>
  <c r="M1560" i="5"/>
  <c r="F1560" i="5"/>
  <c r="M1559" i="5"/>
  <c r="F1559" i="5"/>
  <c r="M1558" i="5"/>
  <c r="F1558" i="5"/>
  <c r="F1557" i="5"/>
  <c r="F1556" i="5"/>
  <c r="F1555" i="5"/>
  <c r="F1554" i="5"/>
  <c r="M1553" i="5"/>
  <c r="F1553" i="5"/>
  <c r="M1492" i="5"/>
  <c r="M1487" i="5"/>
  <c r="M1500" i="5"/>
  <c r="M1499" i="5"/>
  <c r="M1498" i="5"/>
  <c r="P120" i="6"/>
  <c r="P121" i="6" s="1"/>
  <c r="O120" i="6"/>
  <c r="O121" i="6" s="1"/>
  <c r="N120" i="6"/>
  <c r="N121" i="6" s="1"/>
  <c r="M120" i="6"/>
  <c r="M121" i="6" s="1"/>
  <c r="K121" i="6"/>
  <c r="K120" i="6"/>
  <c r="J120" i="6"/>
  <c r="I120" i="6"/>
  <c r="I121" i="6" s="1"/>
  <c r="H120" i="6"/>
  <c r="H121" i="6" s="1"/>
  <c r="C120" i="6"/>
  <c r="C121" i="6" s="1"/>
  <c r="D120" i="6"/>
  <c r="D121" i="6" s="1"/>
  <c r="E120" i="6"/>
  <c r="E121" i="6" s="1"/>
  <c r="F120" i="6"/>
  <c r="F121" i="6" s="1"/>
  <c r="M1484" i="5"/>
  <c r="M1482" i="5"/>
  <c r="M1452" i="5"/>
  <c r="M1453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12" i="5"/>
  <c r="M1411" i="5"/>
  <c r="M1410" i="5"/>
  <c r="F1451" i="5"/>
  <c r="M1543" i="5"/>
  <c r="F1932" i="5" l="1"/>
  <c r="F1889" i="5"/>
  <c r="M1932" i="5"/>
  <c r="M1975" i="5"/>
  <c r="F1846" i="5"/>
  <c r="D1804" i="5"/>
  <c r="D1810" i="5" s="1"/>
  <c r="D1821" i="5" s="1"/>
  <c r="M1889" i="5"/>
  <c r="M1891" i="5" s="1"/>
  <c r="J1892" i="5" s="1"/>
  <c r="D1847" i="5"/>
  <c r="D1853" i="5" s="1"/>
  <c r="D1864" i="5" s="1"/>
  <c r="D1890" i="5" s="1"/>
  <c r="D1896" i="5" s="1"/>
  <c r="D1907" i="5" s="1"/>
  <c r="D1933" i="5" s="1"/>
  <c r="D1939" i="5" s="1"/>
  <c r="D1950" i="5" s="1"/>
  <c r="D1976" i="5" s="1"/>
  <c r="D1982" i="5" s="1"/>
  <c r="D1993" i="5" s="1"/>
  <c r="D2019" i="5" s="1"/>
  <c r="I1846" i="5"/>
  <c r="M1846" i="5" s="1"/>
  <c r="F1803" i="5"/>
  <c r="M1803" i="5"/>
  <c r="F1760" i="5"/>
  <c r="M1760" i="5"/>
  <c r="M1762" i="5" s="1"/>
  <c r="M1763" i="5" s="1"/>
  <c r="F1717" i="5"/>
  <c r="M1717" i="5"/>
  <c r="F1674" i="5"/>
  <c r="M1674" i="5"/>
  <c r="F1631" i="5"/>
  <c r="J1631" i="5"/>
  <c r="M1631" i="5" s="1"/>
  <c r="F1588" i="5"/>
  <c r="I1588" i="5"/>
  <c r="M1588" i="5" s="1"/>
  <c r="F1446" i="5"/>
  <c r="M1454" i="5"/>
  <c r="M1501" i="5"/>
  <c r="M1427" i="5"/>
  <c r="M1428" i="5"/>
  <c r="M1469" i="5"/>
  <c r="L1545" i="5"/>
  <c r="K1545" i="5"/>
  <c r="J1545" i="5"/>
  <c r="I1545" i="5"/>
  <c r="E1545" i="5"/>
  <c r="D1545" i="5"/>
  <c r="C1545" i="5"/>
  <c r="B1545" i="5"/>
  <c r="M1544" i="5"/>
  <c r="F1544" i="5"/>
  <c r="F1543" i="5"/>
  <c r="M1542" i="5"/>
  <c r="F1542" i="5"/>
  <c r="M1541" i="5"/>
  <c r="F1541" i="5"/>
  <c r="F1540" i="5"/>
  <c r="M1539" i="5"/>
  <c r="F1539" i="5"/>
  <c r="M1538" i="5"/>
  <c r="F1538" i="5"/>
  <c r="M1537" i="5"/>
  <c r="F1537" i="5"/>
  <c r="M1536" i="5"/>
  <c r="F1536" i="5"/>
  <c r="M1535" i="5"/>
  <c r="F1535" i="5"/>
  <c r="M1534" i="5"/>
  <c r="F1534" i="5"/>
  <c r="M1533" i="5"/>
  <c r="F1533" i="5"/>
  <c r="F1532" i="5"/>
  <c r="M1531" i="5"/>
  <c r="F1531" i="5"/>
  <c r="M1530" i="5"/>
  <c r="F1530" i="5"/>
  <c r="M1529" i="5"/>
  <c r="F1529" i="5"/>
  <c r="M1528" i="5"/>
  <c r="F1528" i="5"/>
  <c r="M1527" i="5"/>
  <c r="F1527" i="5"/>
  <c r="M1526" i="5"/>
  <c r="F1526" i="5"/>
  <c r="M1525" i="5"/>
  <c r="F1525" i="5"/>
  <c r="M1524" i="5"/>
  <c r="F1524" i="5"/>
  <c r="F1523" i="5"/>
  <c r="M1522" i="5"/>
  <c r="F1522" i="5"/>
  <c r="M1521" i="5"/>
  <c r="F1521" i="5"/>
  <c r="M1519" i="5"/>
  <c r="F1519" i="5"/>
  <c r="M1518" i="5"/>
  <c r="F1518" i="5"/>
  <c r="M1517" i="5"/>
  <c r="F1517" i="5"/>
  <c r="M1516" i="5"/>
  <c r="F1516" i="5"/>
  <c r="M1515" i="5"/>
  <c r="F1515" i="5"/>
  <c r="M1514" i="5"/>
  <c r="F1514" i="5"/>
  <c r="M1513" i="5"/>
  <c r="F1513" i="5"/>
  <c r="M1512" i="5"/>
  <c r="F1512" i="5"/>
  <c r="M1511" i="5"/>
  <c r="F1511" i="5"/>
  <c r="M1510" i="5"/>
  <c r="F1510" i="5"/>
  <c r="M1408" i="5"/>
  <c r="M1406" i="5"/>
  <c r="M1404" i="5"/>
  <c r="M1455" i="5"/>
  <c r="M1456" i="5"/>
  <c r="M1401" i="5"/>
  <c r="M1398" i="5"/>
  <c r="M1426" i="5"/>
  <c r="M1497" i="5"/>
  <c r="M1470" i="5"/>
  <c r="L1502" i="5"/>
  <c r="K1502" i="5"/>
  <c r="J1502" i="5"/>
  <c r="I1502" i="5"/>
  <c r="E1502" i="5"/>
  <c r="D1502" i="5"/>
  <c r="C1502" i="5"/>
  <c r="B1502" i="5"/>
  <c r="F1501" i="5"/>
  <c r="F1500" i="5"/>
  <c r="F1499" i="5"/>
  <c r="F1498" i="5"/>
  <c r="F1497" i="5"/>
  <c r="M1496" i="5"/>
  <c r="F1496" i="5"/>
  <c r="M1495" i="5"/>
  <c r="F1495" i="5"/>
  <c r="M1494" i="5"/>
  <c r="F1494" i="5"/>
  <c r="M1493" i="5"/>
  <c r="F1493" i="5"/>
  <c r="F1492" i="5"/>
  <c r="M1491" i="5"/>
  <c r="F1491" i="5"/>
  <c r="M1490" i="5"/>
  <c r="F1490" i="5"/>
  <c r="M1489" i="5"/>
  <c r="F1489" i="5"/>
  <c r="M1488" i="5"/>
  <c r="F1488" i="5"/>
  <c r="F1487" i="5"/>
  <c r="M1486" i="5"/>
  <c r="F1486" i="5"/>
  <c r="M1485" i="5"/>
  <c r="F1485" i="5"/>
  <c r="F1484" i="5"/>
  <c r="M1483" i="5"/>
  <c r="F1483" i="5"/>
  <c r="F1482" i="5"/>
  <c r="M1481" i="5"/>
  <c r="F1481" i="5"/>
  <c r="M1480" i="5"/>
  <c r="F1480" i="5"/>
  <c r="M1479" i="5"/>
  <c r="F1479" i="5"/>
  <c r="M1478" i="5"/>
  <c r="F1478" i="5"/>
  <c r="M1476" i="5"/>
  <c r="F1476" i="5"/>
  <c r="M1475" i="5"/>
  <c r="F1475" i="5"/>
  <c r="M1474" i="5"/>
  <c r="F1474" i="5"/>
  <c r="M1473" i="5"/>
  <c r="F1473" i="5"/>
  <c r="M1472" i="5"/>
  <c r="F1472" i="5"/>
  <c r="M1471" i="5"/>
  <c r="F1471" i="5"/>
  <c r="F1470" i="5"/>
  <c r="F1469" i="5"/>
  <c r="M1468" i="5"/>
  <c r="F1468" i="5"/>
  <c r="M1467" i="5"/>
  <c r="F1467" i="5"/>
  <c r="M1395" i="5"/>
  <c r="M1383" i="5"/>
  <c r="M1413" i="5"/>
  <c r="M1414" i="5"/>
  <c r="M1415" i="5"/>
  <c r="L1459" i="5"/>
  <c r="K1459" i="5"/>
  <c r="J1459" i="5"/>
  <c r="I1459" i="5"/>
  <c r="E1459" i="5"/>
  <c r="D1459" i="5"/>
  <c r="C1459" i="5"/>
  <c r="B1459" i="5"/>
  <c r="M1458" i="5"/>
  <c r="F1458" i="5"/>
  <c r="M1457" i="5"/>
  <c r="F1457" i="5"/>
  <c r="F1456" i="5"/>
  <c r="F1455" i="5"/>
  <c r="F1454" i="5"/>
  <c r="F1453" i="5"/>
  <c r="F1452" i="5"/>
  <c r="F1450" i="5"/>
  <c r="F1449" i="5"/>
  <c r="F1448" i="5"/>
  <c r="F1447" i="5"/>
  <c r="F1445" i="5"/>
  <c r="F1444" i="5"/>
  <c r="F1443" i="5"/>
  <c r="F1442" i="5"/>
  <c r="F1441" i="5"/>
  <c r="F1440" i="5"/>
  <c r="F1439" i="5"/>
  <c r="F1438" i="5"/>
  <c r="F1437" i="5"/>
  <c r="F1436" i="5"/>
  <c r="F1435" i="5"/>
  <c r="M1433" i="5"/>
  <c r="F1433" i="5"/>
  <c r="M1432" i="5"/>
  <c r="F1432" i="5"/>
  <c r="M1431" i="5"/>
  <c r="F1431" i="5"/>
  <c r="M1430" i="5"/>
  <c r="F1430" i="5"/>
  <c r="M1429" i="5"/>
  <c r="F1429" i="5"/>
  <c r="F1428" i="5"/>
  <c r="F1427" i="5"/>
  <c r="F1426" i="5"/>
  <c r="M1425" i="5"/>
  <c r="F1425" i="5"/>
  <c r="M1424" i="5"/>
  <c r="F1424" i="5"/>
  <c r="M1366" i="5"/>
  <c r="M1372" i="5"/>
  <c r="K1373" i="5"/>
  <c r="K1375" i="5" s="1"/>
  <c r="M1361" i="5"/>
  <c r="M1359" i="5"/>
  <c r="M1365" i="5"/>
  <c r="F1381" i="5"/>
  <c r="M1381" i="5"/>
  <c r="F1382" i="5"/>
  <c r="M1382" i="5"/>
  <c r="F1383" i="5"/>
  <c r="F1384" i="5"/>
  <c r="M1384" i="5"/>
  <c r="F1385" i="5"/>
  <c r="M1385" i="5"/>
  <c r="F1386" i="5"/>
  <c r="M1386" i="5"/>
  <c r="F1392" i="5"/>
  <c r="M1392" i="5"/>
  <c r="F1393" i="5"/>
  <c r="M1393" i="5"/>
  <c r="F1394" i="5"/>
  <c r="M1394" i="5"/>
  <c r="F1395" i="5"/>
  <c r="F1396" i="5"/>
  <c r="M1396" i="5"/>
  <c r="F1397" i="5"/>
  <c r="M1397" i="5"/>
  <c r="F1398" i="5"/>
  <c r="F1399" i="5"/>
  <c r="M1399" i="5"/>
  <c r="F1400" i="5"/>
  <c r="M1400" i="5"/>
  <c r="F1401" i="5"/>
  <c r="F1402" i="5"/>
  <c r="M1402" i="5"/>
  <c r="F1403" i="5"/>
  <c r="M1403" i="5"/>
  <c r="F1404" i="5"/>
  <c r="F1406" i="5"/>
  <c r="F1407" i="5"/>
  <c r="M1407" i="5"/>
  <c r="F1408" i="5"/>
  <c r="F1409" i="5"/>
  <c r="M1409" i="5"/>
  <c r="F1410" i="5"/>
  <c r="F1411" i="5"/>
  <c r="F1412" i="5"/>
  <c r="F1413" i="5"/>
  <c r="F1414" i="5"/>
  <c r="F1415" i="5"/>
  <c r="L1416" i="5"/>
  <c r="K1416" i="5"/>
  <c r="E1416" i="5"/>
  <c r="D1416" i="5"/>
  <c r="C1416" i="5"/>
  <c r="B1416" i="5"/>
  <c r="J1416" i="5"/>
  <c r="I1416" i="5"/>
  <c r="M1405" i="5"/>
  <c r="F1405" i="5"/>
  <c r="M1390" i="5"/>
  <c r="F1390" i="5"/>
  <c r="M1389" i="5"/>
  <c r="F1389" i="5"/>
  <c r="M1388" i="5"/>
  <c r="F1388" i="5"/>
  <c r="M1387" i="5"/>
  <c r="F1387" i="5"/>
  <c r="M1358" i="5"/>
  <c r="G89" i="6"/>
  <c r="L89" i="6"/>
  <c r="Q89" i="6"/>
  <c r="R89" i="6"/>
  <c r="G90" i="6"/>
  <c r="L90" i="6"/>
  <c r="Q90" i="6"/>
  <c r="R90" i="6"/>
  <c r="G91" i="6"/>
  <c r="L91" i="6"/>
  <c r="Q91" i="6"/>
  <c r="R91" i="6"/>
  <c r="G92" i="6"/>
  <c r="L92" i="6"/>
  <c r="Q92" i="6"/>
  <c r="R92" i="6"/>
  <c r="Q119" i="6"/>
  <c r="L119" i="6"/>
  <c r="G119" i="6"/>
  <c r="Q118" i="6"/>
  <c r="L118" i="6"/>
  <c r="G118" i="6"/>
  <c r="R118" i="6" s="1"/>
  <c r="Q117" i="6"/>
  <c r="L117" i="6"/>
  <c r="G117" i="6"/>
  <c r="Q116" i="6"/>
  <c r="L116" i="6"/>
  <c r="G116" i="6"/>
  <c r="R116" i="6" s="1"/>
  <c r="Q115" i="6"/>
  <c r="L115" i="6"/>
  <c r="G115" i="6"/>
  <c r="Q114" i="6"/>
  <c r="L114" i="6"/>
  <c r="G114" i="6"/>
  <c r="R114" i="6" s="1"/>
  <c r="Q113" i="6"/>
  <c r="L113" i="6"/>
  <c r="G113" i="6"/>
  <c r="Q112" i="6"/>
  <c r="L112" i="6"/>
  <c r="G112" i="6"/>
  <c r="R112" i="6" s="1"/>
  <c r="Q111" i="6"/>
  <c r="L111" i="6"/>
  <c r="G111" i="6"/>
  <c r="Q110" i="6"/>
  <c r="L110" i="6"/>
  <c r="G110" i="6"/>
  <c r="R110" i="6" s="1"/>
  <c r="Q109" i="6"/>
  <c r="L109" i="6"/>
  <c r="G109" i="6"/>
  <c r="Q108" i="6"/>
  <c r="L108" i="6"/>
  <c r="G108" i="6"/>
  <c r="R108" i="6" s="1"/>
  <c r="Q107" i="6"/>
  <c r="L107" i="6"/>
  <c r="G107" i="6"/>
  <c r="Q106" i="6"/>
  <c r="L106" i="6"/>
  <c r="G106" i="6"/>
  <c r="R106" i="6" s="1"/>
  <c r="Q105" i="6"/>
  <c r="L105" i="6"/>
  <c r="G105" i="6"/>
  <c r="Q104" i="6"/>
  <c r="L104" i="6"/>
  <c r="G104" i="6"/>
  <c r="Q103" i="6"/>
  <c r="L103" i="6"/>
  <c r="G103" i="6"/>
  <c r="Q102" i="6"/>
  <c r="L102" i="6"/>
  <c r="G102" i="6"/>
  <c r="R102" i="6" s="1"/>
  <c r="Q101" i="6"/>
  <c r="L101" i="6"/>
  <c r="G101" i="6"/>
  <c r="Q100" i="6"/>
  <c r="L100" i="6"/>
  <c r="G100" i="6"/>
  <c r="R100" i="6" s="1"/>
  <c r="Q99" i="6"/>
  <c r="L99" i="6"/>
  <c r="G99" i="6"/>
  <c r="Q98" i="6"/>
  <c r="L98" i="6"/>
  <c r="G98" i="6"/>
  <c r="Q96" i="6"/>
  <c r="L96" i="6"/>
  <c r="G96" i="6"/>
  <c r="R96" i="6" s="1"/>
  <c r="Q95" i="6"/>
  <c r="L95" i="6"/>
  <c r="G95" i="6"/>
  <c r="R95" i="6" s="1"/>
  <c r="Q94" i="6"/>
  <c r="L94" i="6"/>
  <c r="G94" i="6"/>
  <c r="Q93" i="6"/>
  <c r="L93" i="6"/>
  <c r="G93" i="6"/>
  <c r="R93" i="6" s="1"/>
  <c r="Q88" i="6"/>
  <c r="L88" i="6"/>
  <c r="G88" i="6"/>
  <c r="Q87" i="6"/>
  <c r="L87" i="6"/>
  <c r="G87" i="6"/>
  <c r="Q86" i="6"/>
  <c r="P86" i="6"/>
  <c r="P97" i="6" s="1"/>
  <c r="O86" i="6"/>
  <c r="O97" i="6" s="1"/>
  <c r="N86" i="6"/>
  <c r="N97" i="6" s="1"/>
  <c r="M86" i="6"/>
  <c r="M97" i="6" s="1"/>
  <c r="K86" i="6"/>
  <c r="K97" i="6" s="1"/>
  <c r="I86" i="6"/>
  <c r="I97" i="6" s="1"/>
  <c r="H86" i="6"/>
  <c r="H97" i="6" s="1"/>
  <c r="G86" i="6"/>
  <c r="F86" i="6"/>
  <c r="F97" i="6" s="1"/>
  <c r="E86" i="6"/>
  <c r="E97" i="6" s="1"/>
  <c r="D86" i="6"/>
  <c r="D97" i="6" s="1"/>
  <c r="C86" i="6"/>
  <c r="C97" i="6" s="1"/>
  <c r="M1356" i="5"/>
  <c r="M1368" i="5"/>
  <c r="M1353" i="5"/>
  <c r="M1349" i="5"/>
  <c r="M1326" i="5"/>
  <c r="M1369" i="5"/>
  <c r="M1320" i="5"/>
  <c r="M1314" i="5"/>
  <c r="M1370" i="5"/>
  <c r="M1285" i="5"/>
  <c r="M1286" i="5"/>
  <c r="M1329" i="5"/>
  <c r="M1328" i="5"/>
  <c r="M1297" i="5"/>
  <c r="L1373" i="5"/>
  <c r="L1375" i="5" s="1"/>
  <c r="J1373" i="5"/>
  <c r="J1375" i="5" s="1"/>
  <c r="I1373" i="5"/>
  <c r="I1375" i="5" s="1"/>
  <c r="E1373" i="5"/>
  <c r="D1373" i="5"/>
  <c r="C1373" i="5"/>
  <c r="B1373" i="5"/>
  <c r="F1372" i="5"/>
  <c r="M1371" i="5"/>
  <c r="F1371" i="5"/>
  <c r="F1370" i="5"/>
  <c r="F1369" i="5"/>
  <c r="F1368" i="5"/>
  <c r="M1367" i="5"/>
  <c r="F1367" i="5"/>
  <c r="F1366" i="5"/>
  <c r="F1365" i="5"/>
  <c r="M1364" i="5"/>
  <c r="F1364" i="5"/>
  <c r="M1363" i="5"/>
  <c r="F1363" i="5"/>
  <c r="M1362" i="5"/>
  <c r="F1362" i="5"/>
  <c r="F1361" i="5"/>
  <c r="M1360" i="5"/>
  <c r="F1360" i="5"/>
  <c r="F1359" i="5"/>
  <c r="F1358" i="5"/>
  <c r="M1357" i="5"/>
  <c r="F1357" i="5"/>
  <c r="F1356" i="5"/>
  <c r="M1355" i="5"/>
  <c r="F1355" i="5"/>
  <c r="M1354" i="5"/>
  <c r="F1354" i="5"/>
  <c r="F1353" i="5"/>
  <c r="M1352" i="5"/>
  <c r="F1352" i="5"/>
  <c r="M1351" i="5"/>
  <c r="F1351" i="5"/>
  <c r="M1350" i="5"/>
  <c r="F1350" i="5"/>
  <c r="F1349" i="5"/>
  <c r="M1347" i="5"/>
  <c r="F1347" i="5"/>
  <c r="M1346" i="5"/>
  <c r="F1346" i="5"/>
  <c r="M1345" i="5"/>
  <c r="F1345" i="5"/>
  <c r="M1344" i="5"/>
  <c r="F1344" i="5"/>
  <c r="M1343" i="5"/>
  <c r="F1343" i="5"/>
  <c r="M1342" i="5"/>
  <c r="F1342" i="5"/>
  <c r="M1341" i="5"/>
  <c r="F1341" i="5"/>
  <c r="M1340" i="5"/>
  <c r="F1340" i="5"/>
  <c r="M1339" i="5"/>
  <c r="F1339" i="5"/>
  <c r="M1338" i="5"/>
  <c r="F1338" i="5"/>
  <c r="M1243" i="5"/>
  <c r="M1242" i="5"/>
  <c r="M1241" i="5"/>
  <c r="M1252" i="5"/>
  <c r="M1280" i="5"/>
  <c r="M1275" i="5"/>
  <c r="M1267" i="5"/>
  <c r="M1284" i="5"/>
  <c r="M1263" i="5"/>
  <c r="M1240" i="5"/>
  <c r="M1254" i="5"/>
  <c r="L1330" i="5"/>
  <c r="K1330" i="5"/>
  <c r="J1330" i="5"/>
  <c r="I1330" i="5"/>
  <c r="E1330" i="5"/>
  <c r="D1330" i="5"/>
  <c r="C1330" i="5"/>
  <c r="B1330" i="5"/>
  <c r="F1329" i="5"/>
  <c r="F1328" i="5"/>
  <c r="M1327" i="5"/>
  <c r="F1327" i="5"/>
  <c r="F1326" i="5"/>
  <c r="M1325" i="5"/>
  <c r="F1325" i="5"/>
  <c r="M1324" i="5"/>
  <c r="F1324" i="5"/>
  <c r="M1323" i="5"/>
  <c r="F1323" i="5"/>
  <c r="M1322" i="5"/>
  <c r="F1322" i="5"/>
  <c r="M1321" i="5"/>
  <c r="F1321" i="5"/>
  <c r="F1320" i="5"/>
  <c r="M1319" i="5"/>
  <c r="F1319" i="5"/>
  <c r="M1318" i="5"/>
  <c r="F1318" i="5"/>
  <c r="M1317" i="5"/>
  <c r="F1317" i="5"/>
  <c r="M1316" i="5"/>
  <c r="F1316" i="5"/>
  <c r="M1315" i="5"/>
  <c r="F1315" i="5"/>
  <c r="F1314" i="5"/>
  <c r="M1313" i="5"/>
  <c r="F1313" i="5"/>
  <c r="M1312" i="5"/>
  <c r="F1312" i="5"/>
  <c r="M1311" i="5"/>
  <c r="F1311" i="5"/>
  <c r="M1310" i="5"/>
  <c r="F1310" i="5"/>
  <c r="M1309" i="5"/>
  <c r="F1309" i="5"/>
  <c r="M1308" i="5"/>
  <c r="F1308" i="5"/>
  <c r="M1307" i="5"/>
  <c r="F1307" i="5"/>
  <c r="M1306" i="5"/>
  <c r="F1306" i="5"/>
  <c r="M1304" i="5"/>
  <c r="F1304" i="5"/>
  <c r="M1303" i="5"/>
  <c r="F1303" i="5"/>
  <c r="M1302" i="5"/>
  <c r="F1302" i="5"/>
  <c r="M1301" i="5"/>
  <c r="F1301" i="5"/>
  <c r="M1300" i="5"/>
  <c r="F1300" i="5"/>
  <c r="M1299" i="5"/>
  <c r="F1299" i="5"/>
  <c r="M1298" i="5"/>
  <c r="F1298" i="5"/>
  <c r="F1297" i="5"/>
  <c r="M1296" i="5"/>
  <c r="F1296" i="5"/>
  <c r="M1295" i="5"/>
  <c r="F1295" i="5"/>
  <c r="M1255" i="5"/>
  <c r="M1233" i="5"/>
  <c r="M1230" i="5"/>
  <c r="M1229" i="5"/>
  <c r="F1170" i="5"/>
  <c r="M1221" i="5"/>
  <c r="M1195" i="5"/>
  <c r="M1191" i="5"/>
  <c r="M1179" i="5"/>
  <c r="M1153" i="5"/>
  <c r="M1152" i="5"/>
  <c r="M1151" i="5"/>
  <c r="M1150" i="5"/>
  <c r="M1149" i="5"/>
  <c r="M1148" i="5"/>
  <c r="M1147" i="5"/>
  <c r="M1146" i="5"/>
  <c r="M1145" i="5"/>
  <c r="M1144" i="5"/>
  <c r="M1143" i="5"/>
  <c r="M1200" i="5"/>
  <c r="M1199" i="5"/>
  <c r="M1198" i="5"/>
  <c r="L1287" i="5"/>
  <c r="K1287" i="5"/>
  <c r="J1287" i="5"/>
  <c r="I1287" i="5"/>
  <c r="E1287" i="5"/>
  <c r="D1287" i="5"/>
  <c r="C1287" i="5"/>
  <c r="B1287" i="5"/>
  <c r="F1286" i="5"/>
  <c r="F1285" i="5"/>
  <c r="F1284" i="5"/>
  <c r="M1283" i="5"/>
  <c r="F1283" i="5"/>
  <c r="M1282" i="5"/>
  <c r="F1282" i="5"/>
  <c r="M1281" i="5"/>
  <c r="F1281" i="5"/>
  <c r="F1280" i="5"/>
  <c r="M1279" i="5"/>
  <c r="F1279" i="5"/>
  <c r="M1278" i="5"/>
  <c r="F1278" i="5"/>
  <c r="M1277" i="5"/>
  <c r="F1277" i="5"/>
  <c r="M1276" i="5"/>
  <c r="F1276" i="5"/>
  <c r="F1275" i="5"/>
  <c r="M1274" i="5"/>
  <c r="F1274" i="5"/>
  <c r="M1273" i="5"/>
  <c r="F1273" i="5"/>
  <c r="M1272" i="5"/>
  <c r="F1272" i="5"/>
  <c r="M1271" i="5"/>
  <c r="F1271" i="5"/>
  <c r="M1270" i="5"/>
  <c r="F1270" i="5"/>
  <c r="M1269" i="5"/>
  <c r="F1269" i="5"/>
  <c r="M1268" i="5"/>
  <c r="F1268" i="5"/>
  <c r="F1267" i="5"/>
  <c r="M1266" i="5"/>
  <c r="F1266" i="5"/>
  <c r="M1265" i="5"/>
  <c r="F1265" i="5"/>
  <c r="M1264" i="5"/>
  <c r="F1264" i="5"/>
  <c r="F1263" i="5"/>
  <c r="M1261" i="5"/>
  <c r="F1261" i="5"/>
  <c r="M1260" i="5"/>
  <c r="F1260" i="5"/>
  <c r="M1259" i="5"/>
  <c r="F1259" i="5"/>
  <c r="M1258" i="5"/>
  <c r="F1258" i="5"/>
  <c r="M1257" i="5"/>
  <c r="F1257" i="5"/>
  <c r="M1256" i="5"/>
  <c r="F1256" i="5"/>
  <c r="F1255" i="5"/>
  <c r="F1254" i="5"/>
  <c r="M1253" i="5"/>
  <c r="F1253" i="5"/>
  <c r="F1252" i="5"/>
  <c r="M1123" i="5"/>
  <c r="M1157" i="5"/>
  <c r="M1155" i="5"/>
  <c r="M1113" i="5"/>
  <c r="M1104" i="5"/>
  <c r="M1197" i="5"/>
  <c r="L1244" i="5"/>
  <c r="K1244" i="5"/>
  <c r="J1244" i="5"/>
  <c r="I1244" i="5"/>
  <c r="E1244" i="5"/>
  <c r="D1244" i="5"/>
  <c r="C1244" i="5"/>
  <c r="B1244" i="5"/>
  <c r="F1243" i="5"/>
  <c r="F1242" i="5"/>
  <c r="F1241" i="5"/>
  <c r="F1240" i="5"/>
  <c r="M1239" i="5"/>
  <c r="F1239" i="5"/>
  <c r="M1238" i="5"/>
  <c r="F1238" i="5"/>
  <c r="M1237" i="5"/>
  <c r="F1237" i="5"/>
  <c r="M1236" i="5"/>
  <c r="F1236" i="5"/>
  <c r="M1235" i="5"/>
  <c r="F1235" i="5"/>
  <c r="M1234" i="5"/>
  <c r="F1234" i="5"/>
  <c r="F1233" i="5"/>
  <c r="M1232" i="5"/>
  <c r="F1232" i="5"/>
  <c r="M1231" i="5"/>
  <c r="F1231" i="5"/>
  <c r="F1230" i="5"/>
  <c r="F1229" i="5"/>
  <c r="M1228" i="5"/>
  <c r="F1228" i="5"/>
  <c r="M1227" i="5"/>
  <c r="F1227" i="5"/>
  <c r="M1226" i="5"/>
  <c r="F1226" i="5"/>
  <c r="M1225" i="5"/>
  <c r="F1225" i="5"/>
  <c r="M1224" i="5"/>
  <c r="F1224" i="5"/>
  <c r="M1223" i="5"/>
  <c r="F1223" i="5"/>
  <c r="M1222" i="5"/>
  <c r="F1222" i="5"/>
  <c r="F1221" i="5"/>
  <c r="M1220" i="5"/>
  <c r="F1220" i="5"/>
  <c r="M1218" i="5"/>
  <c r="F1218" i="5"/>
  <c r="M1217" i="5"/>
  <c r="F1217" i="5"/>
  <c r="M1216" i="5"/>
  <c r="F1216" i="5"/>
  <c r="M1215" i="5"/>
  <c r="F1215" i="5"/>
  <c r="M1214" i="5"/>
  <c r="F1214" i="5"/>
  <c r="M1213" i="5"/>
  <c r="F1213" i="5"/>
  <c r="M1212" i="5"/>
  <c r="F1212" i="5"/>
  <c r="M1211" i="5"/>
  <c r="F1211" i="5"/>
  <c r="M1210" i="5"/>
  <c r="F1210" i="5"/>
  <c r="M1209" i="5"/>
  <c r="F1209" i="5"/>
  <c r="M1124" i="5"/>
  <c r="M1125" i="5"/>
  <c r="M1084" i="5"/>
  <c r="M1083" i="5"/>
  <c r="L1114" i="5"/>
  <c r="M1196" i="5"/>
  <c r="K1114" i="5"/>
  <c r="J1114" i="5"/>
  <c r="I1114" i="5"/>
  <c r="M1114" i="5" s="1"/>
  <c r="M1168" i="5"/>
  <c r="M1169" i="5"/>
  <c r="M1892" i="5" l="1"/>
  <c r="I1892" i="5"/>
  <c r="K1892" i="5"/>
  <c r="L1892" i="5"/>
  <c r="K1763" i="5"/>
  <c r="L1763" i="5"/>
  <c r="I1763" i="5"/>
  <c r="J1763" i="5"/>
  <c r="R104" i="6"/>
  <c r="Q120" i="6"/>
  <c r="Q121" i="6" s="1"/>
  <c r="F1545" i="5"/>
  <c r="F1502" i="5"/>
  <c r="L120" i="6"/>
  <c r="R98" i="6"/>
  <c r="G120" i="6"/>
  <c r="G121" i="6" s="1"/>
  <c r="R87" i="6"/>
  <c r="M1545" i="5"/>
  <c r="F1459" i="5"/>
  <c r="M1502" i="5"/>
  <c r="M1459" i="5"/>
  <c r="F1416" i="5"/>
  <c r="M1416" i="5"/>
  <c r="R99" i="6"/>
  <c r="R101" i="6"/>
  <c r="R103" i="6"/>
  <c r="R105" i="6"/>
  <c r="R107" i="6"/>
  <c r="R109" i="6"/>
  <c r="R111" i="6"/>
  <c r="R113" i="6"/>
  <c r="R115" i="6"/>
  <c r="R117" i="6"/>
  <c r="R119" i="6"/>
  <c r="R88" i="6"/>
  <c r="R94" i="6"/>
  <c r="G97" i="6"/>
  <c r="Q97" i="6"/>
  <c r="F1373" i="5"/>
  <c r="F1330" i="5"/>
  <c r="M1373" i="5"/>
  <c r="M1375" i="5" s="1"/>
  <c r="M1330" i="5"/>
  <c r="F1287" i="5"/>
  <c r="F1244" i="5"/>
  <c r="M1156" i="5"/>
  <c r="M1287" i="5"/>
  <c r="M1244" i="5"/>
  <c r="M1091" i="5"/>
  <c r="M1068" i="5"/>
  <c r="M1070" i="5"/>
  <c r="L1376" i="5" l="1"/>
  <c r="I1376" i="5"/>
  <c r="K1376" i="5"/>
  <c r="M1376" i="5"/>
  <c r="J1376" i="5"/>
  <c r="R120" i="6"/>
  <c r="M1126" i="5"/>
  <c r="M1127" i="5"/>
  <c r="M1067" i="5" l="1"/>
  <c r="M1075" i="5"/>
  <c r="K1039" i="5"/>
  <c r="I1055" i="5"/>
  <c r="L1201" i="5"/>
  <c r="K1201" i="5"/>
  <c r="J1201" i="5"/>
  <c r="I1201" i="5"/>
  <c r="E1201" i="5"/>
  <c r="D1201" i="5"/>
  <c r="C1201" i="5"/>
  <c r="B1201" i="5"/>
  <c r="F1200" i="5"/>
  <c r="F1199" i="5"/>
  <c r="F1198" i="5"/>
  <c r="F1197" i="5"/>
  <c r="F1196" i="5"/>
  <c r="F1195" i="5"/>
  <c r="M1194" i="5"/>
  <c r="F1194" i="5"/>
  <c r="M1193" i="5"/>
  <c r="F1193" i="5"/>
  <c r="M1192" i="5"/>
  <c r="F1192" i="5"/>
  <c r="F1191" i="5"/>
  <c r="M1190" i="5"/>
  <c r="F1190" i="5"/>
  <c r="M1189" i="5"/>
  <c r="F1189" i="5"/>
  <c r="M1188" i="5"/>
  <c r="F1188" i="5"/>
  <c r="M1187" i="5"/>
  <c r="F1187" i="5"/>
  <c r="M1186" i="5"/>
  <c r="F1186" i="5"/>
  <c r="M1185" i="5"/>
  <c r="F1185" i="5"/>
  <c r="M1184" i="5"/>
  <c r="F1184" i="5"/>
  <c r="M1183" i="5"/>
  <c r="F1183" i="5"/>
  <c r="M1182" i="5"/>
  <c r="F1182" i="5"/>
  <c r="M1181" i="5"/>
  <c r="F1181" i="5"/>
  <c r="M1180" i="5"/>
  <c r="F1180" i="5"/>
  <c r="F1179" i="5"/>
  <c r="M1178" i="5"/>
  <c r="F1178" i="5"/>
  <c r="M1177" i="5"/>
  <c r="F1177" i="5"/>
  <c r="M1175" i="5"/>
  <c r="F1175" i="5"/>
  <c r="M1174" i="5"/>
  <c r="F1174" i="5"/>
  <c r="M1173" i="5"/>
  <c r="F1173" i="5"/>
  <c r="M1172" i="5"/>
  <c r="F1172" i="5"/>
  <c r="M1171" i="5"/>
  <c r="F1171" i="5"/>
  <c r="M1170" i="5"/>
  <c r="F1169" i="5"/>
  <c r="F1168" i="5"/>
  <c r="M1167" i="5"/>
  <c r="F1167" i="5"/>
  <c r="M1166" i="5"/>
  <c r="F1166" i="5"/>
  <c r="M1064" i="5"/>
  <c r="F1201" i="5" l="1"/>
  <c r="M1071" i="5"/>
  <c r="M1201" i="5"/>
  <c r="M1057" i="5"/>
  <c r="M1055" i="5"/>
  <c r="M1013" i="5" l="1"/>
  <c r="F995" i="5"/>
  <c r="M1010" i="5" l="1"/>
  <c r="M1009" i="5"/>
  <c r="M1008" i="5"/>
  <c r="M1007" i="5"/>
  <c r="F1005" i="5"/>
  <c r="M979" i="5" l="1"/>
  <c r="M978" i="5"/>
  <c r="M1005" i="5"/>
  <c r="M1006" i="5"/>
  <c r="M977" i="5"/>
  <c r="M976" i="5"/>
  <c r="F971" i="5" l="1"/>
  <c r="F970" i="5"/>
  <c r="F969" i="5"/>
  <c r="F968" i="5"/>
  <c r="M970" i="5"/>
  <c r="M971" i="5"/>
  <c r="M972" i="5"/>
  <c r="M973" i="5"/>
  <c r="M974" i="5"/>
  <c r="M951" i="5" l="1"/>
  <c r="M966" i="5" l="1"/>
  <c r="M1082" i="5"/>
  <c r="L1158" i="5"/>
  <c r="K1158" i="5"/>
  <c r="J1158" i="5"/>
  <c r="I1158" i="5"/>
  <c r="E1158" i="5"/>
  <c r="D1158" i="5"/>
  <c r="C1158" i="5"/>
  <c r="B1158" i="5"/>
  <c r="F1157" i="5"/>
  <c r="F1156" i="5"/>
  <c r="F1155" i="5"/>
  <c r="M1154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M1142" i="5"/>
  <c r="F1142" i="5"/>
  <c r="M1141" i="5"/>
  <c r="F1141" i="5"/>
  <c r="M1140" i="5"/>
  <c r="F1140" i="5"/>
  <c r="M1139" i="5"/>
  <c r="F1139" i="5"/>
  <c r="M1138" i="5"/>
  <c r="F1138" i="5"/>
  <c r="M1137" i="5"/>
  <c r="F1137" i="5"/>
  <c r="M1136" i="5"/>
  <c r="F1136" i="5"/>
  <c r="M1135" i="5"/>
  <c r="F1135" i="5"/>
  <c r="M1134" i="5"/>
  <c r="F1134" i="5"/>
  <c r="M1132" i="5"/>
  <c r="F1132" i="5"/>
  <c r="M1131" i="5"/>
  <c r="F1131" i="5"/>
  <c r="M1130" i="5"/>
  <c r="F1130" i="5"/>
  <c r="M1129" i="5"/>
  <c r="F1129" i="5"/>
  <c r="M1128" i="5"/>
  <c r="F1128" i="5"/>
  <c r="F1127" i="5"/>
  <c r="F1126" i="5"/>
  <c r="F1125" i="5"/>
  <c r="F1124" i="5"/>
  <c r="F1123" i="5"/>
  <c r="M1039" i="5"/>
  <c r="M1040" i="5"/>
  <c r="L1029" i="5"/>
  <c r="K1029" i="5"/>
  <c r="J1029" i="5"/>
  <c r="I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2" i="5"/>
  <c r="M1011" i="5"/>
  <c r="M1003" i="5"/>
  <c r="M1002" i="5"/>
  <c r="M1001" i="5"/>
  <c r="M1000" i="5"/>
  <c r="M999" i="5"/>
  <c r="M998" i="5"/>
  <c r="M997" i="5"/>
  <c r="M996" i="5"/>
  <c r="M995" i="5"/>
  <c r="M994" i="5"/>
  <c r="M1158" i="5" l="1"/>
  <c r="M1029" i="5"/>
  <c r="F1158" i="5"/>
  <c r="M980" i="5" l="1"/>
  <c r="M940" i="5"/>
  <c r="L1115" i="5" l="1"/>
  <c r="K1115" i="5"/>
  <c r="J1115" i="5"/>
  <c r="I1115" i="5"/>
  <c r="E1115" i="5"/>
  <c r="D1115" i="5"/>
  <c r="C1115" i="5"/>
  <c r="B1115" i="5"/>
  <c r="F1114" i="5"/>
  <c r="F1113" i="5"/>
  <c r="M1112" i="5"/>
  <c r="F1112" i="5"/>
  <c r="M1111" i="5"/>
  <c r="F1111" i="5"/>
  <c r="M1110" i="5"/>
  <c r="F1110" i="5"/>
  <c r="M1109" i="5"/>
  <c r="F1109" i="5"/>
  <c r="M1108" i="5"/>
  <c r="F1108" i="5"/>
  <c r="M1107" i="5"/>
  <c r="F1107" i="5"/>
  <c r="M1106" i="5"/>
  <c r="F1106" i="5"/>
  <c r="M1105" i="5"/>
  <c r="F1105" i="5"/>
  <c r="F1104" i="5"/>
  <c r="M1103" i="5"/>
  <c r="F1103" i="5"/>
  <c r="M1102" i="5"/>
  <c r="F1102" i="5"/>
  <c r="M1101" i="5"/>
  <c r="F1101" i="5"/>
  <c r="M1100" i="5"/>
  <c r="F1100" i="5"/>
  <c r="M1099" i="5"/>
  <c r="F1099" i="5"/>
  <c r="M1098" i="5"/>
  <c r="F1098" i="5"/>
  <c r="M1097" i="5"/>
  <c r="F1097" i="5"/>
  <c r="M1096" i="5"/>
  <c r="F1096" i="5"/>
  <c r="M1095" i="5"/>
  <c r="F1095" i="5"/>
  <c r="M1094" i="5"/>
  <c r="F1094" i="5"/>
  <c r="M1093" i="5"/>
  <c r="F1093" i="5"/>
  <c r="M1092" i="5"/>
  <c r="F1092" i="5"/>
  <c r="F1091" i="5"/>
  <c r="M1089" i="5"/>
  <c r="F1089" i="5"/>
  <c r="M1088" i="5"/>
  <c r="F1088" i="5"/>
  <c r="M1087" i="5"/>
  <c r="F1087" i="5"/>
  <c r="M1086" i="5"/>
  <c r="F1086" i="5"/>
  <c r="M1085" i="5"/>
  <c r="F1085" i="5"/>
  <c r="F1084" i="5"/>
  <c r="F1083" i="5"/>
  <c r="F1082" i="5"/>
  <c r="M1081" i="5"/>
  <c r="F1081" i="5"/>
  <c r="M1080" i="5"/>
  <c r="F1080" i="5"/>
  <c r="M1115" i="5" l="1"/>
  <c r="F1115" i="5"/>
  <c r="M932" i="5"/>
  <c r="M924" i="5"/>
  <c r="M889" i="5" l="1"/>
  <c r="M888" i="5" l="1"/>
  <c r="F880" i="5"/>
  <c r="F782" i="5"/>
  <c r="M886" i="5"/>
  <c r="M887" i="5"/>
  <c r="M890" i="5"/>
  <c r="M891" i="5"/>
  <c r="M881" i="5" l="1"/>
  <c r="M882" i="5"/>
  <c r="M883" i="5"/>
  <c r="M884" i="5"/>
  <c r="M941" i="5" l="1"/>
  <c r="M942" i="5"/>
  <c r="M982" i="5"/>
  <c r="M981" i="5"/>
  <c r="M938" i="5"/>
  <c r="M954" i="5"/>
  <c r="M902" i="5" l="1"/>
  <c r="F839" i="5" l="1"/>
  <c r="M851" i="5" l="1"/>
  <c r="M850" i="5" l="1"/>
  <c r="F836" i="5"/>
  <c r="M849" i="5" l="1"/>
  <c r="M957" i="5"/>
  <c r="M983" i="5"/>
  <c r="M984" i="5"/>
  <c r="M985" i="5"/>
  <c r="L1072" i="5"/>
  <c r="K1072" i="5"/>
  <c r="J1072" i="5"/>
  <c r="I1072" i="5"/>
  <c r="E1072" i="5"/>
  <c r="D1072" i="5"/>
  <c r="C1072" i="5"/>
  <c r="B1072" i="5"/>
  <c r="F1071" i="5"/>
  <c r="F1070" i="5"/>
  <c r="M1069" i="5"/>
  <c r="F1069" i="5"/>
  <c r="F1068" i="5"/>
  <c r="F1067" i="5"/>
  <c r="M1066" i="5"/>
  <c r="F1066" i="5"/>
  <c r="M1065" i="5"/>
  <c r="F1065" i="5"/>
  <c r="F1064" i="5"/>
  <c r="M1063" i="5"/>
  <c r="F1063" i="5"/>
  <c r="M1062" i="5"/>
  <c r="F1062" i="5"/>
  <c r="M1061" i="5"/>
  <c r="F1061" i="5"/>
  <c r="M1060" i="5"/>
  <c r="F1060" i="5"/>
  <c r="M1059" i="5"/>
  <c r="F1059" i="5"/>
  <c r="M1058" i="5"/>
  <c r="F1058" i="5"/>
  <c r="F1057" i="5"/>
  <c r="M1056" i="5"/>
  <c r="F1056" i="5"/>
  <c r="F1055" i="5"/>
  <c r="M1054" i="5"/>
  <c r="F1054" i="5"/>
  <c r="M1053" i="5"/>
  <c r="F1053" i="5"/>
  <c r="M1052" i="5"/>
  <c r="F1052" i="5"/>
  <c r="M1051" i="5"/>
  <c r="F1051" i="5"/>
  <c r="M1050" i="5"/>
  <c r="F1050" i="5"/>
  <c r="M1049" i="5"/>
  <c r="F1049" i="5"/>
  <c r="M1048" i="5"/>
  <c r="F1048" i="5"/>
  <c r="M1046" i="5"/>
  <c r="F1046" i="5"/>
  <c r="M1045" i="5"/>
  <c r="F1045" i="5"/>
  <c r="M1044" i="5"/>
  <c r="F1044" i="5"/>
  <c r="M1043" i="5"/>
  <c r="F1043" i="5"/>
  <c r="M1042" i="5"/>
  <c r="F1042" i="5"/>
  <c r="M1041" i="5"/>
  <c r="F1041" i="5"/>
  <c r="F1040" i="5"/>
  <c r="F1039" i="5"/>
  <c r="M1038" i="5"/>
  <c r="F1038" i="5"/>
  <c r="M1037" i="5"/>
  <c r="F1037" i="5"/>
  <c r="E1029" i="5"/>
  <c r="D1029" i="5"/>
  <c r="C1029" i="5"/>
  <c r="B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3" i="5"/>
  <c r="F1002" i="5"/>
  <c r="F1001" i="5"/>
  <c r="F1000" i="5"/>
  <c r="F999" i="5"/>
  <c r="F998" i="5"/>
  <c r="F997" i="5"/>
  <c r="F996" i="5"/>
  <c r="F994" i="5"/>
  <c r="M934" i="5"/>
  <c r="M935" i="5"/>
  <c r="M936" i="5"/>
  <c r="M937" i="5"/>
  <c r="M939" i="5"/>
  <c r="M852" i="5"/>
  <c r="M853" i="5"/>
  <c r="M897" i="5"/>
  <c r="M896" i="5"/>
  <c r="M1072" i="5" l="1"/>
  <c r="F1029" i="5"/>
  <c r="M898" i="5"/>
  <c r="F1072" i="5"/>
  <c r="M840" i="5"/>
  <c r="M810" i="5" l="1"/>
  <c r="M809" i="5" l="1"/>
  <c r="F809" i="5"/>
  <c r="M835" i="5"/>
  <c r="M808" i="5"/>
  <c r="M807" i="5"/>
  <c r="M806" i="5"/>
  <c r="M805" i="5"/>
  <c r="F808" i="5"/>
  <c r="M813" i="5" l="1"/>
  <c r="M812" i="5"/>
  <c r="M811" i="5"/>
  <c r="M749" i="5" l="1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48" i="5"/>
  <c r="I728" i="5"/>
  <c r="E986" i="5"/>
  <c r="D986" i="5"/>
  <c r="C986" i="5"/>
  <c r="B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67" i="5"/>
  <c r="F966" i="5"/>
  <c r="F965" i="5"/>
  <c r="F964" i="5"/>
  <c r="F963" i="5"/>
  <c r="F962" i="5"/>
  <c r="F960" i="5"/>
  <c r="F959" i="5"/>
  <c r="F958" i="5"/>
  <c r="F957" i="5"/>
  <c r="F956" i="5"/>
  <c r="F955" i="5"/>
  <c r="F954" i="5"/>
  <c r="F953" i="5"/>
  <c r="F952" i="5"/>
  <c r="F951" i="5"/>
  <c r="F986" i="5" l="1"/>
  <c r="M914" i="5"/>
  <c r="M915" i="5"/>
  <c r="L986" i="5"/>
  <c r="K986" i="5"/>
  <c r="J986" i="5"/>
  <c r="I986" i="5"/>
  <c r="M975" i="5"/>
  <c r="M969" i="5"/>
  <c r="M968" i="5"/>
  <c r="M967" i="5"/>
  <c r="M965" i="5"/>
  <c r="M964" i="5"/>
  <c r="M963" i="5"/>
  <c r="M962" i="5"/>
  <c r="M960" i="5"/>
  <c r="M959" i="5"/>
  <c r="M958" i="5"/>
  <c r="M956" i="5"/>
  <c r="M955" i="5"/>
  <c r="M953" i="5"/>
  <c r="M952" i="5"/>
  <c r="M986" i="5" l="1"/>
  <c r="M899" i="5"/>
  <c r="F702" i="5" l="1"/>
  <c r="F659" i="5" l="1"/>
  <c r="F736" i="5"/>
  <c r="M871" i="5" l="1"/>
  <c r="L943" i="5"/>
  <c r="K943" i="5"/>
  <c r="J943" i="5"/>
  <c r="I943" i="5"/>
  <c r="E943" i="5"/>
  <c r="D943" i="5"/>
  <c r="C943" i="5"/>
  <c r="B943" i="5"/>
  <c r="F942" i="5"/>
  <c r="F941" i="5"/>
  <c r="F940" i="5"/>
  <c r="F939" i="5"/>
  <c r="F938" i="5"/>
  <c r="F937" i="5"/>
  <c r="F936" i="5"/>
  <c r="F935" i="5"/>
  <c r="F934" i="5"/>
  <c r="M933" i="5"/>
  <c r="F933" i="5"/>
  <c r="F932" i="5"/>
  <c r="M931" i="5"/>
  <c r="F931" i="5"/>
  <c r="M930" i="5"/>
  <c r="F930" i="5"/>
  <c r="M929" i="5"/>
  <c r="F929" i="5"/>
  <c r="M928" i="5"/>
  <c r="F928" i="5"/>
  <c r="M927" i="5"/>
  <c r="F927" i="5"/>
  <c r="M926" i="5"/>
  <c r="F926" i="5"/>
  <c r="M925" i="5"/>
  <c r="F925" i="5"/>
  <c r="F924" i="5"/>
  <c r="M923" i="5"/>
  <c r="F923" i="5"/>
  <c r="M922" i="5"/>
  <c r="F922" i="5"/>
  <c r="M921" i="5"/>
  <c r="F921" i="5"/>
  <c r="M920" i="5"/>
  <c r="F920" i="5"/>
  <c r="M919" i="5"/>
  <c r="F919" i="5"/>
  <c r="M917" i="5"/>
  <c r="F917" i="5"/>
  <c r="M916" i="5"/>
  <c r="F916" i="5"/>
  <c r="F915" i="5"/>
  <c r="F914" i="5"/>
  <c r="M913" i="5"/>
  <c r="F913" i="5"/>
  <c r="M912" i="5"/>
  <c r="F912" i="5"/>
  <c r="M911" i="5"/>
  <c r="F911" i="5"/>
  <c r="M910" i="5"/>
  <c r="F910" i="5"/>
  <c r="M909" i="5"/>
  <c r="F909" i="5"/>
  <c r="M908" i="5"/>
  <c r="F908" i="5"/>
  <c r="M870" i="5"/>
  <c r="M828" i="5"/>
  <c r="L900" i="5"/>
  <c r="K900" i="5"/>
  <c r="J900" i="5"/>
  <c r="I900" i="5"/>
  <c r="E900" i="5"/>
  <c r="D900" i="5"/>
  <c r="C900" i="5"/>
  <c r="B900" i="5"/>
  <c r="F899" i="5"/>
  <c r="F898" i="5"/>
  <c r="F897" i="5"/>
  <c r="F896" i="5"/>
  <c r="M895" i="5"/>
  <c r="F895" i="5"/>
  <c r="M894" i="5"/>
  <c r="F894" i="5"/>
  <c r="M893" i="5"/>
  <c r="F893" i="5"/>
  <c r="M892" i="5"/>
  <c r="F892" i="5"/>
  <c r="F891" i="5"/>
  <c r="F890" i="5"/>
  <c r="F889" i="5"/>
  <c r="F888" i="5"/>
  <c r="F887" i="5"/>
  <c r="F886" i="5"/>
  <c r="M885" i="5"/>
  <c r="F885" i="5"/>
  <c r="F884" i="5"/>
  <c r="F883" i="5"/>
  <c r="F882" i="5"/>
  <c r="F881" i="5"/>
  <c r="M880" i="5"/>
  <c r="M879" i="5"/>
  <c r="F879" i="5"/>
  <c r="M878" i="5"/>
  <c r="F878" i="5"/>
  <c r="M877" i="5"/>
  <c r="F877" i="5"/>
  <c r="M876" i="5"/>
  <c r="F876" i="5"/>
  <c r="M874" i="5"/>
  <c r="F874" i="5"/>
  <c r="M873" i="5"/>
  <c r="F873" i="5"/>
  <c r="M872" i="5"/>
  <c r="F872" i="5"/>
  <c r="F871" i="5"/>
  <c r="F870" i="5"/>
  <c r="M869" i="5"/>
  <c r="F869" i="5"/>
  <c r="M868" i="5"/>
  <c r="F868" i="5"/>
  <c r="M867" i="5"/>
  <c r="F867" i="5"/>
  <c r="M866" i="5"/>
  <c r="F866" i="5"/>
  <c r="M865" i="5"/>
  <c r="F865" i="5"/>
  <c r="M900" i="5" l="1"/>
  <c r="F943" i="5"/>
  <c r="M943" i="5"/>
  <c r="F900" i="5"/>
  <c r="M860" i="5" l="1"/>
  <c r="F695" i="5" l="1"/>
  <c r="E857" i="5"/>
  <c r="D857" i="5"/>
  <c r="C857" i="5"/>
  <c r="B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8" i="5"/>
  <c r="F837" i="5"/>
  <c r="F835" i="5"/>
  <c r="F834" i="5"/>
  <c r="F833" i="5"/>
  <c r="F831" i="5"/>
  <c r="F830" i="5"/>
  <c r="F829" i="5"/>
  <c r="F828" i="5"/>
  <c r="F827" i="5"/>
  <c r="F826" i="5"/>
  <c r="F825" i="5"/>
  <c r="F824" i="5"/>
  <c r="F823" i="5"/>
  <c r="F822" i="5"/>
  <c r="M826" i="5"/>
  <c r="M783" i="5"/>
  <c r="M854" i="5"/>
  <c r="M855" i="5"/>
  <c r="M856" i="5"/>
  <c r="L857" i="5"/>
  <c r="K857" i="5"/>
  <c r="J857" i="5"/>
  <c r="I857" i="5"/>
  <c r="M848" i="5"/>
  <c r="M847" i="5"/>
  <c r="M846" i="5"/>
  <c r="M845" i="5"/>
  <c r="M844" i="5"/>
  <c r="M843" i="5"/>
  <c r="M842" i="5"/>
  <c r="M841" i="5"/>
  <c r="M839" i="5"/>
  <c r="M838" i="5"/>
  <c r="M837" i="5"/>
  <c r="M836" i="5"/>
  <c r="M834" i="5"/>
  <c r="M833" i="5"/>
  <c r="M831" i="5"/>
  <c r="M830" i="5"/>
  <c r="M829" i="5"/>
  <c r="M827" i="5"/>
  <c r="M825" i="5"/>
  <c r="M824" i="5"/>
  <c r="M823" i="5"/>
  <c r="M822" i="5"/>
  <c r="M724" i="5"/>
  <c r="M723" i="5"/>
  <c r="M722" i="5"/>
  <c r="M721" i="5"/>
  <c r="F857" i="5" l="1"/>
  <c r="M857" i="5"/>
  <c r="M680" i="5" l="1"/>
  <c r="M681" i="5"/>
  <c r="M682" i="5"/>
  <c r="M683" i="5"/>
  <c r="M684" i="5"/>
  <c r="M720" i="5"/>
  <c r="M665" i="5" l="1"/>
  <c r="M705" i="5"/>
  <c r="M731" i="5" l="1"/>
  <c r="M730" i="5"/>
  <c r="M664" i="5" l="1"/>
  <c r="M663" i="5"/>
  <c r="M654" i="5" l="1"/>
  <c r="M653" i="5"/>
  <c r="M652" i="5"/>
  <c r="M614" i="5"/>
  <c r="M613" i="5"/>
  <c r="M612" i="5"/>
  <c r="M641" i="5"/>
  <c r="M628" i="5"/>
  <c r="M662" i="5"/>
  <c r="M661" i="5"/>
  <c r="M725" i="5"/>
  <c r="M704" i="5"/>
  <c r="M678" i="5"/>
  <c r="M630" i="5" l="1"/>
  <c r="M679" i="5"/>
  <c r="M608" i="5" l="1"/>
  <c r="F494" i="5" l="1"/>
  <c r="F495" i="5"/>
  <c r="L814" i="5"/>
  <c r="K814" i="5"/>
  <c r="J814" i="5"/>
  <c r="I814" i="5"/>
  <c r="E814" i="5"/>
  <c r="D814" i="5"/>
  <c r="C814" i="5"/>
  <c r="B814" i="5"/>
  <c r="F813" i="5"/>
  <c r="F812" i="5"/>
  <c r="F811" i="5"/>
  <c r="F810" i="5"/>
  <c r="F807" i="5"/>
  <c r="F806" i="5"/>
  <c r="F805" i="5"/>
  <c r="M804" i="5"/>
  <c r="F804" i="5"/>
  <c r="M803" i="5"/>
  <c r="F803" i="5"/>
  <c r="M802" i="5"/>
  <c r="F802" i="5"/>
  <c r="M801" i="5"/>
  <c r="F801" i="5"/>
  <c r="M800" i="5"/>
  <c r="F800" i="5"/>
  <c r="M799" i="5"/>
  <c r="F799" i="5"/>
  <c r="M798" i="5"/>
  <c r="F798" i="5"/>
  <c r="M797" i="5"/>
  <c r="F797" i="5"/>
  <c r="M796" i="5"/>
  <c r="F796" i="5"/>
  <c r="M795" i="5"/>
  <c r="F795" i="5"/>
  <c r="M794" i="5"/>
  <c r="F794" i="5"/>
  <c r="M793" i="5"/>
  <c r="F793" i="5"/>
  <c r="M792" i="5"/>
  <c r="F792" i="5"/>
  <c r="M791" i="5"/>
  <c r="F791" i="5"/>
  <c r="M790" i="5"/>
  <c r="F790" i="5"/>
  <c r="M788" i="5"/>
  <c r="F788" i="5"/>
  <c r="M787" i="5"/>
  <c r="F787" i="5"/>
  <c r="M786" i="5"/>
  <c r="F786" i="5"/>
  <c r="M785" i="5"/>
  <c r="F785" i="5"/>
  <c r="M784" i="5"/>
  <c r="F784" i="5"/>
  <c r="F783" i="5"/>
  <c r="M782" i="5"/>
  <c r="M781" i="5"/>
  <c r="F781" i="5"/>
  <c r="M780" i="5"/>
  <c r="F780" i="5"/>
  <c r="M779" i="5"/>
  <c r="F779" i="5"/>
  <c r="F814" i="5" l="1"/>
  <c r="M814" i="5"/>
  <c r="M774" i="5"/>
  <c r="M726" i="5" l="1"/>
  <c r="M727" i="5"/>
  <c r="F618" i="5" l="1"/>
  <c r="E771" i="5" l="1"/>
  <c r="D771" i="5"/>
  <c r="C771" i="5"/>
  <c r="B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5" i="5"/>
  <c r="F744" i="5"/>
  <c r="F743" i="5"/>
  <c r="F742" i="5"/>
  <c r="F741" i="5"/>
  <c r="F740" i="5"/>
  <c r="F739" i="5"/>
  <c r="F738" i="5"/>
  <c r="F737" i="5"/>
  <c r="L771" i="5"/>
  <c r="K771" i="5"/>
  <c r="J771" i="5"/>
  <c r="I771" i="5"/>
  <c r="M747" i="5"/>
  <c r="M745" i="5"/>
  <c r="M744" i="5"/>
  <c r="M743" i="5"/>
  <c r="M742" i="5"/>
  <c r="M741" i="5"/>
  <c r="M740" i="5"/>
  <c r="M739" i="5"/>
  <c r="M738" i="5"/>
  <c r="M737" i="5"/>
  <c r="M736" i="5"/>
  <c r="M771" i="5" l="1"/>
  <c r="F771" i="5"/>
  <c r="M618" i="5" l="1"/>
  <c r="M598" i="5" l="1"/>
  <c r="F650" i="5"/>
  <c r="M650" i="5"/>
  <c r="F651" i="5"/>
  <c r="M651" i="5"/>
  <c r="F652" i="5"/>
  <c r="F653" i="5"/>
  <c r="F654" i="5"/>
  <c r="F655" i="5"/>
  <c r="M655" i="5"/>
  <c r="F656" i="5"/>
  <c r="M656" i="5"/>
  <c r="F657" i="5"/>
  <c r="M657" i="5"/>
  <c r="F658" i="5"/>
  <c r="M658" i="5"/>
  <c r="M659" i="5"/>
  <c r="F661" i="5"/>
  <c r="F662" i="5"/>
  <c r="F663" i="5"/>
  <c r="F664" i="5"/>
  <c r="F665" i="5"/>
  <c r="F666" i="5"/>
  <c r="M666" i="5"/>
  <c r="F667" i="5"/>
  <c r="M667" i="5"/>
  <c r="F668" i="5"/>
  <c r="M668" i="5"/>
  <c r="F669" i="5"/>
  <c r="M669" i="5"/>
  <c r="F670" i="5"/>
  <c r="M670" i="5"/>
  <c r="F671" i="5"/>
  <c r="M671" i="5"/>
  <c r="F672" i="5"/>
  <c r="M672" i="5"/>
  <c r="F673" i="5"/>
  <c r="M673" i="5"/>
  <c r="F674" i="5"/>
  <c r="M674" i="5"/>
  <c r="F675" i="5"/>
  <c r="M675" i="5"/>
  <c r="F676" i="5"/>
  <c r="M676" i="5"/>
  <c r="F677" i="5"/>
  <c r="M677" i="5"/>
  <c r="F678" i="5"/>
  <c r="F679" i="5"/>
  <c r="F680" i="5"/>
  <c r="F681" i="5"/>
  <c r="F682" i="5"/>
  <c r="F683" i="5"/>
  <c r="F684" i="5"/>
  <c r="B685" i="5"/>
  <c r="C685" i="5"/>
  <c r="D685" i="5"/>
  <c r="E685" i="5"/>
  <c r="I685" i="5"/>
  <c r="J685" i="5"/>
  <c r="K685" i="5"/>
  <c r="L685" i="5"/>
  <c r="F693" i="5"/>
  <c r="M693" i="5"/>
  <c r="F694" i="5"/>
  <c r="M694" i="5"/>
  <c r="M695" i="5"/>
  <c r="F696" i="5"/>
  <c r="M696" i="5"/>
  <c r="F697" i="5"/>
  <c r="M697" i="5"/>
  <c r="F698" i="5"/>
  <c r="M698" i="5"/>
  <c r="F699" i="5"/>
  <c r="M699" i="5"/>
  <c r="F700" i="5"/>
  <c r="M700" i="5"/>
  <c r="F701" i="5"/>
  <c r="M701" i="5"/>
  <c r="M702" i="5"/>
  <c r="F704" i="5"/>
  <c r="F705" i="5"/>
  <c r="F706" i="5"/>
  <c r="M706" i="5"/>
  <c r="F707" i="5"/>
  <c r="M707" i="5"/>
  <c r="F708" i="5"/>
  <c r="M708" i="5"/>
  <c r="F709" i="5"/>
  <c r="M709" i="5"/>
  <c r="F710" i="5"/>
  <c r="M710" i="5"/>
  <c r="F711" i="5"/>
  <c r="M711" i="5"/>
  <c r="F712" i="5"/>
  <c r="M712" i="5"/>
  <c r="F713" i="5"/>
  <c r="M713" i="5"/>
  <c r="F714" i="5"/>
  <c r="M714" i="5"/>
  <c r="F715" i="5"/>
  <c r="M715" i="5"/>
  <c r="F716" i="5"/>
  <c r="M716" i="5"/>
  <c r="F717" i="5"/>
  <c r="M717" i="5"/>
  <c r="F718" i="5"/>
  <c r="M718" i="5"/>
  <c r="F719" i="5"/>
  <c r="M719" i="5"/>
  <c r="F720" i="5"/>
  <c r="F721" i="5"/>
  <c r="F722" i="5"/>
  <c r="F723" i="5"/>
  <c r="F724" i="5"/>
  <c r="F725" i="5"/>
  <c r="F726" i="5"/>
  <c r="F727" i="5"/>
  <c r="B728" i="5"/>
  <c r="C728" i="5"/>
  <c r="D728" i="5"/>
  <c r="E728" i="5"/>
  <c r="J728" i="5"/>
  <c r="K728" i="5"/>
  <c r="L728" i="5"/>
  <c r="F728" i="5" l="1"/>
  <c r="F685" i="5"/>
  <c r="M728" i="5"/>
  <c r="M685" i="5"/>
  <c r="M577" i="5"/>
  <c r="M639" i="5" l="1"/>
  <c r="M596" i="5"/>
  <c r="M566" i="5"/>
  <c r="M567" i="5"/>
  <c r="M568" i="5"/>
  <c r="M569" i="5"/>
  <c r="L642" i="5"/>
  <c r="K642" i="5"/>
  <c r="I642" i="5"/>
  <c r="E642" i="5"/>
  <c r="D642" i="5"/>
  <c r="C642" i="5"/>
  <c r="B642" i="5"/>
  <c r="F641" i="5"/>
  <c r="F640" i="5"/>
  <c r="F639" i="5"/>
  <c r="M638" i="5"/>
  <c r="F638" i="5"/>
  <c r="M637" i="5"/>
  <c r="F637" i="5"/>
  <c r="M636" i="5"/>
  <c r="F636" i="5"/>
  <c r="M635" i="5"/>
  <c r="F635" i="5"/>
  <c r="M634" i="5"/>
  <c r="F634" i="5"/>
  <c r="M633" i="5"/>
  <c r="F633" i="5"/>
  <c r="M632" i="5"/>
  <c r="F632" i="5"/>
  <c r="M631" i="5"/>
  <c r="F631" i="5"/>
  <c r="F630" i="5"/>
  <c r="M629" i="5"/>
  <c r="F629" i="5"/>
  <c r="F628" i="5"/>
  <c r="M627" i="5"/>
  <c r="F627" i="5"/>
  <c r="M626" i="5"/>
  <c r="F626" i="5"/>
  <c r="M625" i="5"/>
  <c r="F625" i="5"/>
  <c r="M624" i="5"/>
  <c r="F624" i="5"/>
  <c r="M623" i="5"/>
  <c r="F623" i="5"/>
  <c r="M622" i="5"/>
  <c r="F622" i="5"/>
  <c r="M621" i="5"/>
  <c r="F621" i="5"/>
  <c r="M620" i="5"/>
  <c r="F620" i="5"/>
  <c r="M619" i="5"/>
  <c r="F619" i="5"/>
  <c r="M616" i="5"/>
  <c r="F616" i="5"/>
  <c r="M615" i="5"/>
  <c r="F615" i="5"/>
  <c r="F614" i="5"/>
  <c r="F613" i="5"/>
  <c r="F612" i="5"/>
  <c r="M611" i="5"/>
  <c r="F611" i="5"/>
  <c r="M610" i="5"/>
  <c r="F610" i="5"/>
  <c r="M609" i="5"/>
  <c r="F609" i="5"/>
  <c r="F608" i="5"/>
  <c r="M607" i="5"/>
  <c r="F607" i="5"/>
  <c r="F642" i="5" l="1"/>
  <c r="M521" i="5"/>
  <c r="M537" i="5"/>
  <c r="F532" i="5"/>
  <c r="M534" i="5"/>
  <c r="M533" i="5" l="1"/>
  <c r="M469" i="5" l="1"/>
  <c r="M468" i="5"/>
  <c r="M512" i="5"/>
  <c r="M511" i="5"/>
  <c r="M483" i="5"/>
  <c r="M482" i="5"/>
  <c r="F489" i="5" l="1"/>
  <c r="M480" i="5" l="1"/>
  <c r="M481" i="5"/>
  <c r="M555" i="5"/>
  <c r="M554" i="5"/>
  <c r="M524" i="5"/>
  <c r="M523" i="5"/>
  <c r="L599" i="5"/>
  <c r="K599" i="5"/>
  <c r="J599" i="5"/>
  <c r="I599" i="5"/>
  <c r="E599" i="5"/>
  <c r="D599" i="5"/>
  <c r="C599" i="5"/>
  <c r="B599" i="5"/>
  <c r="F598" i="5"/>
  <c r="M597" i="5"/>
  <c r="F597" i="5"/>
  <c r="F596" i="5"/>
  <c r="M595" i="5"/>
  <c r="F595" i="5"/>
  <c r="M594" i="5"/>
  <c r="F594" i="5"/>
  <c r="M593" i="5"/>
  <c r="F593" i="5"/>
  <c r="M592" i="5"/>
  <c r="F592" i="5"/>
  <c r="M591" i="5"/>
  <c r="F591" i="5"/>
  <c r="M590" i="5"/>
  <c r="F590" i="5"/>
  <c r="M589" i="5"/>
  <c r="F589" i="5"/>
  <c r="M588" i="5"/>
  <c r="F588" i="5"/>
  <c r="M587" i="5"/>
  <c r="F587" i="5"/>
  <c r="M586" i="5"/>
  <c r="F586" i="5"/>
  <c r="M585" i="5"/>
  <c r="F585" i="5"/>
  <c r="M584" i="5"/>
  <c r="F584" i="5"/>
  <c r="M583" i="5"/>
  <c r="F583" i="5"/>
  <c r="M582" i="5"/>
  <c r="F582" i="5"/>
  <c r="M581" i="5"/>
  <c r="F581" i="5"/>
  <c r="M580" i="5"/>
  <c r="F580" i="5"/>
  <c r="M579" i="5"/>
  <c r="F579" i="5"/>
  <c r="M578" i="5"/>
  <c r="F578" i="5"/>
  <c r="F577" i="5"/>
  <c r="M576" i="5"/>
  <c r="F576" i="5"/>
  <c r="M575" i="5"/>
  <c r="F575" i="5"/>
  <c r="M573" i="5"/>
  <c r="F573" i="5"/>
  <c r="M572" i="5"/>
  <c r="F572" i="5"/>
  <c r="M571" i="5"/>
  <c r="F571" i="5"/>
  <c r="M570" i="5"/>
  <c r="F570" i="5"/>
  <c r="F569" i="5"/>
  <c r="F568" i="5"/>
  <c r="F567" i="5"/>
  <c r="F566" i="5"/>
  <c r="M565" i="5"/>
  <c r="F565" i="5"/>
  <c r="M564" i="5"/>
  <c r="F564" i="5"/>
  <c r="F599" i="5" l="1"/>
  <c r="M599" i="5"/>
  <c r="L556" i="5" l="1"/>
  <c r="K556" i="5"/>
  <c r="J556" i="5"/>
  <c r="I556" i="5"/>
  <c r="E556" i="5"/>
  <c r="D556" i="5"/>
  <c r="C556" i="5"/>
  <c r="B556" i="5"/>
  <c r="F555" i="5"/>
  <c r="F554" i="5"/>
  <c r="M553" i="5"/>
  <c r="F553" i="5"/>
  <c r="M552" i="5"/>
  <c r="F552" i="5"/>
  <c r="M551" i="5"/>
  <c r="F551" i="5"/>
  <c r="M550" i="5"/>
  <c r="F550" i="5"/>
  <c r="M549" i="5"/>
  <c r="F549" i="5"/>
  <c r="M548" i="5"/>
  <c r="F548" i="5"/>
  <c r="M547" i="5"/>
  <c r="F547" i="5"/>
  <c r="M546" i="5"/>
  <c r="F546" i="5"/>
  <c r="M545" i="5"/>
  <c r="F545" i="5"/>
  <c r="M544" i="5"/>
  <c r="F544" i="5"/>
  <c r="M543" i="5"/>
  <c r="F543" i="5"/>
  <c r="M542" i="5"/>
  <c r="F542" i="5"/>
  <c r="M541" i="5"/>
  <c r="F541" i="5"/>
  <c r="M540" i="5"/>
  <c r="F540" i="5"/>
  <c r="M539" i="5"/>
  <c r="F539" i="5"/>
  <c r="M538" i="5"/>
  <c r="F538" i="5"/>
  <c r="F537" i="5"/>
  <c r="M536" i="5"/>
  <c r="F536" i="5"/>
  <c r="M535" i="5"/>
  <c r="F535" i="5"/>
  <c r="F534" i="5"/>
  <c r="F533" i="5"/>
  <c r="M532" i="5"/>
  <c r="M530" i="5"/>
  <c r="F530" i="5"/>
  <c r="M529" i="5"/>
  <c r="F529" i="5"/>
  <c r="M528" i="5"/>
  <c r="F528" i="5"/>
  <c r="M527" i="5"/>
  <c r="F527" i="5"/>
  <c r="M526" i="5"/>
  <c r="F526" i="5"/>
  <c r="M525" i="5"/>
  <c r="F525" i="5"/>
  <c r="F524" i="5"/>
  <c r="F523" i="5"/>
  <c r="M522" i="5"/>
  <c r="F522" i="5"/>
  <c r="F521" i="5"/>
  <c r="M459" i="5"/>
  <c r="F556" i="5" l="1"/>
  <c r="M556" i="5"/>
  <c r="M455" i="5"/>
  <c r="M451" i="5" l="1"/>
  <c r="F396" i="5"/>
  <c r="F447" i="5"/>
  <c r="F446" i="5"/>
  <c r="M426" i="5" l="1"/>
  <c r="B378" i="5"/>
  <c r="D354" i="5"/>
  <c r="M446" i="5"/>
  <c r="M378" i="5" l="1"/>
  <c r="M373" i="5" l="1"/>
  <c r="F512" i="5"/>
  <c r="M479" i="5"/>
  <c r="L513" i="5" l="1"/>
  <c r="K513" i="5"/>
  <c r="J513" i="5"/>
  <c r="I513" i="5"/>
  <c r="E513" i="5"/>
  <c r="D513" i="5"/>
  <c r="C513" i="5"/>
  <c r="B513" i="5"/>
  <c r="F511" i="5"/>
  <c r="M510" i="5"/>
  <c r="F510" i="5"/>
  <c r="M509" i="5"/>
  <c r="F509" i="5"/>
  <c r="M508" i="5"/>
  <c r="F508" i="5"/>
  <c r="M507" i="5"/>
  <c r="F507" i="5"/>
  <c r="M506" i="5"/>
  <c r="F506" i="5"/>
  <c r="M505" i="5"/>
  <c r="F505" i="5"/>
  <c r="M504" i="5"/>
  <c r="F504" i="5"/>
  <c r="M503" i="5"/>
  <c r="F503" i="5"/>
  <c r="M502" i="5"/>
  <c r="F502" i="5"/>
  <c r="M501" i="5"/>
  <c r="F501" i="5"/>
  <c r="M500" i="5"/>
  <c r="F500" i="5"/>
  <c r="M499" i="5"/>
  <c r="F499" i="5"/>
  <c r="M498" i="5"/>
  <c r="F498" i="5"/>
  <c r="M497" i="5"/>
  <c r="F497" i="5"/>
  <c r="M496" i="5"/>
  <c r="F496" i="5"/>
  <c r="M495" i="5"/>
  <c r="M494" i="5"/>
  <c r="M493" i="5"/>
  <c r="F493" i="5"/>
  <c r="M492" i="5"/>
  <c r="F492" i="5"/>
  <c r="M491" i="5"/>
  <c r="F491" i="5"/>
  <c r="M490" i="5"/>
  <c r="F490" i="5"/>
  <c r="M489" i="5"/>
  <c r="M487" i="5"/>
  <c r="F487" i="5"/>
  <c r="M486" i="5"/>
  <c r="F486" i="5"/>
  <c r="M485" i="5"/>
  <c r="F485" i="5"/>
  <c r="M484" i="5"/>
  <c r="F484" i="5"/>
  <c r="F483" i="5"/>
  <c r="F482" i="5"/>
  <c r="F481" i="5"/>
  <c r="F480" i="5"/>
  <c r="F479" i="5"/>
  <c r="M478" i="5"/>
  <c r="F478" i="5"/>
  <c r="F513" i="5" l="1"/>
  <c r="M513" i="5"/>
  <c r="M365" i="5"/>
  <c r="L470" i="5"/>
  <c r="K470" i="5"/>
  <c r="J470" i="5"/>
  <c r="I470" i="5"/>
  <c r="E470" i="5"/>
  <c r="D470" i="5"/>
  <c r="C470" i="5"/>
  <c r="B470" i="5"/>
  <c r="F469" i="5"/>
  <c r="F468" i="5"/>
  <c r="M467" i="5"/>
  <c r="F467" i="5"/>
  <c r="M466" i="5"/>
  <c r="F466" i="5"/>
  <c r="M465" i="5"/>
  <c r="F465" i="5"/>
  <c r="M464" i="5"/>
  <c r="F464" i="5"/>
  <c r="M463" i="5"/>
  <c r="F463" i="5"/>
  <c r="M462" i="5"/>
  <c r="F462" i="5"/>
  <c r="M461" i="5"/>
  <c r="F461" i="5"/>
  <c r="M460" i="5"/>
  <c r="F460" i="5"/>
  <c r="F459" i="5"/>
  <c r="M458" i="5"/>
  <c r="F458" i="5"/>
  <c r="M457" i="5"/>
  <c r="F457" i="5"/>
  <c r="M456" i="5"/>
  <c r="F456" i="5"/>
  <c r="F455" i="5"/>
  <c r="M454" i="5"/>
  <c r="F454" i="5"/>
  <c r="M453" i="5"/>
  <c r="F453" i="5"/>
  <c r="M452" i="5"/>
  <c r="F452" i="5"/>
  <c r="F451" i="5"/>
  <c r="M450" i="5"/>
  <c r="F450" i="5"/>
  <c r="M449" i="5"/>
  <c r="F449" i="5"/>
  <c r="M448" i="5"/>
  <c r="F448" i="5"/>
  <c r="M447" i="5"/>
  <c r="M444" i="5"/>
  <c r="F444" i="5"/>
  <c r="M443" i="5"/>
  <c r="F443" i="5"/>
  <c r="M442" i="5"/>
  <c r="F442" i="5"/>
  <c r="M441" i="5"/>
  <c r="F441" i="5"/>
  <c r="M440" i="5"/>
  <c r="F440" i="5"/>
  <c r="M439" i="5"/>
  <c r="F439" i="5"/>
  <c r="M438" i="5"/>
  <c r="F438" i="5"/>
  <c r="M437" i="5"/>
  <c r="F437" i="5"/>
  <c r="M436" i="5"/>
  <c r="F436" i="5"/>
  <c r="M435" i="5"/>
  <c r="F435" i="5"/>
  <c r="M333" i="5"/>
  <c r="F335" i="5"/>
  <c r="F470" i="5" l="1"/>
  <c r="M470" i="5"/>
  <c r="M383" i="5"/>
  <c r="M382" i="5"/>
  <c r="L427" i="5"/>
  <c r="K427" i="5"/>
  <c r="J427" i="5"/>
  <c r="I427" i="5"/>
  <c r="E427" i="5"/>
  <c r="D427" i="5"/>
  <c r="C427" i="5"/>
  <c r="B427" i="5"/>
  <c r="F426" i="5"/>
  <c r="M425" i="5"/>
  <c r="F425" i="5"/>
  <c r="M424" i="5"/>
  <c r="F424" i="5"/>
  <c r="M423" i="5"/>
  <c r="F423" i="5"/>
  <c r="M422" i="5"/>
  <c r="F422" i="5"/>
  <c r="M421" i="5"/>
  <c r="F421" i="5"/>
  <c r="M420" i="5"/>
  <c r="F420" i="5"/>
  <c r="M419" i="5"/>
  <c r="F419" i="5"/>
  <c r="M418" i="5"/>
  <c r="F418" i="5"/>
  <c r="M417" i="5"/>
  <c r="F417" i="5"/>
  <c r="M416" i="5"/>
  <c r="F416" i="5"/>
  <c r="M415" i="5"/>
  <c r="F415" i="5"/>
  <c r="M414" i="5"/>
  <c r="F414" i="5"/>
  <c r="M413" i="5"/>
  <c r="F413" i="5"/>
  <c r="M412" i="5"/>
  <c r="F412" i="5"/>
  <c r="M411" i="5"/>
  <c r="F411" i="5"/>
  <c r="M410" i="5"/>
  <c r="F410" i="5"/>
  <c r="M409" i="5"/>
  <c r="F409" i="5"/>
  <c r="M408" i="5"/>
  <c r="F408" i="5"/>
  <c r="M407" i="5"/>
  <c r="F407" i="5"/>
  <c r="M406" i="5"/>
  <c r="F406" i="5"/>
  <c r="M405" i="5"/>
  <c r="F405" i="5"/>
  <c r="M404" i="5"/>
  <c r="F404" i="5"/>
  <c r="M403" i="5"/>
  <c r="F403" i="5"/>
  <c r="M401" i="5"/>
  <c r="F401" i="5"/>
  <c r="M400" i="5"/>
  <c r="F400" i="5"/>
  <c r="M399" i="5"/>
  <c r="F399" i="5"/>
  <c r="M398" i="5"/>
  <c r="F398" i="5"/>
  <c r="M397" i="5"/>
  <c r="F397" i="5"/>
  <c r="M396" i="5"/>
  <c r="M395" i="5"/>
  <c r="F395" i="5"/>
  <c r="M394" i="5"/>
  <c r="F394" i="5"/>
  <c r="M393" i="5"/>
  <c r="F393" i="5"/>
  <c r="M392" i="5"/>
  <c r="F392" i="5"/>
  <c r="M427" i="5" l="1"/>
  <c r="F427" i="5"/>
  <c r="F324" i="5"/>
  <c r="F323" i="5"/>
  <c r="M326" i="5"/>
  <c r="M325" i="5"/>
  <c r="M324" i="5"/>
  <c r="M281" i="5" l="1"/>
  <c r="F297" i="5"/>
  <c r="F296" i="5"/>
  <c r="F318" i="5"/>
  <c r="F317" i="5"/>
  <c r="M282" i="5" l="1"/>
  <c r="M338" i="5" l="1"/>
  <c r="M276" i="5" l="1"/>
  <c r="F285" i="5"/>
  <c r="G4" i="6" l="1"/>
  <c r="Q5" i="6"/>
  <c r="Q6" i="6"/>
  <c r="Q7" i="6"/>
  <c r="Q8" i="6"/>
  <c r="Q9" i="6"/>
  <c r="Q10" i="6"/>
  <c r="Q11" i="6"/>
  <c r="Q12" i="6"/>
  <c r="Q13" i="6"/>
  <c r="Q14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4" i="6"/>
  <c r="L5" i="6"/>
  <c r="L6" i="6"/>
  <c r="L7" i="6"/>
  <c r="L8" i="6"/>
  <c r="L9" i="6"/>
  <c r="L10" i="6"/>
  <c r="L11" i="6"/>
  <c r="L12" i="6"/>
  <c r="L13" i="6"/>
  <c r="L14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4" i="6"/>
  <c r="Q47" i="6"/>
  <c r="Q48" i="6"/>
  <c r="Q49" i="6"/>
  <c r="Q50" i="6"/>
  <c r="Q51" i="6"/>
  <c r="Q52" i="6"/>
  <c r="Q53" i="6"/>
  <c r="Q54" i="6"/>
  <c r="Q55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46" i="6"/>
  <c r="L47" i="6"/>
  <c r="L48" i="6"/>
  <c r="L49" i="6"/>
  <c r="L50" i="6"/>
  <c r="L51" i="6"/>
  <c r="L52" i="6"/>
  <c r="L53" i="6"/>
  <c r="L54" i="6"/>
  <c r="L55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46" i="6"/>
  <c r="G46" i="6"/>
  <c r="M254" i="5"/>
  <c r="M295" i="5" l="1"/>
  <c r="M274" i="5"/>
  <c r="M340" i="5"/>
  <c r="M339" i="5"/>
  <c r="M297" i="5"/>
  <c r="M296" i="5"/>
  <c r="M246" i="5" l="1"/>
  <c r="C252" i="5" l="1"/>
  <c r="F306" i="5" l="1"/>
  <c r="M306" i="5"/>
  <c r="F307" i="5"/>
  <c r="M307" i="5"/>
  <c r="F308" i="5"/>
  <c r="M308" i="5"/>
  <c r="F309" i="5"/>
  <c r="M309" i="5"/>
  <c r="F310" i="5"/>
  <c r="M310" i="5"/>
  <c r="F311" i="5"/>
  <c r="M311" i="5"/>
  <c r="F312" i="5"/>
  <c r="M312" i="5"/>
  <c r="F313" i="5"/>
  <c r="M313" i="5"/>
  <c r="F314" i="5"/>
  <c r="M314" i="5"/>
  <c r="F315" i="5"/>
  <c r="M315" i="5"/>
  <c r="M317" i="5"/>
  <c r="M318" i="5"/>
  <c r="F319" i="5"/>
  <c r="M319" i="5"/>
  <c r="F320" i="5"/>
  <c r="M320" i="5"/>
  <c r="F321" i="5"/>
  <c r="M321" i="5"/>
  <c r="F322" i="5"/>
  <c r="M322" i="5"/>
  <c r="M323" i="5"/>
  <c r="F325" i="5"/>
  <c r="F326" i="5"/>
  <c r="F327" i="5"/>
  <c r="M327" i="5"/>
  <c r="F328" i="5"/>
  <c r="M328" i="5"/>
  <c r="F329" i="5"/>
  <c r="M329" i="5"/>
  <c r="F330" i="5"/>
  <c r="M330" i="5"/>
  <c r="F331" i="5"/>
  <c r="M331" i="5"/>
  <c r="F332" i="5"/>
  <c r="M332" i="5"/>
  <c r="F333" i="5"/>
  <c r="F334" i="5"/>
  <c r="M334" i="5"/>
  <c r="M335" i="5"/>
  <c r="F336" i="5"/>
  <c r="M336" i="5"/>
  <c r="F337" i="5"/>
  <c r="M337" i="5"/>
  <c r="F338" i="5"/>
  <c r="F339" i="5"/>
  <c r="F340" i="5"/>
  <c r="B341" i="5"/>
  <c r="C341" i="5"/>
  <c r="D341" i="5"/>
  <c r="E341" i="5"/>
  <c r="I341" i="5"/>
  <c r="J341" i="5"/>
  <c r="K341" i="5"/>
  <c r="L341" i="5"/>
  <c r="F349" i="5"/>
  <c r="M349" i="5"/>
  <c r="F350" i="5"/>
  <c r="M350" i="5"/>
  <c r="F351" i="5"/>
  <c r="M351" i="5"/>
  <c r="F352" i="5"/>
  <c r="M352" i="5"/>
  <c r="F353" i="5"/>
  <c r="M353" i="5"/>
  <c r="F354" i="5"/>
  <c r="M354" i="5"/>
  <c r="F355" i="5"/>
  <c r="M355" i="5"/>
  <c r="F356" i="5"/>
  <c r="M356" i="5"/>
  <c r="F357" i="5"/>
  <c r="M357" i="5"/>
  <c r="F358" i="5"/>
  <c r="M358" i="5"/>
  <c r="F360" i="5"/>
  <c r="M360" i="5"/>
  <c r="F361" i="5"/>
  <c r="M361" i="5"/>
  <c r="F362" i="5"/>
  <c r="M362" i="5"/>
  <c r="F363" i="5"/>
  <c r="M363" i="5"/>
  <c r="F364" i="5"/>
  <c r="M364" i="5"/>
  <c r="F365" i="5"/>
  <c r="F366" i="5"/>
  <c r="M366" i="5"/>
  <c r="F367" i="5"/>
  <c r="M367" i="5"/>
  <c r="F368" i="5"/>
  <c r="M368" i="5"/>
  <c r="F369" i="5"/>
  <c r="M369" i="5"/>
  <c r="F370" i="5"/>
  <c r="M370" i="5"/>
  <c r="F371" i="5"/>
  <c r="M371" i="5"/>
  <c r="F372" i="5"/>
  <c r="M372" i="5"/>
  <c r="F373" i="5"/>
  <c r="F374" i="5"/>
  <c r="M374" i="5"/>
  <c r="F375" i="5"/>
  <c r="M375" i="5"/>
  <c r="F376" i="5"/>
  <c r="M376" i="5"/>
  <c r="F377" i="5"/>
  <c r="M377" i="5"/>
  <c r="F378" i="5"/>
  <c r="F379" i="5"/>
  <c r="M379" i="5"/>
  <c r="F380" i="5"/>
  <c r="M380" i="5"/>
  <c r="F381" i="5"/>
  <c r="M381" i="5"/>
  <c r="F382" i="5"/>
  <c r="F383" i="5"/>
  <c r="B384" i="5"/>
  <c r="C384" i="5"/>
  <c r="D384" i="5"/>
  <c r="E384" i="5"/>
  <c r="I384" i="5"/>
  <c r="J384" i="5"/>
  <c r="K384" i="5"/>
  <c r="L384" i="5"/>
  <c r="F384" i="5" l="1"/>
  <c r="M384" i="5"/>
  <c r="M341" i="5"/>
  <c r="F341" i="5"/>
  <c r="E241" i="5" l="1"/>
  <c r="M237" i="5" l="1"/>
  <c r="M236" i="5"/>
  <c r="M235" i="5"/>
  <c r="M234" i="5"/>
  <c r="M233" i="5"/>
  <c r="M232" i="5"/>
  <c r="M231" i="5"/>
  <c r="M251" i="5" l="1"/>
  <c r="M252" i="5"/>
  <c r="M253" i="5"/>
  <c r="C203" i="5" l="1"/>
  <c r="M189" i="5"/>
  <c r="D25" i="6"/>
  <c r="M188" i="5"/>
  <c r="M168" i="5"/>
  <c r="E298" i="5"/>
  <c r="D298" i="5"/>
  <c r="C298" i="5"/>
  <c r="B298" i="5"/>
  <c r="F295" i="5"/>
  <c r="F294" i="5"/>
  <c r="F293" i="5"/>
  <c r="F292" i="5"/>
  <c r="F291" i="5"/>
  <c r="F290" i="5"/>
  <c r="F289" i="5"/>
  <c r="F288" i="5"/>
  <c r="F287" i="5"/>
  <c r="F286" i="5"/>
  <c r="F284" i="5"/>
  <c r="F283" i="5"/>
  <c r="F282" i="5"/>
  <c r="F281" i="5"/>
  <c r="F280" i="5"/>
  <c r="F279" i="5"/>
  <c r="F278" i="5"/>
  <c r="F277" i="5"/>
  <c r="F276" i="5"/>
  <c r="F275" i="5"/>
  <c r="F274" i="5"/>
  <c r="F272" i="5"/>
  <c r="F271" i="5"/>
  <c r="F270" i="5"/>
  <c r="F269" i="5"/>
  <c r="F268" i="5"/>
  <c r="F267" i="5"/>
  <c r="F266" i="5"/>
  <c r="F265" i="5"/>
  <c r="F264" i="5"/>
  <c r="F263" i="5"/>
  <c r="M211" i="5"/>
  <c r="L298" i="5"/>
  <c r="K298" i="5"/>
  <c r="J298" i="5"/>
  <c r="I298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0" i="5"/>
  <c r="M279" i="5"/>
  <c r="M278" i="5"/>
  <c r="M277" i="5"/>
  <c r="M275" i="5"/>
  <c r="M272" i="5"/>
  <c r="M271" i="5"/>
  <c r="M270" i="5"/>
  <c r="M269" i="5"/>
  <c r="M268" i="5"/>
  <c r="M267" i="5"/>
  <c r="M266" i="5"/>
  <c r="M265" i="5"/>
  <c r="M264" i="5"/>
  <c r="M263" i="5"/>
  <c r="M222" i="5"/>
  <c r="M298" i="5" l="1"/>
  <c r="F298" i="5"/>
  <c r="M210" i="5"/>
  <c r="M183" i="5"/>
  <c r="M184" i="5"/>
  <c r="S255" i="5" l="1"/>
  <c r="R255" i="5"/>
  <c r="Q255" i="5"/>
  <c r="P255" i="5"/>
  <c r="L255" i="5"/>
  <c r="K255" i="5"/>
  <c r="J255" i="5"/>
  <c r="I255" i="5"/>
  <c r="E255" i="5"/>
  <c r="D255" i="5"/>
  <c r="C255" i="5"/>
  <c r="B255" i="5"/>
  <c r="T254" i="5"/>
  <c r="F254" i="5"/>
  <c r="T253" i="5"/>
  <c r="F253" i="5"/>
  <c r="T252" i="5"/>
  <c r="F252" i="5"/>
  <c r="T251" i="5"/>
  <c r="F251" i="5"/>
  <c r="T250" i="5"/>
  <c r="M250" i="5"/>
  <c r="F250" i="5"/>
  <c r="T249" i="5"/>
  <c r="M249" i="5"/>
  <c r="F249" i="5"/>
  <c r="T248" i="5"/>
  <c r="M248" i="5"/>
  <c r="F248" i="5"/>
  <c r="T247" i="5"/>
  <c r="M247" i="5"/>
  <c r="F247" i="5"/>
  <c r="T246" i="5"/>
  <c r="F246" i="5"/>
  <c r="T245" i="5"/>
  <c r="M245" i="5"/>
  <c r="F245" i="5"/>
  <c r="T244" i="5"/>
  <c r="M244" i="5"/>
  <c r="F244" i="5"/>
  <c r="T243" i="5"/>
  <c r="M243" i="5"/>
  <c r="F243" i="5"/>
  <c r="T242" i="5"/>
  <c r="M242" i="5"/>
  <c r="F242" i="5"/>
  <c r="T241" i="5"/>
  <c r="M241" i="5"/>
  <c r="F241" i="5"/>
  <c r="T240" i="5"/>
  <c r="M240" i="5"/>
  <c r="F240" i="5"/>
  <c r="T239" i="5"/>
  <c r="M239" i="5"/>
  <c r="F239" i="5"/>
  <c r="T238" i="5"/>
  <c r="M238" i="5"/>
  <c r="F238" i="5"/>
  <c r="T237" i="5"/>
  <c r="F237" i="5"/>
  <c r="T236" i="5"/>
  <c r="F236" i="5"/>
  <c r="T235" i="5"/>
  <c r="F235" i="5"/>
  <c r="T234" i="5"/>
  <c r="F234" i="5"/>
  <c r="T233" i="5"/>
  <c r="F233" i="5"/>
  <c r="T232" i="5"/>
  <c r="F232" i="5"/>
  <c r="T231" i="5"/>
  <c r="F231" i="5"/>
  <c r="T229" i="5"/>
  <c r="M229" i="5"/>
  <c r="F229" i="5"/>
  <c r="T228" i="5"/>
  <c r="M228" i="5"/>
  <c r="F228" i="5"/>
  <c r="T227" i="5"/>
  <c r="M227" i="5"/>
  <c r="F227" i="5"/>
  <c r="T226" i="5"/>
  <c r="M226" i="5"/>
  <c r="F226" i="5"/>
  <c r="T225" i="5"/>
  <c r="M225" i="5"/>
  <c r="F225" i="5"/>
  <c r="T224" i="5"/>
  <c r="M224" i="5"/>
  <c r="F224" i="5"/>
  <c r="T223" i="5"/>
  <c r="M223" i="5"/>
  <c r="F223" i="5"/>
  <c r="T222" i="5"/>
  <c r="F222" i="5"/>
  <c r="T221" i="5"/>
  <c r="M221" i="5"/>
  <c r="F221" i="5"/>
  <c r="T220" i="5"/>
  <c r="M220" i="5"/>
  <c r="F220" i="5"/>
  <c r="M209" i="5"/>
  <c r="M208" i="5"/>
  <c r="M147" i="5"/>
  <c r="M136" i="5"/>
  <c r="T255" i="5" l="1"/>
  <c r="M255" i="5"/>
  <c r="F255" i="5"/>
  <c r="M145" i="5"/>
  <c r="G5" i="6" l="1"/>
  <c r="G6" i="6"/>
  <c r="G7" i="6"/>
  <c r="G8" i="6"/>
  <c r="G9" i="6"/>
  <c r="G10" i="6"/>
  <c r="G11" i="6"/>
  <c r="G12" i="6"/>
  <c r="G13" i="6"/>
  <c r="G14" i="6"/>
  <c r="C15" i="6"/>
  <c r="D15" i="6"/>
  <c r="E15" i="6"/>
  <c r="F15" i="6"/>
  <c r="H15" i="6"/>
  <c r="I15" i="6"/>
  <c r="J15" i="6"/>
  <c r="K15" i="6"/>
  <c r="M15" i="6"/>
  <c r="N15" i="6"/>
  <c r="O15" i="6"/>
  <c r="P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C38" i="6"/>
  <c r="D38" i="6"/>
  <c r="E38" i="6"/>
  <c r="F38" i="6"/>
  <c r="H38" i="6"/>
  <c r="I38" i="6"/>
  <c r="J38" i="6"/>
  <c r="K38" i="6"/>
  <c r="M38" i="6"/>
  <c r="N38" i="6"/>
  <c r="O38" i="6"/>
  <c r="P38" i="6"/>
  <c r="G47" i="6"/>
  <c r="G48" i="6"/>
  <c r="G49" i="6"/>
  <c r="G50" i="6"/>
  <c r="G51" i="6"/>
  <c r="G52" i="6"/>
  <c r="G53" i="6"/>
  <c r="G54" i="6"/>
  <c r="G55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C79" i="6"/>
  <c r="D79" i="6"/>
  <c r="E79" i="6"/>
  <c r="F79" i="6"/>
  <c r="H79" i="6"/>
  <c r="I79" i="6"/>
  <c r="J79" i="6"/>
  <c r="K79" i="6"/>
  <c r="M79" i="6"/>
  <c r="N79" i="6"/>
  <c r="O79" i="6"/>
  <c r="P79" i="6"/>
  <c r="Q79" i="6" l="1"/>
  <c r="G15" i="6"/>
  <c r="Q38" i="6"/>
  <c r="K39" i="6"/>
  <c r="L15" i="6"/>
  <c r="L79" i="6"/>
  <c r="L38" i="6"/>
  <c r="Q15" i="6"/>
  <c r="R24" i="6"/>
  <c r="I39" i="6"/>
  <c r="I45" i="6" s="1"/>
  <c r="I56" i="6" s="1"/>
  <c r="I80" i="6" s="1"/>
  <c r="P39" i="6"/>
  <c r="P45" i="6" s="1"/>
  <c r="P56" i="6" s="1"/>
  <c r="P80" i="6" s="1"/>
  <c r="R47" i="6"/>
  <c r="E39" i="6"/>
  <c r="E45" i="6" s="1"/>
  <c r="E56" i="6" s="1"/>
  <c r="E80" i="6" s="1"/>
  <c r="R65" i="6"/>
  <c r="R30" i="6"/>
  <c r="R33" i="6"/>
  <c r="R68" i="6"/>
  <c r="R29" i="6"/>
  <c r="R27" i="6"/>
  <c r="R6" i="6"/>
  <c r="R9" i="6"/>
  <c r="R64" i="6"/>
  <c r="R62" i="6"/>
  <c r="G79" i="6"/>
  <c r="R53" i="6"/>
  <c r="R77" i="6"/>
  <c r="R59" i="6"/>
  <c r="N39" i="6"/>
  <c r="N45" i="6" s="1"/>
  <c r="N56" i="6" s="1"/>
  <c r="N80" i="6" s="1"/>
  <c r="R5" i="6"/>
  <c r="R74" i="6"/>
  <c r="G38" i="6"/>
  <c r="R20" i="6"/>
  <c r="R18" i="6"/>
  <c r="C39" i="6"/>
  <c r="C45" i="6" s="1"/>
  <c r="C56" i="6" s="1"/>
  <c r="C80" i="6" s="1"/>
  <c r="R52" i="6"/>
  <c r="R50" i="6"/>
  <c r="R48" i="6"/>
  <c r="R21" i="6"/>
  <c r="R73" i="6"/>
  <c r="R71" i="6"/>
  <c r="R36" i="6"/>
  <c r="F39" i="6"/>
  <c r="F45" i="6" s="1"/>
  <c r="F56" i="6" s="1"/>
  <c r="F80" i="6" s="1"/>
  <c r="R14" i="6"/>
  <c r="R12" i="6"/>
  <c r="O39" i="6"/>
  <c r="O45" i="6" s="1"/>
  <c r="O56" i="6" s="1"/>
  <c r="O80" i="6" s="1"/>
  <c r="H39" i="6"/>
  <c r="R58" i="6"/>
  <c r="R46" i="6"/>
  <c r="R32" i="6"/>
  <c r="R63" i="6"/>
  <c r="R51" i="6"/>
  <c r="R37" i="6"/>
  <c r="R70" i="6"/>
  <c r="R61" i="6"/>
  <c r="R49" i="6"/>
  <c r="R35" i="6"/>
  <c r="R26" i="6"/>
  <c r="R17" i="6"/>
  <c r="R11" i="6"/>
  <c r="R75" i="6"/>
  <c r="R66" i="6"/>
  <c r="R57" i="6"/>
  <c r="R54" i="6"/>
  <c r="J39" i="6"/>
  <c r="J45" i="6" s="1"/>
  <c r="J56" i="6" s="1"/>
  <c r="J80" i="6" s="1"/>
  <c r="J86" i="6" s="1"/>
  <c r="J97" i="6" s="1"/>
  <c r="D39" i="6"/>
  <c r="D45" i="6" s="1"/>
  <c r="D56" i="6" s="1"/>
  <c r="D80" i="6" s="1"/>
  <c r="R31" i="6"/>
  <c r="R22" i="6"/>
  <c r="R7" i="6"/>
  <c r="R78" i="6"/>
  <c r="R69" i="6"/>
  <c r="R34" i="6"/>
  <c r="R25" i="6"/>
  <c r="R16" i="6"/>
  <c r="R10" i="6"/>
  <c r="R76" i="6"/>
  <c r="R55" i="6"/>
  <c r="R23" i="6"/>
  <c r="R8" i="6"/>
  <c r="R60" i="6"/>
  <c r="R67" i="6"/>
  <c r="R72" i="6"/>
  <c r="M39" i="6"/>
  <c r="R28" i="6"/>
  <c r="R19" i="6"/>
  <c r="R13" i="6"/>
  <c r="R4" i="6"/>
  <c r="B115" i="5"/>
  <c r="C115" i="5"/>
  <c r="M110" i="5"/>
  <c r="F106" i="5"/>
  <c r="J121" i="6" l="1"/>
  <c r="L97" i="6"/>
  <c r="L121" i="6" s="1"/>
  <c r="H45" i="6"/>
  <c r="H56" i="6" s="1"/>
  <c r="L39" i="6"/>
  <c r="L45" i="6" s="1"/>
  <c r="M45" i="6"/>
  <c r="M56" i="6" s="1"/>
  <c r="Q39" i="6"/>
  <c r="Q45" i="6" s="1"/>
  <c r="K45" i="6"/>
  <c r="K56" i="6" s="1"/>
  <c r="K80" i="6" s="1"/>
  <c r="R79" i="6"/>
  <c r="G39" i="6"/>
  <c r="G45" i="6" s="1"/>
  <c r="R15" i="6"/>
  <c r="R38" i="6"/>
  <c r="G56" i="6"/>
  <c r="G80" i="6" s="1"/>
  <c r="T124" i="5"/>
  <c r="T125" i="5"/>
  <c r="M80" i="6" l="1"/>
  <c r="Q80" i="6" s="1"/>
  <c r="Q56" i="6"/>
  <c r="H80" i="6"/>
  <c r="L80" i="6" s="1"/>
  <c r="L86" i="6" s="1"/>
  <c r="L56" i="6"/>
  <c r="R39" i="6"/>
  <c r="R45" i="6" s="1"/>
  <c r="R56" i="6" s="1"/>
  <c r="R80" i="6" s="1"/>
  <c r="R86" i="6" s="1"/>
  <c r="R97" i="6" s="1"/>
  <c r="R121" i="6" s="1"/>
  <c r="M124" i="5"/>
  <c r="M125" i="5"/>
  <c r="M167" i="5"/>
  <c r="S212" i="5"/>
  <c r="R212" i="5"/>
  <c r="Q212" i="5"/>
  <c r="P212" i="5"/>
  <c r="L212" i="5"/>
  <c r="K212" i="5"/>
  <c r="J212" i="5"/>
  <c r="I212" i="5"/>
  <c r="E212" i="5"/>
  <c r="D212" i="5"/>
  <c r="C212" i="5"/>
  <c r="B212" i="5"/>
  <c r="T211" i="5"/>
  <c r="F211" i="5"/>
  <c r="T210" i="5"/>
  <c r="F210" i="5"/>
  <c r="T209" i="5"/>
  <c r="F209" i="5"/>
  <c r="T208" i="5"/>
  <c r="F208" i="5"/>
  <c r="T207" i="5"/>
  <c r="M207" i="5"/>
  <c r="F207" i="5"/>
  <c r="T206" i="5"/>
  <c r="M206" i="5"/>
  <c r="F206" i="5"/>
  <c r="T205" i="5"/>
  <c r="M205" i="5"/>
  <c r="F205" i="5"/>
  <c r="T204" i="5"/>
  <c r="M204" i="5"/>
  <c r="F204" i="5"/>
  <c r="T203" i="5"/>
  <c r="M203" i="5"/>
  <c r="F203" i="5"/>
  <c r="T202" i="5"/>
  <c r="M202" i="5"/>
  <c r="F202" i="5"/>
  <c r="T201" i="5"/>
  <c r="M201" i="5"/>
  <c r="F201" i="5"/>
  <c r="T200" i="5"/>
  <c r="M200" i="5"/>
  <c r="F200" i="5"/>
  <c r="T199" i="5"/>
  <c r="M199" i="5"/>
  <c r="F199" i="5"/>
  <c r="T198" i="5"/>
  <c r="M198" i="5"/>
  <c r="F198" i="5"/>
  <c r="T197" i="5"/>
  <c r="M197" i="5"/>
  <c r="F197" i="5"/>
  <c r="T196" i="5"/>
  <c r="M196" i="5"/>
  <c r="F196" i="5"/>
  <c r="T195" i="5"/>
  <c r="M195" i="5"/>
  <c r="F195" i="5"/>
  <c r="T194" i="5"/>
  <c r="M194" i="5"/>
  <c r="F194" i="5"/>
  <c r="T193" i="5"/>
  <c r="M193" i="5"/>
  <c r="F193" i="5"/>
  <c r="T192" i="5"/>
  <c r="M192" i="5"/>
  <c r="F192" i="5"/>
  <c r="T191" i="5"/>
  <c r="M191" i="5"/>
  <c r="F191" i="5"/>
  <c r="T190" i="5"/>
  <c r="M190" i="5"/>
  <c r="F190" i="5"/>
  <c r="T189" i="5"/>
  <c r="F189" i="5"/>
  <c r="T188" i="5"/>
  <c r="F188" i="5"/>
  <c r="T186" i="5"/>
  <c r="M186" i="5"/>
  <c r="F186" i="5"/>
  <c r="T185" i="5"/>
  <c r="M185" i="5"/>
  <c r="F185" i="5"/>
  <c r="T184" i="5"/>
  <c r="F184" i="5"/>
  <c r="T183" i="5"/>
  <c r="F183" i="5"/>
  <c r="T182" i="5"/>
  <c r="M182" i="5"/>
  <c r="F182" i="5"/>
  <c r="T181" i="5"/>
  <c r="M181" i="5"/>
  <c r="F181" i="5"/>
  <c r="T180" i="5"/>
  <c r="M180" i="5"/>
  <c r="F180" i="5"/>
  <c r="T179" i="5"/>
  <c r="M179" i="5"/>
  <c r="F179" i="5"/>
  <c r="T178" i="5"/>
  <c r="M178" i="5"/>
  <c r="F178" i="5"/>
  <c r="T177" i="5"/>
  <c r="M177" i="5"/>
  <c r="F177" i="5"/>
  <c r="T212" i="5" l="1"/>
  <c r="M212" i="5"/>
  <c r="F212" i="5"/>
  <c r="M123" i="5"/>
  <c r="M92" i="5"/>
  <c r="M81" i="5" l="1"/>
  <c r="M82" i="5"/>
  <c r="F21" i="5" l="1"/>
  <c r="S169" i="5" l="1"/>
  <c r="R169" i="5"/>
  <c r="Q169" i="5"/>
  <c r="P169" i="5"/>
  <c r="L169" i="5"/>
  <c r="K169" i="5"/>
  <c r="J169" i="5"/>
  <c r="I169" i="5"/>
  <c r="E169" i="5"/>
  <c r="D169" i="5"/>
  <c r="C169" i="5"/>
  <c r="B169" i="5"/>
  <c r="T168" i="5"/>
  <c r="F168" i="5"/>
  <c r="T167" i="5"/>
  <c r="F167" i="5"/>
  <c r="T166" i="5"/>
  <c r="M166" i="5"/>
  <c r="F166" i="5"/>
  <c r="T165" i="5"/>
  <c r="M165" i="5"/>
  <c r="F165" i="5"/>
  <c r="T164" i="5"/>
  <c r="M164" i="5"/>
  <c r="F164" i="5"/>
  <c r="T163" i="5"/>
  <c r="M163" i="5"/>
  <c r="F163" i="5"/>
  <c r="T162" i="5"/>
  <c r="M162" i="5"/>
  <c r="F162" i="5"/>
  <c r="T161" i="5"/>
  <c r="M161" i="5"/>
  <c r="F161" i="5"/>
  <c r="T160" i="5"/>
  <c r="M160" i="5"/>
  <c r="F160" i="5"/>
  <c r="T159" i="5"/>
  <c r="M159" i="5"/>
  <c r="F159" i="5"/>
  <c r="T158" i="5"/>
  <c r="M158" i="5"/>
  <c r="F158" i="5"/>
  <c r="T157" i="5"/>
  <c r="M157" i="5"/>
  <c r="F157" i="5"/>
  <c r="T156" i="5"/>
  <c r="M156" i="5"/>
  <c r="F156" i="5"/>
  <c r="T155" i="5"/>
  <c r="M155" i="5"/>
  <c r="F155" i="5"/>
  <c r="T154" i="5"/>
  <c r="M154" i="5"/>
  <c r="F154" i="5"/>
  <c r="T153" i="5"/>
  <c r="M153" i="5"/>
  <c r="F153" i="5"/>
  <c r="T152" i="5"/>
  <c r="M152" i="5"/>
  <c r="F152" i="5"/>
  <c r="T151" i="5"/>
  <c r="M151" i="5"/>
  <c r="F151" i="5"/>
  <c r="T150" i="5"/>
  <c r="M150" i="5"/>
  <c r="F150" i="5"/>
  <c r="T149" i="5"/>
  <c r="M149" i="5"/>
  <c r="F149" i="5"/>
  <c r="T148" i="5"/>
  <c r="M148" i="5"/>
  <c r="F148" i="5"/>
  <c r="T147" i="5"/>
  <c r="F147" i="5"/>
  <c r="T146" i="5"/>
  <c r="M146" i="5"/>
  <c r="F146" i="5"/>
  <c r="T145" i="5"/>
  <c r="F145" i="5"/>
  <c r="T143" i="5"/>
  <c r="M143" i="5"/>
  <c r="F143" i="5"/>
  <c r="T142" i="5"/>
  <c r="M142" i="5"/>
  <c r="F142" i="5"/>
  <c r="T141" i="5"/>
  <c r="M141" i="5"/>
  <c r="F141" i="5"/>
  <c r="T140" i="5"/>
  <c r="M140" i="5"/>
  <c r="F140" i="5"/>
  <c r="T139" i="5"/>
  <c r="M139" i="5"/>
  <c r="F139" i="5"/>
  <c r="T138" i="5"/>
  <c r="M138" i="5"/>
  <c r="F138" i="5"/>
  <c r="T137" i="5"/>
  <c r="M137" i="5"/>
  <c r="F137" i="5"/>
  <c r="T136" i="5"/>
  <c r="F136" i="5"/>
  <c r="T135" i="5"/>
  <c r="M135" i="5"/>
  <c r="F135" i="5"/>
  <c r="T134" i="5"/>
  <c r="M134" i="5"/>
  <c r="F134" i="5"/>
  <c r="M80" i="5"/>
  <c r="F169" i="5" l="1"/>
  <c r="T169" i="5"/>
  <c r="M169" i="5"/>
  <c r="S126" i="5"/>
  <c r="R126" i="5"/>
  <c r="Q126" i="5"/>
  <c r="P126" i="5"/>
  <c r="L126" i="5"/>
  <c r="K126" i="5"/>
  <c r="J126" i="5"/>
  <c r="I126" i="5"/>
  <c r="E126" i="5"/>
  <c r="D126" i="5"/>
  <c r="C126" i="5"/>
  <c r="B126" i="5"/>
  <c r="F125" i="5"/>
  <c r="F124" i="5"/>
  <c r="T123" i="5"/>
  <c r="F123" i="5"/>
  <c r="T122" i="5"/>
  <c r="M122" i="5"/>
  <c r="F122" i="5"/>
  <c r="T121" i="5"/>
  <c r="M121" i="5"/>
  <c r="F121" i="5"/>
  <c r="T120" i="5"/>
  <c r="M120" i="5"/>
  <c r="F120" i="5"/>
  <c r="T119" i="5"/>
  <c r="M119" i="5"/>
  <c r="F119" i="5"/>
  <c r="T118" i="5"/>
  <c r="M118" i="5"/>
  <c r="F118" i="5"/>
  <c r="T117" i="5"/>
  <c r="M117" i="5"/>
  <c r="F117" i="5"/>
  <c r="T116" i="5"/>
  <c r="M116" i="5"/>
  <c r="F116" i="5"/>
  <c r="T115" i="5"/>
  <c r="M115" i="5"/>
  <c r="F115" i="5"/>
  <c r="T114" i="5"/>
  <c r="M114" i="5"/>
  <c r="F114" i="5"/>
  <c r="T113" i="5"/>
  <c r="M113" i="5"/>
  <c r="F113" i="5"/>
  <c r="T112" i="5"/>
  <c r="M112" i="5"/>
  <c r="F112" i="5"/>
  <c r="T111" i="5"/>
  <c r="M111" i="5"/>
  <c r="F111" i="5"/>
  <c r="T110" i="5"/>
  <c r="F110" i="5"/>
  <c r="T109" i="5"/>
  <c r="M109" i="5"/>
  <c r="F109" i="5"/>
  <c r="T108" i="5"/>
  <c r="M108" i="5"/>
  <c r="F108" i="5"/>
  <c r="T107" i="5"/>
  <c r="M107" i="5"/>
  <c r="F107" i="5"/>
  <c r="T106" i="5"/>
  <c r="M106" i="5"/>
  <c r="T105" i="5"/>
  <c r="M105" i="5"/>
  <c r="F105" i="5"/>
  <c r="T104" i="5"/>
  <c r="M104" i="5"/>
  <c r="F104" i="5"/>
  <c r="T103" i="5"/>
  <c r="M103" i="5"/>
  <c r="F103" i="5"/>
  <c r="T102" i="5"/>
  <c r="M102" i="5"/>
  <c r="F102" i="5"/>
  <c r="T100" i="5"/>
  <c r="M100" i="5"/>
  <c r="F100" i="5"/>
  <c r="T99" i="5"/>
  <c r="M99" i="5"/>
  <c r="F99" i="5"/>
  <c r="T98" i="5"/>
  <c r="M98" i="5"/>
  <c r="F98" i="5"/>
  <c r="T97" i="5"/>
  <c r="M97" i="5"/>
  <c r="F97" i="5"/>
  <c r="T96" i="5"/>
  <c r="M96" i="5"/>
  <c r="F96" i="5"/>
  <c r="T95" i="5"/>
  <c r="M95" i="5"/>
  <c r="F95" i="5"/>
  <c r="T94" i="5"/>
  <c r="M94" i="5"/>
  <c r="F94" i="5"/>
  <c r="T93" i="5"/>
  <c r="M93" i="5"/>
  <c r="F93" i="5"/>
  <c r="T92" i="5"/>
  <c r="F92" i="5"/>
  <c r="T91" i="5"/>
  <c r="M91" i="5"/>
  <c r="F91" i="5"/>
  <c r="F18" i="5"/>
  <c r="F19" i="5"/>
  <c r="F20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7" i="5"/>
  <c r="F8" i="5"/>
  <c r="F9" i="5"/>
  <c r="F10" i="5"/>
  <c r="F11" i="5"/>
  <c r="F12" i="5"/>
  <c r="F13" i="5"/>
  <c r="J17" i="5"/>
  <c r="I17" i="5"/>
  <c r="L17" i="5"/>
  <c r="K17" i="5"/>
  <c r="M79" i="5"/>
  <c r="M38" i="5"/>
  <c r="M50" i="5"/>
  <c r="T126" i="5" l="1"/>
  <c r="F126" i="5"/>
  <c r="M126" i="5"/>
  <c r="M34" i="5"/>
  <c r="M35" i="5"/>
  <c r="M36" i="5"/>
  <c r="F5" i="5"/>
  <c r="M5" i="5"/>
  <c r="T5" i="5"/>
  <c r="F6" i="5"/>
  <c r="M6" i="5"/>
  <c r="T6" i="5"/>
  <c r="M7" i="5"/>
  <c r="T7" i="5"/>
  <c r="M8" i="5"/>
  <c r="T8" i="5"/>
  <c r="M9" i="5"/>
  <c r="T9" i="5"/>
  <c r="M10" i="5"/>
  <c r="T10" i="5"/>
  <c r="M11" i="5"/>
  <c r="T11" i="5"/>
  <c r="M12" i="5"/>
  <c r="T12" i="5"/>
  <c r="M13" i="5"/>
  <c r="T13" i="5"/>
  <c r="F14" i="5"/>
  <c r="M14" i="5"/>
  <c r="T14" i="5"/>
  <c r="F16" i="5"/>
  <c r="M16" i="5"/>
  <c r="T16" i="5"/>
  <c r="F17" i="5"/>
  <c r="M17" i="5"/>
  <c r="T17" i="5"/>
  <c r="M18" i="5"/>
  <c r="T18" i="5"/>
  <c r="M19" i="5"/>
  <c r="T19" i="5"/>
  <c r="M20" i="5"/>
  <c r="T20" i="5"/>
  <c r="M21" i="5"/>
  <c r="T21" i="5"/>
  <c r="M22" i="5"/>
  <c r="T22" i="5"/>
  <c r="M23" i="5"/>
  <c r="T23" i="5"/>
  <c r="M24" i="5"/>
  <c r="T24" i="5"/>
  <c r="M25" i="5"/>
  <c r="T25" i="5"/>
  <c r="M26" i="5"/>
  <c r="T26" i="5"/>
  <c r="M27" i="5"/>
  <c r="T27" i="5"/>
  <c r="M28" i="5"/>
  <c r="T28" i="5"/>
  <c r="M29" i="5"/>
  <c r="T29" i="5"/>
  <c r="M30" i="5"/>
  <c r="T30" i="5"/>
  <c r="M31" i="5"/>
  <c r="T31" i="5"/>
  <c r="M32" i="5"/>
  <c r="T32" i="5"/>
  <c r="M33" i="5"/>
  <c r="T33" i="5"/>
  <c r="T34" i="5"/>
  <c r="T35" i="5"/>
  <c r="T36" i="5"/>
  <c r="M37" i="5"/>
  <c r="T37" i="5"/>
  <c r="T38" i="5"/>
  <c r="M39" i="5"/>
  <c r="T39" i="5"/>
  <c r="B40" i="5"/>
  <c r="C40" i="5"/>
  <c r="D40" i="5"/>
  <c r="E40" i="5"/>
  <c r="J40" i="5"/>
  <c r="K40" i="5"/>
  <c r="L40" i="5"/>
  <c r="P40" i="5"/>
  <c r="Q40" i="5"/>
  <c r="R40" i="5"/>
  <c r="S40" i="5"/>
  <c r="F48" i="5"/>
  <c r="M48" i="5"/>
  <c r="T48" i="5"/>
  <c r="F49" i="5"/>
  <c r="M49" i="5"/>
  <c r="T49" i="5"/>
  <c r="F50" i="5"/>
  <c r="T50" i="5"/>
  <c r="F51" i="5"/>
  <c r="M51" i="5"/>
  <c r="T51" i="5"/>
  <c r="F52" i="5"/>
  <c r="M52" i="5"/>
  <c r="T52" i="5"/>
  <c r="F53" i="5"/>
  <c r="M53" i="5"/>
  <c r="T53" i="5"/>
  <c r="F54" i="5"/>
  <c r="M54" i="5"/>
  <c r="T54" i="5"/>
  <c r="F55" i="5"/>
  <c r="M55" i="5"/>
  <c r="T55" i="5"/>
  <c r="F56" i="5"/>
  <c r="M56" i="5"/>
  <c r="T56" i="5"/>
  <c r="F57" i="5"/>
  <c r="M57" i="5"/>
  <c r="T57" i="5"/>
  <c r="F59" i="5"/>
  <c r="M59" i="5"/>
  <c r="T59" i="5"/>
  <c r="F60" i="5"/>
  <c r="M60" i="5"/>
  <c r="T60" i="5"/>
  <c r="F61" i="5"/>
  <c r="M61" i="5"/>
  <c r="T61" i="5"/>
  <c r="F62" i="5"/>
  <c r="M62" i="5"/>
  <c r="T62" i="5"/>
  <c r="F63" i="5"/>
  <c r="M63" i="5"/>
  <c r="T63" i="5"/>
  <c r="F64" i="5"/>
  <c r="M64" i="5"/>
  <c r="T64" i="5"/>
  <c r="F65" i="5"/>
  <c r="M65" i="5"/>
  <c r="T65" i="5"/>
  <c r="F66" i="5"/>
  <c r="M66" i="5"/>
  <c r="T66" i="5"/>
  <c r="F67" i="5"/>
  <c r="M67" i="5"/>
  <c r="T67" i="5"/>
  <c r="F68" i="5"/>
  <c r="M68" i="5"/>
  <c r="T68" i="5"/>
  <c r="F69" i="5"/>
  <c r="M69" i="5"/>
  <c r="T69" i="5"/>
  <c r="F70" i="5"/>
  <c r="M70" i="5"/>
  <c r="T70" i="5"/>
  <c r="F71" i="5"/>
  <c r="M71" i="5"/>
  <c r="T71" i="5"/>
  <c r="F72" i="5"/>
  <c r="M72" i="5"/>
  <c r="T72" i="5"/>
  <c r="F73" i="5"/>
  <c r="M73" i="5"/>
  <c r="T73" i="5"/>
  <c r="F74" i="5"/>
  <c r="M74" i="5"/>
  <c r="T74" i="5"/>
  <c r="F75" i="5"/>
  <c r="M75" i="5"/>
  <c r="T75" i="5"/>
  <c r="F76" i="5"/>
  <c r="M76" i="5"/>
  <c r="T76" i="5"/>
  <c r="F77" i="5"/>
  <c r="M77" i="5"/>
  <c r="T77" i="5"/>
  <c r="F78" i="5"/>
  <c r="M78" i="5"/>
  <c r="T78" i="5"/>
  <c r="F79" i="5"/>
  <c r="T79" i="5"/>
  <c r="F80" i="5"/>
  <c r="T80" i="5"/>
  <c r="F81" i="5"/>
  <c r="T81" i="5"/>
  <c r="F82" i="5"/>
  <c r="T82" i="5"/>
  <c r="B83" i="5"/>
  <c r="C83" i="5"/>
  <c r="D83" i="5"/>
  <c r="E83" i="5"/>
  <c r="I83" i="5"/>
  <c r="J83" i="5"/>
  <c r="K83" i="5"/>
  <c r="L83" i="5"/>
  <c r="P83" i="5"/>
  <c r="Q83" i="5"/>
  <c r="R83" i="5"/>
  <c r="S83" i="5"/>
  <c r="L85" i="5" l="1"/>
  <c r="L386" i="5" s="1"/>
  <c r="L644" i="5" s="1"/>
  <c r="L1031" i="5" s="1"/>
  <c r="J85" i="5"/>
  <c r="J386" i="5" s="1"/>
  <c r="K85" i="5"/>
  <c r="K386" i="5" s="1"/>
  <c r="K644" i="5" s="1"/>
  <c r="K1031" i="5" s="1"/>
  <c r="F40" i="5"/>
  <c r="M83" i="5"/>
  <c r="T83" i="5"/>
  <c r="T40" i="5"/>
  <c r="F83" i="5"/>
  <c r="I40" i="5"/>
  <c r="M40" i="5" s="1"/>
  <c r="M85" i="5" l="1"/>
  <c r="I85" i="5"/>
  <c r="I386" i="5" s="1"/>
  <c r="I644" i="5" s="1"/>
  <c r="I1031" i="5" s="1"/>
  <c r="S15" i="5"/>
  <c r="S41" i="5" s="1"/>
  <c r="S47" i="5" s="1"/>
  <c r="S58" i="5" s="1"/>
  <c r="S84" i="5" s="1"/>
  <c r="S90" i="5" s="1"/>
  <c r="S101" i="5" s="1"/>
  <c r="S127" i="5" s="1"/>
  <c r="S133" i="5" s="1"/>
  <c r="S144" i="5" s="1"/>
  <c r="S170" i="5" s="1"/>
  <c r="S176" i="5" s="1"/>
  <c r="S187" i="5" s="1"/>
  <c r="S213" i="5" s="1"/>
  <c r="S219" i="5" s="1"/>
  <c r="S230" i="5" s="1"/>
  <c r="S256" i="5" s="1"/>
  <c r="M86" i="5" l="1"/>
  <c r="M386" i="5"/>
  <c r="I387" i="5" s="1"/>
  <c r="L86" i="5"/>
  <c r="J86" i="5"/>
  <c r="K86" i="5"/>
  <c r="I86" i="5"/>
  <c r="E15" i="5"/>
  <c r="E41" i="5" s="1"/>
  <c r="E47" i="5" s="1"/>
  <c r="E58" i="5" s="1"/>
  <c r="E84" i="5" s="1"/>
  <c r="E90" i="5" s="1"/>
  <c r="E101" i="5" s="1"/>
  <c r="E127" i="5" s="1"/>
  <c r="E133" i="5" s="1"/>
  <c r="E144" i="5" s="1"/>
  <c r="E170" i="5" s="1"/>
  <c r="E176" i="5" s="1"/>
  <c r="E187" i="5" s="1"/>
  <c r="E213" i="5" s="1"/>
  <c r="E219" i="5" s="1"/>
  <c r="E230" i="5" s="1"/>
  <c r="E256" i="5" s="1"/>
  <c r="E262" i="5" s="1"/>
  <c r="E273" i="5" s="1"/>
  <c r="E299" i="5" s="1"/>
  <c r="E305" i="5" s="1"/>
  <c r="E316" i="5" s="1"/>
  <c r="E342" i="5" s="1"/>
  <c r="E348" i="5" s="1"/>
  <c r="E359" i="5" s="1"/>
  <c r="E385" i="5" s="1"/>
  <c r="E391" i="5" s="1"/>
  <c r="L15" i="5"/>
  <c r="M387" i="5" l="1"/>
  <c r="K387" i="5"/>
  <c r="J387" i="5"/>
  <c r="L387" i="5"/>
  <c r="E402" i="5"/>
  <c r="E428" i="5" s="1"/>
  <c r="E434" i="5" s="1"/>
  <c r="E445" i="5" s="1"/>
  <c r="E471" i="5" s="1"/>
  <c r="E477" i="5" s="1"/>
  <c r="E488" i="5" s="1"/>
  <c r="E514" i="5" s="1"/>
  <c r="E520" i="5" s="1"/>
  <c r="E531" i="5" s="1"/>
  <c r="E557" i="5" s="1"/>
  <c r="E563" i="5" s="1"/>
  <c r="E574" i="5" s="1"/>
  <c r="E600" i="5" s="1"/>
  <c r="E606" i="5" s="1"/>
  <c r="E617" i="5" s="1"/>
  <c r="E643" i="5" s="1"/>
  <c r="E649" i="5" s="1"/>
  <c r="E660" i="5" s="1"/>
  <c r="L41" i="5"/>
  <c r="L47" i="5" s="1"/>
  <c r="L58" i="5" s="1"/>
  <c r="L84" i="5" s="1"/>
  <c r="L90" i="5" s="1"/>
  <c r="L101" i="5" s="1"/>
  <c r="L127" i="5" s="1"/>
  <c r="L133" i="5" s="1"/>
  <c r="L144" i="5" s="1"/>
  <c r="L170" i="5" s="1"/>
  <c r="L176" i="5" s="1"/>
  <c r="L187" i="5" s="1"/>
  <c r="L213" i="5" s="1"/>
  <c r="L219" i="5" s="1"/>
  <c r="L230" i="5" s="1"/>
  <c r="L256" i="5" s="1"/>
  <c r="L262" i="5" s="1"/>
  <c r="L273" i="5" s="1"/>
  <c r="L299" i="5" s="1"/>
  <c r="L305" i="5" s="1"/>
  <c r="L316" i="5" s="1"/>
  <c r="L342" i="5" s="1"/>
  <c r="L348" i="5" s="1"/>
  <c r="L359" i="5" s="1"/>
  <c r="L385" i="5" s="1"/>
  <c r="L391" i="5" s="1"/>
  <c r="L402" i="5" s="1"/>
  <c r="L428" i="5" s="1"/>
  <c r="L434" i="5" s="1"/>
  <c r="L445" i="5" s="1"/>
  <c r="L471" i="5" s="1"/>
  <c r="L477" i="5" s="1"/>
  <c r="L488" i="5" s="1"/>
  <c r="L514" i="5" s="1"/>
  <c r="L520" i="5" s="1"/>
  <c r="L531" i="5" s="1"/>
  <c r="L557" i="5" s="1"/>
  <c r="L563" i="5" s="1"/>
  <c r="L574" i="5" s="1"/>
  <c r="L600" i="5" s="1"/>
  <c r="L606" i="5" s="1"/>
  <c r="L617" i="5" s="1"/>
  <c r="L643" i="5" s="1"/>
  <c r="L649" i="5" s="1"/>
  <c r="L660" i="5" s="1"/>
  <c r="L686" i="5" s="1"/>
  <c r="L692" i="5" s="1"/>
  <c r="L703" i="5" s="1"/>
  <c r="L729" i="5" s="1"/>
  <c r="L735" i="5" s="1"/>
  <c r="L746" i="5" s="1"/>
  <c r="L772" i="5" s="1"/>
  <c r="L778" i="5" s="1"/>
  <c r="L789" i="5" l="1"/>
  <c r="L815" i="5" s="1"/>
  <c r="L821" i="5" s="1"/>
  <c r="L832" i="5" s="1"/>
  <c r="L858" i="5" s="1"/>
  <c r="L864" i="5" s="1"/>
  <c r="L875" i="5" s="1"/>
  <c r="L901" i="5" s="1"/>
  <c r="L907" i="5" s="1"/>
  <c r="E686" i="5"/>
  <c r="E692" i="5" s="1"/>
  <c r="E703" i="5" s="1"/>
  <c r="E729" i="5" s="1"/>
  <c r="E735" i="5" s="1"/>
  <c r="E746" i="5" s="1"/>
  <c r="E772" i="5" s="1"/>
  <c r="E778" i="5" s="1"/>
  <c r="E789" i="5" s="1"/>
  <c r="E815" i="5" s="1"/>
  <c r="E821" i="5" s="1"/>
  <c r="E832" i="5" s="1"/>
  <c r="E858" i="5" s="1"/>
  <c r="E864" i="5" s="1"/>
  <c r="E875" i="5" s="1"/>
  <c r="E901" i="5" s="1"/>
  <c r="E907" i="5" s="1"/>
  <c r="E918" i="5" s="1"/>
  <c r="E944" i="5" s="1"/>
  <c r="E950" i="5" s="1"/>
  <c r="E961" i="5" s="1"/>
  <c r="E987" i="5" s="1"/>
  <c r="E993" i="5" s="1"/>
  <c r="E1004" i="5" s="1"/>
  <c r="E1030" i="5" s="1"/>
  <c r="E1036" i="5" s="1"/>
  <c r="E1047" i="5" s="1"/>
  <c r="E1073" i="5" s="1"/>
  <c r="E1079" i="5" s="1"/>
  <c r="E1090" i="5" s="1"/>
  <c r="E1116" i="5" s="1"/>
  <c r="E1122" i="5" s="1"/>
  <c r="E1133" i="5" s="1"/>
  <c r="E1159" i="5" s="1"/>
  <c r="E1165" i="5" s="1"/>
  <c r="E1176" i="5" s="1"/>
  <c r="E1202" i="5" s="1"/>
  <c r="E1208" i="5" s="1"/>
  <c r="E1219" i="5" s="1"/>
  <c r="E1245" i="5" s="1"/>
  <c r="E1251" i="5" s="1"/>
  <c r="E1262" i="5" s="1"/>
  <c r="E1288" i="5" s="1"/>
  <c r="E1294" i="5" s="1"/>
  <c r="E1305" i="5" s="1"/>
  <c r="E1331" i="5" s="1"/>
  <c r="E1337" i="5" s="1"/>
  <c r="K15" i="5"/>
  <c r="K41" i="5" s="1"/>
  <c r="K47" i="5" s="1"/>
  <c r="K58" i="5" s="1"/>
  <c r="K84" i="5" s="1"/>
  <c r="K90" i="5" s="1"/>
  <c r="K101" i="5" s="1"/>
  <c r="K127" i="5" s="1"/>
  <c r="K133" i="5" s="1"/>
  <c r="K144" i="5" s="1"/>
  <c r="K170" i="5" s="1"/>
  <c r="K176" i="5" s="1"/>
  <c r="K187" i="5" s="1"/>
  <c r="K213" i="5" s="1"/>
  <c r="K219" i="5" s="1"/>
  <c r="K230" i="5" s="1"/>
  <c r="K256" i="5" s="1"/>
  <c r="K262" i="5" s="1"/>
  <c r="K273" i="5" s="1"/>
  <c r="K299" i="5" s="1"/>
  <c r="K305" i="5" s="1"/>
  <c r="K316" i="5" s="1"/>
  <c r="K342" i="5" s="1"/>
  <c r="K348" i="5" s="1"/>
  <c r="K359" i="5" s="1"/>
  <c r="K385" i="5" s="1"/>
  <c r="K391" i="5" s="1"/>
  <c r="K402" i="5" s="1"/>
  <c r="K428" i="5" s="1"/>
  <c r="K434" i="5" s="1"/>
  <c r="K445" i="5" s="1"/>
  <c r="K471" i="5" s="1"/>
  <c r="K477" i="5" s="1"/>
  <c r="K488" i="5" s="1"/>
  <c r="K514" i="5" s="1"/>
  <c r="K520" i="5" s="1"/>
  <c r="K531" i="5" s="1"/>
  <c r="K557" i="5" s="1"/>
  <c r="K563" i="5" s="1"/>
  <c r="K574" i="5" s="1"/>
  <c r="K600" i="5" s="1"/>
  <c r="K606" i="5" s="1"/>
  <c r="K617" i="5" s="1"/>
  <c r="K643" i="5" s="1"/>
  <c r="K649" i="5" s="1"/>
  <c r="K660" i="5" s="1"/>
  <c r="K686" i="5" s="1"/>
  <c r="K692" i="5" s="1"/>
  <c r="K703" i="5" s="1"/>
  <c r="K729" i="5" s="1"/>
  <c r="K735" i="5" s="1"/>
  <c r="K746" i="5" s="1"/>
  <c r="K772" i="5" s="1"/>
  <c r="K778" i="5" s="1"/>
  <c r="K789" i="5" s="1"/>
  <c r="K815" i="5" s="1"/>
  <c r="K821" i="5" s="1"/>
  <c r="K832" i="5" s="1"/>
  <c r="K858" i="5" s="1"/>
  <c r="K864" i="5" s="1"/>
  <c r="E1348" i="5" l="1"/>
  <c r="L918" i="5"/>
  <c r="L944" i="5" s="1"/>
  <c r="L950" i="5" s="1"/>
  <c r="L961" i="5" s="1"/>
  <c r="L987" i="5" s="1"/>
  <c r="L993" i="5" s="1"/>
  <c r="L1004" i="5" s="1"/>
  <c r="L1030" i="5" s="1"/>
  <c r="K875" i="5"/>
  <c r="K901" i="5" s="1"/>
  <c r="K907" i="5" s="1"/>
  <c r="K918" i="5" s="1"/>
  <c r="K944" i="5" s="1"/>
  <c r="K950" i="5" s="1"/>
  <c r="K961" i="5" s="1"/>
  <c r="K987" i="5" s="1"/>
  <c r="R15" i="5"/>
  <c r="R41" i="5" s="1"/>
  <c r="R47" i="5" s="1"/>
  <c r="R58" i="5" s="1"/>
  <c r="R84" i="5" s="1"/>
  <c r="R90" i="5" s="1"/>
  <c r="R101" i="5" s="1"/>
  <c r="R127" i="5" s="1"/>
  <c r="R133" i="5" s="1"/>
  <c r="R144" i="5" s="1"/>
  <c r="R170" i="5" s="1"/>
  <c r="R176" i="5" s="1"/>
  <c r="R187" i="5" s="1"/>
  <c r="R213" i="5" s="1"/>
  <c r="R219" i="5" s="1"/>
  <c r="R230" i="5" s="1"/>
  <c r="R256" i="5" s="1"/>
  <c r="D15" i="5"/>
  <c r="D41" i="5" s="1"/>
  <c r="D47" i="5" s="1"/>
  <c r="D58" i="5" s="1"/>
  <c r="D84" i="5" s="1"/>
  <c r="D90" i="5" s="1"/>
  <c r="D101" i="5" s="1"/>
  <c r="D127" i="5" s="1"/>
  <c r="D133" i="5" s="1"/>
  <c r="D144" i="5" s="1"/>
  <c r="D170" i="5" s="1"/>
  <c r="D176" i="5" s="1"/>
  <c r="D187" i="5" s="1"/>
  <c r="D213" i="5" s="1"/>
  <c r="D219" i="5" s="1"/>
  <c r="D230" i="5" s="1"/>
  <c r="D256" i="5" s="1"/>
  <c r="D262" i="5" s="1"/>
  <c r="D273" i="5" s="1"/>
  <c r="D299" i="5" s="1"/>
  <c r="D305" i="5" s="1"/>
  <c r="D316" i="5" s="1"/>
  <c r="D342" i="5" s="1"/>
  <c r="D348" i="5" s="1"/>
  <c r="D359" i="5" s="1"/>
  <c r="D385" i="5" s="1"/>
  <c r="D391" i="5" s="1"/>
  <c r="D402" i="5" s="1"/>
  <c r="D428" i="5" s="1"/>
  <c r="D434" i="5" s="1"/>
  <c r="D445" i="5" s="1"/>
  <c r="D471" i="5" s="1"/>
  <c r="D477" i="5" s="1"/>
  <c r="D488" i="5" s="1"/>
  <c r="D514" i="5" s="1"/>
  <c r="D520" i="5" s="1"/>
  <c r="D531" i="5" s="1"/>
  <c r="D557" i="5" s="1"/>
  <c r="D563" i="5" s="1"/>
  <c r="D574" i="5" s="1"/>
  <c r="D600" i="5" s="1"/>
  <c r="D606" i="5" s="1"/>
  <c r="D617" i="5" s="1"/>
  <c r="D643" i="5" s="1"/>
  <c r="D649" i="5" s="1"/>
  <c r="D660" i="5" s="1"/>
  <c r="D686" i="5" s="1"/>
  <c r="D692" i="5" s="1"/>
  <c r="D703" i="5" s="1"/>
  <c r="D729" i="5" s="1"/>
  <c r="D735" i="5" s="1"/>
  <c r="D746" i="5" s="1"/>
  <c r="D772" i="5" s="1"/>
  <c r="D778" i="5" s="1"/>
  <c r="E1374" i="5" l="1"/>
  <c r="E1380" i="5" s="1"/>
  <c r="K993" i="5"/>
  <c r="K1004" i="5" s="1"/>
  <c r="K1030" i="5" s="1"/>
  <c r="K1036" i="5" s="1"/>
  <c r="K1047" i="5" s="1"/>
  <c r="K1073" i="5" s="1"/>
  <c r="K1079" i="5" s="1"/>
  <c r="K1090" i="5" s="1"/>
  <c r="K1116" i="5" s="1"/>
  <c r="K1122" i="5" s="1"/>
  <c r="L1036" i="5"/>
  <c r="L1047" i="5" s="1"/>
  <c r="L1073" i="5" s="1"/>
  <c r="L1079" i="5" s="1"/>
  <c r="L1090" i="5" s="1"/>
  <c r="L1116" i="5" s="1"/>
  <c r="L1122" i="5" s="1"/>
  <c r="L1133" i="5" s="1"/>
  <c r="L1159" i="5" s="1"/>
  <c r="L1165" i="5" s="1"/>
  <c r="L1176" i="5" s="1"/>
  <c r="L1202" i="5" s="1"/>
  <c r="L1208" i="5" s="1"/>
  <c r="L1219" i="5" s="1"/>
  <c r="L1245" i="5" s="1"/>
  <c r="L1251" i="5" s="1"/>
  <c r="L1262" i="5" s="1"/>
  <c r="L1288" i="5" s="1"/>
  <c r="L1294" i="5" s="1"/>
  <c r="L1305" i="5" s="1"/>
  <c r="L1331" i="5" s="1"/>
  <c r="L1337" i="5" s="1"/>
  <c r="L1348" i="5" s="1"/>
  <c r="L1374" i="5" s="1"/>
  <c r="L1380" i="5" s="1"/>
  <c r="L1391" i="5" s="1"/>
  <c r="L1417" i="5" s="1"/>
  <c r="L1423" i="5" s="1"/>
  <c r="L1434" i="5" s="1"/>
  <c r="L1460" i="5" s="1"/>
  <c r="L1466" i="5" s="1"/>
  <c r="L1477" i="5" s="1"/>
  <c r="L1503" i="5" s="1"/>
  <c r="L1509" i="5" s="1"/>
  <c r="L1520" i="5" s="1"/>
  <c r="L1546" i="5" s="1"/>
  <c r="L1552" i="5" s="1"/>
  <c r="L1563" i="5" s="1"/>
  <c r="L1589" i="5" s="1"/>
  <c r="L1595" i="5" s="1"/>
  <c r="L1606" i="5" s="1"/>
  <c r="L1632" i="5" s="1"/>
  <c r="L1638" i="5" s="1"/>
  <c r="D789" i="5"/>
  <c r="D815" i="5" s="1"/>
  <c r="D821" i="5" s="1"/>
  <c r="D832" i="5" s="1"/>
  <c r="D858" i="5" s="1"/>
  <c r="D864" i="5" s="1"/>
  <c r="D875" i="5" s="1"/>
  <c r="D901" i="5" s="1"/>
  <c r="D907" i="5" s="1"/>
  <c r="C15" i="5"/>
  <c r="C41" i="5" s="1"/>
  <c r="C47" i="5" s="1"/>
  <c r="C58" i="5" s="1"/>
  <c r="L1649" i="5" l="1"/>
  <c r="L1675" i="5" s="1"/>
  <c r="L1681" i="5" s="1"/>
  <c r="L1692" i="5" s="1"/>
  <c r="L1718" i="5" s="1"/>
  <c r="L1724" i="5" s="1"/>
  <c r="L1735" i="5" s="1"/>
  <c r="L1761" i="5" s="1"/>
  <c r="E1391" i="5"/>
  <c r="K1133" i="5"/>
  <c r="K1159" i="5" s="1"/>
  <c r="K1165" i="5" s="1"/>
  <c r="D918" i="5"/>
  <c r="D944" i="5" s="1"/>
  <c r="D950" i="5" s="1"/>
  <c r="D961" i="5" s="1"/>
  <c r="D987" i="5" s="1"/>
  <c r="D993" i="5" s="1"/>
  <c r="C84" i="5"/>
  <c r="C90" i="5" s="1"/>
  <c r="C101" i="5" s="1"/>
  <c r="C127" i="5" s="1"/>
  <c r="C133" i="5" s="1"/>
  <c r="C144" i="5" s="1"/>
  <c r="C170" i="5" s="1"/>
  <c r="C176" i="5" s="1"/>
  <c r="C187" i="5" s="1"/>
  <c r="C213" i="5" s="1"/>
  <c r="C219" i="5" s="1"/>
  <c r="J15" i="5"/>
  <c r="J41" i="5" s="1"/>
  <c r="J47" i="5" s="1"/>
  <c r="L1767" i="5" l="1"/>
  <c r="L1778" i="5" s="1"/>
  <c r="L1804" i="5" s="1"/>
  <c r="L1810" i="5" s="1"/>
  <c r="L1821" i="5" s="1"/>
  <c r="L1847" i="5" s="1"/>
  <c r="L1853" i="5" s="1"/>
  <c r="L1864" i="5" s="1"/>
  <c r="L1890" i="5" s="1"/>
  <c r="L1896" i="5" s="1"/>
  <c r="L1907" i="5" s="1"/>
  <c r="L1933" i="5" s="1"/>
  <c r="L1939" i="5" s="1"/>
  <c r="L1950" i="5" s="1"/>
  <c r="L1976" i="5" s="1"/>
  <c r="L1982" i="5" s="1"/>
  <c r="L1993" i="5" s="1"/>
  <c r="L2019" i="5" s="1"/>
  <c r="E1417" i="5"/>
  <c r="E1423" i="5" s="1"/>
  <c r="E1434" i="5" s="1"/>
  <c r="E1460" i="5" s="1"/>
  <c r="E1466" i="5" s="1"/>
  <c r="E1477" i="5" s="1"/>
  <c r="E1503" i="5" s="1"/>
  <c r="E1509" i="5" s="1"/>
  <c r="E1520" i="5" s="1"/>
  <c r="E1546" i="5" s="1"/>
  <c r="E1552" i="5" s="1"/>
  <c r="E1563" i="5" s="1"/>
  <c r="E1589" i="5" s="1"/>
  <c r="E1595" i="5" s="1"/>
  <c r="E1606" i="5" s="1"/>
  <c r="E1632" i="5" s="1"/>
  <c r="E1638" i="5" s="1"/>
  <c r="E1649" i="5" s="1"/>
  <c r="E1675" i="5" s="1"/>
  <c r="E1681" i="5" s="1"/>
  <c r="E1692" i="5" s="1"/>
  <c r="E1718" i="5" s="1"/>
  <c r="E1724" i="5" s="1"/>
  <c r="E1735" i="5" s="1"/>
  <c r="E1761" i="5" s="1"/>
  <c r="E1767" i="5" s="1"/>
  <c r="E1778" i="5" s="1"/>
  <c r="E1804" i="5" s="1"/>
  <c r="E1810" i="5" s="1"/>
  <c r="E1821" i="5" s="1"/>
  <c r="E1847" i="5" s="1"/>
  <c r="E1853" i="5" s="1"/>
  <c r="E1864" i="5" s="1"/>
  <c r="E1890" i="5" s="1"/>
  <c r="E1896" i="5" s="1"/>
  <c r="E1907" i="5" s="1"/>
  <c r="E1933" i="5" s="1"/>
  <c r="E1939" i="5" s="1"/>
  <c r="E1950" i="5" s="1"/>
  <c r="E1976" i="5" s="1"/>
  <c r="E1982" i="5" s="1"/>
  <c r="E1993" i="5" s="1"/>
  <c r="E2019" i="5" s="1"/>
  <c r="K1176" i="5"/>
  <c r="D1004" i="5"/>
  <c r="D1030" i="5" s="1"/>
  <c r="D1036" i="5" s="1"/>
  <c r="D1047" i="5" s="1"/>
  <c r="D1073" i="5" s="1"/>
  <c r="D1079" i="5" s="1"/>
  <c r="D1090" i="5" s="1"/>
  <c r="D1116" i="5" s="1"/>
  <c r="D1122" i="5" s="1"/>
  <c r="D1133" i="5" s="1"/>
  <c r="D1159" i="5" s="1"/>
  <c r="D1165" i="5" s="1"/>
  <c r="D1176" i="5" s="1"/>
  <c r="D1202" i="5" s="1"/>
  <c r="D1208" i="5" s="1"/>
  <c r="D1219" i="5" s="1"/>
  <c r="D1245" i="5" s="1"/>
  <c r="D1251" i="5" s="1"/>
  <c r="C230" i="5"/>
  <c r="J58" i="5"/>
  <c r="J84" i="5" s="1"/>
  <c r="J90" i="5" s="1"/>
  <c r="D1262" i="5" l="1"/>
  <c r="K1202" i="5"/>
  <c r="K1208" i="5" s="1"/>
  <c r="K1219" i="5" s="1"/>
  <c r="K1245" i="5" s="1"/>
  <c r="K1251" i="5" s="1"/>
  <c r="K1262" i="5" s="1"/>
  <c r="K1288" i="5" s="1"/>
  <c r="K1294" i="5" s="1"/>
  <c r="K1305" i="5" s="1"/>
  <c r="K1331" i="5" s="1"/>
  <c r="K1337" i="5" s="1"/>
  <c r="K1348" i="5" s="1"/>
  <c r="K1374" i="5" s="1"/>
  <c r="K1380" i="5" s="1"/>
  <c r="K1391" i="5" s="1"/>
  <c r="K1417" i="5" s="1"/>
  <c r="K1423" i="5" s="1"/>
  <c r="K1434" i="5" s="1"/>
  <c r="K1460" i="5" s="1"/>
  <c r="K1466" i="5" s="1"/>
  <c r="K1477" i="5" s="1"/>
  <c r="K1503" i="5" s="1"/>
  <c r="K1509" i="5" s="1"/>
  <c r="K1520" i="5" s="1"/>
  <c r="K1546" i="5" s="1"/>
  <c r="K1552" i="5" s="1"/>
  <c r="C256" i="5"/>
  <c r="C262" i="5" s="1"/>
  <c r="C273" i="5" s="1"/>
  <c r="C299" i="5" s="1"/>
  <c r="C305" i="5" s="1"/>
  <c r="C316" i="5" s="1"/>
  <c r="C342" i="5" s="1"/>
  <c r="C348" i="5" s="1"/>
  <c r="C359" i="5" s="1"/>
  <c r="C385" i="5" s="1"/>
  <c r="C391" i="5" s="1"/>
  <c r="C402" i="5" s="1"/>
  <c r="C428" i="5" s="1"/>
  <c r="C434" i="5" s="1"/>
  <c r="C445" i="5" s="1"/>
  <c r="C471" i="5" s="1"/>
  <c r="C477" i="5" s="1"/>
  <c r="C488" i="5" s="1"/>
  <c r="C514" i="5" s="1"/>
  <c r="C520" i="5" s="1"/>
  <c r="C531" i="5" s="1"/>
  <c r="C557" i="5" s="1"/>
  <c r="C563" i="5" s="1"/>
  <c r="J101" i="5"/>
  <c r="Q15" i="5"/>
  <c r="Q41" i="5" s="1"/>
  <c r="Q47" i="5" s="1"/>
  <c r="Q58" i="5" s="1"/>
  <c r="K1563" i="5" l="1"/>
  <c r="D1288" i="5"/>
  <c r="D1294" i="5" s="1"/>
  <c r="D1305" i="5" s="1"/>
  <c r="D1331" i="5" s="1"/>
  <c r="D1337" i="5" s="1"/>
  <c r="D1348" i="5" s="1"/>
  <c r="D1374" i="5" s="1"/>
  <c r="D1380" i="5" s="1"/>
  <c r="D1391" i="5" s="1"/>
  <c r="D1417" i="5" s="1"/>
  <c r="D1423" i="5" s="1"/>
  <c r="D1434" i="5" s="1"/>
  <c r="D1460" i="5" s="1"/>
  <c r="D1466" i="5" s="1"/>
  <c r="D1477" i="5" s="1"/>
  <c r="D1503" i="5" s="1"/>
  <c r="D1509" i="5" s="1"/>
  <c r="C574" i="5"/>
  <c r="J127" i="5"/>
  <c r="J133" i="5" s="1"/>
  <c r="J144" i="5" s="1"/>
  <c r="J170" i="5" s="1"/>
  <c r="J176" i="5" s="1"/>
  <c r="J187" i="5" s="1"/>
  <c r="J213" i="5" s="1"/>
  <c r="J219" i="5" s="1"/>
  <c r="J230" i="5" s="1"/>
  <c r="J256" i="5" s="1"/>
  <c r="J262" i="5" s="1"/>
  <c r="J273" i="5" s="1"/>
  <c r="J299" i="5" s="1"/>
  <c r="J305" i="5" s="1"/>
  <c r="J316" i="5" s="1"/>
  <c r="J342" i="5" s="1"/>
  <c r="J348" i="5" s="1"/>
  <c r="J359" i="5" s="1"/>
  <c r="J385" i="5" s="1"/>
  <c r="J391" i="5" s="1"/>
  <c r="J402" i="5" s="1"/>
  <c r="J428" i="5" s="1"/>
  <c r="J434" i="5" s="1"/>
  <c r="J445" i="5" s="1"/>
  <c r="J471" i="5" s="1"/>
  <c r="J477" i="5" s="1"/>
  <c r="J488" i="5" s="1"/>
  <c r="J514" i="5" s="1"/>
  <c r="J520" i="5" s="1"/>
  <c r="J531" i="5" s="1"/>
  <c r="J557" i="5" s="1"/>
  <c r="J563" i="5" s="1"/>
  <c r="J574" i="5" s="1"/>
  <c r="J600" i="5" s="1"/>
  <c r="J606" i="5" s="1"/>
  <c r="J617" i="5" s="1"/>
  <c r="Q84" i="5"/>
  <c r="Q90" i="5" s="1"/>
  <c r="Q101" i="5" s="1"/>
  <c r="Q127" i="5" s="1"/>
  <c r="Q133" i="5" s="1"/>
  <c r="Q144" i="5" s="1"/>
  <c r="Q170" i="5" s="1"/>
  <c r="Q176" i="5" s="1"/>
  <c r="Q187" i="5" s="1"/>
  <c r="Q213" i="5" s="1"/>
  <c r="Q219" i="5" s="1"/>
  <c r="Q230" i="5" s="1"/>
  <c r="Q256" i="5" s="1"/>
  <c r="K1589" i="5" l="1"/>
  <c r="K1595" i="5" s="1"/>
  <c r="K1606" i="5" s="1"/>
  <c r="K1632" i="5" s="1"/>
  <c r="K1638" i="5" s="1"/>
  <c r="K1649" i="5" s="1"/>
  <c r="K1675" i="5" s="1"/>
  <c r="K1681" i="5" s="1"/>
  <c r="K1692" i="5" s="1"/>
  <c r="K1718" i="5" s="1"/>
  <c r="K1724" i="5" s="1"/>
  <c r="K1735" i="5" s="1"/>
  <c r="K1761" i="5" s="1"/>
  <c r="K1767" i="5" s="1"/>
  <c r="K1778" i="5" s="1"/>
  <c r="K1804" i="5" s="1"/>
  <c r="K1810" i="5" s="1"/>
  <c r="K1821" i="5" s="1"/>
  <c r="K1847" i="5" s="1"/>
  <c r="K1853" i="5" s="1"/>
  <c r="K1864" i="5" s="1"/>
  <c r="K1890" i="5" s="1"/>
  <c r="K1896" i="5" s="1"/>
  <c r="K1907" i="5" s="1"/>
  <c r="K1933" i="5" s="1"/>
  <c r="K1939" i="5" s="1"/>
  <c r="K1950" i="5" s="1"/>
  <c r="K1976" i="5" s="1"/>
  <c r="K1982" i="5" s="1"/>
  <c r="K1993" i="5" s="1"/>
  <c r="K2019" i="5" s="1"/>
  <c r="D1520" i="5"/>
  <c r="C600" i="5"/>
  <c r="C606" i="5" s="1"/>
  <c r="C617" i="5" s="1"/>
  <c r="C643" i="5" s="1"/>
  <c r="C649" i="5" s="1"/>
  <c r="C660" i="5" s="1"/>
  <c r="C686" i="5" s="1"/>
  <c r="C692" i="5" s="1"/>
  <c r="C703" i="5" s="1"/>
  <c r="C729" i="5" s="1"/>
  <c r="C735" i="5" s="1"/>
  <c r="C746" i="5" s="1"/>
  <c r="C772" i="5" s="1"/>
  <c r="C778" i="5" s="1"/>
  <c r="C789" i="5" s="1"/>
  <c r="C815" i="5" s="1"/>
  <c r="C821" i="5" s="1"/>
  <c r="C832" i="5" s="1"/>
  <c r="C858" i="5" s="1"/>
  <c r="C864" i="5" s="1"/>
  <c r="P15" i="5"/>
  <c r="T4" i="5"/>
  <c r="I15" i="5"/>
  <c r="M4" i="5"/>
  <c r="D1546" i="5" l="1"/>
  <c r="D1552" i="5" s="1"/>
  <c r="C875" i="5"/>
  <c r="C901" i="5" s="1"/>
  <c r="C907" i="5" s="1"/>
  <c r="C918" i="5" s="1"/>
  <c r="C944" i="5" s="1"/>
  <c r="C950" i="5" s="1"/>
  <c r="C961" i="5" s="1"/>
  <c r="C987" i="5" s="1"/>
  <c r="C993" i="5" s="1"/>
  <c r="C1004" i="5" s="1"/>
  <c r="C1030" i="5" s="1"/>
  <c r="C1036" i="5" s="1"/>
  <c r="C1047" i="5" s="1"/>
  <c r="C1073" i="5" s="1"/>
  <c r="C1079" i="5" s="1"/>
  <c r="F4" i="5"/>
  <c r="B15" i="5"/>
  <c r="T15" i="5"/>
  <c r="T41" i="5" s="1"/>
  <c r="P41" i="5"/>
  <c r="P47" i="5" s="1"/>
  <c r="I41" i="5"/>
  <c r="I47" i="5" s="1"/>
  <c r="M15" i="5"/>
  <c r="M41" i="5" s="1"/>
  <c r="D1563" i="5" l="1"/>
  <c r="C1090" i="5"/>
  <c r="C1116" i="5" s="1"/>
  <c r="C1122" i="5" s="1"/>
  <c r="F15" i="5"/>
  <c r="F41" i="5" s="1"/>
  <c r="B41" i="5"/>
  <c r="B47" i="5" s="1"/>
  <c r="P58" i="5"/>
  <c r="T47" i="5"/>
  <c r="I58" i="5"/>
  <c r="M47" i="5"/>
  <c r="D1589" i="5" l="1"/>
  <c r="D1595" i="5" s="1"/>
  <c r="D1606" i="5" s="1"/>
  <c r="D1632" i="5" s="1"/>
  <c r="D1638" i="5" s="1"/>
  <c r="D1649" i="5" s="1"/>
  <c r="D1675" i="5" s="1"/>
  <c r="C1133" i="5"/>
  <c r="C1159" i="5" s="1"/>
  <c r="C1165" i="5" s="1"/>
  <c r="C1176" i="5" s="1"/>
  <c r="C1202" i="5" s="1"/>
  <c r="C1208" i="5" s="1"/>
  <c r="F47" i="5"/>
  <c r="B58" i="5"/>
  <c r="P84" i="5"/>
  <c r="P90" i="5" s="1"/>
  <c r="T58" i="5"/>
  <c r="T84" i="5" s="1"/>
  <c r="I84" i="5"/>
  <c r="I90" i="5" s="1"/>
  <c r="M58" i="5"/>
  <c r="M84" i="5" s="1"/>
  <c r="C1219" i="5" l="1"/>
  <c r="P101" i="5"/>
  <c r="T90" i="5"/>
  <c r="I101" i="5"/>
  <c r="M90" i="5"/>
  <c r="B84" i="5"/>
  <c r="B90" i="5" s="1"/>
  <c r="F58" i="5"/>
  <c r="F84" i="5" s="1"/>
  <c r="C1245" i="5" l="1"/>
  <c r="C1251" i="5" s="1"/>
  <c r="C1262" i="5" s="1"/>
  <c r="C1288" i="5" s="1"/>
  <c r="C1294" i="5" s="1"/>
  <c r="T101" i="5"/>
  <c r="T127" i="5" s="1"/>
  <c r="P127" i="5"/>
  <c r="P133" i="5" s="1"/>
  <c r="B101" i="5"/>
  <c r="F90" i="5"/>
  <c r="I127" i="5"/>
  <c r="I133" i="5" s="1"/>
  <c r="M101" i="5"/>
  <c r="M127" i="5" s="1"/>
  <c r="C1305" i="5" l="1"/>
  <c r="M133" i="5"/>
  <c r="I144" i="5"/>
  <c r="B127" i="5"/>
  <c r="B133" i="5" s="1"/>
  <c r="F101" i="5"/>
  <c r="F127" i="5" s="1"/>
  <c r="P144" i="5"/>
  <c r="T133" i="5"/>
  <c r="C1331" i="5" l="1"/>
  <c r="C1337" i="5" s="1"/>
  <c r="C1348" i="5" s="1"/>
  <c r="C1374" i="5" s="1"/>
  <c r="C1380" i="5" s="1"/>
  <c r="P170" i="5"/>
  <c r="P176" i="5" s="1"/>
  <c r="T144" i="5"/>
  <c r="T170" i="5" s="1"/>
  <c r="B144" i="5"/>
  <c r="F133" i="5"/>
  <c r="I170" i="5"/>
  <c r="I176" i="5" s="1"/>
  <c r="M144" i="5"/>
  <c r="M170" i="5" s="1"/>
  <c r="C1391" i="5" l="1"/>
  <c r="P187" i="5"/>
  <c r="T176" i="5"/>
  <c r="M176" i="5"/>
  <c r="I187" i="5"/>
  <c r="B170" i="5"/>
  <c r="B176" i="5" s="1"/>
  <c r="F144" i="5"/>
  <c r="F170" i="5" s="1"/>
  <c r="C1417" i="5" l="1"/>
  <c r="C1423" i="5" s="1"/>
  <c r="C1434" i="5" s="1"/>
  <c r="C1460" i="5" s="1"/>
  <c r="C1466" i="5" s="1"/>
  <c r="B187" i="5"/>
  <c r="F176" i="5"/>
  <c r="T187" i="5"/>
  <c r="T213" i="5" s="1"/>
  <c r="P213" i="5"/>
  <c r="P219" i="5" s="1"/>
  <c r="I213" i="5"/>
  <c r="I219" i="5" s="1"/>
  <c r="M187" i="5"/>
  <c r="M213" i="5" s="1"/>
  <c r="C1477" i="5" l="1"/>
  <c r="P230" i="5"/>
  <c r="T219" i="5"/>
  <c r="I230" i="5"/>
  <c r="M219" i="5"/>
  <c r="B213" i="5"/>
  <c r="B219" i="5" s="1"/>
  <c r="F187" i="5"/>
  <c r="F213" i="5" s="1"/>
  <c r="C1503" i="5" l="1"/>
  <c r="C1509" i="5" s="1"/>
  <c r="C1520" i="5" s="1"/>
  <c r="C1546" i="5" s="1"/>
  <c r="C1552" i="5" s="1"/>
  <c r="C1563" i="5" s="1"/>
  <c r="C1589" i="5" s="1"/>
  <c r="C1595" i="5" s="1"/>
  <c r="C1606" i="5" s="1"/>
  <c r="C1632" i="5" s="1"/>
  <c r="C1638" i="5" s="1"/>
  <c r="C1649" i="5" s="1"/>
  <c r="C1675" i="5" s="1"/>
  <c r="C1681" i="5" s="1"/>
  <c r="P256" i="5"/>
  <c r="T230" i="5"/>
  <c r="T256" i="5" s="1"/>
  <c r="M230" i="5"/>
  <c r="M256" i="5" s="1"/>
  <c r="I256" i="5"/>
  <c r="B230" i="5"/>
  <c r="F219" i="5"/>
  <c r="C1692" i="5" l="1"/>
  <c r="I262" i="5"/>
  <c r="B256" i="5"/>
  <c r="B262" i="5" s="1"/>
  <c r="F230" i="5"/>
  <c r="F256" i="5" s="1"/>
  <c r="C1718" i="5" l="1"/>
  <c r="C1724" i="5" s="1"/>
  <c r="B273" i="5"/>
  <c r="F262" i="5"/>
  <c r="I273" i="5"/>
  <c r="M262" i="5"/>
  <c r="C1735" i="5" l="1"/>
  <c r="B299" i="5"/>
  <c r="B305" i="5" s="1"/>
  <c r="F273" i="5"/>
  <c r="F299" i="5" s="1"/>
  <c r="I299" i="5"/>
  <c r="I305" i="5" s="1"/>
  <c r="M273" i="5"/>
  <c r="M299" i="5" s="1"/>
  <c r="C1761" i="5" l="1"/>
  <c r="C1767" i="5" s="1"/>
  <c r="C1778" i="5" s="1"/>
  <c r="C1804" i="5" s="1"/>
  <c r="C1810" i="5" s="1"/>
  <c r="B316" i="5"/>
  <c r="F305" i="5"/>
  <c r="M305" i="5"/>
  <c r="I316" i="5"/>
  <c r="C1821" i="5" l="1"/>
  <c r="F316" i="5"/>
  <c r="F342" i="5" s="1"/>
  <c r="B342" i="5"/>
  <c r="B348" i="5" s="1"/>
  <c r="M316" i="5"/>
  <c r="M342" i="5" s="1"/>
  <c r="I342" i="5"/>
  <c r="I348" i="5" s="1"/>
  <c r="C1847" i="5" l="1"/>
  <c r="C1853" i="5" s="1"/>
  <c r="C1864" i="5" s="1"/>
  <c r="C1890" i="5" s="1"/>
  <c r="C1896" i="5" s="1"/>
  <c r="B359" i="5"/>
  <c r="F348" i="5"/>
  <c r="M348" i="5"/>
  <c r="I359" i="5"/>
  <c r="C1907" i="5" l="1"/>
  <c r="B385" i="5"/>
  <c r="B391" i="5" s="1"/>
  <c r="F359" i="5"/>
  <c r="F385" i="5" s="1"/>
  <c r="M359" i="5"/>
  <c r="M385" i="5" s="1"/>
  <c r="I385" i="5"/>
  <c r="I391" i="5" s="1"/>
  <c r="C1933" i="5" l="1"/>
  <c r="C1939" i="5" s="1"/>
  <c r="B402" i="5"/>
  <c r="F391" i="5"/>
  <c r="I402" i="5"/>
  <c r="M391" i="5"/>
  <c r="C1950" i="5" l="1"/>
  <c r="B428" i="5"/>
  <c r="B434" i="5" s="1"/>
  <c r="F402" i="5"/>
  <c r="F428" i="5" s="1"/>
  <c r="I428" i="5"/>
  <c r="I434" i="5" s="1"/>
  <c r="M402" i="5"/>
  <c r="M428" i="5" s="1"/>
  <c r="C1976" i="5" l="1"/>
  <c r="C1982" i="5" s="1"/>
  <c r="F434" i="5"/>
  <c r="B445" i="5"/>
  <c r="I445" i="5"/>
  <c r="M434" i="5"/>
  <c r="C1993" i="5" l="1"/>
  <c r="B471" i="5"/>
  <c r="B477" i="5" s="1"/>
  <c r="F445" i="5"/>
  <c r="F471" i="5" s="1"/>
  <c r="I471" i="5"/>
  <c r="I477" i="5" s="1"/>
  <c r="M445" i="5"/>
  <c r="M471" i="5" s="1"/>
  <c r="C2019" i="5" l="1"/>
  <c r="F477" i="5"/>
  <c r="B488" i="5"/>
  <c r="I488" i="5"/>
  <c r="M477" i="5"/>
  <c r="B514" i="5" l="1"/>
  <c r="B520" i="5" s="1"/>
  <c r="F488" i="5"/>
  <c r="F514" i="5" s="1"/>
  <c r="I514" i="5"/>
  <c r="I520" i="5" s="1"/>
  <c r="M488" i="5"/>
  <c r="M514" i="5" s="1"/>
  <c r="I531" i="5" l="1"/>
  <c r="M520" i="5"/>
  <c r="B531" i="5"/>
  <c r="F520" i="5"/>
  <c r="I557" i="5" l="1"/>
  <c r="I563" i="5" s="1"/>
  <c r="M531" i="5"/>
  <c r="M557" i="5" s="1"/>
  <c r="B557" i="5"/>
  <c r="B563" i="5" s="1"/>
  <c r="F531" i="5"/>
  <c r="F557" i="5" s="1"/>
  <c r="B574" i="5" l="1"/>
  <c r="F563" i="5"/>
  <c r="I574" i="5"/>
  <c r="M563" i="5"/>
  <c r="B600" i="5" l="1"/>
  <c r="B606" i="5" s="1"/>
  <c r="F574" i="5"/>
  <c r="F600" i="5" s="1"/>
  <c r="I600" i="5"/>
  <c r="I606" i="5" s="1"/>
  <c r="M574" i="5"/>
  <c r="M600" i="5" s="1"/>
  <c r="B617" i="5" l="1"/>
  <c r="F606" i="5"/>
  <c r="I617" i="5"/>
  <c r="M606" i="5"/>
  <c r="B643" i="5" l="1"/>
  <c r="B649" i="5" s="1"/>
  <c r="F617" i="5"/>
  <c r="F643" i="5" s="1"/>
  <c r="I643" i="5"/>
  <c r="I649" i="5" s="1"/>
  <c r="M617" i="5"/>
  <c r="M640" i="5"/>
  <c r="J642" i="5"/>
  <c r="J643" i="5" l="1"/>
  <c r="J649" i="5" s="1"/>
  <c r="J660" i="5" s="1"/>
  <c r="J686" i="5" s="1"/>
  <c r="J692" i="5" s="1"/>
  <c r="J703" i="5" s="1"/>
  <c r="J729" i="5" s="1"/>
  <c r="J735" i="5" s="1"/>
  <c r="J746" i="5" s="1"/>
  <c r="J772" i="5" s="1"/>
  <c r="J778" i="5" s="1"/>
  <c r="J789" i="5" s="1"/>
  <c r="J815" i="5" s="1"/>
  <c r="J821" i="5" s="1"/>
  <c r="J832" i="5" s="1"/>
  <c r="J858" i="5" s="1"/>
  <c r="J864" i="5" s="1"/>
  <c r="J875" i="5" s="1"/>
  <c r="J901" i="5" s="1"/>
  <c r="J907" i="5" s="1"/>
  <c r="J918" i="5" s="1"/>
  <c r="J944" i="5" s="1"/>
  <c r="J950" i="5" s="1"/>
  <c r="J961" i="5" s="1"/>
  <c r="J987" i="5" s="1"/>
  <c r="J644" i="5"/>
  <c r="J1031" i="5" s="1"/>
  <c r="F649" i="5"/>
  <c r="B660" i="5"/>
  <c r="I660" i="5"/>
  <c r="M642" i="5"/>
  <c r="J993" i="5" l="1"/>
  <c r="J1004" i="5" s="1"/>
  <c r="J1030" i="5" s="1"/>
  <c r="J1036" i="5" s="1"/>
  <c r="J1047" i="5" s="1"/>
  <c r="J1073" i="5" s="1"/>
  <c r="J1079" i="5" s="1"/>
  <c r="J1090" i="5" s="1"/>
  <c r="J1116" i="5" s="1"/>
  <c r="J1122" i="5" s="1"/>
  <c r="J1133" i="5" s="1"/>
  <c r="J1159" i="5" s="1"/>
  <c r="J1165" i="5" s="1"/>
  <c r="J1176" i="5" s="1"/>
  <c r="J1202" i="5" s="1"/>
  <c r="J1208" i="5" s="1"/>
  <c r="J1219" i="5" s="1"/>
  <c r="J1245" i="5" s="1"/>
  <c r="J1251" i="5" s="1"/>
  <c r="J1262" i="5" s="1"/>
  <c r="J1288" i="5" s="1"/>
  <c r="J1294" i="5" s="1"/>
  <c r="J1305" i="5" s="1"/>
  <c r="J1331" i="5" s="1"/>
  <c r="J1337" i="5" s="1"/>
  <c r="J1348" i="5" s="1"/>
  <c r="J1374" i="5" s="1"/>
  <c r="J1380" i="5" s="1"/>
  <c r="M649" i="5"/>
  <c r="M643" i="5"/>
  <c r="M644" i="5"/>
  <c r="M1031" i="5" s="1"/>
  <c r="B686" i="5"/>
  <c r="B692" i="5" s="1"/>
  <c r="F660" i="5"/>
  <c r="F686" i="5" s="1"/>
  <c r="M660" i="5"/>
  <c r="M686" i="5" s="1"/>
  <c r="I686" i="5"/>
  <c r="I692" i="5" s="1"/>
  <c r="J1391" i="5" l="1"/>
  <c r="J1417" i="5" s="1"/>
  <c r="J1423" i="5" s="1"/>
  <c r="J1434" i="5" s="1"/>
  <c r="J1460" i="5" s="1"/>
  <c r="J1466" i="5" s="1"/>
  <c r="J1477" i="5" s="1"/>
  <c r="J1503" i="5" s="1"/>
  <c r="J1509" i="5" s="1"/>
  <c r="J1520" i="5" s="1"/>
  <c r="J1546" i="5" s="1"/>
  <c r="J1552" i="5" s="1"/>
  <c r="M1032" i="5"/>
  <c r="K1032" i="5"/>
  <c r="L1032" i="5"/>
  <c r="I1032" i="5"/>
  <c r="J1032" i="5"/>
  <c r="M645" i="5"/>
  <c r="K645" i="5"/>
  <c r="L645" i="5"/>
  <c r="I645" i="5"/>
  <c r="J645" i="5"/>
  <c r="B703" i="5"/>
  <c r="F692" i="5"/>
  <c r="I703" i="5"/>
  <c r="I729" i="5" s="1"/>
  <c r="M692" i="5"/>
  <c r="J1563" i="5" l="1"/>
  <c r="F703" i="5"/>
  <c r="F729" i="5" s="1"/>
  <c r="B729" i="5"/>
  <c r="B735" i="5" s="1"/>
  <c r="I735" i="5"/>
  <c r="M703" i="5"/>
  <c r="M729" i="5" s="1"/>
  <c r="J1589" i="5" l="1"/>
  <c r="J1595" i="5" s="1"/>
  <c r="J1606" i="5" s="1"/>
  <c r="J1632" i="5" s="1"/>
  <c r="J1638" i="5" s="1"/>
  <c r="J1649" i="5" s="1"/>
  <c r="J1675" i="5" s="1"/>
  <c r="J1681" i="5" s="1"/>
  <c r="J1692" i="5" s="1"/>
  <c r="J1718" i="5" s="1"/>
  <c r="J1724" i="5" s="1"/>
  <c r="J1735" i="5" s="1"/>
  <c r="J1761" i="5" s="1"/>
  <c r="J1767" i="5" s="1"/>
  <c r="J1778" i="5" s="1"/>
  <c r="J1804" i="5" s="1"/>
  <c r="J1810" i="5" s="1"/>
  <c r="J1821" i="5" s="1"/>
  <c r="J1847" i="5" s="1"/>
  <c r="J1853" i="5" s="1"/>
  <c r="J1864" i="5" s="1"/>
  <c r="J1890" i="5" s="1"/>
  <c r="J1896" i="5" s="1"/>
  <c r="J1907" i="5" s="1"/>
  <c r="J1933" i="5" s="1"/>
  <c r="J1939" i="5" s="1"/>
  <c r="J1950" i="5" s="1"/>
  <c r="J1976" i="5" s="1"/>
  <c r="J1982" i="5" s="1"/>
  <c r="J1993" i="5" s="1"/>
  <c r="J2019" i="5" s="1"/>
  <c r="B746" i="5"/>
  <c r="F735" i="5"/>
  <c r="I746" i="5"/>
  <c r="M746" i="5" s="1"/>
  <c r="M735" i="5"/>
  <c r="B772" i="5" l="1"/>
  <c r="B778" i="5" s="1"/>
  <c r="F746" i="5"/>
  <c r="F772" i="5" s="1"/>
  <c r="I772" i="5"/>
  <c r="I778" i="5" s="1"/>
  <c r="B789" i="5" l="1"/>
  <c r="F778" i="5"/>
  <c r="I789" i="5"/>
  <c r="M778" i="5"/>
  <c r="M772" i="5"/>
  <c r="K773" i="5"/>
  <c r="M773" i="5"/>
  <c r="J773" i="5"/>
  <c r="L773" i="5"/>
  <c r="I773" i="5"/>
  <c r="F789" i="5" l="1"/>
  <c r="F815" i="5" s="1"/>
  <c r="B815" i="5"/>
  <c r="B821" i="5" s="1"/>
  <c r="I815" i="5"/>
  <c r="I821" i="5" s="1"/>
  <c r="M789" i="5"/>
  <c r="M815" i="5" s="1"/>
  <c r="B832" i="5" l="1"/>
  <c r="F821" i="5"/>
  <c r="I832" i="5"/>
  <c r="M821" i="5"/>
  <c r="B858" i="5" l="1"/>
  <c r="B864" i="5" s="1"/>
  <c r="F832" i="5"/>
  <c r="F858" i="5" s="1"/>
  <c r="I858" i="5"/>
  <c r="I864" i="5" s="1"/>
  <c r="M832" i="5"/>
  <c r="M858" i="5" s="1"/>
  <c r="B875" i="5" l="1"/>
  <c r="F864" i="5"/>
  <c r="I875" i="5"/>
  <c r="M864" i="5"/>
  <c r="J859" i="5"/>
  <c r="M859" i="5"/>
  <c r="I859" i="5"/>
  <c r="K859" i="5"/>
  <c r="L859" i="5"/>
  <c r="B901" i="5" l="1"/>
  <c r="B907" i="5" s="1"/>
  <c r="F875" i="5"/>
  <c r="F901" i="5" s="1"/>
  <c r="M875" i="5"/>
  <c r="M901" i="5" s="1"/>
  <c r="I901" i="5"/>
  <c r="I907" i="5" s="1"/>
  <c r="B918" i="5" l="1"/>
  <c r="F907" i="5"/>
  <c r="I918" i="5"/>
  <c r="M907" i="5"/>
  <c r="B944" i="5" l="1"/>
  <c r="B950" i="5" s="1"/>
  <c r="F918" i="5"/>
  <c r="F944" i="5" s="1"/>
  <c r="I944" i="5"/>
  <c r="I950" i="5" s="1"/>
  <c r="M918" i="5"/>
  <c r="M944" i="5" s="1"/>
  <c r="B961" i="5" l="1"/>
  <c r="F950" i="5"/>
  <c r="I961" i="5"/>
  <c r="M950" i="5"/>
  <c r="B987" i="5" l="1"/>
  <c r="B993" i="5" s="1"/>
  <c r="F961" i="5"/>
  <c r="F987" i="5" s="1"/>
  <c r="I987" i="5"/>
  <c r="I993" i="5" s="1"/>
  <c r="M961" i="5"/>
  <c r="M987" i="5" s="1"/>
  <c r="I1004" i="5" l="1"/>
  <c r="M993" i="5"/>
  <c r="B1004" i="5"/>
  <c r="F993" i="5"/>
  <c r="I1030" i="5" l="1"/>
  <c r="I1036" i="5" s="1"/>
  <c r="M1004" i="5"/>
  <c r="M1030" i="5" s="1"/>
  <c r="B1030" i="5"/>
  <c r="B1036" i="5" s="1"/>
  <c r="F1004" i="5"/>
  <c r="F1030" i="5" s="1"/>
  <c r="B1047" i="5" l="1"/>
  <c r="F1036" i="5"/>
  <c r="I1047" i="5"/>
  <c r="M1036" i="5"/>
  <c r="B1073" i="5" l="1"/>
  <c r="B1079" i="5" s="1"/>
  <c r="F1047" i="5"/>
  <c r="F1073" i="5" s="1"/>
  <c r="I1073" i="5"/>
  <c r="M1047" i="5"/>
  <c r="M1073" i="5" s="1"/>
  <c r="L1074" i="5" l="1"/>
  <c r="J1074" i="5"/>
  <c r="K1074" i="5"/>
  <c r="M1074" i="5"/>
  <c r="I1079" i="5"/>
  <c r="I1090" i="5" s="1"/>
  <c r="I1074" i="5"/>
  <c r="B1090" i="5"/>
  <c r="F1079" i="5"/>
  <c r="M1079" i="5" l="1"/>
  <c r="F1090" i="5"/>
  <c r="F1116" i="5" s="1"/>
  <c r="B1116" i="5"/>
  <c r="B1122" i="5" s="1"/>
  <c r="I1116" i="5"/>
  <c r="I1122" i="5" s="1"/>
  <c r="M1090" i="5"/>
  <c r="M1116" i="5" s="1"/>
  <c r="B1133" i="5" l="1"/>
  <c r="F1122" i="5"/>
  <c r="I1133" i="5"/>
  <c r="M1122" i="5"/>
  <c r="B1159" i="5" l="1"/>
  <c r="B1165" i="5" s="1"/>
  <c r="F1133" i="5"/>
  <c r="F1159" i="5" s="1"/>
  <c r="M1133" i="5"/>
  <c r="M1159" i="5" s="1"/>
  <c r="I1159" i="5"/>
  <c r="I1165" i="5" s="1"/>
  <c r="I1176" i="5" l="1"/>
  <c r="M1165" i="5"/>
  <c r="B1176" i="5"/>
  <c r="F1165" i="5"/>
  <c r="I1202" i="5" l="1"/>
  <c r="I1208" i="5" s="1"/>
  <c r="M1176" i="5"/>
  <c r="M1202" i="5" s="1"/>
  <c r="F1176" i="5"/>
  <c r="F1202" i="5" s="1"/>
  <c r="B1202" i="5"/>
  <c r="B1208" i="5" s="1"/>
  <c r="B1219" i="5" l="1"/>
  <c r="F1208" i="5"/>
  <c r="I1219" i="5"/>
  <c r="M1208" i="5"/>
  <c r="B1245" i="5" l="1"/>
  <c r="B1251" i="5" s="1"/>
  <c r="F1219" i="5"/>
  <c r="F1245" i="5" s="1"/>
  <c r="I1245" i="5"/>
  <c r="I1251" i="5" s="1"/>
  <c r="M1219" i="5"/>
  <c r="M1245" i="5" s="1"/>
  <c r="B1262" i="5" l="1"/>
  <c r="F1251" i="5"/>
  <c r="I1262" i="5"/>
  <c r="M1251" i="5"/>
  <c r="B1288" i="5" l="1"/>
  <c r="B1294" i="5" s="1"/>
  <c r="F1262" i="5"/>
  <c r="F1288" i="5" s="1"/>
  <c r="I1288" i="5"/>
  <c r="I1294" i="5" s="1"/>
  <c r="M1262" i="5"/>
  <c r="M1288" i="5" s="1"/>
  <c r="B1305" i="5" l="1"/>
  <c r="F1294" i="5"/>
  <c r="I1305" i="5"/>
  <c r="M1294" i="5"/>
  <c r="B1331" i="5" l="1"/>
  <c r="B1337" i="5" s="1"/>
  <c r="F1305" i="5"/>
  <c r="F1331" i="5" s="1"/>
  <c r="I1331" i="5"/>
  <c r="I1337" i="5" s="1"/>
  <c r="M1305" i="5"/>
  <c r="M1331" i="5" s="1"/>
  <c r="B1348" i="5" l="1"/>
  <c r="F1337" i="5"/>
  <c r="I1348" i="5"/>
  <c r="M1337" i="5"/>
  <c r="B1374" i="5" l="1"/>
  <c r="B1380" i="5" s="1"/>
  <c r="F1348" i="5"/>
  <c r="F1374" i="5" s="1"/>
  <c r="M1348" i="5"/>
  <c r="M1374" i="5" s="1"/>
  <c r="I1374" i="5"/>
  <c r="I1380" i="5" s="1"/>
  <c r="B1391" i="5" l="1"/>
  <c r="F1380" i="5"/>
  <c r="I1391" i="5"/>
  <c r="M1380" i="5"/>
  <c r="B1417" i="5" l="1"/>
  <c r="B1423" i="5" s="1"/>
  <c r="F1391" i="5"/>
  <c r="F1417" i="5" s="1"/>
  <c r="M1391" i="5"/>
  <c r="M1417" i="5" s="1"/>
  <c r="I1417" i="5"/>
  <c r="I1423" i="5" s="1"/>
  <c r="B1434" i="5" l="1"/>
  <c r="F1423" i="5"/>
  <c r="I1434" i="5"/>
  <c r="M1423" i="5"/>
  <c r="B1460" i="5" l="1"/>
  <c r="B1466" i="5" s="1"/>
  <c r="F1434" i="5"/>
  <c r="F1460" i="5" s="1"/>
  <c r="I1460" i="5"/>
  <c r="I1466" i="5" s="1"/>
  <c r="M1434" i="5"/>
  <c r="M1460" i="5" s="1"/>
  <c r="B1477" i="5" l="1"/>
  <c r="F1466" i="5"/>
  <c r="I1477" i="5"/>
  <c r="M1466" i="5"/>
  <c r="B1503" i="5" l="1"/>
  <c r="B1509" i="5" s="1"/>
  <c r="F1477" i="5"/>
  <c r="F1503" i="5" s="1"/>
  <c r="M1477" i="5"/>
  <c r="M1503" i="5" s="1"/>
  <c r="I1503" i="5"/>
  <c r="I1509" i="5" s="1"/>
  <c r="B1520" i="5" l="1"/>
  <c r="F1509" i="5"/>
  <c r="I1520" i="5"/>
  <c r="M1509" i="5"/>
  <c r="B1546" i="5" l="1"/>
  <c r="B1552" i="5" s="1"/>
  <c r="F1520" i="5"/>
  <c r="F1546" i="5" s="1"/>
  <c r="I1546" i="5"/>
  <c r="I1552" i="5" s="1"/>
  <c r="M1520" i="5"/>
  <c r="M1546" i="5" s="1"/>
  <c r="B1563" i="5" l="1"/>
  <c r="F1552" i="5"/>
  <c r="I1563" i="5"/>
  <c r="M1552" i="5"/>
  <c r="B1589" i="5" l="1"/>
  <c r="B1595" i="5" s="1"/>
  <c r="F1563" i="5"/>
  <c r="F1589" i="5" s="1"/>
  <c r="I1589" i="5"/>
  <c r="I1595" i="5" s="1"/>
  <c r="M1563" i="5"/>
  <c r="M1589" i="5" s="1"/>
  <c r="B1606" i="5" l="1"/>
  <c r="F1595" i="5"/>
  <c r="I1606" i="5"/>
  <c r="M1595" i="5"/>
  <c r="B1632" i="5" l="1"/>
  <c r="B1638" i="5" s="1"/>
  <c r="F1606" i="5"/>
  <c r="F1632" i="5" s="1"/>
  <c r="M1606" i="5"/>
  <c r="M1632" i="5" s="1"/>
  <c r="I1632" i="5"/>
  <c r="I1638" i="5" s="1"/>
  <c r="I1649" i="5" l="1"/>
  <c r="M1638" i="5"/>
  <c r="F1638" i="5"/>
  <c r="B1649" i="5"/>
  <c r="I1675" i="5" l="1"/>
  <c r="I1681" i="5" s="1"/>
  <c r="M1649" i="5"/>
  <c r="M1675" i="5" s="1"/>
  <c r="F1649" i="5"/>
  <c r="F1675" i="5" s="1"/>
  <c r="B1675" i="5"/>
  <c r="B1681" i="5" s="1"/>
  <c r="B1692" i="5" l="1"/>
  <c r="F1681" i="5"/>
  <c r="I1692" i="5"/>
  <c r="M1681" i="5"/>
  <c r="B1718" i="5" l="1"/>
  <c r="B1724" i="5" s="1"/>
  <c r="F1692" i="5"/>
  <c r="F1718" i="5" s="1"/>
  <c r="I1718" i="5"/>
  <c r="I1724" i="5" s="1"/>
  <c r="M1692" i="5"/>
  <c r="M1718" i="5" s="1"/>
  <c r="B1735" i="5" l="1"/>
  <c r="F1724" i="5"/>
  <c r="I1735" i="5"/>
  <c r="M1724" i="5"/>
  <c r="B1761" i="5" l="1"/>
  <c r="B1767" i="5" s="1"/>
  <c r="F1735" i="5"/>
  <c r="F1761" i="5" s="1"/>
  <c r="M1735" i="5"/>
  <c r="M1761" i="5" s="1"/>
  <c r="I1761" i="5"/>
  <c r="I1767" i="5" s="1"/>
  <c r="B1778" i="5" l="1"/>
  <c r="F1767" i="5"/>
  <c r="I1778" i="5"/>
  <c r="M1767" i="5"/>
  <c r="B1804" i="5" l="1"/>
  <c r="B1810" i="5" s="1"/>
  <c r="F1778" i="5"/>
  <c r="F1804" i="5" s="1"/>
  <c r="I1804" i="5"/>
  <c r="I1810" i="5" s="1"/>
  <c r="M1778" i="5"/>
  <c r="M1804" i="5" s="1"/>
  <c r="L1805" i="5" s="1"/>
  <c r="B1821" i="5" l="1"/>
  <c r="F1810" i="5"/>
  <c r="I1821" i="5"/>
  <c r="M1810" i="5"/>
  <c r="I1805" i="5"/>
  <c r="K1805" i="5"/>
  <c r="M1805" i="5"/>
  <c r="J1805" i="5"/>
  <c r="B1847" i="5" l="1"/>
  <c r="B1853" i="5" s="1"/>
  <c r="F1821" i="5"/>
  <c r="F1847" i="5" s="1"/>
  <c r="M1821" i="5"/>
  <c r="M1847" i="5" s="1"/>
  <c r="I1847" i="5"/>
  <c r="I1853" i="5" s="1"/>
  <c r="F1853" i="5" l="1"/>
  <c r="B1864" i="5"/>
  <c r="M1853" i="5"/>
  <c r="I1864" i="5"/>
  <c r="M1848" i="5"/>
  <c r="I1848" i="5"/>
  <c r="K1848" i="5"/>
  <c r="L1848" i="5"/>
  <c r="J1848" i="5"/>
  <c r="B1890" i="5" l="1"/>
  <c r="B1896" i="5" s="1"/>
  <c r="F1864" i="5"/>
  <c r="F1890" i="5" s="1"/>
  <c r="I1890" i="5"/>
  <c r="M1864" i="5"/>
  <c r="M1890" i="5" s="1"/>
  <c r="B1907" i="5" l="1"/>
  <c r="F1896" i="5"/>
  <c r="I1896" i="5"/>
  <c r="B1933" i="5" l="1"/>
  <c r="B1939" i="5" s="1"/>
  <c r="F1907" i="5"/>
  <c r="F1933" i="5" s="1"/>
  <c r="M1896" i="5"/>
  <c r="I1907" i="5"/>
  <c r="B1950" i="5" l="1"/>
  <c r="F1939" i="5"/>
  <c r="I1933" i="5"/>
  <c r="I1939" i="5" s="1"/>
  <c r="M1907" i="5"/>
  <c r="M1933" i="5" s="1"/>
  <c r="B1976" i="5" l="1"/>
  <c r="B1982" i="5" s="1"/>
  <c r="F1950" i="5"/>
  <c r="F1976" i="5" s="1"/>
  <c r="M1939" i="5"/>
  <c r="I1950" i="5"/>
  <c r="B1993" i="5" l="1"/>
  <c r="F1982" i="5"/>
  <c r="M1950" i="5"/>
  <c r="M1976" i="5" s="1"/>
  <c r="I1976" i="5"/>
  <c r="I1982" i="5" s="1"/>
  <c r="B2019" i="5" l="1"/>
  <c r="F1993" i="5"/>
  <c r="F2019" i="5" s="1"/>
  <c r="I1993" i="5"/>
  <c r="M1982" i="5"/>
  <c r="I1977" i="5"/>
  <c r="L1977" i="5"/>
  <c r="M1977" i="5"/>
  <c r="J1977" i="5"/>
  <c r="K1977" i="5"/>
  <c r="M1993" i="5" l="1"/>
  <c r="M2019" i="5" s="1"/>
  <c r="I2019" i="5"/>
  <c r="I2020" i="5" l="1"/>
  <c r="K2020" i="5"/>
  <c r="M2020" i="5"/>
  <c r="L2020" i="5"/>
  <c r="J2020" i="5"/>
</calcChain>
</file>

<file path=xl/sharedStrings.xml><?xml version="1.0" encoding="utf-8"?>
<sst xmlns="http://schemas.openxmlformats.org/spreadsheetml/2006/main" count="4153" uniqueCount="817">
  <si>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</si>
  <si>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</si>
  <si>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</si>
  <si>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</si>
  <si>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</si>
  <si>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</si>
  <si>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</si>
  <si>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</si>
  <si>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</si>
  <si>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</si>
  <si>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</si>
  <si>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t>3Ｌ</t>
    <phoneticPr fontId="7"/>
  </si>
  <si>
    <t>3色組（ピーチ、ラベンダー、ライトベージュ）</t>
    <rPh sb="1" eb="2">
      <t>ショク</t>
    </rPh>
    <rPh sb="2" eb="3">
      <t>クミ</t>
    </rPh>
    <phoneticPr fontId="7"/>
  </si>
  <si>
    <r>
      <t>＜</t>
    </r>
    <r>
      <rPr>
        <b/>
        <sz val="18"/>
        <rFont val="ＭＳ Ｐゴシック"/>
        <family val="3"/>
        <charset val="128"/>
      </rPr>
      <t>淡色</t>
    </r>
    <r>
      <rPr>
        <b/>
        <sz val="14"/>
        <rFont val="ＭＳ Ｐゴシック"/>
        <family val="3"/>
        <charset val="128"/>
      </rPr>
      <t>すっぽりショーツオリジナル3色組　夢販在庫＞</t>
    </r>
    <rPh sb="1" eb="3">
      <t>タンショク</t>
    </rPh>
    <rPh sb="17" eb="18">
      <t>ショク</t>
    </rPh>
    <rPh sb="18" eb="19">
      <t>クミ</t>
    </rPh>
    <rPh sb="20" eb="21">
      <t>ユメ</t>
    </rPh>
    <rPh sb="21" eb="22">
      <t>ハン</t>
    </rPh>
    <rPh sb="22" eb="24">
      <t>ザイコ</t>
    </rPh>
    <phoneticPr fontId="3"/>
  </si>
  <si>
    <r>
      <t>＜</t>
    </r>
    <r>
      <rPr>
        <b/>
        <sz val="18"/>
        <rFont val="ＭＳ Ｐゴシック"/>
        <family val="3"/>
        <charset val="128"/>
      </rPr>
      <t>淡色</t>
    </r>
    <r>
      <rPr>
        <b/>
        <sz val="14"/>
        <rFont val="ＭＳ Ｐゴシック"/>
        <family val="3"/>
        <charset val="128"/>
      </rPr>
      <t>すっぽりショーツオリジナル3色組　KPORT在庫＞</t>
    </r>
    <rPh sb="1" eb="3">
      <t>タンショク</t>
    </rPh>
    <rPh sb="17" eb="18">
      <t>ショク</t>
    </rPh>
    <rPh sb="18" eb="19">
      <t>クミ</t>
    </rPh>
    <rPh sb="25" eb="27">
      <t>ザイコ</t>
    </rPh>
    <phoneticPr fontId="3"/>
  </si>
  <si>
    <r>
      <t>＜</t>
    </r>
    <r>
      <rPr>
        <b/>
        <sz val="18"/>
        <rFont val="ＭＳ Ｐゴシック"/>
        <family val="3"/>
        <charset val="128"/>
      </rPr>
      <t>淡色</t>
    </r>
    <r>
      <rPr>
        <b/>
        <sz val="14"/>
        <rFont val="ＭＳ Ｐゴシック"/>
        <family val="3"/>
        <charset val="128"/>
      </rPr>
      <t>すっぽりショーツオリジナル3色組　クライム在庫＞</t>
    </r>
    <rPh sb="1" eb="3">
      <t>タンショク</t>
    </rPh>
    <rPh sb="17" eb="18">
      <t>ショク</t>
    </rPh>
    <rPh sb="18" eb="19">
      <t>クミ</t>
    </rPh>
    <rPh sb="24" eb="26">
      <t>ザイコ</t>
    </rPh>
    <phoneticPr fontId="3"/>
  </si>
  <si>
    <t>追加2-1</t>
    <rPh sb="0" eb="2">
      <t>ツイカ</t>
    </rPh>
    <phoneticPr fontId="3"/>
  </si>
  <si>
    <t>追加2-2</t>
    <rPh sb="0" eb="2">
      <t>ツイカ</t>
    </rPh>
    <phoneticPr fontId="3"/>
  </si>
  <si>
    <t>JODアクセス7078</t>
    <phoneticPr fontId="7"/>
  </si>
  <si>
    <t>7/13～</t>
    <phoneticPr fontId="7"/>
  </si>
  <si>
    <t>JODメルシー0624</t>
    <phoneticPr fontId="7"/>
  </si>
  <si>
    <t>6/24～</t>
    <phoneticPr fontId="7"/>
  </si>
  <si>
    <t>日生協9月27号</t>
    <rPh sb="0" eb="3">
      <t>ニッセイキョウ</t>
    </rPh>
    <rPh sb="4" eb="5">
      <t>ガツ</t>
    </rPh>
    <rPh sb="7" eb="8">
      <t>ゴウ</t>
    </rPh>
    <phoneticPr fontId="7"/>
  </si>
  <si>
    <t>点8/27、アバウト9/7・9/14、最終9/22</t>
    <rPh sb="0" eb="1">
      <t>テン</t>
    </rPh>
    <rPh sb="19" eb="21">
      <t>サイシュウ</t>
    </rPh>
    <phoneticPr fontId="7"/>
  </si>
  <si>
    <t>グリーンコープ23号</t>
    <rPh sb="9" eb="10">
      <t>ゴウ</t>
    </rPh>
    <phoneticPr fontId="7"/>
  </si>
  <si>
    <t>点8/17、アバウト8/24、本8/26～30</t>
    <rPh sb="0" eb="1">
      <t>テン</t>
    </rPh>
    <rPh sb="15" eb="16">
      <t>ホン</t>
    </rPh>
    <phoneticPr fontId="7"/>
  </si>
  <si>
    <t>夢販</t>
    <rPh sb="0" eb="2">
      <t>ユメハン</t>
    </rPh>
    <phoneticPr fontId="7"/>
  </si>
  <si>
    <t>ベルーナ3　22年春</t>
    <rPh sb="8" eb="9">
      <t>ネン</t>
    </rPh>
    <rPh sb="9" eb="10">
      <t>ハル</t>
    </rPh>
    <phoneticPr fontId="7"/>
  </si>
  <si>
    <t>JOD①</t>
    <phoneticPr fontId="7"/>
  </si>
  <si>
    <t>くらし企画（27号事前点検用）</t>
    <rPh sb="3" eb="5">
      <t>キカク</t>
    </rPh>
    <rPh sb="8" eb="9">
      <t>ゴウ</t>
    </rPh>
    <rPh sb="9" eb="11">
      <t>ジゼン</t>
    </rPh>
    <rPh sb="11" eb="13">
      <t>テンケン</t>
    </rPh>
    <rPh sb="13" eb="14">
      <t>ヨウ</t>
    </rPh>
    <phoneticPr fontId="7"/>
  </si>
  <si>
    <t>夢販</t>
    <rPh sb="0" eb="2">
      <t>ユメハン</t>
    </rPh>
    <phoneticPr fontId="7"/>
  </si>
  <si>
    <t>JOD②</t>
    <phoneticPr fontId="7"/>
  </si>
  <si>
    <t>2021/7/1数伝</t>
    <rPh sb="8" eb="9">
      <t>スウ</t>
    </rPh>
    <rPh sb="9" eb="10">
      <t>デン</t>
    </rPh>
    <phoneticPr fontId="7"/>
  </si>
  <si>
    <t>JOD③</t>
    <phoneticPr fontId="7"/>
  </si>
  <si>
    <t>ネット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</si>
  <si>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</si>
  <si>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</si>
  <si>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</si>
  <si>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</si>
  <si>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かりん</t>
    <phoneticPr fontId="7"/>
  </si>
  <si>
    <t>夢販</t>
    <rPh sb="0" eb="2">
      <t>ユメハン</t>
    </rPh>
    <phoneticPr fontId="7"/>
  </si>
  <si>
    <t>JOD⑧</t>
    <phoneticPr fontId="7"/>
  </si>
  <si>
    <t>くらし企画（橋本さん）sample</t>
    <rPh sb="3" eb="5">
      <t>キカク</t>
    </rPh>
    <rPh sb="6" eb="8">
      <t>ハシモト</t>
    </rPh>
    <phoneticPr fontId="7"/>
  </si>
  <si>
    <t>花笑むとき22春号（千趣会）</t>
    <rPh sb="0" eb="1">
      <t>ハナ</t>
    </rPh>
    <rPh sb="1" eb="2">
      <t>エ</t>
    </rPh>
    <rPh sb="7" eb="9">
      <t>ハルゴウ</t>
    </rPh>
    <rPh sb="10" eb="13">
      <t>センシュカイ</t>
    </rPh>
    <phoneticPr fontId="7"/>
  </si>
  <si>
    <t>JOD⑨</t>
    <phoneticPr fontId="7"/>
  </si>
  <si>
    <t>JOD返品</t>
    <rPh sb="3" eb="5">
      <t>ヘンピン</t>
    </rPh>
    <phoneticPr fontId="3"/>
  </si>
  <si>
    <t>JOD⑩</t>
    <phoneticPr fontId="7"/>
  </si>
  <si>
    <t>JOD⑪</t>
    <phoneticPr fontId="7"/>
  </si>
  <si>
    <t>JOD⑫</t>
    <phoneticPr fontId="7"/>
  </si>
  <si>
    <t>JOD⑬</t>
    <phoneticPr fontId="7"/>
  </si>
  <si>
    <t>シンエイsample</t>
    <phoneticPr fontId="7"/>
  </si>
  <si>
    <t>JOD⑭</t>
    <phoneticPr fontId="7"/>
  </si>
  <si>
    <t>JOD⑮</t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</si>
  <si>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</si>
  <si>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</si>
  <si>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</si>
  <si>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</si>
  <si>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</si>
  <si>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</si>
  <si>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こうち生協10月2回</t>
    <rPh sb="3" eb="5">
      <t>セイキョウ</t>
    </rPh>
    <rPh sb="7" eb="8">
      <t>ガツ</t>
    </rPh>
    <rPh sb="9" eb="10">
      <t>カイ</t>
    </rPh>
    <phoneticPr fontId="7"/>
  </si>
  <si>
    <t>JOD㉒</t>
    <phoneticPr fontId="7"/>
  </si>
  <si>
    <t>かりん</t>
    <phoneticPr fontId="7"/>
  </si>
  <si>
    <t>日生協9月27号（東日本）　①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</si>
  <si>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JOD㉓</t>
    <phoneticPr fontId="7"/>
  </si>
  <si>
    <t>JOD㉔</t>
    <phoneticPr fontId="7"/>
  </si>
  <si>
    <t>グリーンコープ23号①</t>
    <rPh sb="9" eb="10">
      <t>ゴウ</t>
    </rPh>
    <phoneticPr fontId="7"/>
  </si>
  <si>
    <t>JOD㉕</t>
    <phoneticPr fontId="7"/>
  </si>
  <si>
    <t>JOD㉖</t>
    <phoneticPr fontId="7"/>
  </si>
  <si>
    <t>8/21(伝9/1）</t>
    <rPh sb="5" eb="6">
      <t>デン</t>
    </rPh>
    <phoneticPr fontId="7"/>
  </si>
  <si>
    <t>JOD㉗</t>
    <phoneticPr fontId="7"/>
  </si>
  <si>
    <t>テスト10/20、本番1/26</t>
    <rPh sb="9" eb="11">
      <t>ホンバン</t>
    </rPh>
    <phoneticPr fontId="7"/>
  </si>
  <si>
    <t>JOD㉘</t>
    <phoneticPr fontId="7"/>
  </si>
  <si>
    <t>日生協9月27号（西日本）　①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</si>
  <si>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　②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</si>
  <si>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グリーンコープ23号②</t>
    <rPh sb="9" eb="10">
      <t>ゴウ</t>
    </rPh>
    <phoneticPr fontId="7"/>
  </si>
  <si>
    <t>JOD㉙</t>
    <phoneticPr fontId="7"/>
  </si>
  <si>
    <t>JOD㉚</t>
    <phoneticPr fontId="7"/>
  </si>
  <si>
    <t>JOD㉛</t>
    <phoneticPr fontId="7"/>
  </si>
  <si>
    <t>JOD㉜</t>
    <phoneticPr fontId="7"/>
  </si>
  <si>
    <t>グリーンコープ23号③</t>
    <rPh sb="9" eb="10">
      <t>ゴウ</t>
    </rPh>
    <phoneticPr fontId="7"/>
  </si>
  <si>
    <t>ベルーナ検査用</t>
    <rPh sb="4" eb="6">
      <t>ケンサ</t>
    </rPh>
    <rPh sb="6" eb="7">
      <t>ヨウ</t>
    </rPh>
    <phoneticPr fontId="7"/>
  </si>
  <si>
    <t>JOD㉝</t>
    <phoneticPr fontId="7"/>
  </si>
  <si>
    <t>JOD㉞</t>
    <phoneticPr fontId="7"/>
  </si>
  <si>
    <t>夢販</t>
    <rPh sb="0" eb="2">
      <t>ユメハン</t>
    </rPh>
    <phoneticPr fontId="3"/>
  </si>
  <si>
    <t>日生協9月27号（西日本）　②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</si>
  <si>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　③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</si>
  <si>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日生協9月27号（西日本）　③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</si>
  <si>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　④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</si>
  <si>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JOD㉟</t>
    <phoneticPr fontId="7"/>
  </si>
  <si>
    <t>日生協9月27号（西日本）　④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</si>
  <si>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JOD㊱</t>
    <phoneticPr fontId="7"/>
  </si>
  <si>
    <t>日生協9月27号（西日本）　⑤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</si>
  <si>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　⑤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</si>
  <si>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日生協9月27号（東日本）　⑥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</si>
  <si>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日生協9月27号（東日本）　⑦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</si>
  <si>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花笑む撮sample(千趣会)</t>
    <rPh sb="0" eb="2">
      <t>ハナエ</t>
    </rPh>
    <rPh sb="3" eb="4">
      <t>サツ</t>
    </rPh>
    <rPh sb="11" eb="14">
      <t>センシュカイ</t>
    </rPh>
    <phoneticPr fontId="7"/>
  </si>
  <si>
    <t>日生協9月27号（東日本）　⑧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</si>
  <si>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JOD㊲</t>
    <phoneticPr fontId="7"/>
  </si>
  <si>
    <t>夢販</t>
    <rPh sb="0" eb="2">
      <t>ユメハン</t>
    </rPh>
    <phoneticPr fontId="7"/>
  </si>
  <si>
    <t>2021/9/9伝数</t>
    <rPh sb="8" eb="9">
      <t>デン</t>
    </rPh>
    <rPh sb="9" eb="10">
      <t>スウ</t>
    </rPh>
    <phoneticPr fontId="7"/>
  </si>
  <si>
    <t>3L</t>
    <phoneticPr fontId="7"/>
  </si>
  <si>
    <t>LL</t>
  </si>
  <si>
    <t>L</t>
  </si>
  <si>
    <t>M</t>
  </si>
  <si>
    <t>ラベンダー</t>
    <phoneticPr fontId="7"/>
  </si>
  <si>
    <t>ピーチ</t>
    <phoneticPr fontId="7"/>
  </si>
  <si>
    <t>ソフトベージュ</t>
    <phoneticPr fontId="7"/>
  </si>
  <si>
    <t>＜綿混ローズ柄ジャガードすっぽりショーツ 【淡色】　夢販在庫＞</t>
    <rPh sb="22" eb="24">
      <t>タンショク</t>
    </rPh>
    <rPh sb="26" eb="28">
      <t>ユメハン</t>
    </rPh>
    <rPh sb="28" eb="30">
      <t>ザイコ</t>
    </rPh>
    <phoneticPr fontId="3"/>
  </si>
  <si>
    <t>ネット用単品化</t>
    <rPh sb="3" eb="4">
      <t>ヨウ</t>
    </rPh>
    <rPh sb="4" eb="7">
      <t>タンピンカ</t>
    </rPh>
    <phoneticPr fontId="7"/>
  </si>
  <si>
    <t>JOD㊳</t>
    <phoneticPr fontId="7"/>
  </si>
  <si>
    <t>JOD㊴</t>
    <phoneticPr fontId="7"/>
  </si>
  <si>
    <t>JOD㊵</t>
    <phoneticPr fontId="7"/>
  </si>
  <si>
    <t>JOD㊶</t>
    <phoneticPr fontId="7"/>
  </si>
  <si>
    <t>JOD㊷</t>
    <phoneticPr fontId="7"/>
  </si>
  <si>
    <t>京都生協12月3回</t>
    <rPh sb="0" eb="4">
      <t>キョウトセイキョウ</t>
    </rPh>
    <rPh sb="6" eb="7">
      <t>ガツ</t>
    </rPh>
    <rPh sb="8" eb="9">
      <t>カイ</t>
    </rPh>
    <phoneticPr fontId="7"/>
  </si>
  <si>
    <t>ベルーナ3　22年春①</t>
    <rPh sb="8" eb="9">
      <t>ネン</t>
    </rPh>
    <rPh sb="9" eb="10">
      <t>ハル</t>
    </rPh>
    <phoneticPr fontId="7"/>
  </si>
  <si>
    <t>JOD㊸</t>
    <phoneticPr fontId="7"/>
  </si>
  <si>
    <t>ネット単品化</t>
    <rPh sb="3" eb="5">
      <t>タンピン</t>
    </rPh>
    <rPh sb="5" eb="6">
      <t>カ</t>
    </rPh>
    <phoneticPr fontId="7"/>
  </si>
  <si>
    <t>JOD㊹</t>
    <phoneticPr fontId="7"/>
  </si>
  <si>
    <t>丸藤返品</t>
    <rPh sb="0" eb="4">
      <t>マルフジヘンピン</t>
    </rPh>
    <phoneticPr fontId="3"/>
  </si>
  <si>
    <t>こうち生協10月2回①</t>
    <rPh sb="3" eb="5">
      <t>セイキョウ</t>
    </rPh>
    <rPh sb="7" eb="8">
      <t>ガツ</t>
    </rPh>
    <rPh sb="9" eb="10">
      <t>カイ</t>
    </rPh>
    <phoneticPr fontId="7"/>
  </si>
  <si>
    <t>点1/18、アバウト1/25、本1/27、31</t>
    <rPh sb="0" eb="1">
      <t>テン</t>
    </rPh>
    <rPh sb="15" eb="16">
      <t>ホン</t>
    </rPh>
    <phoneticPr fontId="7"/>
  </si>
  <si>
    <t>グリーンコープ45号(未開封シール）</t>
    <rPh sb="9" eb="10">
      <t>ゴウ</t>
    </rPh>
    <phoneticPr fontId="7"/>
  </si>
  <si>
    <t>K-PORT</t>
    <phoneticPr fontId="7"/>
  </si>
  <si>
    <t>JOD㊺</t>
    <phoneticPr fontId="7"/>
  </si>
  <si>
    <t>電話注文</t>
    <rPh sb="0" eb="4">
      <t>デンワチュウモン</t>
    </rPh>
    <phoneticPr fontId="7"/>
  </si>
  <si>
    <t>JOD㊻</t>
    <phoneticPr fontId="7"/>
  </si>
  <si>
    <t>JOD㊼</t>
    <phoneticPr fontId="7"/>
  </si>
  <si>
    <t>JOD㊽</t>
    <phoneticPr fontId="7"/>
  </si>
  <si>
    <t>JOD㊾</t>
    <phoneticPr fontId="7"/>
  </si>
  <si>
    <t>アテニア3月号（2月納品）</t>
    <rPh sb="5" eb="7">
      <t>ガツゴウ</t>
    </rPh>
    <rPh sb="9" eb="12">
      <t>ガツノウヒン</t>
    </rPh>
    <phoneticPr fontId="7"/>
  </si>
  <si>
    <t>くらし返品</t>
    <rPh sb="3" eb="5">
      <t>ヘンピン</t>
    </rPh>
    <phoneticPr fontId="3"/>
  </si>
  <si>
    <t>ディノスsample</t>
    <phoneticPr fontId="7"/>
  </si>
  <si>
    <t>ネット単品化</t>
    <rPh sb="3" eb="6">
      <t>タンピンカ</t>
    </rPh>
    <phoneticPr fontId="7"/>
  </si>
  <si>
    <t>全国通販22年8月ことせ6P</t>
    <rPh sb="0" eb="4">
      <t>ゼンコクツウハン</t>
    </rPh>
    <rPh sb="6" eb="7">
      <t>ネン</t>
    </rPh>
    <rPh sb="8" eb="9">
      <t>ガツ</t>
    </rPh>
    <phoneticPr fontId="7"/>
  </si>
  <si>
    <t>全国通販22年8月ことせ3P</t>
    <rPh sb="0" eb="4">
      <t>ゼンコクツウハン</t>
    </rPh>
    <rPh sb="6" eb="7">
      <t>ネン</t>
    </rPh>
    <rPh sb="8" eb="9">
      <t>ガツ</t>
    </rPh>
    <phoneticPr fontId="7"/>
  </si>
  <si>
    <t>全国通販sample</t>
    <rPh sb="0" eb="4">
      <t>ゼンコクツウハン</t>
    </rPh>
    <phoneticPr fontId="7"/>
  </si>
  <si>
    <t>かりん</t>
    <phoneticPr fontId="7"/>
  </si>
  <si>
    <t>アテニア撮影用sample</t>
    <rPh sb="4" eb="7">
      <t>サツエイヨウ</t>
    </rPh>
    <phoneticPr fontId="7"/>
  </si>
  <si>
    <t>伝12/1</t>
    <rPh sb="0" eb="1">
      <t>デン</t>
    </rPh>
    <phoneticPr fontId="7"/>
  </si>
  <si>
    <t>全国通販sample返却</t>
    <rPh sb="0" eb="4">
      <t>ゼンコクツウハン</t>
    </rPh>
    <rPh sb="10" eb="12">
      <t>ヘンキャク</t>
    </rPh>
    <phoneticPr fontId="7"/>
  </si>
  <si>
    <t>夢販</t>
    <rPh sb="0" eb="2">
      <t>ユメハン</t>
    </rPh>
    <phoneticPr fontId="7"/>
  </si>
  <si>
    <t>2021/11/26伝数</t>
    <rPh sb="10" eb="11">
      <t>デン</t>
    </rPh>
    <rPh sb="11" eb="12">
      <t>スウ</t>
    </rPh>
    <phoneticPr fontId="7"/>
  </si>
  <si>
    <t>サクラマチ（高田さん）sample</t>
    <rPh sb="6" eb="8">
      <t>タカダ</t>
    </rPh>
    <phoneticPr fontId="7"/>
  </si>
  <si>
    <t>オバタsample</t>
    <phoneticPr fontId="7"/>
  </si>
  <si>
    <t>かりん</t>
    <phoneticPr fontId="7"/>
  </si>
  <si>
    <t>京都生協12月3回①</t>
    <rPh sb="0" eb="4">
      <t>キョウトセイキョウ</t>
    </rPh>
    <rPh sb="6" eb="7">
      <t>ガツ</t>
    </rPh>
    <rPh sb="8" eb="9">
      <t>カイ</t>
    </rPh>
    <phoneticPr fontId="7"/>
  </si>
  <si>
    <t>サクラマチサンプル（ユーコープ）</t>
    <phoneticPr fontId="7"/>
  </si>
  <si>
    <t>サクラマチsample（九州）</t>
    <rPh sb="12" eb="14">
      <t>キュウシュウ</t>
    </rPh>
    <phoneticPr fontId="7"/>
  </si>
  <si>
    <t>はぴねすくらぶsample</t>
    <phoneticPr fontId="7"/>
  </si>
  <si>
    <t>ベルーナ3　22年春②</t>
    <rPh sb="8" eb="9">
      <t>ネン</t>
    </rPh>
    <rPh sb="9" eb="10">
      <t>ハル</t>
    </rPh>
    <phoneticPr fontId="7"/>
  </si>
  <si>
    <t>ベルーナ3　22年春③</t>
    <rPh sb="8" eb="9">
      <t>ネン</t>
    </rPh>
    <rPh sb="9" eb="10">
      <t>ハル</t>
    </rPh>
    <phoneticPr fontId="7"/>
  </si>
  <si>
    <t>グリーンコープ45号(未開封シール）①</t>
    <rPh sb="9" eb="10">
      <t>ゴウ</t>
    </rPh>
    <phoneticPr fontId="7"/>
  </si>
  <si>
    <t>ベルーナ3　22年春④</t>
    <rPh sb="8" eb="9">
      <t>ネン</t>
    </rPh>
    <rPh sb="9" eb="10">
      <t>ハル</t>
    </rPh>
    <phoneticPr fontId="7"/>
  </si>
  <si>
    <t>はぴねすくらぶ4月号　6枚組</t>
    <rPh sb="8" eb="10">
      <t>ガツゴウ</t>
    </rPh>
    <rPh sb="12" eb="14">
      <t>マイクミ</t>
    </rPh>
    <phoneticPr fontId="7"/>
  </si>
  <si>
    <t>過不足</t>
    <rPh sb="0" eb="3">
      <t>カブソク</t>
    </rPh>
    <phoneticPr fontId="3"/>
  </si>
  <si>
    <t>グリーンコープ45号(未開封シール）②</t>
    <rPh sb="9" eb="10">
      <t>ゴウ</t>
    </rPh>
    <phoneticPr fontId="7"/>
  </si>
  <si>
    <t>ベルーナ3　22年春⑤</t>
    <rPh sb="8" eb="9">
      <t>ネン</t>
    </rPh>
    <rPh sb="9" eb="10">
      <t>ハル</t>
    </rPh>
    <phoneticPr fontId="7"/>
  </si>
  <si>
    <t>グリーンコープ45号(未開封シール）③</t>
    <rPh sb="9" eb="10">
      <t>ゴウ</t>
    </rPh>
    <phoneticPr fontId="7"/>
  </si>
  <si>
    <t>グリーンコープ45号(未開封シール）④</t>
    <rPh sb="9" eb="10">
      <t>ゴウ</t>
    </rPh>
    <phoneticPr fontId="7"/>
  </si>
  <si>
    <t>夢販</t>
    <rPh sb="0" eb="2">
      <t>ユメハン</t>
    </rPh>
    <phoneticPr fontId="7"/>
  </si>
  <si>
    <t>アテニア3月号先行量産品</t>
    <rPh sb="5" eb="7">
      <t>ガツゴウ</t>
    </rPh>
    <rPh sb="7" eb="12">
      <t>センコウリョウサンヒン</t>
    </rPh>
    <phoneticPr fontId="7"/>
  </si>
  <si>
    <t>JODアクセス7084</t>
    <phoneticPr fontId="7"/>
  </si>
  <si>
    <t>4/25～</t>
    <phoneticPr fontId="7"/>
  </si>
  <si>
    <t>千趣会花笑む秋号</t>
    <rPh sb="0" eb="3">
      <t>センシュカイ</t>
    </rPh>
    <rPh sb="3" eb="4">
      <t>ハナ</t>
    </rPh>
    <rPh sb="4" eb="5">
      <t>エ</t>
    </rPh>
    <rPh sb="6" eb="8">
      <t>アキゴウ</t>
    </rPh>
    <phoneticPr fontId="7"/>
  </si>
  <si>
    <t>ベルーナ3　22年春⑥</t>
    <rPh sb="8" eb="9">
      <t>ネン</t>
    </rPh>
    <rPh sb="9" eb="10">
      <t>ハル</t>
    </rPh>
    <phoneticPr fontId="7"/>
  </si>
  <si>
    <t>ベルーナ3　22年春⑦</t>
    <rPh sb="8" eb="9">
      <t>ネン</t>
    </rPh>
    <rPh sb="9" eb="10">
      <t>ハル</t>
    </rPh>
    <phoneticPr fontId="7"/>
  </si>
  <si>
    <t>ベルーナ3　22年春⑧</t>
    <rPh sb="8" eb="9">
      <t>ネン</t>
    </rPh>
    <rPh sb="9" eb="10">
      <t>ハル</t>
    </rPh>
    <phoneticPr fontId="7"/>
  </si>
  <si>
    <t>ベルーナ返品</t>
    <rPh sb="4" eb="6">
      <t>ヘンピン</t>
    </rPh>
    <phoneticPr fontId="3"/>
  </si>
  <si>
    <t>かりん</t>
    <phoneticPr fontId="7"/>
  </si>
  <si>
    <t>全国通販22年8月ことせ3P/テスト版</t>
    <rPh sb="0" eb="4">
      <t>ゼンコクツウハン</t>
    </rPh>
    <rPh sb="6" eb="7">
      <t>ネン</t>
    </rPh>
    <rPh sb="8" eb="9">
      <t>ガツ</t>
    </rPh>
    <rPh sb="18" eb="19">
      <t>バン</t>
    </rPh>
    <phoneticPr fontId="7"/>
  </si>
  <si>
    <t>全国通販22年8月ことせ6P/テスト版</t>
    <rPh sb="0" eb="4">
      <t>ゼンコクツウハン</t>
    </rPh>
    <rPh sb="6" eb="7">
      <t>ネン</t>
    </rPh>
    <rPh sb="8" eb="9">
      <t>ガツ</t>
    </rPh>
    <rPh sb="18" eb="19">
      <t>バン</t>
    </rPh>
    <phoneticPr fontId="7"/>
  </si>
  <si>
    <t>5/7～7/31</t>
    <phoneticPr fontId="7"/>
  </si>
  <si>
    <t>ベルーナ3　22年春⑨</t>
    <rPh sb="8" eb="9">
      <t>ネン</t>
    </rPh>
    <rPh sb="9" eb="10">
      <t>ハル</t>
    </rPh>
    <phoneticPr fontId="7"/>
  </si>
  <si>
    <t>ベルーナ3　22年春⑩</t>
    <rPh sb="8" eb="9">
      <t>ネン</t>
    </rPh>
    <rPh sb="9" eb="10">
      <t>ハル</t>
    </rPh>
    <phoneticPr fontId="7"/>
  </si>
  <si>
    <t>４月～</t>
    <rPh sb="1" eb="2">
      <t>ガツ</t>
    </rPh>
    <phoneticPr fontId="7"/>
  </si>
  <si>
    <t>2022/2/3数伝</t>
    <rPh sb="8" eb="9">
      <t>スウ</t>
    </rPh>
    <rPh sb="9" eb="10">
      <t>デン</t>
    </rPh>
    <phoneticPr fontId="7"/>
  </si>
  <si>
    <t>夢販</t>
    <rPh sb="0" eb="2">
      <t>ユメハン</t>
    </rPh>
    <phoneticPr fontId="7"/>
  </si>
  <si>
    <t>ベルーナ3　22年春⑪</t>
    <rPh sb="8" eb="9">
      <t>ネン</t>
    </rPh>
    <rPh sb="9" eb="10">
      <t>ハル</t>
    </rPh>
    <phoneticPr fontId="7"/>
  </si>
  <si>
    <t>全国通販量産先上げ検品</t>
    <rPh sb="0" eb="4">
      <t>ゼンコクツウハン</t>
    </rPh>
    <rPh sb="4" eb="8">
      <t>リョウサンサキア</t>
    </rPh>
    <rPh sb="9" eb="11">
      <t>ケンピン</t>
    </rPh>
    <phoneticPr fontId="7"/>
  </si>
  <si>
    <t>ベルーナ3　22年春⑫</t>
    <rPh sb="8" eb="9">
      <t>ネン</t>
    </rPh>
    <rPh sb="9" eb="10">
      <t>ハル</t>
    </rPh>
    <phoneticPr fontId="7"/>
  </si>
  <si>
    <t>ベルーナ3　22年春⑬</t>
    <rPh sb="8" eb="9">
      <t>ネン</t>
    </rPh>
    <rPh sb="9" eb="10">
      <t>ハル</t>
    </rPh>
    <phoneticPr fontId="7"/>
  </si>
  <si>
    <t>K-PORT</t>
    <phoneticPr fontId="7"/>
  </si>
  <si>
    <t>はぴねすくらぶ4月号　6枚組①</t>
    <rPh sb="8" eb="10">
      <t>ガツゴウ</t>
    </rPh>
    <rPh sb="12" eb="14">
      <t>マイクミ</t>
    </rPh>
    <phoneticPr fontId="7"/>
  </si>
  <si>
    <t>JODメルシー0519</t>
    <phoneticPr fontId="7"/>
  </si>
  <si>
    <t>5/19～</t>
    <phoneticPr fontId="7"/>
  </si>
  <si>
    <t>夢販</t>
    <rPh sb="0" eb="2">
      <t>ユメハン</t>
    </rPh>
    <phoneticPr fontId="7"/>
  </si>
  <si>
    <t>追加 1-1</t>
    <rPh sb="0" eb="2">
      <t>ツイカ</t>
    </rPh>
    <phoneticPr fontId="3"/>
  </si>
  <si>
    <t>ベルーナ3　22年春⑭</t>
    <rPh sb="8" eb="9">
      <t>ネン</t>
    </rPh>
    <rPh sb="9" eb="10">
      <t>ハル</t>
    </rPh>
    <phoneticPr fontId="7"/>
  </si>
  <si>
    <t>全国通販22年8月ことせ3P/テスト版①</t>
    <rPh sb="0" eb="4">
      <t>ゼンコクツウハン</t>
    </rPh>
    <rPh sb="6" eb="7">
      <t>ネン</t>
    </rPh>
    <rPh sb="8" eb="9">
      <t>ガツ</t>
    </rPh>
    <rPh sb="18" eb="19">
      <t>バン</t>
    </rPh>
    <phoneticPr fontId="7"/>
  </si>
  <si>
    <t>全国通販22年8月ことせ6P/テスト版①</t>
    <rPh sb="0" eb="4">
      <t>ゼンコクツウハン</t>
    </rPh>
    <rPh sb="6" eb="7">
      <t>ネン</t>
    </rPh>
    <rPh sb="8" eb="9">
      <t>ガツ</t>
    </rPh>
    <rPh sb="18" eb="19">
      <t>バン</t>
    </rPh>
    <phoneticPr fontId="7"/>
  </si>
  <si>
    <t>大阪いずみ生協6-4ｗ/6P</t>
    <rPh sb="0" eb="2">
      <t>オオサカ</t>
    </rPh>
    <rPh sb="5" eb="7">
      <t>セイキョウ</t>
    </rPh>
    <phoneticPr fontId="7"/>
  </si>
  <si>
    <t>6/15～7/7（1～5回）</t>
    <rPh sb="12" eb="13">
      <t>カイ</t>
    </rPh>
    <phoneticPr fontId="7"/>
  </si>
  <si>
    <t>大阪いずみ生協6-4ｗ/6P差分予測</t>
    <rPh sb="0" eb="2">
      <t>オオサカ</t>
    </rPh>
    <rPh sb="5" eb="7">
      <t>セイキョウ</t>
    </rPh>
    <rPh sb="14" eb="18">
      <t>サブンヨソク</t>
    </rPh>
    <phoneticPr fontId="7"/>
  </si>
  <si>
    <t>全国通販22年8月ことせ6P/テスト版②</t>
    <rPh sb="0" eb="4">
      <t>ゼンコクツウハン</t>
    </rPh>
    <rPh sb="6" eb="7">
      <t>ネン</t>
    </rPh>
    <rPh sb="8" eb="9">
      <t>ガツ</t>
    </rPh>
    <rPh sb="18" eb="19">
      <t>バン</t>
    </rPh>
    <phoneticPr fontId="7"/>
  </si>
  <si>
    <t>8/8～8/18</t>
    <phoneticPr fontId="7"/>
  </si>
  <si>
    <t>はぴねすくらぶ4月号　6枚組②</t>
    <rPh sb="8" eb="10">
      <t>ガツゴウ</t>
    </rPh>
    <rPh sb="12" eb="14">
      <t>マイクミ</t>
    </rPh>
    <phoneticPr fontId="7"/>
  </si>
  <si>
    <t>はぴねすくらぶ4月号　6枚組③</t>
    <rPh sb="8" eb="10">
      <t>ガツゴウ</t>
    </rPh>
    <rPh sb="12" eb="14">
      <t>マイクミ</t>
    </rPh>
    <phoneticPr fontId="7"/>
  </si>
  <si>
    <t>ベルーナ3　22年春⑮</t>
    <rPh sb="8" eb="9">
      <t>ネン</t>
    </rPh>
    <rPh sb="9" eb="10">
      <t>ハル</t>
    </rPh>
    <phoneticPr fontId="7"/>
  </si>
  <si>
    <t>はぴねすくらぶ4月号　6枚組④</t>
    <rPh sb="8" eb="10">
      <t>ガツゴウ</t>
    </rPh>
    <rPh sb="12" eb="14">
      <t>マイクミ</t>
    </rPh>
    <phoneticPr fontId="7"/>
  </si>
  <si>
    <t>JOD</t>
    <phoneticPr fontId="7"/>
  </si>
  <si>
    <t>はぴねすくらぶ4月号　6枚組⑤</t>
    <rPh sb="8" eb="10">
      <t>ガツゴウ</t>
    </rPh>
    <rPh sb="12" eb="14">
      <t>マイクミ</t>
    </rPh>
    <phoneticPr fontId="7"/>
  </si>
  <si>
    <t>夢販</t>
    <rPh sb="0" eb="2">
      <t>ユメハン</t>
    </rPh>
    <phoneticPr fontId="7"/>
  </si>
  <si>
    <t>はぴねすくらぶ4月号　6枚組⑥</t>
    <rPh sb="8" eb="10">
      <t>ガツゴウ</t>
    </rPh>
    <rPh sb="12" eb="14">
      <t>マイクミ</t>
    </rPh>
    <phoneticPr fontId="7"/>
  </si>
  <si>
    <t>ベルーナ3　22年春⑯</t>
    <rPh sb="8" eb="9">
      <t>ネン</t>
    </rPh>
    <rPh sb="9" eb="10">
      <t>ハル</t>
    </rPh>
    <phoneticPr fontId="7"/>
  </si>
  <si>
    <t>JOD</t>
    <phoneticPr fontId="7"/>
  </si>
  <si>
    <t>ベルーナ3　22年春⑰</t>
    <rPh sb="8" eb="9">
      <t>ネン</t>
    </rPh>
    <rPh sb="9" eb="10">
      <t>ハル</t>
    </rPh>
    <phoneticPr fontId="7"/>
  </si>
  <si>
    <t>はぴねすくらぶ4月号　6枚組⑦</t>
    <rPh sb="8" eb="10">
      <t>ガツゴウ</t>
    </rPh>
    <rPh sb="12" eb="14">
      <t>マイクミ</t>
    </rPh>
    <phoneticPr fontId="7"/>
  </si>
  <si>
    <t>かりん</t>
    <phoneticPr fontId="7"/>
  </si>
  <si>
    <t>アテニア７月号（６月初納品）</t>
    <rPh sb="5" eb="7">
      <t>ガツゴウ</t>
    </rPh>
    <rPh sb="9" eb="10">
      <t>ガツ</t>
    </rPh>
    <rPh sb="10" eb="11">
      <t>ショ</t>
    </rPh>
    <rPh sb="11" eb="13">
      <t>ノウヒン</t>
    </rPh>
    <phoneticPr fontId="7"/>
  </si>
  <si>
    <t>5/21ship</t>
    <phoneticPr fontId="7"/>
  </si>
  <si>
    <t>全国通販量産先上げ検品返却</t>
    <rPh sb="0" eb="4">
      <t>ゼンコクツウハン</t>
    </rPh>
    <rPh sb="4" eb="8">
      <t>リョウサンサキア</t>
    </rPh>
    <rPh sb="9" eb="11">
      <t>ケンピン</t>
    </rPh>
    <rPh sb="11" eb="13">
      <t>ヘンキャク</t>
    </rPh>
    <phoneticPr fontId="7"/>
  </si>
  <si>
    <t>全国通販①</t>
    <rPh sb="0" eb="4">
      <t>ゼンコクツウハン</t>
    </rPh>
    <phoneticPr fontId="7"/>
  </si>
  <si>
    <t>はぴねすくらぶ4月号　6枚組⑧</t>
    <rPh sb="8" eb="10">
      <t>ガツゴウ</t>
    </rPh>
    <rPh sb="12" eb="14">
      <t>マイクミ</t>
    </rPh>
    <phoneticPr fontId="7"/>
  </si>
  <si>
    <t>ベルーナ3　22年春⑱</t>
    <rPh sb="8" eb="9">
      <t>ネン</t>
    </rPh>
    <rPh sb="9" eb="10">
      <t>ハル</t>
    </rPh>
    <phoneticPr fontId="7"/>
  </si>
  <si>
    <t>夢販</t>
    <rPh sb="0" eb="2">
      <t>ユメハン</t>
    </rPh>
    <phoneticPr fontId="7"/>
  </si>
  <si>
    <t>2022/6/1伝数</t>
    <rPh sb="8" eb="9">
      <t>デン</t>
    </rPh>
    <rPh sb="9" eb="10">
      <t>スウ</t>
    </rPh>
    <phoneticPr fontId="7"/>
  </si>
  <si>
    <t>8/3、8/8</t>
    <phoneticPr fontId="7"/>
  </si>
  <si>
    <t>コープさっぽろ8月2週</t>
    <rPh sb="8" eb="9">
      <t>ガツ</t>
    </rPh>
    <rPh sb="10" eb="11">
      <t>シュウ</t>
    </rPh>
    <phoneticPr fontId="7"/>
  </si>
  <si>
    <t>夢販</t>
    <rPh sb="0" eb="2">
      <t>ユメハン</t>
    </rPh>
    <phoneticPr fontId="7"/>
  </si>
  <si>
    <t>はぴねすくらぶ4月号　6枚組⑨</t>
    <rPh sb="8" eb="10">
      <t>ガツゴウ</t>
    </rPh>
    <rPh sb="12" eb="14">
      <t>マイクミ</t>
    </rPh>
    <phoneticPr fontId="7"/>
  </si>
  <si>
    <t>ネット</t>
    <phoneticPr fontId="7"/>
  </si>
  <si>
    <t>ベルーナ3　22年春⑲</t>
    <rPh sb="8" eb="9">
      <t>ネン</t>
    </rPh>
    <rPh sb="9" eb="10">
      <t>ハル</t>
    </rPh>
    <phoneticPr fontId="7"/>
  </si>
  <si>
    <t>大阪いずみ生協6-4ｗ/①</t>
    <rPh sb="0" eb="2">
      <t>オオサカ</t>
    </rPh>
    <rPh sb="5" eb="7">
      <t>セイキョウ</t>
    </rPh>
    <phoneticPr fontId="7"/>
  </si>
  <si>
    <t>大阪いずみ生協6-4ｗ/②</t>
    <rPh sb="0" eb="2">
      <t>オオサカ</t>
    </rPh>
    <rPh sb="5" eb="7">
      <t>セイキョウ</t>
    </rPh>
    <phoneticPr fontId="7"/>
  </si>
  <si>
    <t>KPORT</t>
    <phoneticPr fontId="7"/>
  </si>
  <si>
    <t>点9/6、アバウト9/13、本9/15・19</t>
    <rPh sb="0" eb="1">
      <t>テン</t>
    </rPh>
    <rPh sb="14" eb="15">
      <t>ホン</t>
    </rPh>
    <phoneticPr fontId="7"/>
  </si>
  <si>
    <t>グリーンコープ9月26号差分予測</t>
    <rPh sb="8" eb="9">
      <t>ガツ</t>
    </rPh>
    <rPh sb="11" eb="12">
      <t>ゴウ</t>
    </rPh>
    <rPh sb="12" eb="16">
      <t>サブンヨソク</t>
    </rPh>
    <phoneticPr fontId="7"/>
  </si>
  <si>
    <t>グリーンコープ9月26号（未開封シール）</t>
    <rPh sb="8" eb="9">
      <t>ガツ</t>
    </rPh>
    <rPh sb="13" eb="16">
      <t>ミカイフウ</t>
    </rPh>
    <phoneticPr fontId="7"/>
  </si>
  <si>
    <t>ベルーナ3　22年春⑳</t>
    <rPh sb="8" eb="9">
      <t>ネン</t>
    </rPh>
    <rPh sb="9" eb="10">
      <t>ハル</t>
    </rPh>
    <phoneticPr fontId="7"/>
  </si>
  <si>
    <t>千趣会①</t>
    <rPh sb="0" eb="3">
      <t>センシュカイ</t>
    </rPh>
    <phoneticPr fontId="7"/>
  </si>
  <si>
    <t>大阪いずみ生協6-4ｗ/③</t>
    <rPh sb="0" eb="2">
      <t>オオサカ</t>
    </rPh>
    <rPh sb="5" eb="7">
      <t>セイキョウ</t>
    </rPh>
    <phoneticPr fontId="7"/>
  </si>
  <si>
    <t>大阪いずみ生協6-4ｗ/④</t>
    <rPh sb="0" eb="2">
      <t>オオサカ</t>
    </rPh>
    <rPh sb="5" eb="7">
      <t>セイキョウ</t>
    </rPh>
    <phoneticPr fontId="7"/>
  </si>
  <si>
    <t>JOD特別版0729</t>
    <rPh sb="3" eb="6">
      <t>トクベツバン</t>
    </rPh>
    <phoneticPr fontId="7"/>
  </si>
  <si>
    <t>7/28～</t>
    <phoneticPr fontId="7"/>
  </si>
  <si>
    <t>千趣会②</t>
    <rPh sb="0" eb="3">
      <t>センシュカイ</t>
    </rPh>
    <phoneticPr fontId="7"/>
  </si>
  <si>
    <t>はぴねすくらぶ4月号　6枚組⑩</t>
    <rPh sb="8" eb="10">
      <t>ガツゴウ</t>
    </rPh>
    <rPh sb="12" eb="14">
      <t>マイクミ</t>
    </rPh>
    <phoneticPr fontId="7"/>
  </si>
  <si>
    <t>ベルーナ3　22年春㉑</t>
    <rPh sb="8" eb="9">
      <t>ネン</t>
    </rPh>
    <rPh sb="9" eb="10">
      <t>ハル</t>
    </rPh>
    <phoneticPr fontId="7"/>
  </si>
  <si>
    <t>千趣会</t>
    <rPh sb="0" eb="3">
      <t>センシュカイ</t>
    </rPh>
    <phoneticPr fontId="3"/>
  </si>
  <si>
    <t>7/30～10/15</t>
    <phoneticPr fontId="7"/>
  </si>
  <si>
    <t>全国通販22年8月ことせ3P初回</t>
    <rPh sb="0" eb="4">
      <t>ゼンコクツウハン</t>
    </rPh>
    <rPh sb="6" eb="7">
      <t>ネン</t>
    </rPh>
    <rPh sb="8" eb="9">
      <t>ガツ</t>
    </rPh>
    <rPh sb="14" eb="16">
      <t>ショカイ</t>
    </rPh>
    <phoneticPr fontId="7"/>
  </si>
  <si>
    <t>全国通販22年8月ことせ6P初回</t>
    <rPh sb="0" eb="4">
      <t>ゼンコクツウハン</t>
    </rPh>
    <rPh sb="6" eb="7">
      <t>ネン</t>
    </rPh>
    <rPh sb="8" eb="9">
      <t>ガツ</t>
    </rPh>
    <rPh sb="14" eb="16">
      <t>ショカイ</t>
    </rPh>
    <phoneticPr fontId="7"/>
  </si>
  <si>
    <t>千趣会③</t>
    <rPh sb="0" eb="3">
      <t>センシュカイ</t>
    </rPh>
    <phoneticPr fontId="7"/>
  </si>
  <si>
    <t>はぴねすくらぶ4月号　6枚組⑪</t>
    <rPh sb="8" eb="10">
      <t>ガツゴウ</t>
    </rPh>
    <rPh sb="12" eb="14">
      <t>マイクミ</t>
    </rPh>
    <phoneticPr fontId="7"/>
  </si>
  <si>
    <t>オバタsample返却</t>
    <rPh sb="9" eb="11">
      <t>ヘンキャク</t>
    </rPh>
    <phoneticPr fontId="7"/>
  </si>
  <si>
    <t>ベルーナ3　22年春㉒</t>
    <rPh sb="8" eb="9">
      <t>ネン</t>
    </rPh>
    <rPh sb="9" eb="10">
      <t>ハル</t>
    </rPh>
    <phoneticPr fontId="7"/>
  </si>
  <si>
    <t>千趣会④</t>
    <rPh sb="0" eb="3">
      <t>センシュカイ</t>
    </rPh>
    <phoneticPr fontId="7"/>
  </si>
  <si>
    <t>全国通販22年8月ことせ3P①</t>
    <rPh sb="0" eb="4">
      <t>ゼンコクツウハン</t>
    </rPh>
    <rPh sb="6" eb="7">
      <t>ネン</t>
    </rPh>
    <rPh sb="8" eb="9">
      <t>ガツ</t>
    </rPh>
    <phoneticPr fontId="7"/>
  </si>
  <si>
    <t>全国通販22年8月ことせ6P①</t>
    <rPh sb="0" eb="4">
      <t>ゼンコクツウハン</t>
    </rPh>
    <rPh sb="6" eb="7">
      <t>ネン</t>
    </rPh>
    <rPh sb="8" eb="9">
      <t>ガツ</t>
    </rPh>
    <phoneticPr fontId="7"/>
  </si>
  <si>
    <t>夢販</t>
    <rPh sb="0" eb="2">
      <t>ユメハン</t>
    </rPh>
    <phoneticPr fontId="7"/>
  </si>
  <si>
    <t>ディノス23春提案sample</t>
    <rPh sb="6" eb="7">
      <t>ハル</t>
    </rPh>
    <rPh sb="7" eb="9">
      <t>テイアン</t>
    </rPh>
    <phoneticPr fontId="7"/>
  </si>
  <si>
    <t>JOD(西濃）</t>
    <rPh sb="4" eb="6">
      <t>セイノウ</t>
    </rPh>
    <phoneticPr fontId="7"/>
  </si>
  <si>
    <t>全国通販22年8月ことせ3P②</t>
    <rPh sb="0" eb="4">
      <t>ゼンコクツウハン</t>
    </rPh>
    <rPh sb="6" eb="7">
      <t>ネン</t>
    </rPh>
    <rPh sb="8" eb="9">
      <t>ガツ</t>
    </rPh>
    <phoneticPr fontId="7"/>
  </si>
  <si>
    <t>全国通販22年8月ことせ6P②</t>
    <rPh sb="0" eb="4">
      <t>ゼンコクツウハン</t>
    </rPh>
    <rPh sb="6" eb="7">
      <t>ネン</t>
    </rPh>
    <rPh sb="8" eb="9">
      <t>ガツ</t>
    </rPh>
    <phoneticPr fontId="7"/>
  </si>
  <si>
    <t>はぴねすくらぶsample返却</t>
    <rPh sb="13" eb="15">
      <t>ヘンキャク</t>
    </rPh>
    <phoneticPr fontId="7"/>
  </si>
  <si>
    <t>コープさっぽろ8月2週①</t>
    <rPh sb="8" eb="9">
      <t>ガツ</t>
    </rPh>
    <rPh sb="10" eb="11">
      <t>シュウ</t>
    </rPh>
    <phoneticPr fontId="7"/>
  </si>
  <si>
    <t>はぴねすくらぶ返品</t>
    <rPh sb="7" eb="9">
      <t>ヘンピン</t>
    </rPh>
    <phoneticPr fontId="3"/>
  </si>
  <si>
    <t>全国通販22年8月ことせ3P③</t>
    <rPh sb="0" eb="4">
      <t>ゼンコクツウハン</t>
    </rPh>
    <rPh sb="6" eb="7">
      <t>ネン</t>
    </rPh>
    <rPh sb="8" eb="9">
      <t>ガツ</t>
    </rPh>
    <phoneticPr fontId="7"/>
  </si>
  <si>
    <t>全国通販22年8月ことせ3P④</t>
    <rPh sb="0" eb="4">
      <t>ゼンコクツウハン</t>
    </rPh>
    <rPh sb="6" eb="7">
      <t>ネン</t>
    </rPh>
    <rPh sb="8" eb="9">
      <t>ガツ</t>
    </rPh>
    <phoneticPr fontId="7"/>
  </si>
  <si>
    <t>全国通販22年8月ことせ6P③</t>
    <rPh sb="0" eb="4">
      <t>ゼンコクツウハン</t>
    </rPh>
    <rPh sb="6" eb="7">
      <t>ネン</t>
    </rPh>
    <rPh sb="8" eb="9">
      <t>ガツ</t>
    </rPh>
    <phoneticPr fontId="7"/>
  </si>
  <si>
    <t>全国通販22年8月ことせ6P④</t>
    <rPh sb="0" eb="4">
      <t>ゼンコクツウハン</t>
    </rPh>
    <rPh sb="6" eb="7">
      <t>ネン</t>
    </rPh>
    <rPh sb="8" eb="9">
      <t>ガツ</t>
    </rPh>
    <phoneticPr fontId="7"/>
  </si>
  <si>
    <t>かりん</t>
    <phoneticPr fontId="7"/>
  </si>
  <si>
    <t>ベルーナ3　23春</t>
    <rPh sb="8" eb="9">
      <t>ハル</t>
    </rPh>
    <phoneticPr fontId="7"/>
  </si>
  <si>
    <t>テスト10/19、本番1/下旬</t>
    <rPh sb="9" eb="11">
      <t>ホンバン</t>
    </rPh>
    <rPh sb="13" eb="15">
      <t>ゲジュン</t>
    </rPh>
    <phoneticPr fontId="7"/>
  </si>
  <si>
    <t>8/20ship</t>
    <phoneticPr fontId="7"/>
  </si>
  <si>
    <t>全国通販22年8月ことせ3P⑤</t>
    <rPh sb="0" eb="4">
      <t>ゼンコクツウハン</t>
    </rPh>
    <rPh sb="6" eb="7">
      <t>ネン</t>
    </rPh>
    <rPh sb="8" eb="9">
      <t>ガツ</t>
    </rPh>
    <phoneticPr fontId="7"/>
  </si>
  <si>
    <t>電話注文</t>
    <rPh sb="0" eb="4">
      <t>デンワチュウモン</t>
    </rPh>
    <phoneticPr fontId="7"/>
  </si>
  <si>
    <t>全国通販22年8月ことせ3P⑥</t>
    <rPh sb="0" eb="4">
      <t>ゼンコクツウハン</t>
    </rPh>
    <rPh sb="6" eb="7">
      <t>ネン</t>
    </rPh>
    <rPh sb="8" eb="9">
      <t>ガツ</t>
    </rPh>
    <phoneticPr fontId="7"/>
  </si>
  <si>
    <t>サクラマチ返品</t>
    <rPh sb="5" eb="7">
      <t>ヘンピン</t>
    </rPh>
    <phoneticPr fontId="3"/>
  </si>
  <si>
    <t>全国通販22年8月ことせ6P⑤</t>
    <rPh sb="0" eb="4">
      <t>ゼンコクツウハン</t>
    </rPh>
    <rPh sb="6" eb="7">
      <t>ネン</t>
    </rPh>
    <rPh sb="8" eb="9">
      <t>ガツ</t>
    </rPh>
    <phoneticPr fontId="7"/>
  </si>
  <si>
    <t>棚卸</t>
    <rPh sb="0" eb="2">
      <t>タナオロシ</t>
    </rPh>
    <phoneticPr fontId="3"/>
  </si>
  <si>
    <t>夢販</t>
    <rPh sb="0" eb="2">
      <t>ユメハン</t>
    </rPh>
    <phoneticPr fontId="7"/>
  </si>
  <si>
    <t>グリーンコープ9月26号（未開封シール）①</t>
    <rPh sb="8" eb="9">
      <t>ガツ</t>
    </rPh>
    <rPh sb="13" eb="16">
      <t>ミカイフウ</t>
    </rPh>
    <phoneticPr fontId="7"/>
  </si>
  <si>
    <t>2022/9/5数伝</t>
    <rPh sb="8" eb="9">
      <t>スウ</t>
    </rPh>
    <rPh sb="9" eb="10">
      <t>デン</t>
    </rPh>
    <phoneticPr fontId="7"/>
  </si>
  <si>
    <t>グリーンコープ9月26号（未開封シール）②</t>
    <rPh sb="8" eb="9">
      <t>ガツ</t>
    </rPh>
    <rPh sb="13" eb="16">
      <t>ミカイフウ</t>
    </rPh>
    <phoneticPr fontId="7"/>
  </si>
  <si>
    <t>JODメルシー1027</t>
    <phoneticPr fontId="7"/>
  </si>
  <si>
    <t>10/27～</t>
    <phoneticPr fontId="7"/>
  </si>
  <si>
    <t>グリーンコープ9月26号（未開封シール）③</t>
    <rPh sb="8" eb="9">
      <t>ガツ</t>
    </rPh>
    <rPh sb="13" eb="16">
      <t>ミカイフウ</t>
    </rPh>
    <phoneticPr fontId="7"/>
  </si>
  <si>
    <t>3P＠828→￥2380（34.8％）</t>
    <phoneticPr fontId="7"/>
  </si>
  <si>
    <t>3P大＠930→￥2380（39.1％）</t>
    <rPh sb="2" eb="3">
      <t>ダイ</t>
    </rPh>
    <phoneticPr fontId="7"/>
  </si>
  <si>
    <t>K-PORT</t>
    <phoneticPr fontId="7"/>
  </si>
  <si>
    <t>ベルーナ3　22年春㉓</t>
    <rPh sb="8" eb="9">
      <t>ネン</t>
    </rPh>
    <rPh sb="9" eb="10">
      <t>ハル</t>
    </rPh>
    <phoneticPr fontId="7"/>
  </si>
  <si>
    <t>1/10～9/30</t>
    <phoneticPr fontId="7"/>
  </si>
  <si>
    <t>ベルーナ3　23春①</t>
    <rPh sb="8" eb="9">
      <t>ハル</t>
    </rPh>
    <phoneticPr fontId="7"/>
  </si>
  <si>
    <t>追加　2-1</t>
    <rPh sb="0" eb="2">
      <t>ツイカ</t>
    </rPh>
    <phoneticPr fontId="3"/>
  </si>
  <si>
    <t>追加　2-2</t>
    <rPh sb="0" eb="2">
      <t>ツイカ</t>
    </rPh>
    <phoneticPr fontId="3"/>
  </si>
  <si>
    <t>ベルーナ3　23春②</t>
    <rPh sb="8" eb="9">
      <t>ハル</t>
    </rPh>
    <phoneticPr fontId="7"/>
  </si>
  <si>
    <t>夢販</t>
    <rPh sb="0" eb="2">
      <t>ユメハン</t>
    </rPh>
    <phoneticPr fontId="7"/>
  </si>
  <si>
    <t>ディノス　23春6P</t>
    <rPh sb="7" eb="8">
      <t>ハル</t>
    </rPh>
    <phoneticPr fontId="7"/>
  </si>
  <si>
    <t>ディノス　23春6P　差分予測</t>
    <rPh sb="7" eb="8">
      <t>ハル</t>
    </rPh>
    <rPh sb="11" eb="15">
      <t>サブンヨソク</t>
    </rPh>
    <phoneticPr fontId="7"/>
  </si>
  <si>
    <t>丸藤返品</t>
    <rPh sb="0" eb="2">
      <t>マルフジ</t>
    </rPh>
    <rPh sb="2" eb="4">
      <t>ヘンピン</t>
    </rPh>
    <phoneticPr fontId="3"/>
  </si>
  <si>
    <t>千趣会花笑む秋号①</t>
    <rPh sb="0" eb="3">
      <t>センシュカイ</t>
    </rPh>
    <rPh sb="3" eb="4">
      <t>ハナ</t>
    </rPh>
    <rPh sb="4" eb="5">
      <t>エ</t>
    </rPh>
    <rPh sb="6" eb="8">
      <t>アキゴウ</t>
    </rPh>
    <phoneticPr fontId="7"/>
  </si>
  <si>
    <t>千趣会花笑む秋号②</t>
    <rPh sb="0" eb="3">
      <t>センシュカイ</t>
    </rPh>
    <rPh sb="3" eb="4">
      <t>ハナ</t>
    </rPh>
    <rPh sb="4" eb="5">
      <t>エ</t>
    </rPh>
    <rPh sb="6" eb="8">
      <t>アキゴウ</t>
    </rPh>
    <phoneticPr fontId="7"/>
  </si>
  <si>
    <t>JOD</t>
    <phoneticPr fontId="7"/>
  </si>
  <si>
    <t xml:space="preserve">追加 </t>
    <rPh sb="0" eb="2">
      <t>ツイカ</t>
    </rPh>
    <phoneticPr fontId="3"/>
  </si>
  <si>
    <t>かりん</t>
    <phoneticPr fontId="7"/>
  </si>
  <si>
    <t>JOD</t>
  </si>
  <si>
    <t>全国通販4月号提案sample</t>
    <rPh sb="0" eb="4">
      <t>ゼンコクツウハン</t>
    </rPh>
    <rPh sb="5" eb="9">
      <t>ガツゴウテイアン</t>
    </rPh>
    <phoneticPr fontId="7"/>
  </si>
  <si>
    <t>ディノス　23春6P①</t>
    <rPh sb="7" eb="8">
      <t>ハル</t>
    </rPh>
    <phoneticPr fontId="7"/>
  </si>
  <si>
    <t>アテニア3月号（2月納品）実績</t>
    <rPh sb="5" eb="7">
      <t>ガツゴウ</t>
    </rPh>
    <rPh sb="9" eb="12">
      <t>ガツノウヒン</t>
    </rPh>
    <rPh sb="13" eb="15">
      <t>ジッセキ</t>
    </rPh>
    <phoneticPr fontId="7"/>
  </si>
  <si>
    <t>アテニア７月号（６月初納品）実績</t>
    <rPh sb="5" eb="7">
      <t>ガツゴウ</t>
    </rPh>
    <rPh sb="9" eb="10">
      <t>ガツ</t>
    </rPh>
    <rPh sb="10" eb="11">
      <t>ショ</t>
    </rPh>
    <rPh sb="11" eb="13">
      <t>ノウヒン</t>
    </rPh>
    <rPh sb="14" eb="16">
      <t>ジッセキ</t>
    </rPh>
    <phoneticPr fontId="7"/>
  </si>
  <si>
    <t>アテニア３月号</t>
    <rPh sb="5" eb="6">
      <t>ガツ</t>
    </rPh>
    <rPh sb="6" eb="7">
      <t>ゴウ</t>
    </rPh>
    <phoneticPr fontId="7"/>
  </si>
  <si>
    <t>ベルーナ3　23春　　差分予測</t>
    <rPh sb="8" eb="9">
      <t>ハル</t>
    </rPh>
    <rPh sb="11" eb="15">
      <t>サブンヨソク</t>
    </rPh>
    <phoneticPr fontId="7"/>
  </si>
  <si>
    <t>日生協３月０２号　</t>
    <rPh sb="0" eb="3">
      <t>ニッセイキョウ</t>
    </rPh>
    <rPh sb="4" eb="5">
      <t>ガツ</t>
    </rPh>
    <rPh sb="7" eb="8">
      <t>ゴウ</t>
    </rPh>
    <phoneticPr fontId="7"/>
  </si>
  <si>
    <t>点3/3、前取3/10、アバ3/14・21、最終3/29</t>
    <rPh sb="0" eb="1">
      <t>テン</t>
    </rPh>
    <rPh sb="5" eb="6">
      <t>マエ</t>
    </rPh>
    <rPh sb="6" eb="7">
      <t>ト</t>
    </rPh>
    <rPh sb="22" eb="24">
      <t>サイシュウ</t>
    </rPh>
    <phoneticPr fontId="7"/>
  </si>
  <si>
    <t>日生協３月０２号　差分予測</t>
    <rPh sb="0" eb="3">
      <t>ニッセイキョウ</t>
    </rPh>
    <rPh sb="4" eb="5">
      <t>ガツ</t>
    </rPh>
    <rPh sb="7" eb="8">
      <t>ゴウ</t>
    </rPh>
    <rPh sb="9" eb="13">
      <t>サブンヨソク</t>
    </rPh>
    <phoneticPr fontId="7"/>
  </si>
  <si>
    <t>在庫確認</t>
    <rPh sb="0" eb="4">
      <t>ザイコカクニン</t>
    </rPh>
    <phoneticPr fontId="3"/>
  </si>
  <si>
    <t>5/30～12/28</t>
    <phoneticPr fontId="7"/>
  </si>
  <si>
    <t>アテニア撮影用sample</t>
    <rPh sb="4" eb="6">
      <t>サツエイ</t>
    </rPh>
    <rPh sb="6" eb="7">
      <t>ヨウ</t>
    </rPh>
    <phoneticPr fontId="7"/>
  </si>
  <si>
    <t>ベルーナ3　23春③</t>
    <rPh sb="8" eb="9">
      <t>ハル</t>
    </rPh>
    <phoneticPr fontId="7"/>
  </si>
  <si>
    <t>点2/21、アバウト2/28、本3/2、6</t>
    <rPh sb="0" eb="1">
      <t>テン</t>
    </rPh>
    <rPh sb="15" eb="16">
      <t>ホン</t>
    </rPh>
    <phoneticPr fontId="7"/>
  </si>
  <si>
    <t>グリーンコープ50号差分予測</t>
    <rPh sb="9" eb="10">
      <t>ゴウ</t>
    </rPh>
    <rPh sb="10" eb="14">
      <t>サブンヨソク</t>
    </rPh>
    <phoneticPr fontId="7"/>
  </si>
  <si>
    <t>追加(工場より)</t>
    <rPh sb="0" eb="2">
      <t>ツイカ</t>
    </rPh>
    <rPh sb="3" eb="5">
      <t>コウジョウ</t>
    </rPh>
    <phoneticPr fontId="3"/>
  </si>
  <si>
    <t>ベルーナ3　23春タブロイド</t>
    <rPh sb="8" eb="9">
      <t>ハル</t>
    </rPh>
    <phoneticPr fontId="7"/>
  </si>
  <si>
    <t>2/1～</t>
    <phoneticPr fontId="7"/>
  </si>
  <si>
    <t>追加 2-1</t>
    <rPh sb="0" eb="2">
      <t>ツイカ</t>
    </rPh>
    <phoneticPr fontId="3"/>
  </si>
  <si>
    <t>追加 2-2</t>
    <rPh sb="0" eb="2">
      <t>ツイカ</t>
    </rPh>
    <phoneticPr fontId="3"/>
  </si>
  <si>
    <t>全国通販返品</t>
    <rPh sb="0" eb="4">
      <t>ゼンコクツウハン</t>
    </rPh>
    <rPh sb="4" eb="6">
      <t>ヘンピン</t>
    </rPh>
    <phoneticPr fontId="3"/>
  </si>
  <si>
    <t>KPORT</t>
    <phoneticPr fontId="7"/>
  </si>
  <si>
    <t>夢販移動</t>
    <rPh sb="0" eb="4">
      <t>ユメハンイドウ</t>
    </rPh>
    <phoneticPr fontId="3"/>
  </si>
  <si>
    <t>ベルーナ3　23春④</t>
    <rPh sb="8" eb="9">
      <t>ハル</t>
    </rPh>
    <phoneticPr fontId="7"/>
  </si>
  <si>
    <t>毎日が発見5月号</t>
    <rPh sb="0" eb="2">
      <t>マイニチ</t>
    </rPh>
    <rPh sb="3" eb="5">
      <t>ハッケン</t>
    </rPh>
    <rPh sb="6" eb="8">
      <t>ガツゴウ</t>
    </rPh>
    <phoneticPr fontId="7"/>
  </si>
  <si>
    <t>ベルーナ3　23春⑤</t>
    <rPh sb="8" eb="9">
      <t>ハル</t>
    </rPh>
    <phoneticPr fontId="7"/>
  </si>
  <si>
    <t>ベルーナ3　23春⑥</t>
    <rPh sb="8" eb="9">
      <t>ハル</t>
    </rPh>
    <phoneticPr fontId="7"/>
  </si>
  <si>
    <t>4/13～</t>
    <phoneticPr fontId="7"/>
  </si>
  <si>
    <t>1/7伝数　12/27ship</t>
    <rPh sb="3" eb="4">
      <t>デン</t>
    </rPh>
    <rPh sb="4" eb="5">
      <t>スウ</t>
    </rPh>
    <phoneticPr fontId="7"/>
  </si>
  <si>
    <t>再生</t>
    <rPh sb="0" eb="2">
      <t>サイセイ</t>
    </rPh>
    <phoneticPr fontId="3"/>
  </si>
  <si>
    <t>ベルーナ3　23春⑦</t>
    <rPh sb="8" eb="9">
      <t>ハル</t>
    </rPh>
    <phoneticPr fontId="7"/>
  </si>
  <si>
    <t>ディノス　23春6P②</t>
    <rPh sb="7" eb="8">
      <t>ハル</t>
    </rPh>
    <phoneticPr fontId="7"/>
  </si>
  <si>
    <t>ディノス　23春6P③</t>
    <rPh sb="7" eb="8">
      <t>ハル</t>
    </rPh>
    <phoneticPr fontId="7"/>
  </si>
  <si>
    <t>ベルーナ3　23春⑧</t>
    <rPh sb="8" eb="9">
      <t>ハル</t>
    </rPh>
    <phoneticPr fontId="7"/>
  </si>
  <si>
    <t>丸藤（九州）sample</t>
    <rPh sb="0" eb="2">
      <t>マルフジ</t>
    </rPh>
    <rPh sb="3" eb="5">
      <t>キュウシュウ</t>
    </rPh>
    <phoneticPr fontId="7"/>
  </si>
  <si>
    <t>1/27、1/31</t>
    <phoneticPr fontId="7"/>
  </si>
  <si>
    <t>電話注文</t>
    <rPh sb="0" eb="4">
      <t>デンワチュウモン</t>
    </rPh>
    <phoneticPr fontId="7"/>
  </si>
  <si>
    <t>全国通販sample佐々木様</t>
    <rPh sb="0" eb="4">
      <t>ゼンコクツウハン</t>
    </rPh>
    <rPh sb="10" eb="14">
      <t>ササキサマ</t>
    </rPh>
    <phoneticPr fontId="3"/>
  </si>
  <si>
    <t>ディノス　23春6P④</t>
    <rPh sb="7" eb="8">
      <t>ハル</t>
    </rPh>
    <phoneticPr fontId="7"/>
  </si>
  <si>
    <r>
      <t xml:space="preserve">コープさっぽ2-1ｗ </t>
    </r>
    <r>
      <rPr>
        <b/>
        <sz val="11"/>
        <rFont val="ＭＳ Ｐゴシック"/>
        <family val="3"/>
        <charset val="128"/>
      </rPr>
      <t>@1,030①</t>
    </r>
    <phoneticPr fontId="7"/>
  </si>
  <si>
    <r>
      <t xml:space="preserve">コープさっぽ2-1ｗ </t>
    </r>
    <r>
      <rPr>
        <b/>
        <sz val="11"/>
        <rFont val="ＭＳ Ｐゴシック"/>
        <family val="3"/>
        <charset val="128"/>
      </rPr>
      <t>@1,030</t>
    </r>
    <phoneticPr fontId="7"/>
  </si>
  <si>
    <t>ディノス返品</t>
    <rPh sb="4" eb="6">
      <t>ヘンピン</t>
    </rPh>
    <phoneticPr fontId="3"/>
  </si>
  <si>
    <r>
      <t xml:space="preserve">コープさっぽ2-1ｗ </t>
    </r>
    <r>
      <rPr>
        <b/>
        <sz val="11"/>
        <rFont val="ＭＳ Ｐゴシック"/>
        <family val="3"/>
        <charset val="128"/>
      </rPr>
      <t>@1,030②</t>
    </r>
    <phoneticPr fontId="7"/>
  </si>
  <si>
    <t>ディノス　23春6P⑤</t>
    <rPh sb="7" eb="8">
      <t>ハル</t>
    </rPh>
    <phoneticPr fontId="7"/>
  </si>
  <si>
    <t>ディノス　23春6P⑥</t>
    <rPh sb="7" eb="8">
      <t>ハル</t>
    </rPh>
    <phoneticPr fontId="7"/>
  </si>
  <si>
    <t>ディノス　23春6P⑦</t>
    <rPh sb="7" eb="8">
      <t>ハル</t>
    </rPh>
    <phoneticPr fontId="7"/>
  </si>
  <si>
    <t>かりん</t>
    <phoneticPr fontId="7"/>
  </si>
  <si>
    <t>ベルーナ3　23春⑨</t>
    <rPh sb="8" eb="9">
      <t>ハル</t>
    </rPh>
    <phoneticPr fontId="7"/>
  </si>
  <si>
    <t>2023/2/2数伝</t>
    <rPh sb="8" eb="9">
      <t>スウ</t>
    </rPh>
    <rPh sb="9" eb="10">
      <t>デン</t>
    </rPh>
    <phoneticPr fontId="7"/>
  </si>
  <si>
    <t>ベルーナ3　23春⑩</t>
    <rPh sb="8" eb="9">
      <t>ハル</t>
    </rPh>
    <phoneticPr fontId="7"/>
  </si>
  <si>
    <t>ディノス同梱リーフレット23年4月6P</t>
    <rPh sb="4" eb="6">
      <t>ドウコン</t>
    </rPh>
    <rPh sb="14" eb="15">
      <t>ネン</t>
    </rPh>
    <rPh sb="16" eb="17">
      <t>ガツ</t>
    </rPh>
    <phoneticPr fontId="7"/>
  </si>
  <si>
    <t>4/1～</t>
    <phoneticPr fontId="7"/>
  </si>
  <si>
    <t>ディノス23盛夏6Pセット</t>
    <rPh sb="6" eb="8">
      <t>セイカ</t>
    </rPh>
    <phoneticPr fontId="7"/>
  </si>
  <si>
    <t>ディノス　23春6P⑧</t>
    <rPh sb="7" eb="8">
      <t>ハル</t>
    </rPh>
    <phoneticPr fontId="7"/>
  </si>
  <si>
    <t>夢販</t>
    <rPh sb="0" eb="2">
      <t>ユメハン</t>
    </rPh>
    <phoneticPr fontId="7"/>
  </si>
  <si>
    <t>ベルーナ3　23春⑪</t>
    <rPh sb="8" eb="9">
      <t>ハル</t>
    </rPh>
    <phoneticPr fontId="7"/>
  </si>
  <si>
    <t>日生協３月０２号　東日本①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</si>
  <si>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（未開封シール）①</t>
    </r>
    <rPh sb="9" eb="10">
      <t>ゴウ</t>
    </rPh>
    <rPh sb="11" eb="14">
      <t>ミカイフウ</t>
    </rPh>
    <phoneticPr fontId="7"/>
  </si>
  <si>
    <t>ベルーナ3　23春⑫</t>
    <rPh sb="8" eb="9">
      <t>ハル</t>
    </rPh>
    <phoneticPr fontId="7"/>
  </si>
  <si>
    <t>ディノス　23春6P⑨</t>
    <rPh sb="7" eb="8">
      <t>ハル</t>
    </rPh>
    <phoneticPr fontId="7"/>
  </si>
  <si>
    <t>ディノス　23春6P⑩</t>
    <rPh sb="7" eb="8">
      <t>ハル</t>
    </rPh>
    <phoneticPr fontId="7"/>
  </si>
  <si>
    <t>日生協３月０２号　西日本①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</si>
  <si>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日生協３月０２号　東日本②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</si>
  <si>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ベルーナ3　23春⑬</t>
    <rPh sb="8" eb="9">
      <t>ハル</t>
    </rPh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</si>
  <si>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（未開封シール）②</t>
    </r>
    <rPh sb="9" eb="10">
      <t>ゴウ</t>
    </rPh>
    <rPh sb="11" eb="14">
      <t>ミカイフウ</t>
    </rPh>
    <phoneticPr fontId="7"/>
  </si>
  <si>
    <t>ディノスオブライフ23年夏6P</t>
    <rPh sb="11" eb="12">
      <t>ネン</t>
    </rPh>
    <rPh sb="12" eb="13">
      <t>ナツ</t>
    </rPh>
    <phoneticPr fontId="7"/>
  </si>
  <si>
    <t>5/中～</t>
    <rPh sb="2" eb="3">
      <t>ナカ</t>
    </rPh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</si>
  <si>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（未開封シール）</t>
    </r>
    <rPh sb="9" eb="10">
      <t>ゴウ</t>
    </rPh>
    <rPh sb="11" eb="14">
      <t>ミカイフウ</t>
    </rPh>
    <phoneticPr fontId="7"/>
  </si>
  <si>
    <t>ベルーナ3　23春⑭</t>
    <rPh sb="8" eb="9">
      <t>ハル</t>
    </rPh>
    <phoneticPr fontId="7"/>
  </si>
  <si>
    <r>
      <t>グリーンコープ50号</t>
    </r>
    <r>
      <rPr>
        <b/>
        <sz val="11"/>
        <rFont val="ＭＳ Ｐゴシック"/>
        <family val="3"/>
        <charset val="128"/>
      </rPr>
      <t>（未開封シール）③</t>
    </r>
    <rPh sb="9" eb="10">
      <t>ゴウ</t>
    </rPh>
    <rPh sb="11" eb="14">
      <t>ミカイフウ</t>
    </rPh>
    <phoneticPr fontId="7"/>
  </si>
  <si>
    <t>全国通販4月号提案sample返却</t>
    <rPh sb="0" eb="4">
      <t>ゼンコクツウハン</t>
    </rPh>
    <rPh sb="5" eb="9">
      <t>ガツゴウテイアン</t>
    </rPh>
    <rPh sb="15" eb="17">
      <t>ヘンキャク</t>
    </rPh>
    <phoneticPr fontId="7"/>
  </si>
  <si>
    <t>ベルーナ3　23春⑮</t>
    <rPh sb="8" eb="9">
      <t>ハル</t>
    </rPh>
    <phoneticPr fontId="7"/>
  </si>
  <si>
    <t>JOD特別版0416/6P</t>
    <rPh sb="3" eb="5">
      <t>トクベツ</t>
    </rPh>
    <rPh sb="5" eb="6">
      <t>バン</t>
    </rPh>
    <phoneticPr fontId="7"/>
  </si>
  <si>
    <t>4/15～</t>
    <phoneticPr fontId="7"/>
  </si>
  <si>
    <t>全国通販納前検品sample</t>
    <rPh sb="0" eb="6">
      <t>ゼンコクツウハンノウマエ</t>
    </rPh>
    <rPh sb="6" eb="8">
      <t>ケンピン</t>
    </rPh>
    <phoneticPr fontId="7"/>
  </si>
  <si>
    <t>日生協３月０２号　西日本②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</si>
  <si>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日生協３月０２号　東日本③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</si>
  <si>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ベルーナ3　23春⑯</t>
    <rPh sb="8" eb="9">
      <t>ハル</t>
    </rPh>
    <phoneticPr fontId="7"/>
  </si>
  <si>
    <t>日生協３月０２号　西日本③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</si>
  <si>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日生協３月０２号　東日本④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</si>
  <si>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日生協３月０２号　西日本④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</si>
  <si>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全国通販2262号健康と暮らし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</si>
  <si>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6/2～</t>
    <phoneticPr fontId="7"/>
  </si>
  <si>
    <t>日生協３月０２号　東日本⑤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</si>
  <si>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日生協３月０２号　東日本⑥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</si>
  <si>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アテニア６月納品</t>
    <rPh sb="5" eb="6">
      <t>ガツ</t>
    </rPh>
    <rPh sb="6" eb="8">
      <t>ノウヒン</t>
    </rPh>
    <phoneticPr fontId="7"/>
  </si>
  <si>
    <t>6月～</t>
    <rPh sb="1" eb="2">
      <t>ガツ</t>
    </rPh>
    <phoneticPr fontId="7"/>
  </si>
  <si>
    <t>はぴねすくらぶ6月号/6枚組</t>
    <rPh sb="8" eb="10">
      <t>ガツゴウ</t>
    </rPh>
    <rPh sb="12" eb="14">
      <t>マイクミ</t>
    </rPh>
    <phoneticPr fontId="7"/>
  </si>
  <si>
    <t>6/7～</t>
    <phoneticPr fontId="7"/>
  </si>
  <si>
    <t>ベルーナ3　23春⑰</t>
    <rPh sb="8" eb="9">
      <t>ハル</t>
    </rPh>
    <phoneticPr fontId="7"/>
  </si>
  <si>
    <t>ディノス　23春6P⑪</t>
    <rPh sb="7" eb="8">
      <t>ハル</t>
    </rPh>
    <phoneticPr fontId="7"/>
  </si>
  <si>
    <t>ディノス　23春6P⑫</t>
    <rPh sb="7" eb="8">
      <t>ハル</t>
    </rPh>
    <phoneticPr fontId="7"/>
  </si>
  <si>
    <t>2023/4/3数伝</t>
    <rPh sb="8" eb="9">
      <t>スウ</t>
    </rPh>
    <rPh sb="9" eb="10">
      <t>デン</t>
    </rPh>
    <phoneticPr fontId="7"/>
  </si>
  <si>
    <t>在庫調整</t>
    <rPh sb="0" eb="4">
      <t>ザイコチョウセイ</t>
    </rPh>
    <phoneticPr fontId="3"/>
  </si>
  <si>
    <t>サクラマチsample</t>
    <phoneticPr fontId="7"/>
  </si>
  <si>
    <t>ベルーナ3　23春⑱</t>
    <rPh sb="8" eb="9">
      <t>ハル</t>
    </rPh>
    <phoneticPr fontId="7"/>
  </si>
  <si>
    <t>アテニア撮影用サンプル</t>
    <rPh sb="4" eb="7">
      <t>サツエイヨウ</t>
    </rPh>
    <phoneticPr fontId="7"/>
  </si>
  <si>
    <t>JOD特別版0519/6P</t>
    <rPh sb="3" eb="5">
      <t>トクベツ</t>
    </rPh>
    <rPh sb="5" eb="6">
      <t>バン</t>
    </rPh>
    <phoneticPr fontId="7"/>
  </si>
  <si>
    <t>5/18～</t>
    <phoneticPr fontId="7"/>
  </si>
  <si>
    <t>ディノスオブライフ23年夏差分予測</t>
    <rPh sb="11" eb="12">
      <t>ネン</t>
    </rPh>
    <rPh sb="12" eb="13">
      <t>ナツ</t>
    </rPh>
    <rPh sb="13" eb="17">
      <t>サブンヨソク</t>
    </rPh>
    <phoneticPr fontId="7"/>
  </si>
  <si>
    <t>毎日が発見5月号①</t>
    <rPh sb="0" eb="2">
      <t>マイニチ</t>
    </rPh>
    <rPh sb="3" eb="5">
      <t>ハッケン</t>
    </rPh>
    <rPh sb="6" eb="8">
      <t>ガツゴウ</t>
    </rPh>
    <phoneticPr fontId="7"/>
  </si>
  <si>
    <t>ベルーナ3　23春⑲</t>
    <rPh sb="8" eb="9">
      <t>ハル</t>
    </rPh>
    <phoneticPr fontId="7"/>
  </si>
  <si>
    <t>JOD</t>
    <phoneticPr fontId="7"/>
  </si>
  <si>
    <t>全国通販2272号健康と暮らし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</si>
  <si>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6/30～</t>
    <phoneticPr fontId="7"/>
  </si>
  <si>
    <t>ベルーナ3　23春⑳</t>
    <rPh sb="8" eb="9">
      <t>ハル</t>
    </rPh>
    <phoneticPr fontId="7"/>
  </si>
  <si>
    <t>日生協8月27号</t>
    <rPh sb="0" eb="3">
      <t>ニッセイキョウ</t>
    </rPh>
    <rPh sb="4" eb="5">
      <t>ガツ</t>
    </rPh>
    <rPh sb="7" eb="8">
      <t>ゴウ</t>
    </rPh>
    <phoneticPr fontId="7"/>
  </si>
  <si>
    <t>点8/25、前取9/1、アバウト9/5・12、最終9/20</t>
    <rPh sb="0" eb="1">
      <t>テン</t>
    </rPh>
    <rPh sb="6" eb="8">
      <t>マエト</t>
    </rPh>
    <rPh sb="23" eb="25">
      <t>サイシュウ</t>
    </rPh>
    <phoneticPr fontId="7"/>
  </si>
  <si>
    <t>日生協8月27号差分予測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</si>
  <si>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過入荷分</t>
    <rPh sb="0" eb="3">
      <t>カニュウカ</t>
    </rPh>
    <rPh sb="3" eb="4">
      <t>ブン</t>
    </rPh>
    <phoneticPr fontId="3"/>
  </si>
  <si>
    <t>ベルーナ3　23春㉑</t>
    <rPh sb="8" eb="9">
      <t>ハル</t>
    </rPh>
    <phoneticPr fontId="7"/>
  </si>
  <si>
    <t>夢販</t>
    <rPh sb="0" eb="2">
      <t>ユメハン</t>
    </rPh>
    <phoneticPr fontId="7"/>
  </si>
  <si>
    <t>2023/5/1数伝</t>
    <rPh sb="8" eb="9">
      <t>スウ</t>
    </rPh>
    <rPh sb="9" eb="10">
      <t>デン</t>
    </rPh>
    <phoneticPr fontId="7"/>
  </si>
  <si>
    <t>ベルーナ3　23春㉒</t>
    <rPh sb="8" eb="9">
      <t>ハル</t>
    </rPh>
    <phoneticPr fontId="7"/>
  </si>
  <si>
    <t>くらし返品予定</t>
    <rPh sb="3" eb="7">
      <t>ヘンピンヨテイ</t>
    </rPh>
    <phoneticPr fontId="3"/>
  </si>
  <si>
    <t>7月</t>
    <rPh sb="1" eb="2">
      <t>ガツ</t>
    </rPh>
    <phoneticPr fontId="7"/>
  </si>
  <si>
    <t>ベルーナ3　23春㉓</t>
    <rPh sb="8" eb="9">
      <t>ハル</t>
    </rPh>
    <phoneticPr fontId="7"/>
  </si>
  <si>
    <t>ベルーナ3　23春㉔</t>
    <rPh sb="8" eb="9">
      <t>ハル</t>
    </rPh>
    <phoneticPr fontId="7"/>
  </si>
  <si>
    <t>ディノス　23春6P⑬</t>
    <rPh sb="7" eb="8">
      <t>ハル</t>
    </rPh>
    <phoneticPr fontId="7"/>
  </si>
  <si>
    <t>グリーンコープ8月差分予測</t>
    <rPh sb="8" eb="9">
      <t>ガツ</t>
    </rPh>
    <rPh sb="9" eb="11">
      <t>サブン</t>
    </rPh>
    <rPh sb="11" eb="13">
      <t>ヨソク</t>
    </rPh>
    <phoneticPr fontId="7"/>
  </si>
  <si>
    <t>ディノス　23春6P⑭</t>
    <rPh sb="7" eb="8">
      <t>ハル</t>
    </rPh>
    <phoneticPr fontId="7"/>
  </si>
  <si>
    <t>ディノス23盛夏6Pセット①</t>
    <rPh sb="6" eb="8">
      <t>セイカ</t>
    </rPh>
    <phoneticPr fontId="7"/>
  </si>
  <si>
    <t>ベルーナ3　23春㉕</t>
    <rPh sb="8" eb="9">
      <t>ハル</t>
    </rPh>
    <phoneticPr fontId="7"/>
  </si>
  <si>
    <t>ディノス23盛夏6Pセット②</t>
    <rPh sb="6" eb="8">
      <t>セイカ</t>
    </rPh>
    <phoneticPr fontId="7"/>
  </si>
  <si>
    <t>ベルーナ3　23春㉖</t>
    <rPh sb="8" eb="9">
      <t>ハル</t>
    </rPh>
    <phoneticPr fontId="7"/>
  </si>
  <si>
    <t>ディノス23盛夏6Pセット③</t>
    <rPh sb="6" eb="8">
      <t>セイカ</t>
    </rPh>
    <phoneticPr fontId="7"/>
  </si>
  <si>
    <t>ディノス23盛夏6Pセット④</t>
    <rPh sb="6" eb="8">
      <t>セイカ</t>
    </rPh>
    <phoneticPr fontId="7"/>
  </si>
  <si>
    <t>ディノス23盛夏6Pセット⑤</t>
    <rPh sb="6" eb="8">
      <t>セイカ</t>
    </rPh>
    <phoneticPr fontId="7"/>
  </si>
  <si>
    <t>点8/8、アバウト8/15、本8/17、21</t>
    <rPh sb="0" eb="1">
      <t>テン</t>
    </rPh>
    <rPh sb="14" eb="15">
      <t>ホン</t>
    </rPh>
    <phoneticPr fontId="7"/>
  </si>
  <si>
    <t>グリーンコープ8月22号特価3800</t>
    <rPh sb="8" eb="9">
      <t>ガツ</t>
    </rPh>
    <rPh sb="11" eb="12">
      <t>ゴウ</t>
    </rPh>
    <rPh sb="12" eb="14">
      <t>トッカ</t>
    </rPh>
    <phoneticPr fontId="7"/>
  </si>
  <si>
    <t>7/10～</t>
    <phoneticPr fontId="7"/>
  </si>
  <si>
    <t>ベルーナ3　23春㉗</t>
    <rPh sb="8" eb="9">
      <t>ハル</t>
    </rPh>
    <phoneticPr fontId="7"/>
  </si>
  <si>
    <t>JOD</t>
    <phoneticPr fontId="7"/>
  </si>
  <si>
    <t>電話注文</t>
    <rPh sb="0" eb="4">
      <t>デンワチュウモン</t>
    </rPh>
    <phoneticPr fontId="7"/>
  </si>
  <si>
    <t>はぴねすくらぶ6月号/6枚組①</t>
    <rPh sb="8" eb="10">
      <t>ガツゴウ</t>
    </rPh>
    <rPh sb="12" eb="14">
      <t>マイクミ</t>
    </rPh>
    <phoneticPr fontId="7"/>
  </si>
  <si>
    <t>毎日が発見5月号②</t>
    <rPh sb="0" eb="2">
      <t>マイニチ</t>
    </rPh>
    <rPh sb="3" eb="5">
      <t>ハッケン</t>
    </rPh>
    <rPh sb="6" eb="8">
      <t>ガツゴウ</t>
    </rPh>
    <phoneticPr fontId="7"/>
  </si>
  <si>
    <t>8月（カタログ計画数内で対応）</t>
    <rPh sb="1" eb="2">
      <t>ガツ</t>
    </rPh>
    <rPh sb="7" eb="10">
      <t>ケイカクスウ</t>
    </rPh>
    <rPh sb="10" eb="11">
      <t>ナイ</t>
    </rPh>
    <rPh sb="12" eb="14">
      <t>タイオウ</t>
    </rPh>
    <phoneticPr fontId="7"/>
  </si>
  <si>
    <t>ディノス23盛夏6Pセット⑥</t>
    <rPh sb="6" eb="8">
      <t>セイカ</t>
    </rPh>
    <phoneticPr fontId="7"/>
  </si>
  <si>
    <t>7/5～</t>
    <phoneticPr fontId="7"/>
  </si>
  <si>
    <t>JOD特別版0706/6P</t>
    <rPh sb="3" eb="6">
      <t>トクベツバン</t>
    </rPh>
    <phoneticPr fontId="7"/>
  </si>
  <si>
    <t>ディノス23盛夏6Pセット⑦</t>
    <rPh sb="6" eb="8">
      <t>セイカ</t>
    </rPh>
    <phoneticPr fontId="7"/>
  </si>
  <si>
    <t>ディノス23盛夏6Pセット⑧</t>
    <rPh sb="6" eb="8">
      <t>セイカ</t>
    </rPh>
    <phoneticPr fontId="7"/>
  </si>
  <si>
    <t>2023/6/6数伝</t>
    <rPh sb="8" eb="9">
      <t>スウ</t>
    </rPh>
    <rPh sb="9" eb="10">
      <t>デン</t>
    </rPh>
    <phoneticPr fontId="7"/>
  </si>
  <si>
    <t>はぴねすくらぶ6月号/6枚組②</t>
    <rPh sb="8" eb="10">
      <t>ガツゴウ</t>
    </rPh>
    <rPh sb="12" eb="14">
      <t>マイクミ</t>
    </rPh>
    <phoneticPr fontId="7"/>
  </si>
  <si>
    <t>毎日が発見5月号③</t>
    <rPh sb="0" eb="2">
      <t>マイニチ</t>
    </rPh>
    <rPh sb="3" eb="5">
      <t>ハッケン</t>
    </rPh>
    <rPh sb="6" eb="8">
      <t>ガツゴウ</t>
    </rPh>
    <phoneticPr fontId="7"/>
  </si>
  <si>
    <t>はぴねすくらぶ6月号/6枚組③</t>
    <rPh sb="8" eb="10">
      <t>ガツゴウ</t>
    </rPh>
    <rPh sb="12" eb="14">
      <t>マイクミ</t>
    </rPh>
    <phoneticPr fontId="7"/>
  </si>
  <si>
    <t>ベルーナ3　23春㉘</t>
    <rPh sb="8" eb="9">
      <t>ハル</t>
    </rPh>
    <phoneticPr fontId="7"/>
  </si>
  <si>
    <t>JODメルシー0725/6P</t>
    <phoneticPr fontId="7"/>
  </si>
  <si>
    <t>7/25～</t>
    <phoneticPr fontId="7"/>
  </si>
  <si>
    <t>アテニア６月納品②</t>
    <rPh sb="5" eb="6">
      <t>ガツ</t>
    </rPh>
    <rPh sb="6" eb="8">
      <t>ノウヒン</t>
    </rPh>
    <phoneticPr fontId="7"/>
  </si>
  <si>
    <t>アテニア６月納品③</t>
    <rPh sb="5" eb="6">
      <t>ガツ</t>
    </rPh>
    <rPh sb="6" eb="8">
      <t>ノウヒン</t>
    </rPh>
    <phoneticPr fontId="7"/>
  </si>
  <si>
    <t>アテニア６月納品①</t>
    <rPh sb="5" eb="6">
      <t>ガツ</t>
    </rPh>
    <rPh sb="6" eb="8">
      <t>ノウヒン</t>
    </rPh>
    <phoneticPr fontId="7"/>
  </si>
  <si>
    <t>はぴねすくらぶ6月号/6枚組④</t>
    <rPh sb="8" eb="10">
      <t>ガツゴウ</t>
    </rPh>
    <rPh sb="12" eb="14">
      <t>マイクミ</t>
    </rPh>
    <phoneticPr fontId="7"/>
  </si>
  <si>
    <t>6/22時点</t>
    <rPh sb="4" eb="6">
      <t>ジテン</t>
    </rPh>
    <phoneticPr fontId="7"/>
  </si>
  <si>
    <t>かりん</t>
    <phoneticPr fontId="7"/>
  </si>
  <si>
    <t>ベルーナ3　23春㉙</t>
    <rPh sb="8" eb="9">
      <t>ハル</t>
    </rPh>
    <phoneticPr fontId="7"/>
  </si>
  <si>
    <t>ベルーナ3　23春㉚</t>
    <rPh sb="8" eb="9">
      <t>ハル</t>
    </rPh>
    <phoneticPr fontId="7"/>
  </si>
  <si>
    <t>アテニア</t>
    <phoneticPr fontId="7"/>
  </si>
  <si>
    <t>JOD特別版0726/6P</t>
    <rPh sb="3" eb="6">
      <t>トクベツバン</t>
    </rPh>
    <phoneticPr fontId="7"/>
  </si>
  <si>
    <t>ディノス23盛夏6Pセット⑨</t>
    <rPh sb="6" eb="8">
      <t>セイカ</t>
    </rPh>
    <phoneticPr fontId="7"/>
  </si>
  <si>
    <t>ディノス23盛夏6Pセット⑩</t>
    <rPh sb="6" eb="8">
      <t>セイカ</t>
    </rPh>
    <phoneticPr fontId="7"/>
  </si>
  <si>
    <t>はぴねすくらぶ6月号/6枚組⑤</t>
    <rPh sb="8" eb="10">
      <t>ガツゴウ</t>
    </rPh>
    <rPh sb="12" eb="14">
      <t>マイクミ</t>
    </rPh>
    <phoneticPr fontId="7"/>
  </si>
  <si>
    <t>全国通販②</t>
    <rPh sb="0" eb="4">
      <t>ゼンコクツウハン</t>
    </rPh>
    <phoneticPr fontId="7"/>
  </si>
  <si>
    <t>全国通販③</t>
    <rPh sb="0" eb="4">
      <t>ゼンコクツウハン</t>
    </rPh>
    <phoneticPr fontId="7"/>
  </si>
  <si>
    <t>全国通販④</t>
    <rPh sb="0" eb="4">
      <t>ゼンコクツウハン</t>
    </rPh>
    <phoneticPr fontId="7"/>
  </si>
  <si>
    <t>２０２４年　３月～</t>
    <rPh sb="4" eb="5">
      <t>ネン</t>
    </rPh>
    <rPh sb="7" eb="8">
      <t>ガツ</t>
    </rPh>
    <phoneticPr fontId="7"/>
  </si>
  <si>
    <t>はぴねすくらぶ6月号/6枚組⑥</t>
    <rPh sb="8" eb="10">
      <t>ガツゴウ</t>
    </rPh>
    <rPh sb="12" eb="14">
      <t>マイクミ</t>
    </rPh>
    <phoneticPr fontId="7"/>
  </si>
  <si>
    <t>ベルーナ3　23春㉛</t>
    <rPh sb="8" eb="9">
      <t>ハル</t>
    </rPh>
    <phoneticPr fontId="7"/>
  </si>
  <si>
    <t>IEI使ヨカ7月号　6色組（濃色＆淡色）①</t>
    <rPh sb="3" eb="4">
      <t>ツカ</t>
    </rPh>
    <rPh sb="7" eb="9">
      <t>ガツゴウ</t>
    </rPh>
    <rPh sb="11" eb="12">
      <t>ショク</t>
    </rPh>
    <rPh sb="12" eb="13">
      <t>クミ</t>
    </rPh>
    <rPh sb="14" eb="16">
      <t>ノウショク</t>
    </rPh>
    <rPh sb="17" eb="19">
      <t>タンショク</t>
    </rPh>
    <phoneticPr fontId="7"/>
  </si>
  <si>
    <t>全国通販⑤</t>
    <rPh sb="0" eb="4">
      <t>ゼンコクツウハン</t>
    </rPh>
    <phoneticPr fontId="7"/>
  </si>
  <si>
    <t>ベルーナ3　23春㉜</t>
    <rPh sb="8" eb="9">
      <t>ハル</t>
    </rPh>
    <phoneticPr fontId="7"/>
  </si>
  <si>
    <t>全国通販⑥</t>
    <rPh sb="0" eb="4">
      <t>ゼンコクツウハン</t>
    </rPh>
    <phoneticPr fontId="7"/>
  </si>
  <si>
    <t>ベルーナ3　23春㉝</t>
    <rPh sb="8" eb="9">
      <t>ハル</t>
    </rPh>
    <phoneticPr fontId="7"/>
  </si>
  <si>
    <t>全国通販⑦</t>
    <rPh sb="0" eb="4">
      <t>ゼンコクツウハン</t>
    </rPh>
    <phoneticPr fontId="7"/>
  </si>
  <si>
    <t>全国通販⑧</t>
    <rPh sb="0" eb="4">
      <t>ゼンコクツウハン</t>
    </rPh>
    <phoneticPr fontId="7"/>
  </si>
  <si>
    <t>ディノス23盛夏6Pセット⑪</t>
    <rPh sb="6" eb="8">
      <t>セイカ</t>
    </rPh>
    <phoneticPr fontId="7"/>
  </si>
  <si>
    <t>JOD</t>
    <phoneticPr fontId="7"/>
  </si>
  <si>
    <t>はぴねすくらぶ6月号/6枚組⑦</t>
    <rPh sb="8" eb="10">
      <t>ガツゴウ</t>
    </rPh>
    <rPh sb="12" eb="14">
      <t>マイクミ</t>
    </rPh>
    <phoneticPr fontId="7"/>
  </si>
  <si>
    <t>在庫調整</t>
    <rPh sb="0" eb="2">
      <t>ザイコ</t>
    </rPh>
    <rPh sb="2" eb="4">
      <t>チョウセイ</t>
    </rPh>
    <phoneticPr fontId="3"/>
  </si>
  <si>
    <t>ベルーナ3　23春㉞</t>
    <rPh sb="8" eb="9">
      <t>ハル</t>
    </rPh>
    <phoneticPr fontId="7"/>
  </si>
  <si>
    <t>過入荷分</t>
    <rPh sb="0" eb="4">
      <t>カニュウカブン</t>
    </rPh>
    <phoneticPr fontId="3"/>
  </si>
  <si>
    <t>IEI使ヨカ7月号　6色組（濃色＆淡色）②</t>
    <rPh sb="3" eb="4">
      <t>ツカ</t>
    </rPh>
    <rPh sb="7" eb="9">
      <t>ガツゴウ</t>
    </rPh>
    <rPh sb="11" eb="12">
      <t>ショク</t>
    </rPh>
    <rPh sb="12" eb="13">
      <t>クミ</t>
    </rPh>
    <rPh sb="14" eb="16">
      <t>ノウショク</t>
    </rPh>
    <rPh sb="17" eb="19">
      <t>タンショク</t>
    </rPh>
    <phoneticPr fontId="7"/>
  </si>
  <si>
    <r>
      <t>IEI使ヨカ7月号　</t>
    </r>
    <r>
      <rPr>
        <b/>
        <sz val="11"/>
        <rFont val="ＭＳ Ｐゴシック"/>
        <family val="3"/>
        <charset val="128"/>
      </rPr>
      <t>6色組</t>
    </r>
    <r>
      <rPr>
        <sz val="11"/>
        <rFont val="ＭＳ Ｐゴシック"/>
        <family val="3"/>
        <charset val="128"/>
      </rPr>
      <t>（濃色＆淡色）</t>
    </r>
    <rPh sb="3" eb="4">
      <t>ツカ</t>
    </rPh>
    <rPh sb="7" eb="9">
      <t>ガツゴウ</t>
    </rPh>
    <rPh sb="11" eb="12">
      <t>ショク</t>
    </rPh>
    <rPh sb="12" eb="13">
      <t>クミ</t>
    </rPh>
    <rPh sb="14" eb="16">
      <t>ノウショク</t>
    </rPh>
    <rPh sb="17" eb="19">
      <t>タンショク</t>
    </rPh>
    <phoneticPr fontId="7"/>
  </si>
  <si>
    <t>2023/7/21済伝</t>
    <rPh sb="9" eb="10">
      <t>スミ</t>
    </rPh>
    <rPh sb="10" eb="11">
      <t>デン</t>
    </rPh>
    <phoneticPr fontId="7"/>
  </si>
  <si>
    <t>JOD</t>
    <phoneticPr fontId="7"/>
  </si>
  <si>
    <t>全国通販⑨</t>
    <rPh sb="0" eb="4">
      <t>ゼンコクツウハン</t>
    </rPh>
    <phoneticPr fontId="7"/>
  </si>
  <si>
    <t>IEI使ヨカ7月号　6色組（濃色＆淡色）③</t>
    <rPh sb="3" eb="4">
      <t>ツカ</t>
    </rPh>
    <rPh sb="7" eb="9">
      <t>ガツゴウ</t>
    </rPh>
    <rPh sb="11" eb="12">
      <t>ショク</t>
    </rPh>
    <rPh sb="12" eb="13">
      <t>クミ</t>
    </rPh>
    <rPh sb="14" eb="16">
      <t>ノウショク</t>
    </rPh>
    <rPh sb="17" eb="19">
      <t>タンショク</t>
    </rPh>
    <phoneticPr fontId="7"/>
  </si>
  <si>
    <t>かりん</t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</si>
  <si>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7月TV同梱リーフレット</t>
    </r>
    <r>
      <rPr>
        <sz val="11"/>
        <rFont val="ＭＳ Ｐゴシック"/>
        <family val="3"/>
        <charset val="128"/>
        <scheme val="minor"/>
      </rPr>
      <t>6Pセット</t>
    </r>
    <rPh sb="5" eb="6">
      <t>ガツ</t>
    </rPh>
    <phoneticPr fontId="7"/>
  </si>
  <si>
    <t>全国通販⑩</t>
    <rPh sb="0" eb="4">
      <t>ゼンコクツウハン</t>
    </rPh>
    <phoneticPr fontId="7"/>
  </si>
  <si>
    <t>はぴねすくらぶ6月号/6枚組⑧</t>
    <rPh sb="8" eb="10">
      <t>ガツゴウ</t>
    </rPh>
    <rPh sb="12" eb="14">
      <t>マイクミ</t>
    </rPh>
    <phoneticPr fontId="7"/>
  </si>
  <si>
    <t>グリーンコープ8月22号特価3800①</t>
    <rPh sb="8" eb="9">
      <t>ガツ</t>
    </rPh>
    <rPh sb="11" eb="12">
      <t>ゴウ</t>
    </rPh>
    <rPh sb="12" eb="14">
      <t>トッカ</t>
    </rPh>
    <phoneticPr fontId="7"/>
  </si>
  <si>
    <t>M@873</t>
  </si>
  <si>
    <t>L@873</t>
  </si>
  <si>
    <t>LL@873</t>
  </si>
  <si>
    <t>3Ｌ@960</t>
  </si>
  <si>
    <t>JOD</t>
    <phoneticPr fontId="7"/>
  </si>
  <si>
    <t>全国通販⑪</t>
    <rPh sb="0" eb="4">
      <t>ゼンコクツウハン</t>
    </rPh>
    <phoneticPr fontId="7"/>
  </si>
  <si>
    <t>はぴねすくらぶ6月号/6枚組⑨</t>
    <rPh sb="8" eb="10">
      <t>ガツゴウ</t>
    </rPh>
    <rPh sb="12" eb="14">
      <t>マイクミ</t>
    </rPh>
    <phoneticPr fontId="7"/>
  </si>
  <si>
    <t>ディノス24年春リーフレット6Pセット</t>
    <rPh sb="6" eb="7">
      <t>ネン</t>
    </rPh>
    <rPh sb="7" eb="8">
      <t>ハル</t>
    </rPh>
    <phoneticPr fontId="7"/>
  </si>
  <si>
    <t>1/12～7/7</t>
    <phoneticPr fontId="7"/>
  </si>
  <si>
    <t>グリーンコープ8月22号特価3800②</t>
    <rPh sb="8" eb="9">
      <t>ガツ</t>
    </rPh>
    <rPh sb="11" eb="12">
      <t>ゴウ</t>
    </rPh>
    <rPh sb="12" eb="14">
      <t>トッカ</t>
    </rPh>
    <phoneticPr fontId="7"/>
  </si>
  <si>
    <t>K-PORT</t>
    <phoneticPr fontId="7"/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</si>
  <si>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</si>
  <si>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6Pセット①</t>
    </r>
    <rPh sb="5" eb="6">
      <t>ガツ</t>
    </rPh>
    <phoneticPr fontId="7"/>
  </si>
  <si>
    <t>グリーンコープ8月22号特価3800③</t>
    <rPh sb="8" eb="9">
      <t>ガツ</t>
    </rPh>
    <rPh sb="11" eb="12">
      <t>ゴウ</t>
    </rPh>
    <rPh sb="12" eb="14">
      <t>トッカ</t>
    </rPh>
    <phoneticPr fontId="7"/>
  </si>
  <si>
    <t>はぴねすくらぶ6月号/6枚組⑩</t>
    <rPh sb="8" eb="10">
      <t>ガツゴウ</t>
    </rPh>
    <rPh sb="12" eb="14">
      <t>マイクミ</t>
    </rPh>
    <phoneticPr fontId="7"/>
  </si>
  <si>
    <t>全国通販⑫</t>
    <rPh sb="0" eb="4">
      <t>ゼンコクツウハン</t>
    </rPh>
    <phoneticPr fontId="7"/>
  </si>
  <si>
    <t>日生協8月27号(東日本）①</t>
    <rPh sb="0" eb="3">
      <t>ニッセイキョウ</t>
    </rPh>
    <rPh sb="4" eb="5">
      <t>ガツ</t>
    </rPh>
    <rPh sb="7" eb="8">
      <t>ゴウ</t>
    </rPh>
    <rPh sb="9" eb="12">
      <t>ヒガシニホン</t>
    </rPh>
    <phoneticPr fontId="7"/>
  </si>
  <si>
    <t>IEI交換</t>
    <rPh sb="3" eb="5">
      <t>コウカン</t>
    </rPh>
    <phoneticPr fontId="7"/>
  </si>
  <si>
    <t>全国通販⑬</t>
    <rPh sb="0" eb="4">
      <t>ゼンコクツウハン</t>
    </rPh>
    <phoneticPr fontId="7"/>
  </si>
  <si>
    <t>日生協8月27号東日本②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</si>
  <si>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日生協8月27号西日本①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</si>
  <si>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全国通販⑭</t>
    <rPh sb="0" eb="4">
      <t>ゼンコクツウハン</t>
    </rPh>
    <phoneticPr fontId="7"/>
  </si>
  <si>
    <t>電話注文</t>
    <rPh sb="0" eb="4">
      <t>デンワチュウモン</t>
    </rPh>
    <phoneticPr fontId="7"/>
  </si>
  <si>
    <t>全国通販⑮</t>
    <rPh sb="0" eb="4">
      <t>ゼンコクツウハン</t>
    </rPh>
    <phoneticPr fontId="7"/>
  </si>
  <si>
    <t>全国通販⑯</t>
    <rPh sb="0" eb="4">
      <t>ゼンコクツウハン</t>
    </rPh>
    <phoneticPr fontId="7"/>
  </si>
  <si>
    <t>日生協8月27号西日本②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</si>
  <si>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日生協8月27号東日本③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</si>
  <si>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</t>
    </r>
    <rPh sb="5" eb="6">
      <t>ガツ</t>
    </rPh>
    <phoneticPr fontId="7"/>
  </si>
  <si>
    <t>IEI交換</t>
    <rPh sb="3" eb="5">
      <t>コウカン</t>
    </rPh>
    <phoneticPr fontId="7"/>
  </si>
  <si>
    <t>2023/9/6数伝</t>
    <rPh sb="8" eb="10">
      <t>スウデン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</si>
  <si>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6Pセット②</t>
    </r>
    <rPh sb="5" eb="6">
      <t>ガツ</t>
    </rPh>
    <phoneticPr fontId="7"/>
  </si>
  <si>
    <t>はぴねすくらぶ6月号/6枚組⑪</t>
    <rPh sb="8" eb="10">
      <t>ガツゴウ</t>
    </rPh>
    <rPh sb="12" eb="14">
      <t>マイクミ</t>
    </rPh>
    <phoneticPr fontId="7"/>
  </si>
  <si>
    <t>日生協8月27号西日本③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</si>
  <si>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全国通販納前検品sample返却</t>
    <rPh sb="0" eb="6">
      <t>ゼンコクツウハンノウマエ</t>
    </rPh>
    <rPh sb="6" eb="8">
      <t>ケンピン</t>
    </rPh>
    <rPh sb="14" eb="16">
      <t>ヘンキャク</t>
    </rPh>
    <phoneticPr fontId="7"/>
  </si>
  <si>
    <t>かりん</t>
    <phoneticPr fontId="7"/>
  </si>
  <si>
    <t>IEI返品</t>
    <rPh sb="3" eb="5">
      <t>ヘンピン</t>
    </rPh>
    <phoneticPr fontId="3"/>
  </si>
  <si>
    <t>日生協8月27号東日本④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</si>
  <si>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日生協8月27号東日本⑤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</si>
  <si>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電話注文</t>
    <rPh sb="0" eb="4">
      <t>デンワチュウモン</t>
    </rPh>
    <phoneticPr fontId="7"/>
  </si>
  <si>
    <t>ネット</t>
    <phoneticPr fontId="7"/>
  </si>
  <si>
    <t>全国通販⑰</t>
    <rPh sb="0" eb="4">
      <t>ゼンコクツウハン</t>
    </rPh>
    <phoneticPr fontId="7"/>
  </si>
  <si>
    <t>全国通販W074（佐橋さん）</t>
    <rPh sb="0" eb="4">
      <t>ゼンコクツウハン</t>
    </rPh>
    <rPh sb="9" eb="11">
      <t>サハシ</t>
    </rPh>
    <phoneticPr fontId="7"/>
  </si>
  <si>
    <t>10/25～12/31</t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</si>
  <si>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6Pセット④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</si>
  <si>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6Pセット③</t>
    </r>
    <rPh sb="5" eb="6">
      <t>ガツ</t>
    </rPh>
    <phoneticPr fontId="7"/>
  </si>
  <si>
    <t>12/2～</t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</si>
  <si>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6Pセット⑤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</si>
  <si>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6Pセット⑥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</si>
  <si>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6Pセット⑦</t>
    </r>
    <rPh sb="5" eb="6">
      <t>ガツ</t>
    </rPh>
    <phoneticPr fontId="7"/>
  </si>
  <si>
    <t>はぴねす返品</t>
    <rPh sb="4" eb="6">
      <t>ヘンピン</t>
    </rPh>
    <phoneticPr fontId="3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</si>
  <si>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6Pセット⑧</t>
    </r>
    <rPh sb="5" eb="6">
      <t>ガツ</t>
    </rPh>
    <phoneticPr fontId="7"/>
  </si>
  <si>
    <t>全国通販⑱</t>
    <rPh sb="0" eb="4">
      <t>ゼンコクツウハン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</si>
  <si>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6Pセット⑨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</si>
  <si>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6Pセット⑩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</si>
  <si>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6Pセット⑪誤配</t>
    </r>
    <rPh sb="5" eb="6">
      <t>ガツ</t>
    </rPh>
    <rPh sb="20" eb="22">
      <t>ゴハイ</t>
    </rPh>
    <phoneticPr fontId="7"/>
  </si>
  <si>
    <t>全国通販⑲</t>
    <rPh sb="0" eb="4">
      <t>ゼンコクツウハン</t>
    </rPh>
    <phoneticPr fontId="7"/>
  </si>
  <si>
    <t>全国通販⑳</t>
    <rPh sb="0" eb="4">
      <t>ゼンコクツウハン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</si>
  <si>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6Pセット⑫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</si>
  <si>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6Pセット⑬</t>
    </r>
    <rPh sb="5" eb="6">
      <t>ガツ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</si>
  <si>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8月同梱リーフレット</t>
    </r>
    <r>
      <rPr>
        <sz val="11"/>
        <rFont val="ＭＳ Ｐゴシック"/>
        <family val="3"/>
        <charset val="128"/>
        <scheme val="minor"/>
      </rPr>
      <t>6Pセット⑭</t>
    </r>
    <rPh sb="5" eb="6">
      <t>ガツ</t>
    </rPh>
    <phoneticPr fontId="7"/>
  </si>
  <si>
    <t>日生協3月2号</t>
    <rPh sb="0" eb="3">
      <t>ニッセイキョウ</t>
    </rPh>
    <rPh sb="4" eb="5">
      <t>ガツ</t>
    </rPh>
    <rPh sb="6" eb="7">
      <t>ゴウ</t>
    </rPh>
    <phoneticPr fontId="7"/>
  </si>
  <si>
    <t>日生協3月2号差分予測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7"/>
  </si>
  <si>
    <t>点3/1、前取3/8、アバウト3/12・19、最終3/27</t>
    <rPh sb="0" eb="1">
      <t>テン</t>
    </rPh>
    <rPh sb="5" eb="7">
      <t>マエトリ</t>
    </rPh>
    <rPh sb="23" eb="25">
      <t>サイシュウ</t>
    </rPh>
    <phoneticPr fontId="7"/>
  </si>
  <si>
    <r>
      <t>IEI使ってヨカッタ12月号</t>
    </r>
    <r>
      <rPr>
        <b/>
        <sz val="11"/>
        <rFont val="ＭＳ Ｐゴシック"/>
        <family val="3"/>
        <charset val="128"/>
      </rPr>
      <t>6色組①</t>
    </r>
    <rPh sb="3" eb="4">
      <t>ツカ</t>
    </rPh>
    <rPh sb="12" eb="14">
      <t>ガツゴウ</t>
    </rPh>
    <rPh sb="15" eb="16">
      <t>ショク</t>
    </rPh>
    <rPh sb="16" eb="17">
      <t>クミ</t>
    </rPh>
    <phoneticPr fontId="7"/>
  </si>
  <si>
    <t>全国通販㉑</t>
    <rPh sb="0" eb="4">
      <t>ゼンコクツウハン</t>
    </rPh>
    <phoneticPr fontId="7"/>
  </si>
  <si>
    <t>K-PORT</t>
    <phoneticPr fontId="3"/>
  </si>
  <si>
    <t>全国通販㉒</t>
    <rPh sb="0" eb="4">
      <t>ゼンコクツウハン</t>
    </rPh>
    <phoneticPr fontId="7"/>
  </si>
  <si>
    <t>全国通販㉓</t>
    <rPh sb="0" eb="4">
      <t>ゼンコクツウハン</t>
    </rPh>
    <phoneticPr fontId="7"/>
  </si>
  <si>
    <r>
      <t>IEI使ってヨカッタ12月号</t>
    </r>
    <r>
      <rPr>
        <b/>
        <sz val="11"/>
        <rFont val="ＭＳ Ｐゴシック"/>
        <family val="3"/>
        <charset val="128"/>
      </rPr>
      <t>6色組</t>
    </r>
    <rPh sb="3" eb="4">
      <t>ツカ</t>
    </rPh>
    <rPh sb="12" eb="14">
      <t>ガツゴウ</t>
    </rPh>
    <rPh sb="15" eb="16">
      <t>ショク</t>
    </rPh>
    <rPh sb="16" eb="17">
      <t>クミ</t>
    </rPh>
    <phoneticPr fontId="7"/>
  </si>
  <si>
    <t>全国通販㉔</t>
    <rPh sb="0" eb="4">
      <t>ゼンコクツウハン</t>
    </rPh>
    <phoneticPr fontId="7"/>
  </si>
  <si>
    <t>全国通販㉕</t>
    <rPh sb="0" eb="4">
      <t>ゼンコクツウハン</t>
    </rPh>
    <phoneticPr fontId="7"/>
  </si>
  <si>
    <t>ディノス24年春リーフレット6Pセット①</t>
    <rPh sb="6" eb="7">
      <t>ネン</t>
    </rPh>
    <rPh sb="7" eb="8">
      <t>ハル</t>
    </rPh>
    <phoneticPr fontId="7"/>
  </si>
  <si>
    <t>ディノス24年春リーフレット6Pセット②</t>
    <rPh sb="6" eb="7">
      <t>ネン</t>
    </rPh>
    <rPh sb="7" eb="8">
      <t>ハル</t>
    </rPh>
    <phoneticPr fontId="7"/>
  </si>
  <si>
    <t>ディノス24年春リーフレット6Pセット③</t>
    <rPh sb="6" eb="7">
      <t>ネン</t>
    </rPh>
    <rPh sb="7" eb="8">
      <t>ハル</t>
    </rPh>
    <phoneticPr fontId="7"/>
  </si>
  <si>
    <t>JODアクセス7099/6枚組</t>
    <rPh sb="13" eb="15">
      <t>マイクミ</t>
    </rPh>
    <phoneticPr fontId="7"/>
  </si>
  <si>
    <t>2/19～</t>
    <phoneticPr fontId="7"/>
  </si>
  <si>
    <t>ディノス24年春リーフレット6Pセット④</t>
    <rPh sb="6" eb="7">
      <t>ネン</t>
    </rPh>
    <rPh sb="7" eb="8">
      <t>ハル</t>
    </rPh>
    <phoneticPr fontId="7"/>
  </si>
  <si>
    <t>ディノス24年春リーフレット6Pセット⑤</t>
    <rPh sb="6" eb="7">
      <t>ネン</t>
    </rPh>
    <rPh sb="7" eb="8">
      <t>ハル</t>
    </rPh>
    <phoneticPr fontId="7"/>
  </si>
  <si>
    <t>ディノス24年春リーフレット6Pセット⑥</t>
    <rPh sb="6" eb="7">
      <t>ネン</t>
    </rPh>
    <rPh sb="7" eb="8">
      <t>ハル</t>
    </rPh>
    <phoneticPr fontId="7"/>
  </si>
  <si>
    <t>ディノス24年春リーフレット6Pセット⑦</t>
    <rPh sb="6" eb="7">
      <t>ネン</t>
    </rPh>
    <rPh sb="7" eb="8">
      <t>ハル</t>
    </rPh>
    <phoneticPr fontId="7"/>
  </si>
  <si>
    <t>ディノス24年春リーフレット6Pセット⑧</t>
    <rPh sb="6" eb="7">
      <t>ネン</t>
    </rPh>
    <rPh sb="7" eb="8">
      <t>ハル</t>
    </rPh>
    <phoneticPr fontId="7"/>
  </si>
  <si>
    <t>ディノス24年春リーフレット6Pセット⑨</t>
    <rPh sb="6" eb="7">
      <t>ネン</t>
    </rPh>
    <rPh sb="7" eb="8">
      <t>ハル</t>
    </rPh>
    <phoneticPr fontId="7"/>
  </si>
  <si>
    <t>かりん</t>
    <phoneticPr fontId="7"/>
  </si>
  <si>
    <t>ディノス24年春リーフレット6Pセット⑩</t>
    <rPh sb="6" eb="7">
      <t>ネン</t>
    </rPh>
    <rPh sb="7" eb="8">
      <t>ハル</t>
    </rPh>
    <phoneticPr fontId="7"/>
  </si>
  <si>
    <t>JOD特別版0319/6枚組</t>
    <rPh sb="3" eb="6">
      <t>トクベツバン</t>
    </rPh>
    <rPh sb="12" eb="14">
      <t>マイクミ</t>
    </rPh>
    <phoneticPr fontId="7"/>
  </si>
  <si>
    <t>3/18～</t>
    <phoneticPr fontId="7"/>
  </si>
  <si>
    <t>ディノス24年春リーフレット6Pセット⑪</t>
    <rPh sb="6" eb="7">
      <t>ネン</t>
    </rPh>
    <rPh sb="7" eb="8">
      <t>ハル</t>
    </rPh>
    <phoneticPr fontId="7"/>
  </si>
  <si>
    <t>ディノス24年春リーフレット6Pセット⑫</t>
    <rPh sb="6" eb="7">
      <t>ネン</t>
    </rPh>
    <rPh sb="7" eb="8">
      <t>ハル</t>
    </rPh>
    <phoneticPr fontId="7"/>
  </si>
  <si>
    <t>ディノス24年春リーフレット6Pセット⑬</t>
    <rPh sb="6" eb="7">
      <t>ネン</t>
    </rPh>
    <rPh sb="7" eb="8">
      <t>ハル</t>
    </rPh>
    <phoneticPr fontId="7"/>
  </si>
  <si>
    <t>2024/2/6済伝</t>
    <rPh sb="8" eb="9">
      <t>スミ</t>
    </rPh>
    <rPh sb="9" eb="10">
      <t>デン</t>
    </rPh>
    <phoneticPr fontId="7"/>
  </si>
  <si>
    <t>JOD</t>
    <phoneticPr fontId="7"/>
  </si>
  <si>
    <t>IE返品</t>
    <rPh sb="2" eb="4">
      <t>ヘンピン</t>
    </rPh>
    <phoneticPr fontId="3"/>
  </si>
  <si>
    <t>JODメルシー0406/6枚組</t>
    <rPh sb="13" eb="15">
      <t>マイクミ</t>
    </rPh>
    <phoneticPr fontId="7"/>
  </si>
  <si>
    <t>4/6～</t>
    <phoneticPr fontId="7"/>
  </si>
  <si>
    <t>電話注文</t>
    <rPh sb="0" eb="4">
      <t>デンワチュウモン</t>
    </rPh>
    <phoneticPr fontId="7"/>
  </si>
  <si>
    <t>日生協3月2号東日本①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</si>
  <si>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日生協3月2号西日本①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</si>
  <si>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日生協3月2号東日本②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</si>
  <si>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K-PORT</t>
    <phoneticPr fontId="7"/>
  </si>
  <si>
    <t>全国通販返品</t>
    <rPh sb="0" eb="6">
      <t>ゼンコクツウハンヘンピン</t>
    </rPh>
    <phoneticPr fontId="3"/>
  </si>
  <si>
    <t>JOD特別号R9894/6枚組</t>
    <rPh sb="3" eb="5">
      <t>トクベツ</t>
    </rPh>
    <rPh sb="5" eb="6">
      <t>ゴウ</t>
    </rPh>
    <rPh sb="13" eb="15">
      <t>マイクミ</t>
    </rPh>
    <phoneticPr fontId="7"/>
  </si>
  <si>
    <t>4/3～</t>
    <phoneticPr fontId="7"/>
  </si>
  <si>
    <t>かりん</t>
    <phoneticPr fontId="7"/>
  </si>
  <si>
    <t>ディノス24年春リーフレット6Pセット⑭</t>
    <rPh sb="6" eb="7">
      <t>ネン</t>
    </rPh>
    <rPh sb="7" eb="8">
      <t>ハル</t>
    </rPh>
    <phoneticPr fontId="7"/>
  </si>
  <si>
    <t>ディノス24年春リーフレット6Pセット⑮</t>
    <rPh sb="6" eb="7">
      <t>ネン</t>
    </rPh>
    <rPh sb="7" eb="8">
      <t>ハル</t>
    </rPh>
    <phoneticPr fontId="7"/>
  </si>
  <si>
    <t>日生協3月2号西日本②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</si>
  <si>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日生協3月2号東日本③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</si>
  <si>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ディノス5月夏お悩み対策チラシ6Pセット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</si>
  <si>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4/30～10/31</t>
    <phoneticPr fontId="7"/>
  </si>
  <si>
    <t>日生協3月2号西日本③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</si>
  <si>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日生協3月2号東日本④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</si>
  <si>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日生協3月2号東日本⑤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</si>
  <si>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日生協3月2号東日本⑥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</si>
  <si>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JOD特別版0519/6枚組</t>
    <rPh sb="3" eb="6">
      <t>トクベツバン</t>
    </rPh>
    <rPh sb="12" eb="14">
      <t>マイクミ</t>
    </rPh>
    <phoneticPr fontId="7"/>
  </si>
  <si>
    <t>KPORT</t>
    <phoneticPr fontId="7"/>
  </si>
  <si>
    <t>かりん</t>
    <phoneticPr fontId="7"/>
  </si>
  <si>
    <t>ディノス24年春リーフレット6Pセット⑯</t>
    <rPh sb="6" eb="7">
      <t>ネン</t>
    </rPh>
    <rPh sb="7" eb="8">
      <t>ハル</t>
    </rPh>
    <phoneticPr fontId="7"/>
  </si>
  <si>
    <t>ディノス24年春リーフレット6Pセット⑰</t>
    <rPh sb="6" eb="7">
      <t>ネン</t>
    </rPh>
    <rPh sb="7" eb="8">
      <t>ハル</t>
    </rPh>
    <phoneticPr fontId="7"/>
  </si>
  <si>
    <t>ディノス5月夏お悩み対策チラシ6Pセット①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</si>
  <si>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ディノス5月夏お悩み対策チラシ6Pセット②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</si>
  <si>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電話注文</t>
    <rPh sb="0" eb="4">
      <t>デンワチュウモン</t>
    </rPh>
    <phoneticPr fontId="7"/>
  </si>
  <si>
    <t>くらし企画（パル）sample</t>
    <rPh sb="3" eb="5">
      <t>キカク</t>
    </rPh>
    <phoneticPr fontId="7"/>
  </si>
  <si>
    <t>全国通販</t>
    <rPh sb="0" eb="4">
      <t>ゼンコクツウハン</t>
    </rPh>
    <phoneticPr fontId="7"/>
  </si>
  <si>
    <t>ディノス5月夏お悩み対策チラシ6Pセット③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</si>
  <si>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JODメルシー0624/6枚組</t>
    <rPh sb="13" eb="15">
      <t>マイクミ</t>
    </rPh>
    <phoneticPr fontId="7"/>
  </si>
  <si>
    <t>ディノス5月夏お悩み対策チラシ6Pセット④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</si>
  <si>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ディノス5月夏お悩み対策チラシ6Pセット⑤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</si>
  <si>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ディノス5月夏お悩み対策チラシ6Pセット⑥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</si>
  <si>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ディノス5月夏お悩み対策チラシ6Pセット⑦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</si>
  <si>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くらし企画返品</t>
    <rPh sb="3" eb="7">
      <t>キカクヘンピン</t>
    </rPh>
    <phoneticPr fontId="3"/>
  </si>
  <si>
    <t>JOD特別版0726/6枚組</t>
    <rPh sb="3" eb="6">
      <t>トクベツバン</t>
    </rPh>
    <rPh sb="12" eb="14">
      <t>マイクミ</t>
    </rPh>
    <phoneticPr fontId="7"/>
  </si>
  <si>
    <t>JODアクセス7003/6枚組</t>
    <rPh sb="13" eb="15">
      <t>マイクミ</t>
    </rPh>
    <phoneticPr fontId="7"/>
  </si>
  <si>
    <t>8/17～</t>
    <phoneticPr fontId="7"/>
  </si>
  <si>
    <t>かりん</t>
    <phoneticPr fontId="7"/>
  </si>
  <si>
    <t>ディノス5月夏お悩み対策チラシ6Pセット⑧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</si>
  <si>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ディノス5月夏お悩み対策チラシ6Pセット⑨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</si>
  <si>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JOD特別版0903/6枚組</t>
    <rPh sb="3" eb="6">
      <t>トクベツバン</t>
    </rPh>
    <rPh sb="12" eb="14">
      <t>マイクミ</t>
    </rPh>
    <phoneticPr fontId="7"/>
  </si>
  <si>
    <t>9/2～</t>
    <phoneticPr fontId="7"/>
  </si>
  <si>
    <t>JOD西濃</t>
    <rPh sb="3" eb="5">
      <t>セイノウ</t>
    </rPh>
    <phoneticPr fontId="7"/>
  </si>
  <si>
    <t>電話注文</t>
    <rPh sb="0" eb="4">
      <t>デンワチュウモン</t>
    </rPh>
    <phoneticPr fontId="7"/>
  </si>
  <si>
    <t>ディノス5月夏お悩み対策チラシ6Pセット⑩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</si>
  <si>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ディノス5月夏お悩み対策チラシ6Pセット⑪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</si>
  <si>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パルくらす11月3回</t>
    <rPh sb="7" eb="8">
      <t>ガツ</t>
    </rPh>
    <rPh sb="9" eb="10">
      <t>カイ</t>
    </rPh>
    <phoneticPr fontId="7"/>
  </si>
  <si>
    <t>パルくらす11月3回差分予測</t>
    <rPh sb="7" eb="8">
      <t>ガツ</t>
    </rPh>
    <rPh sb="9" eb="10">
      <t>カイ</t>
    </rPh>
    <rPh sb="10" eb="14">
      <t>サブンヨソク</t>
    </rPh>
    <phoneticPr fontId="7"/>
  </si>
  <si>
    <t>点10/31、アバウト・初回11/12、最終11/18</t>
    <rPh sb="0" eb="1">
      <t>テン</t>
    </rPh>
    <rPh sb="12" eb="14">
      <t>ショカイ</t>
    </rPh>
    <rPh sb="20" eb="22">
      <t>サイシュウ</t>
    </rPh>
    <phoneticPr fontId="7"/>
  </si>
  <si>
    <t>ディノス5月夏お悩み対策チラシ6Pセット⑫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</si>
  <si>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K-PORT</t>
    <phoneticPr fontId="7"/>
  </si>
  <si>
    <t>JODアクセス7004/6枚組</t>
    <rPh sb="13" eb="15">
      <t>マイクミ</t>
    </rPh>
    <phoneticPr fontId="7"/>
  </si>
  <si>
    <t>10/1～</t>
    <phoneticPr fontId="7"/>
  </si>
  <si>
    <t>JOD</t>
    <phoneticPr fontId="7"/>
  </si>
  <si>
    <t>ネット</t>
  </si>
  <si>
    <t>ディノス5月夏お悩み対策チラシ6Pセット⑬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</si>
  <si>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追加 1-1 8/26済</t>
    <rPh sb="0" eb="2">
      <t>ツイカ</t>
    </rPh>
    <rPh sb="11" eb="12">
      <t>スミ</t>
    </rPh>
    <phoneticPr fontId="3"/>
  </si>
  <si>
    <t>ディノス5月夏お悩み対策チラシ6Pセット⑭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</si>
  <si>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JOD特別版1027/6枚組</t>
    <rPh sb="3" eb="6">
      <t>トクベツバン</t>
    </rPh>
    <rPh sb="12" eb="14">
      <t>マイクミ</t>
    </rPh>
    <phoneticPr fontId="7"/>
  </si>
  <si>
    <t>10/26～</t>
    <phoneticPr fontId="7"/>
  </si>
  <si>
    <t>ディノス5月夏お悩み対策チラシ6Pセット⑮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</si>
  <si>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ディノス5月夏お悩み対策チラシ6Pセット⑯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</si>
  <si>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JOD</t>
    <phoneticPr fontId="7"/>
  </si>
  <si>
    <t>かりん</t>
    <phoneticPr fontId="7"/>
  </si>
  <si>
    <t>電話注文</t>
    <rPh sb="0" eb="4">
      <t>デンワチュウモン</t>
    </rPh>
    <phoneticPr fontId="7"/>
  </si>
  <si>
    <t>過入荷分</t>
    <rPh sb="0" eb="1">
      <t>カ</t>
    </rPh>
    <rPh sb="1" eb="3">
      <t>ニュウカ</t>
    </rPh>
    <rPh sb="3" eb="4">
      <t>ブン</t>
    </rPh>
    <phoneticPr fontId="3"/>
  </si>
  <si>
    <t>JOD特別号9513/6枚組</t>
    <rPh sb="3" eb="5">
      <t>トクベツ</t>
    </rPh>
    <rPh sb="5" eb="6">
      <t>ゴウ</t>
    </rPh>
    <rPh sb="12" eb="14">
      <t>マイクミ</t>
    </rPh>
    <phoneticPr fontId="7"/>
  </si>
  <si>
    <t>11/20～</t>
    <phoneticPr fontId="7"/>
  </si>
  <si>
    <t>2024/10/12数伝</t>
    <rPh sb="10" eb="11">
      <t>スウ</t>
    </rPh>
    <rPh sb="11" eb="12">
      <t>デン</t>
    </rPh>
    <phoneticPr fontId="7"/>
  </si>
  <si>
    <t>パルくらす11月3回①</t>
    <rPh sb="7" eb="8">
      <t>ガツ</t>
    </rPh>
    <rPh sb="9" eb="10">
      <t>カイ</t>
    </rPh>
    <phoneticPr fontId="7"/>
  </si>
  <si>
    <t>パルくらす2月2回</t>
    <rPh sb="6" eb="7">
      <t>ガツ</t>
    </rPh>
    <rPh sb="8" eb="9">
      <t>カイ</t>
    </rPh>
    <phoneticPr fontId="7"/>
  </si>
  <si>
    <t>パルくらす2月2回差分予測</t>
    <rPh sb="6" eb="7">
      <t>ガツ</t>
    </rPh>
    <rPh sb="8" eb="9">
      <t>カイ</t>
    </rPh>
    <rPh sb="9" eb="13">
      <t>サブンヨソク</t>
    </rPh>
    <phoneticPr fontId="7"/>
  </si>
  <si>
    <t>点1/23、アバウト・初回2/4、最終2/10</t>
    <rPh sb="0" eb="1">
      <t>テン</t>
    </rPh>
    <rPh sb="11" eb="13">
      <t>ショカイ</t>
    </rPh>
    <rPh sb="17" eb="19">
      <t>サイシュウ</t>
    </rPh>
    <phoneticPr fontId="7"/>
  </si>
  <si>
    <t>JOD</t>
    <phoneticPr fontId="7"/>
  </si>
  <si>
    <t>2023年10月～2024年10月</t>
    <rPh sb="4" eb="5">
      <t>ネン</t>
    </rPh>
    <rPh sb="7" eb="8">
      <t>ガツ</t>
    </rPh>
    <rPh sb="13" eb="14">
      <t>ネン</t>
    </rPh>
    <rPh sb="16" eb="17">
      <t>ガツ</t>
    </rPh>
    <phoneticPr fontId="7"/>
  </si>
  <si>
    <t>パルくらす11月3回②</t>
    <rPh sb="7" eb="8">
      <t>ガツ</t>
    </rPh>
    <rPh sb="9" eb="10">
      <t>カイ</t>
    </rPh>
    <phoneticPr fontId="7"/>
  </si>
  <si>
    <t>JOD</t>
    <phoneticPr fontId="7"/>
  </si>
  <si>
    <t>パルくらす11月3回③</t>
    <rPh sb="7" eb="8">
      <t>ガツ</t>
    </rPh>
    <rPh sb="9" eb="10">
      <t>カイ</t>
    </rPh>
    <phoneticPr fontId="7"/>
  </si>
  <si>
    <t>JOD</t>
    <phoneticPr fontId="7"/>
  </si>
  <si>
    <t>JOD特別版1225/6枚組</t>
    <rPh sb="3" eb="6">
      <t>トクベツバン</t>
    </rPh>
    <rPh sb="12" eb="14">
      <t>マイクミ</t>
    </rPh>
    <phoneticPr fontId="7"/>
  </si>
  <si>
    <t>12/24～</t>
    <phoneticPr fontId="7"/>
  </si>
  <si>
    <t>JOD特別号9520/6枚組</t>
    <rPh sb="3" eb="5">
      <t>トクベツ</t>
    </rPh>
    <rPh sb="5" eb="6">
      <t>ゴウ</t>
    </rPh>
    <rPh sb="12" eb="14">
      <t>マイクミ</t>
    </rPh>
    <phoneticPr fontId="7"/>
  </si>
  <si>
    <t>1/29～</t>
    <phoneticPr fontId="7"/>
  </si>
  <si>
    <t>JODプリマナ7277/6枚組</t>
    <rPh sb="13" eb="15">
      <t>マイクミ</t>
    </rPh>
    <phoneticPr fontId="7"/>
  </si>
  <si>
    <t>1/10～</t>
    <phoneticPr fontId="7"/>
  </si>
  <si>
    <t>点3/21、前取3/28、アバウト4/1、 4/8  最終4/16</t>
    <rPh sb="0" eb="1">
      <t>テン</t>
    </rPh>
    <rPh sb="6" eb="7">
      <t>マエ</t>
    </rPh>
    <rPh sb="7" eb="8">
      <t>ト</t>
    </rPh>
    <rPh sb="27" eb="29">
      <t>サイシュウ</t>
    </rPh>
    <phoneticPr fontId="7"/>
  </si>
  <si>
    <t>日生協3月4号限定\1980</t>
    <rPh sb="0" eb="3">
      <t>ニッセイキョウ</t>
    </rPh>
    <rPh sb="4" eb="5">
      <t>ガツ</t>
    </rPh>
    <rPh sb="6" eb="7">
      <t>ゴウ</t>
    </rPh>
    <rPh sb="7" eb="9">
      <t>ゲンテイ</t>
    </rPh>
    <phoneticPr fontId="7"/>
  </si>
  <si>
    <t>限定数引上げあり分</t>
    <rPh sb="0" eb="3">
      <t>ゲンテイスウ</t>
    </rPh>
    <rPh sb="3" eb="4">
      <t>ヒ</t>
    </rPh>
    <rPh sb="4" eb="5">
      <t>ア</t>
    </rPh>
    <rPh sb="8" eb="9">
      <t>ブン</t>
    </rPh>
    <phoneticPr fontId="7"/>
  </si>
  <si>
    <t>JODアクセス7007/6枚組</t>
    <rPh sb="13" eb="15">
      <t>マイクミ</t>
    </rPh>
    <phoneticPr fontId="7"/>
  </si>
  <si>
    <t>ハルメクアルファ</t>
    <phoneticPr fontId="7"/>
  </si>
  <si>
    <t>1/25ship</t>
    <phoneticPr fontId="7"/>
  </si>
  <si>
    <t>JOD特別版0226/6枚組</t>
    <rPh sb="3" eb="6">
      <t>トクベツバン</t>
    </rPh>
    <rPh sb="12" eb="14">
      <t>マイクミ</t>
    </rPh>
    <phoneticPr fontId="7"/>
  </si>
  <si>
    <t>2/25～</t>
    <phoneticPr fontId="7"/>
  </si>
  <si>
    <t>かりん</t>
    <phoneticPr fontId="7"/>
  </si>
  <si>
    <t>電話注文</t>
    <rPh sb="0" eb="4">
      <t>デンワチュウモン</t>
    </rPh>
    <phoneticPr fontId="7"/>
  </si>
  <si>
    <t>ディノス25夏リーフレット6枚組</t>
    <rPh sb="6" eb="7">
      <t>ナツ</t>
    </rPh>
    <rPh sb="14" eb="16">
      <t>マイクミ</t>
    </rPh>
    <phoneticPr fontId="7"/>
  </si>
  <si>
    <t>4/1～10/31</t>
    <phoneticPr fontId="7"/>
  </si>
  <si>
    <t>ディノス25夏リーフレット6枚組差分予測</t>
    <rPh sb="6" eb="7">
      <t>ナツ</t>
    </rPh>
    <rPh sb="14" eb="16">
      <t>マイクミ</t>
    </rPh>
    <rPh sb="16" eb="20">
      <t>サブンヨソク</t>
    </rPh>
    <phoneticPr fontId="7"/>
  </si>
  <si>
    <t>日生協3月4号限定\1980差分予測</t>
    <rPh sb="0" eb="3">
      <t>ニッセイキョウ</t>
    </rPh>
    <rPh sb="4" eb="5">
      <t>ガツ</t>
    </rPh>
    <rPh sb="6" eb="7">
      <t>ゴウ</t>
    </rPh>
    <rPh sb="7" eb="9">
      <t>ゲンテイ</t>
    </rPh>
    <rPh sb="14" eb="18">
      <t>サブンヨソク</t>
    </rPh>
    <phoneticPr fontId="7"/>
  </si>
  <si>
    <t>パルくらす2月2回①</t>
    <rPh sb="6" eb="7">
      <t>ガツ</t>
    </rPh>
    <rPh sb="8" eb="9">
      <t>カイ</t>
    </rPh>
    <phoneticPr fontId="7"/>
  </si>
  <si>
    <t>パルくらす2月2回②</t>
    <rPh sb="6" eb="7">
      <t>ガツ</t>
    </rPh>
    <rPh sb="8" eb="9">
      <t>カイ</t>
    </rPh>
    <phoneticPr fontId="7"/>
  </si>
  <si>
    <t>パルくらす2月2回③</t>
    <rPh sb="6" eb="7">
      <t>ガツ</t>
    </rPh>
    <rPh sb="8" eb="9">
      <t>カイ</t>
    </rPh>
    <phoneticPr fontId="7"/>
  </si>
  <si>
    <t>2025/2/5伝数</t>
    <rPh sb="8" eb="9">
      <t>デン</t>
    </rPh>
    <rPh sb="9" eb="10">
      <t>スウ</t>
    </rPh>
    <phoneticPr fontId="7"/>
  </si>
  <si>
    <t>パルくらす2月2回④</t>
    <rPh sb="6" eb="7">
      <t>ガツ</t>
    </rPh>
    <rPh sb="8" eb="9">
      <t>カイ</t>
    </rPh>
    <phoneticPr fontId="7"/>
  </si>
  <si>
    <t>ハルメクアルファ返品</t>
    <rPh sb="8" eb="10">
      <t>ヘンピン</t>
    </rPh>
    <phoneticPr fontId="3"/>
  </si>
  <si>
    <t>夢販</t>
    <rPh sb="0" eb="2">
      <t>ユメハン</t>
    </rPh>
    <phoneticPr fontId="7"/>
  </si>
  <si>
    <t>3Pへ</t>
    <phoneticPr fontId="7"/>
  </si>
  <si>
    <t>かりん</t>
    <phoneticPr fontId="7"/>
  </si>
  <si>
    <t>JOD特別版0326/6枚組</t>
    <rPh sb="3" eb="6">
      <t>トクベツバン</t>
    </rPh>
    <rPh sb="12" eb="14">
      <t>マイクミ</t>
    </rPh>
    <phoneticPr fontId="7"/>
  </si>
  <si>
    <t>3/25～</t>
    <phoneticPr fontId="7"/>
  </si>
  <si>
    <t>3/29ship</t>
    <phoneticPr fontId="7"/>
  </si>
  <si>
    <t>JOD特別号9528/6枚組</t>
    <rPh sb="3" eb="5">
      <t>トクベツ</t>
    </rPh>
    <rPh sb="5" eb="6">
      <t>ゴウ</t>
    </rPh>
    <rPh sb="12" eb="14">
      <t>マイクミ</t>
    </rPh>
    <phoneticPr fontId="7"/>
  </si>
  <si>
    <t>4/21～</t>
    <phoneticPr fontId="7"/>
  </si>
  <si>
    <t>ディノス25夏リーフレット6枚組①</t>
    <rPh sb="6" eb="7">
      <t>ナツ</t>
    </rPh>
    <rPh sb="14" eb="16">
      <t>マイクミ</t>
    </rPh>
    <phoneticPr fontId="7"/>
  </si>
  <si>
    <t>ディノス25夏リーフレット6枚組②</t>
    <rPh sb="6" eb="7">
      <t>ナツ</t>
    </rPh>
    <rPh sb="14" eb="16">
      <t>マイクミ</t>
    </rPh>
    <phoneticPr fontId="7"/>
  </si>
  <si>
    <t>日生協3月4号限定\1980東日本①</t>
    <rPh sb="0" eb="3">
      <t>ニッセイキョウ</t>
    </rPh>
    <rPh sb="4" eb="5">
      <t>ガツ</t>
    </rPh>
    <rPh sb="6" eb="7">
      <t>ゴウ</t>
    </rPh>
    <rPh sb="7" eb="9">
      <t>ゲンテイ</t>
    </rPh>
    <rPh sb="14" eb="17">
      <t>ヒガシニホン</t>
    </rPh>
    <phoneticPr fontId="7"/>
  </si>
  <si>
    <t>電話注文</t>
    <rPh sb="0" eb="4">
      <t>デンワチュウモン</t>
    </rPh>
    <phoneticPr fontId="7"/>
  </si>
  <si>
    <t>ネット</t>
    <phoneticPr fontId="7"/>
  </si>
  <si>
    <t>日生協3月4号限定\1980東日本②</t>
    <rPh sb="0" eb="3">
      <t>ニッセイキョウ</t>
    </rPh>
    <rPh sb="4" eb="5">
      <t>ガツ</t>
    </rPh>
    <rPh sb="6" eb="7">
      <t>ゴウ</t>
    </rPh>
    <rPh sb="7" eb="9">
      <t>ゲンテイ</t>
    </rPh>
    <rPh sb="14" eb="17">
      <t>ヒガシニホン</t>
    </rPh>
    <phoneticPr fontId="7"/>
  </si>
  <si>
    <t>JOD特別版0520/6枚組</t>
    <rPh sb="3" eb="5">
      <t>トクベツ</t>
    </rPh>
    <rPh sb="5" eb="6">
      <t>バン</t>
    </rPh>
    <rPh sb="12" eb="14">
      <t>マイクミ</t>
    </rPh>
    <phoneticPr fontId="7"/>
  </si>
  <si>
    <t>ディノス25夏リーフレット6枚組③</t>
    <rPh sb="6" eb="7">
      <t>ナツ</t>
    </rPh>
    <rPh sb="14" eb="16">
      <t>マイクミ</t>
    </rPh>
    <phoneticPr fontId="7"/>
  </si>
  <si>
    <t>2025/4/3伝数</t>
    <rPh sb="8" eb="9">
      <t>デン</t>
    </rPh>
    <rPh sb="9" eb="10">
      <t>スウ</t>
    </rPh>
    <phoneticPr fontId="7"/>
  </si>
  <si>
    <t>2025/4/7数伝</t>
    <rPh sb="8" eb="9">
      <t>スウ</t>
    </rPh>
    <rPh sb="9" eb="10">
      <t>デン</t>
    </rPh>
    <phoneticPr fontId="7"/>
  </si>
  <si>
    <t>日生協3月4号限定\1980東日本③</t>
    <rPh sb="0" eb="3">
      <t>ニッセイキョウ</t>
    </rPh>
    <rPh sb="4" eb="5">
      <t>ガツ</t>
    </rPh>
    <rPh sb="6" eb="7">
      <t>ゴウ</t>
    </rPh>
    <rPh sb="7" eb="9">
      <t>ゲンテイ</t>
    </rPh>
    <rPh sb="14" eb="17">
      <t>ヒガシニホン</t>
    </rPh>
    <phoneticPr fontId="7"/>
  </si>
  <si>
    <t>ディノス25夏リーフレット6枚組④</t>
    <rPh sb="6" eb="7">
      <t>ナツ</t>
    </rPh>
    <rPh sb="14" eb="16">
      <t>マイクミ</t>
    </rPh>
    <phoneticPr fontId="7"/>
  </si>
  <si>
    <t>ディノス25夏リーフレット6枚組⑤</t>
    <rPh sb="6" eb="7">
      <t>ナツ</t>
    </rPh>
    <rPh sb="14" eb="16">
      <t>マイクミ</t>
    </rPh>
    <phoneticPr fontId="7"/>
  </si>
  <si>
    <t>日生協3月4号限定\1980東日本④</t>
    <rPh sb="0" eb="3">
      <t>ニッセイキョウ</t>
    </rPh>
    <rPh sb="4" eb="5">
      <t>ガツ</t>
    </rPh>
    <rPh sb="6" eb="7">
      <t>ゴウ</t>
    </rPh>
    <rPh sb="7" eb="9">
      <t>ゲンテイ</t>
    </rPh>
    <rPh sb="14" eb="17">
      <t>ヒガシニホン</t>
    </rPh>
    <phoneticPr fontId="7"/>
  </si>
  <si>
    <t>ディノス25夏リーフレット6枚組⑥</t>
    <rPh sb="6" eb="7">
      <t>ナツ</t>
    </rPh>
    <rPh sb="14" eb="16">
      <t>マイクミ</t>
    </rPh>
    <phoneticPr fontId="7"/>
  </si>
  <si>
    <t>日生協3月4号限定\1980東日本⑤</t>
    <rPh sb="0" eb="3">
      <t>ニッセイキョウ</t>
    </rPh>
    <rPh sb="4" eb="5">
      <t>ガツ</t>
    </rPh>
    <rPh sb="6" eb="7">
      <t>ゴウ</t>
    </rPh>
    <rPh sb="7" eb="9">
      <t>ゲンテイ</t>
    </rPh>
    <rPh sb="14" eb="17">
      <t>ヒガシニホン</t>
    </rPh>
    <phoneticPr fontId="7"/>
  </si>
  <si>
    <t>ディノス25夏リーフレット6枚組⑦</t>
    <rPh sb="6" eb="7">
      <t>ナツ</t>
    </rPh>
    <rPh sb="14" eb="16">
      <t>マイクミ</t>
    </rPh>
    <phoneticPr fontId="7"/>
  </si>
  <si>
    <t>ディノス25夏リーフレット6枚組⑧</t>
    <rPh sb="6" eb="7">
      <t>ナツ</t>
    </rPh>
    <rPh sb="14" eb="16">
      <t>マイクミ</t>
    </rPh>
    <phoneticPr fontId="7"/>
  </si>
  <si>
    <t>JOD特別版0605/6枚組</t>
    <rPh sb="3" eb="5">
      <t>トクベツ</t>
    </rPh>
    <rPh sb="5" eb="6">
      <t>バン</t>
    </rPh>
    <rPh sb="12" eb="14">
      <t>マイクミ</t>
    </rPh>
    <phoneticPr fontId="7"/>
  </si>
  <si>
    <t>6/4～</t>
    <phoneticPr fontId="7"/>
  </si>
  <si>
    <t>JOD</t>
    <phoneticPr fontId="7"/>
  </si>
  <si>
    <t>ディノス25夏リーフレット6枚組⑨</t>
    <rPh sb="6" eb="7">
      <t>ナツ</t>
    </rPh>
    <rPh sb="14" eb="16">
      <t>マイクミ</t>
    </rPh>
    <phoneticPr fontId="7"/>
  </si>
  <si>
    <t>ディノス25夏リーフレット6枚組⑩</t>
    <rPh sb="6" eb="7">
      <t>ナツ</t>
    </rPh>
    <rPh sb="14" eb="16">
      <t>マイクミ</t>
    </rPh>
    <phoneticPr fontId="7"/>
  </si>
  <si>
    <t>ディノス25夏リーフレット6枚組⑪</t>
    <rPh sb="6" eb="7">
      <t>ナツ</t>
    </rPh>
    <rPh sb="14" eb="16">
      <t>マイクミ</t>
    </rPh>
    <phoneticPr fontId="7"/>
  </si>
  <si>
    <t>JOD</t>
    <phoneticPr fontId="7"/>
  </si>
  <si>
    <t>ディノス25夏リーフレット6枚組⑫</t>
    <rPh sb="6" eb="7">
      <t>ナツ</t>
    </rPh>
    <rPh sb="14" eb="16">
      <t>マイクミ</t>
    </rPh>
    <phoneticPr fontId="7"/>
  </si>
  <si>
    <t>ディノス25夏リーフレット6枚組⑬</t>
    <rPh sb="6" eb="7">
      <t>ナツ</t>
    </rPh>
    <rPh sb="14" eb="16">
      <t>マイクミ</t>
    </rPh>
    <phoneticPr fontId="7"/>
  </si>
  <si>
    <t>ディノス25夏リーフレット6枚組⑭</t>
    <rPh sb="6" eb="7">
      <t>ナツ</t>
    </rPh>
    <rPh sb="14" eb="16">
      <t>マイクミ</t>
    </rPh>
    <phoneticPr fontId="7"/>
  </si>
  <si>
    <t>ディノス25夏リーフレット6枚組⑮</t>
    <rPh sb="6" eb="7">
      <t>ナツ</t>
    </rPh>
    <rPh sb="14" eb="16">
      <t>マイクミ</t>
    </rPh>
    <phoneticPr fontId="7"/>
  </si>
  <si>
    <t>JODアクセス7010/6枚組</t>
    <rPh sb="13" eb="15">
      <t>マイクミ</t>
    </rPh>
    <phoneticPr fontId="7"/>
  </si>
  <si>
    <t>JOD</t>
    <phoneticPr fontId="7"/>
  </si>
  <si>
    <t>ハルメクアルファ</t>
    <phoneticPr fontId="7"/>
  </si>
  <si>
    <t>かりん</t>
    <phoneticPr fontId="7"/>
  </si>
  <si>
    <t>サクラマチ九州sample</t>
    <rPh sb="5" eb="7">
      <t>キュウシュウ</t>
    </rPh>
    <phoneticPr fontId="7"/>
  </si>
  <si>
    <t>ディノス25夏リーフレット6枚組⑯</t>
    <rPh sb="6" eb="7">
      <t>ナツ</t>
    </rPh>
    <rPh sb="14" eb="16">
      <t>マイクミ</t>
    </rPh>
    <phoneticPr fontId="7"/>
  </si>
  <si>
    <t>コープ九州10月2回</t>
    <rPh sb="3" eb="5">
      <t>キュウシュウ</t>
    </rPh>
    <rPh sb="7" eb="8">
      <t>ガツ</t>
    </rPh>
    <rPh sb="9" eb="10">
      <t>カイ</t>
    </rPh>
    <phoneticPr fontId="7"/>
  </si>
  <si>
    <t>コープ九州10月2回差分予測</t>
    <rPh sb="3" eb="5">
      <t>キュウシュウ</t>
    </rPh>
    <rPh sb="7" eb="8">
      <t>ガツ</t>
    </rPh>
    <rPh sb="9" eb="10">
      <t>カイ</t>
    </rPh>
    <rPh sb="10" eb="14">
      <t>サブンヨソク</t>
    </rPh>
    <phoneticPr fontId="7"/>
  </si>
  <si>
    <t>9/24～10/8</t>
    <phoneticPr fontId="7"/>
  </si>
  <si>
    <t>ディノス25夏リーフレット6枚組⑰</t>
    <rPh sb="6" eb="7">
      <t>ナツ</t>
    </rPh>
    <rPh sb="14" eb="16">
      <t>マイクミ</t>
    </rPh>
    <phoneticPr fontId="7"/>
  </si>
  <si>
    <t>サクラマチ九州sample返却</t>
    <rPh sb="5" eb="7">
      <t>キュウシュウ</t>
    </rPh>
    <rPh sb="13" eb="15">
      <t>ヘンキャク</t>
    </rPh>
    <phoneticPr fontId="7"/>
  </si>
  <si>
    <t>JODメルシー0901/6枚組</t>
    <rPh sb="13" eb="15">
      <t>マイクミ</t>
    </rPh>
    <phoneticPr fontId="7"/>
  </si>
  <si>
    <t>9/1～</t>
    <phoneticPr fontId="7"/>
  </si>
  <si>
    <t>夢販</t>
    <rPh sb="0" eb="2">
      <t>ユメハン</t>
    </rPh>
    <phoneticPr fontId="7"/>
  </si>
  <si>
    <t>ディノス25夏リーフレット6枚組⑱</t>
    <rPh sb="6" eb="7">
      <t>ナツ</t>
    </rPh>
    <rPh sb="14" eb="16">
      <t>マイクミ</t>
    </rPh>
    <phoneticPr fontId="7"/>
  </si>
  <si>
    <t>ディノス25夏リーフレット6枚組⑲</t>
    <rPh sb="6" eb="7">
      <t>ナツ</t>
    </rPh>
    <rPh sb="14" eb="16">
      <t>マイクミ</t>
    </rPh>
    <phoneticPr fontId="7"/>
  </si>
  <si>
    <t>ディノス25夏リーフレット6枚組⑳</t>
    <rPh sb="6" eb="7">
      <t>ナツ</t>
    </rPh>
    <rPh sb="14" eb="16">
      <t>マイクミ</t>
    </rPh>
    <phoneticPr fontId="7"/>
  </si>
  <si>
    <t>ディノス25夏リーフレット6枚組㉑</t>
    <rPh sb="6" eb="7">
      <t>ナツ</t>
    </rPh>
    <rPh sb="14" eb="16">
      <t>マイクミ</t>
    </rPh>
    <phoneticPr fontId="7"/>
  </si>
  <si>
    <t>ディノス25夏リーフレット6枚組㉒</t>
    <rPh sb="6" eb="7">
      <t>ナツ</t>
    </rPh>
    <rPh sb="14" eb="16">
      <t>マイクミ</t>
    </rPh>
    <phoneticPr fontId="7"/>
  </si>
  <si>
    <t>かりん</t>
    <phoneticPr fontId="7"/>
  </si>
  <si>
    <t>ディノス25夏リーフレット6枚組㉓</t>
    <rPh sb="6" eb="7">
      <t>ナツ</t>
    </rPh>
    <rPh sb="14" eb="16">
      <t>マイクミ</t>
    </rPh>
    <phoneticPr fontId="7"/>
  </si>
  <si>
    <t>ディノス25夏リーフレット6枚組㉔</t>
    <rPh sb="6" eb="7">
      <t>ナツ</t>
    </rPh>
    <rPh sb="14" eb="16">
      <t>マイクミ</t>
    </rPh>
    <phoneticPr fontId="7"/>
  </si>
  <si>
    <t>コープ九州10月2回①</t>
    <rPh sb="3" eb="5">
      <t>キュウシュウ</t>
    </rPh>
    <rPh sb="7" eb="8">
      <t>ガツ</t>
    </rPh>
    <rPh sb="9" eb="10">
      <t>カイ</t>
    </rPh>
    <phoneticPr fontId="7"/>
  </si>
  <si>
    <t>ディノス25夏リーフレット6枚組㉕</t>
    <rPh sb="6" eb="7">
      <t>ナツ</t>
    </rPh>
    <rPh sb="14" eb="16">
      <t>マイクミ</t>
    </rPh>
    <phoneticPr fontId="7"/>
  </si>
  <si>
    <t>ディノスD-BEAUTY26新春号</t>
    <rPh sb="14" eb="17">
      <t>シンシュンゴウ</t>
    </rPh>
    <phoneticPr fontId="7"/>
  </si>
  <si>
    <t>ディノスD-BEAUTY26新春号差分予測</t>
    <rPh sb="14" eb="17">
      <t>シンシュンゴウ</t>
    </rPh>
    <rPh sb="17" eb="21">
      <t>サブンヨソク</t>
    </rPh>
    <phoneticPr fontId="7"/>
  </si>
  <si>
    <t>夢販</t>
    <rPh sb="0" eb="2">
      <t>ユメハン</t>
    </rPh>
    <phoneticPr fontId="7"/>
  </si>
  <si>
    <t>JODメルシー1126/6枚組</t>
    <rPh sb="13" eb="15">
      <t>マイクミ</t>
    </rPh>
    <phoneticPr fontId="7"/>
  </si>
  <si>
    <t>11/26～</t>
    <phoneticPr fontId="7"/>
  </si>
  <si>
    <t>夢販</t>
    <rPh sb="0" eb="2">
      <t>ユメハン</t>
    </rPh>
    <phoneticPr fontId="7"/>
  </si>
  <si>
    <t>かりん</t>
    <phoneticPr fontId="7"/>
  </si>
  <si>
    <t>ディノス25夏リーフレット6枚組㉖</t>
    <rPh sb="6" eb="7">
      <t>ナツ</t>
    </rPh>
    <rPh sb="14" eb="16">
      <t>マイクミ</t>
    </rPh>
    <phoneticPr fontId="7"/>
  </si>
  <si>
    <t>JODメルシー1224/6枚組</t>
    <rPh sb="13" eb="15">
      <t>マイクミ</t>
    </rPh>
    <phoneticPr fontId="7"/>
  </si>
  <si>
    <t>夢販</t>
    <rPh sb="0" eb="2">
      <t>ユメハン</t>
    </rPh>
    <phoneticPr fontId="7"/>
  </si>
  <si>
    <t>ディノスD-BEAUTY26新春号①</t>
    <rPh sb="14" eb="17">
      <t>シンシュンゴウ</t>
    </rPh>
    <phoneticPr fontId="7"/>
  </si>
  <si>
    <t>かりん</t>
    <phoneticPr fontId="7"/>
  </si>
  <si>
    <t>夢販</t>
    <rPh sb="0" eb="2">
      <t>y</t>
    </rPh>
    <phoneticPr fontId="7"/>
  </si>
  <si>
    <t>２０２５年１月～２０２５年１２月実績</t>
    <rPh sb="4" eb="5">
      <t>ネン</t>
    </rPh>
    <rPh sb="6" eb="7">
      <t>ガツ</t>
    </rPh>
    <rPh sb="12" eb="13">
      <t>ネン</t>
    </rPh>
    <rPh sb="15" eb="16">
      <t>ガツ</t>
    </rPh>
    <rPh sb="16" eb="18">
      <t>ジッセキ</t>
    </rPh>
    <phoneticPr fontId="7"/>
  </si>
  <si>
    <t>実績構成比</t>
    <rPh sb="0" eb="2">
      <t>ジッセキ</t>
    </rPh>
    <rPh sb="2" eb="5">
      <t>コウセイヒ</t>
    </rPh>
    <phoneticPr fontId="7"/>
  </si>
  <si>
    <t>在庫構成比</t>
    <rPh sb="0" eb="2">
      <t>ザイコ</t>
    </rPh>
    <rPh sb="2" eb="5">
      <t>コウセイヒ</t>
    </rPh>
    <phoneticPr fontId="7"/>
  </si>
  <si>
    <t>ディノスD-BEAUTY26新春号②</t>
    <rPh sb="14" eb="17">
      <t>シンシュンゴウ</t>
    </rPh>
    <phoneticPr fontId="7"/>
  </si>
  <si>
    <t>ゆめはん</t>
    <phoneticPr fontId="7"/>
  </si>
  <si>
    <t>ディノスD-BEAUTY26新春号③</t>
    <rPh sb="14" eb="17">
      <t>シンシュンゴウ</t>
    </rPh>
    <phoneticPr fontId="7"/>
  </si>
  <si>
    <t>ディノスD-BEAUTY26新春号④</t>
    <rPh sb="14" eb="17">
      <t>シンシュンゴウ</t>
    </rPh>
    <phoneticPr fontId="7"/>
  </si>
  <si>
    <t>ディノスD-BEAUTY26新春号⑤</t>
    <rPh sb="14" eb="17">
      <t>シンシュンゴウ</t>
    </rPh>
    <phoneticPr fontId="7"/>
  </si>
  <si>
    <t>ディノスD-BEAUTY26新春号⑥</t>
    <rPh sb="14" eb="17">
      <t>シンシュンゴウ</t>
    </rPh>
    <phoneticPr fontId="7"/>
  </si>
  <si>
    <t>ディノスD-BEAUTY26新春号⑦</t>
    <rPh sb="14" eb="17">
      <t>シンシュンゴウ</t>
    </rPh>
    <phoneticPr fontId="7"/>
  </si>
  <si>
    <t>ディノスD-BEAUTY26新春号⑧</t>
    <rPh sb="14" eb="17">
      <t>シンシュンゴウ</t>
    </rPh>
    <phoneticPr fontId="7"/>
  </si>
  <si>
    <t>12/26～6/30</t>
    <phoneticPr fontId="7"/>
  </si>
  <si>
    <t>JODアクセス7016/6枚組</t>
    <rPh sb="13" eb="15">
      <t>マイクミ</t>
    </rPh>
    <phoneticPr fontId="7"/>
  </si>
  <si>
    <t>ゆめはん</t>
    <phoneticPr fontId="7"/>
  </si>
  <si>
    <t>ディノスD-BEAUTY26新春号⑨</t>
    <rPh sb="14" eb="17">
      <t>シンシュンゴウ</t>
    </rPh>
    <phoneticPr fontId="7"/>
  </si>
  <si>
    <t>ディノスD-BEAUTY26新春号⑩</t>
    <rPh sb="14" eb="17">
      <t>シンシュンゴウ</t>
    </rPh>
    <phoneticPr fontId="7"/>
  </si>
  <si>
    <t>ディノスD-BEAUTY26新春号⑪</t>
    <rPh sb="14" eb="17">
      <t>シンシュンゴウ</t>
    </rPh>
    <phoneticPr fontId="7"/>
  </si>
  <si>
    <t>ディノスD-BEAUTY26新春号⑫</t>
    <rPh sb="14" eb="17">
      <t>シンシュンゴウ</t>
    </rPh>
    <phoneticPr fontId="7"/>
  </si>
  <si>
    <t>JOD</t>
    <phoneticPr fontId="7"/>
  </si>
  <si>
    <t>JOD特別版0416/6枚組</t>
    <rPh sb="3" eb="6">
      <t>トクベツバン</t>
    </rPh>
    <rPh sb="12" eb="14">
      <t>マイクミ</t>
    </rPh>
    <phoneticPr fontId="7"/>
  </si>
  <si>
    <t>JODプリマナ7283/6枚組</t>
    <rPh sb="13" eb="15">
      <t>マイクミ</t>
    </rPh>
    <phoneticPr fontId="7"/>
  </si>
  <si>
    <t>4/4～</t>
    <phoneticPr fontId="7"/>
  </si>
  <si>
    <t>JOD特別号9560/6枚組</t>
    <rPh sb="3" eb="5">
      <t>トクベツ</t>
    </rPh>
    <rPh sb="5" eb="6">
      <t>ゴウ</t>
    </rPh>
    <rPh sb="12" eb="14">
      <t>マイクミ</t>
    </rPh>
    <phoneticPr fontId="7"/>
  </si>
  <si>
    <t>ディノスD-BEAUTY26新春号⑬</t>
    <rPh sb="14" eb="17">
      <t>シンシュンゴウ</t>
    </rPh>
    <phoneticPr fontId="7"/>
  </si>
  <si>
    <t>ディノスD-BEAUTY26新春号⑭</t>
    <rPh sb="14" eb="17">
      <t>シンシュンゴウ</t>
    </rPh>
    <phoneticPr fontId="7"/>
  </si>
  <si>
    <t>ディノスD-BEAUTY26新春号⑮</t>
    <rPh sb="14" eb="17">
      <t>シンシュンゴウ</t>
    </rPh>
    <phoneticPr fontId="7"/>
  </si>
  <si>
    <t>ディノスD-BEAUTY26新春号⑯</t>
    <rPh sb="14" eb="17">
      <t>シンシュンゴウ</t>
    </rPh>
    <phoneticPr fontId="7"/>
  </si>
  <si>
    <t>ディノスD-BEAUTY26新春号⑰</t>
    <rPh sb="14" eb="17">
      <t>シンシュンゴウ</t>
    </rPh>
    <phoneticPr fontId="7"/>
  </si>
  <si>
    <t>ディノスD-BEAUTY26新春号⑱</t>
    <rPh sb="14" eb="17">
      <t>シンシュンゴウ</t>
    </rPh>
    <phoneticPr fontId="7"/>
  </si>
  <si>
    <t>ディノスD-BEAUTY26新春号⑲</t>
    <rPh sb="14" eb="17">
      <t>シンシュンゴウ</t>
    </rPh>
    <phoneticPr fontId="7"/>
  </si>
  <si>
    <t>JOD残</t>
    <rPh sb="3" eb="4">
      <t>ザン</t>
    </rPh>
    <phoneticPr fontId="7"/>
  </si>
  <si>
    <t>JOD</t>
    <phoneticPr fontId="7"/>
  </si>
  <si>
    <t>2026/4/17数伝</t>
    <rPh sb="9" eb="11">
      <t>スウデン</t>
    </rPh>
    <phoneticPr fontId="7"/>
  </si>
  <si>
    <t>JOD</t>
    <phoneticPr fontId="7"/>
  </si>
  <si>
    <t>9月～</t>
    <rPh sb="1" eb="2">
      <t>ガツ</t>
    </rPh>
    <phoneticPr fontId="7"/>
  </si>
  <si>
    <t>JODメルシー0603/6枚組</t>
    <rPh sb="13" eb="15">
      <t>マイクミ</t>
    </rPh>
    <phoneticPr fontId="7"/>
  </si>
  <si>
    <t>6/3～</t>
    <phoneticPr fontId="7"/>
  </si>
  <si>
    <t>ネット</t>
    <phoneticPr fontId="7"/>
  </si>
  <si>
    <t>ゆめはん</t>
    <phoneticPr fontId="7"/>
  </si>
  <si>
    <t>JOD</t>
    <phoneticPr fontId="7"/>
  </si>
  <si>
    <t>ハルメクアルファ3P</t>
    <phoneticPr fontId="7"/>
  </si>
  <si>
    <t>ハルメクアルファ6P</t>
    <phoneticPr fontId="7"/>
  </si>
  <si>
    <t>かりん</t>
    <phoneticPr fontId="7"/>
  </si>
  <si>
    <t>ディノスD-BEAUTY26新春号⑳</t>
    <rPh sb="14" eb="17">
      <t>シンシュンゴウ</t>
    </rPh>
    <phoneticPr fontId="7"/>
  </si>
  <si>
    <t>12/1???????????????</t>
    <phoneticPr fontId="7"/>
  </si>
  <si>
    <t>追加 1-1?????????????????????</t>
    <rPh sb="0" eb="2">
      <t>ツイカ</t>
    </rPh>
    <phoneticPr fontId="3"/>
  </si>
  <si>
    <t>2026/5/13数伝</t>
    <rPh sb="9" eb="11">
      <t>スウデン</t>
    </rPh>
    <phoneticPr fontId="7"/>
  </si>
  <si>
    <t>ディノスD-BEAUTY26新春号㉑</t>
    <rPh sb="14" eb="17">
      <t>シンシュンゴウ</t>
    </rPh>
    <phoneticPr fontId="7"/>
  </si>
  <si>
    <t>かりん</t>
    <phoneticPr fontId="7"/>
  </si>
  <si>
    <t>ディノスD-BEAUTY26新春号㉒</t>
    <rPh sb="14" eb="17">
      <t>シンシュンゴウ</t>
    </rPh>
    <phoneticPr fontId="7"/>
  </si>
  <si>
    <t>ディノスD-BEAUTY26新春号㉓</t>
    <rPh sb="14" eb="17">
      <t>シンシュンゴウ</t>
    </rPh>
    <phoneticPr fontId="7"/>
  </si>
  <si>
    <t>JODメルシー0723/6枚組</t>
    <rPh sb="13" eb="15">
      <t>マイクミ</t>
    </rPh>
    <phoneticPr fontId="7"/>
  </si>
  <si>
    <t>7/23～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</si>
</sst>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</font>
    <font>
      <b/>
      <sz val="18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79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5" fillId="0" borderId="5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0" xfId="2" applyFont="1"/>
    <xf numFmtId="0" fontId="11" fillId="0" borderId="0" xfId="0" applyFont="1">
      <alignment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9" xfId="2" applyBorder="1" applyAlignment="1">
      <alignment horizontal="center"/>
    </xf>
    <xf numFmtId="56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13" xfId="2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0" fontId="2" fillId="0" borderId="4" xfId="2" applyBorder="1" applyAlignment="1">
      <alignment horizontal="center" vertical="center" shrinkToFit="1"/>
    </xf>
    <xf numFmtId="0" fontId="2" fillId="0" borderId="4" xfId="2" applyBorder="1"/>
    <xf numFmtId="0" fontId="2" fillId="0" borderId="12" xfId="2" applyBorder="1"/>
    <xf numFmtId="0" fontId="2" fillId="0" borderId="14" xfId="2" applyBorder="1"/>
    <xf numFmtId="0" fontId="2" fillId="0" borderId="4" xfId="2" applyBorder="1" applyAlignment="1">
      <alignment horizontal="center"/>
    </xf>
    <xf numFmtId="0" fontId="2" fillId="0" borderId="12" xfId="2" applyBorder="1" applyAlignment="1">
      <alignment horizontal="center"/>
    </xf>
    <xf numFmtId="0" fontId="2" fillId="0" borderId="4" xfId="2" applyBorder="1" applyAlignment="1">
      <alignment horizontal="right" vertical="center"/>
    </xf>
    <xf numFmtId="0" fontId="6" fillId="0" borderId="15" xfId="2" applyFont="1" applyBorder="1" applyAlignment="1">
      <alignment horizontal="center" vertical="center"/>
    </xf>
    <xf numFmtId="0" fontId="2" fillId="0" borderId="4" xfId="2" applyBorder="1" applyAlignment="1">
      <alignment horizontal="right"/>
    </xf>
    <xf numFmtId="0" fontId="6" fillId="0" borderId="4" xfId="2" applyFont="1" applyBorder="1" applyAlignment="1">
      <alignment horizontal="center"/>
    </xf>
    <xf numFmtId="0" fontId="6" fillId="0" borderId="13" xfId="2" applyFont="1" applyBorder="1" applyAlignment="1">
      <alignment horizontal="center" vertical="center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6" fillId="0" borderId="14" xfId="2" applyFont="1" applyBorder="1"/>
    <xf numFmtId="0" fontId="8" fillId="0" borderId="0" xfId="0" applyFont="1" applyAlignment="1">
      <alignment horizontal="left" vertical="center"/>
    </xf>
    <xf numFmtId="0" fontId="6" fillId="0" borderId="7" xfId="2" applyFont="1" applyBorder="1"/>
    <xf numFmtId="0" fontId="2" fillId="0" borderId="8" xfId="2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1" xfId="2" applyBorder="1"/>
    <xf numFmtId="0" fontId="2" fillId="0" borderId="2" xfId="2" applyBorder="1"/>
    <xf numFmtId="56" fontId="0" fillId="0" borderId="0" xfId="0" applyNumberFormat="1" applyAlignment="1">
      <alignment horizontal="left" vertical="center"/>
    </xf>
    <xf numFmtId="176" fontId="13" fillId="0" borderId="0" xfId="0" applyNumberFormat="1" applyFont="1">
      <alignment vertical="center"/>
    </xf>
    <xf numFmtId="0" fontId="6" fillId="3" borderId="1" xfId="2" applyFont="1" applyFill="1" applyBorder="1"/>
    <xf numFmtId="0" fontId="6" fillId="2" borderId="11" xfId="2" applyFont="1" applyFill="1" applyBorder="1"/>
    <xf numFmtId="0" fontId="6" fillId="4" borderId="1" xfId="2" applyFont="1" applyFill="1" applyBorder="1"/>
    <xf numFmtId="0" fontId="6" fillId="0" borderId="3" xfId="2" applyFont="1" applyBorder="1"/>
    <xf numFmtId="0" fontId="11" fillId="5" borderId="12" xfId="0" applyFont="1" applyFill="1" applyBorder="1">
      <alignment vertical="center"/>
    </xf>
    <xf numFmtId="0" fontId="2" fillId="0" borderId="8" xfId="2" applyBorder="1"/>
    <xf numFmtId="0" fontId="11" fillId="5" borderId="4" xfId="0" applyFont="1" applyFill="1" applyBorder="1">
      <alignment vertical="center"/>
    </xf>
    <xf numFmtId="0" fontId="2" fillId="0" borderId="15" xfId="2" applyBorder="1"/>
    <xf numFmtId="0" fontId="8" fillId="5" borderId="1" xfId="0" applyFont="1" applyFill="1" applyBorder="1">
      <alignment vertical="center"/>
    </xf>
    <xf numFmtId="0" fontId="6" fillId="0" borderId="11" xfId="2" applyFont="1" applyBorder="1"/>
    <xf numFmtId="0" fontId="2" fillId="2" borderId="12" xfId="2" applyFill="1" applyBorder="1"/>
    <xf numFmtId="0" fontId="4" fillId="0" borderId="7" xfId="2" applyFont="1" applyBorder="1" applyAlignment="1">
      <alignment horizontal="center" vertical="center"/>
    </xf>
    <xf numFmtId="56" fontId="1" fillId="0" borderId="0" xfId="0" applyNumberFormat="1" applyFont="1" applyAlignment="1">
      <alignment horizontal="left" vertical="center"/>
    </xf>
    <xf numFmtId="0" fontId="8" fillId="5" borderId="4" xfId="0" applyFont="1" applyFill="1" applyBorder="1">
      <alignment vertical="center"/>
    </xf>
    <xf numFmtId="0" fontId="2" fillId="6" borderId="0" xfId="2" applyFill="1"/>
    <xf numFmtId="0" fontId="10" fillId="6" borderId="0" xfId="2" applyFont="1" applyFill="1"/>
    <xf numFmtId="0" fontId="14" fillId="6" borderId="0" xfId="2" applyFont="1" applyFill="1"/>
    <xf numFmtId="0" fontId="15" fillId="6" borderId="0" xfId="2" applyFont="1" applyFill="1" applyAlignment="1">
      <alignment horizontal="center"/>
    </xf>
    <xf numFmtId="0" fontId="2" fillId="0" borderId="6" xfId="2" applyBorder="1" applyAlignment="1">
      <alignment vertical="center"/>
    </xf>
    <xf numFmtId="0" fontId="2" fillId="0" borderId="5" xfId="2" applyBorder="1" applyAlignment="1">
      <alignment vertical="center"/>
    </xf>
    <xf numFmtId="0" fontId="2" fillId="0" borderId="4" xfId="2" applyBorder="1" applyAlignment="1">
      <alignment vertical="center"/>
    </xf>
    <xf numFmtId="0" fontId="9" fillId="0" borderId="4" xfId="2" applyFont="1" applyBorder="1" applyAlignment="1">
      <alignment horizontal="center" vertical="center"/>
    </xf>
    <xf numFmtId="0" fontId="2" fillId="7" borderId="4" xfId="2" applyFill="1" applyBorder="1"/>
    <xf numFmtId="0" fontId="9" fillId="0" borderId="4" xfId="2" applyFont="1" applyBorder="1" applyAlignment="1">
      <alignment horizontal="center" vertical="center" shrinkToFit="1"/>
    </xf>
    <xf numFmtId="0" fontId="6" fillId="0" borderId="9" xfId="2" applyFont="1" applyBorder="1" applyAlignment="1">
      <alignment horizontal="center"/>
    </xf>
    <xf numFmtId="0" fontId="5" fillId="0" borderId="4" xfId="2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16" fillId="0" borderId="0" xfId="0" applyNumberFormat="1" applyFont="1">
      <alignment vertical="center"/>
    </xf>
    <xf numFmtId="0" fontId="4" fillId="0" borderId="4" xfId="2" applyFont="1" applyBorder="1" applyAlignment="1">
      <alignment horizontal="center"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17" fillId="0" borderId="0" xfId="0" applyFont="1" applyAlignment="1">
      <alignment horizontal="left" vertical="center"/>
    </xf>
    <xf numFmtId="0" fontId="2" fillId="0" borderId="9" xfId="2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6" fillId="0" borderId="0" xfId="0" applyNumberFormat="1" applyFont="1" applyAlignment="1">
      <alignment horizontal="left" vertical="center"/>
    </xf>
    <xf numFmtId="0" fontId="5" fillId="0" borderId="8" xfId="2" applyFont="1" applyBorder="1" applyAlignment="1">
      <alignment horizontal="center" vertical="center"/>
    </xf>
    <xf numFmtId="0" fontId="16" fillId="5" borderId="4" xfId="0" applyFont="1" applyFill="1" applyBorder="1">
      <alignment vertical="center"/>
    </xf>
    <xf numFmtId="0" fontId="2" fillId="0" borderId="16" xfId="2" applyBorder="1"/>
    <xf numFmtId="0" fontId="4" fillId="0" borderId="3" xfId="2" applyFont="1" applyBorder="1" applyAlignment="1">
      <alignment horizontal="center"/>
    </xf>
    <xf numFmtId="0" fontId="2" fillId="0" borderId="0" xfId="2" applyAlignment="1">
      <alignment horizontal="center" vertical="center"/>
    </xf>
    <xf numFmtId="0" fontId="6" fillId="7" borderId="1" xfId="2" applyFont="1" applyFill="1" applyBorder="1"/>
    <xf numFmtId="0" fontId="6" fillId="7" borderId="3" xfId="2" applyFont="1" applyFill="1" applyBorder="1"/>
    <xf numFmtId="0" fontId="6" fillId="7" borderId="2" xfId="2" applyFont="1" applyFill="1" applyBorder="1"/>
    <xf numFmtId="0" fontId="6" fillId="7" borderId="11" xfId="2" applyFont="1" applyFill="1" applyBorder="1"/>
    <xf numFmtId="0" fontId="2" fillId="0" borderId="18" xfId="2" applyBorder="1"/>
    <xf numFmtId="0" fontId="2" fillId="0" borderId="13" xfId="2" applyBorder="1"/>
    <xf numFmtId="0" fontId="2" fillId="0" borderId="19" xfId="2" applyBorder="1"/>
    <xf numFmtId="0" fontId="2" fillId="7" borderId="5" xfId="2" applyFill="1" applyBorder="1"/>
    <xf numFmtId="176" fontId="6" fillId="0" borderId="0" xfId="2" applyNumberFormat="1" applyFont="1"/>
    <xf numFmtId="0" fontId="16" fillId="0" borderId="0" xfId="0" applyFont="1">
      <alignment vertical="center"/>
    </xf>
    <xf numFmtId="0" fontId="4" fillId="0" borderId="7" xfId="2" applyFont="1" applyBorder="1"/>
    <xf numFmtId="0" fontId="4" fillId="0" borderId="12" xfId="2" applyFont="1" applyBorder="1"/>
    <xf numFmtId="0" fontId="13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4" fillId="8" borderId="5" xfId="2" applyFont="1" applyFill="1" applyBorder="1"/>
    <xf numFmtId="0" fontId="2" fillId="8" borderId="5" xfId="2" applyFill="1" applyBorder="1"/>
    <xf numFmtId="0" fontId="11" fillId="0" borderId="5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/>
    </xf>
    <xf numFmtId="0" fontId="2" fillId="4" borderId="5" xfId="2" applyFill="1" applyBorder="1"/>
    <xf numFmtId="176" fontId="17" fillId="0" borderId="0" xfId="0" applyNumberFormat="1" applyFont="1">
      <alignment vertical="center"/>
    </xf>
    <xf numFmtId="0" fontId="17" fillId="0" borderId="0" xfId="0" applyFont="1">
      <alignment vertical="center"/>
    </xf>
    <xf numFmtId="1" fontId="13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56" fontId="8" fillId="0" borderId="0" xfId="0" applyNumberFormat="1" applyFont="1">
      <alignment vertical="center"/>
    </xf>
    <xf numFmtId="0" fontId="18" fillId="0" borderId="5" xfId="2" applyFont="1" applyBorder="1" applyAlignment="1">
      <alignment horizontal="center" vertical="center"/>
    </xf>
    <xf numFmtId="0" fontId="19" fillId="0" borderId="6" xfId="2" applyFont="1" applyBorder="1" applyAlignment="1">
      <alignment horizontal="center"/>
    </xf>
    <xf numFmtId="0" fontId="19" fillId="0" borderId="5" xfId="2" applyFont="1" applyBorder="1" applyAlignment="1">
      <alignment horizontal="center"/>
    </xf>
    <xf numFmtId="0" fontId="19" fillId="0" borderId="4" xfId="2" applyFont="1" applyBorder="1" applyAlignment="1">
      <alignment horizontal="center"/>
    </xf>
    <xf numFmtId="0" fontId="19" fillId="2" borderId="4" xfId="2" applyFont="1" applyFill="1" applyBorder="1"/>
    <xf numFmtId="0" fontId="1" fillId="0" borderId="0" xfId="0" applyFont="1" applyAlignment="1">
      <alignment horizontal="left" vertical="center"/>
    </xf>
    <xf numFmtId="0" fontId="19" fillId="0" borderId="4" xfId="2" applyFont="1" applyBorder="1" applyAlignment="1">
      <alignment horizontal="center" vertical="center"/>
    </xf>
    <xf numFmtId="0" fontId="19" fillId="0" borderId="9" xfId="2" applyFont="1" applyBorder="1"/>
    <xf numFmtId="0" fontId="19" fillId="0" borderId="5" xfId="2" applyFont="1" applyBorder="1"/>
    <xf numFmtId="0" fontId="19" fillId="0" borderId="6" xfId="2" applyFont="1" applyBorder="1"/>
    <xf numFmtId="0" fontId="19" fillId="2" borderId="5" xfId="2" applyFont="1" applyFill="1" applyBorder="1"/>
    <xf numFmtId="0" fontId="4" fillId="7" borderId="5" xfId="2" applyFont="1" applyFill="1" applyBorder="1"/>
    <xf numFmtId="0" fontId="6" fillId="0" borderId="12" xfId="2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56" fontId="17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56" fontId="11" fillId="0" borderId="20" xfId="0" applyNumberFormat="1" applyFont="1" applyBorder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4" fillId="0" borderId="3" xfId="2" applyFont="1" applyBorder="1" applyAlignment="1">
      <alignment horizontal="center"/>
    </xf>
    <xf numFmtId="0" fontId="4" fillId="5" borderId="11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11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6" borderId="2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3" xfId="2" applyFont="1" applyFill="1" applyBorder="1" applyAlignment="1">
      <alignment horizontal="center"/>
    </xf>
    <xf numFmtId="0" fontId="0" fillId="5" borderId="1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2021"/>
  <sheetViews>
    <sheetView tabSelected="1" topLeftCell="A1906" zoomScaleNormal="100" zoomScaleSheetLayoutView="90" workbookViewId="0">
      <selection activeCell="A1914" sqref="A1914"/>
    </sheetView>
  </sheetViews>
  <sheetFormatPr defaultRowHeight="13.5" x14ac:dyDescent="0.15"/>
  <cols>
    <col min="1" max="1" width="26.125" customWidth="1"/>
    <col min="2" max="6" width="10" customWidth="1"/>
    <col min="7" max="7" width="10.125" style="40" customWidth="1"/>
    <col min="8" max="8" width="38.5" customWidth="1"/>
    <col min="9" max="13" width="10.75" customWidth="1"/>
    <col min="14" max="14" width="26.625" style="40" customWidth="1"/>
    <col min="15" max="19" width="7.25" customWidth="1"/>
    <col min="20" max="20" width="10" customWidth="1"/>
    <col min="21" max="21" width="9.25" style="40" bestFit="1" customWidth="1"/>
    <col min="23" max="23" width="21.5" customWidth="1"/>
    <col min="24" max="27" width="12.5" customWidth="1"/>
    <col min="28" max="28" width="9.25" bestFit="1" customWidth="1"/>
  </cols>
  <sheetData>
    <row r="1" spans="1:21" ht="21.75" thickBot="1" x14ac:dyDescent="0.25">
      <c r="A1" s="29" t="s">
        <v>13</v>
      </c>
      <c r="B1" s="1"/>
      <c r="C1" s="1"/>
      <c r="D1" s="1"/>
      <c r="E1" s="1"/>
      <c r="F1" s="1"/>
      <c r="H1" s="29" t="s">
        <v>14</v>
      </c>
      <c r="I1" s="1"/>
      <c r="J1" s="1"/>
      <c r="K1" s="1"/>
      <c r="L1" s="1"/>
      <c r="M1" s="1"/>
      <c r="O1" s="29" t="s">
        <v>15</v>
      </c>
      <c r="P1" s="1"/>
      <c r="Q1" s="1"/>
      <c r="R1" s="1"/>
      <c r="S1" s="1"/>
      <c r="T1" s="1"/>
    </row>
    <row r="2" spans="1:21" ht="14.25" thickBot="1" x14ac:dyDescent="0.2">
      <c r="A2" s="2" t="s">
        <v>0</v>
      </c>
      <c r="B2" s="164" t="s">
        <v>12</v>
      </c>
      <c r="C2" s="165"/>
      <c r="D2" s="165"/>
      <c r="E2" s="165"/>
      <c r="F2" s="168"/>
      <c r="H2" s="2" t="s">
        <v>0</v>
      </c>
      <c r="I2" s="164" t="s">
        <v>12</v>
      </c>
      <c r="J2" s="165"/>
      <c r="K2" s="165"/>
      <c r="L2" s="165"/>
      <c r="M2" s="168"/>
      <c r="O2" s="2" t="s">
        <v>0</v>
      </c>
      <c r="P2" s="164" t="s">
        <v>12</v>
      </c>
      <c r="Q2" s="165"/>
      <c r="R2" s="165"/>
      <c r="S2" s="165"/>
      <c r="T2" s="168"/>
    </row>
    <row r="3" spans="1:21" ht="14.25" thickBot="1" x14ac:dyDescent="0.2">
      <c r="A3" s="2" t="s">
        <v>1</v>
      </c>
      <c r="B3" s="3" t="s">
        <v>7</v>
      </c>
      <c r="C3" s="2" t="s">
        <v>8</v>
      </c>
      <c r="D3" s="19" t="s">
        <v>9</v>
      </c>
      <c r="E3" s="2" t="s">
        <v>11</v>
      </c>
      <c r="F3" s="2" t="s">
        <v>2</v>
      </c>
      <c r="H3" s="2" t="s">
        <v>1</v>
      </c>
      <c r="I3" s="3" t="s">
        <v>7</v>
      </c>
      <c r="J3" s="2" t="s">
        <v>8</v>
      </c>
      <c r="K3" s="19" t="s">
        <v>9</v>
      </c>
      <c r="L3" s="2" t="s">
        <v>11</v>
      </c>
      <c r="M3" s="2" t="s">
        <v>2</v>
      </c>
      <c r="O3" s="2" t="s">
        <v>1</v>
      </c>
      <c r="P3" s="3" t="s">
        <v>7</v>
      </c>
      <c r="Q3" s="2" t="s">
        <v>8</v>
      </c>
      <c r="R3" s="19" t="s">
        <v>9</v>
      </c>
      <c r="S3" s="2" t="s">
        <v>11</v>
      </c>
      <c r="T3" s="2" t="s">
        <v>2</v>
      </c>
    </row>
    <row r="4" spans="1:21" x14ac:dyDescent="0.15">
      <c r="A4" s="6" t="s">
        <v>10</v>
      </c>
      <c r="B4" s="66">
        <v>1</v>
      </c>
      <c r="C4" s="4">
        <v>1</v>
      </c>
      <c r="D4" s="67">
        <v>1</v>
      </c>
      <c r="E4" s="4">
        <v>1</v>
      </c>
      <c r="F4" s="5">
        <f>SUM(B4:E4)</f>
        <v>4</v>
      </c>
      <c r="G4" s="39">
        <v>44378</v>
      </c>
      <c r="H4" s="27" t="s">
        <v>10</v>
      </c>
      <c r="I4" s="18"/>
      <c r="J4" s="20"/>
      <c r="K4" s="55"/>
      <c r="L4" s="58"/>
      <c r="M4" s="17">
        <f>SUM(I4:L4)</f>
        <v>0</v>
      </c>
      <c r="O4" s="27" t="s">
        <v>10</v>
      </c>
      <c r="P4" s="18"/>
      <c r="Q4" s="20"/>
      <c r="R4" s="55"/>
      <c r="S4" s="20"/>
      <c r="T4" s="17">
        <f>SUM(P4:S4)</f>
        <v>0</v>
      </c>
    </row>
    <row r="5" spans="1:21" x14ac:dyDescent="0.15">
      <c r="A5" s="6" t="s">
        <v>3</v>
      </c>
      <c r="B5" s="16">
        <v>10</v>
      </c>
      <c r="C5" s="11">
        <v>10</v>
      </c>
      <c r="D5" s="16">
        <v>5</v>
      </c>
      <c r="E5" s="4">
        <v>5</v>
      </c>
      <c r="F5" s="5">
        <f t="shared" ref="F5:F14" si="0">SUM(B5:E5)</f>
        <v>30</v>
      </c>
      <c r="G5" s="39">
        <v>44380</v>
      </c>
      <c r="H5" s="6" t="s">
        <v>3</v>
      </c>
      <c r="I5" s="16"/>
      <c r="J5" s="11"/>
      <c r="K5" s="16"/>
      <c r="L5" s="4"/>
      <c r="M5" s="5">
        <f t="shared" ref="M5:M14" si="1">SUM(I5:L5)</f>
        <v>0</v>
      </c>
      <c r="O5" s="6" t="s">
        <v>3</v>
      </c>
      <c r="P5" s="16"/>
      <c r="Q5" s="11"/>
      <c r="R5" s="16"/>
      <c r="S5" s="4"/>
      <c r="T5" s="5">
        <f t="shared" ref="T5:T14" si="2">SUM(P5:S5)</f>
        <v>0</v>
      </c>
      <c r="U5" s="41"/>
    </row>
    <row r="6" spans="1:21" x14ac:dyDescent="0.15">
      <c r="A6" s="6" t="s">
        <v>3</v>
      </c>
      <c r="B6" s="16">
        <v>5</v>
      </c>
      <c r="C6" s="11">
        <v>5</v>
      </c>
      <c r="D6" s="16">
        <v>5</v>
      </c>
      <c r="E6" s="4">
        <v>5</v>
      </c>
      <c r="F6" s="5">
        <f t="shared" si="0"/>
        <v>20</v>
      </c>
      <c r="G6" s="39">
        <v>44389</v>
      </c>
      <c r="H6" s="6" t="s">
        <v>16</v>
      </c>
      <c r="I6" s="31">
        <v>200</v>
      </c>
      <c r="J6" s="32">
        <v>400</v>
      </c>
      <c r="K6" s="31">
        <v>200</v>
      </c>
      <c r="L6" s="52">
        <v>200</v>
      </c>
      <c r="M6" s="5">
        <f t="shared" si="1"/>
        <v>1000</v>
      </c>
      <c r="N6" s="39" t="s">
        <v>32</v>
      </c>
      <c r="O6" s="6" t="s">
        <v>3</v>
      </c>
      <c r="P6" s="31"/>
      <c r="Q6" s="32"/>
      <c r="R6" s="31"/>
      <c r="S6" s="52"/>
      <c r="T6" s="5">
        <f t="shared" si="2"/>
        <v>0</v>
      </c>
      <c r="U6" s="39"/>
    </row>
    <row r="7" spans="1:21" x14ac:dyDescent="0.15">
      <c r="A7" s="6" t="s">
        <v>45</v>
      </c>
      <c r="B7" s="16"/>
      <c r="C7" s="11"/>
      <c r="D7" s="16">
        <v>2</v>
      </c>
      <c r="E7" s="4"/>
      <c r="F7" s="5">
        <f t="shared" si="0"/>
        <v>2</v>
      </c>
      <c r="G7" s="39">
        <v>44392</v>
      </c>
      <c r="H7" s="6" t="s">
        <v>3</v>
      </c>
      <c r="I7" s="31"/>
      <c r="J7" s="32"/>
      <c r="K7" s="31"/>
      <c r="L7" s="52"/>
      <c r="M7" s="5">
        <f t="shared" si="1"/>
        <v>0</v>
      </c>
      <c r="N7" s="41"/>
      <c r="O7" s="6" t="s">
        <v>3</v>
      </c>
      <c r="P7" s="31"/>
      <c r="Q7" s="32"/>
      <c r="R7" s="31"/>
      <c r="S7" s="52"/>
      <c r="T7" s="5">
        <f t="shared" si="2"/>
        <v>0</v>
      </c>
      <c r="U7" s="30"/>
    </row>
    <row r="8" spans="1:21" x14ac:dyDescent="0.15">
      <c r="A8" s="6" t="s">
        <v>3</v>
      </c>
      <c r="B8" s="16"/>
      <c r="C8" s="11"/>
      <c r="D8" s="16"/>
      <c r="E8" s="4"/>
      <c r="F8" s="5">
        <f t="shared" si="0"/>
        <v>0</v>
      </c>
      <c r="G8" s="41"/>
      <c r="H8" s="6" t="s">
        <v>3</v>
      </c>
      <c r="I8" s="38"/>
      <c r="J8" s="32"/>
      <c r="K8" s="31"/>
      <c r="L8" s="52"/>
      <c r="M8" s="5">
        <f t="shared" si="1"/>
        <v>0</v>
      </c>
      <c r="N8" s="39"/>
      <c r="O8" s="6" t="s">
        <v>3</v>
      </c>
      <c r="P8" s="38"/>
      <c r="Q8" s="32"/>
      <c r="R8" s="31"/>
      <c r="S8" s="52"/>
      <c r="T8" s="5">
        <f t="shared" si="2"/>
        <v>0</v>
      </c>
      <c r="U8" s="30"/>
    </row>
    <row r="9" spans="1:21" x14ac:dyDescent="0.15">
      <c r="A9" s="6" t="s">
        <v>3</v>
      </c>
      <c r="B9" s="16"/>
      <c r="C9" s="11"/>
      <c r="D9" s="16"/>
      <c r="E9" s="4"/>
      <c r="F9" s="5">
        <f t="shared" si="0"/>
        <v>0</v>
      </c>
      <c r="G9" s="41"/>
      <c r="H9" s="6" t="s">
        <v>3</v>
      </c>
      <c r="I9" s="31"/>
      <c r="J9" s="32"/>
      <c r="K9" s="31"/>
      <c r="L9" s="52"/>
      <c r="M9" s="5">
        <f t="shared" si="1"/>
        <v>0</v>
      </c>
      <c r="N9" s="41"/>
      <c r="O9" s="6" t="s">
        <v>3</v>
      </c>
      <c r="P9" s="31"/>
      <c r="Q9" s="32"/>
      <c r="R9" s="31"/>
      <c r="S9" s="52"/>
      <c r="T9" s="5">
        <f t="shared" si="2"/>
        <v>0</v>
      </c>
      <c r="U9" s="30"/>
    </row>
    <row r="10" spans="1:21" x14ac:dyDescent="0.15">
      <c r="A10" s="6" t="s">
        <v>3</v>
      </c>
      <c r="B10" s="16"/>
      <c r="C10" s="11"/>
      <c r="D10" s="16"/>
      <c r="E10" s="4"/>
      <c r="F10" s="5">
        <f t="shared" si="0"/>
        <v>0</v>
      </c>
      <c r="G10" s="41"/>
      <c r="H10" s="6" t="s">
        <v>3</v>
      </c>
      <c r="I10" s="38"/>
      <c r="J10" s="32"/>
      <c r="K10" s="31"/>
      <c r="L10" s="52"/>
      <c r="M10" s="5">
        <f t="shared" si="1"/>
        <v>0</v>
      </c>
      <c r="N10" s="41"/>
      <c r="O10" s="6" t="s">
        <v>3</v>
      </c>
      <c r="P10" s="38"/>
      <c r="Q10" s="32"/>
      <c r="R10" s="31"/>
      <c r="S10" s="52"/>
      <c r="T10" s="5">
        <f t="shared" si="2"/>
        <v>0</v>
      </c>
      <c r="U10" s="41"/>
    </row>
    <row r="11" spans="1:21" x14ac:dyDescent="0.15">
      <c r="A11" s="6" t="s">
        <v>3</v>
      </c>
      <c r="B11" s="31"/>
      <c r="C11" s="32"/>
      <c r="D11" s="31"/>
      <c r="E11" s="52"/>
      <c r="F11" s="5">
        <f t="shared" si="0"/>
        <v>0</v>
      </c>
      <c r="G11" s="41"/>
      <c r="H11" s="6" t="s">
        <v>3</v>
      </c>
      <c r="I11" s="16"/>
      <c r="J11" s="11"/>
      <c r="K11" s="16"/>
      <c r="L11" s="4"/>
      <c r="M11" s="5">
        <f t="shared" si="1"/>
        <v>0</v>
      </c>
      <c r="N11" s="41"/>
      <c r="O11" s="6" t="s">
        <v>3</v>
      </c>
      <c r="P11" s="38"/>
      <c r="Q11" s="32"/>
      <c r="R11" s="31"/>
      <c r="S11" s="52"/>
      <c r="T11" s="5">
        <f t="shared" si="2"/>
        <v>0</v>
      </c>
      <c r="U11" s="41"/>
    </row>
    <row r="12" spans="1:21" x14ac:dyDescent="0.15">
      <c r="A12" s="6" t="s">
        <v>3</v>
      </c>
      <c r="B12" s="10"/>
      <c r="C12" s="9"/>
      <c r="D12" s="10"/>
      <c r="E12" s="49"/>
      <c r="F12" s="5">
        <f t="shared" si="0"/>
        <v>0</v>
      </c>
      <c r="G12" s="41"/>
      <c r="H12" s="6" t="s">
        <v>3</v>
      </c>
      <c r="I12" s="31"/>
      <c r="J12" s="32"/>
      <c r="K12" s="31"/>
      <c r="L12" s="52"/>
      <c r="M12" s="5">
        <f t="shared" si="1"/>
        <v>0</v>
      </c>
      <c r="O12" s="6" t="s">
        <v>3</v>
      </c>
      <c r="P12" s="10"/>
      <c r="Q12" s="9"/>
      <c r="R12" s="10"/>
      <c r="S12" s="49"/>
      <c r="T12" s="5">
        <f t="shared" si="2"/>
        <v>0</v>
      </c>
      <c r="U12" s="41"/>
    </row>
    <row r="13" spans="1:21" x14ac:dyDescent="0.15">
      <c r="A13" s="6" t="s">
        <v>3</v>
      </c>
      <c r="B13" s="31"/>
      <c r="C13" s="32"/>
      <c r="D13" s="31"/>
      <c r="E13" s="52"/>
      <c r="F13" s="5">
        <f t="shared" si="0"/>
        <v>0</v>
      </c>
      <c r="G13" s="41"/>
      <c r="H13" s="6" t="s">
        <v>3</v>
      </c>
      <c r="I13" s="34"/>
      <c r="J13" s="35"/>
      <c r="K13" s="34"/>
      <c r="L13" s="32"/>
      <c r="M13" s="5">
        <f t="shared" si="1"/>
        <v>0</v>
      </c>
      <c r="O13" s="6" t="s">
        <v>3</v>
      </c>
      <c r="P13" s="34"/>
      <c r="Q13" s="35"/>
      <c r="R13" s="34"/>
      <c r="S13" s="32"/>
      <c r="T13" s="5">
        <f t="shared" si="2"/>
        <v>0</v>
      </c>
      <c r="U13" s="41"/>
    </row>
    <row r="14" spans="1:21" ht="14.25" thickBot="1" x14ac:dyDescent="0.2">
      <c r="A14" s="6" t="s">
        <v>3</v>
      </c>
      <c r="B14" s="13"/>
      <c r="C14" s="12"/>
      <c r="D14" s="13"/>
      <c r="E14" s="50"/>
      <c r="F14" s="5">
        <f t="shared" si="0"/>
        <v>0</v>
      </c>
      <c r="G14" s="41"/>
      <c r="H14" s="6" t="s">
        <v>3</v>
      </c>
      <c r="I14" s="34"/>
      <c r="J14" s="35"/>
      <c r="K14" s="34"/>
      <c r="L14" s="53"/>
      <c r="M14" s="5">
        <f t="shared" si="1"/>
        <v>0</v>
      </c>
      <c r="O14" s="6" t="s">
        <v>3</v>
      </c>
      <c r="P14" s="13"/>
      <c r="Q14" s="12"/>
      <c r="R14" s="13"/>
      <c r="S14" s="50"/>
      <c r="T14" s="5">
        <f t="shared" si="2"/>
        <v>0</v>
      </c>
      <c r="U14" s="41"/>
    </row>
    <row r="15" spans="1:21" ht="14.25" thickBot="1" x14ac:dyDescent="0.2">
      <c r="A15" s="21" t="s">
        <v>4</v>
      </c>
      <c r="B15" s="22">
        <f>SUM(B4:B14)</f>
        <v>16</v>
      </c>
      <c r="C15" s="22">
        <f>SUM(C4:C14)</f>
        <v>16</v>
      </c>
      <c r="D15" s="23">
        <f>SUM(D4:D14)</f>
        <v>13</v>
      </c>
      <c r="E15" s="23">
        <f>SUM(E4:E14)</f>
        <v>11</v>
      </c>
      <c r="F15" s="24">
        <f>SUM(B15:E15)</f>
        <v>56</v>
      </c>
      <c r="H15" s="68" t="s">
        <v>4</v>
      </c>
      <c r="I15" s="69">
        <f>SUM(I4:I14)</f>
        <v>200</v>
      </c>
      <c r="J15" s="69">
        <f>SUM(J4:J14)</f>
        <v>400</v>
      </c>
      <c r="K15" s="70">
        <f>SUM(K4:K14)</f>
        <v>200</v>
      </c>
      <c r="L15" s="70">
        <f>SUM(L4:L14)</f>
        <v>200</v>
      </c>
      <c r="M15" s="15">
        <f>SUM(I15:L15)</f>
        <v>1000</v>
      </c>
      <c r="N15" s="41"/>
      <c r="O15" s="21" t="s">
        <v>4</v>
      </c>
      <c r="P15" s="22">
        <f>SUM(P4:P14)</f>
        <v>0</v>
      </c>
      <c r="Q15" s="22">
        <f>SUM(Q4:Q14)</f>
        <v>0</v>
      </c>
      <c r="R15" s="23">
        <f>SUM(R4:R14)</f>
        <v>0</v>
      </c>
      <c r="S15" s="23">
        <f>SUM(S4:S14)</f>
        <v>0</v>
      </c>
      <c r="T15" s="24">
        <f>SUM(P15:S15)</f>
        <v>0</v>
      </c>
    </row>
    <row r="16" spans="1:21" x14ac:dyDescent="0.15">
      <c r="A16" s="28" t="s">
        <v>29</v>
      </c>
      <c r="B16" s="8">
        <v>1</v>
      </c>
      <c r="C16" s="9">
        <v>1</v>
      </c>
      <c r="D16" s="10">
        <v>1</v>
      </c>
      <c r="E16" s="49">
        <v>1</v>
      </c>
      <c r="F16" s="5">
        <f>SUM(B16:E16)</f>
        <v>4</v>
      </c>
      <c r="G16" s="39">
        <v>44379</v>
      </c>
      <c r="H16" s="48" t="s">
        <v>26</v>
      </c>
      <c r="I16" s="8">
        <v>1</v>
      </c>
      <c r="J16" s="9">
        <v>1</v>
      </c>
      <c r="K16" s="10">
        <v>1</v>
      </c>
      <c r="L16" s="9">
        <v>1</v>
      </c>
      <c r="M16" s="7">
        <f>SUM(I16:L16)</f>
        <v>4</v>
      </c>
      <c r="N16" s="39">
        <v>44378</v>
      </c>
      <c r="O16" s="6"/>
      <c r="P16" s="31"/>
      <c r="Q16" s="32"/>
      <c r="R16" s="31"/>
      <c r="S16" s="52"/>
      <c r="T16" s="5">
        <f>SUM(P16:S16)</f>
        <v>0</v>
      </c>
    </row>
    <row r="17" spans="1:20" x14ac:dyDescent="0.15">
      <c r="A17" s="28" t="s">
        <v>34</v>
      </c>
      <c r="B17" s="8">
        <v>1</v>
      </c>
      <c r="C17" s="9"/>
      <c r="D17" s="10"/>
      <c r="E17" s="49"/>
      <c r="F17" s="5">
        <f t="shared" ref="F17:F39" si="3">SUM(B17:E17)</f>
        <v>1</v>
      </c>
      <c r="G17" s="71">
        <v>44382</v>
      </c>
      <c r="H17" s="48" t="s">
        <v>28</v>
      </c>
      <c r="I17" s="8">
        <f>7*2</f>
        <v>14</v>
      </c>
      <c r="J17" s="9">
        <f>7*2</f>
        <v>14</v>
      </c>
      <c r="K17" s="10">
        <f>3*2</f>
        <v>6</v>
      </c>
      <c r="L17" s="9">
        <f>3*2</f>
        <v>6</v>
      </c>
      <c r="M17" s="7">
        <f t="shared" ref="M17:M39" si="4">SUM(I17:L17)</f>
        <v>40</v>
      </c>
      <c r="N17" s="39">
        <v>44379</v>
      </c>
      <c r="O17" s="4"/>
      <c r="P17" s="45"/>
      <c r="Q17" s="46"/>
      <c r="R17" s="47"/>
      <c r="S17" s="56"/>
      <c r="T17" s="5">
        <f t="shared" ref="T17:T39" si="5">SUM(P17:S17)</f>
        <v>0</v>
      </c>
    </row>
    <row r="18" spans="1:20" x14ac:dyDescent="0.15">
      <c r="A18" s="28" t="s">
        <v>34</v>
      </c>
      <c r="B18" s="8"/>
      <c r="C18" s="9">
        <v>1</v>
      </c>
      <c r="D18" s="10"/>
      <c r="E18" s="49"/>
      <c r="F18" s="5">
        <f t="shared" si="3"/>
        <v>1</v>
      </c>
      <c r="G18" s="39">
        <v>44389</v>
      </c>
      <c r="H18" s="28" t="s">
        <v>30</v>
      </c>
      <c r="I18" s="8">
        <v>10</v>
      </c>
      <c r="J18" s="9">
        <v>10</v>
      </c>
      <c r="K18" s="10">
        <v>5</v>
      </c>
      <c r="L18" s="49">
        <v>5</v>
      </c>
      <c r="M18" s="7">
        <f t="shared" si="4"/>
        <v>30</v>
      </c>
      <c r="N18" s="39">
        <v>44380</v>
      </c>
      <c r="O18" s="4"/>
      <c r="P18" s="36"/>
      <c r="Q18" s="37"/>
      <c r="R18" s="36"/>
      <c r="S18" s="54"/>
      <c r="T18" s="5">
        <f t="shared" si="5"/>
        <v>0</v>
      </c>
    </row>
    <row r="19" spans="1:20" x14ac:dyDescent="0.15">
      <c r="A19" s="4" t="s">
        <v>42</v>
      </c>
      <c r="B19" s="8">
        <v>1</v>
      </c>
      <c r="C19" s="9"/>
      <c r="D19" s="10"/>
      <c r="E19" s="49"/>
      <c r="F19" s="5">
        <f t="shared" si="3"/>
        <v>1</v>
      </c>
      <c r="G19" s="39">
        <v>44391</v>
      </c>
      <c r="H19" s="48" t="s">
        <v>31</v>
      </c>
      <c r="I19" s="8">
        <v>2</v>
      </c>
      <c r="J19" s="9">
        <v>4</v>
      </c>
      <c r="K19" s="10"/>
      <c r="L19" s="49"/>
      <c r="M19" s="7">
        <f t="shared" si="4"/>
        <v>6</v>
      </c>
      <c r="N19" s="39">
        <v>44380</v>
      </c>
      <c r="O19" s="4"/>
      <c r="P19" s="8"/>
      <c r="Q19" s="9"/>
      <c r="R19" s="10"/>
      <c r="S19" s="49"/>
      <c r="T19" s="5">
        <f t="shared" si="5"/>
        <v>0</v>
      </c>
    </row>
    <row r="20" spans="1:20" x14ac:dyDescent="0.15">
      <c r="A20" s="28" t="s">
        <v>34</v>
      </c>
      <c r="B20" s="8"/>
      <c r="C20" s="9">
        <v>1</v>
      </c>
      <c r="D20" s="10"/>
      <c r="E20" s="49"/>
      <c r="F20" s="5">
        <f t="shared" si="3"/>
        <v>1</v>
      </c>
      <c r="G20" s="39">
        <v>44394</v>
      </c>
      <c r="H20" s="48" t="s">
        <v>33</v>
      </c>
      <c r="I20" s="8">
        <v>4</v>
      </c>
      <c r="J20" s="9">
        <v>4</v>
      </c>
      <c r="K20" s="10">
        <v>4</v>
      </c>
      <c r="L20" s="49"/>
      <c r="M20" s="7">
        <f t="shared" si="4"/>
        <v>12</v>
      </c>
      <c r="N20" s="39">
        <v>44383</v>
      </c>
      <c r="O20" s="4"/>
      <c r="P20" s="8"/>
      <c r="Q20" s="9"/>
      <c r="R20" s="10"/>
      <c r="S20" s="49"/>
      <c r="T20" s="5">
        <f t="shared" si="5"/>
        <v>0</v>
      </c>
    </row>
    <row r="21" spans="1:20" x14ac:dyDescent="0.15">
      <c r="A21" s="48" t="s">
        <v>47</v>
      </c>
      <c r="B21" s="8"/>
      <c r="C21" s="9">
        <v>2</v>
      </c>
      <c r="D21" s="10"/>
      <c r="E21" s="9"/>
      <c r="F21" s="7">
        <f t="shared" si="3"/>
        <v>2</v>
      </c>
      <c r="G21" s="39">
        <v>44397</v>
      </c>
      <c r="H21" s="48" t="s">
        <v>35</v>
      </c>
      <c r="I21" s="8"/>
      <c r="J21" s="9">
        <v>2</v>
      </c>
      <c r="K21" s="10"/>
      <c r="L21" s="9"/>
      <c r="M21" s="7">
        <f t="shared" si="4"/>
        <v>2</v>
      </c>
      <c r="N21" s="39">
        <v>44384</v>
      </c>
      <c r="O21" s="4"/>
      <c r="P21" s="8"/>
      <c r="Q21" s="9"/>
      <c r="R21" s="10"/>
      <c r="S21" s="9"/>
      <c r="T21" s="5">
        <f t="shared" si="5"/>
        <v>0</v>
      </c>
    </row>
    <row r="22" spans="1:20" x14ac:dyDescent="0.15">
      <c r="A22" s="28" t="s">
        <v>50</v>
      </c>
      <c r="B22" s="8">
        <v>1</v>
      </c>
      <c r="C22" s="9"/>
      <c r="D22" s="10"/>
      <c r="E22" s="9"/>
      <c r="F22" s="5">
        <f t="shared" si="3"/>
        <v>1</v>
      </c>
      <c r="G22" s="71">
        <v>44404</v>
      </c>
      <c r="H22" s="48" t="s">
        <v>36</v>
      </c>
      <c r="I22" s="8">
        <v>2</v>
      </c>
      <c r="J22" s="9">
        <v>2</v>
      </c>
      <c r="K22" s="10">
        <v>2</v>
      </c>
      <c r="L22" s="9"/>
      <c r="M22" s="7">
        <f t="shared" si="4"/>
        <v>6</v>
      </c>
      <c r="N22" s="39">
        <v>44385</v>
      </c>
      <c r="O22" s="4"/>
      <c r="P22" s="8"/>
      <c r="Q22" s="9"/>
      <c r="R22" s="10"/>
      <c r="S22" s="9"/>
      <c r="T22" s="5">
        <f t="shared" si="5"/>
        <v>0</v>
      </c>
    </row>
    <row r="23" spans="1:20" x14ac:dyDescent="0.15">
      <c r="A23" s="4"/>
      <c r="B23" s="8"/>
      <c r="C23" s="9"/>
      <c r="D23" s="10"/>
      <c r="E23" s="9"/>
      <c r="F23" s="5">
        <f t="shared" si="3"/>
        <v>0</v>
      </c>
      <c r="H23" s="48" t="s">
        <v>37</v>
      </c>
      <c r="I23" s="8"/>
      <c r="J23" s="9">
        <v>4</v>
      </c>
      <c r="K23" s="10">
        <v>6</v>
      </c>
      <c r="L23" s="9"/>
      <c r="M23" s="7">
        <f t="shared" si="4"/>
        <v>10</v>
      </c>
      <c r="N23" s="39">
        <v>44386</v>
      </c>
      <c r="O23" s="4"/>
      <c r="P23" s="8"/>
      <c r="Q23" s="9"/>
      <c r="R23" s="10"/>
      <c r="S23" s="9"/>
      <c r="T23" s="5">
        <f t="shared" si="5"/>
        <v>0</v>
      </c>
    </row>
    <row r="24" spans="1:20" x14ac:dyDescent="0.15">
      <c r="A24" s="4"/>
      <c r="B24" s="8"/>
      <c r="C24" s="9"/>
      <c r="D24" s="10"/>
      <c r="E24" s="9"/>
      <c r="F24" s="5">
        <f t="shared" si="3"/>
        <v>0</v>
      </c>
      <c r="H24" s="48" t="s">
        <v>38</v>
      </c>
      <c r="I24" s="8">
        <v>4</v>
      </c>
      <c r="J24" s="9"/>
      <c r="K24" s="10">
        <v>2</v>
      </c>
      <c r="L24" s="9"/>
      <c r="M24" s="7">
        <f t="shared" si="4"/>
        <v>6</v>
      </c>
      <c r="N24" s="39">
        <v>44387</v>
      </c>
      <c r="O24" s="4"/>
      <c r="P24" s="8"/>
      <c r="Q24" s="9"/>
      <c r="R24" s="10"/>
      <c r="S24" s="9"/>
      <c r="T24" s="5">
        <f t="shared" si="5"/>
        <v>0</v>
      </c>
    </row>
    <row r="25" spans="1:20" x14ac:dyDescent="0.15">
      <c r="A25" s="4"/>
      <c r="B25" s="8"/>
      <c r="C25" s="9"/>
      <c r="D25" s="10"/>
      <c r="E25" s="9"/>
      <c r="F25" s="5">
        <f t="shared" si="3"/>
        <v>0</v>
      </c>
      <c r="H25" s="28" t="s">
        <v>39</v>
      </c>
      <c r="I25" s="8">
        <v>2</v>
      </c>
      <c r="J25" s="9">
        <v>2</v>
      </c>
      <c r="K25" s="10">
        <v>3</v>
      </c>
      <c r="L25" s="9">
        <v>2</v>
      </c>
      <c r="M25" s="7">
        <f t="shared" si="4"/>
        <v>9</v>
      </c>
      <c r="N25" s="39">
        <v>44387</v>
      </c>
      <c r="O25" s="4"/>
      <c r="P25" s="8"/>
      <c r="Q25" s="9"/>
      <c r="R25" s="10"/>
      <c r="S25" s="9"/>
      <c r="T25" s="5">
        <f t="shared" si="5"/>
        <v>0</v>
      </c>
    </row>
    <row r="26" spans="1:20" x14ac:dyDescent="0.15">
      <c r="A26" s="4"/>
      <c r="B26" s="8"/>
      <c r="C26" s="9"/>
      <c r="D26" s="10"/>
      <c r="E26" s="9"/>
      <c r="F26" s="5">
        <f t="shared" si="3"/>
        <v>0</v>
      </c>
      <c r="H26" s="4" t="s">
        <v>40</v>
      </c>
      <c r="I26" s="8">
        <v>5</v>
      </c>
      <c r="J26" s="9">
        <v>5</v>
      </c>
      <c r="K26" s="10">
        <v>5</v>
      </c>
      <c r="L26" s="9">
        <v>5</v>
      </c>
      <c r="M26" s="7">
        <f t="shared" si="4"/>
        <v>20</v>
      </c>
      <c r="N26" s="39">
        <v>44389</v>
      </c>
      <c r="O26" s="4"/>
      <c r="P26" s="8"/>
      <c r="Q26" s="9"/>
      <c r="R26" s="10"/>
      <c r="S26" s="9"/>
      <c r="T26" s="5">
        <f t="shared" si="5"/>
        <v>0</v>
      </c>
    </row>
    <row r="27" spans="1:20" x14ac:dyDescent="0.15">
      <c r="A27" s="4"/>
      <c r="B27" s="8"/>
      <c r="C27" s="9"/>
      <c r="D27" s="10"/>
      <c r="E27" s="9"/>
      <c r="F27" s="5">
        <f t="shared" si="3"/>
        <v>0</v>
      </c>
      <c r="H27" s="48" t="s">
        <v>41</v>
      </c>
      <c r="I27" s="8">
        <v>6</v>
      </c>
      <c r="J27" s="9">
        <v>6</v>
      </c>
      <c r="K27" s="10">
        <v>4</v>
      </c>
      <c r="L27" s="9">
        <v>2</v>
      </c>
      <c r="M27" s="7">
        <f t="shared" si="4"/>
        <v>18</v>
      </c>
      <c r="N27" s="39">
        <v>44390</v>
      </c>
      <c r="O27" s="4"/>
      <c r="P27" s="8"/>
      <c r="Q27" s="9"/>
      <c r="R27" s="10"/>
      <c r="S27" s="9"/>
      <c r="T27" s="5">
        <f t="shared" si="5"/>
        <v>0</v>
      </c>
    </row>
    <row r="28" spans="1:20" x14ac:dyDescent="0.15">
      <c r="A28" s="4"/>
      <c r="B28" s="8"/>
      <c r="C28" s="9"/>
      <c r="D28" s="10"/>
      <c r="E28" s="9"/>
      <c r="F28" s="5">
        <f t="shared" si="3"/>
        <v>0</v>
      </c>
      <c r="H28" s="48" t="s">
        <v>44</v>
      </c>
      <c r="I28" s="8"/>
      <c r="J28" s="9">
        <v>2</v>
      </c>
      <c r="K28" s="10"/>
      <c r="L28" s="9"/>
      <c r="M28" s="7">
        <f t="shared" si="4"/>
        <v>2</v>
      </c>
      <c r="N28" s="39">
        <v>44392</v>
      </c>
      <c r="O28" s="4"/>
      <c r="P28" s="8"/>
      <c r="Q28" s="9"/>
      <c r="R28" s="10"/>
      <c r="S28" s="9"/>
      <c r="T28" s="5">
        <f t="shared" si="5"/>
        <v>0</v>
      </c>
    </row>
    <row r="29" spans="1:20" x14ac:dyDescent="0.15">
      <c r="A29" s="4"/>
      <c r="B29" s="8"/>
      <c r="C29" s="9"/>
      <c r="D29" s="10"/>
      <c r="E29" s="9"/>
      <c r="F29" s="5">
        <f t="shared" si="3"/>
        <v>0</v>
      </c>
      <c r="H29" s="48" t="s">
        <v>46</v>
      </c>
      <c r="I29" s="8"/>
      <c r="J29" s="9">
        <v>2</v>
      </c>
      <c r="K29" s="10"/>
      <c r="L29" s="9"/>
      <c r="M29" s="7">
        <f t="shared" si="4"/>
        <v>2</v>
      </c>
      <c r="N29" s="39">
        <v>44396</v>
      </c>
      <c r="O29" s="11"/>
      <c r="P29" s="8"/>
      <c r="Q29" s="9"/>
      <c r="R29" s="10"/>
      <c r="S29" s="9"/>
      <c r="T29" s="5">
        <f t="shared" si="5"/>
        <v>0</v>
      </c>
    </row>
    <row r="30" spans="1:20" x14ac:dyDescent="0.15">
      <c r="A30" s="4"/>
      <c r="B30" s="8"/>
      <c r="C30" s="9"/>
      <c r="D30" s="10"/>
      <c r="E30" s="9"/>
      <c r="F30" s="5">
        <f t="shared" si="3"/>
        <v>0</v>
      </c>
      <c r="H30" s="48" t="s">
        <v>48</v>
      </c>
      <c r="I30" s="8">
        <v>4</v>
      </c>
      <c r="J30" s="9">
        <v>2</v>
      </c>
      <c r="K30" s="10"/>
      <c r="L30" s="9">
        <v>2</v>
      </c>
      <c r="M30" s="7">
        <f t="shared" si="4"/>
        <v>8</v>
      </c>
      <c r="N30" s="39">
        <v>44398</v>
      </c>
      <c r="O30" s="4"/>
      <c r="P30" s="8"/>
      <c r="Q30" s="9"/>
      <c r="R30" s="10"/>
      <c r="S30" s="9"/>
      <c r="T30" s="5">
        <f t="shared" si="5"/>
        <v>0</v>
      </c>
    </row>
    <row r="31" spans="1:20" x14ac:dyDescent="0.15">
      <c r="A31" s="4"/>
      <c r="B31" s="8"/>
      <c r="C31" s="9"/>
      <c r="D31" s="10"/>
      <c r="E31" s="9"/>
      <c r="F31" s="5">
        <f t="shared" si="3"/>
        <v>0</v>
      </c>
      <c r="H31" s="48" t="s">
        <v>49</v>
      </c>
      <c r="I31" s="8">
        <v>6</v>
      </c>
      <c r="J31" s="9">
        <v>4</v>
      </c>
      <c r="K31" s="10"/>
      <c r="L31" s="9"/>
      <c r="M31" s="7">
        <f t="shared" si="4"/>
        <v>10</v>
      </c>
      <c r="N31" s="39">
        <v>44399</v>
      </c>
      <c r="O31" s="11"/>
      <c r="P31" s="8"/>
      <c r="Q31" s="9"/>
      <c r="R31" s="10"/>
      <c r="S31" s="9"/>
      <c r="T31" s="5">
        <f t="shared" si="5"/>
        <v>0</v>
      </c>
    </row>
    <row r="32" spans="1:20" x14ac:dyDescent="0.15">
      <c r="A32" s="11"/>
      <c r="B32" s="8"/>
      <c r="C32" s="9"/>
      <c r="D32" s="10"/>
      <c r="E32" s="9"/>
      <c r="F32" s="5">
        <f t="shared" si="3"/>
        <v>0</v>
      </c>
      <c r="H32" s="48" t="s">
        <v>51</v>
      </c>
      <c r="I32" s="8">
        <v>12</v>
      </c>
      <c r="J32" s="9">
        <v>4</v>
      </c>
      <c r="K32" s="10">
        <v>6</v>
      </c>
      <c r="L32" s="9">
        <v>4</v>
      </c>
      <c r="M32" s="7">
        <f t="shared" si="4"/>
        <v>26</v>
      </c>
      <c r="N32" s="39">
        <v>44404</v>
      </c>
      <c r="O32" s="11"/>
      <c r="P32" s="8"/>
      <c r="Q32" s="9"/>
      <c r="R32" s="10"/>
      <c r="S32" s="9"/>
      <c r="T32" s="5">
        <f t="shared" si="5"/>
        <v>0</v>
      </c>
    </row>
    <row r="33" spans="1:21" x14ac:dyDescent="0.15">
      <c r="A33" s="4"/>
      <c r="B33" s="8"/>
      <c r="C33" s="9"/>
      <c r="D33" s="10"/>
      <c r="E33" s="9"/>
      <c r="F33" s="5">
        <f t="shared" si="3"/>
        <v>0</v>
      </c>
      <c r="H33" s="48" t="s">
        <v>52</v>
      </c>
      <c r="I33" s="8">
        <v>4</v>
      </c>
      <c r="J33" s="9">
        <v>8</v>
      </c>
      <c r="K33" s="10">
        <v>8</v>
      </c>
      <c r="L33" s="9">
        <v>10</v>
      </c>
      <c r="M33" s="7">
        <f t="shared" si="4"/>
        <v>30</v>
      </c>
      <c r="N33" s="39">
        <v>44405</v>
      </c>
      <c r="O33" s="4"/>
      <c r="P33" s="8"/>
      <c r="Q33" s="9"/>
      <c r="R33" s="10"/>
      <c r="S33" s="9"/>
      <c r="T33" s="5">
        <f t="shared" si="5"/>
        <v>0</v>
      </c>
    </row>
    <row r="34" spans="1:21" x14ac:dyDescent="0.15">
      <c r="A34" s="4"/>
      <c r="B34" s="8"/>
      <c r="C34" s="9"/>
      <c r="D34" s="10"/>
      <c r="E34" s="9"/>
      <c r="F34" s="5">
        <f t="shared" si="3"/>
        <v>0</v>
      </c>
      <c r="H34" s="48" t="s">
        <v>53</v>
      </c>
      <c r="I34" s="8">
        <v>6</v>
      </c>
      <c r="J34" s="9">
        <v>2</v>
      </c>
      <c r="K34" s="10">
        <v>2</v>
      </c>
      <c r="L34" s="9">
        <v>2</v>
      </c>
      <c r="M34" s="7">
        <f t="shared" ref="M34" si="6">SUM(I34:L34)</f>
        <v>12</v>
      </c>
      <c r="N34" s="39">
        <v>44406</v>
      </c>
      <c r="O34" s="11"/>
      <c r="P34" s="8"/>
      <c r="Q34" s="9"/>
      <c r="R34" s="10"/>
      <c r="S34" s="9"/>
      <c r="T34" s="5">
        <f t="shared" si="5"/>
        <v>0</v>
      </c>
    </row>
    <row r="35" spans="1:21" x14ac:dyDescent="0.15">
      <c r="A35" s="4"/>
      <c r="B35" s="8"/>
      <c r="C35" s="9"/>
      <c r="D35" s="10"/>
      <c r="E35" s="9"/>
      <c r="F35" s="5">
        <f t="shared" si="3"/>
        <v>0</v>
      </c>
      <c r="H35" s="48" t="s">
        <v>54</v>
      </c>
      <c r="I35" s="8">
        <v>4</v>
      </c>
      <c r="J35" s="9"/>
      <c r="K35" s="10"/>
      <c r="L35" s="9">
        <v>4</v>
      </c>
      <c r="M35" s="7">
        <f t="shared" ref="M35:M36" si="7">SUM(I35:L35)</f>
        <v>8</v>
      </c>
      <c r="N35" s="39">
        <v>44407</v>
      </c>
      <c r="O35" s="4"/>
      <c r="P35" s="8"/>
      <c r="Q35" s="9"/>
      <c r="R35" s="10"/>
      <c r="S35" s="9"/>
      <c r="T35" s="5">
        <f t="shared" si="5"/>
        <v>0</v>
      </c>
    </row>
    <row r="36" spans="1:21" x14ac:dyDescent="0.15">
      <c r="A36" s="28"/>
      <c r="B36" s="8"/>
      <c r="C36" s="9"/>
      <c r="D36" s="10"/>
      <c r="E36" s="9"/>
      <c r="F36" s="5">
        <f t="shared" si="3"/>
        <v>0</v>
      </c>
      <c r="H36" s="48" t="s">
        <v>55</v>
      </c>
      <c r="I36" s="8"/>
      <c r="J36" s="9">
        <v>6</v>
      </c>
      <c r="K36" s="10">
        <v>2</v>
      </c>
      <c r="L36" s="9"/>
      <c r="M36" s="7">
        <f t="shared" si="7"/>
        <v>8</v>
      </c>
      <c r="N36" s="39">
        <v>44408</v>
      </c>
      <c r="O36" s="11"/>
      <c r="P36" s="8"/>
      <c r="Q36" s="9"/>
      <c r="R36" s="10"/>
      <c r="S36" s="9"/>
      <c r="T36" s="5">
        <f t="shared" si="5"/>
        <v>0</v>
      </c>
    </row>
    <row r="37" spans="1:21" x14ac:dyDescent="0.15">
      <c r="A37" s="4"/>
      <c r="B37" s="8"/>
      <c r="C37" s="9"/>
      <c r="D37" s="10"/>
      <c r="E37" s="9"/>
      <c r="F37" s="5">
        <f t="shared" si="3"/>
        <v>0</v>
      </c>
      <c r="H37" s="4"/>
      <c r="I37" s="8"/>
      <c r="J37" s="9"/>
      <c r="K37" s="10"/>
      <c r="L37" s="9"/>
      <c r="M37" s="7">
        <f t="shared" si="4"/>
        <v>0</v>
      </c>
      <c r="N37" s="41"/>
      <c r="O37" s="4"/>
      <c r="P37" s="8"/>
      <c r="Q37" s="9"/>
      <c r="R37" s="10"/>
      <c r="S37" s="9"/>
      <c r="T37" s="5">
        <f t="shared" si="5"/>
        <v>0</v>
      </c>
    </row>
    <row r="38" spans="1:21" x14ac:dyDescent="0.15">
      <c r="A38" s="11"/>
      <c r="B38" s="8"/>
      <c r="C38" s="9"/>
      <c r="D38" s="10"/>
      <c r="E38" s="9"/>
      <c r="F38" s="5">
        <f t="shared" si="3"/>
        <v>0</v>
      </c>
      <c r="H38" s="4" t="s">
        <v>18</v>
      </c>
      <c r="I38" s="8"/>
      <c r="J38" s="9"/>
      <c r="K38" s="10"/>
      <c r="L38" s="9"/>
      <c r="M38" s="7">
        <f t="shared" ref="M38" si="8">SUM(I38:L38)</f>
        <v>0</v>
      </c>
      <c r="N38" s="39" t="s">
        <v>19</v>
      </c>
      <c r="O38" s="11"/>
      <c r="P38" s="8"/>
      <c r="Q38" s="9"/>
      <c r="R38" s="10"/>
      <c r="S38" s="9"/>
      <c r="T38" s="5">
        <f t="shared" si="5"/>
        <v>0</v>
      </c>
    </row>
    <row r="39" spans="1:21" ht="14.25" thickBot="1" x14ac:dyDescent="0.2">
      <c r="A39" s="4"/>
      <c r="B39" s="8"/>
      <c r="C39" s="9"/>
      <c r="D39" s="10"/>
      <c r="E39" s="51"/>
      <c r="F39" s="5">
        <f t="shared" si="3"/>
        <v>0</v>
      </c>
      <c r="H39" s="4" t="s">
        <v>20</v>
      </c>
      <c r="I39" s="8"/>
      <c r="J39" s="9"/>
      <c r="K39" s="10"/>
      <c r="L39" s="9"/>
      <c r="M39" s="7">
        <f t="shared" si="4"/>
        <v>0</v>
      </c>
      <c r="N39" s="39" t="s">
        <v>21</v>
      </c>
      <c r="O39" s="4"/>
      <c r="P39" s="8"/>
      <c r="Q39" s="9"/>
      <c r="R39" s="10"/>
      <c r="S39" s="51"/>
      <c r="T39" s="5">
        <f t="shared" si="5"/>
        <v>0</v>
      </c>
    </row>
    <row r="40" spans="1:21" ht="14.25" thickBot="1" x14ac:dyDescent="0.2">
      <c r="A40" s="3" t="s">
        <v>5</v>
      </c>
      <c r="B40" s="14">
        <f>SUM(B16:B39)</f>
        <v>4</v>
      </c>
      <c r="C40" s="14">
        <f>SUM(C16:C39)</f>
        <v>5</v>
      </c>
      <c r="D40" s="14">
        <f>SUM(D16:D39)</f>
        <v>1</v>
      </c>
      <c r="E40" s="14">
        <f>SUM(E16:E39)</f>
        <v>1</v>
      </c>
      <c r="F40" s="15">
        <f>SUM(B40:E40)</f>
        <v>11</v>
      </c>
      <c r="H40" s="3" t="s">
        <v>5</v>
      </c>
      <c r="I40" s="14">
        <f>SUM(I16:I39)</f>
        <v>86</v>
      </c>
      <c r="J40" s="14">
        <f>SUM(J16:J39)</f>
        <v>84</v>
      </c>
      <c r="K40" s="14">
        <f>SUM(K16:K39)</f>
        <v>56</v>
      </c>
      <c r="L40" s="14">
        <f>SUM(L16:L39)</f>
        <v>43</v>
      </c>
      <c r="M40" s="15">
        <f>SUM(I40:L40)</f>
        <v>269</v>
      </c>
      <c r="O40" s="3" t="s">
        <v>5</v>
      </c>
      <c r="P40" s="14">
        <f>SUM(P16:P39)</f>
        <v>0</v>
      </c>
      <c r="Q40" s="14">
        <f>SUM(Q16:Q39)</f>
        <v>0</v>
      </c>
      <c r="R40" s="14">
        <f>SUM(R16:R39)</f>
        <v>0</v>
      </c>
      <c r="S40" s="14">
        <f>SUM(S16:S39)</f>
        <v>0</v>
      </c>
      <c r="T40" s="15">
        <f>SUM(P40:S40)</f>
        <v>0</v>
      </c>
    </row>
    <row r="41" spans="1:21" ht="14.25" thickBot="1" x14ac:dyDescent="0.2">
      <c r="A41" s="25" t="s">
        <v>6</v>
      </c>
      <c r="B41" s="26">
        <f>B15-B40</f>
        <v>12</v>
      </c>
      <c r="C41" s="26">
        <f t="shared" ref="C41:F41" si="9">C15-C40</f>
        <v>11</v>
      </c>
      <c r="D41" s="26">
        <f t="shared" si="9"/>
        <v>12</v>
      </c>
      <c r="E41" s="26">
        <f t="shared" si="9"/>
        <v>10</v>
      </c>
      <c r="F41" s="24">
        <f t="shared" si="9"/>
        <v>45</v>
      </c>
      <c r="H41" s="25" t="s">
        <v>6</v>
      </c>
      <c r="I41" s="26">
        <f>I15-I40</f>
        <v>114</v>
      </c>
      <c r="J41" s="26">
        <f t="shared" ref="J41:M41" si="10">J15-J40</f>
        <v>316</v>
      </c>
      <c r="K41" s="26">
        <f t="shared" si="10"/>
        <v>144</v>
      </c>
      <c r="L41" s="26">
        <f t="shared" si="10"/>
        <v>157</v>
      </c>
      <c r="M41" s="24">
        <f t="shared" si="10"/>
        <v>731</v>
      </c>
      <c r="O41" s="25" t="s">
        <v>6</v>
      </c>
      <c r="P41" s="26">
        <f>P15-P40</f>
        <v>0</v>
      </c>
      <c r="Q41" s="26">
        <f t="shared" ref="Q41:T41" si="11">Q15-Q40</f>
        <v>0</v>
      </c>
      <c r="R41" s="26">
        <f t="shared" si="11"/>
        <v>0</v>
      </c>
      <c r="S41" s="26">
        <f t="shared" si="11"/>
        <v>0</v>
      </c>
      <c r="T41" s="24">
        <f t="shared" si="11"/>
        <v>0</v>
      </c>
    </row>
    <row r="44" spans="1:21" ht="21.75" thickBot="1" x14ac:dyDescent="0.25">
      <c r="A44" s="29" t="s">
        <v>13</v>
      </c>
      <c r="B44" s="1"/>
      <c r="C44" s="1"/>
      <c r="D44" s="1"/>
      <c r="E44" s="1"/>
      <c r="F44" s="1"/>
      <c r="H44" s="29" t="s">
        <v>14</v>
      </c>
      <c r="I44" s="1"/>
      <c r="J44" s="1"/>
      <c r="K44" s="1"/>
      <c r="L44" s="1"/>
      <c r="M44" s="1"/>
      <c r="O44" s="29" t="s">
        <v>15</v>
      </c>
      <c r="P44" s="1"/>
      <c r="Q44" s="1"/>
      <c r="R44" s="1"/>
      <c r="S44" s="1"/>
      <c r="T44" s="1"/>
    </row>
    <row r="45" spans="1:21" ht="14.25" thickBot="1" x14ac:dyDescent="0.2">
      <c r="A45" s="2" t="s">
        <v>0</v>
      </c>
      <c r="B45" s="164" t="s">
        <v>12</v>
      </c>
      <c r="C45" s="165"/>
      <c r="D45" s="165"/>
      <c r="E45" s="165"/>
      <c r="F45" s="168"/>
      <c r="H45" s="2" t="s">
        <v>0</v>
      </c>
      <c r="I45" s="164" t="s">
        <v>12</v>
      </c>
      <c r="J45" s="165"/>
      <c r="K45" s="165"/>
      <c r="L45" s="165"/>
      <c r="M45" s="168"/>
      <c r="O45" s="2" t="s">
        <v>0</v>
      </c>
      <c r="P45" s="164" t="s">
        <v>12</v>
      </c>
      <c r="Q45" s="165"/>
      <c r="R45" s="165"/>
      <c r="S45" s="165"/>
      <c r="T45" s="168"/>
    </row>
    <row r="46" spans="1:21" ht="14.25" thickBot="1" x14ac:dyDescent="0.2">
      <c r="A46" s="2" t="s">
        <v>1</v>
      </c>
      <c r="B46" s="3" t="s">
        <v>7</v>
      </c>
      <c r="C46" s="2" t="s">
        <v>8</v>
      </c>
      <c r="D46" s="19" t="s">
        <v>9</v>
      </c>
      <c r="E46" s="2" t="s">
        <v>11</v>
      </c>
      <c r="F46" s="2" t="s">
        <v>2</v>
      </c>
      <c r="H46" s="2" t="s">
        <v>1</v>
      </c>
      <c r="I46" s="3" t="s">
        <v>7</v>
      </c>
      <c r="J46" s="2" t="s">
        <v>8</v>
      </c>
      <c r="K46" s="19" t="s">
        <v>9</v>
      </c>
      <c r="L46" s="2" t="s">
        <v>11</v>
      </c>
      <c r="M46" s="2" t="s">
        <v>2</v>
      </c>
      <c r="O46" s="2" t="s">
        <v>1</v>
      </c>
      <c r="P46" s="3" t="s">
        <v>7</v>
      </c>
      <c r="Q46" s="2" t="s">
        <v>8</v>
      </c>
      <c r="R46" s="19" t="s">
        <v>9</v>
      </c>
      <c r="S46" s="2" t="s">
        <v>11</v>
      </c>
      <c r="T46" s="2" t="s">
        <v>2</v>
      </c>
    </row>
    <row r="47" spans="1:21" x14ac:dyDescent="0.15">
      <c r="A47" s="27" t="s">
        <v>6</v>
      </c>
      <c r="B47" s="18">
        <f>B41</f>
        <v>12</v>
      </c>
      <c r="C47" s="20">
        <f>C41</f>
        <v>11</v>
      </c>
      <c r="D47" s="55">
        <f>D41</f>
        <v>12</v>
      </c>
      <c r="E47" s="20">
        <f>E41</f>
        <v>10</v>
      </c>
      <c r="F47" s="17">
        <f>SUM(B47:E47)</f>
        <v>45</v>
      </c>
      <c r="H47" s="27" t="s">
        <v>6</v>
      </c>
      <c r="I47" s="18">
        <f>I41</f>
        <v>114</v>
      </c>
      <c r="J47" s="20">
        <f>J41</f>
        <v>316</v>
      </c>
      <c r="K47" s="55">
        <f>K41</f>
        <v>144</v>
      </c>
      <c r="L47" s="58">
        <f>L41</f>
        <v>157</v>
      </c>
      <c r="M47" s="17">
        <f>SUM(I47:L47)</f>
        <v>731</v>
      </c>
      <c r="O47" s="27" t="s">
        <v>6</v>
      </c>
      <c r="P47" s="18">
        <f>P41</f>
        <v>0</v>
      </c>
      <c r="Q47" s="20">
        <f>Q41</f>
        <v>0</v>
      </c>
      <c r="R47" s="55">
        <f>R41</f>
        <v>0</v>
      </c>
      <c r="S47" s="20">
        <f>S41</f>
        <v>0</v>
      </c>
      <c r="T47" s="17">
        <f>SUM(P47:S47)</f>
        <v>0</v>
      </c>
    </row>
    <row r="48" spans="1:21" x14ac:dyDescent="0.15">
      <c r="A48" s="6" t="s">
        <v>45</v>
      </c>
      <c r="B48" s="16"/>
      <c r="C48" s="11"/>
      <c r="D48" s="16">
        <v>2</v>
      </c>
      <c r="E48" s="4">
        <v>2</v>
      </c>
      <c r="F48" s="5">
        <f t="shared" ref="F48:F57" si="12">SUM(B48:E48)</f>
        <v>4</v>
      </c>
      <c r="G48" s="39">
        <v>44419</v>
      </c>
      <c r="H48" s="6" t="s">
        <v>3</v>
      </c>
      <c r="I48" s="16"/>
      <c r="J48" s="11"/>
      <c r="K48" s="16"/>
      <c r="L48" s="4"/>
      <c r="M48" s="5">
        <f t="shared" ref="M48:M57" si="13">SUM(I48:L48)</f>
        <v>0</v>
      </c>
      <c r="O48" s="6" t="s">
        <v>3</v>
      </c>
      <c r="P48" s="16"/>
      <c r="Q48" s="11"/>
      <c r="R48" s="16"/>
      <c r="S48" s="4"/>
      <c r="T48" s="5">
        <f t="shared" ref="T48:T57" si="14">SUM(P48:S48)</f>
        <v>0</v>
      </c>
      <c r="U48" s="41"/>
    </row>
    <row r="49" spans="1:21" x14ac:dyDescent="0.15">
      <c r="A49" s="6" t="s">
        <v>3</v>
      </c>
      <c r="B49" s="16"/>
      <c r="C49" s="11"/>
      <c r="D49" s="16"/>
      <c r="E49" s="4"/>
      <c r="F49" s="5">
        <f t="shared" si="12"/>
        <v>0</v>
      </c>
      <c r="G49" s="41"/>
      <c r="H49" s="6" t="s">
        <v>3</v>
      </c>
      <c r="I49" s="31"/>
      <c r="J49" s="32"/>
      <c r="K49" s="31"/>
      <c r="L49" s="52"/>
      <c r="M49" s="5">
        <f t="shared" si="13"/>
        <v>0</v>
      </c>
      <c r="N49" s="39"/>
      <c r="O49" s="6" t="s">
        <v>3</v>
      </c>
      <c r="P49" s="31"/>
      <c r="Q49" s="32"/>
      <c r="R49" s="31"/>
      <c r="S49" s="52"/>
      <c r="T49" s="5">
        <f t="shared" si="14"/>
        <v>0</v>
      </c>
      <c r="U49" s="39"/>
    </row>
    <row r="50" spans="1:21" x14ac:dyDescent="0.15">
      <c r="A50" s="6" t="s">
        <v>3</v>
      </c>
      <c r="B50" s="16"/>
      <c r="C50" s="11"/>
      <c r="D50" s="16"/>
      <c r="E50" s="4"/>
      <c r="F50" s="5">
        <f t="shared" si="12"/>
        <v>0</v>
      </c>
      <c r="G50" s="41"/>
      <c r="H50" s="6" t="s">
        <v>3</v>
      </c>
      <c r="I50" s="38"/>
      <c r="J50" s="32"/>
      <c r="K50" s="31"/>
      <c r="L50" s="52"/>
      <c r="M50" s="5">
        <f t="shared" si="13"/>
        <v>0</v>
      </c>
      <c r="N50" s="39"/>
      <c r="O50" s="6" t="s">
        <v>3</v>
      </c>
      <c r="P50" s="31"/>
      <c r="Q50" s="32"/>
      <c r="R50" s="31"/>
      <c r="S50" s="52"/>
      <c r="T50" s="5">
        <f t="shared" si="14"/>
        <v>0</v>
      </c>
      <c r="U50" s="30"/>
    </row>
    <row r="51" spans="1:21" x14ac:dyDescent="0.15">
      <c r="A51" s="6" t="s">
        <v>3</v>
      </c>
      <c r="B51" s="16"/>
      <c r="C51" s="11"/>
      <c r="D51" s="16"/>
      <c r="E51" s="4"/>
      <c r="F51" s="5">
        <f t="shared" si="12"/>
        <v>0</v>
      </c>
      <c r="G51" s="41"/>
      <c r="H51" s="6" t="s">
        <v>3</v>
      </c>
      <c r="I51" s="38"/>
      <c r="J51" s="32"/>
      <c r="K51" s="31"/>
      <c r="L51" s="52"/>
      <c r="M51" s="5">
        <f t="shared" si="13"/>
        <v>0</v>
      </c>
      <c r="N51" s="41"/>
      <c r="O51" s="6" t="s">
        <v>3</v>
      </c>
      <c r="P51" s="38"/>
      <c r="Q51" s="32"/>
      <c r="R51" s="31"/>
      <c r="S51" s="52"/>
      <c r="T51" s="5">
        <f t="shared" si="14"/>
        <v>0</v>
      </c>
      <c r="U51" s="30"/>
    </row>
    <row r="52" spans="1:21" x14ac:dyDescent="0.15">
      <c r="A52" s="6" t="s">
        <v>3</v>
      </c>
      <c r="B52" s="16"/>
      <c r="C52" s="11"/>
      <c r="D52" s="16"/>
      <c r="E52" s="4"/>
      <c r="F52" s="5">
        <f t="shared" si="12"/>
        <v>0</v>
      </c>
      <c r="G52" s="41"/>
      <c r="H52" s="6" t="s">
        <v>3</v>
      </c>
      <c r="I52" s="31"/>
      <c r="J52" s="32"/>
      <c r="K52" s="31"/>
      <c r="L52" s="52"/>
      <c r="M52" s="5">
        <f t="shared" si="13"/>
        <v>0</v>
      </c>
      <c r="N52" s="41"/>
      <c r="O52" s="6" t="s">
        <v>3</v>
      </c>
      <c r="P52" s="31"/>
      <c r="Q52" s="32"/>
      <c r="R52" s="31"/>
      <c r="S52" s="52"/>
      <c r="T52" s="5">
        <f t="shared" si="14"/>
        <v>0</v>
      </c>
      <c r="U52" s="30"/>
    </row>
    <row r="53" spans="1:21" x14ac:dyDescent="0.15">
      <c r="A53" s="6" t="s">
        <v>3</v>
      </c>
      <c r="B53" s="16"/>
      <c r="C53" s="11"/>
      <c r="D53" s="16"/>
      <c r="E53" s="4"/>
      <c r="F53" s="5">
        <f t="shared" si="12"/>
        <v>0</v>
      </c>
      <c r="G53" s="41"/>
      <c r="H53" s="6" t="s">
        <v>3</v>
      </c>
      <c r="I53" s="38"/>
      <c r="J53" s="32"/>
      <c r="K53" s="31"/>
      <c r="L53" s="52"/>
      <c r="M53" s="5">
        <f t="shared" si="13"/>
        <v>0</v>
      </c>
      <c r="N53" s="41"/>
      <c r="O53" s="6" t="s">
        <v>3</v>
      </c>
      <c r="P53" s="38"/>
      <c r="Q53" s="32"/>
      <c r="R53" s="31"/>
      <c r="S53" s="52"/>
      <c r="T53" s="5">
        <f t="shared" si="14"/>
        <v>0</v>
      </c>
      <c r="U53" s="41"/>
    </row>
    <row r="54" spans="1:21" x14ac:dyDescent="0.15">
      <c r="A54" s="6" t="s">
        <v>3</v>
      </c>
      <c r="B54" s="31"/>
      <c r="C54" s="32"/>
      <c r="D54" s="31"/>
      <c r="E54" s="52"/>
      <c r="F54" s="5">
        <f t="shared" si="12"/>
        <v>0</v>
      </c>
      <c r="G54" s="41"/>
      <c r="H54" s="6" t="s">
        <v>3</v>
      </c>
      <c r="I54" s="16"/>
      <c r="J54" s="11"/>
      <c r="K54" s="16"/>
      <c r="L54" s="4"/>
      <c r="M54" s="5">
        <f t="shared" si="13"/>
        <v>0</v>
      </c>
      <c r="N54" s="41"/>
      <c r="O54" s="6" t="s">
        <v>3</v>
      </c>
      <c r="P54" s="38"/>
      <c r="Q54" s="32"/>
      <c r="R54" s="31"/>
      <c r="S54" s="52"/>
      <c r="T54" s="5">
        <f t="shared" si="14"/>
        <v>0</v>
      </c>
      <c r="U54" s="41"/>
    </row>
    <row r="55" spans="1:21" x14ac:dyDescent="0.15">
      <c r="A55" s="6" t="s">
        <v>3</v>
      </c>
      <c r="B55" s="10"/>
      <c r="C55" s="9"/>
      <c r="D55" s="10"/>
      <c r="E55" s="49"/>
      <c r="F55" s="5">
        <f t="shared" si="12"/>
        <v>0</v>
      </c>
      <c r="G55" s="41"/>
      <c r="H55" s="6" t="s">
        <v>3</v>
      </c>
      <c r="I55" s="31"/>
      <c r="J55" s="32"/>
      <c r="K55" s="31"/>
      <c r="L55" s="52"/>
      <c r="M55" s="5">
        <f t="shared" si="13"/>
        <v>0</v>
      </c>
      <c r="O55" s="6" t="s">
        <v>3</v>
      </c>
      <c r="P55" s="10"/>
      <c r="Q55" s="9"/>
      <c r="R55" s="10"/>
      <c r="S55" s="49"/>
      <c r="T55" s="5">
        <f t="shared" si="14"/>
        <v>0</v>
      </c>
      <c r="U55" s="41"/>
    </row>
    <row r="56" spans="1:21" x14ac:dyDescent="0.15">
      <c r="A56" s="6" t="s">
        <v>3</v>
      </c>
      <c r="B56" s="31"/>
      <c r="C56" s="32"/>
      <c r="D56" s="31"/>
      <c r="E56" s="52"/>
      <c r="F56" s="5">
        <f t="shared" si="12"/>
        <v>0</v>
      </c>
      <c r="G56" s="41"/>
      <c r="H56" s="6" t="s">
        <v>3</v>
      </c>
      <c r="I56" s="34"/>
      <c r="J56" s="35"/>
      <c r="K56" s="34"/>
      <c r="L56" s="32"/>
      <c r="M56" s="5">
        <f t="shared" si="13"/>
        <v>0</v>
      </c>
      <c r="O56" s="6" t="s">
        <v>3</v>
      </c>
      <c r="P56" s="34"/>
      <c r="Q56" s="35"/>
      <c r="R56" s="34"/>
      <c r="S56" s="32"/>
      <c r="T56" s="5">
        <f t="shared" si="14"/>
        <v>0</v>
      </c>
      <c r="U56" s="41"/>
    </row>
    <row r="57" spans="1:21" ht="14.25" thickBot="1" x14ac:dyDescent="0.2">
      <c r="A57" s="6" t="s">
        <v>3</v>
      </c>
      <c r="B57" s="13"/>
      <c r="C57" s="12"/>
      <c r="D57" s="13"/>
      <c r="E57" s="50"/>
      <c r="F57" s="5">
        <f t="shared" si="12"/>
        <v>0</v>
      </c>
      <c r="G57" s="41"/>
      <c r="H57" s="6" t="s">
        <v>3</v>
      </c>
      <c r="I57" s="34"/>
      <c r="J57" s="35"/>
      <c r="K57" s="34"/>
      <c r="L57" s="53"/>
      <c r="M57" s="5">
        <f t="shared" si="13"/>
        <v>0</v>
      </c>
      <c r="O57" s="6" t="s">
        <v>3</v>
      </c>
      <c r="P57" s="13"/>
      <c r="Q57" s="12"/>
      <c r="R57" s="13"/>
      <c r="S57" s="50"/>
      <c r="T57" s="17">
        <f t="shared" si="14"/>
        <v>0</v>
      </c>
    </row>
    <row r="58" spans="1:21" ht="14.25" thickBot="1" x14ac:dyDescent="0.2">
      <c r="A58" s="21" t="s">
        <v>4</v>
      </c>
      <c r="B58" s="22">
        <f>SUM(B47:B57)</f>
        <v>12</v>
      </c>
      <c r="C58" s="22">
        <f>SUM(C47:C57)</f>
        <v>11</v>
      </c>
      <c r="D58" s="23">
        <f>SUM(D47:D57)</f>
        <v>14</v>
      </c>
      <c r="E58" s="23">
        <f>SUM(E47:E57)</f>
        <v>12</v>
      </c>
      <c r="F58" s="24">
        <f>SUM(B58:E58)</f>
        <v>49</v>
      </c>
      <c r="H58" s="21" t="s">
        <v>4</v>
      </c>
      <c r="I58" s="22">
        <f>SUM(I47:I57)</f>
        <v>114</v>
      </c>
      <c r="J58" s="22">
        <f>SUM(J47:J57)</f>
        <v>316</v>
      </c>
      <c r="K58" s="23">
        <f>SUM(K47:K57)</f>
        <v>144</v>
      </c>
      <c r="L58" s="23">
        <f>SUM(L47:L57)</f>
        <v>157</v>
      </c>
      <c r="M58" s="24">
        <f>SUM(I58:L58)</f>
        <v>731</v>
      </c>
      <c r="O58" s="21" t="s">
        <v>4</v>
      </c>
      <c r="P58" s="22">
        <f>SUM(P47:P57)</f>
        <v>0</v>
      </c>
      <c r="Q58" s="22">
        <f>SUM(Q47:Q57)</f>
        <v>0</v>
      </c>
      <c r="R58" s="23">
        <f>SUM(R47:R57)</f>
        <v>0</v>
      </c>
      <c r="S58" s="23">
        <f>SUM(S47:S57)</f>
        <v>0</v>
      </c>
      <c r="T58" s="24">
        <f>SUM(P58:S58)</f>
        <v>0</v>
      </c>
    </row>
    <row r="59" spans="1:21" x14ac:dyDescent="0.15">
      <c r="A59" s="28" t="s">
        <v>61</v>
      </c>
      <c r="B59" s="8">
        <v>2</v>
      </c>
      <c r="C59" s="9">
        <v>1</v>
      </c>
      <c r="D59" s="10">
        <v>2</v>
      </c>
      <c r="E59" s="49"/>
      <c r="F59" s="5">
        <f>SUM(B59:E59)</f>
        <v>5</v>
      </c>
      <c r="G59" s="39">
        <v>44414</v>
      </c>
      <c r="H59" s="48" t="s">
        <v>56</v>
      </c>
      <c r="I59" s="8"/>
      <c r="J59" s="9">
        <v>4</v>
      </c>
      <c r="K59" s="10">
        <v>2</v>
      </c>
      <c r="L59" s="9"/>
      <c r="M59" s="7">
        <f>SUM(I59:L59)</f>
        <v>6</v>
      </c>
      <c r="N59" s="39">
        <v>44411</v>
      </c>
      <c r="O59" s="6"/>
      <c r="P59" s="31"/>
      <c r="Q59" s="32"/>
      <c r="R59" s="31"/>
      <c r="S59" s="52"/>
      <c r="T59" s="5">
        <f>SUM(P59:S59)</f>
        <v>0</v>
      </c>
    </row>
    <row r="60" spans="1:21" x14ac:dyDescent="0.15">
      <c r="A60" s="28" t="s">
        <v>34</v>
      </c>
      <c r="B60" s="8"/>
      <c r="C60" s="9"/>
      <c r="D60" s="10">
        <v>1</v>
      </c>
      <c r="E60" s="49"/>
      <c r="F60" s="5">
        <f t="shared" ref="F60:F82" si="15">SUM(B60:E60)</f>
        <v>1</v>
      </c>
      <c r="G60" s="71">
        <v>44413</v>
      </c>
      <c r="H60" s="48" t="s">
        <v>57</v>
      </c>
      <c r="I60" s="8"/>
      <c r="J60" s="9">
        <v>4</v>
      </c>
      <c r="K60" s="10"/>
      <c r="L60" s="9">
        <v>2</v>
      </c>
      <c r="M60" s="7">
        <f t="shared" ref="M60:M80" si="16">SUM(I60:L60)</f>
        <v>6</v>
      </c>
      <c r="N60" s="39">
        <v>44412</v>
      </c>
      <c r="O60" s="4"/>
      <c r="P60" s="45"/>
      <c r="Q60" s="46"/>
      <c r="R60" s="47"/>
      <c r="S60" s="56"/>
      <c r="T60" s="5">
        <f t="shared" ref="T60:T82" si="17">SUM(P60:S60)</f>
        <v>0</v>
      </c>
    </row>
    <row r="61" spans="1:21" x14ac:dyDescent="0.15">
      <c r="A61" s="28" t="s">
        <v>34</v>
      </c>
      <c r="B61" s="8">
        <v>1</v>
      </c>
      <c r="C61" s="9"/>
      <c r="D61" s="10"/>
      <c r="E61" s="49">
        <v>1</v>
      </c>
      <c r="F61" s="5">
        <f t="shared" si="15"/>
        <v>2</v>
      </c>
      <c r="G61" s="71">
        <v>44418</v>
      </c>
      <c r="H61" s="48" t="s">
        <v>58</v>
      </c>
      <c r="I61" s="8">
        <v>2</v>
      </c>
      <c r="J61" s="9">
        <v>4</v>
      </c>
      <c r="K61" s="10"/>
      <c r="L61" s="49"/>
      <c r="M61" s="7">
        <f t="shared" si="16"/>
        <v>6</v>
      </c>
      <c r="N61" s="39">
        <v>44413</v>
      </c>
      <c r="O61" s="4"/>
      <c r="P61" s="36"/>
      <c r="Q61" s="37"/>
      <c r="R61" s="36"/>
      <c r="S61" s="54"/>
      <c r="T61" s="5">
        <f t="shared" si="17"/>
        <v>0</v>
      </c>
    </row>
    <row r="62" spans="1:21" x14ac:dyDescent="0.15">
      <c r="A62" s="28" t="s">
        <v>39</v>
      </c>
      <c r="B62" s="8"/>
      <c r="C62" s="9"/>
      <c r="D62" s="10">
        <v>2</v>
      </c>
      <c r="E62" s="49"/>
      <c r="F62" s="5">
        <f t="shared" si="15"/>
        <v>2</v>
      </c>
      <c r="G62" s="39">
        <v>44425</v>
      </c>
      <c r="H62" s="48" t="s">
        <v>60</v>
      </c>
      <c r="I62" s="8">
        <v>2</v>
      </c>
      <c r="J62" s="9">
        <v>4</v>
      </c>
      <c r="K62" s="10"/>
      <c r="L62" s="49">
        <v>2</v>
      </c>
      <c r="M62" s="7">
        <f t="shared" si="16"/>
        <v>8</v>
      </c>
      <c r="N62" s="39">
        <v>44414</v>
      </c>
      <c r="O62" s="4"/>
      <c r="P62" s="8"/>
      <c r="Q62" s="9"/>
      <c r="R62" s="10"/>
      <c r="S62" s="49"/>
      <c r="T62" s="5">
        <f t="shared" si="17"/>
        <v>0</v>
      </c>
    </row>
    <row r="63" spans="1:21" x14ac:dyDescent="0.15">
      <c r="A63" s="28" t="s">
        <v>34</v>
      </c>
      <c r="B63" s="8"/>
      <c r="C63" s="9"/>
      <c r="D63" s="10">
        <v>1</v>
      </c>
      <c r="E63" s="49"/>
      <c r="F63" s="5">
        <f t="shared" si="15"/>
        <v>1</v>
      </c>
      <c r="G63" s="71">
        <v>44424</v>
      </c>
      <c r="H63" s="48" t="s">
        <v>63</v>
      </c>
      <c r="I63" s="8"/>
      <c r="J63" s="9">
        <v>2</v>
      </c>
      <c r="K63" s="10"/>
      <c r="L63" s="49"/>
      <c r="M63" s="7">
        <f t="shared" si="16"/>
        <v>2</v>
      </c>
      <c r="N63" s="39">
        <v>44420</v>
      </c>
      <c r="O63" s="4"/>
      <c r="P63" s="8"/>
      <c r="Q63" s="9"/>
      <c r="R63" s="10"/>
      <c r="S63" s="49"/>
      <c r="T63" s="5">
        <f t="shared" si="17"/>
        <v>0</v>
      </c>
    </row>
    <row r="64" spans="1:21" x14ac:dyDescent="0.15">
      <c r="A64" s="48" t="s">
        <v>67</v>
      </c>
      <c r="B64" s="8">
        <v>2</v>
      </c>
      <c r="C64" s="9"/>
      <c r="D64" s="10"/>
      <c r="E64" s="9"/>
      <c r="F64" s="5">
        <f t="shared" si="15"/>
        <v>2</v>
      </c>
      <c r="G64" s="39">
        <v>44428</v>
      </c>
      <c r="H64" s="48" t="s">
        <v>64</v>
      </c>
      <c r="I64" s="8"/>
      <c r="J64" s="9"/>
      <c r="K64" s="10">
        <v>4</v>
      </c>
      <c r="L64" s="9"/>
      <c r="M64" s="7">
        <f t="shared" si="16"/>
        <v>4</v>
      </c>
      <c r="N64" s="39">
        <v>44425</v>
      </c>
      <c r="O64" s="4"/>
      <c r="P64" s="8"/>
      <c r="Q64" s="9"/>
      <c r="R64" s="10"/>
      <c r="S64" s="9"/>
      <c r="T64" s="5">
        <f t="shared" si="17"/>
        <v>0</v>
      </c>
    </row>
    <row r="65" spans="1:20" x14ac:dyDescent="0.15">
      <c r="A65" s="28"/>
      <c r="B65" s="8"/>
      <c r="C65" s="9"/>
      <c r="D65" s="10"/>
      <c r="E65" s="9"/>
      <c r="F65" s="5">
        <f t="shared" si="15"/>
        <v>0</v>
      </c>
      <c r="H65" s="4" t="s">
        <v>65</v>
      </c>
      <c r="I65" s="8">
        <v>5</v>
      </c>
      <c r="J65" s="9">
        <v>5</v>
      </c>
      <c r="K65" s="10">
        <v>5</v>
      </c>
      <c r="L65" s="9"/>
      <c r="M65" s="7">
        <f t="shared" si="16"/>
        <v>15</v>
      </c>
      <c r="N65" s="39">
        <v>44427</v>
      </c>
      <c r="O65" s="4"/>
      <c r="P65" s="8"/>
      <c r="Q65" s="9"/>
      <c r="R65" s="10"/>
      <c r="S65" s="9"/>
      <c r="T65" s="5">
        <f t="shared" si="17"/>
        <v>0</v>
      </c>
    </row>
    <row r="66" spans="1:20" x14ac:dyDescent="0.15">
      <c r="A66" s="4"/>
      <c r="B66" s="8"/>
      <c r="C66" s="9"/>
      <c r="D66" s="10"/>
      <c r="E66" s="9"/>
      <c r="F66" s="5">
        <f t="shared" si="15"/>
        <v>0</v>
      </c>
      <c r="H66" s="48" t="s">
        <v>66</v>
      </c>
      <c r="I66" s="8"/>
      <c r="J66" s="9">
        <v>4</v>
      </c>
      <c r="K66" s="10"/>
      <c r="L66" s="9"/>
      <c r="M66" s="7">
        <f t="shared" si="16"/>
        <v>4</v>
      </c>
      <c r="N66" s="39">
        <v>44427</v>
      </c>
      <c r="O66" s="4"/>
      <c r="P66" s="8"/>
      <c r="Q66" s="9"/>
      <c r="R66" s="10"/>
      <c r="S66" s="9"/>
      <c r="T66" s="5">
        <f t="shared" si="17"/>
        <v>0</v>
      </c>
    </row>
    <row r="67" spans="1:20" x14ac:dyDescent="0.15">
      <c r="A67" s="4"/>
      <c r="B67" s="8"/>
      <c r="C67" s="9"/>
      <c r="D67" s="10"/>
      <c r="E67" s="9"/>
      <c r="F67" s="5">
        <f t="shared" si="15"/>
        <v>0</v>
      </c>
      <c r="H67" s="48" t="s">
        <v>69</v>
      </c>
      <c r="I67" s="8"/>
      <c r="J67" s="9">
        <v>4</v>
      </c>
      <c r="K67" s="10"/>
      <c r="L67" s="9"/>
      <c r="M67" s="7">
        <f t="shared" si="16"/>
        <v>4</v>
      </c>
      <c r="N67" s="39">
        <v>44429</v>
      </c>
      <c r="O67" s="4"/>
      <c r="P67" s="8"/>
      <c r="Q67" s="9"/>
      <c r="R67" s="10"/>
      <c r="S67" s="9"/>
      <c r="T67" s="5">
        <f t="shared" si="17"/>
        <v>0</v>
      </c>
    </row>
    <row r="68" spans="1:20" x14ac:dyDescent="0.15">
      <c r="A68" s="4"/>
      <c r="B68" s="8"/>
      <c r="C68" s="9"/>
      <c r="D68" s="10"/>
      <c r="E68" s="9"/>
      <c r="F68" s="5">
        <f t="shared" si="15"/>
        <v>0</v>
      </c>
      <c r="H68" s="48" t="s">
        <v>71</v>
      </c>
      <c r="I68" s="8"/>
      <c r="J68" s="9">
        <v>2</v>
      </c>
      <c r="K68" s="10"/>
      <c r="L68" s="9"/>
      <c r="M68" s="7">
        <f t="shared" si="16"/>
        <v>2</v>
      </c>
      <c r="N68" s="39">
        <v>44433</v>
      </c>
      <c r="O68" s="4"/>
      <c r="P68" s="8"/>
      <c r="Q68" s="9"/>
      <c r="R68" s="10"/>
      <c r="S68" s="9"/>
      <c r="T68" s="5">
        <f t="shared" si="17"/>
        <v>0</v>
      </c>
    </row>
    <row r="69" spans="1:20" x14ac:dyDescent="0.15">
      <c r="A69" s="4"/>
      <c r="B69" s="8"/>
      <c r="C69" s="9"/>
      <c r="D69" s="10"/>
      <c r="E69" s="9"/>
      <c r="F69" s="5">
        <f t="shared" si="15"/>
        <v>0</v>
      </c>
      <c r="H69" s="4"/>
      <c r="I69" s="8"/>
      <c r="J69" s="9"/>
      <c r="K69" s="10"/>
      <c r="L69" s="9"/>
      <c r="M69" s="7">
        <f t="shared" si="16"/>
        <v>0</v>
      </c>
      <c r="O69" s="4"/>
      <c r="P69" s="8"/>
      <c r="Q69" s="9"/>
      <c r="R69" s="10"/>
      <c r="S69" s="9"/>
      <c r="T69" s="5">
        <f t="shared" si="17"/>
        <v>0</v>
      </c>
    </row>
    <row r="70" spans="1:20" x14ac:dyDescent="0.15">
      <c r="A70" s="4"/>
      <c r="B70" s="8"/>
      <c r="C70" s="9"/>
      <c r="D70" s="10"/>
      <c r="E70" s="9"/>
      <c r="F70" s="5">
        <f t="shared" si="15"/>
        <v>0</v>
      </c>
      <c r="H70" s="4"/>
      <c r="I70" s="8"/>
      <c r="J70" s="9"/>
      <c r="K70" s="10"/>
      <c r="L70" s="9"/>
      <c r="M70" s="7">
        <f t="shared" si="16"/>
        <v>0</v>
      </c>
      <c r="O70" s="4"/>
      <c r="P70" s="8"/>
      <c r="Q70" s="9"/>
      <c r="R70" s="10"/>
      <c r="S70" s="9"/>
      <c r="T70" s="5">
        <f t="shared" si="17"/>
        <v>0</v>
      </c>
    </row>
    <row r="71" spans="1:20" x14ac:dyDescent="0.15">
      <c r="A71" s="4"/>
      <c r="B71" s="8"/>
      <c r="C71" s="9"/>
      <c r="D71" s="10"/>
      <c r="E71" s="9"/>
      <c r="F71" s="5">
        <f t="shared" si="15"/>
        <v>0</v>
      </c>
      <c r="H71" s="4"/>
      <c r="I71" s="8"/>
      <c r="J71" s="9"/>
      <c r="K71" s="10"/>
      <c r="L71" s="9"/>
      <c r="M71" s="7">
        <f t="shared" si="16"/>
        <v>0</v>
      </c>
      <c r="O71" s="4"/>
      <c r="P71" s="8"/>
      <c r="Q71" s="9"/>
      <c r="R71" s="10"/>
      <c r="S71" s="9"/>
      <c r="T71" s="5">
        <f t="shared" si="17"/>
        <v>0</v>
      </c>
    </row>
    <row r="72" spans="1:20" x14ac:dyDescent="0.15">
      <c r="A72" s="4"/>
      <c r="B72" s="8"/>
      <c r="C72" s="9"/>
      <c r="D72" s="10"/>
      <c r="E72" s="9"/>
      <c r="F72" s="5">
        <f t="shared" si="15"/>
        <v>0</v>
      </c>
      <c r="H72" s="4"/>
      <c r="I72" s="8"/>
      <c r="J72" s="9"/>
      <c r="K72" s="10"/>
      <c r="L72" s="9"/>
      <c r="M72" s="7">
        <f t="shared" si="16"/>
        <v>0</v>
      </c>
      <c r="O72" s="11"/>
      <c r="P72" s="8"/>
      <c r="Q72" s="9"/>
      <c r="R72" s="10"/>
      <c r="S72" s="9"/>
      <c r="T72" s="5">
        <f t="shared" si="17"/>
        <v>0</v>
      </c>
    </row>
    <row r="73" spans="1:20" x14ac:dyDescent="0.15">
      <c r="A73" s="4"/>
      <c r="B73" s="8"/>
      <c r="C73" s="9"/>
      <c r="D73" s="10"/>
      <c r="E73" s="9"/>
      <c r="F73" s="5">
        <f t="shared" si="15"/>
        <v>0</v>
      </c>
      <c r="H73" s="4"/>
      <c r="I73" s="8"/>
      <c r="J73" s="9"/>
      <c r="K73" s="10"/>
      <c r="L73" s="9"/>
      <c r="M73" s="7">
        <f t="shared" si="16"/>
        <v>0</v>
      </c>
      <c r="O73" s="4"/>
      <c r="P73" s="8"/>
      <c r="Q73" s="9"/>
      <c r="R73" s="10"/>
      <c r="S73" s="9"/>
      <c r="T73" s="5">
        <f t="shared" si="17"/>
        <v>0</v>
      </c>
    </row>
    <row r="74" spans="1:20" x14ac:dyDescent="0.15">
      <c r="A74" s="4"/>
      <c r="B74" s="8"/>
      <c r="C74" s="9"/>
      <c r="D74" s="10"/>
      <c r="E74" s="9"/>
      <c r="F74" s="5">
        <f t="shared" si="15"/>
        <v>0</v>
      </c>
      <c r="H74" s="4"/>
      <c r="I74" s="8"/>
      <c r="J74" s="9"/>
      <c r="K74" s="10"/>
      <c r="L74" s="9"/>
      <c r="M74" s="7">
        <f t="shared" si="16"/>
        <v>0</v>
      </c>
      <c r="O74" s="11"/>
      <c r="P74" s="8"/>
      <c r="Q74" s="9"/>
      <c r="R74" s="10"/>
      <c r="S74" s="9"/>
      <c r="T74" s="5">
        <f t="shared" si="17"/>
        <v>0</v>
      </c>
    </row>
    <row r="75" spans="1:20" x14ac:dyDescent="0.15">
      <c r="A75" s="11"/>
      <c r="B75" s="8"/>
      <c r="C75" s="9"/>
      <c r="D75" s="10"/>
      <c r="E75" s="9"/>
      <c r="F75" s="5">
        <f t="shared" si="15"/>
        <v>0</v>
      </c>
      <c r="H75" s="4"/>
      <c r="I75" s="8"/>
      <c r="J75" s="9"/>
      <c r="K75" s="10"/>
      <c r="L75" s="9"/>
      <c r="M75" s="7">
        <f t="shared" si="16"/>
        <v>0</v>
      </c>
      <c r="O75" s="11"/>
      <c r="P75" s="8"/>
      <c r="Q75" s="9"/>
      <c r="R75" s="10"/>
      <c r="S75" s="9"/>
      <c r="T75" s="5">
        <f t="shared" si="17"/>
        <v>0</v>
      </c>
    </row>
    <row r="76" spans="1:20" x14ac:dyDescent="0.15">
      <c r="A76" s="4"/>
      <c r="B76" s="8"/>
      <c r="C76" s="9"/>
      <c r="D76" s="10"/>
      <c r="E76" s="9"/>
      <c r="F76" s="5">
        <f t="shared" si="15"/>
        <v>0</v>
      </c>
      <c r="H76" s="4"/>
      <c r="I76" s="8"/>
      <c r="J76" s="9"/>
      <c r="K76" s="10"/>
      <c r="L76" s="9"/>
      <c r="M76" s="7">
        <f t="shared" si="16"/>
        <v>0</v>
      </c>
      <c r="N76" s="41"/>
      <c r="O76" s="4"/>
      <c r="P76" s="8"/>
      <c r="Q76" s="9"/>
      <c r="R76" s="10"/>
      <c r="S76" s="9"/>
      <c r="T76" s="5">
        <f t="shared" si="17"/>
        <v>0</v>
      </c>
    </row>
    <row r="77" spans="1:20" x14ac:dyDescent="0.15">
      <c r="A77" s="4"/>
      <c r="B77" s="8"/>
      <c r="C77" s="9"/>
      <c r="D77" s="10"/>
      <c r="E77" s="9"/>
      <c r="F77" s="5">
        <f t="shared" si="15"/>
        <v>0</v>
      </c>
      <c r="H77" s="4"/>
      <c r="I77" s="8"/>
      <c r="J77" s="9"/>
      <c r="K77" s="10"/>
      <c r="L77" s="9"/>
      <c r="M77" s="7">
        <f t="shared" si="16"/>
        <v>0</v>
      </c>
      <c r="N77" s="41"/>
      <c r="O77" s="11"/>
      <c r="P77" s="8"/>
      <c r="Q77" s="9"/>
      <c r="R77" s="10"/>
      <c r="S77" s="9"/>
      <c r="T77" s="5">
        <f t="shared" si="17"/>
        <v>0</v>
      </c>
    </row>
    <row r="78" spans="1:20" x14ac:dyDescent="0.15">
      <c r="A78" s="4"/>
      <c r="B78" s="8"/>
      <c r="C78" s="9"/>
      <c r="D78" s="10"/>
      <c r="E78" s="9"/>
      <c r="F78" s="5">
        <f t="shared" si="15"/>
        <v>0</v>
      </c>
      <c r="H78" s="48"/>
      <c r="I78" s="8"/>
      <c r="J78" s="9"/>
      <c r="K78" s="10"/>
      <c r="L78" s="9"/>
      <c r="M78" s="7">
        <f t="shared" si="16"/>
        <v>0</v>
      </c>
      <c r="N78" s="41"/>
      <c r="O78" s="4"/>
      <c r="P78" s="8"/>
      <c r="Q78" s="9"/>
      <c r="R78" s="10"/>
      <c r="S78" s="9"/>
      <c r="T78" s="5">
        <f t="shared" si="17"/>
        <v>0</v>
      </c>
    </row>
    <row r="79" spans="1:20" x14ac:dyDescent="0.15">
      <c r="A79" s="28"/>
      <c r="B79" s="8"/>
      <c r="C79" s="9"/>
      <c r="D79" s="10"/>
      <c r="E79" s="9"/>
      <c r="F79" s="5">
        <f t="shared" si="15"/>
        <v>0</v>
      </c>
      <c r="H79" s="4"/>
      <c r="I79" s="8"/>
      <c r="J79" s="9"/>
      <c r="K79" s="10"/>
      <c r="L79" s="9"/>
      <c r="M79" s="7">
        <f t="shared" ref="M79" si="18">SUM(I79:L79)</f>
        <v>0</v>
      </c>
      <c r="N79" s="41"/>
      <c r="O79" s="11"/>
      <c r="P79" s="8"/>
      <c r="Q79" s="9"/>
      <c r="R79" s="10"/>
      <c r="S79" s="9"/>
      <c r="T79" s="5">
        <f t="shared" si="17"/>
        <v>0</v>
      </c>
    </row>
    <row r="80" spans="1:20" x14ac:dyDescent="0.15">
      <c r="A80" s="4"/>
      <c r="B80" s="8"/>
      <c r="C80" s="9"/>
      <c r="D80" s="10"/>
      <c r="E80" s="9"/>
      <c r="F80" s="5">
        <f t="shared" si="15"/>
        <v>0</v>
      </c>
      <c r="H80" s="4"/>
      <c r="I80" s="8"/>
      <c r="J80" s="9"/>
      <c r="K80" s="10"/>
      <c r="L80" s="9"/>
      <c r="M80" s="7">
        <f t="shared" si="16"/>
        <v>0</v>
      </c>
      <c r="N80" s="41"/>
      <c r="O80" s="4"/>
      <c r="P80" s="8"/>
      <c r="Q80" s="9"/>
      <c r="R80" s="10"/>
      <c r="S80" s="9"/>
      <c r="T80" s="5">
        <f t="shared" si="17"/>
        <v>0</v>
      </c>
    </row>
    <row r="81" spans="1:20" x14ac:dyDescent="0.15">
      <c r="A81" s="11"/>
      <c r="B81" s="8"/>
      <c r="C81" s="9"/>
      <c r="D81" s="10"/>
      <c r="E81" s="9"/>
      <c r="F81" s="5">
        <f t="shared" si="15"/>
        <v>0</v>
      </c>
      <c r="H81" s="4"/>
      <c r="I81" s="8"/>
      <c r="J81" s="9"/>
      <c r="K81" s="10"/>
      <c r="L81" s="9"/>
      <c r="M81" s="7">
        <f t="shared" ref="M81:M82" si="19">SUM(I81:L81)</f>
        <v>0</v>
      </c>
      <c r="N81" s="41"/>
      <c r="O81" s="11"/>
      <c r="P81" s="8"/>
      <c r="Q81" s="9"/>
      <c r="R81" s="10"/>
      <c r="S81" s="9"/>
      <c r="T81" s="5">
        <f t="shared" si="17"/>
        <v>0</v>
      </c>
    </row>
    <row r="82" spans="1:20" ht="14.25" thickBot="1" x14ac:dyDescent="0.2">
      <c r="A82" s="4"/>
      <c r="B82" s="8"/>
      <c r="C82" s="9"/>
      <c r="D82" s="10"/>
      <c r="E82" s="51"/>
      <c r="F82" s="5">
        <f t="shared" si="15"/>
        <v>0</v>
      </c>
      <c r="H82" s="4"/>
      <c r="I82" s="8"/>
      <c r="J82" s="9"/>
      <c r="K82" s="10"/>
      <c r="L82" s="12"/>
      <c r="M82" s="7">
        <f t="shared" si="19"/>
        <v>0</v>
      </c>
      <c r="N82" s="41"/>
      <c r="O82" s="33"/>
      <c r="P82" s="8"/>
      <c r="Q82" s="9"/>
      <c r="R82" s="10"/>
      <c r="S82" s="51"/>
      <c r="T82" s="5">
        <f t="shared" si="17"/>
        <v>0</v>
      </c>
    </row>
    <row r="83" spans="1:20" ht="14.25" thickBot="1" x14ac:dyDescent="0.2">
      <c r="A83" s="3" t="s">
        <v>5</v>
      </c>
      <c r="B83" s="14">
        <f>SUM(B59:B82)</f>
        <v>5</v>
      </c>
      <c r="C83" s="14">
        <f>SUM(C59:C82)</f>
        <v>1</v>
      </c>
      <c r="D83" s="14">
        <f>SUM(D59:D82)</f>
        <v>6</v>
      </c>
      <c r="E83" s="14">
        <f>SUM(E59:E82)</f>
        <v>1</v>
      </c>
      <c r="F83" s="15">
        <f>SUM(B83:E83)</f>
        <v>13</v>
      </c>
      <c r="H83" s="3" t="s">
        <v>5</v>
      </c>
      <c r="I83" s="14">
        <f>SUM(I59:I82)</f>
        <v>9</v>
      </c>
      <c r="J83" s="14">
        <f>SUM(J59:J82)</f>
        <v>33</v>
      </c>
      <c r="K83" s="14">
        <f>SUM(K59:K82)</f>
        <v>11</v>
      </c>
      <c r="L83" s="14">
        <f>SUM(L59:L82)</f>
        <v>4</v>
      </c>
      <c r="M83" s="15">
        <f>SUM(I83:L83)</f>
        <v>57</v>
      </c>
      <c r="O83" s="3" t="s">
        <v>5</v>
      </c>
      <c r="P83" s="14">
        <f>SUM(P59:P82)</f>
        <v>0</v>
      </c>
      <c r="Q83" s="14">
        <f>SUM(Q59:Q82)</f>
        <v>0</v>
      </c>
      <c r="R83" s="14">
        <f>SUM(R59:R82)</f>
        <v>0</v>
      </c>
      <c r="S83" s="14">
        <f>SUM(S59:S82)</f>
        <v>0</v>
      </c>
      <c r="T83" s="15">
        <f>SUM(P83:S83)</f>
        <v>0</v>
      </c>
    </row>
    <row r="84" spans="1:20" ht="14.25" thickBot="1" x14ac:dyDescent="0.2">
      <c r="A84" s="25" t="s">
        <v>6</v>
      </c>
      <c r="B84" s="26">
        <f>B58-B83</f>
        <v>7</v>
      </c>
      <c r="C84" s="26">
        <f t="shared" ref="C84:F84" si="20">C58-C83</f>
        <v>10</v>
      </c>
      <c r="D84" s="26">
        <f t="shared" si="20"/>
        <v>8</v>
      </c>
      <c r="E84" s="26">
        <f t="shared" si="20"/>
        <v>11</v>
      </c>
      <c r="F84" s="24">
        <f t="shared" si="20"/>
        <v>36</v>
      </c>
      <c r="H84" s="25" t="s">
        <v>6</v>
      </c>
      <c r="I84" s="26">
        <f>I58-I83</f>
        <v>105</v>
      </c>
      <c r="J84" s="26">
        <f t="shared" ref="J84:M84" si="21">J58-J83</f>
        <v>283</v>
      </c>
      <c r="K84" s="26">
        <f t="shared" si="21"/>
        <v>133</v>
      </c>
      <c r="L84" s="26">
        <f t="shared" si="21"/>
        <v>153</v>
      </c>
      <c r="M84" s="24">
        <f t="shared" si="21"/>
        <v>674</v>
      </c>
      <c r="O84" s="25" t="s">
        <v>6</v>
      </c>
      <c r="P84" s="26">
        <f>P58-P83</f>
        <v>0</v>
      </c>
      <c r="Q84" s="26">
        <f t="shared" ref="Q84:T84" si="22">Q58-Q83</f>
        <v>0</v>
      </c>
      <c r="R84" s="26">
        <f t="shared" si="22"/>
        <v>0</v>
      </c>
      <c r="S84" s="26">
        <f t="shared" si="22"/>
        <v>0</v>
      </c>
      <c r="T84" s="24">
        <f t="shared" si="22"/>
        <v>0</v>
      </c>
    </row>
    <row r="85" spans="1:20" x14ac:dyDescent="0.15">
      <c r="I85">
        <f>I83+I40</f>
        <v>95</v>
      </c>
      <c r="J85">
        <f t="shared" ref="J85:M85" si="23">J83+J40</f>
        <v>117</v>
      </c>
      <c r="K85">
        <f t="shared" si="23"/>
        <v>67</v>
      </c>
      <c r="L85">
        <f t="shared" si="23"/>
        <v>47</v>
      </c>
      <c r="M85">
        <f t="shared" si="23"/>
        <v>326</v>
      </c>
    </row>
    <row r="86" spans="1:20" x14ac:dyDescent="0.15">
      <c r="I86" s="72">
        <f>I85/$M$85*100</f>
        <v>29.141104294478527</v>
      </c>
      <c r="J86" s="72">
        <f t="shared" ref="J86:M86" si="24">J85/$M$85*100</f>
        <v>35.889570552147241</v>
      </c>
      <c r="K86" s="72">
        <f t="shared" si="24"/>
        <v>20.552147239263803</v>
      </c>
      <c r="L86" s="72">
        <f t="shared" si="24"/>
        <v>14.417177914110429</v>
      </c>
      <c r="M86" s="72">
        <f t="shared" si="24"/>
        <v>100</v>
      </c>
    </row>
    <row r="87" spans="1:20" ht="21.75" thickBot="1" x14ac:dyDescent="0.25">
      <c r="A87" s="29" t="s">
        <v>13</v>
      </c>
      <c r="B87" s="1"/>
      <c r="C87" s="1"/>
      <c r="D87" s="1"/>
      <c r="E87" s="1"/>
      <c r="F87" s="1"/>
      <c r="H87" s="29" t="s">
        <v>14</v>
      </c>
      <c r="I87" s="1"/>
      <c r="J87" s="1"/>
      <c r="K87" s="1"/>
      <c r="L87" s="1"/>
      <c r="M87" s="1"/>
      <c r="O87" s="29" t="s">
        <v>15</v>
      </c>
      <c r="P87" s="1"/>
      <c r="Q87" s="1"/>
      <c r="R87" s="1"/>
      <c r="S87" s="1"/>
      <c r="T87" s="1"/>
    </row>
    <row r="88" spans="1:20" ht="14.25" thickBot="1" x14ac:dyDescent="0.2">
      <c r="A88" s="2" t="s">
        <v>0</v>
      </c>
      <c r="B88" s="164" t="s">
        <v>12</v>
      </c>
      <c r="C88" s="165"/>
      <c r="D88" s="165"/>
      <c r="E88" s="165"/>
      <c r="F88" s="168"/>
      <c r="H88" s="2" t="s">
        <v>0</v>
      </c>
      <c r="I88" s="164" t="s">
        <v>12</v>
      </c>
      <c r="J88" s="165"/>
      <c r="K88" s="165"/>
      <c r="L88" s="165"/>
      <c r="M88" s="168"/>
      <c r="O88" s="2" t="s">
        <v>0</v>
      </c>
      <c r="P88" s="164" t="s">
        <v>12</v>
      </c>
      <c r="Q88" s="165"/>
      <c r="R88" s="165"/>
      <c r="S88" s="165"/>
      <c r="T88" s="168"/>
    </row>
    <row r="89" spans="1:20" ht="14.25" thickBot="1" x14ac:dyDescent="0.2">
      <c r="A89" s="2" t="s">
        <v>1</v>
      </c>
      <c r="B89" s="3" t="s">
        <v>7</v>
      </c>
      <c r="C89" s="2" t="s">
        <v>8</v>
      </c>
      <c r="D89" s="19" t="s">
        <v>9</v>
      </c>
      <c r="E89" s="2" t="s">
        <v>11</v>
      </c>
      <c r="F89" s="2" t="s">
        <v>2</v>
      </c>
      <c r="H89" s="2" t="s">
        <v>1</v>
      </c>
      <c r="I89" s="3" t="s">
        <v>7</v>
      </c>
      <c r="J89" s="2" t="s">
        <v>8</v>
      </c>
      <c r="K89" s="19" t="s">
        <v>9</v>
      </c>
      <c r="L89" s="2" t="s">
        <v>11</v>
      </c>
      <c r="M89" s="2" t="s">
        <v>2</v>
      </c>
      <c r="O89" s="2" t="s">
        <v>1</v>
      </c>
      <c r="P89" s="3" t="s">
        <v>7</v>
      </c>
      <c r="Q89" s="2" t="s">
        <v>8</v>
      </c>
      <c r="R89" s="19" t="s">
        <v>9</v>
      </c>
      <c r="S89" s="2" t="s">
        <v>11</v>
      </c>
      <c r="T89" s="2" t="s">
        <v>2</v>
      </c>
    </row>
    <row r="90" spans="1:20" x14ac:dyDescent="0.15">
      <c r="A90" s="27" t="s">
        <v>6</v>
      </c>
      <c r="B90" s="18">
        <f>B84</f>
        <v>7</v>
      </c>
      <c r="C90" s="20">
        <f>C84</f>
        <v>10</v>
      </c>
      <c r="D90" s="55">
        <f>D84</f>
        <v>8</v>
      </c>
      <c r="E90" s="20">
        <f>E84</f>
        <v>11</v>
      </c>
      <c r="F90" s="17">
        <f>SUM(B90:E90)</f>
        <v>36</v>
      </c>
      <c r="H90" s="27" t="s">
        <v>6</v>
      </c>
      <c r="I90" s="18">
        <f>I84</f>
        <v>105</v>
      </c>
      <c r="J90" s="20">
        <f>J84</f>
        <v>283</v>
      </c>
      <c r="K90" s="55">
        <f>K84</f>
        <v>133</v>
      </c>
      <c r="L90" s="58">
        <f>L84</f>
        <v>153</v>
      </c>
      <c r="M90" s="17">
        <f>SUM(I90:L90)</f>
        <v>674</v>
      </c>
      <c r="O90" s="27" t="s">
        <v>6</v>
      </c>
      <c r="P90" s="18">
        <f>P84</f>
        <v>0</v>
      </c>
      <c r="Q90" s="20">
        <f>Q84</f>
        <v>0</v>
      </c>
      <c r="R90" s="55">
        <f>R84</f>
        <v>0</v>
      </c>
      <c r="S90" s="20">
        <f>S84</f>
        <v>0</v>
      </c>
      <c r="T90" s="17">
        <f>SUM(P90:S90)</f>
        <v>0</v>
      </c>
    </row>
    <row r="91" spans="1:20" x14ac:dyDescent="0.15">
      <c r="A91" s="6" t="s">
        <v>3</v>
      </c>
      <c r="B91" s="16">
        <v>10</v>
      </c>
      <c r="C91" s="11"/>
      <c r="D91" s="16">
        <v>5</v>
      </c>
      <c r="E91" s="4"/>
      <c r="F91" s="5">
        <f t="shared" ref="F91:F100" si="25">SUM(B91:E91)</f>
        <v>15</v>
      </c>
      <c r="G91" s="39">
        <v>44447</v>
      </c>
      <c r="H91" s="6" t="s">
        <v>3</v>
      </c>
      <c r="I91" s="16"/>
      <c r="J91" s="11"/>
      <c r="K91" s="16"/>
      <c r="L91" s="4"/>
      <c r="M91" s="5">
        <f t="shared" ref="M91:M100" si="26">SUM(I91:L91)</f>
        <v>0</v>
      </c>
      <c r="O91" s="6" t="s">
        <v>3</v>
      </c>
      <c r="P91" s="16"/>
      <c r="Q91" s="11"/>
      <c r="R91" s="16"/>
      <c r="S91" s="4"/>
      <c r="T91" s="5">
        <f t="shared" ref="T91:T100" si="27">SUM(P91:S91)</f>
        <v>0</v>
      </c>
    </row>
    <row r="92" spans="1:20" x14ac:dyDescent="0.15">
      <c r="A92" s="6" t="s">
        <v>3</v>
      </c>
      <c r="B92" s="16">
        <v>5</v>
      </c>
      <c r="C92" s="11">
        <v>10</v>
      </c>
      <c r="D92" s="16"/>
      <c r="E92" s="4"/>
      <c r="F92" s="5">
        <f t="shared" si="25"/>
        <v>15</v>
      </c>
      <c r="G92" s="39">
        <v>44461</v>
      </c>
      <c r="H92" s="6" t="s">
        <v>17</v>
      </c>
      <c r="I92" s="38">
        <v>494</v>
      </c>
      <c r="J92" s="32">
        <v>683</v>
      </c>
      <c r="K92" s="31">
        <v>500</v>
      </c>
      <c r="L92" s="52">
        <v>265</v>
      </c>
      <c r="M92" s="5">
        <f t="shared" si="26"/>
        <v>1942</v>
      </c>
      <c r="N92" s="39" t="s">
        <v>68</v>
      </c>
      <c r="O92" s="6" t="s">
        <v>3</v>
      </c>
      <c r="P92" s="31"/>
      <c r="Q92" s="32"/>
      <c r="R92" s="31"/>
      <c r="S92" s="52"/>
      <c r="T92" s="5">
        <f t="shared" si="27"/>
        <v>0</v>
      </c>
    </row>
    <row r="93" spans="1:20" x14ac:dyDescent="0.15">
      <c r="A93" s="6" t="s">
        <v>3</v>
      </c>
      <c r="B93" s="16"/>
      <c r="C93" s="11"/>
      <c r="D93" s="16"/>
      <c r="E93" s="4"/>
      <c r="F93" s="5">
        <f t="shared" si="25"/>
        <v>0</v>
      </c>
      <c r="G93" s="41"/>
      <c r="H93" s="6" t="s">
        <v>3</v>
      </c>
      <c r="I93" s="38"/>
      <c r="J93" s="32"/>
      <c r="K93" s="31">
        <v>8</v>
      </c>
      <c r="L93" s="52"/>
      <c r="M93" s="5">
        <f t="shared" si="26"/>
        <v>8</v>
      </c>
      <c r="N93" s="39" t="s">
        <v>99</v>
      </c>
      <c r="O93" s="6" t="s">
        <v>3</v>
      </c>
      <c r="P93" s="31"/>
      <c r="Q93" s="32"/>
      <c r="R93" s="31"/>
      <c r="S93" s="52"/>
      <c r="T93" s="5">
        <f t="shared" si="27"/>
        <v>0</v>
      </c>
    </row>
    <row r="94" spans="1:20" x14ac:dyDescent="0.15">
      <c r="A94" s="6" t="s">
        <v>3</v>
      </c>
      <c r="B94" s="16"/>
      <c r="C94" s="11"/>
      <c r="D94" s="16"/>
      <c r="E94" s="4"/>
      <c r="F94" s="5">
        <f t="shared" si="25"/>
        <v>0</v>
      </c>
      <c r="G94" s="41"/>
      <c r="H94" s="6" t="s">
        <v>3</v>
      </c>
      <c r="I94" s="38"/>
      <c r="J94" s="32"/>
      <c r="K94" s="31"/>
      <c r="L94" s="52"/>
      <c r="M94" s="5">
        <f t="shared" si="26"/>
        <v>0</v>
      </c>
      <c r="N94" s="41"/>
      <c r="O94" s="6" t="s">
        <v>3</v>
      </c>
      <c r="P94" s="38"/>
      <c r="Q94" s="32"/>
      <c r="R94" s="31"/>
      <c r="S94" s="52"/>
      <c r="T94" s="5">
        <f t="shared" si="27"/>
        <v>0</v>
      </c>
    </row>
    <row r="95" spans="1:20" x14ac:dyDescent="0.15">
      <c r="A95" s="6" t="s">
        <v>3</v>
      </c>
      <c r="B95" s="16"/>
      <c r="C95" s="11"/>
      <c r="D95" s="16"/>
      <c r="E95" s="4"/>
      <c r="F95" s="5">
        <f t="shared" si="25"/>
        <v>0</v>
      </c>
      <c r="G95" s="41"/>
      <c r="H95" s="6" t="s">
        <v>3</v>
      </c>
      <c r="I95" s="31"/>
      <c r="J95" s="32"/>
      <c r="K95" s="31"/>
      <c r="L95" s="52"/>
      <c r="M95" s="5">
        <f t="shared" si="26"/>
        <v>0</v>
      </c>
      <c r="N95" s="41"/>
      <c r="O95" s="6" t="s">
        <v>3</v>
      </c>
      <c r="P95" s="31"/>
      <c r="Q95" s="32"/>
      <c r="R95" s="31"/>
      <c r="S95" s="52"/>
      <c r="T95" s="5">
        <f t="shared" si="27"/>
        <v>0</v>
      </c>
    </row>
    <row r="96" spans="1:20" x14ac:dyDescent="0.15">
      <c r="A96" s="6" t="s">
        <v>3</v>
      </c>
      <c r="B96" s="16"/>
      <c r="C96" s="11"/>
      <c r="D96" s="16"/>
      <c r="E96" s="4"/>
      <c r="F96" s="5">
        <f t="shared" si="25"/>
        <v>0</v>
      </c>
      <c r="G96" s="41"/>
      <c r="H96" s="6" t="s">
        <v>3</v>
      </c>
      <c r="I96" s="38"/>
      <c r="J96" s="32"/>
      <c r="K96" s="31"/>
      <c r="L96" s="52"/>
      <c r="M96" s="5">
        <f t="shared" si="26"/>
        <v>0</v>
      </c>
      <c r="N96" s="41"/>
      <c r="O96" s="6" t="s">
        <v>3</v>
      </c>
      <c r="P96" s="38"/>
      <c r="Q96" s="32"/>
      <c r="R96" s="31"/>
      <c r="S96" s="52"/>
      <c r="T96" s="5">
        <f t="shared" si="27"/>
        <v>0</v>
      </c>
    </row>
    <row r="97" spans="1:20" x14ac:dyDescent="0.15">
      <c r="A97" s="6" t="s">
        <v>3</v>
      </c>
      <c r="B97" s="31"/>
      <c r="C97" s="32"/>
      <c r="D97" s="31"/>
      <c r="E97" s="52"/>
      <c r="F97" s="5">
        <f t="shared" si="25"/>
        <v>0</v>
      </c>
      <c r="G97" s="41"/>
      <c r="H97" s="6" t="s">
        <v>3</v>
      </c>
      <c r="I97" s="16"/>
      <c r="J97" s="11"/>
      <c r="K97" s="16"/>
      <c r="L97" s="4"/>
      <c r="M97" s="5">
        <f t="shared" si="26"/>
        <v>0</v>
      </c>
      <c r="N97" s="41"/>
      <c r="O97" s="6" t="s">
        <v>3</v>
      </c>
      <c r="P97" s="38"/>
      <c r="Q97" s="32"/>
      <c r="R97" s="31"/>
      <c r="S97" s="52"/>
      <c r="T97" s="5">
        <f t="shared" si="27"/>
        <v>0</v>
      </c>
    </row>
    <row r="98" spans="1:20" x14ac:dyDescent="0.15">
      <c r="A98" s="6" t="s">
        <v>3</v>
      </c>
      <c r="B98" s="10"/>
      <c r="C98" s="9"/>
      <c r="D98" s="10"/>
      <c r="E98" s="49"/>
      <c r="F98" s="5">
        <f t="shared" si="25"/>
        <v>0</v>
      </c>
      <c r="G98" s="41"/>
      <c r="H98" s="6" t="s">
        <v>3</v>
      </c>
      <c r="I98" s="31"/>
      <c r="J98" s="32"/>
      <c r="K98" s="31"/>
      <c r="L98" s="52"/>
      <c r="M98" s="5">
        <f t="shared" si="26"/>
        <v>0</v>
      </c>
      <c r="O98" s="6" t="s">
        <v>3</v>
      </c>
      <c r="P98" s="10"/>
      <c r="Q98" s="9"/>
      <c r="R98" s="10"/>
      <c r="S98" s="49"/>
      <c r="T98" s="5">
        <f t="shared" si="27"/>
        <v>0</v>
      </c>
    </row>
    <row r="99" spans="1:20" x14ac:dyDescent="0.15">
      <c r="A99" s="6" t="s">
        <v>3</v>
      </c>
      <c r="B99" s="31"/>
      <c r="C99" s="32"/>
      <c r="D99" s="31"/>
      <c r="E99" s="52"/>
      <c r="F99" s="5">
        <f t="shared" si="25"/>
        <v>0</v>
      </c>
      <c r="G99" s="41"/>
      <c r="H99" s="6" t="s">
        <v>3</v>
      </c>
      <c r="I99" s="34"/>
      <c r="J99" s="35"/>
      <c r="K99" s="34"/>
      <c r="L99" s="32"/>
      <c r="M99" s="5">
        <f t="shared" si="26"/>
        <v>0</v>
      </c>
      <c r="O99" s="6" t="s">
        <v>3</v>
      </c>
      <c r="P99" s="34"/>
      <c r="Q99" s="35"/>
      <c r="R99" s="34"/>
      <c r="S99" s="32"/>
      <c r="T99" s="5">
        <f t="shared" si="27"/>
        <v>0</v>
      </c>
    </row>
    <row r="100" spans="1:20" ht="14.25" thickBot="1" x14ac:dyDescent="0.2">
      <c r="A100" s="6" t="s">
        <v>3</v>
      </c>
      <c r="B100" s="13"/>
      <c r="C100" s="12"/>
      <c r="D100" s="13"/>
      <c r="E100" s="50"/>
      <c r="F100" s="5">
        <f t="shared" si="25"/>
        <v>0</v>
      </c>
      <c r="G100" s="41"/>
      <c r="H100" s="6" t="s">
        <v>3</v>
      </c>
      <c r="I100" s="34"/>
      <c r="J100" s="35"/>
      <c r="K100" s="34"/>
      <c r="L100" s="53"/>
      <c r="M100" s="5">
        <f t="shared" si="26"/>
        <v>0</v>
      </c>
      <c r="O100" s="6" t="s">
        <v>3</v>
      </c>
      <c r="P100" s="13"/>
      <c r="Q100" s="12"/>
      <c r="R100" s="13"/>
      <c r="S100" s="50"/>
      <c r="T100" s="17">
        <f t="shared" si="27"/>
        <v>0</v>
      </c>
    </row>
    <row r="101" spans="1:20" ht="14.25" thickBot="1" x14ac:dyDescent="0.2">
      <c r="A101" s="21" t="s">
        <v>4</v>
      </c>
      <c r="B101" s="22">
        <f>SUM(B90:B100)</f>
        <v>22</v>
      </c>
      <c r="C101" s="22">
        <f>SUM(C90:C100)</f>
        <v>20</v>
      </c>
      <c r="D101" s="23">
        <f>SUM(D90:D100)</f>
        <v>13</v>
      </c>
      <c r="E101" s="23">
        <f>SUM(E90:E100)</f>
        <v>11</v>
      </c>
      <c r="F101" s="24">
        <f>SUM(B101:E101)</f>
        <v>66</v>
      </c>
      <c r="H101" s="21" t="s">
        <v>4</v>
      </c>
      <c r="I101" s="22">
        <f>SUM(I90:I100)</f>
        <v>599</v>
      </c>
      <c r="J101" s="22">
        <f>SUM(J90:J100)</f>
        <v>966</v>
      </c>
      <c r="K101" s="23">
        <f>SUM(K90:K100)</f>
        <v>641</v>
      </c>
      <c r="L101" s="23">
        <f>SUM(L90:L100)</f>
        <v>418</v>
      </c>
      <c r="M101" s="24">
        <f>SUM(I101:L101)</f>
        <v>2624</v>
      </c>
      <c r="O101" s="21" t="s">
        <v>4</v>
      </c>
      <c r="P101" s="22">
        <f>SUM(P90:P100)</f>
        <v>0</v>
      </c>
      <c r="Q101" s="22">
        <f>SUM(Q90:Q100)</f>
        <v>0</v>
      </c>
      <c r="R101" s="23">
        <f>SUM(R90:R100)</f>
        <v>0</v>
      </c>
      <c r="S101" s="23">
        <f>SUM(S90:S100)</f>
        <v>0</v>
      </c>
      <c r="T101" s="24">
        <f>SUM(P101:S101)</f>
        <v>0</v>
      </c>
    </row>
    <row r="102" spans="1:20" x14ac:dyDescent="0.15">
      <c r="A102" s="48" t="s">
        <v>75</v>
      </c>
      <c r="B102" s="8">
        <v>2</v>
      </c>
      <c r="C102" s="9"/>
      <c r="D102" s="10"/>
      <c r="E102" s="49"/>
      <c r="F102" s="5">
        <f>SUM(B102:E102)</f>
        <v>2</v>
      </c>
      <c r="G102" s="39">
        <v>44434</v>
      </c>
      <c r="H102" s="4" t="s">
        <v>62</v>
      </c>
      <c r="I102" s="8">
        <v>10</v>
      </c>
      <c r="J102" s="9">
        <v>10</v>
      </c>
      <c r="K102" s="10">
        <v>10</v>
      </c>
      <c r="L102" s="9">
        <v>10</v>
      </c>
      <c r="M102" s="7">
        <f>SUM(I102:L102)</f>
        <v>40</v>
      </c>
      <c r="N102" s="39">
        <v>44435</v>
      </c>
      <c r="O102" s="6"/>
      <c r="P102" s="31"/>
      <c r="Q102" s="32"/>
      <c r="R102" s="31"/>
      <c r="S102" s="52"/>
      <c r="T102" s="5">
        <f>SUM(P102:S102)</f>
        <v>0</v>
      </c>
    </row>
    <row r="103" spans="1:20" x14ac:dyDescent="0.15">
      <c r="A103" s="28" t="s">
        <v>39</v>
      </c>
      <c r="B103" s="8"/>
      <c r="C103" s="9">
        <v>1</v>
      </c>
      <c r="D103" s="10"/>
      <c r="E103" s="49"/>
      <c r="F103" s="5">
        <f t="shared" ref="F103:F125" si="28">SUM(B103:E103)</f>
        <v>1</v>
      </c>
      <c r="G103" s="39">
        <v>44435</v>
      </c>
      <c r="H103" s="4" t="s">
        <v>72</v>
      </c>
      <c r="I103" s="8">
        <v>25</v>
      </c>
      <c r="J103" s="9">
        <v>30</v>
      </c>
      <c r="K103" s="10">
        <v>15</v>
      </c>
      <c r="L103" s="9">
        <v>10</v>
      </c>
      <c r="M103" s="7">
        <f t="shared" ref="M103:M123" si="29">SUM(I103:L103)</f>
        <v>80</v>
      </c>
      <c r="N103" s="39">
        <v>44442</v>
      </c>
      <c r="O103" s="4"/>
      <c r="P103" s="45"/>
      <c r="Q103" s="46"/>
      <c r="R103" s="47"/>
      <c r="S103" s="56"/>
      <c r="T103" s="5">
        <f t="shared" ref="T103:T125" si="30">SUM(P103:S103)</f>
        <v>0</v>
      </c>
    </row>
    <row r="104" spans="1:20" x14ac:dyDescent="0.15">
      <c r="A104" s="28" t="s">
        <v>80</v>
      </c>
      <c r="B104" s="8"/>
      <c r="C104" s="9"/>
      <c r="D104" s="10"/>
      <c r="E104" s="49">
        <v>1</v>
      </c>
      <c r="F104" s="5">
        <f t="shared" si="28"/>
        <v>1</v>
      </c>
      <c r="G104" s="71">
        <v>44440</v>
      </c>
      <c r="H104" s="4" t="s">
        <v>73</v>
      </c>
      <c r="I104" s="8">
        <v>20</v>
      </c>
      <c r="J104" s="9">
        <v>25</v>
      </c>
      <c r="K104" s="10">
        <v>15</v>
      </c>
      <c r="L104" s="49">
        <v>10</v>
      </c>
      <c r="M104" s="7">
        <f t="shared" si="29"/>
        <v>70</v>
      </c>
      <c r="N104" s="39">
        <v>44442</v>
      </c>
      <c r="O104" s="4"/>
      <c r="P104" s="36"/>
      <c r="Q104" s="37"/>
      <c r="R104" s="36"/>
      <c r="S104" s="54"/>
      <c r="T104" s="5">
        <f t="shared" si="30"/>
        <v>0</v>
      </c>
    </row>
    <row r="105" spans="1:20" x14ac:dyDescent="0.15">
      <c r="A105" s="48" t="s">
        <v>81</v>
      </c>
      <c r="B105" s="8"/>
      <c r="C105" s="9"/>
      <c r="D105" s="10">
        <v>2</v>
      </c>
      <c r="E105" s="49"/>
      <c r="F105" s="5">
        <f t="shared" si="28"/>
        <v>2</v>
      </c>
      <c r="G105" s="39">
        <v>44443</v>
      </c>
      <c r="H105" s="4" t="s">
        <v>74</v>
      </c>
      <c r="I105" s="8">
        <v>60</v>
      </c>
      <c r="J105" s="9">
        <v>100</v>
      </c>
      <c r="K105" s="10">
        <v>60</v>
      </c>
      <c r="L105" s="9"/>
      <c r="M105" s="7">
        <f t="shared" si="29"/>
        <v>220</v>
      </c>
      <c r="N105" s="39">
        <v>44434</v>
      </c>
      <c r="O105" s="4"/>
      <c r="P105" s="8"/>
      <c r="Q105" s="9"/>
      <c r="R105" s="10"/>
      <c r="S105" s="49"/>
      <c r="T105" s="5">
        <f t="shared" si="30"/>
        <v>0</v>
      </c>
    </row>
    <row r="106" spans="1:20" x14ac:dyDescent="0.15">
      <c r="A106" s="48" t="s">
        <v>82</v>
      </c>
      <c r="B106" s="8">
        <v>2</v>
      </c>
      <c r="C106" s="9"/>
      <c r="D106" s="10"/>
      <c r="E106" s="9"/>
      <c r="F106" s="7">
        <f t="shared" si="28"/>
        <v>2</v>
      </c>
      <c r="G106" s="39">
        <v>44446</v>
      </c>
      <c r="H106" s="48" t="s">
        <v>76</v>
      </c>
      <c r="I106" s="8">
        <v>2</v>
      </c>
      <c r="J106" s="9">
        <v>2</v>
      </c>
      <c r="K106" s="10"/>
      <c r="L106" s="49"/>
      <c r="M106" s="7">
        <f t="shared" si="29"/>
        <v>4</v>
      </c>
      <c r="N106" s="39">
        <v>44435</v>
      </c>
      <c r="O106" s="4"/>
      <c r="P106" s="8"/>
      <c r="Q106" s="9"/>
      <c r="R106" s="10"/>
      <c r="S106" s="49"/>
      <c r="T106" s="5">
        <f t="shared" si="30"/>
        <v>0</v>
      </c>
    </row>
    <row r="107" spans="1:20" x14ac:dyDescent="0.15">
      <c r="A107" s="28" t="s">
        <v>34</v>
      </c>
      <c r="B107" s="8">
        <v>1</v>
      </c>
      <c r="C107" s="9"/>
      <c r="D107" s="10"/>
      <c r="E107" s="9"/>
      <c r="F107" s="5">
        <f t="shared" si="28"/>
        <v>1</v>
      </c>
      <c r="G107" s="71">
        <v>44445</v>
      </c>
      <c r="H107" s="48" t="s">
        <v>77</v>
      </c>
      <c r="I107" s="8"/>
      <c r="J107" s="9"/>
      <c r="K107" s="10">
        <v>2</v>
      </c>
      <c r="L107" s="9"/>
      <c r="M107" s="7">
        <f t="shared" si="29"/>
        <v>2</v>
      </c>
      <c r="N107" s="39">
        <v>44436</v>
      </c>
      <c r="O107" s="4"/>
      <c r="P107" s="8"/>
      <c r="Q107" s="9"/>
      <c r="R107" s="10"/>
      <c r="S107" s="9"/>
      <c r="T107" s="5">
        <f t="shared" si="30"/>
        <v>0</v>
      </c>
    </row>
    <row r="108" spans="1:20" x14ac:dyDescent="0.15">
      <c r="A108" s="28" t="s">
        <v>39</v>
      </c>
      <c r="B108" s="8"/>
      <c r="C108" s="9">
        <v>1</v>
      </c>
      <c r="D108" s="10"/>
      <c r="E108" s="9"/>
      <c r="F108" s="5">
        <f t="shared" si="28"/>
        <v>1</v>
      </c>
      <c r="G108" s="39">
        <v>44447</v>
      </c>
      <c r="H108" s="48" t="s">
        <v>78</v>
      </c>
      <c r="I108" s="8">
        <v>2</v>
      </c>
      <c r="J108" s="9">
        <v>2</v>
      </c>
      <c r="K108" s="10"/>
      <c r="L108" s="9"/>
      <c r="M108" s="7">
        <f t="shared" si="29"/>
        <v>4</v>
      </c>
      <c r="N108" s="39">
        <v>44439</v>
      </c>
      <c r="O108" s="4"/>
      <c r="P108" s="8"/>
      <c r="Q108" s="9"/>
      <c r="R108" s="10"/>
      <c r="S108" s="9"/>
      <c r="T108" s="5">
        <f t="shared" si="30"/>
        <v>0</v>
      </c>
    </row>
    <row r="109" spans="1:20" x14ac:dyDescent="0.15">
      <c r="A109" s="28" t="s">
        <v>34</v>
      </c>
      <c r="B109" s="8"/>
      <c r="C109" s="9">
        <v>2</v>
      </c>
      <c r="D109" s="10"/>
      <c r="E109" s="9"/>
      <c r="F109" s="5">
        <f t="shared" si="28"/>
        <v>2</v>
      </c>
      <c r="G109" s="71">
        <v>44447</v>
      </c>
      <c r="H109" s="4" t="s">
        <v>79</v>
      </c>
      <c r="I109" s="8">
        <v>18</v>
      </c>
      <c r="J109" s="9">
        <v>13</v>
      </c>
      <c r="K109" s="10"/>
      <c r="L109" s="9"/>
      <c r="M109" s="7">
        <f t="shared" si="29"/>
        <v>31</v>
      </c>
      <c r="N109" s="39">
        <v>44439</v>
      </c>
      <c r="O109" s="4"/>
      <c r="P109" s="8"/>
      <c r="Q109" s="9"/>
      <c r="R109" s="10"/>
      <c r="S109" s="9"/>
      <c r="T109" s="5">
        <f t="shared" si="30"/>
        <v>0</v>
      </c>
    </row>
    <row r="110" spans="1:20" x14ac:dyDescent="0.15">
      <c r="A110" s="48" t="s">
        <v>88</v>
      </c>
      <c r="B110" s="8">
        <v>2</v>
      </c>
      <c r="C110" s="9">
        <v>2</v>
      </c>
      <c r="D110" s="10"/>
      <c r="E110" s="9"/>
      <c r="F110" s="5">
        <f t="shared" si="28"/>
        <v>4</v>
      </c>
      <c r="G110" s="39">
        <v>44449</v>
      </c>
      <c r="H110" s="11" t="s">
        <v>83</v>
      </c>
      <c r="I110" s="36">
        <v>10</v>
      </c>
      <c r="J110" s="37"/>
      <c r="K110" s="36">
        <v>5</v>
      </c>
      <c r="L110" s="54"/>
      <c r="M110" s="5">
        <f t="shared" si="29"/>
        <v>15</v>
      </c>
      <c r="N110" s="39">
        <v>44447</v>
      </c>
      <c r="O110" s="4"/>
      <c r="P110" s="8"/>
      <c r="Q110" s="9"/>
      <c r="R110" s="10"/>
      <c r="S110" s="9"/>
      <c r="T110" s="5">
        <f t="shared" si="30"/>
        <v>0</v>
      </c>
    </row>
    <row r="111" spans="1:20" x14ac:dyDescent="0.15">
      <c r="A111" s="28" t="s">
        <v>34</v>
      </c>
      <c r="B111" s="8">
        <v>1</v>
      </c>
      <c r="C111" s="9"/>
      <c r="D111" s="10"/>
      <c r="E111" s="9"/>
      <c r="F111" s="5">
        <f t="shared" si="28"/>
        <v>1</v>
      </c>
      <c r="G111" s="71">
        <v>44448</v>
      </c>
      <c r="H111" s="4" t="s">
        <v>84</v>
      </c>
      <c r="I111" s="8"/>
      <c r="J111" s="9"/>
      <c r="K111" s="10"/>
      <c r="L111" s="9">
        <v>20</v>
      </c>
      <c r="M111" s="7">
        <f t="shared" si="29"/>
        <v>20</v>
      </c>
      <c r="N111" s="39">
        <v>44448</v>
      </c>
      <c r="O111" s="4"/>
      <c r="P111" s="8"/>
      <c r="Q111" s="9"/>
      <c r="R111" s="10"/>
      <c r="S111" s="9"/>
      <c r="T111" s="5">
        <f t="shared" si="30"/>
        <v>0</v>
      </c>
    </row>
    <row r="112" spans="1:20" x14ac:dyDescent="0.15">
      <c r="A112" s="28" t="s">
        <v>34</v>
      </c>
      <c r="B112" s="8"/>
      <c r="C112" s="9"/>
      <c r="D112" s="10">
        <v>2</v>
      </c>
      <c r="E112" s="9"/>
      <c r="F112" s="5">
        <f t="shared" si="28"/>
        <v>2</v>
      </c>
      <c r="G112" s="71">
        <v>44452</v>
      </c>
      <c r="H112" s="4" t="s">
        <v>85</v>
      </c>
      <c r="I112" s="8">
        <v>20</v>
      </c>
      <c r="J112" s="9">
        <v>50</v>
      </c>
      <c r="K112" s="10">
        <v>15</v>
      </c>
      <c r="L112" s="9">
        <v>45</v>
      </c>
      <c r="M112" s="7">
        <f t="shared" si="29"/>
        <v>130</v>
      </c>
      <c r="N112" s="39">
        <v>44449</v>
      </c>
      <c r="O112" s="4"/>
      <c r="P112" s="8"/>
      <c r="Q112" s="9"/>
      <c r="R112" s="10"/>
      <c r="S112" s="9"/>
      <c r="T112" s="5">
        <f t="shared" si="30"/>
        <v>0</v>
      </c>
    </row>
    <row r="113" spans="1:20" x14ac:dyDescent="0.15">
      <c r="A113" s="4" t="s">
        <v>95</v>
      </c>
      <c r="B113" s="8">
        <v>1</v>
      </c>
      <c r="C113" s="9"/>
      <c r="D113" s="10"/>
      <c r="E113" s="9"/>
      <c r="F113" s="5">
        <f t="shared" si="28"/>
        <v>1</v>
      </c>
      <c r="G113" s="71">
        <v>44456</v>
      </c>
      <c r="H113" s="4" t="s">
        <v>86</v>
      </c>
      <c r="I113" s="8">
        <v>15</v>
      </c>
      <c r="J113" s="9">
        <v>40</v>
      </c>
      <c r="K113" s="10">
        <v>20</v>
      </c>
      <c r="L113" s="9">
        <v>20</v>
      </c>
      <c r="M113" s="7">
        <f t="shared" si="29"/>
        <v>95</v>
      </c>
      <c r="N113" s="39">
        <v>44449</v>
      </c>
      <c r="O113" s="4"/>
      <c r="P113" s="8"/>
      <c r="Q113" s="9"/>
      <c r="R113" s="10"/>
      <c r="S113" s="9"/>
      <c r="T113" s="5">
        <f t="shared" si="30"/>
        <v>0</v>
      </c>
    </row>
    <row r="114" spans="1:20" x14ac:dyDescent="0.15">
      <c r="A114" s="48" t="s">
        <v>97</v>
      </c>
      <c r="B114" s="8"/>
      <c r="C114" s="9">
        <v>2</v>
      </c>
      <c r="D114" s="10"/>
      <c r="E114" s="9"/>
      <c r="F114" s="5">
        <f t="shared" si="28"/>
        <v>2</v>
      </c>
      <c r="G114" s="39">
        <v>44461</v>
      </c>
      <c r="H114" s="4" t="s">
        <v>87</v>
      </c>
      <c r="I114" s="8">
        <v>10</v>
      </c>
      <c r="J114" s="9">
        <v>30</v>
      </c>
      <c r="K114" s="10">
        <v>10</v>
      </c>
      <c r="L114" s="9"/>
      <c r="M114" s="7">
        <f t="shared" si="29"/>
        <v>50</v>
      </c>
      <c r="N114" s="39">
        <v>44450</v>
      </c>
      <c r="O114" s="4"/>
      <c r="P114" s="8"/>
      <c r="Q114" s="9"/>
      <c r="R114" s="10"/>
      <c r="S114" s="9"/>
      <c r="T114" s="5">
        <f t="shared" si="30"/>
        <v>0</v>
      </c>
    </row>
    <row r="115" spans="1:20" x14ac:dyDescent="0.15">
      <c r="A115" s="28" t="s">
        <v>34</v>
      </c>
      <c r="B115" s="8">
        <f>1+1</f>
        <v>2</v>
      </c>
      <c r="C115" s="9">
        <f>1+1</f>
        <v>2</v>
      </c>
      <c r="D115" s="10"/>
      <c r="E115" s="9"/>
      <c r="F115" s="5">
        <f t="shared" si="28"/>
        <v>4</v>
      </c>
      <c r="G115" s="71">
        <v>44460</v>
      </c>
      <c r="H115" s="4" t="s">
        <v>89</v>
      </c>
      <c r="I115" s="8"/>
      <c r="J115" s="9">
        <v>10</v>
      </c>
      <c r="K115" s="10">
        <v>10</v>
      </c>
      <c r="L115" s="9">
        <v>10</v>
      </c>
      <c r="M115" s="7">
        <f t="shared" si="29"/>
        <v>30</v>
      </c>
      <c r="N115" s="39">
        <v>44450</v>
      </c>
      <c r="O115" s="11"/>
      <c r="P115" s="8"/>
      <c r="Q115" s="9"/>
      <c r="R115" s="10"/>
      <c r="S115" s="9"/>
      <c r="T115" s="5">
        <f t="shared" si="30"/>
        <v>0</v>
      </c>
    </row>
    <row r="116" spans="1:20" x14ac:dyDescent="0.15">
      <c r="A116" s="28" t="s">
        <v>108</v>
      </c>
      <c r="B116" s="8">
        <v>1</v>
      </c>
      <c r="C116" s="9"/>
      <c r="D116" s="10"/>
      <c r="E116" s="9"/>
      <c r="F116" s="5">
        <f t="shared" si="28"/>
        <v>1</v>
      </c>
      <c r="G116" s="71">
        <v>44460</v>
      </c>
      <c r="H116" s="48" t="s">
        <v>90</v>
      </c>
      <c r="I116" s="8"/>
      <c r="J116" s="9">
        <v>2</v>
      </c>
      <c r="K116" s="10"/>
      <c r="L116" s="9">
        <v>2</v>
      </c>
      <c r="M116" s="7">
        <f t="shared" si="29"/>
        <v>4</v>
      </c>
      <c r="N116" s="39">
        <v>44452</v>
      </c>
      <c r="O116" s="4"/>
      <c r="P116" s="8"/>
      <c r="Q116" s="9"/>
      <c r="R116" s="10"/>
      <c r="S116" s="9"/>
      <c r="T116" s="5">
        <f t="shared" si="30"/>
        <v>0</v>
      </c>
    </row>
    <row r="117" spans="1:20" x14ac:dyDescent="0.15">
      <c r="A117" s="28" t="s">
        <v>39</v>
      </c>
      <c r="B117" s="8">
        <v>1</v>
      </c>
      <c r="C117" s="9"/>
      <c r="D117" s="10"/>
      <c r="E117" s="9"/>
      <c r="F117" s="5">
        <f t="shared" si="28"/>
        <v>1</v>
      </c>
      <c r="G117" s="39">
        <v>44462</v>
      </c>
      <c r="H117" s="4" t="s">
        <v>91</v>
      </c>
      <c r="I117" s="8">
        <v>5</v>
      </c>
      <c r="J117" s="9">
        <v>10</v>
      </c>
      <c r="K117" s="10"/>
      <c r="L117" s="9"/>
      <c r="M117" s="7">
        <f t="shared" si="29"/>
        <v>15</v>
      </c>
      <c r="N117" s="39">
        <v>44453</v>
      </c>
      <c r="O117" s="11"/>
      <c r="P117" s="8"/>
      <c r="Q117" s="9"/>
      <c r="R117" s="10"/>
      <c r="S117" s="9"/>
      <c r="T117" s="5">
        <f t="shared" si="30"/>
        <v>0</v>
      </c>
    </row>
    <row r="118" spans="1:20" x14ac:dyDescent="0.15">
      <c r="A118" s="48" t="s">
        <v>109</v>
      </c>
      <c r="B118" s="8"/>
      <c r="C118" s="9">
        <v>2</v>
      </c>
      <c r="D118" s="10"/>
      <c r="E118" s="9"/>
      <c r="F118" s="5">
        <f t="shared" si="28"/>
        <v>2</v>
      </c>
      <c r="G118" s="39">
        <v>44464</v>
      </c>
      <c r="H118" s="4" t="s">
        <v>92</v>
      </c>
      <c r="I118" s="8">
        <v>10</v>
      </c>
      <c r="J118" s="9"/>
      <c r="K118" s="10">
        <v>10</v>
      </c>
      <c r="L118" s="9"/>
      <c r="M118" s="7">
        <f t="shared" si="29"/>
        <v>20</v>
      </c>
      <c r="N118" s="39">
        <v>44454</v>
      </c>
      <c r="O118" s="11"/>
      <c r="P118" s="8"/>
      <c r="Q118" s="9"/>
      <c r="R118" s="10"/>
      <c r="S118" s="9"/>
      <c r="T118" s="5">
        <f t="shared" si="30"/>
        <v>0</v>
      </c>
    </row>
    <row r="119" spans="1:20" x14ac:dyDescent="0.15">
      <c r="A119" s="28" t="s">
        <v>108</v>
      </c>
      <c r="B119" s="8"/>
      <c r="C119" s="9">
        <v>1</v>
      </c>
      <c r="D119" s="10"/>
      <c r="E119" s="9"/>
      <c r="F119" s="5">
        <f t="shared" si="28"/>
        <v>1</v>
      </c>
      <c r="G119" s="71">
        <v>44463</v>
      </c>
      <c r="H119" s="4" t="s">
        <v>93</v>
      </c>
      <c r="I119" s="8">
        <v>40</v>
      </c>
      <c r="J119" s="9">
        <v>55</v>
      </c>
      <c r="K119" s="10"/>
      <c r="L119" s="9"/>
      <c r="M119" s="7">
        <f t="shared" si="29"/>
        <v>95</v>
      </c>
      <c r="N119" s="39">
        <v>44456</v>
      </c>
      <c r="O119" s="4"/>
      <c r="P119" s="8"/>
      <c r="Q119" s="9"/>
      <c r="R119" s="10"/>
      <c r="S119" s="9"/>
      <c r="T119" s="5">
        <f t="shared" si="30"/>
        <v>0</v>
      </c>
    </row>
    <row r="120" spans="1:20" x14ac:dyDescent="0.15">
      <c r="A120" s="48" t="s">
        <v>110</v>
      </c>
      <c r="B120" s="8">
        <v>2</v>
      </c>
      <c r="C120" s="9">
        <v>2</v>
      </c>
      <c r="D120" s="10"/>
      <c r="E120" s="9"/>
      <c r="F120" s="5">
        <f t="shared" si="28"/>
        <v>4</v>
      </c>
      <c r="G120" s="39">
        <v>44467</v>
      </c>
      <c r="H120" s="4" t="s">
        <v>94</v>
      </c>
      <c r="I120" s="8">
        <v>15</v>
      </c>
      <c r="J120" s="9">
        <v>5</v>
      </c>
      <c r="K120" s="10">
        <v>5</v>
      </c>
      <c r="L120" s="9"/>
      <c r="M120" s="7">
        <f t="shared" si="29"/>
        <v>25</v>
      </c>
      <c r="N120" s="39">
        <v>44457</v>
      </c>
      <c r="O120" s="11"/>
      <c r="P120" s="8"/>
      <c r="Q120" s="9"/>
      <c r="R120" s="10"/>
      <c r="S120" s="9"/>
      <c r="T120" s="5">
        <f t="shared" si="30"/>
        <v>0</v>
      </c>
    </row>
    <row r="121" spans="1:20" x14ac:dyDescent="0.15">
      <c r="A121" s="28" t="s">
        <v>39</v>
      </c>
      <c r="B121" s="8">
        <v>2</v>
      </c>
      <c r="C121" s="9"/>
      <c r="D121" s="10"/>
      <c r="E121" s="9"/>
      <c r="F121" s="5">
        <f t="shared" si="28"/>
        <v>2</v>
      </c>
      <c r="G121" s="39">
        <v>44467</v>
      </c>
      <c r="H121" s="4" t="s">
        <v>96</v>
      </c>
      <c r="I121" s="8"/>
      <c r="J121" s="9"/>
      <c r="K121" s="10">
        <v>15</v>
      </c>
      <c r="L121" s="9"/>
      <c r="M121" s="7">
        <f t="shared" si="29"/>
        <v>15</v>
      </c>
      <c r="N121" s="39">
        <v>44457</v>
      </c>
      <c r="O121" s="4"/>
      <c r="P121" s="8"/>
      <c r="Q121" s="9"/>
      <c r="R121" s="10"/>
      <c r="S121" s="9"/>
      <c r="T121" s="5">
        <f t="shared" si="30"/>
        <v>0</v>
      </c>
    </row>
    <row r="122" spans="1:20" x14ac:dyDescent="0.15">
      <c r="A122" s="28"/>
      <c r="B122" s="8"/>
      <c r="C122" s="9"/>
      <c r="D122" s="10"/>
      <c r="E122" s="9"/>
      <c r="F122" s="5">
        <f t="shared" si="28"/>
        <v>0</v>
      </c>
      <c r="H122" s="4" t="s">
        <v>98</v>
      </c>
      <c r="I122" s="8">
        <v>5</v>
      </c>
      <c r="J122" s="9">
        <v>10</v>
      </c>
      <c r="K122" s="10"/>
      <c r="L122" s="9"/>
      <c r="M122" s="7">
        <f t="shared" si="29"/>
        <v>15</v>
      </c>
      <c r="N122" s="39">
        <v>44461</v>
      </c>
      <c r="O122" s="11"/>
      <c r="P122" s="8"/>
      <c r="Q122" s="9"/>
      <c r="R122" s="10"/>
      <c r="S122" s="9"/>
      <c r="T122" s="5">
        <f t="shared" si="30"/>
        <v>0</v>
      </c>
    </row>
    <row r="123" spans="1:20" x14ac:dyDescent="0.15">
      <c r="A123" s="4"/>
      <c r="B123" s="8"/>
      <c r="C123" s="9"/>
      <c r="D123" s="10"/>
      <c r="E123" s="9"/>
      <c r="F123" s="5">
        <f t="shared" si="28"/>
        <v>0</v>
      </c>
      <c r="H123" s="48" t="s">
        <v>111</v>
      </c>
      <c r="I123" s="8">
        <v>2</v>
      </c>
      <c r="J123" s="9"/>
      <c r="K123" s="10"/>
      <c r="L123" s="9"/>
      <c r="M123" s="7">
        <f t="shared" si="29"/>
        <v>2</v>
      </c>
      <c r="N123" s="39">
        <v>44468</v>
      </c>
      <c r="O123" s="4"/>
      <c r="P123" s="8"/>
      <c r="Q123" s="9"/>
      <c r="R123" s="10"/>
      <c r="S123" s="9"/>
      <c r="T123" s="5">
        <f t="shared" si="30"/>
        <v>0</v>
      </c>
    </row>
    <row r="124" spans="1:20" x14ac:dyDescent="0.15">
      <c r="A124" s="11"/>
      <c r="B124" s="8"/>
      <c r="C124" s="9"/>
      <c r="D124" s="10"/>
      <c r="E124" s="9"/>
      <c r="F124" s="5">
        <f t="shared" si="28"/>
        <v>0</v>
      </c>
      <c r="H124" s="4" t="s">
        <v>24</v>
      </c>
      <c r="I124" s="8"/>
      <c r="J124" s="9"/>
      <c r="K124" s="10"/>
      <c r="L124" s="9"/>
      <c r="M124" s="7">
        <f t="shared" ref="M124:M125" si="31">SUM(I124:L124)</f>
        <v>0</v>
      </c>
      <c r="N124" s="41" t="s">
        <v>25</v>
      </c>
      <c r="O124" s="11"/>
      <c r="P124" s="59"/>
      <c r="Q124" s="60"/>
      <c r="R124" s="61"/>
      <c r="S124" s="60"/>
      <c r="T124" s="5">
        <f t="shared" si="30"/>
        <v>0</v>
      </c>
    </row>
    <row r="125" spans="1:20" ht="14.25" thickBot="1" x14ac:dyDescent="0.2">
      <c r="A125" s="4"/>
      <c r="B125" s="8"/>
      <c r="C125" s="9"/>
      <c r="D125" s="10"/>
      <c r="E125" s="51"/>
      <c r="F125" s="5">
        <f t="shared" si="28"/>
        <v>0</v>
      </c>
      <c r="H125" s="4" t="s">
        <v>22</v>
      </c>
      <c r="I125" s="8"/>
      <c r="J125" s="9"/>
      <c r="K125" s="10"/>
      <c r="L125" s="12"/>
      <c r="M125" s="7">
        <f t="shared" si="31"/>
        <v>0</v>
      </c>
      <c r="N125" s="41" t="s">
        <v>23</v>
      </c>
      <c r="O125" s="33"/>
      <c r="P125" s="59"/>
      <c r="Q125" s="60"/>
      <c r="R125" s="61"/>
      <c r="S125" s="65"/>
      <c r="T125" s="5">
        <f t="shared" si="30"/>
        <v>0</v>
      </c>
    </row>
    <row r="126" spans="1:20" ht="14.25" thickBot="1" x14ac:dyDescent="0.2">
      <c r="A126" s="3" t="s">
        <v>5</v>
      </c>
      <c r="B126" s="14">
        <f>SUM(B102:B125)</f>
        <v>17</v>
      </c>
      <c r="C126" s="14">
        <f>SUM(C102:C125)</f>
        <v>15</v>
      </c>
      <c r="D126" s="14">
        <f>SUM(D102:D125)</f>
        <v>4</v>
      </c>
      <c r="E126" s="14">
        <f>SUM(E102:E125)</f>
        <v>1</v>
      </c>
      <c r="F126" s="15">
        <f>SUM(B126:E126)</f>
        <v>37</v>
      </c>
      <c r="H126" s="3" t="s">
        <v>5</v>
      </c>
      <c r="I126" s="14">
        <f>SUM(I102:I125)</f>
        <v>269</v>
      </c>
      <c r="J126" s="14">
        <f>SUM(J102:J125)</f>
        <v>394</v>
      </c>
      <c r="K126" s="14">
        <f>SUM(K102:K125)</f>
        <v>192</v>
      </c>
      <c r="L126" s="14">
        <f>SUM(L102:L125)</f>
        <v>127</v>
      </c>
      <c r="M126" s="15">
        <f>SUM(I126:L126)</f>
        <v>982</v>
      </c>
      <c r="O126" s="3" t="s">
        <v>5</v>
      </c>
      <c r="P126" s="14">
        <f>SUM(P102:P125)</f>
        <v>0</v>
      </c>
      <c r="Q126" s="14">
        <f>SUM(Q102:Q125)</f>
        <v>0</v>
      </c>
      <c r="R126" s="14">
        <f>SUM(R102:R125)</f>
        <v>0</v>
      </c>
      <c r="S126" s="14">
        <f>SUM(S102:S125)</f>
        <v>0</v>
      </c>
      <c r="T126" s="15">
        <f>SUM(P126:S126)</f>
        <v>0</v>
      </c>
    </row>
    <row r="127" spans="1:20" ht="14.25" thickBot="1" x14ac:dyDescent="0.2">
      <c r="A127" s="25" t="s">
        <v>6</v>
      </c>
      <c r="B127" s="26">
        <f>B101-B126</f>
        <v>5</v>
      </c>
      <c r="C127" s="26">
        <f t="shared" ref="C127:F127" si="32">C101-C126</f>
        <v>5</v>
      </c>
      <c r="D127" s="26">
        <f t="shared" si="32"/>
        <v>9</v>
      </c>
      <c r="E127" s="26">
        <f t="shared" si="32"/>
        <v>10</v>
      </c>
      <c r="F127" s="24">
        <f t="shared" si="32"/>
        <v>29</v>
      </c>
      <c r="H127" s="25" t="s">
        <v>6</v>
      </c>
      <c r="I127" s="26">
        <f>I101-I126</f>
        <v>330</v>
      </c>
      <c r="J127" s="26">
        <f t="shared" ref="J127:M127" si="33">J101-J126</f>
        <v>572</v>
      </c>
      <c r="K127" s="26">
        <f t="shared" si="33"/>
        <v>449</v>
      </c>
      <c r="L127" s="26">
        <f t="shared" si="33"/>
        <v>291</v>
      </c>
      <c r="M127" s="24">
        <f t="shared" si="33"/>
        <v>1642</v>
      </c>
      <c r="O127" s="25" t="s">
        <v>6</v>
      </c>
      <c r="P127" s="26">
        <f>P101-P126</f>
        <v>0</v>
      </c>
      <c r="Q127" s="26">
        <f t="shared" ref="Q127:T127" si="34">Q101-Q126</f>
        <v>0</v>
      </c>
      <c r="R127" s="26">
        <f t="shared" si="34"/>
        <v>0</v>
      </c>
      <c r="S127" s="26">
        <f t="shared" si="34"/>
        <v>0</v>
      </c>
      <c r="T127" s="24">
        <f t="shared" si="34"/>
        <v>0</v>
      </c>
    </row>
    <row r="130" spans="1:20" ht="21.75" thickBot="1" x14ac:dyDescent="0.25">
      <c r="A130" s="29" t="s">
        <v>13</v>
      </c>
      <c r="B130" s="1"/>
      <c r="C130" s="1"/>
      <c r="D130" s="1"/>
      <c r="E130" s="1"/>
      <c r="F130" s="1"/>
      <c r="H130" s="29" t="s">
        <v>14</v>
      </c>
      <c r="I130" s="1"/>
      <c r="J130" s="1"/>
      <c r="K130" s="1"/>
      <c r="L130" s="1"/>
      <c r="M130" s="1"/>
      <c r="O130" s="29" t="s">
        <v>15</v>
      </c>
      <c r="P130" s="1"/>
      <c r="Q130" s="1"/>
      <c r="R130" s="1"/>
      <c r="S130" s="1"/>
      <c r="T130" s="1"/>
    </row>
    <row r="131" spans="1:20" ht="14.25" thickBot="1" x14ac:dyDescent="0.2">
      <c r="A131" s="2" t="s">
        <v>0</v>
      </c>
      <c r="B131" s="164" t="s">
        <v>12</v>
      </c>
      <c r="C131" s="165"/>
      <c r="D131" s="165"/>
      <c r="E131" s="165"/>
      <c r="F131" s="168"/>
      <c r="H131" s="2" t="s">
        <v>0</v>
      </c>
      <c r="I131" s="164" t="s">
        <v>12</v>
      </c>
      <c r="J131" s="165"/>
      <c r="K131" s="165"/>
      <c r="L131" s="165"/>
      <c r="M131" s="168"/>
      <c r="O131" s="2" t="s">
        <v>0</v>
      </c>
      <c r="P131" s="164" t="s">
        <v>12</v>
      </c>
      <c r="Q131" s="165"/>
      <c r="R131" s="165"/>
      <c r="S131" s="165"/>
      <c r="T131" s="168"/>
    </row>
    <row r="132" spans="1:20" ht="14.25" thickBot="1" x14ac:dyDescent="0.2">
      <c r="A132" s="2" t="s">
        <v>1</v>
      </c>
      <c r="B132" s="3" t="s">
        <v>7</v>
      </c>
      <c r="C132" s="2" t="s">
        <v>8</v>
      </c>
      <c r="D132" s="19" t="s">
        <v>9</v>
      </c>
      <c r="E132" s="2" t="s">
        <v>11</v>
      </c>
      <c r="F132" s="2" t="s">
        <v>2</v>
      </c>
      <c r="H132" s="2" t="s">
        <v>1</v>
      </c>
      <c r="I132" s="3" t="s">
        <v>7</v>
      </c>
      <c r="J132" s="2" t="s">
        <v>8</v>
      </c>
      <c r="K132" s="19" t="s">
        <v>9</v>
      </c>
      <c r="L132" s="2" t="s">
        <v>11</v>
      </c>
      <c r="M132" s="2" t="s">
        <v>2</v>
      </c>
      <c r="O132" s="2" t="s">
        <v>1</v>
      </c>
      <c r="P132" s="3" t="s">
        <v>7</v>
      </c>
      <c r="Q132" s="2" t="s">
        <v>8</v>
      </c>
      <c r="R132" s="19" t="s">
        <v>9</v>
      </c>
      <c r="S132" s="2" t="s">
        <v>11</v>
      </c>
      <c r="T132" s="2" t="s">
        <v>2</v>
      </c>
    </row>
    <row r="133" spans="1:20" x14ac:dyDescent="0.15">
      <c r="A133" s="27" t="s">
        <v>6</v>
      </c>
      <c r="B133" s="18">
        <f>B127</f>
        <v>5</v>
      </c>
      <c r="C133" s="20">
        <f>C127</f>
        <v>5</v>
      </c>
      <c r="D133" s="55">
        <f>D127</f>
        <v>9</v>
      </c>
      <c r="E133" s="20">
        <f>E127</f>
        <v>10</v>
      </c>
      <c r="F133" s="17">
        <f>SUM(B133:E133)</f>
        <v>29</v>
      </c>
      <c r="H133" s="27" t="s">
        <v>6</v>
      </c>
      <c r="I133" s="18">
        <f>I127</f>
        <v>330</v>
      </c>
      <c r="J133" s="20">
        <f>J127</f>
        <v>572</v>
      </c>
      <c r="K133" s="55">
        <f>K127</f>
        <v>449</v>
      </c>
      <c r="L133" s="58">
        <f>L127</f>
        <v>291</v>
      </c>
      <c r="M133" s="17">
        <f>SUM(I133:L133)</f>
        <v>1642</v>
      </c>
      <c r="O133" s="27" t="s">
        <v>6</v>
      </c>
      <c r="P133" s="18">
        <f>P127</f>
        <v>0</v>
      </c>
      <c r="Q133" s="20">
        <f>Q127</f>
        <v>0</v>
      </c>
      <c r="R133" s="55">
        <f>R127</f>
        <v>0</v>
      </c>
      <c r="S133" s="20">
        <f>S127</f>
        <v>0</v>
      </c>
      <c r="T133" s="17">
        <f>SUM(P133:S133)</f>
        <v>0</v>
      </c>
    </row>
    <row r="134" spans="1:20" x14ac:dyDescent="0.15">
      <c r="A134" s="6" t="s">
        <v>3</v>
      </c>
      <c r="B134" s="16">
        <v>15</v>
      </c>
      <c r="C134" s="11">
        <v>15</v>
      </c>
      <c r="D134" s="16">
        <v>10</v>
      </c>
      <c r="E134" s="4">
        <v>10</v>
      </c>
      <c r="F134" s="5">
        <f t="shared" ref="F134:F143" si="35">SUM(B134:E134)</f>
        <v>50</v>
      </c>
      <c r="G134" s="39">
        <v>44469</v>
      </c>
      <c r="H134" s="6" t="s">
        <v>3</v>
      </c>
      <c r="I134" s="16"/>
      <c r="J134" s="11"/>
      <c r="K134" s="16"/>
      <c r="L134" s="4"/>
      <c r="M134" s="5">
        <f t="shared" ref="M134:M143" si="36">SUM(I134:L134)</f>
        <v>0</v>
      </c>
      <c r="O134" s="6" t="s">
        <v>3</v>
      </c>
      <c r="P134" s="16"/>
      <c r="Q134" s="11"/>
      <c r="R134" s="16"/>
      <c r="S134" s="4"/>
      <c r="T134" s="5">
        <f t="shared" ref="T134:T143" si="37">SUM(P134:S134)</f>
        <v>0</v>
      </c>
    </row>
    <row r="135" spans="1:20" x14ac:dyDescent="0.15">
      <c r="A135" s="6" t="s">
        <v>119</v>
      </c>
      <c r="B135" s="16"/>
      <c r="C135" s="11"/>
      <c r="D135" s="16">
        <v>13</v>
      </c>
      <c r="E135" s="4"/>
      <c r="F135" s="5">
        <f t="shared" si="35"/>
        <v>13</v>
      </c>
      <c r="G135" s="39">
        <v>44480</v>
      </c>
      <c r="H135" s="6" t="s">
        <v>131</v>
      </c>
      <c r="I135" s="31">
        <v>21</v>
      </c>
      <c r="J135" s="32">
        <v>47</v>
      </c>
      <c r="K135" s="31">
        <v>6</v>
      </c>
      <c r="L135" s="52">
        <v>19</v>
      </c>
      <c r="M135" s="5">
        <f t="shared" si="36"/>
        <v>93</v>
      </c>
      <c r="N135" s="39">
        <v>44498</v>
      </c>
      <c r="O135" s="6" t="s">
        <v>3</v>
      </c>
      <c r="P135" s="31"/>
      <c r="Q135" s="32"/>
      <c r="R135" s="31"/>
      <c r="S135" s="52"/>
      <c r="T135" s="5">
        <f t="shared" si="37"/>
        <v>0</v>
      </c>
    </row>
    <row r="136" spans="1:20" x14ac:dyDescent="0.15">
      <c r="A136" s="6" t="s">
        <v>3</v>
      </c>
      <c r="B136" s="16">
        <v>10</v>
      </c>
      <c r="C136" s="11">
        <v>15</v>
      </c>
      <c r="D136" s="16">
        <v>5</v>
      </c>
      <c r="E136" s="4">
        <v>5</v>
      </c>
      <c r="F136" s="5">
        <f t="shared" si="35"/>
        <v>35</v>
      </c>
      <c r="G136" s="39">
        <v>44488</v>
      </c>
      <c r="H136" s="6" t="s">
        <v>83</v>
      </c>
      <c r="I136" s="8"/>
      <c r="J136" s="9"/>
      <c r="K136" s="31">
        <v>5</v>
      </c>
      <c r="L136" s="9"/>
      <c r="M136" s="5">
        <f t="shared" si="36"/>
        <v>5</v>
      </c>
      <c r="N136" s="71">
        <v>44485</v>
      </c>
      <c r="O136" s="6" t="s">
        <v>3</v>
      </c>
      <c r="P136" s="31"/>
      <c r="Q136" s="32"/>
      <c r="R136" s="31"/>
      <c r="S136" s="52"/>
      <c r="T136" s="5">
        <f t="shared" si="37"/>
        <v>0</v>
      </c>
    </row>
    <row r="137" spans="1:20" x14ac:dyDescent="0.15">
      <c r="A137" s="6" t="s">
        <v>3</v>
      </c>
      <c r="B137" s="16"/>
      <c r="C137" s="11"/>
      <c r="D137" s="16"/>
      <c r="E137" s="4"/>
      <c r="F137" s="5">
        <f t="shared" si="35"/>
        <v>0</v>
      </c>
      <c r="G137" s="41"/>
      <c r="H137" s="6" t="s">
        <v>3</v>
      </c>
      <c r="I137" s="38"/>
      <c r="J137" s="32"/>
      <c r="K137" s="31"/>
      <c r="L137" s="52"/>
      <c r="M137" s="5">
        <f t="shared" si="36"/>
        <v>0</v>
      </c>
      <c r="N137" s="41"/>
      <c r="O137" s="6" t="s">
        <v>3</v>
      </c>
      <c r="P137" s="38"/>
      <c r="Q137" s="32"/>
      <c r="R137" s="31"/>
      <c r="S137" s="52"/>
      <c r="T137" s="5">
        <f t="shared" si="37"/>
        <v>0</v>
      </c>
    </row>
    <row r="138" spans="1:20" x14ac:dyDescent="0.15">
      <c r="A138" s="6" t="s">
        <v>3</v>
      </c>
      <c r="B138" s="16"/>
      <c r="C138" s="11"/>
      <c r="D138" s="16"/>
      <c r="E138" s="4"/>
      <c r="F138" s="5">
        <f t="shared" si="35"/>
        <v>0</v>
      </c>
      <c r="G138" s="41"/>
      <c r="H138" s="6" t="s">
        <v>3</v>
      </c>
      <c r="I138" s="31"/>
      <c r="J138" s="32"/>
      <c r="K138" s="31"/>
      <c r="L138" s="52"/>
      <c r="M138" s="5">
        <f t="shared" si="36"/>
        <v>0</v>
      </c>
      <c r="N138" s="41"/>
      <c r="O138" s="6" t="s">
        <v>3</v>
      </c>
      <c r="P138" s="31"/>
      <c r="Q138" s="32"/>
      <c r="R138" s="31"/>
      <c r="S138" s="52"/>
      <c r="T138" s="5">
        <f t="shared" si="37"/>
        <v>0</v>
      </c>
    </row>
    <row r="139" spans="1:20" x14ac:dyDescent="0.15">
      <c r="A139" s="6" t="s">
        <v>3</v>
      </c>
      <c r="B139" s="16"/>
      <c r="C139" s="11"/>
      <c r="D139" s="16"/>
      <c r="E139" s="4"/>
      <c r="F139" s="5">
        <f t="shared" si="35"/>
        <v>0</v>
      </c>
      <c r="G139" s="41"/>
      <c r="H139" s="6" t="s">
        <v>3</v>
      </c>
      <c r="I139" s="38"/>
      <c r="J139" s="32"/>
      <c r="K139" s="31"/>
      <c r="L139" s="52"/>
      <c r="M139" s="5">
        <f t="shared" si="36"/>
        <v>0</v>
      </c>
      <c r="N139" s="41"/>
      <c r="O139" s="6" t="s">
        <v>3</v>
      </c>
      <c r="P139" s="38"/>
      <c r="Q139" s="32"/>
      <c r="R139" s="31"/>
      <c r="S139" s="52"/>
      <c r="T139" s="5">
        <f t="shared" si="37"/>
        <v>0</v>
      </c>
    </row>
    <row r="140" spans="1:20" x14ac:dyDescent="0.15">
      <c r="A140" s="6" t="s">
        <v>3</v>
      </c>
      <c r="B140" s="31"/>
      <c r="C140" s="32"/>
      <c r="D140" s="31"/>
      <c r="E140" s="52"/>
      <c r="F140" s="5">
        <f t="shared" si="35"/>
        <v>0</v>
      </c>
      <c r="G140" s="41"/>
      <c r="H140" s="6" t="s">
        <v>3</v>
      </c>
      <c r="I140" s="16"/>
      <c r="J140" s="11"/>
      <c r="K140" s="16"/>
      <c r="L140" s="4"/>
      <c r="M140" s="5">
        <f t="shared" si="36"/>
        <v>0</v>
      </c>
      <c r="N140" s="41"/>
      <c r="O140" s="6" t="s">
        <v>3</v>
      </c>
      <c r="P140" s="38"/>
      <c r="Q140" s="32"/>
      <c r="R140" s="31"/>
      <c r="S140" s="52"/>
      <c r="T140" s="5">
        <f t="shared" si="37"/>
        <v>0</v>
      </c>
    </row>
    <row r="141" spans="1:20" x14ac:dyDescent="0.15">
      <c r="A141" s="6" t="s">
        <v>3</v>
      </c>
      <c r="B141" s="10"/>
      <c r="C141" s="9"/>
      <c r="D141" s="10"/>
      <c r="E141" s="49"/>
      <c r="F141" s="5">
        <f t="shared" si="35"/>
        <v>0</v>
      </c>
      <c r="G141" s="41"/>
      <c r="H141" s="6" t="s">
        <v>3</v>
      </c>
      <c r="I141" s="31"/>
      <c r="J141" s="32"/>
      <c r="K141" s="31"/>
      <c r="L141" s="52"/>
      <c r="M141" s="5">
        <f t="shared" si="36"/>
        <v>0</v>
      </c>
      <c r="O141" s="6" t="s">
        <v>3</v>
      </c>
      <c r="P141" s="10"/>
      <c r="Q141" s="9"/>
      <c r="R141" s="10"/>
      <c r="S141" s="49"/>
      <c r="T141" s="5">
        <f t="shared" si="37"/>
        <v>0</v>
      </c>
    </row>
    <row r="142" spans="1:20" x14ac:dyDescent="0.15">
      <c r="A142" s="6" t="s">
        <v>3</v>
      </c>
      <c r="B142" s="31"/>
      <c r="C142" s="32"/>
      <c r="D142" s="31"/>
      <c r="E142" s="52"/>
      <c r="F142" s="5">
        <f t="shared" si="35"/>
        <v>0</v>
      </c>
      <c r="G142" s="41"/>
      <c r="H142" s="6" t="s">
        <v>3</v>
      </c>
      <c r="I142" s="34"/>
      <c r="J142" s="35"/>
      <c r="K142" s="34"/>
      <c r="L142" s="32"/>
      <c r="M142" s="5">
        <f t="shared" si="36"/>
        <v>0</v>
      </c>
      <c r="O142" s="6" t="s">
        <v>3</v>
      </c>
      <c r="P142" s="34"/>
      <c r="Q142" s="35"/>
      <c r="R142" s="34"/>
      <c r="S142" s="32"/>
      <c r="T142" s="5">
        <f t="shared" si="37"/>
        <v>0</v>
      </c>
    </row>
    <row r="143" spans="1:20" ht="14.25" thickBot="1" x14ac:dyDescent="0.2">
      <c r="A143" s="6" t="s">
        <v>3</v>
      </c>
      <c r="B143" s="13"/>
      <c r="C143" s="12"/>
      <c r="D143" s="13"/>
      <c r="E143" s="50"/>
      <c r="F143" s="5">
        <f t="shared" si="35"/>
        <v>0</v>
      </c>
      <c r="G143" s="41"/>
      <c r="H143" s="6" t="s">
        <v>3</v>
      </c>
      <c r="I143" s="34"/>
      <c r="J143" s="35"/>
      <c r="K143" s="34"/>
      <c r="L143" s="53"/>
      <c r="M143" s="5">
        <f t="shared" si="36"/>
        <v>0</v>
      </c>
      <c r="O143" s="6" t="s">
        <v>3</v>
      </c>
      <c r="P143" s="13"/>
      <c r="Q143" s="12"/>
      <c r="R143" s="13"/>
      <c r="S143" s="50"/>
      <c r="T143" s="17">
        <f t="shared" si="37"/>
        <v>0</v>
      </c>
    </row>
    <row r="144" spans="1:20" ht="14.25" thickBot="1" x14ac:dyDescent="0.2">
      <c r="A144" s="21" t="s">
        <v>4</v>
      </c>
      <c r="B144" s="22">
        <f>SUM(B133:B143)</f>
        <v>30</v>
      </c>
      <c r="C144" s="22">
        <f>SUM(C133:C143)</f>
        <v>35</v>
      </c>
      <c r="D144" s="23">
        <f>SUM(D133:D143)</f>
        <v>37</v>
      </c>
      <c r="E144" s="23">
        <f>SUM(E133:E143)</f>
        <v>25</v>
      </c>
      <c r="F144" s="24">
        <f>SUM(B144:E144)</f>
        <v>127</v>
      </c>
      <c r="H144" s="21" t="s">
        <v>4</v>
      </c>
      <c r="I144" s="22">
        <f>SUM(I133:I143)</f>
        <v>351</v>
      </c>
      <c r="J144" s="22">
        <f>SUM(J133:J143)</f>
        <v>619</v>
      </c>
      <c r="K144" s="23">
        <f>SUM(K133:K143)</f>
        <v>460</v>
      </c>
      <c r="L144" s="23">
        <f>SUM(L133:L143)</f>
        <v>310</v>
      </c>
      <c r="M144" s="24">
        <f>SUM(I144:L144)</f>
        <v>1740</v>
      </c>
      <c r="O144" s="21" t="s">
        <v>4</v>
      </c>
      <c r="P144" s="22">
        <f>SUM(P133:P143)</f>
        <v>0</v>
      </c>
      <c r="Q144" s="22">
        <f>SUM(Q133:Q143)</f>
        <v>0</v>
      </c>
      <c r="R144" s="23">
        <f>SUM(R133:R143)</f>
        <v>0</v>
      </c>
      <c r="S144" s="23">
        <f>SUM(S133:S143)</f>
        <v>0</v>
      </c>
      <c r="T144" s="24">
        <f>SUM(P144:S144)</f>
        <v>0</v>
      </c>
    </row>
    <row r="145" spans="1:20" x14ac:dyDescent="0.15">
      <c r="A145" s="48" t="s">
        <v>112</v>
      </c>
      <c r="B145" s="8">
        <v>2</v>
      </c>
      <c r="C145" s="9"/>
      <c r="D145" s="10"/>
      <c r="E145" s="49"/>
      <c r="F145" s="5">
        <f>SUM(B145:E145)</f>
        <v>2</v>
      </c>
      <c r="G145" s="39">
        <v>44470</v>
      </c>
      <c r="H145" s="11" t="s">
        <v>26</v>
      </c>
      <c r="I145" s="91">
        <v>15</v>
      </c>
      <c r="J145" s="92">
        <v>15</v>
      </c>
      <c r="K145" s="91">
        <v>10</v>
      </c>
      <c r="L145" s="93">
        <v>10</v>
      </c>
      <c r="M145" s="5">
        <f t="shared" ref="M145" si="38">SUM(I145:L145)</f>
        <v>50</v>
      </c>
      <c r="N145" s="39">
        <v>44469</v>
      </c>
      <c r="O145" s="6"/>
      <c r="P145" s="31"/>
      <c r="Q145" s="32"/>
      <c r="R145" s="31"/>
      <c r="S145" s="52"/>
      <c r="T145" s="5">
        <f>SUM(P145:S145)</f>
        <v>0</v>
      </c>
    </row>
    <row r="146" spans="1:20" x14ac:dyDescent="0.15">
      <c r="A146" s="28" t="s">
        <v>34</v>
      </c>
      <c r="B146" s="8"/>
      <c r="C146" s="9">
        <v>1</v>
      </c>
      <c r="D146" s="10"/>
      <c r="E146" s="49"/>
      <c r="F146" s="5">
        <f t="shared" ref="F146:F168" si="39">SUM(B146:E146)</f>
        <v>1</v>
      </c>
      <c r="G146" s="71">
        <v>44470</v>
      </c>
      <c r="H146" s="4" t="s">
        <v>115</v>
      </c>
      <c r="I146" s="8">
        <v>26</v>
      </c>
      <c r="J146" s="9">
        <v>44</v>
      </c>
      <c r="K146" s="10">
        <v>28</v>
      </c>
      <c r="L146" s="9">
        <v>17</v>
      </c>
      <c r="M146" s="7">
        <f t="shared" ref="M146:M167" si="40">SUM(I146:L146)</f>
        <v>115</v>
      </c>
      <c r="N146" s="39">
        <v>44488</v>
      </c>
      <c r="O146" s="4"/>
      <c r="P146" s="45"/>
      <c r="Q146" s="46"/>
      <c r="R146" s="47"/>
      <c r="S146" s="56"/>
      <c r="T146" s="5">
        <f t="shared" ref="T146:T168" si="41">SUM(P146:S146)</f>
        <v>0</v>
      </c>
    </row>
    <row r="147" spans="1:20" x14ac:dyDescent="0.15">
      <c r="A147" s="48" t="s">
        <v>113</v>
      </c>
      <c r="B147" s="8"/>
      <c r="C147" s="9"/>
      <c r="D147" s="10">
        <v>2</v>
      </c>
      <c r="E147" s="49"/>
      <c r="F147" s="5">
        <f t="shared" si="39"/>
        <v>2</v>
      </c>
      <c r="G147" s="39">
        <v>44474</v>
      </c>
      <c r="H147" s="11" t="s">
        <v>26</v>
      </c>
      <c r="I147" s="36">
        <v>10</v>
      </c>
      <c r="J147" s="37">
        <v>15</v>
      </c>
      <c r="K147" s="36">
        <v>5</v>
      </c>
      <c r="L147" s="54">
        <v>5</v>
      </c>
      <c r="M147" s="5">
        <f t="shared" si="40"/>
        <v>35</v>
      </c>
      <c r="N147" s="39">
        <v>44488</v>
      </c>
      <c r="O147" s="4"/>
      <c r="P147" s="36"/>
      <c r="Q147" s="37"/>
      <c r="R147" s="36"/>
      <c r="S147" s="54"/>
      <c r="T147" s="5">
        <f t="shared" si="41"/>
        <v>0</v>
      </c>
    </row>
    <row r="148" spans="1:20" x14ac:dyDescent="0.15">
      <c r="A148" s="28" t="s">
        <v>39</v>
      </c>
      <c r="B148" s="8"/>
      <c r="C148" s="9">
        <v>1</v>
      </c>
      <c r="D148" s="10">
        <v>1</v>
      </c>
      <c r="E148" s="49"/>
      <c r="F148" s="5">
        <f t="shared" si="39"/>
        <v>2</v>
      </c>
      <c r="G148" s="39">
        <v>44474</v>
      </c>
      <c r="H148" s="48" t="s">
        <v>126</v>
      </c>
      <c r="I148" s="8">
        <v>2</v>
      </c>
      <c r="J148" s="9"/>
      <c r="K148" s="10"/>
      <c r="L148" s="49"/>
      <c r="M148" s="7">
        <f t="shared" si="40"/>
        <v>2</v>
      </c>
      <c r="N148" s="39">
        <v>44489</v>
      </c>
      <c r="O148" s="4"/>
      <c r="P148" s="8"/>
      <c r="Q148" s="9"/>
      <c r="R148" s="10"/>
      <c r="S148" s="49"/>
      <c r="T148" s="5">
        <f t="shared" si="41"/>
        <v>0</v>
      </c>
    </row>
    <row r="149" spans="1:20" x14ac:dyDescent="0.15">
      <c r="A149" s="28" t="s">
        <v>34</v>
      </c>
      <c r="B149" s="8"/>
      <c r="C149" s="9"/>
      <c r="D149" s="10">
        <v>1</v>
      </c>
      <c r="E149" s="49"/>
      <c r="F149" s="5">
        <f t="shared" si="39"/>
        <v>1</v>
      </c>
      <c r="G149" s="71">
        <v>44475</v>
      </c>
      <c r="H149" s="4"/>
      <c r="I149" s="8"/>
      <c r="J149" s="9"/>
      <c r="K149" s="10"/>
      <c r="L149" s="49"/>
      <c r="M149" s="7">
        <f t="shared" si="40"/>
        <v>0</v>
      </c>
      <c r="O149" s="4"/>
      <c r="P149" s="8"/>
      <c r="Q149" s="9"/>
      <c r="R149" s="10"/>
      <c r="S149" s="49"/>
      <c r="T149" s="5">
        <f t="shared" si="41"/>
        <v>0</v>
      </c>
    </row>
    <row r="150" spans="1:20" x14ac:dyDescent="0.15">
      <c r="A150" s="48" t="s">
        <v>116</v>
      </c>
      <c r="B150" s="8"/>
      <c r="C150" s="9"/>
      <c r="D150" s="10">
        <v>2</v>
      </c>
      <c r="E150" s="9"/>
      <c r="F150" s="5">
        <f t="shared" si="39"/>
        <v>2</v>
      </c>
      <c r="G150" s="39">
        <v>44477</v>
      </c>
      <c r="H150" s="28"/>
      <c r="I150" s="8"/>
      <c r="J150" s="9"/>
      <c r="K150" s="10"/>
      <c r="L150" s="9"/>
      <c r="M150" s="7">
        <f t="shared" si="40"/>
        <v>0</v>
      </c>
      <c r="O150" s="4"/>
      <c r="P150" s="8"/>
      <c r="Q150" s="9"/>
      <c r="R150" s="10"/>
      <c r="S150" s="9"/>
      <c r="T150" s="5">
        <f t="shared" si="41"/>
        <v>0</v>
      </c>
    </row>
    <row r="151" spans="1:20" x14ac:dyDescent="0.15">
      <c r="A151" s="28" t="s">
        <v>39</v>
      </c>
      <c r="B151" s="8"/>
      <c r="C151" s="9">
        <v>1</v>
      </c>
      <c r="D151" s="10"/>
      <c r="E151" s="9"/>
      <c r="F151" s="5">
        <f t="shared" si="39"/>
        <v>1</v>
      </c>
      <c r="G151" s="39">
        <v>44477</v>
      </c>
      <c r="H151" s="28"/>
      <c r="I151" s="8"/>
      <c r="J151" s="9"/>
      <c r="K151" s="10"/>
      <c r="L151" s="9"/>
      <c r="M151" s="7">
        <f t="shared" si="40"/>
        <v>0</v>
      </c>
      <c r="O151" s="4"/>
      <c r="P151" s="8"/>
      <c r="Q151" s="9"/>
      <c r="R151" s="10"/>
      <c r="S151" s="9"/>
      <c r="T151" s="5">
        <f t="shared" si="41"/>
        <v>0</v>
      </c>
    </row>
    <row r="152" spans="1:20" x14ac:dyDescent="0.15">
      <c r="A152" s="28" t="s">
        <v>117</v>
      </c>
      <c r="B152" s="8">
        <v>1</v>
      </c>
      <c r="C152" s="9"/>
      <c r="D152" s="10"/>
      <c r="E152" s="9"/>
      <c r="F152" s="5">
        <f t="shared" si="39"/>
        <v>1</v>
      </c>
      <c r="G152" s="71">
        <v>44476</v>
      </c>
      <c r="H152" s="4"/>
      <c r="I152" s="8"/>
      <c r="J152" s="9"/>
      <c r="K152" s="10"/>
      <c r="L152" s="9"/>
      <c r="M152" s="7">
        <f t="shared" si="40"/>
        <v>0</v>
      </c>
      <c r="O152" s="4"/>
      <c r="P152" s="8"/>
      <c r="Q152" s="9"/>
      <c r="R152" s="10"/>
      <c r="S152" s="9"/>
      <c r="T152" s="5">
        <f t="shared" si="41"/>
        <v>0</v>
      </c>
    </row>
    <row r="153" spans="1:20" x14ac:dyDescent="0.15">
      <c r="A153" s="48" t="s">
        <v>118</v>
      </c>
      <c r="B153" s="8">
        <v>2</v>
      </c>
      <c r="C153" s="9"/>
      <c r="D153" s="10"/>
      <c r="E153" s="9"/>
      <c r="F153" s="5">
        <f t="shared" si="39"/>
        <v>2</v>
      </c>
      <c r="G153" s="39">
        <v>44480</v>
      </c>
      <c r="H153" s="4"/>
      <c r="I153" s="8"/>
      <c r="J153" s="9"/>
      <c r="K153" s="10"/>
      <c r="L153" s="9"/>
      <c r="M153" s="7">
        <f t="shared" si="40"/>
        <v>0</v>
      </c>
      <c r="O153" s="4"/>
      <c r="P153" s="8"/>
      <c r="Q153" s="9"/>
      <c r="R153" s="10"/>
      <c r="S153" s="9"/>
      <c r="T153" s="5">
        <f t="shared" si="41"/>
        <v>0</v>
      </c>
    </row>
    <row r="154" spans="1:20" x14ac:dyDescent="0.15">
      <c r="A154" s="4" t="s">
        <v>120</v>
      </c>
      <c r="B154" s="8"/>
      <c r="C154" s="9">
        <v>1</v>
      </c>
      <c r="D154" s="10">
        <v>3</v>
      </c>
      <c r="E154" s="9"/>
      <c r="F154" s="5">
        <f t="shared" si="39"/>
        <v>4</v>
      </c>
      <c r="G154" s="39">
        <v>44481</v>
      </c>
      <c r="H154" s="4"/>
      <c r="I154" s="8"/>
      <c r="J154" s="9"/>
      <c r="K154" s="10"/>
      <c r="L154" s="9"/>
      <c r="M154" s="7">
        <f t="shared" si="40"/>
        <v>0</v>
      </c>
      <c r="O154" s="4"/>
      <c r="P154" s="8"/>
      <c r="Q154" s="9"/>
      <c r="R154" s="10"/>
      <c r="S154" s="9"/>
      <c r="T154" s="5">
        <f t="shared" si="41"/>
        <v>0</v>
      </c>
    </row>
    <row r="155" spans="1:20" x14ac:dyDescent="0.15">
      <c r="A155" s="28" t="s">
        <v>39</v>
      </c>
      <c r="B155" s="8"/>
      <c r="C155" s="9">
        <v>2</v>
      </c>
      <c r="D155" s="10"/>
      <c r="E155" s="9"/>
      <c r="F155" s="5">
        <f t="shared" si="39"/>
        <v>2</v>
      </c>
      <c r="G155" s="39">
        <v>44482</v>
      </c>
      <c r="H155" s="4"/>
      <c r="I155" s="8"/>
      <c r="J155" s="9"/>
      <c r="K155" s="10"/>
      <c r="L155" s="9"/>
      <c r="M155" s="7">
        <f t="shared" si="40"/>
        <v>0</v>
      </c>
      <c r="O155" s="4"/>
      <c r="P155" s="8"/>
      <c r="Q155" s="9"/>
      <c r="R155" s="10"/>
      <c r="S155" s="9"/>
      <c r="T155" s="5">
        <f t="shared" si="41"/>
        <v>0</v>
      </c>
    </row>
    <row r="156" spans="1:20" x14ac:dyDescent="0.15">
      <c r="A156" s="4" t="s">
        <v>123</v>
      </c>
      <c r="B156" s="8"/>
      <c r="C156" s="9"/>
      <c r="D156" s="10">
        <v>5</v>
      </c>
      <c r="E156" s="9"/>
      <c r="F156" s="5">
        <f t="shared" si="39"/>
        <v>5</v>
      </c>
      <c r="G156" s="71">
        <v>44485</v>
      </c>
      <c r="H156" s="4"/>
      <c r="I156" s="8"/>
      <c r="J156" s="9"/>
      <c r="K156" s="10"/>
      <c r="L156" s="9"/>
      <c r="M156" s="7">
        <f t="shared" si="40"/>
        <v>0</v>
      </c>
      <c r="O156" s="4"/>
      <c r="P156" s="8"/>
      <c r="Q156" s="9"/>
      <c r="R156" s="10"/>
      <c r="S156" s="9"/>
      <c r="T156" s="5">
        <f t="shared" si="41"/>
        <v>0</v>
      </c>
    </row>
    <row r="157" spans="1:20" x14ac:dyDescent="0.15">
      <c r="A157" s="48" t="s">
        <v>124</v>
      </c>
      <c r="B157" s="8"/>
      <c r="C157" s="9">
        <v>2</v>
      </c>
      <c r="D157" s="10"/>
      <c r="E157" s="9"/>
      <c r="F157" s="5">
        <f t="shared" si="39"/>
        <v>2</v>
      </c>
      <c r="G157" s="39">
        <v>44488</v>
      </c>
      <c r="H157" s="4"/>
      <c r="I157" s="8"/>
      <c r="J157" s="9"/>
      <c r="K157" s="10"/>
      <c r="L157" s="9"/>
      <c r="M157" s="7">
        <f t="shared" si="40"/>
        <v>0</v>
      </c>
      <c r="O157" s="4"/>
      <c r="P157" s="8"/>
      <c r="Q157" s="9"/>
      <c r="R157" s="10"/>
      <c r="S157" s="9"/>
      <c r="T157" s="5">
        <f t="shared" si="41"/>
        <v>0</v>
      </c>
    </row>
    <row r="158" spans="1:20" x14ac:dyDescent="0.15">
      <c r="A158" s="28" t="s">
        <v>39</v>
      </c>
      <c r="B158" s="8">
        <v>2</v>
      </c>
      <c r="C158" s="9">
        <v>2</v>
      </c>
      <c r="D158" s="10"/>
      <c r="E158" s="9"/>
      <c r="F158" s="5">
        <f t="shared" si="39"/>
        <v>4</v>
      </c>
      <c r="G158" s="39">
        <v>44488</v>
      </c>
      <c r="H158" s="4"/>
      <c r="I158" s="8"/>
      <c r="J158" s="9"/>
      <c r="K158" s="10"/>
      <c r="L158" s="9"/>
      <c r="M158" s="7">
        <f t="shared" si="40"/>
        <v>0</v>
      </c>
      <c r="O158" s="11"/>
      <c r="P158" s="8"/>
      <c r="Q158" s="9"/>
      <c r="R158" s="10"/>
      <c r="S158" s="9"/>
      <c r="T158" s="5">
        <f t="shared" si="41"/>
        <v>0</v>
      </c>
    </row>
    <row r="159" spans="1:20" x14ac:dyDescent="0.15">
      <c r="A159" s="4" t="s">
        <v>125</v>
      </c>
      <c r="B159" s="8">
        <v>1</v>
      </c>
      <c r="C159" s="9"/>
      <c r="D159" s="10"/>
      <c r="E159" s="9"/>
      <c r="F159" s="5">
        <f t="shared" si="39"/>
        <v>1</v>
      </c>
      <c r="G159" s="71">
        <v>44487</v>
      </c>
      <c r="H159" s="4"/>
      <c r="I159" s="8"/>
      <c r="J159" s="9"/>
      <c r="K159" s="10"/>
      <c r="L159" s="9"/>
      <c r="M159" s="7">
        <f t="shared" si="40"/>
        <v>0</v>
      </c>
      <c r="O159" s="4"/>
      <c r="P159" s="8"/>
      <c r="Q159" s="9"/>
      <c r="R159" s="10"/>
      <c r="S159" s="9"/>
      <c r="T159" s="5">
        <f t="shared" si="41"/>
        <v>0</v>
      </c>
    </row>
    <row r="160" spans="1:20" x14ac:dyDescent="0.15">
      <c r="A160" s="28" t="s">
        <v>34</v>
      </c>
      <c r="B160" s="8"/>
      <c r="C160" s="9">
        <v>1</v>
      </c>
      <c r="D160" s="10"/>
      <c r="E160" s="9"/>
      <c r="F160" s="5">
        <f t="shared" si="39"/>
        <v>1</v>
      </c>
      <c r="G160" s="71">
        <v>44489</v>
      </c>
      <c r="H160" s="4"/>
      <c r="I160" s="8"/>
      <c r="J160" s="9"/>
      <c r="K160" s="10"/>
      <c r="L160" s="9"/>
      <c r="M160" s="7">
        <f t="shared" si="40"/>
        <v>0</v>
      </c>
      <c r="O160" s="11"/>
      <c r="P160" s="8"/>
      <c r="Q160" s="9"/>
      <c r="R160" s="10"/>
      <c r="S160" s="9"/>
      <c r="T160" s="5">
        <f t="shared" si="41"/>
        <v>0</v>
      </c>
    </row>
    <row r="161" spans="1:20" x14ac:dyDescent="0.15">
      <c r="A161" s="28" t="s">
        <v>39</v>
      </c>
      <c r="B161" s="8"/>
      <c r="C161" s="9"/>
      <c r="D161" s="10">
        <v>2</v>
      </c>
      <c r="E161" s="9"/>
      <c r="F161" s="5">
        <f t="shared" si="39"/>
        <v>2</v>
      </c>
      <c r="G161" s="39">
        <v>44491</v>
      </c>
      <c r="H161" s="4"/>
      <c r="I161" s="8"/>
      <c r="J161" s="9"/>
      <c r="K161" s="10"/>
      <c r="L161" s="9"/>
      <c r="M161" s="7">
        <f t="shared" si="40"/>
        <v>0</v>
      </c>
      <c r="O161" s="11"/>
      <c r="P161" s="8"/>
      <c r="Q161" s="9"/>
      <c r="R161" s="10"/>
      <c r="S161" s="9"/>
      <c r="T161" s="5">
        <f t="shared" si="41"/>
        <v>0</v>
      </c>
    </row>
    <row r="162" spans="1:20" x14ac:dyDescent="0.15">
      <c r="A162" s="28" t="s">
        <v>39</v>
      </c>
      <c r="B162" s="8"/>
      <c r="C162" s="9">
        <v>1</v>
      </c>
      <c r="D162" s="10"/>
      <c r="E162" s="9"/>
      <c r="F162" s="5">
        <f t="shared" si="39"/>
        <v>1</v>
      </c>
      <c r="G162" s="39">
        <v>44492</v>
      </c>
      <c r="H162" s="4"/>
      <c r="I162" s="8"/>
      <c r="J162" s="9"/>
      <c r="K162" s="10"/>
      <c r="L162" s="9"/>
      <c r="M162" s="7">
        <f t="shared" si="40"/>
        <v>0</v>
      </c>
      <c r="N162" s="41"/>
      <c r="O162" s="4"/>
      <c r="P162" s="8"/>
      <c r="Q162" s="9"/>
      <c r="R162" s="10"/>
      <c r="S162" s="9"/>
      <c r="T162" s="5">
        <f t="shared" si="41"/>
        <v>0</v>
      </c>
    </row>
    <row r="163" spans="1:20" x14ac:dyDescent="0.15">
      <c r="A163" s="28" t="s">
        <v>34</v>
      </c>
      <c r="B163" s="8"/>
      <c r="C163" s="9">
        <v>2</v>
      </c>
      <c r="D163" s="10"/>
      <c r="E163" s="9"/>
      <c r="F163" s="5">
        <f t="shared" si="39"/>
        <v>2</v>
      </c>
      <c r="G163" s="71">
        <v>44491</v>
      </c>
      <c r="H163" s="4"/>
      <c r="I163" s="8"/>
      <c r="J163" s="9"/>
      <c r="K163" s="10"/>
      <c r="L163" s="9"/>
      <c r="M163" s="7">
        <f t="shared" si="40"/>
        <v>0</v>
      </c>
      <c r="N163" s="41"/>
      <c r="O163" s="11"/>
      <c r="P163" s="8"/>
      <c r="Q163" s="9"/>
      <c r="R163" s="10"/>
      <c r="S163" s="9"/>
      <c r="T163" s="5">
        <f t="shared" si="41"/>
        <v>0</v>
      </c>
    </row>
    <row r="164" spans="1:20" x14ac:dyDescent="0.15">
      <c r="A164" s="48" t="s">
        <v>127</v>
      </c>
      <c r="B164" s="8">
        <v>2</v>
      </c>
      <c r="C164" s="9"/>
      <c r="D164" s="10"/>
      <c r="E164" s="9"/>
      <c r="F164" s="5">
        <f t="shared" si="39"/>
        <v>2</v>
      </c>
      <c r="G164" s="39">
        <v>44495</v>
      </c>
      <c r="H164" s="48"/>
      <c r="I164" s="8"/>
      <c r="J164" s="9"/>
      <c r="K164" s="10"/>
      <c r="L164" s="9"/>
      <c r="M164" s="7">
        <f t="shared" si="40"/>
        <v>0</v>
      </c>
      <c r="N164" s="41"/>
      <c r="O164" s="4"/>
      <c r="P164" s="8"/>
      <c r="Q164" s="9"/>
      <c r="R164" s="10"/>
      <c r="S164" s="9"/>
      <c r="T164" s="5">
        <f t="shared" si="41"/>
        <v>0</v>
      </c>
    </row>
    <row r="165" spans="1:20" x14ac:dyDescent="0.15">
      <c r="A165" s="28" t="s">
        <v>34</v>
      </c>
      <c r="B165" s="8"/>
      <c r="C165" s="9">
        <v>1</v>
      </c>
      <c r="D165" s="10"/>
      <c r="E165" s="9"/>
      <c r="F165" s="5">
        <f t="shared" si="39"/>
        <v>1</v>
      </c>
      <c r="G165" s="71">
        <v>44494</v>
      </c>
      <c r="H165" s="4"/>
      <c r="I165" s="8"/>
      <c r="J165" s="9"/>
      <c r="K165" s="10"/>
      <c r="L165" s="9"/>
      <c r="M165" s="7">
        <f t="shared" si="40"/>
        <v>0</v>
      </c>
      <c r="N165" s="41"/>
      <c r="O165" s="11"/>
      <c r="P165" s="8"/>
      <c r="Q165" s="9"/>
      <c r="R165" s="10"/>
      <c r="S165" s="9"/>
      <c r="T165" s="5">
        <f t="shared" si="41"/>
        <v>0</v>
      </c>
    </row>
    <row r="166" spans="1:20" x14ac:dyDescent="0.15">
      <c r="A166" s="48" t="s">
        <v>128</v>
      </c>
      <c r="B166" s="8"/>
      <c r="C166" s="9"/>
      <c r="D166" s="10">
        <v>2</v>
      </c>
      <c r="E166" s="9"/>
      <c r="F166" s="5">
        <f t="shared" si="39"/>
        <v>2</v>
      </c>
      <c r="G166" s="39">
        <v>44497</v>
      </c>
      <c r="H166" s="4"/>
      <c r="I166" s="8"/>
      <c r="J166" s="9"/>
      <c r="K166" s="10"/>
      <c r="L166" s="12"/>
      <c r="M166" s="7">
        <f t="shared" si="40"/>
        <v>0</v>
      </c>
      <c r="N166" s="41"/>
      <c r="O166" s="4"/>
      <c r="P166" s="8"/>
      <c r="Q166" s="9"/>
      <c r="R166" s="10"/>
      <c r="S166" s="9"/>
      <c r="T166" s="5">
        <f t="shared" si="41"/>
        <v>0</v>
      </c>
    </row>
    <row r="167" spans="1:20" x14ac:dyDescent="0.15">
      <c r="A167" s="48" t="s">
        <v>129</v>
      </c>
      <c r="B167" s="8"/>
      <c r="C167" s="9">
        <v>2</v>
      </c>
      <c r="D167" s="10"/>
      <c r="E167" s="9"/>
      <c r="F167" s="5">
        <f t="shared" si="39"/>
        <v>2</v>
      </c>
      <c r="G167" s="39">
        <v>44498</v>
      </c>
      <c r="H167" s="4"/>
      <c r="I167" s="8"/>
      <c r="J167" s="9"/>
      <c r="K167" s="10"/>
      <c r="L167" s="9"/>
      <c r="M167" s="7">
        <f t="shared" si="40"/>
        <v>0</v>
      </c>
      <c r="N167" s="39"/>
      <c r="O167" s="11"/>
      <c r="P167" s="59"/>
      <c r="Q167" s="60"/>
      <c r="R167" s="61"/>
      <c r="S167" s="60"/>
      <c r="T167" s="5">
        <f t="shared" si="41"/>
        <v>0</v>
      </c>
    </row>
    <row r="168" spans="1:20" ht="14.25" thickBot="1" x14ac:dyDescent="0.2">
      <c r="A168" s="4" t="s">
        <v>132</v>
      </c>
      <c r="B168" s="8">
        <v>1</v>
      </c>
      <c r="C168" s="9"/>
      <c r="D168" s="10"/>
      <c r="E168" s="51"/>
      <c r="F168" s="5">
        <f t="shared" si="39"/>
        <v>1</v>
      </c>
      <c r="G168" s="71">
        <v>44504</v>
      </c>
      <c r="H168" s="4" t="s">
        <v>59</v>
      </c>
      <c r="I168" s="8"/>
      <c r="J168" s="9"/>
      <c r="K168" s="10"/>
      <c r="L168" s="9"/>
      <c r="M168" s="7">
        <f t="shared" ref="M168" si="42">SUM(I168:L168)</f>
        <v>0</v>
      </c>
      <c r="N168" s="39">
        <v>44481</v>
      </c>
      <c r="O168" s="33"/>
      <c r="P168" s="59"/>
      <c r="Q168" s="60"/>
      <c r="R168" s="61"/>
      <c r="S168" s="63"/>
      <c r="T168" s="5">
        <f t="shared" si="41"/>
        <v>0</v>
      </c>
    </row>
    <row r="169" spans="1:20" ht="14.25" thickBot="1" x14ac:dyDescent="0.2">
      <c r="A169" s="3" t="s">
        <v>5</v>
      </c>
      <c r="B169" s="14">
        <f>SUM(B145:B168)</f>
        <v>11</v>
      </c>
      <c r="C169" s="14">
        <f>SUM(C145:C168)</f>
        <v>17</v>
      </c>
      <c r="D169" s="14">
        <f>SUM(D145:D168)</f>
        <v>18</v>
      </c>
      <c r="E169" s="14">
        <f>SUM(E145:E168)</f>
        <v>0</v>
      </c>
      <c r="F169" s="15">
        <f>SUM(B169:E169)</f>
        <v>46</v>
      </c>
      <c r="H169" s="3" t="s">
        <v>5</v>
      </c>
      <c r="I169" s="14">
        <f>SUM(I145:I168)</f>
        <v>53</v>
      </c>
      <c r="J169" s="14">
        <f>SUM(J145:J168)</f>
        <v>74</v>
      </c>
      <c r="K169" s="14">
        <f>SUM(K145:K168)</f>
        <v>43</v>
      </c>
      <c r="L169" s="14">
        <f>SUM(L145:L168)</f>
        <v>32</v>
      </c>
      <c r="M169" s="15">
        <f>SUM(I169:L169)</f>
        <v>202</v>
      </c>
      <c r="O169" s="3" t="s">
        <v>5</v>
      </c>
      <c r="P169" s="14">
        <f>SUM(P145:P168)</f>
        <v>0</v>
      </c>
      <c r="Q169" s="14">
        <f>SUM(Q145:Q168)</f>
        <v>0</v>
      </c>
      <c r="R169" s="14">
        <f>SUM(R145:R168)</f>
        <v>0</v>
      </c>
      <c r="S169" s="14">
        <f>SUM(S145:S168)</f>
        <v>0</v>
      </c>
      <c r="T169" s="15">
        <f>SUM(P169:S169)</f>
        <v>0</v>
      </c>
    </row>
    <row r="170" spans="1:20" ht="14.25" thickBot="1" x14ac:dyDescent="0.2">
      <c r="A170" s="25" t="s">
        <v>6</v>
      </c>
      <c r="B170" s="26">
        <f>B144-B169</f>
        <v>19</v>
      </c>
      <c r="C170" s="26">
        <f t="shared" ref="C170:F170" si="43">C144-C169</f>
        <v>18</v>
      </c>
      <c r="D170" s="26">
        <f t="shared" si="43"/>
        <v>19</v>
      </c>
      <c r="E170" s="26">
        <f t="shared" si="43"/>
        <v>25</v>
      </c>
      <c r="F170" s="24">
        <f t="shared" si="43"/>
        <v>81</v>
      </c>
      <c r="H170" s="25" t="s">
        <v>6</v>
      </c>
      <c r="I170" s="26">
        <f>I144-I169</f>
        <v>298</v>
      </c>
      <c r="J170" s="26">
        <f t="shared" ref="J170:M170" si="44">J144-J169</f>
        <v>545</v>
      </c>
      <c r="K170" s="26">
        <f t="shared" si="44"/>
        <v>417</v>
      </c>
      <c r="L170" s="26">
        <f t="shared" si="44"/>
        <v>278</v>
      </c>
      <c r="M170" s="24">
        <f t="shared" si="44"/>
        <v>1538</v>
      </c>
      <c r="O170" s="25" t="s">
        <v>6</v>
      </c>
      <c r="P170" s="26">
        <f>P144-P169</f>
        <v>0</v>
      </c>
      <c r="Q170" s="26">
        <f t="shared" ref="Q170:T170" si="45">Q144-Q169</f>
        <v>0</v>
      </c>
      <c r="R170" s="26">
        <f t="shared" si="45"/>
        <v>0</v>
      </c>
      <c r="S170" s="26">
        <f t="shared" si="45"/>
        <v>0</v>
      </c>
      <c r="T170" s="24">
        <f t="shared" si="45"/>
        <v>0</v>
      </c>
    </row>
    <row r="172" spans="1:20" x14ac:dyDescent="0.15">
      <c r="I172" s="72"/>
      <c r="J172" s="72"/>
      <c r="K172" s="72"/>
      <c r="L172" s="72"/>
      <c r="M172" s="72"/>
    </row>
    <row r="173" spans="1:20" ht="21.75" thickBot="1" x14ac:dyDescent="0.25">
      <c r="A173" s="29" t="s">
        <v>13</v>
      </c>
      <c r="B173" s="1"/>
      <c r="C173" s="1"/>
      <c r="D173" s="1"/>
      <c r="E173" s="1"/>
      <c r="F173" s="1"/>
      <c r="H173" s="29" t="s">
        <v>14</v>
      </c>
      <c r="I173" s="1"/>
      <c r="J173" s="1"/>
      <c r="K173" s="1"/>
      <c r="L173" s="1"/>
      <c r="M173" s="1"/>
      <c r="O173" s="29" t="s">
        <v>15</v>
      </c>
      <c r="P173" s="1"/>
      <c r="Q173" s="1"/>
      <c r="R173" s="1"/>
      <c r="S173" s="1"/>
      <c r="T173" s="1"/>
    </row>
    <row r="174" spans="1:20" ht="14.25" thickBot="1" x14ac:dyDescent="0.2">
      <c r="A174" s="2" t="s">
        <v>0</v>
      </c>
      <c r="B174" s="164" t="s">
        <v>12</v>
      </c>
      <c r="C174" s="165"/>
      <c r="D174" s="165"/>
      <c r="E174" s="165"/>
      <c r="F174" s="168"/>
      <c r="H174" s="2" t="s">
        <v>0</v>
      </c>
      <c r="I174" s="164" t="s">
        <v>12</v>
      </c>
      <c r="J174" s="165"/>
      <c r="K174" s="165"/>
      <c r="L174" s="165"/>
      <c r="M174" s="168"/>
      <c r="O174" s="2" t="s">
        <v>0</v>
      </c>
      <c r="P174" s="164" t="s">
        <v>12</v>
      </c>
      <c r="Q174" s="165"/>
      <c r="R174" s="165"/>
      <c r="S174" s="165"/>
      <c r="T174" s="168"/>
    </row>
    <row r="175" spans="1:20" ht="14.25" thickBot="1" x14ac:dyDescent="0.2">
      <c r="A175" s="2" t="s">
        <v>1</v>
      </c>
      <c r="B175" s="3" t="s">
        <v>7</v>
      </c>
      <c r="C175" s="2" t="s">
        <v>8</v>
      </c>
      <c r="D175" s="19" t="s">
        <v>9</v>
      </c>
      <c r="E175" s="2" t="s">
        <v>11</v>
      </c>
      <c r="F175" s="2" t="s">
        <v>2</v>
      </c>
      <c r="H175" s="2" t="s">
        <v>1</v>
      </c>
      <c r="I175" s="3" t="s">
        <v>7</v>
      </c>
      <c r="J175" s="2" t="s">
        <v>8</v>
      </c>
      <c r="K175" s="19" t="s">
        <v>9</v>
      </c>
      <c r="L175" s="2" t="s">
        <v>11</v>
      </c>
      <c r="M175" s="2" t="s">
        <v>2</v>
      </c>
      <c r="O175" s="2" t="s">
        <v>1</v>
      </c>
      <c r="P175" s="3" t="s">
        <v>7</v>
      </c>
      <c r="Q175" s="2" t="s">
        <v>8</v>
      </c>
      <c r="R175" s="19" t="s">
        <v>9</v>
      </c>
      <c r="S175" s="2" t="s">
        <v>11</v>
      </c>
      <c r="T175" s="2" t="s">
        <v>2</v>
      </c>
    </row>
    <row r="176" spans="1:20" x14ac:dyDescent="0.15">
      <c r="A176" s="27" t="s">
        <v>6</v>
      </c>
      <c r="B176" s="18">
        <f>B170</f>
        <v>19</v>
      </c>
      <c r="C176" s="20">
        <f>C170</f>
        <v>18</v>
      </c>
      <c r="D176" s="55">
        <f>D170</f>
        <v>19</v>
      </c>
      <c r="E176" s="20">
        <f>E170</f>
        <v>25</v>
      </c>
      <c r="F176" s="17">
        <f>SUM(B176:E176)</f>
        <v>81</v>
      </c>
      <c r="H176" s="27" t="s">
        <v>6</v>
      </c>
      <c r="I176" s="18">
        <f>I170</f>
        <v>298</v>
      </c>
      <c r="J176" s="20">
        <f>J170</f>
        <v>545</v>
      </c>
      <c r="K176" s="55">
        <f>K170</f>
        <v>417</v>
      </c>
      <c r="L176" s="58">
        <f>L170</f>
        <v>278</v>
      </c>
      <c r="M176" s="17">
        <f>SUM(I176:L176)</f>
        <v>1538</v>
      </c>
      <c r="O176" s="27" t="s">
        <v>6</v>
      </c>
      <c r="P176" s="18">
        <f>P170</f>
        <v>0</v>
      </c>
      <c r="Q176" s="20">
        <f>Q170</f>
        <v>0</v>
      </c>
      <c r="R176" s="55">
        <f>R170</f>
        <v>0</v>
      </c>
      <c r="S176" s="20">
        <f>S170</f>
        <v>0</v>
      </c>
      <c r="T176" s="17">
        <f>SUM(P176:S176)</f>
        <v>0</v>
      </c>
    </row>
    <row r="177" spans="1:20" x14ac:dyDescent="0.15">
      <c r="A177" s="11" t="s">
        <v>140</v>
      </c>
      <c r="B177" s="16"/>
      <c r="C177" s="11">
        <v>1</v>
      </c>
      <c r="D177" s="16"/>
      <c r="E177" s="4"/>
      <c r="F177" s="5">
        <f t="shared" ref="F177:F186" si="46">SUM(B177:E177)</f>
        <v>1</v>
      </c>
      <c r="G177" s="39">
        <v>44517</v>
      </c>
      <c r="H177" s="6" t="s">
        <v>3</v>
      </c>
      <c r="I177" s="16"/>
      <c r="J177" s="11"/>
      <c r="K177" s="16"/>
      <c r="L177" s="4"/>
      <c r="M177" s="5">
        <f t="shared" ref="M177:M186" si="47">SUM(I177:L177)</f>
        <v>0</v>
      </c>
      <c r="N177" s="41"/>
      <c r="O177" s="6" t="s">
        <v>3</v>
      </c>
      <c r="P177" s="16"/>
      <c r="Q177" s="11"/>
      <c r="R177" s="16"/>
      <c r="S177" s="4"/>
      <c r="T177" s="5">
        <f t="shared" ref="T177:T186" si="48">SUM(P177:S177)</f>
        <v>0</v>
      </c>
    </row>
    <row r="178" spans="1:20" x14ac:dyDescent="0.15">
      <c r="A178" s="6" t="s">
        <v>3</v>
      </c>
      <c r="B178" s="16">
        <v>5</v>
      </c>
      <c r="C178" s="11">
        <v>5</v>
      </c>
      <c r="D178" s="16">
        <v>5</v>
      </c>
      <c r="E178" s="4"/>
      <c r="F178" s="5">
        <f t="shared" si="46"/>
        <v>15</v>
      </c>
      <c r="G178" s="39">
        <v>44526</v>
      </c>
      <c r="H178" s="6" t="s">
        <v>3</v>
      </c>
      <c r="I178" s="31"/>
      <c r="J178" s="32"/>
      <c r="K178" s="31"/>
      <c r="L178" s="52"/>
      <c r="M178" s="5">
        <f t="shared" si="47"/>
        <v>0</v>
      </c>
      <c r="N178" s="39"/>
      <c r="O178" s="6" t="s">
        <v>3</v>
      </c>
      <c r="P178" s="31"/>
      <c r="Q178" s="32"/>
      <c r="R178" s="31"/>
      <c r="S178" s="52"/>
      <c r="T178" s="5">
        <f t="shared" si="48"/>
        <v>0</v>
      </c>
    </row>
    <row r="179" spans="1:20" x14ac:dyDescent="0.15">
      <c r="A179" s="6" t="s">
        <v>3</v>
      </c>
      <c r="B179" s="16">
        <v>5</v>
      </c>
      <c r="C179" s="11">
        <v>10</v>
      </c>
      <c r="D179" s="16">
        <v>5</v>
      </c>
      <c r="E179" s="4">
        <v>5</v>
      </c>
      <c r="F179" s="5">
        <f t="shared" si="46"/>
        <v>25</v>
      </c>
      <c r="G179" s="39">
        <v>44539</v>
      </c>
      <c r="H179" s="6" t="s">
        <v>16</v>
      </c>
      <c r="I179" s="38">
        <v>500</v>
      </c>
      <c r="J179" s="32">
        <v>600</v>
      </c>
      <c r="K179" s="31">
        <v>300</v>
      </c>
      <c r="L179" s="52">
        <v>100</v>
      </c>
      <c r="M179" s="5">
        <f t="shared" si="47"/>
        <v>1500</v>
      </c>
      <c r="N179" s="39" t="s">
        <v>142</v>
      </c>
      <c r="O179" s="6" t="s">
        <v>3</v>
      </c>
      <c r="P179" s="31"/>
      <c r="Q179" s="32"/>
      <c r="R179" s="31"/>
      <c r="S179" s="52"/>
      <c r="T179" s="5">
        <f t="shared" si="48"/>
        <v>0</v>
      </c>
    </row>
    <row r="180" spans="1:20" x14ac:dyDescent="0.15">
      <c r="A180" s="6" t="s">
        <v>3</v>
      </c>
      <c r="B180" s="16"/>
      <c r="C180" s="11"/>
      <c r="D180" s="16"/>
      <c r="E180" s="4"/>
      <c r="F180" s="5">
        <f t="shared" si="46"/>
        <v>0</v>
      </c>
      <c r="G180" s="41"/>
      <c r="H180" s="6" t="s">
        <v>3</v>
      </c>
      <c r="I180" s="38"/>
      <c r="J180" s="32"/>
      <c r="K180" s="31"/>
      <c r="L180" s="52"/>
      <c r="M180" s="5">
        <f t="shared" si="47"/>
        <v>0</v>
      </c>
      <c r="N180" s="41" t="s">
        <v>139</v>
      </c>
      <c r="O180" s="6" t="s">
        <v>3</v>
      </c>
      <c r="P180" s="38"/>
      <c r="Q180" s="32"/>
      <c r="R180" s="31"/>
      <c r="S180" s="52"/>
      <c r="T180" s="5">
        <f t="shared" si="48"/>
        <v>0</v>
      </c>
    </row>
    <row r="181" spans="1:20" x14ac:dyDescent="0.15">
      <c r="A181" s="6" t="s">
        <v>3</v>
      </c>
      <c r="B181" s="16"/>
      <c r="C181" s="11"/>
      <c r="D181" s="16"/>
      <c r="E181" s="4"/>
      <c r="F181" s="5">
        <f t="shared" si="46"/>
        <v>0</v>
      </c>
      <c r="G181" s="41"/>
      <c r="H181" s="6" t="s">
        <v>3</v>
      </c>
      <c r="I181" s="31"/>
      <c r="J181" s="32"/>
      <c r="K181" s="31"/>
      <c r="L181" s="52"/>
      <c r="M181" s="5">
        <f t="shared" si="47"/>
        <v>0</v>
      </c>
      <c r="N181" s="39"/>
      <c r="O181" s="6" t="s">
        <v>3</v>
      </c>
      <c r="P181" s="31"/>
      <c r="Q181" s="32"/>
      <c r="R181" s="31"/>
      <c r="S181" s="52"/>
      <c r="T181" s="5">
        <f t="shared" si="48"/>
        <v>0</v>
      </c>
    </row>
    <row r="182" spans="1:20" x14ac:dyDescent="0.15">
      <c r="A182" s="6" t="s">
        <v>3</v>
      </c>
      <c r="B182" s="16"/>
      <c r="C182" s="11"/>
      <c r="D182" s="16"/>
      <c r="E182" s="4"/>
      <c r="F182" s="5">
        <f t="shared" si="46"/>
        <v>0</v>
      </c>
      <c r="G182" s="41"/>
      <c r="H182" s="6" t="s">
        <v>3</v>
      </c>
      <c r="I182" s="38"/>
      <c r="J182" s="32"/>
      <c r="K182" s="31"/>
      <c r="L182" s="52"/>
      <c r="M182" s="5">
        <f t="shared" si="47"/>
        <v>0</v>
      </c>
      <c r="N182" s="41"/>
      <c r="O182" s="6" t="s">
        <v>3</v>
      </c>
      <c r="P182" s="38"/>
      <c r="Q182" s="32"/>
      <c r="R182" s="31"/>
      <c r="S182" s="52"/>
      <c r="T182" s="5">
        <f t="shared" si="48"/>
        <v>0</v>
      </c>
    </row>
    <row r="183" spans="1:20" x14ac:dyDescent="0.15">
      <c r="A183" s="6" t="s">
        <v>3</v>
      </c>
      <c r="B183" s="31"/>
      <c r="C183" s="32"/>
      <c r="D183" s="31"/>
      <c r="E183" s="52"/>
      <c r="F183" s="5">
        <f t="shared" si="46"/>
        <v>0</v>
      </c>
      <c r="G183" s="41"/>
      <c r="H183" s="6" t="s">
        <v>3</v>
      </c>
      <c r="I183" s="31"/>
      <c r="J183" s="32"/>
      <c r="K183" s="31"/>
      <c r="L183" s="52"/>
      <c r="M183" s="5">
        <f t="shared" ref="M183" si="49">SUM(I183:L183)</f>
        <v>0</v>
      </c>
      <c r="N183" s="39"/>
      <c r="O183" s="6" t="s">
        <v>3</v>
      </c>
      <c r="P183" s="38"/>
      <c r="Q183" s="32"/>
      <c r="R183" s="31"/>
      <c r="S183" s="52"/>
      <c r="T183" s="5">
        <f t="shared" si="48"/>
        <v>0</v>
      </c>
    </row>
    <row r="184" spans="1:20" x14ac:dyDescent="0.15">
      <c r="A184" s="6" t="s">
        <v>3</v>
      </c>
      <c r="B184" s="10"/>
      <c r="C184" s="9"/>
      <c r="D184" s="10"/>
      <c r="E184" s="49"/>
      <c r="F184" s="5">
        <f t="shared" si="46"/>
        <v>0</v>
      </c>
      <c r="G184" s="41"/>
      <c r="H184" s="6" t="s">
        <v>3</v>
      </c>
      <c r="I184" s="31"/>
      <c r="J184" s="32"/>
      <c r="K184" s="31"/>
      <c r="L184" s="52"/>
      <c r="M184" s="5">
        <f t="shared" si="47"/>
        <v>0</v>
      </c>
      <c r="O184" s="6" t="s">
        <v>3</v>
      </c>
      <c r="P184" s="10"/>
      <c r="Q184" s="9"/>
      <c r="R184" s="10"/>
      <c r="S184" s="49"/>
      <c r="T184" s="5">
        <f t="shared" si="48"/>
        <v>0</v>
      </c>
    </row>
    <row r="185" spans="1:20" x14ac:dyDescent="0.15">
      <c r="A185" s="6" t="s">
        <v>3</v>
      </c>
      <c r="B185" s="31"/>
      <c r="C185" s="32"/>
      <c r="D185" s="31"/>
      <c r="E185" s="52"/>
      <c r="F185" s="5">
        <f t="shared" si="46"/>
        <v>0</v>
      </c>
      <c r="G185" s="41"/>
      <c r="H185" s="6" t="s">
        <v>3</v>
      </c>
      <c r="I185" s="34"/>
      <c r="J185" s="35"/>
      <c r="K185" s="34"/>
      <c r="L185" s="32"/>
      <c r="M185" s="5">
        <f t="shared" si="47"/>
        <v>0</v>
      </c>
      <c r="O185" s="6" t="s">
        <v>3</v>
      </c>
      <c r="P185" s="34"/>
      <c r="Q185" s="35"/>
      <c r="R185" s="34"/>
      <c r="S185" s="32"/>
      <c r="T185" s="5">
        <f t="shared" si="48"/>
        <v>0</v>
      </c>
    </row>
    <row r="186" spans="1:20" ht="14.25" thickBot="1" x14ac:dyDescent="0.2">
      <c r="A186" s="6" t="s">
        <v>3</v>
      </c>
      <c r="B186" s="13"/>
      <c r="C186" s="12"/>
      <c r="D186" s="13"/>
      <c r="E186" s="50"/>
      <c r="F186" s="5">
        <f t="shared" si="46"/>
        <v>0</v>
      </c>
      <c r="G186" s="41"/>
      <c r="H186" s="6" t="s">
        <v>3</v>
      </c>
      <c r="I186" s="34"/>
      <c r="J186" s="35"/>
      <c r="K186" s="34"/>
      <c r="L186" s="53"/>
      <c r="M186" s="5">
        <f t="shared" si="47"/>
        <v>0</v>
      </c>
      <c r="O186" s="6" t="s">
        <v>3</v>
      </c>
      <c r="P186" s="13"/>
      <c r="Q186" s="12"/>
      <c r="R186" s="13"/>
      <c r="S186" s="50"/>
      <c r="T186" s="17">
        <f t="shared" si="48"/>
        <v>0</v>
      </c>
    </row>
    <row r="187" spans="1:20" ht="14.25" thickBot="1" x14ac:dyDescent="0.2">
      <c r="A187" s="21" t="s">
        <v>4</v>
      </c>
      <c r="B187" s="22">
        <f>SUM(B176:B186)</f>
        <v>29</v>
      </c>
      <c r="C187" s="22">
        <f>SUM(C176:C186)</f>
        <v>34</v>
      </c>
      <c r="D187" s="23">
        <f>SUM(D176:D186)</f>
        <v>29</v>
      </c>
      <c r="E187" s="23">
        <f>SUM(E176:E186)</f>
        <v>30</v>
      </c>
      <c r="F187" s="24">
        <f>SUM(B187:E187)</f>
        <v>122</v>
      </c>
      <c r="H187" s="21" t="s">
        <v>4</v>
      </c>
      <c r="I187" s="22">
        <f>SUM(I176:I186)</f>
        <v>798</v>
      </c>
      <c r="J187" s="22">
        <f>SUM(J176:J186)</f>
        <v>1145</v>
      </c>
      <c r="K187" s="23">
        <f>SUM(K176:K186)</f>
        <v>717</v>
      </c>
      <c r="L187" s="23">
        <f>SUM(L176:L186)</f>
        <v>378</v>
      </c>
      <c r="M187" s="24">
        <f>SUM(I187:L187)</f>
        <v>3038</v>
      </c>
      <c r="O187" s="21" t="s">
        <v>4</v>
      </c>
      <c r="P187" s="22">
        <f>SUM(P176:P186)</f>
        <v>0</v>
      </c>
      <c r="Q187" s="22">
        <f>SUM(Q176:Q186)</f>
        <v>0</v>
      </c>
      <c r="R187" s="23">
        <f>SUM(R176:R186)</f>
        <v>0</v>
      </c>
      <c r="S187" s="23">
        <f>SUM(S176:S186)</f>
        <v>0</v>
      </c>
      <c r="T187" s="24">
        <f>SUM(P187:S187)</f>
        <v>0</v>
      </c>
    </row>
    <row r="188" spans="1:20" x14ac:dyDescent="0.15">
      <c r="A188" s="28" t="s">
        <v>133</v>
      </c>
      <c r="B188" s="8"/>
      <c r="C188" s="9"/>
      <c r="D188" s="10">
        <v>1</v>
      </c>
      <c r="E188" s="49"/>
      <c r="F188" s="5">
        <f>SUM(B188:E188)</f>
        <v>1</v>
      </c>
      <c r="G188" s="71">
        <v>44505</v>
      </c>
      <c r="H188" s="42" t="s">
        <v>141</v>
      </c>
      <c r="I188" s="8">
        <v>5</v>
      </c>
      <c r="J188" s="9">
        <v>5</v>
      </c>
      <c r="K188" s="10">
        <v>5</v>
      </c>
      <c r="L188" s="9"/>
      <c r="M188" s="7">
        <f t="shared" ref="M188:M189" si="50">SUM(I188:L188)</f>
        <v>15</v>
      </c>
      <c r="N188" s="39">
        <v>44526</v>
      </c>
      <c r="O188" s="6"/>
      <c r="P188" s="31"/>
      <c r="Q188" s="32"/>
      <c r="R188" s="31"/>
      <c r="S188" s="52"/>
      <c r="T188" s="5">
        <f>SUM(P188:S188)</f>
        <v>0</v>
      </c>
    </row>
    <row r="189" spans="1:20" x14ac:dyDescent="0.15">
      <c r="A189" s="28" t="s">
        <v>133</v>
      </c>
      <c r="B189" s="8"/>
      <c r="C189" s="9"/>
      <c r="D189" s="10">
        <v>1</v>
      </c>
      <c r="E189" s="49"/>
      <c r="F189" s="5">
        <f t="shared" ref="F189:F211" si="51">SUM(B189:E189)</f>
        <v>1</v>
      </c>
      <c r="G189" s="71">
        <v>44506</v>
      </c>
      <c r="H189" s="4" t="s">
        <v>26</v>
      </c>
      <c r="I189" s="8">
        <v>5</v>
      </c>
      <c r="J189" s="9">
        <v>10</v>
      </c>
      <c r="K189" s="10">
        <v>5</v>
      </c>
      <c r="L189" s="9">
        <v>5</v>
      </c>
      <c r="M189" s="7">
        <f t="shared" si="50"/>
        <v>25</v>
      </c>
      <c r="N189" s="39">
        <v>44539</v>
      </c>
      <c r="O189" s="4"/>
      <c r="P189" s="45"/>
      <c r="Q189" s="46"/>
      <c r="R189" s="47"/>
      <c r="S189" s="56"/>
      <c r="T189" s="5">
        <f t="shared" ref="T189:T211" si="52">SUM(P189:S189)</f>
        <v>0</v>
      </c>
    </row>
    <row r="190" spans="1:20" x14ac:dyDescent="0.15">
      <c r="A190" s="11" t="s">
        <v>136</v>
      </c>
      <c r="B190" s="8"/>
      <c r="C190" s="9">
        <v>1</v>
      </c>
      <c r="D190" s="10"/>
      <c r="E190" s="49"/>
      <c r="F190" s="5">
        <f t="shared" si="51"/>
        <v>1</v>
      </c>
      <c r="G190" s="71">
        <v>44512</v>
      </c>
      <c r="H190" s="4" t="s">
        <v>146</v>
      </c>
      <c r="I190" s="8">
        <v>2</v>
      </c>
      <c r="J190" s="9">
        <v>7</v>
      </c>
      <c r="K190" s="10">
        <v>4</v>
      </c>
      <c r="L190" s="49"/>
      <c r="M190" s="7">
        <f t="shared" ref="M190:M207" si="53">SUM(I190:L190)</f>
        <v>13</v>
      </c>
      <c r="N190" s="39">
        <v>44544</v>
      </c>
      <c r="O190" s="4"/>
      <c r="P190" s="36"/>
      <c r="Q190" s="37"/>
      <c r="R190" s="36"/>
      <c r="S190" s="54"/>
      <c r="T190" s="5">
        <f t="shared" si="52"/>
        <v>0</v>
      </c>
    </row>
    <row r="191" spans="1:20" x14ac:dyDescent="0.15">
      <c r="A191" s="4" t="s">
        <v>137</v>
      </c>
      <c r="B191" s="8">
        <v>1</v>
      </c>
      <c r="C191" s="9"/>
      <c r="D191" s="10"/>
      <c r="E191" s="49"/>
      <c r="F191" s="5">
        <f t="shared" si="51"/>
        <v>1</v>
      </c>
      <c r="G191" s="39">
        <v>44513</v>
      </c>
      <c r="H191" s="4"/>
      <c r="I191" s="8"/>
      <c r="J191" s="9"/>
      <c r="K191" s="10"/>
      <c r="L191" s="49"/>
      <c r="M191" s="7">
        <f t="shared" si="53"/>
        <v>0</v>
      </c>
      <c r="O191" s="4"/>
      <c r="P191" s="8"/>
      <c r="Q191" s="9"/>
      <c r="R191" s="10"/>
      <c r="S191" s="49"/>
      <c r="T191" s="5">
        <f t="shared" si="52"/>
        <v>0</v>
      </c>
    </row>
    <row r="192" spans="1:20" x14ac:dyDescent="0.15">
      <c r="A192" s="4" t="s">
        <v>39</v>
      </c>
      <c r="B192" s="8"/>
      <c r="C192" s="9"/>
      <c r="D192" s="10"/>
      <c r="E192" s="49">
        <v>1</v>
      </c>
      <c r="F192" s="5">
        <f t="shared" si="51"/>
        <v>1</v>
      </c>
      <c r="G192" s="39">
        <v>44516</v>
      </c>
      <c r="H192" s="4"/>
      <c r="I192" s="8"/>
      <c r="J192" s="9"/>
      <c r="K192" s="10"/>
      <c r="L192" s="49"/>
      <c r="M192" s="7">
        <f t="shared" si="53"/>
        <v>0</v>
      </c>
      <c r="O192" s="4"/>
      <c r="P192" s="8"/>
      <c r="Q192" s="9"/>
      <c r="R192" s="10"/>
      <c r="S192" s="49"/>
      <c r="T192" s="5">
        <f t="shared" si="52"/>
        <v>0</v>
      </c>
    </row>
    <row r="193" spans="1:20" x14ac:dyDescent="0.15">
      <c r="A193" s="11" t="s">
        <v>138</v>
      </c>
      <c r="B193" s="8">
        <v>1</v>
      </c>
      <c r="C193" s="9"/>
      <c r="D193" s="10"/>
      <c r="E193" s="9"/>
      <c r="F193" s="5">
        <f t="shared" si="51"/>
        <v>1</v>
      </c>
      <c r="G193" s="71">
        <v>44517</v>
      </c>
      <c r="H193" s="28"/>
      <c r="I193" s="8"/>
      <c r="J193" s="9"/>
      <c r="K193" s="10"/>
      <c r="L193" s="9"/>
      <c r="M193" s="7">
        <f t="shared" si="53"/>
        <v>0</v>
      </c>
      <c r="O193" s="4"/>
      <c r="P193" s="8"/>
      <c r="Q193" s="9"/>
      <c r="R193" s="10"/>
      <c r="S193" s="9"/>
      <c r="T193" s="5">
        <f t="shared" si="52"/>
        <v>0</v>
      </c>
    </row>
    <row r="194" spans="1:20" x14ac:dyDescent="0.15">
      <c r="A194" s="4" t="s">
        <v>39</v>
      </c>
      <c r="B194" s="8">
        <v>1</v>
      </c>
      <c r="C194" s="9"/>
      <c r="D194" s="10"/>
      <c r="E194" s="9"/>
      <c r="F194" s="5">
        <f t="shared" si="51"/>
        <v>1</v>
      </c>
      <c r="G194" s="39">
        <v>44520</v>
      </c>
      <c r="H194" s="28"/>
      <c r="I194" s="8"/>
      <c r="J194" s="9"/>
      <c r="K194" s="10"/>
      <c r="L194" s="9"/>
      <c r="M194" s="7">
        <f t="shared" si="53"/>
        <v>0</v>
      </c>
      <c r="O194" s="4"/>
      <c r="P194" s="8"/>
      <c r="Q194" s="9"/>
      <c r="R194" s="10"/>
      <c r="S194" s="9"/>
      <c r="T194" s="5">
        <f t="shared" si="52"/>
        <v>0</v>
      </c>
    </row>
    <row r="195" spans="1:20" x14ac:dyDescent="0.15">
      <c r="A195" s="28" t="s">
        <v>133</v>
      </c>
      <c r="B195" s="8"/>
      <c r="C195" s="9">
        <v>1</v>
      </c>
      <c r="D195" s="10"/>
      <c r="E195" s="9">
        <v>1</v>
      </c>
      <c r="F195" s="5">
        <f t="shared" si="51"/>
        <v>2</v>
      </c>
      <c r="G195" s="71">
        <v>44519</v>
      </c>
      <c r="H195" s="4"/>
      <c r="I195" s="8"/>
      <c r="J195" s="9"/>
      <c r="K195" s="10"/>
      <c r="L195" s="9"/>
      <c r="M195" s="7">
        <f t="shared" si="53"/>
        <v>0</v>
      </c>
      <c r="O195" s="4"/>
      <c r="P195" s="8"/>
      <c r="Q195" s="9"/>
      <c r="R195" s="10"/>
      <c r="S195" s="9"/>
      <c r="T195" s="5">
        <f t="shared" si="52"/>
        <v>0</v>
      </c>
    </row>
    <row r="196" spans="1:20" x14ac:dyDescent="0.15">
      <c r="A196" s="4" t="s">
        <v>34</v>
      </c>
      <c r="B196" s="8"/>
      <c r="C196" s="9"/>
      <c r="D196" s="10"/>
      <c r="E196" s="9">
        <v>1</v>
      </c>
      <c r="F196" s="5">
        <f t="shared" si="51"/>
        <v>1</v>
      </c>
      <c r="G196" s="71">
        <v>44522</v>
      </c>
      <c r="H196" s="4"/>
      <c r="I196" s="8"/>
      <c r="J196" s="9"/>
      <c r="K196" s="10"/>
      <c r="L196" s="9"/>
      <c r="M196" s="7">
        <f t="shared" si="53"/>
        <v>0</v>
      </c>
      <c r="O196" s="4"/>
      <c r="P196" s="8"/>
      <c r="Q196" s="9"/>
      <c r="R196" s="10"/>
      <c r="S196" s="9"/>
      <c r="T196" s="5">
        <f t="shared" si="52"/>
        <v>0</v>
      </c>
    </row>
    <row r="197" spans="1:20" x14ac:dyDescent="0.15">
      <c r="A197" s="4" t="s">
        <v>39</v>
      </c>
      <c r="B197" s="8"/>
      <c r="C197" s="9"/>
      <c r="D197" s="10">
        <v>1</v>
      </c>
      <c r="E197" s="9"/>
      <c r="F197" s="5">
        <f t="shared" si="51"/>
        <v>1</v>
      </c>
      <c r="G197" s="39">
        <v>44525</v>
      </c>
      <c r="H197" s="4"/>
      <c r="I197" s="8"/>
      <c r="J197" s="9"/>
      <c r="K197" s="10"/>
      <c r="L197" s="9"/>
      <c r="M197" s="7">
        <f t="shared" si="53"/>
        <v>0</v>
      </c>
      <c r="O197" s="4"/>
      <c r="P197" s="8"/>
      <c r="Q197" s="9"/>
      <c r="R197" s="10"/>
      <c r="S197" s="9"/>
      <c r="T197" s="5">
        <f t="shared" si="52"/>
        <v>0</v>
      </c>
    </row>
    <row r="198" spans="1:20" x14ac:dyDescent="0.15">
      <c r="A198" s="4" t="s">
        <v>39</v>
      </c>
      <c r="B198" s="8"/>
      <c r="C198" s="9"/>
      <c r="D198" s="10"/>
      <c r="E198" s="9">
        <v>2</v>
      </c>
      <c r="F198" s="5">
        <f t="shared" si="51"/>
        <v>2</v>
      </c>
      <c r="G198" s="39">
        <v>44530</v>
      </c>
      <c r="H198" s="4"/>
      <c r="I198" s="8"/>
      <c r="J198" s="9"/>
      <c r="K198" s="10"/>
      <c r="L198" s="9"/>
      <c r="M198" s="7">
        <f t="shared" si="53"/>
        <v>0</v>
      </c>
      <c r="O198" s="4"/>
      <c r="P198" s="8"/>
      <c r="Q198" s="9"/>
      <c r="R198" s="10"/>
      <c r="S198" s="9"/>
      <c r="T198" s="5">
        <f t="shared" si="52"/>
        <v>0</v>
      </c>
    </row>
    <row r="199" spans="1:20" x14ac:dyDescent="0.15">
      <c r="A199" s="4" t="s">
        <v>143</v>
      </c>
      <c r="B199" s="8">
        <v>2</v>
      </c>
      <c r="C199" s="9"/>
      <c r="D199" s="10"/>
      <c r="E199" s="9"/>
      <c r="F199" s="5">
        <f t="shared" si="51"/>
        <v>2</v>
      </c>
      <c r="G199" s="71">
        <v>44532</v>
      </c>
      <c r="H199" s="4"/>
      <c r="I199" s="8"/>
      <c r="J199" s="9"/>
      <c r="K199" s="10"/>
      <c r="L199" s="9"/>
      <c r="M199" s="7">
        <f t="shared" si="53"/>
        <v>0</v>
      </c>
      <c r="O199" s="4"/>
      <c r="P199" s="8"/>
      <c r="Q199" s="9"/>
      <c r="R199" s="10"/>
      <c r="S199" s="9"/>
      <c r="T199" s="5">
        <f t="shared" si="52"/>
        <v>0</v>
      </c>
    </row>
    <row r="200" spans="1:20" x14ac:dyDescent="0.15">
      <c r="A200" s="4" t="s">
        <v>39</v>
      </c>
      <c r="B200" s="8">
        <v>1</v>
      </c>
      <c r="C200" s="9">
        <v>1</v>
      </c>
      <c r="D200" s="10"/>
      <c r="E200" s="9">
        <v>1</v>
      </c>
      <c r="F200" s="5">
        <f t="shared" si="51"/>
        <v>3</v>
      </c>
      <c r="G200" s="39">
        <v>44537</v>
      </c>
      <c r="H200" s="4"/>
      <c r="I200" s="8"/>
      <c r="J200" s="9"/>
      <c r="K200" s="10"/>
      <c r="L200" s="9"/>
      <c r="M200" s="7">
        <f t="shared" si="53"/>
        <v>0</v>
      </c>
      <c r="O200" s="4"/>
      <c r="P200" s="8"/>
      <c r="Q200" s="9"/>
      <c r="R200" s="10"/>
      <c r="S200" s="9"/>
      <c r="T200" s="5">
        <f t="shared" si="52"/>
        <v>0</v>
      </c>
    </row>
    <row r="201" spans="1:20" x14ac:dyDescent="0.15">
      <c r="A201" s="4" t="s">
        <v>144</v>
      </c>
      <c r="B201" s="8">
        <v>1</v>
      </c>
      <c r="C201" s="9"/>
      <c r="D201" s="10"/>
      <c r="E201" s="9"/>
      <c r="F201" s="5">
        <f t="shared" si="51"/>
        <v>1</v>
      </c>
      <c r="G201" s="71">
        <v>44539</v>
      </c>
      <c r="H201" s="4"/>
      <c r="I201" s="8"/>
      <c r="J201" s="9"/>
      <c r="K201" s="10"/>
      <c r="L201" s="9"/>
      <c r="M201" s="7">
        <f t="shared" si="53"/>
        <v>0</v>
      </c>
      <c r="O201" s="11"/>
      <c r="P201" s="8"/>
      <c r="Q201" s="9"/>
      <c r="R201" s="10"/>
      <c r="S201" s="9"/>
      <c r="T201" s="5">
        <f t="shared" si="52"/>
        <v>0</v>
      </c>
    </row>
    <row r="202" spans="1:20" x14ac:dyDescent="0.15">
      <c r="A202" s="4" t="s">
        <v>145</v>
      </c>
      <c r="B202" s="8">
        <v>1</v>
      </c>
      <c r="C202" s="9">
        <v>1</v>
      </c>
      <c r="D202" s="10"/>
      <c r="E202" s="9"/>
      <c r="F202" s="5">
        <f t="shared" si="51"/>
        <v>2</v>
      </c>
      <c r="G202" s="39">
        <v>44539</v>
      </c>
      <c r="H202" s="4"/>
      <c r="I202" s="8"/>
      <c r="J202" s="9"/>
      <c r="K202" s="10"/>
      <c r="L202" s="9"/>
      <c r="M202" s="7">
        <f t="shared" si="53"/>
        <v>0</v>
      </c>
      <c r="O202" s="4"/>
      <c r="P202" s="8"/>
      <c r="Q202" s="9"/>
      <c r="R202" s="10"/>
      <c r="S202" s="9"/>
      <c r="T202" s="5">
        <f t="shared" si="52"/>
        <v>0</v>
      </c>
    </row>
    <row r="203" spans="1:20" x14ac:dyDescent="0.15">
      <c r="A203" s="4" t="s">
        <v>34</v>
      </c>
      <c r="B203" s="8"/>
      <c r="C203" s="9">
        <f>1+1</f>
        <v>2</v>
      </c>
      <c r="D203" s="10"/>
      <c r="E203" s="9"/>
      <c r="F203" s="5">
        <f t="shared" si="51"/>
        <v>2</v>
      </c>
      <c r="G203" s="71">
        <v>44540</v>
      </c>
      <c r="H203" s="4"/>
      <c r="I203" s="8"/>
      <c r="J203" s="9"/>
      <c r="K203" s="10"/>
      <c r="L203" s="9"/>
      <c r="M203" s="7">
        <f t="shared" si="53"/>
        <v>0</v>
      </c>
      <c r="O203" s="11"/>
      <c r="P203" s="8"/>
      <c r="Q203" s="9"/>
      <c r="R203" s="10"/>
      <c r="S203" s="9"/>
      <c r="T203" s="5">
        <f t="shared" si="52"/>
        <v>0</v>
      </c>
    </row>
    <row r="204" spans="1:20" x14ac:dyDescent="0.15">
      <c r="A204" s="4" t="s">
        <v>39</v>
      </c>
      <c r="B204" s="8">
        <v>1</v>
      </c>
      <c r="C204" s="9"/>
      <c r="D204" s="10"/>
      <c r="E204" s="9"/>
      <c r="F204" s="5">
        <f t="shared" si="51"/>
        <v>1</v>
      </c>
      <c r="G204" s="39">
        <v>44544</v>
      </c>
      <c r="H204" s="4"/>
      <c r="I204" s="8"/>
      <c r="J204" s="9"/>
      <c r="K204" s="10"/>
      <c r="L204" s="9"/>
      <c r="M204" s="7">
        <f t="shared" si="53"/>
        <v>0</v>
      </c>
      <c r="O204" s="11"/>
      <c r="P204" s="8"/>
      <c r="Q204" s="9"/>
      <c r="R204" s="10"/>
      <c r="S204" s="9"/>
      <c r="T204" s="5">
        <f t="shared" si="52"/>
        <v>0</v>
      </c>
    </row>
    <row r="205" spans="1:20" x14ac:dyDescent="0.15">
      <c r="A205" s="4" t="s">
        <v>34</v>
      </c>
      <c r="B205" s="8"/>
      <c r="C205" s="9"/>
      <c r="D205" s="10">
        <v>2</v>
      </c>
      <c r="E205" s="9"/>
      <c r="F205" s="5">
        <f t="shared" si="51"/>
        <v>2</v>
      </c>
      <c r="G205" s="71">
        <v>44544</v>
      </c>
      <c r="H205" s="4"/>
      <c r="I205" s="8"/>
      <c r="J205" s="9"/>
      <c r="K205" s="10"/>
      <c r="L205" s="9"/>
      <c r="M205" s="7">
        <f t="shared" si="53"/>
        <v>0</v>
      </c>
      <c r="N205" s="41"/>
      <c r="O205" s="4"/>
      <c r="P205" s="8"/>
      <c r="Q205" s="9"/>
      <c r="R205" s="10"/>
      <c r="S205" s="9"/>
      <c r="T205" s="5">
        <f t="shared" si="52"/>
        <v>0</v>
      </c>
    </row>
    <row r="206" spans="1:20" x14ac:dyDescent="0.15">
      <c r="A206" s="4" t="s">
        <v>147</v>
      </c>
      <c r="B206" s="8">
        <v>1</v>
      </c>
      <c r="C206" s="9"/>
      <c r="D206" s="10"/>
      <c r="E206" s="9"/>
      <c r="F206" s="5">
        <f t="shared" si="51"/>
        <v>1</v>
      </c>
      <c r="G206" s="71">
        <v>44546</v>
      </c>
      <c r="H206" s="4"/>
      <c r="I206" s="8"/>
      <c r="J206" s="9"/>
      <c r="K206" s="10"/>
      <c r="L206" s="9"/>
      <c r="M206" s="7">
        <f t="shared" si="53"/>
        <v>0</v>
      </c>
      <c r="N206" s="41"/>
      <c r="O206" s="11"/>
      <c r="P206" s="8"/>
      <c r="Q206" s="9"/>
      <c r="R206" s="10"/>
      <c r="S206" s="9"/>
      <c r="T206" s="5">
        <f t="shared" si="52"/>
        <v>0</v>
      </c>
    </row>
    <row r="207" spans="1:20" x14ac:dyDescent="0.15">
      <c r="A207" s="4" t="s">
        <v>148</v>
      </c>
      <c r="B207" s="8">
        <v>1</v>
      </c>
      <c r="C207" s="9"/>
      <c r="D207" s="10"/>
      <c r="E207" s="9"/>
      <c r="F207" s="5">
        <f t="shared" si="51"/>
        <v>1</v>
      </c>
      <c r="G207" s="71">
        <v>44550</v>
      </c>
      <c r="H207" s="48"/>
      <c r="I207" s="8"/>
      <c r="J207" s="9"/>
      <c r="K207" s="10"/>
      <c r="L207" s="9"/>
      <c r="M207" s="7">
        <f t="shared" si="53"/>
        <v>0</v>
      </c>
      <c r="N207" s="41"/>
      <c r="O207" s="4"/>
      <c r="P207" s="8"/>
      <c r="Q207" s="9"/>
      <c r="R207" s="10"/>
      <c r="S207" s="9"/>
      <c r="T207" s="5">
        <f t="shared" si="52"/>
        <v>0</v>
      </c>
    </row>
    <row r="208" spans="1:20" x14ac:dyDescent="0.15">
      <c r="A208" s="4" t="s">
        <v>34</v>
      </c>
      <c r="B208" s="8">
        <v>1</v>
      </c>
      <c r="C208" s="9"/>
      <c r="D208" s="10"/>
      <c r="E208" s="9"/>
      <c r="F208" s="5">
        <f t="shared" si="51"/>
        <v>1</v>
      </c>
      <c r="G208" s="71">
        <v>44548</v>
      </c>
      <c r="H208" s="94"/>
      <c r="I208" s="8"/>
      <c r="J208" s="9"/>
      <c r="K208" s="10"/>
      <c r="L208" s="12"/>
      <c r="M208" s="7">
        <f t="shared" ref="M208:M210" si="54">SUM(I208:L208)</f>
        <v>0</v>
      </c>
      <c r="N208" s="41"/>
      <c r="O208" s="11"/>
      <c r="P208" s="8"/>
      <c r="Q208" s="9"/>
      <c r="R208" s="10"/>
      <c r="S208" s="9"/>
      <c r="T208" s="5">
        <f t="shared" si="52"/>
        <v>0</v>
      </c>
    </row>
    <row r="209" spans="1:20" x14ac:dyDescent="0.15">
      <c r="A209" s="4" t="s">
        <v>39</v>
      </c>
      <c r="B209" s="8">
        <v>2</v>
      </c>
      <c r="C209" s="9"/>
      <c r="D209" s="10">
        <v>1</v>
      </c>
      <c r="E209" s="9"/>
      <c r="F209" s="5">
        <f t="shared" si="51"/>
        <v>3</v>
      </c>
      <c r="G209" s="39">
        <v>44551</v>
      </c>
      <c r="H209" s="4"/>
      <c r="I209" s="8"/>
      <c r="J209" s="9"/>
      <c r="K209" s="10"/>
      <c r="L209" s="9"/>
      <c r="M209" s="7">
        <f t="shared" si="54"/>
        <v>0</v>
      </c>
      <c r="N209" s="39"/>
      <c r="O209" s="4"/>
      <c r="P209" s="8"/>
      <c r="Q209" s="9"/>
      <c r="R209" s="10"/>
      <c r="S209" s="9"/>
      <c r="T209" s="5">
        <f t="shared" si="52"/>
        <v>0</v>
      </c>
    </row>
    <row r="210" spans="1:20" x14ac:dyDescent="0.15">
      <c r="A210" s="4" t="s">
        <v>34</v>
      </c>
      <c r="B210" s="8">
        <v>1</v>
      </c>
      <c r="C210" s="9"/>
      <c r="D210" s="10"/>
      <c r="E210" s="9">
        <v>2</v>
      </c>
      <c r="F210" s="5">
        <f t="shared" si="51"/>
        <v>3</v>
      </c>
      <c r="G210" s="71">
        <v>44550</v>
      </c>
      <c r="H210" s="4"/>
      <c r="I210" s="8"/>
      <c r="J210" s="9"/>
      <c r="K210" s="10"/>
      <c r="L210" s="9"/>
      <c r="M210" s="7">
        <f t="shared" si="54"/>
        <v>0</v>
      </c>
      <c r="N210" s="41"/>
      <c r="O210" s="11"/>
      <c r="P210" s="8"/>
      <c r="Q210" s="9"/>
      <c r="R210" s="10"/>
      <c r="S210" s="9"/>
      <c r="T210" s="5">
        <f t="shared" si="52"/>
        <v>0</v>
      </c>
    </row>
    <row r="211" spans="1:20" ht="14.25" thickBot="1" x14ac:dyDescent="0.2">
      <c r="A211" s="4" t="s">
        <v>149</v>
      </c>
      <c r="B211" s="8"/>
      <c r="C211" s="9">
        <v>1</v>
      </c>
      <c r="D211" s="10"/>
      <c r="E211" s="51"/>
      <c r="F211" s="5">
        <f t="shared" si="51"/>
        <v>1</v>
      </c>
      <c r="G211" s="71">
        <v>44552</v>
      </c>
      <c r="H211" s="4" t="s">
        <v>114</v>
      </c>
      <c r="I211" s="8"/>
      <c r="J211" s="9"/>
      <c r="K211" s="10"/>
      <c r="L211" s="95"/>
      <c r="M211" s="7">
        <f t="shared" ref="M211" si="55">SUM(I211:L211)</f>
        <v>0</v>
      </c>
      <c r="N211" s="39">
        <v>44543</v>
      </c>
      <c r="O211" s="33"/>
      <c r="P211" s="8"/>
      <c r="Q211" s="9"/>
      <c r="R211" s="10"/>
      <c r="S211" s="51"/>
      <c r="T211" s="5">
        <f t="shared" si="52"/>
        <v>0</v>
      </c>
    </row>
    <row r="212" spans="1:20" ht="14.25" thickBot="1" x14ac:dyDescent="0.2">
      <c r="A212" s="3" t="s">
        <v>5</v>
      </c>
      <c r="B212" s="14">
        <f>SUM(B188:B211)</f>
        <v>15</v>
      </c>
      <c r="C212" s="14">
        <f>SUM(C188:C211)</f>
        <v>7</v>
      </c>
      <c r="D212" s="14">
        <f>SUM(D188:D211)</f>
        <v>6</v>
      </c>
      <c r="E212" s="14">
        <f>SUM(E188:E211)</f>
        <v>8</v>
      </c>
      <c r="F212" s="15">
        <f>SUM(B212:E212)</f>
        <v>36</v>
      </c>
      <c r="H212" s="3" t="s">
        <v>5</v>
      </c>
      <c r="I212" s="14">
        <f>SUM(I188:I211)</f>
        <v>12</v>
      </c>
      <c r="J212" s="14">
        <f>SUM(J188:J211)</f>
        <v>22</v>
      </c>
      <c r="K212" s="14">
        <f>SUM(K188:K211)</f>
        <v>14</v>
      </c>
      <c r="L212" s="14">
        <f>SUM(L188:L211)</f>
        <v>5</v>
      </c>
      <c r="M212" s="15">
        <f>SUM(I212:L212)</f>
        <v>53</v>
      </c>
      <c r="O212" s="3" t="s">
        <v>5</v>
      </c>
      <c r="P212" s="14">
        <f>SUM(P188:P211)</f>
        <v>0</v>
      </c>
      <c r="Q212" s="14">
        <f>SUM(Q188:Q211)</f>
        <v>0</v>
      </c>
      <c r="R212" s="14">
        <f>SUM(R188:R211)</f>
        <v>0</v>
      </c>
      <c r="S212" s="14">
        <f>SUM(S188:S211)</f>
        <v>0</v>
      </c>
      <c r="T212" s="15">
        <f>SUM(P212:S212)</f>
        <v>0</v>
      </c>
    </row>
    <row r="213" spans="1:20" ht="14.25" thickBot="1" x14ac:dyDescent="0.2">
      <c r="A213" s="25" t="s">
        <v>6</v>
      </c>
      <c r="B213" s="26">
        <f>B187-B212</f>
        <v>14</v>
      </c>
      <c r="C213" s="26">
        <f t="shared" ref="C213:F213" si="56">C187-C212</f>
        <v>27</v>
      </c>
      <c r="D213" s="26">
        <f t="shared" si="56"/>
        <v>23</v>
      </c>
      <c r="E213" s="26">
        <f t="shared" si="56"/>
        <v>22</v>
      </c>
      <c r="F213" s="24">
        <f t="shared" si="56"/>
        <v>86</v>
      </c>
      <c r="H213" s="25" t="s">
        <v>6</v>
      </c>
      <c r="I213" s="26">
        <f>I187-I212</f>
        <v>786</v>
      </c>
      <c r="J213" s="26">
        <f t="shared" ref="J213:M213" si="57">J187-J212</f>
        <v>1123</v>
      </c>
      <c r="K213" s="26">
        <f t="shared" si="57"/>
        <v>703</v>
      </c>
      <c r="L213" s="26">
        <f t="shared" si="57"/>
        <v>373</v>
      </c>
      <c r="M213" s="24">
        <f t="shared" si="57"/>
        <v>2985</v>
      </c>
      <c r="O213" s="25" t="s">
        <v>6</v>
      </c>
      <c r="P213" s="26">
        <f>P187-P212</f>
        <v>0</v>
      </c>
      <c r="Q213" s="26">
        <f t="shared" ref="Q213:T213" si="58">Q187-Q212</f>
        <v>0</v>
      </c>
      <c r="R213" s="26">
        <f t="shared" si="58"/>
        <v>0</v>
      </c>
      <c r="S213" s="26">
        <f t="shared" si="58"/>
        <v>0</v>
      </c>
      <c r="T213" s="24">
        <f t="shared" si="58"/>
        <v>0</v>
      </c>
    </row>
    <row r="215" spans="1:20" x14ac:dyDescent="0.15">
      <c r="I215" s="72"/>
      <c r="J215" s="72"/>
      <c r="K215" s="72"/>
      <c r="L215" s="72"/>
      <c r="M215" s="72"/>
    </row>
    <row r="216" spans="1:20" ht="21.75" thickBot="1" x14ac:dyDescent="0.25">
      <c r="A216" s="29" t="s">
        <v>13</v>
      </c>
      <c r="B216" s="1"/>
      <c r="C216" s="1"/>
      <c r="D216" s="1"/>
      <c r="E216" s="1"/>
      <c r="F216" s="1"/>
      <c r="H216" s="29" t="s">
        <v>14</v>
      </c>
      <c r="I216" s="1"/>
      <c r="J216" s="1"/>
      <c r="K216" s="1"/>
      <c r="L216" s="1"/>
      <c r="M216" s="1"/>
      <c r="O216" s="29" t="s">
        <v>15</v>
      </c>
      <c r="P216" s="1"/>
      <c r="Q216" s="1"/>
      <c r="R216" s="1"/>
      <c r="S216" s="1"/>
      <c r="T216" s="1"/>
    </row>
    <row r="217" spans="1:20" ht="14.25" thickBot="1" x14ac:dyDescent="0.2">
      <c r="A217" s="2" t="s">
        <v>0</v>
      </c>
      <c r="B217" s="164" t="s">
        <v>12</v>
      </c>
      <c r="C217" s="165"/>
      <c r="D217" s="165"/>
      <c r="E217" s="165"/>
      <c r="F217" s="168"/>
      <c r="H217" s="2" t="s">
        <v>0</v>
      </c>
      <c r="I217" s="164" t="s">
        <v>12</v>
      </c>
      <c r="J217" s="165"/>
      <c r="K217" s="165"/>
      <c r="L217" s="165"/>
      <c r="M217" s="168"/>
      <c r="O217" s="2" t="s">
        <v>0</v>
      </c>
      <c r="P217" s="164" t="s">
        <v>12</v>
      </c>
      <c r="Q217" s="165"/>
      <c r="R217" s="165"/>
      <c r="S217" s="165"/>
      <c r="T217" s="168"/>
    </row>
    <row r="218" spans="1:20" ht="14.25" thickBot="1" x14ac:dyDescent="0.2">
      <c r="A218" s="2" t="s">
        <v>1</v>
      </c>
      <c r="B218" s="3" t="s">
        <v>7</v>
      </c>
      <c r="C218" s="2" t="s">
        <v>8</v>
      </c>
      <c r="D218" s="19" t="s">
        <v>9</v>
      </c>
      <c r="E218" s="2" t="s">
        <v>11</v>
      </c>
      <c r="F218" s="2" t="s">
        <v>2</v>
      </c>
      <c r="H218" s="2" t="s">
        <v>1</v>
      </c>
      <c r="I218" s="3" t="s">
        <v>7</v>
      </c>
      <c r="J218" s="2" t="s">
        <v>8</v>
      </c>
      <c r="K218" s="19" t="s">
        <v>9</v>
      </c>
      <c r="L218" s="2" t="s">
        <v>11</v>
      </c>
      <c r="M218" s="2" t="s">
        <v>2</v>
      </c>
      <c r="O218" s="2" t="s">
        <v>1</v>
      </c>
      <c r="P218" s="3" t="s">
        <v>7</v>
      </c>
      <c r="Q218" s="2" t="s">
        <v>8</v>
      </c>
      <c r="R218" s="19" t="s">
        <v>9</v>
      </c>
      <c r="S218" s="2" t="s">
        <v>11</v>
      </c>
      <c r="T218" s="2" t="s">
        <v>2</v>
      </c>
    </row>
    <row r="219" spans="1:20" x14ac:dyDescent="0.15">
      <c r="A219" s="27" t="s">
        <v>6</v>
      </c>
      <c r="B219" s="18">
        <f>B213</f>
        <v>14</v>
      </c>
      <c r="C219" s="20">
        <f>C213</f>
        <v>27</v>
      </c>
      <c r="D219" s="55">
        <f>D213</f>
        <v>23</v>
      </c>
      <c r="E219" s="20">
        <f>E213</f>
        <v>22</v>
      </c>
      <c r="F219" s="17">
        <f>SUM(B219:E219)</f>
        <v>86</v>
      </c>
      <c r="H219" s="27" t="s">
        <v>6</v>
      </c>
      <c r="I219" s="18">
        <f>I213</f>
        <v>786</v>
      </c>
      <c r="J219" s="20">
        <f>J213</f>
        <v>1123</v>
      </c>
      <c r="K219" s="55">
        <f>K213</f>
        <v>703</v>
      </c>
      <c r="L219" s="58">
        <f>L213</f>
        <v>373</v>
      </c>
      <c r="M219" s="17">
        <f>SUM(I219:L219)</f>
        <v>2985</v>
      </c>
      <c r="O219" s="27" t="s">
        <v>6</v>
      </c>
      <c r="P219" s="18">
        <f>P213</f>
        <v>0</v>
      </c>
      <c r="Q219" s="20">
        <f>Q213</f>
        <v>0</v>
      </c>
      <c r="R219" s="55">
        <f>R213</f>
        <v>0</v>
      </c>
      <c r="S219" s="20">
        <f>S213</f>
        <v>0</v>
      </c>
      <c r="T219" s="17">
        <f>SUM(P219:S219)</f>
        <v>0</v>
      </c>
    </row>
    <row r="220" spans="1:20" x14ac:dyDescent="0.15">
      <c r="A220" s="6" t="s">
        <v>3</v>
      </c>
      <c r="B220" s="16">
        <v>15</v>
      </c>
      <c r="C220" s="11"/>
      <c r="D220" s="16"/>
      <c r="E220" s="4"/>
      <c r="F220" s="5">
        <f t="shared" ref="F220:F229" si="59">SUM(B220:E220)</f>
        <v>15</v>
      </c>
      <c r="G220" s="39">
        <v>44593</v>
      </c>
      <c r="H220" s="6" t="s">
        <v>3</v>
      </c>
      <c r="I220" s="16"/>
      <c r="J220" s="11"/>
      <c r="K220" s="16"/>
      <c r="L220" s="4"/>
      <c r="M220" s="5">
        <f t="shared" ref="M220:M229" si="60">SUM(I220:L220)</f>
        <v>0</v>
      </c>
      <c r="O220" s="6" t="s">
        <v>3</v>
      </c>
      <c r="P220" s="16"/>
      <c r="Q220" s="11"/>
      <c r="R220" s="16"/>
      <c r="S220" s="4"/>
      <c r="T220" s="5">
        <f t="shared" ref="T220:T229" si="61">SUM(P220:S220)</f>
        <v>0</v>
      </c>
    </row>
    <row r="221" spans="1:20" x14ac:dyDescent="0.15">
      <c r="A221" s="6" t="s">
        <v>168</v>
      </c>
      <c r="B221" s="16"/>
      <c r="C221" s="11">
        <v>1</v>
      </c>
      <c r="D221" s="16"/>
      <c r="E221" s="4"/>
      <c r="F221" s="5">
        <f t="shared" si="59"/>
        <v>1</v>
      </c>
      <c r="G221" s="39">
        <v>44616</v>
      </c>
      <c r="H221" s="6" t="s">
        <v>3</v>
      </c>
      <c r="I221" s="31"/>
      <c r="J221" s="32"/>
      <c r="K221" s="31"/>
      <c r="L221" s="52"/>
      <c r="M221" s="5">
        <f t="shared" si="60"/>
        <v>0</v>
      </c>
      <c r="N221" s="39"/>
      <c r="O221" s="6" t="s">
        <v>3</v>
      </c>
      <c r="P221" s="31"/>
      <c r="Q221" s="32"/>
      <c r="R221" s="31"/>
      <c r="S221" s="52"/>
      <c r="T221" s="5">
        <f t="shared" si="61"/>
        <v>0</v>
      </c>
    </row>
    <row r="222" spans="1:20" x14ac:dyDescent="0.15">
      <c r="A222" s="6" t="s">
        <v>3</v>
      </c>
      <c r="B222" s="16"/>
      <c r="C222" s="11"/>
      <c r="D222" s="16"/>
      <c r="E222" s="4"/>
      <c r="F222" s="5">
        <f t="shared" si="59"/>
        <v>0</v>
      </c>
      <c r="G222" s="41"/>
      <c r="H222" s="6" t="s">
        <v>17</v>
      </c>
      <c r="I222" s="31">
        <v>500</v>
      </c>
      <c r="J222" s="32">
        <v>600</v>
      </c>
      <c r="K222" s="31">
        <v>300</v>
      </c>
      <c r="L222" s="52">
        <v>100</v>
      </c>
      <c r="M222" s="5">
        <f t="shared" si="60"/>
        <v>1500</v>
      </c>
      <c r="N222" s="39" t="s">
        <v>176</v>
      </c>
      <c r="O222" s="6" t="s">
        <v>3</v>
      </c>
      <c r="P222" s="31"/>
      <c r="Q222" s="32"/>
      <c r="R222" s="31"/>
      <c r="S222" s="52"/>
      <c r="T222" s="5">
        <f t="shared" si="61"/>
        <v>0</v>
      </c>
    </row>
    <row r="223" spans="1:20" x14ac:dyDescent="0.15">
      <c r="A223" s="6" t="s">
        <v>3</v>
      </c>
      <c r="B223" s="16"/>
      <c r="C223" s="11"/>
      <c r="D223" s="16"/>
      <c r="E223" s="4"/>
      <c r="F223" s="5">
        <f t="shared" si="59"/>
        <v>0</v>
      </c>
      <c r="G223" s="41"/>
      <c r="H223" s="27" t="s">
        <v>155</v>
      </c>
      <c r="I223" s="97">
        <v>9</v>
      </c>
      <c r="J223" s="43">
        <v>-21</v>
      </c>
      <c r="K223" s="44">
        <v>-6</v>
      </c>
      <c r="L223" s="57">
        <v>-19</v>
      </c>
      <c r="M223" s="17">
        <f t="shared" si="60"/>
        <v>-37</v>
      </c>
      <c r="N223" s="64"/>
      <c r="O223" s="6" t="s">
        <v>3</v>
      </c>
      <c r="P223" s="38"/>
      <c r="Q223" s="32"/>
      <c r="R223" s="31"/>
      <c r="S223" s="52"/>
      <c r="T223" s="5">
        <f t="shared" si="61"/>
        <v>0</v>
      </c>
    </row>
    <row r="224" spans="1:20" x14ac:dyDescent="0.15">
      <c r="A224" s="6" t="s">
        <v>3</v>
      </c>
      <c r="B224" s="16"/>
      <c r="C224" s="11"/>
      <c r="D224" s="16"/>
      <c r="E224" s="4"/>
      <c r="F224" s="5">
        <f t="shared" si="59"/>
        <v>0</v>
      </c>
      <c r="G224" s="41"/>
      <c r="H224" s="6" t="s">
        <v>3</v>
      </c>
      <c r="I224" s="31"/>
      <c r="J224" s="32"/>
      <c r="K224" s="31"/>
      <c r="L224" s="52"/>
      <c r="M224" s="5">
        <f t="shared" si="60"/>
        <v>0</v>
      </c>
      <c r="N224" s="39"/>
      <c r="O224" s="6" t="s">
        <v>3</v>
      </c>
      <c r="P224" s="31"/>
      <c r="Q224" s="32"/>
      <c r="R224" s="31"/>
      <c r="S224" s="52"/>
      <c r="T224" s="5">
        <f t="shared" si="61"/>
        <v>0</v>
      </c>
    </row>
    <row r="225" spans="1:20" x14ac:dyDescent="0.15">
      <c r="A225" s="6" t="s">
        <v>3</v>
      </c>
      <c r="B225" s="16"/>
      <c r="C225" s="11"/>
      <c r="D225" s="16"/>
      <c r="E225" s="4"/>
      <c r="F225" s="5">
        <f t="shared" si="59"/>
        <v>0</v>
      </c>
      <c r="G225" s="41"/>
      <c r="H225" s="6" t="s">
        <v>3</v>
      </c>
      <c r="I225" s="38"/>
      <c r="J225" s="32"/>
      <c r="K225" s="31"/>
      <c r="L225" s="52"/>
      <c r="M225" s="5">
        <f t="shared" si="60"/>
        <v>0</v>
      </c>
      <c r="N225" s="41"/>
      <c r="O225" s="6" t="s">
        <v>3</v>
      </c>
      <c r="P225" s="38"/>
      <c r="Q225" s="32"/>
      <c r="R225" s="31"/>
      <c r="S225" s="52"/>
      <c r="T225" s="5">
        <f t="shared" si="61"/>
        <v>0</v>
      </c>
    </row>
    <row r="226" spans="1:20" x14ac:dyDescent="0.15">
      <c r="A226" s="6" t="s">
        <v>3</v>
      </c>
      <c r="B226" s="31"/>
      <c r="C226" s="32"/>
      <c r="D226" s="31"/>
      <c r="E226" s="52"/>
      <c r="F226" s="5">
        <f t="shared" si="59"/>
        <v>0</v>
      </c>
      <c r="G226" s="41"/>
      <c r="H226" s="6" t="s">
        <v>3</v>
      </c>
      <c r="I226" s="16"/>
      <c r="J226" s="11"/>
      <c r="K226" s="16"/>
      <c r="L226" s="4"/>
      <c r="M226" s="5">
        <f t="shared" si="60"/>
        <v>0</v>
      </c>
      <c r="N226" s="41"/>
      <c r="O226" s="6" t="s">
        <v>3</v>
      </c>
      <c r="P226" s="38"/>
      <c r="Q226" s="32"/>
      <c r="R226" s="31"/>
      <c r="S226" s="52"/>
      <c r="T226" s="5">
        <f t="shared" si="61"/>
        <v>0</v>
      </c>
    </row>
    <row r="227" spans="1:20" x14ac:dyDescent="0.15">
      <c r="A227" s="6" t="s">
        <v>3</v>
      </c>
      <c r="B227" s="10"/>
      <c r="C227" s="9"/>
      <c r="D227" s="10"/>
      <c r="E227" s="49"/>
      <c r="F227" s="5">
        <f t="shared" si="59"/>
        <v>0</v>
      </c>
      <c r="G227" s="41"/>
      <c r="H227" s="6" t="s">
        <v>3</v>
      </c>
      <c r="I227" s="31"/>
      <c r="J227" s="32"/>
      <c r="K227" s="31"/>
      <c r="L227" s="52"/>
      <c r="M227" s="5">
        <f t="shared" si="60"/>
        <v>0</v>
      </c>
      <c r="O227" s="6" t="s">
        <v>3</v>
      </c>
      <c r="P227" s="10"/>
      <c r="Q227" s="9"/>
      <c r="R227" s="10"/>
      <c r="S227" s="49"/>
      <c r="T227" s="5">
        <f t="shared" si="61"/>
        <v>0</v>
      </c>
    </row>
    <row r="228" spans="1:20" x14ac:dyDescent="0.15">
      <c r="A228" s="6" t="s">
        <v>3</v>
      </c>
      <c r="B228" s="31"/>
      <c r="C228" s="32"/>
      <c r="D228" s="31"/>
      <c r="E228" s="52"/>
      <c r="F228" s="5">
        <f t="shared" si="59"/>
        <v>0</v>
      </c>
      <c r="G228" s="41"/>
      <c r="H228" s="6" t="s">
        <v>3</v>
      </c>
      <c r="I228" s="34"/>
      <c r="J228" s="35"/>
      <c r="K228" s="34"/>
      <c r="L228" s="32"/>
      <c r="M228" s="5">
        <f t="shared" si="60"/>
        <v>0</v>
      </c>
      <c r="O228" s="6" t="s">
        <v>3</v>
      </c>
      <c r="P228" s="34"/>
      <c r="Q228" s="35"/>
      <c r="R228" s="34"/>
      <c r="S228" s="32"/>
      <c r="T228" s="5">
        <f t="shared" si="61"/>
        <v>0</v>
      </c>
    </row>
    <row r="229" spans="1:20" ht="14.25" thickBot="1" x14ac:dyDescent="0.2">
      <c r="A229" s="6" t="s">
        <v>3</v>
      </c>
      <c r="B229" s="13"/>
      <c r="C229" s="12"/>
      <c r="D229" s="13"/>
      <c r="E229" s="50"/>
      <c r="F229" s="5">
        <f t="shared" si="59"/>
        <v>0</v>
      </c>
      <c r="G229" s="41"/>
      <c r="H229" s="6" t="s">
        <v>3</v>
      </c>
      <c r="I229" s="34"/>
      <c r="J229" s="35"/>
      <c r="K229" s="34"/>
      <c r="L229" s="53"/>
      <c r="M229" s="5">
        <f t="shared" si="60"/>
        <v>0</v>
      </c>
      <c r="O229" s="6" t="s">
        <v>3</v>
      </c>
      <c r="P229" s="13"/>
      <c r="Q229" s="12"/>
      <c r="R229" s="13"/>
      <c r="S229" s="50"/>
      <c r="T229" s="17">
        <f t="shared" si="61"/>
        <v>0</v>
      </c>
    </row>
    <row r="230" spans="1:20" ht="14.25" thickBot="1" x14ac:dyDescent="0.2">
      <c r="A230" s="21" t="s">
        <v>4</v>
      </c>
      <c r="B230" s="22">
        <f>SUM(B219:B229)</f>
        <v>29</v>
      </c>
      <c r="C230" s="22">
        <f>SUM(C219:C229)</f>
        <v>28</v>
      </c>
      <c r="D230" s="23">
        <f>SUM(D219:D229)</f>
        <v>23</v>
      </c>
      <c r="E230" s="23">
        <f>SUM(E219:E229)</f>
        <v>22</v>
      </c>
      <c r="F230" s="24">
        <f>SUM(B230:E230)</f>
        <v>102</v>
      </c>
      <c r="H230" s="21" t="s">
        <v>4</v>
      </c>
      <c r="I230" s="22">
        <f>SUM(I219:I229)</f>
        <v>1295</v>
      </c>
      <c r="J230" s="22">
        <f>SUM(J219:J229)</f>
        <v>1702</v>
      </c>
      <c r="K230" s="23">
        <f>SUM(K219:K229)</f>
        <v>997</v>
      </c>
      <c r="L230" s="23">
        <f>SUM(L219:L229)</f>
        <v>454</v>
      </c>
      <c r="M230" s="24">
        <f>SUM(I230:L230)</f>
        <v>4448</v>
      </c>
      <c r="O230" s="21" t="s">
        <v>4</v>
      </c>
      <c r="P230" s="22">
        <f>SUM(P219:P229)</f>
        <v>0</v>
      </c>
      <c r="Q230" s="22">
        <f>SUM(Q219:Q229)</f>
        <v>0</v>
      </c>
      <c r="R230" s="23">
        <f>SUM(R219:R229)</f>
        <v>0</v>
      </c>
      <c r="S230" s="23">
        <f>SUM(S219:S229)</f>
        <v>0</v>
      </c>
      <c r="T230" s="24">
        <f>SUM(P230:S230)</f>
        <v>0</v>
      </c>
    </row>
    <row r="231" spans="1:20" x14ac:dyDescent="0.15">
      <c r="A231" s="4" t="s">
        <v>39</v>
      </c>
      <c r="B231" s="8">
        <v>1</v>
      </c>
      <c r="C231" s="9"/>
      <c r="D231" s="10"/>
      <c r="E231" s="49"/>
      <c r="F231" s="5">
        <f>SUM(B231:E231)</f>
        <v>1</v>
      </c>
      <c r="G231" s="39">
        <v>44552</v>
      </c>
      <c r="H231" s="4" t="s">
        <v>150</v>
      </c>
      <c r="I231" s="8">
        <v>40</v>
      </c>
      <c r="J231" s="9">
        <v>10</v>
      </c>
      <c r="K231" s="10">
        <v>20</v>
      </c>
      <c r="L231" s="9"/>
      <c r="M231" s="7">
        <f t="shared" ref="M231:M237" si="62">SUM(I231:L231)</f>
        <v>70</v>
      </c>
      <c r="N231" s="39">
        <v>44573</v>
      </c>
      <c r="O231" s="6"/>
      <c r="P231" s="31"/>
      <c r="Q231" s="32"/>
      <c r="R231" s="31"/>
      <c r="S231" s="52"/>
      <c r="T231" s="5">
        <f>SUM(P231:S231)</f>
        <v>0</v>
      </c>
    </row>
    <row r="232" spans="1:20" x14ac:dyDescent="0.15">
      <c r="A232" s="4" t="s">
        <v>34</v>
      </c>
      <c r="B232" s="8">
        <v>1</v>
      </c>
      <c r="C232" s="9"/>
      <c r="D232" s="10"/>
      <c r="E232" s="49"/>
      <c r="F232" s="5">
        <f t="shared" ref="F232:F254" si="63">SUM(B232:E232)</f>
        <v>1</v>
      </c>
      <c r="G232" s="71">
        <v>44554</v>
      </c>
      <c r="H232" s="4" t="s">
        <v>43</v>
      </c>
      <c r="I232" s="8">
        <v>160</v>
      </c>
      <c r="J232" s="9">
        <v>150</v>
      </c>
      <c r="K232" s="10">
        <v>90</v>
      </c>
      <c r="L232" s="9">
        <v>50</v>
      </c>
      <c r="M232" s="7">
        <f t="shared" si="62"/>
        <v>450</v>
      </c>
      <c r="N232" s="39">
        <v>44207</v>
      </c>
      <c r="O232" s="4"/>
      <c r="P232" s="45"/>
      <c r="Q232" s="46"/>
      <c r="R232" s="47"/>
      <c r="S232" s="56"/>
      <c r="T232" s="5">
        <f t="shared" ref="T232:T254" si="64">SUM(P232:S232)</f>
        <v>0</v>
      </c>
    </row>
    <row r="233" spans="1:20" x14ac:dyDescent="0.15">
      <c r="A233" s="4" t="s">
        <v>39</v>
      </c>
      <c r="B233" s="8">
        <v>1</v>
      </c>
      <c r="C233" s="9"/>
      <c r="D233" s="10"/>
      <c r="E233" s="49">
        <v>1</v>
      </c>
      <c r="F233" s="5">
        <f t="shared" si="63"/>
        <v>2</v>
      </c>
      <c r="G233" s="39">
        <v>44558</v>
      </c>
      <c r="H233" s="4" t="s">
        <v>151</v>
      </c>
      <c r="I233" s="8">
        <v>30</v>
      </c>
      <c r="J233" s="9">
        <v>52</v>
      </c>
      <c r="K233" s="10">
        <v>57</v>
      </c>
      <c r="L233" s="49">
        <v>25</v>
      </c>
      <c r="M233" s="7">
        <f t="shared" si="62"/>
        <v>164</v>
      </c>
      <c r="N233" s="39">
        <v>44583</v>
      </c>
      <c r="O233" s="4"/>
      <c r="P233" s="36"/>
      <c r="Q233" s="37"/>
      <c r="R233" s="36"/>
      <c r="S233" s="54"/>
      <c r="T233" s="5">
        <f t="shared" si="64"/>
        <v>0</v>
      </c>
    </row>
    <row r="234" spans="1:20" x14ac:dyDescent="0.15">
      <c r="A234" s="4" t="s">
        <v>34</v>
      </c>
      <c r="B234" s="8">
        <v>1</v>
      </c>
      <c r="C234" s="9">
        <v>2</v>
      </c>
      <c r="D234" s="10"/>
      <c r="E234" s="49">
        <v>1</v>
      </c>
      <c r="F234" s="5">
        <f t="shared" si="63"/>
        <v>4</v>
      </c>
      <c r="G234" s="71">
        <v>44572</v>
      </c>
      <c r="H234" s="96" t="s">
        <v>152</v>
      </c>
      <c r="I234" s="8">
        <v>10</v>
      </c>
      <c r="J234" s="9">
        <v>10</v>
      </c>
      <c r="K234" s="10">
        <v>10</v>
      </c>
      <c r="L234" s="49"/>
      <c r="M234" s="7">
        <f t="shared" si="62"/>
        <v>30</v>
      </c>
      <c r="N234" s="39">
        <v>44581</v>
      </c>
      <c r="O234" s="4"/>
      <c r="P234" s="8"/>
      <c r="Q234" s="9"/>
      <c r="R234" s="10"/>
      <c r="S234" s="49"/>
      <c r="T234" s="5">
        <f t="shared" si="64"/>
        <v>0</v>
      </c>
    </row>
    <row r="235" spans="1:20" x14ac:dyDescent="0.15">
      <c r="A235" s="4" t="s">
        <v>39</v>
      </c>
      <c r="B235" s="8">
        <v>1</v>
      </c>
      <c r="C235" s="9"/>
      <c r="D235" s="10"/>
      <c r="E235" s="49"/>
      <c r="F235" s="5">
        <f t="shared" si="63"/>
        <v>1</v>
      </c>
      <c r="G235" s="39">
        <v>44582</v>
      </c>
      <c r="H235" s="4" t="s">
        <v>153</v>
      </c>
      <c r="I235" s="8">
        <v>70</v>
      </c>
      <c r="J235" s="9">
        <v>60</v>
      </c>
      <c r="K235" s="10">
        <v>50</v>
      </c>
      <c r="L235" s="9">
        <v>50</v>
      </c>
      <c r="M235" s="7">
        <f t="shared" si="62"/>
        <v>230</v>
      </c>
      <c r="N235" s="39">
        <v>44596</v>
      </c>
      <c r="O235" s="4"/>
      <c r="P235" s="8"/>
      <c r="Q235" s="9"/>
      <c r="R235" s="10"/>
      <c r="S235" s="49"/>
      <c r="T235" s="5">
        <f t="shared" si="64"/>
        <v>0</v>
      </c>
    </row>
    <row r="236" spans="1:20" x14ac:dyDescent="0.15">
      <c r="A236" s="4" t="s">
        <v>39</v>
      </c>
      <c r="B236" s="8">
        <v>2</v>
      </c>
      <c r="C236" s="9"/>
      <c r="D236" s="10"/>
      <c r="E236" s="9"/>
      <c r="F236" s="5">
        <f t="shared" si="63"/>
        <v>2</v>
      </c>
      <c r="G236" s="39">
        <v>44586</v>
      </c>
      <c r="H236" s="96" t="s">
        <v>156</v>
      </c>
      <c r="I236" s="8">
        <v>30</v>
      </c>
      <c r="J236" s="9">
        <v>80</v>
      </c>
      <c r="K236" s="10">
        <v>40</v>
      </c>
      <c r="L236" s="9"/>
      <c r="M236" s="7">
        <f t="shared" si="62"/>
        <v>150</v>
      </c>
      <c r="N236" s="39">
        <v>44588</v>
      </c>
      <c r="O236" s="4"/>
      <c r="P236" s="8"/>
      <c r="Q236" s="9"/>
      <c r="R236" s="10"/>
      <c r="S236" s="9"/>
      <c r="T236" s="5">
        <f t="shared" si="64"/>
        <v>0</v>
      </c>
    </row>
    <row r="237" spans="1:20" x14ac:dyDescent="0.15">
      <c r="A237" s="4" t="s">
        <v>34</v>
      </c>
      <c r="B237" s="8"/>
      <c r="C237" s="9">
        <v>1</v>
      </c>
      <c r="D237" s="10"/>
      <c r="E237" s="9"/>
      <c r="F237" s="5">
        <f t="shared" si="63"/>
        <v>1</v>
      </c>
      <c r="G237" s="71">
        <v>44585</v>
      </c>
      <c r="H237" s="4" t="s">
        <v>157</v>
      </c>
      <c r="I237" s="8">
        <v>15</v>
      </c>
      <c r="J237" s="9">
        <v>28</v>
      </c>
      <c r="K237" s="10">
        <v>29</v>
      </c>
      <c r="L237" s="9">
        <v>15</v>
      </c>
      <c r="M237" s="7">
        <f t="shared" si="62"/>
        <v>87</v>
      </c>
      <c r="N237" s="39">
        <v>44593</v>
      </c>
      <c r="O237" s="4"/>
      <c r="P237" s="8"/>
      <c r="Q237" s="9"/>
      <c r="R237" s="10"/>
      <c r="S237" s="9"/>
      <c r="T237" s="5">
        <f t="shared" si="64"/>
        <v>0</v>
      </c>
    </row>
    <row r="238" spans="1:20" x14ac:dyDescent="0.15">
      <c r="A238" s="28" t="s">
        <v>133</v>
      </c>
      <c r="B238" s="8"/>
      <c r="C238" s="9"/>
      <c r="D238" s="10">
        <v>1</v>
      </c>
      <c r="E238" s="9">
        <v>2</v>
      </c>
      <c r="F238" s="5">
        <f t="shared" si="63"/>
        <v>3</v>
      </c>
      <c r="G238" s="71">
        <v>44586</v>
      </c>
      <c r="H238" s="96" t="s">
        <v>158</v>
      </c>
      <c r="I238" s="8">
        <v>12</v>
      </c>
      <c r="J238" s="9"/>
      <c r="K238" s="10"/>
      <c r="L238" s="9"/>
      <c r="M238" s="7">
        <f t="shared" ref="M238:M250" si="65">SUM(I238:L238)</f>
        <v>12</v>
      </c>
      <c r="N238" s="39">
        <v>44592</v>
      </c>
      <c r="O238" s="4"/>
      <c r="P238" s="8"/>
      <c r="Q238" s="9"/>
      <c r="R238" s="10"/>
      <c r="S238" s="9"/>
      <c r="T238" s="5">
        <f t="shared" si="64"/>
        <v>0</v>
      </c>
    </row>
    <row r="239" spans="1:20" x14ac:dyDescent="0.15">
      <c r="A239" s="96" t="s">
        <v>161</v>
      </c>
      <c r="B239" s="8">
        <v>1</v>
      </c>
      <c r="C239" s="9">
        <v>1</v>
      </c>
      <c r="D239" s="10">
        <v>1</v>
      </c>
      <c r="E239" s="9"/>
      <c r="F239" s="5">
        <f t="shared" si="63"/>
        <v>3</v>
      </c>
      <c r="G239" s="39">
        <v>44593</v>
      </c>
      <c r="H239" s="96" t="s">
        <v>159</v>
      </c>
      <c r="I239" s="8">
        <v>38</v>
      </c>
      <c r="J239" s="9">
        <v>18</v>
      </c>
      <c r="K239" s="10">
        <v>8</v>
      </c>
      <c r="L239" s="9"/>
      <c r="M239" s="7">
        <f t="shared" si="65"/>
        <v>64</v>
      </c>
      <c r="N239" s="39">
        <v>44593</v>
      </c>
      <c r="O239" s="4"/>
      <c r="P239" s="8"/>
      <c r="Q239" s="9"/>
      <c r="R239" s="10"/>
      <c r="S239" s="9"/>
      <c r="T239" s="5">
        <f t="shared" si="64"/>
        <v>0</v>
      </c>
    </row>
    <row r="240" spans="1:20" x14ac:dyDescent="0.15">
      <c r="A240" s="4" t="s">
        <v>34</v>
      </c>
      <c r="B240" s="8"/>
      <c r="C240" s="9">
        <v>1</v>
      </c>
      <c r="D240" s="10"/>
      <c r="E240" s="9"/>
      <c r="F240" s="5">
        <f t="shared" si="63"/>
        <v>1</v>
      </c>
      <c r="G240" s="71">
        <v>44595</v>
      </c>
      <c r="H240" s="4" t="s">
        <v>160</v>
      </c>
      <c r="I240" s="8">
        <v>15</v>
      </c>
      <c r="J240" s="9"/>
      <c r="K240" s="10"/>
      <c r="L240" s="9"/>
      <c r="M240" s="7">
        <f t="shared" si="65"/>
        <v>15</v>
      </c>
      <c r="N240" s="39">
        <v>44592</v>
      </c>
      <c r="O240" s="4"/>
      <c r="P240" s="8"/>
      <c r="Q240" s="9"/>
      <c r="R240" s="10"/>
      <c r="S240" s="9"/>
      <c r="T240" s="5">
        <f t="shared" si="64"/>
        <v>0</v>
      </c>
    </row>
    <row r="241" spans="1:20" x14ac:dyDescent="0.15">
      <c r="A241" s="4" t="s">
        <v>34</v>
      </c>
      <c r="B241" s="8"/>
      <c r="C241" s="9"/>
      <c r="D241" s="10"/>
      <c r="E241" s="9">
        <f>1+2</f>
        <v>3</v>
      </c>
      <c r="F241" s="5">
        <f t="shared" si="63"/>
        <v>3</v>
      </c>
      <c r="G241" s="71">
        <v>44599</v>
      </c>
      <c r="H241" s="4" t="s">
        <v>165</v>
      </c>
      <c r="I241" s="8">
        <v>43</v>
      </c>
      <c r="J241" s="9">
        <v>38</v>
      </c>
      <c r="K241" s="10"/>
      <c r="L241" s="9"/>
      <c r="M241" s="7">
        <f t="shared" si="65"/>
        <v>81</v>
      </c>
      <c r="N241" s="39">
        <v>44610</v>
      </c>
      <c r="O241" s="4"/>
      <c r="P241" s="8"/>
      <c r="Q241" s="9"/>
      <c r="R241" s="10"/>
      <c r="S241" s="9"/>
      <c r="T241" s="5">
        <f t="shared" si="64"/>
        <v>0</v>
      </c>
    </row>
    <row r="242" spans="1:20" x14ac:dyDescent="0.15">
      <c r="A242" s="4" t="s">
        <v>34</v>
      </c>
      <c r="B242" s="8"/>
      <c r="C242" s="9">
        <v>1</v>
      </c>
      <c r="D242" s="10"/>
      <c r="E242" s="9"/>
      <c r="F242" s="5">
        <f t="shared" si="63"/>
        <v>1</v>
      </c>
      <c r="G242" s="71">
        <v>44602</v>
      </c>
      <c r="H242" s="4" t="s">
        <v>166</v>
      </c>
      <c r="I242" s="8">
        <v>25</v>
      </c>
      <c r="J242" s="9">
        <v>50</v>
      </c>
      <c r="K242" s="10">
        <v>10</v>
      </c>
      <c r="L242" s="9">
        <v>5</v>
      </c>
      <c r="M242" s="7">
        <f t="shared" si="65"/>
        <v>90</v>
      </c>
      <c r="N242" s="39">
        <v>44614</v>
      </c>
      <c r="O242" s="4"/>
      <c r="P242" s="8"/>
      <c r="Q242" s="9"/>
      <c r="R242" s="10"/>
      <c r="S242" s="9"/>
      <c r="T242" s="5">
        <f t="shared" si="64"/>
        <v>0</v>
      </c>
    </row>
    <row r="243" spans="1:20" x14ac:dyDescent="0.15">
      <c r="A243" s="28" t="s">
        <v>133</v>
      </c>
      <c r="B243" s="8"/>
      <c r="C243" s="9">
        <v>1</v>
      </c>
      <c r="D243" s="10"/>
      <c r="E243" s="9"/>
      <c r="F243" s="5">
        <f t="shared" si="63"/>
        <v>1</v>
      </c>
      <c r="G243" s="71">
        <v>44602</v>
      </c>
      <c r="H243" s="4" t="s">
        <v>167</v>
      </c>
      <c r="I243" s="8"/>
      <c r="J243" s="9"/>
      <c r="K243" s="10"/>
      <c r="L243" s="9">
        <v>25</v>
      </c>
      <c r="M243" s="7">
        <f t="shared" si="65"/>
        <v>25</v>
      </c>
      <c r="N243" s="39">
        <v>44621</v>
      </c>
      <c r="O243" s="4"/>
      <c r="P243" s="8"/>
      <c r="Q243" s="9"/>
      <c r="R243" s="10"/>
      <c r="S243" s="9"/>
      <c r="T243" s="5">
        <f t="shared" si="64"/>
        <v>0</v>
      </c>
    </row>
    <row r="244" spans="1:20" x14ac:dyDescent="0.15">
      <c r="A244" s="4" t="s">
        <v>39</v>
      </c>
      <c r="B244" s="8"/>
      <c r="C244" s="9">
        <v>1</v>
      </c>
      <c r="D244" s="10"/>
      <c r="E244" s="9"/>
      <c r="F244" s="5">
        <f t="shared" si="63"/>
        <v>1</v>
      </c>
      <c r="G244" s="39">
        <v>44603</v>
      </c>
      <c r="H244" s="4" t="s">
        <v>173</v>
      </c>
      <c r="I244" s="8">
        <v>15</v>
      </c>
      <c r="J244" s="9">
        <v>40</v>
      </c>
      <c r="K244" s="10">
        <v>40</v>
      </c>
      <c r="L244" s="9">
        <v>20</v>
      </c>
      <c r="M244" s="7">
        <f t="shared" si="65"/>
        <v>115</v>
      </c>
      <c r="N244" s="39">
        <v>44631</v>
      </c>
      <c r="O244" s="11"/>
      <c r="P244" s="8"/>
      <c r="Q244" s="9"/>
      <c r="R244" s="10"/>
      <c r="S244" s="9"/>
      <c r="T244" s="5">
        <f t="shared" si="64"/>
        <v>0</v>
      </c>
    </row>
    <row r="245" spans="1:20" x14ac:dyDescent="0.15">
      <c r="A245" s="4" t="s">
        <v>39</v>
      </c>
      <c r="B245" s="8"/>
      <c r="C245" s="9"/>
      <c r="D245" s="10">
        <v>1</v>
      </c>
      <c r="E245" s="9"/>
      <c r="F245" s="5">
        <f t="shared" si="63"/>
        <v>1</v>
      </c>
      <c r="G245" s="39">
        <v>44607</v>
      </c>
      <c r="H245" s="4" t="s">
        <v>174</v>
      </c>
      <c r="I245" s="8">
        <v>15</v>
      </c>
      <c r="J245" s="9">
        <v>20</v>
      </c>
      <c r="K245" s="10">
        <v>10</v>
      </c>
      <c r="L245" s="9"/>
      <c r="M245" s="7">
        <f t="shared" si="65"/>
        <v>45</v>
      </c>
      <c r="N245" s="39">
        <v>44638</v>
      </c>
      <c r="O245" s="4"/>
      <c r="P245" s="8"/>
      <c r="Q245" s="9"/>
      <c r="R245" s="10"/>
      <c r="S245" s="9"/>
      <c r="T245" s="5">
        <f t="shared" si="64"/>
        <v>0</v>
      </c>
    </row>
    <row r="246" spans="1:20" x14ac:dyDescent="0.15">
      <c r="A246" s="28" t="s">
        <v>133</v>
      </c>
      <c r="B246" s="8"/>
      <c r="C246" s="9">
        <v>1</v>
      </c>
      <c r="D246" s="10"/>
      <c r="E246" s="9"/>
      <c r="F246" s="5">
        <f t="shared" si="63"/>
        <v>1</v>
      </c>
      <c r="G246" s="71">
        <v>44606</v>
      </c>
      <c r="H246" s="4" t="s">
        <v>130</v>
      </c>
      <c r="I246" s="80">
        <v>360</v>
      </c>
      <c r="J246" s="49">
        <v>370</v>
      </c>
      <c r="K246" s="78">
        <v>270</v>
      </c>
      <c r="L246" s="9"/>
      <c r="M246" s="5">
        <f t="shared" ref="M246" si="66">SUM(I246:L246)</f>
        <v>1000</v>
      </c>
      <c r="N246" s="39">
        <v>44241</v>
      </c>
      <c r="O246" s="11"/>
      <c r="P246" s="8"/>
      <c r="Q246" s="9"/>
      <c r="R246" s="10"/>
      <c r="S246" s="9"/>
      <c r="T246" s="5">
        <f t="shared" si="64"/>
        <v>0</v>
      </c>
    </row>
    <row r="247" spans="1:20" x14ac:dyDescent="0.15">
      <c r="A247" s="4" t="s">
        <v>39</v>
      </c>
      <c r="B247" s="8"/>
      <c r="C247" s="9">
        <v>1</v>
      </c>
      <c r="D247" s="10"/>
      <c r="E247" s="9"/>
      <c r="F247" s="5">
        <f t="shared" si="63"/>
        <v>1</v>
      </c>
      <c r="G247" s="39">
        <v>44614</v>
      </c>
      <c r="H247" s="4"/>
      <c r="I247" s="8"/>
      <c r="J247" s="9"/>
      <c r="K247" s="10"/>
      <c r="L247" s="49"/>
      <c r="M247" s="7">
        <f t="shared" si="65"/>
        <v>0</v>
      </c>
      <c r="O247" s="11"/>
      <c r="P247" s="8"/>
      <c r="Q247" s="9"/>
      <c r="R247" s="10"/>
      <c r="S247" s="9"/>
      <c r="T247" s="5">
        <f t="shared" si="64"/>
        <v>0</v>
      </c>
    </row>
    <row r="248" spans="1:20" x14ac:dyDescent="0.15">
      <c r="A248" s="4" t="s">
        <v>34</v>
      </c>
      <c r="B248" s="8"/>
      <c r="C248" s="9">
        <v>1</v>
      </c>
      <c r="D248" s="10"/>
      <c r="E248" s="9"/>
      <c r="F248" s="5">
        <f t="shared" si="63"/>
        <v>1</v>
      </c>
      <c r="G248" s="71">
        <v>44613</v>
      </c>
      <c r="H248" s="4"/>
      <c r="I248" s="8"/>
      <c r="J248" s="9"/>
      <c r="K248" s="10"/>
      <c r="L248" s="9"/>
      <c r="M248" s="7">
        <f t="shared" si="65"/>
        <v>0</v>
      </c>
      <c r="N248" s="41"/>
      <c r="O248" s="4"/>
      <c r="P248" s="8"/>
      <c r="Q248" s="9"/>
      <c r="R248" s="10"/>
      <c r="S248" s="9"/>
      <c r="T248" s="5">
        <f t="shared" si="64"/>
        <v>0</v>
      </c>
    </row>
    <row r="249" spans="1:20" x14ac:dyDescent="0.15">
      <c r="A249" s="4" t="s">
        <v>169</v>
      </c>
      <c r="B249" s="8"/>
      <c r="C249" s="9">
        <v>1</v>
      </c>
      <c r="D249" s="10"/>
      <c r="E249" s="9"/>
      <c r="F249" s="5">
        <f t="shared" si="63"/>
        <v>1</v>
      </c>
      <c r="G249" s="39">
        <v>44618</v>
      </c>
      <c r="H249" s="4"/>
      <c r="I249" s="8"/>
      <c r="J249" s="9"/>
      <c r="K249" s="10"/>
      <c r="L249" s="9"/>
      <c r="M249" s="7">
        <f t="shared" si="65"/>
        <v>0</v>
      </c>
      <c r="N249" s="41"/>
      <c r="O249" s="11"/>
      <c r="P249" s="8"/>
      <c r="Q249" s="9"/>
      <c r="R249" s="10"/>
      <c r="S249" s="9"/>
      <c r="T249" s="5">
        <f t="shared" si="64"/>
        <v>0</v>
      </c>
    </row>
    <row r="250" spans="1:20" x14ac:dyDescent="0.15">
      <c r="A250" s="4" t="s">
        <v>34</v>
      </c>
      <c r="B250" s="8">
        <v>2</v>
      </c>
      <c r="C250" s="9"/>
      <c r="D250" s="10"/>
      <c r="E250" s="9"/>
      <c r="F250" s="5">
        <f t="shared" si="63"/>
        <v>2</v>
      </c>
      <c r="G250" s="71">
        <v>44617</v>
      </c>
      <c r="H250" s="48"/>
      <c r="I250" s="8"/>
      <c r="J250" s="9"/>
      <c r="K250" s="10"/>
      <c r="L250" s="9"/>
      <c r="M250" s="7">
        <f t="shared" si="65"/>
        <v>0</v>
      </c>
      <c r="N250" s="41"/>
      <c r="O250" s="4"/>
      <c r="P250" s="8"/>
      <c r="Q250" s="9"/>
      <c r="R250" s="10"/>
      <c r="S250" s="9"/>
      <c r="T250" s="5">
        <f t="shared" si="64"/>
        <v>0</v>
      </c>
    </row>
    <row r="251" spans="1:20" x14ac:dyDescent="0.15">
      <c r="A251" s="4" t="s">
        <v>34</v>
      </c>
      <c r="B251" s="8"/>
      <c r="C251" s="9">
        <v>2</v>
      </c>
      <c r="D251" s="10"/>
      <c r="E251" s="9"/>
      <c r="F251" s="5">
        <f t="shared" si="63"/>
        <v>2</v>
      </c>
      <c r="G251" s="71">
        <v>44622</v>
      </c>
      <c r="H251" s="48"/>
      <c r="I251" s="8"/>
      <c r="J251" s="9"/>
      <c r="K251" s="10"/>
      <c r="L251" s="9"/>
      <c r="M251" s="7">
        <f t="shared" ref="M251:M253" si="67">SUM(I251:L251)</f>
        <v>0</v>
      </c>
      <c r="N251" s="41"/>
      <c r="O251" s="11"/>
      <c r="P251" s="8"/>
      <c r="Q251" s="9"/>
      <c r="R251" s="10"/>
      <c r="S251" s="9"/>
      <c r="T251" s="5">
        <f t="shared" si="64"/>
        <v>0</v>
      </c>
    </row>
    <row r="252" spans="1:20" x14ac:dyDescent="0.15">
      <c r="A252" s="4" t="s">
        <v>34</v>
      </c>
      <c r="B252" s="8">
        <v>1</v>
      </c>
      <c r="C252" s="9">
        <f>1+1</f>
        <v>2</v>
      </c>
      <c r="D252" s="10"/>
      <c r="E252" s="9"/>
      <c r="F252" s="5">
        <f t="shared" si="63"/>
        <v>3</v>
      </c>
      <c r="G252" s="71">
        <v>44625</v>
      </c>
      <c r="H252" s="11"/>
      <c r="I252" s="8"/>
      <c r="J252" s="9"/>
      <c r="K252" s="10"/>
      <c r="L252" s="9"/>
      <c r="M252" s="7">
        <f t="shared" si="67"/>
        <v>0</v>
      </c>
      <c r="N252" s="41"/>
      <c r="O252" s="4"/>
      <c r="P252" s="8"/>
      <c r="Q252" s="9"/>
      <c r="R252" s="10"/>
      <c r="S252" s="9"/>
      <c r="T252" s="5">
        <f t="shared" si="64"/>
        <v>0</v>
      </c>
    </row>
    <row r="253" spans="1:20" x14ac:dyDescent="0.15">
      <c r="A253" s="28" t="s">
        <v>133</v>
      </c>
      <c r="B253" s="8">
        <v>1</v>
      </c>
      <c r="C253" s="9"/>
      <c r="D253" s="10"/>
      <c r="E253" s="9"/>
      <c r="F253" s="5">
        <f t="shared" si="63"/>
        <v>1</v>
      </c>
      <c r="G253" s="71">
        <v>44627</v>
      </c>
      <c r="H253" s="94"/>
      <c r="I253" s="8"/>
      <c r="J253" s="9"/>
      <c r="K253" s="10"/>
      <c r="L253" s="9"/>
      <c r="M253" s="7">
        <f t="shared" si="67"/>
        <v>0</v>
      </c>
      <c r="N253" s="41"/>
      <c r="O253" s="11"/>
      <c r="P253" s="8"/>
      <c r="Q253" s="9"/>
      <c r="R253" s="10"/>
      <c r="S253" s="9"/>
      <c r="T253" s="5">
        <f t="shared" si="64"/>
        <v>0</v>
      </c>
    </row>
    <row r="254" spans="1:20" ht="14.25" thickBot="1" x14ac:dyDescent="0.2">
      <c r="A254" s="28" t="s">
        <v>133</v>
      </c>
      <c r="B254" s="8"/>
      <c r="C254" s="9"/>
      <c r="D254" s="10">
        <v>2</v>
      </c>
      <c r="E254" s="51"/>
      <c r="F254" s="5">
        <f t="shared" si="63"/>
        <v>2</v>
      </c>
      <c r="G254" s="71">
        <v>44628</v>
      </c>
      <c r="H254" s="94" t="s">
        <v>122</v>
      </c>
      <c r="I254" s="8"/>
      <c r="J254" s="9"/>
      <c r="K254" s="10"/>
      <c r="L254" s="9"/>
      <c r="M254" s="7">
        <f t="shared" ref="M254" si="68">SUM(I254:L254)</f>
        <v>0</v>
      </c>
      <c r="N254" s="41" t="s">
        <v>121</v>
      </c>
      <c r="O254" s="33"/>
      <c r="P254" s="8"/>
      <c r="Q254" s="9"/>
      <c r="R254" s="10"/>
      <c r="S254" s="51"/>
      <c r="T254" s="5">
        <f t="shared" si="64"/>
        <v>0</v>
      </c>
    </row>
    <row r="255" spans="1:20" ht="14.25" thickBot="1" x14ac:dyDescent="0.2">
      <c r="A255" s="3" t="s">
        <v>5</v>
      </c>
      <c r="B255" s="14">
        <f>SUM(B231:B254)</f>
        <v>12</v>
      </c>
      <c r="C255" s="14">
        <f>SUM(C231:C254)</f>
        <v>16</v>
      </c>
      <c r="D255" s="14">
        <f>SUM(D231:D254)</f>
        <v>5</v>
      </c>
      <c r="E255" s="14">
        <f>SUM(E231:E254)</f>
        <v>7</v>
      </c>
      <c r="F255" s="15">
        <f>SUM(B255:E255)</f>
        <v>40</v>
      </c>
      <c r="H255" s="3" t="s">
        <v>5</v>
      </c>
      <c r="I255" s="14">
        <f>SUM(I231:I254)</f>
        <v>878</v>
      </c>
      <c r="J255" s="14">
        <f>SUM(J231:J254)</f>
        <v>926</v>
      </c>
      <c r="K255" s="14">
        <f>SUM(K231:K254)</f>
        <v>634</v>
      </c>
      <c r="L255" s="14">
        <f>SUM(L231:L254)</f>
        <v>190</v>
      </c>
      <c r="M255" s="15">
        <f>SUM(I255:L255)</f>
        <v>2628</v>
      </c>
      <c r="O255" s="3" t="s">
        <v>5</v>
      </c>
      <c r="P255" s="14">
        <f>SUM(P231:P254)</f>
        <v>0</v>
      </c>
      <c r="Q255" s="14">
        <f>SUM(Q231:Q254)</f>
        <v>0</v>
      </c>
      <c r="R255" s="14">
        <f>SUM(R231:R254)</f>
        <v>0</v>
      </c>
      <c r="S255" s="14">
        <f>SUM(S231:S254)</f>
        <v>0</v>
      </c>
      <c r="T255" s="15">
        <f>SUM(P255:S255)</f>
        <v>0</v>
      </c>
    </row>
    <row r="256" spans="1:20" ht="14.25" thickBot="1" x14ac:dyDescent="0.2">
      <c r="A256" s="25" t="s">
        <v>6</v>
      </c>
      <c r="B256" s="26">
        <f>B230-B255</f>
        <v>17</v>
      </c>
      <c r="C256" s="26">
        <f t="shared" ref="C256:F256" si="69">C230-C255</f>
        <v>12</v>
      </c>
      <c r="D256" s="26">
        <f t="shared" si="69"/>
        <v>18</v>
      </c>
      <c r="E256" s="26">
        <f t="shared" si="69"/>
        <v>15</v>
      </c>
      <c r="F256" s="24">
        <f t="shared" si="69"/>
        <v>62</v>
      </c>
      <c r="H256" s="25" t="s">
        <v>6</v>
      </c>
      <c r="I256" s="26">
        <f>I230-I255</f>
        <v>417</v>
      </c>
      <c r="J256" s="26">
        <f t="shared" ref="J256:M256" si="70">J230-J255</f>
        <v>776</v>
      </c>
      <c r="K256" s="26">
        <f t="shared" si="70"/>
        <v>363</v>
      </c>
      <c r="L256" s="26">
        <f t="shared" si="70"/>
        <v>264</v>
      </c>
      <c r="M256" s="24">
        <f t="shared" si="70"/>
        <v>1820</v>
      </c>
      <c r="O256" s="25" t="s">
        <v>6</v>
      </c>
      <c r="P256" s="26">
        <f>P230-P255</f>
        <v>0</v>
      </c>
      <c r="Q256" s="26">
        <f t="shared" ref="Q256:T256" si="71">Q230-Q255</f>
        <v>0</v>
      </c>
      <c r="R256" s="26">
        <f t="shared" si="71"/>
        <v>0</v>
      </c>
      <c r="S256" s="26">
        <f t="shared" si="71"/>
        <v>0</v>
      </c>
      <c r="T256" s="24">
        <f t="shared" si="71"/>
        <v>0</v>
      </c>
    </row>
    <row r="258" spans="1:14" x14ac:dyDescent="0.15">
      <c r="I258" s="72"/>
      <c r="J258" s="72"/>
      <c r="K258" s="72"/>
      <c r="L258" s="72"/>
      <c r="M258" s="72"/>
    </row>
    <row r="259" spans="1:14" ht="21.75" thickBot="1" x14ac:dyDescent="0.25">
      <c r="A259" s="29" t="s">
        <v>13</v>
      </c>
      <c r="B259" s="1"/>
      <c r="C259" s="1"/>
      <c r="D259" s="1"/>
      <c r="E259" s="1"/>
      <c r="F259" s="1"/>
      <c r="H259" s="29" t="s">
        <v>14</v>
      </c>
      <c r="I259" s="1"/>
      <c r="J259" s="1"/>
      <c r="K259" s="1"/>
      <c r="L259" s="1"/>
      <c r="M259" s="1"/>
    </row>
    <row r="260" spans="1:14" ht="14.25" thickBot="1" x14ac:dyDescent="0.2">
      <c r="A260" s="2" t="s">
        <v>0</v>
      </c>
      <c r="B260" s="164" t="s">
        <v>12</v>
      </c>
      <c r="C260" s="165"/>
      <c r="D260" s="165"/>
      <c r="E260" s="165"/>
      <c r="F260" s="168"/>
      <c r="H260" s="2" t="s">
        <v>0</v>
      </c>
      <c r="I260" s="164" t="s">
        <v>12</v>
      </c>
      <c r="J260" s="165"/>
      <c r="K260" s="165"/>
      <c r="L260" s="165"/>
      <c r="M260" s="168"/>
    </row>
    <row r="261" spans="1:14" ht="14.25" thickBot="1" x14ac:dyDescent="0.2">
      <c r="A261" s="2" t="s">
        <v>1</v>
      </c>
      <c r="B261" s="3" t="s">
        <v>7</v>
      </c>
      <c r="C261" s="2" t="s">
        <v>8</v>
      </c>
      <c r="D261" s="19" t="s">
        <v>9</v>
      </c>
      <c r="E261" s="2" t="s">
        <v>11</v>
      </c>
      <c r="F261" s="2" t="s">
        <v>2</v>
      </c>
      <c r="H261" s="2" t="s">
        <v>1</v>
      </c>
      <c r="I261" s="3" t="s">
        <v>7</v>
      </c>
      <c r="J261" s="2" t="s">
        <v>8</v>
      </c>
      <c r="K261" s="19" t="s">
        <v>9</v>
      </c>
      <c r="L261" s="2" t="s">
        <v>11</v>
      </c>
      <c r="M261" s="2" t="s">
        <v>2</v>
      </c>
    </row>
    <row r="262" spans="1:14" x14ac:dyDescent="0.15">
      <c r="A262" s="27" t="s">
        <v>6</v>
      </c>
      <c r="B262" s="18">
        <f>B256</f>
        <v>17</v>
      </c>
      <c r="C262" s="20">
        <f>C256</f>
        <v>12</v>
      </c>
      <c r="D262" s="55">
        <f>D256</f>
        <v>18</v>
      </c>
      <c r="E262" s="20">
        <f>E256</f>
        <v>15</v>
      </c>
      <c r="F262" s="17">
        <f>SUM(B262:E262)</f>
        <v>62</v>
      </c>
      <c r="G262" s="71"/>
      <c r="H262" s="27" t="s">
        <v>6</v>
      </c>
      <c r="I262" s="18">
        <f>I256</f>
        <v>417</v>
      </c>
      <c r="J262" s="20">
        <f>J256</f>
        <v>776</v>
      </c>
      <c r="K262" s="55">
        <f>K256</f>
        <v>363</v>
      </c>
      <c r="L262" s="58">
        <f>L256</f>
        <v>264</v>
      </c>
      <c r="M262" s="17">
        <f>SUM(I262:L262)</f>
        <v>1820</v>
      </c>
    </row>
    <row r="263" spans="1:14" x14ac:dyDescent="0.15">
      <c r="A263" s="6" t="s">
        <v>3</v>
      </c>
      <c r="B263" s="16"/>
      <c r="C263" s="11">
        <v>10</v>
      </c>
      <c r="D263" s="16"/>
      <c r="E263" s="4">
        <v>10</v>
      </c>
      <c r="F263" s="5">
        <f t="shared" ref="F263:F272" si="72">SUM(B263:E263)</f>
        <v>20</v>
      </c>
      <c r="G263" s="39">
        <v>44631</v>
      </c>
      <c r="H263" s="6" t="s">
        <v>3</v>
      </c>
      <c r="I263" s="16"/>
      <c r="J263" s="11"/>
      <c r="K263" s="16"/>
      <c r="L263" s="4">
        <v>5</v>
      </c>
      <c r="M263" s="5">
        <f t="shared" ref="M263:M272" si="73">SUM(I263:L263)</f>
        <v>5</v>
      </c>
      <c r="N263" s="71">
        <v>44653</v>
      </c>
    </row>
    <row r="264" spans="1:14" x14ac:dyDescent="0.15">
      <c r="A264" s="6" t="s">
        <v>3</v>
      </c>
      <c r="B264" s="16">
        <v>5</v>
      </c>
      <c r="C264" s="11">
        <v>10</v>
      </c>
      <c r="D264" s="16"/>
      <c r="E264" s="4"/>
      <c r="F264" s="5">
        <f t="shared" si="72"/>
        <v>15</v>
      </c>
      <c r="G264" s="39">
        <v>44650</v>
      </c>
      <c r="H264" s="6" t="s">
        <v>3</v>
      </c>
      <c r="I264" s="31"/>
      <c r="J264" s="32"/>
      <c r="K264" s="31"/>
      <c r="L264" s="52"/>
      <c r="M264" s="5">
        <f t="shared" si="73"/>
        <v>0</v>
      </c>
      <c r="N264" s="39"/>
    </row>
    <row r="265" spans="1:14" x14ac:dyDescent="0.15">
      <c r="A265" s="6" t="s">
        <v>3</v>
      </c>
      <c r="B265" s="16">
        <v>5</v>
      </c>
      <c r="C265" s="11">
        <v>5</v>
      </c>
      <c r="D265" s="16"/>
      <c r="E265" s="4"/>
      <c r="F265" s="5">
        <f t="shared" si="72"/>
        <v>10</v>
      </c>
      <c r="G265" s="39">
        <v>44657</v>
      </c>
      <c r="H265" s="6" t="s">
        <v>3</v>
      </c>
      <c r="I265" s="31"/>
      <c r="J265" s="32"/>
      <c r="K265" s="31"/>
      <c r="L265" s="52"/>
      <c r="M265" s="5">
        <f t="shared" si="73"/>
        <v>0</v>
      </c>
      <c r="N265" s="39"/>
    </row>
    <row r="266" spans="1:14" x14ac:dyDescent="0.15">
      <c r="A266" s="6" t="s">
        <v>45</v>
      </c>
      <c r="B266" s="16"/>
      <c r="C266" s="11"/>
      <c r="D266" s="16">
        <v>2</v>
      </c>
      <c r="E266" s="4">
        <v>2</v>
      </c>
      <c r="F266" s="5">
        <f t="shared" si="72"/>
        <v>4</v>
      </c>
      <c r="G266" s="71">
        <v>44659</v>
      </c>
      <c r="H266" s="6" t="s">
        <v>3</v>
      </c>
      <c r="I266" s="38"/>
      <c r="J266" s="32"/>
      <c r="K266" s="31"/>
      <c r="L266" s="52"/>
      <c r="M266" s="5">
        <f t="shared" si="73"/>
        <v>0</v>
      </c>
      <c r="N266" s="41"/>
    </row>
    <row r="267" spans="1:14" x14ac:dyDescent="0.15">
      <c r="A267" s="6" t="s">
        <v>3</v>
      </c>
      <c r="B267" s="16">
        <v>5</v>
      </c>
      <c r="C267" s="11">
        <v>5</v>
      </c>
      <c r="D267" s="16">
        <v>25</v>
      </c>
      <c r="E267" s="4"/>
      <c r="F267" s="5">
        <f t="shared" si="72"/>
        <v>35</v>
      </c>
      <c r="G267" s="39">
        <v>44670</v>
      </c>
      <c r="H267" s="6" t="s">
        <v>3</v>
      </c>
      <c r="I267" s="31"/>
      <c r="J267" s="32"/>
      <c r="K267" s="31"/>
      <c r="L267" s="52"/>
      <c r="M267" s="5">
        <f t="shared" si="73"/>
        <v>0</v>
      </c>
      <c r="N267" s="39"/>
    </row>
    <row r="268" spans="1:14" x14ac:dyDescent="0.15">
      <c r="A268" s="6" t="s">
        <v>3</v>
      </c>
      <c r="B268" s="16"/>
      <c r="C268" s="11">
        <v>5</v>
      </c>
      <c r="D268" s="16">
        <v>10</v>
      </c>
      <c r="E268" s="4"/>
      <c r="F268" s="5">
        <f t="shared" si="72"/>
        <v>15</v>
      </c>
      <c r="G268" s="39">
        <v>44672</v>
      </c>
      <c r="H268" s="6" t="s">
        <v>3</v>
      </c>
      <c r="I268" s="38"/>
      <c r="J268" s="32"/>
      <c r="K268" s="31"/>
      <c r="L268" s="52"/>
      <c r="M268" s="5">
        <f t="shared" si="73"/>
        <v>0</v>
      </c>
      <c r="N268" s="41"/>
    </row>
    <row r="269" spans="1:14" x14ac:dyDescent="0.15">
      <c r="A269" s="6" t="s">
        <v>3</v>
      </c>
      <c r="B269" s="31"/>
      <c r="C269" s="32"/>
      <c r="D269" s="31"/>
      <c r="E269" s="52"/>
      <c r="F269" s="5">
        <f t="shared" si="72"/>
        <v>0</v>
      </c>
      <c r="H269" s="6" t="s">
        <v>3</v>
      </c>
      <c r="I269" s="16"/>
      <c r="J269" s="11"/>
      <c r="K269" s="16"/>
      <c r="L269" s="4"/>
      <c r="M269" s="5">
        <f t="shared" si="73"/>
        <v>0</v>
      </c>
      <c r="N269" s="41"/>
    </row>
    <row r="270" spans="1:14" x14ac:dyDescent="0.15">
      <c r="A270" s="6" t="s">
        <v>3</v>
      </c>
      <c r="B270" s="10"/>
      <c r="C270" s="9"/>
      <c r="D270" s="10"/>
      <c r="E270" s="49"/>
      <c r="F270" s="5">
        <f t="shared" si="72"/>
        <v>0</v>
      </c>
      <c r="H270" s="6" t="s">
        <v>3</v>
      </c>
      <c r="I270" s="31"/>
      <c r="J270" s="32"/>
      <c r="K270" s="31"/>
      <c r="L270" s="52"/>
      <c r="M270" s="5">
        <f t="shared" si="73"/>
        <v>0</v>
      </c>
    </row>
    <row r="271" spans="1:14" x14ac:dyDescent="0.15">
      <c r="A271" s="6" t="s">
        <v>3</v>
      </c>
      <c r="B271" s="31"/>
      <c r="C271" s="32"/>
      <c r="D271" s="31"/>
      <c r="E271" s="52"/>
      <c r="F271" s="5">
        <f t="shared" si="72"/>
        <v>0</v>
      </c>
      <c r="H271" s="6" t="s">
        <v>3</v>
      </c>
      <c r="I271" s="34"/>
      <c r="J271" s="35"/>
      <c r="K271" s="34"/>
      <c r="L271" s="32"/>
      <c r="M271" s="5">
        <f t="shared" si="73"/>
        <v>0</v>
      </c>
    </row>
    <row r="272" spans="1:14" ht="14.25" thickBot="1" x14ac:dyDescent="0.2">
      <c r="A272" s="6" t="s">
        <v>3</v>
      </c>
      <c r="B272" s="13"/>
      <c r="C272" s="12"/>
      <c r="D272" s="13"/>
      <c r="E272" s="50"/>
      <c r="F272" s="5">
        <f t="shared" si="72"/>
        <v>0</v>
      </c>
      <c r="H272" s="6" t="s">
        <v>3</v>
      </c>
      <c r="I272" s="34"/>
      <c r="J272" s="35"/>
      <c r="K272" s="34"/>
      <c r="L272" s="53"/>
      <c r="M272" s="5">
        <f t="shared" si="73"/>
        <v>0</v>
      </c>
    </row>
    <row r="273" spans="1:15" ht="14.25" thickBot="1" x14ac:dyDescent="0.2">
      <c r="A273" s="21" t="s">
        <v>4</v>
      </c>
      <c r="B273" s="22">
        <f>SUM(B262:B272)</f>
        <v>32</v>
      </c>
      <c r="C273" s="22">
        <f>SUM(C262:C272)</f>
        <v>47</v>
      </c>
      <c r="D273" s="23">
        <f>SUM(D262:D272)</f>
        <v>55</v>
      </c>
      <c r="E273" s="23">
        <f>SUM(E262:E272)</f>
        <v>27</v>
      </c>
      <c r="F273" s="24">
        <f>SUM(B273:E273)</f>
        <v>161</v>
      </c>
      <c r="H273" s="21" t="s">
        <v>4</v>
      </c>
      <c r="I273" s="22">
        <f>SUM(I262:I272)</f>
        <v>417</v>
      </c>
      <c r="J273" s="22">
        <f>SUM(J262:J272)</f>
        <v>776</v>
      </c>
      <c r="K273" s="23">
        <f>SUM(K262:K272)</f>
        <v>363</v>
      </c>
      <c r="L273" s="23">
        <f>SUM(L262:L272)</f>
        <v>269</v>
      </c>
      <c r="M273" s="24">
        <f>SUM(I273:L273)</f>
        <v>1825</v>
      </c>
    </row>
    <row r="274" spans="1:15" x14ac:dyDescent="0.15">
      <c r="A274" s="28" t="s">
        <v>133</v>
      </c>
      <c r="B274" s="8"/>
      <c r="C274" s="9">
        <v>1</v>
      </c>
      <c r="D274" s="10"/>
      <c r="E274" s="49"/>
      <c r="F274" s="5">
        <f>SUM(B274:E274)</f>
        <v>1</v>
      </c>
      <c r="G274" s="71">
        <v>44629</v>
      </c>
      <c r="H274" s="42" t="s">
        <v>177</v>
      </c>
      <c r="I274" s="8"/>
      <c r="J274" s="9">
        <v>10</v>
      </c>
      <c r="K274" s="10"/>
      <c r="L274" s="9">
        <v>10</v>
      </c>
      <c r="M274" s="7">
        <f t="shared" ref="M274" si="74">SUM(I274:L274)</f>
        <v>20</v>
      </c>
      <c r="N274" s="39">
        <v>44631</v>
      </c>
    </row>
    <row r="275" spans="1:15" x14ac:dyDescent="0.15">
      <c r="A275" s="4" t="s">
        <v>39</v>
      </c>
      <c r="B275" s="8"/>
      <c r="C275" s="9"/>
      <c r="D275" s="10"/>
      <c r="E275" s="49">
        <v>3</v>
      </c>
      <c r="F275" s="5">
        <f t="shared" ref="F275:F295" si="75">SUM(B275:E275)</f>
        <v>3</v>
      </c>
      <c r="G275" s="39">
        <v>44631</v>
      </c>
      <c r="H275" s="4" t="s">
        <v>178</v>
      </c>
      <c r="I275" s="8">
        <v>4</v>
      </c>
      <c r="J275" s="9">
        <v>3</v>
      </c>
      <c r="K275" s="10">
        <v>4</v>
      </c>
      <c r="L275" s="9"/>
      <c r="M275" s="7">
        <f t="shared" ref="M275:M297" si="76">SUM(I275:L275)</f>
        <v>11</v>
      </c>
      <c r="N275" s="39">
        <v>44642</v>
      </c>
    </row>
    <row r="276" spans="1:15" x14ac:dyDescent="0.15">
      <c r="A276" s="4" t="s">
        <v>34</v>
      </c>
      <c r="B276" s="8"/>
      <c r="C276" s="9">
        <v>2</v>
      </c>
      <c r="D276" s="10"/>
      <c r="E276" s="49"/>
      <c r="F276" s="5">
        <f t="shared" si="75"/>
        <v>2</v>
      </c>
      <c r="G276" s="71">
        <v>44630</v>
      </c>
      <c r="H276" s="4" t="s">
        <v>26</v>
      </c>
      <c r="I276" s="8">
        <v>5</v>
      </c>
      <c r="J276" s="9">
        <v>10</v>
      </c>
      <c r="K276" s="10"/>
      <c r="L276" s="49"/>
      <c r="M276" s="7">
        <f t="shared" ref="M276" si="77">SUM(I276:L276)</f>
        <v>15</v>
      </c>
      <c r="N276" s="39">
        <v>44650</v>
      </c>
    </row>
    <row r="277" spans="1:15" x14ac:dyDescent="0.15">
      <c r="A277" s="4" t="s">
        <v>34</v>
      </c>
      <c r="B277" s="8"/>
      <c r="C277" s="9">
        <v>1</v>
      </c>
      <c r="D277" s="10"/>
      <c r="E277" s="49"/>
      <c r="F277" s="5">
        <f t="shared" si="75"/>
        <v>1</v>
      </c>
      <c r="G277" s="71">
        <v>44631</v>
      </c>
      <c r="H277" s="4" t="s">
        <v>181</v>
      </c>
      <c r="I277" s="8">
        <v>8</v>
      </c>
      <c r="J277" s="9">
        <v>18</v>
      </c>
      <c r="K277" s="10">
        <v>5</v>
      </c>
      <c r="L277" s="49">
        <v>4</v>
      </c>
      <c r="M277" s="7">
        <f t="shared" si="76"/>
        <v>35</v>
      </c>
      <c r="N277" s="39">
        <v>44663</v>
      </c>
      <c r="O277" s="30"/>
    </row>
    <row r="278" spans="1:15" x14ac:dyDescent="0.15">
      <c r="A278" s="4" t="s">
        <v>34</v>
      </c>
      <c r="B278" s="8">
        <v>1</v>
      </c>
      <c r="C278" s="9"/>
      <c r="D278" s="10"/>
      <c r="E278" s="49"/>
      <c r="F278" s="5">
        <f t="shared" si="75"/>
        <v>1</v>
      </c>
      <c r="G278" s="71">
        <v>44634</v>
      </c>
      <c r="H278" s="48" t="s">
        <v>183</v>
      </c>
      <c r="I278" s="8">
        <v>10</v>
      </c>
      <c r="J278" s="9">
        <v>20</v>
      </c>
      <c r="K278" s="10">
        <v>10</v>
      </c>
      <c r="L278" s="49"/>
      <c r="M278" s="7">
        <f t="shared" si="76"/>
        <v>40</v>
      </c>
      <c r="N278" s="39">
        <v>44658</v>
      </c>
    </row>
    <row r="279" spans="1:15" x14ac:dyDescent="0.15">
      <c r="A279" s="4" t="s">
        <v>34</v>
      </c>
      <c r="B279" s="8">
        <v>1</v>
      </c>
      <c r="C279" s="9"/>
      <c r="D279" s="10"/>
      <c r="E279" s="9"/>
      <c r="F279" s="5">
        <f t="shared" si="75"/>
        <v>1</v>
      </c>
      <c r="G279" s="71">
        <v>44636</v>
      </c>
      <c r="H279" s="28" t="s">
        <v>186</v>
      </c>
      <c r="I279" s="8">
        <v>5</v>
      </c>
      <c r="J279" s="9">
        <v>5</v>
      </c>
      <c r="K279" s="10"/>
      <c r="L279" s="9"/>
      <c r="M279" s="7">
        <f t="shared" si="76"/>
        <v>10</v>
      </c>
      <c r="N279" s="39">
        <v>44657</v>
      </c>
    </row>
    <row r="280" spans="1:15" x14ac:dyDescent="0.15">
      <c r="A280" s="4" t="s">
        <v>34</v>
      </c>
      <c r="B280" s="8"/>
      <c r="C280" s="9">
        <v>1</v>
      </c>
      <c r="D280" s="10"/>
      <c r="E280" s="9"/>
      <c r="F280" s="5">
        <f t="shared" si="75"/>
        <v>1</v>
      </c>
      <c r="G280" s="71">
        <v>44638</v>
      </c>
      <c r="H280" s="4" t="s">
        <v>188</v>
      </c>
      <c r="I280" s="8">
        <v>12</v>
      </c>
      <c r="J280" s="9">
        <v>11</v>
      </c>
      <c r="K280" s="10">
        <v>13</v>
      </c>
      <c r="L280" s="9">
        <v>3</v>
      </c>
      <c r="M280" s="7">
        <f t="shared" si="76"/>
        <v>39</v>
      </c>
      <c r="N280" s="39">
        <v>44672</v>
      </c>
    </row>
    <row r="281" spans="1:15" x14ac:dyDescent="0.15">
      <c r="A281" s="4" t="s">
        <v>179</v>
      </c>
      <c r="B281" s="8">
        <v>1</v>
      </c>
      <c r="C281" s="9"/>
      <c r="D281" s="10">
        <v>1</v>
      </c>
      <c r="E281" s="9"/>
      <c r="F281" s="5">
        <f t="shared" si="75"/>
        <v>2</v>
      </c>
      <c r="G281" s="71">
        <v>44643</v>
      </c>
      <c r="H281" s="28" t="s">
        <v>26</v>
      </c>
      <c r="I281" s="8">
        <v>5</v>
      </c>
      <c r="J281" s="9">
        <v>5</v>
      </c>
      <c r="K281" s="10">
        <v>25</v>
      </c>
      <c r="L281" s="9"/>
      <c r="M281" s="7">
        <f t="shared" ref="M281" si="78">SUM(I281:L281)</f>
        <v>35</v>
      </c>
      <c r="N281" s="39">
        <v>44670</v>
      </c>
    </row>
    <row r="282" spans="1:15" x14ac:dyDescent="0.15">
      <c r="A282" s="4" t="s">
        <v>34</v>
      </c>
      <c r="B282" s="8"/>
      <c r="C282" s="9">
        <v>1</v>
      </c>
      <c r="D282" s="10"/>
      <c r="E282" s="9"/>
      <c r="F282" s="5">
        <f t="shared" si="75"/>
        <v>1</v>
      </c>
      <c r="G282" s="71">
        <v>44642</v>
      </c>
      <c r="H282" s="28" t="s">
        <v>26</v>
      </c>
      <c r="I282" s="8"/>
      <c r="J282" s="9">
        <v>5</v>
      </c>
      <c r="K282" s="10">
        <v>10</v>
      </c>
      <c r="L282" s="9"/>
      <c r="M282" s="7">
        <f t="shared" ref="M282" si="79">SUM(I282:L282)</f>
        <v>15</v>
      </c>
      <c r="N282" s="39">
        <v>44672</v>
      </c>
    </row>
    <row r="283" spans="1:15" x14ac:dyDescent="0.15">
      <c r="A283" s="4" t="s">
        <v>39</v>
      </c>
      <c r="B283" s="8">
        <v>1</v>
      </c>
      <c r="C283" s="9"/>
      <c r="D283" s="10"/>
      <c r="E283" s="9"/>
      <c r="F283" s="5">
        <f t="shared" si="75"/>
        <v>1</v>
      </c>
      <c r="G283" s="39">
        <v>44649</v>
      </c>
      <c r="H283" s="4" t="s">
        <v>198</v>
      </c>
      <c r="I283" s="8">
        <v>5</v>
      </c>
      <c r="J283" s="9">
        <v>10</v>
      </c>
      <c r="K283" s="10">
        <v>2</v>
      </c>
      <c r="L283" s="9">
        <v>5</v>
      </c>
      <c r="M283" s="7">
        <f t="shared" si="76"/>
        <v>22</v>
      </c>
      <c r="N283" s="39">
        <v>44681</v>
      </c>
    </row>
    <row r="284" spans="1:15" x14ac:dyDescent="0.15">
      <c r="A284" s="4" t="s">
        <v>34</v>
      </c>
      <c r="B284" s="8">
        <v>1</v>
      </c>
      <c r="C284" s="9">
        <v>1</v>
      </c>
      <c r="D284" s="10"/>
      <c r="E284" s="9"/>
      <c r="F284" s="5">
        <f t="shared" si="75"/>
        <v>2</v>
      </c>
      <c r="G284" s="71">
        <v>44648</v>
      </c>
      <c r="H284" s="48" t="s">
        <v>199</v>
      </c>
      <c r="I284" s="8">
        <v>12</v>
      </c>
      <c r="J284" s="9">
        <v>12</v>
      </c>
      <c r="K284" s="10">
        <v>2</v>
      </c>
      <c r="L284" s="9"/>
      <c r="M284" s="7">
        <f t="shared" si="76"/>
        <v>26</v>
      </c>
      <c r="N284" s="39">
        <v>44678</v>
      </c>
    </row>
    <row r="285" spans="1:15" x14ac:dyDescent="0.15">
      <c r="A285" s="4" t="s">
        <v>180</v>
      </c>
      <c r="B285" s="8">
        <v>7</v>
      </c>
      <c r="C285" s="9">
        <v>15</v>
      </c>
      <c r="D285" s="10">
        <v>5</v>
      </c>
      <c r="E285" s="49">
        <v>2</v>
      </c>
      <c r="F285" s="7">
        <f t="shared" si="75"/>
        <v>29</v>
      </c>
      <c r="G285" s="39">
        <v>44651</v>
      </c>
      <c r="H285" s="4" t="s">
        <v>200</v>
      </c>
      <c r="I285" s="8">
        <v>4</v>
      </c>
      <c r="J285" s="9">
        <v>4</v>
      </c>
      <c r="K285" s="10">
        <v>4</v>
      </c>
      <c r="L285" s="9">
        <v>4</v>
      </c>
      <c r="M285" s="7">
        <f t="shared" si="76"/>
        <v>16</v>
      </c>
      <c r="N285" s="39">
        <v>44677</v>
      </c>
    </row>
    <row r="286" spans="1:15" x14ac:dyDescent="0.15">
      <c r="A286" s="4" t="s">
        <v>182</v>
      </c>
      <c r="B286" s="8"/>
      <c r="C286" s="9"/>
      <c r="D286" s="10"/>
      <c r="E286" s="9">
        <v>5</v>
      </c>
      <c r="F286" s="5">
        <f t="shared" si="75"/>
        <v>5</v>
      </c>
      <c r="G286" s="71">
        <v>44653</v>
      </c>
      <c r="H286" s="4"/>
      <c r="I286" s="8"/>
      <c r="J286" s="9"/>
      <c r="K286" s="10"/>
      <c r="L286" s="9"/>
      <c r="M286" s="7">
        <f t="shared" si="76"/>
        <v>0</v>
      </c>
      <c r="N286" s="41"/>
    </row>
    <row r="287" spans="1:15" x14ac:dyDescent="0.15">
      <c r="A287" s="4" t="s">
        <v>39</v>
      </c>
      <c r="B287" s="8">
        <v>4</v>
      </c>
      <c r="C287" s="9">
        <v>1</v>
      </c>
      <c r="D287" s="10">
        <v>1</v>
      </c>
      <c r="E287" s="9"/>
      <c r="F287" s="5">
        <f t="shared" si="75"/>
        <v>6</v>
      </c>
      <c r="G287" s="39">
        <v>44658</v>
      </c>
      <c r="H287" s="4"/>
      <c r="I287" s="8"/>
      <c r="J287" s="9"/>
      <c r="K287" s="10"/>
      <c r="L287" s="9"/>
      <c r="M287" s="7">
        <f t="shared" si="76"/>
        <v>0</v>
      </c>
    </row>
    <row r="288" spans="1:15" x14ac:dyDescent="0.15">
      <c r="A288" s="4" t="s">
        <v>34</v>
      </c>
      <c r="B288" s="8"/>
      <c r="C288" s="9">
        <v>1</v>
      </c>
      <c r="D288" s="10"/>
      <c r="E288" s="9"/>
      <c r="F288" s="5">
        <f t="shared" si="75"/>
        <v>1</v>
      </c>
      <c r="G288" s="71">
        <v>44662</v>
      </c>
      <c r="H288" s="4"/>
      <c r="I288" s="8"/>
      <c r="J288" s="9"/>
      <c r="K288" s="10"/>
      <c r="L288" s="9"/>
      <c r="M288" s="7">
        <f t="shared" si="76"/>
        <v>0</v>
      </c>
    </row>
    <row r="289" spans="1:14" x14ac:dyDescent="0.15">
      <c r="A289" s="4" t="s">
        <v>39</v>
      </c>
      <c r="B289" s="8">
        <v>2</v>
      </c>
      <c r="C289" s="9"/>
      <c r="D289" s="10">
        <v>2</v>
      </c>
      <c r="E289" s="9"/>
      <c r="F289" s="5">
        <f t="shared" si="75"/>
        <v>4</v>
      </c>
      <c r="G289" s="39">
        <v>44663</v>
      </c>
      <c r="H289" s="4"/>
      <c r="I289" s="8"/>
      <c r="J289" s="9"/>
      <c r="K289" s="10"/>
      <c r="L289" s="9"/>
      <c r="M289" s="7">
        <f t="shared" si="76"/>
        <v>0</v>
      </c>
    </row>
    <row r="290" spans="1:14" x14ac:dyDescent="0.15">
      <c r="A290" s="4" t="s">
        <v>34</v>
      </c>
      <c r="B290" s="8"/>
      <c r="C290" s="9">
        <v>1</v>
      </c>
      <c r="D290" s="10"/>
      <c r="E290" s="9"/>
      <c r="F290" s="5">
        <f t="shared" si="75"/>
        <v>1</v>
      </c>
      <c r="G290" s="71">
        <v>44662</v>
      </c>
      <c r="H290" s="4"/>
      <c r="I290" s="8"/>
      <c r="J290" s="9"/>
      <c r="K290" s="10"/>
      <c r="L290" s="9"/>
      <c r="M290" s="7">
        <f t="shared" si="76"/>
        <v>0</v>
      </c>
    </row>
    <row r="291" spans="1:14" x14ac:dyDescent="0.15">
      <c r="A291" s="4" t="s">
        <v>39</v>
      </c>
      <c r="B291" s="8"/>
      <c r="C291" s="9">
        <v>1</v>
      </c>
      <c r="D291" s="10">
        <v>1</v>
      </c>
      <c r="E291" s="9"/>
      <c r="F291" s="5">
        <f t="shared" si="75"/>
        <v>2</v>
      </c>
      <c r="G291" s="39">
        <v>44670</v>
      </c>
      <c r="H291" s="4"/>
      <c r="I291" s="8"/>
      <c r="J291" s="9"/>
      <c r="K291" s="10"/>
      <c r="L291" s="9"/>
      <c r="M291" s="7">
        <f t="shared" si="76"/>
        <v>0</v>
      </c>
      <c r="N291" s="41"/>
    </row>
    <row r="292" spans="1:14" x14ac:dyDescent="0.15">
      <c r="A292" s="48" t="s">
        <v>196</v>
      </c>
      <c r="B292" s="8"/>
      <c r="C292" s="9"/>
      <c r="D292" s="10">
        <v>20</v>
      </c>
      <c r="E292" s="9"/>
      <c r="F292" s="5">
        <f t="shared" si="75"/>
        <v>20</v>
      </c>
      <c r="G292" s="39">
        <v>44672</v>
      </c>
      <c r="H292" s="4"/>
      <c r="I292" s="8"/>
      <c r="J292" s="9"/>
      <c r="K292" s="10"/>
      <c r="L292" s="9"/>
      <c r="M292" s="7">
        <f t="shared" si="76"/>
        <v>0</v>
      </c>
      <c r="N292" s="41"/>
    </row>
    <row r="293" spans="1:14" x14ac:dyDescent="0.15">
      <c r="A293" s="96" t="s">
        <v>194</v>
      </c>
      <c r="B293" s="8"/>
      <c r="C293" s="9">
        <v>4</v>
      </c>
      <c r="D293" s="10">
        <v>6</v>
      </c>
      <c r="E293" s="9"/>
      <c r="F293" s="5">
        <f t="shared" si="75"/>
        <v>10</v>
      </c>
      <c r="G293" s="39">
        <v>44671</v>
      </c>
      <c r="H293" s="48"/>
      <c r="I293" s="8"/>
      <c r="J293" s="9"/>
      <c r="K293" s="10"/>
      <c r="L293" s="9"/>
      <c r="M293" s="7">
        <f t="shared" si="76"/>
        <v>0</v>
      </c>
      <c r="N293" s="41"/>
    </row>
    <row r="294" spans="1:14" x14ac:dyDescent="0.15">
      <c r="A294" s="48" t="s">
        <v>197</v>
      </c>
      <c r="B294" s="8"/>
      <c r="C294" s="9"/>
      <c r="D294" s="10">
        <v>6</v>
      </c>
      <c r="E294" s="9"/>
      <c r="F294" s="5">
        <f t="shared" si="75"/>
        <v>6</v>
      </c>
      <c r="G294" s="39">
        <v>44673</v>
      </c>
      <c r="H294" s="94"/>
      <c r="I294" s="8"/>
      <c r="J294" s="9"/>
      <c r="K294" s="10"/>
      <c r="L294" s="12"/>
      <c r="M294" s="7">
        <f t="shared" si="76"/>
        <v>0</v>
      </c>
      <c r="N294" s="41"/>
    </row>
    <row r="295" spans="1:14" x14ac:dyDescent="0.15">
      <c r="A295" s="4"/>
      <c r="B295" s="8"/>
      <c r="C295" s="9"/>
      <c r="D295" s="10"/>
      <c r="E295" s="9"/>
      <c r="F295" s="5">
        <f t="shared" si="75"/>
        <v>0</v>
      </c>
      <c r="H295" s="11" t="s">
        <v>27</v>
      </c>
      <c r="I295" s="8"/>
      <c r="J295" s="9"/>
      <c r="K295" s="10"/>
      <c r="L295" s="9"/>
      <c r="M295" s="7">
        <f t="shared" ref="M295" si="80">SUM(I295:L295)</f>
        <v>0</v>
      </c>
      <c r="N295" s="41" t="s">
        <v>70</v>
      </c>
    </row>
    <row r="296" spans="1:14" x14ac:dyDescent="0.15">
      <c r="A296" s="94" t="s">
        <v>189</v>
      </c>
      <c r="B296" s="8">
        <v>1</v>
      </c>
      <c r="C296" s="9">
        <v>1</v>
      </c>
      <c r="D296" s="10">
        <v>1</v>
      </c>
      <c r="E296" s="9">
        <v>1</v>
      </c>
      <c r="F296" s="7">
        <f>SUM(B296:E296)</f>
        <v>4</v>
      </c>
      <c r="G296" s="39">
        <v>44679</v>
      </c>
      <c r="H296" s="4" t="s">
        <v>162</v>
      </c>
      <c r="I296" s="8"/>
      <c r="J296" s="9"/>
      <c r="K296" s="10"/>
      <c r="L296" s="9"/>
      <c r="M296" s="7">
        <f t="shared" si="76"/>
        <v>0</v>
      </c>
      <c r="N296" s="41" t="s">
        <v>163</v>
      </c>
    </row>
    <row r="297" spans="1:14" ht="14.25" thickBot="1" x14ac:dyDescent="0.2">
      <c r="A297" s="94" t="s">
        <v>190</v>
      </c>
      <c r="B297" s="8">
        <v>2</v>
      </c>
      <c r="C297" s="9">
        <v>2</v>
      </c>
      <c r="D297" s="10">
        <v>2</v>
      </c>
      <c r="E297" s="9">
        <v>2</v>
      </c>
      <c r="F297" s="7">
        <f t="shared" ref="F297" si="81">SUM(B297:E297)</f>
        <v>8</v>
      </c>
      <c r="G297" s="39">
        <v>44679</v>
      </c>
      <c r="H297" s="48" t="s">
        <v>154</v>
      </c>
      <c r="I297" s="8"/>
      <c r="J297" s="9"/>
      <c r="K297" s="10"/>
      <c r="L297" s="9"/>
      <c r="M297" s="7">
        <f t="shared" si="76"/>
        <v>0</v>
      </c>
      <c r="N297" s="41" t="s">
        <v>175</v>
      </c>
    </row>
    <row r="298" spans="1:14" ht="14.25" thickBot="1" x14ac:dyDescent="0.2">
      <c r="A298" s="3" t="s">
        <v>5</v>
      </c>
      <c r="B298" s="14">
        <f>SUM(B274:B297)</f>
        <v>21</v>
      </c>
      <c r="C298" s="14">
        <f>SUM(C274:C297)</f>
        <v>33</v>
      </c>
      <c r="D298" s="14">
        <f>SUM(D274:D297)</f>
        <v>45</v>
      </c>
      <c r="E298" s="14">
        <f>SUM(E274:E297)</f>
        <v>13</v>
      </c>
      <c r="F298" s="15">
        <f>SUM(B298:E298)</f>
        <v>112</v>
      </c>
      <c r="H298" s="3" t="s">
        <v>5</v>
      </c>
      <c r="I298" s="14">
        <f>SUM(I274:I297)</f>
        <v>70</v>
      </c>
      <c r="J298" s="14">
        <f>SUM(J274:J297)</f>
        <v>113</v>
      </c>
      <c r="K298" s="14">
        <f>SUM(K274:K297)</f>
        <v>75</v>
      </c>
      <c r="L298" s="14">
        <f>SUM(L274:L297)</f>
        <v>26</v>
      </c>
      <c r="M298" s="15">
        <f>SUM(I298:L298)</f>
        <v>284</v>
      </c>
    </row>
    <row r="299" spans="1:14" ht="14.25" thickBot="1" x14ac:dyDescent="0.2">
      <c r="A299" s="25" t="s">
        <v>6</v>
      </c>
      <c r="B299" s="26">
        <f>B273-B298</f>
        <v>11</v>
      </c>
      <c r="C299" s="26">
        <f t="shared" ref="C299:F299" si="82">C273-C298</f>
        <v>14</v>
      </c>
      <c r="D299" s="26">
        <f t="shared" si="82"/>
        <v>10</v>
      </c>
      <c r="E299" s="26">
        <f t="shared" si="82"/>
        <v>14</v>
      </c>
      <c r="F299" s="24">
        <f t="shared" si="82"/>
        <v>49</v>
      </c>
      <c r="H299" s="25" t="s">
        <v>6</v>
      </c>
      <c r="I299" s="26">
        <f>I273-I298</f>
        <v>347</v>
      </c>
      <c r="J299" s="26">
        <f t="shared" ref="J299:M299" si="83">J273-J298</f>
        <v>663</v>
      </c>
      <c r="K299" s="26">
        <f t="shared" si="83"/>
        <v>288</v>
      </c>
      <c r="L299" s="26">
        <f t="shared" si="83"/>
        <v>243</v>
      </c>
      <c r="M299" s="24">
        <f t="shared" si="83"/>
        <v>1541</v>
      </c>
    </row>
    <row r="302" spans="1:14" ht="21.75" thickBot="1" x14ac:dyDescent="0.25">
      <c r="A302" s="29" t="s">
        <v>13</v>
      </c>
      <c r="B302" s="1"/>
      <c r="C302" s="1"/>
      <c r="D302" s="1"/>
      <c r="E302" s="1"/>
      <c r="F302" s="1"/>
      <c r="H302" s="29" t="s">
        <v>14</v>
      </c>
      <c r="I302" s="1"/>
      <c r="J302" s="1"/>
      <c r="K302" s="1"/>
      <c r="L302" s="1"/>
      <c r="M302" s="1"/>
    </row>
    <row r="303" spans="1:14" ht="14.25" thickBot="1" x14ac:dyDescent="0.2">
      <c r="A303" s="2" t="s">
        <v>0</v>
      </c>
      <c r="B303" s="164" t="s">
        <v>12</v>
      </c>
      <c r="C303" s="165"/>
      <c r="D303" s="165"/>
      <c r="E303" s="165"/>
      <c r="F303" s="168"/>
      <c r="H303" s="2" t="s">
        <v>0</v>
      </c>
      <c r="I303" s="164" t="s">
        <v>12</v>
      </c>
      <c r="J303" s="165"/>
      <c r="K303" s="165"/>
      <c r="L303" s="165"/>
      <c r="M303" s="168"/>
    </row>
    <row r="304" spans="1:14" ht="14.25" thickBot="1" x14ac:dyDescent="0.2">
      <c r="A304" s="2" t="s">
        <v>1</v>
      </c>
      <c r="B304" s="3" t="s">
        <v>7</v>
      </c>
      <c r="C304" s="2" t="s">
        <v>8</v>
      </c>
      <c r="D304" s="19" t="s">
        <v>9</v>
      </c>
      <c r="E304" s="2" t="s">
        <v>11</v>
      </c>
      <c r="F304" s="2" t="s">
        <v>2</v>
      </c>
      <c r="H304" s="2" t="s">
        <v>1</v>
      </c>
      <c r="I304" s="3" t="s">
        <v>7</v>
      </c>
      <c r="J304" s="2" t="s">
        <v>8</v>
      </c>
      <c r="K304" s="19" t="s">
        <v>9</v>
      </c>
      <c r="L304" s="2" t="s">
        <v>11</v>
      </c>
      <c r="M304" s="2" t="s">
        <v>2</v>
      </c>
    </row>
    <row r="305" spans="1:15" x14ac:dyDescent="0.15">
      <c r="A305" s="27" t="s">
        <v>6</v>
      </c>
      <c r="B305" s="18">
        <f>B299</f>
        <v>11</v>
      </c>
      <c r="C305" s="20">
        <f>C299</f>
        <v>14</v>
      </c>
      <c r="D305" s="55">
        <f>D299</f>
        <v>10</v>
      </c>
      <c r="E305" s="20">
        <f>E299</f>
        <v>14</v>
      </c>
      <c r="F305" s="17">
        <f>SUM(B305:E305)</f>
        <v>49</v>
      </c>
      <c r="H305" s="27" t="s">
        <v>6</v>
      </c>
      <c r="I305" s="18">
        <f>I299</f>
        <v>347</v>
      </c>
      <c r="J305" s="20">
        <f>J299</f>
        <v>663</v>
      </c>
      <c r="K305" s="55">
        <f>K299</f>
        <v>288</v>
      </c>
      <c r="L305" s="58">
        <f>L299</f>
        <v>243</v>
      </c>
      <c r="M305" s="17">
        <f>SUM(I305:L305)</f>
        <v>1541</v>
      </c>
    </row>
    <row r="306" spans="1:15" x14ac:dyDescent="0.15">
      <c r="A306" s="6" t="s">
        <v>3</v>
      </c>
      <c r="B306" s="16">
        <v>10</v>
      </c>
      <c r="C306" s="11">
        <v>10</v>
      </c>
      <c r="D306" s="16">
        <v>5</v>
      </c>
      <c r="E306" s="4"/>
      <c r="F306" s="5">
        <f t="shared" ref="F306:F315" si="84">SUM(B306:E306)</f>
        <v>25</v>
      </c>
      <c r="G306" s="39">
        <v>44683</v>
      </c>
      <c r="H306" s="6" t="s">
        <v>3</v>
      </c>
      <c r="I306" s="16"/>
      <c r="J306" s="11"/>
      <c r="K306" s="16"/>
      <c r="L306" s="4"/>
      <c r="M306" s="5">
        <f t="shared" ref="M306:M315" si="85">SUM(I306:L306)</f>
        <v>0</v>
      </c>
    </row>
    <row r="307" spans="1:15" x14ac:dyDescent="0.15">
      <c r="A307" s="6" t="s">
        <v>3</v>
      </c>
      <c r="B307" s="16"/>
      <c r="C307" s="11">
        <v>15</v>
      </c>
      <c r="D307" s="16"/>
      <c r="E307" s="4"/>
      <c r="F307" s="5">
        <f t="shared" si="84"/>
        <v>15</v>
      </c>
      <c r="G307" s="39">
        <v>44688</v>
      </c>
      <c r="H307" s="6" t="s">
        <v>3</v>
      </c>
      <c r="I307" s="31"/>
      <c r="J307" s="32"/>
      <c r="K307" s="31"/>
      <c r="L307" s="52"/>
      <c r="M307" s="5">
        <f t="shared" si="85"/>
        <v>0</v>
      </c>
      <c r="N307" s="39"/>
    </row>
    <row r="308" spans="1:15" x14ac:dyDescent="0.15">
      <c r="A308" s="6" t="s">
        <v>3</v>
      </c>
      <c r="B308" s="16">
        <v>5</v>
      </c>
      <c r="C308" s="11"/>
      <c r="D308" s="16">
        <v>5</v>
      </c>
      <c r="E308" s="4"/>
      <c r="F308" s="5">
        <f t="shared" si="84"/>
        <v>10</v>
      </c>
      <c r="G308" s="39">
        <v>44693</v>
      </c>
      <c r="H308" s="6" t="s">
        <v>3</v>
      </c>
      <c r="I308" s="31"/>
      <c r="J308" s="32"/>
      <c r="K308" s="31"/>
      <c r="L308" s="52"/>
      <c r="M308" s="5">
        <f t="shared" si="85"/>
        <v>0</v>
      </c>
      <c r="N308" s="39"/>
    </row>
    <row r="309" spans="1:15" x14ac:dyDescent="0.15">
      <c r="A309" s="6" t="s">
        <v>3</v>
      </c>
      <c r="B309" s="16">
        <v>5</v>
      </c>
      <c r="C309" s="11">
        <v>10</v>
      </c>
      <c r="D309" s="16">
        <v>5</v>
      </c>
      <c r="E309" s="4"/>
      <c r="F309" s="5">
        <f t="shared" si="84"/>
        <v>20</v>
      </c>
      <c r="G309" s="39">
        <v>44694</v>
      </c>
      <c r="H309" s="6" t="s">
        <v>3</v>
      </c>
      <c r="I309" s="38"/>
      <c r="J309" s="32"/>
      <c r="K309" s="31"/>
      <c r="L309" s="52"/>
      <c r="M309" s="5">
        <f t="shared" si="85"/>
        <v>0</v>
      </c>
      <c r="N309" s="41"/>
    </row>
    <row r="310" spans="1:15" x14ac:dyDescent="0.15">
      <c r="A310" s="6" t="s">
        <v>3</v>
      </c>
      <c r="B310" s="16"/>
      <c r="C310" s="11">
        <v>5</v>
      </c>
      <c r="D310" s="16"/>
      <c r="E310" s="4"/>
      <c r="F310" s="5">
        <f t="shared" si="84"/>
        <v>5</v>
      </c>
      <c r="G310" s="39">
        <v>44705</v>
      </c>
      <c r="H310" s="6" t="s">
        <v>3</v>
      </c>
      <c r="I310" s="31"/>
      <c r="J310" s="32"/>
      <c r="K310" s="31"/>
      <c r="L310" s="52"/>
      <c r="M310" s="5">
        <f t="shared" si="85"/>
        <v>0</v>
      </c>
      <c r="N310" s="39"/>
    </row>
    <row r="311" spans="1:15" x14ac:dyDescent="0.15">
      <c r="A311" s="4" t="s">
        <v>211</v>
      </c>
      <c r="B311" s="8">
        <v>1</v>
      </c>
      <c r="C311" s="9"/>
      <c r="D311" s="10">
        <v>1</v>
      </c>
      <c r="E311" s="9"/>
      <c r="F311" s="5">
        <f t="shared" si="84"/>
        <v>2</v>
      </c>
      <c r="G311" s="39">
        <v>44706</v>
      </c>
      <c r="H311" s="6" t="s">
        <v>3</v>
      </c>
      <c r="I311" s="38"/>
      <c r="J311" s="32"/>
      <c r="K311" s="31"/>
      <c r="L311" s="52"/>
      <c r="M311" s="5">
        <f t="shared" si="85"/>
        <v>0</v>
      </c>
      <c r="N311" s="41"/>
    </row>
    <row r="312" spans="1:15" x14ac:dyDescent="0.15">
      <c r="A312" s="6" t="s">
        <v>3</v>
      </c>
      <c r="B312" s="31">
        <v>5</v>
      </c>
      <c r="C312" s="32"/>
      <c r="D312" s="31">
        <v>5</v>
      </c>
      <c r="E312" s="52"/>
      <c r="F312" s="5">
        <f t="shared" si="84"/>
        <v>10</v>
      </c>
      <c r="G312" s="39">
        <v>44713</v>
      </c>
      <c r="H312" s="6" t="s">
        <v>3</v>
      </c>
      <c r="I312" s="16"/>
      <c r="J312" s="11"/>
      <c r="K312" s="16"/>
      <c r="L312" s="4"/>
      <c r="M312" s="5">
        <f t="shared" si="85"/>
        <v>0</v>
      </c>
      <c r="N312" s="41"/>
    </row>
    <row r="313" spans="1:15" x14ac:dyDescent="0.15">
      <c r="A313" s="6" t="s">
        <v>3</v>
      </c>
      <c r="B313" s="10"/>
      <c r="C313" s="9"/>
      <c r="D313" s="10"/>
      <c r="E313" s="49"/>
      <c r="F313" s="5">
        <f t="shared" si="84"/>
        <v>0</v>
      </c>
      <c r="G313" s="41"/>
      <c r="H313" s="6" t="s">
        <v>3</v>
      </c>
      <c r="I313" s="31"/>
      <c r="J313" s="32"/>
      <c r="K313" s="31"/>
      <c r="L313" s="52"/>
      <c r="M313" s="5">
        <f t="shared" si="85"/>
        <v>0</v>
      </c>
    </row>
    <row r="314" spans="1:15" x14ac:dyDescent="0.15">
      <c r="A314" s="6" t="s">
        <v>3</v>
      </c>
      <c r="B314" s="31"/>
      <c r="C314" s="32"/>
      <c r="D314" s="31"/>
      <c r="E314" s="52"/>
      <c r="F314" s="5">
        <f t="shared" si="84"/>
        <v>0</v>
      </c>
      <c r="H314" s="6" t="s">
        <v>3</v>
      </c>
      <c r="I314" s="34"/>
      <c r="J314" s="35"/>
      <c r="K314" s="34"/>
      <c r="L314" s="32"/>
      <c r="M314" s="5">
        <f t="shared" si="85"/>
        <v>0</v>
      </c>
    </row>
    <row r="315" spans="1:15" ht="14.25" thickBot="1" x14ac:dyDescent="0.2">
      <c r="A315" s="6" t="s">
        <v>3</v>
      </c>
      <c r="B315" s="13"/>
      <c r="C315" s="12"/>
      <c r="D315" s="13"/>
      <c r="E315" s="50"/>
      <c r="F315" s="5">
        <f t="shared" si="84"/>
        <v>0</v>
      </c>
      <c r="H315" s="6" t="s">
        <v>3</v>
      </c>
      <c r="I315" s="34"/>
      <c r="J315" s="35"/>
      <c r="K315" s="34"/>
      <c r="L315" s="53"/>
      <c r="M315" s="5">
        <f t="shared" si="85"/>
        <v>0</v>
      </c>
    </row>
    <row r="316" spans="1:15" ht="14.25" thickBot="1" x14ac:dyDescent="0.2">
      <c r="A316" s="21" t="s">
        <v>4</v>
      </c>
      <c r="B316" s="22">
        <f>SUM(B305:B315)</f>
        <v>37</v>
      </c>
      <c r="C316" s="22">
        <f>SUM(C305:C315)</f>
        <v>54</v>
      </c>
      <c r="D316" s="23">
        <f>SUM(D305:D315)</f>
        <v>31</v>
      </c>
      <c r="E316" s="23">
        <f>SUM(E305:E315)</f>
        <v>14</v>
      </c>
      <c r="F316" s="24">
        <f>SUM(B316:E316)</f>
        <v>136</v>
      </c>
      <c r="H316" s="21" t="s">
        <v>4</v>
      </c>
      <c r="I316" s="22">
        <f>SUM(I305:I315)</f>
        <v>347</v>
      </c>
      <c r="J316" s="22">
        <f>SUM(J305:J315)</f>
        <v>663</v>
      </c>
      <c r="K316" s="23">
        <f>SUM(K305:K315)</f>
        <v>288</v>
      </c>
      <c r="L316" s="23">
        <f>SUM(L305:L315)</f>
        <v>243</v>
      </c>
      <c r="M316" s="24">
        <f>SUM(I316:L316)</f>
        <v>1541</v>
      </c>
    </row>
    <row r="317" spans="1:15" x14ac:dyDescent="0.15">
      <c r="A317" s="4" t="s">
        <v>34</v>
      </c>
      <c r="B317" s="8">
        <v>1</v>
      </c>
      <c r="C317" s="9"/>
      <c r="D317" s="10">
        <v>1</v>
      </c>
      <c r="E317" s="9"/>
      <c r="F317" s="7">
        <f>SUM(B317:E317)</f>
        <v>2</v>
      </c>
      <c r="G317" s="39">
        <v>44676</v>
      </c>
      <c r="H317" s="94" t="s">
        <v>202</v>
      </c>
      <c r="I317" s="8">
        <v>10</v>
      </c>
      <c r="J317" s="9">
        <v>10</v>
      </c>
      <c r="K317" s="10">
        <v>5</v>
      </c>
      <c r="L317" s="9"/>
      <c r="M317" s="7">
        <f>SUM(I317:L317)</f>
        <v>25</v>
      </c>
      <c r="N317" s="39">
        <v>44683</v>
      </c>
      <c r="O317" s="30"/>
    </row>
    <row r="318" spans="1:15" x14ac:dyDescent="0.15">
      <c r="A318" s="4" t="s">
        <v>34</v>
      </c>
      <c r="B318" s="8">
        <v>1</v>
      </c>
      <c r="C318" s="9"/>
      <c r="D318" s="10"/>
      <c r="E318" s="9"/>
      <c r="F318" s="7">
        <f t="shared" ref="F318" si="86">SUM(B318:E318)</f>
        <v>1</v>
      </c>
      <c r="G318" s="39">
        <v>44677</v>
      </c>
      <c r="H318" s="94" t="s">
        <v>26</v>
      </c>
      <c r="I318" s="8"/>
      <c r="J318" s="9">
        <v>15</v>
      </c>
      <c r="K318" s="10"/>
      <c r="L318" s="9"/>
      <c r="M318" s="7">
        <f t="shared" ref="M318:M338" si="87">SUM(I318:L318)</f>
        <v>15</v>
      </c>
      <c r="N318" s="39">
        <v>44688</v>
      </c>
      <c r="O318" s="30"/>
    </row>
    <row r="319" spans="1:15" x14ac:dyDescent="0.15">
      <c r="A319" s="28" t="s">
        <v>133</v>
      </c>
      <c r="B319" s="8"/>
      <c r="C319" s="9"/>
      <c r="D319" s="10"/>
      <c r="E319" s="49">
        <v>1</v>
      </c>
      <c r="F319" s="5">
        <f t="shared" ref="F319:F340" si="88">SUM(B319:E319)</f>
        <v>1</v>
      </c>
      <c r="G319" s="39">
        <v>44678</v>
      </c>
      <c r="H319" s="4" t="s">
        <v>200</v>
      </c>
      <c r="I319" s="8">
        <v>8</v>
      </c>
      <c r="J319" s="9">
        <v>4</v>
      </c>
      <c r="K319" s="10"/>
      <c r="L319" s="49"/>
      <c r="M319" s="7">
        <f t="shared" si="87"/>
        <v>12</v>
      </c>
      <c r="N319" s="39">
        <v>44691</v>
      </c>
      <c r="O319" s="30"/>
    </row>
    <row r="320" spans="1:15" x14ac:dyDescent="0.15">
      <c r="A320" s="48" t="s">
        <v>201</v>
      </c>
      <c r="B320" s="8">
        <v>6</v>
      </c>
      <c r="C320" s="9">
        <v>12</v>
      </c>
      <c r="D320" s="10"/>
      <c r="E320" s="49"/>
      <c r="F320" s="5">
        <f t="shared" si="88"/>
        <v>18</v>
      </c>
      <c r="G320" s="39">
        <v>44687</v>
      </c>
      <c r="H320" s="4" t="s">
        <v>204</v>
      </c>
      <c r="I320" s="8"/>
      <c r="J320" s="9">
        <v>5</v>
      </c>
      <c r="K320" s="10"/>
      <c r="L320" s="49"/>
      <c r="M320" s="7">
        <f t="shared" si="87"/>
        <v>5</v>
      </c>
      <c r="N320" s="39">
        <v>44693</v>
      </c>
      <c r="O320" s="30"/>
    </row>
    <row r="321" spans="1:15" x14ac:dyDescent="0.15">
      <c r="A321" s="48" t="s">
        <v>203</v>
      </c>
      <c r="B321" s="8">
        <v>2</v>
      </c>
      <c r="C321" s="9">
        <v>14</v>
      </c>
      <c r="D321" s="10"/>
      <c r="E321" s="49"/>
      <c r="F321" s="5">
        <f t="shared" si="88"/>
        <v>16</v>
      </c>
      <c r="G321" s="39">
        <v>44692</v>
      </c>
      <c r="H321" s="94" t="s">
        <v>26</v>
      </c>
      <c r="I321" s="8">
        <v>5</v>
      </c>
      <c r="J321" s="9"/>
      <c r="K321" s="10">
        <v>5</v>
      </c>
      <c r="L321" s="49"/>
      <c r="M321" s="7">
        <f t="shared" si="87"/>
        <v>10</v>
      </c>
      <c r="N321" s="39">
        <v>44693</v>
      </c>
      <c r="O321" s="30"/>
    </row>
    <row r="322" spans="1:15" x14ac:dyDescent="0.15">
      <c r="A322" s="4" t="s">
        <v>34</v>
      </c>
      <c r="B322" s="8"/>
      <c r="C322" s="9"/>
      <c r="D322" s="10">
        <v>1</v>
      </c>
      <c r="E322" s="9"/>
      <c r="F322" s="5">
        <f t="shared" si="88"/>
        <v>1</v>
      </c>
      <c r="G322" s="71">
        <v>44690</v>
      </c>
      <c r="H322" s="4" t="s">
        <v>206</v>
      </c>
      <c r="I322" s="8">
        <v>10</v>
      </c>
      <c r="J322" s="9">
        <v>15</v>
      </c>
      <c r="K322" s="10">
        <v>7</v>
      </c>
      <c r="L322" s="9">
        <v>5</v>
      </c>
      <c r="M322" s="7">
        <f t="shared" si="87"/>
        <v>37</v>
      </c>
      <c r="N322" s="39">
        <v>44697</v>
      </c>
      <c r="O322" s="30"/>
    </row>
    <row r="323" spans="1:15" x14ac:dyDescent="0.15">
      <c r="A323" s="28" t="s">
        <v>133</v>
      </c>
      <c r="B323" s="8"/>
      <c r="C323" s="9"/>
      <c r="D323" s="10">
        <v>2</v>
      </c>
      <c r="E323" s="9"/>
      <c r="F323" s="5">
        <f t="shared" ref="F323:F324" si="89">SUM(B323:E323)</f>
        <v>2</v>
      </c>
      <c r="G323" s="71">
        <v>44691</v>
      </c>
      <c r="H323" s="94" t="s">
        <v>26</v>
      </c>
      <c r="I323" s="8">
        <v>5</v>
      </c>
      <c r="J323" s="9">
        <v>10</v>
      </c>
      <c r="K323" s="10">
        <v>5</v>
      </c>
      <c r="L323" s="9"/>
      <c r="M323" s="7">
        <f t="shared" si="87"/>
        <v>20</v>
      </c>
      <c r="N323" s="39">
        <v>44694</v>
      </c>
    </row>
    <row r="324" spans="1:15" x14ac:dyDescent="0.15">
      <c r="A324" s="48" t="s">
        <v>207</v>
      </c>
      <c r="B324" s="8">
        <v>4</v>
      </c>
      <c r="C324" s="9">
        <v>12</v>
      </c>
      <c r="D324" s="10">
        <v>6</v>
      </c>
      <c r="E324" s="9"/>
      <c r="F324" s="5">
        <f t="shared" si="89"/>
        <v>22</v>
      </c>
      <c r="G324" s="39">
        <v>44697</v>
      </c>
      <c r="H324" s="4" t="s">
        <v>205</v>
      </c>
      <c r="I324" s="8">
        <v>2</v>
      </c>
      <c r="J324" s="9"/>
      <c r="K324" s="10">
        <v>4</v>
      </c>
      <c r="L324" s="9"/>
      <c r="M324" s="5">
        <f t="shared" si="87"/>
        <v>6</v>
      </c>
      <c r="N324" s="39">
        <v>44694</v>
      </c>
    </row>
    <row r="325" spans="1:15" x14ac:dyDescent="0.15">
      <c r="A325" s="4" t="s">
        <v>205</v>
      </c>
      <c r="B325" s="8">
        <v>2</v>
      </c>
      <c r="C325" s="9"/>
      <c r="D325" s="10"/>
      <c r="E325" s="9"/>
      <c r="F325" s="5">
        <f t="shared" si="88"/>
        <v>2</v>
      </c>
      <c r="G325" s="39">
        <v>44697</v>
      </c>
      <c r="H325" s="4" t="s">
        <v>205</v>
      </c>
      <c r="I325" s="8">
        <v>2</v>
      </c>
      <c r="J325" s="9"/>
      <c r="K325" s="10"/>
      <c r="L325" s="9"/>
      <c r="M325" s="5">
        <f t="shared" si="87"/>
        <v>2</v>
      </c>
      <c r="N325" s="39">
        <v>44694</v>
      </c>
    </row>
    <row r="326" spans="1:15" x14ac:dyDescent="0.15">
      <c r="A326" s="4" t="s">
        <v>208</v>
      </c>
      <c r="B326" s="8">
        <v>2</v>
      </c>
      <c r="C326" s="9"/>
      <c r="D326" s="10"/>
      <c r="E326" s="9"/>
      <c r="F326" s="5">
        <f t="shared" si="88"/>
        <v>2</v>
      </c>
      <c r="G326" s="39">
        <v>44697</v>
      </c>
      <c r="H326" s="4" t="s">
        <v>205</v>
      </c>
      <c r="I326" s="8">
        <v>4</v>
      </c>
      <c r="J326" s="9"/>
      <c r="K326" s="10"/>
      <c r="L326" s="9">
        <v>4</v>
      </c>
      <c r="M326" s="5">
        <f t="shared" si="87"/>
        <v>8</v>
      </c>
      <c r="N326" s="39">
        <v>44694</v>
      </c>
    </row>
    <row r="327" spans="1:15" x14ac:dyDescent="0.15">
      <c r="A327" s="4" t="s">
        <v>34</v>
      </c>
      <c r="B327" s="8"/>
      <c r="C327" s="9">
        <v>2</v>
      </c>
      <c r="D327" s="10"/>
      <c r="E327" s="9"/>
      <c r="F327" s="5">
        <f t="shared" si="88"/>
        <v>2</v>
      </c>
      <c r="G327" s="39">
        <v>44698</v>
      </c>
      <c r="H327" s="4" t="s">
        <v>205</v>
      </c>
      <c r="I327" s="8">
        <v>4</v>
      </c>
      <c r="J327" s="9">
        <v>2</v>
      </c>
      <c r="K327" s="10">
        <v>2</v>
      </c>
      <c r="L327" s="9"/>
      <c r="M327" s="7">
        <f t="shared" si="87"/>
        <v>8</v>
      </c>
      <c r="N327" s="39">
        <v>44699</v>
      </c>
    </row>
    <row r="328" spans="1:15" x14ac:dyDescent="0.15">
      <c r="A328" s="4" t="s">
        <v>208</v>
      </c>
      <c r="B328" s="8">
        <v>2</v>
      </c>
      <c r="C328" s="9"/>
      <c r="D328" s="10"/>
      <c r="E328" s="9">
        <v>1</v>
      </c>
      <c r="F328" s="5">
        <f t="shared" si="88"/>
        <v>3</v>
      </c>
      <c r="G328" s="39">
        <v>44700</v>
      </c>
      <c r="H328" s="94" t="s">
        <v>26</v>
      </c>
      <c r="I328" s="8"/>
      <c r="J328" s="9">
        <v>5</v>
      </c>
      <c r="K328" s="10"/>
      <c r="L328" s="9"/>
      <c r="M328" s="7">
        <f t="shared" si="87"/>
        <v>5</v>
      </c>
      <c r="N328" s="39">
        <v>44705</v>
      </c>
    </row>
    <row r="329" spans="1:15" x14ac:dyDescent="0.15">
      <c r="A329" s="4" t="s">
        <v>200</v>
      </c>
      <c r="B329" s="8"/>
      <c r="C329" s="9"/>
      <c r="D329" s="10">
        <v>2</v>
      </c>
      <c r="E329" s="9"/>
      <c r="F329" s="5">
        <f t="shared" si="88"/>
        <v>2</v>
      </c>
      <c r="G329" s="39">
        <v>44701</v>
      </c>
      <c r="H329" s="4" t="s">
        <v>200</v>
      </c>
      <c r="I329" s="8"/>
      <c r="J329" s="9">
        <v>2</v>
      </c>
      <c r="K329" s="10"/>
      <c r="L329" s="9">
        <v>4</v>
      </c>
      <c r="M329" s="7">
        <f t="shared" si="87"/>
        <v>6</v>
      </c>
      <c r="N329" s="39">
        <v>44707</v>
      </c>
    </row>
    <row r="330" spans="1:15" x14ac:dyDescent="0.15">
      <c r="A330" s="4" t="s">
        <v>39</v>
      </c>
      <c r="B330" s="8"/>
      <c r="C330" s="9">
        <v>2</v>
      </c>
      <c r="D330" s="10"/>
      <c r="E330" s="9"/>
      <c r="F330" s="5">
        <f t="shared" si="88"/>
        <v>2</v>
      </c>
      <c r="G330" s="39">
        <v>44705</v>
      </c>
      <c r="H330" s="4" t="s">
        <v>200</v>
      </c>
      <c r="I330" s="8">
        <v>12</v>
      </c>
      <c r="J330" s="9">
        <v>12</v>
      </c>
      <c r="K330" s="10">
        <v>2</v>
      </c>
      <c r="L330" s="9"/>
      <c r="M330" s="7">
        <f t="shared" si="87"/>
        <v>26</v>
      </c>
      <c r="N330" s="39">
        <v>44708</v>
      </c>
    </row>
    <row r="331" spans="1:15" x14ac:dyDescent="0.15">
      <c r="A331" s="4" t="s">
        <v>200</v>
      </c>
      <c r="B331" s="8"/>
      <c r="C331" s="9">
        <v>2</v>
      </c>
      <c r="D331" s="10"/>
      <c r="E331" s="9"/>
      <c r="F331" s="5">
        <f t="shared" si="88"/>
        <v>2</v>
      </c>
      <c r="G331" s="39">
        <v>44706</v>
      </c>
      <c r="H331" s="4" t="s">
        <v>200</v>
      </c>
      <c r="I331" s="8">
        <v>4</v>
      </c>
      <c r="J331" s="9">
        <v>6</v>
      </c>
      <c r="K331" s="10">
        <v>2</v>
      </c>
      <c r="L331" s="9"/>
      <c r="M331" s="7">
        <f t="shared" si="87"/>
        <v>12</v>
      </c>
      <c r="N331" s="39">
        <v>44711</v>
      </c>
    </row>
    <row r="332" spans="1:15" x14ac:dyDescent="0.15">
      <c r="A332" s="4" t="s">
        <v>212</v>
      </c>
      <c r="B332" s="8"/>
      <c r="C332" s="9"/>
      <c r="D332" s="10">
        <v>1</v>
      </c>
      <c r="E332" s="9"/>
      <c r="F332" s="5">
        <f t="shared" si="88"/>
        <v>1</v>
      </c>
      <c r="G332" s="39">
        <v>44708</v>
      </c>
      <c r="H332" s="4" t="s">
        <v>200</v>
      </c>
      <c r="I332" s="8">
        <v>12</v>
      </c>
      <c r="J332" s="9">
        <v>6</v>
      </c>
      <c r="K332" s="10">
        <v>12</v>
      </c>
      <c r="L332" s="9">
        <v>6</v>
      </c>
      <c r="M332" s="7">
        <f t="shared" si="87"/>
        <v>36</v>
      </c>
      <c r="N332" s="39">
        <v>44712</v>
      </c>
      <c r="O332" s="30"/>
    </row>
    <row r="333" spans="1:15" x14ac:dyDescent="0.15">
      <c r="A333" s="4" t="s">
        <v>214</v>
      </c>
      <c r="B333" s="8">
        <v>1</v>
      </c>
      <c r="C333" s="9"/>
      <c r="D333" s="10">
        <v>5</v>
      </c>
      <c r="E333" s="9">
        <v>3</v>
      </c>
      <c r="F333" s="5">
        <f t="shared" si="88"/>
        <v>9</v>
      </c>
      <c r="G333" s="39">
        <v>44718</v>
      </c>
      <c r="H333" s="4" t="s">
        <v>200</v>
      </c>
      <c r="I333" s="8">
        <v>2</v>
      </c>
      <c r="J333" s="9">
        <v>4</v>
      </c>
      <c r="K333" s="10"/>
      <c r="L333" s="9"/>
      <c r="M333" s="7">
        <f t="shared" ref="M333" si="90">SUM(I333:L333)</f>
        <v>6</v>
      </c>
      <c r="N333" s="39">
        <v>44713</v>
      </c>
      <c r="O333" s="30"/>
    </row>
    <row r="334" spans="1:15" x14ac:dyDescent="0.15">
      <c r="A334" s="4" t="s">
        <v>34</v>
      </c>
      <c r="B334" s="8"/>
      <c r="C334" s="9"/>
      <c r="D334" s="10">
        <v>1</v>
      </c>
      <c r="E334" s="9"/>
      <c r="F334" s="5">
        <f t="shared" si="88"/>
        <v>1</v>
      </c>
      <c r="G334" s="71">
        <v>44711</v>
      </c>
      <c r="H334" s="4" t="s">
        <v>215</v>
      </c>
      <c r="I334" s="8">
        <v>5</v>
      </c>
      <c r="J334" s="9"/>
      <c r="K334" s="10">
        <v>5</v>
      </c>
      <c r="L334" s="9"/>
      <c r="M334" s="7">
        <f t="shared" si="87"/>
        <v>10</v>
      </c>
      <c r="N334" s="39">
        <v>44713</v>
      </c>
    </row>
    <row r="335" spans="1:15" x14ac:dyDescent="0.15">
      <c r="A335" s="48" t="s">
        <v>213</v>
      </c>
      <c r="B335" s="8">
        <v>8</v>
      </c>
      <c r="C335" s="9">
        <v>2</v>
      </c>
      <c r="D335" s="10">
        <v>4</v>
      </c>
      <c r="E335" s="9"/>
      <c r="F335" s="7">
        <f t="shared" si="88"/>
        <v>14</v>
      </c>
      <c r="G335" s="39">
        <v>44714</v>
      </c>
      <c r="H335" s="4" t="s">
        <v>200</v>
      </c>
      <c r="I335" s="8">
        <v>8</v>
      </c>
      <c r="J335" s="9">
        <v>12</v>
      </c>
      <c r="K335" s="10">
        <v>8</v>
      </c>
      <c r="L335" s="9">
        <v>2</v>
      </c>
      <c r="M335" s="7">
        <f t="shared" si="87"/>
        <v>30</v>
      </c>
      <c r="N335" s="39">
        <v>44714</v>
      </c>
    </row>
    <row r="336" spans="1:15" x14ac:dyDescent="0.15">
      <c r="A336" s="4"/>
      <c r="B336" s="8"/>
      <c r="C336" s="9"/>
      <c r="D336" s="10"/>
      <c r="E336" s="9"/>
      <c r="F336" s="5">
        <f t="shared" si="88"/>
        <v>0</v>
      </c>
      <c r="H336" s="4" t="s">
        <v>200</v>
      </c>
      <c r="I336" s="8"/>
      <c r="J336" s="9"/>
      <c r="K336" s="10">
        <v>4</v>
      </c>
      <c r="L336" s="9"/>
      <c r="M336" s="7">
        <f t="shared" si="87"/>
        <v>4</v>
      </c>
      <c r="N336" s="39">
        <v>44715</v>
      </c>
    </row>
    <row r="337" spans="1:14" x14ac:dyDescent="0.15">
      <c r="A337" s="28"/>
      <c r="B337" s="8"/>
      <c r="C337" s="9"/>
      <c r="D337" s="10"/>
      <c r="E337" s="9"/>
      <c r="F337" s="5">
        <f t="shared" si="88"/>
        <v>0</v>
      </c>
      <c r="H337" s="94"/>
      <c r="I337" s="8"/>
      <c r="J337" s="9"/>
      <c r="K337" s="10"/>
      <c r="L337" s="12"/>
      <c r="M337" s="7">
        <f t="shared" si="87"/>
        <v>0</v>
      </c>
      <c r="N337" s="41"/>
    </row>
    <row r="338" spans="1:14" x14ac:dyDescent="0.15">
      <c r="A338" s="4"/>
      <c r="B338" s="8"/>
      <c r="C338" s="9"/>
      <c r="D338" s="10"/>
      <c r="E338" s="9"/>
      <c r="F338" s="5">
        <f t="shared" si="88"/>
        <v>0</v>
      </c>
      <c r="H338" s="4" t="s">
        <v>184</v>
      </c>
      <c r="I338" s="8"/>
      <c r="J338" s="9"/>
      <c r="K338" s="10"/>
      <c r="L338" s="9"/>
      <c r="M338" s="7">
        <f t="shared" si="87"/>
        <v>0</v>
      </c>
      <c r="N338" s="41" t="s">
        <v>185</v>
      </c>
    </row>
    <row r="339" spans="1:14" x14ac:dyDescent="0.15">
      <c r="A339" s="11"/>
      <c r="B339" s="8"/>
      <c r="C339" s="9"/>
      <c r="D339" s="10"/>
      <c r="E339" s="9"/>
      <c r="F339" s="5">
        <f t="shared" si="88"/>
        <v>0</v>
      </c>
      <c r="H339" s="94" t="s">
        <v>170</v>
      </c>
      <c r="I339" s="8"/>
      <c r="J339" s="9"/>
      <c r="K339" s="10"/>
      <c r="L339" s="12"/>
      <c r="M339" s="7">
        <f t="shared" ref="M339:M340" si="91">SUM(I339:L339)</f>
        <v>0</v>
      </c>
      <c r="N339" s="41" t="s">
        <v>172</v>
      </c>
    </row>
    <row r="340" spans="1:14" ht="14.25" thickBot="1" x14ac:dyDescent="0.2">
      <c r="A340" s="4"/>
      <c r="B340" s="8"/>
      <c r="C340" s="9"/>
      <c r="D340" s="10"/>
      <c r="E340" s="51"/>
      <c r="F340" s="5">
        <f t="shared" si="88"/>
        <v>0</v>
      </c>
      <c r="H340" s="94" t="s">
        <v>171</v>
      </c>
      <c r="I340" s="8"/>
      <c r="J340" s="9"/>
      <c r="K340" s="10"/>
      <c r="L340" s="9"/>
      <c r="M340" s="7">
        <f t="shared" si="91"/>
        <v>0</v>
      </c>
      <c r="N340" s="41" t="s">
        <v>172</v>
      </c>
    </row>
    <row r="341" spans="1:14" ht="14.25" thickBot="1" x14ac:dyDescent="0.2">
      <c r="A341" s="3" t="s">
        <v>5</v>
      </c>
      <c r="B341" s="14">
        <f>SUM(B317:B340)</f>
        <v>29</v>
      </c>
      <c r="C341" s="14">
        <f>SUM(C317:C340)</f>
        <v>46</v>
      </c>
      <c r="D341" s="14">
        <f>SUM(D317:D340)</f>
        <v>23</v>
      </c>
      <c r="E341" s="14">
        <f>SUM(E317:E340)</f>
        <v>5</v>
      </c>
      <c r="F341" s="15">
        <f>SUM(B341:E341)</f>
        <v>103</v>
      </c>
      <c r="H341" s="3" t="s">
        <v>5</v>
      </c>
      <c r="I341" s="14">
        <f>SUM(I317:I340)</f>
        <v>93</v>
      </c>
      <c r="J341" s="14">
        <f>SUM(J317:J340)</f>
        <v>108</v>
      </c>
      <c r="K341" s="14">
        <f>SUM(K317:K340)</f>
        <v>61</v>
      </c>
      <c r="L341" s="14">
        <f>SUM(L317:L340)</f>
        <v>21</v>
      </c>
      <c r="M341" s="15">
        <f>SUM(I341:L341)</f>
        <v>283</v>
      </c>
    </row>
    <row r="342" spans="1:14" ht="14.25" thickBot="1" x14ac:dyDescent="0.2">
      <c r="A342" s="25" t="s">
        <v>6</v>
      </c>
      <c r="B342" s="26">
        <f>B316-B341</f>
        <v>8</v>
      </c>
      <c r="C342" s="26">
        <f t="shared" ref="C342:F342" si="92">C316-C341</f>
        <v>8</v>
      </c>
      <c r="D342" s="26">
        <f t="shared" si="92"/>
        <v>8</v>
      </c>
      <c r="E342" s="26">
        <f t="shared" si="92"/>
        <v>9</v>
      </c>
      <c r="F342" s="24">
        <f t="shared" si="92"/>
        <v>33</v>
      </c>
      <c r="H342" s="25" t="s">
        <v>6</v>
      </c>
      <c r="I342" s="26">
        <f>I316-I341</f>
        <v>254</v>
      </c>
      <c r="J342" s="26">
        <f t="shared" ref="J342:M342" si="93">J316-J341</f>
        <v>555</v>
      </c>
      <c r="K342" s="26">
        <f t="shared" si="93"/>
        <v>227</v>
      </c>
      <c r="L342" s="26">
        <f t="shared" si="93"/>
        <v>222</v>
      </c>
      <c r="M342" s="24">
        <f t="shared" si="93"/>
        <v>1258</v>
      </c>
    </row>
    <row r="345" spans="1:14" ht="21.75" thickBot="1" x14ac:dyDescent="0.25">
      <c r="A345" s="29" t="s">
        <v>13</v>
      </c>
      <c r="B345" s="1"/>
      <c r="C345" s="1"/>
      <c r="D345" s="1"/>
      <c r="E345" s="1"/>
      <c r="F345" s="1"/>
      <c r="H345" s="29" t="s">
        <v>14</v>
      </c>
      <c r="I345" s="1"/>
      <c r="J345" s="1"/>
      <c r="K345" s="1"/>
      <c r="L345" s="1"/>
      <c r="M345" s="1"/>
    </row>
    <row r="346" spans="1:14" ht="14.25" thickBot="1" x14ac:dyDescent="0.2">
      <c r="A346" s="2" t="s">
        <v>0</v>
      </c>
      <c r="B346" s="164" t="s">
        <v>12</v>
      </c>
      <c r="C346" s="165"/>
      <c r="D346" s="165"/>
      <c r="E346" s="165"/>
      <c r="F346" s="168"/>
      <c r="H346" s="2" t="s">
        <v>0</v>
      </c>
      <c r="I346" s="164" t="s">
        <v>12</v>
      </c>
      <c r="J346" s="165"/>
      <c r="K346" s="165"/>
      <c r="L346" s="165"/>
      <c r="M346" s="168"/>
    </row>
    <row r="347" spans="1:14" ht="14.25" thickBot="1" x14ac:dyDescent="0.2">
      <c r="A347" s="2" t="s">
        <v>1</v>
      </c>
      <c r="B347" s="3" t="s">
        <v>7</v>
      </c>
      <c r="C347" s="2" t="s">
        <v>8</v>
      </c>
      <c r="D347" s="19" t="s">
        <v>9</v>
      </c>
      <c r="E347" s="2" t="s">
        <v>11</v>
      </c>
      <c r="F347" s="2" t="s">
        <v>2</v>
      </c>
      <c r="H347" s="2" t="s">
        <v>1</v>
      </c>
      <c r="I347" s="3" t="s">
        <v>7</v>
      </c>
      <c r="J347" s="2" t="s">
        <v>8</v>
      </c>
      <c r="K347" s="19" t="s">
        <v>9</v>
      </c>
      <c r="L347" s="2" t="s">
        <v>11</v>
      </c>
      <c r="M347" s="2" t="s">
        <v>2</v>
      </c>
    </row>
    <row r="348" spans="1:14" x14ac:dyDescent="0.15">
      <c r="A348" s="27" t="s">
        <v>6</v>
      </c>
      <c r="B348" s="18">
        <f>B342</f>
        <v>8</v>
      </c>
      <c r="C348" s="20">
        <f>C342</f>
        <v>8</v>
      </c>
      <c r="D348" s="55">
        <f>D342</f>
        <v>8</v>
      </c>
      <c r="E348" s="20">
        <f>E342</f>
        <v>9</v>
      </c>
      <c r="F348" s="17">
        <f>SUM(B348:E348)</f>
        <v>33</v>
      </c>
      <c r="H348" s="27" t="s">
        <v>6</v>
      </c>
      <c r="I348" s="18">
        <f>I342</f>
        <v>254</v>
      </c>
      <c r="J348" s="20">
        <f>J342</f>
        <v>555</v>
      </c>
      <c r="K348" s="55">
        <f>K342</f>
        <v>227</v>
      </c>
      <c r="L348" s="58">
        <f>L342</f>
        <v>222</v>
      </c>
      <c r="M348" s="17">
        <f>SUM(I348:L348)</f>
        <v>1258</v>
      </c>
    </row>
    <row r="349" spans="1:14" x14ac:dyDescent="0.15">
      <c r="A349" s="6" t="s">
        <v>3</v>
      </c>
      <c r="B349" s="16">
        <v>5</v>
      </c>
      <c r="C349" s="11">
        <v>10</v>
      </c>
      <c r="D349" s="16">
        <v>5</v>
      </c>
      <c r="E349" s="4">
        <v>5</v>
      </c>
      <c r="F349" s="5">
        <f t="shared" ref="F349:F358" si="94">SUM(B349:E349)</f>
        <v>25</v>
      </c>
      <c r="G349" s="39">
        <v>44725</v>
      </c>
      <c r="H349" s="6" t="s">
        <v>3</v>
      </c>
      <c r="I349" s="16"/>
      <c r="J349" s="11"/>
      <c r="K349" s="16"/>
      <c r="L349" s="4"/>
      <c r="M349" s="5">
        <f t="shared" ref="M349:M358" si="95">SUM(I349:L349)</f>
        <v>0</v>
      </c>
    </row>
    <row r="350" spans="1:14" x14ac:dyDescent="0.15">
      <c r="A350" s="6" t="s">
        <v>3</v>
      </c>
      <c r="B350" s="16">
        <v>10</v>
      </c>
      <c r="C350" s="11"/>
      <c r="D350" s="16">
        <v>5</v>
      </c>
      <c r="E350" s="4"/>
      <c r="F350" s="5">
        <f t="shared" si="94"/>
        <v>15</v>
      </c>
      <c r="G350" s="39">
        <v>44727</v>
      </c>
      <c r="H350" s="6" t="s">
        <v>3</v>
      </c>
      <c r="I350" s="31"/>
      <c r="J350" s="32"/>
      <c r="K350" s="31"/>
      <c r="L350" s="52"/>
      <c r="M350" s="5">
        <f t="shared" si="95"/>
        <v>0</v>
      </c>
      <c r="N350" s="39"/>
    </row>
    <row r="351" spans="1:14" x14ac:dyDescent="0.15">
      <c r="A351" s="6" t="s">
        <v>168</v>
      </c>
      <c r="B351" s="16">
        <v>1</v>
      </c>
      <c r="C351" s="11"/>
      <c r="D351" s="16"/>
      <c r="E351" s="4"/>
      <c r="F351" s="5">
        <f t="shared" si="94"/>
        <v>1</v>
      </c>
      <c r="G351" s="39">
        <v>44727</v>
      </c>
      <c r="H351" s="6" t="s">
        <v>187</v>
      </c>
      <c r="I351" s="31">
        <v>897</v>
      </c>
      <c r="J351" s="32">
        <v>810</v>
      </c>
      <c r="K351" s="31">
        <v>700</v>
      </c>
      <c r="L351" s="52"/>
      <c r="M351" s="5">
        <f t="shared" si="95"/>
        <v>2407</v>
      </c>
      <c r="N351" s="39" t="s">
        <v>216</v>
      </c>
    </row>
    <row r="352" spans="1:14" x14ac:dyDescent="0.15">
      <c r="A352" s="6" t="s">
        <v>3</v>
      </c>
      <c r="B352" s="16">
        <v>10</v>
      </c>
      <c r="C352" s="11"/>
      <c r="D352" s="16">
        <v>5</v>
      </c>
      <c r="E352" s="4"/>
      <c r="F352" s="5">
        <f t="shared" si="94"/>
        <v>15</v>
      </c>
      <c r="G352" s="39">
        <v>44734</v>
      </c>
      <c r="H352" s="6" t="s">
        <v>3</v>
      </c>
      <c r="I352" s="38"/>
      <c r="J352" s="32"/>
      <c r="K352" s="31"/>
      <c r="L352" s="52"/>
      <c r="M352" s="5">
        <f t="shared" si="95"/>
        <v>0</v>
      </c>
      <c r="N352" s="41" t="s">
        <v>210</v>
      </c>
    </row>
    <row r="353" spans="1:14" x14ac:dyDescent="0.15">
      <c r="A353" s="6" t="s">
        <v>45</v>
      </c>
      <c r="B353" s="16">
        <v>2</v>
      </c>
      <c r="C353" s="11"/>
      <c r="D353" s="16">
        <v>2</v>
      </c>
      <c r="E353" s="4"/>
      <c r="F353" s="5">
        <f t="shared" si="94"/>
        <v>4</v>
      </c>
      <c r="G353" s="71">
        <v>44736</v>
      </c>
      <c r="H353" s="6" t="s">
        <v>3</v>
      </c>
      <c r="I353" s="31"/>
      <c r="J353" s="32"/>
      <c r="K353" s="31"/>
      <c r="L353" s="52"/>
      <c r="M353" s="5">
        <f t="shared" si="95"/>
        <v>0</v>
      </c>
      <c r="N353" s="39"/>
    </row>
    <row r="354" spans="1:14" x14ac:dyDescent="0.15">
      <c r="A354" s="6" t="s">
        <v>3</v>
      </c>
      <c r="B354" s="16">
        <v>5</v>
      </c>
      <c r="C354" s="11">
        <v>15</v>
      </c>
      <c r="D354" s="16">
        <f>5+2</f>
        <v>7</v>
      </c>
      <c r="E354" s="4">
        <v>5</v>
      </c>
      <c r="F354" s="5">
        <f t="shared" si="94"/>
        <v>32</v>
      </c>
      <c r="G354" s="39">
        <v>44742</v>
      </c>
      <c r="H354" s="6" t="s">
        <v>83</v>
      </c>
      <c r="I354" s="38">
        <v>10</v>
      </c>
      <c r="J354" s="32"/>
      <c r="K354" s="31"/>
      <c r="L354" s="52"/>
      <c r="M354" s="5">
        <f t="shared" si="95"/>
        <v>10</v>
      </c>
      <c r="N354" s="39">
        <v>44730</v>
      </c>
    </row>
    <row r="355" spans="1:14" x14ac:dyDescent="0.15">
      <c r="A355" s="6" t="s">
        <v>238</v>
      </c>
      <c r="B355" s="31">
        <v>2</v>
      </c>
      <c r="C355" s="32"/>
      <c r="D355" s="31"/>
      <c r="E355" s="52"/>
      <c r="F355" s="5">
        <f t="shared" si="94"/>
        <v>2</v>
      </c>
      <c r="G355" s="71">
        <v>44746</v>
      </c>
      <c r="H355" s="6" t="s">
        <v>3</v>
      </c>
      <c r="I355" s="16"/>
      <c r="J355" s="11"/>
      <c r="K355" s="16"/>
      <c r="L355" s="4"/>
      <c r="M355" s="5">
        <f t="shared" si="95"/>
        <v>0</v>
      </c>
      <c r="N355" s="41"/>
    </row>
    <row r="356" spans="1:14" x14ac:dyDescent="0.15">
      <c r="A356" s="6" t="s">
        <v>3</v>
      </c>
      <c r="B356" s="10"/>
      <c r="C356" s="9"/>
      <c r="D356" s="10"/>
      <c r="E356" s="49"/>
      <c r="F356" s="5">
        <f t="shared" si="94"/>
        <v>0</v>
      </c>
      <c r="H356" s="6" t="s">
        <v>3</v>
      </c>
      <c r="I356" s="31"/>
      <c r="J356" s="32"/>
      <c r="K356" s="31"/>
      <c r="L356" s="52"/>
      <c r="M356" s="5">
        <f t="shared" si="95"/>
        <v>0</v>
      </c>
    </row>
    <row r="357" spans="1:14" x14ac:dyDescent="0.15">
      <c r="A357" s="6" t="s">
        <v>3</v>
      </c>
      <c r="B357" s="31"/>
      <c r="C357" s="32"/>
      <c r="D357" s="31"/>
      <c r="E357" s="52"/>
      <c r="F357" s="5">
        <f t="shared" si="94"/>
        <v>0</v>
      </c>
      <c r="H357" s="6" t="s">
        <v>3</v>
      </c>
      <c r="I357" s="34"/>
      <c r="J357" s="35"/>
      <c r="K357" s="34"/>
      <c r="L357" s="32"/>
      <c r="M357" s="5">
        <f t="shared" si="95"/>
        <v>0</v>
      </c>
    </row>
    <row r="358" spans="1:14" ht="14.25" thickBot="1" x14ac:dyDescent="0.2">
      <c r="A358" s="6" t="s">
        <v>3</v>
      </c>
      <c r="B358" s="13"/>
      <c r="C358" s="12"/>
      <c r="D358" s="13"/>
      <c r="E358" s="50"/>
      <c r="F358" s="5">
        <f t="shared" si="94"/>
        <v>0</v>
      </c>
      <c r="H358" s="6" t="s">
        <v>3</v>
      </c>
      <c r="I358" s="34"/>
      <c r="J358" s="35"/>
      <c r="K358" s="34"/>
      <c r="L358" s="53"/>
      <c r="M358" s="5">
        <f t="shared" si="95"/>
        <v>0</v>
      </c>
    </row>
    <row r="359" spans="1:14" ht="14.25" thickBot="1" x14ac:dyDescent="0.2">
      <c r="A359" s="21" t="s">
        <v>4</v>
      </c>
      <c r="B359" s="22">
        <f>SUM(B348:B358)</f>
        <v>43</v>
      </c>
      <c r="C359" s="22">
        <f>SUM(C348:C358)</f>
        <v>33</v>
      </c>
      <c r="D359" s="23">
        <f>SUM(D348:D358)</f>
        <v>32</v>
      </c>
      <c r="E359" s="23">
        <f>SUM(E348:E358)</f>
        <v>19</v>
      </c>
      <c r="F359" s="24">
        <f>SUM(B359:E359)</f>
        <v>127</v>
      </c>
      <c r="H359" s="21" t="s">
        <v>4</v>
      </c>
      <c r="I359" s="22">
        <f>SUM(I348:I358)</f>
        <v>1161</v>
      </c>
      <c r="J359" s="22">
        <f>SUM(J348:J358)</f>
        <v>1365</v>
      </c>
      <c r="K359" s="23">
        <f>SUM(K348:K358)</f>
        <v>927</v>
      </c>
      <c r="L359" s="23">
        <f>SUM(L348:L358)</f>
        <v>222</v>
      </c>
      <c r="M359" s="24">
        <f>SUM(I359:L359)</f>
        <v>3675</v>
      </c>
    </row>
    <row r="360" spans="1:14" x14ac:dyDescent="0.15">
      <c r="A360" s="4" t="s">
        <v>200</v>
      </c>
      <c r="B360" s="8"/>
      <c r="C360" s="9"/>
      <c r="D360" s="10"/>
      <c r="E360" s="49">
        <v>2</v>
      </c>
      <c r="F360" s="5">
        <f>SUM(B360:E360)</f>
        <v>2</v>
      </c>
      <c r="G360" s="39">
        <v>44720</v>
      </c>
      <c r="H360" s="4" t="s">
        <v>209</v>
      </c>
      <c r="I360" s="80">
        <v>720</v>
      </c>
      <c r="J360" s="49">
        <v>740</v>
      </c>
      <c r="K360" s="78">
        <v>540</v>
      </c>
      <c r="L360" s="9"/>
      <c r="M360" s="7">
        <f>SUM(I360:L360)</f>
        <v>2000</v>
      </c>
      <c r="N360" s="39">
        <v>44720</v>
      </c>
    </row>
    <row r="361" spans="1:14" x14ac:dyDescent="0.15">
      <c r="A361" s="4" t="s">
        <v>200</v>
      </c>
      <c r="B361" s="8"/>
      <c r="C361" s="9">
        <v>2</v>
      </c>
      <c r="D361" s="10"/>
      <c r="E361" s="49"/>
      <c r="F361" s="5">
        <f t="shared" ref="F361:F383" si="96">SUM(B361:E361)</f>
        <v>2</v>
      </c>
      <c r="G361" s="39">
        <v>44721</v>
      </c>
      <c r="H361" s="4" t="s">
        <v>214</v>
      </c>
      <c r="I361" s="8">
        <v>4</v>
      </c>
      <c r="J361" s="9">
        <v>1</v>
      </c>
      <c r="K361" s="10">
        <v>2</v>
      </c>
      <c r="L361" s="9">
        <v>2</v>
      </c>
      <c r="M361" s="7">
        <f t="shared" ref="M361:M381" si="97">SUM(I361:L361)</f>
        <v>9</v>
      </c>
      <c r="N361" s="39">
        <v>44719</v>
      </c>
    </row>
    <row r="362" spans="1:14" x14ac:dyDescent="0.15">
      <c r="A362" s="4" t="s">
        <v>200</v>
      </c>
      <c r="B362" s="8"/>
      <c r="C362" s="9"/>
      <c r="D362" s="10">
        <v>2</v>
      </c>
      <c r="E362" s="49"/>
      <c r="F362" s="5">
        <f t="shared" si="96"/>
        <v>2</v>
      </c>
      <c r="G362" s="39">
        <v>44722</v>
      </c>
      <c r="H362" s="4" t="s">
        <v>200</v>
      </c>
      <c r="I362" s="8">
        <v>6</v>
      </c>
      <c r="J362" s="9">
        <v>2</v>
      </c>
      <c r="K362" s="10">
        <v>4</v>
      </c>
      <c r="L362" s="49"/>
      <c r="M362" s="7">
        <f t="shared" si="97"/>
        <v>12</v>
      </c>
      <c r="N362" s="39">
        <v>44718</v>
      </c>
    </row>
    <row r="363" spans="1:14" x14ac:dyDescent="0.15">
      <c r="A363" s="4" t="s">
        <v>39</v>
      </c>
      <c r="B363" s="8">
        <v>1</v>
      </c>
      <c r="C363" s="9">
        <v>2</v>
      </c>
      <c r="D363" s="10"/>
      <c r="E363" s="49">
        <v>1</v>
      </c>
      <c r="F363" s="5">
        <f t="shared" si="96"/>
        <v>4</v>
      </c>
      <c r="G363" s="39">
        <v>44722</v>
      </c>
      <c r="H363" s="4" t="s">
        <v>200</v>
      </c>
      <c r="I363" s="8">
        <v>6</v>
      </c>
      <c r="J363" s="9">
        <v>4</v>
      </c>
      <c r="K363" s="10">
        <v>2</v>
      </c>
      <c r="L363" s="49">
        <v>2</v>
      </c>
      <c r="M363" s="7">
        <f t="shared" si="97"/>
        <v>14</v>
      </c>
      <c r="N363" s="39">
        <v>44719</v>
      </c>
    </row>
    <row r="364" spans="1:14" x14ac:dyDescent="0.15">
      <c r="A364" s="48" t="s">
        <v>220</v>
      </c>
      <c r="B364" s="8">
        <v>8</v>
      </c>
      <c r="C364" s="9"/>
      <c r="D364" s="10">
        <v>4</v>
      </c>
      <c r="E364" s="49"/>
      <c r="F364" s="5">
        <f t="shared" si="96"/>
        <v>12</v>
      </c>
      <c r="G364" s="39">
        <v>44727</v>
      </c>
      <c r="H364" s="4" t="s">
        <v>200</v>
      </c>
      <c r="I364" s="8">
        <v>2</v>
      </c>
      <c r="J364" s="9">
        <v>2</v>
      </c>
      <c r="K364" s="10"/>
      <c r="L364" s="49"/>
      <c r="M364" s="7">
        <f t="shared" si="97"/>
        <v>4</v>
      </c>
      <c r="N364" s="39">
        <v>44725</v>
      </c>
    </row>
    <row r="365" spans="1:14" x14ac:dyDescent="0.15">
      <c r="A365" s="28" t="s">
        <v>221</v>
      </c>
      <c r="B365" s="8"/>
      <c r="C365" s="9"/>
      <c r="D365" s="10"/>
      <c r="E365" s="9">
        <v>2</v>
      </c>
      <c r="F365" s="5">
        <f t="shared" si="96"/>
        <v>2</v>
      </c>
      <c r="G365" s="71">
        <v>44725</v>
      </c>
      <c r="H365" s="28" t="s">
        <v>219</v>
      </c>
      <c r="I365" s="8">
        <v>5</v>
      </c>
      <c r="J365" s="9">
        <v>10</v>
      </c>
      <c r="K365" s="10">
        <v>5</v>
      </c>
      <c r="L365" s="9">
        <v>5</v>
      </c>
      <c r="M365" s="7">
        <f t="shared" si="97"/>
        <v>25</v>
      </c>
      <c r="N365" s="39">
        <v>44725</v>
      </c>
    </row>
    <row r="366" spans="1:14" x14ac:dyDescent="0.15">
      <c r="A366" s="4" t="s">
        <v>200</v>
      </c>
      <c r="B366" s="8">
        <v>2</v>
      </c>
      <c r="C366" s="9">
        <v>2</v>
      </c>
      <c r="D366" s="10"/>
      <c r="E366" s="9"/>
      <c r="F366" s="5">
        <f t="shared" si="96"/>
        <v>4</v>
      </c>
      <c r="G366" s="39">
        <v>44727</v>
      </c>
      <c r="H366" s="28" t="s">
        <v>26</v>
      </c>
      <c r="I366" s="8">
        <v>10</v>
      </c>
      <c r="J366" s="9"/>
      <c r="K366" s="10">
        <v>5</v>
      </c>
      <c r="L366" s="9"/>
      <c r="M366" s="7">
        <f t="shared" si="97"/>
        <v>15</v>
      </c>
      <c r="N366" s="39">
        <v>44727</v>
      </c>
    </row>
    <row r="367" spans="1:14" x14ac:dyDescent="0.15">
      <c r="A367" s="4" t="s">
        <v>222</v>
      </c>
      <c r="B367" s="8">
        <v>3</v>
      </c>
      <c r="C367" s="9">
        <v>5</v>
      </c>
      <c r="D367" s="10">
        <v>3</v>
      </c>
      <c r="E367" s="9"/>
      <c r="F367" s="5">
        <f t="shared" si="96"/>
        <v>11</v>
      </c>
      <c r="G367" s="39">
        <v>44729</v>
      </c>
      <c r="H367" s="4" t="s">
        <v>223</v>
      </c>
      <c r="I367" s="8">
        <v>10</v>
      </c>
      <c r="J367" s="9">
        <v>8</v>
      </c>
      <c r="K367" s="10">
        <v>8</v>
      </c>
      <c r="L367" s="9"/>
      <c r="M367" s="7">
        <f t="shared" si="97"/>
        <v>26</v>
      </c>
      <c r="N367" s="39">
        <v>44727</v>
      </c>
    </row>
    <row r="368" spans="1:14" x14ac:dyDescent="0.15">
      <c r="A368" s="4" t="s">
        <v>225</v>
      </c>
      <c r="B368" s="8">
        <v>10</v>
      </c>
      <c r="C368" s="9"/>
      <c r="D368" s="10"/>
      <c r="E368" s="9"/>
      <c r="F368" s="5">
        <f t="shared" si="96"/>
        <v>10</v>
      </c>
      <c r="G368" s="71">
        <v>44730</v>
      </c>
      <c r="H368" s="4" t="s">
        <v>200</v>
      </c>
      <c r="I368" s="8"/>
      <c r="J368" s="9">
        <v>2</v>
      </c>
      <c r="K368" s="10"/>
      <c r="L368" s="9"/>
      <c r="M368" s="7">
        <f t="shared" si="97"/>
        <v>2</v>
      </c>
      <c r="N368" s="39">
        <v>44728</v>
      </c>
    </row>
    <row r="369" spans="1:15" x14ac:dyDescent="0.15">
      <c r="A369" s="4" t="s">
        <v>229</v>
      </c>
      <c r="B369" s="8"/>
      <c r="C369" s="9"/>
      <c r="D369" s="10">
        <v>5</v>
      </c>
      <c r="E369" s="9"/>
      <c r="F369" s="5">
        <f t="shared" si="96"/>
        <v>5</v>
      </c>
      <c r="G369" s="39">
        <v>44736</v>
      </c>
      <c r="H369" s="4" t="s">
        <v>200</v>
      </c>
      <c r="I369" s="8">
        <v>2</v>
      </c>
      <c r="J369" s="9"/>
      <c r="K369" s="10">
        <v>2</v>
      </c>
      <c r="L369" s="9"/>
      <c r="M369" s="7">
        <f t="shared" si="97"/>
        <v>4</v>
      </c>
      <c r="N369" s="39">
        <v>44729</v>
      </c>
    </row>
    <row r="370" spans="1:15" x14ac:dyDescent="0.15">
      <c r="A370" s="28" t="s">
        <v>34</v>
      </c>
      <c r="B370" s="8"/>
      <c r="C370" s="9">
        <v>1</v>
      </c>
      <c r="D370" s="10"/>
      <c r="E370" s="9"/>
      <c r="F370" s="5">
        <f t="shared" si="96"/>
        <v>1</v>
      </c>
      <c r="G370" s="71">
        <v>44733</v>
      </c>
      <c r="H370" s="4" t="s">
        <v>200</v>
      </c>
      <c r="I370" s="8"/>
      <c r="J370" s="9">
        <v>4</v>
      </c>
      <c r="K370" s="10"/>
      <c r="L370" s="9"/>
      <c r="M370" s="7">
        <f t="shared" si="97"/>
        <v>4</v>
      </c>
      <c r="N370" s="39">
        <v>44732</v>
      </c>
    </row>
    <row r="371" spans="1:15" x14ac:dyDescent="0.15">
      <c r="A371" s="4" t="s">
        <v>232</v>
      </c>
      <c r="B371" s="8"/>
      <c r="C371" s="9">
        <v>2</v>
      </c>
      <c r="D371" s="10"/>
      <c r="E371" s="9"/>
      <c r="F371" s="5">
        <f t="shared" si="96"/>
        <v>2</v>
      </c>
      <c r="G371" s="39">
        <v>44736</v>
      </c>
      <c r="H371" s="4" t="s">
        <v>224</v>
      </c>
      <c r="I371" s="8"/>
      <c r="J371" s="9">
        <v>4</v>
      </c>
      <c r="K371" s="10"/>
      <c r="L371" s="9">
        <v>10</v>
      </c>
      <c r="M371" s="7">
        <f t="shared" si="97"/>
        <v>14</v>
      </c>
      <c r="N371" s="39">
        <v>44732</v>
      </c>
    </row>
    <row r="372" spans="1:15" x14ac:dyDescent="0.15">
      <c r="A372" s="4" t="s">
        <v>39</v>
      </c>
      <c r="B372" s="8">
        <v>2</v>
      </c>
      <c r="C372" s="9">
        <v>1</v>
      </c>
      <c r="D372" s="10"/>
      <c r="E372" s="9"/>
      <c r="F372" s="5">
        <f t="shared" si="96"/>
        <v>3</v>
      </c>
      <c r="G372" s="39">
        <v>44737</v>
      </c>
      <c r="H372" s="4" t="s">
        <v>200</v>
      </c>
      <c r="I372" s="8"/>
      <c r="J372" s="9">
        <v>2</v>
      </c>
      <c r="K372" s="10"/>
      <c r="L372" s="9">
        <v>2</v>
      </c>
      <c r="M372" s="7">
        <f t="shared" si="97"/>
        <v>4</v>
      </c>
      <c r="N372" s="39">
        <v>44733</v>
      </c>
    </row>
    <row r="373" spans="1:15" x14ac:dyDescent="0.15">
      <c r="A373" s="28" t="s">
        <v>34</v>
      </c>
      <c r="B373" s="8"/>
      <c r="C373" s="9"/>
      <c r="D373" s="10">
        <v>1</v>
      </c>
      <c r="E373" s="9"/>
      <c r="F373" s="5">
        <f t="shared" si="96"/>
        <v>1</v>
      </c>
      <c r="G373" s="71">
        <v>44739</v>
      </c>
      <c r="H373" s="28" t="s">
        <v>26</v>
      </c>
      <c r="I373" s="8">
        <v>10</v>
      </c>
      <c r="J373" s="9"/>
      <c r="K373" s="10">
        <v>5</v>
      </c>
      <c r="L373" s="9"/>
      <c r="M373" s="7">
        <f t="shared" si="97"/>
        <v>15</v>
      </c>
      <c r="N373" s="39">
        <v>44734</v>
      </c>
    </row>
    <row r="374" spans="1:15" x14ac:dyDescent="0.15">
      <c r="A374" s="4" t="s">
        <v>39</v>
      </c>
      <c r="B374" s="8"/>
      <c r="C374" s="9">
        <v>1</v>
      </c>
      <c r="D374" s="10"/>
      <c r="E374" s="9">
        <v>1</v>
      </c>
      <c r="F374" s="5">
        <f t="shared" si="96"/>
        <v>2</v>
      </c>
      <c r="G374" s="39">
        <v>44741</v>
      </c>
      <c r="H374" s="4" t="s">
        <v>230</v>
      </c>
      <c r="I374" s="8"/>
      <c r="J374" s="9">
        <v>18</v>
      </c>
      <c r="K374" s="10"/>
      <c r="L374" s="9"/>
      <c r="M374" s="7">
        <f t="shared" si="97"/>
        <v>18</v>
      </c>
      <c r="N374" s="39">
        <v>44736</v>
      </c>
    </row>
    <row r="375" spans="1:15" x14ac:dyDescent="0.15">
      <c r="A375" s="48" t="s">
        <v>236</v>
      </c>
      <c r="B375" s="8"/>
      <c r="C375" s="9">
        <v>2</v>
      </c>
      <c r="D375" s="10"/>
      <c r="E375" s="9"/>
      <c r="F375" s="5">
        <f t="shared" si="96"/>
        <v>2</v>
      </c>
      <c r="G375" s="39">
        <v>44744</v>
      </c>
      <c r="H375" s="4" t="s">
        <v>200</v>
      </c>
      <c r="I375" s="8">
        <v>2</v>
      </c>
      <c r="J375" s="9">
        <v>2</v>
      </c>
      <c r="K375" s="10"/>
      <c r="L375" s="9"/>
      <c r="M375" s="7">
        <f t="shared" si="97"/>
        <v>4</v>
      </c>
      <c r="N375" s="39">
        <v>44734</v>
      </c>
    </row>
    <row r="376" spans="1:15" x14ac:dyDescent="0.15">
      <c r="A376" s="4" t="s">
        <v>39</v>
      </c>
      <c r="B376" s="8"/>
      <c r="C376" s="9">
        <v>2</v>
      </c>
      <c r="D376" s="10"/>
      <c r="E376" s="9"/>
      <c r="F376" s="5">
        <f t="shared" si="96"/>
        <v>2</v>
      </c>
      <c r="G376" s="39">
        <v>44747</v>
      </c>
      <c r="H376" s="4" t="s">
        <v>231</v>
      </c>
      <c r="I376" s="8"/>
      <c r="J376" s="9">
        <v>4</v>
      </c>
      <c r="K376" s="10"/>
      <c r="L376" s="9"/>
      <c r="M376" s="7">
        <f t="shared" si="97"/>
        <v>4</v>
      </c>
      <c r="N376" s="39">
        <v>44734</v>
      </c>
    </row>
    <row r="377" spans="1:15" x14ac:dyDescent="0.15">
      <c r="A377" s="4" t="s">
        <v>200</v>
      </c>
      <c r="B377" s="8"/>
      <c r="C377" s="9"/>
      <c r="D377" s="10">
        <v>2</v>
      </c>
      <c r="E377" s="9"/>
      <c r="F377" s="5">
        <f t="shared" si="96"/>
        <v>2</v>
      </c>
      <c r="G377" s="39">
        <v>44748</v>
      </c>
      <c r="H377" s="4" t="s">
        <v>235</v>
      </c>
      <c r="I377" s="8">
        <v>15</v>
      </c>
      <c r="J377" s="9"/>
      <c r="K377" s="10"/>
      <c r="L377" s="9">
        <v>10</v>
      </c>
      <c r="M377" s="7">
        <f t="shared" si="97"/>
        <v>25</v>
      </c>
      <c r="N377" s="39">
        <v>44747</v>
      </c>
    </row>
    <row r="378" spans="1:15" x14ac:dyDescent="0.15">
      <c r="A378" s="28" t="s">
        <v>34</v>
      </c>
      <c r="B378" s="8">
        <f>1+1</f>
        <v>2</v>
      </c>
      <c r="C378" s="9"/>
      <c r="D378" s="10"/>
      <c r="E378" s="9"/>
      <c r="F378" s="5">
        <f t="shared" si="96"/>
        <v>2</v>
      </c>
      <c r="G378" s="71">
        <v>44747</v>
      </c>
      <c r="H378" s="28" t="s">
        <v>26</v>
      </c>
      <c r="I378" s="8">
        <v>5</v>
      </c>
      <c r="J378" s="9">
        <v>10</v>
      </c>
      <c r="K378" s="10">
        <v>5</v>
      </c>
      <c r="L378" s="9">
        <v>5</v>
      </c>
      <c r="M378" s="7">
        <f t="shared" si="97"/>
        <v>25</v>
      </c>
      <c r="N378" s="39">
        <v>44742</v>
      </c>
    </row>
    <row r="379" spans="1:15" x14ac:dyDescent="0.15">
      <c r="A379" s="4" t="s">
        <v>39</v>
      </c>
      <c r="B379" s="8">
        <v>2</v>
      </c>
      <c r="C379" s="9"/>
      <c r="D379" s="10"/>
      <c r="E379" s="9"/>
      <c r="F379" s="5">
        <f t="shared" si="96"/>
        <v>2</v>
      </c>
      <c r="G379" s="39">
        <v>44751</v>
      </c>
      <c r="H379" s="4" t="s">
        <v>237</v>
      </c>
      <c r="I379" s="8"/>
      <c r="J379" s="9">
        <v>3</v>
      </c>
      <c r="K379" s="10"/>
      <c r="L379" s="9"/>
      <c r="M379" s="7">
        <f t="shared" si="97"/>
        <v>3</v>
      </c>
      <c r="N379" s="39">
        <v>44753</v>
      </c>
      <c r="O379" s="30"/>
    </row>
    <row r="380" spans="1:15" x14ac:dyDescent="0.15">
      <c r="A380" s="28" t="s">
        <v>34</v>
      </c>
      <c r="B380" s="8">
        <v>1</v>
      </c>
      <c r="C380" s="9"/>
      <c r="D380" s="10">
        <v>1</v>
      </c>
      <c r="E380" s="9"/>
      <c r="F380" s="5">
        <f t="shared" si="96"/>
        <v>2</v>
      </c>
      <c r="G380" s="39">
        <v>44754</v>
      </c>
      <c r="H380" s="4" t="s">
        <v>242</v>
      </c>
      <c r="I380" s="8">
        <v>5</v>
      </c>
      <c r="J380" s="9">
        <v>20</v>
      </c>
      <c r="K380" s="10"/>
      <c r="L380" s="12"/>
      <c r="M380" s="7">
        <f t="shared" si="97"/>
        <v>25</v>
      </c>
      <c r="N380" s="39">
        <v>44761</v>
      </c>
      <c r="O380" s="30"/>
    </row>
    <row r="381" spans="1:15" x14ac:dyDescent="0.15">
      <c r="A381" s="4" t="s">
        <v>200</v>
      </c>
      <c r="B381" s="8">
        <v>2</v>
      </c>
      <c r="C381" s="9"/>
      <c r="D381" s="10"/>
      <c r="E381" s="9"/>
      <c r="F381" s="5">
        <f t="shared" si="96"/>
        <v>2</v>
      </c>
      <c r="G381" s="39">
        <v>44757</v>
      </c>
      <c r="H381" s="4"/>
      <c r="I381" s="8"/>
      <c r="J381" s="9"/>
      <c r="K381" s="10"/>
      <c r="L381" s="9"/>
      <c r="M381" s="7">
        <f t="shared" si="97"/>
        <v>0</v>
      </c>
      <c r="N381" s="39"/>
    </row>
    <row r="382" spans="1:15" x14ac:dyDescent="0.15">
      <c r="A382" s="4" t="s">
        <v>39</v>
      </c>
      <c r="B382" s="8"/>
      <c r="C382" s="9">
        <v>1</v>
      </c>
      <c r="D382" s="10"/>
      <c r="E382" s="9"/>
      <c r="F382" s="5">
        <f t="shared" si="96"/>
        <v>1</v>
      </c>
      <c r="G382" s="39">
        <v>44758</v>
      </c>
      <c r="H382" s="101" t="s">
        <v>193</v>
      </c>
      <c r="I382" s="102"/>
      <c r="J382" s="103"/>
      <c r="K382" s="104"/>
      <c r="L382" s="103"/>
      <c r="M382" s="105">
        <f t="shared" ref="M382:M383" si="98">SUM(I382:L382)</f>
        <v>0</v>
      </c>
      <c r="N382" s="106"/>
    </row>
    <row r="383" spans="1:15" ht="14.25" thickBot="1" x14ac:dyDescent="0.2">
      <c r="A383" s="48" t="s">
        <v>243</v>
      </c>
      <c r="B383" s="8"/>
      <c r="C383" s="9">
        <v>2</v>
      </c>
      <c r="D383" s="10"/>
      <c r="E383" s="51"/>
      <c r="F383" s="5">
        <f t="shared" si="96"/>
        <v>2</v>
      </c>
      <c r="G383" s="39">
        <v>44763</v>
      </c>
      <c r="H383" s="4" t="s">
        <v>191</v>
      </c>
      <c r="I383" s="8"/>
      <c r="J383" s="9"/>
      <c r="K383" s="10"/>
      <c r="L383" s="12"/>
      <c r="M383" s="7">
        <f t="shared" si="98"/>
        <v>0</v>
      </c>
      <c r="N383" s="41" t="s">
        <v>192</v>
      </c>
    </row>
    <row r="384" spans="1:15" ht="14.25" thickBot="1" x14ac:dyDescent="0.2">
      <c r="A384" s="3" t="s">
        <v>5</v>
      </c>
      <c r="B384" s="14">
        <f>SUM(B360:B383)</f>
        <v>33</v>
      </c>
      <c r="C384" s="14">
        <f>SUM(C360:C383)</f>
        <v>23</v>
      </c>
      <c r="D384" s="14">
        <f>SUM(D360:D383)</f>
        <v>18</v>
      </c>
      <c r="E384" s="14">
        <f>SUM(E360:E383)</f>
        <v>6</v>
      </c>
      <c r="F384" s="15">
        <f>SUM(B384:E384)</f>
        <v>80</v>
      </c>
      <c r="H384" s="3" t="s">
        <v>5</v>
      </c>
      <c r="I384" s="14">
        <f>SUM(I360:I383)</f>
        <v>802</v>
      </c>
      <c r="J384" s="14">
        <f>SUM(J360:J383)</f>
        <v>836</v>
      </c>
      <c r="K384" s="14">
        <f>SUM(K360:K383)</f>
        <v>578</v>
      </c>
      <c r="L384" s="14">
        <f>SUM(L360:L383)</f>
        <v>36</v>
      </c>
      <c r="M384" s="15">
        <f>SUM(I384:L384)</f>
        <v>2252</v>
      </c>
    </row>
    <row r="385" spans="1:14" ht="14.25" thickBot="1" x14ac:dyDescent="0.2">
      <c r="A385" s="25" t="s">
        <v>6</v>
      </c>
      <c r="B385" s="26">
        <f>B359-B384</f>
        <v>10</v>
      </c>
      <c r="C385" s="26">
        <f t="shared" ref="C385:F385" si="99">C359-C384</f>
        <v>10</v>
      </c>
      <c r="D385" s="26">
        <f t="shared" si="99"/>
        <v>14</v>
      </c>
      <c r="E385" s="26">
        <f t="shared" si="99"/>
        <v>13</v>
      </c>
      <c r="F385" s="24">
        <f t="shared" si="99"/>
        <v>47</v>
      </c>
      <c r="H385" s="25" t="s">
        <v>6</v>
      </c>
      <c r="I385" s="26">
        <f>I359-I384</f>
        <v>359</v>
      </c>
      <c r="J385" s="26">
        <f t="shared" ref="J385:M385" si="100">J359-J384</f>
        <v>529</v>
      </c>
      <c r="K385" s="26">
        <f t="shared" si="100"/>
        <v>349</v>
      </c>
      <c r="L385" s="26">
        <f t="shared" si="100"/>
        <v>186</v>
      </c>
      <c r="M385" s="24">
        <f t="shared" si="100"/>
        <v>1423</v>
      </c>
    </row>
    <row r="386" spans="1:14" x14ac:dyDescent="0.15">
      <c r="I386">
        <f>I384+I341+I298+I255+I212+I169+I126+I85</f>
        <v>2272</v>
      </c>
      <c r="J386">
        <f t="shared" ref="J386:M386" si="101">J384+J341+J298+J255+J212+J169+J126+J85</f>
        <v>2590</v>
      </c>
      <c r="K386">
        <f t="shared" si="101"/>
        <v>1664</v>
      </c>
      <c r="L386">
        <f t="shared" si="101"/>
        <v>484</v>
      </c>
      <c r="M386">
        <f t="shared" si="101"/>
        <v>7010</v>
      </c>
    </row>
    <row r="387" spans="1:14" x14ac:dyDescent="0.15">
      <c r="I387" s="100">
        <f>I386/$M$386*100</f>
        <v>32.410841654778885</v>
      </c>
      <c r="J387" s="100">
        <f t="shared" ref="J387:M387" si="102">J386/$M$386*100</f>
        <v>36.947218259629096</v>
      </c>
      <c r="K387" s="100">
        <f t="shared" si="102"/>
        <v>23.737517831669045</v>
      </c>
      <c r="L387" s="100">
        <f t="shared" si="102"/>
        <v>6.9044222539229674</v>
      </c>
      <c r="M387" s="100">
        <f t="shared" si="102"/>
        <v>100</v>
      </c>
    </row>
    <row r="388" spans="1:14" ht="21.75" thickBot="1" x14ac:dyDescent="0.25">
      <c r="A388" s="29" t="s">
        <v>13</v>
      </c>
      <c r="B388" s="1"/>
      <c r="C388" s="1"/>
      <c r="D388" s="1"/>
      <c r="E388" s="1"/>
      <c r="F388" s="1"/>
      <c r="H388" s="29" t="s">
        <v>14</v>
      </c>
      <c r="I388" s="1"/>
      <c r="J388" s="1"/>
      <c r="K388" s="1"/>
      <c r="L388" s="1"/>
      <c r="M388" s="1"/>
    </row>
    <row r="389" spans="1:14" ht="14.25" thickBot="1" x14ac:dyDescent="0.2">
      <c r="A389" s="2" t="s">
        <v>0</v>
      </c>
      <c r="B389" s="164" t="s">
        <v>12</v>
      </c>
      <c r="C389" s="165"/>
      <c r="D389" s="165"/>
      <c r="E389" s="165"/>
      <c r="F389" s="168"/>
      <c r="H389" s="2" t="s">
        <v>0</v>
      </c>
      <c r="I389" s="164" t="s">
        <v>12</v>
      </c>
      <c r="J389" s="165"/>
      <c r="K389" s="165"/>
      <c r="L389" s="165"/>
      <c r="M389" s="168"/>
    </row>
    <row r="390" spans="1:14" ht="14.25" thickBot="1" x14ac:dyDescent="0.2">
      <c r="A390" s="2" t="s">
        <v>1</v>
      </c>
      <c r="B390" s="3" t="s">
        <v>7</v>
      </c>
      <c r="C390" s="2" t="s">
        <v>8</v>
      </c>
      <c r="D390" s="19" t="s">
        <v>9</v>
      </c>
      <c r="E390" s="2" t="s">
        <v>11</v>
      </c>
      <c r="F390" s="2" t="s">
        <v>2</v>
      </c>
      <c r="H390" s="2" t="s">
        <v>1</v>
      </c>
      <c r="I390" s="3" t="s">
        <v>7</v>
      </c>
      <c r="J390" s="2" t="s">
        <v>8</v>
      </c>
      <c r="K390" s="19" t="s">
        <v>9</v>
      </c>
      <c r="L390" s="2" t="s">
        <v>11</v>
      </c>
      <c r="M390" s="2" t="s">
        <v>2</v>
      </c>
    </row>
    <row r="391" spans="1:14" x14ac:dyDescent="0.15">
      <c r="A391" s="27" t="s">
        <v>6</v>
      </c>
      <c r="B391" s="18">
        <f>B385</f>
        <v>10</v>
      </c>
      <c r="C391" s="20">
        <f>C385</f>
        <v>10</v>
      </c>
      <c r="D391" s="55">
        <f>D385</f>
        <v>14</v>
      </c>
      <c r="E391" s="20">
        <f>E385</f>
        <v>13</v>
      </c>
      <c r="F391" s="17">
        <f>SUM(B391:E391)</f>
        <v>47</v>
      </c>
      <c r="H391" s="27" t="s">
        <v>6</v>
      </c>
      <c r="I391" s="18">
        <f>I385</f>
        <v>359</v>
      </c>
      <c r="J391" s="20">
        <f>J385</f>
        <v>529</v>
      </c>
      <c r="K391" s="55">
        <f>K385</f>
        <v>349</v>
      </c>
      <c r="L391" s="58">
        <f>L385</f>
        <v>186</v>
      </c>
      <c r="M391" s="17">
        <f>SUM(I391:L391)</f>
        <v>1423</v>
      </c>
    </row>
    <row r="392" spans="1:14" x14ac:dyDescent="0.15">
      <c r="A392" s="4" t="s">
        <v>244</v>
      </c>
      <c r="B392" s="16">
        <v>1</v>
      </c>
      <c r="C392" s="11"/>
      <c r="D392" s="16"/>
      <c r="E392" s="4"/>
      <c r="F392" s="5">
        <f t="shared" ref="F392:F401" si="103">SUM(B392:E392)</f>
        <v>1</v>
      </c>
      <c r="G392" s="71">
        <v>44758</v>
      </c>
      <c r="H392" s="6" t="s">
        <v>3</v>
      </c>
      <c r="I392" s="16"/>
      <c r="J392" s="11"/>
      <c r="K392" s="16"/>
      <c r="L392" s="4"/>
      <c r="M392" s="5">
        <f t="shared" ref="M392:M401" si="104">SUM(I392:L392)</f>
        <v>0</v>
      </c>
    </row>
    <row r="393" spans="1:14" x14ac:dyDescent="0.15">
      <c r="A393" s="6" t="s">
        <v>3</v>
      </c>
      <c r="B393" s="16"/>
      <c r="C393" s="11">
        <v>10</v>
      </c>
      <c r="D393" s="16"/>
      <c r="E393" s="4"/>
      <c r="F393" s="5">
        <f t="shared" si="103"/>
        <v>10</v>
      </c>
      <c r="G393" s="39">
        <v>44764</v>
      </c>
      <c r="H393" s="6" t="s">
        <v>3</v>
      </c>
      <c r="I393" s="31"/>
      <c r="J393" s="32"/>
      <c r="K393" s="31"/>
      <c r="L393" s="52"/>
      <c r="M393" s="5">
        <f t="shared" si="104"/>
        <v>0</v>
      </c>
      <c r="N393" s="39"/>
    </row>
    <row r="394" spans="1:14" x14ac:dyDescent="0.15">
      <c r="A394" s="6" t="s">
        <v>168</v>
      </c>
      <c r="B394" s="16">
        <v>1</v>
      </c>
      <c r="C394" s="11"/>
      <c r="D394" s="16"/>
      <c r="E394" s="4"/>
      <c r="F394" s="5">
        <f t="shared" si="103"/>
        <v>1</v>
      </c>
      <c r="G394" s="71">
        <v>44767</v>
      </c>
      <c r="H394" s="6" t="s">
        <v>3</v>
      </c>
      <c r="I394" s="31"/>
      <c r="J394" s="32"/>
      <c r="K394" s="31"/>
      <c r="L394" s="52"/>
      <c r="M394" s="5">
        <f t="shared" si="104"/>
        <v>0</v>
      </c>
      <c r="N394" s="39"/>
    </row>
    <row r="395" spans="1:14" x14ac:dyDescent="0.15">
      <c r="A395" s="6" t="s">
        <v>3</v>
      </c>
      <c r="B395" s="16">
        <v>10</v>
      </c>
      <c r="C395" s="11">
        <v>5</v>
      </c>
      <c r="D395" s="16"/>
      <c r="E395" s="4"/>
      <c r="F395" s="5">
        <f t="shared" si="103"/>
        <v>15</v>
      </c>
      <c r="G395" s="39">
        <v>44772</v>
      </c>
      <c r="H395" s="6" t="s">
        <v>3</v>
      </c>
      <c r="I395" s="38"/>
      <c r="J395" s="32"/>
      <c r="K395" s="31"/>
      <c r="L395" s="52"/>
      <c r="M395" s="5">
        <f t="shared" si="104"/>
        <v>0</v>
      </c>
      <c r="N395" s="64"/>
    </row>
    <row r="396" spans="1:14" x14ac:dyDescent="0.15">
      <c r="A396" s="4" t="s">
        <v>254</v>
      </c>
      <c r="B396" s="107"/>
      <c r="C396" s="11">
        <v>1</v>
      </c>
      <c r="D396" s="16"/>
      <c r="E396" s="11"/>
      <c r="F396" s="5">
        <f t="shared" si="103"/>
        <v>1</v>
      </c>
      <c r="G396" s="71">
        <v>44772</v>
      </c>
      <c r="H396" s="6" t="s">
        <v>3</v>
      </c>
      <c r="I396" s="31"/>
      <c r="J396" s="32"/>
      <c r="K396" s="31"/>
      <c r="L396" s="52"/>
      <c r="M396" s="5">
        <f t="shared" si="104"/>
        <v>0</v>
      </c>
      <c r="N396" s="39"/>
    </row>
    <row r="397" spans="1:14" x14ac:dyDescent="0.15">
      <c r="A397" s="6" t="s">
        <v>3</v>
      </c>
      <c r="B397" s="16"/>
      <c r="C397" s="11"/>
      <c r="D397" s="16"/>
      <c r="E397" s="4"/>
      <c r="F397" s="5">
        <f t="shared" si="103"/>
        <v>0</v>
      </c>
      <c r="H397" s="6" t="s">
        <v>3</v>
      </c>
      <c r="I397" s="38"/>
      <c r="J397" s="32"/>
      <c r="K397" s="31"/>
      <c r="L397" s="52"/>
      <c r="M397" s="5">
        <f t="shared" si="104"/>
        <v>0</v>
      </c>
      <c r="N397" s="41"/>
    </row>
    <row r="398" spans="1:14" x14ac:dyDescent="0.15">
      <c r="A398" s="6" t="s">
        <v>3</v>
      </c>
      <c r="B398" s="16"/>
      <c r="C398" s="11"/>
      <c r="D398" s="16"/>
      <c r="E398" s="4"/>
      <c r="F398" s="5">
        <f t="shared" si="103"/>
        <v>0</v>
      </c>
      <c r="H398" s="6" t="s">
        <v>3</v>
      </c>
      <c r="I398" s="16"/>
      <c r="J398" s="11"/>
      <c r="K398" s="16"/>
      <c r="L398" s="4"/>
      <c r="M398" s="5">
        <f t="shared" si="104"/>
        <v>0</v>
      </c>
      <c r="N398" s="41"/>
    </row>
    <row r="399" spans="1:14" x14ac:dyDescent="0.15">
      <c r="A399" s="6" t="s">
        <v>3</v>
      </c>
      <c r="B399" s="16"/>
      <c r="C399" s="11"/>
      <c r="D399" s="16"/>
      <c r="E399" s="4"/>
      <c r="F399" s="5">
        <f t="shared" si="103"/>
        <v>0</v>
      </c>
      <c r="H399" s="6" t="s">
        <v>3</v>
      </c>
      <c r="I399" s="31"/>
      <c r="J399" s="32"/>
      <c r="K399" s="31"/>
      <c r="L399" s="52"/>
      <c r="M399" s="5">
        <f t="shared" si="104"/>
        <v>0</v>
      </c>
    </row>
    <row r="400" spans="1:14" x14ac:dyDescent="0.15">
      <c r="A400" s="6" t="s">
        <v>3</v>
      </c>
      <c r="B400" s="16"/>
      <c r="C400" s="11"/>
      <c r="D400" s="16"/>
      <c r="E400" s="4"/>
      <c r="F400" s="5">
        <f t="shared" si="103"/>
        <v>0</v>
      </c>
      <c r="H400" s="6" t="s">
        <v>3</v>
      </c>
      <c r="I400" s="34"/>
      <c r="J400" s="35"/>
      <c r="K400" s="34"/>
      <c r="L400" s="32"/>
      <c r="M400" s="5">
        <f t="shared" si="104"/>
        <v>0</v>
      </c>
    </row>
    <row r="401" spans="1:14" ht="14.25" thickBot="1" x14ac:dyDescent="0.2">
      <c r="A401" s="6" t="s">
        <v>3</v>
      </c>
      <c r="B401" s="108"/>
      <c r="C401" s="109"/>
      <c r="D401" s="108"/>
      <c r="E401" s="110"/>
      <c r="F401" s="5">
        <f t="shared" si="103"/>
        <v>0</v>
      </c>
      <c r="H401" s="6" t="s">
        <v>3</v>
      </c>
      <c r="I401" s="34"/>
      <c r="J401" s="35"/>
      <c r="K401" s="34"/>
      <c r="L401" s="53"/>
      <c r="M401" s="5">
        <f t="shared" si="104"/>
        <v>0</v>
      </c>
    </row>
    <row r="402" spans="1:14" ht="14.25" thickBot="1" x14ac:dyDescent="0.2">
      <c r="A402" s="21" t="s">
        <v>4</v>
      </c>
      <c r="B402" s="22">
        <f>SUM(B391:B401)</f>
        <v>22</v>
      </c>
      <c r="C402" s="22">
        <f>SUM(C391:C401)</f>
        <v>26</v>
      </c>
      <c r="D402" s="23">
        <f>SUM(D391:D401)</f>
        <v>14</v>
      </c>
      <c r="E402" s="23">
        <f>SUM(E391:E401)</f>
        <v>13</v>
      </c>
      <c r="F402" s="24">
        <f>SUM(B402:E402)</f>
        <v>75</v>
      </c>
      <c r="H402" s="21" t="s">
        <v>4</v>
      </c>
      <c r="I402" s="22">
        <f>SUM(I391:I401)</f>
        <v>359</v>
      </c>
      <c r="J402" s="22">
        <f>SUM(J391:J401)</f>
        <v>529</v>
      </c>
      <c r="K402" s="23">
        <f>SUM(K391:K401)</f>
        <v>349</v>
      </c>
      <c r="L402" s="23">
        <f>SUM(L391:L401)</f>
        <v>186</v>
      </c>
      <c r="M402" s="24">
        <f>SUM(I402:L402)</f>
        <v>1423</v>
      </c>
    </row>
    <row r="403" spans="1:14" x14ac:dyDescent="0.15">
      <c r="A403" s="4" t="s">
        <v>245</v>
      </c>
      <c r="B403" s="8"/>
      <c r="C403" s="9">
        <v>5</v>
      </c>
      <c r="D403" s="10"/>
      <c r="E403" s="49"/>
      <c r="F403" s="5">
        <f>SUM(B403:E403)</f>
        <v>5</v>
      </c>
      <c r="G403" s="39">
        <v>44767</v>
      </c>
      <c r="H403" s="4" t="s">
        <v>246</v>
      </c>
      <c r="I403" s="80">
        <v>10</v>
      </c>
      <c r="J403" s="49"/>
      <c r="K403" s="78"/>
      <c r="L403" s="9"/>
      <c r="M403" s="7">
        <f>SUM(I403:L403)</f>
        <v>10</v>
      </c>
      <c r="N403" s="39">
        <v>44768</v>
      </c>
    </row>
    <row r="404" spans="1:14" x14ac:dyDescent="0.15">
      <c r="A404" s="4" t="s">
        <v>39</v>
      </c>
      <c r="B404" s="8"/>
      <c r="C404" s="9">
        <v>2</v>
      </c>
      <c r="D404" s="10">
        <v>1</v>
      </c>
      <c r="E404" s="49"/>
      <c r="F404" s="5">
        <f t="shared" ref="F404:F426" si="105">SUM(B404:E404)</f>
        <v>3</v>
      </c>
      <c r="G404" s="39">
        <v>44763</v>
      </c>
      <c r="H404" s="4" t="s">
        <v>39</v>
      </c>
      <c r="I404" s="8"/>
      <c r="J404" s="9">
        <v>2</v>
      </c>
      <c r="K404" s="10">
        <v>1</v>
      </c>
      <c r="L404" s="9">
        <v>1</v>
      </c>
      <c r="M404" s="7">
        <f t="shared" ref="M404:M425" si="106">SUM(I404:L404)</f>
        <v>4</v>
      </c>
      <c r="N404" s="39">
        <v>44764</v>
      </c>
    </row>
    <row r="405" spans="1:14" x14ac:dyDescent="0.15">
      <c r="A405" s="28" t="s">
        <v>34</v>
      </c>
      <c r="B405" s="8"/>
      <c r="C405" s="9"/>
      <c r="D405" s="10">
        <v>1</v>
      </c>
      <c r="E405" s="49"/>
      <c r="F405" s="5">
        <f t="shared" si="105"/>
        <v>1</v>
      </c>
      <c r="G405" s="71">
        <v>44762</v>
      </c>
      <c r="H405" s="28" t="s">
        <v>249</v>
      </c>
      <c r="I405" s="8"/>
      <c r="J405" s="9">
        <v>10</v>
      </c>
      <c r="K405" s="10"/>
      <c r="L405" s="49"/>
      <c r="M405" s="7">
        <f t="shared" si="106"/>
        <v>10</v>
      </c>
      <c r="N405" s="39">
        <v>44764</v>
      </c>
    </row>
    <row r="406" spans="1:14" x14ac:dyDescent="0.15">
      <c r="A406" s="4" t="s">
        <v>200</v>
      </c>
      <c r="B406" s="8">
        <v>2</v>
      </c>
      <c r="C406" s="9">
        <v>2</v>
      </c>
      <c r="D406" s="10"/>
      <c r="E406" s="49"/>
      <c r="F406" s="5">
        <f t="shared" si="105"/>
        <v>4</v>
      </c>
      <c r="G406" s="39">
        <v>44764</v>
      </c>
      <c r="H406" s="28" t="s">
        <v>26</v>
      </c>
      <c r="I406" s="8">
        <v>10</v>
      </c>
      <c r="J406" s="9">
        <v>5</v>
      </c>
      <c r="K406" s="10"/>
      <c r="L406" s="49"/>
      <c r="M406" s="7">
        <f t="shared" si="106"/>
        <v>15</v>
      </c>
      <c r="N406" s="39">
        <v>44772</v>
      </c>
    </row>
    <row r="407" spans="1:14" x14ac:dyDescent="0.15">
      <c r="A407" s="4" t="s">
        <v>200</v>
      </c>
      <c r="B407" s="8">
        <v>2</v>
      </c>
      <c r="C407" s="9"/>
      <c r="D407" s="10"/>
      <c r="E407" s="49"/>
      <c r="F407" s="5">
        <f t="shared" si="105"/>
        <v>2</v>
      </c>
      <c r="G407" s="39">
        <v>44768</v>
      </c>
      <c r="H407" s="4"/>
      <c r="I407" s="8"/>
      <c r="J407" s="9"/>
      <c r="K407" s="10"/>
      <c r="L407" s="49"/>
      <c r="M407" s="7">
        <f t="shared" si="106"/>
        <v>0</v>
      </c>
      <c r="N407" s="41"/>
    </row>
    <row r="408" spans="1:14" x14ac:dyDescent="0.15">
      <c r="A408" s="4" t="s">
        <v>200</v>
      </c>
      <c r="B408" s="8"/>
      <c r="C408" s="9">
        <v>2</v>
      </c>
      <c r="D408" s="10"/>
      <c r="E408" s="9"/>
      <c r="F408" s="5">
        <f t="shared" si="105"/>
        <v>2</v>
      </c>
      <c r="G408" s="39">
        <v>44769</v>
      </c>
      <c r="H408" s="28"/>
      <c r="I408" s="8"/>
      <c r="J408" s="9"/>
      <c r="K408" s="10"/>
      <c r="L408" s="9"/>
      <c r="M408" s="7">
        <f t="shared" si="106"/>
        <v>0</v>
      </c>
    </row>
    <row r="409" spans="1:14" x14ac:dyDescent="0.15">
      <c r="A409" s="28" t="s">
        <v>34</v>
      </c>
      <c r="B409" s="8">
        <v>1</v>
      </c>
      <c r="C409" s="9">
        <v>1</v>
      </c>
      <c r="D409" s="10"/>
      <c r="E409" s="9"/>
      <c r="F409" s="5">
        <f t="shared" si="105"/>
        <v>2</v>
      </c>
      <c r="G409" s="71">
        <v>44768</v>
      </c>
      <c r="H409" s="28"/>
      <c r="I409" s="8"/>
      <c r="J409" s="9"/>
      <c r="K409" s="10"/>
      <c r="L409" s="9"/>
      <c r="M409" s="7">
        <f t="shared" si="106"/>
        <v>0</v>
      </c>
    </row>
    <row r="410" spans="1:14" x14ac:dyDescent="0.15">
      <c r="A410" s="4" t="s">
        <v>250</v>
      </c>
      <c r="B410" s="8">
        <v>1</v>
      </c>
      <c r="C410" s="9"/>
      <c r="D410" s="10"/>
      <c r="E410" s="9"/>
      <c r="F410" s="5">
        <f t="shared" si="105"/>
        <v>1</v>
      </c>
      <c r="G410" s="71">
        <v>44770</v>
      </c>
      <c r="H410" s="4"/>
      <c r="I410" s="8"/>
      <c r="J410" s="9"/>
      <c r="K410" s="10"/>
      <c r="L410" s="9"/>
      <c r="M410" s="7">
        <f t="shared" si="106"/>
        <v>0</v>
      </c>
    </row>
    <row r="411" spans="1:14" x14ac:dyDescent="0.15">
      <c r="A411" s="4" t="s">
        <v>200</v>
      </c>
      <c r="B411" s="8"/>
      <c r="C411" s="9">
        <v>2</v>
      </c>
      <c r="D411" s="10"/>
      <c r="E411" s="9"/>
      <c r="F411" s="5">
        <f t="shared" si="105"/>
        <v>2</v>
      </c>
      <c r="G411" s="39">
        <v>44771</v>
      </c>
      <c r="H411" s="4"/>
      <c r="I411" s="8"/>
      <c r="J411" s="9"/>
      <c r="K411" s="10"/>
      <c r="L411" s="9"/>
      <c r="M411" s="7">
        <f t="shared" si="106"/>
        <v>0</v>
      </c>
    </row>
    <row r="412" spans="1:14" x14ac:dyDescent="0.15">
      <c r="A412" s="4" t="s">
        <v>200</v>
      </c>
      <c r="B412" s="8"/>
      <c r="C412" s="9">
        <v>2</v>
      </c>
      <c r="D412" s="10"/>
      <c r="E412" s="9"/>
      <c r="F412" s="5">
        <f t="shared" si="105"/>
        <v>2</v>
      </c>
      <c r="G412" s="39">
        <v>44776</v>
      </c>
      <c r="H412" s="4"/>
      <c r="I412" s="8"/>
      <c r="J412" s="9"/>
      <c r="K412" s="10"/>
      <c r="L412" s="9"/>
      <c r="M412" s="7">
        <f t="shared" si="106"/>
        <v>0</v>
      </c>
    </row>
    <row r="413" spans="1:14" x14ac:dyDescent="0.15">
      <c r="A413" s="4"/>
      <c r="B413" s="8"/>
      <c r="C413" s="9"/>
      <c r="D413" s="10"/>
      <c r="E413" s="9"/>
      <c r="F413" s="5">
        <f t="shared" si="105"/>
        <v>0</v>
      </c>
      <c r="G413" s="39"/>
      <c r="H413" s="4"/>
      <c r="I413" s="8"/>
      <c r="J413" s="9"/>
      <c r="K413" s="10"/>
      <c r="L413" s="9"/>
      <c r="M413" s="7">
        <f t="shared" si="106"/>
        <v>0</v>
      </c>
    </row>
    <row r="414" spans="1:14" x14ac:dyDescent="0.15">
      <c r="A414" s="4"/>
      <c r="B414" s="8"/>
      <c r="C414" s="9"/>
      <c r="D414" s="10"/>
      <c r="E414" s="9"/>
      <c r="F414" s="5">
        <f t="shared" si="105"/>
        <v>0</v>
      </c>
      <c r="G414" s="41"/>
      <c r="H414" s="4"/>
      <c r="I414" s="8"/>
      <c r="J414" s="9"/>
      <c r="K414" s="10"/>
      <c r="L414" s="9"/>
      <c r="M414" s="7">
        <f t="shared" si="106"/>
        <v>0</v>
      </c>
    </row>
    <row r="415" spans="1:14" x14ac:dyDescent="0.15">
      <c r="A415" s="4"/>
      <c r="B415" s="8"/>
      <c r="C415" s="9"/>
      <c r="D415" s="10"/>
      <c r="E415" s="9"/>
      <c r="F415" s="5">
        <f t="shared" si="105"/>
        <v>0</v>
      </c>
      <c r="G415" s="41"/>
      <c r="H415" s="4"/>
      <c r="I415" s="8"/>
      <c r="J415" s="9"/>
      <c r="K415" s="10"/>
      <c r="L415" s="9"/>
      <c r="M415" s="7">
        <f t="shared" si="106"/>
        <v>0</v>
      </c>
    </row>
    <row r="416" spans="1:14" x14ac:dyDescent="0.15">
      <c r="A416" s="4"/>
      <c r="B416" s="8"/>
      <c r="C416" s="9"/>
      <c r="D416" s="10"/>
      <c r="E416" s="9"/>
      <c r="F416" s="5">
        <f t="shared" si="105"/>
        <v>0</v>
      </c>
      <c r="G416" s="41"/>
      <c r="H416" s="4"/>
      <c r="I416" s="8"/>
      <c r="J416" s="9"/>
      <c r="K416" s="10"/>
      <c r="L416" s="9"/>
      <c r="M416" s="7">
        <f t="shared" si="106"/>
        <v>0</v>
      </c>
    </row>
    <row r="417" spans="1:14" x14ac:dyDescent="0.15">
      <c r="A417" s="4"/>
      <c r="B417" s="8"/>
      <c r="C417" s="9"/>
      <c r="D417" s="10"/>
      <c r="E417" s="9"/>
      <c r="F417" s="5">
        <f t="shared" si="105"/>
        <v>0</v>
      </c>
      <c r="H417" s="4"/>
      <c r="I417" s="8"/>
      <c r="J417" s="9"/>
      <c r="K417" s="10"/>
      <c r="L417" s="9"/>
      <c r="M417" s="7">
        <f t="shared" si="106"/>
        <v>0</v>
      </c>
    </row>
    <row r="418" spans="1:14" x14ac:dyDescent="0.15">
      <c r="A418" s="4"/>
      <c r="B418" s="8"/>
      <c r="C418" s="9"/>
      <c r="D418" s="10"/>
      <c r="E418" s="9"/>
      <c r="F418" s="5">
        <f t="shared" si="105"/>
        <v>0</v>
      </c>
      <c r="H418" s="4"/>
      <c r="I418" s="8"/>
      <c r="J418" s="9"/>
      <c r="K418" s="10"/>
      <c r="L418" s="9"/>
      <c r="M418" s="7">
        <f t="shared" si="106"/>
        <v>0</v>
      </c>
    </row>
    <row r="419" spans="1:14" x14ac:dyDescent="0.15">
      <c r="A419" s="11"/>
      <c r="B419" s="8"/>
      <c r="C419" s="9"/>
      <c r="D419" s="10"/>
      <c r="E419" s="9"/>
      <c r="F419" s="5">
        <f t="shared" si="105"/>
        <v>0</v>
      </c>
      <c r="H419" s="4"/>
      <c r="I419" s="8"/>
      <c r="J419" s="9"/>
      <c r="K419" s="10"/>
      <c r="L419" s="9"/>
      <c r="M419" s="7">
        <f t="shared" si="106"/>
        <v>0</v>
      </c>
    </row>
    <row r="420" spans="1:14" x14ac:dyDescent="0.15">
      <c r="A420" s="4"/>
      <c r="B420" s="8"/>
      <c r="C420" s="9"/>
      <c r="D420" s="10"/>
      <c r="E420" s="9"/>
      <c r="F420" s="5">
        <f t="shared" si="105"/>
        <v>0</v>
      </c>
      <c r="H420" s="4"/>
      <c r="I420" s="8"/>
      <c r="J420" s="9"/>
      <c r="K420" s="10"/>
      <c r="L420" s="9"/>
      <c r="M420" s="7">
        <f t="shared" si="106"/>
        <v>0</v>
      </c>
      <c r="N420" s="41"/>
    </row>
    <row r="421" spans="1:14" x14ac:dyDescent="0.15">
      <c r="A421" s="4"/>
      <c r="B421" s="8"/>
      <c r="C421" s="9"/>
      <c r="D421" s="10"/>
      <c r="E421" s="9"/>
      <c r="F421" s="5">
        <f t="shared" si="105"/>
        <v>0</v>
      </c>
      <c r="H421" s="4"/>
      <c r="I421" s="8"/>
      <c r="J421" s="9"/>
      <c r="K421" s="10"/>
      <c r="L421" s="9"/>
      <c r="M421" s="7">
        <f t="shared" si="106"/>
        <v>0</v>
      </c>
      <c r="N421" s="41"/>
    </row>
    <row r="422" spans="1:14" x14ac:dyDescent="0.15">
      <c r="A422" s="4"/>
      <c r="B422" s="8"/>
      <c r="C422" s="9"/>
      <c r="D422" s="10"/>
      <c r="E422" s="9"/>
      <c r="F422" s="5">
        <f t="shared" si="105"/>
        <v>0</v>
      </c>
      <c r="H422" s="4"/>
      <c r="I422" s="8"/>
      <c r="J422" s="9"/>
      <c r="K422" s="10"/>
      <c r="L422" s="9"/>
      <c r="M422" s="7">
        <f t="shared" si="106"/>
        <v>0</v>
      </c>
      <c r="N422" s="41"/>
    </row>
    <row r="423" spans="1:14" x14ac:dyDescent="0.15">
      <c r="A423" s="28"/>
      <c r="B423" s="8"/>
      <c r="C423" s="9"/>
      <c r="D423" s="10"/>
      <c r="E423" s="9"/>
      <c r="F423" s="5">
        <f t="shared" si="105"/>
        <v>0</v>
      </c>
      <c r="H423" s="4"/>
      <c r="I423" s="8"/>
      <c r="J423" s="9"/>
      <c r="K423" s="10"/>
      <c r="L423" s="12"/>
      <c r="M423" s="7">
        <f t="shared" si="106"/>
        <v>0</v>
      </c>
      <c r="N423" s="41"/>
    </row>
    <row r="424" spans="1:14" x14ac:dyDescent="0.15">
      <c r="A424" s="4"/>
      <c r="B424" s="8"/>
      <c r="C424" s="9"/>
      <c r="D424" s="10"/>
      <c r="E424" s="9"/>
      <c r="F424" s="5">
        <f t="shared" si="105"/>
        <v>0</v>
      </c>
      <c r="H424" s="4" t="s">
        <v>240</v>
      </c>
      <c r="I424" s="8"/>
      <c r="J424" s="9"/>
      <c r="K424" s="10"/>
      <c r="L424" s="9"/>
      <c r="M424" s="7">
        <f t="shared" si="106"/>
        <v>0</v>
      </c>
      <c r="N424" s="39">
        <v>44767</v>
      </c>
    </row>
    <row r="425" spans="1:14" x14ac:dyDescent="0.15">
      <c r="A425" s="11"/>
      <c r="B425" s="8"/>
      <c r="C425" s="9"/>
      <c r="D425" s="10"/>
      <c r="E425" s="9"/>
      <c r="F425" s="5">
        <f t="shared" si="105"/>
        <v>0</v>
      </c>
      <c r="H425" s="4" t="s">
        <v>241</v>
      </c>
      <c r="I425" s="8"/>
      <c r="J425" s="9"/>
      <c r="K425" s="10"/>
      <c r="L425" s="9"/>
      <c r="M425" s="7">
        <f t="shared" si="106"/>
        <v>0</v>
      </c>
      <c r="N425" s="39">
        <v>44767</v>
      </c>
    </row>
    <row r="426" spans="1:14" ht="14.25" thickBot="1" x14ac:dyDescent="0.2">
      <c r="A426" s="4"/>
      <c r="B426" s="8"/>
      <c r="C426" s="9"/>
      <c r="D426" s="10"/>
      <c r="E426" s="51"/>
      <c r="F426" s="5">
        <f t="shared" si="105"/>
        <v>0</v>
      </c>
      <c r="H426" s="4" t="s">
        <v>233</v>
      </c>
      <c r="I426" s="8"/>
      <c r="J426" s="9"/>
      <c r="K426" s="10"/>
      <c r="L426" s="9"/>
      <c r="M426" s="7">
        <f t="shared" ref="M426" si="107">SUM(I426:L426)</f>
        <v>0</v>
      </c>
      <c r="N426" s="39" t="s">
        <v>234</v>
      </c>
    </row>
    <row r="427" spans="1:14" ht="14.25" thickBot="1" x14ac:dyDescent="0.2">
      <c r="A427" s="3" t="s">
        <v>5</v>
      </c>
      <c r="B427" s="14">
        <f>SUM(B403:B426)</f>
        <v>6</v>
      </c>
      <c r="C427" s="14">
        <f>SUM(C403:C426)</f>
        <v>16</v>
      </c>
      <c r="D427" s="14">
        <f>SUM(D403:D426)</f>
        <v>2</v>
      </c>
      <c r="E427" s="14">
        <f>SUM(E403:E426)</f>
        <v>0</v>
      </c>
      <c r="F427" s="15">
        <f>SUM(B427:E427)</f>
        <v>24</v>
      </c>
      <c r="H427" s="3" t="s">
        <v>5</v>
      </c>
      <c r="I427" s="14">
        <f>SUM(I403:I426)</f>
        <v>20</v>
      </c>
      <c r="J427" s="14">
        <f>SUM(J403:J426)</f>
        <v>17</v>
      </c>
      <c r="K427" s="14">
        <f>SUM(K403:K426)</f>
        <v>1</v>
      </c>
      <c r="L427" s="14">
        <f>SUM(L403:L426)</f>
        <v>1</v>
      </c>
      <c r="M427" s="15">
        <f>SUM(I427:L427)</f>
        <v>39</v>
      </c>
    </row>
    <row r="428" spans="1:14" ht="14.25" thickBot="1" x14ac:dyDescent="0.2">
      <c r="A428" s="25" t="s">
        <v>6</v>
      </c>
      <c r="B428" s="26">
        <f>B402-B427</f>
        <v>16</v>
      </c>
      <c r="C428" s="26">
        <f t="shared" ref="C428:F428" si="108">C402-C427</f>
        <v>10</v>
      </c>
      <c r="D428" s="26">
        <f t="shared" si="108"/>
        <v>12</v>
      </c>
      <c r="E428" s="26">
        <f t="shared" si="108"/>
        <v>13</v>
      </c>
      <c r="F428" s="24">
        <f t="shared" si="108"/>
        <v>51</v>
      </c>
      <c r="H428" s="25" t="s">
        <v>6</v>
      </c>
      <c r="I428" s="26">
        <f>I402-I427</f>
        <v>339</v>
      </c>
      <c r="J428" s="26">
        <f t="shared" ref="J428:M428" si="109">J402-J427</f>
        <v>512</v>
      </c>
      <c r="K428" s="26">
        <f t="shared" si="109"/>
        <v>348</v>
      </c>
      <c r="L428" s="26">
        <f t="shared" si="109"/>
        <v>185</v>
      </c>
      <c r="M428" s="24">
        <f t="shared" si="109"/>
        <v>1384</v>
      </c>
    </row>
    <row r="431" spans="1:14" ht="21.75" thickBot="1" x14ac:dyDescent="0.25">
      <c r="A431" s="29" t="s">
        <v>13</v>
      </c>
      <c r="B431" s="1"/>
      <c r="C431" s="1"/>
      <c r="D431" s="1"/>
      <c r="E431" s="1"/>
      <c r="F431" s="1"/>
      <c r="H431" s="29" t="s">
        <v>14</v>
      </c>
      <c r="I431" s="1"/>
      <c r="J431" s="1"/>
      <c r="K431" s="1"/>
      <c r="L431" s="1"/>
      <c r="M431" s="1"/>
    </row>
    <row r="432" spans="1:14" ht="14.25" thickBot="1" x14ac:dyDescent="0.2">
      <c r="A432" s="2" t="s">
        <v>0</v>
      </c>
      <c r="B432" s="164" t="s">
        <v>12</v>
      </c>
      <c r="C432" s="165"/>
      <c r="D432" s="165"/>
      <c r="E432" s="165"/>
      <c r="F432" s="168"/>
      <c r="H432" s="2" t="s">
        <v>0</v>
      </c>
      <c r="I432" s="164" t="s">
        <v>12</v>
      </c>
      <c r="J432" s="165"/>
      <c r="K432" s="165"/>
      <c r="L432" s="165"/>
      <c r="M432" s="168"/>
    </row>
    <row r="433" spans="1:15" ht="14.25" thickBot="1" x14ac:dyDescent="0.2">
      <c r="A433" s="2" t="s">
        <v>1</v>
      </c>
      <c r="B433" s="3" t="s">
        <v>7</v>
      </c>
      <c r="C433" s="2" t="s">
        <v>8</v>
      </c>
      <c r="D433" s="19" t="s">
        <v>9</v>
      </c>
      <c r="E433" s="2" t="s">
        <v>11</v>
      </c>
      <c r="F433" s="2" t="s">
        <v>2</v>
      </c>
      <c r="H433" s="2" t="s">
        <v>1</v>
      </c>
      <c r="I433" s="3" t="s">
        <v>7</v>
      </c>
      <c r="J433" s="2" t="s">
        <v>8</v>
      </c>
      <c r="K433" s="19" t="s">
        <v>9</v>
      </c>
      <c r="L433" s="2" t="s">
        <v>11</v>
      </c>
      <c r="M433" s="2" t="s">
        <v>2</v>
      </c>
    </row>
    <row r="434" spans="1:15" x14ac:dyDescent="0.15">
      <c r="A434" s="27" t="s">
        <v>6</v>
      </c>
      <c r="B434" s="18">
        <f>B428</f>
        <v>16</v>
      </c>
      <c r="C434" s="20">
        <f>C428</f>
        <v>10</v>
      </c>
      <c r="D434" s="55">
        <f>D428</f>
        <v>12</v>
      </c>
      <c r="E434" s="20">
        <f>E428</f>
        <v>13</v>
      </c>
      <c r="F434" s="17">
        <f>SUM(B434:E434)</f>
        <v>51</v>
      </c>
      <c r="H434" s="27" t="s">
        <v>6</v>
      </c>
      <c r="I434" s="18">
        <f>I428</f>
        <v>339</v>
      </c>
      <c r="J434" s="20">
        <f>J428</f>
        <v>512</v>
      </c>
      <c r="K434" s="55">
        <f>K428</f>
        <v>348</v>
      </c>
      <c r="L434" s="58">
        <f>L428</f>
        <v>185</v>
      </c>
      <c r="M434" s="17">
        <f>SUM(I434:L434)</f>
        <v>1384</v>
      </c>
    </row>
    <row r="435" spans="1:15" x14ac:dyDescent="0.15">
      <c r="A435" s="6" t="s">
        <v>256</v>
      </c>
      <c r="B435" s="16">
        <v>4</v>
      </c>
      <c r="C435" s="11"/>
      <c r="D435" s="16">
        <v>4</v>
      </c>
      <c r="E435" s="4"/>
      <c r="F435" s="5">
        <f t="shared" ref="F435:F444" si="110">SUM(B435:E435)</f>
        <v>8</v>
      </c>
      <c r="G435" s="71">
        <v>44776</v>
      </c>
      <c r="H435" s="6" t="s">
        <v>3</v>
      </c>
      <c r="I435" s="16"/>
      <c r="J435" s="11"/>
      <c r="K435" s="16"/>
      <c r="L435" s="4"/>
      <c r="M435" s="5">
        <f t="shared" ref="M435:M444" si="111">SUM(I435:L435)</f>
        <v>0</v>
      </c>
    </row>
    <row r="436" spans="1:15" x14ac:dyDescent="0.15">
      <c r="A436" s="6" t="s">
        <v>3</v>
      </c>
      <c r="B436" s="16"/>
      <c r="C436" s="11">
        <v>10</v>
      </c>
      <c r="D436" s="16"/>
      <c r="E436" s="4"/>
      <c r="F436" s="5">
        <f t="shared" si="110"/>
        <v>10</v>
      </c>
      <c r="G436" s="39">
        <v>44777</v>
      </c>
      <c r="H436" s="6" t="s">
        <v>3</v>
      </c>
      <c r="I436" s="31"/>
      <c r="J436" s="32"/>
      <c r="K436" s="31"/>
      <c r="L436" s="52"/>
      <c r="M436" s="5">
        <f t="shared" si="111"/>
        <v>0</v>
      </c>
      <c r="N436" s="39"/>
    </row>
    <row r="437" spans="1:15" x14ac:dyDescent="0.15">
      <c r="A437" s="6" t="s">
        <v>3</v>
      </c>
      <c r="B437" s="16"/>
      <c r="C437" s="11">
        <v>3</v>
      </c>
      <c r="D437" s="16">
        <v>3</v>
      </c>
      <c r="E437" s="4">
        <v>3</v>
      </c>
      <c r="F437" s="5">
        <f t="shared" si="110"/>
        <v>9</v>
      </c>
      <c r="G437" s="39">
        <v>44783</v>
      </c>
      <c r="H437" s="6" t="s">
        <v>3</v>
      </c>
      <c r="I437" s="31"/>
      <c r="J437" s="32"/>
      <c r="K437" s="31"/>
      <c r="L437" s="52"/>
      <c r="M437" s="5">
        <f t="shared" si="111"/>
        <v>0</v>
      </c>
      <c r="N437" s="39"/>
    </row>
    <row r="438" spans="1:15" x14ac:dyDescent="0.15">
      <c r="A438" s="6" t="s">
        <v>45</v>
      </c>
      <c r="B438" s="16">
        <v>2</v>
      </c>
      <c r="C438" s="11"/>
      <c r="D438" s="16"/>
      <c r="E438" s="4"/>
      <c r="F438" s="5">
        <f t="shared" si="110"/>
        <v>2</v>
      </c>
      <c r="G438" s="71">
        <v>44783</v>
      </c>
      <c r="H438" s="6" t="s">
        <v>3</v>
      </c>
      <c r="I438" s="38"/>
      <c r="J438" s="32"/>
      <c r="K438" s="31"/>
      <c r="L438" s="52"/>
      <c r="M438" s="5">
        <f t="shared" si="111"/>
        <v>0</v>
      </c>
      <c r="N438" s="64"/>
    </row>
    <row r="439" spans="1:15" x14ac:dyDescent="0.15">
      <c r="A439" s="6" t="s">
        <v>268</v>
      </c>
      <c r="B439" s="16"/>
      <c r="C439" s="11"/>
      <c r="D439" s="16"/>
      <c r="E439" s="4">
        <v>2</v>
      </c>
      <c r="F439" s="5">
        <f t="shared" si="110"/>
        <v>2</v>
      </c>
      <c r="G439" s="71">
        <v>44793</v>
      </c>
      <c r="H439" s="6" t="s">
        <v>3</v>
      </c>
      <c r="I439" s="31"/>
      <c r="J439" s="32"/>
      <c r="K439" s="31"/>
      <c r="L439" s="52"/>
      <c r="M439" s="5">
        <f t="shared" si="111"/>
        <v>0</v>
      </c>
      <c r="N439" s="39"/>
    </row>
    <row r="440" spans="1:15" x14ac:dyDescent="0.15">
      <c r="A440" s="27" t="s">
        <v>270</v>
      </c>
      <c r="B440" s="111">
        <v>1</v>
      </c>
      <c r="C440" s="27">
        <v>-1</v>
      </c>
      <c r="D440" s="111"/>
      <c r="E440" s="98"/>
      <c r="F440" s="112">
        <f t="shared" si="110"/>
        <v>0</v>
      </c>
      <c r="G440" s="113">
        <v>44798</v>
      </c>
      <c r="H440" s="6" t="s">
        <v>3</v>
      </c>
      <c r="I440" s="38"/>
      <c r="J440" s="32"/>
      <c r="K440" s="31"/>
      <c r="L440" s="52"/>
      <c r="M440" s="5">
        <f t="shared" si="111"/>
        <v>0</v>
      </c>
      <c r="N440" s="41"/>
    </row>
    <row r="441" spans="1:15" x14ac:dyDescent="0.15">
      <c r="A441" s="6" t="s">
        <v>3</v>
      </c>
      <c r="B441" s="31"/>
      <c r="C441" s="32"/>
      <c r="D441" s="31"/>
      <c r="E441" s="52"/>
      <c r="F441" s="5">
        <f t="shared" si="110"/>
        <v>0</v>
      </c>
      <c r="H441" s="6" t="s">
        <v>3</v>
      </c>
      <c r="I441" s="16"/>
      <c r="J441" s="11"/>
      <c r="K441" s="16"/>
      <c r="L441" s="4"/>
      <c r="M441" s="5">
        <f t="shared" si="111"/>
        <v>0</v>
      </c>
      <c r="N441" s="41"/>
    </row>
    <row r="442" spans="1:15" x14ac:dyDescent="0.15">
      <c r="A442" s="6" t="s">
        <v>3</v>
      </c>
      <c r="B442" s="10"/>
      <c r="C442" s="9"/>
      <c r="D442" s="10"/>
      <c r="E442" s="49"/>
      <c r="F442" s="5">
        <f t="shared" si="110"/>
        <v>0</v>
      </c>
      <c r="H442" s="6" t="s">
        <v>3</v>
      </c>
      <c r="I442" s="31"/>
      <c r="J442" s="32"/>
      <c r="K442" s="31"/>
      <c r="L442" s="52"/>
      <c r="M442" s="5">
        <f t="shared" si="111"/>
        <v>0</v>
      </c>
    </row>
    <row r="443" spans="1:15" x14ac:dyDescent="0.15">
      <c r="A443" s="6" t="s">
        <v>3</v>
      </c>
      <c r="B443" s="31"/>
      <c r="C443" s="32"/>
      <c r="D443" s="31"/>
      <c r="E443" s="52"/>
      <c r="F443" s="5">
        <f t="shared" si="110"/>
        <v>0</v>
      </c>
      <c r="H443" s="6" t="s">
        <v>3</v>
      </c>
      <c r="I443" s="34"/>
      <c r="J443" s="35"/>
      <c r="K443" s="34"/>
      <c r="L443" s="32"/>
      <c r="M443" s="5">
        <f t="shared" si="111"/>
        <v>0</v>
      </c>
    </row>
    <row r="444" spans="1:15" ht="14.25" thickBot="1" x14ac:dyDescent="0.2">
      <c r="A444" s="6" t="s">
        <v>3</v>
      </c>
      <c r="B444" s="13"/>
      <c r="C444" s="12"/>
      <c r="D444" s="13"/>
      <c r="E444" s="50"/>
      <c r="F444" s="5">
        <f t="shared" si="110"/>
        <v>0</v>
      </c>
      <c r="H444" s="6" t="s">
        <v>3</v>
      </c>
      <c r="I444" s="34"/>
      <c r="J444" s="35"/>
      <c r="K444" s="34"/>
      <c r="L444" s="53"/>
      <c r="M444" s="5">
        <f t="shared" si="111"/>
        <v>0</v>
      </c>
    </row>
    <row r="445" spans="1:15" ht="14.25" thickBot="1" x14ac:dyDescent="0.2">
      <c r="A445" s="21" t="s">
        <v>4</v>
      </c>
      <c r="B445" s="22">
        <f>SUM(B434:B444)</f>
        <v>23</v>
      </c>
      <c r="C445" s="22">
        <f>SUM(C434:C444)</f>
        <v>22</v>
      </c>
      <c r="D445" s="23">
        <f>SUM(D434:D444)</f>
        <v>19</v>
      </c>
      <c r="E445" s="23">
        <f>SUM(E434:E444)</f>
        <v>18</v>
      </c>
      <c r="F445" s="24">
        <f>SUM(B445:E445)</f>
        <v>82</v>
      </c>
      <c r="H445" s="21" t="s">
        <v>4</v>
      </c>
      <c r="I445" s="22">
        <f>SUM(I434:I444)</f>
        <v>339</v>
      </c>
      <c r="J445" s="22">
        <f>SUM(J434:J444)</f>
        <v>512</v>
      </c>
      <c r="K445" s="23">
        <f>SUM(K434:K444)</f>
        <v>348</v>
      </c>
      <c r="L445" s="23">
        <f>SUM(L434:L444)</f>
        <v>185</v>
      </c>
      <c r="M445" s="24">
        <f>SUM(I445:L445)</f>
        <v>1384</v>
      </c>
    </row>
    <row r="446" spans="1:15" x14ac:dyDescent="0.15">
      <c r="A446" s="4" t="s">
        <v>200</v>
      </c>
      <c r="B446" s="8"/>
      <c r="C446" s="9"/>
      <c r="D446" s="10">
        <v>2</v>
      </c>
      <c r="E446" s="9"/>
      <c r="F446" s="5">
        <f t="shared" ref="F446:F447" si="112">SUM(B446:E446)</f>
        <v>2</v>
      </c>
      <c r="G446" s="39">
        <v>44774</v>
      </c>
      <c r="H446" s="4" t="s">
        <v>291</v>
      </c>
      <c r="I446" s="8">
        <v>160</v>
      </c>
      <c r="J446" s="9">
        <v>150</v>
      </c>
      <c r="K446" s="10">
        <v>90</v>
      </c>
      <c r="L446" s="9">
        <v>50</v>
      </c>
      <c r="M446" s="7">
        <f t="shared" ref="M446" si="113">SUM(I446:L446)</f>
        <v>450</v>
      </c>
      <c r="N446" s="39">
        <v>44783</v>
      </c>
      <c r="O446" s="30"/>
    </row>
    <row r="447" spans="1:15" x14ac:dyDescent="0.15">
      <c r="A447" s="4" t="s">
        <v>251</v>
      </c>
      <c r="B447" s="8">
        <v>2</v>
      </c>
      <c r="C447" s="9"/>
      <c r="D447" s="10"/>
      <c r="E447" s="9"/>
      <c r="F447" s="5">
        <f t="shared" si="112"/>
        <v>2</v>
      </c>
      <c r="G447" s="39">
        <v>44774</v>
      </c>
      <c r="H447" s="4" t="s">
        <v>247</v>
      </c>
      <c r="I447" s="8">
        <v>12</v>
      </c>
      <c r="J447" s="9">
        <v>11</v>
      </c>
      <c r="K447" s="10">
        <v>4</v>
      </c>
      <c r="L447" s="9">
        <v>1</v>
      </c>
      <c r="M447" s="7">
        <f t="shared" ref="M447:M467" si="114">SUM(I447:L447)</f>
        <v>28</v>
      </c>
      <c r="N447" s="39">
        <v>44770</v>
      </c>
    </row>
    <row r="448" spans="1:15" x14ac:dyDescent="0.15">
      <c r="A448" s="4" t="s">
        <v>255</v>
      </c>
      <c r="B448" s="8">
        <v>5</v>
      </c>
      <c r="C448" s="9">
        <v>5</v>
      </c>
      <c r="D448" s="10">
        <v>3</v>
      </c>
      <c r="E448" s="49">
        <v>3</v>
      </c>
      <c r="F448" s="5">
        <f t="shared" ref="F448:F469" si="115">SUM(B448:E448)</f>
        <v>16</v>
      </c>
      <c r="G448" s="39">
        <v>44778</v>
      </c>
      <c r="H448" s="4" t="s">
        <v>248</v>
      </c>
      <c r="I448" s="8">
        <v>18</v>
      </c>
      <c r="J448" s="9">
        <v>14</v>
      </c>
      <c r="K448" s="10"/>
      <c r="L448" s="49">
        <v>2</v>
      </c>
      <c r="M448" s="7">
        <f t="shared" si="114"/>
        <v>34</v>
      </c>
      <c r="N448" s="39">
        <v>44770</v>
      </c>
    </row>
    <row r="449" spans="1:15" x14ac:dyDescent="0.15">
      <c r="A449" s="4" t="s">
        <v>200</v>
      </c>
      <c r="B449" s="8"/>
      <c r="C449" s="9">
        <v>2</v>
      </c>
      <c r="D449" s="10">
        <v>2</v>
      </c>
      <c r="E449" s="49"/>
      <c r="F449" s="5">
        <f t="shared" si="115"/>
        <v>4</v>
      </c>
      <c r="G449" s="39">
        <v>44777</v>
      </c>
      <c r="H449" s="4" t="s">
        <v>252</v>
      </c>
      <c r="I449" s="8">
        <v>10</v>
      </c>
      <c r="J449" s="9">
        <v>10</v>
      </c>
      <c r="K449" s="10"/>
      <c r="L449" s="49"/>
      <c r="M449" s="7">
        <f t="shared" si="114"/>
        <v>20</v>
      </c>
      <c r="N449" s="39">
        <v>44777</v>
      </c>
    </row>
    <row r="450" spans="1:15" x14ac:dyDescent="0.15">
      <c r="A450" s="4" t="s">
        <v>200</v>
      </c>
      <c r="B450" s="8"/>
      <c r="C450" s="9">
        <v>4</v>
      </c>
      <c r="D450" s="10">
        <v>2</v>
      </c>
      <c r="E450" s="49">
        <v>2</v>
      </c>
      <c r="F450" s="5">
        <f t="shared" si="115"/>
        <v>8</v>
      </c>
      <c r="G450" s="39">
        <v>44781</v>
      </c>
      <c r="H450" s="4" t="s">
        <v>253</v>
      </c>
      <c r="I450" s="8">
        <v>10</v>
      </c>
      <c r="J450" s="9"/>
      <c r="K450" s="10">
        <v>10</v>
      </c>
      <c r="L450" s="49"/>
      <c r="M450" s="7">
        <f t="shared" si="114"/>
        <v>20</v>
      </c>
      <c r="N450" s="39">
        <v>44777</v>
      </c>
    </row>
    <row r="451" spans="1:15" x14ac:dyDescent="0.15">
      <c r="A451" s="4" t="s">
        <v>251</v>
      </c>
      <c r="B451" s="8">
        <v>2</v>
      </c>
      <c r="C451" s="9"/>
      <c r="D451" s="10"/>
      <c r="E451" s="9"/>
      <c r="F451" s="5">
        <f t="shared" si="115"/>
        <v>2</v>
      </c>
      <c r="G451" s="39">
        <v>44783</v>
      </c>
      <c r="H451" s="28" t="s">
        <v>26</v>
      </c>
      <c r="I451" s="8"/>
      <c r="J451" s="9">
        <v>10</v>
      </c>
      <c r="K451" s="10"/>
      <c r="L451" s="9"/>
      <c r="M451" s="7">
        <f t="shared" si="114"/>
        <v>10</v>
      </c>
      <c r="N451" s="39">
        <v>44777</v>
      </c>
    </row>
    <row r="452" spans="1:15" x14ac:dyDescent="0.15">
      <c r="A452" s="28" t="s">
        <v>261</v>
      </c>
      <c r="B452" s="8">
        <v>1</v>
      </c>
      <c r="C452" s="9"/>
      <c r="D452" s="10">
        <v>1</v>
      </c>
      <c r="E452" s="9">
        <v>1</v>
      </c>
      <c r="F452" s="5">
        <f t="shared" si="115"/>
        <v>3</v>
      </c>
      <c r="G452" s="39">
        <v>44783</v>
      </c>
      <c r="H452" s="4" t="s">
        <v>200</v>
      </c>
      <c r="I452" s="8">
        <v>4</v>
      </c>
      <c r="J452" s="9">
        <v>12</v>
      </c>
      <c r="K452" s="10"/>
      <c r="L452" s="9"/>
      <c r="M452" s="7">
        <f t="shared" si="114"/>
        <v>16</v>
      </c>
      <c r="N452" s="39">
        <v>44778</v>
      </c>
    </row>
    <row r="453" spans="1:15" x14ac:dyDescent="0.15">
      <c r="A453" s="28" t="s">
        <v>39</v>
      </c>
      <c r="B453" s="8"/>
      <c r="C453" s="9"/>
      <c r="D453" s="10"/>
      <c r="E453" s="9">
        <v>1</v>
      </c>
      <c r="F453" s="5">
        <f t="shared" si="115"/>
        <v>1</v>
      </c>
      <c r="G453" s="39">
        <v>44791</v>
      </c>
      <c r="H453" s="4" t="s">
        <v>257</v>
      </c>
      <c r="I453" s="8"/>
      <c r="J453" s="9"/>
      <c r="K453" s="10"/>
      <c r="L453" s="9">
        <v>2</v>
      </c>
      <c r="M453" s="7">
        <f t="shared" si="114"/>
        <v>2</v>
      </c>
      <c r="N453" s="39">
        <v>44782</v>
      </c>
    </row>
    <row r="454" spans="1:15" x14ac:dyDescent="0.15">
      <c r="A454" s="4" t="s">
        <v>266</v>
      </c>
      <c r="B454" s="8"/>
      <c r="C454" s="9"/>
      <c r="D454" s="10">
        <v>2</v>
      </c>
      <c r="E454" s="9"/>
      <c r="F454" s="5">
        <f t="shared" si="115"/>
        <v>2</v>
      </c>
      <c r="G454" s="71">
        <v>44792</v>
      </c>
      <c r="H454" s="4" t="s">
        <v>200</v>
      </c>
      <c r="I454" s="8">
        <v>22</v>
      </c>
      <c r="J454" s="9">
        <v>10</v>
      </c>
      <c r="K454" s="10">
        <v>12</v>
      </c>
      <c r="L454" s="9"/>
      <c r="M454" s="7">
        <f t="shared" si="114"/>
        <v>44</v>
      </c>
      <c r="N454" s="39">
        <v>44782</v>
      </c>
      <c r="O454" s="30"/>
    </row>
    <row r="455" spans="1:15" x14ac:dyDescent="0.15">
      <c r="A455" s="4" t="s">
        <v>251</v>
      </c>
      <c r="B455" s="8"/>
      <c r="C455" s="9">
        <v>2</v>
      </c>
      <c r="D455" s="10"/>
      <c r="E455" s="9"/>
      <c r="F455" s="5">
        <f t="shared" si="115"/>
        <v>2</v>
      </c>
      <c r="G455" s="39">
        <v>44796</v>
      </c>
      <c r="H455" s="4" t="s">
        <v>258</v>
      </c>
      <c r="I455" s="8"/>
      <c r="J455" s="9">
        <v>15</v>
      </c>
      <c r="K455" s="10">
        <v>15</v>
      </c>
      <c r="L455" s="9">
        <v>5</v>
      </c>
      <c r="M455" s="7">
        <f t="shared" si="114"/>
        <v>35</v>
      </c>
      <c r="N455" s="39">
        <v>44783</v>
      </c>
    </row>
    <row r="456" spans="1:15" x14ac:dyDescent="0.15">
      <c r="A456" s="28" t="s">
        <v>39</v>
      </c>
      <c r="B456" s="8"/>
      <c r="C456" s="9"/>
      <c r="D456" s="10">
        <v>1</v>
      </c>
      <c r="E456" s="9">
        <v>1</v>
      </c>
      <c r="F456" s="5">
        <f t="shared" si="115"/>
        <v>2</v>
      </c>
      <c r="G456" s="39">
        <v>44796</v>
      </c>
      <c r="H456" s="4" t="s">
        <v>259</v>
      </c>
      <c r="I456" s="8"/>
      <c r="J456" s="9"/>
      <c r="K456" s="10"/>
      <c r="L456" s="9">
        <v>2</v>
      </c>
      <c r="M456" s="7">
        <f t="shared" si="114"/>
        <v>2</v>
      </c>
      <c r="N456" s="39">
        <v>44783</v>
      </c>
    </row>
    <row r="457" spans="1:15" x14ac:dyDescent="0.15">
      <c r="A457" s="4"/>
      <c r="B457" s="8"/>
      <c r="C457" s="9"/>
      <c r="D457" s="10"/>
      <c r="E457" s="9"/>
      <c r="F457" s="5">
        <f t="shared" si="115"/>
        <v>0</v>
      </c>
      <c r="H457" s="4" t="s">
        <v>200</v>
      </c>
      <c r="I457" s="8">
        <v>2</v>
      </c>
      <c r="J457" s="9">
        <v>8</v>
      </c>
      <c r="K457" s="10">
        <v>4</v>
      </c>
      <c r="L457" s="9">
        <v>8</v>
      </c>
      <c r="M457" s="7">
        <f t="shared" si="114"/>
        <v>22</v>
      </c>
      <c r="N457" s="39">
        <v>44783</v>
      </c>
      <c r="O457" s="30"/>
    </row>
    <row r="458" spans="1:15" x14ac:dyDescent="0.15">
      <c r="A458" s="4"/>
      <c r="B458" s="8"/>
      <c r="C458" s="9"/>
      <c r="D458" s="10"/>
      <c r="E458" s="9"/>
      <c r="F458" s="5">
        <f t="shared" si="115"/>
        <v>0</v>
      </c>
      <c r="H458" s="4" t="s">
        <v>260</v>
      </c>
      <c r="I458" s="8"/>
      <c r="J458" s="9">
        <v>10</v>
      </c>
      <c r="K458" s="10"/>
      <c r="L458" s="9">
        <v>4</v>
      </c>
      <c r="M458" s="7">
        <f t="shared" si="114"/>
        <v>14</v>
      </c>
      <c r="N458" s="39">
        <v>44790</v>
      </c>
    </row>
    <row r="459" spans="1:15" x14ac:dyDescent="0.15">
      <c r="A459" s="4"/>
      <c r="B459" s="8"/>
      <c r="C459" s="9"/>
      <c r="D459" s="10"/>
      <c r="E459" s="9"/>
      <c r="F459" s="5">
        <f t="shared" si="115"/>
        <v>0</v>
      </c>
      <c r="H459" s="28" t="s">
        <v>26</v>
      </c>
      <c r="I459" s="8"/>
      <c r="J459" s="9">
        <v>3</v>
      </c>
      <c r="K459" s="10">
        <v>3</v>
      </c>
      <c r="L459" s="9">
        <v>3</v>
      </c>
      <c r="M459" s="7">
        <f t="shared" si="114"/>
        <v>9</v>
      </c>
      <c r="N459" s="39">
        <v>44783</v>
      </c>
    </row>
    <row r="460" spans="1:15" x14ac:dyDescent="0.15">
      <c r="A460" s="4"/>
      <c r="B460" s="8"/>
      <c r="C460" s="9"/>
      <c r="D460" s="10"/>
      <c r="E460" s="9"/>
      <c r="F460" s="5">
        <f t="shared" si="115"/>
        <v>0</v>
      </c>
      <c r="H460" s="4" t="s">
        <v>200</v>
      </c>
      <c r="I460" s="8"/>
      <c r="J460" s="9">
        <v>14</v>
      </c>
      <c r="K460" s="10">
        <v>10</v>
      </c>
      <c r="L460" s="9">
        <v>2</v>
      </c>
      <c r="M460" s="7">
        <f t="shared" si="114"/>
        <v>26</v>
      </c>
      <c r="N460" s="39">
        <v>44785</v>
      </c>
    </row>
    <row r="461" spans="1:15" x14ac:dyDescent="0.15">
      <c r="A461" s="4"/>
      <c r="B461" s="8"/>
      <c r="C461" s="9"/>
      <c r="D461" s="10"/>
      <c r="E461" s="9"/>
      <c r="F461" s="5">
        <f t="shared" si="115"/>
        <v>0</v>
      </c>
      <c r="H461" s="4" t="s">
        <v>265</v>
      </c>
      <c r="I461" s="8">
        <v>15</v>
      </c>
      <c r="J461" s="9"/>
      <c r="K461" s="10"/>
      <c r="L461" s="9"/>
      <c r="M461" s="7">
        <f t="shared" si="114"/>
        <v>15</v>
      </c>
      <c r="N461" s="39">
        <v>44795</v>
      </c>
    </row>
    <row r="462" spans="1:15" x14ac:dyDescent="0.15">
      <c r="A462" s="11"/>
      <c r="B462" s="8"/>
      <c r="C462" s="9"/>
      <c r="D462" s="10"/>
      <c r="E462" s="9"/>
      <c r="F462" s="5">
        <f t="shared" si="115"/>
        <v>0</v>
      </c>
      <c r="H462" s="4" t="s">
        <v>200</v>
      </c>
      <c r="I462" s="8">
        <v>2</v>
      </c>
      <c r="J462" s="9"/>
      <c r="K462" s="10"/>
      <c r="L462" s="9">
        <v>6</v>
      </c>
      <c r="M462" s="7">
        <f t="shared" si="114"/>
        <v>8</v>
      </c>
      <c r="N462" s="39">
        <v>44796</v>
      </c>
    </row>
    <row r="463" spans="1:15" x14ac:dyDescent="0.15">
      <c r="A463" s="4"/>
      <c r="B463" s="8"/>
      <c r="C463" s="9"/>
      <c r="D463" s="10"/>
      <c r="E463" s="9"/>
      <c r="F463" s="5">
        <f t="shared" si="115"/>
        <v>0</v>
      </c>
      <c r="H463" s="4" t="s">
        <v>267</v>
      </c>
      <c r="I463" s="8">
        <v>5</v>
      </c>
      <c r="J463" s="9">
        <v>20</v>
      </c>
      <c r="K463" s="10">
        <v>5</v>
      </c>
      <c r="L463" s="9"/>
      <c r="M463" s="7">
        <f t="shared" si="114"/>
        <v>30</v>
      </c>
      <c r="N463" s="39">
        <v>44798</v>
      </c>
    </row>
    <row r="464" spans="1:15" x14ac:dyDescent="0.15">
      <c r="A464" s="4"/>
      <c r="B464" s="8"/>
      <c r="C464" s="9"/>
      <c r="D464" s="10"/>
      <c r="E464" s="9"/>
      <c r="F464" s="5">
        <f t="shared" si="115"/>
        <v>0</v>
      </c>
      <c r="H464" s="4" t="s">
        <v>200</v>
      </c>
      <c r="I464" s="8"/>
      <c r="J464" s="9">
        <v>2</v>
      </c>
      <c r="K464" s="10">
        <v>4</v>
      </c>
      <c r="L464" s="9"/>
      <c r="M464" s="7">
        <f t="shared" si="114"/>
        <v>6</v>
      </c>
      <c r="N464" s="39">
        <v>44799</v>
      </c>
    </row>
    <row r="465" spans="1:14" x14ac:dyDescent="0.15">
      <c r="A465" s="4"/>
      <c r="B465" s="8"/>
      <c r="C465" s="9"/>
      <c r="D465" s="10"/>
      <c r="E465" s="9"/>
      <c r="F465" s="5">
        <f t="shared" si="115"/>
        <v>0</v>
      </c>
      <c r="H465" s="4"/>
      <c r="I465" s="8"/>
      <c r="J465" s="9"/>
      <c r="K465" s="10"/>
      <c r="L465" s="9"/>
      <c r="M465" s="7">
        <f t="shared" si="114"/>
        <v>0</v>
      </c>
      <c r="N465" s="41"/>
    </row>
    <row r="466" spans="1:14" x14ac:dyDescent="0.15">
      <c r="A466" s="28"/>
      <c r="B466" s="8"/>
      <c r="C466" s="9"/>
      <c r="D466" s="10"/>
      <c r="E466" s="9"/>
      <c r="F466" s="5">
        <f t="shared" si="115"/>
        <v>0</v>
      </c>
      <c r="H466" s="4"/>
      <c r="I466" s="8"/>
      <c r="J466" s="9"/>
      <c r="K466" s="10"/>
      <c r="L466" s="12"/>
      <c r="M466" s="7">
        <f t="shared" si="114"/>
        <v>0</v>
      </c>
      <c r="N466" s="41"/>
    </row>
    <row r="467" spans="1:14" x14ac:dyDescent="0.15">
      <c r="A467" s="4"/>
      <c r="B467" s="8"/>
      <c r="C467" s="9"/>
      <c r="D467" s="10"/>
      <c r="E467" s="9"/>
      <c r="F467" s="5">
        <f t="shared" si="115"/>
        <v>0</v>
      </c>
      <c r="H467" s="4"/>
      <c r="I467" s="8"/>
      <c r="J467" s="9"/>
      <c r="K467" s="10"/>
      <c r="L467" s="9"/>
      <c r="M467" s="7">
        <f t="shared" si="114"/>
        <v>0</v>
      </c>
      <c r="N467" s="39"/>
    </row>
    <row r="468" spans="1:14" x14ac:dyDescent="0.15">
      <c r="A468" s="11"/>
      <c r="B468" s="8"/>
      <c r="C468" s="9"/>
      <c r="D468" s="10"/>
      <c r="E468" s="9"/>
      <c r="F468" s="5">
        <f t="shared" si="115"/>
        <v>0</v>
      </c>
      <c r="H468" s="4" t="s">
        <v>218</v>
      </c>
      <c r="I468" s="8"/>
      <c r="J468" s="9"/>
      <c r="K468" s="10"/>
      <c r="L468" s="12"/>
      <c r="M468" s="7">
        <f t="shared" ref="M468:M469" si="116">SUM(I468:L468)</f>
        <v>0</v>
      </c>
      <c r="N468" s="41" t="s">
        <v>217</v>
      </c>
    </row>
    <row r="469" spans="1:14" ht="14.25" thickBot="1" x14ac:dyDescent="0.2">
      <c r="A469" s="4"/>
      <c r="B469" s="8"/>
      <c r="C469" s="9"/>
      <c r="D469" s="10"/>
      <c r="E469" s="51"/>
      <c r="F469" s="5">
        <f t="shared" si="115"/>
        <v>0</v>
      </c>
      <c r="H469" s="4" t="s">
        <v>164</v>
      </c>
      <c r="I469" s="8">
        <v>0</v>
      </c>
      <c r="J469" s="9">
        <v>0</v>
      </c>
      <c r="K469" s="10">
        <v>0</v>
      </c>
      <c r="L469" s="9">
        <v>0</v>
      </c>
      <c r="M469" s="7">
        <f t="shared" si="116"/>
        <v>0</v>
      </c>
      <c r="N469" s="39" t="s">
        <v>195</v>
      </c>
    </row>
    <row r="470" spans="1:14" ht="14.25" thickBot="1" x14ac:dyDescent="0.2">
      <c r="A470" s="3" t="s">
        <v>5</v>
      </c>
      <c r="B470" s="14">
        <f>SUM(B446:B469)</f>
        <v>10</v>
      </c>
      <c r="C470" s="14">
        <f>SUM(C446:C469)</f>
        <v>13</v>
      </c>
      <c r="D470" s="14">
        <f>SUM(D446:D469)</f>
        <v>13</v>
      </c>
      <c r="E470" s="14">
        <f>SUM(E446:E469)</f>
        <v>8</v>
      </c>
      <c r="F470" s="15">
        <f>SUM(B470:E470)</f>
        <v>44</v>
      </c>
      <c r="H470" s="3" t="s">
        <v>5</v>
      </c>
      <c r="I470" s="14">
        <f>SUM(I446:I469)</f>
        <v>260</v>
      </c>
      <c r="J470" s="14">
        <f>SUM(J446:J469)</f>
        <v>289</v>
      </c>
      <c r="K470" s="14">
        <f>SUM(K446:K469)</f>
        <v>157</v>
      </c>
      <c r="L470" s="14">
        <f>SUM(L446:L469)</f>
        <v>85</v>
      </c>
      <c r="M470" s="15">
        <f>SUM(I470:L470)</f>
        <v>791</v>
      </c>
    </row>
    <row r="471" spans="1:14" ht="14.25" thickBot="1" x14ac:dyDescent="0.2">
      <c r="A471" s="25" t="s">
        <v>6</v>
      </c>
      <c r="B471" s="26">
        <f>B445-B470</f>
        <v>13</v>
      </c>
      <c r="C471" s="26">
        <f t="shared" ref="C471:F471" si="117">C445-C470</f>
        <v>9</v>
      </c>
      <c r="D471" s="26">
        <f t="shared" si="117"/>
        <v>6</v>
      </c>
      <c r="E471" s="26">
        <f t="shared" si="117"/>
        <v>10</v>
      </c>
      <c r="F471" s="24">
        <f t="shared" si="117"/>
        <v>38</v>
      </c>
      <c r="H471" s="25" t="s">
        <v>6</v>
      </c>
      <c r="I471" s="26">
        <f>I445-I470</f>
        <v>79</v>
      </c>
      <c r="J471" s="26">
        <f t="shared" ref="J471:M471" si="118">J445-J470</f>
        <v>223</v>
      </c>
      <c r="K471" s="26">
        <f t="shared" si="118"/>
        <v>191</v>
      </c>
      <c r="L471" s="26">
        <f t="shared" si="118"/>
        <v>100</v>
      </c>
      <c r="M471" s="24">
        <f t="shared" si="118"/>
        <v>593</v>
      </c>
    </row>
    <row r="474" spans="1:14" ht="21.75" thickBot="1" x14ac:dyDescent="0.25">
      <c r="A474" s="29" t="s">
        <v>13</v>
      </c>
      <c r="B474" s="1"/>
      <c r="C474" s="1"/>
      <c r="D474" s="1"/>
      <c r="E474" s="1"/>
      <c r="F474" s="1"/>
      <c r="H474" s="29" t="s">
        <v>14</v>
      </c>
      <c r="I474" s="1"/>
      <c r="J474" s="1"/>
      <c r="K474" s="1"/>
      <c r="L474" s="1"/>
      <c r="M474" s="1"/>
    </row>
    <row r="475" spans="1:14" ht="14.25" thickBot="1" x14ac:dyDescent="0.2">
      <c r="A475" s="2" t="s">
        <v>0</v>
      </c>
      <c r="B475" s="164" t="s">
        <v>12</v>
      </c>
      <c r="C475" s="165"/>
      <c r="D475" s="165"/>
      <c r="E475" s="165"/>
      <c r="F475" s="168"/>
      <c r="H475" s="2" t="s">
        <v>0</v>
      </c>
      <c r="I475" s="164" t="s">
        <v>12</v>
      </c>
      <c r="J475" s="165"/>
      <c r="K475" s="165"/>
      <c r="L475" s="165"/>
      <c r="M475" s="168"/>
    </row>
    <row r="476" spans="1:14" ht="14.25" thickBot="1" x14ac:dyDescent="0.2">
      <c r="A476" s="2" t="s">
        <v>1</v>
      </c>
      <c r="B476" s="3" t="s">
        <v>7</v>
      </c>
      <c r="C476" s="2" t="s">
        <v>8</v>
      </c>
      <c r="D476" s="19" t="s">
        <v>9</v>
      </c>
      <c r="E476" s="2" t="s">
        <v>11</v>
      </c>
      <c r="F476" s="2" t="s">
        <v>2</v>
      </c>
      <c r="H476" s="2" t="s">
        <v>1</v>
      </c>
      <c r="I476" s="3" t="s">
        <v>7</v>
      </c>
      <c r="J476" s="2" t="s">
        <v>8</v>
      </c>
      <c r="K476" s="19" t="s">
        <v>9</v>
      </c>
      <c r="L476" s="2" t="s">
        <v>11</v>
      </c>
      <c r="M476" s="2" t="s">
        <v>2</v>
      </c>
    </row>
    <row r="477" spans="1:14" x14ac:dyDescent="0.15">
      <c r="A477" s="27" t="s">
        <v>6</v>
      </c>
      <c r="B477" s="18">
        <f>B471</f>
        <v>13</v>
      </c>
      <c r="C477" s="20">
        <f>C471</f>
        <v>9</v>
      </c>
      <c r="D477" s="55">
        <f>D471</f>
        <v>6</v>
      </c>
      <c r="E477" s="20">
        <f>E471</f>
        <v>10</v>
      </c>
      <c r="F477" s="17">
        <f>SUM(B477:E477)</f>
        <v>38</v>
      </c>
      <c r="H477" s="27" t="s">
        <v>6</v>
      </c>
      <c r="I477" s="18">
        <f>I471</f>
        <v>79</v>
      </c>
      <c r="J477" s="20">
        <f>J471</f>
        <v>223</v>
      </c>
      <c r="K477" s="55">
        <f>K471</f>
        <v>191</v>
      </c>
      <c r="L477" s="58">
        <f>L471</f>
        <v>100</v>
      </c>
      <c r="M477" s="17">
        <f>SUM(I477:L477)</f>
        <v>593</v>
      </c>
    </row>
    <row r="478" spans="1:14" x14ac:dyDescent="0.15">
      <c r="A478" s="6" t="s">
        <v>3</v>
      </c>
      <c r="B478" s="16"/>
      <c r="C478" s="11">
        <v>15</v>
      </c>
      <c r="D478" s="16">
        <v>5</v>
      </c>
      <c r="E478" s="4"/>
      <c r="F478" s="5">
        <f t="shared" ref="F478:F487" si="119">SUM(B478:E478)</f>
        <v>20</v>
      </c>
      <c r="G478" s="39">
        <v>44799</v>
      </c>
      <c r="H478" s="6" t="s">
        <v>3</v>
      </c>
      <c r="I478" s="16"/>
      <c r="J478" s="11"/>
      <c r="K478" s="16"/>
      <c r="L478" s="4"/>
      <c r="M478" s="5">
        <f t="shared" ref="M478:M487" si="120">SUM(I478:L478)</f>
        <v>0</v>
      </c>
    </row>
    <row r="479" spans="1:14" x14ac:dyDescent="0.15">
      <c r="A479" s="6" t="s">
        <v>45</v>
      </c>
      <c r="B479" s="16"/>
      <c r="C479" s="11"/>
      <c r="D479" s="16">
        <v>2</v>
      </c>
      <c r="E479" s="4">
        <v>2</v>
      </c>
      <c r="F479" s="5">
        <f t="shared" si="119"/>
        <v>4</v>
      </c>
      <c r="G479" s="71">
        <v>44799</v>
      </c>
      <c r="H479" s="6" t="s">
        <v>3</v>
      </c>
      <c r="I479" s="16"/>
      <c r="J479" s="11"/>
      <c r="K479" s="16"/>
      <c r="L479" s="4"/>
      <c r="M479" s="5">
        <f t="shared" ref="M479" si="121">SUM(I479:L479)</f>
        <v>0</v>
      </c>
    </row>
    <row r="480" spans="1:14" x14ac:dyDescent="0.15">
      <c r="A480" s="6" t="s">
        <v>45</v>
      </c>
      <c r="B480" s="16"/>
      <c r="C480" s="11"/>
      <c r="D480" s="16"/>
      <c r="E480" s="4">
        <v>2</v>
      </c>
      <c r="F480" s="5">
        <f t="shared" si="119"/>
        <v>2</v>
      </c>
      <c r="G480" s="71">
        <v>44811</v>
      </c>
      <c r="H480" s="6" t="s">
        <v>3</v>
      </c>
      <c r="I480" s="16"/>
      <c r="J480" s="11"/>
      <c r="K480" s="16"/>
      <c r="L480" s="4"/>
      <c r="M480" s="5">
        <f t="shared" ref="M480:M483" si="122">SUM(I480:L480)</f>
        <v>0</v>
      </c>
    </row>
    <row r="481" spans="1:14" x14ac:dyDescent="0.15">
      <c r="A481" s="6" t="s">
        <v>45</v>
      </c>
      <c r="B481" s="16"/>
      <c r="C481" s="11">
        <v>2</v>
      </c>
      <c r="D481" s="16"/>
      <c r="E481" s="4"/>
      <c r="F481" s="5">
        <f t="shared" si="119"/>
        <v>2</v>
      </c>
      <c r="G481" s="71">
        <v>44812</v>
      </c>
      <c r="H481" s="6" t="s">
        <v>3</v>
      </c>
      <c r="I481" s="16"/>
      <c r="J481" s="11"/>
      <c r="K481" s="16"/>
      <c r="L481" s="4"/>
      <c r="M481" s="5">
        <f t="shared" si="122"/>
        <v>0</v>
      </c>
    </row>
    <row r="482" spans="1:14" x14ac:dyDescent="0.15">
      <c r="A482" s="6" t="s">
        <v>3</v>
      </c>
      <c r="B482" s="16"/>
      <c r="C482" s="11"/>
      <c r="D482" s="16"/>
      <c r="E482" s="4"/>
      <c r="F482" s="5">
        <f t="shared" si="119"/>
        <v>0</v>
      </c>
      <c r="H482" s="6" t="s">
        <v>3</v>
      </c>
      <c r="I482" s="31">
        <v>750</v>
      </c>
      <c r="J482" s="32">
        <v>700</v>
      </c>
      <c r="K482" s="31">
        <v>400</v>
      </c>
      <c r="L482" s="52">
        <v>150</v>
      </c>
      <c r="M482" s="5">
        <f t="shared" si="122"/>
        <v>2000</v>
      </c>
      <c r="N482" s="39" t="s">
        <v>273</v>
      </c>
    </row>
    <row r="483" spans="1:14" x14ac:dyDescent="0.15">
      <c r="A483" s="6" t="s">
        <v>3</v>
      </c>
      <c r="B483" s="16"/>
      <c r="C483" s="11"/>
      <c r="D483" s="16"/>
      <c r="E483" s="4"/>
      <c r="F483" s="5">
        <f t="shared" si="119"/>
        <v>0</v>
      </c>
      <c r="H483" s="6" t="s">
        <v>155</v>
      </c>
      <c r="I483" s="38">
        <v>5</v>
      </c>
      <c r="J483" s="32">
        <v>4</v>
      </c>
      <c r="K483" s="31">
        <v>-13</v>
      </c>
      <c r="L483" s="52">
        <v>4</v>
      </c>
      <c r="M483" s="5">
        <f t="shared" si="122"/>
        <v>0</v>
      </c>
      <c r="N483" s="41" t="s">
        <v>264</v>
      </c>
    </row>
    <row r="484" spans="1:14" x14ac:dyDescent="0.15">
      <c r="A484" s="6" t="s">
        <v>3</v>
      </c>
      <c r="B484" s="31"/>
      <c r="C484" s="32"/>
      <c r="D484" s="31"/>
      <c r="E484" s="52"/>
      <c r="F484" s="5">
        <f t="shared" si="119"/>
        <v>0</v>
      </c>
      <c r="H484" s="6" t="s">
        <v>3</v>
      </c>
      <c r="I484" s="16"/>
      <c r="J484" s="11"/>
      <c r="K484" s="16"/>
      <c r="L484" s="4"/>
      <c r="M484" s="5">
        <f t="shared" si="120"/>
        <v>0</v>
      </c>
      <c r="N484" s="41"/>
    </row>
    <row r="485" spans="1:14" x14ac:dyDescent="0.15">
      <c r="A485" s="6" t="s">
        <v>3</v>
      </c>
      <c r="B485" s="10"/>
      <c r="C485" s="9"/>
      <c r="D485" s="10"/>
      <c r="E485" s="49"/>
      <c r="F485" s="5">
        <f t="shared" si="119"/>
        <v>0</v>
      </c>
      <c r="H485" s="6" t="s">
        <v>3</v>
      </c>
      <c r="I485" s="31"/>
      <c r="J485" s="32"/>
      <c r="K485" s="31"/>
      <c r="L485" s="52"/>
      <c r="M485" s="5">
        <f t="shared" si="120"/>
        <v>0</v>
      </c>
      <c r="N485" s="41"/>
    </row>
    <row r="486" spans="1:14" x14ac:dyDescent="0.15">
      <c r="A486" s="6" t="s">
        <v>3</v>
      </c>
      <c r="B486" s="31"/>
      <c r="C486" s="32"/>
      <c r="D486" s="31"/>
      <c r="E486" s="52"/>
      <c r="F486" s="5">
        <f t="shared" si="119"/>
        <v>0</v>
      </c>
      <c r="H486" s="6" t="s">
        <v>3</v>
      </c>
      <c r="I486" s="34"/>
      <c r="J486" s="35"/>
      <c r="K486" s="34"/>
      <c r="L486" s="32"/>
      <c r="M486" s="5">
        <f t="shared" si="120"/>
        <v>0</v>
      </c>
    </row>
    <row r="487" spans="1:14" ht="14.25" thickBot="1" x14ac:dyDescent="0.2">
      <c r="A487" s="6" t="s">
        <v>3</v>
      </c>
      <c r="B487" s="13"/>
      <c r="C487" s="12"/>
      <c r="D487" s="13"/>
      <c r="E487" s="50"/>
      <c r="F487" s="5">
        <f t="shared" si="119"/>
        <v>0</v>
      </c>
      <c r="H487" s="6" t="s">
        <v>3</v>
      </c>
      <c r="I487" s="34"/>
      <c r="J487" s="35"/>
      <c r="K487" s="34"/>
      <c r="L487" s="53"/>
      <c r="M487" s="5">
        <f t="shared" si="120"/>
        <v>0</v>
      </c>
    </row>
    <row r="488" spans="1:14" ht="14.25" thickBot="1" x14ac:dyDescent="0.2">
      <c r="A488" s="21" t="s">
        <v>4</v>
      </c>
      <c r="B488" s="22">
        <f>SUM(B477:B487)</f>
        <v>13</v>
      </c>
      <c r="C488" s="22">
        <f>SUM(C477:C487)</f>
        <v>26</v>
      </c>
      <c r="D488" s="23">
        <f>SUM(D477:D487)</f>
        <v>13</v>
      </c>
      <c r="E488" s="23">
        <f>SUM(E477:E487)</f>
        <v>14</v>
      </c>
      <c r="F488" s="24">
        <f>SUM(B488:E488)</f>
        <v>66</v>
      </c>
      <c r="H488" s="21" t="s">
        <v>4</v>
      </c>
      <c r="I488" s="22">
        <f>SUM(I477:I487)</f>
        <v>834</v>
      </c>
      <c r="J488" s="22">
        <f>SUM(J477:J487)</f>
        <v>927</v>
      </c>
      <c r="K488" s="23">
        <f>SUM(K477:K487)</f>
        <v>578</v>
      </c>
      <c r="L488" s="23">
        <f>SUM(L477:L487)</f>
        <v>254</v>
      </c>
      <c r="M488" s="24">
        <f>SUM(I488:L488)</f>
        <v>2593</v>
      </c>
    </row>
    <row r="489" spans="1:14" x14ac:dyDescent="0.15">
      <c r="A489" s="4" t="s">
        <v>269</v>
      </c>
      <c r="B489" s="80"/>
      <c r="C489" s="49">
        <v>10</v>
      </c>
      <c r="D489" s="78"/>
      <c r="E489" s="9"/>
      <c r="F489" s="7">
        <f>SUM(B489:E489)</f>
        <v>10</v>
      </c>
      <c r="G489" s="39">
        <v>44803</v>
      </c>
      <c r="H489" s="4" t="s">
        <v>200</v>
      </c>
      <c r="I489" s="80">
        <v>2</v>
      </c>
      <c r="J489" s="49">
        <v>4</v>
      </c>
      <c r="K489" s="78"/>
      <c r="L489" s="9"/>
      <c r="M489" s="7">
        <f>SUM(I489:L489)</f>
        <v>6</v>
      </c>
      <c r="N489" s="39">
        <v>44799</v>
      </c>
    </row>
    <row r="490" spans="1:14" x14ac:dyDescent="0.15">
      <c r="A490" s="4" t="s">
        <v>200</v>
      </c>
      <c r="B490" s="8"/>
      <c r="C490" s="9"/>
      <c r="D490" s="10">
        <v>4</v>
      </c>
      <c r="E490" s="49"/>
      <c r="F490" s="5">
        <f t="shared" ref="F490:F511" si="123">SUM(B490:E490)</f>
        <v>4</v>
      </c>
      <c r="G490" s="39">
        <v>44802</v>
      </c>
      <c r="H490" s="4" t="s">
        <v>271</v>
      </c>
      <c r="I490" s="8"/>
      <c r="J490" s="9">
        <v>15</v>
      </c>
      <c r="K490" s="10">
        <v>5</v>
      </c>
      <c r="L490" s="9"/>
      <c r="M490" s="7">
        <f t="shared" ref="M490:M512" si="124">SUM(I490:L490)</f>
        <v>20</v>
      </c>
      <c r="N490" s="39">
        <v>44799</v>
      </c>
    </row>
    <row r="491" spans="1:14" x14ac:dyDescent="0.15">
      <c r="A491" s="4" t="s">
        <v>200</v>
      </c>
      <c r="B491" s="8"/>
      <c r="C491" s="9"/>
      <c r="D491" s="10">
        <v>2</v>
      </c>
      <c r="E491" s="49"/>
      <c r="F491" s="5">
        <f t="shared" si="123"/>
        <v>2</v>
      </c>
      <c r="G491" s="39">
        <v>44804</v>
      </c>
      <c r="H491" s="28"/>
      <c r="I491" s="8"/>
      <c r="J491" s="9"/>
      <c r="K491" s="10"/>
      <c r="L491" s="49"/>
      <c r="M491" s="7">
        <f t="shared" si="124"/>
        <v>0</v>
      </c>
    </row>
    <row r="492" spans="1:14" x14ac:dyDescent="0.15">
      <c r="A492" s="4" t="s">
        <v>200</v>
      </c>
      <c r="B492" s="8">
        <v>2</v>
      </c>
      <c r="C492" s="9"/>
      <c r="D492" s="10"/>
      <c r="E492" s="49"/>
      <c r="F492" s="5">
        <f t="shared" si="123"/>
        <v>2</v>
      </c>
      <c r="G492" s="39">
        <v>44805</v>
      </c>
      <c r="H492" s="4"/>
      <c r="I492" s="8"/>
      <c r="J492" s="9"/>
      <c r="K492" s="10"/>
      <c r="L492" s="49"/>
      <c r="M492" s="7">
        <f t="shared" si="124"/>
        <v>0</v>
      </c>
    </row>
    <row r="493" spans="1:14" x14ac:dyDescent="0.15">
      <c r="A493" s="4" t="s">
        <v>200</v>
      </c>
      <c r="B493" s="8"/>
      <c r="C493" s="9">
        <v>2</v>
      </c>
      <c r="D493" s="10"/>
      <c r="E493" s="49"/>
      <c r="F493" s="5">
        <f t="shared" si="123"/>
        <v>2</v>
      </c>
      <c r="G493" s="39">
        <v>44811</v>
      </c>
      <c r="H493" s="4"/>
      <c r="I493" s="8"/>
      <c r="J493" s="9"/>
      <c r="K493" s="10"/>
      <c r="L493" s="49"/>
      <c r="M493" s="7">
        <f t="shared" si="124"/>
        <v>0</v>
      </c>
    </row>
    <row r="494" spans="1:14" x14ac:dyDescent="0.15">
      <c r="A494" s="4"/>
      <c r="B494" s="8"/>
      <c r="C494" s="9"/>
      <c r="D494" s="10"/>
      <c r="E494" s="9"/>
      <c r="F494" s="5">
        <f t="shared" ref="F494:F495" si="125">SUM(B494:E494)</f>
        <v>0</v>
      </c>
      <c r="G494" s="41"/>
      <c r="H494" s="28"/>
      <c r="I494" s="8"/>
      <c r="J494" s="9"/>
      <c r="K494" s="10"/>
      <c r="L494" s="9"/>
      <c r="M494" s="7">
        <f t="shared" si="124"/>
        <v>0</v>
      </c>
    </row>
    <row r="495" spans="1:14" x14ac:dyDescent="0.15">
      <c r="A495" s="4"/>
      <c r="B495" s="8"/>
      <c r="C495" s="9"/>
      <c r="D495" s="10"/>
      <c r="E495" s="9"/>
      <c r="F495" s="5">
        <f t="shared" si="125"/>
        <v>0</v>
      </c>
      <c r="G495" s="41"/>
      <c r="H495" s="28"/>
      <c r="I495" s="8"/>
      <c r="J495" s="9"/>
      <c r="K495" s="10"/>
      <c r="L495" s="9"/>
      <c r="M495" s="7">
        <f t="shared" si="124"/>
        <v>0</v>
      </c>
    </row>
    <row r="496" spans="1:14" x14ac:dyDescent="0.15">
      <c r="A496" s="4"/>
      <c r="B496" s="8"/>
      <c r="C496" s="9"/>
      <c r="D496" s="10"/>
      <c r="E496" s="9"/>
      <c r="F496" s="5">
        <f t="shared" si="123"/>
        <v>0</v>
      </c>
      <c r="G496" s="41"/>
      <c r="H496" s="4"/>
      <c r="I496" s="8"/>
      <c r="J496" s="9"/>
      <c r="K496" s="10"/>
      <c r="L496" s="9"/>
      <c r="M496" s="7">
        <f t="shared" si="124"/>
        <v>0</v>
      </c>
    </row>
    <row r="497" spans="1:14" x14ac:dyDescent="0.15">
      <c r="A497" s="4"/>
      <c r="B497" s="8"/>
      <c r="C497" s="9"/>
      <c r="D497" s="10"/>
      <c r="E497" s="9"/>
      <c r="F497" s="5">
        <f t="shared" si="123"/>
        <v>0</v>
      </c>
      <c r="H497" s="4"/>
      <c r="I497" s="8"/>
      <c r="J497" s="9"/>
      <c r="K497" s="10"/>
      <c r="L497" s="9"/>
      <c r="M497" s="7">
        <f t="shared" si="124"/>
        <v>0</v>
      </c>
    </row>
    <row r="498" spans="1:14" x14ac:dyDescent="0.15">
      <c r="A498" s="4"/>
      <c r="B498" s="8"/>
      <c r="C498" s="9"/>
      <c r="D498" s="10"/>
      <c r="E498" s="9"/>
      <c r="F498" s="5">
        <f t="shared" si="123"/>
        <v>0</v>
      </c>
      <c r="H498" s="4"/>
      <c r="I498" s="8"/>
      <c r="J498" s="9"/>
      <c r="K498" s="10"/>
      <c r="L498" s="9"/>
      <c r="M498" s="7">
        <f t="shared" si="124"/>
        <v>0</v>
      </c>
    </row>
    <row r="499" spans="1:14" x14ac:dyDescent="0.15">
      <c r="A499" s="4"/>
      <c r="B499" s="8"/>
      <c r="C499" s="9"/>
      <c r="D499" s="10"/>
      <c r="E499" s="9"/>
      <c r="F499" s="5">
        <f t="shared" si="123"/>
        <v>0</v>
      </c>
      <c r="H499" s="4"/>
      <c r="I499" s="8"/>
      <c r="J499" s="9"/>
      <c r="K499" s="10"/>
      <c r="L499" s="9"/>
      <c r="M499" s="7">
        <f t="shared" si="124"/>
        <v>0</v>
      </c>
    </row>
    <row r="500" spans="1:14" x14ac:dyDescent="0.15">
      <c r="A500" s="4"/>
      <c r="B500" s="8"/>
      <c r="C500" s="9"/>
      <c r="D500" s="10"/>
      <c r="E500" s="9"/>
      <c r="F500" s="5">
        <f t="shared" si="123"/>
        <v>0</v>
      </c>
      <c r="H500" s="4"/>
      <c r="I500" s="8"/>
      <c r="J500" s="9"/>
      <c r="K500" s="10"/>
      <c r="L500" s="9"/>
      <c r="M500" s="7">
        <f t="shared" si="124"/>
        <v>0</v>
      </c>
    </row>
    <row r="501" spans="1:14" x14ac:dyDescent="0.15">
      <c r="A501" s="4"/>
      <c r="B501" s="8"/>
      <c r="C501" s="9"/>
      <c r="D501" s="10"/>
      <c r="E501" s="9"/>
      <c r="F501" s="5">
        <f t="shared" si="123"/>
        <v>0</v>
      </c>
      <c r="H501" s="4"/>
      <c r="I501" s="8"/>
      <c r="J501" s="9"/>
      <c r="K501" s="10"/>
      <c r="L501" s="9"/>
      <c r="M501" s="7">
        <f t="shared" si="124"/>
        <v>0</v>
      </c>
    </row>
    <row r="502" spans="1:14" x14ac:dyDescent="0.15">
      <c r="A502" s="4"/>
      <c r="B502" s="8"/>
      <c r="C502" s="9"/>
      <c r="D502" s="10"/>
      <c r="E502" s="9"/>
      <c r="F502" s="5">
        <f t="shared" si="123"/>
        <v>0</v>
      </c>
      <c r="H502" s="4"/>
      <c r="I502" s="8"/>
      <c r="J502" s="9"/>
      <c r="K502" s="10"/>
      <c r="L502" s="9"/>
      <c r="M502" s="7">
        <f t="shared" si="124"/>
        <v>0</v>
      </c>
    </row>
    <row r="503" spans="1:14" x14ac:dyDescent="0.15">
      <c r="A503" s="4"/>
      <c r="B503" s="8"/>
      <c r="C503" s="9"/>
      <c r="D503" s="10"/>
      <c r="E503" s="9"/>
      <c r="F503" s="5">
        <f t="shared" si="123"/>
        <v>0</v>
      </c>
      <c r="H503" s="4"/>
      <c r="I503" s="8"/>
      <c r="J503" s="9"/>
      <c r="K503" s="10"/>
      <c r="L503" s="9"/>
      <c r="M503" s="7">
        <f t="shared" si="124"/>
        <v>0</v>
      </c>
    </row>
    <row r="504" spans="1:14" x14ac:dyDescent="0.15">
      <c r="A504" s="4"/>
      <c r="B504" s="8"/>
      <c r="C504" s="9"/>
      <c r="D504" s="10"/>
      <c r="E504" s="9"/>
      <c r="F504" s="5">
        <f t="shared" si="123"/>
        <v>0</v>
      </c>
      <c r="H504" s="4"/>
      <c r="I504" s="8"/>
      <c r="J504" s="9"/>
      <c r="K504" s="10"/>
      <c r="L504" s="9"/>
      <c r="M504" s="7">
        <f t="shared" si="124"/>
        <v>0</v>
      </c>
    </row>
    <row r="505" spans="1:14" x14ac:dyDescent="0.15">
      <c r="A505" s="11"/>
      <c r="B505" s="8"/>
      <c r="C505" s="9"/>
      <c r="D505" s="10"/>
      <c r="E505" s="9"/>
      <c r="F505" s="5">
        <f t="shared" si="123"/>
        <v>0</v>
      </c>
      <c r="H505" s="4"/>
      <c r="I505" s="8"/>
      <c r="J505" s="9"/>
      <c r="K505" s="10"/>
      <c r="L505" s="9"/>
      <c r="M505" s="7">
        <f t="shared" si="124"/>
        <v>0</v>
      </c>
    </row>
    <row r="506" spans="1:14" x14ac:dyDescent="0.15">
      <c r="A506" s="4"/>
      <c r="B506" s="8"/>
      <c r="C506" s="9"/>
      <c r="D506" s="10"/>
      <c r="E506" s="9"/>
      <c r="F506" s="5">
        <f t="shared" si="123"/>
        <v>0</v>
      </c>
      <c r="H506" s="4"/>
      <c r="I506" s="8"/>
      <c r="J506" s="9"/>
      <c r="K506" s="10"/>
      <c r="L506" s="9"/>
      <c r="M506" s="7">
        <f t="shared" si="124"/>
        <v>0</v>
      </c>
    </row>
    <row r="507" spans="1:14" x14ac:dyDescent="0.15">
      <c r="A507" s="4"/>
      <c r="B507" s="8"/>
      <c r="C507" s="9"/>
      <c r="D507" s="10"/>
      <c r="E507" s="9"/>
      <c r="F507" s="5">
        <f t="shared" si="123"/>
        <v>0</v>
      </c>
      <c r="H507" s="4"/>
      <c r="I507" s="8"/>
      <c r="J507" s="9"/>
      <c r="K507" s="10"/>
      <c r="L507" s="9"/>
      <c r="M507" s="7">
        <f t="shared" si="124"/>
        <v>0</v>
      </c>
    </row>
    <row r="508" spans="1:14" x14ac:dyDescent="0.15">
      <c r="A508" s="4"/>
      <c r="B508" s="8"/>
      <c r="C508" s="9"/>
      <c r="D508" s="10"/>
      <c r="E508" s="9"/>
      <c r="F508" s="5">
        <f t="shared" si="123"/>
        <v>0</v>
      </c>
      <c r="H508" s="4"/>
      <c r="I508" s="8"/>
      <c r="J508" s="9"/>
      <c r="K508" s="10"/>
      <c r="L508" s="9"/>
      <c r="M508" s="7">
        <f t="shared" si="124"/>
        <v>0</v>
      </c>
    </row>
    <row r="509" spans="1:14" x14ac:dyDescent="0.15">
      <c r="A509" s="28"/>
      <c r="B509" s="8"/>
      <c r="C509" s="9"/>
      <c r="D509" s="10"/>
      <c r="E509" s="9"/>
      <c r="F509" s="5">
        <f t="shared" si="123"/>
        <v>0</v>
      </c>
      <c r="H509" s="4"/>
      <c r="I509" s="8"/>
      <c r="J509" s="9"/>
      <c r="K509" s="10"/>
      <c r="L509" s="12"/>
      <c r="M509" s="7">
        <f t="shared" si="124"/>
        <v>0</v>
      </c>
      <c r="N509" s="41"/>
    </row>
    <row r="510" spans="1:14" x14ac:dyDescent="0.15">
      <c r="A510" s="4"/>
      <c r="B510" s="8"/>
      <c r="C510" s="9"/>
      <c r="D510" s="10"/>
      <c r="E510" s="9"/>
      <c r="F510" s="5">
        <f t="shared" si="123"/>
        <v>0</v>
      </c>
      <c r="H510" s="4"/>
      <c r="I510" s="8"/>
      <c r="J510" s="9"/>
      <c r="K510" s="10"/>
      <c r="L510" s="9"/>
      <c r="M510" s="7">
        <f t="shared" si="124"/>
        <v>0</v>
      </c>
      <c r="N510" s="41"/>
    </row>
    <row r="511" spans="1:14" x14ac:dyDescent="0.15">
      <c r="A511" s="11"/>
      <c r="B511" s="8"/>
      <c r="C511" s="9"/>
      <c r="D511" s="10"/>
      <c r="E511" s="9"/>
      <c r="F511" s="5">
        <f t="shared" si="123"/>
        <v>0</v>
      </c>
      <c r="H511" s="4" t="s">
        <v>135</v>
      </c>
      <c r="I511" s="8"/>
      <c r="J511" s="9"/>
      <c r="K511" s="10"/>
      <c r="L511" s="9"/>
      <c r="M511" s="7">
        <f t="shared" si="124"/>
        <v>0</v>
      </c>
      <c r="N511" s="41" t="s">
        <v>239</v>
      </c>
    </row>
    <row r="512" spans="1:14" ht="14.25" thickBot="1" x14ac:dyDescent="0.2">
      <c r="A512" s="11"/>
      <c r="B512" s="8"/>
      <c r="C512" s="9"/>
      <c r="D512" s="10"/>
      <c r="E512" s="9"/>
      <c r="F512" s="5">
        <f t="shared" ref="F512" si="126">SUM(B512:E512)</f>
        <v>0</v>
      </c>
      <c r="H512" s="4" t="s">
        <v>134</v>
      </c>
      <c r="I512" s="8"/>
      <c r="J512" s="9"/>
      <c r="K512" s="10"/>
      <c r="L512" s="116"/>
      <c r="M512" s="7">
        <f t="shared" si="124"/>
        <v>0</v>
      </c>
      <c r="N512" s="41" t="s">
        <v>239</v>
      </c>
    </row>
    <row r="513" spans="1:14" ht="14.25" thickBot="1" x14ac:dyDescent="0.2">
      <c r="A513" s="3" t="s">
        <v>5</v>
      </c>
      <c r="B513" s="14">
        <f>SUM(B489:B512)</f>
        <v>2</v>
      </c>
      <c r="C513" s="14">
        <f>SUM(C489:C512)</f>
        <v>12</v>
      </c>
      <c r="D513" s="14">
        <f>SUM(D489:D512)</f>
        <v>6</v>
      </c>
      <c r="E513" s="14">
        <f>SUM(E489:E512)</f>
        <v>0</v>
      </c>
      <c r="F513" s="15">
        <f>SUM(B513:E513)</f>
        <v>20</v>
      </c>
      <c r="H513" s="3" t="s">
        <v>5</v>
      </c>
      <c r="I513" s="14">
        <f>SUM(I489:I512)</f>
        <v>2</v>
      </c>
      <c r="J513" s="14">
        <f>SUM(J489:J512)</f>
        <v>19</v>
      </c>
      <c r="K513" s="14">
        <f>SUM(K489:K512)</f>
        <v>5</v>
      </c>
      <c r="L513" s="14">
        <f>SUM(L489:L512)</f>
        <v>0</v>
      </c>
      <c r="M513" s="15">
        <f>SUM(I513:L513)</f>
        <v>26</v>
      </c>
    </row>
    <row r="514" spans="1:14" ht="14.25" thickBot="1" x14ac:dyDescent="0.2">
      <c r="A514" s="25" t="s">
        <v>6</v>
      </c>
      <c r="B514" s="26">
        <f>B488-B513</f>
        <v>11</v>
      </c>
      <c r="C514" s="26">
        <f t="shared" ref="C514:F514" si="127">C488-C513</f>
        <v>14</v>
      </c>
      <c r="D514" s="26">
        <f t="shared" si="127"/>
        <v>7</v>
      </c>
      <c r="E514" s="26">
        <f t="shared" si="127"/>
        <v>14</v>
      </c>
      <c r="F514" s="24">
        <f t="shared" si="127"/>
        <v>46</v>
      </c>
      <c r="H514" s="25" t="s">
        <v>6</v>
      </c>
      <c r="I514" s="26">
        <f>I488-I513</f>
        <v>832</v>
      </c>
      <c r="J514" s="26">
        <f t="shared" ref="J514:M514" si="128">J488-J513</f>
        <v>908</v>
      </c>
      <c r="K514" s="26">
        <f t="shared" si="128"/>
        <v>573</v>
      </c>
      <c r="L514" s="26">
        <f t="shared" si="128"/>
        <v>254</v>
      </c>
      <c r="M514" s="24">
        <f t="shared" si="128"/>
        <v>2567</v>
      </c>
    </row>
    <row r="516" spans="1:14" x14ac:dyDescent="0.15">
      <c r="I516" s="99"/>
      <c r="J516" s="99"/>
      <c r="K516" s="99"/>
      <c r="L516" s="99"/>
      <c r="M516" s="99"/>
    </row>
    <row r="517" spans="1:14" ht="21.75" thickBot="1" x14ac:dyDescent="0.25">
      <c r="A517" s="29" t="s">
        <v>13</v>
      </c>
      <c r="B517" s="1"/>
      <c r="C517" s="1"/>
      <c r="D517" s="1"/>
      <c r="E517" s="1"/>
      <c r="F517" s="1"/>
      <c r="H517" s="29" t="s">
        <v>14</v>
      </c>
      <c r="I517" s="1"/>
      <c r="J517" s="1"/>
      <c r="K517" s="1"/>
      <c r="L517" s="1"/>
      <c r="M517" s="1"/>
    </row>
    <row r="518" spans="1:14" ht="14.25" thickBot="1" x14ac:dyDescent="0.2">
      <c r="A518" s="2" t="s">
        <v>0</v>
      </c>
      <c r="B518" s="164" t="s">
        <v>12</v>
      </c>
      <c r="C518" s="165"/>
      <c r="D518" s="165"/>
      <c r="E518" s="165"/>
      <c r="F518" s="168"/>
      <c r="H518" s="2" t="s">
        <v>0</v>
      </c>
      <c r="I518" s="164" t="s">
        <v>12</v>
      </c>
      <c r="J518" s="165"/>
      <c r="K518" s="165"/>
      <c r="L518" s="165"/>
      <c r="M518" s="168"/>
    </row>
    <row r="519" spans="1:14" ht="14.25" thickBot="1" x14ac:dyDescent="0.2">
      <c r="A519" s="2" t="s">
        <v>1</v>
      </c>
      <c r="B519" s="3" t="s">
        <v>7</v>
      </c>
      <c r="C519" s="2" t="s">
        <v>8</v>
      </c>
      <c r="D519" s="19" t="s">
        <v>9</v>
      </c>
      <c r="E519" s="2" t="s">
        <v>11</v>
      </c>
      <c r="F519" s="2" t="s">
        <v>2</v>
      </c>
      <c r="H519" s="2" t="s">
        <v>1</v>
      </c>
      <c r="I519" s="3" t="s">
        <v>7</v>
      </c>
      <c r="J519" s="2" t="s">
        <v>8</v>
      </c>
      <c r="K519" s="19" t="s">
        <v>9</v>
      </c>
      <c r="L519" s="2" t="s">
        <v>11</v>
      </c>
      <c r="M519" s="2" t="s">
        <v>2</v>
      </c>
    </row>
    <row r="520" spans="1:14" x14ac:dyDescent="0.15">
      <c r="A520" s="27" t="s">
        <v>6</v>
      </c>
      <c r="B520" s="18">
        <f>B514</f>
        <v>11</v>
      </c>
      <c r="C520" s="20">
        <f>C514</f>
        <v>14</v>
      </c>
      <c r="D520" s="55">
        <f>D514</f>
        <v>7</v>
      </c>
      <c r="E520" s="20">
        <f>E514</f>
        <v>14</v>
      </c>
      <c r="F520" s="17">
        <f>SUM(B520:E520)</f>
        <v>46</v>
      </c>
      <c r="H520" s="27" t="s">
        <v>6</v>
      </c>
      <c r="I520" s="18">
        <f>I514</f>
        <v>832</v>
      </c>
      <c r="J520" s="20">
        <f>J514</f>
        <v>908</v>
      </c>
      <c r="K520" s="55">
        <f>K514</f>
        <v>573</v>
      </c>
      <c r="L520" s="58">
        <f>L514</f>
        <v>254</v>
      </c>
      <c r="M520" s="17">
        <f>SUM(I520:L520)</f>
        <v>2567</v>
      </c>
    </row>
    <row r="521" spans="1:14" x14ac:dyDescent="0.15">
      <c r="A521" s="6" t="s">
        <v>3</v>
      </c>
      <c r="B521" s="16"/>
      <c r="C521" s="11"/>
      <c r="D521" s="16">
        <v>5</v>
      </c>
      <c r="E521" s="4"/>
      <c r="F521" s="5">
        <f t="shared" ref="F521:F530" si="129">SUM(B521:E521)</f>
        <v>5</v>
      </c>
      <c r="G521" s="39">
        <v>44816</v>
      </c>
      <c r="H521" s="6" t="s">
        <v>83</v>
      </c>
      <c r="I521" s="16">
        <v>3</v>
      </c>
      <c r="J521" s="11">
        <v>3</v>
      </c>
      <c r="K521" s="16"/>
      <c r="L521" s="4">
        <v>1</v>
      </c>
      <c r="M521" s="5">
        <f t="shared" ref="M521" si="130">SUM(I521:L521)</f>
        <v>7</v>
      </c>
      <c r="N521" s="71">
        <v>44833</v>
      </c>
    </row>
    <row r="522" spans="1:14" x14ac:dyDescent="0.15">
      <c r="A522" s="6" t="s">
        <v>3</v>
      </c>
      <c r="B522" s="16">
        <v>5</v>
      </c>
      <c r="C522" s="11">
        <v>5</v>
      </c>
      <c r="D522" s="16">
        <v>5</v>
      </c>
      <c r="E522" s="4"/>
      <c r="F522" s="5">
        <f t="shared" si="129"/>
        <v>15</v>
      </c>
      <c r="G522" s="39">
        <v>44831</v>
      </c>
      <c r="H522" s="6" t="s">
        <v>3</v>
      </c>
      <c r="I522" s="16"/>
      <c r="J522" s="11"/>
      <c r="K522" s="16"/>
      <c r="L522" s="4"/>
      <c r="M522" s="5">
        <f t="shared" ref="M522:M530" si="131">SUM(I522:L522)</f>
        <v>0</v>
      </c>
    </row>
    <row r="523" spans="1:14" x14ac:dyDescent="0.15">
      <c r="A523" s="6" t="s">
        <v>3</v>
      </c>
      <c r="B523" s="16">
        <v>5</v>
      </c>
      <c r="C523" s="11"/>
      <c r="D523" s="16"/>
      <c r="E523" s="4"/>
      <c r="F523" s="5">
        <f t="shared" si="129"/>
        <v>5</v>
      </c>
      <c r="G523" s="39">
        <v>44838</v>
      </c>
      <c r="H523" s="6" t="s">
        <v>3</v>
      </c>
      <c r="I523" s="31"/>
      <c r="J523" s="32"/>
      <c r="K523" s="31"/>
      <c r="L523" s="52"/>
      <c r="M523" s="5">
        <f t="shared" si="131"/>
        <v>0</v>
      </c>
      <c r="N523" s="39"/>
    </row>
    <row r="524" spans="1:14" x14ac:dyDescent="0.15">
      <c r="A524" s="6" t="s">
        <v>306</v>
      </c>
      <c r="B524" s="16"/>
      <c r="C524" s="11">
        <v>4</v>
      </c>
      <c r="D524" s="16"/>
      <c r="E524" s="4"/>
      <c r="F524" s="5">
        <f t="shared" si="129"/>
        <v>4</v>
      </c>
      <c r="G524" s="41"/>
      <c r="H524" s="6" t="s">
        <v>3</v>
      </c>
      <c r="I524" s="38"/>
      <c r="J524" s="32"/>
      <c r="K524" s="31"/>
      <c r="L524" s="52"/>
      <c r="M524" s="5">
        <f t="shared" si="131"/>
        <v>0</v>
      </c>
      <c r="N524" s="41"/>
    </row>
    <row r="525" spans="1:14" x14ac:dyDescent="0.15">
      <c r="A525" s="6" t="s">
        <v>3</v>
      </c>
      <c r="B525" s="16"/>
      <c r="C525" s="11"/>
      <c r="D525" s="16"/>
      <c r="E525" s="4"/>
      <c r="F525" s="5">
        <f t="shared" si="129"/>
        <v>0</v>
      </c>
      <c r="G525" s="41"/>
      <c r="H525" s="6" t="s">
        <v>3</v>
      </c>
      <c r="I525" s="31"/>
      <c r="J525" s="32"/>
      <c r="K525" s="31"/>
      <c r="L525" s="52"/>
      <c r="M525" s="5">
        <f t="shared" si="131"/>
        <v>0</v>
      </c>
      <c r="N525" s="41"/>
    </row>
    <row r="526" spans="1:14" x14ac:dyDescent="0.15">
      <c r="A526" s="6" t="s">
        <v>3</v>
      </c>
      <c r="B526" s="16"/>
      <c r="C526" s="11"/>
      <c r="D526" s="16"/>
      <c r="E526" s="4"/>
      <c r="F526" s="5">
        <f t="shared" si="129"/>
        <v>0</v>
      </c>
      <c r="G526" s="41"/>
      <c r="H526" s="6" t="s">
        <v>3</v>
      </c>
      <c r="I526" s="38"/>
      <c r="J526" s="32"/>
      <c r="K526" s="31"/>
      <c r="L526" s="52"/>
      <c r="M526" s="5">
        <f t="shared" si="131"/>
        <v>0</v>
      </c>
    </row>
    <row r="527" spans="1:14" x14ac:dyDescent="0.15">
      <c r="A527" s="6" t="s">
        <v>3</v>
      </c>
      <c r="B527" s="31"/>
      <c r="C527" s="32"/>
      <c r="D527" s="31"/>
      <c r="E527" s="52"/>
      <c r="F527" s="5">
        <f t="shared" si="129"/>
        <v>0</v>
      </c>
      <c r="H527" s="6" t="s">
        <v>3</v>
      </c>
      <c r="I527" s="16"/>
      <c r="J527" s="11"/>
      <c r="K527" s="16"/>
      <c r="L527" s="4"/>
      <c r="M527" s="5">
        <f t="shared" si="131"/>
        <v>0</v>
      </c>
    </row>
    <row r="528" spans="1:14" x14ac:dyDescent="0.15">
      <c r="A528" s="6" t="s">
        <v>3</v>
      </c>
      <c r="B528" s="10"/>
      <c r="C528" s="9"/>
      <c r="D528" s="10"/>
      <c r="E528" s="49"/>
      <c r="F528" s="5">
        <f t="shared" si="129"/>
        <v>0</v>
      </c>
      <c r="H528" s="6" t="s">
        <v>3</v>
      </c>
      <c r="I528" s="31"/>
      <c r="J528" s="32"/>
      <c r="K528" s="31"/>
      <c r="L528" s="52"/>
      <c r="M528" s="5">
        <f t="shared" si="131"/>
        <v>0</v>
      </c>
    </row>
    <row r="529" spans="1:14" x14ac:dyDescent="0.15">
      <c r="A529" s="6" t="s">
        <v>3</v>
      </c>
      <c r="B529" s="31"/>
      <c r="C529" s="32"/>
      <c r="D529" s="31"/>
      <c r="E529" s="52"/>
      <c r="F529" s="5">
        <f t="shared" si="129"/>
        <v>0</v>
      </c>
      <c r="H529" s="6" t="s">
        <v>3</v>
      </c>
      <c r="I529" s="34"/>
      <c r="J529" s="35"/>
      <c r="K529" s="34"/>
      <c r="L529" s="32"/>
      <c r="M529" s="5">
        <f t="shared" si="131"/>
        <v>0</v>
      </c>
    </row>
    <row r="530" spans="1:14" ht="14.25" thickBot="1" x14ac:dyDescent="0.2">
      <c r="A530" s="6" t="s">
        <v>3</v>
      </c>
      <c r="B530" s="13"/>
      <c r="C530" s="12"/>
      <c r="D530" s="13"/>
      <c r="E530" s="50"/>
      <c r="F530" s="5">
        <f t="shared" si="129"/>
        <v>0</v>
      </c>
      <c r="H530" s="6" t="s">
        <v>3</v>
      </c>
      <c r="I530" s="34"/>
      <c r="J530" s="35"/>
      <c r="K530" s="34"/>
      <c r="L530" s="53"/>
      <c r="M530" s="5">
        <f t="shared" si="131"/>
        <v>0</v>
      </c>
    </row>
    <row r="531" spans="1:14" ht="14.25" thickBot="1" x14ac:dyDescent="0.2">
      <c r="A531" s="21" t="s">
        <v>4</v>
      </c>
      <c r="B531" s="22">
        <f>SUM(B520:B530)</f>
        <v>21</v>
      </c>
      <c r="C531" s="22">
        <f>SUM(C520:C530)</f>
        <v>23</v>
      </c>
      <c r="D531" s="23">
        <f>SUM(D520:D530)</f>
        <v>17</v>
      </c>
      <c r="E531" s="23">
        <f>SUM(E520:E530)</f>
        <v>14</v>
      </c>
      <c r="F531" s="24">
        <f>SUM(B531:E531)</f>
        <v>75</v>
      </c>
      <c r="H531" s="21" t="s">
        <v>4</v>
      </c>
      <c r="I531" s="22">
        <f>SUM(I520:I530)</f>
        <v>835</v>
      </c>
      <c r="J531" s="22">
        <f>SUM(J520:J530)</f>
        <v>911</v>
      </c>
      <c r="K531" s="23">
        <f>SUM(K520:K530)</f>
        <v>573</v>
      </c>
      <c r="L531" s="23">
        <f>SUM(L520:L530)</f>
        <v>255</v>
      </c>
      <c r="M531" s="24">
        <f>SUM(I531:L531)</f>
        <v>2574</v>
      </c>
    </row>
    <row r="532" spans="1:14" x14ac:dyDescent="0.15">
      <c r="A532" s="28" t="s">
        <v>34</v>
      </c>
      <c r="B532" s="8"/>
      <c r="C532" s="9"/>
      <c r="D532" s="10">
        <v>1</v>
      </c>
      <c r="E532" s="49"/>
      <c r="F532" s="5">
        <f t="shared" ref="F532" si="132">SUM(B532:E532)</f>
        <v>1</v>
      </c>
      <c r="G532" s="71">
        <v>44813</v>
      </c>
      <c r="H532" s="48" t="s">
        <v>272</v>
      </c>
      <c r="I532" s="80">
        <v>20</v>
      </c>
      <c r="J532" s="49">
        <v>20</v>
      </c>
      <c r="K532" s="78">
        <v>20</v>
      </c>
      <c r="L532" s="9"/>
      <c r="M532" s="7">
        <f>SUM(I532:L532)</f>
        <v>60</v>
      </c>
      <c r="N532" s="39">
        <v>44813</v>
      </c>
    </row>
    <row r="533" spans="1:14" x14ac:dyDescent="0.15">
      <c r="A533" s="28" t="s">
        <v>39</v>
      </c>
      <c r="B533" s="8">
        <v>1</v>
      </c>
      <c r="C533" s="9"/>
      <c r="D533" s="10"/>
      <c r="E533" s="49">
        <v>2</v>
      </c>
      <c r="F533" s="5">
        <f t="shared" ref="F533:F555" si="133">SUM(B533:E533)</f>
        <v>3</v>
      </c>
      <c r="G533" s="39">
        <v>44816</v>
      </c>
      <c r="H533" s="4" t="s">
        <v>26</v>
      </c>
      <c r="I533" s="8"/>
      <c r="J533" s="9"/>
      <c r="K533" s="10">
        <v>5</v>
      </c>
      <c r="L533" s="9"/>
      <c r="M533" s="7">
        <f t="shared" ref="M533" si="134">SUM(I533:L533)</f>
        <v>5</v>
      </c>
      <c r="N533" s="39">
        <v>44816</v>
      </c>
    </row>
    <row r="534" spans="1:14" x14ac:dyDescent="0.15">
      <c r="A534" s="28" t="s">
        <v>34</v>
      </c>
      <c r="B534" s="8"/>
      <c r="C534" s="9">
        <v>1</v>
      </c>
      <c r="D534" s="10"/>
      <c r="E534" s="49"/>
      <c r="F534" s="5">
        <f t="shared" si="133"/>
        <v>1</v>
      </c>
      <c r="G534" s="39">
        <v>44816</v>
      </c>
      <c r="H534" s="28" t="s">
        <v>39</v>
      </c>
      <c r="I534" s="8"/>
      <c r="J534" s="9">
        <v>1</v>
      </c>
      <c r="K534" s="10"/>
      <c r="L534" s="49">
        <v>2</v>
      </c>
      <c r="M534" s="5">
        <f>SUM(I534:L534)</f>
        <v>3</v>
      </c>
      <c r="N534" s="39">
        <v>44814</v>
      </c>
    </row>
    <row r="535" spans="1:14" x14ac:dyDescent="0.15">
      <c r="A535" s="4" t="s">
        <v>200</v>
      </c>
      <c r="B535" s="8"/>
      <c r="C535" s="9">
        <v>2</v>
      </c>
      <c r="D535" s="10"/>
      <c r="E535" s="49"/>
      <c r="F535" s="5">
        <f t="shared" si="133"/>
        <v>2</v>
      </c>
      <c r="G535" s="39">
        <v>44818</v>
      </c>
      <c r="H535" s="48" t="s">
        <v>274</v>
      </c>
      <c r="I535" s="8">
        <v>80</v>
      </c>
      <c r="J535" s="9">
        <v>80</v>
      </c>
      <c r="K535" s="10">
        <v>10</v>
      </c>
      <c r="L535" s="49"/>
      <c r="M535" s="7">
        <f t="shared" ref="M535:M555" si="135">SUM(I535:L535)</f>
        <v>170</v>
      </c>
      <c r="N535" s="39">
        <v>44819</v>
      </c>
    </row>
    <row r="536" spans="1:14" x14ac:dyDescent="0.15">
      <c r="A536" s="4" t="s">
        <v>200</v>
      </c>
      <c r="B536" s="8">
        <v>2</v>
      </c>
      <c r="C536" s="9"/>
      <c r="D536" s="10"/>
      <c r="E536" s="49"/>
      <c r="F536" s="5">
        <f t="shared" si="133"/>
        <v>2</v>
      </c>
      <c r="G536" s="39">
        <v>44819</v>
      </c>
      <c r="H536" s="48" t="s">
        <v>277</v>
      </c>
      <c r="I536" s="8"/>
      <c r="J536" s="9">
        <v>21</v>
      </c>
      <c r="K536" s="10">
        <v>14</v>
      </c>
      <c r="L536" s="49"/>
      <c r="M536" s="7">
        <f t="shared" si="135"/>
        <v>35</v>
      </c>
      <c r="N536" s="39">
        <v>44825</v>
      </c>
    </row>
    <row r="537" spans="1:14" x14ac:dyDescent="0.15">
      <c r="A537" s="4" t="s">
        <v>200</v>
      </c>
      <c r="B537" s="8"/>
      <c r="C537" s="9">
        <v>2</v>
      </c>
      <c r="D537" s="10"/>
      <c r="E537" s="9"/>
      <c r="F537" s="5">
        <f t="shared" si="133"/>
        <v>2</v>
      </c>
      <c r="G537" s="39">
        <v>44824</v>
      </c>
      <c r="H537" s="4" t="s">
        <v>26</v>
      </c>
      <c r="I537" s="8">
        <v>5</v>
      </c>
      <c r="J537" s="9">
        <v>5</v>
      </c>
      <c r="K537" s="10">
        <v>5</v>
      </c>
      <c r="L537" s="9"/>
      <c r="M537" s="7">
        <f t="shared" si="135"/>
        <v>15</v>
      </c>
      <c r="N537" s="39">
        <v>44831</v>
      </c>
    </row>
    <row r="538" spans="1:14" x14ac:dyDescent="0.15">
      <c r="A538" s="28" t="s">
        <v>34</v>
      </c>
      <c r="B538" s="8">
        <v>1</v>
      </c>
      <c r="C538" s="9">
        <v>1</v>
      </c>
      <c r="D538" s="10"/>
      <c r="E538" s="9">
        <v>1</v>
      </c>
      <c r="F538" s="5">
        <f t="shared" si="133"/>
        <v>3</v>
      </c>
      <c r="G538" s="71">
        <v>44821</v>
      </c>
      <c r="H538" s="4" t="s">
        <v>26</v>
      </c>
      <c r="I538" s="8">
        <v>5</v>
      </c>
      <c r="J538" s="9"/>
      <c r="K538" s="10"/>
      <c r="L538" s="9"/>
      <c r="M538" s="7">
        <f t="shared" si="135"/>
        <v>5</v>
      </c>
      <c r="N538" s="39">
        <v>44838</v>
      </c>
    </row>
    <row r="539" spans="1:14" x14ac:dyDescent="0.15">
      <c r="A539" s="28" t="s">
        <v>39</v>
      </c>
      <c r="B539" s="8"/>
      <c r="C539" s="9"/>
      <c r="D539" s="10">
        <v>1</v>
      </c>
      <c r="E539" s="9"/>
      <c r="F539" s="5">
        <f t="shared" si="133"/>
        <v>1</v>
      </c>
      <c r="G539" s="39">
        <v>44825</v>
      </c>
      <c r="H539" s="4" t="s">
        <v>281</v>
      </c>
      <c r="I539" s="8"/>
      <c r="J539" s="9"/>
      <c r="K539" s="10">
        <v>1</v>
      </c>
      <c r="L539" s="9"/>
      <c r="M539" s="7">
        <f t="shared" si="135"/>
        <v>1</v>
      </c>
      <c r="N539" s="39">
        <v>44844</v>
      </c>
    </row>
    <row r="540" spans="1:14" x14ac:dyDescent="0.15">
      <c r="A540" s="4" t="s">
        <v>200</v>
      </c>
      <c r="B540" s="8"/>
      <c r="C540" s="9"/>
      <c r="D540" s="10">
        <v>2</v>
      </c>
      <c r="E540" s="9"/>
      <c r="F540" s="5">
        <f t="shared" si="133"/>
        <v>2</v>
      </c>
      <c r="G540" s="39">
        <v>44831</v>
      </c>
      <c r="H540" s="4"/>
      <c r="I540" s="8"/>
      <c r="J540" s="9"/>
      <c r="K540" s="10"/>
      <c r="L540" s="9"/>
      <c r="M540" s="7">
        <f t="shared" si="135"/>
        <v>0</v>
      </c>
    </row>
    <row r="541" spans="1:14" x14ac:dyDescent="0.15">
      <c r="A541" s="28" t="s">
        <v>39</v>
      </c>
      <c r="B541" s="8">
        <v>1</v>
      </c>
      <c r="C541" s="9"/>
      <c r="D541" s="10"/>
      <c r="E541" s="9"/>
      <c r="F541" s="5">
        <f t="shared" si="133"/>
        <v>1</v>
      </c>
      <c r="G541" s="39">
        <v>44831</v>
      </c>
      <c r="H541" s="4"/>
      <c r="I541" s="8"/>
      <c r="J541" s="9"/>
      <c r="K541" s="10"/>
      <c r="L541" s="9"/>
      <c r="M541" s="7">
        <f t="shared" si="135"/>
        <v>0</v>
      </c>
    </row>
    <row r="542" spans="1:14" x14ac:dyDescent="0.15">
      <c r="A542" s="4" t="s">
        <v>200</v>
      </c>
      <c r="B542" s="8">
        <v>2</v>
      </c>
      <c r="C542" s="9"/>
      <c r="D542" s="10">
        <v>2</v>
      </c>
      <c r="E542" s="9"/>
      <c r="F542" s="5">
        <f t="shared" si="133"/>
        <v>4</v>
      </c>
      <c r="G542" s="39">
        <v>44834</v>
      </c>
      <c r="H542" s="4"/>
      <c r="I542" s="8"/>
      <c r="J542" s="9"/>
      <c r="K542" s="10"/>
      <c r="L542" s="9"/>
      <c r="M542" s="7">
        <f t="shared" si="135"/>
        <v>0</v>
      </c>
    </row>
    <row r="543" spans="1:14" x14ac:dyDescent="0.15">
      <c r="A543" s="4" t="s">
        <v>280</v>
      </c>
      <c r="B543" s="8">
        <v>3</v>
      </c>
      <c r="C543" s="9">
        <v>3</v>
      </c>
      <c r="D543" s="10"/>
      <c r="E543" s="9">
        <v>1</v>
      </c>
      <c r="F543" s="5">
        <f t="shared" si="133"/>
        <v>7</v>
      </c>
      <c r="G543" s="71">
        <v>44833</v>
      </c>
      <c r="H543" s="4"/>
      <c r="I543" s="8"/>
      <c r="J543" s="9"/>
      <c r="K543" s="10"/>
      <c r="L543" s="9"/>
      <c r="M543" s="7">
        <f t="shared" si="135"/>
        <v>0</v>
      </c>
    </row>
    <row r="544" spans="1:14" x14ac:dyDescent="0.15">
      <c r="A544" s="4" t="s">
        <v>200</v>
      </c>
      <c r="B544" s="8">
        <v>2</v>
      </c>
      <c r="C544" s="9"/>
      <c r="D544" s="10"/>
      <c r="E544" s="9"/>
      <c r="F544" s="5">
        <f t="shared" si="133"/>
        <v>2</v>
      </c>
      <c r="G544" s="39">
        <v>44837</v>
      </c>
      <c r="H544" s="4"/>
      <c r="I544" s="8"/>
      <c r="J544" s="9"/>
      <c r="K544" s="10"/>
      <c r="L544" s="9"/>
      <c r="M544" s="7">
        <f t="shared" si="135"/>
        <v>0</v>
      </c>
    </row>
    <row r="545" spans="1:14" x14ac:dyDescent="0.15">
      <c r="A545" s="4" t="s">
        <v>200</v>
      </c>
      <c r="B545" s="8"/>
      <c r="C545" s="9"/>
      <c r="D545" s="10">
        <v>2</v>
      </c>
      <c r="E545" s="9"/>
      <c r="F545" s="5">
        <f t="shared" si="133"/>
        <v>2</v>
      </c>
      <c r="G545" s="39">
        <v>44838</v>
      </c>
      <c r="H545" s="4"/>
      <c r="I545" s="8"/>
      <c r="J545" s="9"/>
      <c r="K545" s="10"/>
      <c r="L545" s="9"/>
      <c r="M545" s="7">
        <f t="shared" si="135"/>
        <v>0</v>
      </c>
    </row>
    <row r="546" spans="1:14" x14ac:dyDescent="0.15">
      <c r="A546" s="28" t="s">
        <v>39</v>
      </c>
      <c r="B546" s="8"/>
      <c r="C546" s="9">
        <v>1</v>
      </c>
      <c r="D546" s="10"/>
      <c r="E546" s="9"/>
      <c r="F546" s="5">
        <f t="shared" si="133"/>
        <v>1</v>
      </c>
      <c r="G546" s="39">
        <v>44838</v>
      </c>
      <c r="H546" s="4"/>
      <c r="I546" s="8"/>
      <c r="J546" s="9"/>
      <c r="K546" s="10"/>
      <c r="L546" s="9"/>
      <c r="M546" s="7">
        <f t="shared" si="135"/>
        <v>0</v>
      </c>
    </row>
    <row r="547" spans="1:14" x14ac:dyDescent="0.15">
      <c r="A547" s="28" t="s">
        <v>39</v>
      </c>
      <c r="B547" s="8">
        <v>1</v>
      </c>
      <c r="C547" s="9"/>
      <c r="D547" s="10"/>
      <c r="E547" s="9"/>
      <c r="F547" s="5">
        <f t="shared" si="133"/>
        <v>1</v>
      </c>
      <c r="G547" s="39">
        <v>44840</v>
      </c>
      <c r="H547" s="4"/>
      <c r="I547" s="8"/>
      <c r="J547" s="9"/>
      <c r="K547" s="10"/>
      <c r="L547" s="9"/>
      <c r="M547" s="7">
        <f t="shared" si="135"/>
        <v>0</v>
      </c>
    </row>
    <row r="548" spans="1:14" x14ac:dyDescent="0.15">
      <c r="A548" s="28" t="s">
        <v>39</v>
      </c>
      <c r="B548" s="8"/>
      <c r="C548" s="9"/>
      <c r="D548" s="10"/>
      <c r="E548" s="9">
        <v>2</v>
      </c>
      <c r="F548" s="5">
        <f t="shared" si="133"/>
        <v>2</v>
      </c>
      <c r="G548" s="39">
        <v>44841</v>
      </c>
      <c r="H548" s="4"/>
      <c r="I548" s="8"/>
      <c r="J548" s="9"/>
      <c r="K548" s="10"/>
      <c r="L548" s="9"/>
      <c r="M548" s="7">
        <f t="shared" si="135"/>
        <v>0</v>
      </c>
    </row>
    <row r="549" spans="1:14" x14ac:dyDescent="0.15">
      <c r="A549" s="28" t="s">
        <v>39</v>
      </c>
      <c r="B549" s="8">
        <v>1</v>
      </c>
      <c r="C549" s="9">
        <v>1</v>
      </c>
      <c r="D549" s="10"/>
      <c r="E549" s="9"/>
      <c r="F549" s="5">
        <f t="shared" si="133"/>
        <v>2</v>
      </c>
      <c r="G549" s="39">
        <v>44842</v>
      </c>
      <c r="H549" s="4"/>
      <c r="I549" s="8"/>
      <c r="J549" s="9"/>
      <c r="K549" s="10"/>
      <c r="L549" s="9"/>
      <c r="M549" s="7">
        <f t="shared" si="135"/>
        <v>0</v>
      </c>
    </row>
    <row r="550" spans="1:14" x14ac:dyDescent="0.15">
      <c r="A550" s="28" t="s">
        <v>34</v>
      </c>
      <c r="B550" s="8">
        <v>1</v>
      </c>
      <c r="C550" s="9"/>
      <c r="D550" s="10"/>
      <c r="E550" s="9"/>
      <c r="F550" s="5">
        <f t="shared" si="133"/>
        <v>1</v>
      </c>
      <c r="G550" s="71">
        <v>44845</v>
      </c>
      <c r="H550" s="4"/>
      <c r="I550" s="8"/>
      <c r="J550" s="9"/>
      <c r="K550" s="10"/>
      <c r="L550" s="9"/>
      <c r="M550" s="7">
        <f t="shared" si="135"/>
        <v>0</v>
      </c>
    </row>
    <row r="551" spans="1:14" x14ac:dyDescent="0.15">
      <c r="A551" s="28" t="s">
        <v>39</v>
      </c>
      <c r="B551" s="8"/>
      <c r="C551" s="9"/>
      <c r="D551" s="10">
        <v>1</v>
      </c>
      <c r="E551" s="9"/>
      <c r="F551" s="5">
        <f t="shared" si="133"/>
        <v>1</v>
      </c>
      <c r="G551" s="39">
        <v>44849</v>
      </c>
      <c r="H551" s="4"/>
      <c r="I551" s="8"/>
      <c r="J551" s="9"/>
      <c r="K551" s="10"/>
      <c r="L551" s="9"/>
      <c r="M551" s="7">
        <f t="shared" si="135"/>
        <v>0</v>
      </c>
    </row>
    <row r="552" spans="1:14" x14ac:dyDescent="0.15">
      <c r="A552" s="28"/>
      <c r="B552" s="8"/>
      <c r="C552" s="9"/>
      <c r="D552" s="10"/>
      <c r="E552" s="9"/>
      <c r="F552" s="5">
        <f t="shared" si="133"/>
        <v>0</v>
      </c>
      <c r="H552" s="4"/>
      <c r="I552" s="8"/>
      <c r="J552" s="9"/>
      <c r="K552" s="10"/>
      <c r="L552" s="12"/>
      <c r="M552" s="7">
        <f t="shared" si="135"/>
        <v>0</v>
      </c>
    </row>
    <row r="553" spans="1:14" x14ac:dyDescent="0.15">
      <c r="A553" s="4"/>
      <c r="B553" s="8"/>
      <c r="C553" s="9"/>
      <c r="D553" s="10"/>
      <c r="E553" s="9"/>
      <c r="F553" s="5">
        <f t="shared" si="133"/>
        <v>0</v>
      </c>
      <c r="H553" s="4"/>
      <c r="I553" s="8"/>
      <c r="J553" s="9"/>
      <c r="K553" s="10"/>
      <c r="L553" s="9"/>
      <c r="M553" s="7">
        <f t="shared" si="135"/>
        <v>0</v>
      </c>
    </row>
    <row r="554" spans="1:14" x14ac:dyDescent="0.15">
      <c r="A554" s="11"/>
      <c r="B554" s="8"/>
      <c r="C554" s="9"/>
      <c r="D554" s="10"/>
      <c r="E554" s="9"/>
      <c r="F554" s="5">
        <f t="shared" si="133"/>
        <v>0</v>
      </c>
      <c r="H554" s="101" t="s">
        <v>227</v>
      </c>
      <c r="I554" s="102"/>
      <c r="J554" s="103"/>
      <c r="K554" s="104"/>
      <c r="L554" s="103"/>
      <c r="M554" s="105">
        <f t="shared" si="135"/>
        <v>0</v>
      </c>
      <c r="N554" s="41"/>
    </row>
    <row r="555" spans="1:14" ht="14.25" thickBot="1" x14ac:dyDescent="0.2">
      <c r="A555" s="11"/>
      <c r="B555" s="8"/>
      <c r="C555" s="9"/>
      <c r="D555" s="10"/>
      <c r="E555" s="9"/>
      <c r="F555" s="5">
        <f t="shared" si="133"/>
        <v>0</v>
      </c>
      <c r="H555" s="4" t="s">
        <v>228</v>
      </c>
      <c r="I555" s="8"/>
      <c r="J555" s="9"/>
      <c r="K555" s="10"/>
      <c r="L555" s="116"/>
      <c r="M555" s="7">
        <f t="shared" si="135"/>
        <v>0</v>
      </c>
      <c r="N555" s="41" t="s">
        <v>226</v>
      </c>
    </row>
    <row r="556" spans="1:14" ht="14.25" thickBot="1" x14ac:dyDescent="0.2">
      <c r="A556" s="3" t="s">
        <v>5</v>
      </c>
      <c r="B556" s="14">
        <f>SUM(B532:B555)</f>
        <v>15</v>
      </c>
      <c r="C556" s="14">
        <f>SUM(C532:C555)</f>
        <v>11</v>
      </c>
      <c r="D556" s="14">
        <f>SUM(D532:D555)</f>
        <v>9</v>
      </c>
      <c r="E556" s="14">
        <f>SUM(E532:E555)</f>
        <v>6</v>
      </c>
      <c r="F556" s="15">
        <f>SUM(B556:E556)</f>
        <v>41</v>
      </c>
      <c r="H556" s="3" t="s">
        <v>5</v>
      </c>
      <c r="I556" s="14">
        <f>SUM(I532:I555)</f>
        <v>110</v>
      </c>
      <c r="J556" s="14">
        <f>SUM(J532:J555)</f>
        <v>127</v>
      </c>
      <c r="K556" s="14">
        <f>SUM(K532:K555)</f>
        <v>55</v>
      </c>
      <c r="L556" s="14">
        <f>SUM(L532:L555)</f>
        <v>2</v>
      </c>
      <c r="M556" s="15">
        <f>SUM(I556:L556)</f>
        <v>294</v>
      </c>
    </row>
    <row r="557" spans="1:14" ht="14.25" thickBot="1" x14ac:dyDescent="0.2">
      <c r="A557" s="25" t="s">
        <v>6</v>
      </c>
      <c r="B557" s="26">
        <f>B531-B556</f>
        <v>6</v>
      </c>
      <c r="C557" s="26">
        <f t="shared" ref="C557:F557" si="136">C531-C556</f>
        <v>12</v>
      </c>
      <c r="D557" s="26">
        <f t="shared" si="136"/>
        <v>8</v>
      </c>
      <c r="E557" s="26">
        <f t="shared" si="136"/>
        <v>8</v>
      </c>
      <c r="F557" s="24">
        <f t="shared" si="136"/>
        <v>34</v>
      </c>
      <c r="H557" s="25" t="s">
        <v>6</v>
      </c>
      <c r="I557" s="26">
        <f>I531-I556</f>
        <v>725</v>
      </c>
      <c r="J557" s="26">
        <f t="shared" ref="J557:M557" si="137">J531-J556</f>
        <v>784</v>
      </c>
      <c r="K557" s="26">
        <f t="shared" si="137"/>
        <v>518</v>
      </c>
      <c r="L557" s="26">
        <f t="shared" si="137"/>
        <v>253</v>
      </c>
      <c r="M557" s="24">
        <f t="shared" si="137"/>
        <v>2280</v>
      </c>
    </row>
    <row r="560" spans="1:14" ht="21.75" thickBot="1" x14ac:dyDescent="0.25">
      <c r="A560" s="29" t="s">
        <v>13</v>
      </c>
      <c r="B560" s="1"/>
      <c r="C560" s="1"/>
      <c r="D560" s="1"/>
      <c r="E560" s="1"/>
      <c r="F560" s="1"/>
      <c r="H560" s="29" t="s">
        <v>14</v>
      </c>
      <c r="I560" s="1"/>
      <c r="J560" s="1"/>
      <c r="K560" s="1"/>
      <c r="L560" s="1"/>
      <c r="M560" s="1"/>
    </row>
    <row r="561" spans="1:14" ht="14.25" thickBot="1" x14ac:dyDescent="0.2">
      <c r="A561" s="2" t="s">
        <v>0</v>
      </c>
      <c r="B561" s="164" t="s">
        <v>12</v>
      </c>
      <c r="C561" s="165"/>
      <c r="D561" s="165"/>
      <c r="E561" s="165"/>
      <c r="F561" s="168"/>
      <c r="H561" s="2" t="s">
        <v>0</v>
      </c>
      <c r="I561" s="164" t="s">
        <v>12</v>
      </c>
      <c r="J561" s="165"/>
      <c r="K561" s="165"/>
      <c r="L561" s="165"/>
      <c r="M561" s="168"/>
    </row>
    <row r="562" spans="1:14" ht="14.25" thickBot="1" x14ac:dyDescent="0.2">
      <c r="A562" s="2" t="s">
        <v>1</v>
      </c>
      <c r="B562" s="3" t="s">
        <v>7</v>
      </c>
      <c r="C562" s="2" t="s">
        <v>8</v>
      </c>
      <c r="D562" s="19" t="s">
        <v>9</v>
      </c>
      <c r="E562" s="2" t="s">
        <v>11</v>
      </c>
      <c r="F562" s="2" t="s">
        <v>2</v>
      </c>
      <c r="H562" s="2" t="s">
        <v>1</v>
      </c>
      <c r="I562" s="3" t="s">
        <v>7</v>
      </c>
      <c r="J562" s="2" t="s">
        <v>8</v>
      </c>
      <c r="K562" s="19" t="s">
        <v>9</v>
      </c>
      <c r="L562" s="2" t="s">
        <v>11</v>
      </c>
      <c r="M562" s="2" t="s">
        <v>2</v>
      </c>
    </row>
    <row r="563" spans="1:14" x14ac:dyDescent="0.15">
      <c r="A563" s="27" t="s">
        <v>6</v>
      </c>
      <c r="B563" s="18">
        <f>B557</f>
        <v>6</v>
      </c>
      <c r="C563" s="20">
        <f>C557</f>
        <v>12</v>
      </c>
      <c r="D563" s="55">
        <f>D557</f>
        <v>8</v>
      </c>
      <c r="E563" s="20">
        <f>E557</f>
        <v>8</v>
      </c>
      <c r="F563" s="17">
        <f>SUM(B563:E563)</f>
        <v>34</v>
      </c>
      <c r="H563" s="27" t="s">
        <v>6</v>
      </c>
      <c r="I563" s="18">
        <f>I557</f>
        <v>725</v>
      </c>
      <c r="J563" s="20">
        <f>J557</f>
        <v>784</v>
      </c>
      <c r="K563" s="55">
        <f>K557</f>
        <v>518</v>
      </c>
      <c r="L563" s="58">
        <f>L557</f>
        <v>253</v>
      </c>
      <c r="M563" s="17">
        <f>SUM(I563:L563)</f>
        <v>2280</v>
      </c>
    </row>
    <row r="564" spans="1:14" x14ac:dyDescent="0.15">
      <c r="A564" s="6" t="s">
        <v>3</v>
      </c>
      <c r="B564" s="16">
        <v>5</v>
      </c>
      <c r="C564" s="11">
        <v>5</v>
      </c>
      <c r="D564" s="16">
        <v>5</v>
      </c>
      <c r="E564" s="4">
        <v>5</v>
      </c>
      <c r="F564" s="5">
        <f t="shared" ref="F564:F573" si="138">SUM(B564:E564)</f>
        <v>20</v>
      </c>
      <c r="G564" s="39">
        <v>44848</v>
      </c>
      <c r="H564" s="6" t="s">
        <v>290</v>
      </c>
      <c r="I564" s="16">
        <v>26</v>
      </c>
      <c r="J564" s="11"/>
      <c r="K564" s="16"/>
      <c r="L564" s="4"/>
      <c r="M564" s="5">
        <f t="shared" ref="M564:M573" si="139">SUM(I564:L564)</f>
        <v>26</v>
      </c>
      <c r="N564" s="39">
        <v>44855</v>
      </c>
    </row>
    <row r="565" spans="1:14" x14ac:dyDescent="0.15">
      <c r="A565" s="6" t="s">
        <v>3</v>
      </c>
      <c r="B565" s="16">
        <v>26</v>
      </c>
      <c r="C565" s="11"/>
      <c r="D565" s="16"/>
      <c r="E565" s="4"/>
      <c r="F565" s="5">
        <f t="shared" si="138"/>
        <v>26</v>
      </c>
      <c r="G565" s="39">
        <v>44863</v>
      </c>
      <c r="H565" s="6" t="s">
        <v>3</v>
      </c>
      <c r="I565" s="16"/>
      <c r="J565" s="11"/>
      <c r="K565" s="16"/>
      <c r="L565" s="4"/>
      <c r="M565" s="5">
        <f t="shared" si="139"/>
        <v>0</v>
      </c>
    </row>
    <row r="566" spans="1:14" x14ac:dyDescent="0.15">
      <c r="A566" s="6" t="s">
        <v>3</v>
      </c>
      <c r="B566" s="16"/>
      <c r="C566" s="11">
        <v>5</v>
      </c>
      <c r="D566" s="16">
        <v>5</v>
      </c>
      <c r="E566" s="4"/>
      <c r="F566" s="5">
        <f t="shared" si="138"/>
        <v>10</v>
      </c>
      <c r="G566" s="39">
        <v>44879</v>
      </c>
      <c r="H566" s="6" t="s">
        <v>268</v>
      </c>
      <c r="I566" s="16">
        <v>6</v>
      </c>
      <c r="J566" s="11"/>
      <c r="K566" s="16">
        <v>2</v>
      </c>
      <c r="L566" s="4">
        <v>4</v>
      </c>
      <c r="M566" s="5">
        <f t="shared" ref="M566:M569" si="140">SUM(I566:L566)</f>
        <v>12</v>
      </c>
      <c r="N566" s="71">
        <v>44883</v>
      </c>
    </row>
    <row r="567" spans="1:14" x14ac:dyDescent="0.15">
      <c r="A567" s="6" t="s">
        <v>45</v>
      </c>
      <c r="B567" s="16"/>
      <c r="C567" s="11"/>
      <c r="D567" s="16"/>
      <c r="E567" s="4">
        <v>2</v>
      </c>
      <c r="F567" s="5">
        <f t="shared" si="138"/>
        <v>2</v>
      </c>
      <c r="G567" s="71">
        <v>44894</v>
      </c>
      <c r="H567" s="6" t="s">
        <v>3</v>
      </c>
      <c r="I567" s="16"/>
      <c r="J567" s="11"/>
      <c r="K567" s="16"/>
      <c r="L567" s="4"/>
      <c r="M567" s="5">
        <f t="shared" si="140"/>
        <v>0</v>
      </c>
    </row>
    <row r="568" spans="1:14" x14ac:dyDescent="0.15">
      <c r="A568" s="6" t="s">
        <v>3</v>
      </c>
      <c r="B568" s="16"/>
      <c r="C568" s="11"/>
      <c r="D568" s="16"/>
      <c r="E568" s="4"/>
      <c r="F568" s="5">
        <f t="shared" si="138"/>
        <v>0</v>
      </c>
      <c r="H568" s="6" t="s">
        <v>3</v>
      </c>
      <c r="I568" s="16"/>
      <c r="J568" s="11"/>
      <c r="K568" s="16"/>
      <c r="L568" s="4"/>
      <c r="M568" s="5">
        <f t="shared" si="140"/>
        <v>0</v>
      </c>
    </row>
    <row r="569" spans="1:14" x14ac:dyDescent="0.15">
      <c r="A569" s="6" t="s">
        <v>3</v>
      </c>
      <c r="B569" s="16"/>
      <c r="C569" s="11"/>
      <c r="D569" s="16"/>
      <c r="E569" s="4"/>
      <c r="F569" s="5">
        <f t="shared" si="138"/>
        <v>0</v>
      </c>
      <c r="H569" s="6" t="s">
        <v>3</v>
      </c>
      <c r="I569" s="16"/>
      <c r="J569" s="11"/>
      <c r="K569" s="16"/>
      <c r="L569" s="4"/>
      <c r="M569" s="5">
        <f t="shared" si="140"/>
        <v>0</v>
      </c>
    </row>
    <row r="570" spans="1:14" x14ac:dyDescent="0.15">
      <c r="A570" s="6" t="s">
        <v>3</v>
      </c>
      <c r="B570" s="31"/>
      <c r="C570" s="32"/>
      <c r="D570" s="31"/>
      <c r="E570" s="52"/>
      <c r="F570" s="5">
        <f t="shared" si="138"/>
        <v>0</v>
      </c>
      <c r="H570" s="6" t="s">
        <v>3</v>
      </c>
      <c r="I570" s="16"/>
      <c r="J570" s="11"/>
      <c r="K570" s="16"/>
      <c r="L570" s="4"/>
      <c r="M570" s="5">
        <f t="shared" si="139"/>
        <v>0</v>
      </c>
    </row>
    <row r="571" spans="1:14" x14ac:dyDescent="0.15">
      <c r="A571" s="6" t="s">
        <v>3</v>
      </c>
      <c r="B571" s="10"/>
      <c r="C571" s="9"/>
      <c r="D571" s="10"/>
      <c r="E571" s="49"/>
      <c r="F571" s="5">
        <f t="shared" si="138"/>
        <v>0</v>
      </c>
      <c r="H571" s="6" t="s">
        <v>3</v>
      </c>
      <c r="I571" s="31"/>
      <c r="J571" s="32"/>
      <c r="K571" s="31"/>
      <c r="L571" s="52"/>
      <c r="M571" s="5">
        <f t="shared" si="139"/>
        <v>0</v>
      </c>
    </row>
    <row r="572" spans="1:14" x14ac:dyDescent="0.15">
      <c r="A572" s="6" t="s">
        <v>3</v>
      </c>
      <c r="B572" s="31"/>
      <c r="C572" s="32"/>
      <c r="D572" s="31"/>
      <c r="E572" s="52"/>
      <c r="F572" s="5">
        <f t="shared" si="138"/>
        <v>0</v>
      </c>
      <c r="H572" s="6" t="s">
        <v>3</v>
      </c>
      <c r="I572" s="34"/>
      <c r="J572" s="35"/>
      <c r="K572" s="34"/>
      <c r="L572" s="32"/>
      <c r="M572" s="5">
        <f t="shared" si="139"/>
        <v>0</v>
      </c>
    </row>
    <row r="573" spans="1:14" ht="14.25" thickBot="1" x14ac:dyDescent="0.2">
      <c r="A573" s="6" t="s">
        <v>3</v>
      </c>
      <c r="B573" s="13"/>
      <c r="C573" s="12"/>
      <c r="D573" s="13"/>
      <c r="E573" s="50"/>
      <c r="F573" s="5">
        <f t="shared" si="138"/>
        <v>0</v>
      </c>
      <c r="H573" s="6" t="s">
        <v>3</v>
      </c>
      <c r="I573" s="34"/>
      <c r="J573" s="35"/>
      <c r="K573" s="34"/>
      <c r="L573" s="53"/>
      <c r="M573" s="5">
        <f t="shared" si="139"/>
        <v>0</v>
      </c>
    </row>
    <row r="574" spans="1:14" ht="14.25" thickBot="1" x14ac:dyDescent="0.2">
      <c r="A574" s="21" t="s">
        <v>4</v>
      </c>
      <c r="B574" s="22">
        <f>SUM(B563:B573)</f>
        <v>37</v>
      </c>
      <c r="C574" s="22">
        <f>SUM(C563:C573)</f>
        <v>22</v>
      </c>
      <c r="D574" s="23">
        <f>SUM(D563:D573)</f>
        <v>18</v>
      </c>
      <c r="E574" s="23">
        <f>SUM(E563:E573)</f>
        <v>15</v>
      </c>
      <c r="F574" s="24">
        <f>SUM(B574:E574)</f>
        <v>92</v>
      </c>
      <c r="H574" s="21" t="s">
        <v>4</v>
      </c>
      <c r="I574" s="22">
        <f>SUM(I563:I573)</f>
        <v>757</v>
      </c>
      <c r="J574" s="22">
        <f>SUM(J563:J573)</f>
        <v>784</v>
      </c>
      <c r="K574" s="23">
        <f>SUM(K563:K573)</f>
        <v>520</v>
      </c>
      <c r="L574" s="23">
        <f>SUM(L563:L573)</f>
        <v>257</v>
      </c>
      <c r="M574" s="24">
        <f>SUM(I574:L574)</f>
        <v>2318</v>
      </c>
    </row>
    <row r="575" spans="1:14" x14ac:dyDescent="0.15">
      <c r="A575" s="4" t="s">
        <v>200</v>
      </c>
      <c r="B575" s="8"/>
      <c r="C575" s="9"/>
      <c r="D575" s="10"/>
      <c r="E575" s="49">
        <v>2</v>
      </c>
      <c r="F575" s="5">
        <f>SUM(B575:E575)</f>
        <v>2</v>
      </c>
      <c r="G575" s="39">
        <v>44855</v>
      </c>
      <c r="H575" s="4" t="s">
        <v>283</v>
      </c>
      <c r="I575" s="80">
        <v>15</v>
      </c>
      <c r="J575" s="49">
        <v>16</v>
      </c>
      <c r="K575" s="78">
        <v>18</v>
      </c>
      <c r="L575" s="9">
        <v>17</v>
      </c>
      <c r="M575" s="7">
        <f>SUM(I575:L575)</f>
        <v>66</v>
      </c>
      <c r="N575" s="39">
        <v>44853</v>
      </c>
    </row>
    <row r="576" spans="1:14" x14ac:dyDescent="0.15">
      <c r="A576" s="28" t="s">
        <v>34</v>
      </c>
      <c r="B576" s="8"/>
      <c r="C576" s="9">
        <v>1</v>
      </c>
      <c r="D576" s="10"/>
      <c r="E576" s="49"/>
      <c r="F576" s="5">
        <f t="shared" ref="F576:F598" si="141">SUM(B576:E576)</f>
        <v>1</v>
      </c>
      <c r="G576" s="39">
        <v>44858</v>
      </c>
      <c r="H576" s="4" t="s">
        <v>286</v>
      </c>
      <c r="I576" s="8">
        <v>10</v>
      </c>
      <c r="J576" s="9">
        <v>16</v>
      </c>
      <c r="K576" s="10">
        <v>10</v>
      </c>
      <c r="L576" s="9"/>
      <c r="M576" s="7">
        <f t="shared" ref="M576:M597" si="142">SUM(I576:L576)</f>
        <v>36</v>
      </c>
      <c r="N576" s="39">
        <v>44853</v>
      </c>
    </row>
    <row r="577" spans="1:15" x14ac:dyDescent="0.15">
      <c r="A577" s="28" t="s">
        <v>34</v>
      </c>
      <c r="B577" s="8"/>
      <c r="C577" s="9">
        <v>1</v>
      </c>
      <c r="D577" s="10"/>
      <c r="E577" s="49"/>
      <c r="F577" s="5">
        <f t="shared" si="141"/>
        <v>1</v>
      </c>
      <c r="G577" s="39">
        <v>44865</v>
      </c>
      <c r="H577" s="28" t="s">
        <v>287</v>
      </c>
      <c r="I577" s="8">
        <v>5</v>
      </c>
      <c r="J577" s="9">
        <v>5</v>
      </c>
      <c r="K577" s="10">
        <v>5</v>
      </c>
      <c r="L577" s="49">
        <v>5</v>
      </c>
      <c r="M577" s="7">
        <f t="shared" si="142"/>
        <v>20</v>
      </c>
      <c r="N577" s="39">
        <v>44848</v>
      </c>
    </row>
    <row r="578" spans="1:15" x14ac:dyDescent="0.15">
      <c r="A578" s="4" t="s">
        <v>295</v>
      </c>
      <c r="B578" s="8">
        <v>3</v>
      </c>
      <c r="C578" s="9"/>
      <c r="D578" s="10"/>
      <c r="E578" s="49">
        <v>2</v>
      </c>
      <c r="F578" s="5">
        <f t="shared" si="141"/>
        <v>5</v>
      </c>
      <c r="G578" s="39">
        <v>44876</v>
      </c>
      <c r="H578" s="4" t="s">
        <v>292</v>
      </c>
      <c r="I578" s="8"/>
      <c r="J578" s="9">
        <v>10</v>
      </c>
      <c r="K578" s="10"/>
      <c r="L578" s="49"/>
      <c r="M578" s="7">
        <f t="shared" si="142"/>
        <v>10</v>
      </c>
      <c r="N578" s="39">
        <v>44862</v>
      </c>
    </row>
    <row r="579" spans="1:15" x14ac:dyDescent="0.15">
      <c r="A579" s="4" t="s">
        <v>200</v>
      </c>
      <c r="B579" s="8">
        <v>4</v>
      </c>
      <c r="C579" s="9">
        <v>4</v>
      </c>
      <c r="D579" s="10">
        <v>6</v>
      </c>
      <c r="E579" s="49"/>
      <c r="F579" s="5">
        <f t="shared" si="141"/>
        <v>14</v>
      </c>
      <c r="G579" s="39">
        <v>44879</v>
      </c>
      <c r="H579" s="4" t="s">
        <v>293</v>
      </c>
      <c r="I579" s="8"/>
      <c r="J579" s="9">
        <v>2</v>
      </c>
      <c r="K579" s="10"/>
      <c r="L579" s="49"/>
      <c r="M579" s="7">
        <f t="shared" si="142"/>
        <v>2</v>
      </c>
      <c r="N579" s="39">
        <v>44861</v>
      </c>
      <c r="O579" s="30"/>
    </row>
    <row r="580" spans="1:15" x14ac:dyDescent="0.15">
      <c r="A580" s="4" t="s">
        <v>39</v>
      </c>
      <c r="B580" s="8"/>
      <c r="C580" s="9">
        <v>1</v>
      </c>
      <c r="D580" s="10"/>
      <c r="E580" s="9">
        <v>1</v>
      </c>
      <c r="F580" s="5">
        <f t="shared" si="141"/>
        <v>2</v>
      </c>
      <c r="G580" s="39">
        <v>44881</v>
      </c>
      <c r="H580" s="4" t="s">
        <v>200</v>
      </c>
      <c r="I580" s="8">
        <v>10</v>
      </c>
      <c r="J580" s="9">
        <v>12</v>
      </c>
      <c r="K580" s="10">
        <v>8</v>
      </c>
      <c r="L580" s="9">
        <v>4</v>
      </c>
      <c r="M580" s="7">
        <f t="shared" si="142"/>
        <v>34</v>
      </c>
      <c r="N580" s="39">
        <v>44862</v>
      </c>
      <c r="O580" s="30"/>
    </row>
    <row r="581" spans="1:15" x14ac:dyDescent="0.15">
      <c r="A581" s="11" t="s">
        <v>297</v>
      </c>
      <c r="B581" s="8">
        <v>1</v>
      </c>
      <c r="C581" s="9">
        <v>1</v>
      </c>
      <c r="D581" s="10">
        <v>1</v>
      </c>
      <c r="E581" s="9">
        <v>1</v>
      </c>
      <c r="F581" s="5">
        <f t="shared" si="141"/>
        <v>4</v>
      </c>
      <c r="G581" s="71">
        <v>44882</v>
      </c>
      <c r="H581" s="28" t="s">
        <v>26</v>
      </c>
      <c r="I581" s="8">
        <v>26</v>
      </c>
      <c r="J581" s="9"/>
      <c r="K581" s="10"/>
      <c r="L581" s="9"/>
      <c r="M581" s="7">
        <f t="shared" si="142"/>
        <v>26</v>
      </c>
      <c r="N581" s="39">
        <v>44863</v>
      </c>
    </row>
    <row r="582" spans="1:15" x14ac:dyDescent="0.15">
      <c r="A582" s="28" t="s">
        <v>34</v>
      </c>
      <c r="B582" s="8">
        <v>1</v>
      </c>
      <c r="C582" s="9"/>
      <c r="D582" s="10"/>
      <c r="E582" s="9"/>
      <c r="F582" s="5">
        <f t="shared" si="141"/>
        <v>1</v>
      </c>
      <c r="G582" s="71">
        <v>44889</v>
      </c>
      <c r="H582" s="4" t="s">
        <v>200</v>
      </c>
      <c r="I582" s="8"/>
      <c r="J582" s="9"/>
      <c r="K582" s="10"/>
      <c r="L582" s="9">
        <v>12</v>
      </c>
      <c r="M582" s="7">
        <f t="shared" si="142"/>
        <v>12</v>
      </c>
      <c r="N582" s="39">
        <v>44873</v>
      </c>
    </row>
    <row r="583" spans="1:15" x14ac:dyDescent="0.15">
      <c r="A583" s="4" t="s">
        <v>308</v>
      </c>
      <c r="B583" s="8">
        <v>1</v>
      </c>
      <c r="C583" s="9"/>
      <c r="D583" s="10"/>
      <c r="E583" s="9"/>
      <c r="F583" s="5">
        <f t="shared" si="141"/>
        <v>1</v>
      </c>
      <c r="G583" s="71">
        <v>44894</v>
      </c>
      <c r="H583" s="4" t="s">
        <v>200</v>
      </c>
      <c r="I583" s="8"/>
      <c r="J583" s="9"/>
      <c r="K583" s="10">
        <v>4</v>
      </c>
      <c r="L583" s="9"/>
      <c r="M583" s="7">
        <f t="shared" si="142"/>
        <v>4</v>
      </c>
      <c r="N583" s="39">
        <v>44875</v>
      </c>
    </row>
    <row r="584" spans="1:15" x14ac:dyDescent="0.15">
      <c r="A584" s="4" t="s">
        <v>39</v>
      </c>
      <c r="B584" s="8"/>
      <c r="C584" s="9"/>
      <c r="D584" s="10">
        <v>1</v>
      </c>
      <c r="E584" s="9">
        <v>1</v>
      </c>
      <c r="F584" s="5">
        <f t="shared" si="141"/>
        <v>2</v>
      </c>
      <c r="G584" s="39">
        <v>44895</v>
      </c>
      <c r="H584" s="28" t="s">
        <v>26</v>
      </c>
      <c r="I584" s="8"/>
      <c r="J584" s="9">
        <v>5</v>
      </c>
      <c r="K584" s="10">
        <v>5</v>
      </c>
      <c r="L584" s="9"/>
      <c r="M584" s="7">
        <f t="shared" si="142"/>
        <v>10</v>
      </c>
      <c r="N584" s="39">
        <v>44879</v>
      </c>
    </row>
    <row r="585" spans="1:15" x14ac:dyDescent="0.15">
      <c r="A585" s="4" t="s">
        <v>39</v>
      </c>
      <c r="B585" s="8"/>
      <c r="C585" s="9"/>
      <c r="D585" s="10">
        <v>2</v>
      </c>
      <c r="E585" s="9">
        <v>1</v>
      </c>
      <c r="F585" s="5">
        <f t="shared" si="141"/>
        <v>3</v>
      </c>
      <c r="G585" s="39">
        <v>44898</v>
      </c>
      <c r="H585" s="4" t="s">
        <v>296</v>
      </c>
      <c r="I585" s="8">
        <v>2</v>
      </c>
      <c r="J585" s="9">
        <v>4</v>
      </c>
      <c r="K585" s="10"/>
      <c r="L585" s="9"/>
      <c r="M585" s="7">
        <f t="shared" si="142"/>
        <v>6</v>
      </c>
      <c r="N585" s="39">
        <v>44880</v>
      </c>
    </row>
    <row r="586" spans="1:15" x14ac:dyDescent="0.15">
      <c r="A586" s="4"/>
      <c r="B586" s="8"/>
      <c r="C586" s="9"/>
      <c r="D586" s="10"/>
      <c r="E586" s="9"/>
      <c r="F586" s="5">
        <f t="shared" si="141"/>
        <v>0</v>
      </c>
      <c r="G586" s="39"/>
      <c r="H586" s="4" t="s">
        <v>296</v>
      </c>
      <c r="I586" s="8">
        <v>2</v>
      </c>
      <c r="J586" s="9">
        <v>2</v>
      </c>
      <c r="K586" s="10">
        <v>2</v>
      </c>
      <c r="L586" s="9"/>
      <c r="M586" s="7">
        <f t="shared" si="142"/>
        <v>6</v>
      </c>
      <c r="N586" s="39">
        <v>44886</v>
      </c>
    </row>
    <row r="587" spans="1:15" x14ac:dyDescent="0.15">
      <c r="A587" s="4"/>
      <c r="B587" s="8"/>
      <c r="C587" s="9"/>
      <c r="D587" s="10"/>
      <c r="E587" s="9"/>
      <c r="F587" s="5">
        <f t="shared" si="141"/>
        <v>0</v>
      </c>
      <c r="H587" s="4" t="s">
        <v>296</v>
      </c>
      <c r="I587" s="8">
        <v>4</v>
      </c>
      <c r="J587" s="9">
        <v>6</v>
      </c>
      <c r="K587" s="10">
        <v>6</v>
      </c>
      <c r="L587" s="9"/>
      <c r="M587" s="7">
        <f t="shared" si="142"/>
        <v>16</v>
      </c>
      <c r="N587" s="39">
        <v>44887</v>
      </c>
      <c r="O587" s="30"/>
    </row>
    <row r="588" spans="1:15" x14ac:dyDescent="0.15">
      <c r="A588" s="4"/>
      <c r="B588" s="8"/>
      <c r="C588" s="9"/>
      <c r="D588" s="10"/>
      <c r="E588" s="9"/>
      <c r="F588" s="5">
        <f t="shared" si="141"/>
        <v>0</v>
      </c>
      <c r="H588" s="4" t="s">
        <v>296</v>
      </c>
      <c r="I588" s="8"/>
      <c r="J588" s="9"/>
      <c r="K588" s="10"/>
      <c r="L588" s="9">
        <v>4</v>
      </c>
      <c r="M588" s="7">
        <f t="shared" si="142"/>
        <v>4</v>
      </c>
      <c r="N588" s="39">
        <v>44893</v>
      </c>
    </row>
    <row r="589" spans="1:15" x14ac:dyDescent="0.15">
      <c r="A589" s="4"/>
      <c r="B589" s="8"/>
      <c r="C589" s="9"/>
      <c r="D589" s="10"/>
      <c r="E589" s="9"/>
      <c r="F589" s="5">
        <f t="shared" si="141"/>
        <v>0</v>
      </c>
      <c r="H589" s="4"/>
      <c r="I589" s="8"/>
      <c r="J589" s="9"/>
      <c r="K589" s="10"/>
      <c r="L589" s="9"/>
      <c r="M589" s="7">
        <f t="shared" si="142"/>
        <v>0</v>
      </c>
      <c r="N589" s="41"/>
    </row>
    <row r="590" spans="1:15" x14ac:dyDescent="0.15">
      <c r="A590" s="4"/>
      <c r="B590" s="8"/>
      <c r="C590" s="9"/>
      <c r="D590" s="10"/>
      <c r="E590" s="9"/>
      <c r="F590" s="5">
        <f t="shared" si="141"/>
        <v>0</v>
      </c>
      <c r="H590" s="4"/>
      <c r="I590" s="8"/>
      <c r="J590" s="9"/>
      <c r="K590" s="10"/>
      <c r="L590" s="9"/>
      <c r="M590" s="7">
        <f t="shared" si="142"/>
        <v>0</v>
      </c>
    </row>
    <row r="591" spans="1:15" x14ac:dyDescent="0.15">
      <c r="A591" s="11"/>
      <c r="B591" s="8"/>
      <c r="C591" s="9"/>
      <c r="D591" s="10"/>
      <c r="E591" s="9"/>
      <c r="F591" s="5">
        <f t="shared" si="141"/>
        <v>0</v>
      </c>
      <c r="H591" s="4"/>
      <c r="I591" s="8"/>
      <c r="J591" s="9"/>
      <c r="K591" s="10"/>
      <c r="L591" s="9"/>
      <c r="M591" s="7">
        <f t="shared" si="142"/>
        <v>0</v>
      </c>
    </row>
    <row r="592" spans="1:15" x14ac:dyDescent="0.15">
      <c r="A592" s="4"/>
      <c r="B592" s="8"/>
      <c r="C592" s="9"/>
      <c r="D592" s="10"/>
      <c r="E592" s="9"/>
      <c r="F592" s="5">
        <f t="shared" si="141"/>
        <v>0</v>
      </c>
      <c r="H592" s="4"/>
      <c r="I592" s="8"/>
      <c r="J592" s="9"/>
      <c r="K592" s="10"/>
      <c r="L592" s="9"/>
      <c r="M592" s="7">
        <f t="shared" si="142"/>
        <v>0</v>
      </c>
    </row>
    <row r="593" spans="1:14" x14ac:dyDescent="0.15">
      <c r="A593" s="4"/>
      <c r="B593" s="8"/>
      <c r="C593" s="9"/>
      <c r="D593" s="10"/>
      <c r="E593" s="9"/>
      <c r="F593" s="5">
        <f t="shared" si="141"/>
        <v>0</v>
      </c>
      <c r="H593" s="4"/>
      <c r="I593" s="8"/>
      <c r="J593" s="9"/>
      <c r="K593" s="10"/>
      <c r="L593" s="9"/>
      <c r="M593" s="7">
        <f t="shared" si="142"/>
        <v>0</v>
      </c>
    </row>
    <row r="594" spans="1:14" x14ac:dyDescent="0.15">
      <c r="A594" s="4"/>
      <c r="B594" s="8"/>
      <c r="C594" s="9"/>
      <c r="D594" s="10"/>
      <c r="E594" s="9"/>
      <c r="F594" s="5">
        <f t="shared" si="141"/>
        <v>0</v>
      </c>
      <c r="H594" s="4"/>
      <c r="I594" s="8"/>
      <c r="J594" s="9"/>
      <c r="K594" s="10"/>
      <c r="L594" s="9"/>
      <c r="M594" s="7">
        <f t="shared" si="142"/>
        <v>0</v>
      </c>
    </row>
    <row r="595" spans="1:14" x14ac:dyDescent="0.15">
      <c r="A595" s="28"/>
      <c r="B595" s="8"/>
      <c r="C595" s="9"/>
      <c r="D595" s="10"/>
      <c r="E595" s="9"/>
      <c r="F595" s="5">
        <f t="shared" si="141"/>
        <v>0</v>
      </c>
      <c r="H595" s="4"/>
      <c r="I595" s="8"/>
      <c r="J595" s="9"/>
      <c r="K595" s="10"/>
      <c r="L595" s="12"/>
      <c r="M595" s="7">
        <f t="shared" si="142"/>
        <v>0</v>
      </c>
    </row>
    <row r="596" spans="1:14" x14ac:dyDescent="0.15">
      <c r="A596" s="4"/>
      <c r="B596" s="8"/>
      <c r="C596" s="9"/>
      <c r="D596" s="10"/>
      <c r="E596" s="9"/>
      <c r="F596" s="5">
        <f t="shared" si="141"/>
        <v>0</v>
      </c>
      <c r="H596" s="4"/>
      <c r="I596" s="8"/>
      <c r="J596" s="9"/>
      <c r="K596" s="10"/>
      <c r="L596" s="12"/>
      <c r="M596" s="7">
        <f t="shared" ref="M596" si="143">SUM(I596:L596)</f>
        <v>0</v>
      </c>
    </row>
    <row r="597" spans="1:14" x14ac:dyDescent="0.15">
      <c r="A597" s="11"/>
      <c r="B597" s="8"/>
      <c r="C597" s="9"/>
      <c r="D597" s="10"/>
      <c r="E597" s="9"/>
      <c r="F597" s="5">
        <f t="shared" si="141"/>
        <v>0</v>
      </c>
      <c r="H597" s="4"/>
      <c r="I597" s="8"/>
      <c r="J597" s="9"/>
      <c r="K597" s="10"/>
      <c r="L597" s="9"/>
      <c r="M597" s="7">
        <f t="shared" si="142"/>
        <v>0</v>
      </c>
      <c r="N597" s="41"/>
    </row>
    <row r="598" spans="1:14" ht="14.25" thickBot="1" x14ac:dyDescent="0.2">
      <c r="A598" s="11"/>
      <c r="B598" s="8"/>
      <c r="C598" s="9"/>
      <c r="D598" s="10"/>
      <c r="E598" s="9"/>
      <c r="F598" s="5">
        <f t="shared" si="141"/>
        <v>0</v>
      </c>
      <c r="H598" s="4" t="s">
        <v>275</v>
      </c>
      <c r="I598" s="8"/>
      <c r="J598" s="9"/>
      <c r="K598" s="10"/>
      <c r="L598" s="9"/>
      <c r="M598" s="7">
        <f t="shared" ref="M598" si="144">SUM(I598:L598)</f>
        <v>0</v>
      </c>
      <c r="N598" s="41" t="s">
        <v>276</v>
      </c>
    </row>
    <row r="599" spans="1:14" ht="14.25" thickBot="1" x14ac:dyDescent="0.2">
      <c r="A599" s="3" t="s">
        <v>5</v>
      </c>
      <c r="B599" s="14">
        <f>SUM(B575:B598)</f>
        <v>10</v>
      </c>
      <c r="C599" s="14">
        <f>SUM(C575:C598)</f>
        <v>8</v>
      </c>
      <c r="D599" s="14">
        <f>SUM(D575:D598)</f>
        <v>10</v>
      </c>
      <c r="E599" s="14">
        <f>SUM(E575:E598)</f>
        <v>8</v>
      </c>
      <c r="F599" s="15">
        <f>SUM(B599:E599)</f>
        <v>36</v>
      </c>
      <c r="H599" s="3" t="s">
        <v>5</v>
      </c>
      <c r="I599" s="14">
        <f>SUM(I575:I598)</f>
        <v>74</v>
      </c>
      <c r="J599" s="14">
        <f>SUM(J575:J598)</f>
        <v>78</v>
      </c>
      <c r="K599" s="14">
        <f>SUM(K575:K598)</f>
        <v>58</v>
      </c>
      <c r="L599" s="14">
        <f>SUM(L575:L598)</f>
        <v>42</v>
      </c>
      <c r="M599" s="15">
        <f>SUM(I599:L599)</f>
        <v>252</v>
      </c>
    </row>
    <row r="600" spans="1:14" ht="14.25" thickBot="1" x14ac:dyDescent="0.2">
      <c r="A600" s="25" t="s">
        <v>6</v>
      </c>
      <c r="B600" s="26">
        <f>B574-B599</f>
        <v>27</v>
      </c>
      <c r="C600" s="26">
        <f t="shared" ref="C600:F600" si="145">C574-C599</f>
        <v>14</v>
      </c>
      <c r="D600" s="26">
        <f t="shared" si="145"/>
        <v>8</v>
      </c>
      <c r="E600" s="26">
        <f t="shared" si="145"/>
        <v>7</v>
      </c>
      <c r="F600" s="24">
        <f t="shared" si="145"/>
        <v>56</v>
      </c>
      <c r="H600" s="25" t="s">
        <v>6</v>
      </c>
      <c r="I600" s="26">
        <f>I574-I599</f>
        <v>683</v>
      </c>
      <c r="J600" s="26">
        <f t="shared" ref="J600:M600" si="146">J574-J599</f>
        <v>706</v>
      </c>
      <c r="K600" s="26">
        <f t="shared" si="146"/>
        <v>462</v>
      </c>
      <c r="L600" s="26">
        <f t="shared" si="146"/>
        <v>215</v>
      </c>
      <c r="M600" s="24">
        <f t="shared" si="146"/>
        <v>2066</v>
      </c>
    </row>
    <row r="603" spans="1:14" ht="21.75" thickBot="1" x14ac:dyDescent="0.25">
      <c r="A603" s="29" t="s">
        <v>13</v>
      </c>
      <c r="B603" s="1"/>
      <c r="C603" s="1"/>
      <c r="D603" s="1"/>
      <c r="E603" s="1"/>
      <c r="F603" s="1"/>
      <c r="H603" s="29" t="s">
        <v>14</v>
      </c>
      <c r="I603" s="1"/>
      <c r="J603" s="1"/>
      <c r="K603" s="1"/>
      <c r="L603" s="1"/>
      <c r="M603" s="1"/>
    </row>
    <row r="604" spans="1:14" ht="14.25" thickBot="1" x14ac:dyDescent="0.2">
      <c r="A604" s="2" t="s">
        <v>0</v>
      </c>
      <c r="B604" s="164" t="s">
        <v>12</v>
      </c>
      <c r="C604" s="165"/>
      <c r="D604" s="165"/>
      <c r="E604" s="165"/>
      <c r="F604" s="168"/>
      <c r="H604" s="2" t="s">
        <v>0</v>
      </c>
      <c r="I604" s="164" t="s">
        <v>12</v>
      </c>
      <c r="J604" s="165"/>
      <c r="K604" s="165"/>
      <c r="L604" s="165"/>
      <c r="M604" s="168"/>
    </row>
    <row r="605" spans="1:14" ht="14.25" thickBot="1" x14ac:dyDescent="0.2">
      <c r="A605" s="2" t="s">
        <v>1</v>
      </c>
      <c r="B605" s="3" t="s">
        <v>7</v>
      </c>
      <c r="C605" s="2" t="s">
        <v>8</v>
      </c>
      <c r="D605" s="19" t="s">
        <v>9</v>
      </c>
      <c r="E605" s="2" t="s">
        <v>11</v>
      </c>
      <c r="F605" s="2" t="s">
        <v>2</v>
      </c>
      <c r="H605" s="2" t="s">
        <v>1</v>
      </c>
      <c r="I605" s="3" t="s">
        <v>7</v>
      </c>
      <c r="J605" s="2" t="s">
        <v>8</v>
      </c>
      <c r="K605" s="19" t="s">
        <v>9</v>
      </c>
      <c r="L605" s="2" t="s">
        <v>11</v>
      </c>
      <c r="M605" s="2" t="s">
        <v>2</v>
      </c>
    </row>
    <row r="606" spans="1:14" x14ac:dyDescent="0.15">
      <c r="A606" s="27" t="s">
        <v>6</v>
      </c>
      <c r="B606" s="18">
        <f>B600</f>
        <v>27</v>
      </c>
      <c r="C606" s="20">
        <f>C600</f>
        <v>14</v>
      </c>
      <c r="D606" s="55">
        <f>D600</f>
        <v>8</v>
      </c>
      <c r="E606" s="20">
        <f>E600</f>
        <v>7</v>
      </c>
      <c r="F606" s="17">
        <f>SUM(B606:E606)</f>
        <v>56</v>
      </c>
      <c r="H606" s="27" t="s">
        <v>6</v>
      </c>
      <c r="I606" s="18">
        <f>I600</f>
        <v>683</v>
      </c>
      <c r="J606" s="20">
        <f>J600</f>
        <v>706</v>
      </c>
      <c r="K606" s="55">
        <f>K600</f>
        <v>462</v>
      </c>
      <c r="L606" s="58">
        <f>L600</f>
        <v>215</v>
      </c>
      <c r="M606" s="17">
        <f>SUM(I606:L606)</f>
        <v>2066</v>
      </c>
    </row>
    <row r="607" spans="1:14" x14ac:dyDescent="0.15">
      <c r="A607" s="6" t="s">
        <v>312</v>
      </c>
      <c r="B607" s="16"/>
      <c r="C607" s="11">
        <v>4</v>
      </c>
      <c r="D607" s="16"/>
      <c r="E607" s="4"/>
      <c r="F607" s="5">
        <f t="shared" ref="F607:F616" si="147">SUM(B607:E607)</f>
        <v>4</v>
      </c>
      <c r="G607" s="71">
        <v>44901</v>
      </c>
      <c r="H607" s="6" t="s">
        <v>319</v>
      </c>
      <c r="I607" s="16">
        <v>24</v>
      </c>
      <c r="J607" s="11"/>
      <c r="K607" s="16"/>
      <c r="L607" s="4"/>
      <c r="M607" s="5">
        <f t="shared" ref="M607:M616" si="148">SUM(I607:L607)</f>
        <v>24</v>
      </c>
      <c r="N607" s="39">
        <v>44912</v>
      </c>
    </row>
    <row r="608" spans="1:14" x14ac:dyDescent="0.15">
      <c r="A608" s="6" t="s">
        <v>45</v>
      </c>
      <c r="B608" s="16">
        <v>2</v>
      </c>
      <c r="C608" s="11"/>
      <c r="D608" s="16"/>
      <c r="E608" s="4"/>
      <c r="F608" s="5">
        <f t="shared" si="147"/>
        <v>2</v>
      </c>
      <c r="G608" s="71">
        <v>44904</v>
      </c>
      <c r="H608" s="6" t="s">
        <v>319</v>
      </c>
      <c r="I608" s="16">
        <v>10</v>
      </c>
      <c r="J608" s="11">
        <v>8</v>
      </c>
      <c r="K608" s="16">
        <v>6</v>
      </c>
      <c r="L608" s="4"/>
      <c r="M608" s="5">
        <f t="shared" si="148"/>
        <v>24</v>
      </c>
      <c r="N608" s="39">
        <v>44947</v>
      </c>
    </row>
    <row r="609" spans="1:14" x14ac:dyDescent="0.15">
      <c r="A609" s="6" t="s">
        <v>317</v>
      </c>
      <c r="B609" s="16">
        <v>24</v>
      </c>
      <c r="C609" s="11">
        <v>12</v>
      </c>
      <c r="D609" s="16">
        <v>14</v>
      </c>
      <c r="E609" s="4">
        <v>4</v>
      </c>
      <c r="F609" s="5">
        <f t="shared" si="147"/>
        <v>54</v>
      </c>
      <c r="G609" s="71">
        <v>44909</v>
      </c>
      <c r="H609" s="6" t="s">
        <v>3</v>
      </c>
      <c r="I609" s="31"/>
      <c r="J609" s="32"/>
      <c r="K609" s="31"/>
      <c r="L609" s="52"/>
      <c r="M609" s="5">
        <f t="shared" si="148"/>
        <v>0</v>
      </c>
      <c r="N609" s="41"/>
    </row>
    <row r="610" spans="1:14" x14ac:dyDescent="0.15">
      <c r="A610" s="6" t="s">
        <v>45</v>
      </c>
      <c r="B610" s="16"/>
      <c r="C610" s="11">
        <v>2</v>
      </c>
      <c r="D610" s="16"/>
      <c r="E610" s="4"/>
      <c r="F610" s="5">
        <f t="shared" si="147"/>
        <v>2</v>
      </c>
      <c r="G610" s="71">
        <v>44922</v>
      </c>
      <c r="H610" s="6" t="s">
        <v>3</v>
      </c>
      <c r="I610" s="38"/>
      <c r="J610" s="32"/>
      <c r="K610" s="31"/>
      <c r="L610" s="52"/>
      <c r="M610" s="5">
        <f t="shared" si="148"/>
        <v>0</v>
      </c>
      <c r="N610" s="41"/>
    </row>
    <row r="611" spans="1:14" x14ac:dyDescent="0.15">
      <c r="A611" s="6" t="s">
        <v>45</v>
      </c>
      <c r="B611" s="16"/>
      <c r="C611" s="11"/>
      <c r="D611" s="16">
        <v>2</v>
      </c>
      <c r="E611" s="4"/>
      <c r="F611" s="5">
        <f t="shared" si="147"/>
        <v>2</v>
      </c>
      <c r="G611" s="71">
        <v>44938</v>
      </c>
      <c r="H611" s="6" t="s">
        <v>3</v>
      </c>
      <c r="I611" s="31"/>
      <c r="J611" s="32"/>
      <c r="K611" s="31"/>
      <c r="L611" s="52"/>
      <c r="M611" s="5">
        <f t="shared" si="148"/>
        <v>0</v>
      </c>
      <c r="N611" s="41"/>
    </row>
    <row r="612" spans="1:14" x14ac:dyDescent="0.15">
      <c r="A612" s="6" t="s">
        <v>326</v>
      </c>
      <c r="B612" s="16"/>
      <c r="C612" s="11">
        <v>4</v>
      </c>
      <c r="D612" s="16"/>
      <c r="E612" s="4"/>
      <c r="F612" s="5">
        <f t="shared" si="147"/>
        <v>4</v>
      </c>
      <c r="G612" s="71">
        <v>44938</v>
      </c>
      <c r="H612" s="6" t="s">
        <v>284</v>
      </c>
      <c r="I612" s="31">
        <v>300</v>
      </c>
      <c r="J612" s="32">
        <v>350</v>
      </c>
      <c r="K612" s="31">
        <v>250</v>
      </c>
      <c r="L612" s="52">
        <v>100</v>
      </c>
      <c r="M612" s="5">
        <f t="shared" si="148"/>
        <v>1000</v>
      </c>
      <c r="N612" s="41" t="s">
        <v>325</v>
      </c>
    </row>
    <row r="613" spans="1:14" x14ac:dyDescent="0.15">
      <c r="A613" s="6" t="s">
        <v>3</v>
      </c>
      <c r="B613" s="31">
        <v>5</v>
      </c>
      <c r="C613" s="32"/>
      <c r="D613" s="31"/>
      <c r="E613" s="52"/>
      <c r="F613" s="5">
        <f t="shared" si="147"/>
        <v>5</v>
      </c>
      <c r="G613" s="39">
        <v>44951</v>
      </c>
      <c r="H613" s="6" t="s">
        <v>3</v>
      </c>
      <c r="I613" s="38"/>
      <c r="J613" s="32"/>
      <c r="K613" s="31"/>
      <c r="L613" s="52"/>
      <c r="M613" s="5">
        <f t="shared" si="148"/>
        <v>0</v>
      </c>
      <c r="N613" s="41" t="s">
        <v>278</v>
      </c>
    </row>
    <row r="614" spans="1:14" x14ac:dyDescent="0.15">
      <c r="A614" s="6" t="s">
        <v>338</v>
      </c>
      <c r="B614" s="31">
        <v>4</v>
      </c>
      <c r="C614" s="9"/>
      <c r="D614" s="10"/>
      <c r="E614" s="49"/>
      <c r="F614" s="5">
        <f t="shared" si="147"/>
        <v>4</v>
      </c>
      <c r="G614" s="71">
        <v>44956</v>
      </c>
      <c r="H614" s="6" t="s">
        <v>3</v>
      </c>
      <c r="I614" s="31"/>
      <c r="J614" s="32"/>
      <c r="K614" s="31"/>
      <c r="L614" s="52"/>
      <c r="M614" s="5">
        <f t="shared" si="148"/>
        <v>0</v>
      </c>
      <c r="N614" s="41" t="s">
        <v>279</v>
      </c>
    </row>
    <row r="615" spans="1:14" x14ac:dyDescent="0.15">
      <c r="A615" s="6" t="s">
        <v>3</v>
      </c>
      <c r="B615" s="31"/>
      <c r="C615" s="32"/>
      <c r="D615" s="31"/>
      <c r="E615" s="52"/>
      <c r="F615" s="5">
        <f t="shared" si="147"/>
        <v>0</v>
      </c>
      <c r="H615" s="6" t="s">
        <v>3</v>
      </c>
      <c r="I615" s="34"/>
      <c r="J615" s="35"/>
      <c r="K615" s="34"/>
      <c r="L615" s="32"/>
      <c r="M615" s="5">
        <f t="shared" si="148"/>
        <v>0</v>
      </c>
    </row>
    <row r="616" spans="1:14" ht="14.25" thickBot="1" x14ac:dyDescent="0.2">
      <c r="A616" s="6" t="s">
        <v>3</v>
      </c>
      <c r="B616" s="13"/>
      <c r="C616" s="12"/>
      <c r="D616" s="13"/>
      <c r="E616" s="50"/>
      <c r="F616" s="5">
        <f t="shared" si="147"/>
        <v>0</v>
      </c>
      <c r="H616" s="6" t="s">
        <v>3</v>
      </c>
      <c r="I616" s="34"/>
      <c r="J616" s="35"/>
      <c r="K616" s="34"/>
      <c r="L616" s="53"/>
      <c r="M616" s="5">
        <f t="shared" si="148"/>
        <v>0</v>
      </c>
    </row>
    <row r="617" spans="1:14" ht="14.25" thickBot="1" x14ac:dyDescent="0.2">
      <c r="A617" s="21" t="s">
        <v>4</v>
      </c>
      <c r="B617" s="22">
        <f>SUM(B606:B616)</f>
        <v>62</v>
      </c>
      <c r="C617" s="22">
        <f>SUM(C606:C616)</f>
        <v>36</v>
      </c>
      <c r="D617" s="23">
        <f>SUM(D606:D616)</f>
        <v>24</v>
      </c>
      <c r="E617" s="23">
        <f>SUM(E606:E616)</f>
        <v>11</v>
      </c>
      <c r="F617" s="24">
        <f>SUM(B617:E617)</f>
        <v>133</v>
      </c>
      <c r="H617" s="21" t="s">
        <v>4</v>
      </c>
      <c r="I617" s="22">
        <f>SUM(I606:I616)</f>
        <v>1017</v>
      </c>
      <c r="J617" s="22">
        <f>SUM(J606:J616)</f>
        <v>1064</v>
      </c>
      <c r="K617" s="23">
        <f>SUM(K606:K616)</f>
        <v>718</v>
      </c>
      <c r="L617" s="23">
        <f>SUM(L606:L616)</f>
        <v>315</v>
      </c>
      <c r="M617" s="24">
        <f>SUM(I617:L617)</f>
        <v>3114</v>
      </c>
    </row>
    <row r="618" spans="1:14" x14ac:dyDescent="0.15">
      <c r="A618" s="4" t="s">
        <v>200</v>
      </c>
      <c r="B618" s="8"/>
      <c r="C618" s="9">
        <v>4</v>
      </c>
      <c r="D618" s="10"/>
      <c r="E618" s="9"/>
      <c r="F618" s="5">
        <f t="shared" ref="F618" si="149">SUM(B618:E618)</f>
        <v>4</v>
      </c>
      <c r="G618" s="39">
        <v>44901</v>
      </c>
      <c r="H618" s="4" t="s">
        <v>298</v>
      </c>
      <c r="I618" s="8">
        <v>40</v>
      </c>
      <c r="J618" s="9">
        <v>60</v>
      </c>
      <c r="K618" s="10">
        <v>30</v>
      </c>
      <c r="L618" s="9">
        <v>20</v>
      </c>
      <c r="M618" s="7">
        <f t="shared" ref="M618" si="150">SUM(I618:L618)</f>
        <v>150</v>
      </c>
      <c r="N618" s="39">
        <v>44904</v>
      </c>
    </row>
    <row r="619" spans="1:14" x14ac:dyDescent="0.15">
      <c r="A619" s="4" t="s">
        <v>200</v>
      </c>
      <c r="B619" s="8"/>
      <c r="C619" s="9">
        <v>2</v>
      </c>
      <c r="D619" s="10"/>
      <c r="E619" s="49"/>
      <c r="F619" s="5">
        <f t="shared" ref="F619:F641" si="151">SUM(B619:E619)</f>
        <v>2</v>
      </c>
      <c r="G619" s="39">
        <v>44902</v>
      </c>
      <c r="H619" s="4" t="s">
        <v>309</v>
      </c>
      <c r="I619" s="80"/>
      <c r="J619" s="49">
        <v>10</v>
      </c>
      <c r="K619" s="78"/>
      <c r="L619" s="9"/>
      <c r="M619" s="7">
        <f t="shared" ref="M619:M638" si="152">SUM(I619:L619)</f>
        <v>10</v>
      </c>
      <c r="N619" s="39">
        <v>44909</v>
      </c>
    </row>
    <row r="620" spans="1:14" x14ac:dyDescent="0.15">
      <c r="A620" s="4" t="s">
        <v>39</v>
      </c>
      <c r="B620" s="8">
        <v>1</v>
      </c>
      <c r="C620" s="9"/>
      <c r="D620" s="10"/>
      <c r="E620" s="49"/>
      <c r="F620" s="5">
        <f t="shared" si="151"/>
        <v>1</v>
      </c>
      <c r="G620" s="39">
        <v>44904</v>
      </c>
      <c r="H620" s="4" t="s">
        <v>200</v>
      </c>
      <c r="I620" s="8"/>
      <c r="J620" s="9">
        <v>4</v>
      </c>
      <c r="K620" s="10"/>
      <c r="L620" s="49"/>
      <c r="M620" s="7">
        <f t="shared" si="152"/>
        <v>4</v>
      </c>
      <c r="N620" s="39">
        <v>44903</v>
      </c>
    </row>
    <row r="621" spans="1:14" x14ac:dyDescent="0.15">
      <c r="A621" s="4" t="s">
        <v>200</v>
      </c>
      <c r="B621" s="8"/>
      <c r="C621" s="9"/>
      <c r="D621" s="10">
        <v>2</v>
      </c>
      <c r="E621" s="49"/>
      <c r="F621" s="5">
        <f t="shared" si="151"/>
        <v>2</v>
      </c>
      <c r="G621" s="39">
        <v>44907</v>
      </c>
      <c r="H621" s="4" t="s">
        <v>320</v>
      </c>
      <c r="I621" s="8"/>
      <c r="J621" s="9">
        <v>10</v>
      </c>
      <c r="K621" s="10"/>
      <c r="L621" s="49"/>
      <c r="M621" s="7">
        <f t="shared" si="152"/>
        <v>10</v>
      </c>
      <c r="N621" s="39">
        <v>44915</v>
      </c>
    </row>
    <row r="622" spans="1:14" x14ac:dyDescent="0.15">
      <c r="A622" s="4" t="s">
        <v>200</v>
      </c>
      <c r="B622" s="8"/>
      <c r="C622" s="9">
        <v>2</v>
      </c>
      <c r="D622" s="10"/>
      <c r="E622" s="49"/>
      <c r="F622" s="5">
        <f t="shared" si="151"/>
        <v>2</v>
      </c>
      <c r="G622" s="39">
        <v>44908</v>
      </c>
      <c r="H622" s="4" t="s">
        <v>322</v>
      </c>
      <c r="I622" s="8"/>
      <c r="J622" s="9">
        <v>10</v>
      </c>
      <c r="K622" s="10">
        <v>10</v>
      </c>
      <c r="L622" s="49">
        <v>10</v>
      </c>
      <c r="M622" s="7">
        <f t="shared" si="152"/>
        <v>30</v>
      </c>
      <c r="N622" s="39">
        <v>44572</v>
      </c>
    </row>
    <row r="623" spans="1:14" x14ac:dyDescent="0.15">
      <c r="A623" s="4" t="s">
        <v>200</v>
      </c>
      <c r="B623" s="8">
        <v>2</v>
      </c>
      <c r="C623" s="9"/>
      <c r="D623" s="10"/>
      <c r="E623" s="9"/>
      <c r="F623" s="5">
        <f t="shared" si="151"/>
        <v>2</v>
      </c>
      <c r="G623" s="39">
        <v>44909</v>
      </c>
      <c r="H623" s="4" t="s">
        <v>323</v>
      </c>
      <c r="I623" s="8">
        <v>10</v>
      </c>
      <c r="J623" s="9">
        <v>20</v>
      </c>
      <c r="K623" s="10"/>
      <c r="L623" s="9"/>
      <c r="M623" s="7">
        <f t="shared" si="152"/>
        <v>30</v>
      </c>
      <c r="N623" s="39">
        <v>44940</v>
      </c>
    </row>
    <row r="624" spans="1:14" x14ac:dyDescent="0.15">
      <c r="A624" s="28" t="s">
        <v>318</v>
      </c>
      <c r="B624" s="8">
        <v>24</v>
      </c>
      <c r="C624" s="9"/>
      <c r="D624" s="10"/>
      <c r="E624" s="9"/>
      <c r="F624" s="5">
        <f t="shared" si="151"/>
        <v>24</v>
      </c>
      <c r="G624" s="39">
        <v>44912</v>
      </c>
      <c r="H624" s="4" t="s">
        <v>327</v>
      </c>
      <c r="I624" s="8">
        <v>10</v>
      </c>
      <c r="J624" s="9">
        <v>5</v>
      </c>
      <c r="K624" s="10">
        <v>6</v>
      </c>
      <c r="L624" s="9"/>
      <c r="M624" s="7">
        <f t="shared" si="152"/>
        <v>21</v>
      </c>
      <c r="N624" s="39">
        <v>44949</v>
      </c>
    </row>
    <row r="625" spans="1:14" x14ac:dyDescent="0.15">
      <c r="A625" s="4" t="s">
        <v>39</v>
      </c>
      <c r="B625" s="8"/>
      <c r="C625" s="9">
        <v>1</v>
      </c>
      <c r="D625" s="10"/>
      <c r="E625" s="9"/>
      <c r="F625" s="5">
        <f t="shared" si="151"/>
        <v>1</v>
      </c>
      <c r="G625" s="39">
        <v>44910</v>
      </c>
      <c r="H625" s="4" t="s">
        <v>200</v>
      </c>
      <c r="I625" s="8">
        <v>2</v>
      </c>
      <c r="J625" s="9"/>
      <c r="K625" s="10"/>
      <c r="L625" s="9"/>
      <c r="M625" s="7">
        <f t="shared" si="152"/>
        <v>2</v>
      </c>
      <c r="N625" s="39">
        <v>44942</v>
      </c>
    </row>
    <row r="626" spans="1:14" x14ac:dyDescent="0.15">
      <c r="A626" s="28" t="s">
        <v>34</v>
      </c>
      <c r="B626" s="8"/>
      <c r="C626" s="9">
        <v>1</v>
      </c>
      <c r="D626" s="10"/>
      <c r="E626" s="9"/>
      <c r="F626" s="5">
        <f t="shared" si="151"/>
        <v>1</v>
      </c>
      <c r="G626" s="71">
        <v>44915</v>
      </c>
      <c r="H626" s="4" t="s">
        <v>328</v>
      </c>
      <c r="I626" s="8">
        <v>10</v>
      </c>
      <c r="J626" s="9"/>
      <c r="K626" s="10"/>
      <c r="L626" s="9"/>
      <c r="M626" s="7">
        <f t="shared" si="152"/>
        <v>10</v>
      </c>
      <c r="N626" s="39">
        <v>44946</v>
      </c>
    </row>
    <row r="627" spans="1:14" x14ac:dyDescent="0.15">
      <c r="A627" s="28" t="s">
        <v>34</v>
      </c>
      <c r="B627" s="8"/>
      <c r="C627" s="9">
        <v>1</v>
      </c>
      <c r="D627" s="10"/>
      <c r="E627" s="9"/>
      <c r="F627" s="5">
        <f t="shared" si="151"/>
        <v>1</v>
      </c>
      <c r="G627" s="71">
        <v>44916</v>
      </c>
      <c r="H627" s="4" t="s">
        <v>329</v>
      </c>
      <c r="I627" s="8">
        <v>20</v>
      </c>
      <c r="J627" s="9"/>
      <c r="K627" s="10"/>
      <c r="L627" s="9"/>
      <c r="M627" s="7">
        <f t="shared" si="152"/>
        <v>20</v>
      </c>
      <c r="N627" s="39">
        <v>44950</v>
      </c>
    </row>
    <row r="628" spans="1:14" x14ac:dyDescent="0.15">
      <c r="A628" s="4" t="s">
        <v>200</v>
      </c>
      <c r="B628" s="8">
        <v>2</v>
      </c>
      <c r="C628" s="9"/>
      <c r="D628" s="10"/>
      <c r="E628" s="9"/>
      <c r="F628" s="5">
        <f t="shared" si="151"/>
        <v>2</v>
      </c>
      <c r="G628" s="39">
        <v>44918</v>
      </c>
      <c r="H628" s="4" t="s">
        <v>200</v>
      </c>
      <c r="I628" s="8"/>
      <c r="J628" s="9">
        <v>2</v>
      </c>
      <c r="K628" s="10"/>
      <c r="L628" s="9"/>
      <c r="M628" s="7">
        <f t="shared" ref="M628" si="153">SUM(I628:L628)</f>
        <v>2</v>
      </c>
      <c r="N628" s="39">
        <v>44956</v>
      </c>
    </row>
    <row r="629" spans="1:14" x14ac:dyDescent="0.15">
      <c r="A629" s="4" t="s">
        <v>39</v>
      </c>
      <c r="B629" s="8"/>
      <c r="C629" s="9">
        <v>1</v>
      </c>
      <c r="D629" s="10"/>
      <c r="E629" s="9"/>
      <c r="F629" s="5">
        <f t="shared" si="151"/>
        <v>1</v>
      </c>
      <c r="G629" s="39">
        <v>44922</v>
      </c>
      <c r="H629" s="4" t="s">
        <v>83</v>
      </c>
      <c r="I629" s="8">
        <v>5</v>
      </c>
      <c r="J629" s="9"/>
      <c r="K629" s="10"/>
      <c r="L629" s="9"/>
      <c r="M629" s="7">
        <f t="shared" si="152"/>
        <v>5</v>
      </c>
      <c r="N629" s="39">
        <v>44951</v>
      </c>
    </row>
    <row r="630" spans="1:14" x14ac:dyDescent="0.15">
      <c r="A630" s="4" t="s">
        <v>200</v>
      </c>
      <c r="B630" s="8">
        <v>2</v>
      </c>
      <c r="C630" s="9"/>
      <c r="D630" s="10"/>
      <c r="E630" s="9"/>
      <c r="F630" s="5">
        <f t="shared" si="151"/>
        <v>2</v>
      </c>
      <c r="G630" s="39">
        <v>44923</v>
      </c>
      <c r="H630" s="48" t="s">
        <v>336</v>
      </c>
      <c r="I630" s="8">
        <v>8</v>
      </c>
      <c r="J630" s="9">
        <v>24</v>
      </c>
      <c r="K630" s="10">
        <v>12</v>
      </c>
      <c r="L630" s="9">
        <v>5</v>
      </c>
      <c r="M630" s="7">
        <f t="shared" si="152"/>
        <v>49</v>
      </c>
      <c r="N630" s="39">
        <v>44953</v>
      </c>
    </row>
    <row r="631" spans="1:14" x14ac:dyDescent="0.15">
      <c r="A631" s="4" t="s">
        <v>200</v>
      </c>
      <c r="B631" s="8">
        <v>2</v>
      </c>
      <c r="C631" s="9"/>
      <c r="D631" s="10"/>
      <c r="E631" s="9"/>
      <c r="F631" s="5">
        <f t="shared" si="151"/>
        <v>2</v>
      </c>
      <c r="G631" s="39">
        <v>44937</v>
      </c>
      <c r="H631" s="4"/>
      <c r="I631" s="8"/>
      <c r="J631" s="9"/>
      <c r="K631" s="10"/>
      <c r="L631" s="9"/>
      <c r="M631" s="7">
        <f t="shared" si="152"/>
        <v>0</v>
      </c>
      <c r="N631" s="39"/>
    </row>
    <row r="632" spans="1:14" x14ac:dyDescent="0.15">
      <c r="A632" s="4" t="s">
        <v>200</v>
      </c>
      <c r="B632" s="8"/>
      <c r="C632" s="9">
        <v>2</v>
      </c>
      <c r="D632" s="10"/>
      <c r="E632" s="9"/>
      <c r="F632" s="5">
        <f t="shared" si="151"/>
        <v>2</v>
      </c>
      <c r="G632" s="39">
        <v>44938</v>
      </c>
      <c r="H632" s="4"/>
      <c r="I632" s="8"/>
      <c r="J632" s="9"/>
      <c r="K632" s="10"/>
      <c r="L632" s="9"/>
      <c r="M632" s="7">
        <f t="shared" si="152"/>
        <v>0</v>
      </c>
      <c r="N632" s="39"/>
    </row>
    <row r="633" spans="1:14" x14ac:dyDescent="0.15">
      <c r="A633" s="28" t="s">
        <v>34</v>
      </c>
      <c r="B633" s="8"/>
      <c r="C633" s="9"/>
      <c r="D633" s="10"/>
      <c r="E633" s="9">
        <v>1</v>
      </c>
      <c r="F633" s="5">
        <f t="shared" si="151"/>
        <v>1</v>
      </c>
      <c r="G633" s="71">
        <v>44942</v>
      </c>
      <c r="H633" s="4"/>
      <c r="I633" s="8"/>
      <c r="J633" s="9"/>
      <c r="K633" s="10"/>
      <c r="L633" s="9"/>
      <c r="M633" s="7">
        <f t="shared" si="152"/>
        <v>0</v>
      </c>
      <c r="N633" s="39"/>
    </row>
    <row r="634" spans="1:14" x14ac:dyDescent="0.15">
      <c r="A634" s="11" t="s">
        <v>225</v>
      </c>
      <c r="B634" s="8">
        <v>10</v>
      </c>
      <c r="C634" s="9">
        <v>8</v>
      </c>
      <c r="D634" s="10">
        <v>6</v>
      </c>
      <c r="E634" s="9"/>
      <c r="F634" s="5">
        <f t="shared" si="151"/>
        <v>24</v>
      </c>
      <c r="G634" s="71">
        <v>44947</v>
      </c>
      <c r="H634" s="4"/>
      <c r="I634" s="8"/>
      <c r="J634" s="9"/>
      <c r="K634" s="10"/>
      <c r="L634" s="9"/>
      <c r="M634" s="7">
        <f t="shared" si="152"/>
        <v>0</v>
      </c>
    </row>
    <row r="635" spans="1:14" x14ac:dyDescent="0.15">
      <c r="A635" s="4" t="s">
        <v>200</v>
      </c>
      <c r="B635" s="8">
        <v>2</v>
      </c>
      <c r="C635" s="9"/>
      <c r="D635" s="10"/>
      <c r="E635" s="9"/>
      <c r="F635" s="5">
        <f t="shared" si="151"/>
        <v>2</v>
      </c>
      <c r="G635" s="39">
        <v>44950</v>
      </c>
      <c r="H635" s="4"/>
      <c r="I635" s="8"/>
      <c r="J635" s="9"/>
      <c r="K635" s="10"/>
      <c r="L635" s="9"/>
      <c r="M635" s="7">
        <f t="shared" si="152"/>
        <v>0</v>
      </c>
    </row>
    <row r="636" spans="1:14" x14ac:dyDescent="0.15">
      <c r="A636" s="28" t="s">
        <v>34</v>
      </c>
      <c r="B636" s="8">
        <v>1</v>
      </c>
      <c r="C636" s="9"/>
      <c r="D636" s="10"/>
      <c r="E636" s="9"/>
      <c r="F636" s="5">
        <f t="shared" si="151"/>
        <v>1</v>
      </c>
      <c r="G636" s="71">
        <v>44949</v>
      </c>
      <c r="H636" s="4"/>
      <c r="I636" s="8"/>
      <c r="J636" s="9"/>
      <c r="K636" s="10"/>
      <c r="L636" s="9"/>
      <c r="M636" s="7">
        <f t="shared" si="152"/>
        <v>0</v>
      </c>
    </row>
    <row r="637" spans="1:14" x14ac:dyDescent="0.15">
      <c r="A637" s="4" t="s">
        <v>331</v>
      </c>
      <c r="B637" s="8">
        <v>1</v>
      </c>
      <c r="C637" s="9"/>
      <c r="D637" s="10"/>
      <c r="E637" s="9"/>
      <c r="F637" s="5">
        <f t="shared" si="151"/>
        <v>1</v>
      </c>
      <c r="G637" s="71">
        <v>44951</v>
      </c>
      <c r="H637" s="4"/>
      <c r="I637" s="8"/>
      <c r="J637" s="9"/>
      <c r="K637" s="10"/>
      <c r="L637" s="9"/>
      <c r="M637" s="7">
        <f t="shared" si="152"/>
        <v>0</v>
      </c>
    </row>
    <row r="638" spans="1:14" x14ac:dyDescent="0.15">
      <c r="A638" s="28" t="s">
        <v>333</v>
      </c>
      <c r="B638" s="8"/>
      <c r="C638" s="9"/>
      <c r="D638" s="10">
        <v>2</v>
      </c>
      <c r="E638" s="9"/>
      <c r="F638" s="5">
        <f t="shared" si="151"/>
        <v>2</v>
      </c>
      <c r="G638" s="39">
        <v>44951</v>
      </c>
      <c r="H638" s="4"/>
      <c r="I638" s="8"/>
      <c r="J638" s="9"/>
      <c r="K638" s="10"/>
      <c r="L638" s="12"/>
      <c r="M638" s="7">
        <f t="shared" si="152"/>
        <v>0</v>
      </c>
    </row>
    <row r="639" spans="1:14" x14ac:dyDescent="0.15">
      <c r="A639" s="4" t="s">
        <v>39</v>
      </c>
      <c r="B639" s="8"/>
      <c r="C639" s="9"/>
      <c r="D639" s="10">
        <v>1</v>
      </c>
      <c r="E639" s="9">
        <v>1</v>
      </c>
      <c r="F639" s="5">
        <f t="shared" si="151"/>
        <v>2</v>
      </c>
      <c r="G639" s="39">
        <v>44952</v>
      </c>
      <c r="H639" s="4"/>
      <c r="I639" s="8"/>
      <c r="J639" s="9"/>
      <c r="K639" s="10"/>
      <c r="L639" s="12"/>
      <c r="M639" s="7">
        <f t="shared" ref="M639:M641" si="154">SUM(I639:L639)</f>
        <v>0</v>
      </c>
    </row>
    <row r="640" spans="1:14" x14ac:dyDescent="0.15">
      <c r="A640" s="11" t="s">
        <v>334</v>
      </c>
      <c r="B640" s="8">
        <v>1</v>
      </c>
      <c r="C640" s="9"/>
      <c r="D640" s="10"/>
      <c r="E640" s="9"/>
      <c r="F640" s="5">
        <f t="shared" si="151"/>
        <v>1</v>
      </c>
      <c r="G640" s="71">
        <v>44952</v>
      </c>
      <c r="H640" s="4"/>
      <c r="I640" s="8"/>
      <c r="J640" s="9"/>
      <c r="K640" s="10"/>
      <c r="L640" s="9"/>
      <c r="M640" s="7">
        <f t="shared" si="154"/>
        <v>0</v>
      </c>
      <c r="N640" s="41"/>
    </row>
    <row r="641" spans="1:14" ht="14.25" thickBot="1" x14ac:dyDescent="0.2">
      <c r="A641" s="48" t="s">
        <v>339</v>
      </c>
      <c r="B641" s="8">
        <v>3</v>
      </c>
      <c r="C641" s="9"/>
      <c r="D641" s="10"/>
      <c r="E641" s="9"/>
      <c r="F641" s="5">
        <f t="shared" si="151"/>
        <v>3</v>
      </c>
      <c r="G641" s="39">
        <v>44957</v>
      </c>
      <c r="H641" s="48" t="s">
        <v>337</v>
      </c>
      <c r="I641" s="8"/>
      <c r="J641" s="9"/>
      <c r="K641" s="10"/>
      <c r="L641" s="9"/>
      <c r="M641" s="7">
        <f t="shared" si="154"/>
        <v>0</v>
      </c>
      <c r="N641" s="41" t="s">
        <v>332</v>
      </c>
    </row>
    <row r="642" spans="1:14" ht="14.25" thickBot="1" x14ac:dyDescent="0.2">
      <c r="A642" s="3" t="s">
        <v>5</v>
      </c>
      <c r="B642" s="14">
        <f>SUM(B618:B641)</f>
        <v>51</v>
      </c>
      <c r="C642" s="14">
        <f>SUM(C618:C641)</f>
        <v>22</v>
      </c>
      <c r="D642" s="14">
        <f>SUM(D618:D641)</f>
        <v>11</v>
      </c>
      <c r="E642" s="14">
        <f>SUM(E618:E641)</f>
        <v>2</v>
      </c>
      <c r="F642" s="15">
        <f>SUM(B642:E642)</f>
        <v>86</v>
      </c>
      <c r="H642" s="3" t="s">
        <v>5</v>
      </c>
      <c r="I642" s="14">
        <f>SUM(I618:I641)</f>
        <v>105</v>
      </c>
      <c r="J642" s="14">
        <f>SUM(J618:J641)</f>
        <v>145</v>
      </c>
      <c r="K642" s="14">
        <f>SUM(K618:K641)</f>
        <v>58</v>
      </c>
      <c r="L642" s="14">
        <f>SUM(L618:L641)</f>
        <v>35</v>
      </c>
      <c r="M642" s="15">
        <f>SUM(I642:L642)</f>
        <v>343</v>
      </c>
    </row>
    <row r="643" spans="1:14" ht="14.25" thickBot="1" x14ac:dyDescent="0.2">
      <c r="A643" s="25" t="s">
        <v>6</v>
      </c>
      <c r="B643" s="26">
        <f>B617-B642</f>
        <v>11</v>
      </c>
      <c r="C643" s="26">
        <f t="shared" ref="C643:F643" si="155">C617-C642</f>
        <v>14</v>
      </c>
      <c r="D643" s="26">
        <f t="shared" si="155"/>
        <v>13</v>
      </c>
      <c r="E643" s="26">
        <f t="shared" si="155"/>
        <v>9</v>
      </c>
      <c r="F643" s="24">
        <f t="shared" si="155"/>
        <v>47</v>
      </c>
      <c r="H643" s="25" t="s">
        <v>6</v>
      </c>
      <c r="I643" s="26">
        <f>I617-I642</f>
        <v>912</v>
      </c>
      <c r="J643" s="26">
        <f t="shared" ref="J643:M643" si="156">J617-J642</f>
        <v>919</v>
      </c>
      <c r="K643" s="26">
        <f t="shared" si="156"/>
        <v>660</v>
      </c>
      <c r="L643" s="26">
        <f t="shared" si="156"/>
        <v>280</v>
      </c>
      <c r="M643" s="24">
        <f t="shared" si="156"/>
        <v>2771</v>
      </c>
    </row>
    <row r="644" spans="1:14" x14ac:dyDescent="0.15">
      <c r="I644">
        <f>I642+I599+I556+I513+I470+I427+I386</f>
        <v>2843</v>
      </c>
      <c r="J644">
        <f t="shared" ref="J644:M644" si="157">J642+J599+J556+J513+J470+J427+J386</f>
        <v>3265</v>
      </c>
      <c r="K644">
        <f t="shared" si="157"/>
        <v>1998</v>
      </c>
      <c r="L644">
        <f t="shared" si="157"/>
        <v>649</v>
      </c>
      <c r="M644">
        <f t="shared" si="157"/>
        <v>8755</v>
      </c>
    </row>
    <row r="645" spans="1:14" x14ac:dyDescent="0.15">
      <c r="I645" s="72">
        <f>I644/$M$644*100</f>
        <v>32.472872644203306</v>
      </c>
      <c r="J645" s="72">
        <f t="shared" ref="J645:M645" si="158">J644/$M$644*100</f>
        <v>37.292975442604224</v>
      </c>
      <c r="K645" s="72">
        <f t="shared" si="158"/>
        <v>22.821245002855512</v>
      </c>
      <c r="L645" s="72">
        <f t="shared" si="158"/>
        <v>7.4129069103369503</v>
      </c>
      <c r="M645" s="72">
        <f t="shared" si="158"/>
        <v>100</v>
      </c>
    </row>
    <row r="646" spans="1:14" ht="21.75" thickBot="1" x14ac:dyDescent="0.25">
      <c r="A646" s="29" t="s">
        <v>13</v>
      </c>
      <c r="B646" s="1"/>
      <c r="C646" s="1"/>
      <c r="D646" s="1"/>
      <c r="E646" s="1"/>
      <c r="F646" s="1"/>
      <c r="H646" s="29" t="s">
        <v>14</v>
      </c>
      <c r="I646" s="1"/>
      <c r="J646" s="1"/>
      <c r="K646" s="1"/>
      <c r="L646" s="1"/>
      <c r="M646" s="1"/>
    </row>
    <row r="647" spans="1:14" ht="14.25" thickBot="1" x14ac:dyDescent="0.2">
      <c r="A647" s="2" t="s">
        <v>0</v>
      </c>
      <c r="B647" s="164" t="s">
        <v>12</v>
      </c>
      <c r="C647" s="165"/>
      <c r="D647" s="165"/>
      <c r="E647" s="165"/>
      <c r="F647" s="168"/>
      <c r="H647" s="2" t="s">
        <v>0</v>
      </c>
      <c r="I647" s="164" t="s">
        <v>12</v>
      </c>
      <c r="J647" s="165"/>
      <c r="K647" s="165"/>
      <c r="L647" s="165"/>
      <c r="M647" s="168"/>
    </row>
    <row r="648" spans="1:14" ht="14.25" thickBot="1" x14ac:dyDescent="0.2">
      <c r="A648" s="2" t="s">
        <v>1</v>
      </c>
      <c r="B648" s="3" t="s">
        <v>7</v>
      </c>
      <c r="C648" s="2" t="s">
        <v>8</v>
      </c>
      <c r="D648" s="19" t="s">
        <v>9</v>
      </c>
      <c r="E648" s="2" t="s">
        <v>11</v>
      </c>
      <c r="F648" s="2" t="s">
        <v>2</v>
      </c>
      <c r="H648" s="2" t="s">
        <v>1</v>
      </c>
      <c r="I648" s="3" t="s">
        <v>7</v>
      </c>
      <c r="J648" s="2" t="s">
        <v>8</v>
      </c>
      <c r="K648" s="19" t="s">
        <v>9</v>
      </c>
      <c r="L648" s="2" t="s">
        <v>11</v>
      </c>
      <c r="M648" s="2" t="s">
        <v>2</v>
      </c>
    </row>
    <row r="649" spans="1:14" x14ac:dyDescent="0.15">
      <c r="A649" s="27" t="s">
        <v>6</v>
      </c>
      <c r="B649" s="18">
        <f>B643</f>
        <v>11</v>
      </c>
      <c r="C649" s="20">
        <f>C643</f>
        <v>14</v>
      </c>
      <c r="D649" s="55">
        <f>D643</f>
        <v>13</v>
      </c>
      <c r="E649" s="20">
        <f>E643</f>
        <v>9</v>
      </c>
      <c r="F649" s="17">
        <f>SUM(B649:E649)</f>
        <v>47</v>
      </c>
      <c r="H649" s="27" t="s">
        <v>6</v>
      </c>
      <c r="I649" s="18">
        <f>I643</f>
        <v>912</v>
      </c>
      <c r="J649" s="20">
        <f>J643</f>
        <v>919</v>
      </c>
      <c r="K649" s="55">
        <f>K643</f>
        <v>660</v>
      </c>
      <c r="L649" s="58">
        <f>L643</f>
        <v>280</v>
      </c>
      <c r="M649" s="17">
        <f>SUM(I649:L649)</f>
        <v>2771</v>
      </c>
    </row>
    <row r="650" spans="1:14" x14ac:dyDescent="0.15">
      <c r="A650" s="6" t="s">
        <v>3</v>
      </c>
      <c r="B650" s="16">
        <v>5</v>
      </c>
      <c r="C650" s="11">
        <v>5</v>
      </c>
      <c r="D650" s="16"/>
      <c r="E650" s="4">
        <v>5</v>
      </c>
      <c r="F650" s="5">
        <f t="shared" ref="F650:F658" si="159">SUM(B650:E650)</f>
        <v>15</v>
      </c>
      <c r="G650" s="39">
        <v>44973</v>
      </c>
      <c r="H650" s="6" t="s">
        <v>3</v>
      </c>
      <c r="I650" s="16"/>
      <c r="J650" s="11"/>
      <c r="K650" s="16"/>
      <c r="L650" s="4"/>
      <c r="M650" s="5">
        <f t="shared" ref="M650:M659" si="160">SUM(I650:L650)</f>
        <v>0</v>
      </c>
    </row>
    <row r="651" spans="1:14" x14ac:dyDescent="0.15">
      <c r="A651" s="6" t="s">
        <v>3</v>
      </c>
      <c r="B651" s="16"/>
      <c r="C651" s="11"/>
      <c r="D651" s="16"/>
      <c r="E651" s="4"/>
      <c r="F651" s="5">
        <f t="shared" si="159"/>
        <v>0</v>
      </c>
      <c r="H651" s="6" t="s">
        <v>3</v>
      </c>
      <c r="I651" s="16"/>
      <c r="J651" s="11"/>
      <c r="K651" s="16"/>
      <c r="L651" s="4"/>
      <c r="M651" s="5">
        <f t="shared" si="160"/>
        <v>0</v>
      </c>
    </row>
    <row r="652" spans="1:14" x14ac:dyDescent="0.15">
      <c r="A652" s="6" t="s">
        <v>3</v>
      </c>
      <c r="B652" s="16"/>
      <c r="C652" s="11"/>
      <c r="D652" s="16"/>
      <c r="E652" s="4"/>
      <c r="F652" s="5">
        <f t="shared" si="159"/>
        <v>0</v>
      </c>
      <c r="H652" s="6" t="s">
        <v>285</v>
      </c>
      <c r="I652" s="31">
        <v>350</v>
      </c>
      <c r="J652" s="32">
        <v>350</v>
      </c>
      <c r="K652" s="31">
        <v>250</v>
      </c>
      <c r="L652" s="52">
        <v>50</v>
      </c>
      <c r="M652" s="5">
        <f t="shared" si="160"/>
        <v>1000</v>
      </c>
      <c r="N652" s="39" t="s">
        <v>345</v>
      </c>
    </row>
    <row r="653" spans="1:14" x14ac:dyDescent="0.15">
      <c r="A653" s="6" t="s">
        <v>3</v>
      </c>
      <c r="B653" s="16"/>
      <c r="C653" s="11"/>
      <c r="D653" s="16"/>
      <c r="E653" s="4"/>
      <c r="F653" s="5">
        <f t="shared" si="159"/>
        <v>0</v>
      </c>
      <c r="H653" s="6" t="s">
        <v>3</v>
      </c>
      <c r="I653" s="38"/>
      <c r="J653" s="32"/>
      <c r="K653" s="31"/>
      <c r="L653" s="52">
        <v>200</v>
      </c>
      <c r="M653" s="5">
        <f t="shared" si="160"/>
        <v>200</v>
      </c>
      <c r="N653" s="41" t="s">
        <v>278</v>
      </c>
    </row>
    <row r="654" spans="1:14" x14ac:dyDescent="0.15">
      <c r="A654" s="6" t="s">
        <v>3</v>
      </c>
      <c r="B654" s="16"/>
      <c r="C654" s="11"/>
      <c r="D654" s="16"/>
      <c r="E654" s="4"/>
      <c r="F654" s="5">
        <f t="shared" si="159"/>
        <v>0</v>
      </c>
      <c r="H654" s="6" t="s">
        <v>155</v>
      </c>
      <c r="I654" s="31">
        <v>7</v>
      </c>
      <c r="J654" s="32">
        <v>-14</v>
      </c>
      <c r="K654" s="31">
        <v>-3</v>
      </c>
      <c r="L654" s="52">
        <v>3</v>
      </c>
      <c r="M654" s="5">
        <f t="shared" si="160"/>
        <v>-7</v>
      </c>
      <c r="N654" s="41" t="s">
        <v>279</v>
      </c>
    </row>
    <row r="655" spans="1:14" x14ac:dyDescent="0.15">
      <c r="A655" s="6" t="s">
        <v>3</v>
      </c>
      <c r="B655" s="16"/>
      <c r="C655" s="11"/>
      <c r="D655" s="16"/>
      <c r="E655" s="4"/>
      <c r="F655" s="5">
        <f t="shared" si="159"/>
        <v>0</v>
      </c>
      <c r="H655" s="6" t="s">
        <v>3</v>
      </c>
      <c r="I655" s="38"/>
      <c r="J655" s="32"/>
      <c r="K655" s="31"/>
      <c r="L655" s="52"/>
      <c r="M655" s="5">
        <f t="shared" si="160"/>
        <v>0</v>
      </c>
      <c r="N655" s="41"/>
    </row>
    <row r="656" spans="1:14" x14ac:dyDescent="0.15">
      <c r="A656" s="6" t="s">
        <v>3</v>
      </c>
      <c r="B656" s="31"/>
      <c r="C656" s="32"/>
      <c r="D656" s="31"/>
      <c r="E656" s="52"/>
      <c r="F656" s="5">
        <f t="shared" si="159"/>
        <v>0</v>
      </c>
      <c r="H656" s="6" t="s">
        <v>3</v>
      </c>
      <c r="I656" s="16"/>
      <c r="J656" s="11"/>
      <c r="K656" s="16"/>
      <c r="L656" s="4"/>
      <c r="M656" s="5">
        <f t="shared" si="160"/>
        <v>0</v>
      </c>
    </row>
    <row r="657" spans="1:14" x14ac:dyDescent="0.15">
      <c r="A657" s="6" t="s">
        <v>3</v>
      </c>
      <c r="B657" s="10"/>
      <c r="C657" s="9"/>
      <c r="D657" s="10"/>
      <c r="E657" s="49"/>
      <c r="F657" s="5">
        <f t="shared" si="159"/>
        <v>0</v>
      </c>
      <c r="H657" s="6" t="s">
        <v>3</v>
      </c>
      <c r="I657" s="31"/>
      <c r="J657" s="32"/>
      <c r="K657" s="31"/>
      <c r="L657" s="52"/>
      <c r="M657" s="5">
        <f t="shared" si="160"/>
        <v>0</v>
      </c>
    </row>
    <row r="658" spans="1:14" x14ac:dyDescent="0.15">
      <c r="A658" s="6" t="s">
        <v>3</v>
      </c>
      <c r="B658" s="31"/>
      <c r="C658" s="32"/>
      <c r="D658" s="31"/>
      <c r="E658" s="52"/>
      <c r="F658" s="5">
        <f t="shared" si="159"/>
        <v>0</v>
      </c>
      <c r="H658" s="6" t="s">
        <v>3</v>
      </c>
      <c r="I658" s="34"/>
      <c r="J658" s="35"/>
      <c r="K658" s="34"/>
      <c r="L658" s="32"/>
      <c r="M658" s="5">
        <f t="shared" si="160"/>
        <v>0</v>
      </c>
    </row>
    <row r="659" spans="1:14" ht="14.25" thickBot="1" x14ac:dyDescent="0.2">
      <c r="A659" s="6" t="s">
        <v>3</v>
      </c>
      <c r="B659" s="31"/>
      <c r="C659" s="32"/>
      <c r="D659" s="31"/>
      <c r="E659" s="52"/>
      <c r="F659" s="5">
        <f t="shared" ref="F659" si="161">SUM(B659:E659)</f>
        <v>0</v>
      </c>
      <c r="H659" s="6" t="s">
        <v>3</v>
      </c>
      <c r="I659" s="34"/>
      <c r="J659" s="35"/>
      <c r="K659" s="34"/>
      <c r="L659" s="53"/>
      <c r="M659" s="5">
        <f t="shared" si="160"/>
        <v>0</v>
      </c>
    </row>
    <row r="660" spans="1:14" ht="14.25" thickBot="1" x14ac:dyDescent="0.2">
      <c r="A660" s="21" t="s">
        <v>4</v>
      </c>
      <c r="B660" s="22">
        <f>SUM(B649:B659)</f>
        <v>16</v>
      </c>
      <c r="C660" s="22">
        <f>SUM(C649:C659)</f>
        <v>19</v>
      </c>
      <c r="D660" s="23">
        <f>SUM(D649:D659)</f>
        <v>13</v>
      </c>
      <c r="E660" s="23">
        <f>SUM(E649:E659)</f>
        <v>14</v>
      </c>
      <c r="F660" s="24">
        <f>SUM(B660:E660)</f>
        <v>62</v>
      </c>
      <c r="H660" s="21" t="s">
        <v>4</v>
      </c>
      <c r="I660" s="22">
        <f>SUM(I649:I659)</f>
        <v>1269</v>
      </c>
      <c r="J660" s="22">
        <f>SUM(J649:J659)</f>
        <v>1255</v>
      </c>
      <c r="K660" s="23">
        <f>SUM(K649:K659)</f>
        <v>907</v>
      </c>
      <c r="L660" s="23">
        <f>SUM(L649:L659)</f>
        <v>533</v>
      </c>
      <c r="M660" s="24">
        <f>SUM(I660:L660)</f>
        <v>3964</v>
      </c>
    </row>
    <row r="661" spans="1:14" x14ac:dyDescent="0.15">
      <c r="A661" s="11" t="s">
        <v>34</v>
      </c>
      <c r="B661" s="8">
        <v>1</v>
      </c>
      <c r="C661" s="9"/>
      <c r="D661" s="10"/>
      <c r="E661" s="49"/>
      <c r="F661" s="5">
        <f>SUM(B661:E661)</f>
        <v>1</v>
      </c>
      <c r="G661" s="71">
        <v>44956</v>
      </c>
      <c r="H661" s="4" t="s">
        <v>330</v>
      </c>
      <c r="I661" s="8">
        <v>30</v>
      </c>
      <c r="J661" s="9">
        <v>60</v>
      </c>
      <c r="K661" s="10">
        <v>15</v>
      </c>
      <c r="L661" s="9">
        <v>10</v>
      </c>
      <c r="M661" s="7">
        <f t="shared" ref="M661:M665" si="162">SUM(I661:L661)</f>
        <v>115</v>
      </c>
      <c r="N661" s="39">
        <v>44959</v>
      </c>
    </row>
    <row r="662" spans="1:14" x14ac:dyDescent="0.15">
      <c r="A662" s="11" t="s">
        <v>343</v>
      </c>
      <c r="B662" s="8">
        <v>1</v>
      </c>
      <c r="C662" s="9">
        <v>1</v>
      </c>
      <c r="D662" s="10">
        <v>1</v>
      </c>
      <c r="E662" s="49">
        <v>2</v>
      </c>
      <c r="F662" s="5">
        <f t="shared" ref="F662:F684" si="163">SUM(B662:E662)</f>
        <v>5</v>
      </c>
      <c r="G662" s="39">
        <v>44960</v>
      </c>
      <c r="H662" s="4" t="s">
        <v>335</v>
      </c>
      <c r="I662" s="8">
        <v>10</v>
      </c>
      <c r="J662" s="9">
        <v>10</v>
      </c>
      <c r="K662" s="10"/>
      <c r="L662" s="9"/>
      <c r="M662" s="7">
        <f t="shared" si="162"/>
        <v>20</v>
      </c>
      <c r="N662" s="39">
        <v>44959</v>
      </c>
    </row>
    <row r="663" spans="1:14" x14ac:dyDescent="0.15">
      <c r="A663" s="11" t="s">
        <v>39</v>
      </c>
      <c r="B663" s="8"/>
      <c r="C663" s="9">
        <v>1</v>
      </c>
      <c r="D663" s="10"/>
      <c r="E663" s="49"/>
      <c r="F663" s="5">
        <f t="shared" si="163"/>
        <v>1</v>
      </c>
      <c r="G663" s="39">
        <v>44964</v>
      </c>
      <c r="H663" s="4" t="s">
        <v>340</v>
      </c>
      <c r="I663" s="8">
        <v>20</v>
      </c>
      <c r="J663" s="9">
        <v>40</v>
      </c>
      <c r="K663" s="10"/>
      <c r="L663" s="49"/>
      <c r="M663" s="7">
        <f t="shared" si="162"/>
        <v>60</v>
      </c>
      <c r="N663" s="39">
        <v>44963</v>
      </c>
    </row>
    <row r="664" spans="1:14" x14ac:dyDescent="0.15">
      <c r="A664" s="11" t="s">
        <v>34</v>
      </c>
      <c r="B664" s="8"/>
      <c r="C664" s="9">
        <v>1</v>
      </c>
      <c r="D664" s="10"/>
      <c r="E664" s="49"/>
      <c r="F664" s="5">
        <f t="shared" si="163"/>
        <v>1</v>
      </c>
      <c r="G664" s="71">
        <v>44970</v>
      </c>
      <c r="H664" s="4" t="s">
        <v>341</v>
      </c>
      <c r="I664" s="8"/>
      <c r="J664" s="9"/>
      <c r="K664" s="10">
        <v>10</v>
      </c>
      <c r="L664" s="49"/>
      <c r="M664" s="7">
        <f t="shared" si="162"/>
        <v>10</v>
      </c>
      <c r="N664" s="39">
        <v>44963</v>
      </c>
    </row>
    <row r="665" spans="1:14" x14ac:dyDescent="0.15">
      <c r="A665" s="4" t="s">
        <v>200</v>
      </c>
      <c r="B665" s="8">
        <v>2</v>
      </c>
      <c r="C665" s="9"/>
      <c r="D665" s="10"/>
      <c r="E665" s="49"/>
      <c r="F665" s="5">
        <f t="shared" si="163"/>
        <v>2</v>
      </c>
      <c r="G665" s="39">
        <v>44972</v>
      </c>
      <c r="H665" s="4" t="s">
        <v>344</v>
      </c>
      <c r="I665" s="8">
        <v>20</v>
      </c>
      <c r="J665" s="9">
        <v>23</v>
      </c>
      <c r="K665" s="10">
        <v>13</v>
      </c>
      <c r="L665" s="9">
        <v>11</v>
      </c>
      <c r="M665" s="7">
        <f t="shared" si="162"/>
        <v>67</v>
      </c>
      <c r="N665" s="39">
        <v>44965</v>
      </c>
    </row>
    <row r="666" spans="1:14" x14ac:dyDescent="0.15">
      <c r="A666" s="11" t="s">
        <v>50</v>
      </c>
      <c r="B666" s="8">
        <v>1</v>
      </c>
      <c r="C666" s="9"/>
      <c r="D666" s="10"/>
      <c r="E666" s="9"/>
      <c r="F666" s="5">
        <f t="shared" si="163"/>
        <v>1</v>
      </c>
      <c r="G666" s="71">
        <v>44977</v>
      </c>
      <c r="H666" s="4" t="s">
        <v>346</v>
      </c>
      <c r="I666" s="8">
        <v>43</v>
      </c>
      <c r="J666" s="9">
        <v>22</v>
      </c>
      <c r="K666" s="10">
        <v>38</v>
      </c>
      <c r="L666" s="9">
        <v>25</v>
      </c>
      <c r="M666" s="7">
        <f t="shared" ref="M666:M679" si="164">SUM(I666:L666)</f>
        <v>128</v>
      </c>
      <c r="N666" s="39">
        <v>44971</v>
      </c>
    </row>
    <row r="667" spans="1:14" x14ac:dyDescent="0.15">
      <c r="A667" s="11" t="s">
        <v>50</v>
      </c>
      <c r="B667" s="8">
        <v>1</v>
      </c>
      <c r="C667" s="9"/>
      <c r="D667" s="10"/>
      <c r="E667" s="9"/>
      <c r="F667" s="5">
        <f t="shared" si="163"/>
        <v>1</v>
      </c>
      <c r="G667" s="71">
        <v>44991</v>
      </c>
      <c r="H667" s="28" t="s">
        <v>351</v>
      </c>
      <c r="I667" s="8">
        <v>5</v>
      </c>
      <c r="J667" s="9">
        <v>5</v>
      </c>
      <c r="K667" s="10"/>
      <c r="L667" s="9">
        <v>5</v>
      </c>
      <c r="M667" s="7">
        <f t="shared" si="164"/>
        <v>15</v>
      </c>
      <c r="N667" s="39">
        <v>44973</v>
      </c>
    </row>
    <row r="668" spans="1:14" x14ac:dyDescent="0.15">
      <c r="A668" s="4"/>
      <c r="B668" s="8"/>
      <c r="C668" s="9"/>
      <c r="D668" s="10"/>
      <c r="E668" s="9"/>
      <c r="F668" s="5">
        <f t="shared" si="163"/>
        <v>0</v>
      </c>
      <c r="H668" s="4"/>
      <c r="I668" s="8"/>
      <c r="J668" s="9"/>
      <c r="K668" s="10"/>
      <c r="L668" s="9"/>
      <c r="M668" s="7">
        <f t="shared" si="164"/>
        <v>0</v>
      </c>
    </row>
    <row r="669" spans="1:14" x14ac:dyDescent="0.15">
      <c r="A669" s="4"/>
      <c r="B669" s="8"/>
      <c r="C669" s="9"/>
      <c r="D669" s="10"/>
      <c r="E669" s="9"/>
      <c r="F669" s="5">
        <f t="shared" si="163"/>
        <v>0</v>
      </c>
      <c r="H669" s="4"/>
      <c r="I669" s="8"/>
      <c r="J669" s="9"/>
      <c r="K669" s="10"/>
      <c r="L669" s="9"/>
      <c r="M669" s="7">
        <f t="shared" si="164"/>
        <v>0</v>
      </c>
    </row>
    <row r="670" spans="1:14" x14ac:dyDescent="0.15">
      <c r="A670" s="4"/>
      <c r="B670" s="8"/>
      <c r="C670" s="9"/>
      <c r="D670" s="10"/>
      <c r="E670" s="9"/>
      <c r="F670" s="5">
        <f t="shared" si="163"/>
        <v>0</v>
      </c>
      <c r="H670" s="4"/>
      <c r="I670" s="8"/>
      <c r="J670" s="9"/>
      <c r="K670" s="10"/>
      <c r="L670" s="9"/>
      <c r="M670" s="7">
        <f t="shared" si="164"/>
        <v>0</v>
      </c>
    </row>
    <row r="671" spans="1:14" x14ac:dyDescent="0.15">
      <c r="A671" s="4"/>
      <c r="B671" s="8"/>
      <c r="C671" s="9"/>
      <c r="D671" s="10"/>
      <c r="E671" s="9"/>
      <c r="F671" s="5">
        <f t="shared" si="163"/>
        <v>0</v>
      </c>
      <c r="H671" s="4"/>
      <c r="I671" s="8"/>
      <c r="J671" s="9"/>
      <c r="K671" s="10"/>
      <c r="L671" s="9"/>
      <c r="M671" s="7">
        <f t="shared" si="164"/>
        <v>0</v>
      </c>
    </row>
    <row r="672" spans="1:14" x14ac:dyDescent="0.15">
      <c r="A672" s="4"/>
      <c r="B672" s="8"/>
      <c r="C672" s="9"/>
      <c r="D672" s="10"/>
      <c r="E672" s="9"/>
      <c r="F672" s="5">
        <f t="shared" si="163"/>
        <v>0</v>
      </c>
      <c r="H672" s="4"/>
      <c r="I672" s="8"/>
      <c r="J672" s="9"/>
      <c r="K672" s="10"/>
      <c r="L672" s="9"/>
      <c r="M672" s="7">
        <f t="shared" si="164"/>
        <v>0</v>
      </c>
    </row>
    <row r="673" spans="1:14" x14ac:dyDescent="0.15">
      <c r="A673" s="4"/>
      <c r="B673" s="8"/>
      <c r="C673" s="9"/>
      <c r="D673" s="10"/>
      <c r="E673" s="9"/>
      <c r="F673" s="5">
        <f t="shared" si="163"/>
        <v>0</v>
      </c>
      <c r="H673" s="4"/>
      <c r="I673" s="8"/>
      <c r="J673" s="9"/>
      <c r="K673" s="10"/>
      <c r="L673" s="9"/>
      <c r="M673" s="7">
        <f t="shared" si="164"/>
        <v>0</v>
      </c>
    </row>
    <row r="674" spans="1:14" x14ac:dyDescent="0.15">
      <c r="A674" s="4"/>
      <c r="B674" s="8"/>
      <c r="C674" s="9"/>
      <c r="D674" s="10"/>
      <c r="E674" s="9"/>
      <c r="F674" s="5">
        <f t="shared" si="163"/>
        <v>0</v>
      </c>
      <c r="H674" s="4"/>
      <c r="I674" s="8"/>
      <c r="J674" s="9"/>
      <c r="K674" s="10"/>
      <c r="L674" s="9"/>
      <c r="M674" s="7">
        <f t="shared" si="164"/>
        <v>0</v>
      </c>
    </row>
    <row r="675" spans="1:14" x14ac:dyDescent="0.15">
      <c r="A675" s="4"/>
      <c r="B675" s="8"/>
      <c r="C675" s="9"/>
      <c r="D675" s="10"/>
      <c r="E675" s="9"/>
      <c r="F675" s="5">
        <f t="shared" si="163"/>
        <v>0</v>
      </c>
      <c r="H675" s="4"/>
      <c r="I675" s="8"/>
      <c r="J675" s="9"/>
      <c r="K675" s="10"/>
      <c r="L675" s="9"/>
      <c r="M675" s="7">
        <f t="shared" si="164"/>
        <v>0</v>
      </c>
    </row>
    <row r="676" spans="1:14" x14ac:dyDescent="0.15">
      <c r="A676" s="4"/>
      <c r="B676" s="8"/>
      <c r="C676" s="9"/>
      <c r="D676" s="10"/>
      <c r="E676" s="9"/>
      <c r="F676" s="5">
        <f t="shared" si="163"/>
        <v>0</v>
      </c>
      <c r="H676" s="4"/>
      <c r="I676" s="8"/>
      <c r="J676" s="9"/>
      <c r="K676" s="10"/>
      <c r="L676" s="9"/>
      <c r="M676" s="7">
        <f t="shared" si="164"/>
        <v>0</v>
      </c>
    </row>
    <row r="677" spans="1:14" x14ac:dyDescent="0.15">
      <c r="A677" s="11"/>
      <c r="B677" s="8"/>
      <c r="C677" s="9"/>
      <c r="D677" s="10"/>
      <c r="E677" s="9"/>
      <c r="F677" s="5">
        <f t="shared" si="163"/>
        <v>0</v>
      </c>
      <c r="H677" s="4"/>
      <c r="I677" s="8"/>
      <c r="J677" s="9"/>
      <c r="K677" s="10"/>
      <c r="L677" s="9"/>
      <c r="M677" s="7">
        <f t="shared" si="164"/>
        <v>0</v>
      </c>
    </row>
    <row r="678" spans="1:14" x14ac:dyDescent="0.15">
      <c r="A678" s="4"/>
      <c r="B678" s="8"/>
      <c r="C678" s="9"/>
      <c r="D678" s="10"/>
      <c r="E678" s="9"/>
      <c r="F678" s="5">
        <f t="shared" si="163"/>
        <v>0</v>
      </c>
      <c r="H678" s="4"/>
      <c r="I678" s="1"/>
      <c r="J678" s="50"/>
      <c r="K678" s="50"/>
      <c r="L678" s="1"/>
      <c r="M678" s="7">
        <f t="shared" si="164"/>
        <v>0</v>
      </c>
      <c r="N678" s="39"/>
    </row>
    <row r="679" spans="1:14" x14ac:dyDescent="0.15">
      <c r="A679" s="4"/>
      <c r="B679" s="8"/>
      <c r="C679" s="9"/>
      <c r="D679" s="10"/>
      <c r="E679" s="9"/>
      <c r="F679" s="5">
        <f t="shared" si="163"/>
        <v>0</v>
      </c>
      <c r="H679" s="48"/>
      <c r="I679" s="8"/>
      <c r="J679" s="9"/>
      <c r="K679" s="10"/>
      <c r="L679" s="9"/>
      <c r="M679" s="7">
        <f t="shared" si="164"/>
        <v>0</v>
      </c>
      <c r="N679" s="41"/>
    </row>
    <row r="680" spans="1:14" x14ac:dyDescent="0.15">
      <c r="A680" s="4"/>
      <c r="B680" s="8"/>
      <c r="C680" s="9"/>
      <c r="D680" s="10"/>
      <c r="E680" s="9"/>
      <c r="F680" s="5">
        <f t="shared" si="163"/>
        <v>0</v>
      </c>
      <c r="H680" s="48"/>
      <c r="I680" s="8"/>
      <c r="J680" s="9"/>
      <c r="K680" s="10"/>
      <c r="L680" s="9"/>
      <c r="M680" s="7">
        <f t="shared" ref="M680:M684" si="165">SUM(I680:L680)</f>
        <v>0</v>
      </c>
      <c r="N680" s="41"/>
    </row>
    <row r="681" spans="1:14" x14ac:dyDescent="0.15">
      <c r="A681" s="28"/>
      <c r="B681" s="8"/>
      <c r="C681" s="9"/>
      <c r="D681" s="10"/>
      <c r="E681" s="9"/>
      <c r="F681" s="5">
        <f t="shared" si="163"/>
        <v>0</v>
      </c>
      <c r="H681" s="48"/>
      <c r="I681" s="8"/>
      <c r="J681" s="9"/>
      <c r="K681" s="10"/>
      <c r="L681" s="9"/>
      <c r="M681" s="7">
        <f t="shared" si="165"/>
        <v>0</v>
      </c>
      <c r="N681" s="41"/>
    </row>
    <row r="682" spans="1:14" x14ac:dyDescent="0.15">
      <c r="A682" s="4"/>
      <c r="B682" s="8"/>
      <c r="C682" s="9"/>
      <c r="D682" s="10"/>
      <c r="E682" s="9"/>
      <c r="F682" s="5">
        <f t="shared" si="163"/>
        <v>0</v>
      </c>
      <c r="H682" s="48"/>
      <c r="I682" s="8"/>
      <c r="J682" s="9"/>
      <c r="K682" s="10"/>
      <c r="L682" s="9"/>
      <c r="M682" s="7">
        <f t="shared" si="165"/>
        <v>0</v>
      </c>
      <c r="N682" s="41"/>
    </row>
    <row r="683" spans="1:14" x14ac:dyDescent="0.15">
      <c r="A683" s="11"/>
      <c r="B683" s="8"/>
      <c r="C683" s="9"/>
      <c r="D683" s="10"/>
      <c r="E683" s="9"/>
      <c r="F683" s="5">
        <f t="shared" si="163"/>
        <v>0</v>
      </c>
      <c r="H683" s="48"/>
      <c r="I683" s="8"/>
      <c r="J683" s="9"/>
      <c r="K683" s="10"/>
      <c r="L683" s="9"/>
      <c r="M683" s="7">
        <f t="shared" si="165"/>
        <v>0</v>
      </c>
      <c r="N683" s="41"/>
    </row>
    <row r="684" spans="1:14" ht="14.25" thickBot="1" x14ac:dyDescent="0.2">
      <c r="A684" s="11"/>
      <c r="B684" s="8"/>
      <c r="C684" s="9"/>
      <c r="D684" s="10"/>
      <c r="E684" s="9"/>
      <c r="F684" s="5">
        <f t="shared" si="163"/>
        <v>0</v>
      </c>
      <c r="H684" s="48"/>
      <c r="I684" s="8"/>
      <c r="J684" s="9"/>
      <c r="K684" s="10"/>
      <c r="L684" s="9"/>
      <c r="M684" s="7">
        <f t="shared" si="165"/>
        <v>0</v>
      </c>
      <c r="N684" s="41"/>
    </row>
    <row r="685" spans="1:14" ht="14.25" thickBot="1" x14ac:dyDescent="0.2">
      <c r="A685" s="3" t="s">
        <v>5</v>
      </c>
      <c r="B685" s="14">
        <f>SUM(B661:B684)</f>
        <v>6</v>
      </c>
      <c r="C685" s="14">
        <f>SUM(C661:C684)</f>
        <v>3</v>
      </c>
      <c r="D685" s="14">
        <f>SUM(D661:D684)</f>
        <v>1</v>
      </c>
      <c r="E685" s="14">
        <f>SUM(E661:E684)</f>
        <v>2</v>
      </c>
      <c r="F685" s="15">
        <f>SUM(B685:E685)</f>
        <v>12</v>
      </c>
      <c r="H685" s="3" t="s">
        <v>5</v>
      </c>
      <c r="I685" s="14">
        <f>SUM(I661:I684)</f>
        <v>128</v>
      </c>
      <c r="J685" s="14">
        <f>SUM(J661:J684)</f>
        <v>160</v>
      </c>
      <c r="K685" s="14">
        <f>SUM(K661:K684)</f>
        <v>76</v>
      </c>
      <c r="L685" s="14">
        <f>SUM(L661:L684)</f>
        <v>51</v>
      </c>
      <c r="M685" s="15">
        <f>SUM(I685:L685)</f>
        <v>415</v>
      </c>
    </row>
    <row r="686" spans="1:14" ht="14.25" thickBot="1" x14ac:dyDescent="0.2">
      <c r="A686" s="25" t="s">
        <v>6</v>
      </c>
      <c r="B686" s="26">
        <f>B660-B685</f>
        <v>10</v>
      </c>
      <c r="C686" s="26">
        <f t="shared" ref="C686:F686" si="166">C660-C685</f>
        <v>16</v>
      </c>
      <c r="D686" s="26">
        <f t="shared" si="166"/>
        <v>12</v>
      </c>
      <c r="E686" s="26">
        <f t="shared" si="166"/>
        <v>12</v>
      </c>
      <c r="F686" s="24">
        <f t="shared" si="166"/>
        <v>50</v>
      </c>
      <c r="H686" s="25" t="s">
        <v>6</v>
      </c>
      <c r="I686" s="26">
        <f>I660-I685</f>
        <v>1141</v>
      </c>
      <c r="J686" s="26">
        <f t="shared" ref="J686:M686" si="167">J660-J685</f>
        <v>1095</v>
      </c>
      <c r="K686" s="26">
        <f t="shared" si="167"/>
        <v>831</v>
      </c>
      <c r="L686" s="26">
        <f t="shared" si="167"/>
        <v>482</v>
      </c>
      <c r="M686" s="24">
        <f t="shared" si="167"/>
        <v>3549</v>
      </c>
    </row>
    <row r="687" spans="1:14" x14ac:dyDescent="0.15">
      <c r="H687" s="118"/>
      <c r="I687" s="1"/>
      <c r="J687" s="1"/>
      <c r="K687" s="1"/>
      <c r="L687" s="1"/>
      <c r="M687" s="1"/>
      <c r="N687" s="71"/>
    </row>
    <row r="688" spans="1:14" x14ac:dyDescent="0.15">
      <c r="H688" s="118"/>
      <c r="I688" s="1"/>
      <c r="J688" s="1"/>
      <c r="K688" s="1"/>
      <c r="L688" s="1"/>
      <c r="M688" s="1"/>
      <c r="N688" s="39"/>
    </row>
    <row r="689" spans="1:14" ht="21.75" thickBot="1" x14ac:dyDescent="0.25">
      <c r="A689" s="29" t="s">
        <v>13</v>
      </c>
      <c r="B689" s="1"/>
      <c r="C689" s="1"/>
      <c r="D689" s="1"/>
      <c r="E689" s="1"/>
      <c r="F689" s="1"/>
      <c r="H689" s="29" t="s">
        <v>14</v>
      </c>
      <c r="I689" s="1"/>
      <c r="J689" s="1"/>
      <c r="K689" s="1"/>
      <c r="L689" s="1"/>
      <c r="M689" s="1"/>
    </row>
    <row r="690" spans="1:14" ht="14.25" thickBot="1" x14ac:dyDescent="0.2">
      <c r="A690" s="2" t="s">
        <v>0</v>
      </c>
      <c r="B690" s="164" t="s">
        <v>12</v>
      </c>
      <c r="C690" s="165"/>
      <c r="D690" s="165"/>
      <c r="E690" s="165"/>
      <c r="F690" s="117"/>
      <c r="H690" s="2" t="s">
        <v>0</v>
      </c>
      <c r="I690" s="164" t="s">
        <v>12</v>
      </c>
      <c r="J690" s="165"/>
      <c r="K690" s="165"/>
      <c r="L690" s="165"/>
      <c r="M690" s="117"/>
    </row>
    <row r="691" spans="1:14" ht="14.25" thickBot="1" x14ac:dyDescent="0.2">
      <c r="A691" s="2" t="s">
        <v>1</v>
      </c>
      <c r="B691" s="3" t="s">
        <v>7</v>
      </c>
      <c r="C691" s="2" t="s">
        <v>8</v>
      </c>
      <c r="D691" s="19" t="s">
        <v>9</v>
      </c>
      <c r="E691" s="2" t="s">
        <v>11</v>
      </c>
      <c r="F691" s="2" t="s">
        <v>2</v>
      </c>
      <c r="H691" s="2" t="s">
        <v>1</v>
      </c>
      <c r="I691" s="3" t="s">
        <v>7</v>
      </c>
      <c r="J691" s="2" t="s">
        <v>8</v>
      </c>
      <c r="K691" s="19" t="s">
        <v>9</v>
      </c>
      <c r="L691" s="2" t="s">
        <v>11</v>
      </c>
      <c r="M691" s="2" t="s">
        <v>2</v>
      </c>
    </row>
    <row r="692" spans="1:14" x14ac:dyDescent="0.15">
      <c r="A692" s="27" t="s">
        <v>6</v>
      </c>
      <c r="B692" s="18">
        <f>B686</f>
        <v>10</v>
      </c>
      <c r="C692" s="20">
        <f>C686</f>
        <v>16</v>
      </c>
      <c r="D692" s="55">
        <f>D686</f>
        <v>12</v>
      </c>
      <c r="E692" s="20">
        <f>E686</f>
        <v>12</v>
      </c>
      <c r="F692" s="17">
        <f>SUM(B692:E692)</f>
        <v>50</v>
      </c>
      <c r="H692" s="27" t="s">
        <v>6</v>
      </c>
      <c r="I692" s="18">
        <f>I686</f>
        <v>1141</v>
      </c>
      <c r="J692" s="20">
        <f>J686</f>
        <v>1095</v>
      </c>
      <c r="K692" s="55">
        <f>K686</f>
        <v>831</v>
      </c>
      <c r="L692" s="58">
        <f>L686</f>
        <v>482</v>
      </c>
      <c r="M692" s="17">
        <f>SUM(I692:L692)</f>
        <v>3549</v>
      </c>
    </row>
    <row r="693" spans="1:14" x14ac:dyDescent="0.15">
      <c r="A693" s="6" t="s">
        <v>119</v>
      </c>
      <c r="B693" s="16">
        <v>1</v>
      </c>
      <c r="C693" s="11"/>
      <c r="D693" s="16">
        <v>2</v>
      </c>
      <c r="E693" s="4"/>
      <c r="F693" s="5">
        <f t="shared" ref="F693:F702" si="168">SUM(B693:E693)</f>
        <v>3</v>
      </c>
      <c r="G693" s="71">
        <v>44977</v>
      </c>
      <c r="H693" s="6" t="s">
        <v>3</v>
      </c>
      <c r="I693" s="16"/>
      <c r="J693" s="11"/>
      <c r="K693" s="16"/>
      <c r="L693" s="4"/>
      <c r="M693" s="5">
        <f t="shared" ref="M693:M702" si="169">SUM(I693:L693)</f>
        <v>0</v>
      </c>
    </row>
    <row r="694" spans="1:14" x14ac:dyDescent="0.15">
      <c r="A694" s="6" t="s">
        <v>338</v>
      </c>
      <c r="B694" s="16">
        <v>2</v>
      </c>
      <c r="C694" s="11"/>
      <c r="D694" s="16"/>
      <c r="E694" s="4"/>
      <c r="F694" s="5">
        <f t="shared" si="168"/>
        <v>2</v>
      </c>
      <c r="G694" s="71">
        <v>44981</v>
      </c>
      <c r="H694" s="6" t="s">
        <v>3</v>
      </c>
      <c r="I694" s="16"/>
      <c r="J694" s="11"/>
      <c r="K694" s="16"/>
      <c r="L694" s="4"/>
      <c r="M694" s="5">
        <f t="shared" si="169"/>
        <v>0</v>
      </c>
    </row>
    <row r="695" spans="1:14" x14ac:dyDescent="0.15">
      <c r="A695" s="11" t="s">
        <v>367</v>
      </c>
      <c r="B695" s="8">
        <v>1</v>
      </c>
      <c r="C695" s="9">
        <v>1</v>
      </c>
      <c r="D695" s="10">
        <v>1</v>
      </c>
      <c r="E695" s="9">
        <v>1</v>
      </c>
      <c r="F695" s="5">
        <f t="shared" si="168"/>
        <v>4</v>
      </c>
      <c r="G695" s="71">
        <v>44992</v>
      </c>
      <c r="H695" s="6" t="s">
        <v>3</v>
      </c>
      <c r="I695" s="31"/>
      <c r="J695" s="32"/>
      <c r="K695" s="31"/>
      <c r="L695" s="52"/>
      <c r="M695" s="5">
        <f t="shared" si="169"/>
        <v>0</v>
      </c>
      <c r="N695" s="39"/>
    </row>
    <row r="696" spans="1:14" x14ac:dyDescent="0.15">
      <c r="A696" s="6" t="s">
        <v>338</v>
      </c>
      <c r="B696" s="16"/>
      <c r="C696" s="11">
        <v>2</v>
      </c>
      <c r="D696" s="16">
        <v>2</v>
      </c>
      <c r="E696" s="4"/>
      <c r="F696" s="5">
        <f t="shared" si="168"/>
        <v>4</v>
      </c>
      <c r="G696" s="71">
        <v>44999</v>
      </c>
      <c r="H696" s="6" t="s">
        <v>3</v>
      </c>
      <c r="I696" s="38"/>
      <c r="J696" s="32"/>
      <c r="K696" s="31"/>
      <c r="L696" s="52"/>
      <c r="M696" s="5">
        <f t="shared" si="169"/>
        <v>0</v>
      </c>
      <c r="N696" s="41"/>
    </row>
    <row r="697" spans="1:14" x14ac:dyDescent="0.15">
      <c r="A697" s="6" t="s">
        <v>3</v>
      </c>
      <c r="B697" s="16"/>
      <c r="C697" s="11"/>
      <c r="D697" s="16"/>
      <c r="E697" s="4"/>
      <c r="F697" s="5">
        <f t="shared" si="168"/>
        <v>0</v>
      </c>
      <c r="H697" s="6" t="s">
        <v>3</v>
      </c>
      <c r="I697" s="31"/>
      <c r="J697" s="32"/>
      <c r="K697" s="31"/>
      <c r="L697" s="52"/>
      <c r="M697" s="5">
        <f t="shared" si="169"/>
        <v>0</v>
      </c>
      <c r="N697" s="41"/>
    </row>
    <row r="698" spans="1:14" x14ac:dyDescent="0.15">
      <c r="A698" s="6" t="s">
        <v>3</v>
      </c>
      <c r="B698" s="16"/>
      <c r="C698" s="11"/>
      <c r="D698" s="16"/>
      <c r="E698" s="4"/>
      <c r="F698" s="5">
        <f t="shared" si="168"/>
        <v>0</v>
      </c>
      <c r="H698" s="6" t="s">
        <v>3</v>
      </c>
      <c r="I698" s="38"/>
      <c r="J698" s="32"/>
      <c r="K698" s="31"/>
      <c r="L698" s="52"/>
      <c r="M698" s="5">
        <f t="shared" si="169"/>
        <v>0</v>
      </c>
      <c r="N698" s="41"/>
    </row>
    <row r="699" spans="1:14" x14ac:dyDescent="0.15">
      <c r="A699" s="6" t="s">
        <v>3</v>
      </c>
      <c r="B699" s="31"/>
      <c r="C699" s="32"/>
      <c r="D699" s="31"/>
      <c r="E699" s="52"/>
      <c r="F699" s="5">
        <f t="shared" si="168"/>
        <v>0</v>
      </c>
      <c r="H699" s="6" t="s">
        <v>3</v>
      </c>
      <c r="I699" s="16"/>
      <c r="J699" s="11"/>
      <c r="K699" s="16"/>
      <c r="L699" s="4"/>
      <c r="M699" s="5">
        <f t="shared" si="169"/>
        <v>0</v>
      </c>
    </row>
    <row r="700" spans="1:14" x14ac:dyDescent="0.15">
      <c r="A700" s="6" t="s">
        <v>3</v>
      </c>
      <c r="B700" s="10"/>
      <c r="C700" s="9"/>
      <c r="D700" s="10"/>
      <c r="E700" s="49"/>
      <c r="F700" s="5">
        <f t="shared" si="168"/>
        <v>0</v>
      </c>
      <c r="H700" s="6" t="s">
        <v>294</v>
      </c>
      <c r="I700" s="31"/>
      <c r="J700" s="32"/>
      <c r="K700" s="31"/>
      <c r="L700" s="52"/>
      <c r="M700" s="5">
        <f t="shared" si="169"/>
        <v>0</v>
      </c>
      <c r="N700" s="41"/>
    </row>
    <row r="701" spans="1:14" x14ac:dyDescent="0.15">
      <c r="A701" s="6" t="s">
        <v>3</v>
      </c>
      <c r="B701" s="31"/>
      <c r="C701" s="32"/>
      <c r="D701" s="31"/>
      <c r="E701" s="52"/>
      <c r="F701" s="5">
        <f t="shared" si="168"/>
        <v>0</v>
      </c>
      <c r="H701" s="6" t="s">
        <v>3</v>
      </c>
      <c r="I701" s="34"/>
      <c r="J701" s="35"/>
      <c r="K701" s="34"/>
      <c r="L701" s="32"/>
      <c r="M701" s="5">
        <f t="shared" si="169"/>
        <v>0</v>
      </c>
    </row>
    <row r="702" spans="1:14" ht="14.25" thickBot="1" x14ac:dyDescent="0.2">
      <c r="A702" s="6" t="s">
        <v>390</v>
      </c>
      <c r="B702" s="13">
        <v>1</v>
      </c>
      <c r="C702" s="12">
        <v>4</v>
      </c>
      <c r="D702" s="13">
        <v>3</v>
      </c>
      <c r="E702" s="50">
        <v>2</v>
      </c>
      <c r="F702" s="5">
        <f t="shared" si="168"/>
        <v>10</v>
      </c>
      <c r="H702" s="6" t="s">
        <v>3</v>
      </c>
      <c r="I702" s="34"/>
      <c r="J702" s="35"/>
      <c r="K702" s="34"/>
      <c r="L702" s="53"/>
      <c r="M702" s="5">
        <f t="shared" si="169"/>
        <v>0</v>
      </c>
    </row>
    <row r="703" spans="1:14" ht="14.25" thickBot="1" x14ac:dyDescent="0.2">
      <c r="A703" s="21" t="s">
        <v>4</v>
      </c>
      <c r="B703" s="22">
        <f>SUM(B692:B702)</f>
        <v>15</v>
      </c>
      <c r="C703" s="22">
        <f>SUM(C692:C702)</f>
        <v>23</v>
      </c>
      <c r="D703" s="23">
        <f>SUM(D692:D702)</f>
        <v>20</v>
      </c>
      <c r="E703" s="23">
        <f>SUM(E692:E702)</f>
        <v>15</v>
      </c>
      <c r="F703" s="24">
        <f>SUM(B703:E703)</f>
        <v>73</v>
      </c>
      <c r="H703" s="21" t="s">
        <v>4</v>
      </c>
      <c r="I703" s="22">
        <f>SUM(I692:I702)</f>
        <v>1141</v>
      </c>
      <c r="J703" s="22">
        <f>SUM(J692:J702)</f>
        <v>1095</v>
      </c>
      <c r="K703" s="23">
        <f>SUM(K692:K702)</f>
        <v>831</v>
      </c>
      <c r="L703" s="23">
        <f>SUM(L692:L702)</f>
        <v>482</v>
      </c>
      <c r="M703" s="24">
        <f>SUM(I703:L703)</f>
        <v>3549</v>
      </c>
    </row>
    <row r="704" spans="1:14" x14ac:dyDescent="0.15">
      <c r="A704" s="11" t="s">
        <v>39</v>
      </c>
      <c r="B704" s="8"/>
      <c r="C704" s="9">
        <v>1</v>
      </c>
      <c r="D704" s="10"/>
      <c r="E704" s="49"/>
      <c r="F704" s="5">
        <f>SUM(B704:E704)</f>
        <v>1</v>
      </c>
      <c r="G704" s="39">
        <v>44992</v>
      </c>
      <c r="H704" s="42" t="s">
        <v>301</v>
      </c>
      <c r="I704" s="123">
        <v>360</v>
      </c>
      <c r="J704" s="124">
        <v>370</v>
      </c>
      <c r="K704" s="124">
        <v>0</v>
      </c>
      <c r="L704" s="125">
        <v>0</v>
      </c>
      <c r="M704" s="7">
        <f t="shared" ref="M704:M705" si="170">SUM(I704:L704)</f>
        <v>730</v>
      </c>
      <c r="N704" s="39">
        <v>44971</v>
      </c>
    </row>
    <row r="705" spans="1:15" x14ac:dyDescent="0.15">
      <c r="A705" s="11" t="s">
        <v>371</v>
      </c>
      <c r="B705" s="8"/>
      <c r="C705" s="9"/>
      <c r="D705" s="10">
        <v>1</v>
      </c>
      <c r="E705" s="49">
        <v>1</v>
      </c>
      <c r="F705" s="5">
        <f t="shared" ref="F705:F727" si="171">SUM(B705:E705)</f>
        <v>2</v>
      </c>
      <c r="G705" s="71">
        <v>44999</v>
      </c>
      <c r="H705" s="4" t="s">
        <v>342</v>
      </c>
      <c r="I705" s="8">
        <v>20</v>
      </c>
      <c r="J705" s="9">
        <v>20</v>
      </c>
      <c r="K705" s="10">
        <v>20</v>
      </c>
      <c r="L705" s="49"/>
      <c r="M705" s="7">
        <f t="shared" si="170"/>
        <v>60</v>
      </c>
      <c r="N705" s="39">
        <v>44977</v>
      </c>
      <c r="O705" s="30"/>
    </row>
    <row r="706" spans="1:15" x14ac:dyDescent="0.15">
      <c r="A706" s="11"/>
      <c r="B706" s="8"/>
      <c r="C706" s="9"/>
      <c r="D706" s="10"/>
      <c r="E706" s="49"/>
      <c r="F706" s="5">
        <f t="shared" si="171"/>
        <v>0</v>
      </c>
      <c r="H706" s="4" t="s">
        <v>350</v>
      </c>
      <c r="I706" s="8"/>
      <c r="J706" s="9"/>
      <c r="K706" s="9"/>
      <c r="L706" s="49">
        <v>20</v>
      </c>
      <c r="M706" s="7">
        <f t="shared" ref="M706:M722" si="172">SUM(I706:L706)</f>
        <v>20</v>
      </c>
      <c r="N706" s="39">
        <v>44974</v>
      </c>
    </row>
    <row r="707" spans="1:15" x14ac:dyDescent="0.15">
      <c r="A707" s="4"/>
      <c r="B707" s="8"/>
      <c r="C707" s="9"/>
      <c r="D707" s="10"/>
      <c r="E707" s="49"/>
      <c r="F707" s="5">
        <f t="shared" si="171"/>
        <v>0</v>
      </c>
      <c r="H707" s="4" t="s">
        <v>352</v>
      </c>
      <c r="I707" s="8">
        <v>18</v>
      </c>
      <c r="J707" s="9">
        <v>31</v>
      </c>
      <c r="K707" s="9">
        <v>2</v>
      </c>
      <c r="L707" s="49">
        <v>11</v>
      </c>
      <c r="M707" s="7">
        <f t="shared" si="172"/>
        <v>62</v>
      </c>
      <c r="N707" s="39">
        <v>44978</v>
      </c>
    </row>
    <row r="708" spans="1:15" x14ac:dyDescent="0.15">
      <c r="A708" s="4"/>
      <c r="B708" s="8"/>
      <c r="C708" s="9"/>
      <c r="D708" s="10"/>
      <c r="E708" s="49"/>
      <c r="F708" s="5">
        <f t="shared" si="171"/>
        <v>0</v>
      </c>
      <c r="H708" s="4" t="s">
        <v>354</v>
      </c>
      <c r="I708" s="8">
        <v>10</v>
      </c>
      <c r="J708" s="9">
        <v>10</v>
      </c>
      <c r="K708" s="9">
        <v>10</v>
      </c>
      <c r="L708" s="49"/>
      <c r="M708" s="7">
        <f t="shared" si="172"/>
        <v>30</v>
      </c>
      <c r="N708" s="39">
        <v>44981</v>
      </c>
    </row>
    <row r="709" spans="1:15" x14ac:dyDescent="0.15">
      <c r="A709" s="11"/>
      <c r="B709" s="8"/>
      <c r="C709" s="9"/>
      <c r="D709" s="10"/>
      <c r="E709" s="9"/>
      <c r="F709" s="5">
        <f t="shared" si="171"/>
        <v>0</v>
      </c>
      <c r="H709" s="4" t="s">
        <v>353</v>
      </c>
      <c r="I709" s="8">
        <v>10</v>
      </c>
      <c r="J709" s="9">
        <v>10</v>
      </c>
      <c r="K709" s="9">
        <v>10</v>
      </c>
      <c r="L709" s="9">
        <v>10</v>
      </c>
      <c r="M709" s="7">
        <f t="shared" si="172"/>
        <v>40</v>
      </c>
      <c r="N709" s="39">
        <v>44988</v>
      </c>
    </row>
    <row r="710" spans="1:15" x14ac:dyDescent="0.15">
      <c r="A710" s="11"/>
      <c r="B710" s="8"/>
      <c r="C710" s="9"/>
      <c r="D710" s="10"/>
      <c r="E710" s="9"/>
      <c r="F710" s="5">
        <f t="shared" si="171"/>
        <v>0</v>
      </c>
      <c r="H710" s="4" t="s">
        <v>355</v>
      </c>
      <c r="I710" s="8">
        <v>24</v>
      </c>
      <c r="J710" s="9">
        <v>41</v>
      </c>
      <c r="K710" s="9">
        <v>5</v>
      </c>
      <c r="L710" s="9">
        <v>12</v>
      </c>
      <c r="M710" s="7">
        <f t="shared" si="172"/>
        <v>82</v>
      </c>
      <c r="N710" s="39">
        <v>44986</v>
      </c>
    </row>
    <row r="711" spans="1:15" x14ac:dyDescent="0.15">
      <c r="A711" s="4"/>
      <c r="B711" s="8"/>
      <c r="C711" s="9"/>
      <c r="D711" s="10"/>
      <c r="E711" s="9"/>
      <c r="F711" s="5">
        <f t="shared" si="171"/>
        <v>0</v>
      </c>
      <c r="H711" s="4" t="s">
        <v>356</v>
      </c>
      <c r="I711" s="8">
        <v>66</v>
      </c>
      <c r="J711" s="9"/>
      <c r="K711" s="9">
        <v>14</v>
      </c>
      <c r="L711" s="9"/>
      <c r="M711" s="7">
        <f t="shared" si="172"/>
        <v>80</v>
      </c>
      <c r="N711" s="39">
        <v>44988</v>
      </c>
    </row>
    <row r="712" spans="1:15" x14ac:dyDescent="0.15">
      <c r="A712" s="4"/>
      <c r="B712" s="8"/>
      <c r="C712" s="9"/>
      <c r="D712" s="10"/>
      <c r="E712" s="9"/>
      <c r="F712" s="5">
        <f t="shared" si="171"/>
        <v>0</v>
      </c>
      <c r="H712" s="4" t="s">
        <v>357</v>
      </c>
      <c r="I712" s="8">
        <v>20</v>
      </c>
      <c r="J712" s="9"/>
      <c r="K712" s="9">
        <v>20</v>
      </c>
      <c r="L712" s="9"/>
      <c r="M712" s="7">
        <f t="shared" si="172"/>
        <v>40</v>
      </c>
      <c r="N712" s="39">
        <v>44998</v>
      </c>
    </row>
    <row r="713" spans="1:15" x14ac:dyDescent="0.15">
      <c r="A713" s="4"/>
      <c r="B713" s="8"/>
      <c r="C713" s="9"/>
      <c r="D713" s="10"/>
      <c r="E713" s="9"/>
      <c r="F713" s="5">
        <f t="shared" si="171"/>
        <v>0</v>
      </c>
      <c r="H713" s="4" t="s">
        <v>358</v>
      </c>
      <c r="I713" s="8">
        <v>35</v>
      </c>
      <c r="J713" s="9">
        <v>40</v>
      </c>
      <c r="K713" s="9">
        <v>25</v>
      </c>
      <c r="L713" s="9">
        <v>25</v>
      </c>
      <c r="M713" s="7">
        <f t="shared" si="172"/>
        <v>125</v>
      </c>
      <c r="N713" s="39">
        <v>44995</v>
      </c>
    </row>
    <row r="714" spans="1:15" x14ac:dyDescent="0.15">
      <c r="A714" s="4"/>
      <c r="B714" s="8"/>
      <c r="C714" s="9"/>
      <c r="D714" s="10"/>
      <c r="E714" s="9"/>
      <c r="F714" s="5">
        <f t="shared" si="171"/>
        <v>0</v>
      </c>
      <c r="H714" s="4" t="s">
        <v>359</v>
      </c>
      <c r="I714" s="8">
        <v>20</v>
      </c>
      <c r="J714" s="9">
        <v>25</v>
      </c>
      <c r="K714" s="9">
        <v>20</v>
      </c>
      <c r="L714" s="9">
        <v>15</v>
      </c>
      <c r="M714" s="7">
        <f t="shared" si="172"/>
        <v>80</v>
      </c>
      <c r="N714" s="39">
        <v>44995</v>
      </c>
    </row>
    <row r="715" spans="1:15" x14ac:dyDescent="0.15">
      <c r="A715" s="4"/>
      <c r="B715" s="8"/>
      <c r="C715" s="9"/>
      <c r="D715" s="10"/>
      <c r="E715" s="9"/>
      <c r="F715" s="5">
        <f t="shared" si="171"/>
        <v>0</v>
      </c>
      <c r="H715" s="4" t="s">
        <v>360</v>
      </c>
      <c r="I715" s="8">
        <v>2</v>
      </c>
      <c r="J715" s="9">
        <v>4</v>
      </c>
      <c r="K715" s="9">
        <v>16</v>
      </c>
      <c r="L715" s="9">
        <v>4</v>
      </c>
      <c r="M715" s="7">
        <f t="shared" si="172"/>
        <v>26</v>
      </c>
      <c r="N715" s="39">
        <v>44992</v>
      </c>
    </row>
    <row r="716" spans="1:15" x14ac:dyDescent="0.15">
      <c r="A716" s="4"/>
      <c r="B716" s="8"/>
      <c r="C716" s="9"/>
      <c r="D716" s="10"/>
      <c r="E716" s="9"/>
      <c r="F716" s="5">
        <f t="shared" si="171"/>
        <v>0</v>
      </c>
      <c r="H716" s="4" t="s">
        <v>361</v>
      </c>
      <c r="I716" s="8">
        <v>20</v>
      </c>
      <c r="J716" s="9">
        <v>40</v>
      </c>
      <c r="K716" s="9">
        <v>20</v>
      </c>
      <c r="L716" s="9"/>
      <c r="M716" s="7">
        <f t="shared" si="172"/>
        <v>80</v>
      </c>
      <c r="N716" s="39">
        <v>44991</v>
      </c>
      <c r="O716" s="30"/>
    </row>
    <row r="717" spans="1:15" x14ac:dyDescent="0.15">
      <c r="A717" s="4"/>
      <c r="B717" s="8"/>
      <c r="C717" s="9"/>
      <c r="D717" s="10"/>
      <c r="E717" s="9"/>
      <c r="F717" s="5">
        <f t="shared" si="171"/>
        <v>0</v>
      </c>
      <c r="H717" s="4" t="s">
        <v>366</v>
      </c>
      <c r="I717" s="8">
        <v>22</v>
      </c>
      <c r="J717" s="9">
        <v>23</v>
      </c>
      <c r="K717" s="9">
        <v>4</v>
      </c>
      <c r="L717" s="9"/>
      <c r="M717" s="7">
        <f t="shared" si="172"/>
        <v>49</v>
      </c>
      <c r="N717" s="39">
        <v>44993</v>
      </c>
    </row>
    <row r="718" spans="1:15" x14ac:dyDescent="0.15">
      <c r="A718" s="4"/>
      <c r="B718" s="8"/>
      <c r="C718" s="9"/>
      <c r="D718" s="10"/>
      <c r="E718" s="9"/>
      <c r="F718" s="5">
        <f t="shared" si="171"/>
        <v>0</v>
      </c>
      <c r="H718" s="4" t="s">
        <v>365</v>
      </c>
      <c r="I718" s="8"/>
      <c r="J718" s="9">
        <v>5</v>
      </c>
      <c r="K718" s="9"/>
      <c r="L718" s="9">
        <v>5</v>
      </c>
      <c r="M718" s="7">
        <f t="shared" si="172"/>
        <v>10</v>
      </c>
      <c r="N718" s="39">
        <v>44998</v>
      </c>
    </row>
    <row r="719" spans="1:15" x14ac:dyDescent="0.15">
      <c r="A719" s="4"/>
      <c r="B719" s="8"/>
      <c r="C719" s="9"/>
      <c r="D719" s="10"/>
      <c r="E719" s="9"/>
      <c r="F719" s="5">
        <f t="shared" si="171"/>
        <v>0</v>
      </c>
      <c r="H719" s="4" t="s">
        <v>368</v>
      </c>
      <c r="I719" s="8">
        <v>18</v>
      </c>
      <c r="J719" s="9">
        <v>38</v>
      </c>
      <c r="K719" s="9">
        <v>8</v>
      </c>
      <c r="L719" s="9">
        <v>10</v>
      </c>
      <c r="M719" s="7">
        <f t="shared" si="172"/>
        <v>74</v>
      </c>
      <c r="N719" s="39">
        <v>45000</v>
      </c>
    </row>
    <row r="720" spans="1:15" x14ac:dyDescent="0.15">
      <c r="A720" s="11"/>
      <c r="B720" s="8"/>
      <c r="C720" s="9"/>
      <c r="D720" s="10"/>
      <c r="E720" s="9"/>
      <c r="F720" s="5">
        <f t="shared" si="171"/>
        <v>0</v>
      </c>
      <c r="H720" s="4" t="s">
        <v>372</v>
      </c>
      <c r="I720" s="8"/>
      <c r="J720" s="9">
        <v>10</v>
      </c>
      <c r="K720" s="9">
        <v>20</v>
      </c>
      <c r="L720" s="9">
        <v>5</v>
      </c>
      <c r="M720" s="7">
        <f t="shared" si="172"/>
        <v>35</v>
      </c>
      <c r="N720" s="39">
        <v>45002</v>
      </c>
    </row>
    <row r="721" spans="1:14" x14ac:dyDescent="0.15">
      <c r="A721" s="4"/>
      <c r="B721" s="8"/>
      <c r="C721" s="9"/>
      <c r="D721" s="10"/>
      <c r="E721" s="9"/>
      <c r="F721" s="5">
        <f t="shared" si="171"/>
        <v>0</v>
      </c>
      <c r="H721" s="4" t="s">
        <v>373</v>
      </c>
      <c r="I721" s="8">
        <v>20</v>
      </c>
      <c r="J721" s="9">
        <v>35</v>
      </c>
      <c r="K721" s="10">
        <v>35</v>
      </c>
      <c r="L721" s="9">
        <v>15</v>
      </c>
      <c r="M721" s="7">
        <f t="shared" si="172"/>
        <v>105</v>
      </c>
      <c r="N721" s="39">
        <v>45002</v>
      </c>
    </row>
    <row r="722" spans="1:14" x14ac:dyDescent="0.15">
      <c r="A722" s="4"/>
      <c r="B722" s="8"/>
      <c r="C722" s="9"/>
      <c r="D722" s="10"/>
      <c r="E722" s="9"/>
      <c r="F722" s="5">
        <f t="shared" si="171"/>
        <v>0</v>
      </c>
      <c r="H722" s="4"/>
      <c r="I722" s="8"/>
      <c r="J722" s="9"/>
      <c r="K722" s="10"/>
      <c r="L722" s="9"/>
      <c r="M722" s="7">
        <f t="shared" si="172"/>
        <v>0</v>
      </c>
      <c r="N722" s="41"/>
    </row>
    <row r="723" spans="1:14" x14ac:dyDescent="0.15">
      <c r="A723" s="4"/>
      <c r="B723" s="8"/>
      <c r="C723" s="9"/>
      <c r="D723" s="10"/>
      <c r="E723" s="9"/>
      <c r="F723" s="5">
        <f t="shared" si="171"/>
        <v>0</v>
      </c>
      <c r="H723" s="101" t="s">
        <v>302</v>
      </c>
      <c r="I723" s="102"/>
      <c r="J723" s="103"/>
      <c r="K723" s="104"/>
      <c r="L723" s="103"/>
      <c r="M723" s="105">
        <f t="shared" ref="M723:M724" si="173">SUM(I723:L723)</f>
        <v>0</v>
      </c>
      <c r="N723" s="106"/>
    </row>
    <row r="724" spans="1:14" x14ac:dyDescent="0.15">
      <c r="A724" s="11"/>
      <c r="B724" s="8"/>
      <c r="C724" s="9"/>
      <c r="D724" s="10"/>
      <c r="E724" s="9"/>
      <c r="F724" s="5">
        <f t="shared" si="171"/>
        <v>0</v>
      </c>
      <c r="H724" s="4" t="s">
        <v>313</v>
      </c>
      <c r="I724" s="8"/>
      <c r="J724" s="9"/>
      <c r="K724" s="10"/>
      <c r="L724" s="9"/>
      <c r="M724" s="7">
        <f t="shared" si="173"/>
        <v>0</v>
      </c>
      <c r="N724" s="41" t="s">
        <v>314</v>
      </c>
    </row>
    <row r="725" spans="1:14" x14ac:dyDescent="0.15">
      <c r="A725" s="4"/>
      <c r="B725" s="8"/>
      <c r="C725" s="9"/>
      <c r="D725" s="10"/>
      <c r="E725" s="9"/>
      <c r="F725" s="5">
        <f t="shared" si="171"/>
        <v>0</v>
      </c>
      <c r="H725" s="4" t="s">
        <v>301</v>
      </c>
      <c r="I725" s="1"/>
      <c r="J725" s="50"/>
      <c r="K725" s="50"/>
      <c r="L725" s="1"/>
      <c r="M725" s="7">
        <f t="shared" ref="M725" si="174">SUM(I725:L725)</f>
        <v>0</v>
      </c>
      <c r="N725" s="39">
        <v>44971</v>
      </c>
    </row>
    <row r="726" spans="1:14" x14ac:dyDescent="0.15">
      <c r="A726" s="11"/>
      <c r="B726" s="8"/>
      <c r="C726" s="9"/>
      <c r="D726" s="10"/>
      <c r="E726" s="9"/>
      <c r="F726" s="5">
        <f t="shared" si="171"/>
        <v>0</v>
      </c>
      <c r="H726" s="101" t="s">
        <v>311</v>
      </c>
      <c r="I726" s="102"/>
      <c r="J726" s="103"/>
      <c r="K726" s="103"/>
      <c r="L726" s="103"/>
      <c r="M726" s="105">
        <f t="shared" ref="M726:M727" si="175">SUM(I726:L726)</f>
        <v>0</v>
      </c>
      <c r="N726" s="41"/>
    </row>
    <row r="727" spans="1:14" ht="14.25" thickBot="1" x14ac:dyDescent="0.2">
      <c r="A727" s="11"/>
      <c r="B727" s="8"/>
      <c r="C727" s="9"/>
      <c r="D727" s="10"/>
      <c r="E727" s="9"/>
      <c r="F727" s="5">
        <f t="shared" si="171"/>
        <v>0</v>
      </c>
      <c r="H727" s="4" t="s">
        <v>364</v>
      </c>
      <c r="I727" s="8"/>
      <c r="J727" s="9"/>
      <c r="K727" s="9"/>
      <c r="L727" s="126"/>
      <c r="M727" s="7">
        <f t="shared" si="175"/>
        <v>0</v>
      </c>
      <c r="N727" s="41" t="s">
        <v>310</v>
      </c>
    </row>
    <row r="728" spans="1:14" ht="14.25" thickBot="1" x14ac:dyDescent="0.2">
      <c r="A728" s="3" t="s">
        <v>5</v>
      </c>
      <c r="B728" s="14">
        <f>SUM(B704:B727)</f>
        <v>0</v>
      </c>
      <c r="C728" s="14">
        <f>SUM(C704:C727)</f>
        <v>1</v>
      </c>
      <c r="D728" s="14">
        <f>SUM(D704:D727)</f>
        <v>1</v>
      </c>
      <c r="E728" s="14">
        <f>SUM(E704:E727)</f>
        <v>1</v>
      </c>
      <c r="F728" s="15">
        <f>SUM(B728:E728)</f>
        <v>3</v>
      </c>
      <c r="H728" s="3" t="s">
        <v>5</v>
      </c>
      <c r="I728" s="14">
        <f>SUM(I704:I727)</f>
        <v>665</v>
      </c>
      <c r="J728" s="14">
        <f>SUM(J704:J727)</f>
        <v>702</v>
      </c>
      <c r="K728" s="14">
        <f>SUM(K704:K727)</f>
        <v>229</v>
      </c>
      <c r="L728" s="14">
        <f>SUM(L704:L727)</f>
        <v>132</v>
      </c>
      <c r="M728" s="15">
        <f>SUM(I728:L728)</f>
        <v>1728</v>
      </c>
    </row>
    <row r="729" spans="1:14" ht="14.25" thickBot="1" x14ac:dyDescent="0.2">
      <c r="A729" s="25" t="s">
        <v>6</v>
      </c>
      <c r="B729" s="26">
        <f>B703-B728</f>
        <v>15</v>
      </c>
      <c r="C729" s="26">
        <f t="shared" ref="C729:F729" si="176">C703-C728</f>
        <v>22</v>
      </c>
      <c r="D729" s="26">
        <f t="shared" si="176"/>
        <v>19</v>
      </c>
      <c r="E729" s="26">
        <f t="shared" si="176"/>
        <v>14</v>
      </c>
      <c r="F729" s="24">
        <f t="shared" si="176"/>
        <v>70</v>
      </c>
      <c r="H729" s="25" t="s">
        <v>6</v>
      </c>
      <c r="I729" s="26">
        <f>I703-I728</f>
        <v>476</v>
      </c>
      <c r="J729" s="26">
        <f t="shared" ref="J729:M729" si="177">J703-J728</f>
        <v>393</v>
      </c>
      <c r="K729" s="26">
        <f t="shared" si="177"/>
        <v>602</v>
      </c>
      <c r="L729" s="26">
        <f t="shared" si="177"/>
        <v>350</v>
      </c>
      <c r="M729" s="24">
        <f t="shared" si="177"/>
        <v>1821</v>
      </c>
    </row>
    <row r="730" spans="1:14" x14ac:dyDescent="0.15">
      <c r="H730" s="118" t="s">
        <v>299</v>
      </c>
      <c r="I730" s="1">
        <v>360</v>
      </c>
      <c r="J730" s="1">
        <v>370</v>
      </c>
      <c r="K730" s="1">
        <v>270</v>
      </c>
      <c r="L730" s="1">
        <v>0</v>
      </c>
      <c r="M730" s="1">
        <f>SUM(I730:L730)</f>
        <v>1000</v>
      </c>
      <c r="N730" s="71">
        <v>44606</v>
      </c>
    </row>
    <row r="731" spans="1:14" x14ac:dyDescent="0.15">
      <c r="H731" s="118" t="s">
        <v>300</v>
      </c>
      <c r="I731" s="1">
        <v>720</v>
      </c>
      <c r="J731" s="1">
        <v>740</v>
      </c>
      <c r="K731" s="1">
        <v>540</v>
      </c>
      <c r="L731" s="1">
        <v>0</v>
      </c>
      <c r="M731" s="1">
        <f>SUM(I731:L731)</f>
        <v>2000</v>
      </c>
      <c r="N731" s="39">
        <v>44720</v>
      </c>
    </row>
    <row r="732" spans="1:14" ht="21.75" thickBot="1" x14ac:dyDescent="0.25">
      <c r="A732" s="29" t="s">
        <v>13</v>
      </c>
      <c r="B732" s="1"/>
      <c r="C732" s="1"/>
      <c r="D732" s="1"/>
      <c r="E732" s="1"/>
      <c r="F732" s="1"/>
      <c r="H732" s="29" t="s">
        <v>14</v>
      </c>
      <c r="I732" s="1"/>
      <c r="J732" s="1"/>
      <c r="K732" s="1"/>
      <c r="L732" s="1"/>
      <c r="M732" s="1"/>
    </row>
    <row r="733" spans="1:14" ht="14.25" thickBot="1" x14ac:dyDescent="0.2">
      <c r="A733" s="2" t="s">
        <v>0</v>
      </c>
      <c r="B733" s="164" t="s">
        <v>12</v>
      </c>
      <c r="C733" s="165"/>
      <c r="D733" s="165"/>
      <c r="E733" s="165"/>
      <c r="F733" s="117"/>
      <c r="H733" s="2" t="s">
        <v>0</v>
      </c>
      <c r="I733" s="164" t="s">
        <v>12</v>
      </c>
      <c r="J733" s="165"/>
      <c r="K733" s="165"/>
      <c r="L733" s="165"/>
      <c r="M733" s="117"/>
    </row>
    <row r="734" spans="1:14" ht="14.25" thickBot="1" x14ac:dyDescent="0.2">
      <c r="A734" s="2" t="s">
        <v>1</v>
      </c>
      <c r="B734" s="3" t="s">
        <v>7</v>
      </c>
      <c r="C734" s="2" t="s">
        <v>8</v>
      </c>
      <c r="D734" s="19" t="s">
        <v>9</v>
      </c>
      <c r="E734" s="2" t="s">
        <v>11</v>
      </c>
      <c r="F734" s="2" t="s">
        <v>2</v>
      </c>
      <c r="H734" s="2" t="s">
        <v>1</v>
      </c>
      <c r="I734" s="3" t="s">
        <v>7</v>
      </c>
      <c r="J734" s="2" t="s">
        <v>8</v>
      </c>
      <c r="K734" s="19" t="s">
        <v>9</v>
      </c>
      <c r="L734" s="2" t="s">
        <v>11</v>
      </c>
      <c r="M734" s="2" t="s">
        <v>2</v>
      </c>
    </row>
    <row r="735" spans="1:14" x14ac:dyDescent="0.15">
      <c r="A735" s="27" t="s">
        <v>6</v>
      </c>
      <c r="B735" s="18">
        <f>B729</f>
        <v>15</v>
      </c>
      <c r="C735" s="20">
        <f>C729</f>
        <v>22</v>
      </c>
      <c r="D735" s="55">
        <f>D729</f>
        <v>19</v>
      </c>
      <c r="E735" s="20">
        <f>E729</f>
        <v>14</v>
      </c>
      <c r="F735" s="17">
        <f>SUM(B735:E735)</f>
        <v>70</v>
      </c>
      <c r="H735" s="27" t="s">
        <v>6</v>
      </c>
      <c r="I735" s="18">
        <f>I729</f>
        <v>476</v>
      </c>
      <c r="J735" s="20">
        <f>J729</f>
        <v>393</v>
      </c>
      <c r="K735" s="55">
        <f>K729</f>
        <v>602</v>
      </c>
      <c r="L735" s="58">
        <f>L729</f>
        <v>350</v>
      </c>
      <c r="M735" s="17">
        <f>SUM(I735:L735)</f>
        <v>1821</v>
      </c>
    </row>
    <row r="736" spans="1:14" x14ac:dyDescent="0.15">
      <c r="A736" s="6" t="s">
        <v>338</v>
      </c>
      <c r="B736" s="16">
        <v>2</v>
      </c>
      <c r="C736" s="11"/>
      <c r="D736" s="16"/>
      <c r="E736" s="4"/>
      <c r="F736" s="5">
        <f t="shared" ref="F736" si="178">SUM(B736:E736)</f>
        <v>2</v>
      </c>
      <c r="G736" s="71">
        <v>45015</v>
      </c>
      <c r="H736" s="6" t="s">
        <v>3</v>
      </c>
      <c r="I736" s="16"/>
      <c r="J736" s="11"/>
      <c r="K736" s="16"/>
      <c r="L736" s="4"/>
      <c r="M736" s="5">
        <f t="shared" ref="M736:M745" si="179">SUM(I736:L736)</f>
        <v>0</v>
      </c>
    </row>
    <row r="737" spans="1:16" x14ac:dyDescent="0.15">
      <c r="A737" s="6" t="s">
        <v>3</v>
      </c>
      <c r="B737" s="16"/>
      <c r="C737" s="11"/>
      <c r="D737" s="16"/>
      <c r="E737" s="4"/>
      <c r="F737" s="5">
        <f t="shared" ref="F737:F745" si="180">SUM(B737:E737)</f>
        <v>0</v>
      </c>
      <c r="H737" s="6" t="s">
        <v>3</v>
      </c>
      <c r="I737" s="16"/>
      <c r="J737" s="11"/>
      <c r="K737" s="16"/>
      <c r="L737" s="4"/>
      <c r="M737" s="5">
        <f t="shared" si="179"/>
        <v>0</v>
      </c>
    </row>
    <row r="738" spans="1:16" x14ac:dyDescent="0.15">
      <c r="A738" s="6" t="s">
        <v>3</v>
      </c>
      <c r="B738" s="16"/>
      <c r="C738" s="11"/>
      <c r="D738" s="16"/>
      <c r="E738" s="4"/>
      <c r="F738" s="5">
        <f t="shared" si="180"/>
        <v>0</v>
      </c>
      <c r="H738" s="6" t="s">
        <v>315</v>
      </c>
      <c r="I738" s="31">
        <v>200</v>
      </c>
      <c r="J738" s="32">
        <v>300</v>
      </c>
      <c r="K738" s="31">
        <v>0</v>
      </c>
      <c r="L738" s="52">
        <v>0</v>
      </c>
      <c r="M738" s="5">
        <f t="shared" si="179"/>
        <v>500</v>
      </c>
      <c r="N738" s="39" t="s">
        <v>389</v>
      </c>
    </row>
    <row r="739" spans="1:16" x14ac:dyDescent="0.15">
      <c r="A739" s="6" t="s">
        <v>3</v>
      </c>
      <c r="B739" s="16"/>
      <c r="C739" s="11"/>
      <c r="D739" s="16"/>
      <c r="E739" s="4"/>
      <c r="F739" s="5">
        <f t="shared" si="180"/>
        <v>0</v>
      </c>
      <c r="H739" s="6" t="s">
        <v>3</v>
      </c>
      <c r="I739" s="38"/>
      <c r="J739" s="32"/>
      <c r="K739" s="31"/>
      <c r="L739" s="52"/>
      <c r="M739" s="5">
        <f t="shared" si="179"/>
        <v>0</v>
      </c>
      <c r="N739" s="41"/>
    </row>
    <row r="740" spans="1:16" x14ac:dyDescent="0.15">
      <c r="A740" s="6" t="s">
        <v>3</v>
      </c>
      <c r="B740" s="16"/>
      <c r="C740" s="11"/>
      <c r="D740" s="16"/>
      <c r="E740" s="4"/>
      <c r="F740" s="5">
        <f t="shared" si="180"/>
        <v>0</v>
      </c>
      <c r="H740" s="6" t="s">
        <v>3</v>
      </c>
      <c r="I740" s="31"/>
      <c r="J740" s="32"/>
      <c r="K740" s="31"/>
      <c r="L740" s="52"/>
      <c r="M740" s="5">
        <f t="shared" si="179"/>
        <v>0</v>
      </c>
      <c r="N740" s="39"/>
    </row>
    <row r="741" spans="1:16" x14ac:dyDescent="0.15">
      <c r="A741" s="6" t="s">
        <v>3</v>
      </c>
      <c r="B741" s="16"/>
      <c r="C741" s="11"/>
      <c r="D741" s="16"/>
      <c r="E741" s="4"/>
      <c r="F741" s="5">
        <f t="shared" si="180"/>
        <v>0</v>
      </c>
      <c r="H741" s="6" t="s">
        <v>3</v>
      </c>
      <c r="I741" s="38"/>
      <c r="J741" s="32"/>
      <c r="K741" s="31"/>
      <c r="L741" s="52"/>
      <c r="M741" s="5">
        <f t="shared" si="179"/>
        <v>0</v>
      </c>
      <c r="N741" s="41"/>
    </row>
    <row r="742" spans="1:16" x14ac:dyDescent="0.15">
      <c r="A742" s="6" t="s">
        <v>3</v>
      </c>
      <c r="B742" s="31"/>
      <c r="C742" s="32"/>
      <c r="D742" s="31"/>
      <c r="E742" s="52"/>
      <c r="F742" s="5">
        <f t="shared" si="180"/>
        <v>0</v>
      </c>
      <c r="H742" s="6" t="s">
        <v>3</v>
      </c>
      <c r="I742" s="16"/>
      <c r="J742" s="11"/>
      <c r="K742" s="16"/>
      <c r="L742" s="4"/>
      <c r="M742" s="5">
        <f t="shared" si="179"/>
        <v>0</v>
      </c>
      <c r="N742" s="41"/>
    </row>
    <row r="743" spans="1:16" x14ac:dyDescent="0.15">
      <c r="A743" s="6" t="s">
        <v>3</v>
      </c>
      <c r="B743" s="10"/>
      <c r="C743" s="9"/>
      <c r="D743" s="10"/>
      <c r="E743" s="49"/>
      <c r="F743" s="5">
        <f t="shared" si="180"/>
        <v>0</v>
      </c>
      <c r="H743" s="6" t="s">
        <v>3</v>
      </c>
      <c r="I743" s="31"/>
      <c r="J743" s="32"/>
      <c r="K743" s="31"/>
      <c r="L743" s="52"/>
      <c r="M743" s="5">
        <f t="shared" si="179"/>
        <v>0</v>
      </c>
      <c r="N743" s="41"/>
    </row>
    <row r="744" spans="1:16" x14ac:dyDescent="0.15">
      <c r="A744" s="6" t="s">
        <v>3</v>
      </c>
      <c r="B744" s="31"/>
      <c r="C744" s="32"/>
      <c r="D744" s="31"/>
      <c r="E744" s="52"/>
      <c r="F744" s="5">
        <f t="shared" si="180"/>
        <v>0</v>
      </c>
      <c r="H744" s="6" t="s">
        <v>3</v>
      </c>
      <c r="I744" s="34"/>
      <c r="J744" s="35"/>
      <c r="K744" s="34"/>
      <c r="L744" s="32"/>
      <c r="M744" s="5">
        <f t="shared" si="179"/>
        <v>0</v>
      </c>
      <c r="N744" s="41"/>
    </row>
    <row r="745" spans="1:16" ht="14.25" thickBot="1" x14ac:dyDescent="0.2">
      <c r="A745" s="6" t="s">
        <v>3</v>
      </c>
      <c r="B745" s="13"/>
      <c r="C745" s="12"/>
      <c r="D745" s="13"/>
      <c r="E745" s="50"/>
      <c r="F745" s="5">
        <f t="shared" si="180"/>
        <v>0</v>
      </c>
      <c r="H745" s="6" t="s">
        <v>3</v>
      </c>
      <c r="I745" s="34"/>
      <c r="J745" s="35"/>
      <c r="K745" s="34"/>
      <c r="L745" s="53"/>
      <c r="M745" s="5">
        <f t="shared" si="179"/>
        <v>0</v>
      </c>
    </row>
    <row r="746" spans="1:16" ht="14.25" thickBot="1" x14ac:dyDescent="0.2">
      <c r="A746" s="21" t="s">
        <v>4</v>
      </c>
      <c r="B746" s="22">
        <f>SUM(B735:B745)</f>
        <v>17</v>
      </c>
      <c r="C746" s="22">
        <f>SUM(C735:C745)</f>
        <v>22</v>
      </c>
      <c r="D746" s="23">
        <f>SUM(D735:D745)</f>
        <v>19</v>
      </c>
      <c r="E746" s="23">
        <f>SUM(E735:E745)</f>
        <v>14</v>
      </c>
      <c r="F746" s="24">
        <f>SUM(B746:E746)</f>
        <v>72</v>
      </c>
      <c r="H746" s="21" t="s">
        <v>4</v>
      </c>
      <c r="I746" s="22">
        <f>SUM(I735:I745)</f>
        <v>676</v>
      </c>
      <c r="J746" s="22">
        <f>SUM(J735:J745)</f>
        <v>693</v>
      </c>
      <c r="K746" s="23">
        <f>SUM(K735:K745)</f>
        <v>602</v>
      </c>
      <c r="L746" s="23">
        <f>SUM(L735:L745)</f>
        <v>350</v>
      </c>
      <c r="M746" s="24">
        <f>SUM(I746:L746)</f>
        <v>2321</v>
      </c>
    </row>
    <row r="747" spans="1:16" x14ac:dyDescent="0.15">
      <c r="A747" s="11" t="s">
        <v>39</v>
      </c>
      <c r="B747" s="8"/>
      <c r="C747" s="9">
        <v>1</v>
      </c>
      <c r="D747" s="10"/>
      <c r="E747" s="49"/>
      <c r="F747" s="5">
        <f>SUM(B747:E747)</f>
        <v>1</v>
      </c>
      <c r="G747" s="39">
        <v>45010</v>
      </c>
      <c r="H747" s="4" t="s">
        <v>374</v>
      </c>
      <c r="I747" s="80">
        <v>5</v>
      </c>
      <c r="J747" s="49"/>
      <c r="K747" s="78"/>
      <c r="L747" s="9"/>
      <c r="M747" s="7">
        <f>SUM(I747:L747)</f>
        <v>5</v>
      </c>
      <c r="N747" s="39">
        <v>45007</v>
      </c>
      <c r="O747" s="30"/>
      <c r="P747" s="30"/>
    </row>
    <row r="748" spans="1:16" x14ac:dyDescent="0.15">
      <c r="A748" s="11" t="s">
        <v>34</v>
      </c>
      <c r="B748" s="8"/>
      <c r="C748" s="9">
        <v>2</v>
      </c>
      <c r="D748" s="10"/>
      <c r="E748" s="49"/>
      <c r="F748" s="5">
        <f t="shared" ref="F748:F770" si="181">SUM(B748:E748)</f>
        <v>2</v>
      </c>
      <c r="G748" s="71">
        <v>45012</v>
      </c>
      <c r="H748" s="4" t="s">
        <v>375</v>
      </c>
      <c r="I748" s="80"/>
      <c r="J748" s="49"/>
      <c r="K748" s="78">
        <v>5</v>
      </c>
      <c r="L748" s="9">
        <v>5</v>
      </c>
      <c r="M748" s="7">
        <f>SUM(I748:L748)</f>
        <v>10</v>
      </c>
      <c r="N748" s="39">
        <v>45003</v>
      </c>
    </row>
    <row r="749" spans="1:16" x14ac:dyDescent="0.15">
      <c r="A749" s="11" t="s">
        <v>39</v>
      </c>
      <c r="B749" s="8"/>
      <c r="C749" s="9">
        <v>1</v>
      </c>
      <c r="D749" s="10"/>
      <c r="E749" s="49"/>
      <c r="F749" s="5">
        <f t="shared" si="181"/>
        <v>1</v>
      </c>
      <c r="G749" s="39">
        <v>45013</v>
      </c>
      <c r="H749" s="4" t="s">
        <v>376</v>
      </c>
      <c r="I749" s="8">
        <v>5</v>
      </c>
      <c r="J749" s="9">
        <v>5</v>
      </c>
      <c r="K749" s="10"/>
      <c r="L749" s="49"/>
      <c r="M749" s="7">
        <f t="shared" ref="M749:M762" si="182">SUM(I749:L749)</f>
        <v>10</v>
      </c>
      <c r="N749" s="39">
        <v>45006</v>
      </c>
    </row>
    <row r="750" spans="1:16" x14ac:dyDescent="0.15">
      <c r="A750" s="11" t="s">
        <v>34</v>
      </c>
      <c r="B750" s="8"/>
      <c r="C750" s="9">
        <v>1</v>
      </c>
      <c r="D750" s="10"/>
      <c r="E750" s="49"/>
      <c r="F750" s="5">
        <f t="shared" si="181"/>
        <v>1</v>
      </c>
      <c r="G750" s="39">
        <v>45013</v>
      </c>
      <c r="H750" s="4" t="s">
        <v>356</v>
      </c>
      <c r="I750" s="8"/>
      <c r="J750" s="9">
        <v>20</v>
      </c>
      <c r="K750" s="10"/>
      <c r="L750" s="49"/>
      <c r="M750" s="7">
        <f t="shared" si="182"/>
        <v>20</v>
      </c>
      <c r="N750" s="39">
        <v>45012</v>
      </c>
    </row>
    <row r="751" spans="1:16" x14ac:dyDescent="0.15">
      <c r="A751" s="4" t="s">
        <v>391</v>
      </c>
      <c r="B751" s="8">
        <v>1</v>
      </c>
      <c r="C751" s="9">
        <v>1</v>
      </c>
      <c r="D751" s="10"/>
      <c r="E751" s="49"/>
      <c r="F751" s="5">
        <f t="shared" si="181"/>
        <v>2</v>
      </c>
      <c r="G751" s="71">
        <v>45022</v>
      </c>
      <c r="H751" s="4" t="s">
        <v>377</v>
      </c>
      <c r="I751" s="8"/>
      <c r="J751" s="9">
        <v>5</v>
      </c>
      <c r="K751" s="10"/>
      <c r="L751" s="49"/>
      <c r="M751" s="7">
        <f>SUM(I751:L751)</f>
        <v>5</v>
      </c>
      <c r="N751" s="39">
        <v>45006</v>
      </c>
      <c r="O751" s="30"/>
    </row>
    <row r="752" spans="1:16" x14ac:dyDescent="0.15">
      <c r="A752" s="11" t="s">
        <v>393</v>
      </c>
      <c r="B752" s="8">
        <v>1</v>
      </c>
      <c r="C752" s="9"/>
      <c r="D752" s="10"/>
      <c r="E752" s="9"/>
      <c r="F752" s="5">
        <f t="shared" si="181"/>
        <v>1</v>
      </c>
      <c r="G752" s="71">
        <v>45022</v>
      </c>
      <c r="H752" s="4" t="s">
        <v>380</v>
      </c>
      <c r="I752" s="8">
        <v>30</v>
      </c>
      <c r="J752" s="9">
        <v>15</v>
      </c>
      <c r="K752" s="10"/>
      <c r="L752" s="9"/>
      <c r="M752" s="7">
        <f t="shared" ref="M752:M760" si="183">SUM(I752:L752)</f>
        <v>45</v>
      </c>
      <c r="N752" s="39">
        <v>45009</v>
      </c>
      <c r="O752" s="30"/>
    </row>
    <row r="753" spans="1:15" x14ac:dyDescent="0.15">
      <c r="A753" s="11" t="s">
        <v>34</v>
      </c>
      <c r="B753" s="8"/>
      <c r="C753" s="9">
        <v>1</v>
      </c>
      <c r="D753" s="10"/>
      <c r="E753" s="9"/>
      <c r="F753" s="5">
        <f t="shared" si="181"/>
        <v>1</v>
      </c>
      <c r="G753" s="71">
        <v>45023</v>
      </c>
      <c r="H753" s="4" t="s">
        <v>381</v>
      </c>
      <c r="I753" s="8">
        <v>5</v>
      </c>
      <c r="J753" s="9">
        <v>10</v>
      </c>
      <c r="K753" s="10"/>
      <c r="L753" s="9"/>
      <c r="M753" s="7">
        <f t="shared" si="183"/>
        <v>15</v>
      </c>
      <c r="N753" s="39">
        <v>45012</v>
      </c>
    </row>
    <row r="754" spans="1:15" x14ac:dyDescent="0.15">
      <c r="A754" s="11" t="s">
        <v>39</v>
      </c>
      <c r="B754" s="8">
        <v>1</v>
      </c>
      <c r="C754" s="9"/>
      <c r="D754" s="10"/>
      <c r="E754" s="9"/>
      <c r="F754" s="5">
        <f t="shared" si="181"/>
        <v>1</v>
      </c>
      <c r="G754" s="39">
        <v>45027</v>
      </c>
      <c r="H754" s="4" t="s">
        <v>357</v>
      </c>
      <c r="I754" s="8"/>
      <c r="J754" s="9"/>
      <c r="K754" s="10"/>
      <c r="L754" s="9">
        <v>20</v>
      </c>
      <c r="M754" s="7">
        <f t="shared" si="183"/>
        <v>20</v>
      </c>
      <c r="N754" s="39">
        <v>45019</v>
      </c>
    </row>
    <row r="755" spans="1:15" x14ac:dyDescent="0.15">
      <c r="A755" s="11" t="s">
        <v>34</v>
      </c>
      <c r="B755" s="8">
        <v>2</v>
      </c>
      <c r="C755" s="9"/>
      <c r="D755" s="10"/>
      <c r="E755" s="9"/>
      <c r="F755" s="5">
        <f t="shared" si="181"/>
        <v>2</v>
      </c>
      <c r="G755" s="71">
        <v>45026</v>
      </c>
      <c r="H755" s="4" t="s">
        <v>386</v>
      </c>
      <c r="I755" s="8">
        <v>10</v>
      </c>
      <c r="J755" s="9">
        <v>6</v>
      </c>
      <c r="K755" s="10"/>
      <c r="L755" s="9"/>
      <c r="M755" s="7">
        <f t="shared" si="183"/>
        <v>16</v>
      </c>
      <c r="N755" s="39">
        <v>45024</v>
      </c>
    </row>
    <row r="756" spans="1:15" x14ac:dyDescent="0.15">
      <c r="A756" s="4" t="s">
        <v>399</v>
      </c>
      <c r="B756" s="8"/>
      <c r="C756" s="9"/>
      <c r="D756" s="10">
        <v>2</v>
      </c>
      <c r="E756" s="9"/>
      <c r="F756" s="5">
        <f t="shared" si="181"/>
        <v>2</v>
      </c>
      <c r="G756" s="39">
        <v>45036</v>
      </c>
      <c r="H756" s="4" t="s">
        <v>387</v>
      </c>
      <c r="I756" s="8"/>
      <c r="J756" s="9">
        <v>20</v>
      </c>
      <c r="K756" s="10"/>
      <c r="L756" s="9"/>
      <c r="M756" s="7">
        <f t="shared" si="183"/>
        <v>20</v>
      </c>
      <c r="N756" s="39">
        <v>45033</v>
      </c>
    </row>
    <row r="757" spans="1:15" x14ac:dyDescent="0.15">
      <c r="A757" s="4"/>
      <c r="B757" s="8"/>
      <c r="C757" s="9"/>
      <c r="D757" s="10"/>
      <c r="E757" s="9"/>
      <c r="F757" s="5">
        <f t="shared" si="181"/>
        <v>0</v>
      </c>
      <c r="G757" s="41"/>
      <c r="H757" s="4" t="s">
        <v>388</v>
      </c>
      <c r="I757" s="8"/>
      <c r="J757" s="9">
        <v>20</v>
      </c>
      <c r="K757" s="10"/>
      <c r="L757" s="9"/>
      <c r="M757" s="7">
        <f t="shared" si="183"/>
        <v>20</v>
      </c>
      <c r="N757" s="39">
        <v>45033</v>
      </c>
    </row>
    <row r="758" spans="1:15" x14ac:dyDescent="0.15">
      <c r="A758" s="4"/>
      <c r="B758" s="8"/>
      <c r="C758" s="9"/>
      <c r="D758" s="10"/>
      <c r="E758" s="9"/>
      <c r="F758" s="5">
        <f t="shared" si="181"/>
        <v>0</v>
      </c>
      <c r="H758" s="4" t="s">
        <v>392</v>
      </c>
      <c r="I758" s="8">
        <v>1</v>
      </c>
      <c r="J758" s="9">
        <v>6</v>
      </c>
      <c r="K758" s="10"/>
      <c r="L758" s="9">
        <v>1</v>
      </c>
      <c r="M758" s="7">
        <f t="shared" si="183"/>
        <v>8</v>
      </c>
      <c r="N758" s="39">
        <v>45033</v>
      </c>
    </row>
    <row r="759" spans="1:15" x14ac:dyDescent="0.15">
      <c r="A759" s="4"/>
      <c r="B759" s="8"/>
      <c r="C759" s="9"/>
      <c r="D759" s="10"/>
      <c r="E759" s="9"/>
      <c r="F759" s="5">
        <f t="shared" si="181"/>
        <v>0</v>
      </c>
      <c r="H759" s="4" t="s">
        <v>397</v>
      </c>
      <c r="I759" s="8">
        <v>10</v>
      </c>
      <c r="J759" s="9">
        <v>15</v>
      </c>
      <c r="K759" s="10">
        <v>5</v>
      </c>
      <c r="L759" s="9"/>
      <c r="M759" s="7">
        <f t="shared" si="183"/>
        <v>30</v>
      </c>
      <c r="N759" s="39">
        <v>45033</v>
      </c>
    </row>
    <row r="760" spans="1:15" x14ac:dyDescent="0.15">
      <c r="A760" s="4"/>
      <c r="B760" s="8"/>
      <c r="C760" s="9"/>
      <c r="D760" s="10"/>
      <c r="E760" s="9"/>
      <c r="F760" s="5">
        <f t="shared" si="181"/>
        <v>0</v>
      </c>
      <c r="H760" s="4" t="s">
        <v>398</v>
      </c>
      <c r="I760" s="8">
        <v>2</v>
      </c>
      <c r="J760" s="9">
        <v>5</v>
      </c>
      <c r="K760" s="10">
        <v>3</v>
      </c>
      <c r="L760" s="9">
        <v>3</v>
      </c>
      <c r="M760" s="7">
        <f t="shared" si="183"/>
        <v>13</v>
      </c>
      <c r="N760" s="39">
        <v>45036</v>
      </c>
    </row>
    <row r="761" spans="1:15" x14ac:dyDescent="0.15">
      <c r="A761" s="4"/>
      <c r="B761" s="8"/>
      <c r="C761" s="9"/>
      <c r="D761" s="10"/>
      <c r="E761" s="9"/>
      <c r="F761" s="5">
        <f t="shared" si="181"/>
        <v>0</v>
      </c>
      <c r="H761" s="4" t="s">
        <v>200</v>
      </c>
      <c r="I761" s="8">
        <v>4</v>
      </c>
      <c r="J761" s="9">
        <v>16</v>
      </c>
      <c r="K761" s="10"/>
      <c r="L761" s="9"/>
      <c r="M761" s="7">
        <f t="shared" si="182"/>
        <v>20</v>
      </c>
      <c r="N761" s="39">
        <v>45037</v>
      </c>
    </row>
    <row r="762" spans="1:15" x14ac:dyDescent="0.15">
      <c r="A762" s="4"/>
      <c r="B762" s="8"/>
      <c r="C762" s="9"/>
      <c r="D762" s="10"/>
      <c r="E762" s="9"/>
      <c r="F762" s="5">
        <f t="shared" si="181"/>
        <v>0</v>
      </c>
      <c r="H762" s="4" t="s">
        <v>402</v>
      </c>
      <c r="I762" s="8">
        <v>5</v>
      </c>
      <c r="J762" s="9">
        <v>2</v>
      </c>
      <c r="K762" s="10"/>
      <c r="L762" s="9">
        <v>3</v>
      </c>
      <c r="M762" s="7">
        <f t="shared" si="182"/>
        <v>10</v>
      </c>
      <c r="N762" s="39">
        <v>45043</v>
      </c>
    </row>
    <row r="763" spans="1:15" x14ac:dyDescent="0.15">
      <c r="A763" s="11"/>
      <c r="B763" s="8"/>
      <c r="C763" s="9"/>
      <c r="D763" s="10"/>
      <c r="E763" s="9"/>
      <c r="F763" s="5">
        <f t="shared" si="181"/>
        <v>0</v>
      </c>
      <c r="H763" s="4"/>
      <c r="I763" s="8"/>
      <c r="J763" s="9"/>
      <c r="K763" s="10"/>
      <c r="L763" s="9"/>
      <c r="M763" s="7">
        <f t="shared" ref="M763:M765" si="184">SUM(I763:L763)</f>
        <v>0</v>
      </c>
    </row>
    <row r="764" spans="1:15" x14ac:dyDescent="0.15">
      <c r="A764" s="4"/>
      <c r="B764" s="8"/>
      <c r="C764" s="9"/>
      <c r="D764" s="10"/>
      <c r="E764" s="9"/>
      <c r="F764" s="5">
        <f t="shared" si="181"/>
        <v>0</v>
      </c>
      <c r="H764" s="101" t="s">
        <v>305</v>
      </c>
      <c r="I764" s="102"/>
      <c r="J764" s="103"/>
      <c r="K764" s="103"/>
      <c r="L764" s="129"/>
      <c r="M764" s="105">
        <f t="shared" si="184"/>
        <v>0</v>
      </c>
      <c r="N764" s="106"/>
    </row>
    <row r="765" spans="1:15" x14ac:dyDescent="0.15">
      <c r="A765" s="4"/>
      <c r="B765" s="8"/>
      <c r="C765" s="9"/>
      <c r="D765" s="10"/>
      <c r="E765" s="9"/>
      <c r="F765" s="5">
        <f t="shared" si="181"/>
        <v>0</v>
      </c>
      <c r="H765" s="4" t="s">
        <v>303</v>
      </c>
      <c r="I765" s="8"/>
      <c r="J765" s="9"/>
      <c r="K765" s="9"/>
      <c r="L765" s="9"/>
      <c r="M765" s="7">
        <f t="shared" si="184"/>
        <v>0</v>
      </c>
      <c r="N765" s="41" t="s">
        <v>304</v>
      </c>
    </row>
    <row r="766" spans="1:15" x14ac:dyDescent="0.15">
      <c r="A766" s="4"/>
      <c r="B766" s="8"/>
      <c r="C766" s="9"/>
      <c r="D766" s="10"/>
      <c r="E766" s="9"/>
      <c r="F766" s="5">
        <f t="shared" si="181"/>
        <v>0</v>
      </c>
      <c r="H766" s="101" t="s">
        <v>302</v>
      </c>
      <c r="I766" s="102"/>
      <c r="J766" s="103"/>
      <c r="K766" s="104"/>
      <c r="L766" s="103"/>
      <c r="M766" s="105">
        <f t="shared" ref="M766:M770" si="185">SUM(I766:L766)</f>
        <v>0</v>
      </c>
      <c r="N766" s="106"/>
    </row>
    <row r="767" spans="1:15" x14ac:dyDescent="0.15">
      <c r="A767" s="11"/>
      <c r="B767" s="8"/>
      <c r="C767" s="9"/>
      <c r="D767" s="10"/>
      <c r="E767" s="9"/>
      <c r="F767" s="5">
        <f t="shared" si="181"/>
        <v>0</v>
      </c>
      <c r="H767" s="4" t="s">
        <v>262</v>
      </c>
      <c r="I767" s="8"/>
      <c r="J767" s="9"/>
      <c r="K767" s="10"/>
      <c r="L767" s="49"/>
      <c r="M767" s="7">
        <f t="shared" si="185"/>
        <v>0</v>
      </c>
      <c r="N767" s="41" t="s">
        <v>263</v>
      </c>
    </row>
    <row r="768" spans="1:15" x14ac:dyDescent="0.15">
      <c r="A768" s="4"/>
      <c r="B768" s="8"/>
      <c r="C768" s="9"/>
      <c r="D768" s="10"/>
      <c r="E768" s="9"/>
      <c r="F768" s="5">
        <f t="shared" si="181"/>
        <v>0</v>
      </c>
      <c r="H768" s="101" t="s">
        <v>289</v>
      </c>
      <c r="I768" s="102"/>
      <c r="J768" s="103"/>
      <c r="K768" s="104"/>
      <c r="L768" s="130"/>
      <c r="M768" s="105">
        <f t="shared" si="185"/>
        <v>0</v>
      </c>
      <c r="N768" s="106"/>
      <c r="O768" s="30"/>
    </row>
    <row r="769" spans="1:14" x14ac:dyDescent="0.15">
      <c r="A769" s="11"/>
      <c r="B769" s="8"/>
      <c r="C769" s="9"/>
      <c r="D769" s="10"/>
      <c r="E769" s="9"/>
      <c r="F769" s="5">
        <f t="shared" si="181"/>
        <v>0</v>
      </c>
      <c r="H769" s="4" t="s">
        <v>288</v>
      </c>
      <c r="I769" s="8"/>
      <c r="J769" s="9"/>
      <c r="K769" s="10"/>
      <c r="L769" s="9"/>
      <c r="M769" s="7">
        <f t="shared" si="185"/>
        <v>0</v>
      </c>
      <c r="N769" s="41" t="s">
        <v>282</v>
      </c>
    </row>
    <row r="770" spans="1:14" ht="14.25" thickBot="1" x14ac:dyDescent="0.2">
      <c r="A770" s="11"/>
      <c r="B770" s="8"/>
      <c r="C770" s="9"/>
      <c r="D770" s="10"/>
      <c r="E770" s="9"/>
      <c r="F770" s="5">
        <f t="shared" si="181"/>
        <v>0</v>
      </c>
      <c r="H770" s="48" t="s">
        <v>347</v>
      </c>
      <c r="I770" s="8"/>
      <c r="J770" s="9"/>
      <c r="K770" s="9"/>
      <c r="L770" s="12"/>
      <c r="M770" s="7">
        <f t="shared" si="185"/>
        <v>0</v>
      </c>
      <c r="N770" s="41" t="s">
        <v>348</v>
      </c>
    </row>
    <row r="771" spans="1:14" ht="14.25" thickBot="1" x14ac:dyDescent="0.2">
      <c r="A771" s="3" t="s">
        <v>5</v>
      </c>
      <c r="B771" s="14">
        <f>SUM(B747:B770)</f>
        <v>5</v>
      </c>
      <c r="C771" s="14">
        <f>SUM(C747:C770)</f>
        <v>7</v>
      </c>
      <c r="D771" s="14">
        <f>SUM(D747:D770)</f>
        <v>2</v>
      </c>
      <c r="E771" s="14">
        <f>SUM(E747:E770)</f>
        <v>0</v>
      </c>
      <c r="F771" s="15">
        <f>SUM(B771:E771)</f>
        <v>14</v>
      </c>
      <c r="H771" s="3" t="s">
        <v>5</v>
      </c>
      <c r="I771" s="14">
        <f>SUM(I747:I770)</f>
        <v>77</v>
      </c>
      <c r="J771" s="14">
        <f>SUM(J747:J770)</f>
        <v>145</v>
      </c>
      <c r="K771" s="14">
        <f>SUM(K747:K770)</f>
        <v>13</v>
      </c>
      <c r="L771" s="14">
        <f>SUM(L747:L770)</f>
        <v>32</v>
      </c>
      <c r="M771" s="15">
        <f>SUM(I771:L771)</f>
        <v>267</v>
      </c>
    </row>
    <row r="772" spans="1:14" ht="14.25" thickBot="1" x14ac:dyDescent="0.2">
      <c r="A772" s="25" t="s">
        <v>6</v>
      </c>
      <c r="B772" s="26">
        <f>B746-B771</f>
        <v>12</v>
      </c>
      <c r="C772" s="26">
        <f t="shared" ref="C772:F772" si="186">C746-C771</f>
        <v>15</v>
      </c>
      <c r="D772" s="26">
        <f t="shared" si="186"/>
        <v>17</v>
      </c>
      <c r="E772" s="26">
        <f t="shared" si="186"/>
        <v>14</v>
      </c>
      <c r="F772" s="24">
        <f t="shared" si="186"/>
        <v>58</v>
      </c>
      <c r="H772" s="25" t="s">
        <v>6</v>
      </c>
      <c r="I772" s="26">
        <f>I746-I771</f>
        <v>599</v>
      </c>
      <c r="J772" s="26">
        <f t="shared" ref="J772:M772" si="187">J746-J771</f>
        <v>548</v>
      </c>
      <c r="K772" s="26">
        <f t="shared" si="187"/>
        <v>589</v>
      </c>
      <c r="L772" s="26">
        <f t="shared" si="187"/>
        <v>318</v>
      </c>
      <c r="M772" s="24">
        <f t="shared" si="187"/>
        <v>2054</v>
      </c>
    </row>
    <row r="773" spans="1:14" x14ac:dyDescent="0.15">
      <c r="I773" s="72">
        <f>I746/$M$746*100</f>
        <v>29.125376992675573</v>
      </c>
      <c r="J773" s="72">
        <f t="shared" ref="J773:M773" si="188">J746/$M$746*100</f>
        <v>29.857819905213269</v>
      </c>
      <c r="K773" s="72">
        <f t="shared" si="188"/>
        <v>25.937096079276174</v>
      </c>
      <c r="L773" s="72">
        <f t="shared" si="188"/>
        <v>15.079707022834985</v>
      </c>
      <c r="M773" s="72">
        <f t="shared" si="188"/>
        <v>100</v>
      </c>
    </row>
    <row r="774" spans="1:14" x14ac:dyDescent="0.15">
      <c r="I774" s="99">
        <v>30</v>
      </c>
      <c r="J774">
        <v>37.200000000000003</v>
      </c>
      <c r="K774" s="99">
        <v>23</v>
      </c>
      <c r="L774">
        <v>9.8000000000000007</v>
      </c>
      <c r="M774">
        <f>SUM(I774:L774)</f>
        <v>100</v>
      </c>
    </row>
    <row r="775" spans="1:14" ht="21.75" thickBot="1" x14ac:dyDescent="0.25">
      <c r="A775" s="29" t="s">
        <v>13</v>
      </c>
      <c r="B775" s="1"/>
      <c r="C775" s="1"/>
      <c r="D775" s="1"/>
      <c r="E775" s="1"/>
      <c r="F775" s="1"/>
      <c r="H775" s="29" t="s">
        <v>14</v>
      </c>
      <c r="I775" s="1"/>
      <c r="J775" s="1"/>
      <c r="K775" s="1"/>
      <c r="L775" s="1"/>
      <c r="M775" s="1"/>
    </row>
    <row r="776" spans="1:14" ht="14.25" thickBot="1" x14ac:dyDescent="0.2">
      <c r="A776" s="2" t="s">
        <v>0</v>
      </c>
      <c r="B776" s="164" t="s">
        <v>12</v>
      </c>
      <c r="C776" s="165"/>
      <c r="D776" s="165"/>
      <c r="E776" s="165"/>
      <c r="F776" s="117"/>
      <c r="H776" s="2" t="s">
        <v>0</v>
      </c>
      <c r="I776" s="164" t="s">
        <v>12</v>
      </c>
      <c r="J776" s="165"/>
      <c r="K776" s="165"/>
      <c r="L776" s="165"/>
      <c r="M776" s="117"/>
    </row>
    <row r="777" spans="1:14" ht="14.25" thickBot="1" x14ac:dyDescent="0.2">
      <c r="A777" s="2" t="s">
        <v>1</v>
      </c>
      <c r="B777" s="3" t="s">
        <v>7</v>
      </c>
      <c r="C777" s="2" t="s">
        <v>8</v>
      </c>
      <c r="D777" s="19" t="s">
        <v>9</v>
      </c>
      <c r="E777" s="2" t="s">
        <v>11</v>
      </c>
      <c r="F777" s="2" t="s">
        <v>2</v>
      </c>
      <c r="H777" s="2" t="s">
        <v>1</v>
      </c>
      <c r="I777" s="3" t="s">
        <v>7</v>
      </c>
      <c r="J777" s="2" t="s">
        <v>8</v>
      </c>
      <c r="K777" s="19" t="s">
        <v>9</v>
      </c>
      <c r="L777" s="2" t="s">
        <v>11</v>
      </c>
      <c r="M777" s="2" t="s">
        <v>2</v>
      </c>
    </row>
    <row r="778" spans="1:14" x14ac:dyDescent="0.15">
      <c r="A778" s="27" t="s">
        <v>6</v>
      </c>
      <c r="B778" s="18">
        <f>B772</f>
        <v>12</v>
      </c>
      <c r="C778" s="20">
        <f>C772</f>
        <v>15</v>
      </c>
      <c r="D778" s="55">
        <f>D772</f>
        <v>17</v>
      </c>
      <c r="E778" s="20">
        <f>E772</f>
        <v>14</v>
      </c>
      <c r="F778" s="17">
        <f>SUM(B778:E778)</f>
        <v>58</v>
      </c>
      <c r="H778" s="27" t="s">
        <v>6</v>
      </c>
      <c r="I778" s="18">
        <f>I772</f>
        <v>599</v>
      </c>
      <c r="J778" s="20">
        <f>J772</f>
        <v>548</v>
      </c>
      <c r="K778" s="55">
        <f>K772</f>
        <v>589</v>
      </c>
      <c r="L778" s="58">
        <f>L772</f>
        <v>318</v>
      </c>
      <c r="M778" s="17">
        <f>SUM(I778:L778)</f>
        <v>2054</v>
      </c>
    </row>
    <row r="779" spans="1:14" x14ac:dyDescent="0.15">
      <c r="A779" s="6" t="s">
        <v>3</v>
      </c>
      <c r="B779" s="16">
        <v>5</v>
      </c>
      <c r="C779" s="11"/>
      <c r="D779" s="16"/>
      <c r="E779" s="4"/>
      <c r="F779" s="5">
        <f t="shared" ref="F779:F788" si="189">SUM(B779:E779)</f>
        <v>5</v>
      </c>
      <c r="G779" s="39">
        <v>45047</v>
      </c>
      <c r="H779" s="6" t="s">
        <v>3</v>
      </c>
      <c r="I779" s="16"/>
      <c r="J779" s="11"/>
      <c r="K779" s="16"/>
      <c r="L779" s="4"/>
      <c r="M779" s="5">
        <f t="shared" ref="M779:M788" si="190">SUM(I779:L779)</f>
        <v>0</v>
      </c>
    </row>
    <row r="780" spans="1:14" x14ac:dyDescent="0.15">
      <c r="A780" s="6" t="s">
        <v>411</v>
      </c>
      <c r="B780" s="16">
        <v>4</v>
      </c>
      <c r="C780" s="11">
        <v>1</v>
      </c>
      <c r="D780" s="16"/>
      <c r="E780" s="4">
        <v>1</v>
      </c>
      <c r="F780" s="5">
        <f t="shared" si="189"/>
        <v>6</v>
      </c>
      <c r="G780" s="39">
        <v>45063</v>
      </c>
      <c r="H780" s="6" t="s">
        <v>3</v>
      </c>
      <c r="I780" s="16"/>
      <c r="J780" s="11"/>
      <c r="K780" s="16"/>
      <c r="L780" s="4"/>
      <c r="M780" s="5">
        <f t="shared" si="190"/>
        <v>0</v>
      </c>
    </row>
    <row r="781" spans="1:14" x14ac:dyDescent="0.15">
      <c r="A781" s="6" t="s">
        <v>3</v>
      </c>
      <c r="B781" s="16">
        <v>5</v>
      </c>
      <c r="C781" s="11">
        <v>5</v>
      </c>
      <c r="D781" s="16"/>
      <c r="E781" s="4"/>
      <c r="F781" s="5">
        <f t="shared" si="189"/>
        <v>10</v>
      </c>
      <c r="G781" s="39">
        <v>45070</v>
      </c>
      <c r="H781" s="6" t="s">
        <v>3</v>
      </c>
      <c r="I781" s="31"/>
      <c r="J781" s="32"/>
      <c r="K781" s="31"/>
      <c r="L781" s="52"/>
      <c r="M781" s="5">
        <f t="shared" si="190"/>
        <v>0</v>
      </c>
      <c r="N781" s="41"/>
    </row>
    <row r="782" spans="1:14" x14ac:dyDescent="0.15">
      <c r="A782" s="6" t="s">
        <v>3</v>
      </c>
      <c r="B782" s="16"/>
      <c r="C782" s="11"/>
      <c r="D782" s="16"/>
      <c r="E782" s="4"/>
      <c r="F782" s="5">
        <f t="shared" si="189"/>
        <v>0</v>
      </c>
      <c r="H782" s="6" t="s">
        <v>3</v>
      </c>
      <c r="I782" s="38"/>
      <c r="J782" s="32"/>
      <c r="K782" s="31"/>
      <c r="L782" s="52"/>
      <c r="M782" s="5">
        <f t="shared" si="190"/>
        <v>0</v>
      </c>
      <c r="N782" s="41"/>
    </row>
    <row r="783" spans="1:14" x14ac:dyDescent="0.15">
      <c r="A783" s="6" t="s">
        <v>3</v>
      </c>
      <c r="B783" s="16"/>
      <c r="C783" s="11"/>
      <c r="D783" s="16"/>
      <c r="E783" s="4"/>
      <c r="F783" s="5">
        <f t="shared" si="189"/>
        <v>0</v>
      </c>
      <c r="H783" s="6" t="s">
        <v>316</v>
      </c>
      <c r="I783" s="31">
        <v>200</v>
      </c>
      <c r="J783" s="32">
        <v>300</v>
      </c>
      <c r="K783" s="31">
        <v>150</v>
      </c>
      <c r="L783" s="52">
        <v>100</v>
      </c>
      <c r="M783" s="5">
        <f t="shared" si="190"/>
        <v>750</v>
      </c>
      <c r="N783" s="39" t="s">
        <v>409</v>
      </c>
    </row>
    <row r="784" spans="1:14" x14ac:dyDescent="0.15">
      <c r="A784" s="6" t="s">
        <v>3</v>
      </c>
      <c r="B784" s="16"/>
      <c r="C784" s="11"/>
      <c r="D784" s="16"/>
      <c r="E784" s="4"/>
      <c r="F784" s="5">
        <f t="shared" si="189"/>
        <v>0</v>
      </c>
      <c r="H784" s="6" t="s">
        <v>406</v>
      </c>
      <c r="I784" s="38">
        <v>9</v>
      </c>
      <c r="J784" s="32">
        <v>4</v>
      </c>
      <c r="K784" s="31">
        <v>7</v>
      </c>
      <c r="L784" s="52">
        <v>9</v>
      </c>
      <c r="M784" s="5">
        <f t="shared" si="190"/>
        <v>29</v>
      </c>
      <c r="N784" s="41"/>
    </row>
    <row r="785" spans="1:14" x14ac:dyDescent="0.15">
      <c r="A785" s="6" t="s">
        <v>3</v>
      </c>
      <c r="B785" s="31"/>
      <c r="C785" s="32"/>
      <c r="D785" s="31"/>
      <c r="E785" s="52"/>
      <c r="F785" s="5">
        <f t="shared" si="189"/>
        <v>0</v>
      </c>
      <c r="H785" s="6" t="s">
        <v>3</v>
      </c>
      <c r="I785" s="16"/>
      <c r="J785" s="11"/>
      <c r="K785" s="16"/>
      <c r="L785" s="4"/>
      <c r="M785" s="5">
        <f t="shared" si="190"/>
        <v>0</v>
      </c>
      <c r="N785" s="41"/>
    </row>
    <row r="786" spans="1:14" x14ac:dyDescent="0.15">
      <c r="A786" s="6" t="s">
        <v>3</v>
      </c>
      <c r="B786" s="10"/>
      <c r="C786" s="9"/>
      <c r="D786" s="10"/>
      <c r="E786" s="49"/>
      <c r="F786" s="5">
        <f t="shared" si="189"/>
        <v>0</v>
      </c>
      <c r="H786" s="6" t="s">
        <v>3</v>
      </c>
      <c r="I786" s="31"/>
      <c r="J786" s="32"/>
      <c r="K786" s="31"/>
      <c r="L786" s="52"/>
      <c r="M786" s="5">
        <f t="shared" si="190"/>
        <v>0</v>
      </c>
      <c r="N786" s="41"/>
    </row>
    <row r="787" spans="1:14" x14ac:dyDescent="0.15">
      <c r="A787" s="6" t="s">
        <v>475</v>
      </c>
      <c r="B787" s="13">
        <v>-5</v>
      </c>
      <c r="C787" s="12">
        <v>-2</v>
      </c>
      <c r="D787" s="31"/>
      <c r="E787" s="52"/>
      <c r="F787" s="5">
        <f t="shared" si="189"/>
        <v>-7</v>
      </c>
      <c r="H787" s="6" t="s">
        <v>3</v>
      </c>
      <c r="I787" s="34"/>
      <c r="J787" s="35"/>
      <c r="K787" s="34"/>
      <c r="L787" s="32"/>
      <c r="M787" s="5">
        <f t="shared" si="190"/>
        <v>0</v>
      </c>
      <c r="N787" s="41"/>
    </row>
    <row r="788" spans="1:14" ht="14.25" thickBot="1" x14ac:dyDescent="0.2">
      <c r="A788" s="6" t="s">
        <v>390</v>
      </c>
      <c r="B788" s="13">
        <v>-1</v>
      </c>
      <c r="C788" s="12">
        <v>5</v>
      </c>
      <c r="D788" s="13">
        <v>-6</v>
      </c>
      <c r="E788" s="50"/>
      <c r="F788" s="5">
        <f t="shared" si="189"/>
        <v>-2</v>
      </c>
      <c r="H788" s="6" t="s">
        <v>3</v>
      </c>
      <c r="I788" s="34"/>
      <c r="J788" s="35"/>
      <c r="K788" s="34"/>
      <c r="L788" s="53"/>
      <c r="M788" s="5">
        <f t="shared" si="190"/>
        <v>0</v>
      </c>
    </row>
    <row r="789" spans="1:14" ht="14.25" thickBot="1" x14ac:dyDescent="0.2">
      <c r="A789" s="21" t="s">
        <v>4</v>
      </c>
      <c r="B789" s="22">
        <f>SUM(B778:B788)</f>
        <v>20</v>
      </c>
      <c r="C789" s="22">
        <f>SUM(C778:C788)</f>
        <v>24</v>
      </c>
      <c r="D789" s="23">
        <f>SUM(D778:D788)</f>
        <v>11</v>
      </c>
      <c r="E789" s="23">
        <f>SUM(E778:E788)</f>
        <v>15</v>
      </c>
      <c r="F789" s="24">
        <f>SUM(B789:E789)</f>
        <v>70</v>
      </c>
      <c r="H789" s="21" t="s">
        <v>4</v>
      </c>
      <c r="I789" s="22">
        <f>SUM(I778:I788)</f>
        <v>808</v>
      </c>
      <c r="J789" s="22">
        <f>SUM(J778:J788)</f>
        <v>852</v>
      </c>
      <c r="K789" s="23">
        <f>SUM(K778:K788)</f>
        <v>746</v>
      </c>
      <c r="L789" s="23">
        <f>SUM(L778:L788)</f>
        <v>427</v>
      </c>
      <c r="M789" s="24">
        <f>SUM(I789:L789)</f>
        <v>2833</v>
      </c>
    </row>
    <row r="790" spans="1:14" x14ac:dyDescent="0.15">
      <c r="A790" s="11" t="s">
        <v>39</v>
      </c>
      <c r="B790" s="8"/>
      <c r="C790" s="9">
        <v>1</v>
      </c>
      <c r="D790" s="10"/>
      <c r="E790" s="49"/>
      <c r="F790" s="5">
        <f>SUM(B790:E790)</f>
        <v>1</v>
      </c>
      <c r="G790" s="39">
        <v>45041</v>
      </c>
      <c r="H790" s="4" t="s">
        <v>200</v>
      </c>
      <c r="I790" s="80"/>
      <c r="J790" s="49">
        <v>6</v>
      </c>
      <c r="K790" s="78">
        <v>2</v>
      </c>
      <c r="L790" s="9"/>
      <c r="M790" s="7">
        <f>SUM(I790:L790)</f>
        <v>8</v>
      </c>
      <c r="N790" s="39">
        <v>45040</v>
      </c>
    </row>
    <row r="791" spans="1:14" x14ac:dyDescent="0.15">
      <c r="A791" s="4" t="s">
        <v>200</v>
      </c>
      <c r="B791" s="8">
        <v>2</v>
      </c>
      <c r="C791" s="9"/>
      <c r="D791" s="10"/>
      <c r="E791" s="49"/>
      <c r="F791" s="5">
        <f t="shared" ref="F791:F813" si="191">SUM(B791:E791)</f>
        <v>2</v>
      </c>
      <c r="G791" s="39">
        <v>45043</v>
      </c>
      <c r="H791" s="4" t="s">
        <v>200</v>
      </c>
      <c r="I791" s="80">
        <v>12</v>
      </c>
      <c r="J791" s="49"/>
      <c r="K791" s="78">
        <v>6</v>
      </c>
      <c r="L791" s="9">
        <v>2</v>
      </c>
      <c r="M791" s="7">
        <f t="shared" ref="M791:M804" si="192">SUM(I791:L791)</f>
        <v>20</v>
      </c>
      <c r="N791" s="39">
        <v>45041</v>
      </c>
    </row>
    <row r="792" spans="1:14" x14ac:dyDescent="0.15">
      <c r="A792" s="4" t="s">
        <v>200</v>
      </c>
      <c r="B792" s="8">
        <v>4</v>
      </c>
      <c r="C792" s="9"/>
      <c r="D792" s="10"/>
      <c r="E792" s="49"/>
      <c r="F792" s="5">
        <f t="shared" si="191"/>
        <v>4</v>
      </c>
      <c r="G792" s="39">
        <v>45044</v>
      </c>
      <c r="H792" s="4" t="s">
        <v>200</v>
      </c>
      <c r="I792" s="8"/>
      <c r="J792" s="9"/>
      <c r="K792" s="10">
        <v>8</v>
      </c>
      <c r="L792" s="49"/>
      <c r="M792" s="7">
        <f t="shared" si="192"/>
        <v>8</v>
      </c>
      <c r="N792" s="39">
        <v>45042</v>
      </c>
    </row>
    <row r="793" spans="1:14" x14ac:dyDescent="0.15">
      <c r="A793" s="4" t="s">
        <v>34</v>
      </c>
      <c r="B793" s="8"/>
      <c r="C793" s="9">
        <v>1</v>
      </c>
      <c r="D793" s="10"/>
      <c r="E793" s="49"/>
      <c r="F793" s="5">
        <f t="shared" si="191"/>
        <v>1</v>
      </c>
      <c r="G793" s="71">
        <v>45043</v>
      </c>
      <c r="H793" s="4" t="s">
        <v>407</v>
      </c>
      <c r="I793" s="8"/>
      <c r="J793" s="9">
        <v>4</v>
      </c>
      <c r="K793" s="10"/>
      <c r="L793" s="49"/>
      <c r="M793" s="7">
        <f t="shared" si="192"/>
        <v>4</v>
      </c>
      <c r="N793" s="39">
        <v>45052</v>
      </c>
    </row>
    <row r="794" spans="1:14" x14ac:dyDescent="0.15">
      <c r="A794" s="4" t="s">
        <v>200</v>
      </c>
      <c r="B794" s="8">
        <v>2</v>
      </c>
      <c r="C794" s="9"/>
      <c r="D794" s="10"/>
      <c r="E794" s="49"/>
      <c r="F794" s="5">
        <f t="shared" si="191"/>
        <v>2</v>
      </c>
      <c r="G794" s="39">
        <v>45048</v>
      </c>
      <c r="H794" s="4" t="s">
        <v>200</v>
      </c>
      <c r="I794" s="8">
        <v>6</v>
      </c>
      <c r="J794" s="9"/>
      <c r="K794" s="10"/>
      <c r="L794" s="49"/>
      <c r="M794" s="7">
        <f t="shared" si="192"/>
        <v>6</v>
      </c>
      <c r="N794" s="39">
        <v>45047</v>
      </c>
    </row>
    <row r="795" spans="1:14" x14ac:dyDescent="0.15">
      <c r="A795" s="11" t="s">
        <v>39</v>
      </c>
      <c r="B795" s="8">
        <v>1</v>
      </c>
      <c r="C795" s="9">
        <v>1</v>
      </c>
      <c r="D795" s="10">
        <v>3</v>
      </c>
      <c r="E795" s="9"/>
      <c r="F795" s="5">
        <f t="shared" si="191"/>
        <v>5</v>
      </c>
      <c r="G795" s="39">
        <v>45048</v>
      </c>
      <c r="H795" s="11" t="s">
        <v>408</v>
      </c>
      <c r="I795" s="8">
        <v>5</v>
      </c>
      <c r="J795" s="9"/>
      <c r="K795" s="10"/>
      <c r="L795" s="9"/>
      <c r="M795" s="7">
        <f t="shared" si="192"/>
        <v>5</v>
      </c>
      <c r="N795" s="39">
        <v>45047</v>
      </c>
    </row>
    <row r="796" spans="1:14" x14ac:dyDescent="0.15">
      <c r="A796" s="4" t="s">
        <v>200</v>
      </c>
      <c r="B796" s="8"/>
      <c r="C796" s="9"/>
      <c r="D796" s="10"/>
      <c r="E796" s="9">
        <v>2</v>
      </c>
      <c r="F796" s="5">
        <f t="shared" si="191"/>
        <v>2</v>
      </c>
      <c r="G796" s="39">
        <v>45054</v>
      </c>
      <c r="H796" s="4" t="s">
        <v>413</v>
      </c>
      <c r="I796" s="8">
        <v>3</v>
      </c>
      <c r="J796" s="9"/>
      <c r="K796" s="10"/>
      <c r="L796" s="9"/>
      <c r="M796" s="7">
        <f t="shared" si="192"/>
        <v>3</v>
      </c>
      <c r="N796" s="39">
        <v>45061</v>
      </c>
    </row>
    <row r="797" spans="1:14" x14ac:dyDescent="0.15">
      <c r="A797" s="4" t="s">
        <v>410</v>
      </c>
      <c r="B797" s="8"/>
      <c r="C797" s="9"/>
      <c r="D797" s="10">
        <v>5</v>
      </c>
      <c r="E797" s="9"/>
      <c r="F797" s="5">
        <f t="shared" si="191"/>
        <v>5</v>
      </c>
      <c r="G797" s="39">
        <v>45055</v>
      </c>
      <c r="H797" s="4" t="s">
        <v>414</v>
      </c>
      <c r="I797" s="8">
        <v>3</v>
      </c>
      <c r="J797" s="9"/>
      <c r="K797" s="10">
        <v>3</v>
      </c>
      <c r="L797" s="9">
        <v>2</v>
      </c>
      <c r="M797" s="7">
        <f t="shared" si="192"/>
        <v>8</v>
      </c>
      <c r="N797" s="39">
        <v>45063</v>
      </c>
    </row>
    <row r="798" spans="1:14" x14ac:dyDescent="0.15">
      <c r="A798" s="4" t="s">
        <v>200</v>
      </c>
      <c r="B798" s="8"/>
      <c r="C798" s="9">
        <v>2</v>
      </c>
      <c r="D798" s="10"/>
      <c r="E798" s="9"/>
      <c r="F798" s="5">
        <f t="shared" si="191"/>
        <v>2</v>
      </c>
      <c r="G798" s="39">
        <v>45061</v>
      </c>
      <c r="H798" s="4" t="s">
        <v>200</v>
      </c>
      <c r="I798" s="8">
        <v>4</v>
      </c>
      <c r="J798" s="9">
        <v>2</v>
      </c>
      <c r="K798" s="10"/>
      <c r="L798" s="9"/>
      <c r="M798" s="7">
        <f t="shared" si="192"/>
        <v>6</v>
      </c>
      <c r="N798" s="39">
        <v>45062</v>
      </c>
    </row>
    <row r="799" spans="1:14" x14ac:dyDescent="0.15">
      <c r="A799" s="11" t="s">
        <v>39</v>
      </c>
      <c r="B799" s="8">
        <v>1</v>
      </c>
      <c r="C799" s="9"/>
      <c r="D799" s="10"/>
      <c r="E799" s="9"/>
      <c r="F799" s="5">
        <f t="shared" si="191"/>
        <v>1</v>
      </c>
      <c r="G799" s="39">
        <v>45059</v>
      </c>
      <c r="H799" s="4" t="s">
        <v>212</v>
      </c>
      <c r="I799" s="8">
        <v>13</v>
      </c>
      <c r="J799" s="9">
        <v>16</v>
      </c>
      <c r="K799" s="10">
        <v>10</v>
      </c>
      <c r="L799" s="9">
        <v>7</v>
      </c>
      <c r="M799" s="7">
        <f t="shared" si="192"/>
        <v>46</v>
      </c>
      <c r="N799" s="39">
        <v>45070</v>
      </c>
    </row>
    <row r="800" spans="1:14" x14ac:dyDescent="0.15">
      <c r="A800" s="11" t="s">
        <v>39</v>
      </c>
      <c r="B800" s="8"/>
      <c r="C800" s="9">
        <v>1</v>
      </c>
      <c r="D800" s="10"/>
      <c r="E800" s="9">
        <v>1</v>
      </c>
      <c r="F800" s="5">
        <f t="shared" si="191"/>
        <v>2</v>
      </c>
      <c r="G800" s="39">
        <v>45062</v>
      </c>
      <c r="H800" s="4" t="s">
        <v>415</v>
      </c>
      <c r="I800" s="8">
        <v>10</v>
      </c>
      <c r="J800" s="9"/>
      <c r="K800" s="10"/>
      <c r="L800" s="9"/>
      <c r="M800" s="7">
        <f t="shared" si="192"/>
        <v>10</v>
      </c>
      <c r="N800" s="39">
        <v>45065</v>
      </c>
    </row>
    <row r="801" spans="1:14" x14ac:dyDescent="0.15">
      <c r="A801" s="4" t="s">
        <v>200</v>
      </c>
      <c r="B801" s="8">
        <v>2</v>
      </c>
      <c r="C801" s="9"/>
      <c r="D801" s="10"/>
      <c r="E801" s="9"/>
      <c r="F801" s="5">
        <f t="shared" si="191"/>
        <v>2</v>
      </c>
      <c r="G801" s="39">
        <v>45063</v>
      </c>
      <c r="H801" s="4" t="s">
        <v>417</v>
      </c>
      <c r="I801" s="8"/>
      <c r="J801" s="9">
        <v>16</v>
      </c>
      <c r="K801" s="10"/>
      <c r="L801" s="9"/>
      <c r="M801" s="7">
        <f t="shared" si="192"/>
        <v>16</v>
      </c>
      <c r="N801" s="39">
        <v>45068</v>
      </c>
    </row>
    <row r="802" spans="1:14" x14ac:dyDescent="0.15">
      <c r="A802" s="4" t="s">
        <v>34</v>
      </c>
      <c r="B802" s="8"/>
      <c r="C802" s="9">
        <v>1</v>
      </c>
      <c r="D802" s="10"/>
      <c r="E802" s="9"/>
      <c r="F802" s="5">
        <f t="shared" si="191"/>
        <v>1</v>
      </c>
      <c r="G802" s="39">
        <v>45062</v>
      </c>
      <c r="H802" s="4" t="s">
        <v>418</v>
      </c>
      <c r="I802" s="8">
        <v>20</v>
      </c>
      <c r="J802" s="9"/>
      <c r="K802" s="10"/>
      <c r="L802" s="9"/>
      <c r="M802" s="7">
        <f t="shared" si="192"/>
        <v>20</v>
      </c>
      <c r="N802" s="39">
        <v>45075</v>
      </c>
    </row>
    <row r="803" spans="1:14" x14ac:dyDescent="0.15">
      <c r="A803" s="4" t="s">
        <v>200</v>
      </c>
      <c r="B803" s="8"/>
      <c r="C803" s="9"/>
      <c r="D803" s="10"/>
      <c r="E803" s="9">
        <v>2</v>
      </c>
      <c r="F803" s="5">
        <f t="shared" si="191"/>
        <v>2</v>
      </c>
      <c r="G803" s="39">
        <v>45065</v>
      </c>
      <c r="H803" s="4" t="s">
        <v>419</v>
      </c>
      <c r="I803" s="8">
        <v>3</v>
      </c>
      <c r="J803" s="9"/>
      <c r="K803" s="10"/>
      <c r="L803" s="9"/>
      <c r="M803" s="7">
        <f t="shared" si="192"/>
        <v>3</v>
      </c>
      <c r="N803" s="39">
        <v>45072</v>
      </c>
    </row>
    <row r="804" spans="1:14" x14ac:dyDescent="0.15">
      <c r="A804" s="11" t="s">
        <v>39</v>
      </c>
      <c r="B804" s="8">
        <v>1</v>
      </c>
      <c r="C804" s="9"/>
      <c r="D804" s="10"/>
      <c r="E804" s="9"/>
      <c r="F804" s="5">
        <f t="shared" si="191"/>
        <v>1</v>
      </c>
      <c r="G804" s="39">
        <v>45069</v>
      </c>
      <c r="H804" s="4" t="s">
        <v>420</v>
      </c>
      <c r="I804" s="8"/>
      <c r="J804" s="9">
        <v>10</v>
      </c>
      <c r="K804" s="10">
        <v>20</v>
      </c>
      <c r="L804" s="9"/>
      <c r="M804" s="7">
        <f t="shared" si="192"/>
        <v>30</v>
      </c>
      <c r="N804" s="39">
        <v>45069</v>
      </c>
    </row>
    <row r="805" spans="1:14" x14ac:dyDescent="0.15">
      <c r="A805" s="4" t="s">
        <v>34</v>
      </c>
      <c r="B805" s="8">
        <v>1</v>
      </c>
      <c r="C805" s="9"/>
      <c r="D805" s="10"/>
      <c r="E805" s="9"/>
      <c r="F805" s="5">
        <f t="shared" si="191"/>
        <v>1</v>
      </c>
      <c r="G805" s="71">
        <v>45068</v>
      </c>
      <c r="H805" s="4" t="s">
        <v>422</v>
      </c>
      <c r="I805" s="8"/>
      <c r="J805" s="9">
        <v>10</v>
      </c>
      <c r="K805" s="10"/>
      <c r="L805" s="9"/>
      <c r="M805" s="7">
        <f t="shared" ref="M805:M810" si="193">SUM(I805:L805)</f>
        <v>10</v>
      </c>
      <c r="N805" s="39">
        <v>45071</v>
      </c>
    </row>
    <row r="806" spans="1:14" x14ac:dyDescent="0.15">
      <c r="A806" s="11" t="s">
        <v>39</v>
      </c>
      <c r="B806" s="8">
        <v>2</v>
      </c>
      <c r="C806" s="9"/>
      <c r="D806" s="10"/>
      <c r="E806" s="9"/>
      <c r="F806" s="5">
        <f t="shared" si="191"/>
        <v>2</v>
      </c>
      <c r="G806" s="39">
        <v>45070</v>
      </c>
      <c r="H806" s="4" t="s">
        <v>423</v>
      </c>
      <c r="I806" s="8"/>
      <c r="J806" s="9">
        <v>12</v>
      </c>
      <c r="K806" s="9"/>
      <c r="L806" s="9"/>
      <c r="M806" s="7">
        <f t="shared" si="193"/>
        <v>12</v>
      </c>
      <c r="N806" s="39">
        <v>45071</v>
      </c>
    </row>
    <row r="807" spans="1:14" x14ac:dyDescent="0.15">
      <c r="A807" s="4" t="s">
        <v>200</v>
      </c>
      <c r="B807" s="8">
        <v>2</v>
      </c>
      <c r="C807" s="9">
        <v>2</v>
      </c>
      <c r="D807" s="10"/>
      <c r="E807" s="9">
        <v>2</v>
      </c>
      <c r="F807" s="5">
        <f t="shared" si="191"/>
        <v>6</v>
      </c>
      <c r="G807" s="39">
        <v>45071</v>
      </c>
      <c r="H807" s="4" t="s">
        <v>424</v>
      </c>
      <c r="I807" s="8">
        <v>10</v>
      </c>
      <c r="J807" s="9"/>
      <c r="K807" s="9"/>
      <c r="L807" s="9"/>
      <c r="M807" s="7">
        <f t="shared" si="193"/>
        <v>10</v>
      </c>
      <c r="N807" s="39">
        <v>45071</v>
      </c>
    </row>
    <row r="808" spans="1:14" x14ac:dyDescent="0.15">
      <c r="A808" s="4" t="s">
        <v>421</v>
      </c>
      <c r="B808" s="8"/>
      <c r="C808" s="9"/>
      <c r="D808" s="10"/>
      <c r="E808" s="9">
        <v>1</v>
      </c>
      <c r="F808" s="7">
        <f t="shared" si="191"/>
        <v>1</v>
      </c>
      <c r="G808" s="39">
        <v>45076</v>
      </c>
      <c r="H808" s="11" t="s">
        <v>26</v>
      </c>
      <c r="I808" s="8">
        <v>5</v>
      </c>
      <c r="J808" s="9">
        <v>5</v>
      </c>
      <c r="K808" s="9"/>
      <c r="L808" s="9"/>
      <c r="M808" s="7">
        <f t="shared" si="193"/>
        <v>10</v>
      </c>
      <c r="N808" s="39">
        <v>45070</v>
      </c>
    </row>
    <row r="809" spans="1:14" x14ac:dyDescent="0.15">
      <c r="A809" s="4" t="s">
        <v>428</v>
      </c>
      <c r="B809" s="8"/>
      <c r="C809" s="9"/>
      <c r="D809" s="9">
        <v>1</v>
      </c>
      <c r="E809" s="9"/>
      <c r="F809" s="7">
        <f t="shared" si="191"/>
        <v>1</v>
      </c>
      <c r="G809" s="39">
        <v>45076</v>
      </c>
      <c r="H809" s="4" t="s">
        <v>200</v>
      </c>
      <c r="I809" s="8">
        <v>2</v>
      </c>
      <c r="J809" s="9">
        <v>12</v>
      </c>
      <c r="K809" s="9"/>
      <c r="L809" s="9">
        <v>10</v>
      </c>
      <c r="M809" s="7">
        <f t="shared" si="193"/>
        <v>24</v>
      </c>
      <c r="N809" s="39">
        <v>45072</v>
      </c>
    </row>
    <row r="810" spans="1:14" x14ac:dyDescent="0.15">
      <c r="A810" s="11" t="s">
        <v>429</v>
      </c>
      <c r="B810" s="8">
        <v>2</v>
      </c>
      <c r="C810" s="9"/>
      <c r="D810" s="10">
        <v>2</v>
      </c>
      <c r="E810" s="9"/>
      <c r="F810" s="5">
        <f t="shared" si="191"/>
        <v>4</v>
      </c>
      <c r="G810" s="39">
        <v>45076</v>
      </c>
      <c r="H810" s="4" t="s">
        <v>200</v>
      </c>
      <c r="I810" s="8">
        <v>10</v>
      </c>
      <c r="J810" s="9">
        <v>8</v>
      </c>
      <c r="K810" s="10"/>
      <c r="L810" s="49"/>
      <c r="M810" s="7">
        <f t="shared" si="193"/>
        <v>18</v>
      </c>
      <c r="N810" s="39">
        <v>45075</v>
      </c>
    </row>
    <row r="811" spans="1:14" x14ac:dyDescent="0.15">
      <c r="A811" s="4" t="s">
        <v>430</v>
      </c>
      <c r="B811" s="8"/>
      <c r="C811" s="9">
        <v>1</v>
      </c>
      <c r="D811" s="10"/>
      <c r="E811" s="9"/>
      <c r="F811" s="5">
        <f t="shared" si="191"/>
        <v>1</v>
      </c>
      <c r="G811" s="71">
        <v>45075</v>
      </c>
      <c r="H811" s="4" t="s">
        <v>321</v>
      </c>
      <c r="I811" s="8"/>
      <c r="J811" s="9"/>
      <c r="K811" s="9"/>
      <c r="L811" s="9"/>
      <c r="M811" s="7">
        <f t="shared" ref="M811:M813" si="194">SUM(I811:L811)</f>
        <v>0</v>
      </c>
      <c r="N811" s="41" t="s">
        <v>324</v>
      </c>
    </row>
    <row r="812" spans="1:14" x14ac:dyDescent="0.15">
      <c r="A812" s="11"/>
      <c r="B812" s="8"/>
      <c r="C812" s="9"/>
      <c r="D812" s="10"/>
      <c r="E812" s="9"/>
      <c r="F812" s="5">
        <f t="shared" si="191"/>
        <v>0</v>
      </c>
      <c r="H812" s="4" t="s">
        <v>369</v>
      </c>
      <c r="I812" s="8"/>
      <c r="J812" s="9"/>
      <c r="K812" s="10"/>
      <c r="L812" s="12"/>
      <c r="M812" s="7">
        <f t="shared" si="194"/>
        <v>0</v>
      </c>
      <c r="N812" s="41" t="s">
        <v>370</v>
      </c>
    </row>
    <row r="813" spans="1:14" ht="14.25" thickBot="1" x14ac:dyDescent="0.2">
      <c r="A813" s="11"/>
      <c r="B813" s="8"/>
      <c r="C813" s="9"/>
      <c r="D813" s="10"/>
      <c r="E813" s="9"/>
      <c r="F813" s="5">
        <f t="shared" si="191"/>
        <v>0</v>
      </c>
      <c r="H813" s="4" t="s">
        <v>394</v>
      </c>
      <c r="I813" s="8"/>
      <c r="J813" s="9"/>
      <c r="K813" s="10"/>
      <c r="L813" s="12"/>
      <c r="M813" s="7">
        <f t="shared" si="194"/>
        <v>0</v>
      </c>
      <c r="N813" s="41" t="s">
        <v>395</v>
      </c>
    </row>
    <row r="814" spans="1:14" ht="14.25" thickBot="1" x14ac:dyDescent="0.2">
      <c r="A814" s="3" t="s">
        <v>5</v>
      </c>
      <c r="B814" s="14">
        <f>SUM(B790:B813)</f>
        <v>20</v>
      </c>
      <c r="C814" s="14">
        <f>SUM(C790:C813)</f>
        <v>10</v>
      </c>
      <c r="D814" s="14">
        <f>SUM(D790:D813)</f>
        <v>11</v>
      </c>
      <c r="E814" s="14">
        <f>SUM(E790:E813)</f>
        <v>8</v>
      </c>
      <c r="F814" s="15">
        <f>SUM(B814:E814)</f>
        <v>49</v>
      </c>
      <c r="H814" s="3" t="s">
        <v>5</v>
      </c>
      <c r="I814" s="14">
        <f>SUM(I790:I813)</f>
        <v>106</v>
      </c>
      <c r="J814" s="14">
        <f>SUM(J790:J813)</f>
        <v>101</v>
      </c>
      <c r="K814" s="14">
        <f>SUM(K790:K813)</f>
        <v>49</v>
      </c>
      <c r="L814" s="14">
        <f>SUM(L790:L813)</f>
        <v>21</v>
      </c>
      <c r="M814" s="15">
        <f>SUM(I814:L814)</f>
        <v>277</v>
      </c>
    </row>
    <row r="815" spans="1:14" ht="14.25" thickBot="1" x14ac:dyDescent="0.2">
      <c r="A815" s="25" t="s">
        <v>6</v>
      </c>
      <c r="B815" s="26">
        <f>B789-B814</f>
        <v>0</v>
      </c>
      <c r="C815" s="26">
        <f t="shared" ref="C815:F815" si="195">C789-C814</f>
        <v>14</v>
      </c>
      <c r="D815" s="26">
        <f t="shared" si="195"/>
        <v>0</v>
      </c>
      <c r="E815" s="26">
        <f t="shared" si="195"/>
        <v>7</v>
      </c>
      <c r="F815" s="24">
        <f t="shared" si="195"/>
        <v>21</v>
      </c>
      <c r="H815" s="25" t="s">
        <v>6</v>
      </c>
      <c r="I815" s="26">
        <f>I789-I814</f>
        <v>702</v>
      </c>
      <c r="J815" s="26">
        <f t="shared" ref="J815:M815" si="196">J789-J814</f>
        <v>751</v>
      </c>
      <c r="K815" s="26">
        <f t="shared" si="196"/>
        <v>697</v>
      </c>
      <c r="L815" s="26">
        <f t="shared" si="196"/>
        <v>406</v>
      </c>
      <c r="M815" s="24">
        <f t="shared" si="196"/>
        <v>2556</v>
      </c>
    </row>
    <row r="818" spans="1:14" ht="21.75" thickBot="1" x14ac:dyDescent="0.25">
      <c r="A818" s="29" t="s">
        <v>13</v>
      </c>
      <c r="B818" s="1"/>
      <c r="C818" s="1"/>
      <c r="D818" s="1"/>
      <c r="E818" s="1"/>
      <c r="F818" s="1"/>
      <c r="H818" s="29" t="s">
        <v>14</v>
      </c>
      <c r="I818" s="1"/>
      <c r="J818" s="1"/>
      <c r="K818" s="1"/>
      <c r="L818" s="1"/>
      <c r="M818" s="1"/>
    </row>
    <row r="819" spans="1:14" ht="14.25" thickBot="1" x14ac:dyDescent="0.2">
      <c r="A819" s="2" t="s">
        <v>0</v>
      </c>
      <c r="B819" s="164" t="s">
        <v>12</v>
      </c>
      <c r="C819" s="165"/>
      <c r="D819" s="165"/>
      <c r="E819" s="165"/>
      <c r="F819" s="117"/>
      <c r="H819" s="2" t="s">
        <v>0</v>
      </c>
      <c r="I819" s="164" t="s">
        <v>12</v>
      </c>
      <c r="J819" s="165"/>
      <c r="K819" s="165"/>
      <c r="L819" s="165"/>
      <c r="M819" s="117"/>
    </row>
    <row r="820" spans="1:14" ht="14.25" thickBot="1" x14ac:dyDescent="0.2">
      <c r="A820" s="2" t="s">
        <v>1</v>
      </c>
      <c r="B820" s="3" t="s">
        <v>7</v>
      </c>
      <c r="C820" s="2" t="s">
        <v>8</v>
      </c>
      <c r="D820" s="19" t="s">
        <v>9</v>
      </c>
      <c r="E820" s="2" t="s">
        <v>11</v>
      </c>
      <c r="F820" s="2" t="s">
        <v>2</v>
      </c>
      <c r="H820" s="2" t="s">
        <v>1</v>
      </c>
      <c r="I820" s="3" t="s">
        <v>7</v>
      </c>
      <c r="J820" s="2" t="s">
        <v>8</v>
      </c>
      <c r="K820" s="19" t="s">
        <v>9</v>
      </c>
      <c r="L820" s="2" t="s">
        <v>11</v>
      </c>
      <c r="M820" s="2" t="s">
        <v>2</v>
      </c>
    </row>
    <row r="821" spans="1:14" x14ac:dyDescent="0.15">
      <c r="A821" s="27" t="s">
        <v>6</v>
      </c>
      <c r="B821" s="18">
        <f>B815</f>
        <v>0</v>
      </c>
      <c r="C821" s="20">
        <f>C815</f>
        <v>14</v>
      </c>
      <c r="D821" s="55">
        <f>D815</f>
        <v>0</v>
      </c>
      <c r="E821" s="20">
        <f>E815</f>
        <v>7</v>
      </c>
      <c r="F821" s="17">
        <f>SUM(B821:E821)</f>
        <v>21</v>
      </c>
      <c r="H821" s="27" t="s">
        <v>6</v>
      </c>
      <c r="I821" s="18">
        <f>I815</f>
        <v>702</v>
      </c>
      <c r="J821" s="20">
        <f>J815</f>
        <v>751</v>
      </c>
      <c r="K821" s="55">
        <f>K815</f>
        <v>697</v>
      </c>
      <c r="L821" s="58">
        <f>L815</f>
        <v>406</v>
      </c>
      <c r="M821" s="17">
        <f>SUM(I821:L821)</f>
        <v>2556</v>
      </c>
    </row>
    <row r="822" spans="1:14" x14ac:dyDescent="0.15">
      <c r="A822" s="6" t="s">
        <v>3</v>
      </c>
      <c r="B822" s="16">
        <v>5</v>
      </c>
      <c r="C822" s="11"/>
      <c r="D822" s="16">
        <v>5</v>
      </c>
      <c r="E822" s="4">
        <v>5</v>
      </c>
      <c r="F822" s="5">
        <f t="shared" ref="F822:F831" si="197">SUM(B822:E822)</f>
        <v>15</v>
      </c>
      <c r="G822" s="39">
        <v>45078</v>
      </c>
      <c r="H822" s="6" t="s">
        <v>3</v>
      </c>
      <c r="I822" s="16"/>
      <c r="J822" s="11"/>
      <c r="K822" s="16"/>
      <c r="L822" s="4"/>
      <c r="M822" s="5">
        <f t="shared" ref="M822:M831" si="198">SUM(I822:L822)</f>
        <v>0</v>
      </c>
    </row>
    <row r="823" spans="1:14" x14ac:dyDescent="0.15">
      <c r="A823" s="6" t="s">
        <v>131</v>
      </c>
      <c r="B823" s="16"/>
      <c r="C823" s="11">
        <v>2</v>
      </c>
      <c r="D823" s="16">
        <v>3</v>
      </c>
      <c r="E823" s="4">
        <v>1</v>
      </c>
      <c r="F823" s="5">
        <f t="shared" si="197"/>
        <v>6</v>
      </c>
      <c r="G823" s="39">
        <v>45091</v>
      </c>
      <c r="H823" s="6" t="s">
        <v>3</v>
      </c>
      <c r="I823" s="16"/>
      <c r="J823" s="11"/>
      <c r="K823" s="16"/>
      <c r="L823" s="4"/>
      <c r="M823" s="5">
        <f t="shared" si="198"/>
        <v>0</v>
      </c>
    </row>
    <row r="824" spans="1:14" x14ac:dyDescent="0.15">
      <c r="A824" s="6" t="s">
        <v>3</v>
      </c>
      <c r="B824" s="16">
        <v>10</v>
      </c>
      <c r="C824" s="11"/>
      <c r="D824" s="16">
        <v>10</v>
      </c>
      <c r="E824" s="4"/>
      <c r="F824" s="5">
        <f t="shared" si="197"/>
        <v>20</v>
      </c>
      <c r="G824" s="39">
        <v>45092</v>
      </c>
      <c r="H824" s="6" t="s">
        <v>3</v>
      </c>
      <c r="I824" s="31"/>
      <c r="J824" s="32"/>
      <c r="K824" s="31"/>
      <c r="L824" s="52"/>
      <c r="M824" s="5">
        <f t="shared" si="198"/>
        <v>0</v>
      </c>
      <c r="N824" s="41"/>
    </row>
    <row r="825" spans="1:14" x14ac:dyDescent="0.15">
      <c r="A825" s="6" t="s">
        <v>3</v>
      </c>
      <c r="B825" s="16">
        <v>10</v>
      </c>
      <c r="C825" s="11">
        <v>10</v>
      </c>
      <c r="D825" s="16"/>
      <c r="E825" s="4"/>
      <c r="F825" s="5">
        <f t="shared" si="197"/>
        <v>20</v>
      </c>
      <c r="G825" s="39">
        <v>45094</v>
      </c>
      <c r="H825" s="6" t="s">
        <v>3</v>
      </c>
      <c r="I825" s="38"/>
      <c r="J825" s="32"/>
      <c r="K825" s="31"/>
      <c r="L825" s="52"/>
      <c r="M825" s="5">
        <f t="shared" si="198"/>
        <v>0</v>
      </c>
      <c r="N825" s="41"/>
    </row>
    <row r="826" spans="1:14" x14ac:dyDescent="0.15">
      <c r="A826" s="6" t="s">
        <v>338</v>
      </c>
      <c r="B826" s="16"/>
      <c r="C826" s="11"/>
      <c r="D826" s="16"/>
      <c r="E826" s="4">
        <v>2</v>
      </c>
      <c r="F826" s="5">
        <f t="shared" si="197"/>
        <v>2</v>
      </c>
      <c r="G826" s="71">
        <v>45096</v>
      </c>
      <c r="H826" s="6" t="s">
        <v>3</v>
      </c>
      <c r="I826" s="31"/>
      <c r="J826" s="32"/>
      <c r="K826" s="31"/>
      <c r="L826" s="52"/>
      <c r="M826" s="5">
        <f t="shared" ref="M826" si="199">SUM(I826:L826)</f>
        <v>0</v>
      </c>
      <c r="N826" s="41"/>
    </row>
    <row r="827" spans="1:14" x14ac:dyDescent="0.15">
      <c r="A827" s="6" t="s">
        <v>3</v>
      </c>
      <c r="B827" s="16"/>
      <c r="C827" s="11"/>
      <c r="D827" s="16"/>
      <c r="E827" s="4"/>
      <c r="F827" s="5">
        <f t="shared" si="197"/>
        <v>0</v>
      </c>
      <c r="H827" s="6" t="s">
        <v>315</v>
      </c>
      <c r="I827" s="38">
        <v>350</v>
      </c>
      <c r="J827" s="32">
        <v>450</v>
      </c>
      <c r="K827" s="31">
        <v>150</v>
      </c>
      <c r="L827" s="52">
        <v>50</v>
      </c>
      <c r="M827" s="5">
        <f t="shared" si="198"/>
        <v>1000</v>
      </c>
      <c r="N827" s="39" t="s">
        <v>439</v>
      </c>
    </row>
    <row r="828" spans="1:14" x14ac:dyDescent="0.15">
      <c r="A828" s="6" t="s">
        <v>3</v>
      </c>
      <c r="B828" s="31"/>
      <c r="C828" s="32"/>
      <c r="D828" s="31"/>
      <c r="E828" s="52"/>
      <c r="F828" s="5">
        <f t="shared" si="197"/>
        <v>0</v>
      </c>
      <c r="H828" s="6" t="s">
        <v>155</v>
      </c>
      <c r="I828" s="31">
        <v>2</v>
      </c>
      <c r="J828" s="32">
        <v>3</v>
      </c>
      <c r="K828" s="31">
        <v>-2</v>
      </c>
      <c r="L828" s="52">
        <v>7</v>
      </c>
      <c r="M828" s="5">
        <f t="shared" ref="M828" si="200">SUM(I828:L828)</f>
        <v>10</v>
      </c>
      <c r="N828" s="39">
        <v>45083</v>
      </c>
    </row>
    <row r="829" spans="1:14" x14ac:dyDescent="0.15">
      <c r="A829" s="6" t="s">
        <v>3</v>
      </c>
      <c r="B829" s="10"/>
      <c r="C829" s="9"/>
      <c r="D829" s="10"/>
      <c r="E829" s="49"/>
      <c r="F829" s="5">
        <f t="shared" si="197"/>
        <v>0</v>
      </c>
      <c r="H829" s="6" t="s">
        <v>3</v>
      </c>
      <c r="I829" s="31"/>
      <c r="J829" s="32"/>
      <c r="K829" s="31"/>
      <c r="L829" s="52"/>
      <c r="M829" s="5">
        <f t="shared" si="198"/>
        <v>0</v>
      </c>
      <c r="N829" s="41"/>
    </row>
    <row r="830" spans="1:14" x14ac:dyDescent="0.15">
      <c r="A830" s="6" t="s">
        <v>3</v>
      </c>
      <c r="B830" s="31"/>
      <c r="C830" s="32"/>
      <c r="D830" s="31"/>
      <c r="E830" s="52"/>
      <c r="F830" s="5">
        <f t="shared" si="197"/>
        <v>0</v>
      </c>
      <c r="H830" s="6" t="s">
        <v>3</v>
      </c>
      <c r="I830" s="34"/>
      <c r="J830" s="35"/>
      <c r="K830" s="34"/>
      <c r="L830" s="32"/>
      <c r="M830" s="5">
        <f t="shared" si="198"/>
        <v>0</v>
      </c>
      <c r="N830" s="41"/>
    </row>
    <row r="831" spans="1:14" ht="14.25" thickBot="1" x14ac:dyDescent="0.2">
      <c r="A831" s="6" t="s">
        <v>3</v>
      </c>
      <c r="B831" s="13"/>
      <c r="C831" s="12"/>
      <c r="D831" s="13"/>
      <c r="E831" s="50"/>
      <c r="F831" s="5">
        <f t="shared" si="197"/>
        <v>0</v>
      </c>
      <c r="H831" s="6" t="s">
        <v>3</v>
      </c>
      <c r="I831" s="34"/>
      <c r="J831" s="35"/>
      <c r="K831" s="34"/>
      <c r="L831" s="53"/>
      <c r="M831" s="5">
        <f t="shared" si="198"/>
        <v>0</v>
      </c>
    </row>
    <row r="832" spans="1:14" ht="14.25" thickBot="1" x14ac:dyDescent="0.2">
      <c r="A832" s="21" t="s">
        <v>4</v>
      </c>
      <c r="B832" s="22">
        <f>SUM(B821:B831)</f>
        <v>25</v>
      </c>
      <c r="C832" s="22">
        <f>SUM(C821:C831)</f>
        <v>26</v>
      </c>
      <c r="D832" s="23">
        <f>SUM(D821:D831)</f>
        <v>18</v>
      </c>
      <c r="E832" s="23">
        <f>SUM(E821:E831)</f>
        <v>15</v>
      </c>
      <c r="F832" s="24">
        <f>SUM(B832:E832)</f>
        <v>84</v>
      </c>
      <c r="H832" s="21" t="s">
        <v>4</v>
      </c>
      <c r="I832" s="22">
        <f>SUM(I821:I831)</f>
        <v>1054</v>
      </c>
      <c r="J832" s="22">
        <f>SUM(J821:J831)</f>
        <v>1204</v>
      </c>
      <c r="K832" s="23">
        <f>SUM(K821:K831)</f>
        <v>845</v>
      </c>
      <c r="L832" s="23">
        <f>SUM(L821:L831)</f>
        <v>463</v>
      </c>
      <c r="M832" s="24">
        <f>SUM(I832:L832)</f>
        <v>3566</v>
      </c>
    </row>
    <row r="833" spans="1:14" x14ac:dyDescent="0.15">
      <c r="A833" s="4" t="s">
        <v>200</v>
      </c>
      <c r="B833" s="8"/>
      <c r="C833" s="9"/>
      <c r="D833" s="10">
        <v>2</v>
      </c>
      <c r="E833" s="49"/>
      <c r="F833" s="5">
        <f>SUM(B833:E833)</f>
        <v>2</v>
      </c>
      <c r="G833" s="39">
        <v>45084</v>
      </c>
      <c r="H833" s="4" t="s">
        <v>448</v>
      </c>
      <c r="I833" s="8">
        <v>390</v>
      </c>
      <c r="J833" s="9">
        <v>400</v>
      </c>
      <c r="K833" s="10">
        <v>150</v>
      </c>
      <c r="L833" s="9">
        <v>0</v>
      </c>
      <c r="M833" s="7">
        <f>SUM(I833:L833)</f>
        <v>940</v>
      </c>
      <c r="N833" s="39">
        <v>45090</v>
      </c>
    </row>
    <row r="834" spans="1:14" x14ac:dyDescent="0.15">
      <c r="A834" s="4" t="s">
        <v>34</v>
      </c>
      <c r="B834" s="8">
        <v>1</v>
      </c>
      <c r="C834" s="9"/>
      <c r="D834" s="10"/>
      <c r="E834" s="49"/>
      <c r="F834" s="5">
        <f t="shared" ref="F834:F856" si="201">SUM(B834:E834)</f>
        <v>1</v>
      </c>
      <c r="G834" s="39">
        <v>45089</v>
      </c>
      <c r="H834" s="4" t="s">
        <v>420</v>
      </c>
      <c r="I834" s="80">
        <v>20</v>
      </c>
      <c r="J834" s="49">
        <v>20</v>
      </c>
      <c r="K834" s="78"/>
      <c r="L834" s="9"/>
      <c r="M834" s="7">
        <f t="shared" ref="M834:M851" si="202">SUM(I834:L834)</f>
        <v>40</v>
      </c>
      <c r="N834" s="39">
        <v>45082</v>
      </c>
    </row>
    <row r="835" spans="1:14" x14ac:dyDescent="0.15">
      <c r="A835" s="4" t="s">
        <v>34</v>
      </c>
      <c r="B835" s="8">
        <v>2</v>
      </c>
      <c r="C835" s="9"/>
      <c r="D835" s="10"/>
      <c r="E835" s="49"/>
      <c r="F835" s="5">
        <f t="shared" si="201"/>
        <v>2</v>
      </c>
      <c r="G835" s="39">
        <v>45090</v>
      </c>
      <c r="H835" s="4" t="s">
        <v>422</v>
      </c>
      <c r="I835" s="8"/>
      <c r="J835" s="9">
        <v>40</v>
      </c>
      <c r="K835" s="10"/>
      <c r="L835" s="49"/>
      <c r="M835" s="7">
        <f t="shared" ref="M835" si="203">SUM(I835:L835)</f>
        <v>40</v>
      </c>
      <c r="N835" s="39">
        <v>45079</v>
      </c>
    </row>
    <row r="836" spans="1:14" x14ac:dyDescent="0.15">
      <c r="A836" s="4" t="s">
        <v>459</v>
      </c>
      <c r="B836" s="8"/>
      <c r="C836" s="9">
        <v>5</v>
      </c>
      <c r="D836" s="10"/>
      <c r="E836" s="9"/>
      <c r="F836" s="7">
        <f t="shared" si="201"/>
        <v>5</v>
      </c>
      <c r="G836" s="39">
        <v>45093</v>
      </c>
      <c r="H836" s="4" t="s">
        <v>200</v>
      </c>
      <c r="I836" s="8">
        <v>18</v>
      </c>
      <c r="J836" s="9">
        <v>4</v>
      </c>
      <c r="K836" s="10">
        <v>4</v>
      </c>
      <c r="L836" s="49">
        <v>2</v>
      </c>
      <c r="M836" s="7">
        <f t="shared" si="202"/>
        <v>28</v>
      </c>
      <c r="N836" s="39">
        <v>45077</v>
      </c>
    </row>
    <row r="837" spans="1:14" x14ac:dyDescent="0.15">
      <c r="A837" s="4" t="s">
        <v>440</v>
      </c>
      <c r="B837" s="8">
        <v>10</v>
      </c>
      <c r="C837" s="9"/>
      <c r="D837" s="10"/>
      <c r="E837" s="49"/>
      <c r="F837" s="5">
        <f t="shared" si="201"/>
        <v>10</v>
      </c>
      <c r="G837" s="39">
        <v>45097</v>
      </c>
      <c r="H837" s="4" t="s">
        <v>423</v>
      </c>
      <c r="I837" s="8">
        <v>22</v>
      </c>
      <c r="J837" s="9"/>
      <c r="K837" s="10"/>
      <c r="L837" s="49"/>
      <c r="M837" s="7">
        <f t="shared" si="202"/>
        <v>22</v>
      </c>
      <c r="N837" s="39">
        <v>45082</v>
      </c>
    </row>
    <row r="838" spans="1:14" x14ac:dyDescent="0.15">
      <c r="A838" s="4" t="s">
        <v>442</v>
      </c>
      <c r="B838" s="8"/>
      <c r="C838" s="9">
        <v>4</v>
      </c>
      <c r="D838" s="10"/>
      <c r="E838" s="9"/>
      <c r="F838" s="5">
        <f t="shared" si="201"/>
        <v>4</v>
      </c>
      <c r="G838" s="39">
        <v>45099</v>
      </c>
      <c r="H838" s="4" t="s">
        <v>424</v>
      </c>
      <c r="I838" s="8">
        <v>40</v>
      </c>
      <c r="J838" s="9"/>
      <c r="K838" s="10">
        <v>20</v>
      </c>
      <c r="L838" s="9"/>
      <c r="M838" s="7">
        <f t="shared" si="202"/>
        <v>60</v>
      </c>
      <c r="N838" s="39">
        <v>45089</v>
      </c>
    </row>
    <row r="839" spans="1:14" x14ac:dyDescent="0.15">
      <c r="A839" s="11" t="s">
        <v>39</v>
      </c>
      <c r="B839" s="8"/>
      <c r="C839" s="9">
        <v>2</v>
      </c>
      <c r="D839" s="10"/>
      <c r="E839" s="9"/>
      <c r="F839" s="5">
        <f t="shared" ref="F839" si="204">SUM(B839:E839)</f>
        <v>2</v>
      </c>
      <c r="G839" s="39">
        <v>45097</v>
      </c>
      <c r="H839" s="4" t="s">
        <v>431</v>
      </c>
      <c r="I839" s="8">
        <v>6</v>
      </c>
      <c r="J839" s="9">
        <v>6</v>
      </c>
      <c r="K839" s="10">
        <v>6</v>
      </c>
      <c r="L839" s="9"/>
      <c r="M839" s="7">
        <f t="shared" si="202"/>
        <v>18</v>
      </c>
      <c r="N839" s="39">
        <v>45080</v>
      </c>
    </row>
    <row r="840" spans="1:14" x14ac:dyDescent="0.15">
      <c r="A840" s="4"/>
      <c r="B840" s="8"/>
      <c r="C840" s="9"/>
      <c r="D840" s="10"/>
      <c r="E840" s="9"/>
      <c r="F840" s="5">
        <f t="shared" si="201"/>
        <v>0</v>
      </c>
      <c r="G840" s="41"/>
      <c r="H840" s="11" t="s">
        <v>26</v>
      </c>
      <c r="I840" s="8">
        <v>5</v>
      </c>
      <c r="J840" s="9"/>
      <c r="K840" s="10">
        <v>5</v>
      </c>
      <c r="L840" s="9">
        <v>5</v>
      </c>
      <c r="M840" s="7">
        <f t="shared" si="202"/>
        <v>15</v>
      </c>
      <c r="N840" s="39">
        <v>45078</v>
      </c>
    </row>
    <row r="841" spans="1:14" x14ac:dyDescent="0.15">
      <c r="A841" s="4"/>
      <c r="B841" s="8"/>
      <c r="C841" s="9"/>
      <c r="D841" s="10"/>
      <c r="E841" s="9"/>
      <c r="F841" s="5">
        <f t="shared" si="201"/>
        <v>0</v>
      </c>
      <c r="G841" s="41"/>
      <c r="H841" s="4" t="s">
        <v>432</v>
      </c>
      <c r="I841" s="8">
        <v>7</v>
      </c>
      <c r="J841" s="9"/>
      <c r="K841" s="10">
        <v>3</v>
      </c>
      <c r="L841" s="9"/>
      <c r="M841" s="7">
        <f t="shared" si="202"/>
        <v>10</v>
      </c>
      <c r="N841" s="39">
        <v>45082</v>
      </c>
    </row>
    <row r="842" spans="1:14" x14ac:dyDescent="0.15">
      <c r="A842" s="4"/>
      <c r="B842" s="8"/>
      <c r="C842" s="9"/>
      <c r="D842" s="10"/>
      <c r="E842" s="9"/>
      <c r="F842" s="5">
        <f t="shared" si="201"/>
        <v>0</v>
      </c>
      <c r="H842" s="4" t="s">
        <v>200</v>
      </c>
      <c r="I842" s="8"/>
      <c r="J842" s="9">
        <v>6</v>
      </c>
      <c r="K842" s="10"/>
      <c r="L842" s="9"/>
      <c r="M842" s="7">
        <f t="shared" si="202"/>
        <v>6</v>
      </c>
      <c r="N842" s="39">
        <v>45082</v>
      </c>
    </row>
    <row r="843" spans="1:14" x14ac:dyDescent="0.15">
      <c r="A843" s="4"/>
      <c r="B843" s="8"/>
      <c r="C843" s="9"/>
      <c r="D843" s="10"/>
      <c r="E843" s="9"/>
      <c r="F843" s="5">
        <f t="shared" si="201"/>
        <v>0</v>
      </c>
      <c r="H843" s="4" t="s">
        <v>434</v>
      </c>
      <c r="I843" s="8"/>
      <c r="J843" s="9"/>
      <c r="K843" s="10"/>
      <c r="L843" s="9">
        <v>20</v>
      </c>
      <c r="M843" s="7">
        <f t="shared" si="202"/>
        <v>20</v>
      </c>
      <c r="N843" s="39">
        <v>45084</v>
      </c>
    </row>
    <row r="844" spans="1:14" x14ac:dyDescent="0.15">
      <c r="A844" s="4"/>
      <c r="B844" s="8"/>
      <c r="C844" s="9"/>
      <c r="D844" s="10"/>
      <c r="E844" s="9"/>
      <c r="F844" s="5">
        <f t="shared" si="201"/>
        <v>0</v>
      </c>
      <c r="H844" s="4" t="s">
        <v>200</v>
      </c>
      <c r="I844" s="8"/>
      <c r="J844" s="9">
        <v>6</v>
      </c>
      <c r="K844" s="10">
        <v>2</v>
      </c>
      <c r="L844" s="9">
        <v>2</v>
      </c>
      <c r="M844" s="7">
        <f t="shared" si="202"/>
        <v>10</v>
      </c>
      <c r="N844" s="39">
        <v>45083</v>
      </c>
    </row>
    <row r="845" spans="1:14" x14ac:dyDescent="0.15">
      <c r="A845" s="4"/>
      <c r="B845" s="8"/>
      <c r="C845" s="9"/>
      <c r="D845" s="10"/>
      <c r="E845" s="9"/>
      <c r="F845" s="5">
        <f t="shared" si="201"/>
        <v>0</v>
      </c>
      <c r="H845" s="4" t="s">
        <v>421</v>
      </c>
      <c r="I845" s="8"/>
      <c r="J845" s="9"/>
      <c r="K845" s="10">
        <v>6</v>
      </c>
      <c r="L845" s="9"/>
      <c r="M845" s="7">
        <f t="shared" si="202"/>
        <v>6</v>
      </c>
      <c r="N845" s="39">
        <v>45089</v>
      </c>
    </row>
    <row r="846" spans="1:14" x14ac:dyDescent="0.15">
      <c r="A846" s="4"/>
      <c r="B846" s="8"/>
      <c r="C846" s="9"/>
      <c r="D846" s="10"/>
      <c r="E846" s="9"/>
      <c r="F846" s="5">
        <f t="shared" si="201"/>
        <v>0</v>
      </c>
      <c r="H846" s="4" t="s">
        <v>437</v>
      </c>
      <c r="I846" s="8"/>
      <c r="J846" s="9">
        <v>30</v>
      </c>
      <c r="K846" s="10"/>
      <c r="L846" s="9">
        <v>40</v>
      </c>
      <c r="M846" s="7">
        <f t="shared" si="202"/>
        <v>70</v>
      </c>
      <c r="N846" s="39">
        <v>45086</v>
      </c>
    </row>
    <row r="847" spans="1:14" x14ac:dyDescent="0.15">
      <c r="A847" s="4"/>
      <c r="B847" s="8"/>
      <c r="C847" s="9"/>
      <c r="D847" s="10"/>
      <c r="E847" s="9"/>
      <c r="F847" s="5">
        <f t="shared" si="201"/>
        <v>0</v>
      </c>
      <c r="H847" s="4" t="s">
        <v>438</v>
      </c>
      <c r="I847" s="8">
        <v>20</v>
      </c>
      <c r="J847" s="9">
        <v>20</v>
      </c>
      <c r="K847" s="10">
        <v>20</v>
      </c>
      <c r="L847" s="9"/>
      <c r="M847" s="7">
        <f t="shared" si="202"/>
        <v>60</v>
      </c>
      <c r="N847" s="39">
        <v>45097</v>
      </c>
    </row>
    <row r="848" spans="1:14" x14ac:dyDescent="0.15">
      <c r="A848" s="4"/>
      <c r="B848" s="8"/>
      <c r="C848" s="9"/>
      <c r="D848" s="10"/>
      <c r="E848" s="9"/>
      <c r="F848" s="5">
        <f t="shared" si="201"/>
        <v>0</v>
      </c>
      <c r="H848" s="4" t="s">
        <v>200</v>
      </c>
      <c r="I848" s="8"/>
      <c r="J848" s="9">
        <v>4</v>
      </c>
      <c r="K848" s="10"/>
      <c r="L848" s="9"/>
      <c r="M848" s="7">
        <f t="shared" si="202"/>
        <v>4</v>
      </c>
      <c r="N848" s="39">
        <v>45090</v>
      </c>
    </row>
    <row r="849" spans="1:19" x14ac:dyDescent="0.15">
      <c r="A849" s="11"/>
      <c r="B849" s="8"/>
      <c r="C849" s="9"/>
      <c r="D849" s="10"/>
      <c r="E849" s="9"/>
      <c r="F849" s="5">
        <f t="shared" si="201"/>
        <v>0</v>
      </c>
      <c r="H849" s="11" t="s">
        <v>26</v>
      </c>
      <c r="I849" s="8">
        <v>10</v>
      </c>
      <c r="J849" s="9"/>
      <c r="K849" s="10">
        <v>10</v>
      </c>
      <c r="L849" s="9"/>
      <c r="M849" s="7">
        <f t="shared" si="202"/>
        <v>20</v>
      </c>
      <c r="N849" s="39">
        <v>45092</v>
      </c>
    </row>
    <row r="850" spans="1:19" x14ac:dyDescent="0.15">
      <c r="A850" s="4"/>
      <c r="B850" s="8"/>
      <c r="C850" s="9"/>
      <c r="D850" s="10"/>
      <c r="E850" s="9"/>
      <c r="F850" s="5">
        <f t="shared" si="201"/>
        <v>0</v>
      </c>
      <c r="H850" s="4" t="s">
        <v>428</v>
      </c>
      <c r="I850" s="8">
        <v>3</v>
      </c>
      <c r="J850" s="9">
        <v>1</v>
      </c>
      <c r="K850" s="10"/>
      <c r="L850" s="9">
        <v>1</v>
      </c>
      <c r="M850" s="7">
        <f t="shared" si="202"/>
        <v>5</v>
      </c>
      <c r="N850" s="39">
        <v>45100</v>
      </c>
    </row>
    <row r="851" spans="1:19" x14ac:dyDescent="0.15">
      <c r="A851" s="4"/>
      <c r="B851" s="8"/>
      <c r="C851" s="9"/>
      <c r="D851" s="10"/>
      <c r="E851" s="9"/>
      <c r="F851" s="5">
        <f t="shared" si="201"/>
        <v>0</v>
      </c>
      <c r="H851" s="11" t="s">
        <v>26</v>
      </c>
      <c r="I851" s="8">
        <v>10</v>
      </c>
      <c r="J851" s="9">
        <v>15</v>
      </c>
      <c r="K851" s="10"/>
      <c r="L851" s="9"/>
      <c r="M851" s="7">
        <f t="shared" si="202"/>
        <v>25</v>
      </c>
      <c r="N851" s="39">
        <v>45094</v>
      </c>
    </row>
    <row r="852" spans="1:19" x14ac:dyDescent="0.15">
      <c r="A852" s="4"/>
      <c r="B852" s="8"/>
      <c r="C852" s="9"/>
      <c r="D852" s="10"/>
      <c r="E852" s="9"/>
      <c r="F852" s="5">
        <f t="shared" si="201"/>
        <v>0</v>
      </c>
      <c r="H852" s="4" t="s">
        <v>441</v>
      </c>
      <c r="I852" s="8"/>
      <c r="J852" s="9"/>
      <c r="K852" s="10">
        <v>2</v>
      </c>
      <c r="L852" s="9"/>
      <c r="M852" s="7">
        <f t="shared" ref="M852:M853" si="205">SUM(I852:L852)</f>
        <v>2</v>
      </c>
      <c r="N852" s="39">
        <v>45098</v>
      </c>
    </row>
    <row r="853" spans="1:19" x14ac:dyDescent="0.15">
      <c r="A853" s="11"/>
      <c r="B853" s="8"/>
      <c r="C853" s="9"/>
      <c r="D853" s="10"/>
      <c r="E853" s="9"/>
      <c r="F853" s="5">
        <f t="shared" si="201"/>
        <v>0</v>
      </c>
      <c r="H853" s="4"/>
      <c r="I853" s="8"/>
      <c r="J853" s="9"/>
      <c r="K853" s="10"/>
      <c r="L853" s="9"/>
      <c r="M853" s="7">
        <f t="shared" si="205"/>
        <v>0</v>
      </c>
    </row>
    <row r="854" spans="1:19" x14ac:dyDescent="0.15">
      <c r="A854" s="4"/>
      <c r="B854" s="8"/>
      <c r="C854" s="9"/>
      <c r="D854" s="10"/>
      <c r="E854" s="9"/>
      <c r="F854" s="5">
        <f t="shared" si="201"/>
        <v>0</v>
      </c>
      <c r="H854" s="4" t="s">
        <v>384</v>
      </c>
      <c r="I854" s="8"/>
      <c r="J854" s="9"/>
      <c r="K854" s="10"/>
      <c r="L854" s="9"/>
      <c r="M854" s="7">
        <f t="shared" ref="M854:M855" si="206">SUM(I854:L854)</f>
        <v>0</v>
      </c>
      <c r="N854" s="41" t="s">
        <v>385</v>
      </c>
    </row>
    <row r="855" spans="1:19" x14ac:dyDescent="0.15">
      <c r="A855" s="11"/>
      <c r="B855" s="8"/>
      <c r="C855" s="9"/>
      <c r="D855" s="10"/>
      <c r="E855" s="9"/>
      <c r="F855" s="5">
        <f t="shared" si="201"/>
        <v>0</v>
      </c>
      <c r="H855" s="4" t="s">
        <v>382</v>
      </c>
      <c r="I855" s="8"/>
      <c r="J855" s="9"/>
      <c r="K855" s="10"/>
      <c r="L855" s="9"/>
      <c r="M855" s="7">
        <f t="shared" si="206"/>
        <v>0</v>
      </c>
      <c r="N855" s="41" t="s">
        <v>383</v>
      </c>
    </row>
    <row r="856" spans="1:19" ht="14.25" thickBot="1" x14ac:dyDescent="0.2">
      <c r="A856" s="11"/>
      <c r="B856" s="8"/>
      <c r="C856" s="9"/>
      <c r="D856" s="10"/>
      <c r="E856" s="9"/>
      <c r="F856" s="5">
        <f t="shared" si="201"/>
        <v>0</v>
      </c>
      <c r="H856" s="4" t="s">
        <v>378</v>
      </c>
      <c r="I856" s="8"/>
      <c r="J856" s="9"/>
      <c r="K856" s="9"/>
      <c r="L856" s="12"/>
      <c r="M856" s="7">
        <f t="shared" ref="M856" si="207">SUM(I856:L856)</f>
        <v>0</v>
      </c>
      <c r="N856" s="41" t="s">
        <v>379</v>
      </c>
    </row>
    <row r="857" spans="1:19" ht="14.25" thickBot="1" x14ac:dyDescent="0.2">
      <c r="A857" s="3" t="s">
        <v>5</v>
      </c>
      <c r="B857" s="14">
        <f>SUM(B833:B856)</f>
        <v>13</v>
      </c>
      <c r="C857" s="14">
        <f>SUM(C833:C856)</f>
        <v>11</v>
      </c>
      <c r="D857" s="14">
        <f>SUM(D833:D856)</f>
        <v>2</v>
      </c>
      <c r="E857" s="14">
        <f>SUM(E833:E856)</f>
        <v>0</v>
      </c>
      <c r="F857" s="15">
        <f>SUM(B857:E857)</f>
        <v>26</v>
      </c>
      <c r="H857" s="3" t="s">
        <v>5</v>
      </c>
      <c r="I857" s="14">
        <f>SUM(I833:I856)</f>
        <v>551</v>
      </c>
      <c r="J857" s="14">
        <f>SUM(J833:J856)</f>
        <v>552</v>
      </c>
      <c r="K857" s="14">
        <f>SUM(K833:K856)</f>
        <v>228</v>
      </c>
      <c r="L857" s="14">
        <f>SUM(L833:L856)</f>
        <v>70</v>
      </c>
      <c r="M857" s="15">
        <f>SUM(I857:L857)</f>
        <v>1401</v>
      </c>
    </row>
    <row r="858" spans="1:19" ht="14.25" thickBot="1" x14ac:dyDescent="0.2">
      <c r="A858" s="25" t="s">
        <v>6</v>
      </c>
      <c r="B858" s="26">
        <f>B832-B857</f>
        <v>12</v>
      </c>
      <c r="C858" s="26">
        <f t="shared" ref="C858:F858" si="208">C832-C857</f>
        <v>15</v>
      </c>
      <c r="D858" s="26">
        <f t="shared" si="208"/>
        <v>16</v>
      </c>
      <c r="E858" s="26">
        <f t="shared" si="208"/>
        <v>15</v>
      </c>
      <c r="F858" s="24">
        <f t="shared" si="208"/>
        <v>58</v>
      </c>
      <c r="H858" s="25" t="s">
        <v>6</v>
      </c>
      <c r="I858" s="26">
        <f>I832-I857</f>
        <v>503</v>
      </c>
      <c r="J858" s="26">
        <f t="shared" ref="J858:M858" si="209">J832-J857</f>
        <v>652</v>
      </c>
      <c r="K858" s="26">
        <f t="shared" si="209"/>
        <v>617</v>
      </c>
      <c r="L858" s="26">
        <f t="shared" si="209"/>
        <v>393</v>
      </c>
      <c r="M858" s="24">
        <f t="shared" si="209"/>
        <v>2165</v>
      </c>
      <c r="N858" s="118"/>
      <c r="O858" s="1"/>
      <c r="P858" s="1"/>
      <c r="Q858" s="1"/>
      <c r="R858" s="1"/>
      <c r="S858" s="1"/>
    </row>
    <row r="859" spans="1:19" x14ac:dyDescent="0.15">
      <c r="H859" s="118"/>
      <c r="I859" s="127">
        <f>I858/$M$858*100</f>
        <v>23.233256351039262</v>
      </c>
      <c r="J859" s="127">
        <f t="shared" ref="J859:M859" si="210">J858/$M$858*100</f>
        <v>30.115473441108541</v>
      </c>
      <c r="K859" s="127">
        <f t="shared" si="210"/>
        <v>28.498845265588912</v>
      </c>
      <c r="L859" s="127">
        <f t="shared" si="210"/>
        <v>18.152424942263281</v>
      </c>
      <c r="M859" s="127">
        <f t="shared" si="210"/>
        <v>100</v>
      </c>
    </row>
    <row r="860" spans="1:19" x14ac:dyDescent="0.15">
      <c r="H860" s="118"/>
      <c r="I860" s="100">
        <v>30</v>
      </c>
      <c r="J860" s="128">
        <v>37.200000000000003</v>
      </c>
      <c r="K860" s="100">
        <v>23</v>
      </c>
      <c r="L860" s="128">
        <v>9.8000000000000007</v>
      </c>
      <c r="M860" s="128">
        <f>SUM(I860:L860)</f>
        <v>100</v>
      </c>
    </row>
    <row r="861" spans="1:19" ht="21.75" thickBot="1" x14ac:dyDescent="0.25">
      <c r="A861" s="29" t="s">
        <v>13</v>
      </c>
      <c r="B861" s="1"/>
      <c r="C861" s="1"/>
      <c r="D861" s="1"/>
      <c r="E861" s="1"/>
      <c r="F861" s="1"/>
      <c r="H861" s="29" t="s">
        <v>14</v>
      </c>
      <c r="I861" s="1"/>
      <c r="J861" s="1"/>
      <c r="K861" s="1"/>
      <c r="L861" s="1"/>
      <c r="M861" s="1"/>
    </row>
    <row r="862" spans="1:19" ht="14.25" thickBot="1" x14ac:dyDescent="0.2">
      <c r="A862" s="2" t="s">
        <v>0</v>
      </c>
      <c r="B862" s="164" t="s">
        <v>12</v>
      </c>
      <c r="C862" s="165"/>
      <c r="D862" s="165"/>
      <c r="E862" s="165"/>
      <c r="F862" s="117"/>
      <c r="H862" s="2" t="s">
        <v>0</v>
      </c>
      <c r="I862" s="164" t="s">
        <v>12</v>
      </c>
      <c r="J862" s="165"/>
      <c r="K862" s="165"/>
      <c r="L862" s="165"/>
      <c r="M862" s="117"/>
    </row>
    <row r="863" spans="1:19" ht="14.25" thickBot="1" x14ac:dyDescent="0.2">
      <c r="A863" s="2" t="s">
        <v>1</v>
      </c>
      <c r="B863" s="3" t="s">
        <v>7</v>
      </c>
      <c r="C863" s="2" t="s">
        <v>8</v>
      </c>
      <c r="D863" s="19" t="s">
        <v>9</v>
      </c>
      <c r="E863" s="2" t="s">
        <v>11</v>
      </c>
      <c r="F863" s="2" t="s">
        <v>2</v>
      </c>
      <c r="H863" s="2" t="s">
        <v>1</v>
      </c>
      <c r="I863" s="3" t="s">
        <v>7</v>
      </c>
      <c r="J863" s="2" t="s">
        <v>8</v>
      </c>
      <c r="K863" s="19" t="s">
        <v>9</v>
      </c>
      <c r="L863" s="2" t="s">
        <v>11</v>
      </c>
      <c r="M863" s="2" t="s">
        <v>2</v>
      </c>
    </row>
    <row r="864" spans="1:19" x14ac:dyDescent="0.15">
      <c r="A864" s="27" t="s">
        <v>6</v>
      </c>
      <c r="B864" s="18">
        <f>B858</f>
        <v>12</v>
      </c>
      <c r="C864" s="20">
        <f>C858</f>
        <v>15</v>
      </c>
      <c r="D864" s="55">
        <f>D858</f>
        <v>16</v>
      </c>
      <c r="E864" s="20">
        <f>E858</f>
        <v>15</v>
      </c>
      <c r="F864" s="17">
        <f>SUM(B864:E864)</f>
        <v>58</v>
      </c>
      <c r="H864" s="27" t="s">
        <v>6</v>
      </c>
      <c r="I864" s="18">
        <f>I858</f>
        <v>503</v>
      </c>
      <c r="J864" s="20">
        <f>J858</f>
        <v>652</v>
      </c>
      <c r="K864" s="55">
        <f>K858</f>
        <v>617</v>
      </c>
      <c r="L864" s="58">
        <f>L858</f>
        <v>393</v>
      </c>
      <c r="M864" s="17">
        <f>SUM(I864:L864)</f>
        <v>2165</v>
      </c>
    </row>
    <row r="865" spans="1:14" x14ac:dyDescent="0.15">
      <c r="A865" s="6" t="s">
        <v>3</v>
      </c>
      <c r="B865" s="16"/>
      <c r="C865" s="11">
        <v>5</v>
      </c>
      <c r="D865" s="16"/>
      <c r="E865" s="4"/>
      <c r="F865" s="5">
        <f t="shared" ref="F865:F874" si="211">SUM(B865:E865)</f>
        <v>5</v>
      </c>
      <c r="G865" s="39">
        <v>45104</v>
      </c>
      <c r="H865" s="6" t="s">
        <v>3</v>
      </c>
      <c r="I865" s="16"/>
      <c r="J865" s="11"/>
      <c r="K865" s="16"/>
      <c r="L865" s="4"/>
      <c r="M865" s="5">
        <f t="shared" ref="M865:M874" si="212">SUM(I865:L865)</f>
        <v>0</v>
      </c>
    </row>
    <row r="866" spans="1:14" x14ac:dyDescent="0.15">
      <c r="A866" s="6" t="s">
        <v>338</v>
      </c>
      <c r="B866" s="16">
        <v>2</v>
      </c>
      <c r="C866" s="11">
        <v>2</v>
      </c>
      <c r="D866" s="16">
        <v>2</v>
      </c>
      <c r="E866" s="4"/>
      <c r="F866" s="5">
        <f t="shared" si="211"/>
        <v>6</v>
      </c>
      <c r="G866" s="71">
        <v>45104</v>
      </c>
      <c r="H866" s="6" t="s">
        <v>3</v>
      </c>
      <c r="I866" s="16"/>
      <c r="J866" s="11"/>
      <c r="K866" s="16"/>
      <c r="L866" s="4"/>
      <c r="M866" s="5">
        <f t="shared" si="212"/>
        <v>0</v>
      </c>
    </row>
    <row r="867" spans="1:14" x14ac:dyDescent="0.15">
      <c r="A867" s="6" t="s">
        <v>3</v>
      </c>
      <c r="B867" s="16"/>
      <c r="C867" s="11"/>
      <c r="D867" s="16">
        <v>10</v>
      </c>
      <c r="E867" s="4"/>
      <c r="F867" s="5">
        <f t="shared" si="211"/>
        <v>10</v>
      </c>
      <c r="G867" s="39">
        <v>45107</v>
      </c>
      <c r="H867" s="6" t="s">
        <v>3</v>
      </c>
      <c r="I867" s="31"/>
      <c r="J867" s="32"/>
      <c r="K867" s="31"/>
      <c r="L867" s="52"/>
      <c r="M867" s="5">
        <f t="shared" si="212"/>
        <v>0</v>
      </c>
      <c r="N867" s="41"/>
    </row>
    <row r="868" spans="1:14" x14ac:dyDescent="0.15">
      <c r="A868" s="6" t="s">
        <v>3</v>
      </c>
      <c r="B868" s="16"/>
      <c r="C868" s="11"/>
      <c r="D868" s="16"/>
      <c r="E868" s="4"/>
      <c r="F868" s="5">
        <f t="shared" si="211"/>
        <v>0</v>
      </c>
      <c r="H868" s="6" t="s">
        <v>3</v>
      </c>
      <c r="I868" s="38"/>
      <c r="J868" s="32"/>
      <c r="K868" s="31"/>
      <c r="L868" s="52"/>
      <c r="M868" s="5">
        <f t="shared" si="212"/>
        <v>0</v>
      </c>
      <c r="N868" s="41"/>
    </row>
    <row r="869" spans="1:14" x14ac:dyDescent="0.15">
      <c r="A869" s="6" t="s">
        <v>3</v>
      </c>
      <c r="B869" s="16"/>
      <c r="C869" s="11"/>
      <c r="D869" s="16"/>
      <c r="E869" s="4"/>
      <c r="F869" s="5">
        <f t="shared" si="211"/>
        <v>0</v>
      </c>
      <c r="H869" s="6" t="s">
        <v>3</v>
      </c>
      <c r="I869" s="31"/>
      <c r="J869" s="32"/>
      <c r="K869" s="31"/>
      <c r="L869" s="52"/>
      <c r="M869" s="5">
        <f t="shared" si="212"/>
        <v>0</v>
      </c>
      <c r="N869" s="41"/>
    </row>
    <row r="870" spans="1:14" x14ac:dyDescent="0.15">
      <c r="A870" s="6" t="s">
        <v>3</v>
      </c>
      <c r="B870" s="16"/>
      <c r="C870" s="11"/>
      <c r="D870" s="16"/>
      <c r="E870" s="4"/>
      <c r="F870" s="5">
        <f t="shared" si="211"/>
        <v>0</v>
      </c>
      <c r="H870" s="6" t="s">
        <v>3</v>
      </c>
      <c r="I870" s="31"/>
      <c r="J870" s="32"/>
      <c r="K870" s="31"/>
      <c r="L870" s="52"/>
      <c r="M870" s="5">
        <f t="shared" ref="M870" si="213">SUM(I870:L870)</f>
        <v>0</v>
      </c>
      <c r="N870" s="41"/>
    </row>
    <row r="871" spans="1:14" x14ac:dyDescent="0.15">
      <c r="A871" s="6" t="s">
        <v>3</v>
      </c>
      <c r="B871" s="31"/>
      <c r="C871" s="32"/>
      <c r="D871" s="31"/>
      <c r="E871" s="52"/>
      <c r="F871" s="5">
        <f t="shared" si="211"/>
        <v>0</v>
      </c>
      <c r="H871" s="6" t="s">
        <v>3</v>
      </c>
      <c r="I871" s="31"/>
      <c r="J871" s="32"/>
      <c r="K871" s="31"/>
      <c r="L871" s="52"/>
      <c r="M871" s="5">
        <f t="shared" ref="M871" si="214">SUM(I871:L871)</f>
        <v>0</v>
      </c>
      <c r="N871" s="41"/>
    </row>
    <row r="872" spans="1:14" x14ac:dyDescent="0.15">
      <c r="A872" s="6" t="s">
        <v>3</v>
      </c>
      <c r="B872" s="10"/>
      <c r="C872" s="9"/>
      <c r="D872" s="10"/>
      <c r="E872" s="49"/>
      <c r="F872" s="5">
        <f t="shared" si="211"/>
        <v>0</v>
      </c>
      <c r="H872" s="6" t="s">
        <v>3</v>
      </c>
      <c r="I872" s="31"/>
      <c r="J872" s="32"/>
      <c r="K872" s="31"/>
      <c r="L872" s="52"/>
      <c r="M872" s="5">
        <f t="shared" si="212"/>
        <v>0</v>
      </c>
      <c r="N872" s="41"/>
    </row>
    <row r="873" spans="1:14" x14ac:dyDescent="0.15">
      <c r="A873" s="6" t="s">
        <v>3</v>
      </c>
      <c r="B873" s="31"/>
      <c r="C873" s="32"/>
      <c r="D873" s="31"/>
      <c r="E873" s="52"/>
      <c r="F873" s="5">
        <f t="shared" si="211"/>
        <v>0</v>
      </c>
      <c r="H873" s="6" t="s">
        <v>3</v>
      </c>
      <c r="I873" s="34"/>
      <c r="J873" s="35"/>
      <c r="K873" s="34"/>
      <c r="L873" s="32"/>
      <c r="M873" s="5">
        <f t="shared" si="212"/>
        <v>0</v>
      </c>
      <c r="N873" s="41"/>
    </row>
    <row r="874" spans="1:14" ht="14.25" thickBot="1" x14ac:dyDescent="0.2">
      <c r="A874" s="6" t="s">
        <v>3</v>
      </c>
      <c r="B874" s="13"/>
      <c r="C874" s="12"/>
      <c r="D874" s="13"/>
      <c r="E874" s="50"/>
      <c r="F874" s="5">
        <f t="shared" si="211"/>
        <v>0</v>
      </c>
      <c r="H874" s="6" t="s">
        <v>3</v>
      </c>
      <c r="I874" s="34"/>
      <c r="J874" s="35"/>
      <c r="K874" s="34"/>
      <c r="L874" s="53"/>
      <c r="M874" s="5">
        <f t="shared" si="212"/>
        <v>0</v>
      </c>
    </row>
    <row r="875" spans="1:14" ht="14.25" thickBot="1" x14ac:dyDescent="0.2">
      <c r="A875" s="21" t="s">
        <v>4</v>
      </c>
      <c r="B875" s="22">
        <f>SUM(B864:B874)</f>
        <v>14</v>
      </c>
      <c r="C875" s="22">
        <f>SUM(C864:C874)</f>
        <v>22</v>
      </c>
      <c r="D875" s="23">
        <f>SUM(D864:D874)</f>
        <v>28</v>
      </c>
      <c r="E875" s="23">
        <f>SUM(E864:E874)</f>
        <v>15</v>
      </c>
      <c r="F875" s="24">
        <f>SUM(B875:E875)</f>
        <v>79</v>
      </c>
      <c r="H875" s="21" t="s">
        <v>4</v>
      </c>
      <c r="I875" s="22">
        <f>SUM(I864:I874)</f>
        <v>503</v>
      </c>
      <c r="J875" s="22">
        <f>SUM(J864:J874)</f>
        <v>652</v>
      </c>
      <c r="K875" s="23">
        <f>SUM(K864:K874)</f>
        <v>617</v>
      </c>
      <c r="L875" s="23">
        <f>SUM(L864:L874)</f>
        <v>393</v>
      </c>
      <c r="M875" s="24">
        <f>SUM(I875:L875)</f>
        <v>2165</v>
      </c>
    </row>
    <row r="876" spans="1:14" x14ac:dyDescent="0.15">
      <c r="A876" s="4" t="s">
        <v>200</v>
      </c>
      <c r="B876" s="8"/>
      <c r="C876" s="9">
        <v>2</v>
      </c>
      <c r="D876" s="10"/>
      <c r="E876" s="49"/>
      <c r="F876" s="5">
        <f>SUM(B876:E876)</f>
        <v>2</v>
      </c>
      <c r="G876" s="39">
        <v>45099</v>
      </c>
      <c r="H876" s="4" t="s">
        <v>443</v>
      </c>
      <c r="I876" s="80"/>
      <c r="J876" s="49"/>
      <c r="K876" s="78"/>
      <c r="L876" s="9">
        <v>1</v>
      </c>
      <c r="M876" s="7">
        <f>SUM(I876:L876)</f>
        <v>1</v>
      </c>
      <c r="N876" s="39">
        <v>45100</v>
      </c>
    </row>
    <row r="877" spans="1:14" x14ac:dyDescent="0.15">
      <c r="A877" s="11" t="s">
        <v>451</v>
      </c>
      <c r="B877" s="8">
        <v>1</v>
      </c>
      <c r="C877" s="9">
        <v>2</v>
      </c>
      <c r="D877" s="10">
        <v>1</v>
      </c>
      <c r="E877" s="49"/>
      <c r="F877" s="5">
        <f t="shared" ref="F877:F899" si="215">SUM(B877:E877)</f>
        <v>4</v>
      </c>
      <c r="G877" s="39">
        <v>45104</v>
      </c>
      <c r="H877" s="4" t="s">
        <v>446</v>
      </c>
      <c r="I877" s="80">
        <v>100</v>
      </c>
      <c r="J877" s="49">
        <v>100</v>
      </c>
      <c r="K877" s="78"/>
      <c r="L877" s="9"/>
      <c r="M877" s="7">
        <f t="shared" ref="M877:M898" si="216">SUM(I877:L877)</f>
        <v>200</v>
      </c>
      <c r="N877" s="39">
        <v>45099</v>
      </c>
    </row>
    <row r="878" spans="1:14" x14ac:dyDescent="0.15">
      <c r="A878" s="11" t="s">
        <v>34</v>
      </c>
      <c r="B878" s="8"/>
      <c r="C878" s="9"/>
      <c r="D878" s="10">
        <v>1</v>
      </c>
      <c r="E878" s="49"/>
      <c r="F878" s="5">
        <f t="shared" si="215"/>
        <v>1</v>
      </c>
      <c r="G878" s="71">
        <v>45103</v>
      </c>
      <c r="H878" s="4" t="s">
        <v>200</v>
      </c>
      <c r="I878" s="8">
        <v>2</v>
      </c>
      <c r="J878" s="9">
        <v>2</v>
      </c>
      <c r="K878" s="10">
        <v>2</v>
      </c>
      <c r="L878" s="49"/>
      <c r="M878" s="7">
        <f t="shared" si="216"/>
        <v>6</v>
      </c>
      <c r="N878" s="39">
        <v>45098</v>
      </c>
    </row>
    <row r="879" spans="1:14" x14ac:dyDescent="0.15">
      <c r="A879" s="11" t="s">
        <v>34</v>
      </c>
      <c r="B879" s="8"/>
      <c r="C879" s="9"/>
      <c r="D879" s="10">
        <v>1</v>
      </c>
      <c r="E879" s="49"/>
      <c r="F879" s="5">
        <f t="shared" si="215"/>
        <v>1</v>
      </c>
      <c r="G879" s="71">
        <v>45104</v>
      </c>
      <c r="H879" s="4" t="s">
        <v>447</v>
      </c>
      <c r="I879" s="8">
        <v>50</v>
      </c>
      <c r="J879" s="9">
        <v>50</v>
      </c>
      <c r="K879" s="10">
        <v>100</v>
      </c>
      <c r="L879" s="49"/>
      <c r="M879" s="7">
        <f t="shared" si="216"/>
        <v>200</v>
      </c>
      <c r="N879" s="39">
        <v>45100</v>
      </c>
    </row>
    <row r="880" spans="1:14" x14ac:dyDescent="0.15">
      <c r="A880" s="4" t="s">
        <v>458</v>
      </c>
      <c r="B880" s="8">
        <v>4</v>
      </c>
      <c r="C880" s="9">
        <v>4</v>
      </c>
      <c r="D880" s="10">
        <v>10</v>
      </c>
      <c r="E880" s="9"/>
      <c r="F880" s="7">
        <f t="shared" si="215"/>
        <v>18</v>
      </c>
      <c r="G880" s="39">
        <v>45111</v>
      </c>
      <c r="H880" s="4" t="s">
        <v>456</v>
      </c>
      <c r="I880" s="8">
        <v>20</v>
      </c>
      <c r="J880" s="9"/>
      <c r="K880" s="10"/>
      <c r="L880" s="49"/>
      <c r="M880" s="7">
        <f t="shared" si="216"/>
        <v>20</v>
      </c>
      <c r="N880" s="39">
        <v>45104</v>
      </c>
    </row>
    <row r="881" spans="1:14" x14ac:dyDescent="0.15">
      <c r="A881" s="4" t="s">
        <v>463</v>
      </c>
      <c r="B881" s="8"/>
      <c r="C881" s="9">
        <v>4</v>
      </c>
      <c r="D881" s="10"/>
      <c r="E881" s="9"/>
      <c r="F881" s="5">
        <f t="shared" si="215"/>
        <v>4</v>
      </c>
      <c r="G881" s="39">
        <v>45113</v>
      </c>
      <c r="H881" s="4" t="s">
        <v>449</v>
      </c>
      <c r="I881" s="8"/>
      <c r="J881" s="9"/>
      <c r="K881" s="10">
        <v>14</v>
      </c>
      <c r="L881" s="49"/>
      <c r="M881" s="7">
        <f t="shared" ref="M881:M884" si="217">SUM(I881:L881)</f>
        <v>14</v>
      </c>
      <c r="N881" s="39">
        <v>45104</v>
      </c>
    </row>
    <row r="882" spans="1:14" x14ac:dyDescent="0.15">
      <c r="A882" s="4" t="s">
        <v>464</v>
      </c>
      <c r="B882" s="8">
        <v>1</v>
      </c>
      <c r="C882" s="9">
        <v>1</v>
      </c>
      <c r="D882" s="10"/>
      <c r="E882" s="9">
        <v>1</v>
      </c>
      <c r="F882" s="5">
        <f t="shared" si="215"/>
        <v>3</v>
      </c>
      <c r="G882" s="39">
        <v>45114</v>
      </c>
      <c r="H882" s="4" t="s">
        <v>452</v>
      </c>
      <c r="I882" s="8">
        <v>1</v>
      </c>
      <c r="J882" s="9"/>
      <c r="K882" s="10">
        <v>3</v>
      </c>
      <c r="L882" s="9">
        <v>3</v>
      </c>
      <c r="M882" s="7">
        <f t="shared" si="217"/>
        <v>7</v>
      </c>
      <c r="N882" s="39">
        <v>45106</v>
      </c>
    </row>
    <row r="883" spans="1:14" x14ac:dyDescent="0.15">
      <c r="A883" s="4" t="s">
        <v>467</v>
      </c>
      <c r="B883" s="8">
        <v>2</v>
      </c>
      <c r="C883" s="9"/>
      <c r="D883" s="10"/>
      <c r="E883" s="9"/>
      <c r="F883" s="5">
        <f t="shared" si="215"/>
        <v>2</v>
      </c>
      <c r="G883" s="39">
        <v>45114</v>
      </c>
      <c r="H883" s="4" t="s">
        <v>453</v>
      </c>
      <c r="I883" s="8"/>
      <c r="J883" s="9"/>
      <c r="K883" s="10">
        <v>2</v>
      </c>
      <c r="L883" s="9">
        <v>1</v>
      </c>
      <c r="M883" s="7">
        <f t="shared" si="217"/>
        <v>3</v>
      </c>
      <c r="N883" s="39">
        <v>45106</v>
      </c>
    </row>
    <row r="884" spans="1:14" x14ac:dyDescent="0.15">
      <c r="A884" s="4" t="s">
        <v>454</v>
      </c>
      <c r="B884" s="8"/>
      <c r="C884" s="9">
        <v>1</v>
      </c>
      <c r="D884" s="10"/>
      <c r="E884" s="9"/>
      <c r="F884" s="5">
        <f t="shared" si="215"/>
        <v>1</v>
      </c>
      <c r="G884" s="39">
        <v>45117</v>
      </c>
      <c r="H884" s="4" t="s">
        <v>454</v>
      </c>
      <c r="I884" s="8">
        <v>100</v>
      </c>
      <c r="J884" s="9">
        <v>100</v>
      </c>
      <c r="K884" s="10">
        <v>30</v>
      </c>
      <c r="L884" s="9"/>
      <c r="M884" s="7">
        <f t="shared" si="217"/>
        <v>230</v>
      </c>
      <c r="N884" s="39">
        <v>45106</v>
      </c>
    </row>
    <row r="885" spans="1:14" x14ac:dyDescent="0.15">
      <c r="A885" s="11" t="s">
        <v>39</v>
      </c>
      <c r="B885" s="8">
        <v>1</v>
      </c>
      <c r="C885" s="9"/>
      <c r="D885" s="10">
        <v>1</v>
      </c>
      <c r="E885" s="9"/>
      <c r="F885" s="5">
        <f t="shared" si="215"/>
        <v>2</v>
      </c>
      <c r="G885" s="39">
        <v>45114</v>
      </c>
      <c r="H885" s="4" t="s">
        <v>460</v>
      </c>
      <c r="I885" s="8">
        <v>5</v>
      </c>
      <c r="J885" s="9">
        <v>5</v>
      </c>
      <c r="K885" s="10">
        <v>5</v>
      </c>
      <c r="L885" s="9"/>
      <c r="M885" s="7">
        <f t="shared" si="216"/>
        <v>15</v>
      </c>
      <c r="N885" s="39">
        <v>45106</v>
      </c>
    </row>
    <row r="886" spans="1:14" x14ac:dyDescent="0.15">
      <c r="A886" s="11" t="s">
        <v>34</v>
      </c>
      <c r="B886" s="8">
        <v>1</v>
      </c>
      <c r="C886" s="9"/>
      <c r="D886" s="10"/>
      <c r="E886" s="9"/>
      <c r="F886" s="5">
        <f t="shared" si="215"/>
        <v>1</v>
      </c>
      <c r="G886" s="71">
        <v>45118</v>
      </c>
      <c r="H886" s="11" t="s">
        <v>26</v>
      </c>
      <c r="I886" s="8"/>
      <c r="J886" s="9">
        <v>5</v>
      </c>
      <c r="K886" s="10"/>
      <c r="L886" s="9"/>
      <c r="M886" s="7">
        <f t="shared" si="216"/>
        <v>5</v>
      </c>
      <c r="N886" s="39">
        <v>45104</v>
      </c>
    </row>
    <row r="887" spans="1:14" x14ac:dyDescent="0.15">
      <c r="A887" s="4"/>
      <c r="B887" s="8"/>
      <c r="C887" s="9"/>
      <c r="D887" s="10"/>
      <c r="E887" s="9"/>
      <c r="F887" s="5">
        <f t="shared" si="215"/>
        <v>0</v>
      </c>
      <c r="H887" s="4" t="s">
        <v>457</v>
      </c>
      <c r="I887" s="8">
        <v>20</v>
      </c>
      <c r="J887" s="9">
        <v>20</v>
      </c>
      <c r="K887" s="10">
        <v>20</v>
      </c>
      <c r="L887" s="9"/>
      <c r="M887" s="7">
        <f t="shared" si="216"/>
        <v>60</v>
      </c>
      <c r="N887" s="39">
        <v>45112</v>
      </c>
    </row>
    <row r="888" spans="1:14" x14ac:dyDescent="0.15">
      <c r="A888" s="4"/>
      <c r="B888" s="8"/>
      <c r="C888" s="9"/>
      <c r="D888" s="10"/>
      <c r="E888" s="9"/>
      <c r="F888" s="5">
        <f t="shared" si="215"/>
        <v>0</v>
      </c>
      <c r="H888" s="4" t="s">
        <v>461</v>
      </c>
      <c r="I888" s="8"/>
      <c r="J888" s="9">
        <v>5</v>
      </c>
      <c r="K888" s="10"/>
      <c r="L888" s="9"/>
      <c r="M888" s="7">
        <f t="shared" ref="M888:M889" si="218">SUM(I888:L888)</f>
        <v>5</v>
      </c>
      <c r="N888" s="39">
        <v>45112</v>
      </c>
    </row>
    <row r="889" spans="1:14" x14ac:dyDescent="0.15">
      <c r="A889" s="4"/>
      <c r="B889" s="8"/>
      <c r="C889" s="9"/>
      <c r="D889" s="10"/>
      <c r="E889" s="9"/>
      <c r="F889" s="5">
        <f t="shared" si="215"/>
        <v>0</v>
      </c>
      <c r="H889" s="11" t="s">
        <v>26</v>
      </c>
      <c r="I889" s="8"/>
      <c r="J889" s="9"/>
      <c r="K889" s="10">
        <v>10</v>
      </c>
      <c r="L889" s="9"/>
      <c r="M889" s="7">
        <f t="shared" si="218"/>
        <v>10</v>
      </c>
      <c r="N889" s="39">
        <v>45107</v>
      </c>
    </row>
    <row r="890" spans="1:14" x14ac:dyDescent="0.15">
      <c r="A890" s="4"/>
      <c r="B890" s="8"/>
      <c r="C890" s="9"/>
      <c r="D890" s="10"/>
      <c r="E890" s="9"/>
      <c r="F890" s="5">
        <f t="shared" si="215"/>
        <v>0</v>
      </c>
      <c r="H890" s="4" t="s">
        <v>465</v>
      </c>
      <c r="I890" s="8">
        <v>3</v>
      </c>
      <c r="J890" s="9">
        <v>3</v>
      </c>
      <c r="K890" s="10">
        <v>3</v>
      </c>
      <c r="L890" s="9">
        <v>2</v>
      </c>
      <c r="M890" s="7">
        <f t="shared" si="216"/>
        <v>11</v>
      </c>
      <c r="N890" s="39">
        <v>45114</v>
      </c>
    </row>
    <row r="891" spans="1:14" x14ac:dyDescent="0.15">
      <c r="A891" s="4"/>
      <c r="B891" s="8"/>
      <c r="C891" s="9"/>
      <c r="D891" s="10"/>
      <c r="E891" s="9"/>
      <c r="F891" s="5">
        <f t="shared" si="215"/>
        <v>0</v>
      </c>
      <c r="H891" s="4" t="s">
        <v>466</v>
      </c>
      <c r="I891" s="8"/>
      <c r="J891" s="9"/>
      <c r="K891" s="10"/>
      <c r="L891" s="9">
        <v>2</v>
      </c>
      <c r="M891" s="7">
        <f t="shared" si="216"/>
        <v>2</v>
      </c>
      <c r="N891" s="39">
        <v>45114</v>
      </c>
    </row>
    <row r="892" spans="1:14" x14ac:dyDescent="0.15">
      <c r="A892" s="11"/>
      <c r="B892" s="8"/>
      <c r="C892" s="9"/>
      <c r="D892" s="10"/>
      <c r="E892" s="9"/>
      <c r="F892" s="5">
        <f t="shared" si="215"/>
        <v>0</v>
      </c>
      <c r="H892" s="4" t="s">
        <v>468</v>
      </c>
      <c r="I892" s="8"/>
      <c r="J892" s="9"/>
      <c r="K892" s="10">
        <v>5</v>
      </c>
      <c r="L892" s="9">
        <v>5</v>
      </c>
      <c r="M892" s="7">
        <f t="shared" si="216"/>
        <v>10</v>
      </c>
      <c r="N892" s="39">
        <v>45114</v>
      </c>
    </row>
    <row r="893" spans="1:14" x14ac:dyDescent="0.15">
      <c r="A893" s="4"/>
      <c r="B893" s="8"/>
      <c r="C893" s="9"/>
      <c r="D893" s="10"/>
      <c r="E893" s="9"/>
      <c r="F893" s="5">
        <f t="shared" si="215"/>
        <v>0</v>
      </c>
      <c r="H893" s="4" t="s">
        <v>469</v>
      </c>
      <c r="I893" s="8"/>
      <c r="J893" s="9">
        <v>2</v>
      </c>
      <c r="K893" s="10">
        <v>1</v>
      </c>
      <c r="L893" s="9"/>
      <c r="M893" s="7">
        <f t="shared" si="216"/>
        <v>3</v>
      </c>
      <c r="N893" s="39">
        <v>45119</v>
      </c>
    </row>
    <row r="894" spans="1:14" x14ac:dyDescent="0.15">
      <c r="A894" s="4"/>
      <c r="B894" s="8"/>
      <c r="C894" s="9"/>
      <c r="D894" s="10"/>
      <c r="E894" s="9"/>
      <c r="F894" s="5">
        <f t="shared" si="215"/>
        <v>0</v>
      </c>
      <c r="H894" s="4" t="s">
        <v>470</v>
      </c>
      <c r="I894" s="8">
        <v>15</v>
      </c>
      <c r="J894" s="9">
        <v>20</v>
      </c>
      <c r="K894" s="10">
        <v>20</v>
      </c>
      <c r="L894" s="9">
        <v>10</v>
      </c>
      <c r="M894" s="7">
        <f t="shared" si="216"/>
        <v>65</v>
      </c>
      <c r="N894" s="39">
        <v>45119</v>
      </c>
    </row>
    <row r="895" spans="1:14" x14ac:dyDescent="0.15">
      <c r="A895" s="4"/>
      <c r="B895" s="8"/>
      <c r="C895" s="9"/>
      <c r="D895" s="10"/>
      <c r="E895" s="9"/>
      <c r="F895" s="5">
        <f t="shared" si="215"/>
        <v>0</v>
      </c>
      <c r="H895" s="4"/>
      <c r="I895" s="8"/>
      <c r="J895" s="9"/>
      <c r="K895" s="10"/>
      <c r="L895" s="9"/>
      <c r="M895" s="7">
        <f t="shared" si="216"/>
        <v>0</v>
      </c>
      <c r="N895" s="41"/>
    </row>
    <row r="896" spans="1:14" x14ac:dyDescent="0.15">
      <c r="A896" s="11"/>
      <c r="B896" s="8"/>
      <c r="C896" s="9"/>
      <c r="D896" s="10"/>
      <c r="E896" s="9"/>
      <c r="F896" s="5">
        <f t="shared" si="215"/>
        <v>0</v>
      </c>
      <c r="H896" s="101" t="s">
        <v>396</v>
      </c>
      <c r="I896" s="102"/>
      <c r="J896" s="103"/>
      <c r="K896" s="103"/>
      <c r="L896" s="103"/>
      <c r="M896" s="105">
        <f t="shared" si="216"/>
        <v>0</v>
      </c>
      <c r="N896" s="106"/>
    </row>
    <row r="897" spans="1:14" x14ac:dyDescent="0.15">
      <c r="A897" s="4"/>
      <c r="B897" s="8"/>
      <c r="C897" s="9"/>
      <c r="D897" s="10"/>
      <c r="E897" s="9"/>
      <c r="F897" s="5">
        <f t="shared" si="215"/>
        <v>0</v>
      </c>
      <c r="H897" s="4" t="s">
        <v>362</v>
      </c>
      <c r="I897" s="8"/>
      <c r="J897" s="9"/>
      <c r="K897" s="10"/>
      <c r="L897" s="9"/>
      <c r="M897" s="7">
        <f t="shared" si="216"/>
        <v>0</v>
      </c>
      <c r="N897" s="41" t="s">
        <v>363</v>
      </c>
    </row>
    <row r="898" spans="1:14" x14ac:dyDescent="0.15">
      <c r="A898" s="11"/>
      <c r="B898" s="8"/>
      <c r="C898" s="9"/>
      <c r="D898" s="10"/>
      <c r="E898" s="9"/>
      <c r="F898" s="5">
        <f t="shared" si="215"/>
        <v>0</v>
      </c>
      <c r="H898" s="4" t="s">
        <v>349</v>
      </c>
      <c r="I898" s="80"/>
      <c r="J898" s="49"/>
      <c r="K898" s="78"/>
      <c r="L898" s="50"/>
      <c r="M898" s="7">
        <f t="shared" si="216"/>
        <v>0</v>
      </c>
      <c r="N898" s="41" t="s">
        <v>307</v>
      </c>
    </row>
    <row r="899" spans="1:14" ht="14.25" thickBot="1" x14ac:dyDescent="0.2">
      <c r="A899" s="11"/>
      <c r="B899" s="8"/>
      <c r="C899" s="9"/>
      <c r="D899" s="10"/>
      <c r="E899" s="9"/>
      <c r="F899" s="5">
        <f t="shared" si="215"/>
        <v>0</v>
      </c>
      <c r="H899" s="4" t="s">
        <v>400</v>
      </c>
      <c r="I899" s="8"/>
      <c r="J899" s="9"/>
      <c r="K899" s="9"/>
      <c r="L899" s="12"/>
      <c r="M899" s="7">
        <f t="shared" ref="M899" si="219">SUM(I899:L899)</f>
        <v>0</v>
      </c>
      <c r="N899" s="41" t="s">
        <v>401</v>
      </c>
    </row>
    <row r="900" spans="1:14" ht="14.25" thickBot="1" x14ac:dyDescent="0.2">
      <c r="A900" s="3" t="s">
        <v>5</v>
      </c>
      <c r="B900" s="14">
        <f>SUM(B876:B899)</f>
        <v>10</v>
      </c>
      <c r="C900" s="14">
        <f>SUM(C876:C899)</f>
        <v>14</v>
      </c>
      <c r="D900" s="14">
        <f>SUM(D876:D899)</f>
        <v>14</v>
      </c>
      <c r="E900" s="14">
        <f>SUM(E876:E899)</f>
        <v>1</v>
      </c>
      <c r="F900" s="15">
        <f>SUM(B900:E900)</f>
        <v>39</v>
      </c>
      <c r="H900" s="3" t="s">
        <v>5</v>
      </c>
      <c r="I900" s="14">
        <f>SUM(I876:I899)</f>
        <v>316</v>
      </c>
      <c r="J900" s="14">
        <f>SUM(J876:J899)</f>
        <v>312</v>
      </c>
      <c r="K900" s="14">
        <f>SUM(K876:K899)</f>
        <v>215</v>
      </c>
      <c r="L900" s="14">
        <f>SUM(L876:L899)</f>
        <v>24</v>
      </c>
      <c r="M900" s="15">
        <f>SUM(I900:L900)</f>
        <v>867</v>
      </c>
    </row>
    <row r="901" spans="1:14" ht="14.25" thickBot="1" x14ac:dyDescent="0.2">
      <c r="A901" s="25" t="s">
        <v>6</v>
      </c>
      <c r="B901" s="26">
        <f>B875-B900</f>
        <v>4</v>
      </c>
      <c r="C901" s="26">
        <f t="shared" ref="C901:F901" si="220">C875-C900</f>
        <v>8</v>
      </c>
      <c r="D901" s="26">
        <f t="shared" si="220"/>
        <v>14</v>
      </c>
      <c r="E901" s="26">
        <f t="shared" si="220"/>
        <v>14</v>
      </c>
      <c r="F901" s="24">
        <f t="shared" si="220"/>
        <v>40</v>
      </c>
      <c r="H901" s="25" t="s">
        <v>6</v>
      </c>
      <c r="I901" s="26">
        <f>I875-I900</f>
        <v>187</v>
      </c>
      <c r="J901" s="26">
        <f t="shared" ref="J901:M901" si="221">J875-J900</f>
        <v>340</v>
      </c>
      <c r="K901" s="26">
        <f t="shared" si="221"/>
        <v>402</v>
      </c>
      <c r="L901" s="26">
        <f t="shared" si="221"/>
        <v>369</v>
      </c>
      <c r="M901" s="24">
        <f t="shared" si="221"/>
        <v>1298</v>
      </c>
    </row>
    <row r="902" spans="1:14" x14ac:dyDescent="0.15">
      <c r="H902" s="118" t="s">
        <v>300</v>
      </c>
      <c r="I902" s="1">
        <v>720</v>
      </c>
      <c r="J902" s="1">
        <v>740</v>
      </c>
      <c r="K902" s="1">
        <v>540</v>
      </c>
      <c r="L902" s="1">
        <v>0</v>
      </c>
      <c r="M902" s="1">
        <f>SUM(I902:L902)</f>
        <v>2000</v>
      </c>
    </row>
    <row r="904" spans="1:14" ht="21.75" thickBot="1" x14ac:dyDescent="0.25">
      <c r="A904" s="29" t="s">
        <v>13</v>
      </c>
      <c r="B904" s="1"/>
      <c r="C904" s="1"/>
      <c r="D904" s="1"/>
      <c r="E904" s="1"/>
      <c r="F904" s="1"/>
      <c r="H904" s="29" t="s">
        <v>14</v>
      </c>
      <c r="I904" s="1"/>
      <c r="J904" s="1"/>
      <c r="K904" s="1"/>
      <c r="L904" s="1"/>
      <c r="M904" s="1"/>
    </row>
    <row r="905" spans="1:14" ht="14.25" thickBot="1" x14ac:dyDescent="0.2">
      <c r="A905" s="2" t="s">
        <v>0</v>
      </c>
      <c r="B905" s="164" t="s">
        <v>12</v>
      </c>
      <c r="C905" s="165"/>
      <c r="D905" s="165"/>
      <c r="E905" s="165"/>
      <c r="F905" s="117"/>
      <c r="H905" s="2" t="s">
        <v>0</v>
      </c>
      <c r="I905" s="164" t="s">
        <v>12</v>
      </c>
      <c r="J905" s="165"/>
      <c r="K905" s="165"/>
      <c r="L905" s="165"/>
      <c r="M905" s="117"/>
    </row>
    <row r="906" spans="1:14" ht="14.25" thickBot="1" x14ac:dyDescent="0.2">
      <c r="A906" s="2" t="s">
        <v>1</v>
      </c>
      <c r="B906" s="3" t="s">
        <v>7</v>
      </c>
      <c r="C906" s="2" t="s">
        <v>8</v>
      </c>
      <c r="D906" s="19" t="s">
        <v>9</v>
      </c>
      <c r="E906" s="2" t="s">
        <v>11</v>
      </c>
      <c r="F906" s="2" t="s">
        <v>2</v>
      </c>
      <c r="H906" s="2" t="s">
        <v>1</v>
      </c>
      <c r="I906" s="3" t="s">
        <v>7</v>
      </c>
      <c r="J906" s="2" t="s">
        <v>8</v>
      </c>
      <c r="K906" s="19" t="s">
        <v>9</v>
      </c>
      <c r="L906" s="2" t="s">
        <v>11</v>
      </c>
      <c r="M906" s="2" t="s">
        <v>2</v>
      </c>
    </row>
    <row r="907" spans="1:14" x14ac:dyDescent="0.15">
      <c r="A907" s="27" t="s">
        <v>6</v>
      </c>
      <c r="B907" s="18">
        <f>B901</f>
        <v>4</v>
      </c>
      <c r="C907" s="20">
        <f>C901</f>
        <v>8</v>
      </c>
      <c r="D907" s="55">
        <f>D901</f>
        <v>14</v>
      </c>
      <c r="E907" s="20">
        <f>E901</f>
        <v>14</v>
      </c>
      <c r="F907" s="17">
        <f>SUM(B907:E907)</f>
        <v>40</v>
      </c>
      <c r="H907" s="27" t="s">
        <v>6</v>
      </c>
      <c r="I907" s="18">
        <f>I901</f>
        <v>187</v>
      </c>
      <c r="J907" s="20">
        <f>J901</f>
        <v>340</v>
      </c>
      <c r="K907" s="55">
        <f>K901</f>
        <v>402</v>
      </c>
      <c r="L907" s="58">
        <f>L901</f>
        <v>369</v>
      </c>
      <c r="M907" s="17">
        <f>SUM(I907:L907)</f>
        <v>1298</v>
      </c>
    </row>
    <row r="908" spans="1:14" x14ac:dyDescent="0.15">
      <c r="A908" s="6" t="s">
        <v>3</v>
      </c>
      <c r="B908" s="16">
        <v>10</v>
      </c>
      <c r="C908" s="11">
        <v>10</v>
      </c>
      <c r="D908" s="16"/>
      <c r="E908" s="4"/>
      <c r="F908" s="5">
        <f t="shared" ref="F908:F917" si="222">SUM(B908:E908)</f>
        <v>20</v>
      </c>
      <c r="G908" s="39">
        <v>45122</v>
      </c>
      <c r="H908" s="6" t="s">
        <v>3</v>
      </c>
      <c r="I908" s="16"/>
      <c r="J908" s="11"/>
      <c r="K908" s="16"/>
      <c r="L908" s="4"/>
      <c r="M908" s="5">
        <f t="shared" ref="M908:M917" si="223">SUM(I908:L908)</f>
        <v>0</v>
      </c>
    </row>
    <row r="909" spans="1:14" x14ac:dyDescent="0.15">
      <c r="A909" s="6" t="s">
        <v>338</v>
      </c>
      <c r="B909" s="16"/>
      <c r="C909" s="11">
        <v>4</v>
      </c>
      <c r="D909" s="16"/>
      <c r="E909" s="4"/>
      <c r="F909" s="5">
        <f t="shared" si="222"/>
        <v>4</v>
      </c>
      <c r="G909" s="39">
        <v>45126</v>
      </c>
      <c r="H909" s="6" t="s">
        <v>3</v>
      </c>
      <c r="I909" s="16"/>
      <c r="J909" s="11"/>
      <c r="K909" s="16"/>
      <c r="L909" s="4"/>
      <c r="M909" s="5">
        <f t="shared" si="223"/>
        <v>0</v>
      </c>
    </row>
    <row r="910" spans="1:14" x14ac:dyDescent="0.15">
      <c r="A910" s="6" t="s">
        <v>3</v>
      </c>
      <c r="B910" s="16">
        <v>5</v>
      </c>
      <c r="C910" s="11"/>
      <c r="D910" s="16">
        <v>5</v>
      </c>
      <c r="E910" s="4"/>
      <c r="F910" s="5">
        <f t="shared" si="222"/>
        <v>10</v>
      </c>
      <c r="G910" s="39">
        <v>45134</v>
      </c>
      <c r="H910" s="6" t="s">
        <v>3</v>
      </c>
      <c r="I910" s="31"/>
      <c r="J910" s="32"/>
      <c r="K910" s="31"/>
      <c r="L910" s="52"/>
      <c r="M910" s="5">
        <f t="shared" si="223"/>
        <v>0</v>
      </c>
      <c r="N910" s="41"/>
    </row>
    <row r="911" spans="1:14" x14ac:dyDescent="0.15">
      <c r="A911" s="6" t="s">
        <v>3</v>
      </c>
      <c r="B911" s="16"/>
      <c r="C911" s="11"/>
      <c r="D911" s="16"/>
      <c r="E911" s="4"/>
      <c r="F911" s="5">
        <f t="shared" si="222"/>
        <v>0</v>
      </c>
      <c r="H911" s="6" t="s">
        <v>3</v>
      </c>
      <c r="I911" s="38"/>
      <c r="J911" s="32"/>
      <c r="K911" s="31"/>
      <c r="L911" s="52"/>
      <c r="M911" s="5">
        <f t="shared" si="223"/>
        <v>0</v>
      </c>
      <c r="N911" s="41"/>
    </row>
    <row r="912" spans="1:14" x14ac:dyDescent="0.15">
      <c r="A912" s="6" t="s">
        <v>3</v>
      </c>
      <c r="B912" s="16"/>
      <c r="C912" s="11"/>
      <c r="D912" s="16"/>
      <c r="E912" s="4"/>
      <c r="F912" s="5">
        <f t="shared" si="222"/>
        <v>0</v>
      </c>
      <c r="H912" s="6" t="s">
        <v>3</v>
      </c>
      <c r="I912" s="31"/>
      <c r="J912" s="32"/>
      <c r="K912" s="31"/>
      <c r="L912" s="52"/>
      <c r="M912" s="5">
        <f t="shared" si="223"/>
        <v>0</v>
      </c>
      <c r="N912" s="41"/>
    </row>
    <row r="913" spans="1:14" x14ac:dyDescent="0.15">
      <c r="A913" s="6" t="s">
        <v>3</v>
      </c>
      <c r="B913" s="16"/>
      <c r="C913" s="11"/>
      <c r="D913" s="16"/>
      <c r="E913" s="4"/>
      <c r="F913" s="5">
        <f t="shared" si="222"/>
        <v>0</v>
      </c>
      <c r="H913" s="6" t="s">
        <v>3</v>
      </c>
      <c r="I913" s="31"/>
      <c r="J913" s="32"/>
      <c r="K913" s="31"/>
      <c r="L913" s="52"/>
      <c r="M913" s="5">
        <f t="shared" si="223"/>
        <v>0</v>
      </c>
      <c r="N913" s="41"/>
    </row>
    <row r="914" spans="1:14" x14ac:dyDescent="0.15">
      <c r="A914" s="6" t="s">
        <v>3</v>
      </c>
      <c r="B914" s="31"/>
      <c r="C914" s="32"/>
      <c r="D914" s="31"/>
      <c r="E914" s="52"/>
      <c r="F914" s="5">
        <f t="shared" si="222"/>
        <v>0</v>
      </c>
      <c r="H914" s="6" t="s">
        <v>3</v>
      </c>
      <c r="I914" s="31"/>
      <c r="J914" s="32"/>
      <c r="K914" s="31"/>
      <c r="L914" s="52"/>
      <c r="M914" s="5">
        <f t="shared" ref="M914:M915" si="224">SUM(I914:L914)</f>
        <v>0</v>
      </c>
      <c r="N914" s="41"/>
    </row>
    <row r="915" spans="1:14" x14ac:dyDescent="0.15">
      <c r="A915" s="6" t="s">
        <v>3</v>
      </c>
      <c r="B915" s="10"/>
      <c r="C915" s="9"/>
      <c r="D915" s="10"/>
      <c r="E915" s="49"/>
      <c r="F915" s="5">
        <f t="shared" si="222"/>
        <v>0</v>
      </c>
      <c r="H915" s="6" t="s">
        <v>3</v>
      </c>
      <c r="I915" s="31"/>
      <c r="J915" s="32"/>
      <c r="K915" s="31"/>
      <c r="L915" s="52"/>
      <c r="M915" s="5">
        <f t="shared" si="224"/>
        <v>0</v>
      </c>
      <c r="N915" s="41"/>
    </row>
    <row r="916" spans="1:14" x14ac:dyDescent="0.15">
      <c r="A916" s="6" t="s">
        <v>3</v>
      </c>
      <c r="B916" s="31"/>
      <c r="C916" s="32"/>
      <c r="D916" s="31"/>
      <c r="E916" s="52"/>
      <c r="F916" s="5">
        <f t="shared" si="222"/>
        <v>0</v>
      </c>
      <c r="H916" s="6" t="s">
        <v>3</v>
      </c>
      <c r="I916" s="34"/>
      <c r="J916" s="35"/>
      <c r="K916" s="34"/>
      <c r="L916" s="32"/>
      <c r="M916" s="5">
        <f t="shared" si="223"/>
        <v>0</v>
      </c>
      <c r="N916" s="41"/>
    </row>
    <row r="917" spans="1:14" ht="14.25" thickBot="1" x14ac:dyDescent="0.2">
      <c r="A917" s="6" t="s">
        <v>3</v>
      </c>
      <c r="B917" s="13"/>
      <c r="C917" s="12"/>
      <c r="D917" s="13"/>
      <c r="E917" s="50"/>
      <c r="F917" s="5">
        <f t="shared" si="222"/>
        <v>0</v>
      </c>
      <c r="H917" s="6" t="s">
        <v>3</v>
      </c>
      <c r="I917" s="34"/>
      <c r="J917" s="35"/>
      <c r="K917" s="34"/>
      <c r="L917" s="53"/>
      <c r="M917" s="5">
        <f t="shared" si="223"/>
        <v>0</v>
      </c>
    </row>
    <row r="918" spans="1:14" ht="14.25" thickBot="1" x14ac:dyDescent="0.2">
      <c r="A918" s="21" t="s">
        <v>4</v>
      </c>
      <c r="B918" s="22">
        <f>SUM(B907:B917)</f>
        <v>19</v>
      </c>
      <c r="C918" s="22">
        <f>SUM(C907:C917)</f>
        <v>22</v>
      </c>
      <c r="D918" s="23">
        <f>SUM(D907:D917)</f>
        <v>19</v>
      </c>
      <c r="E918" s="23">
        <f>SUM(E907:E917)</f>
        <v>14</v>
      </c>
      <c r="F918" s="24">
        <f>SUM(B918:E918)</f>
        <v>74</v>
      </c>
      <c r="H918" s="21" t="s">
        <v>4</v>
      </c>
      <c r="I918" s="22">
        <f>SUM(I907:I917)</f>
        <v>187</v>
      </c>
      <c r="J918" s="22">
        <f>SUM(J907:J917)</f>
        <v>340</v>
      </c>
      <c r="K918" s="23">
        <f>SUM(K907:K917)</f>
        <v>402</v>
      </c>
      <c r="L918" s="23">
        <f>SUM(L907:L917)</f>
        <v>369</v>
      </c>
      <c r="M918" s="24">
        <f>SUM(I918:L918)</f>
        <v>1298</v>
      </c>
    </row>
    <row r="919" spans="1:14" x14ac:dyDescent="0.15">
      <c r="A919" s="11" t="s">
        <v>34</v>
      </c>
      <c r="B919" s="8"/>
      <c r="C919" s="9">
        <v>1</v>
      </c>
      <c r="D919" s="10"/>
      <c r="E919" s="49"/>
      <c r="F919" s="5">
        <f>SUM(B919:E919)</f>
        <v>1</v>
      </c>
      <c r="G919" s="71">
        <v>45119</v>
      </c>
      <c r="H919" s="4" t="s">
        <v>471</v>
      </c>
      <c r="I919" s="80">
        <v>5</v>
      </c>
      <c r="J919" s="49">
        <v>10</v>
      </c>
      <c r="K919" s="78"/>
      <c r="L919" s="9"/>
      <c r="M919" s="7">
        <f>SUM(I919:L919)</f>
        <v>15</v>
      </c>
      <c r="N919" s="39">
        <v>45120</v>
      </c>
    </row>
    <row r="920" spans="1:14" x14ac:dyDescent="0.15">
      <c r="A920" s="4" t="s">
        <v>474</v>
      </c>
      <c r="B920" s="8">
        <v>1</v>
      </c>
      <c r="C920" s="9">
        <v>1</v>
      </c>
      <c r="D920" s="10"/>
      <c r="E920" s="49"/>
      <c r="F920" s="5">
        <f t="shared" ref="F920:F942" si="225">SUM(B920:E920)</f>
        <v>2</v>
      </c>
      <c r="G920" s="39">
        <v>45125</v>
      </c>
      <c r="H920" s="4" t="s">
        <v>472</v>
      </c>
      <c r="I920" s="80">
        <v>20</v>
      </c>
      <c r="J920" s="49">
        <v>20</v>
      </c>
      <c r="K920" s="78">
        <v>20</v>
      </c>
      <c r="L920" s="9"/>
      <c r="M920" s="7">
        <f t="shared" ref="M920:M933" si="226">SUM(I920:L920)</f>
        <v>60</v>
      </c>
      <c r="N920" s="39">
        <v>45132</v>
      </c>
    </row>
    <row r="921" spans="1:14" x14ac:dyDescent="0.15">
      <c r="A921" s="11" t="s">
        <v>34</v>
      </c>
      <c r="B921" s="8"/>
      <c r="C921" s="9"/>
      <c r="D921" s="10">
        <v>1</v>
      </c>
      <c r="E921" s="49"/>
      <c r="F921" s="5">
        <f t="shared" si="225"/>
        <v>1</v>
      </c>
      <c r="G921" s="71">
        <v>45125</v>
      </c>
      <c r="H921" s="11" t="s">
        <v>473</v>
      </c>
      <c r="I921" s="8"/>
      <c r="J921" s="9">
        <v>4</v>
      </c>
      <c r="K921" s="10"/>
      <c r="L921" s="49">
        <v>4</v>
      </c>
      <c r="M921" s="7">
        <f t="shared" si="226"/>
        <v>8</v>
      </c>
      <c r="N921" s="39">
        <v>45120</v>
      </c>
    </row>
    <row r="922" spans="1:14" x14ac:dyDescent="0.15">
      <c r="A922" s="4" t="s">
        <v>476</v>
      </c>
      <c r="B922" s="8"/>
      <c r="C922" s="9">
        <v>1</v>
      </c>
      <c r="D922" s="10"/>
      <c r="E922" s="49"/>
      <c r="F922" s="5">
        <f t="shared" si="225"/>
        <v>1</v>
      </c>
      <c r="G922" s="39">
        <v>45131</v>
      </c>
      <c r="H922" s="11" t="s">
        <v>200</v>
      </c>
      <c r="I922" s="8"/>
      <c r="J922" s="9">
        <v>6</v>
      </c>
      <c r="K922" s="10">
        <v>4</v>
      </c>
      <c r="L922" s="49">
        <v>14</v>
      </c>
      <c r="M922" s="7">
        <f t="shared" si="226"/>
        <v>24</v>
      </c>
      <c r="N922" s="39">
        <v>45121</v>
      </c>
    </row>
    <row r="923" spans="1:14" x14ac:dyDescent="0.15">
      <c r="A923" s="4" t="s">
        <v>481</v>
      </c>
      <c r="B923" s="8">
        <v>2</v>
      </c>
      <c r="C923" s="9"/>
      <c r="D923" s="10">
        <v>4</v>
      </c>
      <c r="E923" s="49"/>
      <c r="F923" s="5">
        <f t="shared" si="225"/>
        <v>6</v>
      </c>
      <c r="G923" s="39">
        <v>45132</v>
      </c>
      <c r="H923" s="11" t="s">
        <v>200</v>
      </c>
      <c r="I923" s="8">
        <v>12</v>
      </c>
      <c r="J923" s="9">
        <v>4</v>
      </c>
      <c r="K923" s="10">
        <v>6</v>
      </c>
      <c r="L923" s="49"/>
      <c r="M923" s="7">
        <f t="shared" si="226"/>
        <v>22</v>
      </c>
      <c r="N923" s="39">
        <v>45122</v>
      </c>
    </row>
    <row r="924" spans="1:14" x14ac:dyDescent="0.15">
      <c r="A924" s="4" t="s">
        <v>200</v>
      </c>
      <c r="B924" s="8">
        <v>2</v>
      </c>
      <c r="C924" s="9">
        <v>2</v>
      </c>
      <c r="D924" s="10"/>
      <c r="E924" s="9"/>
      <c r="F924" s="5">
        <f t="shared" si="225"/>
        <v>4</v>
      </c>
      <c r="G924" s="39">
        <v>45133</v>
      </c>
      <c r="H924" s="11" t="s">
        <v>26</v>
      </c>
      <c r="I924" s="8">
        <v>10</v>
      </c>
      <c r="J924" s="9">
        <v>10</v>
      </c>
      <c r="K924" s="10"/>
      <c r="L924" s="9"/>
      <c r="M924" s="7">
        <f t="shared" si="226"/>
        <v>20</v>
      </c>
      <c r="N924" s="39">
        <v>45122</v>
      </c>
    </row>
    <row r="925" spans="1:14" x14ac:dyDescent="0.15">
      <c r="A925" s="11" t="s">
        <v>484</v>
      </c>
      <c r="B925" s="8">
        <v>1</v>
      </c>
      <c r="C925" s="9"/>
      <c r="D925" s="10"/>
      <c r="E925" s="9"/>
      <c r="F925" s="5">
        <f t="shared" si="225"/>
        <v>1</v>
      </c>
      <c r="G925" s="39">
        <v>45133</v>
      </c>
      <c r="H925" s="11" t="s">
        <v>200</v>
      </c>
      <c r="I925" s="8">
        <v>10</v>
      </c>
      <c r="J925" s="9">
        <v>10</v>
      </c>
      <c r="K925" s="10">
        <v>2</v>
      </c>
      <c r="L925" s="9"/>
      <c r="M925" s="7">
        <f t="shared" si="226"/>
        <v>22</v>
      </c>
      <c r="N925" s="39">
        <v>45126</v>
      </c>
    </row>
    <row r="926" spans="1:14" x14ac:dyDescent="0.15">
      <c r="A926" s="11" t="s">
        <v>34</v>
      </c>
      <c r="B926" s="8"/>
      <c r="C926" s="9"/>
      <c r="D926" s="10">
        <v>1</v>
      </c>
      <c r="E926" s="9"/>
      <c r="F926" s="5">
        <f t="shared" si="225"/>
        <v>1</v>
      </c>
      <c r="G926" s="71">
        <v>45133</v>
      </c>
      <c r="H926" s="11" t="s">
        <v>200</v>
      </c>
      <c r="I926" s="8">
        <v>2</v>
      </c>
      <c r="J926" s="9"/>
      <c r="K926" s="10"/>
      <c r="L926" s="9">
        <v>2</v>
      </c>
      <c r="M926" s="7">
        <f t="shared" si="226"/>
        <v>4</v>
      </c>
      <c r="N926" s="39">
        <v>45127</v>
      </c>
    </row>
    <row r="927" spans="1:14" x14ac:dyDescent="0.15">
      <c r="A927" s="11" t="s">
        <v>34</v>
      </c>
      <c r="B927" s="8">
        <v>1</v>
      </c>
      <c r="C927" s="9"/>
      <c r="D927" s="10"/>
      <c r="E927" s="9"/>
      <c r="F927" s="5">
        <f t="shared" si="225"/>
        <v>1</v>
      </c>
      <c r="G927" s="71">
        <v>45135</v>
      </c>
      <c r="H927" s="4" t="s">
        <v>478</v>
      </c>
      <c r="I927" s="8">
        <v>3</v>
      </c>
      <c r="J927" s="9">
        <v>4</v>
      </c>
      <c r="K927" s="10">
        <v>3</v>
      </c>
      <c r="L927" s="9"/>
      <c r="M927" s="7">
        <f t="shared" si="226"/>
        <v>10</v>
      </c>
      <c r="N927" s="39">
        <v>45131</v>
      </c>
    </row>
    <row r="928" spans="1:14" x14ac:dyDescent="0.15">
      <c r="A928" s="11" t="s">
        <v>39</v>
      </c>
      <c r="B928" s="8">
        <v>1</v>
      </c>
      <c r="C928" s="9"/>
      <c r="D928" s="10"/>
      <c r="E928" s="9"/>
      <c r="F928" s="5">
        <f t="shared" si="225"/>
        <v>1</v>
      </c>
      <c r="G928" s="39">
        <v>45140</v>
      </c>
      <c r="H928" s="11" t="s">
        <v>200</v>
      </c>
      <c r="I928" s="8"/>
      <c r="J928" s="9"/>
      <c r="K928" s="10">
        <v>2</v>
      </c>
      <c r="L928" s="9"/>
      <c r="M928" s="7">
        <f t="shared" si="226"/>
        <v>2</v>
      </c>
      <c r="N928" s="39">
        <v>45128</v>
      </c>
    </row>
    <row r="929" spans="1:14" x14ac:dyDescent="0.15">
      <c r="A929" s="4" t="s">
        <v>487</v>
      </c>
      <c r="B929" s="8">
        <v>2</v>
      </c>
      <c r="C929" s="9"/>
      <c r="D929" s="10"/>
      <c r="E929" s="9"/>
      <c r="F929" s="5">
        <f t="shared" si="225"/>
        <v>2</v>
      </c>
      <c r="G929" s="39">
        <v>45141</v>
      </c>
      <c r="H929" s="4" t="s">
        <v>482</v>
      </c>
      <c r="I929" s="8"/>
      <c r="J929" s="9">
        <v>8</v>
      </c>
      <c r="K929" s="10"/>
      <c r="L929" s="9"/>
      <c r="M929" s="7">
        <f t="shared" si="226"/>
        <v>8</v>
      </c>
      <c r="N929" s="39">
        <v>45134</v>
      </c>
    </row>
    <row r="930" spans="1:14" x14ac:dyDescent="0.15">
      <c r="A930" s="4"/>
      <c r="B930" s="8"/>
      <c r="C930" s="9"/>
      <c r="D930" s="10"/>
      <c r="E930" s="9"/>
      <c r="F930" s="5">
        <f t="shared" si="225"/>
        <v>0</v>
      </c>
      <c r="H930" s="4" t="s">
        <v>483</v>
      </c>
      <c r="I930" s="8"/>
      <c r="J930" s="9">
        <v>11</v>
      </c>
      <c r="K930" s="10">
        <v>11</v>
      </c>
      <c r="L930" s="9"/>
      <c r="M930" s="7">
        <f t="shared" si="226"/>
        <v>22</v>
      </c>
      <c r="N930" s="39">
        <v>45135</v>
      </c>
    </row>
    <row r="931" spans="1:14" x14ac:dyDescent="0.15">
      <c r="A931" s="4"/>
      <c r="B931" s="8"/>
      <c r="C931" s="9"/>
      <c r="D931" s="10"/>
      <c r="E931" s="9"/>
      <c r="F931" s="5">
        <f t="shared" si="225"/>
        <v>0</v>
      </c>
      <c r="H931" s="11" t="s">
        <v>200</v>
      </c>
      <c r="I931" s="8">
        <v>8</v>
      </c>
      <c r="J931" s="9">
        <v>10</v>
      </c>
      <c r="K931" s="10">
        <v>4</v>
      </c>
      <c r="L931" s="9">
        <v>4</v>
      </c>
      <c r="M931" s="7">
        <f t="shared" si="226"/>
        <v>26</v>
      </c>
      <c r="N931" s="39">
        <v>45134</v>
      </c>
    </row>
    <row r="932" spans="1:14" x14ac:dyDescent="0.15">
      <c r="A932" s="4"/>
      <c r="B932" s="8"/>
      <c r="C932" s="9"/>
      <c r="D932" s="10"/>
      <c r="E932" s="9"/>
      <c r="F932" s="5">
        <f t="shared" si="225"/>
        <v>0</v>
      </c>
      <c r="H932" s="11" t="s">
        <v>26</v>
      </c>
      <c r="I932" s="8">
        <v>5</v>
      </c>
      <c r="J932" s="9"/>
      <c r="K932" s="10">
        <v>5</v>
      </c>
      <c r="L932" s="9"/>
      <c r="M932" s="7">
        <f t="shared" si="226"/>
        <v>10</v>
      </c>
      <c r="N932" s="39">
        <v>45134</v>
      </c>
    </row>
    <row r="933" spans="1:14" x14ac:dyDescent="0.15">
      <c r="A933" s="4"/>
      <c r="B933" s="8"/>
      <c r="C933" s="9"/>
      <c r="D933" s="10"/>
      <c r="E933" s="9"/>
      <c r="F933" s="5">
        <f t="shared" si="225"/>
        <v>0</v>
      </c>
      <c r="H933" s="4" t="s">
        <v>486</v>
      </c>
      <c r="I933" s="8">
        <v>3</v>
      </c>
      <c r="J933" s="9">
        <v>10</v>
      </c>
      <c r="K933" s="10"/>
      <c r="L933" s="9"/>
      <c r="M933" s="7">
        <f t="shared" si="226"/>
        <v>13</v>
      </c>
      <c r="N933" s="39">
        <v>45140</v>
      </c>
    </row>
    <row r="934" spans="1:14" x14ac:dyDescent="0.15">
      <c r="A934" s="4"/>
      <c r="B934" s="8"/>
      <c r="C934" s="9"/>
      <c r="D934" s="10"/>
      <c r="E934" s="9"/>
      <c r="F934" s="5">
        <f t="shared" si="225"/>
        <v>0</v>
      </c>
      <c r="H934" s="11" t="s">
        <v>200</v>
      </c>
      <c r="I934" s="8"/>
      <c r="J934" s="9">
        <v>4</v>
      </c>
      <c r="K934" s="10"/>
      <c r="L934" s="9"/>
      <c r="M934" s="7">
        <f t="shared" ref="M934:M938" si="227">SUM(I934:L934)</f>
        <v>4</v>
      </c>
      <c r="N934" s="39">
        <v>45139</v>
      </c>
    </row>
    <row r="935" spans="1:14" x14ac:dyDescent="0.15">
      <c r="A935" s="11"/>
      <c r="B935" s="8"/>
      <c r="C935" s="9"/>
      <c r="D935" s="10"/>
      <c r="E935" s="9"/>
      <c r="F935" s="5">
        <f t="shared" si="225"/>
        <v>0</v>
      </c>
      <c r="H935" s="11" t="s">
        <v>200</v>
      </c>
      <c r="I935" s="8"/>
      <c r="J935" s="9">
        <v>4</v>
      </c>
      <c r="K935" s="10">
        <v>2</v>
      </c>
      <c r="L935" s="9"/>
      <c r="M935" s="7">
        <f t="shared" si="227"/>
        <v>6</v>
      </c>
      <c r="N935" s="39">
        <v>45140</v>
      </c>
    </row>
    <row r="936" spans="1:14" x14ac:dyDescent="0.15">
      <c r="A936" s="4"/>
      <c r="B936" s="8"/>
      <c r="C936" s="9"/>
      <c r="D936" s="10"/>
      <c r="E936" s="9"/>
      <c r="F936" s="5">
        <f t="shared" si="225"/>
        <v>0</v>
      </c>
      <c r="H936" s="11" t="s">
        <v>200</v>
      </c>
      <c r="I936" s="8"/>
      <c r="J936" s="9">
        <v>2</v>
      </c>
      <c r="K936" s="10">
        <v>4</v>
      </c>
      <c r="L936" s="9"/>
      <c r="M936" s="7">
        <f t="shared" si="227"/>
        <v>6</v>
      </c>
      <c r="N936" s="39">
        <v>45141</v>
      </c>
    </row>
    <row r="937" spans="1:14" x14ac:dyDescent="0.15">
      <c r="A937" s="4"/>
      <c r="B937" s="8"/>
      <c r="C937" s="9"/>
      <c r="D937" s="10"/>
      <c r="E937" s="9"/>
      <c r="F937" s="5">
        <f t="shared" si="225"/>
        <v>0</v>
      </c>
      <c r="H937" s="11" t="s">
        <v>200</v>
      </c>
      <c r="I937" s="8"/>
      <c r="J937" s="9">
        <v>14</v>
      </c>
      <c r="K937" s="10">
        <v>2</v>
      </c>
      <c r="L937" s="9">
        <v>2</v>
      </c>
      <c r="M937" s="7">
        <f t="shared" si="227"/>
        <v>18</v>
      </c>
      <c r="N937" s="39">
        <v>45142</v>
      </c>
    </row>
    <row r="938" spans="1:14" x14ac:dyDescent="0.15">
      <c r="A938" s="4"/>
      <c r="B938" s="8"/>
      <c r="C938" s="9"/>
      <c r="D938" s="10"/>
      <c r="E938" s="9"/>
      <c r="F938" s="5">
        <f t="shared" si="225"/>
        <v>0</v>
      </c>
      <c r="H938" s="11" t="s">
        <v>200</v>
      </c>
      <c r="I938" s="8">
        <v>2</v>
      </c>
      <c r="J938" s="9">
        <v>2</v>
      </c>
      <c r="K938" s="10"/>
      <c r="L938" s="9">
        <v>6</v>
      </c>
      <c r="M938" s="7">
        <f t="shared" si="227"/>
        <v>10</v>
      </c>
      <c r="N938" s="39">
        <v>45145</v>
      </c>
    </row>
    <row r="939" spans="1:14" x14ac:dyDescent="0.15">
      <c r="A939" s="11"/>
      <c r="B939" s="8"/>
      <c r="C939" s="9"/>
      <c r="D939" s="10"/>
      <c r="E939" s="9"/>
      <c r="F939" s="5">
        <f t="shared" si="225"/>
        <v>0</v>
      </c>
      <c r="H939" s="133"/>
      <c r="I939" s="8"/>
      <c r="J939" s="9"/>
      <c r="K939" s="10"/>
      <c r="L939" s="9"/>
      <c r="M939" s="7">
        <f t="shared" ref="M939:M940" si="228">SUM(I939:L939)</f>
        <v>0</v>
      </c>
      <c r="N939" s="41"/>
    </row>
    <row r="940" spans="1:14" x14ac:dyDescent="0.15">
      <c r="A940" s="4"/>
      <c r="B940" s="8"/>
      <c r="C940" s="9"/>
      <c r="D940" s="10"/>
      <c r="E940" s="9"/>
      <c r="F940" s="5">
        <f t="shared" si="225"/>
        <v>0</v>
      </c>
      <c r="H940" s="133" t="s">
        <v>485</v>
      </c>
      <c r="I940" s="8"/>
      <c r="J940" s="9"/>
      <c r="K940" s="10"/>
      <c r="L940" s="9"/>
      <c r="M940" s="7">
        <f t="shared" si="228"/>
        <v>0</v>
      </c>
      <c r="N940" s="41" t="s">
        <v>412</v>
      </c>
    </row>
    <row r="941" spans="1:14" x14ac:dyDescent="0.15">
      <c r="A941" s="11"/>
      <c r="B941" s="8"/>
      <c r="C941" s="9"/>
      <c r="D941" s="10"/>
      <c r="E941" s="9"/>
      <c r="F941" s="5">
        <f t="shared" si="225"/>
        <v>0</v>
      </c>
      <c r="H941" s="4" t="s">
        <v>436</v>
      </c>
      <c r="I941" s="8"/>
      <c r="J941" s="9"/>
      <c r="K941" s="10"/>
      <c r="L941" s="9"/>
      <c r="M941" s="7">
        <f t="shared" ref="M941:M942" si="229">SUM(I941:L941)</f>
        <v>0</v>
      </c>
      <c r="N941" s="41" t="s">
        <v>435</v>
      </c>
    </row>
    <row r="942" spans="1:14" ht="14.25" thickBot="1" x14ac:dyDescent="0.2">
      <c r="A942" s="11"/>
      <c r="B942" s="8"/>
      <c r="C942" s="9"/>
      <c r="D942" s="10"/>
      <c r="E942" s="9"/>
      <c r="F942" s="5">
        <f t="shared" si="225"/>
        <v>0</v>
      </c>
      <c r="H942" s="4" t="s">
        <v>479</v>
      </c>
      <c r="I942" s="8"/>
      <c r="J942" s="9"/>
      <c r="K942" s="10"/>
      <c r="L942" s="9"/>
      <c r="M942" s="7">
        <f t="shared" si="229"/>
        <v>0</v>
      </c>
      <c r="N942" s="41" t="s">
        <v>427</v>
      </c>
    </row>
    <row r="943" spans="1:14" ht="14.25" thickBot="1" x14ac:dyDescent="0.2">
      <c r="A943" s="3" t="s">
        <v>5</v>
      </c>
      <c r="B943" s="14">
        <f>SUM(B919:B942)</f>
        <v>10</v>
      </c>
      <c r="C943" s="14">
        <f>SUM(C919:C942)</f>
        <v>5</v>
      </c>
      <c r="D943" s="14">
        <f>SUM(D919:D942)</f>
        <v>6</v>
      </c>
      <c r="E943" s="14">
        <f>SUM(E919:E942)</f>
        <v>0</v>
      </c>
      <c r="F943" s="15">
        <f>SUM(B943:E943)</f>
        <v>21</v>
      </c>
      <c r="H943" s="3" t="s">
        <v>5</v>
      </c>
      <c r="I943" s="14">
        <f>SUM(I919:I942)</f>
        <v>80</v>
      </c>
      <c r="J943" s="14">
        <f>SUM(J919:J942)</f>
        <v>133</v>
      </c>
      <c r="K943" s="14">
        <f>SUM(K919:K942)</f>
        <v>65</v>
      </c>
      <c r="L943" s="14">
        <f>SUM(L919:L942)</f>
        <v>32</v>
      </c>
      <c r="M943" s="15">
        <f>SUM(I943:L943)</f>
        <v>310</v>
      </c>
    </row>
    <row r="944" spans="1:14" ht="14.25" thickBot="1" x14ac:dyDescent="0.2">
      <c r="A944" s="25" t="s">
        <v>6</v>
      </c>
      <c r="B944" s="26">
        <f>B918-B943</f>
        <v>9</v>
      </c>
      <c r="C944" s="26">
        <f t="shared" ref="C944:F944" si="230">C918-C943</f>
        <v>17</v>
      </c>
      <c r="D944" s="26">
        <f t="shared" si="230"/>
        <v>13</v>
      </c>
      <c r="E944" s="26">
        <f t="shared" si="230"/>
        <v>14</v>
      </c>
      <c r="F944" s="24">
        <f t="shared" si="230"/>
        <v>53</v>
      </c>
      <c r="H944" s="25" t="s">
        <v>6</v>
      </c>
      <c r="I944" s="26">
        <f>I918-I943</f>
        <v>107</v>
      </c>
      <c r="J944" s="26">
        <f t="shared" ref="J944:M944" si="231">J918-J943</f>
        <v>207</v>
      </c>
      <c r="K944" s="26">
        <f t="shared" si="231"/>
        <v>337</v>
      </c>
      <c r="L944" s="26">
        <f t="shared" si="231"/>
        <v>337</v>
      </c>
      <c r="M944" s="24">
        <f t="shared" si="231"/>
        <v>988</v>
      </c>
    </row>
    <row r="947" spans="1:14" ht="21.75" thickBot="1" x14ac:dyDescent="0.25">
      <c r="A947" s="29" t="s">
        <v>13</v>
      </c>
      <c r="B947" s="1"/>
      <c r="C947" s="1"/>
      <c r="D947" s="1"/>
      <c r="E947" s="1"/>
      <c r="F947" s="1"/>
      <c r="H947" s="29" t="s">
        <v>14</v>
      </c>
      <c r="I947" s="1"/>
      <c r="J947" s="1"/>
      <c r="K947" s="1"/>
      <c r="L947" s="1"/>
      <c r="M947" s="1"/>
    </row>
    <row r="948" spans="1:14" ht="14.25" thickBot="1" x14ac:dyDescent="0.2">
      <c r="A948" s="2" t="s">
        <v>0</v>
      </c>
      <c r="B948" s="164" t="s">
        <v>12</v>
      </c>
      <c r="C948" s="165"/>
      <c r="D948" s="165"/>
      <c r="E948" s="165"/>
      <c r="F948" s="117"/>
      <c r="H948" s="2" t="s">
        <v>0</v>
      </c>
      <c r="I948" s="164" t="s">
        <v>12</v>
      </c>
      <c r="J948" s="165"/>
      <c r="K948" s="165"/>
      <c r="L948" s="165"/>
      <c r="M948" s="117"/>
    </row>
    <row r="949" spans="1:14" ht="14.25" thickBot="1" x14ac:dyDescent="0.2">
      <c r="A949" s="2" t="s">
        <v>1</v>
      </c>
      <c r="B949" s="3" t="s">
        <v>489</v>
      </c>
      <c r="C949" s="2" t="s">
        <v>490</v>
      </c>
      <c r="D949" s="19" t="s">
        <v>491</v>
      </c>
      <c r="E949" s="2" t="s">
        <v>492</v>
      </c>
      <c r="F949" s="2" t="s">
        <v>2</v>
      </c>
      <c r="H949" s="2" t="s">
        <v>1</v>
      </c>
      <c r="I949" s="3" t="s">
        <v>489</v>
      </c>
      <c r="J949" s="2" t="s">
        <v>490</v>
      </c>
      <c r="K949" s="19" t="s">
        <v>491</v>
      </c>
      <c r="L949" s="2" t="s">
        <v>492</v>
      </c>
      <c r="M949" s="2" t="s">
        <v>2</v>
      </c>
    </row>
    <row r="950" spans="1:14" x14ac:dyDescent="0.15">
      <c r="A950" s="27" t="s">
        <v>6</v>
      </c>
      <c r="B950" s="18">
        <f>B944</f>
        <v>9</v>
      </c>
      <c r="C950" s="20">
        <f>C944</f>
        <v>17</v>
      </c>
      <c r="D950" s="55">
        <f>D944</f>
        <v>13</v>
      </c>
      <c r="E950" s="20">
        <f>E944</f>
        <v>14</v>
      </c>
      <c r="F950" s="17">
        <f>SUM(B950:E950)</f>
        <v>53</v>
      </c>
      <c r="H950" s="27" t="s">
        <v>6</v>
      </c>
      <c r="I950" s="18">
        <f>I944</f>
        <v>107</v>
      </c>
      <c r="J950" s="20">
        <f>J944</f>
        <v>207</v>
      </c>
      <c r="K950" s="55">
        <f>K944</f>
        <v>337</v>
      </c>
      <c r="L950" s="58">
        <f>L944</f>
        <v>337</v>
      </c>
      <c r="M950" s="17">
        <f>SUM(I950:L950)</f>
        <v>988</v>
      </c>
    </row>
    <row r="951" spans="1:14" x14ac:dyDescent="0.15">
      <c r="A951" s="6" t="s">
        <v>3</v>
      </c>
      <c r="B951" s="16">
        <v>5</v>
      </c>
      <c r="C951" s="11"/>
      <c r="D951" s="16"/>
      <c r="E951" s="4"/>
      <c r="F951" s="5">
        <f t="shared" ref="F951:F960" si="232">SUM(B951:E951)</f>
        <v>5</v>
      </c>
      <c r="G951" s="39">
        <v>45148</v>
      </c>
      <c r="H951" s="6" t="s">
        <v>3</v>
      </c>
      <c r="I951" s="16"/>
      <c r="J951" s="11">
        <v>7</v>
      </c>
      <c r="K951" s="16"/>
      <c r="L951" s="4"/>
      <c r="M951" s="5">
        <f t="shared" ref="M951" si="233">SUM(I951:L951)</f>
        <v>7</v>
      </c>
      <c r="N951" s="71">
        <v>45157</v>
      </c>
    </row>
    <row r="952" spans="1:14" x14ac:dyDescent="0.15">
      <c r="A952" s="6" t="s">
        <v>306</v>
      </c>
      <c r="B952" s="16"/>
      <c r="C952" s="11"/>
      <c r="D952" s="16">
        <v>1</v>
      </c>
      <c r="E952" s="4"/>
      <c r="F952" s="5">
        <f t="shared" si="232"/>
        <v>1</v>
      </c>
      <c r="G952" s="39">
        <v>45147</v>
      </c>
      <c r="H952" s="6" t="s">
        <v>3</v>
      </c>
      <c r="I952" s="16"/>
      <c r="J952" s="11"/>
      <c r="K952" s="16"/>
      <c r="L952" s="4"/>
      <c r="M952" s="5">
        <f t="shared" ref="M952:M960" si="234">SUM(I952:L952)</f>
        <v>0</v>
      </c>
    </row>
    <row r="953" spans="1:14" x14ac:dyDescent="0.15">
      <c r="A953" s="6" t="s">
        <v>500</v>
      </c>
      <c r="B953" s="16">
        <v>1</v>
      </c>
      <c r="C953" s="11">
        <v>7</v>
      </c>
      <c r="D953" s="16">
        <v>1</v>
      </c>
      <c r="E953" s="4"/>
      <c r="F953" s="5">
        <f t="shared" si="232"/>
        <v>9</v>
      </c>
      <c r="G953" s="71">
        <v>45156</v>
      </c>
      <c r="H953" s="6" t="s">
        <v>3</v>
      </c>
      <c r="I953" s="31"/>
      <c r="J953" s="32"/>
      <c r="K953" s="31"/>
      <c r="L953" s="52"/>
      <c r="M953" s="5">
        <f t="shared" si="234"/>
        <v>0</v>
      </c>
    </row>
    <row r="954" spans="1:14" x14ac:dyDescent="0.15">
      <c r="A954" s="6" t="s">
        <v>3</v>
      </c>
      <c r="B954" s="16">
        <v>5</v>
      </c>
      <c r="C954" s="11"/>
      <c r="D954" s="16"/>
      <c r="E954" s="4"/>
      <c r="F954" s="5">
        <f t="shared" si="232"/>
        <v>5</v>
      </c>
      <c r="G954" s="39">
        <v>45169</v>
      </c>
      <c r="H954" s="6" t="s">
        <v>316</v>
      </c>
      <c r="I954" s="16">
        <v>350</v>
      </c>
      <c r="J954" s="11">
        <v>450</v>
      </c>
      <c r="K954" s="16">
        <v>150</v>
      </c>
      <c r="L954" s="4">
        <v>50</v>
      </c>
      <c r="M954" s="5">
        <f t="shared" si="234"/>
        <v>1000</v>
      </c>
      <c r="N954" s="39" t="s">
        <v>480</v>
      </c>
    </row>
    <row r="955" spans="1:14" x14ac:dyDescent="0.15">
      <c r="A955" s="6" t="s">
        <v>3</v>
      </c>
      <c r="B955" s="16">
        <v>2</v>
      </c>
      <c r="C955" s="11">
        <v>1</v>
      </c>
      <c r="D955" s="16">
        <v>1</v>
      </c>
      <c r="E955" s="4"/>
      <c r="F955" s="5">
        <f t="shared" si="232"/>
        <v>4</v>
      </c>
      <c r="G955" s="39">
        <v>45171</v>
      </c>
      <c r="H955" s="6" t="s">
        <v>477</v>
      </c>
      <c r="I955" s="31">
        <v>2</v>
      </c>
      <c r="J955" s="32"/>
      <c r="K955" s="31">
        <v>2</v>
      </c>
      <c r="L955" s="52">
        <v>11</v>
      </c>
      <c r="M955" s="5">
        <f t="shared" si="234"/>
        <v>15</v>
      </c>
      <c r="N955" s="41"/>
    </row>
    <row r="956" spans="1:14" x14ac:dyDescent="0.15">
      <c r="A956" s="6" t="s">
        <v>3</v>
      </c>
      <c r="B956" s="16"/>
      <c r="C956" s="11"/>
      <c r="D956" s="16"/>
      <c r="E956" s="4"/>
      <c r="F956" s="5">
        <f t="shared" si="232"/>
        <v>0</v>
      </c>
      <c r="H956" s="6" t="s">
        <v>3</v>
      </c>
      <c r="I956" s="31"/>
      <c r="J956" s="32"/>
      <c r="K956" s="31"/>
      <c r="L956" s="52"/>
      <c r="M956" s="5">
        <f t="shared" si="234"/>
        <v>0</v>
      </c>
    </row>
    <row r="957" spans="1:14" x14ac:dyDescent="0.15">
      <c r="A957" s="6" t="s">
        <v>3</v>
      </c>
      <c r="B957" s="31"/>
      <c r="C957" s="32"/>
      <c r="D957" s="31"/>
      <c r="E957" s="52"/>
      <c r="F957" s="5">
        <f t="shared" si="232"/>
        <v>0</v>
      </c>
      <c r="H957" s="6" t="s">
        <v>3</v>
      </c>
      <c r="I957" s="31"/>
      <c r="J957" s="32"/>
      <c r="K957" s="31"/>
      <c r="L957" s="52"/>
      <c r="M957" s="5">
        <f t="shared" ref="M957" si="235">SUM(I957:L957)</f>
        <v>0</v>
      </c>
    </row>
    <row r="958" spans="1:14" x14ac:dyDescent="0.15">
      <c r="A958" s="6" t="s">
        <v>3</v>
      </c>
      <c r="B958" s="10"/>
      <c r="C958" s="9"/>
      <c r="D958" s="10"/>
      <c r="E958" s="49"/>
      <c r="F958" s="5">
        <f t="shared" si="232"/>
        <v>0</v>
      </c>
      <c r="H958" s="6" t="s">
        <v>3</v>
      </c>
      <c r="I958" s="31"/>
      <c r="J958" s="32"/>
      <c r="K958" s="31"/>
      <c r="L958" s="52"/>
      <c r="M958" s="5">
        <f t="shared" si="234"/>
        <v>0</v>
      </c>
    </row>
    <row r="959" spans="1:14" x14ac:dyDescent="0.15">
      <c r="A959" s="6" t="s">
        <v>3</v>
      </c>
      <c r="B959" s="31"/>
      <c r="C959" s="32"/>
      <c r="D959" s="31"/>
      <c r="E959" s="52"/>
      <c r="F959" s="5">
        <f t="shared" si="232"/>
        <v>0</v>
      </c>
      <c r="H959" s="6" t="s">
        <v>3</v>
      </c>
      <c r="I959" s="34"/>
      <c r="J959" s="35"/>
      <c r="K959" s="34"/>
      <c r="L959" s="32"/>
      <c r="M959" s="5">
        <f t="shared" si="234"/>
        <v>0</v>
      </c>
    </row>
    <row r="960" spans="1:14" ht="14.25" thickBot="1" x14ac:dyDescent="0.2">
      <c r="A960" s="6" t="s">
        <v>3</v>
      </c>
      <c r="B960" s="13"/>
      <c r="C960" s="12"/>
      <c r="D960" s="13"/>
      <c r="E960" s="50"/>
      <c r="F960" s="5">
        <f t="shared" si="232"/>
        <v>0</v>
      </c>
      <c r="H960" s="6" t="s">
        <v>3</v>
      </c>
      <c r="I960" s="34"/>
      <c r="J960" s="35"/>
      <c r="K960" s="34"/>
      <c r="L960" s="53"/>
      <c r="M960" s="5">
        <f t="shared" si="234"/>
        <v>0</v>
      </c>
    </row>
    <row r="961" spans="1:16" ht="14.25" thickBot="1" x14ac:dyDescent="0.2">
      <c r="A961" s="21" t="s">
        <v>4</v>
      </c>
      <c r="B961" s="22">
        <f>SUM(B950:B960)</f>
        <v>22</v>
      </c>
      <c r="C961" s="22">
        <f>SUM(C950:C960)</f>
        <v>25</v>
      </c>
      <c r="D961" s="23">
        <f>SUM(D950:D960)</f>
        <v>16</v>
      </c>
      <c r="E961" s="23">
        <f>SUM(E950:E960)</f>
        <v>14</v>
      </c>
      <c r="F961" s="24">
        <f>SUM(B961:E961)</f>
        <v>77</v>
      </c>
      <c r="H961" s="21" t="s">
        <v>4</v>
      </c>
      <c r="I961" s="22">
        <f>SUM(I950:I960)</f>
        <v>459</v>
      </c>
      <c r="J961" s="22">
        <f>SUM(J950:J960)</f>
        <v>664</v>
      </c>
      <c r="K961" s="23">
        <f>SUM(K950:K960)</f>
        <v>489</v>
      </c>
      <c r="L961" s="23">
        <f>SUM(L950:L960)</f>
        <v>398</v>
      </c>
      <c r="M961" s="24">
        <f>SUM(I961:L961)</f>
        <v>2010</v>
      </c>
    </row>
    <row r="962" spans="1:16" x14ac:dyDescent="0.15">
      <c r="A962" s="11" t="s">
        <v>39</v>
      </c>
      <c r="B962" s="8">
        <v>3</v>
      </c>
      <c r="C962" s="9">
        <v>2</v>
      </c>
      <c r="D962" s="10"/>
      <c r="E962" s="49">
        <v>1</v>
      </c>
      <c r="F962" s="5">
        <f>SUM(B962:E962)</f>
        <v>6</v>
      </c>
      <c r="G962" s="39">
        <v>45146</v>
      </c>
      <c r="H962" s="133" t="s">
        <v>501</v>
      </c>
      <c r="I962" s="80">
        <v>40</v>
      </c>
      <c r="J962" s="49">
        <v>20</v>
      </c>
      <c r="K962" s="78"/>
      <c r="L962" s="9"/>
      <c r="M962" s="7">
        <f>SUM(I962:L962)</f>
        <v>60</v>
      </c>
      <c r="N962" s="39">
        <v>45159</v>
      </c>
    </row>
    <row r="963" spans="1:16" x14ac:dyDescent="0.15">
      <c r="A963" s="4" t="s">
        <v>495</v>
      </c>
      <c r="B963" s="8"/>
      <c r="C963" s="9"/>
      <c r="D963" s="10">
        <v>4</v>
      </c>
      <c r="E963" s="49"/>
      <c r="F963" s="5">
        <f t="shared" ref="F963:F985" si="236">SUM(B963:E963)</f>
        <v>4</v>
      </c>
      <c r="G963" s="39">
        <v>45157</v>
      </c>
      <c r="H963" s="11" t="s">
        <v>200</v>
      </c>
      <c r="I963" s="80">
        <v>4</v>
      </c>
      <c r="J963" s="49"/>
      <c r="K963" s="78">
        <v>6</v>
      </c>
      <c r="L963" s="9">
        <v>2</v>
      </c>
      <c r="M963" s="7">
        <f t="shared" ref="M963:M982" si="237">SUM(I963:L963)</f>
        <v>12</v>
      </c>
      <c r="N963" s="39">
        <v>45146</v>
      </c>
    </row>
    <row r="964" spans="1:16" x14ac:dyDescent="0.15">
      <c r="A964" s="11" t="s">
        <v>39</v>
      </c>
      <c r="B964" s="8"/>
      <c r="C964" s="9">
        <v>2</v>
      </c>
      <c r="D964" s="10"/>
      <c r="E964" s="49"/>
      <c r="F964" s="5">
        <f t="shared" si="236"/>
        <v>2</v>
      </c>
      <c r="G964" s="39">
        <v>45155</v>
      </c>
      <c r="H964" s="4" t="s">
        <v>488</v>
      </c>
      <c r="I964" s="8">
        <v>20</v>
      </c>
      <c r="J964" s="9">
        <v>20</v>
      </c>
      <c r="K964" s="10">
        <v>20</v>
      </c>
      <c r="L964" s="49"/>
      <c r="M964" s="7">
        <f t="shared" si="237"/>
        <v>60</v>
      </c>
      <c r="N964" s="39">
        <v>45148</v>
      </c>
    </row>
    <row r="965" spans="1:16" x14ac:dyDescent="0.15">
      <c r="A965" s="11" t="s">
        <v>34</v>
      </c>
      <c r="B965" s="8"/>
      <c r="C965" s="9">
        <v>1</v>
      </c>
      <c r="D965" s="10"/>
      <c r="E965" s="49"/>
      <c r="F965" s="5">
        <f t="shared" si="236"/>
        <v>1</v>
      </c>
      <c r="G965" s="71">
        <v>45156</v>
      </c>
      <c r="H965" s="4" t="s">
        <v>493</v>
      </c>
      <c r="I965" s="8">
        <v>2</v>
      </c>
      <c r="J965" s="9">
        <v>2</v>
      </c>
      <c r="K965" s="10"/>
      <c r="L965" s="49"/>
      <c r="M965" s="7">
        <f t="shared" si="237"/>
        <v>4</v>
      </c>
      <c r="N965" s="39">
        <v>45148</v>
      </c>
    </row>
    <row r="966" spans="1:16" x14ac:dyDescent="0.15">
      <c r="A966" s="4" t="s">
        <v>499</v>
      </c>
      <c r="B966" s="8"/>
      <c r="C966" s="9">
        <v>7</v>
      </c>
      <c r="D966" s="10"/>
      <c r="E966" s="49"/>
      <c r="F966" s="5">
        <f t="shared" si="236"/>
        <v>7</v>
      </c>
      <c r="G966" s="71">
        <v>45157</v>
      </c>
      <c r="H966" s="11" t="s">
        <v>26</v>
      </c>
      <c r="I966" s="8">
        <v>5</v>
      </c>
      <c r="J966" s="9"/>
      <c r="K966" s="10"/>
      <c r="L966" s="49"/>
      <c r="M966" s="7">
        <f t="shared" si="237"/>
        <v>5</v>
      </c>
      <c r="N966" s="39">
        <v>45148</v>
      </c>
    </row>
    <row r="967" spans="1:16" x14ac:dyDescent="0.15">
      <c r="A967" s="4" t="s">
        <v>200</v>
      </c>
      <c r="B967" s="8">
        <v>2</v>
      </c>
      <c r="C967" s="9"/>
      <c r="D967" s="10"/>
      <c r="E967" s="9"/>
      <c r="F967" s="5">
        <f t="shared" si="236"/>
        <v>2</v>
      </c>
      <c r="G967" s="39">
        <v>45160</v>
      </c>
      <c r="H967" s="4" t="s">
        <v>494</v>
      </c>
      <c r="I967" s="8">
        <v>1</v>
      </c>
      <c r="J967" s="9">
        <v>2</v>
      </c>
      <c r="K967" s="10"/>
      <c r="L967" s="9"/>
      <c r="M967" s="7">
        <f t="shared" si="237"/>
        <v>3</v>
      </c>
      <c r="N967" s="39">
        <v>45155</v>
      </c>
    </row>
    <row r="968" spans="1:16" x14ac:dyDescent="0.15">
      <c r="A968" s="4" t="s">
        <v>503</v>
      </c>
      <c r="B968" s="8"/>
      <c r="C968" s="9">
        <v>2</v>
      </c>
      <c r="D968" s="10"/>
      <c r="E968" s="9"/>
      <c r="F968" s="5">
        <f t="shared" si="236"/>
        <v>2</v>
      </c>
      <c r="G968" s="39">
        <v>45162</v>
      </c>
      <c r="H968" s="4" t="s">
        <v>200</v>
      </c>
      <c r="I968" s="8">
        <v>2</v>
      </c>
      <c r="J968" s="9">
        <v>4</v>
      </c>
      <c r="K968" s="10">
        <v>2</v>
      </c>
      <c r="L968" s="9">
        <v>2</v>
      </c>
      <c r="M968" s="7">
        <f t="shared" si="237"/>
        <v>10</v>
      </c>
      <c r="N968" s="39">
        <v>45156</v>
      </c>
    </row>
    <row r="969" spans="1:16" x14ac:dyDescent="0.15">
      <c r="A969" s="11" t="s">
        <v>34</v>
      </c>
      <c r="B969" s="8">
        <v>1</v>
      </c>
      <c r="C969" s="9"/>
      <c r="D969" s="10"/>
      <c r="E969" s="9"/>
      <c r="F969" s="5">
        <f t="shared" si="236"/>
        <v>1</v>
      </c>
      <c r="G969" s="71">
        <v>45159</v>
      </c>
      <c r="H969" s="4" t="s">
        <v>498</v>
      </c>
      <c r="I969" s="8">
        <v>10</v>
      </c>
      <c r="J969" s="9">
        <v>20</v>
      </c>
      <c r="K969" s="10"/>
      <c r="L969" s="9"/>
      <c r="M969" s="7">
        <f t="shared" si="237"/>
        <v>30</v>
      </c>
      <c r="N969" s="39">
        <v>45159</v>
      </c>
    </row>
    <row r="970" spans="1:16" x14ac:dyDescent="0.15">
      <c r="A970" s="4" t="s">
        <v>506</v>
      </c>
      <c r="B970" s="8"/>
      <c r="C970" s="9"/>
      <c r="D970" s="10">
        <v>-1</v>
      </c>
      <c r="E970" s="9">
        <v>1</v>
      </c>
      <c r="F970" s="5">
        <f t="shared" ref="F970:F971" si="238">SUM(B970:E970)</f>
        <v>0</v>
      </c>
      <c r="G970" s="71">
        <v>45162</v>
      </c>
      <c r="H970" s="4" t="s">
        <v>504</v>
      </c>
      <c r="I970" s="8">
        <v>3</v>
      </c>
      <c r="J970" s="9">
        <v>2</v>
      </c>
      <c r="K970" s="10"/>
      <c r="L970" s="9"/>
      <c r="M970" s="7">
        <f t="shared" si="237"/>
        <v>5</v>
      </c>
      <c r="N970" s="39">
        <v>45160</v>
      </c>
    </row>
    <row r="971" spans="1:16" x14ac:dyDescent="0.15">
      <c r="A971" s="4" t="s">
        <v>507</v>
      </c>
      <c r="B971" s="8">
        <v>2</v>
      </c>
      <c r="C971" s="9">
        <v>1</v>
      </c>
      <c r="D971" s="10"/>
      <c r="E971" s="9"/>
      <c r="F971" s="5">
        <f t="shared" si="238"/>
        <v>3</v>
      </c>
      <c r="G971" s="39">
        <v>45168</v>
      </c>
      <c r="H971" s="4" t="s">
        <v>200</v>
      </c>
      <c r="I971" s="8"/>
      <c r="J971" s="9">
        <v>6</v>
      </c>
      <c r="K971" s="10"/>
      <c r="L971" s="9"/>
      <c r="M971" s="7">
        <f t="shared" ref="M971:M972" si="239">SUM(I971:L971)</f>
        <v>6</v>
      </c>
      <c r="N971" s="39">
        <v>45159</v>
      </c>
    </row>
    <row r="972" spans="1:16" x14ac:dyDescent="0.15">
      <c r="A972" s="11" t="s">
        <v>39</v>
      </c>
      <c r="B972" s="8">
        <v>1</v>
      </c>
      <c r="C972" s="9"/>
      <c r="D972" s="10"/>
      <c r="E972" s="9"/>
      <c r="F972" s="5">
        <f t="shared" si="236"/>
        <v>1</v>
      </c>
      <c r="G972" s="39">
        <v>45164</v>
      </c>
      <c r="H972" s="4" t="s">
        <v>502</v>
      </c>
      <c r="I972" s="8">
        <v>14</v>
      </c>
      <c r="J972" s="9">
        <v>23</v>
      </c>
      <c r="K972" s="10">
        <v>5</v>
      </c>
      <c r="L972" s="9"/>
      <c r="M972" s="7">
        <f t="shared" si="239"/>
        <v>42</v>
      </c>
      <c r="N972" s="39">
        <v>45160</v>
      </c>
      <c r="O972" s="30"/>
      <c r="P972" s="30"/>
    </row>
    <row r="973" spans="1:16" x14ac:dyDescent="0.15">
      <c r="A973" s="4" t="s">
        <v>511</v>
      </c>
      <c r="B973" s="8">
        <v>2</v>
      </c>
      <c r="C973" s="9"/>
      <c r="D973" s="10"/>
      <c r="E973" s="9"/>
      <c r="F973" s="5">
        <f t="shared" si="236"/>
        <v>2</v>
      </c>
      <c r="G973" s="71">
        <v>45171</v>
      </c>
      <c r="H973" s="4" t="s">
        <v>505</v>
      </c>
      <c r="I973" s="80"/>
      <c r="J973" s="49">
        <v>10</v>
      </c>
      <c r="K973" s="78"/>
      <c r="L973" s="9">
        <v>10</v>
      </c>
      <c r="M973" s="7">
        <f>SUM(I973:L973)</f>
        <v>20</v>
      </c>
      <c r="N973" s="39">
        <v>45163</v>
      </c>
    </row>
    <row r="974" spans="1:16" x14ac:dyDescent="0.15">
      <c r="A974" s="4" t="s">
        <v>200</v>
      </c>
      <c r="B974" s="8">
        <v>2</v>
      </c>
      <c r="C974" s="9"/>
      <c r="D974" s="10"/>
      <c r="E974" s="9"/>
      <c r="F974" s="5">
        <f t="shared" si="236"/>
        <v>2</v>
      </c>
      <c r="G974" s="39">
        <v>45170</v>
      </c>
      <c r="H974" s="4" t="s">
        <v>200</v>
      </c>
      <c r="I974" s="8">
        <v>2</v>
      </c>
      <c r="J974" s="9"/>
      <c r="K974" s="10">
        <v>2</v>
      </c>
      <c r="L974" s="9"/>
      <c r="M974" s="7">
        <f t="shared" si="237"/>
        <v>4</v>
      </c>
      <c r="N974" s="39">
        <v>45161</v>
      </c>
    </row>
    <row r="975" spans="1:16" x14ac:dyDescent="0.15">
      <c r="A975" s="4" t="s">
        <v>200</v>
      </c>
      <c r="B975" s="8"/>
      <c r="C975" s="9"/>
      <c r="D975" s="10"/>
      <c r="E975" s="9">
        <v>2</v>
      </c>
      <c r="F975" s="5">
        <f t="shared" si="236"/>
        <v>2</v>
      </c>
      <c r="G975" s="39">
        <v>45173</v>
      </c>
      <c r="H975" s="4" t="s">
        <v>510</v>
      </c>
      <c r="I975" s="8"/>
      <c r="J975" s="9">
        <v>1</v>
      </c>
      <c r="K975" s="10"/>
      <c r="L975" s="9"/>
      <c r="M975" s="7">
        <f t="shared" si="237"/>
        <v>1</v>
      </c>
      <c r="N975" s="39">
        <v>45169</v>
      </c>
    </row>
    <row r="976" spans="1:16" x14ac:dyDescent="0.15">
      <c r="A976" s="4"/>
      <c r="B976" s="8"/>
      <c r="C976" s="9"/>
      <c r="D976" s="10"/>
      <c r="E976" s="9"/>
      <c r="F976" s="5">
        <f t="shared" si="236"/>
        <v>0</v>
      </c>
      <c r="G976" s="41"/>
      <c r="H976" s="4" t="s">
        <v>508</v>
      </c>
      <c r="I976" s="80">
        <v>20</v>
      </c>
      <c r="J976" s="49">
        <v>60</v>
      </c>
      <c r="K976" s="78">
        <v>20</v>
      </c>
      <c r="L976" s="9">
        <v>20</v>
      </c>
      <c r="M976" s="7">
        <f t="shared" si="237"/>
        <v>120</v>
      </c>
      <c r="N976" s="39">
        <v>45169</v>
      </c>
    </row>
    <row r="977" spans="1:14" x14ac:dyDescent="0.15">
      <c r="A977" s="4"/>
      <c r="B977" s="8"/>
      <c r="C977" s="9"/>
      <c r="D977" s="10"/>
      <c r="E977" s="9"/>
      <c r="F977" s="5">
        <f t="shared" si="236"/>
        <v>0</v>
      </c>
      <c r="G977" s="41"/>
      <c r="H977" s="4" t="s">
        <v>509</v>
      </c>
      <c r="I977" s="80">
        <v>10</v>
      </c>
      <c r="J977" s="49">
        <v>20</v>
      </c>
      <c r="K977" s="78"/>
      <c r="L977" s="9">
        <v>5</v>
      </c>
      <c r="M977" s="7">
        <f t="shared" si="237"/>
        <v>35</v>
      </c>
      <c r="N977" s="39">
        <v>45169</v>
      </c>
    </row>
    <row r="978" spans="1:14" x14ac:dyDescent="0.15">
      <c r="A978" s="11"/>
      <c r="B978" s="8"/>
      <c r="C978" s="9"/>
      <c r="D978" s="10"/>
      <c r="E978" s="9"/>
      <c r="F978" s="5">
        <f t="shared" si="236"/>
        <v>0</v>
      </c>
      <c r="H978" s="11" t="s">
        <v>26</v>
      </c>
      <c r="I978" s="8">
        <v>5</v>
      </c>
      <c r="J978" s="9"/>
      <c r="K978" s="10"/>
      <c r="L978" s="9"/>
      <c r="M978" s="7">
        <f t="shared" si="237"/>
        <v>5</v>
      </c>
      <c r="N978" s="39">
        <v>45169</v>
      </c>
    </row>
    <row r="979" spans="1:14" x14ac:dyDescent="0.15">
      <c r="A979" s="4"/>
      <c r="B979" s="8"/>
      <c r="C979" s="9"/>
      <c r="D979" s="10"/>
      <c r="E979" s="9"/>
      <c r="F979" s="5">
        <f t="shared" si="236"/>
        <v>0</v>
      </c>
      <c r="H979" s="11" t="s">
        <v>26</v>
      </c>
      <c r="I979" s="8">
        <v>2</v>
      </c>
      <c r="J979" s="9">
        <v>1</v>
      </c>
      <c r="K979" s="10">
        <v>1</v>
      </c>
      <c r="L979" s="9"/>
      <c r="M979" s="7">
        <f t="shared" si="237"/>
        <v>4</v>
      </c>
      <c r="N979" s="39">
        <v>45171</v>
      </c>
    </row>
    <row r="980" spans="1:14" x14ac:dyDescent="0.15">
      <c r="A980" s="4"/>
      <c r="B980" s="8"/>
      <c r="C980" s="9"/>
      <c r="D980" s="10"/>
      <c r="E980" s="9"/>
      <c r="F980" s="5">
        <f t="shared" si="236"/>
        <v>0</v>
      </c>
      <c r="H980" s="4"/>
      <c r="I980" s="8"/>
      <c r="J980" s="9"/>
      <c r="K980" s="10"/>
      <c r="L980" s="9"/>
      <c r="M980" s="7">
        <f t="shared" ref="M980" si="240">SUM(I980:L980)</f>
        <v>0</v>
      </c>
    </row>
    <row r="981" spans="1:14" x14ac:dyDescent="0.15">
      <c r="A981" s="4"/>
      <c r="B981" s="8"/>
      <c r="C981" s="9"/>
      <c r="D981" s="10"/>
      <c r="E981" s="9"/>
      <c r="F981" s="5">
        <f t="shared" si="236"/>
        <v>0</v>
      </c>
      <c r="H981" s="4" t="s">
        <v>455</v>
      </c>
      <c r="I981" s="8"/>
      <c r="J981" s="9"/>
      <c r="K981" s="10"/>
      <c r="L981" s="9"/>
      <c r="M981" s="7">
        <f t="shared" si="237"/>
        <v>0</v>
      </c>
      <c r="N981" s="41" t="s">
        <v>445</v>
      </c>
    </row>
    <row r="982" spans="1:14" x14ac:dyDescent="0.15">
      <c r="A982" s="11"/>
      <c r="B982" s="8"/>
      <c r="C982" s="9"/>
      <c r="D982" s="10"/>
      <c r="E982" s="9"/>
      <c r="F982" s="5">
        <f t="shared" si="236"/>
        <v>0</v>
      </c>
      <c r="H982" s="4" t="s">
        <v>444</v>
      </c>
      <c r="I982" s="8"/>
      <c r="J982" s="9"/>
      <c r="K982" s="10"/>
      <c r="L982" s="9"/>
      <c r="M982" s="7">
        <f t="shared" si="237"/>
        <v>0</v>
      </c>
      <c r="N982" s="41" t="s">
        <v>445</v>
      </c>
    </row>
    <row r="983" spans="1:14" x14ac:dyDescent="0.15">
      <c r="A983" s="4"/>
      <c r="B983" s="8"/>
      <c r="C983" s="9"/>
      <c r="D983" s="10"/>
      <c r="E983" s="9"/>
      <c r="F983" s="5">
        <f t="shared" si="236"/>
        <v>0</v>
      </c>
      <c r="H983" s="133" t="s">
        <v>516</v>
      </c>
      <c r="I983" s="8"/>
      <c r="J983" s="9"/>
      <c r="K983" s="10"/>
      <c r="L983" s="9"/>
      <c r="M983" s="7">
        <f t="shared" ref="M983:M985" si="241">SUM(I983:L983)</f>
        <v>0</v>
      </c>
      <c r="N983" s="41" t="s">
        <v>433</v>
      </c>
    </row>
    <row r="984" spans="1:14" x14ac:dyDescent="0.15">
      <c r="A984" s="11"/>
      <c r="B984" s="8"/>
      <c r="C984" s="9"/>
      <c r="D984" s="10"/>
      <c r="E984" s="9"/>
      <c r="F984" s="5">
        <f t="shared" si="236"/>
        <v>0</v>
      </c>
      <c r="H984" s="101" t="s">
        <v>416</v>
      </c>
      <c r="I984" s="102"/>
      <c r="J984" s="103"/>
      <c r="K984" s="104"/>
      <c r="L984" s="134"/>
      <c r="M984" s="105">
        <f t="shared" si="241"/>
        <v>0</v>
      </c>
      <c r="N984" s="106"/>
    </row>
    <row r="985" spans="1:14" ht="14.25" thickBot="1" x14ac:dyDescent="0.2">
      <c r="A985" s="11"/>
      <c r="B985" s="8"/>
      <c r="C985" s="9"/>
      <c r="D985" s="10"/>
      <c r="E985" s="9"/>
      <c r="F985" s="5">
        <f t="shared" si="236"/>
        <v>0</v>
      </c>
      <c r="H985" s="4" t="s">
        <v>426</v>
      </c>
      <c r="I985" s="8"/>
      <c r="J985" s="9"/>
      <c r="K985" s="10"/>
      <c r="L985" s="135"/>
      <c r="M985" s="7">
        <f t="shared" si="241"/>
        <v>0</v>
      </c>
      <c r="N985" s="41" t="s">
        <v>425</v>
      </c>
    </row>
    <row r="986" spans="1:14" ht="14.25" thickBot="1" x14ac:dyDescent="0.2">
      <c r="A986" s="3" t="s">
        <v>5</v>
      </c>
      <c r="B986" s="14">
        <f>SUM(B962:B985)</f>
        <v>13</v>
      </c>
      <c r="C986" s="14">
        <f>SUM(C962:C985)</f>
        <v>15</v>
      </c>
      <c r="D986" s="14">
        <f>SUM(D962:D985)</f>
        <v>3</v>
      </c>
      <c r="E986" s="14">
        <f>SUM(E962:E985)</f>
        <v>4</v>
      </c>
      <c r="F986" s="15">
        <f>SUM(B986:E986)</f>
        <v>35</v>
      </c>
      <c r="H986" s="3" t="s">
        <v>5</v>
      </c>
      <c r="I986" s="14">
        <f>SUM(I962:I985)</f>
        <v>140</v>
      </c>
      <c r="J986" s="14">
        <f>SUM(J962:J985)</f>
        <v>191</v>
      </c>
      <c r="K986" s="14">
        <f>SUM(K962:K985)</f>
        <v>56</v>
      </c>
      <c r="L986" s="14">
        <f>SUM(L962:L985)</f>
        <v>39</v>
      </c>
      <c r="M986" s="15">
        <f>SUM(I986:L986)</f>
        <v>426</v>
      </c>
    </row>
    <row r="987" spans="1:14" ht="14.25" thickBot="1" x14ac:dyDescent="0.2">
      <c r="A987" s="25" t="s">
        <v>6</v>
      </c>
      <c r="B987" s="26">
        <f>B961-B986</f>
        <v>9</v>
      </c>
      <c r="C987" s="26">
        <f t="shared" ref="C987:F987" si="242">C961-C986</f>
        <v>10</v>
      </c>
      <c r="D987" s="26">
        <f t="shared" si="242"/>
        <v>13</v>
      </c>
      <c r="E987" s="26">
        <f t="shared" si="242"/>
        <v>10</v>
      </c>
      <c r="F987" s="24">
        <f t="shared" si="242"/>
        <v>42</v>
      </c>
      <c r="H987" s="25" t="s">
        <v>6</v>
      </c>
      <c r="I987" s="26">
        <f>I961-I986</f>
        <v>319</v>
      </c>
      <c r="J987" s="26">
        <f t="shared" ref="J987:M987" si="243">J961-J986</f>
        <v>473</v>
      </c>
      <c r="K987" s="26">
        <f t="shared" si="243"/>
        <v>433</v>
      </c>
      <c r="L987" s="26">
        <f t="shared" si="243"/>
        <v>359</v>
      </c>
      <c r="M987" s="24">
        <f t="shared" si="243"/>
        <v>1584</v>
      </c>
    </row>
    <row r="990" spans="1:14" ht="21.75" thickBot="1" x14ac:dyDescent="0.25">
      <c r="A990" s="29" t="s">
        <v>13</v>
      </c>
      <c r="B990" s="1"/>
      <c r="C990" s="1"/>
      <c r="D990" s="1"/>
      <c r="E990" s="1"/>
      <c r="F990" s="1"/>
      <c r="H990" s="29" t="s">
        <v>14</v>
      </c>
      <c r="I990" s="1"/>
      <c r="J990" s="1"/>
      <c r="K990" s="1"/>
      <c r="L990" s="1"/>
      <c r="M990" s="1"/>
    </row>
    <row r="991" spans="1:14" ht="14.25" thickBot="1" x14ac:dyDescent="0.2">
      <c r="A991" s="2" t="s">
        <v>0</v>
      </c>
      <c r="B991" s="164" t="s">
        <v>12</v>
      </c>
      <c r="C991" s="165"/>
      <c r="D991" s="165"/>
      <c r="E991" s="165"/>
      <c r="F991" s="117"/>
      <c r="H991" s="2" t="s">
        <v>0</v>
      </c>
      <c r="I991" s="164" t="s">
        <v>12</v>
      </c>
      <c r="J991" s="165"/>
      <c r="K991" s="165"/>
      <c r="L991" s="165"/>
      <c r="M991" s="117"/>
    </row>
    <row r="992" spans="1:14" ht="14.25" thickBot="1" x14ac:dyDescent="0.2">
      <c r="A992" s="2" t="s">
        <v>1</v>
      </c>
      <c r="B992" s="3" t="s">
        <v>489</v>
      </c>
      <c r="C992" s="2" t="s">
        <v>490</v>
      </c>
      <c r="D992" s="19" t="s">
        <v>491</v>
      </c>
      <c r="E992" s="2" t="s">
        <v>492</v>
      </c>
      <c r="F992" s="2" t="s">
        <v>2</v>
      </c>
      <c r="H992" s="2" t="s">
        <v>1</v>
      </c>
      <c r="I992" s="3" t="s">
        <v>489</v>
      </c>
      <c r="J992" s="2" t="s">
        <v>490</v>
      </c>
      <c r="K992" s="19" t="s">
        <v>491</v>
      </c>
      <c r="L992" s="2" t="s">
        <v>492</v>
      </c>
      <c r="M992" s="2" t="s">
        <v>2</v>
      </c>
    </row>
    <row r="993" spans="1:14" x14ac:dyDescent="0.15">
      <c r="A993" s="27" t="s">
        <v>6</v>
      </c>
      <c r="B993" s="18">
        <f>B987</f>
        <v>9</v>
      </c>
      <c r="C993" s="20">
        <f>C987</f>
        <v>10</v>
      </c>
      <c r="D993" s="55">
        <f>D987</f>
        <v>13</v>
      </c>
      <c r="E993" s="20">
        <f>E987</f>
        <v>10</v>
      </c>
      <c r="F993" s="17">
        <f>SUM(B993:E993)</f>
        <v>42</v>
      </c>
      <c r="H993" s="27" t="s">
        <v>6</v>
      </c>
      <c r="I993" s="18">
        <f>I987</f>
        <v>319</v>
      </c>
      <c r="J993" s="20">
        <f>J987</f>
        <v>473</v>
      </c>
      <c r="K993" s="55">
        <f>K987</f>
        <v>433</v>
      </c>
      <c r="L993" s="58">
        <f>L987</f>
        <v>359</v>
      </c>
      <c r="M993" s="17">
        <f>SUM(I993:L993)</f>
        <v>1584</v>
      </c>
    </row>
    <row r="994" spans="1:14" x14ac:dyDescent="0.15">
      <c r="A994" s="6" t="s">
        <v>317</v>
      </c>
      <c r="B994" s="16"/>
      <c r="C994" s="11">
        <v>1</v>
      </c>
      <c r="D994" s="16"/>
      <c r="E994" s="4"/>
      <c r="F994" s="5">
        <f t="shared" ref="F994:F1003" si="244">SUM(B994:E994)</f>
        <v>1</v>
      </c>
      <c r="G994" s="71">
        <v>45176</v>
      </c>
      <c r="H994" s="6" t="s">
        <v>3</v>
      </c>
      <c r="I994" s="16"/>
      <c r="J994" s="11"/>
      <c r="K994" s="16"/>
      <c r="L994" s="4"/>
      <c r="M994" s="5">
        <f t="shared" ref="M994:M1003" si="245">SUM(I994:L994)</f>
        <v>0</v>
      </c>
    </row>
    <row r="995" spans="1:14" x14ac:dyDescent="0.15">
      <c r="A995" s="11" t="s">
        <v>522</v>
      </c>
      <c r="B995" s="8">
        <v>1</v>
      </c>
      <c r="C995" s="9">
        <v>1</v>
      </c>
      <c r="D995" s="10">
        <v>1</v>
      </c>
      <c r="E995" s="49">
        <v>1</v>
      </c>
      <c r="F995" s="5">
        <f t="shared" si="244"/>
        <v>4</v>
      </c>
      <c r="G995" s="71">
        <v>45177</v>
      </c>
      <c r="H995" s="6" t="s">
        <v>3</v>
      </c>
      <c r="I995" s="16"/>
      <c r="J995" s="11"/>
      <c r="K995" s="16"/>
      <c r="L995" s="4"/>
      <c r="M995" s="5">
        <f t="shared" si="245"/>
        <v>0</v>
      </c>
    </row>
    <row r="996" spans="1:14" x14ac:dyDescent="0.15">
      <c r="A996" s="6" t="s">
        <v>3</v>
      </c>
      <c r="B996" s="16">
        <v>5</v>
      </c>
      <c r="C996" s="11">
        <v>5</v>
      </c>
      <c r="D996" s="16"/>
      <c r="E996" s="4"/>
      <c r="F996" s="5">
        <f t="shared" si="244"/>
        <v>10</v>
      </c>
      <c r="G996" s="39">
        <v>45181</v>
      </c>
      <c r="H996" s="6" t="s">
        <v>16</v>
      </c>
      <c r="I996" s="31">
        <v>350</v>
      </c>
      <c r="J996" s="32">
        <v>300</v>
      </c>
      <c r="K996" s="31">
        <v>100</v>
      </c>
      <c r="L996" s="52">
        <v>0</v>
      </c>
      <c r="M996" s="5">
        <f t="shared" si="245"/>
        <v>750</v>
      </c>
      <c r="N996" s="39" t="s">
        <v>518</v>
      </c>
    </row>
    <row r="997" spans="1:14" x14ac:dyDescent="0.15">
      <c r="A997" s="6" t="s">
        <v>524</v>
      </c>
      <c r="B997" s="16"/>
      <c r="C997" s="11"/>
      <c r="D997" s="16"/>
      <c r="E997" s="4">
        <v>1</v>
      </c>
      <c r="F997" s="5">
        <f t="shared" si="244"/>
        <v>1</v>
      </c>
      <c r="G997" s="39">
        <v>45180</v>
      </c>
      <c r="H997" s="6" t="s">
        <v>3</v>
      </c>
      <c r="I997" s="31"/>
      <c r="J997" s="32"/>
      <c r="K997" s="31"/>
      <c r="L997" s="52"/>
      <c r="M997" s="5">
        <f t="shared" si="245"/>
        <v>0</v>
      </c>
    </row>
    <row r="998" spans="1:14" x14ac:dyDescent="0.15">
      <c r="A998" s="6" t="s">
        <v>45</v>
      </c>
      <c r="B998" s="16"/>
      <c r="C998" s="11"/>
      <c r="D998" s="16"/>
      <c r="E998" s="4">
        <v>2</v>
      </c>
      <c r="F998" s="5">
        <f t="shared" si="244"/>
        <v>2</v>
      </c>
      <c r="G998" s="71">
        <v>45183</v>
      </c>
      <c r="H998" s="6" t="s">
        <v>3</v>
      </c>
      <c r="I998" s="31"/>
      <c r="J998" s="32"/>
      <c r="K998" s="31"/>
      <c r="L998" s="52"/>
      <c r="M998" s="5">
        <f t="shared" si="245"/>
        <v>0</v>
      </c>
    </row>
    <row r="999" spans="1:14" x14ac:dyDescent="0.15">
      <c r="A999" s="6" t="s">
        <v>338</v>
      </c>
      <c r="B999" s="16"/>
      <c r="C999" s="11">
        <v>2</v>
      </c>
      <c r="D999" s="16"/>
      <c r="E999" s="4"/>
      <c r="F999" s="5">
        <f t="shared" si="244"/>
        <v>2</v>
      </c>
      <c r="G999" s="71">
        <v>45190</v>
      </c>
      <c r="H999" s="6" t="s">
        <v>3</v>
      </c>
      <c r="I999" s="31"/>
      <c r="J999" s="32"/>
      <c r="K999" s="31"/>
      <c r="L999" s="52"/>
      <c r="M999" s="5">
        <f t="shared" si="245"/>
        <v>0</v>
      </c>
    </row>
    <row r="1000" spans="1:14" x14ac:dyDescent="0.15">
      <c r="A1000" s="6" t="s">
        <v>3</v>
      </c>
      <c r="B1000" s="31"/>
      <c r="C1000" s="32"/>
      <c r="D1000" s="31"/>
      <c r="E1000" s="52"/>
      <c r="F1000" s="5">
        <f t="shared" si="244"/>
        <v>0</v>
      </c>
      <c r="H1000" s="6" t="s">
        <v>3</v>
      </c>
      <c r="I1000" s="31"/>
      <c r="J1000" s="32"/>
      <c r="K1000" s="31"/>
      <c r="L1000" s="52"/>
      <c r="M1000" s="5">
        <f t="shared" si="245"/>
        <v>0</v>
      </c>
    </row>
    <row r="1001" spans="1:14" x14ac:dyDescent="0.15">
      <c r="A1001" s="6" t="s">
        <v>3</v>
      </c>
      <c r="B1001" s="10"/>
      <c r="C1001" s="9"/>
      <c r="D1001" s="10"/>
      <c r="E1001" s="49"/>
      <c r="F1001" s="5">
        <f t="shared" si="244"/>
        <v>0</v>
      </c>
      <c r="H1001" s="6" t="s">
        <v>3</v>
      </c>
      <c r="I1001" s="31"/>
      <c r="J1001" s="32"/>
      <c r="K1001" s="31"/>
      <c r="L1001" s="52"/>
      <c r="M1001" s="5">
        <f t="shared" si="245"/>
        <v>0</v>
      </c>
    </row>
    <row r="1002" spans="1:14" x14ac:dyDescent="0.15">
      <c r="A1002" s="6" t="s">
        <v>3</v>
      </c>
      <c r="B1002" s="31"/>
      <c r="C1002" s="32"/>
      <c r="D1002" s="31"/>
      <c r="E1002" s="52"/>
      <c r="F1002" s="5">
        <f t="shared" si="244"/>
        <v>0</v>
      </c>
      <c r="H1002" s="6" t="s">
        <v>3</v>
      </c>
      <c r="I1002" s="34"/>
      <c r="J1002" s="35"/>
      <c r="K1002" s="34"/>
      <c r="L1002" s="32"/>
      <c r="M1002" s="5">
        <f t="shared" si="245"/>
        <v>0</v>
      </c>
    </row>
    <row r="1003" spans="1:14" ht="14.25" thickBot="1" x14ac:dyDescent="0.2">
      <c r="A1003" s="6" t="s">
        <v>306</v>
      </c>
      <c r="B1003" s="13">
        <v>-2</v>
      </c>
      <c r="C1003" s="12">
        <v>-1</v>
      </c>
      <c r="D1003" s="13">
        <v>2</v>
      </c>
      <c r="E1003" s="50"/>
      <c r="F1003" s="5">
        <f t="shared" si="244"/>
        <v>-1</v>
      </c>
      <c r="H1003" s="6" t="s">
        <v>3</v>
      </c>
      <c r="I1003" s="34"/>
      <c r="J1003" s="35"/>
      <c r="K1003" s="34"/>
      <c r="L1003" s="53"/>
      <c r="M1003" s="5">
        <f t="shared" si="245"/>
        <v>0</v>
      </c>
    </row>
    <row r="1004" spans="1:14" ht="14.25" thickBot="1" x14ac:dyDescent="0.2">
      <c r="A1004" s="21" t="s">
        <v>4</v>
      </c>
      <c r="B1004" s="22">
        <f>SUM(B993:B1003)</f>
        <v>13</v>
      </c>
      <c r="C1004" s="22">
        <f>SUM(C993:C1003)</f>
        <v>18</v>
      </c>
      <c r="D1004" s="23">
        <f>SUM(D993:D1003)</f>
        <v>16</v>
      </c>
      <c r="E1004" s="23">
        <f>SUM(E993:E1003)</f>
        <v>14</v>
      </c>
      <c r="F1004" s="24">
        <f>SUM(B1004:E1004)</f>
        <v>61</v>
      </c>
      <c r="H1004" s="21" t="s">
        <v>4</v>
      </c>
      <c r="I1004" s="22">
        <f>SUM(I993:I1003)</f>
        <v>669</v>
      </c>
      <c r="J1004" s="22">
        <f>SUM(J993:J1003)</f>
        <v>773</v>
      </c>
      <c r="K1004" s="23">
        <f>SUM(K993:K1003)</f>
        <v>533</v>
      </c>
      <c r="L1004" s="23">
        <f>SUM(L993:L1003)</f>
        <v>359</v>
      </c>
      <c r="M1004" s="24">
        <f>SUM(I1004:L1004)</f>
        <v>2334</v>
      </c>
    </row>
    <row r="1005" spans="1:14" x14ac:dyDescent="0.15">
      <c r="A1005" s="4" t="s">
        <v>513</v>
      </c>
      <c r="B1005" s="8"/>
      <c r="C1005" s="9">
        <v>3</v>
      </c>
      <c r="D1005" s="10"/>
      <c r="E1005" s="49"/>
      <c r="F1005" s="7">
        <f t="shared" ref="F1005" si="246">SUM(B1005:E1005)</f>
        <v>3</v>
      </c>
      <c r="G1005" s="39">
        <v>45180</v>
      </c>
      <c r="H1005" s="4" t="s">
        <v>512</v>
      </c>
      <c r="I1005" s="8"/>
      <c r="J1005" s="9">
        <v>2</v>
      </c>
      <c r="K1005" s="10"/>
      <c r="L1005" s="49"/>
      <c r="M1005" s="7">
        <f t="shared" ref="M1005:M1010" si="247">SUM(I1005:L1005)</f>
        <v>2</v>
      </c>
      <c r="N1005" s="39">
        <v>45176</v>
      </c>
    </row>
    <row r="1006" spans="1:14" x14ac:dyDescent="0.15">
      <c r="A1006" s="11" t="s">
        <v>517</v>
      </c>
      <c r="B1006" s="8">
        <v>2</v>
      </c>
      <c r="C1006" s="9"/>
      <c r="D1006" s="10">
        <v>-2</v>
      </c>
      <c r="E1006" s="49"/>
      <c r="F1006" s="5">
        <f t="shared" ref="F1006:F1028" si="248">SUM(B1006:E1006)</f>
        <v>0</v>
      </c>
      <c r="G1006" s="71">
        <v>45175</v>
      </c>
      <c r="H1006" s="133" t="s">
        <v>519</v>
      </c>
      <c r="I1006" s="8"/>
      <c r="J1006" s="9"/>
      <c r="K1006" s="10">
        <v>12</v>
      </c>
      <c r="L1006" s="49"/>
      <c r="M1006" s="7">
        <f t="shared" si="247"/>
        <v>12</v>
      </c>
      <c r="N1006" s="39">
        <v>45177</v>
      </c>
    </row>
    <row r="1007" spans="1:14" x14ac:dyDescent="0.15">
      <c r="A1007" s="4" t="s">
        <v>200</v>
      </c>
      <c r="B1007" s="8">
        <v>2</v>
      </c>
      <c r="C1007" s="9"/>
      <c r="D1007" s="10"/>
      <c r="E1007" s="49"/>
      <c r="F1007" s="5">
        <f t="shared" si="248"/>
        <v>2</v>
      </c>
      <c r="G1007" s="39">
        <v>45180</v>
      </c>
      <c r="H1007" s="4" t="s">
        <v>514</v>
      </c>
      <c r="I1007" s="8">
        <v>5</v>
      </c>
      <c r="J1007" s="9"/>
      <c r="K1007" s="10"/>
      <c r="L1007" s="49"/>
      <c r="M1007" s="7">
        <f t="shared" si="247"/>
        <v>5</v>
      </c>
      <c r="N1007" s="39">
        <v>45177</v>
      </c>
    </row>
    <row r="1008" spans="1:14" x14ac:dyDescent="0.15">
      <c r="A1008" s="4" t="s">
        <v>523</v>
      </c>
      <c r="B1008" s="8">
        <v>1</v>
      </c>
      <c r="C1008" s="9">
        <v>1</v>
      </c>
      <c r="D1008" s="10">
        <v>1</v>
      </c>
      <c r="E1008" s="49"/>
      <c r="F1008" s="5">
        <f t="shared" si="248"/>
        <v>3</v>
      </c>
      <c r="G1008" s="39">
        <v>45181</v>
      </c>
      <c r="H1008" s="4" t="s">
        <v>515</v>
      </c>
      <c r="I1008" s="8">
        <v>70</v>
      </c>
      <c r="J1008" s="9"/>
      <c r="K1008" s="10">
        <v>40</v>
      </c>
      <c r="L1008" s="49">
        <v>15</v>
      </c>
      <c r="M1008" s="7">
        <f t="shared" si="247"/>
        <v>125</v>
      </c>
      <c r="N1008" s="39">
        <v>45177</v>
      </c>
    </row>
    <row r="1009" spans="1:14" x14ac:dyDescent="0.15">
      <c r="A1009" s="4" t="s">
        <v>39</v>
      </c>
      <c r="B1009" s="8"/>
      <c r="C1009" s="9"/>
      <c r="D1009" s="10"/>
      <c r="E1009" s="49">
        <v>1</v>
      </c>
      <c r="F1009" s="5">
        <f t="shared" si="248"/>
        <v>1</v>
      </c>
      <c r="G1009" s="39">
        <v>45189</v>
      </c>
      <c r="H1009" s="4" t="s">
        <v>200</v>
      </c>
      <c r="I1009" s="8">
        <v>2</v>
      </c>
      <c r="J1009" s="9">
        <v>4</v>
      </c>
      <c r="K1009" s="10"/>
      <c r="L1009" s="9"/>
      <c r="M1009" s="7">
        <f t="shared" si="247"/>
        <v>6</v>
      </c>
      <c r="N1009" s="39">
        <v>45176</v>
      </c>
    </row>
    <row r="1010" spans="1:14" x14ac:dyDescent="0.15">
      <c r="A1010" s="11" t="s">
        <v>527</v>
      </c>
      <c r="B1010" s="8"/>
      <c r="C1010" s="9"/>
      <c r="D1010" s="10">
        <v>1</v>
      </c>
      <c r="E1010" s="9"/>
      <c r="F1010" s="5">
        <f t="shared" si="248"/>
        <v>1</v>
      </c>
      <c r="G1010" s="71">
        <v>45189</v>
      </c>
      <c r="H1010" s="4" t="s">
        <v>200</v>
      </c>
      <c r="I1010" s="8">
        <v>2</v>
      </c>
      <c r="J1010" s="9"/>
      <c r="K1010" s="10"/>
      <c r="L1010" s="9"/>
      <c r="M1010" s="7">
        <f t="shared" si="247"/>
        <v>2</v>
      </c>
      <c r="N1010" s="39">
        <v>45177</v>
      </c>
    </row>
    <row r="1011" spans="1:14" x14ac:dyDescent="0.15">
      <c r="A1011" s="11" t="s">
        <v>528</v>
      </c>
      <c r="B1011" s="8">
        <v>1</v>
      </c>
      <c r="C1011" s="9"/>
      <c r="D1011" s="10">
        <v>1</v>
      </c>
      <c r="E1011" s="9"/>
      <c r="F1011" s="5">
        <f t="shared" si="248"/>
        <v>2</v>
      </c>
      <c r="G1011" s="71">
        <v>45190</v>
      </c>
      <c r="H1011" s="4" t="s">
        <v>520</v>
      </c>
      <c r="I1011" s="8"/>
      <c r="J1011" s="9">
        <v>4</v>
      </c>
      <c r="K1011" s="10"/>
      <c r="L1011" s="9"/>
      <c r="M1011" s="7">
        <f t="shared" ref="M1011:M1028" si="249">SUM(I1011:L1011)</f>
        <v>4</v>
      </c>
      <c r="N1011" s="39">
        <v>45180</v>
      </c>
    </row>
    <row r="1012" spans="1:14" x14ac:dyDescent="0.15">
      <c r="A1012" s="4"/>
      <c r="B1012" s="8"/>
      <c r="C1012" s="9"/>
      <c r="D1012" s="10"/>
      <c r="E1012" s="9"/>
      <c r="F1012" s="5">
        <f t="shared" si="248"/>
        <v>0</v>
      </c>
      <c r="H1012" s="4" t="s">
        <v>521</v>
      </c>
      <c r="I1012" s="8"/>
      <c r="J1012" s="9"/>
      <c r="K1012" s="10">
        <v>5</v>
      </c>
      <c r="L1012" s="9">
        <v>5</v>
      </c>
      <c r="M1012" s="7">
        <f t="shared" si="249"/>
        <v>10</v>
      </c>
      <c r="N1012" s="39">
        <v>45178</v>
      </c>
    </row>
    <row r="1013" spans="1:14" x14ac:dyDescent="0.15">
      <c r="A1013" s="4"/>
      <c r="B1013" s="8"/>
      <c r="C1013" s="9"/>
      <c r="D1013" s="10"/>
      <c r="E1013" s="9"/>
      <c r="F1013" s="5">
        <f t="shared" si="248"/>
        <v>0</v>
      </c>
      <c r="H1013" s="11" t="s">
        <v>26</v>
      </c>
      <c r="I1013" s="8">
        <v>5</v>
      </c>
      <c r="J1013" s="9">
        <v>5</v>
      </c>
      <c r="K1013" s="10"/>
      <c r="L1013" s="9"/>
      <c r="M1013" s="7">
        <f t="shared" si="249"/>
        <v>10</v>
      </c>
      <c r="N1013" s="39">
        <v>45181</v>
      </c>
    </row>
    <row r="1014" spans="1:14" x14ac:dyDescent="0.15">
      <c r="A1014" s="4"/>
      <c r="B1014" s="8"/>
      <c r="C1014" s="9"/>
      <c r="D1014" s="10"/>
      <c r="E1014" s="9"/>
      <c r="F1014" s="5">
        <f t="shared" si="248"/>
        <v>0</v>
      </c>
      <c r="H1014" s="4" t="s">
        <v>525</v>
      </c>
      <c r="I1014" s="8"/>
      <c r="J1014" s="9">
        <v>40</v>
      </c>
      <c r="K1014" s="10"/>
      <c r="L1014" s="9">
        <v>10</v>
      </c>
      <c r="M1014" s="7">
        <f t="shared" si="249"/>
        <v>50</v>
      </c>
      <c r="N1014" s="39">
        <v>45184</v>
      </c>
    </row>
    <row r="1015" spans="1:14" x14ac:dyDescent="0.15">
      <c r="A1015" s="4"/>
      <c r="B1015" s="8"/>
      <c r="C1015" s="9"/>
      <c r="D1015" s="10"/>
      <c r="E1015" s="9"/>
      <c r="F1015" s="5">
        <f t="shared" si="248"/>
        <v>0</v>
      </c>
      <c r="H1015" s="4" t="s">
        <v>200</v>
      </c>
      <c r="I1015" s="8"/>
      <c r="J1015" s="9"/>
      <c r="K1015" s="10">
        <v>4</v>
      </c>
      <c r="L1015" s="9"/>
      <c r="M1015" s="7">
        <f t="shared" si="249"/>
        <v>4</v>
      </c>
      <c r="N1015" s="39">
        <v>45183</v>
      </c>
    </row>
    <row r="1016" spans="1:14" x14ac:dyDescent="0.15">
      <c r="A1016" s="4"/>
      <c r="B1016" s="8"/>
      <c r="C1016" s="9"/>
      <c r="D1016" s="10"/>
      <c r="E1016" s="9"/>
      <c r="F1016" s="5">
        <f t="shared" si="248"/>
        <v>0</v>
      </c>
      <c r="H1016" s="4" t="s">
        <v>526</v>
      </c>
      <c r="I1016" s="8"/>
      <c r="J1016" s="9">
        <v>15</v>
      </c>
      <c r="K1016" s="10"/>
      <c r="L1016" s="9"/>
      <c r="M1016" s="7">
        <f t="shared" si="249"/>
        <v>15</v>
      </c>
      <c r="N1016" s="39">
        <v>45185</v>
      </c>
    </row>
    <row r="1017" spans="1:14" x14ac:dyDescent="0.15">
      <c r="A1017" s="4"/>
      <c r="B1017" s="8"/>
      <c r="C1017" s="9"/>
      <c r="D1017" s="10"/>
      <c r="E1017" s="9"/>
      <c r="F1017" s="5">
        <f t="shared" si="248"/>
        <v>0</v>
      </c>
      <c r="H1017" s="4" t="s">
        <v>200</v>
      </c>
      <c r="I1017" s="8"/>
      <c r="J1017" s="9">
        <v>12</v>
      </c>
      <c r="K1017" s="10"/>
      <c r="L1017" s="9">
        <v>2</v>
      </c>
      <c r="M1017" s="7">
        <f t="shared" si="249"/>
        <v>14</v>
      </c>
      <c r="N1017" s="39">
        <v>45188</v>
      </c>
    </row>
    <row r="1018" spans="1:14" x14ac:dyDescent="0.15">
      <c r="A1018" s="4"/>
      <c r="B1018" s="8"/>
      <c r="C1018" s="9"/>
      <c r="D1018" s="10"/>
      <c r="E1018" s="9"/>
      <c r="F1018" s="5">
        <f t="shared" si="248"/>
        <v>0</v>
      </c>
      <c r="H1018" s="4"/>
      <c r="I1018" s="8"/>
      <c r="J1018" s="9"/>
      <c r="K1018" s="10"/>
      <c r="L1018" s="9"/>
      <c r="M1018" s="7">
        <f t="shared" si="249"/>
        <v>0</v>
      </c>
    </row>
    <row r="1019" spans="1:14" x14ac:dyDescent="0.15">
      <c r="A1019" s="4"/>
      <c r="B1019" s="8"/>
      <c r="C1019" s="9"/>
      <c r="D1019" s="10"/>
      <c r="E1019" s="9"/>
      <c r="F1019" s="5">
        <f t="shared" si="248"/>
        <v>0</v>
      </c>
      <c r="H1019" s="4"/>
      <c r="I1019" s="8"/>
      <c r="J1019" s="9"/>
      <c r="K1019" s="10"/>
      <c r="L1019" s="9"/>
      <c r="M1019" s="7">
        <f t="shared" si="249"/>
        <v>0</v>
      </c>
    </row>
    <row r="1020" spans="1:14" x14ac:dyDescent="0.15">
      <c r="A1020" s="4"/>
      <c r="B1020" s="8"/>
      <c r="C1020" s="9"/>
      <c r="D1020" s="10"/>
      <c r="E1020" s="9"/>
      <c r="F1020" s="5">
        <f t="shared" si="248"/>
        <v>0</v>
      </c>
      <c r="H1020" s="4"/>
      <c r="I1020" s="8"/>
      <c r="J1020" s="9"/>
      <c r="K1020" s="10"/>
      <c r="L1020" s="9"/>
      <c r="M1020" s="7">
        <f t="shared" si="249"/>
        <v>0</v>
      </c>
    </row>
    <row r="1021" spans="1:14" x14ac:dyDescent="0.15">
      <c r="A1021" s="11"/>
      <c r="B1021" s="8"/>
      <c r="C1021" s="9"/>
      <c r="D1021" s="10"/>
      <c r="E1021" s="9"/>
      <c r="F1021" s="5">
        <f t="shared" si="248"/>
        <v>0</v>
      </c>
      <c r="H1021" s="4"/>
      <c r="I1021" s="8"/>
      <c r="J1021" s="9"/>
      <c r="K1021" s="10"/>
      <c r="L1021" s="9"/>
      <c r="M1021" s="7">
        <f t="shared" si="249"/>
        <v>0</v>
      </c>
    </row>
    <row r="1022" spans="1:14" x14ac:dyDescent="0.15">
      <c r="A1022" s="4"/>
      <c r="B1022" s="8"/>
      <c r="C1022" s="9"/>
      <c r="D1022" s="10"/>
      <c r="E1022" s="9"/>
      <c r="F1022" s="5">
        <f t="shared" si="248"/>
        <v>0</v>
      </c>
      <c r="H1022" s="4"/>
      <c r="I1022" s="8"/>
      <c r="J1022" s="9"/>
      <c r="K1022" s="10"/>
      <c r="L1022" s="9"/>
      <c r="M1022" s="7">
        <f t="shared" si="249"/>
        <v>0</v>
      </c>
    </row>
    <row r="1023" spans="1:14" x14ac:dyDescent="0.15">
      <c r="A1023" s="4"/>
      <c r="B1023" s="8"/>
      <c r="C1023" s="9"/>
      <c r="D1023" s="10"/>
      <c r="E1023" s="9"/>
      <c r="F1023" s="5">
        <f t="shared" si="248"/>
        <v>0</v>
      </c>
      <c r="H1023" s="4"/>
      <c r="I1023" s="8"/>
      <c r="J1023" s="9"/>
      <c r="K1023" s="10"/>
      <c r="L1023" s="9"/>
      <c r="M1023" s="7">
        <f t="shared" si="249"/>
        <v>0</v>
      </c>
    </row>
    <row r="1024" spans="1:14" x14ac:dyDescent="0.15">
      <c r="A1024" s="4"/>
      <c r="B1024" s="8"/>
      <c r="C1024" s="9"/>
      <c r="D1024" s="10"/>
      <c r="E1024" s="9"/>
      <c r="F1024" s="5">
        <f t="shared" si="248"/>
        <v>0</v>
      </c>
      <c r="H1024" s="4"/>
      <c r="I1024" s="8"/>
      <c r="J1024" s="9"/>
      <c r="K1024" s="10"/>
      <c r="L1024" s="9"/>
      <c r="M1024" s="7">
        <f t="shared" si="249"/>
        <v>0</v>
      </c>
    </row>
    <row r="1025" spans="1:14" x14ac:dyDescent="0.15">
      <c r="A1025" s="11"/>
      <c r="B1025" s="8"/>
      <c r="C1025" s="9"/>
      <c r="D1025" s="10"/>
      <c r="E1025" s="9"/>
      <c r="F1025" s="5">
        <f t="shared" si="248"/>
        <v>0</v>
      </c>
      <c r="H1025" s="4"/>
      <c r="I1025" s="8"/>
      <c r="J1025" s="9"/>
      <c r="K1025" s="10"/>
      <c r="L1025" s="9"/>
      <c r="M1025" s="7">
        <f t="shared" si="249"/>
        <v>0</v>
      </c>
    </row>
    <row r="1026" spans="1:14" x14ac:dyDescent="0.15">
      <c r="A1026" s="4"/>
      <c r="B1026" s="8"/>
      <c r="C1026" s="9"/>
      <c r="D1026" s="10"/>
      <c r="E1026" s="9"/>
      <c r="F1026" s="5">
        <f t="shared" si="248"/>
        <v>0</v>
      </c>
      <c r="H1026" s="4"/>
      <c r="I1026" s="8"/>
      <c r="J1026" s="9"/>
      <c r="K1026" s="10"/>
      <c r="L1026" s="9"/>
      <c r="M1026" s="7">
        <f t="shared" si="249"/>
        <v>0</v>
      </c>
    </row>
    <row r="1027" spans="1:14" x14ac:dyDescent="0.15">
      <c r="A1027" s="11"/>
      <c r="B1027" s="8"/>
      <c r="C1027" s="9"/>
      <c r="D1027" s="10"/>
      <c r="E1027" s="9"/>
      <c r="F1027" s="5">
        <f t="shared" si="248"/>
        <v>0</v>
      </c>
      <c r="H1027" s="101" t="s">
        <v>405</v>
      </c>
      <c r="I1027" s="102"/>
      <c r="J1027" s="103"/>
      <c r="K1027" s="104"/>
      <c r="L1027" s="103"/>
      <c r="M1027" s="105">
        <f t="shared" si="249"/>
        <v>0</v>
      </c>
      <c r="N1027" s="41"/>
    </row>
    <row r="1028" spans="1:14" ht="14.25" thickBot="1" x14ac:dyDescent="0.2">
      <c r="A1028" s="11"/>
      <c r="B1028" s="8"/>
      <c r="C1028" s="9"/>
      <c r="D1028" s="10"/>
      <c r="E1028" s="9"/>
      <c r="F1028" s="5">
        <f t="shared" si="248"/>
        <v>0</v>
      </c>
      <c r="H1028" s="4" t="s">
        <v>403</v>
      </c>
      <c r="I1028" s="8"/>
      <c r="J1028" s="9"/>
      <c r="K1028" s="10"/>
      <c r="L1028" s="9"/>
      <c r="M1028" s="7">
        <f t="shared" si="249"/>
        <v>0</v>
      </c>
      <c r="N1028" s="41" t="s">
        <v>404</v>
      </c>
    </row>
    <row r="1029" spans="1:14" ht="14.25" thickBot="1" x14ac:dyDescent="0.2">
      <c r="A1029" s="3" t="s">
        <v>5</v>
      </c>
      <c r="B1029" s="14">
        <f>SUM(B1005:B1028)</f>
        <v>6</v>
      </c>
      <c r="C1029" s="14">
        <f>SUM(C1005:C1028)</f>
        <v>4</v>
      </c>
      <c r="D1029" s="14">
        <f>SUM(D1005:D1028)</f>
        <v>1</v>
      </c>
      <c r="E1029" s="14">
        <f>SUM(E1005:E1028)</f>
        <v>1</v>
      </c>
      <c r="F1029" s="15">
        <f>SUM(B1029:E1029)</f>
        <v>12</v>
      </c>
      <c r="H1029" s="3" t="s">
        <v>5</v>
      </c>
      <c r="I1029" s="14">
        <f>SUM(I1005:I1028)</f>
        <v>84</v>
      </c>
      <c r="J1029" s="14">
        <f>SUM(J1005:J1028)</f>
        <v>82</v>
      </c>
      <c r="K1029" s="14">
        <f>SUM(K1005:K1028)</f>
        <v>61</v>
      </c>
      <c r="L1029" s="14">
        <f>SUM(L1005:L1028)</f>
        <v>32</v>
      </c>
      <c r="M1029" s="15">
        <f>SUM(I1029:L1029)</f>
        <v>259</v>
      </c>
    </row>
    <row r="1030" spans="1:14" ht="14.25" thickBot="1" x14ac:dyDescent="0.2">
      <c r="A1030" s="25" t="s">
        <v>6</v>
      </c>
      <c r="B1030" s="26">
        <f>B1004-B1029</f>
        <v>7</v>
      </c>
      <c r="C1030" s="26">
        <f t="shared" ref="C1030:F1030" si="250">C1004-C1029</f>
        <v>14</v>
      </c>
      <c r="D1030" s="26">
        <f t="shared" si="250"/>
        <v>15</v>
      </c>
      <c r="E1030" s="26">
        <f t="shared" si="250"/>
        <v>13</v>
      </c>
      <c r="F1030" s="24">
        <f t="shared" si="250"/>
        <v>49</v>
      </c>
      <c r="H1030" s="25" t="s">
        <v>6</v>
      </c>
      <c r="I1030" s="26">
        <f>I1004-I1029</f>
        <v>585</v>
      </c>
      <c r="J1030" s="26">
        <f t="shared" ref="J1030:M1030" si="251">J1004-J1029</f>
        <v>691</v>
      </c>
      <c r="K1030" s="26">
        <f t="shared" si="251"/>
        <v>472</v>
      </c>
      <c r="L1030" s="26">
        <f t="shared" si="251"/>
        <v>327</v>
      </c>
      <c r="M1030" s="24">
        <f t="shared" si="251"/>
        <v>2075</v>
      </c>
    </row>
    <row r="1031" spans="1:14" x14ac:dyDescent="0.15">
      <c r="I1031" s="131">
        <f>I1029+I986+I943+I900+I857+I814+I771+I728+I685+I644</f>
        <v>4990</v>
      </c>
      <c r="J1031" s="131">
        <f t="shared" ref="J1031:M1031" si="252">J1029+J986+J943+J900+J857+J814+J771+J728+J685+J644</f>
        <v>5643</v>
      </c>
      <c r="K1031" s="131">
        <f t="shared" si="252"/>
        <v>2990</v>
      </c>
      <c r="L1031" s="131">
        <f t="shared" si="252"/>
        <v>1082</v>
      </c>
      <c r="M1031" s="131">
        <f t="shared" si="252"/>
        <v>14705</v>
      </c>
    </row>
    <row r="1032" spans="1:14" x14ac:dyDescent="0.15">
      <c r="I1032" s="100">
        <f>I1031/$M$1031*100</f>
        <v>33.934036042162532</v>
      </c>
      <c r="J1032" s="100">
        <f t="shared" ref="J1032:M1032" si="253">J1031/$M$1031*100</f>
        <v>38.374702482148933</v>
      </c>
      <c r="K1032" s="100">
        <f t="shared" si="253"/>
        <v>20.333219993199592</v>
      </c>
      <c r="L1032" s="100">
        <f t="shared" si="253"/>
        <v>7.3580414824889484</v>
      </c>
      <c r="M1032" s="100">
        <f t="shared" si="253"/>
        <v>100</v>
      </c>
    </row>
    <row r="1033" spans="1:14" ht="21.75" thickBot="1" x14ac:dyDescent="0.25">
      <c r="A1033" s="29" t="s">
        <v>13</v>
      </c>
      <c r="B1033" s="1"/>
      <c r="C1033" s="1"/>
      <c r="D1033" s="1"/>
      <c r="E1033" s="1"/>
      <c r="F1033" s="1"/>
      <c r="H1033" s="29" t="s">
        <v>14</v>
      </c>
      <c r="I1033" s="1"/>
      <c r="J1033" s="1"/>
      <c r="K1033" s="1"/>
      <c r="L1033" s="1"/>
      <c r="M1033" s="1"/>
    </row>
    <row r="1034" spans="1:14" ht="14.25" thickBot="1" x14ac:dyDescent="0.2">
      <c r="A1034" s="2" t="s">
        <v>0</v>
      </c>
      <c r="B1034" s="164" t="s">
        <v>12</v>
      </c>
      <c r="C1034" s="165"/>
      <c r="D1034" s="165"/>
      <c r="E1034" s="165"/>
      <c r="F1034" s="117"/>
      <c r="H1034" s="2" t="s">
        <v>0</v>
      </c>
      <c r="I1034" s="164" t="s">
        <v>12</v>
      </c>
      <c r="J1034" s="165"/>
      <c r="K1034" s="165"/>
      <c r="L1034" s="165"/>
      <c r="M1034" s="117"/>
    </row>
    <row r="1035" spans="1:14" ht="14.25" thickBot="1" x14ac:dyDescent="0.2">
      <c r="A1035" s="2" t="s">
        <v>1</v>
      </c>
      <c r="B1035" s="3" t="s">
        <v>489</v>
      </c>
      <c r="C1035" s="2" t="s">
        <v>490</v>
      </c>
      <c r="D1035" s="19" t="s">
        <v>491</v>
      </c>
      <c r="E1035" s="2" t="s">
        <v>492</v>
      </c>
      <c r="F1035" s="2" t="s">
        <v>2</v>
      </c>
      <c r="H1035" s="2" t="s">
        <v>1</v>
      </c>
      <c r="I1035" s="3" t="s">
        <v>489</v>
      </c>
      <c r="J1035" s="2" t="s">
        <v>490</v>
      </c>
      <c r="K1035" s="19" t="s">
        <v>491</v>
      </c>
      <c r="L1035" s="2" t="s">
        <v>492</v>
      </c>
      <c r="M1035" s="2" t="s">
        <v>2</v>
      </c>
    </row>
    <row r="1036" spans="1:14" x14ac:dyDescent="0.15">
      <c r="A1036" s="27" t="s">
        <v>6</v>
      </c>
      <c r="B1036" s="18">
        <f>B1030</f>
        <v>7</v>
      </c>
      <c r="C1036" s="20">
        <f>C1030</f>
        <v>14</v>
      </c>
      <c r="D1036" s="55">
        <f>D1030</f>
        <v>15</v>
      </c>
      <c r="E1036" s="20">
        <f>E1030</f>
        <v>13</v>
      </c>
      <c r="F1036" s="17">
        <f>SUM(B1036:E1036)</f>
        <v>49</v>
      </c>
      <c r="H1036" s="27" t="s">
        <v>6</v>
      </c>
      <c r="I1036" s="18">
        <f>I1030</f>
        <v>585</v>
      </c>
      <c r="J1036" s="20">
        <f>J1030</f>
        <v>691</v>
      </c>
      <c r="K1036" s="55">
        <f>K1030</f>
        <v>472</v>
      </c>
      <c r="L1036" s="58">
        <f>L1030</f>
        <v>327</v>
      </c>
      <c r="M1036" s="17">
        <f>SUM(I1036:L1036)</f>
        <v>2075</v>
      </c>
    </row>
    <row r="1037" spans="1:14" x14ac:dyDescent="0.15">
      <c r="A1037" s="6" t="s">
        <v>45</v>
      </c>
      <c r="B1037" s="16"/>
      <c r="C1037" s="11"/>
      <c r="D1037" s="16">
        <v>2</v>
      </c>
      <c r="E1037" s="4"/>
      <c r="F1037" s="5">
        <f t="shared" ref="F1037:F1046" si="254">SUM(B1037:E1037)</f>
        <v>2</v>
      </c>
      <c r="G1037" s="71">
        <v>45196</v>
      </c>
      <c r="H1037" s="6" t="s">
        <v>3</v>
      </c>
      <c r="I1037" s="16"/>
      <c r="J1037" s="11"/>
      <c r="K1037" s="16"/>
      <c r="L1037" s="4"/>
      <c r="M1037" s="5">
        <f t="shared" ref="M1037:M1046" si="255">SUM(I1037:L1037)</f>
        <v>0</v>
      </c>
    </row>
    <row r="1038" spans="1:14" x14ac:dyDescent="0.15">
      <c r="A1038" s="6" t="s">
        <v>3</v>
      </c>
      <c r="B1038" s="16">
        <v>5</v>
      </c>
      <c r="C1038" s="11"/>
      <c r="D1038" s="16"/>
      <c r="E1038" s="4"/>
      <c r="F1038" s="5">
        <f t="shared" si="254"/>
        <v>5</v>
      </c>
      <c r="G1038" s="39">
        <v>45210</v>
      </c>
      <c r="H1038" s="6" t="s">
        <v>131</v>
      </c>
      <c r="I1038" s="16">
        <v>20</v>
      </c>
      <c r="J1038" s="11">
        <v>14</v>
      </c>
      <c r="K1038" s="16">
        <v>14</v>
      </c>
      <c r="L1038" s="4">
        <v>13</v>
      </c>
      <c r="M1038" s="5">
        <f t="shared" si="255"/>
        <v>61</v>
      </c>
      <c r="N1038" s="39">
        <v>45218</v>
      </c>
    </row>
    <row r="1039" spans="1:14" x14ac:dyDescent="0.15">
      <c r="A1039" s="6" t="s">
        <v>3</v>
      </c>
      <c r="B1039" s="16">
        <v>5</v>
      </c>
      <c r="C1039" s="11">
        <v>5</v>
      </c>
      <c r="D1039" s="16">
        <v>5</v>
      </c>
      <c r="E1039" s="4">
        <v>5</v>
      </c>
      <c r="F1039" s="5">
        <f t="shared" si="254"/>
        <v>20</v>
      </c>
      <c r="G1039" s="39">
        <v>45217</v>
      </c>
      <c r="H1039" s="6" t="s">
        <v>131</v>
      </c>
      <c r="I1039" s="16">
        <v>6</v>
      </c>
      <c r="J1039" s="11"/>
      <c r="K1039" s="16">
        <f>8+2</f>
        <v>10</v>
      </c>
      <c r="L1039" s="4">
        <v>6</v>
      </c>
      <c r="M1039" s="5">
        <f t="shared" ref="M1039:M1040" si="256">SUM(I1039:L1039)</f>
        <v>22</v>
      </c>
      <c r="N1039" s="39">
        <v>45218</v>
      </c>
    </row>
    <row r="1040" spans="1:14" x14ac:dyDescent="0.15">
      <c r="A1040" s="6" t="s">
        <v>538</v>
      </c>
      <c r="B1040" s="16">
        <v>4</v>
      </c>
      <c r="C1040" s="11"/>
      <c r="D1040" s="16"/>
      <c r="E1040" s="4"/>
      <c r="F1040" s="5">
        <f t="shared" si="254"/>
        <v>4</v>
      </c>
      <c r="G1040" s="71">
        <v>45223</v>
      </c>
      <c r="H1040" s="6" t="s">
        <v>3</v>
      </c>
      <c r="I1040" s="16"/>
      <c r="J1040" s="11"/>
      <c r="K1040" s="16"/>
      <c r="L1040" s="4"/>
      <c r="M1040" s="5">
        <f t="shared" si="256"/>
        <v>0</v>
      </c>
    </row>
    <row r="1041" spans="1:14" x14ac:dyDescent="0.15">
      <c r="A1041" s="6" t="s">
        <v>3</v>
      </c>
      <c r="B1041" s="16"/>
      <c r="C1041" s="11">
        <v>5</v>
      </c>
      <c r="D1041" s="16"/>
      <c r="E1041" s="4"/>
      <c r="F1041" s="5">
        <f t="shared" si="254"/>
        <v>5</v>
      </c>
      <c r="G1041" s="39">
        <v>45237</v>
      </c>
      <c r="H1041" s="6" t="s">
        <v>3</v>
      </c>
      <c r="I1041" s="31"/>
      <c r="J1041" s="32"/>
      <c r="K1041" s="31"/>
      <c r="L1041" s="52"/>
      <c r="M1041" s="5">
        <f t="shared" si="255"/>
        <v>0</v>
      </c>
    </row>
    <row r="1042" spans="1:14" x14ac:dyDescent="0.15">
      <c r="A1042" s="6" t="s">
        <v>338</v>
      </c>
      <c r="B1042" s="16"/>
      <c r="C1042" s="11">
        <v>2</v>
      </c>
      <c r="D1042" s="16">
        <v>2</v>
      </c>
      <c r="E1042" s="4"/>
      <c r="F1042" s="5">
        <f t="shared" si="254"/>
        <v>4</v>
      </c>
      <c r="G1042" s="39">
        <v>45251</v>
      </c>
      <c r="H1042" s="6" t="s">
        <v>3</v>
      </c>
      <c r="I1042" s="31"/>
      <c r="J1042" s="32"/>
      <c r="K1042" s="31"/>
      <c r="L1042" s="52"/>
      <c r="M1042" s="5">
        <f t="shared" si="255"/>
        <v>0</v>
      </c>
    </row>
    <row r="1043" spans="1:14" x14ac:dyDescent="0.15">
      <c r="A1043" s="6" t="s">
        <v>3</v>
      </c>
      <c r="B1043" s="31"/>
      <c r="C1043" s="32">
        <v>5</v>
      </c>
      <c r="D1043" s="31"/>
      <c r="E1043" s="52"/>
      <c r="F1043" s="5">
        <f t="shared" si="254"/>
        <v>5</v>
      </c>
      <c r="G1043" s="39">
        <v>45260</v>
      </c>
      <c r="H1043" s="6" t="s">
        <v>3</v>
      </c>
      <c r="I1043" s="31"/>
      <c r="J1043" s="32"/>
      <c r="K1043" s="31"/>
      <c r="L1043" s="52"/>
      <c r="M1043" s="5">
        <f t="shared" si="255"/>
        <v>0</v>
      </c>
    </row>
    <row r="1044" spans="1:14" x14ac:dyDescent="0.15">
      <c r="A1044" s="6" t="s">
        <v>554</v>
      </c>
      <c r="B1044" s="10">
        <v>4</v>
      </c>
      <c r="C1044" s="9">
        <v>2</v>
      </c>
      <c r="D1044" s="10">
        <v>3</v>
      </c>
      <c r="E1044" s="49">
        <v>1</v>
      </c>
      <c r="F1044" s="5">
        <f t="shared" si="254"/>
        <v>10</v>
      </c>
      <c r="G1044" s="71">
        <v>45266</v>
      </c>
      <c r="H1044" s="6" t="s">
        <v>3</v>
      </c>
      <c r="I1044" s="31"/>
      <c r="J1044" s="32"/>
      <c r="K1044" s="31"/>
      <c r="L1044" s="52"/>
      <c r="M1044" s="5">
        <f t="shared" si="255"/>
        <v>0</v>
      </c>
    </row>
    <row r="1045" spans="1:14" x14ac:dyDescent="0.15">
      <c r="A1045" s="6" t="s">
        <v>338</v>
      </c>
      <c r="B1045" s="31">
        <v>4</v>
      </c>
      <c r="C1045" s="32">
        <v>2</v>
      </c>
      <c r="D1045" s="31"/>
      <c r="E1045" s="52"/>
      <c r="F1045" s="5">
        <f t="shared" si="254"/>
        <v>6</v>
      </c>
      <c r="G1045" s="71">
        <v>45273</v>
      </c>
      <c r="H1045" s="6" t="s">
        <v>3</v>
      </c>
      <c r="I1045" s="34"/>
      <c r="J1045" s="35"/>
      <c r="K1045" s="34"/>
      <c r="L1045" s="32"/>
      <c r="M1045" s="5">
        <f t="shared" si="255"/>
        <v>0</v>
      </c>
    </row>
    <row r="1046" spans="1:14" ht="14.25" thickBot="1" x14ac:dyDescent="0.2">
      <c r="A1046" s="6" t="s">
        <v>3</v>
      </c>
      <c r="B1046" s="13"/>
      <c r="C1046" s="12"/>
      <c r="D1046" s="13"/>
      <c r="E1046" s="50"/>
      <c r="F1046" s="5">
        <f t="shared" si="254"/>
        <v>0</v>
      </c>
      <c r="H1046" s="6" t="s">
        <v>3</v>
      </c>
      <c r="I1046" s="34"/>
      <c r="J1046" s="35"/>
      <c r="K1046" s="34"/>
      <c r="L1046" s="53"/>
      <c r="M1046" s="5">
        <f t="shared" si="255"/>
        <v>0</v>
      </c>
    </row>
    <row r="1047" spans="1:14" ht="14.25" thickBot="1" x14ac:dyDescent="0.2">
      <c r="A1047" s="21" t="s">
        <v>4</v>
      </c>
      <c r="B1047" s="22">
        <f>SUM(B1036:B1046)</f>
        <v>29</v>
      </c>
      <c r="C1047" s="22">
        <f>SUM(C1036:C1046)</f>
        <v>35</v>
      </c>
      <c r="D1047" s="23">
        <f>SUM(D1036:D1046)</f>
        <v>27</v>
      </c>
      <c r="E1047" s="23">
        <f>SUM(E1036:E1046)</f>
        <v>19</v>
      </c>
      <c r="F1047" s="24">
        <f>SUM(B1047:E1047)</f>
        <v>110</v>
      </c>
      <c r="H1047" s="21" t="s">
        <v>4</v>
      </c>
      <c r="I1047" s="22">
        <f>SUM(I1036:I1046)</f>
        <v>611</v>
      </c>
      <c r="J1047" s="22">
        <f>SUM(J1036:J1046)</f>
        <v>705</v>
      </c>
      <c r="K1047" s="23">
        <f>SUM(K1036:K1046)</f>
        <v>496</v>
      </c>
      <c r="L1047" s="23">
        <f>SUM(L1036:L1046)</f>
        <v>346</v>
      </c>
      <c r="M1047" s="24">
        <f>SUM(I1047:L1047)</f>
        <v>2158</v>
      </c>
    </row>
    <row r="1048" spans="1:14" x14ac:dyDescent="0.15">
      <c r="A1048" s="4" t="s">
        <v>529</v>
      </c>
      <c r="B1048" s="8">
        <v>1</v>
      </c>
      <c r="C1048" s="9">
        <v>1</v>
      </c>
      <c r="D1048" s="10"/>
      <c r="E1048" s="49"/>
      <c r="F1048" s="5">
        <f>SUM(B1048:E1048)</f>
        <v>2</v>
      </c>
      <c r="G1048" s="39">
        <v>45204</v>
      </c>
      <c r="H1048" s="133" t="s">
        <v>533</v>
      </c>
      <c r="I1048" s="80"/>
      <c r="J1048" s="49">
        <v>16</v>
      </c>
      <c r="K1048" s="78">
        <v>10</v>
      </c>
      <c r="L1048" s="9"/>
      <c r="M1048" s="7">
        <f>SUM(I1048:L1048)</f>
        <v>26</v>
      </c>
      <c r="N1048" s="39">
        <v>45201</v>
      </c>
    </row>
    <row r="1049" spans="1:14" x14ac:dyDescent="0.15">
      <c r="A1049" s="4" t="s">
        <v>200</v>
      </c>
      <c r="B1049" s="8"/>
      <c r="C1049" s="9">
        <v>2</v>
      </c>
      <c r="D1049" s="10">
        <v>2</v>
      </c>
      <c r="E1049" s="49"/>
      <c r="F1049" s="5">
        <f t="shared" ref="F1049:F1071" si="257">SUM(B1049:E1049)</f>
        <v>4</v>
      </c>
      <c r="G1049" s="39">
        <v>45201</v>
      </c>
      <c r="H1049" s="133" t="s">
        <v>532</v>
      </c>
      <c r="I1049" s="80"/>
      <c r="J1049" s="49"/>
      <c r="K1049" s="78"/>
      <c r="L1049" s="9">
        <v>6</v>
      </c>
      <c r="M1049" s="7">
        <f t="shared" ref="M1049:M1070" si="258">SUM(I1049:L1049)</f>
        <v>6</v>
      </c>
      <c r="N1049" s="39">
        <v>45196</v>
      </c>
    </row>
    <row r="1050" spans="1:14" x14ac:dyDescent="0.15">
      <c r="A1050" s="4" t="s">
        <v>200</v>
      </c>
      <c r="B1050" s="8">
        <v>2</v>
      </c>
      <c r="C1050" s="9"/>
      <c r="D1050" s="10"/>
      <c r="E1050" s="49"/>
      <c r="F1050" s="5">
        <f t="shared" si="257"/>
        <v>2</v>
      </c>
      <c r="G1050" s="39">
        <v>45205</v>
      </c>
      <c r="H1050" s="133" t="s">
        <v>535</v>
      </c>
      <c r="I1050" s="8"/>
      <c r="J1050" s="9"/>
      <c r="K1050" s="10"/>
      <c r="L1050" s="49">
        <v>8</v>
      </c>
      <c r="M1050" s="7">
        <f t="shared" si="258"/>
        <v>8</v>
      </c>
      <c r="N1050" s="39">
        <v>45209</v>
      </c>
    </row>
    <row r="1051" spans="1:14" x14ac:dyDescent="0.15">
      <c r="A1051" s="4" t="s">
        <v>34</v>
      </c>
      <c r="B1051" s="8"/>
      <c r="C1051" s="9">
        <v>2</v>
      </c>
      <c r="D1051" s="10"/>
      <c r="E1051" s="49"/>
      <c r="F1051" s="5">
        <f t="shared" si="257"/>
        <v>2</v>
      </c>
      <c r="G1051" s="39">
        <v>45210</v>
      </c>
      <c r="H1051" s="4" t="s">
        <v>200</v>
      </c>
      <c r="I1051" s="8"/>
      <c r="J1051" s="9"/>
      <c r="K1051" s="10">
        <v>2</v>
      </c>
      <c r="L1051" s="49"/>
      <c r="M1051" s="7">
        <f t="shared" si="258"/>
        <v>2</v>
      </c>
      <c r="N1051" s="39">
        <v>45197</v>
      </c>
    </row>
    <row r="1052" spans="1:14" x14ac:dyDescent="0.15">
      <c r="A1052" s="4" t="s">
        <v>39</v>
      </c>
      <c r="B1052" s="8"/>
      <c r="C1052" s="9">
        <v>3</v>
      </c>
      <c r="D1052" s="10">
        <v>1</v>
      </c>
      <c r="E1052" s="49">
        <v>1</v>
      </c>
      <c r="F1052" s="5">
        <f t="shared" si="257"/>
        <v>5</v>
      </c>
      <c r="G1052" s="39">
        <v>45212</v>
      </c>
      <c r="H1052" s="133" t="s">
        <v>536</v>
      </c>
      <c r="I1052" s="8"/>
      <c r="J1052" s="9">
        <v>20</v>
      </c>
      <c r="K1052" s="10"/>
      <c r="L1052" s="49"/>
      <c r="M1052" s="7">
        <f t="shared" si="258"/>
        <v>20</v>
      </c>
      <c r="N1052" s="39">
        <v>45215</v>
      </c>
    </row>
    <row r="1053" spans="1:14" x14ac:dyDescent="0.15">
      <c r="A1053" s="4" t="s">
        <v>39</v>
      </c>
      <c r="B1053" s="8">
        <v>1</v>
      </c>
      <c r="C1053" s="9">
        <v>2</v>
      </c>
      <c r="D1053" s="10">
        <v>2</v>
      </c>
      <c r="E1053" s="9">
        <v>2</v>
      </c>
      <c r="F1053" s="5">
        <f t="shared" si="257"/>
        <v>7</v>
      </c>
      <c r="G1053" s="39">
        <v>45216</v>
      </c>
      <c r="H1053" s="4" t="s">
        <v>200</v>
      </c>
      <c r="I1053" s="8">
        <v>2</v>
      </c>
      <c r="J1053" s="9"/>
      <c r="K1053" s="10"/>
      <c r="L1053" s="9"/>
      <c r="M1053" s="7">
        <f t="shared" si="258"/>
        <v>2</v>
      </c>
      <c r="N1053" s="39">
        <v>45204</v>
      </c>
    </row>
    <row r="1054" spans="1:14" x14ac:dyDescent="0.15">
      <c r="A1054" s="4" t="s">
        <v>34</v>
      </c>
      <c r="B1054" s="8">
        <v>2</v>
      </c>
      <c r="C1054" s="9"/>
      <c r="D1054" s="10"/>
      <c r="E1054" s="9"/>
      <c r="F1054" s="5">
        <f t="shared" si="257"/>
        <v>2</v>
      </c>
      <c r="G1054" s="71">
        <v>45215</v>
      </c>
      <c r="H1054" s="4" t="s">
        <v>540</v>
      </c>
      <c r="I1054" s="8">
        <v>2</v>
      </c>
      <c r="J1054" s="9"/>
      <c r="K1054" s="10"/>
      <c r="L1054" s="9"/>
      <c r="M1054" s="7">
        <f t="shared" si="258"/>
        <v>2</v>
      </c>
      <c r="N1054" s="39">
        <v>45218</v>
      </c>
    </row>
    <row r="1055" spans="1:14" x14ac:dyDescent="0.15">
      <c r="A1055" s="4" t="s">
        <v>34</v>
      </c>
      <c r="B1055" s="8"/>
      <c r="C1055" s="9">
        <v>1</v>
      </c>
      <c r="D1055" s="10"/>
      <c r="E1055" s="9"/>
      <c r="F1055" s="5">
        <f t="shared" si="257"/>
        <v>1</v>
      </c>
      <c r="G1055" s="71">
        <v>45216</v>
      </c>
      <c r="H1055" s="4" t="s">
        <v>26</v>
      </c>
      <c r="I1055" s="8">
        <f>5+3</f>
        <v>8</v>
      </c>
      <c r="J1055" s="9"/>
      <c r="K1055" s="10"/>
      <c r="L1055" s="9"/>
      <c r="M1055" s="7">
        <f t="shared" si="258"/>
        <v>8</v>
      </c>
      <c r="N1055" s="39">
        <v>45210</v>
      </c>
    </row>
    <row r="1056" spans="1:14" x14ac:dyDescent="0.15">
      <c r="A1056" s="4" t="s">
        <v>200</v>
      </c>
      <c r="B1056" s="8"/>
      <c r="C1056" s="9">
        <v>2</v>
      </c>
      <c r="D1056" s="10"/>
      <c r="E1056" s="9"/>
      <c r="F1056" s="5">
        <f t="shared" si="257"/>
        <v>2</v>
      </c>
      <c r="G1056" s="39">
        <v>45219</v>
      </c>
      <c r="H1056" s="133" t="s">
        <v>537</v>
      </c>
      <c r="I1056" s="8"/>
      <c r="J1056" s="9"/>
      <c r="K1056" s="10">
        <v>14</v>
      </c>
      <c r="L1056" s="9"/>
      <c r="M1056" s="7">
        <f t="shared" si="258"/>
        <v>14</v>
      </c>
      <c r="N1056" s="39">
        <v>45219</v>
      </c>
    </row>
    <row r="1057" spans="1:21" x14ac:dyDescent="0.15">
      <c r="A1057" s="4" t="s">
        <v>200</v>
      </c>
      <c r="B1057" s="8"/>
      <c r="C1057" s="9"/>
      <c r="D1057" s="10"/>
      <c r="E1057" s="9">
        <v>2</v>
      </c>
      <c r="F1057" s="5">
        <f t="shared" si="257"/>
        <v>2</v>
      </c>
      <c r="G1057" s="39">
        <v>45230</v>
      </c>
      <c r="H1057" s="4" t="s">
        <v>26</v>
      </c>
      <c r="I1057" s="8">
        <v>5</v>
      </c>
      <c r="J1057" s="9">
        <v>5</v>
      </c>
      <c r="K1057" s="10">
        <v>5</v>
      </c>
      <c r="L1057" s="9">
        <v>5</v>
      </c>
      <c r="M1057" s="7">
        <f t="shared" si="258"/>
        <v>20</v>
      </c>
      <c r="N1057" s="39">
        <v>45217</v>
      </c>
    </row>
    <row r="1058" spans="1:21" x14ac:dyDescent="0.15">
      <c r="A1058" s="4" t="s">
        <v>39</v>
      </c>
      <c r="B1058" s="8"/>
      <c r="C1058" s="9">
        <v>1</v>
      </c>
      <c r="D1058" s="10"/>
      <c r="E1058" s="9">
        <v>2</v>
      </c>
      <c r="F1058" s="5">
        <f t="shared" si="257"/>
        <v>3</v>
      </c>
      <c r="G1058" s="39">
        <v>45230</v>
      </c>
      <c r="H1058" s="133" t="s">
        <v>539</v>
      </c>
      <c r="I1058" s="8">
        <v>8</v>
      </c>
      <c r="J1058" s="9"/>
      <c r="K1058" s="10"/>
      <c r="L1058" s="9"/>
      <c r="M1058" s="7">
        <f t="shared" si="258"/>
        <v>8</v>
      </c>
      <c r="N1058" s="39">
        <v>45225</v>
      </c>
    </row>
    <row r="1059" spans="1:21" x14ac:dyDescent="0.15">
      <c r="A1059" s="4" t="s">
        <v>200</v>
      </c>
      <c r="B1059" s="8">
        <v>2</v>
      </c>
      <c r="C1059" s="9"/>
      <c r="D1059" s="10"/>
      <c r="E1059" s="9"/>
      <c r="F1059" s="5">
        <f t="shared" si="257"/>
        <v>2</v>
      </c>
      <c r="G1059" s="39">
        <v>45231</v>
      </c>
      <c r="H1059" s="133" t="s">
        <v>541</v>
      </c>
      <c r="I1059" s="8"/>
      <c r="J1059" s="9">
        <v>16</v>
      </c>
      <c r="K1059" s="10"/>
      <c r="L1059" s="9"/>
      <c r="M1059" s="7">
        <f t="shared" si="258"/>
        <v>16</v>
      </c>
      <c r="N1059" s="39">
        <v>45236</v>
      </c>
    </row>
    <row r="1060" spans="1:21" x14ac:dyDescent="0.15">
      <c r="A1060" s="4" t="s">
        <v>200</v>
      </c>
      <c r="B1060" s="8"/>
      <c r="C1060" s="9">
        <v>2</v>
      </c>
      <c r="D1060" s="10"/>
      <c r="E1060" s="9"/>
      <c r="F1060" s="5">
        <f t="shared" si="257"/>
        <v>2</v>
      </c>
      <c r="G1060" s="39">
        <v>45237</v>
      </c>
      <c r="H1060" s="133" t="s">
        <v>542</v>
      </c>
      <c r="I1060" s="8">
        <v>20</v>
      </c>
      <c r="J1060" s="9">
        <v>40</v>
      </c>
      <c r="K1060" s="10"/>
      <c r="L1060" s="9"/>
      <c r="M1060" s="7">
        <f t="shared" si="258"/>
        <v>60</v>
      </c>
      <c r="N1060" s="39">
        <v>45240</v>
      </c>
    </row>
    <row r="1061" spans="1:21" x14ac:dyDescent="0.15">
      <c r="A1061" s="4" t="s">
        <v>34</v>
      </c>
      <c r="B1061" s="8"/>
      <c r="C1061" s="9">
        <v>1</v>
      </c>
      <c r="D1061" s="10"/>
      <c r="E1061" s="9"/>
      <c r="F1061" s="5">
        <f t="shared" si="257"/>
        <v>1</v>
      </c>
      <c r="G1061" s="71">
        <v>45236</v>
      </c>
      <c r="H1061" s="4" t="s">
        <v>544</v>
      </c>
      <c r="I1061" s="8">
        <v>6</v>
      </c>
      <c r="J1061" s="9">
        <v>10</v>
      </c>
      <c r="K1061" s="10"/>
      <c r="L1061" s="9"/>
      <c r="M1061" s="7">
        <f t="shared" si="258"/>
        <v>16</v>
      </c>
      <c r="N1061" s="39">
        <v>45237</v>
      </c>
    </row>
    <row r="1062" spans="1:21" x14ac:dyDescent="0.15">
      <c r="A1062" s="4" t="s">
        <v>34</v>
      </c>
      <c r="B1062" s="8">
        <v>2</v>
      </c>
      <c r="C1062" s="9"/>
      <c r="D1062" s="10"/>
      <c r="E1062" s="9"/>
      <c r="F1062" s="5">
        <f t="shared" si="257"/>
        <v>2</v>
      </c>
      <c r="G1062" s="71">
        <v>45237</v>
      </c>
      <c r="H1062" s="136" t="s">
        <v>543</v>
      </c>
      <c r="I1062" s="8"/>
      <c r="J1062" s="9"/>
      <c r="K1062" s="10">
        <v>0</v>
      </c>
      <c r="L1062" s="9"/>
      <c r="M1062" s="7">
        <f t="shared" si="258"/>
        <v>0</v>
      </c>
      <c r="N1062" s="39">
        <v>45239</v>
      </c>
    </row>
    <row r="1063" spans="1:21" x14ac:dyDescent="0.15">
      <c r="A1063" s="4" t="s">
        <v>34</v>
      </c>
      <c r="B1063" s="8"/>
      <c r="C1063" s="9"/>
      <c r="D1063" s="10">
        <v>1</v>
      </c>
      <c r="E1063" s="9"/>
      <c r="F1063" s="5">
        <f t="shared" si="257"/>
        <v>1</v>
      </c>
      <c r="G1063" s="71">
        <v>45239</v>
      </c>
      <c r="H1063" s="133" t="s">
        <v>546</v>
      </c>
      <c r="I1063" s="8"/>
      <c r="J1063" s="9"/>
      <c r="K1063" s="10">
        <v>16</v>
      </c>
      <c r="L1063" s="9"/>
      <c r="M1063" s="7">
        <f t="shared" si="258"/>
        <v>16</v>
      </c>
      <c r="N1063" s="39">
        <v>45245</v>
      </c>
    </row>
    <row r="1064" spans="1:21" x14ac:dyDescent="0.15">
      <c r="A1064" s="4" t="s">
        <v>545</v>
      </c>
      <c r="B1064" s="8"/>
      <c r="C1064" s="9"/>
      <c r="D1064" s="10">
        <v>3</v>
      </c>
      <c r="E1064" s="9"/>
      <c r="F1064" s="5">
        <f t="shared" si="257"/>
        <v>3</v>
      </c>
      <c r="G1064" s="39">
        <v>45246</v>
      </c>
      <c r="H1064" s="4" t="s">
        <v>26</v>
      </c>
      <c r="I1064" s="8"/>
      <c r="J1064" s="9">
        <v>5</v>
      </c>
      <c r="K1064" s="10"/>
      <c r="L1064" s="9"/>
      <c r="M1064" s="7">
        <f t="shared" si="258"/>
        <v>5</v>
      </c>
      <c r="N1064" s="39">
        <v>45237</v>
      </c>
    </row>
    <row r="1065" spans="1:21" x14ac:dyDescent="0.15">
      <c r="A1065" s="4" t="s">
        <v>34</v>
      </c>
      <c r="B1065" s="8">
        <v>1</v>
      </c>
      <c r="C1065" s="9">
        <v>1</v>
      </c>
      <c r="D1065" s="10"/>
      <c r="E1065" s="9"/>
      <c r="F1065" s="5">
        <f t="shared" si="257"/>
        <v>2</v>
      </c>
      <c r="G1065" s="71">
        <v>45257</v>
      </c>
      <c r="H1065" s="133" t="s">
        <v>547</v>
      </c>
      <c r="I1065" s="8"/>
      <c r="J1065" s="9"/>
      <c r="K1065" s="10">
        <v>14</v>
      </c>
      <c r="L1065" s="9"/>
      <c r="M1065" s="7">
        <f t="shared" si="258"/>
        <v>14</v>
      </c>
      <c r="N1065" s="39">
        <v>45243</v>
      </c>
    </row>
    <row r="1066" spans="1:21" x14ac:dyDescent="0.15">
      <c r="A1066" s="4" t="s">
        <v>553</v>
      </c>
      <c r="B1066" s="8"/>
      <c r="C1066" s="9">
        <v>1</v>
      </c>
      <c r="D1066" s="10"/>
      <c r="E1066" s="9"/>
      <c r="F1066" s="5">
        <f t="shared" si="257"/>
        <v>1</v>
      </c>
      <c r="G1066" s="39">
        <v>45268</v>
      </c>
      <c r="H1066" s="133" t="s">
        <v>548</v>
      </c>
      <c r="I1066" s="8">
        <v>6</v>
      </c>
      <c r="J1066" s="9"/>
      <c r="K1066" s="10"/>
      <c r="L1066" s="9"/>
      <c r="M1066" s="7">
        <f t="shared" si="258"/>
        <v>6</v>
      </c>
      <c r="N1066" s="39">
        <v>45257</v>
      </c>
    </row>
    <row r="1067" spans="1:21" x14ac:dyDescent="0.15">
      <c r="A1067" s="4" t="s">
        <v>555</v>
      </c>
      <c r="B1067" s="8"/>
      <c r="C1067" s="9">
        <v>2</v>
      </c>
      <c r="D1067" s="10"/>
      <c r="E1067" s="9"/>
      <c r="F1067" s="5">
        <f t="shared" si="257"/>
        <v>2</v>
      </c>
      <c r="G1067" s="39">
        <v>45273</v>
      </c>
      <c r="H1067" s="4" t="s">
        <v>26</v>
      </c>
      <c r="I1067" s="8"/>
      <c r="J1067" s="9">
        <v>5</v>
      </c>
      <c r="K1067" s="10"/>
      <c r="L1067" s="9"/>
      <c r="M1067" s="7">
        <f t="shared" si="258"/>
        <v>5</v>
      </c>
      <c r="N1067" s="39">
        <v>45260</v>
      </c>
    </row>
    <row r="1068" spans="1:21" x14ac:dyDescent="0.15">
      <c r="A1068" s="4" t="s">
        <v>556</v>
      </c>
      <c r="B1068" s="8"/>
      <c r="C1068" s="9">
        <v>1</v>
      </c>
      <c r="D1068" s="10">
        <v>1</v>
      </c>
      <c r="E1068" s="9"/>
      <c r="F1068" s="5">
        <f t="shared" si="257"/>
        <v>2</v>
      </c>
      <c r="G1068" s="39">
        <v>45279</v>
      </c>
      <c r="H1068" s="4" t="s">
        <v>552</v>
      </c>
      <c r="I1068" s="80">
        <v>11</v>
      </c>
      <c r="J1068" s="49">
        <v>11</v>
      </c>
      <c r="K1068" s="78">
        <v>6</v>
      </c>
      <c r="L1068" s="9">
        <v>5</v>
      </c>
      <c r="M1068" s="7">
        <f>SUM(I1068:L1068)</f>
        <v>33</v>
      </c>
      <c r="N1068" s="39">
        <v>45264</v>
      </c>
    </row>
    <row r="1069" spans="1:21" x14ac:dyDescent="0.15">
      <c r="A1069" s="4" t="s">
        <v>558</v>
      </c>
      <c r="B1069" s="8">
        <v>1</v>
      </c>
      <c r="C1069" s="9"/>
      <c r="D1069" s="10"/>
      <c r="E1069" s="9"/>
      <c r="F1069" s="5">
        <f t="shared" si="257"/>
        <v>1</v>
      </c>
      <c r="G1069" s="39">
        <v>45281</v>
      </c>
      <c r="H1069" s="4"/>
      <c r="I1069" s="8"/>
      <c r="J1069" s="9"/>
      <c r="K1069" s="10"/>
      <c r="L1069" s="9"/>
      <c r="M1069" s="7">
        <f t="shared" si="258"/>
        <v>0</v>
      </c>
      <c r="U1069"/>
    </row>
    <row r="1070" spans="1:21" x14ac:dyDescent="0.15">
      <c r="A1070" s="4" t="s">
        <v>34</v>
      </c>
      <c r="B1070" s="8"/>
      <c r="C1070" s="9">
        <v>2</v>
      </c>
      <c r="D1070" s="10"/>
      <c r="E1070" s="9"/>
      <c r="F1070" s="5">
        <f t="shared" si="257"/>
        <v>2</v>
      </c>
      <c r="G1070" s="71">
        <v>45280</v>
      </c>
      <c r="H1070" s="4" t="s">
        <v>557</v>
      </c>
      <c r="I1070" s="8"/>
      <c r="J1070" s="9"/>
      <c r="K1070" s="10"/>
      <c r="L1070" s="9"/>
      <c r="M1070" s="7">
        <f t="shared" si="258"/>
        <v>0</v>
      </c>
      <c r="N1070" s="41" t="s">
        <v>534</v>
      </c>
      <c r="U1070"/>
    </row>
    <row r="1071" spans="1:21" ht="14.25" thickBot="1" x14ac:dyDescent="0.2">
      <c r="A1071" s="4" t="s">
        <v>559</v>
      </c>
      <c r="B1071" s="8"/>
      <c r="C1071" s="9">
        <v>1</v>
      </c>
      <c r="D1071" s="10"/>
      <c r="E1071" s="9"/>
      <c r="F1071" s="5">
        <f t="shared" si="257"/>
        <v>1</v>
      </c>
      <c r="G1071" s="39">
        <v>45285</v>
      </c>
      <c r="H1071" s="4" t="s">
        <v>530</v>
      </c>
      <c r="I1071" s="8"/>
      <c r="J1071" s="9"/>
      <c r="K1071" s="10"/>
      <c r="L1071" s="9"/>
      <c r="M1071" s="7">
        <f t="shared" ref="M1071" si="259">SUM(I1071:L1071)</f>
        <v>0</v>
      </c>
      <c r="N1071" s="41" t="s">
        <v>531</v>
      </c>
      <c r="U1071"/>
    </row>
    <row r="1072" spans="1:21" ht="14.25" thickBot="1" x14ac:dyDescent="0.2">
      <c r="A1072" s="3" t="s">
        <v>5</v>
      </c>
      <c r="B1072" s="14">
        <f>SUM(B1048:B1071)</f>
        <v>12</v>
      </c>
      <c r="C1072" s="14">
        <f>SUM(C1048:C1071)</f>
        <v>25</v>
      </c>
      <c r="D1072" s="14">
        <f>SUM(D1048:D1071)</f>
        <v>10</v>
      </c>
      <c r="E1072" s="14">
        <f>SUM(E1048:E1071)</f>
        <v>7</v>
      </c>
      <c r="F1072" s="15">
        <f>SUM(B1072:E1072)</f>
        <v>54</v>
      </c>
      <c r="H1072" s="3" t="s">
        <v>5</v>
      </c>
      <c r="I1072" s="14">
        <f>SUM(I1048:I1071)</f>
        <v>68</v>
      </c>
      <c r="J1072" s="14">
        <f>SUM(J1048:J1071)</f>
        <v>128</v>
      </c>
      <c r="K1072" s="14">
        <f>SUM(K1048:K1071)</f>
        <v>67</v>
      </c>
      <c r="L1072" s="14">
        <f>SUM(L1048:L1071)</f>
        <v>24</v>
      </c>
      <c r="M1072" s="15">
        <f>SUM(I1072:L1072)</f>
        <v>287</v>
      </c>
      <c r="U1072"/>
    </row>
    <row r="1073" spans="1:21" ht="14.25" thickBot="1" x14ac:dyDescent="0.2">
      <c r="A1073" s="25" t="s">
        <v>6</v>
      </c>
      <c r="B1073" s="26">
        <f>B1047-B1072</f>
        <v>17</v>
      </c>
      <c r="C1073" s="26">
        <f t="shared" ref="C1073:F1073" si="260">C1047-C1072</f>
        <v>10</v>
      </c>
      <c r="D1073" s="26">
        <f t="shared" si="260"/>
        <v>17</v>
      </c>
      <c r="E1073" s="26">
        <f t="shared" si="260"/>
        <v>12</v>
      </c>
      <c r="F1073" s="24">
        <f t="shared" si="260"/>
        <v>56</v>
      </c>
      <c r="H1073" s="25" t="s">
        <v>6</v>
      </c>
      <c r="I1073" s="26">
        <f>I1047-I1072</f>
        <v>543</v>
      </c>
      <c r="J1073" s="26">
        <f t="shared" ref="J1073:M1073" si="261">J1047-J1072</f>
        <v>577</v>
      </c>
      <c r="K1073" s="26">
        <f t="shared" si="261"/>
        <v>429</v>
      </c>
      <c r="L1073" s="26">
        <f t="shared" si="261"/>
        <v>322</v>
      </c>
      <c r="M1073" s="24">
        <f t="shared" si="261"/>
        <v>1871</v>
      </c>
      <c r="U1073"/>
    </row>
    <row r="1074" spans="1:21" x14ac:dyDescent="0.15">
      <c r="G1074"/>
      <c r="I1074" s="72">
        <f>I1073/$M$1073*100</f>
        <v>29.021913415285944</v>
      </c>
      <c r="J1074" s="72">
        <f t="shared" ref="J1074:M1074" si="262">J1073/$M$1073*100</f>
        <v>30.839123463388564</v>
      </c>
      <c r="K1074" s="72">
        <f t="shared" si="262"/>
        <v>22.928915018706576</v>
      </c>
      <c r="L1074" s="72">
        <f t="shared" si="262"/>
        <v>17.21004810261892</v>
      </c>
      <c r="M1074" s="72">
        <f t="shared" si="262"/>
        <v>100</v>
      </c>
      <c r="U1074"/>
    </row>
    <row r="1075" spans="1:21" x14ac:dyDescent="0.15">
      <c r="G1075"/>
      <c r="H1075" s="132" t="s">
        <v>450</v>
      </c>
      <c r="I1075" s="100">
        <v>34.1</v>
      </c>
      <c r="J1075" s="128">
        <v>38.299999999999997</v>
      </c>
      <c r="K1075" s="128">
        <v>20.2</v>
      </c>
      <c r="L1075" s="128">
        <v>7.4</v>
      </c>
      <c r="M1075" s="100">
        <f>SUM(I1075:L1075)</f>
        <v>100.00000000000001</v>
      </c>
      <c r="U1075"/>
    </row>
    <row r="1076" spans="1:21" ht="21.75" thickBot="1" x14ac:dyDescent="0.25">
      <c r="A1076" s="29" t="s">
        <v>13</v>
      </c>
      <c r="B1076" s="1"/>
      <c r="C1076" s="1"/>
      <c r="D1076" s="1"/>
      <c r="E1076" s="1"/>
      <c r="F1076" s="1"/>
      <c r="H1076" s="29" t="s">
        <v>14</v>
      </c>
      <c r="I1076" s="1"/>
      <c r="J1076" s="1"/>
      <c r="K1076" s="1"/>
      <c r="L1076" s="1"/>
      <c r="M1076" s="1"/>
    </row>
    <row r="1077" spans="1:21" ht="14.25" thickBot="1" x14ac:dyDescent="0.2">
      <c r="A1077" s="2" t="s">
        <v>0</v>
      </c>
      <c r="B1077" s="164" t="s">
        <v>12</v>
      </c>
      <c r="C1077" s="165"/>
      <c r="D1077" s="165"/>
      <c r="E1077" s="165"/>
      <c r="F1077" s="117"/>
      <c r="H1077" s="2" t="s">
        <v>0</v>
      </c>
      <c r="I1077" s="164" t="s">
        <v>12</v>
      </c>
      <c r="J1077" s="165"/>
      <c r="K1077" s="165"/>
      <c r="L1077" s="165"/>
      <c r="M1077" s="117"/>
    </row>
    <row r="1078" spans="1:21" ht="14.25" thickBot="1" x14ac:dyDescent="0.2">
      <c r="A1078" s="2" t="s">
        <v>1</v>
      </c>
      <c r="B1078" s="3" t="s">
        <v>489</v>
      </c>
      <c r="C1078" s="2" t="s">
        <v>490</v>
      </c>
      <c r="D1078" s="19" t="s">
        <v>491</v>
      </c>
      <c r="E1078" s="2" t="s">
        <v>492</v>
      </c>
      <c r="F1078" s="2" t="s">
        <v>2</v>
      </c>
      <c r="H1078" s="2" t="s">
        <v>1</v>
      </c>
      <c r="I1078" s="3" t="s">
        <v>489</v>
      </c>
      <c r="J1078" s="2" t="s">
        <v>490</v>
      </c>
      <c r="K1078" s="19" t="s">
        <v>491</v>
      </c>
      <c r="L1078" s="2" t="s">
        <v>492</v>
      </c>
      <c r="M1078" s="2" t="s">
        <v>2</v>
      </c>
    </row>
    <row r="1079" spans="1:21" x14ac:dyDescent="0.15">
      <c r="A1079" s="27" t="s">
        <v>6</v>
      </c>
      <c r="B1079" s="18">
        <f>B1073</f>
        <v>17</v>
      </c>
      <c r="C1079" s="20">
        <f>C1073</f>
        <v>10</v>
      </c>
      <c r="D1079" s="55">
        <f>D1073</f>
        <v>17</v>
      </c>
      <c r="E1079" s="20">
        <f>E1073</f>
        <v>12</v>
      </c>
      <c r="F1079" s="17">
        <f>SUM(B1079:E1079)</f>
        <v>56</v>
      </c>
      <c r="H1079" s="27" t="s">
        <v>6</v>
      </c>
      <c r="I1079" s="18">
        <f>I1073</f>
        <v>543</v>
      </c>
      <c r="J1079" s="20">
        <f>J1073</f>
        <v>577</v>
      </c>
      <c r="K1079" s="55">
        <f>K1073</f>
        <v>429</v>
      </c>
      <c r="L1079" s="58">
        <f>L1073</f>
        <v>322</v>
      </c>
      <c r="M1079" s="17">
        <f>SUM(I1079:L1079)</f>
        <v>1871</v>
      </c>
    </row>
    <row r="1080" spans="1:21" x14ac:dyDescent="0.15">
      <c r="A1080" s="6" t="s">
        <v>338</v>
      </c>
      <c r="B1080" s="16"/>
      <c r="C1080" s="11">
        <v>2</v>
      </c>
      <c r="D1080" s="16"/>
      <c r="E1080" s="4"/>
      <c r="F1080" s="5">
        <f t="shared" ref="F1080:F1089" si="263">SUM(B1080:E1080)</f>
        <v>2</v>
      </c>
      <c r="G1080" s="71">
        <v>45306</v>
      </c>
      <c r="H1080" s="6" t="s">
        <v>3</v>
      </c>
      <c r="I1080" s="16"/>
      <c r="J1080" s="11"/>
      <c r="K1080" s="16"/>
      <c r="L1080" s="4"/>
      <c r="M1080" s="5">
        <f t="shared" ref="M1080:M1089" si="264">SUM(I1080:L1080)</f>
        <v>0</v>
      </c>
    </row>
    <row r="1081" spans="1:21" x14ac:dyDescent="0.15">
      <c r="A1081" s="6" t="s">
        <v>3</v>
      </c>
      <c r="B1081" s="16">
        <v>3</v>
      </c>
      <c r="C1081" s="11">
        <v>3</v>
      </c>
      <c r="D1081" s="16"/>
      <c r="E1081" s="4"/>
      <c r="F1081" s="5">
        <f t="shared" si="263"/>
        <v>6</v>
      </c>
      <c r="G1081" s="39">
        <v>45339</v>
      </c>
      <c r="H1081" s="6" t="s">
        <v>3</v>
      </c>
      <c r="I1081" s="16"/>
      <c r="J1081" s="11"/>
      <c r="K1081" s="16"/>
      <c r="L1081" s="4"/>
      <c r="M1081" s="5">
        <f t="shared" si="264"/>
        <v>0</v>
      </c>
    </row>
    <row r="1082" spans="1:21" x14ac:dyDescent="0.15">
      <c r="A1082" s="6" t="s">
        <v>580</v>
      </c>
      <c r="B1082" s="16">
        <v>9</v>
      </c>
      <c r="C1082" s="11">
        <v>3</v>
      </c>
      <c r="D1082" s="16">
        <v>4</v>
      </c>
      <c r="E1082" s="4">
        <v>2</v>
      </c>
      <c r="F1082" s="5">
        <f t="shared" si="263"/>
        <v>18</v>
      </c>
      <c r="G1082" s="39">
        <v>45343</v>
      </c>
      <c r="H1082" s="6" t="s">
        <v>3</v>
      </c>
      <c r="I1082" s="31"/>
      <c r="J1082" s="32"/>
      <c r="K1082" s="31"/>
      <c r="L1082" s="52"/>
      <c r="M1082" s="5">
        <f t="shared" ref="M1082:M1084" si="265">SUM(I1082:L1082)</f>
        <v>0</v>
      </c>
    </row>
    <row r="1083" spans="1:21" x14ac:dyDescent="0.15">
      <c r="A1083" s="6" t="s">
        <v>338</v>
      </c>
      <c r="B1083" s="16">
        <v>2</v>
      </c>
      <c r="C1083" s="11"/>
      <c r="D1083" s="16"/>
      <c r="E1083" s="4"/>
      <c r="F1083" s="5">
        <f t="shared" si="263"/>
        <v>2</v>
      </c>
      <c r="G1083" s="71">
        <v>45349</v>
      </c>
      <c r="H1083" s="6" t="s">
        <v>17</v>
      </c>
      <c r="I1083" s="38">
        <v>350</v>
      </c>
      <c r="J1083" s="32">
        <v>300</v>
      </c>
      <c r="K1083" s="31">
        <v>100</v>
      </c>
      <c r="L1083" s="52">
        <v>0</v>
      </c>
      <c r="M1083" s="5">
        <f t="shared" si="265"/>
        <v>750</v>
      </c>
      <c r="N1083" s="39" t="s">
        <v>578</v>
      </c>
    </row>
    <row r="1084" spans="1:21" x14ac:dyDescent="0.15">
      <c r="A1084" s="6" t="s">
        <v>3</v>
      </c>
      <c r="B1084" s="16"/>
      <c r="C1084" s="11"/>
      <c r="D1084" s="16"/>
      <c r="E1084" s="4"/>
      <c r="F1084" s="5">
        <f t="shared" si="263"/>
        <v>0</v>
      </c>
      <c r="H1084" s="6" t="s">
        <v>155</v>
      </c>
      <c r="I1084" s="16">
        <v>7</v>
      </c>
      <c r="J1084" s="11">
        <v>8</v>
      </c>
      <c r="K1084" s="16">
        <v>-6</v>
      </c>
      <c r="L1084" s="4"/>
      <c r="M1084" s="5">
        <f t="shared" si="265"/>
        <v>9</v>
      </c>
      <c r="N1084" s="41" t="s">
        <v>462</v>
      </c>
    </row>
    <row r="1085" spans="1:21" x14ac:dyDescent="0.15">
      <c r="A1085" s="6" t="s">
        <v>3</v>
      </c>
      <c r="B1085" s="16"/>
      <c r="C1085" s="11"/>
      <c r="D1085" s="16"/>
      <c r="E1085" s="4"/>
      <c r="F1085" s="5">
        <f t="shared" si="263"/>
        <v>0</v>
      </c>
      <c r="H1085" s="6" t="s">
        <v>3</v>
      </c>
      <c r="I1085" s="31"/>
      <c r="J1085" s="32"/>
      <c r="K1085" s="31"/>
      <c r="L1085" s="52"/>
      <c r="M1085" s="5">
        <f t="shared" si="264"/>
        <v>0</v>
      </c>
    </row>
    <row r="1086" spans="1:21" x14ac:dyDescent="0.15">
      <c r="A1086" s="6" t="s">
        <v>3</v>
      </c>
      <c r="B1086" s="31"/>
      <c r="C1086" s="32"/>
      <c r="D1086" s="31"/>
      <c r="E1086" s="52"/>
      <c r="F1086" s="5">
        <f t="shared" si="263"/>
        <v>0</v>
      </c>
      <c r="H1086" s="6" t="s">
        <v>3</v>
      </c>
      <c r="I1086" s="31"/>
      <c r="J1086" s="32"/>
      <c r="K1086" s="31"/>
      <c r="L1086" s="52"/>
      <c r="M1086" s="5">
        <f t="shared" si="264"/>
        <v>0</v>
      </c>
    </row>
    <row r="1087" spans="1:21" x14ac:dyDescent="0.15">
      <c r="A1087" s="6" t="s">
        <v>3</v>
      </c>
      <c r="B1087" s="10"/>
      <c r="C1087" s="9"/>
      <c r="D1087" s="10"/>
      <c r="E1087" s="49"/>
      <c r="F1087" s="5">
        <f t="shared" si="263"/>
        <v>0</v>
      </c>
      <c r="H1087" s="6" t="s">
        <v>3</v>
      </c>
      <c r="I1087" s="31"/>
      <c r="J1087" s="32"/>
      <c r="K1087" s="31"/>
      <c r="L1087" s="52"/>
      <c r="M1087" s="5">
        <f t="shared" si="264"/>
        <v>0</v>
      </c>
    </row>
    <row r="1088" spans="1:21" x14ac:dyDescent="0.15">
      <c r="A1088" s="6" t="s">
        <v>3</v>
      </c>
      <c r="B1088" s="31"/>
      <c r="C1088" s="32"/>
      <c r="D1088" s="31"/>
      <c r="E1088" s="52"/>
      <c r="F1088" s="5">
        <f t="shared" si="263"/>
        <v>0</v>
      </c>
      <c r="H1088" s="6" t="s">
        <v>3</v>
      </c>
      <c r="I1088" s="34"/>
      <c r="J1088" s="35"/>
      <c r="K1088" s="34"/>
      <c r="L1088" s="32"/>
      <c r="M1088" s="5">
        <f t="shared" si="264"/>
        <v>0</v>
      </c>
    </row>
    <row r="1089" spans="1:15" ht="14.25" thickBot="1" x14ac:dyDescent="0.2">
      <c r="A1089" s="6" t="s">
        <v>3</v>
      </c>
      <c r="B1089" s="13"/>
      <c r="C1089" s="12"/>
      <c r="D1089" s="13"/>
      <c r="E1089" s="50"/>
      <c r="F1089" s="5">
        <f t="shared" si="263"/>
        <v>0</v>
      </c>
      <c r="H1089" s="6" t="s">
        <v>3</v>
      </c>
      <c r="I1089" s="34"/>
      <c r="J1089" s="35"/>
      <c r="K1089" s="34"/>
      <c r="L1089" s="53"/>
      <c r="M1089" s="5">
        <f t="shared" si="264"/>
        <v>0</v>
      </c>
    </row>
    <row r="1090" spans="1:15" ht="14.25" thickBot="1" x14ac:dyDescent="0.2">
      <c r="A1090" s="21" t="s">
        <v>4</v>
      </c>
      <c r="B1090" s="22">
        <f>SUM(B1079:B1089)</f>
        <v>31</v>
      </c>
      <c r="C1090" s="22">
        <f>SUM(C1079:C1089)</f>
        <v>18</v>
      </c>
      <c r="D1090" s="23">
        <f>SUM(D1079:D1089)</f>
        <v>21</v>
      </c>
      <c r="E1090" s="23">
        <f>SUM(E1079:E1089)</f>
        <v>14</v>
      </c>
      <c r="F1090" s="24">
        <f>SUM(B1090:E1090)</f>
        <v>84</v>
      </c>
      <c r="H1090" s="21" t="s">
        <v>4</v>
      </c>
      <c r="I1090" s="22">
        <f>SUM(I1079:I1089)</f>
        <v>900</v>
      </c>
      <c r="J1090" s="22">
        <f>SUM(J1079:J1089)</f>
        <v>885</v>
      </c>
      <c r="K1090" s="23">
        <f>SUM(K1079:K1089)</f>
        <v>523</v>
      </c>
      <c r="L1090" s="23">
        <f>SUM(L1079:L1089)</f>
        <v>322</v>
      </c>
      <c r="M1090" s="24">
        <f>SUM(I1090:L1090)</f>
        <v>2630</v>
      </c>
    </row>
    <row r="1091" spans="1:15" x14ac:dyDescent="0.15">
      <c r="A1091" s="4" t="s">
        <v>34</v>
      </c>
      <c r="B1091" s="8"/>
      <c r="C1091" s="9">
        <v>1</v>
      </c>
      <c r="D1091" s="10"/>
      <c r="E1091" s="49"/>
      <c r="F1091" s="5">
        <f>SUM(B1091:E1091)</f>
        <v>1</v>
      </c>
      <c r="G1091" s="71">
        <v>45300</v>
      </c>
      <c r="H1091" s="133" t="s">
        <v>560</v>
      </c>
      <c r="I1091" s="80">
        <v>10</v>
      </c>
      <c r="J1091" s="49">
        <v>10</v>
      </c>
      <c r="K1091" s="78"/>
      <c r="L1091" s="9"/>
      <c r="M1091" s="7">
        <f t="shared" ref="M1091" si="266">SUM(I1091:L1091)</f>
        <v>20</v>
      </c>
      <c r="N1091" s="39">
        <v>44935</v>
      </c>
    </row>
    <row r="1092" spans="1:15" x14ac:dyDescent="0.15">
      <c r="A1092" s="4" t="s">
        <v>34</v>
      </c>
      <c r="B1092" s="8">
        <v>2</v>
      </c>
      <c r="C1092" s="9"/>
      <c r="D1092" s="10"/>
      <c r="E1092" s="49"/>
      <c r="F1092" s="5">
        <f t="shared" ref="F1092:F1114" si="267">SUM(B1092:E1092)</f>
        <v>2</v>
      </c>
      <c r="G1092" s="71">
        <v>45302</v>
      </c>
      <c r="H1092" s="133" t="s">
        <v>561</v>
      </c>
      <c r="I1092" s="80">
        <v>4</v>
      </c>
      <c r="J1092" s="49"/>
      <c r="K1092" s="78"/>
      <c r="L1092" s="9"/>
      <c r="M1092" s="7">
        <f t="shared" ref="M1092:M1113" si="268">SUM(I1092:L1092)</f>
        <v>4</v>
      </c>
      <c r="N1092" s="39">
        <v>44935</v>
      </c>
    </row>
    <row r="1093" spans="1:15" x14ac:dyDescent="0.15">
      <c r="A1093" s="4" t="s">
        <v>34</v>
      </c>
      <c r="B1093" s="8">
        <v>1</v>
      </c>
      <c r="C1093" s="9"/>
      <c r="D1093" s="10"/>
      <c r="E1093" s="49">
        <v>2</v>
      </c>
      <c r="F1093" s="5">
        <f t="shared" si="267"/>
        <v>3</v>
      </c>
      <c r="G1093" s="71">
        <v>45306</v>
      </c>
      <c r="H1093" s="133" t="s">
        <v>562</v>
      </c>
      <c r="I1093" s="8">
        <v>6</v>
      </c>
      <c r="J1093" s="9"/>
      <c r="K1093" s="10"/>
      <c r="L1093" s="49"/>
      <c r="M1093" s="7">
        <f t="shared" si="268"/>
        <v>6</v>
      </c>
      <c r="N1093" s="39">
        <v>45300</v>
      </c>
    </row>
    <row r="1094" spans="1:15" x14ac:dyDescent="0.15">
      <c r="A1094" s="4" t="s">
        <v>34</v>
      </c>
      <c r="B1094" s="8">
        <v>1</v>
      </c>
      <c r="C1094" s="9"/>
      <c r="D1094" s="10"/>
      <c r="E1094" s="49"/>
      <c r="F1094" s="5">
        <f t="shared" si="267"/>
        <v>1</v>
      </c>
      <c r="G1094" s="71">
        <v>45309</v>
      </c>
      <c r="H1094" s="133" t="s">
        <v>565</v>
      </c>
      <c r="I1094" s="8"/>
      <c r="J1094" s="9"/>
      <c r="K1094" s="10"/>
      <c r="L1094" s="49">
        <v>10</v>
      </c>
      <c r="M1094" s="7">
        <f t="shared" si="268"/>
        <v>10</v>
      </c>
      <c r="N1094" s="39">
        <v>45306</v>
      </c>
    </row>
    <row r="1095" spans="1:15" x14ac:dyDescent="0.15">
      <c r="A1095" s="4" t="s">
        <v>34</v>
      </c>
      <c r="B1095" s="8"/>
      <c r="C1095" s="9">
        <v>2</v>
      </c>
      <c r="D1095" s="10"/>
      <c r="E1095" s="49"/>
      <c r="F1095" s="5">
        <f t="shared" si="267"/>
        <v>2</v>
      </c>
      <c r="G1095" s="39">
        <v>45315</v>
      </c>
      <c r="H1095" s="133" t="s">
        <v>566</v>
      </c>
      <c r="I1095" s="8">
        <v>16</v>
      </c>
      <c r="J1095" s="9">
        <v>14</v>
      </c>
      <c r="K1095" s="10"/>
      <c r="L1095" s="49"/>
      <c r="M1095" s="7">
        <f t="shared" si="268"/>
        <v>30</v>
      </c>
      <c r="N1095" s="39">
        <v>45313</v>
      </c>
    </row>
    <row r="1096" spans="1:15" x14ac:dyDescent="0.15">
      <c r="A1096" s="11" t="s">
        <v>571</v>
      </c>
      <c r="B1096" s="8">
        <v>1</v>
      </c>
      <c r="C1096" s="9"/>
      <c r="D1096" s="10"/>
      <c r="E1096" s="9"/>
      <c r="F1096" s="5">
        <f t="shared" si="267"/>
        <v>1</v>
      </c>
      <c r="G1096" s="39">
        <v>45321</v>
      </c>
      <c r="H1096" s="133" t="s">
        <v>567</v>
      </c>
      <c r="I1096" s="8">
        <v>14</v>
      </c>
      <c r="J1096" s="9">
        <v>14</v>
      </c>
      <c r="K1096" s="10">
        <v>14</v>
      </c>
      <c r="L1096" s="9">
        <v>10</v>
      </c>
      <c r="M1096" s="7">
        <f t="shared" si="268"/>
        <v>52</v>
      </c>
      <c r="N1096" s="39">
        <v>45316</v>
      </c>
      <c r="O1096" s="30"/>
    </row>
    <row r="1097" spans="1:15" x14ac:dyDescent="0.15">
      <c r="A1097" s="11" t="s">
        <v>39</v>
      </c>
      <c r="B1097" s="8">
        <v>3</v>
      </c>
      <c r="C1097" s="9">
        <v>2</v>
      </c>
      <c r="D1097" s="10"/>
      <c r="E1097" s="9"/>
      <c r="F1097" s="5">
        <f t="shared" si="267"/>
        <v>5</v>
      </c>
      <c r="G1097" s="39">
        <v>45325</v>
      </c>
      <c r="H1097" s="133" t="s">
        <v>568</v>
      </c>
      <c r="I1097" s="8">
        <v>6</v>
      </c>
      <c r="J1097" s="9">
        <v>6</v>
      </c>
      <c r="K1097" s="10">
        <v>6</v>
      </c>
      <c r="L1097" s="9">
        <v>2</v>
      </c>
      <c r="M1097" s="7">
        <f t="shared" si="268"/>
        <v>20</v>
      </c>
      <c r="N1097" s="39">
        <v>45320</v>
      </c>
      <c r="O1097" s="30"/>
    </row>
    <row r="1098" spans="1:15" x14ac:dyDescent="0.15">
      <c r="A1098" s="4" t="s">
        <v>34</v>
      </c>
      <c r="B1098" s="8">
        <v>2</v>
      </c>
      <c r="C1098" s="9"/>
      <c r="D1098" s="10"/>
      <c r="E1098" s="9"/>
      <c r="F1098" s="5">
        <f t="shared" si="267"/>
        <v>2</v>
      </c>
      <c r="G1098" s="39">
        <v>45325</v>
      </c>
      <c r="H1098" s="133" t="s">
        <v>569</v>
      </c>
      <c r="I1098" s="8">
        <v>4</v>
      </c>
      <c r="J1098" s="9">
        <v>4</v>
      </c>
      <c r="K1098" s="10"/>
      <c r="L1098" s="9"/>
      <c r="M1098" s="7">
        <f t="shared" si="268"/>
        <v>8</v>
      </c>
      <c r="N1098" s="39">
        <v>45322</v>
      </c>
    </row>
    <row r="1099" spans="1:15" x14ac:dyDescent="0.15">
      <c r="A1099" s="4" t="s">
        <v>34</v>
      </c>
      <c r="B1099" s="8"/>
      <c r="C1099" s="9">
        <v>1</v>
      </c>
      <c r="D1099" s="10">
        <v>4</v>
      </c>
      <c r="E1099" s="9"/>
      <c r="F1099" s="5">
        <f t="shared" si="267"/>
        <v>5</v>
      </c>
      <c r="G1099" s="71">
        <v>45327</v>
      </c>
      <c r="H1099" s="133" t="s">
        <v>570</v>
      </c>
      <c r="I1099" s="8"/>
      <c r="J1099" s="9"/>
      <c r="K1099" s="10"/>
      <c r="L1099" s="9">
        <v>2</v>
      </c>
      <c r="M1099" s="7">
        <f t="shared" si="268"/>
        <v>2</v>
      </c>
      <c r="N1099" s="39">
        <v>45322</v>
      </c>
    </row>
    <row r="1100" spans="1:15" x14ac:dyDescent="0.15">
      <c r="A1100" s="11" t="s">
        <v>39</v>
      </c>
      <c r="B1100" s="8">
        <v>2</v>
      </c>
      <c r="C1100" s="9"/>
      <c r="D1100" s="10"/>
      <c r="E1100" s="9"/>
      <c r="F1100" s="5">
        <f t="shared" si="267"/>
        <v>2</v>
      </c>
      <c r="G1100" s="39">
        <v>45330</v>
      </c>
      <c r="H1100" s="133" t="s">
        <v>572</v>
      </c>
      <c r="I1100" s="8"/>
      <c r="J1100" s="9">
        <v>8</v>
      </c>
      <c r="K1100" s="10"/>
      <c r="L1100" s="9">
        <v>10</v>
      </c>
      <c r="M1100" s="7">
        <f t="shared" si="268"/>
        <v>18</v>
      </c>
      <c r="N1100" s="39">
        <v>45324</v>
      </c>
    </row>
    <row r="1101" spans="1:15" x14ac:dyDescent="0.15">
      <c r="A1101" s="4" t="s">
        <v>34</v>
      </c>
      <c r="B1101" s="8"/>
      <c r="C1101" s="9">
        <v>2</v>
      </c>
      <c r="D1101" s="10"/>
      <c r="E1101" s="9"/>
      <c r="F1101" s="5">
        <f t="shared" si="267"/>
        <v>2</v>
      </c>
      <c r="G1101" s="71">
        <v>45338</v>
      </c>
      <c r="H1101" s="133" t="s">
        <v>575</v>
      </c>
      <c r="I1101" s="8">
        <v>4</v>
      </c>
      <c r="J1101" s="9"/>
      <c r="K1101" s="10"/>
      <c r="L1101" s="9"/>
      <c r="M1101" s="7">
        <f t="shared" si="268"/>
        <v>4</v>
      </c>
      <c r="N1101" s="39">
        <v>45327</v>
      </c>
    </row>
    <row r="1102" spans="1:15" x14ac:dyDescent="0.15">
      <c r="A1102" s="11" t="s">
        <v>39</v>
      </c>
      <c r="B1102" s="8"/>
      <c r="C1102" s="9">
        <v>1</v>
      </c>
      <c r="D1102" s="10">
        <v>3</v>
      </c>
      <c r="E1102" s="9"/>
      <c r="F1102" s="5">
        <f t="shared" si="267"/>
        <v>4</v>
      </c>
      <c r="G1102" s="39">
        <v>45342</v>
      </c>
      <c r="H1102" s="133" t="s">
        <v>576</v>
      </c>
      <c r="I1102" s="8">
        <v>20</v>
      </c>
      <c r="J1102" s="9">
        <v>20</v>
      </c>
      <c r="K1102" s="10"/>
      <c r="L1102" s="9"/>
      <c r="M1102" s="7">
        <f t="shared" si="268"/>
        <v>40</v>
      </c>
      <c r="N1102" s="39">
        <v>45336</v>
      </c>
    </row>
    <row r="1103" spans="1:15" x14ac:dyDescent="0.15">
      <c r="A1103" s="4" t="s">
        <v>583</v>
      </c>
      <c r="B1103" s="8"/>
      <c r="C1103" s="9">
        <v>2</v>
      </c>
      <c r="D1103" s="10"/>
      <c r="E1103" s="9"/>
      <c r="F1103" s="5">
        <f t="shared" si="267"/>
        <v>2</v>
      </c>
      <c r="G1103" s="71">
        <v>45348</v>
      </c>
      <c r="H1103" s="133" t="s">
        <v>577</v>
      </c>
      <c r="I1103" s="8">
        <v>20</v>
      </c>
      <c r="J1103" s="9">
        <v>20</v>
      </c>
      <c r="K1103" s="10">
        <v>20</v>
      </c>
      <c r="L1103" s="9">
        <v>20</v>
      </c>
      <c r="M1103" s="7">
        <f t="shared" si="268"/>
        <v>80</v>
      </c>
      <c r="N1103" s="39">
        <v>45341</v>
      </c>
    </row>
    <row r="1104" spans="1:15" x14ac:dyDescent="0.15">
      <c r="A1104" s="4" t="s">
        <v>34</v>
      </c>
      <c r="B1104" s="8">
        <v>1</v>
      </c>
      <c r="C1104" s="9"/>
      <c r="D1104" s="10"/>
      <c r="E1104" s="9"/>
      <c r="F1104" s="5">
        <f t="shared" si="267"/>
        <v>1</v>
      </c>
      <c r="G1104" s="71">
        <v>45348</v>
      </c>
      <c r="H1104" s="4" t="s">
        <v>26</v>
      </c>
      <c r="I1104" s="8">
        <v>3</v>
      </c>
      <c r="J1104" s="9">
        <v>3</v>
      </c>
      <c r="K1104" s="10"/>
      <c r="L1104" s="9"/>
      <c r="M1104" s="7">
        <f t="shared" si="268"/>
        <v>6</v>
      </c>
      <c r="N1104" s="39">
        <v>45339</v>
      </c>
    </row>
    <row r="1105" spans="1:14" x14ac:dyDescent="0.15">
      <c r="A1105" s="4"/>
      <c r="B1105" s="8"/>
      <c r="C1105" s="9"/>
      <c r="D1105" s="10"/>
      <c r="E1105" s="9"/>
      <c r="F1105" s="5">
        <f t="shared" si="267"/>
        <v>0</v>
      </c>
      <c r="H1105" s="4" t="s">
        <v>579</v>
      </c>
      <c r="I1105" s="8">
        <v>4</v>
      </c>
      <c r="J1105" s="9">
        <v>4</v>
      </c>
      <c r="K1105" s="10">
        <v>4</v>
      </c>
      <c r="L1105" s="9">
        <v>4</v>
      </c>
      <c r="M1105" s="7">
        <f t="shared" si="268"/>
        <v>16</v>
      </c>
      <c r="N1105" s="39">
        <v>45343</v>
      </c>
    </row>
    <row r="1106" spans="1:14" x14ac:dyDescent="0.15">
      <c r="A1106" s="4"/>
      <c r="B1106" s="8"/>
      <c r="C1106" s="9"/>
      <c r="D1106" s="10"/>
      <c r="E1106" s="9"/>
      <c r="F1106" s="5">
        <f t="shared" si="267"/>
        <v>0</v>
      </c>
      <c r="H1106" s="4"/>
      <c r="I1106" s="8"/>
      <c r="J1106" s="9"/>
      <c r="K1106" s="10"/>
      <c r="L1106" s="9"/>
      <c r="M1106" s="7">
        <f t="shared" si="268"/>
        <v>0</v>
      </c>
    </row>
    <row r="1107" spans="1:14" x14ac:dyDescent="0.15">
      <c r="A1107" s="11"/>
      <c r="B1107" s="8"/>
      <c r="C1107" s="9"/>
      <c r="D1107" s="10"/>
      <c r="E1107" s="9"/>
      <c r="F1107" s="5">
        <f t="shared" si="267"/>
        <v>0</v>
      </c>
      <c r="H1107" s="4"/>
      <c r="I1107" s="8"/>
      <c r="J1107" s="9"/>
      <c r="K1107" s="10"/>
      <c r="L1107" s="9"/>
      <c r="M1107" s="7">
        <f t="shared" si="268"/>
        <v>0</v>
      </c>
    </row>
    <row r="1108" spans="1:14" x14ac:dyDescent="0.15">
      <c r="A1108" s="4"/>
      <c r="B1108" s="8"/>
      <c r="C1108" s="9"/>
      <c r="D1108" s="10"/>
      <c r="E1108" s="9"/>
      <c r="F1108" s="5">
        <f t="shared" si="267"/>
        <v>0</v>
      </c>
      <c r="H1108" s="4"/>
      <c r="I1108" s="8"/>
      <c r="J1108" s="9"/>
      <c r="K1108" s="10"/>
      <c r="L1108" s="9"/>
      <c r="M1108" s="7">
        <f t="shared" si="268"/>
        <v>0</v>
      </c>
    </row>
    <row r="1109" spans="1:14" x14ac:dyDescent="0.15">
      <c r="A1109" s="4"/>
      <c r="B1109" s="8"/>
      <c r="C1109" s="9"/>
      <c r="D1109" s="10"/>
      <c r="E1109" s="9"/>
      <c r="F1109" s="5">
        <f t="shared" si="267"/>
        <v>0</v>
      </c>
      <c r="H1109" s="4"/>
      <c r="I1109" s="8"/>
      <c r="J1109" s="9"/>
      <c r="K1109" s="10"/>
      <c r="L1109" s="9"/>
      <c r="M1109" s="7">
        <f t="shared" si="268"/>
        <v>0</v>
      </c>
    </row>
    <row r="1110" spans="1:14" x14ac:dyDescent="0.15">
      <c r="A1110" s="4"/>
      <c r="B1110" s="8"/>
      <c r="C1110" s="9"/>
      <c r="D1110" s="10"/>
      <c r="E1110" s="9"/>
      <c r="F1110" s="5">
        <f t="shared" si="267"/>
        <v>0</v>
      </c>
      <c r="H1110" s="4"/>
      <c r="I1110" s="8"/>
      <c r="J1110" s="9"/>
      <c r="K1110" s="10"/>
      <c r="L1110" s="9"/>
      <c r="M1110" s="7">
        <f t="shared" si="268"/>
        <v>0</v>
      </c>
    </row>
    <row r="1111" spans="1:14" x14ac:dyDescent="0.15">
      <c r="A1111" s="11"/>
      <c r="B1111" s="8"/>
      <c r="C1111" s="9"/>
      <c r="D1111" s="10"/>
      <c r="E1111" s="9"/>
      <c r="F1111" s="5">
        <f t="shared" si="267"/>
        <v>0</v>
      </c>
      <c r="H1111" s="4"/>
      <c r="I1111" s="8"/>
      <c r="J1111" s="9"/>
      <c r="K1111" s="10"/>
      <c r="L1111" s="9"/>
      <c r="M1111" s="7">
        <f t="shared" si="268"/>
        <v>0</v>
      </c>
    </row>
    <row r="1112" spans="1:14" x14ac:dyDescent="0.15">
      <c r="A1112" s="4"/>
      <c r="B1112" s="8"/>
      <c r="C1112" s="9"/>
      <c r="D1112" s="10"/>
      <c r="E1112" s="9"/>
      <c r="F1112" s="5">
        <f t="shared" si="267"/>
        <v>0</v>
      </c>
      <c r="H1112" s="4"/>
      <c r="I1112" s="8"/>
      <c r="J1112" s="9"/>
      <c r="K1112" s="10"/>
      <c r="L1112" s="9"/>
      <c r="M1112" s="7">
        <f t="shared" si="268"/>
        <v>0</v>
      </c>
    </row>
    <row r="1113" spans="1:14" x14ac:dyDescent="0.15">
      <c r="A1113" s="11"/>
      <c r="B1113" s="8"/>
      <c r="C1113" s="9"/>
      <c r="D1113" s="10"/>
      <c r="E1113" s="9"/>
      <c r="F1113" s="5">
        <f t="shared" si="267"/>
        <v>0</v>
      </c>
      <c r="H1113" s="133" t="s">
        <v>563</v>
      </c>
      <c r="I1113" s="8"/>
      <c r="J1113" s="9"/>
      <c r="K1113" s="10"/>
      <c r="L1113" s="9"/>
      <c r="M1113" s="7">
        <f t="shared" si="268"/>
        <v>0</v>
      </c>
      <c r="N1113" s="41" t="s">
        <v>564</v>
      </c>
    </row>
    <row r="1114" spans="1:14" ht="14.25" thickBot="1" x14ac:dyDescent="0.2">
      <c r="A1114" s="11"/>
      <c r="B1114" s="8"/>
      <c r="C1114" s="9"/>
      <c r="D1114" s="10"/>
      <c r="E1114" s="9"/>
      <c r="F1114" s="5">
        <f t="shared" si="267"/>
        <v>0</v>
      </c>
      <c r="H1114" s="133" t="s">
        <v>496</v>
      </c>
      <c r="I1114" s="8">
        <f>20-10-4-6</f>
        <v>0</v>
      </c>
      <c r="J1114" s="9">
        <f>20-14-6</f>
        <v>0</v>
      </c>
      <c r="K1114" s="10">
        <f>20-14-6</f>
        <v>0</v>
      </c>
      <c r="L1114" s="9">
        <f>20-10-10</f>
        <v>0</v>
      </c>
      <c r="M1114" s="7">
        <f t="shared" ref="M1114" si="269">SUM(I1114:L1114)</f>
        <v>0</v>
      </c>
      <c r="N1114" s="41" t="s">
        <v>497</v>
      </c>
    </row>
    <row r="1115" spans="1:14" ht="14.25" thickBot="1" x14ac:dyDescent="0.2">
      <c r="A1115" s="3" t="s">
        <v>5</v>
      </c>
      <c r="B1115" s="14">
        <f>SUM(B1091:B1114)</f>
        <v>13</v>
      </c>
      <c r="C1115" s="14">
        <f>SUM(C1091:C1114)</f>
        <v>11</v>
      </c>
      <c r="D1115" s="14">
        <f>SUM(D1091:D1114)</f>
        <v>7</v>
      </c>
      <c r="E1115" s="14">
        <f>SUM(E1091:E1114)</f>
        <v>2</v>
      </c>
      <c r="F1115" s="15">
        <f>SUM(B1115:E1115)</f>
        <v>33</v>
      </c>
      <c r="H1115" s="3" t="s">
        <v>5</v>
      </c>
      <c r="I1115" s="14">
        <f>SUM(I1091:I1114)</f>
        <v>111</v>
      </c>
      <c r="J1115" s="14">
        <f>SUM(J1091:J1114)</f>
        <v>103</v>
      </c>
      <c r="K1115" s="14">
        <f>SUM(K1091:K1114)</f>
        <v>44</v>
      </c>
      <c r="L1115" s="14">
        <f>SUM(L1091:L1114)</f>
        <v>58</v>
      </c>
      <c r="M1115" s="15">
        <f>SUM(I1115:L1115)</f>
        <v>316</v>
      </c>
    </row>
    <row r="1116" spans="1:14" ht="14.25" thickBot="1" x14ac:dyDescent="0.2">
      <c r="A1116" s="25" t="s">
        <v>6</v>
      </c>
      <c r="B1116" s="26">
        <f>B1090-B1115</f>
        <v>18</v>
      </c>
      <c r="C1116" s="26">
        <f t="shared" ref="C1116:F1116" si="270">C1090-C1115</f>
        <v>7</v>
      </c>
      <c r="D1116" s="26">
        <f t="shared" si="270"/>
        <v>14</v>
      </c>
      <c r="E1116" s="26">
        <f t="shared" si="270"/>
        <v>12</v>
      </c>
      <c r="F1116" s="24">
        <f t="shared" si="270"/>
        <v>51</v>
      </c>
      <c r="H1116" s="25" t="s">
        <v>6</v>
      </c>
      <c r="I1116" s="26">
        <f>I1090-I1115</f>
        <v>789</v>
      </c>
      <c r="J1116" s="26">
        <f t="shared" ref="J1116:M1116" si="271">J1090-J1115</f>
        <v>782</v>
      </c>
      <c r="K1116" s="26">
        <f t="shared" si="271"/>
        <v>479</v>
      </c>
      <c r="L1116" s="26">
        <f t="shared" si="271"/>
        <v>264</v>
      </c>
      <c r="M1116" s="24">
        <f t="shared" si="271"/>
        <v>2314</v>
      </c>
    </row>
    <row r="1119" spans="1:14" ht="21.75" thickBot="1" x14ac:dyDescent="0.25">
      <c r="A1119" s="29" t="s">
        <v>13</v>
      </c>
      <c r="B1119" s="1"/>
      <c r="C1119" s="1"/>
      <c r="D1119" s="1"/>
      <c r="E1119" s="1"/>
      <c r="F1119" s="1"/>
      <c r="H1119" s="29" t="s">
        <v>14</v>
      </c>
      <c r="I1119" s="1"/>
      <c r="J1119" s="1"/>
      <c r="K1119" s="1"/>
      <c r="L1119" s="1"/>
      <c r="M1119" s="1"/>
    </row>
    <row r="1120" spans="1:14" ht="14.25" thickBot="1" x14ac:dyDescent="0.2">
      <c r="A1120" s="2" t="s">
        <v>0</v>
      </c>
      <c r="B1120" s="164" t="s">
        <v>12</v>
      </c>
      <c r="C1120" s="165"/>
      <c r="D1120" s="165"/>
      <c r="E1120" s="165"/>
      <c r="F1120" s="117"/>
      <c r="H1120" s="2" t="s">
        <v>0</v>
      </c>
      <c r="I1120" s="164" t="s">
        <v>12</v>
      </c>
      <c r="J1120" s="165"/>
      <c r="K1120" s="165"/>
      <c r="L1120" s="165"/>
      <c r="M1120" s="117"/>
    </row>
    <row r="1121" spans="1:14" ht="14.25" thickBot="1" x14ac:dyDescent="0.2">
      <c r="A1121" s="2" t="s">
        <v>1</v>
      </c>
      <c r="B1121" s="3" t="s">
        <v>489</v>
      </c>
      <c r="C1121" s="2" t="s">
        <v>490</v>
      </c>
      <c r="D1121" s="19" t="s">
        <v>491</v>
      </c>
      <c r="E1121" s="2" t="s">
        <v>492</v>
      </c>
      <c r="F1121" s="2" t="s">
        <v>2</v>
      </c>
      <c r="H1121" s="2" t="s">
        <v>1</v>
      </c>
      <c r="I1121" s="3" t="s">
        <v>489</v>
      </c>
      <c r="J1121" s="2" t="s">
        <v>490</v>
      </c>
      <c r="K1121" s="19" t="s">
        <v>491</v>
      </c>
      <c r="L1121" s="2" t="s">
        <v>492</v>
      </c>
      <c r="M1121" s="2" t="s">
        <v>2</v>
      </c>
    </row>
    <row r="1122" spans="1:14" x14ac:dyDescent="0.15">
      <c r="A1122" s="27" t="s">
        <v>6</v>
      </c>
      <c r="B1122" s="18">
        <f>B1116</f>
        <v>18</v>
      </c>
      <c r="C1122" s="20">
        <f>C1116</f>
        <v>7</v>
      </c>
      <c r="D1122" s="55">
        <f>D1116</f>
        <v>14</v>
      </c>
      <c r="E1122" s="20">
        <f>E1116</f>
        <v>12</v>
      </c>
      <c r="F1122" s="17">
        <f>SUM(B1122:E1122)</f>
        <v>51</v>
      </c>
      <c r="H1122" s="27" t="s">
        <v>6</v>
      </c>
      <c r="I1122" s="18">
        <f>I1116</f>
        <v>789</v>
      </c>
      <c r="J1122" s="20">
        <f>J1116</f>
        <v>782</v>
      </c>
      <c r="K1122" s="55">
        <f>K1116</f>
        <v>479</v>
      </c>
      <c r="L1122" s="58">
        <f>L1116</f>
        <v>264</v>
      </c>
      <c r="M1122" s="17">
        <f>SUM(I1122:L1122)</f>
        <v>2314</v>
      </c>
    </row>
    <row r="1123" spans="1:14" x14ac:dyDescent="0.15">
      <c r="A1123" s="6" t="s">
        <v>588</v>
      </c>
      <c r="B1123" s="16"/>
      <c r="C1123" s="11"/>
      <c r="D1123" s="16"/>
      <c r="E1123" s="4">
        <v>10</v>
      </c>
      <c r="F1123" s="5">
        <f t="shared" ref="F1123:F1132" si="272">SUM(B1123:E1123)</f>
        <v>10</v>
      </c>
      <c r="G1123" s="39">
        <v>45357</v>
      </c>
      <c r="H1123" s="6" t="s">
        <v>3</v>
      </c>
      <c r="I1123" s="16">
        <v>9</v>
      </c>
      <c r="J1123" s="11"/>
      <c r="K1123" s="16">
        <v>4</v>
      </c>
      <c r="L1123" s="4">
        <v>8</v>
      </c>
      <c r="M1123" s="5">
        <f>SUM(I1123:L1123)</f>
        <v>21</v>
      </c>
      <c r="N1123" s="71">
        <v>45353</v>
      </c>
    </row>
    <row r="1124" spans="1:14" x14ac:dyDescent="0.15">
      <c r="A1124" s="6" t="s">
        <v>3</v>
      </c>
      <c r="B1124" s="16">
        <v>5</v>
      </c>
      <c r="C1124" s="11">
        <v>3</v>
      </c>
      <c r="D1124" s="16">
        <v>3</v>
      </c>
      <c r="E1124" s="4"/>
      <c r="F1124" s="5">
        <f t="shared" si="272"/>
        <v>11</v>
      </c>
      <c r="G1124" s="39">
        <v>45377</v>
      </c>
      <c r="H1124" s="6" t="s">
        <v>83</v>
      </c>
      <c r="I1124" s="16"/>
      <c r="J1124" s="11"/>
      <c r="K1124" s="16"/>
      <c r="L1124" s="4">
        <v>5</v>
      </c>
      <c r="M1124" s="5">
        <f t="shared" ref="M1124:M1132" si="273">SUM(I1124:L1124)</f>
        <v>5</v>
      </c>
      <c r="N1124" s="71">
        <v>45381</v>
      </c>
    </row>
    <row r="1125" spans="1:14" x14ac:dyDescent="0.15">
      <c r="A1125" s="6" t="s">
        <v>338</v>
      </c>
      <c r="B1125" s="16"/>
      <c r="C1125" s="11"/>
      <c r="D1125" s="16"/>
      <c r="E1125" s="4">
        <v>2</v>
      </c>
      <c r="F1125" s="5">
        <f t="shared" si="272"/>
        <v>2</v>
      </c>
      <c r="G1125" s="71">
        <v>45377</v>
      </c>
      <c r="H1125" s="6" t="s">
        <v>3</v>
      </c>
      <c r="I1125" s="16"/>
      <c r="J1125" s="11"/>
      <c r="K1125" s="16"/>
      <c r="L1125" s="4"/>
      <c r="M1125" s="5">
        <f t="shared" si="273"/>
        <v>0</v>
      </c>
    </row>
    <row r="1126" spans="1:14" x14ac:dyDescent="0.15">
      <c r="A1126" s="6" t="s">
        <v>3</v>
      </c>
      <c r="B1126" s="16"/>
      <c r="C1126" s="11"/>
      <c r="D1126" s="16"/>
      <c r="E1126" s="4"/>
      <c r="F1126" s="5">
        <f t="shared" si="272"/>
        <v>0</v>
      </c>
      <c r="H1126" s="6" t="s">
        <v>3</v>
      </c>
      <c r="I1126" s="16"/>
      <c r="J1126" s="11"/>
      <c r="K1126" s="16"/>
      <c r="L1126" s="4"/>
      <c r="M1126" s="5">
        <f t="shared" ref="M1126:M1127" si="274">SUM(I1126:L1126)</f>
        <v>0</v>
      </c>
    </row>
    <row r="1127" spans="1:14" x14ac:dyDescent="0.15">
      <c r="A1127" s="6" t="s">
        <v>3</v>
      </c>
      <c r="B1127" s="16"/>
      <c r="C1127" s="11"/>
      <c r="D1127" s="16"/>
      <c r="E1127" s="4"/>
      <c r="F1127" s="5">
        <f t="shared" si="272"/>
        <v>0</v>
      </c>
      <c r="H1127" s="6" t="s">
        <v>3</v>
      </c>
      <c r="I1127" s="16"/>
      <c r="J1127" s="11"/>
      <c r="K1127" s="16"/>
      <c r="L1127" s="4"/>
      <c r="M1127" s="5">
        <f t="shared" si="274"/>
        <v>0</v>
      </c>
    </row>
    <row r="1128" spans="1:14" x14ac:dyDescent="0.15">
      <c r="A1128" s="6" t="s">
        <v>3</v>
      </c>
      <c r="B1128" s="16"/>
      <c r="C1128" s="11"/>
      <c r="D1128" s="16"/>
      <c r="E1128" s="4"/>
      <c r="F1128" s="5">
        <f t="shared" si="272"/>
        <v>0</v>
      </c>
      <c r="H1128" s="6" t="s">
        <v>3</v>
      </c>
      <c r="I1128" s="31"/>
      <c r="J1128" s="32"/>
      <c r="K1128" s="31"/>
      <c r="L1128" s="52"/>
      <c r="M1128" s="5">
        <f t="shared" si="273"/>
        <v>0</v>
      </c>
    </row>
    <row r="1129" spans="1:14" x14ac:dyDescent="0.15">
      <c r="A1129" s="6" t="s">
        <v>3</v>
      </c>
      <c r="B1129" s="31"/>
      <c r="C1129" s="32"/>
      <c r="D1129" s="31"/>
      <c r="E1129" s="52"/>
      <c r="F1129" s="5">
        <f t="shared" si="272"/>
        <v>0</v>
      </c>
      <c r="H1129" s="6" t="s">
        <v>3</v>
      </c>
      <c r="I1129" s="31"/>
      <c r="J1129" s="32"/>
      <c r="K1129" s="31"/>
      <c r="L1129" s="52"/>
      <c r="M1129" s="5">
        <f t="shared" si="273"/>
        <v>0</v>
      </c>
    </row>
    <row r="1130" spans="1:14" x14ac:dyDescent="0.15">
      <c r="A1130" s="6" t="s">
        <v>3</v>
      </c>
      <c r="B1130" s="10"/>
      <c r="C1130" s="9"/>
      <c r="D1130" s="10"/>
      <c r="E1130" s="49"/>
      <c r="F1130" s="5">
        <f t="shared" si="272"/>
        <v>0</v>
      </c>
      <c r="H1130" s="6" t="s">
        <v>3</v>
      </c>
      <c r="I1130" s="31"/>
      <c r="J1130" s="32"/>
      <c r="K1130" s="31"/>
      <c r="L1130" s="52"/>
      <c r="M1130" s="5">
        <f t="shared" si="273"/>
        <v>0</v>
      </c>
    </row>
    <row r="1131" spans="1:14" x14ac:dyDescent="0.15">
      <c r="A1131" s="6" t="s">
        <v>3</v>
      </c>
      <c r="B1131" s="31"/>
      <c r="C1131" s="32"/>
      <c r="D1131" s="31"/>
      <c r="E1131" s="52"/>
      <c r="F1131" s="5">
        <f t="shared" si="272"/>
        <v>0</v>
      </c>
      <c r="H1131" s="6" t="s">
        <v>3</v>
      </c>
      <c r="I1131" s="34"/>
      <c r="J1131" s="35"/>
      <c r="K1131" s="34"/>
      <c r="L1131" s="32"/>
      <c r="M1131" s="5">
        <f t="shared" si="273"/>
        <v>0</v>
      </c>
    </row>
    <row r="1132" spans="1:14" ht="14.25" thickBot="1" x14ac:dyDescent="0.2">
      <c r="A1132" s="6" t="s">
        <v>3</v>
      </c>
      <c r="B1132" s="13"/>
      <c r="C1132" s="12"/>
      <c r="D1132" s="13"/>
      <c r="E1132" s="50"/>
      <c r="F1132" s="5">
        <f t="shared" si="272"/>
        <v>0</v>
      </c>
      <c r="H1132" s="6" t="s">
        <v>3</v>
      </c>
      <c r="I1132" s="34"/>
      <c r="J1132" s="35"/>
      <c r="K1132" s="34"/>
      <c r="L1132" s="53"/>
      <c r="M1132" s="5">
        <f t="shared" si="273"/>
        <v>0</v>
      </c>
    </row>
    <row r="1133" spans="1:14" ht="14.25" thickBot="1" x14ac:dyDescent="0.2">
      <c r="A1133" s="21" t="s">
        <v>4</v>
      </c>
      <c r="B1133" s="22">
        <f>SUM(B1122:B1132)</f>
        <v>23</v>
      </c>
      <c r="C1133" s="22">
        <f>SUM(C1122:C1132)</f>
        <v>10</v>
      </c>
      <c r="D1133" s="23">
        <f>SUM(D1122:D1132)</f>
        <v>17</v>
      </c>
      <c r="E1133" s="23">
        <f>SUM(E1122:E1132)</f>
        <v>24</v>
      </c>
      <c r="F1133" s="24">
        <f>SUM(B1133:E1133)</f>
        <v>74</v>
      </c>
      <c r="H1133" s="21" t="s">
        <v>4</v>
      </c>
      <c r="I1133" s="22">
        <f>SUM(I1122:I1132)</f>
        <v>798</v>
      </c>
      <c r="J1133" s="22">
        <f>SUM(J1122:J1132)</f>
        <v>782</v>
      </c>
      <c r="K1133" s="23">
        <f>SUM(K1122:K1132)</f>
        <v>483</v>
      </c>
      <c r="L1133" s="23">
        <f>SUM(L1122:L1132)</f>
        <v>277</v>
      </c>
      <c r="M1133" s="24">
        <f>SUM(I1133:L1133)</f>
        <v>2340</v>
      </c>
    </row>
    <row r="1134" spans="1:14" x14ac:dyDescent="0.15">
      <c r="A1134" s="11" t="s">
        <v>587</v>
      </c>
      <c r="B1134" s="8">
        <v>9</v>
      </c>
      <c r="C1134" s="9"/>
      <c r="D1134" s="10">
        <v>4</v>
      </c>
      <c r="E1134" s="49">
        <v>8</v>
      </c>
      <c r="F1134" s="5">
        <f>SUM(B1134:E1134)</f>
        <v>21</v>
      </c>
      <c r="G1134" s="71">
        <v>45353</v>
      </c>
      <c r="H1134" s="133" t="s">
        <v>584</v>
      </c>
      <c r="I1134" s="80">
        <v>5</v>
      </c>
      <c r="J1134" s="49">
        <v>5</v>
      </c>
      <c r="K1134" s="78">
        <v>5</v>
      </c>
      <c r="L1134" s="9">
        <v>5</v>
      </c>
      <c r="M1134" s="7">
        <f>SUM(I1134:L1134)</f>
        <v>20</v>
      </c>
      <c r="N1134" s="39">
        <v>45351</v>
      </c>
    </row>
    <row r="1135" spans="1:14" x14ac:dyDescent="0.15">
      <c r="A1135" s="11" t="s">
        <v>591</v>
      </c>
      <c r="B1135" s="8"/>
      <c r="C1135" s="9">
        <v>1</v>
      </c>
      <c r="D1135" s="10">
        <v>2</v>
      </c>
      <c r="E1135" s="49"/>
      <c r="F1135" s="5">
        <f t="shared" ref="F1135:F1157" si="275">SUM(B1135:E1135)</f>
        <v>3</v>
      </c>
      <c r="G1135" s="39">
        <v>45360</v>
      </c>
      <c r="H1135" s="4" t="s">
        <v>200</v>
      </c>
      <c r="I1135" s="80">
        <v>16</v>
      </c>
      <c r="J1135" s="49">
        <v>16</v>
      </c>
      <c r="K1135" s="78"/>
      <c r="L1135" s="9"/>
      <c r="M1135" s="7">
        <f t="shared" ref="M1135:M1157" si="276">SUM(I1135:L1135)</f>
        <v>32</v>
      </c>
      <c r="N1135" s="39">
        <v>45351</v>
      </c>
    </row>
    <row r="1136" spans="1:14" x14ac:dyDescent="0.15">
      <c r="A1136" s="11" t="s">
        <v>39</v>
      </c>
      <c r="B1136" s="8"/>
      <c r="C1136" s="9"/>
      <c r="D1136" s="10">
        <v>1</v>
      </c>
      <c r="E1136" s="49"/>
      <c r="F1136" s="5">
        <f t="shared" si="275"/>
        <v>1</v>
      </c>
      <c r="G1136" s="39">
        <v>45367</v>
      </c>
      <c r="H1136" s="4" t="s">
        <v>200</v>
      </c>
      <c r="I1136" s="8"/>
      <c r="J1136" s="9"/>
      <c r="K1136" s="10"/>
      <c r="L1136" s="49">
        <v>12</v>
      </c>
      <c r="M1136" s="7">
        <f t="shared" si="276"/>
        <v>12</v>
      </c>
      <c r="N1136" s="39">
        <v>45352</v>
      </c>
    </row>
    <row r="1137" spans="1:14" x14ac:dyDescent="0.15">
      <c r="A1137" s="11" t="s">
        <v>39</v>
      </c>
      <c r="B1137" s="8"/>
      <c r="C1137" s="9"/>
      <c r="D1137" s="10">
        <v>1</v>
      </c>
      <c r="E1137" s="49"/>
      <c r="F1137" s="5">
        <f t="shared" si="275"/>
        <v>1</v>
      </c>
      <c r="G1137" s="39">
        <v>45370</v>
      </c>
      <c r="H1137" s="133" t="s">
        <v>585</v>
      </c>
      <c r="I1137" s="8">
        <v>10</v>
      </c>
      <c r="J1137" s="9">
        <v>10</v>
      </c>
      <c r="K1137" s="10">
        <v>10</v>
      </c>
      <c r="L1137" s="49">
        <v>10</v>
      </c>
      <c r="M1137" s="7">
        <f t="shared" si="276"/>
        <v>40</v>
      </c>
      <c r="N1137" s="39">
        <v>45359</v>
      </c>
    </row>
    <row r="1138" spans="1:14" x14ac:dyDescent="0.15">
      <c r="A1138" s="4" t="s">
        <v>200</v>
      </c>
      <c r="B1138" s="8">
        <v>4</v>
      </c>
      <c r="C1138" s="9"/>
      <c r="D1138" s="10"/>
      <c r="E1138" s="49"/>
      <c r="F1138" s="5">
        <f t="shared" si="275"/>
        <v>4</v>
      </c>
      <c r="G1138" s="39">
        <v>45373</v>
      </c>
      <c r="H1138" s="133" t="s">
        <v>586</v>
      </c>
      <c r="I1138" s="8">
        <v>20</v>
      </c>
      <c r="J1138" s="9">
        <v>30</v>
      </c>
      <c r="K1138" s="10">
        <v>20</v>
      </c>
      <c r="L1138" s="49">
        <v>10</v>
      </c>
      <c r="M1138" s="7">
        <f t="shared" si="276"/>
        <v>80</v>
      </c>
      <c r="N1138" s="39">
        <v>45359</v>
      </c>
    </row>
    <row r="1139" spans="1:14" x14ac:dyDescent="0.15">
      <c r="A1139" s="4" t="s">
        <v>34</v>
      </c>
      <c r="B1139" s="8">
        <v>2</v>
      </c>
      <c r="C1139" s="9"/>
      <c r="D1139" s="10"/>
      <c r="E1139" s="9">
        <v>1</v>
      </c>
      <c r="F1139" s="5">
        <f t="shared" si="275"/>
        <v>3</v>
      </c>
      <c r="G1139" s="39">
        <v>45376</v>
      </c>
      <c r="H1139" s="4" t="s">
        <v>200</v>
      </c>
      <c r="I1139" s="8"/>
      <c r="J1139" s="9">
        <v>2</v>
      </c>
      <c r="K1139" s="10"/>
      <c r="L1139" s="9"/>
      <c r="M1139" s="7">
        <f t="shared" si="276"/>
        <v>2</v>
      </c>
      <c r="N1139" s="39">
        <v>45359</v>
      </c>
    </row>
    <row r="1140" spans="1:14" x14ac:dyDescent="0.15">
      <c r="A1140" s="4" t="s">
        <v>200</v>
      </c>
      <c r="B1140" s="8">
        <v>2</v>
      </c>
      <c r="C1140" s="9">
        <v>2</v>
      </c>
      <c r="D1140" s="10">
        <v>2</v>
      </c>
      <c r="E1140" s="9"/>
      <c r="F1140" s="5">
        <f t="shared" si="275"/>
        <v>6</v>
      </c>
      <c r="G1140" s="39">
        <v>45379</v>
      </c>
      <c r="H1140" s="133" t="s">
        <v>592</v>
      </c>
      <c r="I1140" s="8">
        <v>20</v>
      </c>
      <c r="J1140" s="9"/>
      <c r="K1140" s="10"/>
      <c r="L1140" s="9"/>
      <c r="M1140" s="7">
        <f t="shared" si="276"/>
        <v>20</v>
      </c>
      <c r="N1140" s="39">
        <v>45369</v>
      </c>
    </row>
    <row r="1141" spans="1:14" x14ac:dyDescent="0.15">
      <c r="A1141" s="4" t="s">
        <v>200</v>
      </c>
      <c r="B1141" s="8"/>
      <c r="C1141" s="9">
        <v>2</v>
      </c>
      <c r="D1141" s="10"/>
      <c r="E1141" s="9"/>
      <c r="F1141" s="5">
        <f t="shared" si="275"/>
        <v>2</v>
      </c>
      <c r="G1141" s="39">
        <v>45380</v>
      </c>
      <c r="H1141" s="4" t="s">
        <v>200</v>
      </c>
      <c r="I1141" s="8"/>
      <c r="J1141" s="9">
        <v>2</v>
      </c>
      <c r="K1141" s="10">
        <v>4</v>
      </c>
      <c r="L1141" s="9"/>
      <c r="M1141" s="7">
        <f t="shared" si="276"/>
        <v>6</v>
      </c>
      <c r="N1141" s="39">
        <v>45364</v>
      </c>
    </row>
    <row r="1142" spans="1:14" x14ac:dyDescent="0.15">
      <c r="A1142" s="4" t="s">
        <v>603</v>
      </c>
      <c r="B1142" s="8"/>
      <c r="C1142" s="9"/>
      <c r="D1142" s="10"/>
      <c r="E1142" s="9">
        <v>5</v>
      </c>
      <c r="F1142" s="5">
        <f t="shared" si="275"/>
        <v>5</v>
      </c>
      <c r="G1142" s="39">
        <v>45381</v>
      </c>
      <c r="H1142" s="133" t="s">
        <v>593</v>
      </c>
      <c r="I1142" s="8">
        <v>10</v>
      </c>
      <c r="J1142" s="9"/>
      <c r="K1142" s="10"/>
      <c r="L1142" s="9"/>
      <c r="M1142" s="7">
        <f t="shared" si="276"/>
        <v>10</v>
      </c>
      <c r="N1142" s="39">
        <v>45363</v>
      </c>
    </row>
    <row r="1143" spans="1:14" x14ac:dyDescent="0.15">
      <c r="A1143" s="4"/>
      <c r="B1143" s="8"/>
      <c r="C1143" s="9"/>
      <c r="D1143" s="10"/>
      <c r="E1143" s="9"/>
      <c r="F1143" s="5">
        <f t="shared" si="275"/>
        <v>0</v>
      </c>
      <c r="H1143" s="4" t="s">
        <v>200</v>
      </c>
      <c r="I1143" s="8"/>
      <c r="J1143" s="9">
        <v>2</v>
      </c>
      <c r="K1143" s="10"/>
      <c r="L1143" s="9"/>
      <c r="M1143" s="7">
        <f t="shared" ref="M1143:M1153" si="277">SUM(I1143:L1143)</f>
        <v>2</v>
      </c>
      <c r="N1143" s="39">
        <v>45365</v>
      </c>
    </row>
    <row r="1144" spans="1:14" x14ac:dyDescent="0.15">
      <c r="A1144" s="4"/>
      <c r="B1144" s="8"/>
      <c r="C1144" s="9"/>
      <c r="D1144" s="10"/>
      <c r="E1144" s="9"/>
      <c r="F1144" s="5">
        <f t="shared" si="275"/>
        <v>0</v>
      </c>
      <c r="H1144" s="133" t="s">
        <v>594</v>
      </c>
      <c r="I1144" s="8"/>
      <c r="J1144" s="9">
        <v>5</v>
      </c>
      <c r="K1144" s="10">
        <v>5</v>
      </c>
      <c r="L1144" s="9"/>
      <c r="M1144" s="7">
        <f t="shared" si="277"/>
        <v>10</v>
      </c>
      <c r="N1144" s="39">
        <v>45366</v>
      </c>
    </row>
    <row r="1145" spans="1:14" x14ac:dyDescent="0.15">
      <c r="A1145" s="4"/>
      <c r="B1145" s="8"/>
      <c r="C1145" s="9"/>
      <c r="D1145" s="10"/>
      <c r="E1145" s="9"/>
      <c r="F1145" s="5">
        <f t="shared" si="275"/>
        <v>0</v>
      </c>
      <c r="H1145" s="133" t="s">
        <v>595</v>
      </c>
      <c r="I1145" s="8">
        <v>10</v>
      </c>
      <c r="J1145" s="9">
        <v>40</v>
      </c>
      <c r="K1145" s="10">
        <v>60</v>
      </c>
      <c r="L1145" s="9">
        <v>20</v>
      </c>
      <c r="M1145" s="7">
        <f t="shared" si="277"/>
        <v>130</v>
      </c>
      <c r="N1145" s="39">
        <v>45366</v>
      </c>
    </row>
    <row r="1146" spans="1:14" x14ac:dyDescent="0.15">
      <c r="A1146" s="4"/>
      <c r="B1146" s="8"/>
      <c r="C1146" s="9"/>
      <c r="D1146" s="10"/>
      <c r="E1146" s="9"/>
      <c r="F1146" s="5">
        <f t="shared" si="275"/>
        <v>0</v>
      </c>
      <c r="H1146" s="133" t="s">
        <v>598</v>
      </c>
      <c r="I1146" s="8"/>
      <c r="J1146" s="9">
        <v>10</v>
      </c>
      <c r="K1146" s="10"/>
      <c r="L1146" s="9"/>
      <c r="M1146" s="7">
        <f t="shared" si="277"/>
        <v>10</v>
      </c>
      <c r="N1146" s="39">
        <v>45367</v>
      </c>
    </row>
    <row r="1147" spans="1:14" x14ac:dyDescent="0.15">
      <c r="A1147" s="4"/>
      <c r="B1147" s="8"/>
      <c r="C1147" s="9"/>
      <c r="D1147" s="10"/>
      <c r="E1147" s="9"/>
      <c r="F1147" s="5">
        <f t="shared" si="275"/>
        <v>0</v>
      </c>
      <c r="H1147" s="133" t="s">
        <v>599</v>
      </c>
      <c r="I1147" s="8">
        <v>15</v>
      </c>
      <c r="J1147" s="9">
        <v>40</v>
      </c>
      <c r="K1147" s="10">
        <v>40</v>
      </c>
      <c r="L1147" s="9">
        <v>10</v>
      </c>
      <c r="M1147" s="7">
        <f t="shared" si="277"/>
        <v>105</v>
      </c>
      <c r="N1147" s="39">
        <v>45367</v>
      </c>
    </row>
    <row r="1148" spans="1:14" x14ac:dyDescent="0.15">
      <c r="A1148" s="4"/>
      <c r="B1148" s="8"/>
      <c r="C1148" s="9"/>
      <c r="D1148" s="10"/>
      <c r="E1148" s="9"/>
      <c r="F1148" s="5">
        <f t="shared" si="275"/>
        <v>0</v>
      </c>
      <c r="H1148" s="4" t="s">
        <v>200</v>
      </c>
      <c r="I1148" s="8"/>
      <c r="J1148" s="9"/>
      <c r="K1148" s="10">
        <v>2</v>
      </c>
      <c r="L1148" s="9"/>
      <c r="M1148" s="7">
        <f t="shared" si="277"/>
        <v>2</v>
      </c>
      <c r="N1148" s="39">
        <v>45370</v>
      </c>
    </row>
    <row r="1149" spans="1:14" x14ac:dyDescent="0.15">
      <c r="A1149" s="4"/>
      <c r="B1149" s="8"/>
      <c r="C1149" s="9"/>
      <c r="D1149" s="10"/>
      <c r="E1149" s="9"/>
      <c r="F1149" s="5">
        <f t="shared" si="275"/>
        <v>0</v>
      </c>
      <c r="H1149" s="4" t="s">
        <v>200</v>
      </c>
      <c r="I1149" s="8">
        <v>2</v>
      </c>
      <c r="J1149" s="9"/>
      <c r="K1149" s="10">
        <v>2</v>
      </c>
      <c r="L1149" s="9"/>
      <c r="M1149" s="7">
        <f t="shared" si="277"/>
        <v>4</v>
      </c>
      <c r="N1149" s="39">
        <v>45372</v>
      </c>
    </row>
    <row r="1150" spans="1:14" x14ac:dyDescent="0.15">
      <c r="A1150" s="11"/>
      <c r="B1150" s="8"/>
      <c r="C1150" s="9"/>
      <c r="D1150" s="10"/>
      <c r="E1150" s="9"/>
      <c r="F1150" s="5">
        <f t="shared" si="275"/>
        <v>0</v>
      </c>
      <c r="H1150" s="133" t="s">
        <v>600</v>
      </c>
      <c r="I1150" s="8">
        <v>3</v>
      </c>
      <c r="J1150" s="9"/>
      <c r="K1150" s="10"/>
      <c r="L1150" s="9"/>
      <c r="M1150" s="7">
        <f t="shared" si="277"/>
        <v>3</v>
      </c>
      <c r="N1150" s="39">
        <v>45374</v>
      </c>
    </row>
    <row r="1151" spans="1:14" x14ac:dyDescent="0.15">
      <c r="A1151" s="4"/>
      <c r="B1151" s="8"/>
      <c r="C1151" s="9"/>
      <c r="D1151" s="10"/>
      <c r="E1151" s="9"/>
      <c r="F1151" s="5">
        <f t="shared" si="275"/>
        <v>0</v>
      </c>
      <c r="H1151" s="133" t="s">
        <v>601</v>
      </c>
      <c r="I1151" s="8">
        <v>15</v>
      </c>
      <c r="J1151" s="9"/>
      <c r="K1151" s="10"/>
      <c r="L1151" s="9"/>
      <c r="M1151" s="7">
        <f t="shared" si="277"/>
        <v>15</v>
      </c>
      <c r="N1151" s="39">
        <v>45374</v>
      </c>
    </row>
    <row r="1152" spans="1:14" x14ac:dyDescent="0.15">
      <c r="A1152" s="4"/>
      <c r="B1152" s="8"/>
      <c r="C1152" s="9"/>
      <c r="D1152" s="10"/>
      <c r="E1152" s="9"/>
      <c r="F1152" s="5">
        <f t="shared" si="275"/>
        <v>0</v>
      </c>
      <c r="H1152" s="4" t="s">
        <v>26</v>
      </c>
      <c r="I1152" s="8">
        <v>5</v>
      </c>
      <c r="J1152" s="9">
        <v>3</v>
      </c>
      <c r="K1152" s="10">
        <v>3</v>
      </c>
      <c r="L1152" s="9"/>
      <c r="M1152" s="7">
        <f t="shared" si="277"/>
        <v>11</v>
      </c>
      <c r="N1152" s="39">
        <v>45377</v>
      </c>
    </row>
    <row r="1153" spans="1:14" x14ac:dyDescent="0.15">
      <c r="A1153" s="4"/>
      <c r="B1153" s="8"/>
      <c r="C1153" s="9"/>
      <c r="D1153" s="10"/>
      <c r="E1153" s="9"/>
      <c r="F1153" s="5">
        <f t="shared" si="275"/>
        <v>0</v>
      </c>
      <c r="H1153" s="4" t="s">
        <v>200</v>
      </c>
      <c r="I1153" s="8">
        <v>2</v>
      </c>
      <c r="J1153" s="9">
        <v>6</v>
      </c>
      <c r="K1153" s="10">
        <v>16</v>
      </c>
      <c r="L1153" s="9"/>
      <c r="M1153" s="7">
        <f t="shared" si="277"/>
        <v>24</v>
      </c>
      <c r="N1153" s="39">
        <v>45380</v>
      </c>
    </row>
    <row r="1154" spans="1:14" x14ac:dyDescent="0.15">
      <c r="A1154" s="11"/>
      <c r="B1154" s="8"/>
      <c r="C1154" s="9"/>
      <c r="D1154" s="10"/>
      <c r="E1154" s="9"/>
      <c r="F1154" s="5">
        <f t="shared" si="275"/>
        <v>0</v>
      </c>
      <c r="H1154" s="4"/>
      <c r="I1154" s="8"/>
      <c r="J1154" s="9"/>
      <c r="K1154" s="10"/>
      <c r="L1154" s="9"/>
      <c r="M1154" s="7">
        <f t="shared" si="276"/>
        <v>0</v>
      </c>
      <c r="N1154" s="41"/>
    </row>
    <row r="1155" spans="1:14" x14ac:dyDescent="0.15">
      <c r="A1155" s="4"/>
      <c r="B1155" s="8"/>
      <c r="C1155" s="9"/>
      <c r="D1155" s="10"/>
      <c r="E1155" s="9"/>
      <c r="F1155" s="5">
        <f t="shared" si="275"/>
        <v>0</v>
      </c>
      <c r="H1155" s="137" t="s">
        <v>550</v>
      </c>
      <c r="I1155" s="102"/>
      <c r="J1155" s="103"/>
      <c r="K1155" s="104"/>
      <c r="L1155" s="103"/>
      <c r="M1155" s="105">
        <f t="shared" si="276"/>
        <v>0</v>
      </c>
      <c r="N1155" s="41"/>
    </row>
    <row r="1156" spans="1:14" x14ac:dyDescent="0.15">
      <c r="A1156" s="11"/>
      <c r="B1156" s="8"/>
      <c r="C1156" s="9"/>
      <c r="D1156" s="10"/>
      <c r="E1156" s="9"/>
      <c r="F1156" s="5">
        <f t="shared" si="275"/>
        <v>0</v>
      </c>
      <c r="H1156" s="133" t="s">
        <v>549</v>
      </c>
      <c r="I1156" s="8"/>
      <c r="J1156" s="9"/>
      <c r="K1156" s="10"/>
      <c r="L1156" s="9"/>
      <c r="M1156" s="7">
        <f t="shared" si="276"/>
        <v>0</v>
      </c>
      <c r="N1156" s="41" t="s">
        <v>551</v>
      </c>
    </row>
    <row r="1157" spans="1:14" ht="14.25" thickBot="1" x14ac:dyDescent="0.2">
      <c r="A1157" s="11"/>
      <c r="B1157" s="8"/>
      <c r="C1157" s="9"/>
      <c r="D1157" s="10"/>
      <c r="E1157" s="9"/>
      <c r="F1157" s="5">
        <f t="shared" si="275"/>
        <v>0</v>
      </c>
      <c r="H1157" s="133" t="s">
        <v>573</v>
      </c>
      <c r="I1157" s="8"/>
      <c r="J1157" s="9"/>
      <c r="K1157" s="10"/>
      <c r="L1157" s="9"/>
      <c r="M1157" s="7">
        <f t="shared" si="276"/>
        <v>0</v>
      </c>
      <c r="N1157" s="41" t="s">
        <v>574</v>
      </c>
    </row>
    <row r="1158" spans="1:14" ht="14.25" thickBot="1" x14ac:dyDescent="0.2">
      <c r="A1158" s="3" t="s">
        <v>5</v>
      </c>
      <c r="B1158" s="14">
        <f>SUM(B1134:B1157)</f>
        <v>17</v>
      </c>
      <c r="C1158" s="14">
        <f>SUM(C1134:C1157)</f>
        <v>5</v>
      </c>
      <c r="D1158" s="14">
        <f>SUM(D1134:D1157)</f>
        <v>10</v>
      </c>
      <c r="E1158" s="14">
        <f>SUM(E1134:E1157)</f>
        <v>14</v>
      </c>
      <c r="F1158" s="15">
        <f>SUM(B1158:E1158)</f>
        <v>46</v>
      </c>
      <c r="H1158" s="3" t="s">
        <v>5</v>
      </c>
      <c r="I1158" s="14">
        <f>SUM(I1134:I1157)</f>
        <v>133</v>
      </c>
      <c r="J1158" s="14">
        <f>SUM(J1134:J1157)</f>
        <v>171</v>
      </c>
      <c r="K1158" s="14">
        <f>SUM(K1134:K1157)</f>
        <v>167</v>
      </c>
      <c r="L1158" s="14">
        <f>SUM(L1134:L1157)</f>
        <v>67</v>
      </c>
      <c r="M1158" s="15">
        <f>SUM(I1158:L1158)</f>
        <v>538</v>
      </c>
    </row>
    <row r="1159" spans="1:14" ht="14.25" thickBot="1" x14ac:dyDescent="0.2">
      <c r="A1159" s="25" t="s">
        <v>6</v>
      </c>
      <c r="B1159" s="26">
        <f>B1133-B1158</f>
        <v>6</v>
      </c>
      <c r="C1159" s="26">
        <f t="shared" ref="C1159:F1159" si="278">C1133-C1158</f>
        <v>5</v>
      </c>
      <c r="D1159" s="26">
        <f t="shared" si="278"/>
        <v>7</v>
      </c>
      <c r="E1159" s="26">
        <f t="shared" si="278"/>
        <v>10</v>
      </c>
      <c r="F1159" s="24">
        <f t="shared" si="278"/>
        <v>28</v>
      </c>
      <c r="H1159" s="25" t="s">
        <v>6</v>
      </c>
      <c r="I1159" s="26">
        <f>I1133-I1158</f>
        <v>665</v>
      </c>
      <c r="J1159" s="26">
        <f t="shared" ref="J1159:M1159" si="279">J1133-J1158</f>
        <v>611</v>
      </c>
      <c r="K1159" s="26">
        <f t="shared" si="279"/>
        <v>316</v>
      </c>
      <c r="L1159" s="26">
        <f t="shared" si="279"/>
        <v>210</v>
      </c>
      <c r="M1159" s="24">
        <f t="shared" si="279"/>
        <v>1802</v>
      </c>
    </row>
    <row r="1162" spans="1:14" ht="21.75" thickBot="1" x14ac:dyDescent="0.25">
      <c r="A1162" s="29" t="s">
        <v>13</v>
      </c>
      <c r="B1162" s="1"/>
      <c r="C1162" s="1"/>
      <c r="D1162" s="1"/>
      <c r="E1162" s="1"/>
      <c r="F1162" s="1"/>
      <c r="H1162" s="29" t="s">
        <v>14</v>
      </c>
      <c r="I1162" s="1"/>
      <c r="J1162" s="1"/>
      <c r="K1162" s="1"/>
      <c r="L1162" s="1"/>
      <c r="M1162" s="1"/>
    </row>
    <row r="1163" spans="1:14" ht="14.25" thickBot="1" x14ac:dyDescent="0.2">
      <c r="A1163" s="2" t="s">
        <v>0</v>
      </c>
      <c r="B1163" s="164" t="s">
        <v>12</v>
      </c>
      <c r="C1163" s="165"/>
      <c r="D1163" s="165"/>
      <c r="E1163" s="165"/>
      <c r="F1163" s="117"/>
      <c r="H1163" s="2" t="s">
        <v>0</v>
      </c>
      <c r="I1163" s="164" t="s">
        <v>12</v>
      </c>
      <c r="J1163" s="165"/>
      <c r="K1163" s="165"/>
      <c r="L1163" s="165"/>
      <c r="M1163" s="117"/>
    </row>
    <row r="1164" spans="1:14" ht="14.25" thickBot="1" x14ac:dyDescent="0.2">
      <c r="A1164" s="2" t="s">
        <v>1</v>
      </c>
      <c r="B1164" s="3" t="s">
        <v>489</v>
      </c>
      <c r="C1164" s="2" t="s">
        <v>490</v>
      </c>
      <c r="D1164" s="19" t="s">
        <v>491</v>
      </c>
      <c r="E1164" s="2" t="s">
        <v>492</v>
      </c>
      <c r="F1164" s="2" t="s">
        <v>2</v>
      </c>
      <c r="H1164" s="2" t="s">
        <v>1</v>
      </c>
      <c r="I1164" s="3" t="s">
        <v>489</v>
      </c>
      <c r="J1164" s="2" t="s">
        <v>490</v>
      </c>
      <c r="K1164" s="19" t="s">
        <v>491</v>
      </c>
      <c r="L1164" s="2" t="s">
        <v>492</v>
      </c>
      <c r="M1164" s="2" t="s">
        <v>2</v>
      </c>
    </row>
    <row r="1165" spans="1:14" x14ac:dyDescent="0.15">
      <c r="A1165" s="27" t="s">
        <v>6</v>
      </c>
      <c r="B1165" s="18">
        <f>B1159</f>
        <v>6</v>
      </c>
      <c r="C1165" s="20">
        <f>C1159</f>
        <v>5</v>
      </c>
      <c r="D1165" s="55">
        <f>D1159</f>
        <v>7</v>
      </c>
      <c r="E1165" s="20">
        <f>E1159</f>
        <v>10</v>
      </c>
      <c r="F1165" s="17">
        <f>SUM(B1165:E1165)</f>
        <v>28</v>
      </c>
      <c r="H1165" s="27" t="s">
        <v>6</v>
      </c>
      <c r="I1165" s="18">
        <f>I1159</f>
        <v>665</v>
      </c>
      <c r="J1165" s="20">
        <f>J1159</f>
        <v>611</v>
      </c>
      <c r="K1165" s="55">
        <f>K1159</f>
        <v>316</v>
      </c>
      <c r="L1165" s="58">
        <f>L1159</f>
        <v>210</v>
      </c>
      <c r="M1165" s="17">
        <f>SUM(I1165:L1165)</f>
        <v>1802</v>
      </c>
    </row>
    <row r="1166" spans="1:14" x14ac:dyDescent="0.15">
      <c r="A1166" s="6" t="s">
        <v>3</v>
      </c>
      <c r="B1166" s="16">
        <v>5</v>
      </c>
      <c r="C1166" s="11">
        <v>5</v>
      </c>
      <c r="D1166" s="16">
        <v>5</v>
      </c>
      <c r="E1166" s="4"/>
      <c r="F1166" s="5">
        <f t="shared" ref="F1166:F1175" si="280">SUM(B1166:E1166)</f>
        <v>15</v>
      </c>
      <c r="G1166" s="39">
        <v>45384</v>
      </c>
      <c r="H1166" s="6" t="s">
        <v>3</v>
      </c>
      <c r="I1166" s="16"/>
      <c r="J1166" s="11"/>
      <c r="K1166" s="16"/>
      <c r="L1166" s="4"/>
      <c r="M1166" s="5">
        <f t="shared" ref="M1166:M1175" si="281">SUM(I1166:L1166)</f>
        <v>0</v>
      </c>
    </row>
    <row r="1167" spans="1:14" x14ac:dyDescent="0.15">
      <c r="A1167" s="6" t="s">
        <v>3</v>
      </c>
      <c r="B1167" s="16">
        <v>5</v>
      </c>
      <c r="C1167" s="11">
        <v>5</v>
      </c>
      <c r="D1167" s="16"/>
      <c r="E1167" s="4">
        <v>5</v>
      </c>
      <c r="F1167" s="5">
        <f t="shared" si="280"/>
        <v>15</v>
      </c>
      <c r="G1167" s="39">
        <v>45412</v>
      </c>
      <c r="H1167" s="6" t="s">
        <v>131</v>
      </c>
      <c r="I1167" s="16">
        <v>9</v>
      </c>
      <c r="J1167" s="11">
        <v>34</v>
      </c>
      <c r="K1167" s="16">
        <v>71</v>
      </c>
      <c r="L1167" s="4">
        <v>13</v>
      </c>
      <c r="M1167" s="5">
        <f t="shared" si="281"/>
        <v>127</v>
      </c>
      <c r="N1167" s="39">
        <v>45429</v>
      </c>
    </row>
    <row r="1168" spans="1:14" x14ac:dyDescent="0.15">
      <c r="A1168" s="6" t="s">
        <v>3</v>
      </c>
      <c r="B1168" s="16">
        <v>5</v>
      </c>
      <c r="C1168" s="11">
        <v>5</v>
      </c>
      <c r="D1168" s="16">
        <v>5</v>
      </c>
      <c r="E1168" s="4">
        <v>5</v>
      </c>
      <c r="F1168" s="5">
        <f t="shared" si="280"/>
        <v>20</v>
      </c>
      <c r="G1168" s="39">
        <v>45426</v>
      </c>
      <c r="H1168" s="6" t="s">
        <v>3</v>
      </c>
      <c r="I1168" s="31"/>
      <c r="J1168" s="32"/>
      <c r="K1168" s="31"/>
      <c r="L1168" s="52"/>
      <c r="M1168" s="5">
        <f t="shared" ref="M1168:M1169" si="282">SUM(I1168:L1168)</f>
        <v>0</v>
      </c>
    </row>
    <row r="1169" spans="1:15" x14ac:dyDescent="0.15">
      <c r="A1169" s="6" t="s">
        <v>338</v>
      </c>
      <c r="B1169" s="16"/>
      <c r="C1169" s="11"/>
      <c r="D1169" s="16">
        <v>2</v>
      </c>
      <c r="E1169" s="4"/>
      <c r="F1169" s="5">
        <f t="shared" si="280"/>
        <v>2</v>
      </c>
      <c r="G1169" s="71">
        <v>45426</v>
      </c>
      <c r="H1169" s="6" t="s">
        <v>3</v>
      </c>
      <c r="I1169" s="31"/>
      <c r="J1169" s="32"/>
      <c r="K1169" s="31"/>
      <c r="L1169" s="52"/>
      <c r="M1169" s="5">
        <f t="shared" si="282"/>
        <v>0</v>
      </c>
    </row>
    <row r="1170" spans="1:15" x14ac:dyDescent="0.15">
      <c r="A1170" s="6" t="s">
        <v>3</v>
      </c>
      <c r="B1170" s="16"/>
      <c r="C1170" s="11"/>
      <c r="D1170" s="16"/>
      <c r="E1170" s="4"/>
      <c r="F1170" s="5">
        <f t="shared" ref="F1170" si="283">SUM(B1170:E1170)</f>
        <v>0</v>
      </c>
      <c r="H1170" s="6" t="s">
        <v>3</v>
      </c>
      <c r="I1170" s="31"/>
      <c r="J1170" s="32"/>
      <c r="K1170" s="31"/>
      <c r="L1170" s="52"/>
      <c r="M1170" s="5">
        <f t="shared" si="281"/>
        <v>0</v>
      </c>
    </row>
    <row r="1171" spans="1:15" x14ac:dyDescent="0.15">
      <c r="A1171" s="6" t="s">
        <v>3</v>
      </c>
      <c r="B1171" s="16"/>
      <c r="C1171" s="11"/>
      <c r="D1171" s="16"/>
      <c r="E1171" s="4"/>
      <c r="F1171" s="5">
        <f t="shared" si="280"/>
        <v>0</v>
      </c>
      <c r="H1171" s="6" t="s">
        <v>3</v>
      </c>
      <c r="I1171" s="31"/>
      <c r="J1171" s="32"/>
      <c r="K1171" s="31"/>
      <c r="L1171" s="52"/>
      <c r="M1171" s="5">
        <f t="shared" si="281"/>
        <v>0</v>
      </c>
    </row>
    <row r="1172" spans="1:15" x14ac:dyDescent="0.15">
      <c r="A1172" s="6" t="s">
        <v>3</v>
      </c>
      <c r="B1172" s="31"/>
      <c r="C1172" s="32"/>
      <c r="D1172" s="31"/>
      <c r="E1172" s="52"/>
      <c r="F1172" s="5">
        <f t="shared" si="280"/>
        <v>0</v>
      </c>
      <c r="H1172" s="6" t="s">
        <v>3</v>
      </c>
      <c r="I1172" s="31"/>
      <c r="J1172" s="32"/>
      <c r="K1172" s="31"/>
      <c r="L1172" s="52"/>
      <c r="M1172" s="5">
        <f t="shared" si="281"/>
        <v>0</v>
      </c>
    </row>
    <row r="1173" spans="1:15" x14ac:dyDescent="0.15">
      <c r="A1173" s="6" t="s">
        <v>3</v>
      </c>
      <c r="B1173" s="10"/>
      <c r="C1173" s="9"/>
      <c r="D1173" s="10"/>
      <c r="E1173" s="49"/>
      <c r="F1173" s="5">
        <f t="shared" si="280"/>
        <v>0</v>
      </c>
      <c r="H1173" s="6" t="s">
        <v>3</v>
      </c>
      <c r="I1173" s="31"/>
      <c r="J1173" s="32"/>
      <c r="K1173" s="31"/>
      <c r="L1173" s="52"/>
      <c r="M1173" s="5">
        <f t="shared" si="281"/>
        <v>0</v>
      </c>
    </row>
    <row r="1174" spans="1:15" x14ac:dyDescent="0.15">
      <c r="A1174" s="6" t="s">
        <v>3</v>
      </c>
      <c r="B1174" s="31"/>
      <c r="C1174" s="32"/>
      <c r="D1174" s="31"/>
      <c r="E1174" s="52"/>
      <c r="F1174" s="5">
        <f t="shared" si="280"/>
        <v>0</v>
      </c>
      <c r="H1174" s="6" t="s">
        <v>3</v>
      </c>
      <c r="I1174" s="34"/>
      <c r="J1174" s="35"/>
      <c r="K1174" s="34"/>
      <c r="L1174" s="32"/>
      <c r="M1174" s="5">
        <f t="shared" si="281"/>
        <v>0</v>
      </c>
    </row>
    <row r="1175" spans="1:15" ht="14.25" thickBot="1" x14ac:dyDescent="0.2">
      <c r="A1175" s="6" t="s">
        <v>3</v>
      </c>
      <c r="B1175" s="13"/>
      <c r="C1175" s="12"/>
      <c r="D1175" s="13"/>
      <c r="E1175" s="50"/>
      <c r="F1175" s="5">
        <f t="shared" si="280"/>
        <v>0</v>
      </c>
      <c r="H1175" s="6" t="s">
        <v>3</v>
      </c>
      <c r="I1175" s="34"/>
      <c r="J1175" s="35"/>
      <c r="K1175" s="34"/>
      <c r="L1175" s="53"/>
      <c r="M1175" s="5">
        <f t="shared" si="281"/>
        <v>0</v>
      </c>
    </row>
    <row r="1176" spans="1:15" ht="14.25" thickBot="1" x14ac:dyDescent="0.2">
      <c r="A1176" s="21" t="s">
        <v>4</v>
      </c>
      <c r="B1176" s="22">
        <f>SUM(B1165:B1175)</f>
        <v>21</v>
      </c>
      <c r="C1176" s="22">
        <f>SUM(C1165:C1175)</f>
        <v>20</v>
      </c>
      <c r="D1176" s="23">
        <f>SUM(D1165:D1175)</f>
        <v>19</v>
      </c>
      <c r="E1176" s="23">
        <f>SUM(E1165:E1175)</f>
        <v>20</v>
      </c>
      <c r="F1176" s="24">
        <f>SUM(B1176:E1176)</f>
        <v>80</v>
      </c>
      <c r="H1176" s="21" t="s">
        <v>4</v>
      </c>
      <c r="I1176" s="22">
        <f>SUM(I1165:I1175)</f>
        <v>674</v>
      </c>
      <c r="J1176" s="22">
        <f>SUM(J1165:J1175)</f>
        <v>645</v>
      </c>
      <c r="K1176" s="23">
        <f>SUM(K1165:K1175)</f>
        <v>387</v>
      </c>
      <c r="L1176" s="23">
        <f>SUM(L1165:L1175)</f>
        <v>223</v>
      </c>
      <c r="M1176" s="24">
        <f>SUM(I1176:L1176)</f>
        <v>1929</v>
      </c>
    </row>
    <row r="1177" spans="1:15" x14ac:dyDescent="0.15">
      <c r="A1177" s="11" t="s">
        <v>604</v>
      </c>
      <c r="B1177" s="8"/>
      <c r="C1177" s="9">
        <v>2</v>
      </c>
      <c r="D1177" s="10"/>
      <c r="E1177" s="49">
        <v>2</v>
      </c>
      <c r="F1177" s="5">
        <f>SUM(B1177:E1177)</f>
        <v>4</v>
      </c>
      <c r="G1177" s="39">
        <v>45383</v>
      </c>
      <c r="H1177" s="4" t="s">
        <v>200</v>
      </c>
      <c r="I1177" s="80">
        <v>8</v>
      </c>
      <c r="J1177" s="49">
        <v>6</v>
      </c>
      <c r="K1177" s="78"/>
      <c r="L1177" s="9"/>
      <c r="M1177" s="7">
        <f>SUM(I1177:L1177)</f>
        <v>14</v>
      </c>
      <c r="N1177" s="39">
        <v>45383</v>
      </c>
    </row>
    <row r="1178" spans="1:15" x14ac:dyDescent="0.15">
      <c r="A1178" s="4" t="s">
        <v>34</v>
      </c>
      <c r="B1178" s="8">
        <v>1</v>
      </c>
      <c r="C1178" s="9"/>
      <c r="D1178" s="10"/>
      <c r="E1178" s="49"/>
      <c r="F1178" s="5">
        <f t="shared" ref="F1178:F1200" si="284">SUM(B1178:E1178)</f>
        <v>1</v>
      </c>
      <c r="G1178" s="39">
        <v>45383</v>
      </c>
      <c r="H1178" s="4" t="s">
        <v>200</v>
      </c>
      <c r="I1178" s="80">
        <v>2</v>
      </c>
      <c r="J1178" s="49">
        <v>6</v>
      </c>
      <c r="K1178" s="78"/>
      <c r="L1178" s="9"/>
      <c r="M1178" s="7">
        <f t="shared" ref="M1178:M1195" si="285">SUM(I1178:L1178)</f>
        <v>8</v>
      </c>
      <c r="N1178" s="39">
        <v>45385</v>
      </c>
      <c r="O1178" s="30"/>
    </row>
    <row r="1179" spans="1:15" x14ac:dyDescent="0.15">
      <c r="A1179" s="4" t="s">
        <v>200</v>
      </c>
      <c r="B1179" s="8"/>
      <c r="C1179" s="9"/>
      <c r="D1179" s="10">
        <v>2</v>
      </c>
      <c r="E1179" s="49"/>
      <c r="F1179" s="5">
        <f t="shared" si="284"/>
        <v>2</v>
      </c>
      <c r="G1179" s="39">
        <v>45386</v>
      </c>
      <c r="H1179" s="4" t="s">
        <v>26</v>
      </c>
      <c r="I1179" s="8">
        <v>5</v>
      </c>
      <c r="J1179" s="9">
        <v>5</v>
      </c>
      <c r="K1179" s="10">
        <v>5</v>
      </c>
      <c r="L1179" s="49"/>
      <c r="M1179" s="7">
        <f t="shared" si="285"/>
        <v>15</v>
      </c>
      <c r="N1179" s="39">
        <v>45384</v>
      </c>
    </row>
    <row r="1180" spans="1:15" x14ac:dyDescent="0.15">
      <c r="A1180" s="4" t="s">
        <v>34</v>
      </c>
      <c r="B1180" s="8"/>
      <c r="C1180" s="9">
        <v>1</v>
      </c>
      <c r="D1180" s="10"/>
      <c r="E1180" s="49"/>
      <c r="F1180" s="5">
        <f t="shared" si="284"/>
        <v>1</v>
      </c>
      <c r="G1180" s="39">
        <v>45386</v>
      </c>
      <c r="H1180" s="4" t="s">
        <v>200</v>
      </c>
      <c r="I1180" s="8"/>
      <c r="J1180" s="9"/>
      <c r="K1180" s="10">
        <v>4</v>
      </c>
      <c r="L1180" s="49"/>
      <c r="M1180" s="7">
        <f t="shared" si="285"/>
        <v>4</v>
      </c>
      <c r="N1180" s="39">
        <v>45387</v>
      </c>
    </row>
    <row r="1181" spans="1:15" x14ac:dyDescent="0.15">
      <c r="A1181" s="11" t="s">
        <v>39</v>
      </c>
      <c r="B1181" s="8">
        <v>1</v>
      </c>
      <c r="C1181" s="9"/>
      <c r="D1181" s="10"/>
      <c r="E1181" s="49"/>
      <c r="F1181" s="5">
        <f t="shared" si="284"/>
        <v>1</v>
      </c>
      <c r="G1181" s="39">
        <v>45388</v>
      </c>
      <c r="H1181" s="4" t="s">
        <v>200</v>
      </c>
      <c r="I1181" s="8"/>
      <c r="J1181" s="9">
        <v>2</v>
      </c>
      <c r="K1181" s="10">
        <v>2</v>
      </c>
      <c r="L1181" s="49"/>
      <c r="M1181" s="7">
        <f t="shared" si="285"/>
        <v>4</v>
      </c>
      <c r="N1181" s="39">
        <v>45387</v>
      </c>
    </row>
    <row r="1182" spans="1:15" x14ac:dyDescent="0.15">
      <c r="A1182" s="4" t="s">
        <v>34</v>
      </c>
      <c r="B1182" s="8"/>
      <c r="C1182" s="9">
        <v>1</v>
      </c>
      <c r="D1182" s="10"/>
      <c r="E1182" s="9"/>
      <c r="F1182" s="5">
        <f t="shared" si="284"/>
        <v>1</v>
      </c>
      <c r="G1182" s="39">
        <v>45390</v>
      </c>
      <c r="H1182" s="133" t="s">
        <v>605</v>
      </c>
      <c r="I1182" s="8"/>
      <c r="J1182" s="9">
        <v>12</v>
      </c>
      <c r="K1182" s="10"/>
      <c r="L1182" s="9"/>
      <c r="M1182" s="7">
        <f t="shared" si="285"/>
        <v>12</v>
      </c>
      <c r="N1182" s="39">
        <v>45393</v>
      </c>
    </row>
    <row r="1183" spans="1:15" x14ac:dyDescent="0.15">
      <c r="A1183" s="4" t="s">
        <v>34</v>
      </c>
      <c r="B1183" s="8"/>
      <c r="C1183" s="9"/>
      <c r="D1183" s="10"/>
      <c r="E1183" s="9">
        <v>2</v>
      </c>
      <c r="F1183" s="5">
        <f t="shared" si="284"/>
        <v>2</v>
      </c>
      <c r="G1183" s="71">
        <v>45404</v>
      </c>
      <c r="H1183" s="4" t="s">
        <v>200</v>
      </c>
      <c r="I1183" s="8">
        <v>2</v>
      </c>
      <c r="J1183" s="9"/>
      <c r="K1183" s="10"/>
      <c r="L1183" s="9"/>
      <c r="M1183" s="7">
        <f t="shared" si="285"/>
        <v>2</v>
      </c>
      <c r="N1183" s="39">
        <v>45392</v>
      </c>
    </row>
    <row r="1184" spans="1:15" x14ac:dyDescent="0.15">
      <c r="A1184" s="4" t="s">
        <v>200</v>
      </c>
      <c r="B1184" s="8"/>
      <c r="C1184" s="9">
        <v>2</v>
      </c>
      <c r="D1184" s="10"/>
      <c r="E1184" s="9"/>
      <c r="F1184" s="5">
        <f t="shared" si="284"/>
        <v>2</v>
      </c>
      <c r="G1184" s="39">
        <v>45407</v>
      </c>
      <c r="H1184" s="4" t="s">
        <v>200</v>
      </c>
      <c r="I1184" s="8">
        <v>6</v>
      </c>
      <c r="J1184" s="9">
        <v>12</v>
      </c>
      <c r="K1184" s="10">
        <v>8</v>
      </c>
      <c r="L1184" s="9">
        <v>2</v>
      </c>
      <c r="M1184" s="7">
        <f t="shared" si="285"/>
        <v>28</v>
      </c>
      <c r="N1184" s="39">
        <v>45393</v>
      </c>
    </row>
    <row r="1185" spans="1:14" x14ac:dyDescent="0.15">
      <c r="A1185" s="4" t="s">
        <v>200</v>
      </c>
      <c r="B1185" s="8"/>
      <c r="C1185" s="9">
        <v>2</v>
      </c>
      <c r="D1185" s="10"/>
      <c r="E1185" s="9">
        <v>4</v>
      </c>
      <c r="F1185" s="5">
        <f t="shared" si="284"/>
        <v>6</v>
      </c>
      <c r="G1185" s="39">
        <v>45407</v>
      </c>
      <c r="H1185" s="4" t="s">
        <v>606</v>
      </c>
      <c r="I1185" s="8"/>
      <c r="J1185" s="9">
        <v>8</v>
      </c>
      <c r="K1185" s="10"/>
      <c r="L1185" s="9"/>
      <c r="M1185" s="7">
        <f t="shared" si="285"/>
        <v>8</v>
      </c>
      <c r="N1185" s="39">
        <v>45397</v>
      </c>
    </row>
    <row r="1186" spans="1:14" x14ac:dyDescent="0.15">
      <c r="A1186" s="11" t="s">
        <v>39</v>
      </c>
      <c r="B1186" s="8">
        <v>2</v>
      </c>
      <c r="C1186" s="9"/>
      <c r="D1186" s="10"/>
      <c r="E1186" s="9">
        <v>1</v>
      </c>
      <c r="F1186" s="5">
        <f t="shared" si="284"/>
        <v>3</v>
      </c>
      <c r="G1186" s="39">
        <v>45408</v>
      </c>
      <c r="H1186" s="4" t="s">
        <v>200</v>
      </c>
      <c r="I1186" s="8"/>
      <c r="J1186" s="9">
        <v>2</v>
      </c>
      <c r="K1186" s="10"/>
      <c r="L1186" s="9"/>
      <c r="M1186" s="7">
        <f t="shared" si="285"/>
        <v>2</v>
      </c>
      <c r="N1186" s="39">
        <v>45399</v>
      </c>
    </row>
    <row r="1187" spans="1:14" x14ac:dyDescent="0.15">
      <c r="A1187" s="4" t="s">
        <v>34</v>
      </c>
      <c r="B1187" s="8">
        <v>2</v>
      </c>
      <c r="C1187" s="9"/>
      <c r="D1187" s="10"/>
      <c r="E1187" s="9"/>
      <c r="F1187" s="5">
        <f t="shared" si="284"/>
        <v>2</v>
      </c>
      <c r="G1187" s="71">
        <v>45408</v>
      </c>
      <c r="H1187" s="4" t="s">
        <v>200</v>
      </c>
      <c r="I1187" s="8"/>
      <c r="J1187" s="9">
        <v>12</v>
      </c>
      <c r="K1187" s="10"/>
      <c r="L1187" s="9"/>
      <c r="M1187" s="7">
        <f t="shared" si="285"/>
        <v>12</v>
      </c>
      <c r="N1187" s="39">
        <v>45400</v>
      </c>
    </row>
    <row r="1188" spans="1:14" x14ac:dyDescent="0.15">
      <c r="A1188" s="11" t="s">
        <v>39</v>
      </c>
      <c r="B1188" s="8"/>
      <c r="C1188" s="9"/>
      <c r="D1188" s="10">
        <v>1</v>
      </c>
      <c r="E1188" s="9"/>
      <c r="F1188" s="5">
        <f t="shared" si="284"/>
        <v>1</v>
      </c>
      <c r="G1188" s="39">
        <v>45413</v>
      </c>
      <c r="H1188" s="4" t="s">
        <v>200</v>
      </c>
      <c r="I1188" s="8">
        <v>2</v>
      </c>
      <c r="J1188" s="9"/>
      <c r="K1188" s="10"/>
      <c r="L1188" s="9">
        <v>2</v>
      </c>
      <c r="M1188" s="7">
        <f t="shared" si="285"/>
        <v>4</v>
      </c>
      <c r="N1188" s="39">
        <v>45401</v>
      </c>
    </row>
    <row r="1189" spans="1:14" x14ac:dyDescent="0.15">
      <c r="A1189" s="4" t="s">
        <v>609</v>
      </c>
      <c r="B1189" s="8"/>
      <c r="C1189" s="9"/>
      <c r="D1189" s="10">
        <v>1</v>
      </c>
      <c r="E1189" s="9"/>
      <c r="F1189" s="5">
        <f t="shared" si="284"/>
        <v>1</v>
      </c>
      <c r="G1189" s="39">
        <v>45412</v>
      </c>
      <c r="H1189" s="4" t="s">
        <v>200</v>
      </c>
      <c r="I1189" s="8">
        <v>4</v>
      </c>
      <c r="J1189" s="9">
        <v>2</v>
      </c>
      <c r="K1189" s="10"/>
      <c r="L1189" s="9"/>
      <c r="M1189" s="7">
        <f t="shared" si="285"/>
        <v>6</v>
      </c>
      <c r="N1189" s="39">
        <v>45404</v>
      </c>
    </row>
    <row r="1190" spans="1:14" x14ac:dyDescent="0.15">
      <c r="A1190" s="4" t="s">
        <v>34</v>
      </c>
      <c r="B1190" s="8"/>
      <c r="C1190" s="9"/>
      <c r="D1190" s="10">
        <v>1</v>
      </c>
      <c r="E1190" s="9"/>
      <c r="F1190" s="5">
        <f t="shared" si="284"/>
        <v>1</v>
      </c>
      <c r="G1190" s="71">
        <v>45412</v>
      </c>
      <c r="H1190" s="136" t="s">
        <v>607</v>
      </c>
      <c r="I1190" s="8"/>
      <c r="J1190" s="9">
        <v>12</v>
      </c>
      <c r="K1190" s="10"/>
      <c r="L1190" s="9"/>
      <c r="M1190" s="7">
        <f t="shared" si="285"/>
        <v>12</v>
      </c>
      <c r="N1190" s="39">
        <v>45412</v>
      </c>
    </row>
    <row r="1191" spans="1:14" x14ac:dyDescent="0.15">
      <c r="A1191" s="4" t="s">
        <v>34</v>
      </c>
      <c r="B1191" s="8">
        <v>2</v>
      </c>
      <c r="C1191" s="9"/>
      <c r="D1191" s="10"/>
      <c r="E1191" s="9"/>
      <c r="F1191" s="5">
        <f t="shared" si="284"/>
        <v>2</v>
      </c>
      <c r="G1191" s="71">
        <v>45413</v>
      </c>
      <c r="H1191" s="4" t="s">
        <v>26</v>
      </c>
      <c r="I1191" s="8">
        <v>5</v>
      </c>
      <c r="J1191" s="9">
        <v>5</v>
      </c>
      <c r="K1191" s="10"/>
      <c r="L1191" s="9">
        <v>5</v>
      </c>
      <c r="M1191" s="7">
        <f t="shared" si="285"/>
        <v>15</v>
      </c>
      <c r="N1191" s="39">
        <v>45412</v>
      </c>
    </row>
    <row r="1192" spans="1:14" x14ac:dyDescent="0.15">
      <c r="A1192" s="4" t="s">
        <v>200</v>
      </c>
      <c r="B1192" s="8">
        <v>2</v>
      </c>
      <c r="C1192" s="9"/>
      <c r="D1192" s="10"/>
      <c r="E1192" s="9"/>
      <c r="F1192" s="5">
        <f t="shared" si="284"/>
        <v>2</v>
      </c>
      <c r="G1192" s="39">
        <v>45419</v>
      </c>
      <c r="H1192" s="136" t="s">
        <v>608</v>
      </c>
      <c r="I1192" s="8"/>
      <c r="J1192" s="9"/>
      <c r="K1192" s="10">
        <v>20</v>
      </c>
      <c r="L1192" s="9"/>
      <c r="M1192" s="7">
        <f t="shared" si="285"/>
        <v>20</v>
      </c>
      <c r="N1192" s="39">
        <v>45419</v>
      </c>
    </row>
    <row r="1193" spans="1:14" x14ac:dyDescent="0.15">
      <c r="A1193" s="11" t="s">
        <v>610</v>
      </c>
      <c r="B1193" s="8">
        <v>1</v>
      </c>
      <c r="C1193" s="9"/>
      <c r="D1193" s="10"/>
      <c r="E1193" s="9"/>
      <c r="F1193" s="5">
        <f t="shared" si="284"/>
        <v>1</v>
      </c>
      <c r="G1193" s="39">
        <v>45421</v>
      </c>
      <c r="H1193" s="4" t="s">
        <v>200</v>
      </c>
      <c r="I1193" s="8">
        <v>2</v>
      </c>
      <c r="J1193" s="9"/>
      <c r="K1193" s="10"/>
      <c r="L1193" s="9">
        <v>2</v>
      </c>
      <c r="M1193" s="7">
        <f t="shared" si="285"/>
        <v>4</v>
      </c>
      <c r="N1193" s="39">
        <v>45413</v>
      </c>
    </row>
    <row r="1194" spans="1:14" x14ac:dyDescent="0.15">
      <c r="A1194" s="4" t="s">
        <v>200</v>
      </c>
      <c r="B1194" s="8">
        <v>2</v>
      </c>
      <c r="C1194" s="9"/>
      <c r="D1194" s="10"/>
      <c r="E1194" s="9"/>
      <c r="F1194" s="5">
        <f t="shared" si="284"/>
        <v>2</v>
      </c>
      <c r="G1194" s="39">
        <v>45428</v>
      </c>
      <c r="H1194" s="4" t="s">
        <v>611</v>
      </c>
      <c r="I1194" s="8"/>
      <c r="J1194" s="9"/>
      <c r="K1194" s="10"/>
      <c r="L1194" s="9">
        <v>2</v>
      </c>
      <c r="M1194" s="7">
        <f t="shared" si="285"/>
        <v>2</v>
      </c>
      <c r="N1194" s="39">
        <v>45428</v>
      </c>
    </row>
    <row r="1195" spans="1:14" x14ac:dyDescent="0.15">
      <c r="A1195" s="4" t="s">
        <v>200</v>
      </c>
      <c r="B1195" s="8">
        <v>2</v>
      </c>
      <c r="C1195" s="9"/>
      <c r="D1195" s="10"/>
      <c r="E1195" s="9"/>
      <c r="F1195" s="5">
        <f t="shared" si="284"/>
        <v>2</v>
      </c>
      <c r="G1195" s="39">
        <v>45432</v>
      </c>
      <c r="H1195" s="4" t="s">
        <v>26</v>
      </c>
      <c r="I1195" s="8">
        <v>5</v>
      </c>
      <c r="J1195" s="9">
        <v>5</v>
      </c>
      <c r="K1195" s="10">
        <v>5</v>
      </c>
      <c r="L1195" s="9">
        <v>5</v>
      </c>
      <c r="M1195" s="7">
        <f t="shared" si="285"/>
        <v>20</v>
      </c>
      <c r="N1195" s="39">
        <v>45426</v>
      </c>
    </row>
    <row r="1196" spans="1:14" x14ac:dyDescent="0.15">
      <c r="A1196" s="11" t="s">
        <v>39</v>
      </c>
      <c r="B1196" s="8">
        <v>1</v>
      </c>
      <c r="C1196" s="9"/>
      <c r="D1196" s="10"/>
      <c r="E1196" s="9"/>
      <c r="F1196" s="5">
        <f t="shared" si="284"/>
        <v>1</v>
      </c>
      <c r="G1196" s="39">
        <v>45430</v>
      </c>
      <c r="H1196" s="136" t="s">
        <v>612</v>
      </c>
      <c r="I1196" s="8">
        <v>14</v>
      </c>
      <c r="J1196" s="9">
        <v>12</v>
      </c>
      <c r="K1196" s="10"/>
      <c r="L1196" s="9"/>
      <c r="M1196" s="7">
        <f t="shared" ref="M1196" si="286">SUM(I1196:L1196)</f>
        <v>26</v>
      </c>
      <c r="N1196" s="39">
        <v>45429</v>
      </c>
    </row>
    <row r="1197" spans="1:14" x14ac:dyDescent="0.15">
      <c r="A1197" s="4" t="s">
        <v>200</v>
      </c>
      <c r="B1197" s="8">
        <v>2</v>
      </c>
      <c r="C1197" s="9">
        <v>4</v>
      </c>
      <c r="D1197" s="10"/>
      <c r="E1197" s="9"/>
      <c r="F1197" s="5">
        <f t="shared" si="284"/>
        <v>6</v>
      </c>
      <c r="G1197" s="39">
        <v>45441</v>
      </c>
      <c r="H1197" s="4"/>
      <c r="I1197" s="8"/>
      <c r="J1197" s="9"/>
      <c r="K1197" s="10"/>
      <c r="L1197" s="9"/>
      <c r="M1197" s="7">
        <f t="shared" ref="M1197:M1200" si="287">SUM(I1197:L1197)</f>
        <v>0</v>
      </c>
    </row>
    <row r="1198" spans="1:14" x14ac:dyDescent="0.15">
      <c r="A1198" s="4" t="s">
        <v>200</v>
      </c>
      <c r="B1198" s="8"/>
      <c r="C1198" s="9"/>
      <c r="D1198" s="10"/>
      <c r="E1198" s="9">
        <v>2</v>
      </c>
      <c r="F1198" s="5">
        <f t="shared" si="284"/>
        <v>2</v>
      </c>
      <c r="G1198" s="39">
        <v>45442</v>
      </c>
      <c r="H1198" s="133" t="s">
        <v>589</v>
      </c>
      <c r="I1198" s="8"/>
      <c r="J1198" s="9"/>
      <c r="K1198" s="10"/>
      <c r="L1198" s="9"/>
      <c r="M1198" s="7">
        <f t="shared" si="287"/>
        <v>0</v>
      </c>
      <c r="N1198" s="41" t="s">
        <v>590</v>
      </c>
    </row>
    <row r="1199" spans="1:14" x14ac:dyDescent="0.15">
      <c r="A1199" s="11" t="s">
        <v>125</v>
      </c>
      <c r="B1199" s="8">
        <v>2</v>
      </c>
      <c r="C1199" s="9"/>
      <c r="D1199" s="10"/>
      <c r="E1199" s="9"/>
      <c r="F1199" s="5">
        <f t="shared" si="284"/>
        <v>2</v>
      </c>
      <c r="G1199" s="71">
        <v>45440</v>
      </c>
      <c r="H1199" s="133" t="s">
        <v>581</v>
      </c>
      <c r="I1199" s="8"/>
      <c r="J1199" s="9"/>
      <c r="K1199" s="10"/>
      <c r="L1199" s="9"/>
      <c r="M1199" s="7">
        <f t="shared" si="287"/>
        <v>0</v>
      </c>
      <c r="N1199" s="41" t="s">
        <v>582</v>
      </c>
    </row>
    <row r="1200" spans="1:14" ht="14.25" thickBot="1" x14ac:dyDescent="0.2">
      <c r="A1200" s="4" t="s">
        <v>34</v>
      </c>
      <c r="B1200" s="8"/>
      <c r="C1200" s="9">
        <v>1</v>
      </c>
      <c r="D1200" s="10"/>
      <c r="E1200" s="9"/>
      <c r="F1200" s="5">
        <f t="shared" si="284"/>
        <v>1</v>
      </c>
      <c r="G1200" s="71">
        <v>45440</v>
      </c>
      <c r="H1200" s="133" t="s">
        <v>596</v>
      </c>
      <c r="I1200" s="8"/>
      <c r="J1200" s="9"/>
      <c r="K1200" s="10"/>
      <c r="L1200" s="9"/>
      <c r="M1200" s="7">
        <f t="shared" si="287"/>
        <v>0</v>
      </c>
      <c r="N1200" s="41" t="s">
        <v>597</v>
      </c>
    </row>
    <row r="1201" spans="1:13" ht="14.25" thickBot="1" x14ac:dyDescent="0.2">
      <c r="A1201" s="3" t="s">
        <v>5</v>
      </c>
      <c r="B1201" s="14">
        <f>SUM(B1177:B1200)</f>
        <v>20</v>
      </c>
      <c r="C1201" s="14">
        <f>SUM(C1177:C1200)</f>
        <v>13</v>
      </c>
      <c r="D1201" s="14">
        <f>SUM(D1177:D1200)</f>
        <v>5</v>
      </c>
      <c r="E1201" s="14">
        <f>SUM(E1177:E1200)</f>
        <v>11</v>
      </c>
      <c r="F1201" s="15">
        <f>SUM(B1201:E1201)</f>
        <v>49</v>
      </c>
      <c r="H1201" s="3" t="s">
        <v>5</v>
      </c>
      <c r="I1201" s="14">
        <f>SUM(I1177:I1200)</f>
        <v>55</v>
      </c>
      <c r="J1201" s="14">
        <f>SUM(J1177:J1200)</f>
        <v>101</v>
      </c>
      <c r="K1201" s="14">
        <f>SUM(K1177:K1200)</f>
        <v>44</v>
      </c>
      <c r="L1201" s="14">
        <f>SUM(L1177:L1200)</f>
        <v>18</v>
      </c>
      <c r="M1201" s="15">
        <f>SUM(I1201:L1201)</f>
        <v>218</v>
      </c>
    </row>
    <row r="1202" spans="1:13" ht="14.25" thickBot="1" x14ac:dyDescent="0.2">
      <c r="A1202" s="25" t="s">
        <v>6</v>
      </c>
      <c r="B1202" s="26">
        <f>B1176-B1201</f>
        <v>1</v>
      </c>
      <c r="C1202" s="26">
        <f t="shared" ref="C1202:F1202" si="288">C1176-C1201</f>
        <v>7</v>
      </c>
      <c r="D1202" s="26">
        <f t="shared" si="288"/>
        <v>14</v>
      </c>
      <c r="E1202" s="26">
        <f t="shared" si="288"/>
        <v>9</v>
      </c>
      <c r="F1202" s="24">
        <f t="shared" si="288"/>
        <v>31</v>
      </c>
      <c r="H1202" s="25" t="s">
        <v>6</v>
      </c>
      <c r="I1202" s="26">
        <f>I1176-I1201</f>
        <v>619</v>
      </c>
      <c r="J1202" s="26">
        <f t="shared" ref="J1202:M1202" si="289">J1176-J1201</f>
        <v>544</v>
      </c>
      <c r="K1202" s="26">
        <f t="shared" si="289"/>
        <v>343</v>
      </c>
      <c r="L1202" s="26">
        <f t="shared" si="289"/>
        <v>205</v>
      </c>
      <c r="M1202" s="24">
        <f t="shared" si="289"/>
        <v>1711</v>
      </c>
    </row>
    <row r="1205" spans="1:13" ht="21.75" thickBot="1" x14ac:dyDescent="0.25">
      <c r="A1205" s="29" t="s">
        <v>13</v>
      </c>
      <c r="B1205" s="1"/>
      <c r="C1205" s="1"/>
      <c r="D1205" s="1"/>
      <c r="E1205" s="1"/>
      <c r="F1205" s="1"/>
      <c r="H1205" s="29" t="s">
        <v>14</v>
      </c>
      <c r="I1205" s="1"/>
      <c r="J1205" s="1"/>
      <c r="K1205" s="1"/>
      <c r="L1205" s="1"/>
      <c r="M1205" s="1"/>
    </row>
    <row r="1206" spans="1:13" ht="14.25" thickBot="1" x14ac:dyDescent="0.2">
      <c r="A1206" s="2" t="s">
        <v>0</v>
      </c>
      <c r="B1206" s="164" t="s">
        <v>12</v>
      </c>
      <c r="C1206" s="165"/>
      <c r="D1206" s="165"/>
      <c r="E1206" s="165"/>
      <c r="F1206" s="117"/>
      <c r="H1206" s="2" t="s">
        <v>0</v>
      </c>
      <c r="I1206" s="164" t="s">
        <v>12</v>
      </c>
      <c r="J1206" s="165"/>
      <c r="K1206" s="165"/>
      <c r="L1206" s="165"/>
      <c r="M1206" s="117"/>
    </row>
    <row r="1207" spans="1:13" ht="14.25" thickBot="1" x14ac:dyDescent="0.2">
      <c r="A1207" s="2" t="s">
        <v>1</v>
      </c>
      <c r="B1207" s="3" t="s">
        <v>489</v>
      </c>
      <c r="C1207" s="2" t="s">
        <v>490</v>
      </c>
      <c r="D1207" s="19" t="s">
        <v>491</v>
      </c>
      <c r="E1207" s="2" t="s">
        <v>492</v>
      </c>
      <c r="F1207" s="2" t="s">
        <v>2</v>
      </c>
      <c r="H1207" s="2" t="s">
        <v>1</v>
      </c>
      <c r="I1207" s="3" t="s">
        <v>489</v>
      </c>
      <c r="J1207" s="2" t="s">
        <v>490</v>
      </c>
      <c r="K1207" s="19" t="s">
        <v>491</v>
      </c>
      <c r="L1207" s="2" t="s">
        <v>492</v>
      </c>
      <c r="M1207" s="2" t="s">
        <v>2</v>
      </c>
    </row>
    <row r="1208" spans="1:13" x14ac:dyDescent="0.15">
      <c r="A1208" s="27" t="s">
        <v>6</v>
      </c>
      <c r="B1208" s="18">
        <f>B1202</f>
        <v>1</v>
      </c>
      <c r="C1208" s="20">
        <f>C1202</f>
        <v>7</v>
      </c>
      <c r="D1208" s="55">
        <f>D1202</f>
        <v>14</v>
      </c>
      <c r="E1208" s="20">
        <f>E1202</f>
        <v>9</v>
      </c>
      <c r="F1208" s="17">
        <f>SUM(B1208:E1208)</f>
        <v>31</v>
      </c>
      <c r="H1208" s="27" t="s">
        <v>6</v>
      </c>
      <c r="I1208" s="18">
        <f>I1202</f>
        <v>619</v>
      </c>
      <c r="J1208" s="20">
        <f>J1202</f>
        <v>544</v>
      </c>
      <c r="K1208" s="55">
        <f>K1202</f>
        <v>343</v>
      </c>
      <c r="L1208" s="58">
        <f>L1202</f>
        <v>205</v>
      </c>
      <c r="M1208" s="17">
        <f>SUM(I1208:L1208)</f>
        <v>1711</v>
      </c>
    </row>
    <row r="1209" spans="1:13" x14ac:dyDescent="0.15">
      <c r="A1209" s="6" t="s">
        <v>3</v>
      </c>
      <c r="B1209" s="16">
        <v>5</v>
      </c>
      <c r="C1209" s="11"/>
      <c r="D1209" s="16"/>
      <c r="E1209" s="4"/>
      <c r="F1209" s="5">
        <f t="shared" ref="F1209:F1218" si="290">SUM(B1209:E1209)</f>
        <v>5</v>
      </c>
      <c r="G1209" s="39">
        <v>45442</v>
      </c>
      <c r="H1209" s="6" t="s">
        <v>3</v>
      </c>
      <c r="I1209" s="16"/>
      <c r="J1209" s="11"/>
      <c r="K1209" s="16"/>
      <c r="L1209" s="4"/>
      <c r="M1209" s="5">
        <f t="shared" ref="M1209:M1218" si="291">SUM(I1209:L1209)</f>
        <v>0</v>
      </c>
    </row>
    <row r="1210" spans="1:13" x14ac:dyDescent="0.15">
      <c r="A1210" s="6" t="s">
        <v>3</v>
      </c>
      <c r="B1210" s="16">
        <v>5</v>
      </c>
      <c r="C1210" s="11"/>
      <c r="D1210" s="16"/>
      <c r="E1210" s="4"/>
      <c r="F1210" s="5">
        <f t="shared" si="290"/>
        <v>5</v>
      </c>
      <c r="G1210" s="39">
        <v>45455</v>
      </c>
      <c r="H1210" s="6" t="s">
        <v>3</v>
      </c>
      <c r="I1210" s="16"/>
      <c r="J1210" s="11"/>
      <c r="K1210" s="16"/>
      <c r="L1210" s="4"/>
      <c r="M1210" s="5">
        <f t="shared" si="291"/>
        <v>0</v>
      </c>
    </row>
    <row r="1211" spans="1:13" x14ac:dyDescent="0.15">
      <c r="A1211" s="6" t="s">
        <v>618</v>
      </c>
      <c r="B1211" s="16">
        <v>1</v>
      </c>
      <c r="C1211" s="11">
        <v>3</v>
      </c>
      <c r="D1211" s="16">
        <v>2</v>
      </c>
      <c r="E1211" s="4"/>
      <c r="F1211" s="5">
        <f t="shared" si="290"/>
        <v>6</v>
      </c>
      <c r="G1211" s="39">
        <v>45456</v>
      </c>
      <c r="H1211" s="6" t="s">
        <v>3</v>
      </c>
      <c r="I1211" s="31"/>
      <c r="J1211" s="32"/>
      <c r="K1211" s="31"/>
      <c r="L1211" s="52"/>
      <c r="M1211" s="5">
        <f t="shared" si="291"/>
        <v>0</v>
      </c>
    </row>
    <row r="1212" spans="1:13" x14ac:dyDescent="0.15">
      <c r="A1212" s="6" t="s">
        <v>3</v>
      </c>
      <c r="B1212" s="16">
        <v>10</v>
      </c>
      <c r="C1212" s="11">
        <v>5</v>
      </c>
      <c r="D1212" s="16"/>
      <c r="E1212" s="4"/>
      <c r="F1212" s="5">
        <f t="shared" si="290"/>
        <v>15</v>
      </c>
      <c r="G1212" s="39">
        <v>45470</v>
      </c>
      <c r="H1212" s="6" t="s">
        <v>3</v>
      </c>
      <c r="I1212" s="31"/>
      <c r="J1212" s="32"/>
      <c r="K1212" s="31"/>
      <c r="L1212" s="52"/>
      <c r="M1212" s="5">
        <f t="shared" si="291"/>
        <v>0</v>
      </c>
    </row>
    <row r="1213" spans="1:13" x14ac:dyDescent="0.15">
      <c r="A1213" s="6" t="s">
        <v>3</v>
      </c>
      <c r="B1213" s="16">
        <v>5</v>
      </c>
      <c r="C1213" s="11">
        <v>5</v>
      </c>
      <c r="D1213" s="16"/>
      <c r="E1213" s="4"/>
      <c r="F1213" s="5">
        <f t="shared" si="290"/>
        <v>10</v>
      </c>
      <c r="G1213" s="39">
        <v>45489</v>
      </c>
      <c r="H1213" s="6" t="s">
        <v>3</v>
      </c>
      <c r="I1213" s="31"/>
      <c r="J1213" s="32"/>
      <c r="K1213" s="31"/>
      <c r="L1213" s="52"/>
      <c r="M1213" s="5">
        <f t="shared" si="291"/>
        <v>0</v>
      </c>
    </row>
    <row r="1214" spans="1:13" x14ac:dyDescent="0.15">
      <c r="A1214" s="6" t="s">
        <v>3</v>
      </c>
      <c r="B1214" s="16"/>
      <c r="C1214" s="11"/>
      <c r="D1214" s="16"/>
      <c r="E1214" s="4"/>
      <c r="F1214" s="5">
        <f t="shared" si="290"/>
        <v>0</v>
      </c>
      <c r="G1214" s="41"/>
      <c r="H1214" s="6" t="s">
        <v>3</v>
      </c>
      <c r="I1214" s="31"/>
      <c r="J1214" s="32"/>
      <c r="K1214" s="31"/>
      <c r="L1214" s="52"/>
      <c r="M1214" s="5">
        <f t="shared" si="291"/>
        <v>0</v>
      </c>
    </row>
    <row r="1215" spans="1:13" x14ac:dyDescent="0.15">
      <c r="A1215" s="6" t="s">
        <v>3</v>
      </c>
      <c r="B1215" s="31"/>
      <c r="C1215" s="32"/>
      <c r="D1215" s="31"/>
      <c r="E1215" s="52"/>
      <c r="F1215" s="5">
        <f t="shared" si="290"/>
        <v>0</v>
      </c>
      <c r="G1215" s="41"/>
      <c r="H1215" s="6" t="s">
        <v>3</v>
      </c>
      <c r="I1215" s="31"/>
      <c r="J1215" s="32"/>
      <c r="K1215" s="31"/>
      <c r="L1215" s="52"/>
      <c r="M1215" s="5">
        <f t="shared" si="291"/>
        <v>0</v>
      </c>
    </row>
    <row r="1216" spans="1:13" x14ac:dyDescent="0.15">
      <c r="A1216" s="6" t="s">
        <v>3</v>
      </c>
      <c r="B1216" s="10"/>
      <c r="C1216" s="9"/>
      <c r="D1216" s="10"/>
      <c r="E1216" s="49"/>
      <c r="F1216" s="5">
        <f t="shared" si="290"/>
        <v>0</v>
      </c>
      <c r="H1216" s="6" t="s">
        <v>3</v>
      </c>
      <c r="I1216" s="31"/>
      <c r="J1216" s="32"/>
      <c r="K1216" s="31"/>
      <c r="L1216" s="52"/>
      <c r="M1216" s="5">
        <f t="shared" si="291"/>
        <v>0</v>
      </c>
    </row>
    <row r="1217" spans="1:14" x14ac:dyDescent="0.15">
      <c r="A1217" s="6" t="s">
        <v>3</v>
      </c>
      <c r="B1217" s="31"/>
      <c r="C1217" s="32"/>
      <c r="D1217" s="31"/>
      <c r="E1217" s="52"/>
      <c r="F1217" s="5">
        <f t="shared" si="290"/>
        <v>0</v>
      </c>
      <c r="H1217" s="6" t="s">
        <v>3</v>
      </c>
      <c r="I1217" s="34"/>
      <c r="J1217" s="35"/>
      <c r="K1217" s="34"/>
      <c r="L1217" s="32"/>
      <c r="M1217" s="5">
        <f t="shared" si="291"/>
        <v>0</v>
      </c>
    </row>
    <row r="1218" spans="1:14" ht="14.25" thickBot="1" x14ac:dyDescent="0.2">
      <c r="A1218" s="6" t="s">
        <v>3</v>
      </c>
      <c r="B1218" s="13"/>
      <c r="C1218" s="12"/>
      <c r="D1218" s="13"/>
      <c r="E1218" s="50"/>
      <c r="F1218" s="5">
        <f t="shared" si="290"/>
        <v>0</v>
      </c>
      <c r="H1218" s="6" t="s">
        <v>3</v>
      </c>
      <c r="I1218" s="34"/>
      <c r="J1218" s="35"/>
      <c r="K1218" s="34"/>
      <c r="L1218" s="53"/>
      <c r="M1218" s="5">
        <f t="shared" si="291"/>
        <v>0</v>
      </c>
    </row>
    <row r="1219" spans="1:14" ht="14.25" thickBot="1" x14ac:dyDescent="0.2">
      <c r="A1219" s="21" t="s">
        <v>4</v>
      </c>
      <c r="B1219" s="22">
        <f>SUM(B1208:B1218)</f>
        <v>27</v>
      </c>
      <c r="C1219" s="22">
        <f>SUM(C1208:C1218)</f>
        <v>20</v>
      </c>
      <c r="D1219" s="23">
        <f>SUM(D1208:D1218)</f>
        <v>16</v>
      </c>
      <c r="E1219" s="23">
        <f>SUM(E1208:E1218)</f>
        <v>9</v>
      </c>
      <c r="F1219" s="24">
        <f>SUM(B1219:E1219)</f>
        <v>72</v>
      </c>
      <c r="H1219" s="21" t="s">
        <v>4</v>
      </c>
      <c r="I1219" s="22">
        <f>SUM(I1208:I1218)</f>
        <v>619</v>
      </c>
      <c r="J1219" s="22">
        <f>SUM(J1208:J1218)</f>
        <v>544</v>
      </c>
      <c r="K1219" s="23">
        <f>SUM(K1208:K1218)</f>
        <v>343</v>
      </c>
      <c r="L1219" s="23">
        <f>SUM(L1208:L1218)</f>
        <v>205</v>
      </c>
      <c r="M1219" s="24">
        <f>SUM(I1219:L1219)</f>
        <v>1711</v>
      </c>
    </row>
    <row r="1220" spans="1:14" x14ac:dyDescent="0.15">
      <c r="A1220" s="4" t="s">
        <v>200</v>
      </c>
      <c r="B1220" s="8"/>
      <c r="C1220" s="9"/>
      <c r="D1220" s="10">
        <v>2</v>
      </c>
      <c r="E1220" s="49"/>
      <c r="F1220" s="5">
        <f>SUM(B1220:E1220)</f>
        <v>2</v>
      </c>
      <c r="G1220" s="39">
        <v>45448</v>
      </c>
      <c r="H1220" s="136" t="s">
        <v>614</v>
      </c>
      <c r="I1220" s="80">
        <v>20</v>
      </c>
      <c r="J1220" s="49">
        <v>20</v>
      </c>
      <c r="K1220" s="78"/>
      <c r="L1220" s="9"/>
      <c r="M1220" s="7">
        <f>SUM(I1220:L1220)</f>
        <v>40</v>
      </c>
      <c r="N1220" s="39">
        <v>45446</v>
      </c>
    </row>
    <row r="1221" spans="1:14" x14ac:dyDescent="0.15">
      <c r="A1221" s="4" t="s">
        <v>200</v>
      </c>
      <c r="B1221" s="8">
        <v>2</v>
      </c>
      <c r="C1221" s="9"/>
      <c r="D1221" s="10"/>
      <c r="E1221" s="49"/>
      <c r="F1221" s="5">
        <f t="shared" ref="F1221:F1243" si="292">SUM(B1221:E1221)</f>
        <v>2</v>
      </c>
      <c r="G1221" s="39">
        <v>45450</v>
      </c>
      <c r="H1221" s="4" t="s">
        <v>26</v>
      </c>
      <c r="I1221" s="80">
        <v>5</v>
      </c>
      <c r="J1221" s="49"/>
      <c r="K1221" s="78"/>
      <c r="L1221" s="9"/>
      <c r="M1221" s="7">
        <f t="shared" ref="M1221" si="293">SUM(I1221:L1221)</f>
        <v>5</v>
      </c>
      <c r="N1221" s="39">
        <v>45442</v>
      </c>
    </row>
    <row r="1222" spans="1:14" x14ac:dyDescent="0.15">
      <c r="A1222" s="4" t="s">
        <v>200</v>
      </c>
      <c r="B1222" s="8"/>
      <c r="C1222" s="9"/>
      <c r="D1222" s="10">
        <v>2</v>
      </c>
      <c r="E1222" s="49"/>
      <c r="F1222" s="5">
        <f t="shared" si="292"/>
        <v>2</v>
      </c>
      <c r="G1222" s="39">
        <v>45450</v>
      </c>
      <c r="H1222" s="4" t="s">
        <v>200</v>
      </c>
      <c r="I1222" s="8">
        <v>2</v>
      </c>
      <c r="J1222" s="9">
        <v>12</v>
      </c>
      <c r="K1222" s="10"/>
      <c r="L1222" s="49">
        <v>2</v>
      </c>
      <c r="M1222" s="138">
        <f t="shared" ref="M1222:M1239" si="294">SUM(I1222:L1222)</f>
        <v>16</v>
      </c>
      <c r="N1222" s="39">
        <v>45443</v>
      </c>
    </row>
    <row r="1223" spans="1:14" x14ac:dyDescent="0.15">
      <c r="A1223" s="4" t="s">
        <v>34</v>
      </c>
      <c r="B1223" s="8"/>
      <c r="C1223" s="9"/>
      <c r="D1223" s="10"/>
      <c r="E1223" s="49">
        <v>1</v>
      </c>
      <c r="F1223" s="5">
        <f t="shared" si="292"/>
        <v>1</v>
      </c>
      <c r="G1223" s="39">
        <v>45449</v>
      </c>
      <c r="H1223" s="136" t="s">
        <v>615</v>
      </c>
      <c r="I1223" s="8">
        <v>20</v>
      </c>
      <c r="J1223" s="9"/>
      <c r="K1223" s="10"/>
      <c r="L1223" s="49"/>
      <c r="M1223" s="7">
        <f t="shared" si="294"/>
        <v>20</v>
      </c>
      <c r="N1223" s="39">
        <v>45446</v>
      </c>
    </row>
    <row r="1224" spans="1:14" x14ac:dyDescent="0.15">
      <c r="A1224" s="4" t="s">
        <v>34</v>
      </c>
      <c r="B1224" s="8">
        <v>1</v>
      </c>
      <c r="C1224" s="9"/>
      <c r="D1224" s="10"/>
      <c r="E1224" s="49"/>
      <c r="F1224" s="5">
        <f t="shared" si="292"/>
        <v>1</v>
      </c>
      <c r="G1224" s="39">
        <v>45454</v>
      </c>
      <c r="H1224" s="136" t="s">
        <v>616</v>
      </c>
      <c r="I1224" s="8"/>
      <c r="J1224" s="9"/>
      <c r="K1224" s="10">
        <v>10</v>
      </c>
      <c r="L1224" s="49"/>
      <c r="M1224" s="7">
        <f t="shared" si="294"/>
        <v>10</v>
      </c>
      <c r="N1224" s="39">
        <v>45446</v>
      </c>
    </row>
    <row r="1225" spans="1:14" x14ac:dyDescent="0.15">
      <c r="A1225" s="4" t="s">
        <v>200</v>
      </c>
      <c r="B1225" s="8">
        <v>2</v>
      </c>
      <c r="C1225" s="9"/>
      <c r="D1225" s="10"/>
      <c r="E1225" s="9"/>
      <c r="F1225" s="5">
        <f t="shared" si="292"/>
        <v>2</v>
      </c>
      <c r="G1225" s="39">
        <v>45460</v>
      </c>
      <c r="H1225" s="4" t="s">
        <v>200</v>
      </c>
      <c r="I1225" s="8">
        <v>4</v>
      </c>
      <c r="J1225" s="9">
        <v>2</v>
      </c>
      <c r="K1225" s="10"/>
      <c r="L1225" s="9">
        <v>8</v>
      </c>
      <c r="M1225" s="7">
        <f t="shared" si="294"/>
        <v>14</v>
      </c>
      <c r="N1225" s="39">
        <v>45443</v>
      </c>
    </row>
    <row r="1226" spans="1:14" x14ac:dyDescent="0.15">
      <c r="A1226" s="4" t="s">
        <v>34</v>
      </c>
      <c r="B1226" s="8"/>
      <c r="C1226" s="9">
        <v>2</v>
      </c>
      <c r="D1226" s="10"/>
      <c r="E1226" s="9"/>
      <c r="F1226" s="5">
        <f t="shared" si="292"/>
        <v>2</v>
      </c>
      <c r="G1226" s="39">
        <v>45458</v>
      </c>
      <c r="H1226" s="4" t="s">
        <v>200</v>
      </c>
      <c r="I1226" s="8">
        <v>2</v>
      </c>
      <c r="J1226" s="9"/>
      <c r="K1226" s="10"/>
      <c r="L1226" s="9"/>
      <c r="M1226" s="7">
        <f t="shared" si="294"/>
        <v>2</v>
      </c>
      <c r="N1226" s="39">
        <v>45449</v>
      </c>
    </row>
    <row r="1227" spans="1:14" x14ac:dyDescent="0.15">
      <c r="A1227" s="4" t="s">
        <v>200</v>
      </c>
      <c r="B1227" s="8">
        <v>2</v>
      </c>
      <c r="C1227" s="9"/>
      <c r="D1227" s="10"/>
      <c r="E1227" s="9"/>
      <c r="F1227" s="5">
        <f t="shared" si="292"/>
        <v>2</v>
      </c>
      <c r="G1227" s="39">
        <v>45462</v>
      </c>
      <c r="H1227" s="136" t="s">
        <v>617</v>
      </c>
      <c r="I1227" s="8">
        <v>20</v>
      </c>
      <c r="J1227" s="9">
        <v>20</v>
      </c>
      <c r="K1227" s="10">
        <v>20</v>
      </c>
      <c r="L1227" s="9"/>
      <c r="M1227" s="7">
        <f t="shared" si="294"/>
        <v>60</v>
      </c>
      <c r="N1227" s="39">
        <v>45453</v>
      </c>
    </row>
    <row r="1228" spans="1:14" x14ac:dyDescent="0.15">
      <c r="A1228" s="4" t="s">
        <v>200</v>
      </c>
      <c r="B1228" s="8">
        <v>2</v>
      </c>
      <c r="C1228" s="9">
        <v>2</v>
      </c>
      <c r="D1228" s="10"/>
      <c r="E1228" s="9"/>
      <c r="F1228" s="5">
        <f t="shared" si="292"/>
        <v>4</v>
      </c>
      <c r="G1228" s="39">
        <v>45471</v>
      </c>
      <c r="H1228" s="4" t="s">
        <v>200</v>
      </c>
      <c r="I1228" s="8"/>
      <c r="J1228" s="9"/>
      <c r="K1228" s="10"/>
      <c r="L1228" s="9">
        <v>4</v>
      </c>
      <c r="M1228" s="7">
        <f t="shared" si="294"/>
        <v>4</v>
      </c>
      <c r="N1228" s="39">
        <v>45453</v>
      </c>
    </row>
    <row r="1229" spans="1:14" x14ac:dyDescent="0.15">
      <c r="A1229" s="4" t="s">
        <v>622</v>
      </c>
      <c r="B1229" s="8">
        <v>1</v>
      </c>
      <c r="C1229" s="9"/>
      <c r="D1229" s="10"/>
      <c r="E1229" s="9"/>
      <c r="F1229" s="5">
        <f t="shared" si="292"/>
        <v>1</v>
      </c>
      <c r="G1229" s="39">
        <v>45470</v>
      </c>
      <c r="H1229" s="4" t="s">
        <v>26</v>
      </c>
      <c r="I1229" s="8">
        <v>5</v>
      </c>
      <c r="J1229" s="9"/>
      <c r="K1229" s="10"/>
      <c r="L1229" s="9"/>
      <c r="M1229" s="7">
        <f t="shared" si="294"/>
        <v>5</v>
      </c>
      <c r="N1229" s="39">
        <v>45455</v>
      </c>
    </row>
    <row r="1230" spans="1:14" x14ac:dyDescent="0.15">
      <c r="A1230" s="4" t="s">
        <v>34</v>
      </c>
      <c r="B1230" s="8"/>
      <c r="C1230" s="9"/>
      <c r="D1230" s="10">
        <v>2</v>
      </c>
      <c r="E1230" s="9"/>
      <c r="F1230" s="5">
        <f t="shared" si="292"/>
        <v>2</v>
      </c>
      <c r="G1230" s="39">
        <v>45469</v>
      </c>
      <c r="H1230" s="136" t="s">
        <v>623</v>
      </c>
      <c r="I1230" s="8"/>
      <c r="J1230" s="9"/>
      <c r="K1230" s="10"/>
      <c r="L1230" s="9">
        <v>20</v>
      </c>
      <c r="M1230" s="7">
        <f t="shared" si="294"/>
        <v>20</v>
      </c>
      <c r="N1230" s="39">
        <v>45462</v>
      </c>
    </row>
    <row r="1231" spans="1:14" x14ac:dyDescent="0.15">
      <c r="A1231" s="4" t="s">
        <v>200</v>
      </c>
      <c r="B1231" s="8"/>
      <c r="C1231" s="9"/>
      <c r="D1231" s="10"/>
      <c r="E1231" s="9">
        <v>2</v>
      </c>
      <c r="F1231" s="5">
        <f t="shared" si="292"/>
        <v>2</v>
      </c>
      <c r="G1231" s="39">
        <v>45476</v>
      </c>
      <c r="H1231" s="4" t="s">
        <v>200</v>
      </c>
      <c r="I1231" s="8"/>
      <c r="J1231" s="9">
        <v>2</v>
      </c>
      <c r="K1231" s="10"/>
      <c r="L1231" s="9"/>
      <c r="M1231" s="7">
        <f t="shared" si="294"/>
        <v>2</v>
      </c>
      <c r="N1231" s="39">
        <v>45464</v>
      </c>
    </row>
    <row r="1232" spans="1:14" x14ac:dyDescent="0.15">
      <c r="A1232" s="4" t="s">
        <v>200</v>
      </c>
      <c r="B1232" s="8">
        <v>2</v>
      </c>
      <c r="C1232" s="9"/>
      <c r="D1232" s="10"/>
      <c r="E1232" s="9"/>
      <c r="F1232" s="5">
        <f t="shared" si="292"/>
        <v>2</v>
      </c>
      <c r="G1232" s="39">
        <v>45478</v>
      </c>
      <c r="H1232" s="4" t="s">
        <v>200</v>
      </c>
      <c r="I1232" s="8">
        <v>4</v>
      </c>
      <c r="J1232" s="9"/>
      <c r="K1232" s="10"/>
      <c r="L1232" s="9"/>
      <c r="M1232" s="7">
        <f t="shared" si="294"/>
        <v>4</v>
      </c>
      <c r="N1232" s="39">
        <v>45467</v>
      </c>
    </row>
    <row r="1233" spans="1:14" x14ac:dyDescent="0.15">
      <c r="A1233" s="4" t="s">
        <v>34</v>
      </c>
      <c r="B1233" s="8"/>
      <c r="C1233" s="9">
        <v>1</v>
      </c>
      <c r="D1233" s="10"/>
      <c r="E1233" s="9"/>
      <c r="F1233" s="5">
        <f t="shared" si="292"/>
        <v>1</v>
      </c>
      <c r="G1233" s="39">
        <v>45478</v>
      </c>
      <c r="H1233" s="4" t="s">
        <v>26</v>
      </c>
      <c r="I1233" s="8">
        <v>10</v>
      </c>
      <c r="J1233" s="9">
        <v>5</v>
      </c>
      <c r="K1233" s="10"/>
      <c r="L1233" s="9"/>
      <c r="M1233" s="7">
        <f t="shared" si="294"/>
        <v>15</v>
      </c>
      <c r="N1233" s="39">
        <v>45470</v>
      </c>
    </row>
    <row r="1234" spans="1:14" x14ac:dyDescent="0.15">
      <c r="A1234" s="4" t="s">
        <v>34</v>
      </c>
      <c r="B1234" s="8">
        <v>2</v>
      </c>
      <c r="C1234" s="9"/>
      <c r="D1234" s="10"/>
      <c r="E1234" s="9"/>
      <c r="F1234" s="5">
        <f t="shared" si="292"/>
        <v>2</v>
      </c>
      <c r="G1234" s="71">
        <v>45479</v>
      </c>
      <c r="H1234" s="4" t="s">
        <v>200</v>
      </c>
      <c r="I1234" s="8">
        <v>2</v>
      </c>
      <c r="J1234" s="9"/>
      <c r="K1234" s="10"/>
      <c r="L1234" s="9"/>
      <c r="M1234" s="7">
        <f t="shared" si="294"/>
        <v>2</v>
      </c>
      <c r="N1234" s="39">
        <v>45474</v>
      </c>
    </row>
    <row r="1235" spans="1:14" x14ac:dyDescent="0.15">
      <c r="A1235" s="4" t="s">
        <v>200</v>
      </c>
      <c r="B1235" s="8">
        <v>2</v>
      </c>
      <c r="C1235" s="9">
        <v>2</v>
      </c>
      <c r="D1235" s="10"/>
      <c r="E1235" s="9"/>
      <c r="F1235" s="5">
        <f t="shared" si="292"/>
        <v>4</v>
      </c>
      <c r="G1235" s="39">
        <v>45483</v>
      </c>
      <c r="H1235" s="4" t="s">
        <v>200</v>
      </c>
      <c r="I1235" s="8">
        <v>2</v>
      </c>
      <c r="J1235" s="9"/>
      <c r="K1235" s="10"/>
      <c r="L1235" s="9"/>
      <c r="M1235" s="7">
        <f t="shared" si="294"/>
        <v>2</v>
      </c>
      <c r="N1235" s="39">
        <v>45477</v>
      </c>
    </row>
    <row r="1236" spans="1:14" x14ac:dyDescent="0.15">
      <c r="A1236" s="4" t="s">
        <v>39</v>
      </c>
      <c r="B1236" s="8"/>
      <c r="C1236" s="9">
        <v>1</v>
      </c>
      <c r="D1236" s="10"/>
      <c r="E1236" s="9"/>
      <c r="F1236" s="5">
        <f t="shared" si="292"/>
        <v>1</v>
      </c>
      <c r="G1236" s="39">
        <v>45482</v>
      </c>
      <c r="H1236" s="136" t="s">
        <v>624</v>
      </c>
      <c r="I1236" s="8">
        <v>20</v>
      </c>
      <c r="J1236" s="9"/>
      <c r="K1236" s="10"/>
      <c r="L1236" s="9"/>
      <c r="M1236" s="7">
        <f t="shared" si="294"/>
        <v>20</v>
      </c>
      <c r="N1236" s="39">
        <v>45478</v>
      </c>
    </row>
    <row r="1237" spans="1:14" x14ac:dyDescent="0.15">
      <c r="A1237" s="4" t="s">
        <v>200</v>
      </c>
      <c r="B1237" s="8"/>
      <c r="C1237" s="9">
        <v>2</v>
      </c>
      <c r="D1237" s="10"/>
      <c r="E1237" s="9"/>
      <c r="F1237" s="5">
        <f t="shared" si="292"/>
        <v>2</v>
      </c>
      <c r="G1237" s="39">
        <v>45485</v>
      </c>
      <c r="H1237" s="4" t="s">
        <v>200</v>
      </c>
      <c r="I1237" s="8">
        <v>10</v>
      </c>
      <c r="J1237" s="9"/>
      <c r="K1237" s="10">
        <v>2</v>
      </c>
      <c r="L1237" s="9"/>
      <c r="M1237" s="7">
        <f t="shared" si="294"/>
        <v>12</v>
      </c>
      <c r="N1237" s="39">
        <v>45478</v>
      </c>
    </row>
    <row r="1238" spans="1:14" x14ac:dyDescent="0.15">
      <c r="A1238" s="4" t="s">
        <v>34</v>
      </c>
      <c r="B1238" s="8"/>
      <c r="C1238" s="9">
        <v>2</v>
      </c>
      <c r="D1238" s="10"/>
      <c r="E1238" s="9"/>
      <c r="F1238" s="5">
        <f t="shared" si="292"/>
        <v>2</v>
      </c>
      <c r="G1238" s="39">
        <v>45484</v>
      </c>
      <c r="H1238" s="4" t="s">
        <v>200</v>
      </c>
      <c r="I1238" s="8"/>
      <c r="J1238" s="9">
        <v>6</v>
      </c>
      <c r="K1238" s="10">
        <v>4</v>
      </c>
      <c r="L1238" s="9"/>
      <c r="M1238" s="7">
        <f t="shared" si="294"/>
        <v>10</v>
      </c>
      <c r="N1238" s="39">
        <v>45481</v>
      </c>
    </row>
    <row r="1239" spans="1:14" x14ac:dyDescent="0.15">
      <c r="A1239" s="4" t="s">
        <v>200</v>
      </c>
      <c r="B1239" s="8">
        <v>2</v>
      </c>
      <c r="C1239" s="9"/>
      <c r="D1239" s="10"/>
      <c r="E1239" s="9"/>
      <c r="F1239" s="5">
        <f t="shared" si="292"/>
        <v>2</v>
      </c>
      <c r="G1239" s="39">
        <v>45489</v>
      </c>
      <c r="H1239" s="4" t="s">
        <v>200</v>
      </c>
      <c r="I1239" s="8">
        <v>6</v>
      </c>
      <c r="J1239" s="9"/>
      <c r="K1239" s="10">
        <v>2</v>
      </c>
      <c r="L1239" s="9"/>
      <c r="M1239" s="7">
        <f t="shared" si="294"/>
        <v>8</v>
      </c>
      <c r="N1239" s="39">
        <v>45484</v>
      </c>
    </row>
    <row r="1240" spans="1:14" x14ac:dyDescent="0.15">
      <c r="A1240" s="11"/>
      <c r="B1240" s="8"/>
      <c r="C1240" s="9"/>
      <c r="D1240" s="10"/>
      <c r="E1240" s="9"/>
      <c r="F1240" s="5">
        <f t="shared" si="292"/>
        <v>0</v>
      </c>
      <c r="H1240" s="4" t="s">
        <v>200</v>
      </c>
      <c r="I1240" s="8"/>
      <c r="J1240" s="9">
        <v>2</v>
      </c>
      <c r="K1240" s="10"/>
      <c r="L1240" s="9">
        <v>4</v>
      </c>
      <c r="M1240" s="7">
        <f t="shared" ref="M1240:M1243" si="295">SUM(I1240:L1240)</f>
        <v>6</v>
      </c>
      <c r="N1240" s="39">
        <v>45485</v>
      </c>
    </row>
    <row r="1241" spans="1:14" x14ac:dyDescent="0.15">
      <c r="A1241" s="4"/>
      <c r="B1241" s="8"/>
      <c r="C1241" s="9"/>
      <c r="D1241" s="10"/>
      <c r="E1241" s="9"/>
      <c r="F1241" s="5">
        <f t="shared" si="292"/>
        <v>0</v>
      </c>
      <c r="H1241" s="133" t="s">
        <v>602</v>
      </c>
      <c r="I1241" s="8"/>
      <c r="J1241" s="9"/>
      <c r="K1241" s="10"/>
      <c r="L1241" s="9"/>
      <c r="M1241" s="7">
        <f t="shared" si="295"/>
        <v>0</v>
      </c>
      <c r="N1241" s="41" t="s">
        <v>395</v>
      </c>
    </row>
    <row r="1242" spans="1:14" x14ac:dyDescent="0.15">
      <c r="A1242" s="11"/>
      <c r="B1242" s="8"/>
      <c r="C1242" s="9"/>
      <c r="D1242" s="10"/>
      <c r="E1242" s="9"/>
      <c r="F1242" s="5">
        <f t="shared" si="292"/>
        <v>0</v>
      </c>
      <c r="H1242" s="133" t="s">
        <v>613</v>
      </c>
      <c r="I1242" s="8"/>
      <c r="J1242" s="9"/>
      <c r="K1242" s="10"/>
      <c r="L1242" s="9"/>
      <c r="M1242" s="7">
        <f t="shared" si="295"/>
        <v>0</v>
      </c>
      <c r="N1242" s="41" t="s">
        <v>21</v>
      </c>
    </row>
    <row r="1243" spans="1:14" ht="14.25" thickBot="1" x14ac:dyDescent="0.2">
      <c r="A1243" s="11"/>
      <c r="B1243" s="8"/>
      <c r="C1243" s="9"/>
      <c r="D1243" s="10"/>
      <c r="E1243" s="9"/>
      <c r="F1243" s="5">
        <f t="shared" si="292"/>
        <v>0</v>
      </c>
      <c r="H1243" s="133" t="s">
        <v>619</v>
      </c>
      <c r="I1243" s="8"/>
      <c r="J1243" s="9"/>
      <c r="K1243" s="10"/>
      <c r="L1243" s="9"/>
      <c r="M1243" s="7">
        <f t="shared" si="295"/>
        <v>0</v>
      </c>
      <c r="N1243" s="41" t="s">
        <v>445</v>
      </c>
    </row>
    <row r="1244" spans="1:14" ht="14.25" thickBot="1" x14ac:dyDescent="0.2">
      <c r="A1244" s="3" t="s">
        <v>5</v>
      </c>
      <c r="B1244" s="14">
        <f>SUM(B1220:B1243)</f>
        <v>18</v>
      </c>
      <c r="C1244" s="14">
        <f>SUM(C1220:C1243)</f>
        <v>12</v>
      </c>
      <c r="D1244" s="14">
        <f>SUM(D1220:D1243)</f>
        <v>6</v>
      </c>
      <c r="E1244" s="14">
        <f>SUM(E1220:E1243)</f>
        <v>3</v>
      </c>
      <c r="F1244" s="15">
        <f>SUM(B1244:E1244)</f>
        <v>39</v>
      </c>
      <c r="H1244" s="3" t="s">
        <v>5</v>
      </c>
      <c r="I1244" s="14">
        <f>SUM(I1220:I1243)</f>
        <v>132</v>
      </c>
      <c r="J1244" s="14">
        <f>SUM(J1220:J1243)</f>
        <v>69</v>
      </c>
      <c r="K1244" s="14">
        <f>SUM(K1220:K1243)</f>
        <v>38</v>
      </c>
      <c r="L1244" s="14">
        <f>SUM(L1220:L1243)</f>
        <v>38</v>
      </c>
      <c r="M1244" s="15">
        <f>SUM(I1244:L1244)</f>
        <v>277</v>
      </c>
    </row>
    <row r="1245" spans="1:14" ht="14.25" thickBot="1" x14ac:dyDescent="0.2">
      <c r="A1245" s="25" t="s">
        <v>6</v>
      </c>
      <c r="B1245" s="26">
        <f>B1219-B1244</f>
        <v>9</v>
      </c>
      <c r="C1245" s="26">
        <f t="shared" ref="C1245:F1245" si="296">C1219-C1244</f>
        <v>8</v>
      </c>
      <c r="D1245" s="26">
        <f t="shared" si="296"/>
        <v>10</v>
      </c>
      <c r="E1245" s="26">
        <f t="shared" si="296"/>
        <v>6</v>
      </c>
      <c r="F1245" s="24">
        <f t="shared" si="296"/>
        <v>33</v>
      </c>
      <c r="H1245" s="25" t="s">
        <v>6</v>
      </c>
      <c r="I1245" s="26">
        <f>I1219-I1244</f>
        <v>487</v>
      </c>
      <c r="J1245" s="26">
        <f t="shared" ref="J1245:M1245" si="297">J1219-J1244</f>
        <v>475</v>
      </c>
      <c r="K1245" s="26">
        <f t="shared" si="297"/>
        <v>305</v>
      </c>
      <c r="L1245" s="26">
        <f t="shared" si="297"/>
        <v>167</v>
      </c>
      <c r="M1245" s="24">
        <f t="shared" si="297"/>
        <v>1434</v>
      </c>
    </row>
    <row r="1248" spans="1:14" ht="21.75" thickBot="1" x14ac:dyDescent="0.25">
      <c r="A1248" s="29" t="s">
        <v>13</v>
      </c>
      <c r="B1248" s="1"/>
      <c r="C1248" s="1"/>
      <c r="D1248" s="1"/>
      <c r="E1248" s="1"/>
      <c r="F1248" s="1"/>
      <c r="H1248" s="29" t="s">
        <v>14</v>
      </c>
      <c r="I1248" s="1"/>
      <c r="J1248" s="1"/>
      <c r="K1248" s="1"/>
      <c r="L1248" s="1"/>
      <c r="M1248" s="1"/>
    </row>
    <row r="1249" spans="1:15" ht="14.25" thickBot="1" x14ac:dyDescent="0.2">
      <c r="A1249" s="2" t="s">
        <v>0</v>
      </c>
      <c r="B1249" s="164" t="s">
        <v>12</v>
      </c>
      <c r="C1249" s="165"/>
      <c r="D1249" s="165"/>
      <c r="E1249" s="165"/>
      <c r="F1249" s="117"/>
      <c r="H1249" s="2" t="s">
        <v>0</v>
      </c>
      <c r="I1249" s="164" t="s">
        <v>12</v>
      </c>
      <c r="J1249" s="165"/>
      <c r="K1249" s="165"/>
      <c r="L1249" s="165"/>
      <c r="M1249" s="117"/>
    </row>
    <row r="1250" spans="1:15" ht="14.25" thickBot="1" x14ac:dyDescent="0.2">
      <c r="A1250" s="2" t="s">
        <v>1</v>
      </c>
      <c r="B1250" s="3" t="s">
        <v>489</v>
      </c>
      <c r="C1250" s="2" t="s">
        <v>490</v>
      </c>
      <c r="D1250" s="19" t="s">
        <v>491</v>
      </c>
      <c r="E1250" s="2" t="s">
        <v>492</v>
      </c>
      <c r="F1250" s="2" t="s">
        <v>2</v>
      </c>
      <c r="H1250" s="2" t="s">
        <v>1</v>
      </c>
      <c r="I1250" s="3" t="s">
        <v>489</v>
      </c>
      <c r="J1250" s="2" t="s">
        <v>490</v>
      </c>
      <c r="K1250" s="19" t="s">
        <v>491</v>
      </c>
      <c r="L1250" s="2" t="s">
        <v>492</v>
      </c>
      <c r="M1250" s="2" t="s">
        <v>2</v>
      </c>
    </row>
    <row r="1251" spans="1:15" x14ac:dyDescent="0.15">
      <c r="A1251" s="27" t="s">
        <v>6</v>
      </c>
      <c r="B1251" s="18">
        <f>B1245</f>
        <v>9</v>
      </c>
      <c r="C1251" s="20">
        <f>C1245</f>
        <v>8</v>
      </c>
      <c r="D1251" s="55">
        <f>D1245</f>
        <v>10</v>
      </c>
      <c r="E1251" s="20">
        <f>E1245</f>
        <v>6</v>
      </c>
      <c r="F1251" s="17">
        <f>SUM(B1251:E1251)</f>
        <v>33</v>
      </c>
      <c r="H1251" s="27" t="s">
        <v>6</v>
      </c>
      <c r="I1251" s="18">
        <f>I1245</f>
        <v>487</v>
      </c>
      <c r="J1251" s="20">
        <f>J1245</f>
        <v>475</v>
      </c>
      <c r="K1251" s="55">
        <f>K1245</f>
        <v>305</v>
      </c>
      <c r="L1251" s="58">
        <f>L1245</f>
        <v>167</v>
      </c>
      <c r="M1251" s="17">
        <f>SUM(I1251:L1251)</f>
        <v>1434</v>
      </c>
    </row>
    <row r="1252" spans="1:15" x14ac:dyDescent="0.15">
      <c r="A1252" s="6" t="s">
        <v>3</v>
      </c>
      <c r="B1252" s="16"/>
      <c r="C1252" s="11">
        <v>3</v>
      </c>
      <c r="D1252" s="16"/>
      <c r="E1252" s="4">
        <v>3</v>
      </c>
      <c r="F1252" s="5">
        <f t="shared" ref="F1252:F1261" si="298">SUM(B1252:E1252)</f>
        <v>6</v>
      </c>
      <c r="G1252" s="39">
        <v>45498</v>
      </c>
      <c r="H1252" s="6" t="s">
        <v>3</v>
      </c>
      <c r="I1252" s="8">
        <v>5</v>
      </c>
      <c r="J1252" s="9"/>
      <c r="K1252" s="10"/>
      <c r="L1252" s="9"/>
      <c r="M1252" s="5">
        <f t="shared" ref="M1252" si="299">SUM(I1252:L1252)</f>
        <v>5</v>
      </c>
      <c r="N1252" s="71">
        <v>45514</v>
      </c>
    </row>
    <row r="1253" spans="1:15" x14ac:dyDescent="0.15">
      <c r="A1253" s="6" t="s">
        <v>3</v>
      </c>
      <c r="B1253" s="16"/>
      <c r="C1253" s="11">
        <v>5</v>
      </c>
      <c r="D1253" s="16"/>
      <c r="E1253" s="4"/>
      <c r="F1253" s="5">
        <f t="shared" si="298"/>
        <v>5</v>
      </c>
      <c r="G1253" s="39">
        <v>45506</v>
      </c>
      <c r="H1253" s="6" t="s">
        <v>3</v>
      </c>
      <c r="I1253" s="16"/>
      <c r="J1253" s="11"/>
      <c r="K1253" s="16"/>
      <c r="L1253" s="4"/>
      <c r="M1253" s="5">
        <f t="shared" ref="M1253:M1261" si="300">SUM(I1253:L1253)</f>
        <v>0</v>
      </c>
    </row>
    <row r="1254" spans="1:15" x14ac:dyDescent="0.15">
      <c r="A1254" s="6" t="s">
        <v>168</v>
      </c>
      <c r="B1254" s="16">
        <v>9</v>
      </c>
      <c r="C1254" s="11"/>
      <c r="D1254" s="16"/>
      <c r="E1254" s="4"/>
      <c r="F1254" s="5">
        <f t="shared" si="298"/>
        <v>9</v>
      </c>
      <c r="G1254" s="39">
        <v>45506</v>
      </c>
      <c r="H1254" s="6" t="s">
        <v>3</v>
      </c>
      <c r="I1254" s="16"/>
      <c r="J1254" s="11"/>
      <c r="K1254" s="16"/>
      <c r="L1254" s="4"/>
      <c r="M1254" s="5">
        <f t="shared" ref="M1254" si="301">SUM(I1254:L1254)</f>
        <v>0</v>
      </c>
    </row>
    <row r="1255" spans="1:15" x14ac:dyDescent="0.15">
      <c r="A1255" s="6" t="s">
        <v>3</v>
      </c>
      <c r="B1255" s="16"/>
      <c r="C1255" s="11"/>
      <c r="D1255" s="16">
        <v>5</v>
      </c>
      <c r="E1255" s="4">
        <v>5</v>
      </c>
      <c r="F1255" s="5">
        <f t="shared" si="298"/>
        <v>10</v>
      </c>
      <c r="G1255" s="39">
        <v>45511</v>
      </c>
      <c r="H1255" s="6" t="s">
        <v>3</v>
      </c>
      <c r="I1255" s="31"/>
      <c r="J1255" s="32"/>
      <c r="K1255" s="31"/>
      <c r="L1255" s="52"/>
      <c r="M1255" s="5">
        <f t="shared" ref="M1255" si="302">SUM(I1255:L1255)</f>
        <v>0</v>
      </c>
    </row>
    <row r="1256" spans="1:15" x14ac:dyDescent="0.15">
      <c r="A1256" s="6" t="s">
        <v>168</v>
      </c>
      <c r="B1256" s="16"/>
      <c r="C1256" s="11"/>
      <c r="D1256" s="16"/>
      <c r="E1256" s="4">
        <v>6</v>
      </c>
      <c r="F1256" s="5">
        <f t="shared" si="298"/>
        <v>6</v>
      </c>
      <c r="G1256" s="39">
        <v>45524</v>
      </c>
      <c r="H1256" s="6" t="s">
        <v>3</v>
      </c>
      <c r="I1256" s="31"/>
      <c r="J1256" s="32"/>
      <c r="K1256" s="31"/>
      <c r="L1256" s="52"/>
      <c r="M1256" s="5">
        <f t="shared" si="300"/>
        <v>0</v>
      </c>
    </row>
    <row r="1257" spans="1:15" x14ac:dyDescent="0.15">
      <c r="A1257" s="6" t="s">
        <v>3</v>
      </c>
      <c r="B1257" s="16"/>
      <c r="C1257" s="11"/>
      <c r="D1257" s="16"/>
      <c r="E1257" s="4"/>
      <c r="F1257" s="5">
        <f t="shared" si="298"/>
        <v>0</v>
      </c>
      <c r="H1257" s="6" t="s">
        <v>3</v>
      </c>
      <c r="I1257" s="31"/>
      <c r="J1257" s="32"/>
      <c r="K1257" s="31"/>
      <c r="L1257" s="52"/>
      <c r="M1257" s="5">
        <f t="shared" si="300"/>
        <v>0</v>
      </c>
    </row>
    <row r="1258" spans="1:15" x14ac:dyDescent="0.15">
      <c r="A1258" s="6" t="s">
        <v>3</v>
      </c>
      <c r="B1258" s="31"/>
      <c r="C1258" s="32"/>
      <c r="D1258" s="31"/>
      <c r="E1258" s="52"/>
      <c r="F1258" s="5">
        <f t="shared" si="298"/>
        <v>0</v>
      </c>
      <c r="H1258" s="6" t="s">
        <v>3</v>
      </c>
      <c r="I1258" s="31"/>
      <c r="J1258" s="32"/>
      <c r="K1258" s="31"/>
      <c r="L1258" s="52"/>
      <c r="M1258" s="5">
        <f t="shared" si="300"/>
        <v>0</v>
      </c>
    </row>
    <row r="1259" spans="1:15" x14ac:dyDescent="0.15">
      <c r="A1259" s="6" t="s">
        <v>3</v>
      </c>
      <c r="B1259" s="10"/>
      <c r="C1259" s="9"/>
      <c r="D1259" s="10"/>
      <c r="E1259" s="49"/>
      <c r="F1259" s="5">
        <f t="shared" si="298"/>
        <v>0</v>
      </c>
      <c r="H1259" s="6" t="s">
        <v>3</v>
      </c>
      <c r="I1259" s="31"/>
      <c r="J1259" s="32"/>
      <c r="K1259" s="31"/>
      <c r="L1259" s="52"/>
      <c r="M1259" s="5">
        <f t="shared" si="300"/>
        <v>0</v>
      </c>
    </row>
    <row r="1260" spans="1:15" x14ac:dyDescent="0.15">
      <c r="A1260" s="6" t="s">
        <v>3</v>
      </c>
      <c r="B1260" s="31"/>
      <c r="C1260" s="32"/>
      <c r="D1260" s="31"/>
      <c r="E1260" s="52"/>
      <c r="F1260" s="5">
        <f t="shared" si="298"/>
        <v>0</v>
      </c>
      <c r="H1260" s="6" t="s">
        <v>3</v>
      </c>
      <c r="I1260" s="34"/>
      <c r="J1260" s="35"/>
      <c r="K1260" s="34"/>
      <c r="L1260" s="32"/>
      <c r="M1260" s="5">
        <f t="shared" si="300"/>
        <v>0</v>
      </c>
    </row>
    <row r="1261" spans="1:15" ht="14.25" thickBot="1" x14ac:dyDescent="0.2">
      <c r="A1261" s="6" t="s">
        <v>3</v>
      </c>
      <c r="B1261" s="13"/>
      <c r="C1261" s="12"/>
      <c r="D1261" s="13"/>
      <c r="E1261" s="50"/>
      <c r="F1261" s="5">
        <f t="shared" si="298"/>
        <v>0</v>
      </c>
      <c r="H1261" s="6" t="s">
        <v>3</v>
      </c>
      <c r="I1261" s="34"/>
      <c r="J1261" s="35"/>
      <c r="K1261" s="34"/>
      <c r="L1261" s="53"/>
      <c r="M1261" s="5">
        <f t="shared" si="300"/>
        <v>0</v>
      </c>
    </row>
    <row r="1262" spans="1:15" ht="14.25" thickBot="1" x14ac:dyDescent="0.2">
      <c r="A1262" s="21" t="s">
        <v>4</v>
      </c>
      <c r="B1262" s="22">
        <f>SUM(B1251:B1261)</f>
        <v>18</v>
      </c>
      <c r="C1262" s="22">
        <f>SUM(C1251:C1261)</f>
        <v>16</v>
      </c>
      <c r="D1262" s="23">
        <f>SUM(D1251:D1261)</f>
        <v>15</v>
      </c>
      <c r="E1262" s="23">
        <f>SUM(E1251:E1261)</f>
        <v>20</v>
      </c>
      <c r="F1262" s="24">
        <f>SUM(B1262:E1262)</f>
        <v>69</v>
      </c>
      <c r="H1262" s="21" t="s">
        <v>4</v>
      </c>
      <c r="I1262" s="22">
        <f>SUM(I1251:I1261)</f>
        <v>492</v>
      </c>
      <c r="J1262" s="22">
        <f>SUM(J1251:J1261)</f>
        <v>475</v>
      </c>
      <c r="K1262" s="23">
        <f>SUM(K1251:K1261)</f>
        <v>305</v>
      </c>
      <c r="L1262" s="23">
        <f>SUM(L1251:L1261)</f>
        <v>167</v>
      </c>
      <c r="M1262" s="24">
        <f>SUM(I1262:L1262)</f>
        <v>1439</v>
      </c>
    </row>
    <row r="1263" spans="1:15" x14ac:dyDescent="0.15">
      <c r="A1263" s="4" t="s">
        <v>627</v>
      </c>
      <c r="B1263" s="8"/>
      <c r="C1263" s="9"/>
      <c r="D1263" s="10">
        <v>2</v>
      </c>
      <c r="E1263" s="49"/>
      <c r="F1263" s="5">
        <f>SUM(B1263:E1263)</f>
        <v>2</v>
      </c>
      <c r="G1263" s="39">
        <v>45492</v>
      </c>
      <c r="H1263" s="4" t="s">
        <v>26</v>
      </c>
      <c r="I1263" s="80">
        <v>5</v>
      </c>
      <c r="J1263" s="49">
        <v>5</v>
      </c>
      <c r="K1263" s="78"/>
      <c r="L1263" s="9"/>
      <c r="M1263" s="7">
        <f t="shared" ref="M1263" si="303">SUM(I1263:L1263)</f>
        <v>10</v>
      </c>
      <c r="N1263" s="39">
        <v>45489</v>
      </c>
      <c r="O1263" s="30"/>
    </row>
    <row r="1264" spans="1:15" x14ac:dyDescent="0.15">
      <c r="A1264" s="4" t="s">
        <v>39</v>
      </c>
      <c r="B1264" s="8">
        <v>1</v>
      </c>
      <c r="C1264" s="9">
        <v>2</v>
      </c>
      <c r="D1264" s="10">
        <v>1</v>
      </c>
      <c r="E1264" s="49">
        <v>1</v>
      </c>
      <c r="F1264" s="5">
        <f t="shared" ref="F1264:F1286" si="304">SUM(B1264:E1264)</f>
        <v>5</v>
      </c>
      <c r="G1264" s="39">
        <v>45496</v>
      </c>
      <c r="H1264" s="4" t="s">
        <v>200</v>
      </c>
      <c r="I1264" s="80"/>
      <c r="J1264" s="49">
        <v>10</v>
      </c>
      <c r="K1264" s="78"/>
      <c r="L1264" s="9"/>
      <c r="M1264" s="7">
        <f t="shared" ref="M1264:M1284" si="305">SUM(I1264:L1264)</f>
        <v>10</v>
      </c>
      <c r="N1264" s="39">
        <v>45491</v>
      </c>
    </row>
    <row r="1265" spans="1:14" x14ac:dyDescent="0.15">
      <c r="A1265" s="11" t="s">
        <v>628</v>
      </c>
      <c r="B1265" s="8"/>
      <c r="C1265" s="9">
        <v>1</v>
      </c>
      <c r="D1265" s="10"/>
      <c r="E1265" s="49"/>
      <c r="F1265" s="5">
        <f t="shared" si="304"/>
        <v>1</v>
      </c>
      <c r="G1265" s="39">
        <v>45497</v>
      </c>
      <c r="H1265" s="4" t="s">
        <v>200</v>
      </c>
      <c r="I1265" s="8">
        <v>8</v>
      </c>
      <c r="J1265" s="9">
        <v>8</v>
      </c>
      <c r="K1265" s="10">
        <v>4</v>
      </c>
      <c r="L1265" s="49">
        <v>2</v>
      </c>
      <c r="M1265" s="7">
        <f t="shared" si="305"/>
        <v>22</v>
      </c>
      <c r="N1265" s="39">
        <v>45495</v>
      </c>
    </row>
    <row r="1266" spans="1:14" x14ac:dyDescent="0.15">
      <c r="A1266" s="4" t="s">
        <v>200</v>
      </c>
      <c r="B1266" s="8"/>
      <c r="C1266" s="9"/>
      <c r="D1266" s="10">
        <v>2</v>
      </c>
      <c r="E1266" s="49">
        <v>2</v>
      </c>
      <c r="F1266" s="5">
        <f t="shared" si="304"/>
        <v>4</v>
      </c>
      <c r="G1266" s="39">
        <v>45499</v>
      </c>
      <c r="H1266" s="4" t="s">
        <v>200</v>
      </c>
      <c r="I1266" s="8"/>
      <c r="J1266" s="9"/>
      <c r="K1266" s="10"/>
      <c r="L1266" s="49">
        <v>4</v>
      </c>
      <c r="M1266" s="7">
        <f t="shared" si="305"/>
        <v>4</v>
      </c>
      <c r="N1266" s="39">
        <v>45497</v>
      </c>
    </row>
    <row r="1267" spans="1:14" x14ac:dyDescent="0.15">
      <c r="A1267" s="4" t="s">
        <v>34</v>
      </c>
      <c r="B1267" s="8"/>
      <c r="C1267" s="9">
        <v>2</v>
      </c>
      <c r="D1267" s="10"/>
      <c r="E1267" s="49"/>
      <c r="F1267" s="5">
        <f t="shared" si="304"/>
        <v>2</v>
      </c>
      <c r="G1267" s="39">
        <v>45498</v>
      </c>
      <c r="H1267" s="4" t="s">
        <v>26</v>
      </c>
      <c r="I1267" s="8"/>
      <c r="J1267" s="9">
        <v>3</v>
      </c>
      <c r="K1267" s="10"/>
      <c r="L1267" s="49">
        <v>3</v>
      </c>
      <c r="M1267" s="7">
        <f t="shared" si="305"/>
        <v>6</v>
      </c>
      <c r="N1267" s="39">
        <v>45498</v>
      </c>
    </row>
    <row r="1268" spans="1:14" x14ac:dyDescent="0.15">
      <c r="A1268" s="4" t="s">
        <v>34</v>
      </c>
      <c r="B1268" s="8"/>
      <c r="C1268" s="9">
        <v>1</v>
      </c>
      <c r="D1268" s="10"/>
      <c r="E1268" s="9"/>
      <c r="F1268" s="5">
        <f t="shared" si="304"/>
        <v>1</v>
      </c>
      <c r="G1268" s="39">
        <v>45502</v>
      </c>
      <c r="H1268" s="4" t="s">
        <v>200</v>
      </c>
      <c r="I1268" s="8"/>
      <c r="J1268" s="9"/>
      <c r="K1268" s="10">
        <v>12</v>
      </c>
      <c r="L1268" s="9">
        <v>4</v>
      </c>
      <c r="M1268" s="7">
        <f t="shared" si="305"/>
        <v>16</v>
      </c>
      <c r="N1268" s="39">
        <v>45502</v>
      </c>
    </row>
    <row r="1269" spans="1:14" x14ac:dyDescent="0.15">
      <c r="A1269" s="4" t="s">
        <v>34</v>
      </c>
      <c r="B1269" s="8"/>
      <c r="C1269" s="9">
        <v>1</v>
      </c>
      <c r="D1269" s="10"/>
      <c r="E1269" s="9"/>
      <c r="F1269" s="5">
        <f t="shared" si="304"/>
        <v>1</v>
      </c>
      <c r="G1269" s="71">
        <v>45504</v>
      </c>
      <c r="H1269" s="4" t="s">
        <v>200</v>
      </c>
      <c r="I1269" s="8">
        <v>14</v>
      </c>
      <c r="J1269" s="9">
        <v>6</v>
      </c>
      <c r="K1269" s="10">
        <v>2</v>
      </c>
      <c r="L1269" s="9"/>
      <c r="M1269" s="7">
        <f t="shared" si="305"/>
        <v>22</v>
      </c>
      <c r="N1269" s="39">
        <v>45504</v>
      </c>
    </row>
    <row r="1270" spans="1:14" x14ac:dyDescent="0.15">
      <c r="A1270" s="4" t="s">
        <v>34</v>
      </c>
      <c r="B1270" s="8"/>
      <c r="C1270" s="9">
        <v>1</v>
      </c>
      <c r="D1270" s="10"/>
      <c r="E1270" s="9"/>
      <c r="F1270" s="5">
        <f t="shared" si="304"/>
        <v>1</v>
      </c>
      <c r="G1270" s="71">
        <v>45505</v>
      </c>
      <c r="H1270" s="136" t="s">
        <v>629</v>
      </c>
      <c r="I1270" s="8"/>
      <c r="J1270" s="9"/>
      <c r="K1270" s="10"/>
      <c r="L1270" s="9">
        <v>4</v>
      </c>
      <c r="M1270" s="7">
        <f t="shared" si="305"/>
        <v>4</v>
      </c>
      <c r="N1270" s="39">
        <v>45506</v>
      </c>
    </row>
    <row r="1271" spans="1:14" x14ac:dyDescent="0.15">
      <c r="A1271" s="4" t="s">
        <v>39</v>
      </c>
      <c r="B1271" s="8">
        <v>2</v>
      </c>
      <c r="C1271" s="9">
        <v>1</v>
      </c>
      <c r="D1271" s="10">
        <v>1</v>
      </c>
      <c r="E1271" s="9">
        <v>1</v>
      </c>
      <c r="F1271" s="5">
        <f t="shared" si="304"/>
        <v>5</v>
      </c>
      <c r="G1271" s="39">
        <v>45511</v>
      </c>
      <c r="H1271" s="4" t="s">
        <v>200</v>
      </c>
      <c r="I1271" s="8">
        <v>2</v>
      </c>
      <c r="J1271" s="9">
        <v>2</v>
      </c>
      <c r="K1271" s="10"/>
      <c r="L1271" s="9">
        <v>2</v>
      </c>
      <c r="M1271" s="7">
        <f t="shared" si="305"/>
        <v>6</v>
      </c>
      <c r="N1271" s="39">
        <v>45505</v>
      </c>
    </row>
    <row r="1272" spans="1:14" x14ac:dyDescent="0.15">
      <c r="A1272" s="4" t="s">
        <v>34</v>
      </c>
      <c r="B1272" s="8"/>
      <c r="C1272" s="9"/>
      <c r="D1272" s="10"/>
      <c r="E1272" s="9">
        <v>2</v>
      </c>
      <c r="F1272" s="5">
        <f t="shared" si="304"/>
        <v>2</v>
      </c>
      <c r="G1272" s="39">
        <v>45510</v>
      </c>
      <c r="H1272" s="4" t="s">
        <v>200</v>
      </c>
      <c r="I1272" s="8">
        <v>2</v>
      </c>
      <c r="J1272" s="9"/>
      <c r="K1272" s="10"/>
      <c r="L1272" s="9">
        <v>2</v>
      </c>
      <c r="M1272" s="7">
        <f t="shared" si="305"/>
        <v>4</v>
      </c>
      <c r="N1272" s="39">
        <v>45506</v>
      </c>
    </row>
    <row r="1273" spans="1:14" x14ac:dyDescent="0.15">
      <c r="A1273" s="4" t="s">
        <v>635</v>
      </c>
      <c r="B1273" s="8">
        <v>5</v>
      </c>
      <c r="C1273" s="9"/>
      <c r="D1273" s="10"/>
      <c r="E1273" s="9"/>
      <c r="F1273" s="5">
        <f t="shared" si="304"/>
        <v>5</v>
      </c>
      <c r="G1273" s="39">
        <v>45514</v>
      </c>
      <c r="H1273" s="136" t="s">
        <v>630</v>
      </c>
      <c r="I1273" s="8">
        <v>10</v>
      </c>
      <c r="J1273" s="9"/>
      <c r="K1273" s="10"/>
      <c r="L1273" s="9"/>
      <c r="M1273" s="7">
        <f t="shared" si="305"/>
        <v>10</v>
      </c>
      <c r="N1273" s="39">
        <v>45510</v>
      </c>
    </row>
    <row r="1274" spans="1:14" x14ac:dyDescent="0.15">
      <c r="A1274" s="4" t="s">
        <v>34</v>
      </c>
      <c r="B1274" s="8">
        <v>2</v>
      </c>
      <c r="C1274" s="9"/>
      <c r="D1274" s="10"/>
      <c r="E1274" s="9"/>
      <c r="F1274" s="5">
        <f t="shared" si="304"/>
        <v>2</v>
      </c>
      <c r="G1274" s="39">
        <v>45515</v>
      </c>
      <c r="H1274" s="4" t="s">
        <v>200</v>
      </c>
      <c r="I1274" s="8">
        <v>2</v>
      </c>
      <c r="J1274" s="9"/>
      <c r="K1274" s="10">
        <v>14</v>
      </c>
      <c r="L1274" s="9">
        <v>2</v>
      </c>
      <c r="M1274" s="7">
        <f t="shared" si="305"/>
        <v>18</v>
      </c>
      <c r="N1274" s="39">
        <v>45506</v>
      </c>
    </row>
    <row r="1275" spans="1:14" x14ac:dyDescent="0.15">
      <c r="A1275" s="4" t="s">
        <v>34</v>
      </c>
      <c r="B1275" s="8">
        <v>1</v>
      </c>
      <c r="C1275" s="9"/>
      <c r="D1275" s="10"/>
      <c r="E1275" s="9">
        <v>1</v>
      </c>
      <c r="F1275" s="5">
        <f t="shared" si="304"/>
        <v>2</v>
      </c>
      <c r="G1275" s="39">
        <v>45523</v>
      </c>
      <c r="H1275" s="4" t="s">
        <v>26</v>
      </c>
      <c r="I1275" s="8"/>
      <c r="J1275" s="9">
        <v>5</v>
      </c>
      <c r="K1275" s="10"/>
      <c r="L1275" s="9"/>
      <c r="M1275" s="7">
        <f t="shared" si="305"/>
        <v>5</v>
      </c>
      <c r="N1275" s="39">
        <v>45506</v>
      </c>
    </row>
    <row r="1276" spans="1:14" x14ac:dyDescent="0.15">
      <c r="A1276" s="4" t="s">
        <v>638</v>
      </c>
      <c r="B1276" s="8">
        <v>2</v>
      </c>
      <c r="C1276" s="9"/>
      <c r="D1276" s="10"/>
      <c r="E1276" s="9"/>
      <c r="F1276" s="5">
        <f t="shared" si="304"/>
        <v>2</v>
      </c>
      <c r="G1276" s="39">
        <v>45527</v>
      </c>
      <c r="H1276" s="4" t="s">
        <v>200</v>
      </c>
      <c r="I1276" s="8">
        <v>6</v>
      </c>
      <c r="J1276" s="9"/>
      <c r="K1276" s="10"/>
      <c r="L1276" s="9"/>
      <c r="M1276" s="7">
        <f t="shared" si="305"/>
        <v>6</v>
      </c>
      <c r="N1276" s="39">
        <v>45509</v>
      </c>
    </row>
    <row r="1277" spans="1:14" x14ac:dyDescent="0.15">
      <c r="A1277" s="4" t="s">
        <v>639</v>
      </c>
      <c r="B1277" s="8"/>
      <c r="C1277" s="9">
        <v>1</v>
      </c>
      <c r="D1277" s="10"/>
      <c r="E1277" s="9"/>
      <c r="F1277" s="5">
        <f t="shared" si="304"/>
        <v>1</v>
      </c>
      <c r="G1277" s="39">
        <v>45526</v>
      </c>
      <c r="H1277" s="4" t="s">
        <v>200</v>
      </c>
      <c r="I1277" s="8">
        <v>4</v>
      </c>
      <c r="J1277" s="9">
        <v>2</v>
      </c>
      <c r="K1277" s="10">
        <v>2</v>
      </c>
      <c r="L1277" s="9"/>
      <c r="M1277" s="7">
        <f t="shared" si="305"/>
        <v>8</v>
      </c>
      <c r="N1277" s="39">
        <v>45511</v>
      </c>
    </row>
    <row r="1278" spans="1:14" x14ac:dyDescent="0.15">
      <c r="A1278" s="4"/>
      <c r="B1278" s="8"/>
      <c r="C1278" s="9"/>
      <c r="D1278" s="10"/>
      <c r="E1278" s="9"/>
      <c r="F1278" s="5">
        <f t="shared" si="304"/>
        <v>0</v>
      </c>
      <c r="H1278" s="136" t="s">
        <v>634</v>
      </c>
      <c r="I1278" s="8"/>
      <c r="J1278" s="9">
        <v>16</v>
      </c>
      <c r="K1278" s="10"/>
      <c r="L1278" s="9"/>
      <c r="M1278" s="7">
        <f t="shared" si="305"/>
        <v>16</v>
      </c>
      <c r="N1278" s="39">
        <v>45512</v>
      </c>
    </row>
    <row r="1279" spans="1:14" x14ac:dyDescent="0.15">
      <c r="A1279" s="11"/>
      <c r="B1279" s="8"/>
      <c r="C1279" s="9"/>
      <c r="D1279" s="10"/>
      <c r="E1279" s="9"/>
      <c r="F1279" s="5">
        <f t="shared" si="304"/>
        <v>0</v>
      </c>
      <c r="H1279" s="4" t="s">
        <v>200</v>
      </c>
      <c r="I1279" s="8">
        <v>2</v>
      </c>
      <c r="J1279" s="9">
        <v>4</v>
      </c>
      <c r="K1279" s="10">
        <v>2</v>
      </c>
      <c r="L1279" s="9">
        <v>4</v>
      </c>
      <c r="M1279" s="7">
        <f t="shared" si="305"/>
        <v>12</v>
      </c>
      <c r="N1279" s="39">
        <v>45512</v>
      </c>
    </row>
    <row r="1280" spans="1:14" x14ac:dyDescent="0.15">
      <c r="A1280" s="4"/>
      <c r="B1280" s="8"/>
      <c r="C1280" s="9"/>
      <c r="D1280" s="10"/>
      <c r="E1280" s="9"/>
      <c r="F1280" s="5">
        <f t="shared" si="304"/>
        <v>0</v>
      </c>
      <c r="H1280" s="4" t="s">
        <v>26</v>
      </c>
      <c r="I1280" s="8"/>
      <c r="J1280" s="9"/>
      <c r="K1280" s="10">
        <v>5</v>
      </c>
      <c r="L1280" s="9">
        <v>5</v>
      </c>
      <c r="M1280" s="7">
        <f t="shared" si="305"/>
        <v>10</v>
      </c>
      <c r="N1280" s="39">
        <v>45511</v>
      </c>
    </row>
    <row r="1281" spans="1:14" x14ac:dyDescent="0.15">
      <c r="A1281" s="4"/>
      <c r="B1281" s="8"/>
      <c r="C1281" s="9"/>
      <c r="D1281" s="10"/>
      <c r="E1281" s="9"/>
      <c r="F1281" s="5">
        <f t="shared" si="304"/>
        <v>0</v>
      </c>
      <c r="H1281" s="4" t="s">
        <v>200</v>
      </c>
      <c r="I1281" s="8"/>
      <c r="J1281" s="9">
        <v>6</v>
      </c>
      <c r="K1281" s="10"/>
      <c r="L1281" s="9"/>
      <c r="M1281" s="7">
        <f t="shared" si="305"/>
        <v>6</v>
      </c>
      <c r="N1281" s="39">
        <v>45513</v>
      </c>
    </row>
    <row r="1282" spans="1:14" x14ac:dyDescent="0.15">
      <c r="A1282" s="4"/>
      <c r="B1282" s="8"/>
      <c r="C1282" s="9"/>
      <c r="D1282" s="10"/>
      <c r="E1282" s="9"/>
      <c r="F1282" s="5">
        <f t="shared" si="304"/>
        <v>0</v>
      </c>
      <c r="H1282" s="4" t="s">
        <v>200</v>
      </c>
      <c r="I1282" s="8"/>
      <c r="J1282" s="9">
        <v>8</v>
      </c>
      <c r="K1282" s="10"/>
      <c r="L1282" s="9">
        <v>2</v>
      </c>
      <c r="M1282" s="7">
        <f t="shared" si="305"/>
        <v>10</v>
      </c>
      <c r="N1282" s="39">
        <v>45520</v>
      </c>
    </row>
    <row r="1283" spans="1:14" x14ac:dyDescent="0.15">
      <c r="A1283" s="11"/>
      <c r="B1283" s="8"/>
      <c r="C1283" s="9"/>
      <c r="D1283" s="10"/>
      <c r="E1283" s="9"/>
      <c r="F1283" s="5">
        <f t="shared" si="304"/>
        <v>0</v>
      </c>
      <c r="H1283" s="4" t="s">
        <v>200</v>
      </c>
      <c r="I1283" s="8"/>
      <c r="J1283" s="9">
        <v>2</v>
      </c>
      <c r="K1283" s="10">
        <v>2</v>
      </c>
      <c r="L1283" s="9">
        <v>6</v>
      </c>
      <c r="M1283" s="7">
        <f t="shared" si="305"/>
        <v>10</v>
      </c>
      <c r="N1283" s="39">
        <v>45523</v>
      </c>
    </row>
    <row r="1284" spans="1:14" x14ac:dyDescent="0.15">
      <c r="A1284" s="4"/>
      <c r="B1284" s="8"/>
      <c r="C1284" s="9"/>
      <c r="D1284" s="10"/>
      <c r="E1284" s="9"/>
      <c r="F1284" s="5">
        <f t="shared" si="304"/>
        <v>0</v>
      </c>
      <c r="H1284" s="4"/>
      <c r="I1284" s="8"/>
      <c r="J1284" s="9"/>
      <c r="K1284" s="10"/>
      <c r="L1284" s="9"/>
      <c r="M1284" s="7">
        <f t="shared" si="305"/>
        <v>0</v>
      </c>
      <c r="N1284" s="39"/>
    </row>
    <row r="1285" spans="1:14" x14ac:dyDescent="0.15">
      <c r="A1285" s="11"/>
      <c r="B1285" s="8"/>
      <c r="C1285" s="9"/>
      <c r="D1285" s="10"/>
      <c r="E1285" s="9"/>
      <c r="F1285" s="5">
        <f t="shared" si="304"/>
        <v>0</v>
      </c>
      <c r="H1285" s="133"/>
      <c r="I1285" s="8"/>
      <c r="J1285" s="9"/>
      <c r="K1285" s="10"/>
      <c r="L1285" s="9"/>
      <c r="M1285" s="7">
        <f t="shared" ref="M1285:M1286" si="306">SUM(I1285:L1285)</f>
        <v>0</v>
      </c>
      <c r="N1285" s="41"/>
    </row>
    <row r="1286" spans="1:14" ht="14.25" thickBot="1" x14ac:dyDescent="0.2">
      <c r="A1286" s="11"/>
      <c r="B1286" s="8"/>
      <c r="C1286" s="9"/>
      <c r="D1286" s="10"/>
      <c r="E1286" s="9"/>
      <c r="F1286" s="5">
        <f t="shared" si="304"/>
        <v>0</v>
      </c>
      <c r="H1286" s="133"/>
      <c r="I1286" s="8"/>
      <c r="J1286" s="9"/>
      <c r="K1286" s="10"/>
      <c r="L1286" s="9"/>
      <c r="M1286" s="7">
        <f t="shared" si="306"/>
        <v>0</v>
      </c>
      <c r="N1286" s="41"/>
    </row>
    <row r="1287" spans="1:14" ht="14.25" thickBot="1" x14ac:dyDescent="0.2">
      <c r="A1287" s="3" t="s">
        <v>5</v>
      </c>
      <c r="B1287" s="14">
        <f>SUM(B1263:B1286)</f>
        <v>13</v>
      </c>
      <c r="C1287" s="14">
        <f>SUM(C1263:C1286)</f>
        <v>10</v>
      </c>
      <c r="D1287" s="14">
        <f>SUM(D1263:D1286)</f>
        <v>6</v>
      </c>
      <c r="E1287" s="14">
        <f>SUM(E1263:E1286)</f>
        <v>7</v>
      </c>
      <c r="F1287" s="15">
        <f>SUM(B1287:E1287)</f>
        <v>36</v>
      </c>
      <c r="H1287" s="3" t="s">
        <v>5</v>
      </c>
      <c r="I1287" s="14">
        <f>SUM(I1263:I1286)</f>
        <v>55</v>
      </c>
      <c r="J1287" s="14">
        <f>SUM(J1263:J1286)</f>
        <v>77</v>
      </c>
      <c r="K1287" s="14">
        <f>SUM(K1263:K1286)</f>
        <v>43</v>
      </c>
      <c r="L1287" s="14">
        <f>SUM(L1263:L1286)</f>
        <v>40</v>
      </c>
      <c r="M1287" s="15">
        <f>SUM(I1287:L1287)</f>
        <v>215</v>
      </c>
    </row>
    <row r="1288" spans="1:14" ht="14.25" thickBot="1" x14ac:dyDescent="0.2">
      <c r="A1288" s="25" t="s">
        <v>6</v>
      </c>
      <c r="B1288" s="26">
        <f>B1262-B1287</f>
        <v>5</v>
      </c>
      <c r="C1288" s="26">
        <f t="shared" ref="C1288:F1288" si="307">C1262-C1287</f>
        <v>6</v>
      </c>
      <c r="D1288" s="26">
        <f t="shared" si="307"/>
        <v>9</v>
      </c>
      <c r="E1288" s="26">
        <f t="shared" si="307"/>
        <v>13</v>
      </c>
      <c r="F1288" s="24">
        <f t="shared" si="307"/>
        <v>33</v>
      </c>
      <c r="H1288" s="25" t="s">
        <v>6</v>
      </c>
      <c r="I1288" s="26">
        <f>I1262-I1287</f>
        <v>437</v>
      </c>
      <c r="J1288" s="26">
        <f t="shared" ref="J1288:M1288" si="308">J1262-J1287</f>
        <v>398</v>
      </c>
      <c r="K1288" s="26">
        <f t="shared" si="308"/>
        <v>262</v>
      </c>
      <c r="L1288" s="26">
        <f t="shared" si="308"/>
        <v>127</v>
      </c>
      <c r="M1288" s="24">
        <f t="shared" si="308"/>
        <v>1224</v>
      </c>
    </row>
    <row r="1289" spans="1:14" x14ac:dyDescent="0.15">
      <c r="I1289" s="72"/>
      <c r="J1289" s="72"/>
      <c r="K1289" s="72"/>
      <c r="L1289" s="72"/>
      <c r="M1289" s="72"/>
    </row>
    <row r="1290" spans="1:14" x14ac:dyDescent="0.15">
      <c r="I1290" s="100"/>
      <c r="J1290" s="128"/>
      <c r="K1290" s="128"/>
      <c r="L1290" s="128"/>
      <c r="M1290" s="100"/>
    </row>
    <row r="1291" spans="1:14" ht="21.75" thickBot="1" x14ac:dyDescent="0.25">
      <c r="A1291" s="29" t="s">
        <v>13</v>
      </c>
      <c r="B1291" s="1"/>
      <c r="C1291" s="1"/>
      <c r="D1291" s="1"/>
      <c r="E1291" s="1"/>
      <c r="F1291" s="1"/>
      <c r="H1291" s="29" t="s">
        <v>14</v>
      </c>
      <c r="I1291" s="1"/>
      <c r="J1291" s="1"/>
      <c r="K1291" s="1"/>
      <c r="L1291" s="1"/>
      <c r="M1291" s="1"/>
    </row>
    <row r="1292" spans="1:14" ht="14.25" thickBot="1" x14ac:dyDescent="0.2">
      <c r="A1292" s="2" t="s">
        <v>0</v>
      </c>
      <c r="B1292" s="164" t="s">
        <v>12</v>
      </c>
      <c r="C1292" s="165"/>
      <c r="D1292" s="165"/>
      <c r="E1292" s="165"/>
      <c r="F1292" s="117"/>
      <c r="H1292" s="2" t="s">
        <v>0</v>
      </c>
      <c r="I1292" s="164" t="s">
        <v>12</v>
      </c>
      <c r="J1292" s="165"/>
      <c r="K1292" s="165"/>
      <c r="L1292" s="165"/>
      <c r="M1292" s="117"/>
    </row>
    <row r="1293" spans="1:14" ht="14.25" thickBot="1" x14ac:dyDescent="0.2">
      <c r="A1293" s="2" t="s">
        <v>1</v>
      </c>
      <c r="B1293" s="3" t="s">
        <v>489</v>
      </c>
      <c r="C1293" s="2" t="s">
        <v>490</v>
      </c>
      <c r="D1293" s="19" t="s">
        <v>491</v>
      </c>
      <c r="E1293" s="2" t="s">
        <v>492</v>
      </c>
      <c r="F1293" s="2" t="s">
        <v>2</v>
      </c>
      <c r="H1293" s="2" t="s">
        <v>1</v>
      </c>
      <c r="I1293" s="3" t="s">
        <v>489</v>
      </c>
      <c r="J1293" s="2" t="s">
        <v>490</v>
      </c>
      <c r="K1293" s="19" t="s">
        <v>491</v>
      </c>
      <c r="L1293" s="2" t="s">
        <v>492</v>
      </c>
      <c r="M1293" s="2" t="s">
        <v>2</v>
      </c>
    </row>
    <row r="1294" spans="1:14" x14ac:dyDescent="0.15">
      <c r="A1294" s="27" t="s">
        <v>6</v>
      </c>
      <c r="B1294" s="18">
        <f>B1288</f>
        <v>5</v>
      </c>
      <c r="C1294" s="20">
        <f>C1288</f>
        <v>6</v>
      </c>
      <c r="D1294" s="55">
        <f>D1288</f>
        <v>9</v>
      </c>
      <c r="E1294" s="20">
        <f>E1288</f>
        <v>13</v>
      </c>
      <c r="F1294" s="17">
        <f>SUM(B1294:E1294)</f>
        <v>33</v>
      </c>
      <c r="H1294" s="27" t="s">
        <v>6</v>
      </c>
      <c r="I1294" s="18">
        <f>I1288</f>
        <v>437</v>
      </c>
      <c r="J1294" s="20">
        <f>J1288</f>
        <v>398</v>
      </c>
      <c r="K1294" s="55">
        <f>K1288</f>
        <v>262</v>
      </c>
      <c r="L1294" s="58">
        <f>L1288</f>
        <v>127</v>
      </c>
      <c r="M1294" s="17">
        <f>SUM(I1294:L1294)</f>
        <v>1224</v>
      </c>
    </row>
    <row r="1295" spans="1:14" x14ac:dyDescent="0.15">
      <c r="A1295" s="6" t="s">
        <v>306</v>
      </c>
      <c r="B1295" s="16">
        <v>-1</v>
      </c>
      <c r="C1295" s="11">
        <v>4</v>
      </c>
      <c r="D1295" s="16"/>
      <c r="E1295" s="4">
        <v>-2</v>
      </c>
      <c r="F1295" s="5">
        <f t="shared" ref="F1295:F1304" si="309">SUM(B1295:E1295)</f>
        <v>1</v>
      </c>
      <c r="G1295" s="39">
        <v>45527</v>
      </c>
      <c r="H1295" s="6" t="s">
        <v>3</v>
      </c>
      <c r="I1295" s="16"/>
      <c r="J1295" s="11"/>
      <c r="K1295" s="16"/>
      <c r="L1295" s="4"/>
      <c r="M1295" s="5">
        <f t="shared" ref="M1295:M1304" si="310">SUM(I1295:L1295)</f>
        <v>0</v>
      </c>
    </row>
    <row r="1296" spans="1:14" x14ac:dyDescent="0.15">
      <c r="A1296" s="6" t="s">
        <v>3</v>
      </c>
      <c r="B1296" s="16">
        <v>5</v>
      </c>
      <c r="C1296" s="11"/>
      <c r="D1296" s="16"/>
      <c r="E1296" s="4"/>
      <c r="F1296" s="5">
        <f t="shared" si="309"/>
        <v>5</v>
      </c>
      <c r="G1296" s="39">
        <v>45540</v>
      </c>
      <c r="H1296" s="6" t="s">
        <v>3</v>
      </c>
      <c r="I1296" s="16"/>
      <c r="J1296" s="11"/>
      <c r="K1296" s="16"/>
      <c r="L1296" s="4"/>
      <c r="M1296" s="5">
        <f t="shared" si="310"/>
        <v>0</v>
      </c>
    </row>
    <row r="1297" spans="1:14" x14ac:dyDescent="0.15">
      <c r="A1297" s="6" t="s">
        <v>3</v>
      </c>
      <c r="B1297" s="16">
        <v>3</v>
      </c>
      <c r="C1297" s="11">
        <v>5</v>
      </c>
      <c r="D1297" s="16">
        <v>3</v>
      </c>
      <c r="E1297" s="4"/>
      <c r="F1297" s="5">
        <f t="shared" si="309"/>
        <v>11</v>
      </c>
      <c r="G1297" s="39">
        <v>45548</v>
      </c>
      <c r="H1297" s="6" t="s">
        <v>3</v>
      </c>
      <c r="I1297" s="16"/>
      <c r="J1297" s="11"/>
      <c r="K1297" s="16"/>
      <c r="L1297" s="4"/>
      <c r="M1297" s="5">
        <f t="shared" ref="M1297" si="311">SUM(I1297:L1297)</f>
        <v>0</v>
      </c>
    </row>
    <row r="1298" spans="1:14" x14ac:dyDescent="0.15">
      <c r="A1298" s="6" t="s">
        <v>3</v>
      </c>
      <c r="B1298" s="16"/>
      <c r="C1298" s="11">
        <v>5</v>
      </c>
      <c r="D1298" s="16"/>
      <c r="E1298" s="4"/>
      <c r="F1298" s="5">
        <f t="shared" si="309"/>
        <v>5</v>
      </c>
      <c r="G1298" s="39">
        <v>45556</v>
      </c>
      <c r="H1298" s="6" t="s">
        <v>3</v>
      </c>
      <c r="I1298" s="31"/>
      <c r="J1298" s="32"/>
      <c r="K1298" s="31"/>
      <c r="L1298" s="52"/>
      <c r="M1298" s="5">
        <f t="shared" si="310"/>
        <v>0</v>
      </c>
    </row>
    <row r="1299" spans="1:14" x14ac:dyDescent="0.15">
      <c r="A1299" s="6" t="s">
        <v>3</v>
      </c>
      <c r="B1299" s="16">
        <v>5</v>
      </c>
      <c r="C1299" s="11"/>
      <c r="D1299" s="16"/>
      <c r="E1299" s="4"/>
      <c r="F1299" s="5">
        <f t="shared" si="309"/>
        <v>5</v>
      </c>
      <c r="G1299" s="39">
        <v>45565</v>
      </c>
      <c r="H1299" s="6" t="s">
        <v>3</v>
      </c>
      <c r="I1299" s="31"/>
      <c r="J1299" s="32"/>
      <c r="K1299" s="31"/>
      <c r="L1299" s="52"/>
      <c r="M1299" s="5">
        <f t="shared" si="310"/>
        <v>0</v>
      </c>
    </row>
    <row r="1300" spans="1:14" x14ac:dyDescent="0.15">
      <c r="A1300" s="6" t="s">
        <v>3</v>
      </c>
      <c r="B1300" s="16"/>
      <c r="C1300" s="11"/>
      <c r="D1300" s="16"/>
      <c r="E1300" s="4"/>
      <c r="F1300" s="5">
        <f t="shared" si="309"/>
        <v>0</v>
      </c>
      <c r="H1300" s="6" t="s">
        <v>3</v>
      </c>
      <c r="I1300" s="31"/>
      <c r="J1300" s="32"/>
      <c r="K1300" s="31"/>
      <c r="L1300" s="52"/>
      <c r="M1300" s="5">
        <f t="shared" si="310"/>
        <v>0</v>
      </c>
    </row>
    <row r="1301" spans="1:14" x14ac:dyDescent="0.15">
      <c r="A1301" s="6" t="s">
        <v>3</v>
      </c>
      <c r="B1301" s="31"/>
      <c r="C1301" s="32"/>
      <c r="D1301" s="31"/>
      <c r="E1301" s="52"/>
      <c r="F1301" s="5">
        <f t="shared" si="309"/>
        <v>0</v>
      </c>
      <c r="H1301" s="6" t="s">
        <v>3</v>
      </c>
      <c r="I1301" s="31"/>
      <c r="J1301" s="32"/>
      <c r="K1301" s="31"/>
      <c r="L1301" s="52"/>
      <c r="M1301" s="5">
        <f t="shared" si="310"/>
        <v>0</v>
      </c>
    </row>
    <row r="1302" spans="1:14" x14ac:dyDescent="0.15">
      <c r="A1302" s="6" t="s">
        <v>3</v>
      </c>
      <c r="B1302" s="10"/>
      <c r="C1302" s="9"/>
      <c r="D1302" s="10"/>
      <c r="E1302" s="49"/>
      <c r="F1302" s="5">
        <f t="shared" si="309"/>
        <v>0</v>
      </c>
      <c r="H1302" s="6" t="s">
        <v>3</v>
      </c>
      <c r="I1302" s="31"/>
      <c r="J1302" s="32"/>
      <c r="K1302" s="31"/>
      <c r="L1302" s="52"/>
      <c r="M1302" s="5">
        <f t="shared" si="310"/>
        <v>0</v>
      </c>
    </row>
    <row r="1303" spans="1:14" x14ac:dyDescent="0.15">
      <c r="A1303" s="6" t="s">
        <v>3</v>
      </c>
      <c r="B1303" s="31"/>
      <c r="C1303" s="32"/>
      <c r="D1303" s="31"/>
      <c r="E1303" s="52"/>
      <c r="F1303" s="5">
        <f t="shared" si="309"/>
        <v>0</v>
      </c>
      <c r="H1303" s="6" t="s">
        <v>3</v>
      </c>
      <c r="I1303" s="34"/>
      <c r="J1303" s="35"/>
      <c r="K1303" s="34"/>
      <c r="L1303" s="32"/>
      <c r="M1303" s="5">
        <f t="shared" si="310"/>
        <v>0</v>
      </c>
    </row>
    <row r="1304" spans="1:14" ht="14.25" thickBot="1" x14ac:dyDescent="0.2">
      <c r="A1304" s="6" t="s">
        <v>3</v>
      </c>
      <c r="B1304" s="13"/>
      <c r="C1304" s="12"/>
      <c r="D1304" s="13"/>
      <c r="E1304" s="50"/>
      <c r="F1304" s="5">
        <f t="shared" si="309"/>
        <v>0</v>
      </c>
      <c r="H1304" s="6" t="s">
        <v>3</v>
      </c>
      <c r="I1304" s="34"/>
      <c r="J1304" s="35"/>
      <c r="K1304" s="34"/>
      <c r="L1304" s="53"/>
      <c r="M1304" s="5">
        <f t="shared" si="310"/>
        <v>0</v>
      </c>
    </row>
    <row r="1305" spans="1:14" ht="14.25" thickBot="1" x14ac:dyDescent="0.2">
      <c r="A1305" s="21" t="s">
        <v>4</v>
      </c>
      <c r="B1305" s="22">
        <f>SUM(B1294:B1304)</f>
        <v>17</v>
      </c>
      <c r="C1305" s="22">
        <f>SUM(C1294:C1304)</f>
        <v>20</v>
      </c>
      <c r="D1305" s="23">
        <f>SUM(D1294:D1304)</f>
        <v>12</v>
      </c>
      <c r="E1305" s="23">
        <f>SUM(E1294:E1304)</f>
        <v>11</v>
      </c>
      <c r="F1305" s="24">
        <f>SUM(B1305:E1305)</f>
        <v>60</v>
      </c>
      <c r="H1305" s="21" t="s">
        <v>4</v>
      </c>
      <c r="I1305" s="22">
        <f>SUM(I1294:I1304)</f>
        <v>437</v>
      </c>
      <c r="J1305" s="22">
        <f>SUM(J1294:J1304)</f>
        <v>398</v>
      </c>
      <c r="K1305" s="23">
        <f>SUM(K1294:K1304)</f>
        <v>262</v>
      </c>
      <c r="L1305" s="23">
        <f>SUM(L1294:L1304)</f>
        <v>127</v>
      </c>
      <c r="M1305" s="24">
        <f>SUM(I1305:L1305)</f>
        <v>1224</v>
      </c>
    </row>
    <row r="1306" spans="1:14" x14ac:dyDescent="0.15">
      <c r="A1306" s="4" t="s">
        <v>39</v>
      </c>
      <c r="B1306" s="8">
        <v>1</v>
      </c>
      <c r="C1306" s="9"/>
      <c r="D1306" s="10"/>
      <c r="E1306" s="49"/>
      <c r="F1306" s="5">
        <f>SUM(B1306:E1306)</f>
        <v>1</v>
      </c>
      <c r="G1306" s="39">
        <v>45531</v>
      </c>
      <c r="H1306" s="4" t="s">
        <v>200</v>
      </c>
      <c r="I1306" s="80">
        <v>8</v>
      </c>
      <c r="J1306" s="49">
        <v>8</v>
      </c>
      <c r="K1306" s="78">
        <v>4</v>
      </c>
      <c r="L1306" s="9">
        <v>2</v>
      </c>
      <c r="M1306" s="7">
        <f>SUM(I1306:L1306)</f>
        <v>22</v>
      </c>
      <c r="N1306" s="39">
        <v>45525</v>
      </c>
    </row>
    <row r="1307" spans="1:14" x14ac:dyDescent="0.15">
      <c r="A1307" s="4" t="s">
        <v>200</v>
      </c>
      <c r="B1307" s="8">
        <v>2</v>
      </c>
      <c r="C1307" s="9"/>
      <c r="D1307" s="10"/>
      <c r="E1307" s="49"/>
      <c r="F1307" s="5">
        <f t="shared" ref="F1307:F1329" si="312">SUM(B1307:E1307)</f>
        <v>2</v>
      </c>
      <c r="G1307" s="39">
        <v>45541</v>
      </c>
      <c r="H1307" s="4" t="s">
        <v>200</v>
      </c>
      <c r="I1307" s="80"/>
      <c r="J1307" s="49"/>
      <c r="K1307" s="78"/>
      <c r="L1307" s="9">
        <v>14</v>
      </c>
      <c r="M1307" s="7">
        <f t="shared" ref="M1307:M1329" si="313">SUM(I1307:L1307)</f>
        <v>14</v>
      </c>
      <c r="N1307" s="39">
        <v>45532</v>
      </c>
    </row>
    <row r="1308" spans="1:14" x14ac:dyDescent="0.15">
      <c r="A1308" s="4" t="s">
        <v>39</v>
      </c>
      <c r="B1308" s="8"/>
      <c r="C1308" s="9">
        <v>2</v>
      </c>
      <c r="D1308" s="10"/>
      <c r="E1308" s="49"/>
      <c r="F1308" s="5">
        <f t="shared" si="312"/>
        <v>2</v>
      </c>
      <c r="G1308" s="39">
        <v>45540</v>
      </c>
      <c r="H1308" s="136" t="s">
        <v>640</v>
      </c>
      <c r="I1308" s="8"/>
      <c r="J1308" s="9"/>
      <c r="K1308" s="10">
        <v>6</v>
      </c>
      <c r="L1308" s="49"/>
      <c r="M1308" s="7">
        <f t="shared" si="313"/>
        <v>6</v>
      </c>
      <c r="N1308" s="39">
        <v>45534</v>
      </c>
    </row>
    <row r="1309" spans="1:14" x14ac:dyDescent="0.15">
      <c r="A1309" s="4" t="s">
        <v>639</v>
      </c>
      <c r="B1309" s="8">
        <v>1</v>
      </c>
      <c r="C1309" s="9"/>
      <c r="D1309" s="10">
        <v>1</v>
      </c>
      <c r="E1309" s="49"/>
      <c r="F1309" s="5">
        <f t="shared" si="312"/>
        <v>2</v>
      </c>
      <c r="G1309" s="71">
        <v>45540</v>
      </c>
      <c r="H1309" s="4" t="s">
        <v>200</v>
      </c>
      <c r="I1309" s="8"/>
      <c r="J1309" s="9">
        <v>14</v>
      </c>
      <c r="K1309" s="10"/>
      <c r="L1309" s="49"/>
      <c r="M1309" s="7">
        <f t="shared" si="313"/>
        <v>14</v>
      </c>
      <c r="N1309" s="39">
        <v>45533</v>
      </c>
    </row>
    <row r="1310" spans="1:14" x14ac:dyDescent="0.15">
      <c r="A1310" s="4" t="s">
        <v>639</v>
      </c>
      <c r="B1310" s="8"/>
      <c r="C1310" s="9"/>
      <c r="D1310" s="10"/>
      <c r="E1310" s="49">
        <v>1</v>
      </c>
      <c r="F1310" s="5">
        <f t="shared" si="312"/>
        <v>1</v>
      </c>
      <c r="G1310" s="71">
        <v>45541</v>
      </c>
      <c r="H1310" s="4" t="s">
        <v>200</v>
      </c>
      <c r="I1310" s="8">
        <v>2</v>
      </c>
      <c r="J1310" s="9">
        <v>2</v>
      </c>
      <c r="K1310" s="10"/>
      <c r="L1310" s="49"/>
      <c r="M1310" s="7">
        <f t="shared" si="313"/>
        <v>4</v>
      </c>
      <c r="N1310" s="39">
        <v>45534</v>
      </c>
    </row>
    <row r="1311" spans="1:14" x14ac:dyDescent="0.15">
      <c r="A1311" s="4" t="s">
        <v>39</v>
      </c>
      <c r="B1311" s="8"/>
      <c r="C1311" s="9">
        <v>1</v>
      </c>
      <c r="D1311" s="10"/>
      <c r="E1311" s="9"/>
      <c r="F1311" s="5">
        <f t="shared" si="312"/>
        <v>1</v>
      </c>
      <c r="G1311" s="39">
        <v>45542</v>
      </c>
      <c r="H1311" s="4" t="s">
        <v>200</v>
      </c>
      <c r="I1311" s="8">
        <v>2</v>
      </c>
      <c r="J1311" s="9">
        <v>8</v>
      </c>
      <c r="K1311" s="10"/>
      <c r="L1311" s="9"/>
      <c r="M1311" s="7">
        <f t="shared" si="313"/>
        <v>10</v>
      </c>
      <c r="N1311" s="39">
        <v>45537</v>
      </c>
    </row>
    <row r="1312" spans="1:14" x14ac:dyDescent="0.15">
      <c r="A1312" s="4" t="s">
        <v>200</v>
      </c>
      <c r="B1312" s="8"/>
      <c r="C1312" s="9">
        <v>2</v>
      </c>
      <c r="D1312" s="10"/>
      <c r="E1312" s="9"/>
      <c r="F1312" s="5">
        <f t="shared" si="312"/>
        <v>2</v>
      </c>
      <c r="G1312" s="39">
        <v>45548</v>
      </c>
      <c r="H1312" s="4" t="s">
        <v>200</v>
      </c>
      <c r="I1312" s="8">
        <v>2</v>
      </c>
      <c r="J1312" s="9">
        <v>2</v>
      </c>
      <c r="K1312" s="10"/>
      <c r="L1312" s="9"/>
      <c r="M1312" s="7">
        <f t="shared" si="313"/>
        <v>4</v>
      </c>
      <c r="N1312" s="39">
        <v>45539</v>
      </c>
    </row>
    <row r="1313" spans="1:14" x14ac:dyDescent="0.15">
      <c r="A1313" s="4" t="s">
        <v>39</v>
      </c>
      <c r="B1313" s="8">
        <v>1</v>
      </c>
      <c r="C1313" s="9">
        <v>1</v>
      </c>
      <c r="D1313" s="10"/>
      <c r="E1313" s="9"/>
      <c r="F1313" s="5">
        <f t="shared" si="312"/>
        <v>2</v>
      </c>
      <c r="G1313" s="39">
        <v>45548</v>
      </c>
      <c r="H1313" s="136" t="s">
        <v>642</v>
      </c>
      <c r="I1313" s="8"/>
      <c r="J1313" s="9">
        <v>14</v>
      </c>
      <c r="K1313" s="10"/>
      <c r="L1313" s="9"/>
      <c r="M1313" s="7">
        <f t="shared" si="313"/>
        <v>14</v>
      </c>
      <c r="N1313" s="39">
        <v>45541</v>
      </c>
    </row>
    <row r="1314" spans="1:14" x14ac:dyDescent="0.15">
      <c r="A1314" s="4" t="s">
        <v>639</v>
      </c>
      <c r="B1314" s="8"/>
      <c r="C1314" s="9"/>
      <c r="D1314" s="10"/>
      <c r="E1314" s="9">
        <v>2</v>
      </c>
      <c r="F1314" s="5">
        <f t="shared" si="312"/>
        <v>2</v>
      </c>
      <c r="G1314" s="39">
        <v>45548</v>
      </c>
      <c r="H1314" s="4" t="s">
        <v>26</v>
      </c>
      <c r="I1314" s="8">
        <v>5</v>
      </c>
      <c r="J1314" s="9"/>
      <c r="K1314" s="10"/>
      <c r="L1314" s="9"/>
      <c r="M1314" s="7">
        <f t="shared" si="313"/>
        <v>5</v>
      </c>
      <c r="N1314" s="39">
        <v>45540</v>
      </c>
    </row>
    <row r="1315" spans="1:14" x14ac:dyDescent="0.15">
      <c r="A1315" s="4" t="s">
        <v>200</v>
      </c>
      <c r="B1315" s="8"/>
      <c r="C1315" s="9">
        <v>2</v>
      </c>
      <c r="D1315" s="10"/>
      <c r="E1315" s="9"/>
      <c r="F1315" s="5">
        <f t="shared" si="312"/>
        <v>2</v>
      </c>
      <c r="G1315" s="39">
        <v>45559</v>
      </c>
      <c r="H1315" s="4" t="s">
        <v>200</v>
      </c>
      <c r="I1315" s="8"/>
      <c r="J1315" s="9"/>
      <c r="K1315" s="10">
        <v>2</v>
      </c>
      <c r="L1315" s="9"/>
      <c r="M1315" s="7">
        <f t="shared" si="313"/>
        <v>2</v>
      </c>
      <c r="N1315" s="39">
        <v>45541</v>
      </c>
    </row>
    <row r="1316" spans="1:14" x14ac:dyDescent="0.15">
      <c r="A1316" s="4" t="s">
        <v>200</v>
      </c>
      <c r="B1316" s="8">
        <v>2</v>
      </c>
      <c r="C1316" s="9"/>
      <c r="D1316" s="10"/>
      <c r="E1316" s="9"/>
      <c r="F1316" s="5">
        <f t="shared" si="312"/>
        <v>2</v>
      </c>
      <c r="G1316" s="39">
        <v>45562</v>
      </c>
      <c r="H1316" s="4" t="s">
        <v>200</v>
      </c>
      <c r="I1316" s="8"/>
      <c r="J1316" s="9">
        <v>2</v>
      </c>
      <c r="K1316" s="10">
        <v>2</v>
      </c>
      <c r="L1316" s="9"/>
      <c r="M1316" s="7">
        <f t="shared" si="313"/>
        <v>4</v>
      </c>
      <c r="N1316" s="39">
        <v>45544</v>
      </c>
    </row>
    <row r="1317" spans="1:14" x14ac:dyDescent="0.15">
      <c r="A1317" s="4" t="s">
        <v>200</v>
      </c>
      <c r="B1317" s="8">
        <v>2</v>
      </c>
      <c r="C1317" s="9"/>
      <c r="D1317" s="10"/>
      <c r="E1317" s="9"/>
      <c r="F1317" s="5">
        <f t="shared" si="312"/>
        <v>2</v>
      </c>
      <c r="G1317" s="39">
        <v>45562</v>
      </c>
      <c r="H1317" s="4" t="s">
        <v>200</v>
      </c>
      <c r="I1317" s="8"/>
      <c r="J1317" s="9">
        <v>2</v>
      </c>
      <c r="K1317" s="10">
        <v>4</v>
      </c>
      <c r="L1317" s="9"/>
      <c r="M1317" s="7">
        <f t="shared" si="313"/>
        <v>6</v>
      </c>
      <c r="N1317" s="39">
        <v>45546</v>
      </c>
    </row>
    <row r="1318" spans="1:14" x14ac:dyDescent="0.15">
      <c r="A1318" s="4" t="s">
        <v>200</v>
      </c>
      <c r="B1318" s="8">
        <v>4</v>
      </c>
      <c r="C1318" s="9">
        <v>2</v>
      </c>
      <c r="D1318" s="10"/>
      <c r="E1318" s="9"/>
      <c r="F1318" s="5">
        <f t="shared" si="312"/>
        <v>6</v>
      </c>
      <c r="G1318" s="39">
        <v>45567</v>
      </c>
      <c r="H1318" s="4" t="s">
        <v>200</v>
      </c>
      <c r="I1318" s="8"/>
      <c r="J1318" s="9">
        <v>2</v>
      </c>
      <c r="K1318" s="10"/>
      <c r="L1318" s="9"/>
      <c r="M1318" s="7">
        <f t="shared" si="313"/>
        <v>2</v>
      </c>
      <c r="N1318" s="39">
        <v>45547</v>
      </c>
    </row>
    <row r="1319" spans="1:14" x14ac:dyDescent="0.15">
      <c r="A1319" s="4"/>
      <c r="B1319" s="8"/>
      <c r="C1319" s="9"/>
      <c r="D1319" s="10"/>
      <c r="E1319" s="9"/>
      <c r="F1319" s="5">
        <f t="shared" si="312"/>
        <v>0</v>
      </c>
      <c r="G1319" s="41"/>
      <c r="H1319" s="4" t="s">
        <v>200</v>
      </c>
      <c r="I1319" s="8"/>
      <c r="J1319" s="9"/>
      <c r="K1319" s="10">
        <v>4</v>
      </c>
      <c r="L1319" s="9"/>
      <c r="M1319" s="7">
        <f t="shared" si="313"/>
        <v>4</v>
      </c>
      <c r="N1319" s="39">
        <v>45548</v>
      </c>
    </row>
    <row r="1320" spans="1:14" x14ac:dyDescent="0.15">
      <c r="A1320" s="4"/>
      <c r="B1320" s="8"/>
      <c r="C1320" s="9"/>
      <c r="D1320" s="10"/>
      <c r="E1320" s="9"/>
      <c r="F1320" s="5">
        <f t="shared" si="312"/>
        <v>0</v>
      </c>
      <c r="H1320" s="4" t="s">
        <v>26</v>
      </c>
      <c r="I1320" s="8">
        <v>3</v>
      </c>
      <c r="J1320" s="9">
        <v>5</v>
      </c>
      <c r="K1320" s="10">
        <v>3</v>
      </c>
      <c r="L1320" s="9"/>
      <c r="M1320" s="7">
        <f t="shared" si="313"/>
        <v>11</v>
      </c>
      <c r="N1320" s="39">
        <v>45548</v>
      </c>
    </row>
    <row r="1321" spans="1:14" x14ac:dyDescent="0.15">
      <c r="A1321" s="4"/>
      <c r="B1321" s="8"/>
      <c r="C1321" s="9"/>
      <c r="D1321" s="10"/>
      <c r="E1321" s="9"/>
      <c r="F1321" s="5">
        <f t="shared" si="312"/>
        <v>0</v>
      </c>
      <c r="H1321" s="4" t="s">
        <v>200</v>
      </c>
      <c r="I1321" s="8"/>
      <c r="J1321" s="9">
        <v>6</v>
      </c>
      <c r="K1321" s="10">
        <v>8</v>
      </c>
      <c r="L1321" s="9"/>
      <c r="M1321" s="7">
        <f t="shared" si="313"/>
        <v>14</v>
      </c>
      <c r="N1321" s="39">
        <v>45552</v>
      </c>
    </row>
    <row r="1322" spans="1:14" x14ac:dyDescent="0.15">
      <c r="A1322" s="11"/>
      <c r="B1322" s="8"/>
      <c r="C1322" s="9"/>
      <c r="D1322" s="10"/>
      <c r="E1322" s="9"/>
      <c r="F1322" s="5">
        <f t="shared" si="312"/>
        <v>0</v>
      </c>
      <c r="H1322" s="4" t="s">
        <v>200</v>
      </c>
      <c r="I1322" s="8">
        <v>2</v>
      </c>
      <c r="J1322" s="9">
        <v>12</v>
      </c>
      <c r="K1322" s="10">
        <v>2</v>
      </c>
      <c r="L1322" s="9"/>
      <c r="M1322" s="7">
        <f t="shared" si="313"/>
        <v>16</v>
      </c>
      <c r="N1322" s="39">
        <v>45554</v>
      </c>
    </row>
    <row r="1323" spans="1:14" x14ac:dyDescent="0.15">
      <c r="A1323" s="4"/>
      <c r="B1323" s="8"/>
      <c r="C1323" s="9"/>
      <c r="D1323" s="10"/>
      <c r="E1323" s="9"/>
      <c r="F1323" s="5">
        <f t="shared" si="312"/>
        <v>0</v>
      </c>
      <c r="H1323" s="136" t="s">
        <v>645</v>
      </c>
      <c r="I1323" s="8">
        <v>10</v>
      </c>
      <c r="J1323" s="9"/>
      <c r="K1323" s="10">
        <v>14</v>
      </c>
      <c r="L1323" s="9"/>
      <c r="M1323" s="7">
        <f t="shared" si="313"/>
        <v>24</v>
      </c>
      <c r="N1323" s="39">
        <v>45555</v>
      </c>
    </row>
    <row r="1324" spans="1:14" x14ac:dyDescent="0.15">
      <c r="A1324" s="4"/>
      <c r="B1324" s="8"/>
      <c r="C1324" s="9"/>
      <c r="D1324" s="10"/>
      <c r="E1324" s="9"/>
      <c r="F1324" s="5">
        <f t="shared" si="312"/>
        <v>0</v>
      </c>
      <c r="H1324" s="4" t="s">
        <v>200</v>
      </c>
      <c r="I1324" s="8">
        <v>8</v>
      </c>
      <c r="J1324" s="9">
        <v>8</v>
      </c>
      <c r="K1324" s="10"/>
      <c r="L1324" s="9"/>
      <c r="M1324" s="7">
        <f t="shared" si="313"/>
        <v>16</v>
      </c>
      <c r="N1324" s="39">
        <v>45555</v>
      </c>
    </row>
    <row r="1325" spans="1:14" x14ac:dyDescent="0.15">
      <c r="A1325" s="4"/>
      <c r="B1325" s="8"/>
      <c r="C1325" s="9"/>
      <c r="D1325" s="10"/>
      <c r="E1325" s="9"/>
      <c r="F1325" s="5">
        <f t="shared" si="312"/>
        <v>0</v>
      </c>
      <c r="H1325" s="4" t="s">
        <v>200</v>
      </c>
      <c r="I1325" s="8">
        <v>2</v>
      </c>
      <c r="J1325" s="9">
        <v>2</v>
      </c>
      <c r="K1325" s="10">
        <v>4</v>
      </c>
      <c r="L1325" s="9"/>
      <c r="M1325" s="7">
        <f t="shared" si="313"/>
        <v>8</v>
      </c>
      <c r="N1325" s="39">
        <v>45555</v>
      </c>
    </row>
    <row r="1326" spans="1:14" x14ac:dyDescent="0.15">
      <c r="A1326" s="11"/>
      <c r="B1326" s="8"/>
      <c r="C1326" s="9"/>
      <c r="D1326" s="10"/>
      <c r="E1326" s="9"/>
      <c r="F1326" s="5">
        <f t="shared" si="312"/>
        <v>0</v>
      </c>
      <c r="H1326" s="4" t="s">
        <v>26</v>
      </c>
      <c r="I1326" s="8"/>
      <c r="J1326" s="9">
        <v>5</v>
      </c>
      <c r="K1326" s="10"/>
      <c r="L1326" s="9"/>
      <c r="M1326" s="7">
        <f t="shared" si="313"/>
        <v>5</v>
      </c>
      <c r="N1326" s="39">
        <v>45556</v>
      </c>
    </row>
    <row r="1327" spans="1:14" x14ac:dyDescent="0.15">
      <c r="A1327" s="4"/>
      <c r="B1327" s="8"/>
      <c r="C1327" s="9"/>
      <c r="D1327" s="10"/>
      <c r="E1327" s="9"/>
      <c r="F1327" s="5">
        <f t="shared" si="312"/>
        <v>0</v>
      </c>
      <c r="H1327" s="4"/>
      <c r="I1327" s="8"/>
      <c r="J1327" s="9"/>
      <c r="K1327" s="10"/>
      <c r="L1327" s="9"/>
      <c r="M1327" s="7">
        <f t="shared" si="313"/>
        <v>0</v>
      </c>
      <c r="N1327" s="41"/>
    </row>
    <row r="1328" spans="1:14" x14ac:dyDescent="0.15">
      <c r="A1328" s="11"/>
      <c r="B1328" s="8"/>
      <c r="C1328" s="9"/>
      <c r="D1328" s="10"/>
      <c r="E1328" s="9"/>
      <c r="F1328" s="5">
        <f t="shared" si="312"/>
        <v>0</v>
      </c>
      <c r="H1328" s="133" t="s">
        <v>620</v>
      </c>
      <c r="I1328" s="8"/>
      <c r="J1328" s="9"/>
      <c r="K1328" s="10"/>
      <c r="L1328" s="9"/>
      <c r="M1328" s="7">
        <f t="shared" si="313"/>
        <v>0</v>
      </c>
      <c r="N1328" s="41" t="s">
        <v>621</v>
      </c>
    </row>
    <row r="1329" spans="1:14" ht="14.25" thickBot="1" x14ac:dyDescent="0.2">
      <c r="A1329" s="11"/>
      <c r="B1329" s="8"/>
      <c r="C1329" s="9"/>
      <c r="D1329" s="10"/>
      <c r="E1329" s="9"/>
      <c r="F1329" s="5">
        <f t="shared" si="312"/>
        <v>0</v>
      </c>
      <c r="H1329" s="133" t="s">
        <v>625</v>
      </c>
      <c r="I1329" s="8"/>
      <c r="J1329" s="9"/>
      <c r="K1329" s="10"/>
      <c r="L1329" s="9"/>
      <c r="M1329" s="7">
        <f t="shared" si="313"/>
        <v>0</v>
      </c>
      <c r="N1329" s="41" t="s">
        <v>626</v>
      </c>
    </row>
    <row r="1330" spans="1:14" ht="14.25" thickBot="1" x14ac:dyDescent="0.2">
      <c r="A1330" s="3" t="s">
        <v>5</v>
      </c>
      <c r="B1330" s="14">
        <f>SUM(B1306:B1329)</f>
        <v>13</v>
      </c>
      <c r="C1330" s="14">
        <f>SUM(C1306:C1329)</f>
        <v>10</v>
      </c>
      <c r="D1330" s="14">
        <f>SUM(D1306:D1329)</f>
        <v>1</v>
      </c>
      <c r="E1330" s="14">
        <f>SUM(E1306:E1329)</f>
        <v>3</v>
      </c>
      <c r="F1330" s="15">
        <f>SUM(B1330:E1330)</f>
        <v>27</v>
      </c>
      <c r="H1330" s="3" t="s">
        <v>5</v>
      </c>
      <c r="I1330" s="14">
        <f>SUM(I1306:I1329)</f>
        <v>44</v>
      </c>
      <c r="J1330" s="14">
        <f>SUM(J1306:J1329)</f>
        <v>92</v>
      </c>
      <c r="K1330" s="14">
        <f>SUM(K1306:K1329)</f>
        <v>53</v>
      </c>
      <c r="L1330" s="14">
        <f>SUM(L1306:L1329)</f>
        <v>16</v>
      </c>
      <c r="M1330" s="15">
        <f>SUM(I1330:L1330)</f>
        <v>205</v>
      </c>
    </row>
    <row r="1331" spans="1:14" ht="14.25" thickBot="1" x14ac:dyDescent="0.2">
      <c r="A1331" s="25" t="s">
        <v>6</v>
      </c>
      <c r="B1331" s="26">
        <f>B1305-B1330</f>
        <v>4</v>
      </c>
      <c r="C1331" s="26">
        <f t="shared" ref="C1331:F1331" si="314">C1305-C1330</f>
        <v>10</v>
      </c>
      <c r="D1331" s="26">
        <f t="shared" si="314"/>
        <v>11</v>
      </c>
      <c r="E1331" s="26">
        <f t="shared" si="314"/>
        <v>8</v>
      </c>
      <c r="F1331" s="24">
        <f t="shared" si="314"/>
        <v>33</v>
      </c>
      <c r="H1331" s="25" t="s">
        <v>6</v>
      </c>
      <c r="I1331" s="26">
        <f>I1305-I1330</f>
        <v>393</v>
      </c>
      <c r="J1331" s="26">
        <f t="shared" ref="J1331:M1331" si="315">J1305-J1330</f>
        <v>306</v>
      </c>
      <c r="K1331" s="26">
        <f t="shared" si="315"/>
        <v>209</v>
      </c>
      <c r="L1331" s="26">
        <f t="shared" si="315"/>
        <v>111</v>
      </c>
      <c r="M1331" s="24">
        <f t="shared" si="315"/>
        <v>1019</v>
      </c>
    </row>
    <row r="1332" spans="1:14" x14ac:dyDescent="0.15">
      <c r="I1332" s="72"/>
      <c r="J1332" s="72"/>
      <c r="K1332" s="72"/>
      <c r="L1332" s="72"/>
      <c r="M1332" s="72"/>
    </row>
    <row r="1333" spans="1:14" x14ac:dyDescent="0.15">
      <c r="I1333" s="100"/>
      <c r="J1333" s="128"/>
      <c r="K1333" s="128"/>
      <c r="L1333" s="128"/>
      <c r="M1333" s="100"/>
    </row>
    <row r="1334" spans="1:14" ht="21.75" thickBot="1" x14ac:dyDescent="0.25">
      <c r="A1334" s="29" t="s">
        <v>13</v>
      </c>
      <c r="B1334" s="1"/>
      <c r="C1334" s="1"/>
      <c r="D1334" s="1"/>
      <c r="E1334" s="1"/>
      <c r="F1334" s="1"/>
      <c r="H1334" s="29" t="s">
        <v>14</v>
      </c>
      <c r="I1334" s="1"/>
      <c r="J1334" s="1"/>
      <c r="K1334" s="1"/>
      <c r="L1334" s="1"/>
      <c r="M1334" s="1"/>
    </row>
    <row r="1335" spans="1:14" ht="14.25" thickBot="1" x14ac:dyDescent="0.2">
      <c r="A1335" s="2" t="s">
        <v>0</v>
      </c>
      <c r="B1335" s="164" t="s">
        <v>12</v>
      </c>
      <c r="C1335" s="165"/>
      <c r="D1335" s="165"/>
      <c r="E1335" s="165"/>
      <c r="F1335" s="117"/>
      <c r="H1335" s="2" t="s">
        <v>0</v>
      </c>
      <c r="I1335" s="164" t="s">
        <v>12</v>
      </c>
      <c r="J1335" s="165"/>
      <c r="K1335" s="165"/>
      <c r="L1335" s="165"/>
      <c r="M1335" s="117"/>
    </row>
    <row r="1336" spans="1:14" ht="14.25" thickBot="1" x14ac:dyDescent="0.2">
      <c r="A1336" s="2" t="s">
        <v>1</v>
      </c>
      <c r="B1336" s="3" t="s">
        <v>489</v>
      </c>
      <c r="C1336" s="2" t="s">
        <v>490</v>
      </c>
      <c r="D1336" s="19" t="s">
        <v>491</v>
      </c>
      <c r="E1336" s="2" t="s">
        <v>492</v>
      </c>
      <c r="F1336" s="2" t="s">
        <v>2</v>
      </c>
      <c r="H1336" s="2" t="s">
        <v>1</v>
      </c>
      <c r="I1336" s="3" t="s">
        <v>489</v>
      </c>
      <c r="J1336" s="2" t="s">
        <v>490</v>
      </c>
      <c r="K1336" s="19" t="s">
        <v>491</v>
      </c>
      <c r="L1336" s="2" t="s">
        <v>492</v>
      </c>
      <c r="M1336" s="2" t="s">
        <v>2</v>
      </c>
    </row>
    <row r="1337" spans="1:14" x14ac:dyDescent="0.15">
      <c r="A1337" s="27" t="s">
        <v>6</v>
      </c>
      <c r="B1337" s="18">
        <f>B1331</f>
        <v>4</v>
      </c>
      <c r="C1337" s="20">
        <f>C1331</f>
        <v>10</v>
      </c>
      <c r="D1337" s="55">
        <f>D1331</f>
        <v>11</v>
      </c>
      <c r="E1337" s="20">
        <f>E1331</f>
        <v>8</v>
      </c>
      <c r="F1337" s="17">
        <f>SUM(B1337:E1337)</f>
        <v>33</v>
      </c>
      <c r="H1337" s="27" t="s">
        <v>6</v>
      </c>
      <c r="I1337" s="18">
        <f>I1331</f>
        <v>393</v>
      </c>
      <c r="J1337" s="20">
        <f>J1331</f>
        <v>306</v>
      </c>
      <c r="K1337" s="55">
        <f>K1331</f>
        <v>209</v>
      </c>
      <c r="L1337" s="58">
        <f>L1331</f>
        <v>111</v>
      </c>
      <c r="M1337" s="17">
        <f>SUM(I1337:L1337)</f>
        <v>1019</v>
      </c>
    </row>
    <row r="1338" spans="1:14" x14ac:dyDescent="0.15">
      <c r="A1338" s="6" t="s">
        <v>3</v>
      </c>
      <c r="B1338" s="16">
        <v>5</v>
      </c>
      <c r="C1338" s="11">
        <v>10</v>
      </c>
      <c r="D1338" s="16"/>
      <c r="E1338" s="4"/>
      <c r="F1338" s="5">
        <f t="shared" ref="F1338:F1347" si="316">SUM(B1338:E1338)</f>
        <v>15</v>
      </c>
      <c r="G1338" s="39">
        <v>45570</v>
      </c>
      <c r="H1338" s="6" t="s">
        <v>3</v>
      </c>
      <c r="I1338" s="16"/>
      <c r="J1338" s="11"/>
      <c r="K1338" s="16"/>
      <c r="L1338" s="4"/>
      <c r="M1338" s="5">
        <f t="shared" ref="M1338:M1347" si="317">SUM(I1338:L1338)</f>
        <v>0</v>
      </c>
    </row>
    <row r="1339" spans="1:14" x14ac:dyDescent="0.15">
      <c r="A1339" s="6" t="s">
        <v>45</v>
      </c>
      <c r="B1339" s="16"/>
      <c r="C1339" s="11">
        <v>2</v>
      </c>
      <c r="D1339" s="16"/>
      <c r="E1339" s="4"/>
      <c r="F1339" s="5">
        <f t="shared" si="316"/>
        <v>2</v>
      </c>
      <c r="G1339" s="71">
        <v>45576</v>
      </c>
      <c r="H1339" s="6" t="s">
        <v>3</v>
      </c>
      <c r="I1339" s="16"/>
      <c r="J1339" s="11"/>
      <c r="K1339" s="16"/>
      <c r="L1339" s="4"/>
      <c r="M1339" s="5">
        <f t="shared" si="317"/>
        <v>0</v>
      </c>
    </row>
    <row r="1340" spans="1:14" x14ac:dyDescent="0.15">
      <c r="A1340" s="6" t="s">
        <v>3</v>
      </c>
      <c r="B1340" s="16"/>
      <c r="C1340" s="11"/>
      <c r="D1340" s="16">
        <v>5</v>
      </c>
      <c r="E1340" s="4"/>
      <c r="F1340" s="5">
        <f t="shared" si="316"/>
        <v>5</v>
      </c>
      <c r="G1340" s="39">
        <v>45584</v>
      </c>
      <c r="H1340" s="6" t="s">
        <v>641</v>
      </c>
      <c r="I1340" s="31">
        <v>150</v>
      </c>
      <c r="J1340" s="32">
        <v>270</v>
      </c>
      <c r="K1340" s="31">
        <v>130</v>
      </c>
      <c r="L1340" s="52">
        <v>50</v>
      </c>
      <c r="M1340" s="5">
        <f t="shared" si="317"/>
        <v>600</v>
      </c>
      <c r="N1340" s="39" t="s">
        <v>653</v>
      </c>
    </row>
    <row r="1341" spans="1:14" x14ac:dyDescent="0.15">
      <c r="A1341" s="6" t="s">
        <v>338</v>
      </c>
      <c r="B1341" s="16"/>
      <c r="C1341" s="11">
        <v>1</v>
      </c>
      <c r="D1341" s="16"/>
      <c r="E1341" s="4"/>
      <c r="F1341" s="5">
        <f t="shared" si="316"/>
        <v>1</v>
      </c>
      <c r="G1341" s="39">
        <v>45586</v>
      </c>
      <c r="H1341" s="6" t="s">
        <v>650</v>
      </c>
      <c r="I1341" s="31">
        <v>3</v>
      </c>
      <c r="J1341" s="32"/>
      <c r="K1341" s="31">
        <v>4</v>
      </c>
      <c r="L1341" s="52">
        <v>10</v>
      </c>
      <c r="M1341" s="5">
        <f t="shared" si="317"/>
        <v>17</v>
      </c>
      <c r="N1341" s="41"/>
    </row>
    <row r="1342" spans="1:14" x14ac:dyDescent="0.15">
      <c r="A1342" s="6" t="s">
        <v>3</v>
      </c>
      <c r="B1342" s="16">
        <v>10</v>
      </c>
      <c r="C1342" s="11"/>
      <c r="D1342" s="16"/>
      <c r="E1342" s="4"/>
      <c r="F1342" s="5">
        <f t="shared" si="316"/>
        <v>10</v>
      </c>
      <c r="G1342" s="39">
        <v>45588</v>
      </c>
      <c r="H1342" s="6" t="s">
        <v>3</v>
      </c>
      <c r="I1342" s="31"/>
      <c r="J1342" s="32"/>
      <c r="K1342" s="31"/>
      <c r="L1342" s="52"/>
      <c r="M1342" s="5">
        <f t="shared" si="317"/>
        <v>0</v>
      </c>
    </row>
    <row r="1343" spans="1:14" x14ac:dyDescent="0.15">
      <c r="A1343" s="6" t="s">
        <v>3</v>
      </c>
      <c r="B1343" s="16"/>
      <c r="C1343" s="11"/>
      <c r="D1343" s="16"/>
      <c r="E1343" s="4">
        <v>5</v>
      </c>
      <c r="F1343" s="5">
        <f t="shared" si="316"/>
        <v>5</v>
      </c>
      <c r="G1343" s="39">
        <v>45596</v>
      </c>
      <c r="H1343" s="6" t="s">
        <v>3</v>
      </c>
      <c r="I1343" s="31"/>
      <c r="J1343" s="32"/>
      <c r="K1343" s="31"/>
      <c r="L1343" s="52"/>
      <c r="M1343" s="5">
        <f t="shared" si="317"/>
        <v>0</v>
      </c>
    </row>
    <row r="1344" spans="1:14" x14ac:dyDescent="0.15">
      <c r="A1344" s="6" t="s">
        <v>3</v>
      </c>
      <c r="B1344" s="31"/>
      <c r="C1344" s="32"/>
      <c r="D1344" s="31">
        <v>5</v>
      </c>
      <c r="E1344" s="52"/>
      <c r="F1344" s="5">
        <f t="shared" si="316"/>
        <v>5</v>
      </c>
      <c r="G1344" s="39">
        <v>45602</v>
      </c>
      <c r="H1344" s="6" t="s">
        <v>3</v>
      </c>
      <c r="I1344" s="31"/>
      <c r="J1344" s="32"/>
      <c r="K1344" s="31"/>
      <c r="L1344" s="52"/>
      <c r="M1344" s="5">
        <f t="shared" si="317"/>
        <v>0</v>
      </c>
    </row>
    <row r="1345" spans="1:15" x14ac:dyDescent="0.15">
      <c r="A1345" s="6" t="s">
        <v>3</v>
      </c>
      <c r="B1345" s="10">
        <v>5</v>
      </c>
      <c r="C1345" s="9">
        <v>5</v>
      </c>
      <c r="D1345" s="10"/>
      <c r="E1345" s="49"/>
      <c r="F1345" s="5">
        <f t="shared" si="316"/>
        <v>10</v>
      </c>
      <c r="G1345" s="39">
        <v>45609</v>
      </c>
      <c r="H1345" s="6" t="s">
        <v>3</v>
      </c>
      <c r="I1345" s="31"/>
      <c r="J1345" s="32"/>
      <c r="K1345" s="31"/>
      <c r="L1345" s="52"/>
      <c r="M1345" s="5">
        <f t="shared" si="317"/>
        <v>0</v>
      </c>
    </row>
    <row r="1346" spans="1:15" x14ac:dyDescent="0.15">
      <c r="A1346" s="6" t="s">
        <v>3</v>
      </c>
      <c r="B1346" s="31"/>
      <c r="C1346" s="32"/>
      <c r="D1346" s="31"/>
      <c r="E1346" s="52"/>
      <c r="F1346" s="5">
        <f t="shared" si="316"/>
        <v>0</v>
      </c>
      <c r="H1346" s="6" t="s">
        <v>3</v>
      </c>
      <c r="I1346" s="34"/>
      <c r="J1346" s="35"/>
      <c r="K1346" s="34"/>
      <c r="L1346" s="32"/>
      <c r="M1346" s="5">
        <f t="shared" si="317"/>
        <v>0</v>
      </c>
    </row>
    <row r="1347" spans="1:15" ht="14.25" thickBot="1" x14ac:dyDescent="0.2">
      <c r="A1347" s="6" t="s">
        <v>3</v>
      </c>
      <c r="B1347" s="13"/>
      <c r="C1347" s="12"/>
      <c r="D1347" s="13"/>
      <c r="E1347" s="50"/>
      <c r="F1347" s="5">
        <f t="shared" si="316"/>
        <v>0</v>
      </c>
      <c r="H1347" s="6" t="s">
        <v>3</v>
      </c>
      <c r="I1347" s="34"/>
      <c r="J1347" s="35"/>
      <c r="K1347" s="34"/>
      <c r="L1347" s="53"/>
      <c r="M1347" s="5">
        <f t="shared" si="317"/>
        <v>0</v>
      </c>
    </row>
    <row r="1348" spans="1:15" ht="14.25" thickBot="1" x14ac:dyDescent="0.2">
      <c r="A1348" s="21" t="s">
        <v>4</v>
      </c>
      <c r="B1348" s="22">
        <f>SUM(B1337:B1347)</f>
        <v>24</v>
      </c>
      <c r="C1348" s="22">
        <f>SUM(C1337:C1347)</f>
        <v>28</v>
      </c>
      <c r="D1348" s="23">
        <f>SUM(D1337:D1347)</f>
        <v>21</v>
      </c>
      <c r="E1348" s="23">
        <f>SUM(E1337:E1347)</f>
        <v>13</v>
      </c>
      <c r="F1348" s="24">
        <f>SUM(B1348:E1348)</f>
        <v>86</v>
      </c>
      <c r="H1348" s="21" t="s">
        <v>4</v>
      </c>
      <c r="I1348" s="22">
        <f>SUM(I1337:I1347)</f>
        <v>546</v>
      </c>
      <c r="J1348" s="22">
        <f>SUM(J1337:J1347)</f>
        <v>576</v>
      </c>
      <c r="K1348" s="23">
        <f>SUM(K1337:K1347)</f>
        <v>343</v>
      </c>
      <c r="L1348" s="23">
        <f>SUM(L1337:L1347)</f>
        <v>171</v>
      </c>
      <c r="M1348" s="24">
        <f>SUM(I1348:L1348)</f>
        <v>1636</v>
      </c>
    </row>
    <row r="1349" spans="1:15" x14ac:dyDescent="0.15">
      <c r="A1349" s="4" t="s">
        <v>200</v>
      </c>
      <c r="B1349" s="8"/>
      <c r="C1349" s="9">
        <v>2</v>
      </c>
      <c r="D1349" s="10"/>
      <c r="E1349" s="49"/>
      <c r="F1349" s="5">
        <f>SUM(B1349:E1349)</f>
        <v>2</v>
      </c>
      <c r="G1349" s="39">
        <v>45568</v>
      </c>
      <c r="H1349" s="4" t="s">
        <v>26</v>
      </c>
      <c r="I1349" s="80">
        <v>5</v>
      </c>
      <c r="J1349" s="49"/>
      <c r="K1349" s="78"/>
      <c r="L1349" s="9"/>
      <c r="M1349" s="7">
        <f t="shared" ref="M1349" si="318">SUM(I1349:L1349)</f>
        <v>5</v>
      </c>
      <c r="N1349" s="39">
        <v>45565</v>
      </c>
    </row>
    <row r="1350" spans="1:15" x14ac:dyDescent="0.15">
      <c r="A1350" s="11" t="s">
        <v>648</v>
      </c>
      <c r="B1350" s="8">
        <v>1</v>
      </c>
      <c r="C1350" s="9"/>
      <c r="D1350" s="10"/>
      <c r="E1350" s="49"/>
      <c r="F1350" s="5">
        <f t="shared" ref="F1350:F1372" si="319">SUM(B1350:E1350)</f>
        <v>1</v>
      </c>
      <c r="G1350" s="39">
        <v>45569</v>
      </c>
      <c r="H1350" s="136" t="s">
        <v>646</v>
      </c>
      <c r="I1350" s="80"/>
      <c r="J1350" s="49">
        <v>18</v>
      </c>
      <c r="K1350" s="78"/>
      <c r="L1350" s="9"/>
      <c r="M1350" s="7">
        <f t="shared" ref="M1350:M1372" si="320">SUM(I1350:L1350)</f>
        <v>18</v>
      </c>
      <c r="N1350" s="39">
        <v>45572</v>
      </c>
      <c r="O1350" s="30"/>
    </row>
    <row r="1351" spans="1:15" x14ac:dyDescent="0.15">
      <c r="A1351" s="4" t="s">
        <v>639</v>
      </c>
      <c r="B1351" s="8"/>
      <c r="C1351" s="9">
        <v>2</v>
      </c>
      <c r="D1351" s="10"/>
      <c r="E1351" s="49"/>
      <c r="F1351" s="5">
        <f t="shared" si="319"/>
        <v>2</v>
      </c>
      <c r="G1351" s="71">
        <v>45568</v>
      </c>
      <c r="H1351" s="11" t="s">
        <v>647</v>
      </c>
      <c r="I1351" s="8">
        <v>2</v>
      </c>
      <c r="J1351" s="9">
        <v>2</v>
      </c>
      <c r="K1351" s="10"/>
      <c r="L1351" s="49"/>
      <c r="M1351" s="7">
        <f t="shared" si="320"/>
        <v>4</v>
      </c>
      <c r="N1351" s="39">
        <v>45569</v>
      </c>
      <c r="O1351" s="30"/>
    </row>
    <row r="1352" spans="1:15" x14ac:dyDescent="0.15">
      <c r="A1352" s="4" t="s">
        <v>649</v>
      </c>
      <c r="B1352" s="8"/>
      <c r="C1352" s="9">
        <v>2</v>
      </c>
      <c r="D1352" s="10"/>
      <c r="E1352" s="49"/>
      <c r="F1352" s="5">
        <f t="shared" si="319"/>
        <v>2</v>
      </c>
      <c r="G1352" s="71">
        <v>45569</v>
      </c>
      <c r="H1352" s="11" t="s">
        <v>200</v>
      </c>
      <c r="I1352" s="8">
        <v>2</v>
      </c>
      <c r="J1352" s="9">
        <v>8</v>
      </c>
      <c r="K1352" s="10">
        <v>4</v>
      </c>
      <c r="L1352" s="49">
        <v>2</v>
      </c>
      <c r="M1352" s="7">
        <f t="shared" si="320"/>
        <v>16</v>
      </c>
      <c r="N1352" s="39">
        <v>45572</v>
      </c>
      <c r="O1352" s="30"/>
    </row>
    <row r="1353" spans="1:15" x14ac:dyDescent="0.15">
      <c r="A1353" s="4" t="s">
        <v>639</v>
      </c>
      <c r="B1353" s="8">
        <v>1</v>
      </c>
      <c r="C1353" s="9"/>
      <c r="D1353" s="10"/>
      <c r="E1353" s="49"/>
      <c r="F1353" s="5">
        <f t="shared" si="319"/>
        <v>1</v>
      </c>
      <c r="G1353" s="71">
        <v>45572</v>
      </c>
      <c r="H1353" s="4" t="s">
        <v>26</v>
      </c>
      <c r="I1353" s="8">
        <v>5</v>
      </c>
      <c r="J1353" s="9">
        <v>10</v>
      </c>
      <c r="K1353" s="10"/>
      <c r="L1353" s="49"/>
      <c r="M1353" s="7">
        <f t="shared" si="320"/>
        <v>15</v>
      </c>
      <c r="N1353" s="39">
        <v>45570</v>
      </c>
      <c r="O1353" s="30"/>
    </row>
    <row r="1354" spans="1:15" x14ac:dyDescent="0.15">
      <c r="A1354" s="4" t="s">
        <v>639</v>
      </c>
      <c r="B1354" s="8">
        <v>1</v>
      </c>
      <c r="C1354" s="9"/>
      <c r="D1354" s="10"/>
      <c r="E1354" s="9"/>
      <c r="F1354" s="5">
        <f t="shared" si="319"/>
        <v>1</v>
      </c>
      <c r="G1354" s="71">
        <v>45575</v>
      </c>
      <c r="H1354" s="11" t="s">
        <v>200</v>
      </c>
      <c r="I1354" s="8">
        <v>4</v>
      </c>
      <c r="J1354" s="9">
        <v>8</v>
      </c>
      <c r="K1354" s="10"/>
      <c r="L1354" s="9"/>
      <c r="M1354" s="7">
        <f t="shared" si="320"/>
        <v>12</v>
      </c>
      <c r="N1354" s="39">
        <v>45580</v>
      </c>
      <c r="O1354" s="30"/>
    </row>
    <row r="1355" spans="1:15" x14ac:dyDescent="0.15">
      <c r="A1355" s="11" t="s">
        <v>39</v>
      </c>
      <c r="B1355" s="8"/>
      <c r="C1355" s="9"/>
      <c r="D1355" s="10">
        <v>1</v>
      </c>
      <c r="E1355" s="9">
        <v>1</v>
      </c>
      <c r="F1355" s="5">
        <f t="shared" si="319"/>
        <v>2</v>
      </c>
      <c r="G1355" s="39">
        <v>45581</v>
      </c>
      <c r="H1355" s="11" t="s">
        <v>200</v>
      </c>
      <c r="I1355" s="8">
        <v>2</v>
      </c>
      <c r="J1355" s="9"/>
      <c r="K1355" s="10">
        <v>4</v>
      </c>
      <c r="L1355" s="9"/>
      <c r="M1355" s="7">
        <f t="shared" si="320"/>
        <v>6</v>
      </c>
      <c r="N1355" s="39">
        <v>45583</v>
      </c>
      <c r="O1355" s="30"/>
    </row>
    <row r="1356" spans="1:15" x14ac:dyDescent="0.15">
      <c r="A1356" s="4" t="s">
        <v>200</v>
      </c>
      <c r="B1356" s="8"/>
      <c r="C1356" s="9"/>
      <c r="D1356" s="10">
        <v>6</v>
      </c>
      <c r="E1356" s="9"/>
      <c r="F1356" s="5">
        <f t="shared" si="319"/>
        <v>6</v>
      </c>
      <c r="G1356" s="39">
        <v>45583</v>
      </c>
      <c r="H1356" s="4" t="s">
        <v>26</v>
      </c>
      <c r="I1356" s="8"/>
      <c r="J1356" s="9"/>
      <c r="K1356" s="10">
        <v>5</v>
      </c>
      <c r="L1356" s="9"/>
      <c r="M1356" s="7">
        <f t="shared" si="320"/>
        <v>5</v>
      </c>
      <c r="N1356" s="39">
        <v>45584</v>
      </c>
      <c r="O1356" s="30"/>
    </row>
    <row r="1357" spans="1:15" x14ac:dyDescent="0.15">
      <c r="A1357" s="4" t="s">
        <v>200</v>
      </c>
      <c r="B1357" s="8">
        <v>2</v>
      </c>
      <c r="C1357" s="9"/>
      <c r="D1357" s="10"/>
      <c r="E1357" s="9"/>
      <c r="F1357" s="5">
        <f t="shared" si="319"/>
        <v>2</v>
      </c>
      <c r="G1357" s="39">
        <v>45586</v>
      </c>
      <c r="H1357" s="4" t="s">
        <v>654</v>
      </c>
      <c r="I1357" s="8">
        <v>10</v>
      </c>
      <c r="J1357" s="9">
        <v>10</v>
      </c>
      <c r="K1357" s="10">
        <v>10</v>
      </c>
      <c r="L1357" s="9">
        <v>10</v>
      </c>
      <c r="M1357" s="7">
        <f t="shared" si="320"/>
        <v>40</v>
      </c>
      <c r="N1357" s="39">
        <v>45596</v>
      </c>
      <c r="O1357" s="30"/>
    </row>
    <row r="1358" spans="1:15" x14ac:dyDescent="0.15">
      <c r="A1358" s="4" t="s">
        <v>639</v>
      </c>
      <c r="B1358" s="8">
        <v>2</v>
      </c>
      <c r="C1358" s="9"/>
      <c r="D1358" s="10"/>
      <c r="E1358" s="9">
        <v>2</v>
      </c>
      <c r="F1358" s="5">
        <f t="shared" si="319"/>
        <v>4</v>
      </c>
      <c r="G1358" s="39">
        <v>45584</v>
      </c>
      <c r="H1358" s="4" t="s">
        <v>26</v>
      </c>
      <c r="I1358" s="8">
        <v>10</v>
      </c>
      <c r="J1358" s="9"/>
      <c r="K1358" s="10"/>
      <c r="L1358" s="9"/>
      <c r="M1358" s="7">
        <f t="shared" si="320"/>
        <v>10</v>
      </c>
      <c r="N1358" s="39">
        <v>45588</v>
      </c>
      <c r="O1358" s="30"/>
    </row>
    <row r="1359" spans="1:15" x14ac:dyDescent="0.15">
      <c r="A1359" s="4" t="s">
        <v>200</v>
      </c>
      <c r="B1359" s="8">
        <v>2</v>
      </c>
      <c r="C1359" s="9"/>
      <c r="D1359" s="10"/>
      <c r="E1359" s="9"/>
      <c r="F1359" s="5">
        <f t="shared" si="319"/>
        <v>2</v>
      </c>
      <c r="G1359" s="39">
        <v>45589</v>
      </c>
      <c r="H1359" s="4" t="s">
        <v>26</v>
      </c>
      <c r="I1359" s="8"/>
      <c r="J1359" s="9"/>
      <c r="K1359" s="10"/>
      <c r="L1359" s="9">
        <v>5</v>
      </c>
      <c r="M1359" s="7">
        <f t="shared" si="320"/>
        <v>5</v>
      </c>
      <c r="N1359" s="39">
        <v>45596</v>
      </c>
      <c r="O1359" s="30"/>
    </row>
    <row r="1360" spans="1:15" x14ac:dyDescent="0.15">
      <c r="A1360" s="4" t="s">
        <v>200</v>
      </c>
      <c r="B1360" s="8"/>
      <c r="C1360" s="9"/>
      <c r="D1360" s="10"/>
      <c r="E1360" s="9">
        <v>2</v>
      </c>
      <c r="F1360" s="5">
        <f t="shared" si="319"/>
        <v>2</v>
      </c>
      <c r="G1360" s="39">
        <v>45590</v>
      </c>
      <c r="H1360" s="4" t="s">
        <v>200</v>
      </c>
      <c r="I1360" s="8"/>
      <c r="J1360" s="9">
        <v>16</v>
      </c>
      <c r="K1360" s="10"/>
      <c r="L1360" s="9"/>
      <c r="M1360" s="7">
        <f t="shared" si="320"/>
        <v>16</v>
      </c>
      <c r="N1360" s="39">
        <v>45603</v>
      </c>
      <c r="O1360" s="30"/>
    </row>
    <row r="1361" spans="1:14" x14ac:dyDescent="0.15">
      <c r="A1361" s="4" t="s">
        <v>639</v>
      </c>
      <c r="B1361" s="8"/>
      <c r="C1361" s="9">
        <v>1</v>
      </c>
      <c r="D1361" s="10"/>
      <c r="E1361" s="9"/>
      <c r="F1361" s="5">
        <f t="shared" si="319"/>
        <v>1</v>
      </c>
      <c r="G1361" s="39">
        <v>45593</v>
      </c>
      <c r="H1361" s="4" t="s">
        <v>26</v>
      </c>
      <c r="I1361" s="8"/>
      <c r="J1361" s="9"/>
      <c r="K1361" s="10">
        <v>5</v>
      </c>
      <c r="L1361" s="9"/>
      <c r="M1361" s="7">
        <f t="shared" si="320"/>
        <v>5</v>
      </c>
      <c r="N1361" s="39">
        <v>45602</v>
      </c>
    </row>
    <row r="1362" spans="1:14" x14ac:dyDescent="0.15">
      <c r="A1362" s="4" t="s">
        <v>658</v>
      </c>
      <c r="B1362" s="8"/>
      <c r="C1362" s="9"/>
      <c r="D1362" s="10"/>
      <c r="E1362" s="9">
        <v>2</v>
      </c>
      <c r="F1362" s="5">
        <f t="shared" si="319"/>
        <v>2</v>
      </c>
      <c r="G1362" s="39">
        <v>45596</v>
      </c>
      <c r="H1362" s="4" t="s">
        <v>200</v>
      </c>
      <c r="I1362" s="8"/>
      <c r="J1362" s="9">
        <v>6</v>
      </c>
      <c r="K1362" s="10"/>
      <c r="L1362" s="9"/>
      <c r="M1362" s="7">
        <f t="shared" si="320"/>
        <v>6</v>
      </c>
      <c r="N1362" s="39">
        <v>45607</v>
      </c>
    </row>
    <row r="1363" spans="1:14" x14ac:dyDescent="0.15">
      <c r="A1363" s="4" t="s">
        <v>200</v>
      </c>
      <c r="B1363" s="8"/>
      <c r="C1363" s="9">
        <v>2</v>
      </c>
      <c r="D1363" s="10">
        <v>2</v>
      </c>
      <c r="E1363" s="9"/>
      <c r="F1363" s="5">
        <f t="shared" si="319"/>
        <v>4</v>
      </c>
      <c r="G1363" s="39">
        <v>45597</v>
      </c>
      <c r="H1363" s="4" t="s">
        <v>200</v>
      </c>
      <c r="I1363" s="8">
        <v>4</v>
      </c>
      <c r="J1363" s="9"/>
      <c r="K1363" s="10">
        <v>2</v>
      </c>
      <c r="L1363" s="9"/>
      <c r="M1363" s="7">
        <f t="shared" si="320"/>
        <v>6</v>
      </c>
      <c r="N1363" s="39">
        <v>45609</v>
      </c>
    </row>
    <row r="1364" spans="1:14" x14ac:dyDescent="0.15">
      <c r="A1364" s="4" t="s">
        <v>200</v>
      </c>
      <c r="B1364" s="8"/>
      <c r="C1364" s="9">
        <v>4</v>
      </c>
      <c r="D1364" s="10"/>
      <c r="E1364" s="9"/>
      <c r="F1364" s="5">
        <f t="shared" si="319"/>
        <v>4</v>
      </c>
      <c r="G1364" s="39">
        <v>45601</v>
      </c>
      <c r="H1364" s="4" t="s">
        <v>200</v>
      </c>
      <c r="I1364" s="8">
        <v>2</v>
      </c>
      <c r="J1364" s="9">
        <v>6</v>
      </c>
      <c r="K1364" s="10"/>
      <c r="L1364" s="9">
        <v>2</v>
      </c>
      <c r="M1364" s="7">
        <f t="shared" si="320"/>
        <v>10</v>
      </c>
      <c r="N1364" s="39">
        <v>45610</v>
      </c>
    </row>
    <row r="1365" spans="1:14" x14ac:dyDescent="0.15">
      <c r="A1365" s="11" t="s">
        <v>39</v>
      </c>
      <c r="B1365" s="8">
        <v>1</v>
      </c>
      <c r="C1365" s="9">
        <v>1</v>
      </c>
      <c r="D1365" s="10">
        <v>1</v>
      </c>
      <c r="E1365" s="9"/>
      <c r="F1365" s="5">
        <f t="shared" si="319"/>
        <v>3</v>
      </c>
      <c r="G1365" s="39">
        <v>45602</v>
      </c>
      <c r="H1365" s="4" t="s">
        <v>660</v>
      </c>
      <c r="I1365" s="8">
        <v>50</v>
      </c>
      <c r="J1365" s="9">
        <v>80</v>
      </c>
      <c r="K1365" s="10">
        <v>20</v>
      </c>
      <c r="L1365" s="9">
        <v>40</v>
      </c>
      <c r="M1365" s="7">
        <f t="shared" ref="M1365:M1366" si="321">SUM(I1365:L1365)</f>
        <v>190</v>
      </c>
      <c r="N1365" s="39">
        <v>45609</v>
      </c>
    </row>
    <row r="1366" spans="1:14" x14ac:dyDescent="0.15">
      <c r="A1366" s="4" t="s">
        <v>639</v>
      </c>
      <c r="B1366" s="8">
        <v>1</v>
      </c>
      <c r="C1366" s="9"/>
      <c r="D1366" s="10">
        <v>2</v>
      </c>
      <c r="E1366" s="9"/>
      <c r="F1366" s="5">
        <f t="shared" si="319"/>
        <v>3</v>
      </c>
      <c r="G1366" s="39">
        <v>45601</v>
      </c>
      <c r="H1366" s="4" t="s">
        <v>26</v>
      </c>
      <c r="I1366" s="8">
        <v>5</v>
      </c>
      <c r="J1366" s="9">
        <v>5</v>
      </c>
      <c r="K1366" s="10"/>
      <c r="L1366" s="9"/>
      <c r="M1366" s="7">
        <f t="shared" si="321"/>
        <v>10</v>
      </c>
      <c r="N1366" s="39">
        <v>45609</v>
      </c>
    </row>
    <row r="1367" spans="1:14" x14ac:dyDescent="0.15">
      <c r="A1367" s="4" t="s">
        <v>200</v>
      </c>
      <c r="B1367" s="8">
        <v>2</v>
      </c>
      <c r="C1367" s="9"/>
      <c r="D1367" s="10"/>
      <c r="E1367" s="9"/>
      <c r="F1367" s="5">
        <f t="shared" si="319"/>
        <v>2</v>
      </c>
      <c r="G1367" s="39">
        <v>45604</v>
      </c>
      <c r="H1367" s="4"/>
      <c r="I1367" s="8"/>
      <c r="J1367" s="9"/>
      <c r="K1367" s="10"/>
      <c r="L1367" s="9"/>
      <c r="M1367" s="7">
        <f t="shared" si="320"/>
        <v>0</v>
      </c>
      <c r="N1367" s="41"/>
    </row>
    <row r="1368" spans="1:14" x14ac:dyDescent="0.15">
      <c r="A1368" s="4" t="s">
        <v>200</v>
      </c>
      <c r="B1368" s="8">
        <v>2</v>
      </c>
      <c r="C1368" s="9">
        <v>2</v>
      </c>
      <c r="D1368" s="10"/>
      <c r="E1368" s="9"/>
      <c r="F1368" s="5">
        <f t="shared" si="319"/>
        <v>4</v>
      </c>
      <c r="G1368" s="39">
        <v>45604</v>
      </c>
      <c r="H1368" s="133" t="s">
        <v>643</v>
      </c>
      <c r="I1368" s="8"/>
      <c r="J1368" s="9"/>
      <c r="K1368" s="10"/>
      <c r="L1368" s="9"/>
      <c r="M1368" s="7">
        <f t="shared" ref="M1368" si="322">SUM(I1368:L1368)</f>
        <v>0</v>
      </c>
      <c r="N1368" s="41" t="s">
        <v>644</v>
      </c>
    </row>
    <row r="1369" spans="1:14" x14ac:dyDescent="0.15">
      <c r="A1369" s="4" t="s">
        <v>639</v>
      </c>
      <c r="B1369" s="8">
        <v>1</v>
      </c>
      <c r="C1369" s="9"/>
      <c r="D1369" s="10"/>
      <c r="E1369" s="9"/>
      <c r="F1369" s="5">
        <f t="shared" si="319"/>
        <v>1</v>
      </c>
      <c r="G1369" s="39">
        <v>45607</v>
      </c>
      <c r="H1369" s="133" t="s">
        <v>651</v>
      </c>
      <c r="I1369" s="8"/>
      <c r="J1369" s="9"/>
      <c r="K1369" s="10"/>
      <c r="L1369" s="9"/>
      <c r="M1369" s="7">
        <f t="shared" si="320"/>
        <v>0</v>
      </c>
      <c r="N1369" s="41" t="s">
        <v>652</v>
      </c>
    </row>
    <row r="1370" spans="1:14" x14ac:dyDescent="0.15">
      <c r="A1370" s="4"/>
      <c r="B1370" s="8"/>
      <c r="C1370" s="9"/>
      <c r="D1370" s="10"/>
      <c r="E1370" s="9"/>
      <c r="F1370" s="5">
        <f t="shared" si="319"/>
        <v>0</v>
      </c>
      <c r="H1370" s="133" t="s">
        <v>636</v>
      </c>
      <c r="I1370" s="8"/>
      <c r="J1370" s="9"/>
      <c r="K1370" s="10"/>
      <c r="L1370" s="9"/>
      <c r="M1370" s="7">
        <f t="shared" si="320"/>
        <v>0</v>
      </c>
      <c r="N1370" s="41" t="s">
        <v>637</v>
      </c>
    </row>
    <row r="1371" spans="1:14" x14ac:dyDescent="0.15">
      <c r="A1371" s="11"/>
      <c r="B1371" s="8"/>
      <c r="C1371" s="9"/>
      <c r="D1371" s="10"/>
      <c r="E1371" s="9"/>
      <c r="F1371" s="5">
        <f t="shared" si="319"/>
        <v>0</v>
      </c>
      <c r="H1371" s="101" t="s">
        <v>632</v>
      </c>
      <c r="I1371" s="102"/>
      <c r="J1371" s="103"/>
      <c r="K1371" s="104"/>
      <c r="L1371" s="103"/>
      <c r="M1371" s="105">
        <f t="shared" si="320"/>
        <v>0</v>
      </c>
      <c r="N1371" s="41"/>
    </row>
    <row r="1372" spans="1:14" ht="14.25" thickBot="1" x14ac:dyDescent="0.2">
      <c r="A1372" s="11"/>
      <c r="B1372" s="8"/>
      <c r="C1372" s="9"/>
      <c r="D1372" s="10"/>
      <c r="E1372" s="9"/>
      <c r="F1372" s="5">
        <f t="shared" si="319"/>
        <v>0</v>
      </c>
      <c r="H1372" s="4" t="s">
        <v>631</v>
      </c>
      <c r="I1372" s="8"/>
      <c r="J1372" s="9"/>
      <c r="K1372" s="10"/>
      <c r="L1372" s="9"/>
      <c r="M1372" s="7">
        <f t="shared" si="320"/>
        <v>0</v>
      </c>
      <c r="N1372" s="41" t="s">
        <v>633</v>
      </c>
    </row>
    <row r="1373" spans="1:14" ht="14.25" thickBot="1" x14ac:dyDescent="0.2">
      <c r="A1373" s="3" t="s">
        <v>5</v>
      </c>
      <c r="B1373" s="14">
        <f>SUM(B1349:B1372)</f>
        <v>16</v>
      </c>
      <c r="C1373" s="14">
        <f>SUM(C1349:C1372)</f>
        <v>16</v>
      </c>
      <c r="D1373" s="14">
        <f>SUM(D1349:D1372)</f>
        <v>12</v>
      </c>
      <c r="E1373" s="14">
        <f>SUM(E1349:E1372)</f>
        <v>7</v>
      </c>
      <c r="F1373" s="15">
        <f>SUM(B1373:E1373)</f>
        <v>51</v>
      </c>
      <c r="H1373" s="3" t="s">
        <v>5</v>
      </c>
      <c r="I1373" s="14">
        <f>SUM(I1349:I1372)</f>
        <v>101</v>
      </c>
      <c r="J1373" s="14">
        <f>SUM(J1349:J1372)</f>
        <v>169</v>
      </c>
      <c r="K1373" s="14">
        <f>SUM(K1349:K1372)</f>
        <v>50</v>
      </c>
      <c r="L1373" s="14">
        <f>SUM(L1349:L1372)</f>
        <v>59</v>
      </c>
      <c r="M1373" s="15">
        <f>SUM(I1373:L1373)</f>
        <v>379</v>
      </c>
    </row>
    <row r="1374" spans="1:14" ht="14.25" thickBot="1" x14ac:dyDescent="0.2">
      <c r="A1374" s="25" t="s">
        <v>6</v>
      </c>
      <c r="B1374" s="26">
        <f>B1348-B1373</f>
        <v>8</v>
      </c>
      <c r="C1374" s="26">
        <f t="shared" ref="C1374:F1374" si="323">C1348-C1373</f>
        <v>12</v>
      </c>
      <c r="D1374" s="26">
        <f t="shared" si="323"/>
        <v>9</v>
      </c>
      <c r="E1374" s="26">
        <f t="shared" si="323"/>
        <v>6</v>
      </c>
      <c r="F1374" s="24">
        <f t="shared" si="323"/>
        <v>35</v>
      </c>
      <c r="H1374" s="25" t="s">
        <v>6</v>
      </c>
      <c r="I1374" s="26">
        <f>I1348-I1373</f>
        <v>445</v>
      </c>
      <c r="J1374" s="26">
        <f t="shared" ref="J1374:M1374" si="324">J1348-J1373</f>
        <v>407</v>
      </c>
      <c r="K1374" s="26">
        <f t="shared" si="324"/>
        <v>293</v>
      </c>
      <c r="L1374" s="26">
        <f t="shared" si="324"/>
        <v>112</v>
      </c>
      <c r="M1374" s="24">
        <f t="shared" si="324"/>
        <v>1257</v>
      </c>
    </row>
    <row r="1375" spans="1:14" x14ac:dyDescent="0.15">
      <c r="H1375" s="142" t="s">
        <v>659</v>
      </c>
      <c r="I1375" s="141">
        <f>I1373+I1330+I1287+I1244+I1201+I1158+I1115+I1072</f>
        <v>699</v>
      </c>
      <c r="J1375" s="141">
        <f t="shared" ref="J1375:M1375" si="325">J1373+J1330+J1287+J1244+J1201+J1158+J1115+J1072</f>
        <v>910</v>
      </c>
      <c r="K1375" s="141">
        <f t="shared" si="325"/>
        <v>506</v>
      </c>
      <c r="L1375" s="141">
        <f t="shared" si="325"/>
        <v>320</v>
      </c>
      <c r="M1375" s="141">
        <f t="shared" si="325"/>
        <v>2435</v>
      </c>
    </row>
    <row r="1376" spans="1:14" x14ac:dyDescent="0.15">
      <c r="I1376" s="100">
        <f>I1375/$M$1375*100</f>
        <v>28.706365503080082</v>
      </c>
      <c r="J1376" s="100">
        <f t="shared" ref="J1376:M1376" si="326">J1375/$M$1375*100</f>
        <v>37.371663244353179</v>
      </c>
      <c r="K1376" s="100">
        <f t="shared" si="326"/>
        <v>20.780287474332649</v>
      </c>
      <c r="L1376" s="100">
        <f t="shared" si="326"/>
        <v>13.141683778234087</v>
      </c>
      <c r="M1376" s="100">
        <f t="shared" si="326"/>
        <v>100</v>
      </c>
    </row>
    <row r="1377" spans="1:14" ht="21.75" thickBot="1" x14ac:dyDescent="0.25">
      <c r="A1377" s="29" t="s">
        <v>13</v>
      </c>
      <c r="B1377" s="1"/>
      <c r="C1377" s="1"/>
      <c r="D1377" s="1"/>
      <c r="E1377" s="1"/>
      <c r="F1377" s="1"/>
      <c r="H1377" s="29" t="s">
        <v>14</v>
      </c>
      <c r="I1377" s="1"/>
      <c r="J1377" s="1"/>
      <c r="K1377" s="1"/>
      <c r="L1377" s="1"/>
      <c r="M1377" s="1"/>
    </row>
    <row r="1378" spans="1:14" ht="14.25" thickBot="1" x14ac:dyDescent="0.2">
      <c r="A1378" s="2" t="s">
        <v>0</v>
      </c>
      <c r="B1378" s="164" t="s">
        <v>12</v>
      </c>
      <c r="C1378" s="165"/>
      <c r="D1378" s="165"/>
      <c r="E1378" s="165"/>
      <c r="F1378" s="117"/>
      <c r="H1378" s="2" t="s">
        <v>0</v>
      </c>
      <c r="I1378" s="164" t="s">
        <v>12</v>
      </c>
      <c r="J1378" s="165"/>
      <c r="K1378" s="165"/>
      <c r="L1378" s="165"/>
      <c r="M1378" s="117"/>
    </row>
    <row r="1379" spans="1:14" ht="14.25" thickBot="1" x14ac:dyDescent="0.2">
      <c r="A1379" s="2" t="s">
        <v>1</v>
      </c>
      <c r="B1379" s="3" t="s">
        <v>489</v>
      </c>
      <c r="C1379" s="2" t="s">
        <v>490</v>
      </c>
      <c r="D1379" s="19" t="s">
        <v>491</v>
      </c>
      <c r="E1379" s="2" t="s">
        <v>492</v>
      </c>
      <c r="F1379" s="2" t="s">
        <v>2</v>
      </c>
      <c r="H1379" s="2" t="s">
        <v>1</v>
      </c>
      <c r="I1379" s="3" t="s">
        <v>489</v>
      </c>
      <c r="J1379" s="2" t="s">
        <v>490</v>
      </c>
      <c r="K1379" s="19" t="s">
        <v>491</v>
      </c>
      <c r="L1379" s="2" t="s">
        <v>492</v>
      </c>
      <c r="M1379" s="2" t="s">
        <v>2</v>
      </c>
    </row>
    <row r="1380" spans="1:14" x14ac:dyDescent="0.15">
      <c r="A1380" s="27" t="s">
        <v>6</v>
      </c>
      <c r="B1380" s="18">
        <f>B1374</f>
        <v>8</v>
      </c>
      <c r="C1380" s="20">
        <f>C1374</f>
        <v>12</v>
      </c>
      <c r="D1380" s="55">
        <f>D1374</f>
        <v>9</v>
      </c>
      <c r="E1380" s="20">
        <f>E1374</f>
        <v>6</v>
      </c>
      <c r="F1380" s="17">
        <f>SUM(B1380:E1380)</f>
        <v>35</v>
      </c>
      <c r="H1380" s="27" t="s">
        <v>6</v>
      </c>
      <c r="I1380" s="18">
        <f>I1374</f>
        <v>445</v>
      </c>
      <c r="J1380" s="20">
        <f>J1374</f>
        <v>407</v>
      </c>
      <c r="K1380" s="55">
        <f>K1374</f>
        <v>293</v>
      </c>
      <c r="L1380" s="58">
        <f>L1374</f>
        <v>112</v>
      </c>
      <c r="M1380" s="17">
        <f>SUM(I1380:L1380)</f>
        <v>1257</v>
      </c>
    </row>
    <row r="1381" spans="1:14" x14ac:dyDescent="0.15">
      <c r="A1381" s="6" t="s">
        <v>3</v>
      </c>
      <c r="B1381" s="31">
        <v>5</v>
      </c>
      <c r="C1381" s="32"/>
      <c r="D1381" s="31"/>
      <c r="E1381" s="52"/>
      <c r="F1381" s="5">
        <f t="shared" ref="F1381:F1386" si="327">SUM(B1381:E1381)</f>
        <v>5</v>
      </c>
      <c r="G1381" s="39">
        <v>45618</v>
      </c>
      <c r="H1381" s="6" t="s">
        <v>3</v>
      </c>
      <c r="I1381" s="31"/>
      <c r="J1381" s="32"/>
      <c r="K1381" s="31"/>
      <c r="L1381" s="52"/>
      <c r="M1381" s="5">
        <f t="shared" ref="M1381:M1386" si="328">SUM(I1381:L1381)</f>
        <v>0</v>
      </c>
    </row>
    <row r="1382" spans="1:14" x14ac:dyDescent="0.15">
      <c r="A1382" s="6" t="s">
        <v>338</v>
      </c>
      <c r="B1382" s="31"/>
      <c r="C1382" s="32"/>
      <c r="D1382" s="31">
        <v>4</v>
      </c>
      <c r="E1382" s="52">
        <v>6</v>
      </c>
      <c r="F1382" s="5">
        <f t="shared" si="327"/>
        <v>10</v>
      </c>
      <c r="G1382" s="39">
        <v>45621</v>
      </c>
      <c r="H1382" s="6" t="s">
        <v>3</v>
      </c>
      <c r="I1382" s="31"/>
      <c r="J1382" s="32"/>
      <c r="K1382" s="31"/>
      <c r="L1382" s="52"/>
      <c r="M1382" s="5">
        <f t="shared" si="328"/>
        <v>0</v>
      </c>
    </row>
    <row r="1383" spans="1:14" x14ac:dyDescent="0.15">
      <c r="A1383" s="6" t="s">
        <v>3</v>
      </c>
      <c r="B1383" s="31">
        <v>3</v>
      </c>
      <c r="C1383" s="32">
        <v>3</v>
      </c>
      <c r="D1383" s="31"/>
      <c r="E1383" s="52"/>
      <c r="F1383" s="5">
        <f t="shared" si="327"/>
        <v>6</v>
      </c>
      <c r="G1383" s="39">
        <v>45624</v>
      </c>
      <c r="H1383" s="6" t="s">
        <v>3</v>
      </c>
      <c r="I1383" s="31"/>
      <c r="J1383" s="32"/>
      <c r="K1383" s="31"/>
      <c r="L1383" s="52"/>
      <c r="M1383" s="5">
        <f t="shared" ref="M1383" si="329">SUM(I1383:L1383)</f>
        <v>0</v>
      </c>
    </row>
    <row r="1384" spans="1:14" x14ac:dyDescent="0.15">
      <c r="A1384" s="6" t="s">
        <v>3</v>
      </c>
      <c r="B1384" s="31"/>
      <c r="C1384" s="32">
        <v>3</v>
      </c>
      <c r="D1384" s="31">
        <v>3</v>
      </c>
      <c r="E1384" s="52"/>
      <c r="F1384" s="5">
        <f t="shared" si="327"/>
        <v>6</v>
      </c>
      <c r="G1384" s="39">
        <v>45629</v>
      </c>
      <c r="H1384" s="6" t="s">
        <v>3</v>
      </c>
      <c r="I1384" s="31"/>
      <c r="J1384" s="32"/>
      <c r="K1384" s="31"/>
      <c r="L1384" s="52"/>
      <c r="M1384" s="5">
        <f t="shared" si="328"/>
        <v>0</v>
      </c>
    </row>
    <row r="1385" spans="1:14" x14ac:dyDescent="0.15">
      <c r="A1385" s="6" t="s">
        <v>3</v>
      </c>
      <c r="B1385" s="31"/>
      <c r="C1385" s="32"/>
      <c r="D1385" s="31">
        <v>5</v>
      </c>
      <c r="E1385" s="52"/>
      <c r="F1385" s="5">
        <f t="shared" si="327"/>
        <v>5</v>
      </c>
      <c r="G1385" s="39">
        <v>45638</v>
      </c>
      <c r="H1385" s="6" t="s">
        <v>3</v>
      </c>
      <c r="I1385" s="31"/>
      <c r="J1385" s="32"/>
      <c r="K1385" s="31"/>
      <c r="L1385" s="52"/>
      <c r="M1385" s="5">
        <f t="shared" si="328"/>
        <v>0</v>
      </c>
    </row>
    <row r="1386" spans="1:14" x14ac:dyDescent="0.15">
      <c r="A1386" s="6" t="s">
        <v>3</v>
      </c>
      <c r="B1386" s="31">
        <v>3</v>
      </c>
      <c r="C1386" s="32">
        <v>3</v>
      </c>
      <c r="D1386" s="31">
        <v>3</v>
      </c>
      <c r="E1386" s="52"/>
      <c r="F1386" s="5">
        <f t="shared" si="327"/>
        <v>9</v>
      </c>
      <c r="G1386" s="39">
        <v>45642</v>
      </c>
      <c r="H1386" s="6" t="s">
        <v>3</v>
      </c>
      <c r="I1386" s="31"/>
      <c r="J1386" s="32"/>
      <c r="K1386" s="31"/>
      <c r="L1386" s="52"/>
      <c r="M1386" s="5">
        <f t="shared" si="328"/>
        <v>0</v>
      </c>
    </row>
    <row r="1387" spans="1:14" x14ac:dyDescent="0.15">
      <c r="A1387" s="6" t="s">
        <v>3</v>
      </c>
      <c r="B1387" s="31">
        <v>5</v>
      </c>
      <c r="C1387" s="32"/>
      <c r="D1387" s="31">
        <v>5</v>
      </c>
      <c r="E1387" s="52">
        <v>3</v>
      </c>
      <c r="F1387" s="5">
        <f t="shared" ref="F1387:F1390" si="330">SUM(B1387:E1387)</f>
        <v>13</v>
      </c>
      <c r="G1387" s="39">
        <v>45647</v>
      </c>
      <c r="H1387" s="6" t="s">
        <v>3</v>
      </c>
      <c r="I1387" s="31"/>
      <c r="J1387" s="32"/>
      <c r="K1387" s="31"/>
      <c r="L1387" s="52"/>
      <c r="M1387" s="5">
        <f t="shared" ref="M1387:M1390" si="331">SUM(I1387:L1387)</f>
        <v>0</v>
      </c>
    </row>
    <row r="1388" spans="1:14" x14ac:dyDescent="0.15">
      <c r="A1388" s="6" t="s">
        <v>3</v>
      </c>
      <c r="B1388" s="10"/>
      <c r="C1388" s="9"/>
      <c r="D1388" s="10"/>
      <c r="E1388" s="49"/>
      <c r="F1388" s="5">
        <f t="shared" si="330"/>
        <v>0</v>
      </c>
      <c r="G1388" s="41"/>
      <c r="H1388" s="6" t="s">
        <v>3</v>
      </c>
      <c r="I1388" s="31"/>
      <c r="J1388" s="32"/>
      <c r="K1388" s="31"/>
      <c r="L1388" s="52"/>
      <c r="M1388" s="5">
        <f t="shared" si="331"/>
        <v>0</v>
      </c>
    </row>
    <row r="1389" spans="1:14" x14ac:dyDescent="0.15">
      <c r="A1389" s="6" t="s">
        <v>3</v>
      </c>
      <c r="B1389" s="31"/>
      <c r="C1389" s="32"/>
      <c r="D1389" s="31"/>
      <c r="E1389" s="52"/>
      <c r="F1389" s="5">
        <f t="shared" si="330"/>
        <v>0</v>
      </c>
      <c r="H1389" s="6" t="s">
        <v>3</v>
      </c>
      <c r="I1389" s="34"/>
      <c r="J1389" s="35"/>
      <c r="K1389" s="34"/>
      <c r="L1389" s="32"/>
      <c r="M1389" s="5">
        <f t="shared" si="331"/>
        <v>0</v>
      </c>
    </row>
    <row r="1390" spans="1:14" ht="14.25" thickBot="1" x14ac:dyDescent="0.2">
      <c r="A1390" s="6" t="s">
        <v>3</v>
      </c>
      <c r="B1390" s="13"/>
      <c r="C1390" s="12"/>
      <c r="D1390" s="13"/>
      <c r="E1390" s="50"/>
      <c r="F1390" s="5">
        <f t="shared" si="330"/>
        <v>0</v>
      </c>
      <c r="H1390" s="6" t="s">
        <v>3</v>
      </c>
      <c r="I1390" s="34"/>
      <c r="J1390" s="35"/>
      <c r="K1390" s="34"/>
      <c r="L1390" s="53"/>
      <c r="M1390" s="5">
        <f t="shared" si="331"/>
        <v>0</v>
      </c>
    </row>
    <row r="1391" spans="1:14" ht="14.25" thickBot="1" x14ac:dyDescent="0.2">
      <c r="A1391" s="21" t="s">
        <v>4</v>
      </c>
      <c r="B1391" s="22">
        <f>SUM(B1380:B1390)</f>
        <v>24</v>
      </c>
      <c r="C1391" s="22">
        <f>SUM(C1380:C1390)</f>
        <v>21</v>
      </c>
      <c r="D1391" s="23">
        <f>SUM(D1380:D1390)</f>
        <v>29</v>
      </c>
      <c r="E1391" s="23">
        <f>SUM(E1380:E1390)</f>
        <v>15</v>
      </c>
      <c r="F1391" s="24">
        <f>SUM(B1391:E1391)</f>
        <v>89</v>
      </c>
      <c r="H1391" s="21" t="s">
        <v>4</v>
      </c>
      <c r="I1391" s="22">
        <f>SUM(I1380:I1390)</f>
        <v>445</v>
      </c>
      <c r="J1391" s="22">
        <f>SUM(J1380:J1390)</f>
        <v>407</v>
      </c>
      <c r="K1391" s="23">
        <f>SUM(K1380:K1390)</f>
        <v>293</v>
      </c>
      <c r="L1391" s="23">
        <f>SUM(L1380:L1390)</f>
        <v>112</v>
      </c>
      <c r="M1391" s="24">
        <f>SUM(I1391:L1391)</f>
        <v>1257</v>
      </c>
    </row>
    <row r="1392" spans="1:14" x14ac:dyDescent="0.15">
      <c r="A1392" s="4" t="s">
        <v>663</v>
      </c>
      <c r="B1392" s="8">
        <v>2</v>
      </c>
      <c r="C1392" s="9"/>
      <c r="D1392" s="10">
        <v>2</v>
      </c>
      <c r="E1392" s="9">
        <v>2</v>
      </c>
      <c r="F1392" s="5">
        <f t="shared" ref="F1392:F1404" si="332">SUM(B1392:E1392)</f>
        <v>6</v>
      </c>
      <c r="G1392" s="39">
        <v>45617</v>
      </c>
      <c r="H1392" s="4" t="s">
        <v>661</v>
      </c>
      <c r="I1392" s="8">
        <v>2</v>
      </c>
      <c r="J1392" s="9">
        <v>4</v>
      </c>
      <c r="K1392" s="10"/>
      <c r="L1392" s="9"/>
      <c r="M1392" s="7">
        <f t="shared" ref="M1392:M1404" si="333">SUM(I1392:L1392)</f>
        <v>6</v>
      </c>
      <c r="N1392" s="39">
        <v>45611</v>
      </c>
    </row>
    <row r="1393" spans="1:14" x14ac:dyDescent="0.15">
      <c r="A1393" s="4" t="s">
        <v>200</v>
      </c>
      <c r="B1393" s="8"/>
      <c r="C1393" s="9">
        <v>2</v>
      </c>
      <c r="D1393" s="10"/>
      <c r="E1393" s="9"/>
      <c r="F1393" s="5">
        <f t="shared" si="332"/>
        <v>2</v>
      </c>
      <c r="G1393" s="39">
        <v>45618</v>
      </c>
      <c r="H1393" s="4" t="s">
        <v>662</v>
      </c>
      <c r="I1393" s="8"/>
      <c r="J1393" s="9">
        <v>25</v>
      </c>
      <c r="K1393" s="10">
        <v>5</v>
      </c>
      <c r="L1393" s="9"/>
      <c r="M1393" s="7">
        <f t="shared" si="333"/>
        <v>30</v>
      </c>
      <c r="N1393" s="39">
        <v>45610</v>
      </c>
    </row>
    <row r="1394" spans="1:14" x14ac:dyDescent="0.15">
      <c r="A1394" s="4" t="s">
        <v>200</v>
      </c>
      <c r="B1394" s="8">
        <v>2</v>
      </c>
      <c r="C1394" s="9"/>
      <c r="D1394" s="10"/>
      <c r="E1394" s="9"/>
      <c r="F1394" s="5">
        <f t="shared" si="332"/>
        <v>2</v>
      </c>
      <c r="G1394" s="39">
        <v>45618</v>
      </c>
      <c r="H1394" s="4" t="s">
        <v>200</v>
      </c>
      <c r="I1394" s="8">
        <v>6</v>
      </c>
      <c r="J1394" s="9"/>
      <c r="K1394" s="10"/>
      <c r="L1394" s="9"/>
      <c r="M1394" s="7">
        <f t="shared" si="333"/>
        <v>6</v>
      </c>
      <c r="N1394" s="39">
        <v>45616</v>
      </c>
    </row>
    <row r="1395" spans="1:14" x14ac:dyDescent="0.15">
      <c r="A1395" s="4" t="s">
        <v>200</v>
      </c>
      <c r="B1395" s="8">
        <v>2</v>
      </c>
      <c r="C1395" s="9"/>
      <c r="D1395" s="10"/>
      <c r="E1395" s="9"/>
      <c r="F1395" s="5">
        <f t="shared" si="332"/>
        <v>2</v>
      </c>
      <c r="G1395" s="39">
        <v>45621</v>
      </c>
      <c r="H1395" s="4" t="s">
        <v>26</v>
      </c>
      <c r="I1395" s="8">
        <v>5</v>
      </c>
      <c r="J1395" s="9"/>
      <c r="K1395" s="10"/>
      <c r="L1395" s="9"/>
      <c r="M1395" s="7">
        <f t="shared" si="333"/>
        <v>5</v>
      </c>
      <c r="N1395" s="39">
        <v>45618</v>
      </c>
    </row>
    <row r="1396" spans="1:14" x14ac:dyDescent="0.15">
      <c r="A1396" s="4" t="s">
        <v>200</v>
      </c>
      <c r="B1396" s="8"/>
      <c r="C1396" s="9"/>
      <c r="D1396" s="10">
        <v>2</v>
      </c>
      <c r="E1396" s="9"/>
      <c r="F1396" s="5">
        <f t="shared" si="332"/>
        <v>2</v>
      </c>
      <c r="G1396" s="39">
        <v>45623</v>
      </c>
      <c r="H1396" s="4" t="s">
        <v>200</v>
      </c>
      <c r="I1396" s="8"/>
      <c r="J1396" s="9">
        <v>4</v>
      </c>
      <c r="K1396" s="10"/>
      <c r="L1396" s="9">
        <v>4</v>
      </c>
      <c r="M1396" s="7">
        <f t="shared" si="333"/>
        <v>8</v>
      </c>
      <c r="N1396" s="39">
        <v>45624</v>
      </c>
    </row>
    <row r="1397" spans="1:14" x14ac:dyDescent="0.15">
      <c r="A1397" s="11" t="s">
        <v>39</v>
      </c>
      <c r="B1397" s="8">
        <v>2</v>
      </c>
      <c r="C1397" s="9"/>
      <c r="D1397" s="10"/>
      <c r="E1397" s="9">
        <v>2</v>
      </c>
      <c r="F1397" s="5">
        <f t="shared" si="332"/>
        <v>4</v>
      </c>
      <c r="G1397" s="39">
        <v>45622</v>
      </c>
      <c r="H1397" s="4" t="s">
        <v>200</v>
      </c>
      <c r="I1397" s="8"/>
      <c r="J1397" s="9">
        <v>4</v>
      </c>
      <c r="K1397" s="10">
        <v>2</v>
      </c>
      <c r="L1397" s="9"/>
      <c r="M1397" s="7">
        <f t="shared" si="333"/>
        <v>6</v>
      </c>
      <c r="N1397" s="39">
        <v>45625</v>
      </c>
    </row>
    <row r="1398" spans="1:14" x14ac:dyDescent="0.15">
      <c r="A1398" s="4" t="s">
        <v>639</v>
      </c>
      <c r="B1398" s="8"/>
      <c r="C1398" s="9">
        <v>1</v>
      </c>
      <c r="D1398" s="10"/>
      <c r="E1398" s="9"/>
      <c r="F1398" s="5">
        <f t="shared" si="332"/>
        <v>1</v>
      </c>
      <c r="G1398" s="39">
        <v>45621</v>
      </c>
      <c r="H1398" s="4" t="s">
        <v>26</v>
      </c>
      <c r="I1398" s="8">
        <v>3</v>
      </c>
      <c r="J1398" s="9">
        <v>3</v>
      </c>
      <c r="K1398" s="10"/>
      <c r="L1398" s="9"/>
      <c r="M1398" s="7">
        <f t="shared" si="333"/>
        <v>6</v>
      </c>
      <c r="N1398" s="39">
        <v>45624</v>
      </c>
    </row>
    <row r="1399" spans="1:14" x14ac:dyDescent="0.15">
      <c r="A1399" s="4" t="s">
        <v>639</v>
      </c>
      <c r="B1399" s="8"/>
      <c r="C1399" s="9">
        <v>2</v>
      </c>
      <c r="D1399" s="10"/>
      <c r="E1399" s="9"/>
      <c r="F1399" s="5">
        <f t="shared" si="332"/>
        <v>2</v>
      </c>
      <c r="G1399" s="39">
        <v>45623</v>
      </c>
      <c r="H1399" s="4" t="s">
        <v>200</v>
      </c>
      <c r="I1399" s="8"/>
      <c r="J1399" s="9">
        <v>10</v>
      </c>
      <c r="K1399" s="10"/>
      <c r="L1399" s="9">
        <v>2</v>
      </c>
      <c r="M1399" s="7">
        <f t="shared" si="333"/>
        <v>12</v>
      </c>
      <c r="N1399" s="39">
        <v>45625</v>
      </c>
    </row>
    <row r="1400" spans="1:14" x14ac:dyDescent="0.15">
      <c r="A1400" s="11" t="s">
        <v>39</v>
      </c>
      <c r="B1400" s="8">
        <v>1</v>
      </c>
      <c r="C1400" s="9">
        <v>1</v>
      </c>
      <c r="D1400" s="10"/>
      <c r="E1400" s="9"/>
      <c r="F1400" s="5">
        <f t="shared" si="332"/>
        <v>2</v>
      </c>
      <c r="G1400" s="39">
        <v>45626</v>
      </c>
      <c r="H1400" s="4" t="s">
        <v>200</v>
      </c>
      <c r="I1400" s="8"/>
      <c r="J1400" s="9">
        <v>6</v>
      </c>
      <c r="K1400" s="10"/>
      <c r="L1400" s="9"/>
      <c r="M1400" s="7">
        <f t="shared" si="333"/>
        <v>6</v>
      </c>
      <c r="N1400" s="39">
        <v>45628</v>
      </c>
    </row>
    <row r="1401" spans="1:14" x14ac:dyDescent="0.15">
      <c r="A1401" s="4" t="s">
        <v>200</v>
      </c>
      <c r="B1401" s="8"/>
      <c r="C1401" s="9">
        <v>2</v>
      </c>
      <c r="D1401" s="10">
        <v>2</v>
      </c>
      <c r="E1401" s="9"/>
      <c r="F1401" s="5">
        <f t="shared" si="332"/>
        <v>4</v>
      </c>
      <c r="G1401" s="39">
        <v>45630</v>
      </c>
      <c r="H1401" s="4" t="s">
        <v>26</v>
      </c>
      <c r="I1401" s="8"/>
      <c r="J1401" s="9">
        <v>3</v>
      </c>
      <c r="K1401" s="10">
        <v>3</v>
      </c>
      <c r="L1401" s="9"/>
      <c r="M1401" s="7">
        <f t="shared" si="333"/>
        <v>6</v>
      </c>
      <c r="N1401" s="39">
        <v>45629</v>
      </c>
    </row>
    <row r="1402" spans="1:14" x14ac:dyDescent="0.15">
      <c r="A1402" s="4" t="s">
        <v>200</v>
      </c>
      <c r="B1402" s="8">
        <v>2</v>
      </c>
      <c r="C1402" s="9"/>
      <c r="D1402" s="10"/>
      <c r="E1402" s="9"/>
      <c r="F1402" s="5">
        <f t="shared" si="332"/>
        <v>2</v>
      </c>
      <c r="G1402" s="39">
        <v>45632</v>
      </c>
      <c r="H1402" s="4" t="s">
        <v>200</v>
      </c>
      <c r="I1402" s="8"/>
      <c r="J1402" s="9"/>
      <c r="K1402" s="10">
        <v>4</v>
      </c>
      <c r="L1402" s="9"/>
      <c r="M1402" s="7">
        <f t="shared" si="333"/>
        <v>4</v>
      </c>
      <c r="N1402" s="39">
        <v>45632</v>
      </c>
    </row>
    <row r="1403" spans="1:14" x14ac:dyDescent="0.15">
      <c r="A1403" s="4" t="s">
        <v>639</v>
      </c>
      <c r="B1403" s="8"/>
      <c r="C1403" s="9">
        <v>1</v>
      </c>
      <c r="D1403" s="10"/>
      <c r="E1403" s="9"/>
      <c r="F1403" s="5">
        <f t="shared" si="332"/>
        <v>1</v>
      </c>
      <c r="G1403" s="39">
        <v>45631</v>
      </c>
      <c r="H1403" s="4" t="s">
        <v>200</v>
      </c>
      <c r="I1403" s="8"/>
      <c r="J1403" s="9"/>
      <c r="K1403" s="10">
        <v>2</v>
      </c>
      <c r="L1403" s="9">
        <v>2</v>
      </c>
      <c r="M1403" s="7">
        <f t="shared" si="333"/>
        <v>4</v>
      </c>
      <c r="N1403" s="39">
        <v>45638</v>
      </c>
    </row>
    <row r="1404" spans="1:14" x14ac:dyDescent="0.15">
      <c r="A1404" s="4" t="s">
        <v>200</v>
      </c>
      <c r="B1404" s="8"/>
      <c r="C1404" s="9"/>
      <c r="D1404" s="10">
        <v>2</v>
      </c>
      <c r="E1404" s="9"/>
      <c r="F1404" s="5">
        <f t="shared" si="332"/>
        <v>2</v>
      </c>
      <c r="G1404" s="39">
        <v>45635</v>
      </c>
      <c r="H1404" s="4" t="s">
        <v>26</v>
      </c>
      <c r="I1404" s="8"/>
      <c r="J1404" s="9"/>
      <c r="K1404" s="10">
        <v>5</v>
      </c>
      <c r="L1404" s="9"/>
      <c r="M1404" s="7">
        <f t="shared" si="333"/>
        <v>5</v>
      </c>
      <c r="N1404" s="39">
        <v>45638</v>
      </c>
    </row>
    <row r="1405" spans="1:14" x14ac:dyDescent="0.15">
      <c r="A1405" s="11" t="s">
        <v>39</v>
      </c>
      <c r="B1405" s="8"/>
      <c r="C1405" s="9"/>
      <c r="D1405" s="10"/>
      <c r="E1405" s="9">
        <v>2</v>
      </c>
      <c r="F1405" s="5">
        <f t="shared" ref="F1405" si="334">SUM(B1405:E1405)</f>
        <v>2</v>
      </c>
      <c r="G1405" s="39">
        <v>45633</v>
      </c>
      <c r="H1405" s="4" t="s">
        <v>200</v>
      </c>
      <c r="I1405" s="8">
        <v>2</v>
      </c>
      <c r="J1405" s="9"/>
      <c r="K1405" s="10">
        <v>2</v>
      </c>
      <c r="L1405" s="9"/>
      <c r="M1405" s="7">
        <f t="shared" ref="M1405:M1406" si="335">SUM(I1405:L1405)</f>
        <v>4</v>
      </c>
      <c r="N1405" s="39">
        <v>45639</v>
      </c>
    </row>
    <row r="1406" spans="1:14" x14ac:dyDescent="0.15">
      <c r="A1406" s="4" t="s">
        <v>200</v>
      </c>
      <c r="B1406" s="8"/>
      <c r="C1406" s="9"/>
      <c r="D1406" s="10">
        <v>2</v>
      </c>
      <c r="E1406" s="9">
        <v>2</v>
      </c>
      <c r="F1406" s="5">
        <f t="shared" ref="F1406:F1415" si="336">SUM(B1406:E1406)</f>
        <v>4</v>
      </c>
      <c r="G1406" s="39">
        <v>45637</v>
      </c>
      <c r="H1406" s="4" t="s">
        <v>26</v>
      </c>
      <c r="I1406" s="8">
        <v>3</v>
      </c>
      <c r="J1406" s="9">
        <v>3</v>
      </c>
      <c r="K1406" s="10">
        <v>3</v>
      </c>
      <c r="L1406" s="9"/>
      <c r="M1406" s="7">
        <f t="shared" si="335"/>
        <v>9</v>
      </c>
      <c r="N1406" s="39">
        <v>45642</v>
      </c>
    </row>
    <row r="1407" spans="1:14" x14ac:dyDescent="0.15">
      <c r="A1407" s="4" t="s">
        <v>639</v>
      </c>
      <c r="B1407" s="8"/>
      <c r="C1407" s="9"/>
      <c r="D1407" s="10">
        <v>1</v>
      </c>
      <c r="E1407" s="9"/>
      <c r="F1407" s="5">
        <f t="shared" si="336"/>
        <v>1</v>
      </c>
      <c r="G1407" s="39">
        <v>45635</v>
      </c>
      <c r="H1407" s="4" t="s">
        <v>200</v>
      </c>
      <c r="I1407" s="8"/>
      <c r="J1407" s="9"/>
      <c r="K1407" s="10">
        <v>2</v>
      </c>
      <c r="L1407" s="9">
        <v>4</v>
      </c>
      <c r="M1407" s="7">
        <f t="shared" ref="M1407:M1412" si="337">SUM(I1407:L1407)</f>
        <v>6</v>
      </c>
      <c r="N1407" s="39">
        <v>45644</v>
      </c>
    </row>
    <row r="1408" spans="1:14" x14ac:dyDescent="0.15">
      <c r="A1408" s="4" t="s">
        <v>639</v>
      </c>
      <c r="B1408" s="8"/>
      <c r="C1408" s="9"/>
      <c r="D1408" s="10">
        <v>3</v>
      </c>
      <c r="E1408" s="9"/>
      <c r="F1408" s="5">
        <f t="shared" si="336"/>
        <v>3</v>
      </c>
      <c r="G1408" s="39">
        <v>45636</v>
      </c>
      <c r="H1408" s="4" t="s">
        <v>26</v>
      </c>
      <c r="I1408" s="8">
        <v>5</v>
      </c>
      <c r="J1408" s="9"/>
      <c r="K1408" s="10">
        <v>5</v>
      </c>
      <c r="L1408" s="9">
        <v>3</v>
      </c>
      <c r="M1408" s="7">
        <f t="shared" si="337"/>
        <v>13</v>
      </c>
      <c r="N1408" s="39">
        <v>45647</v>
      </c>
    </row>
    <row r="1409" spans="1:14" x14ac:dyDescent="0.15">
      <c r="A1409" s="4" t="s">
        <v>639</v>
      </c>
      <c r="B1409" s="8"/>
      <c r="C1409" s="9"/>
      <c r="D1409" s="10">
        <v>1</v>
      </c>
      <c r="E1409" s="9"/>
      <c r="F1409" s="5">
        <f t="shared" si="336"/>
        <v>1</v>
      </c>
      <c r="G1409" s="71">
        <v>45637</v>
      </c>
      <c r="H1409" s="4" t="s">
        <v>200</v>
      </c>
      <c r="I1409" s="8">
        <v>4</v>
      </c>
      <c r="J1409" s="9">
        <v>2</v>
      </c>
      <c r="K1409" s="10">
        <v>2</v>
      </c>
      <c r="L1409" s="9"/>
      <c r="M1409" s="7">
        <f t="shared" si="337"/>
        <v>8</v>
      </c>
      <c r="N1409" s="39">
        <v>45652</v>
      </c>
    </row>
    <row r="1410" spans="1:14" x14ac:dyDescent="0.15">
      <c r="A1410" s="4" t="s">
        <v>639</v>
      </c>
      <c r="B1410" s="8"/>
      <c r="C1410" s="9">
        <v>2</v>
      </c>
      <c r="D1410" s="10"/>
      <c r="E1410" s="9"/>
      <c r="F1410" s="5">
        <f t="shared" si="336"/>
        <v>2</v>
      </c>
      <c r="G1410" s="71">
        <v>45638</v>
      </c>
      <c r="H1410" s="4" t="s">
        <v>200</v>
      </c>
      <c r="I1410" s="8">
        <v>2</v>
      </c>
      <c r="J1410" s="9">
        <v>8</v>
      </c>
      <c r="K1410" s="10">
        <v>10</v>
      </c>
      <c r="L1410" s="9">
        <v>2</v>
      </c>
      <c r="M1410" s="7">
        <f t="shared" si="337"/>
        <v>22</v>
      </c>
      <c r="N1410" s="39">
        <v>45666</v>
      </c>
    </row>
    <row r="1411" spans="1:14" x14ac:dyDescent="0.15">
      <c r="A1411" s="4" t="s">
        <v>200</v>
      </c>
      <c r="B1411" s="8"/>
      <c r="C1411" s="9">
        <v>2</v>
      </c>
      <c r="D1411" s="10"/>
      <c r="E1411" s="9"/>
      <c r="F1411" s="5">
        <f t="shared" si="336"/>
        <v>2</v>
      </c>
      <c r="G1411" s="39">
        <v>45642</v>
      </c>
      <c r="H1411" s="4" t="s">
        <v>26</v>
      </c>
      <c r="I1411" s="8">
        <v>3</v>
      </c>
      <c r="J1411" s="9">
        <v>3</v>
      </c>
      <c r="K1411" s="10"/>
      <c r="L1411" s="9">
        <v>5</v>
      </c>
      <c r="M1411" s="7">
        <f t="shared" si="337"/>
        <v>11</v>
      </c>
      <c r="N1411" s="39">
        <v>45666</v>
      </c>
    </row>
    <row r="1412" spans="1:14" x14ac:dyDescent="0.15">
      <c r="A1412" s="4" t="s">
        <v>639</v>
      </c>
      <c r="B1412" s="8"/>
      <c r="C1412" s="9"/>
      <c r="D1412" s="10">
        <v>2</v>
      </c>
      <c r="E1412" s="9"/>
      <c r="F1412" s="5">
        <f t="shared" si="336"/>
        <v>2</v>
      </c>
      <c r="G1412" s="39">
        <v>45642</v>
      </c>
      <c r="H1412" s="4" t="s">
        <v>200</v>
      </c>
      <c r="I1412" s="8">
        <v>2</v>
      </c>
      <c r="J1412" s="9">
        <v>10</v>
      </c>
      <c r="K1412" s="10">
        <v>2</v>
      </c>
      <c r="L1412" s="9"/>
      <c r="M1412" s="7">
        <f t="shared" si="337"/>
        <v>14</v>
      </c>
      <c r="N1412" s="39">
        <v>45667</v>
      </c>
    </row>
    <row r="1413" spans="1:14" x14ac:dyDescent="0.15">
      <c r="A1413" s="4" t="s">
        <v>200</v>
      </c>
      <c r="B1413" s="8">
        <v>2</v>
      </c>
      <c r="C1413" s="9"/>
      <c r="D1413" s="10"/>
      <c r="E1413" s="9"/>
      <c r="F1413" s="5">
        <f t="shared" si="336"/>
        <v>2</v>
      </c>
      <c r="G1413" s="39">
        <v>45646</v>
      </c>
      <c r="H1413" s="4"/>
      <c r="I1413" s="8"/>
      <c r="J1413" s="9"/>
      <c r="K1413" s="10"/>
      <c r="L1413" s="9"/>
      <c r="M1413" s="7">
        <f t="shared" ref="M1413:M1415" si="338">SUM(I1413:L1413)</f>
        <v>0</v>
      </c>
    </row>
    <row r="1414" spans="1:14" x14ac:dyDescent="0.15">
      <c r="A1414" s="4" t="s">
        <v>639</v>
      </c>
      <c r="B1414" s="8">
        <v>2</v>
      </c>
      <c r="C1414" s="9"/>
      <c r="D1414" s="10">
        <v>2</v>
      </c>
      <c r="E1414" s="9"/>
      <c r="F1414" s="5">
        <f t="shared" si="336"/>
        <v>4</v>
      </c>
      <c r="G1414" s="71">
        <v>45645</v>
      </c>
      <c r="H1414" s="4"/>
      <c r="I1414" s="8"/>
      <c r="J1414" s="9"/>
      <c r="K1414" s="10"/>
      <c r="L1414" s="9"/>
      <c r="M1414" s="7">
        <f t="shared" si="338"/>
        <v>0</v>
      </c>
    </row>
    <row r="1415" spans="1:14" ht="14.25" thickBot="1" x14ac:dyDescent="0.2">
      <c r="A1415" s="4" t="s">
        <v>200</v>
      </c>
      <c r="B1415" s="8">
        <v>2</v>
      </c>
      <c r="C1415" s="9"/>
      <c r="D1415" s="10"/>
      <c r="E1415" s="9">
        <v>2</v>
      </c>
      <c r="F1415" s="5">
        <f t="shared" si="336"/>
        <v>4</v>
      </c>
      <c r="G1415" s="39">
        <v>45651</v>
      </c>
      <c r="H1415" s="4" t="s">
        <v>664</v>
      </c>
      <c r="I1415" s="8"/>
      <c r="J1415" s="9"/>
      <c r="K1415" s="10"/>
      <c r="L1415" s="9"/>
      <c r="M1415" s="7">
        <f t="shared" si="338"/>
        <v>0</v>
      </c>
      <c r="N1415" s="41" t="s">
        <v>665</v>
      </c>
    </row>
    <row r="1416" spans="1:14" ht="14.25" thickBot="1" x14ac:dyDescent="0.2">
      <c r="A1416" s="3" t="s">
        <v>5</v>
      </c>
      <c r="B1416" s="14">
        <f>SUM(B1392:B1415)</f>
        <v>17</v>
      </c>
      <c r="C1416" s="14">
        <f>SUM(C1392:C1415)</f>
        <v>13</v>
      </c>
      <c r="D1416" s="14">
        <f>SUM(D1392:D1415)</f>
        <v>19</v>
      </c>
      <c r="E1416" s="14">
        <f>SUM(E1392:E1415)</f>
        <v>10</v>
      </c>
      <c r="F1416" s="15">
        <f>SUM(B1416:E1416)</f>
        <v>59</v>
      </c>
      <c r="H1416" s="3" t="s">
        <v>5</v>
      </c>
      <c r="I1416" s="14">
        <f>SUM(I1392:I1415)</f>
        <v>37</v>
      </c>
      <c r="J1416" s="14">
        <f>SUM(J1392:J1415)</f>
        <v>85</v>
      </c>
      <c r="K1416" s="14">
        <f>SUM(K1392:K1415)</f>
        <v>47</v>
      </c>
      <c r="L1416" s="14">
        <f>SUM(L1392:L1415)</f>
        <v>22</v>
      </c>
      <c r="M1416" s="15">
        <f>SUM(I1416:L1416)</f>
        <v>191</v>
      </c>
    </row>
    <row r="1417" spans="1:14" ht="14.25" thickBot="1" x14ac:dyDescent="0.2">
      <c r="A1417" s="25" t="s">
        <v>6</v>
      </c>
      <c r="B1417" s="26">
        <f>B1391-B1416</f>
        <v>7</v>
      </c>
      <c r="C1417" s="26">
        <f t="shared" ref="C1417:F1417" si="339">C1391-C1416</f>
        <v>8</v>
      </c>
      <c r="D1417" s="26">
        <f t="shared" si="339"/>
        <v>10</v>
      </c>
      <c r="E1417" s="26">
        <f t="shared" si="339"/>
        <v>5</v>
      </c>
      <c r="F1417" s="24">
        <f t="shared" si="339"/>
        <v>30</v>
      </c>
      <c r="H1417" s="25" t="s">
        <v>6</v>
      </c>
      <c r="I1417" s="26">
        <f>I1391-I1416</f>
        <v>408</v>
      </c>
      <c r="J1417" s="26">
        <f t="shared" ref="J1417:M1417" si="340">J1391-J1416</f>
        <v>322</v>
      </c>
      <c r="K1417" s="26">
        <f t="shared" si="340"/>
        <v>246</v>
      </c>
      <c r="L1417" s="26">
        <f t="shared" si="340"/>
        <v>90</v>
      </c>
      <c r="M1417" s="24">
        <f t="shared" si="340"/>
        <v>1066</v>
      </c>
    </row>
    <row r="1418" spans="1:14" x14ac:dyDescent="0.15">
      <c r="I1418" s="99"/>
      <c r="J1418" s="99"/>
      <c r="K1418" s="99"/>
      <c r="L1418" s="99"/>
      <c r="M1418" s="99"/>
    </row>
    <row r="1419" spans="1:14" x14ac:dyDescent="0.15">
      <c r="I1419" s="139"/>
      <c r="J1419" s="140"/>
      <c r="K1419" s="140"/>
      <c r="L1419" s="140"/>
      <c r="M1419" s="139"/>
      <c r="N1419" s="41"/>
    </row>
    <row r="1420" spans="1:14" ht="21.75" thickBot="1" x14ac:dyDescent="0.25">
      <c r="A1420" s="29" t="s">
        <v>13</v>
      </c>
      <c r="B1420" s="1"/>
      <c r="C1420" s="1"/>
      <c r="D1420" s="1"/>
      <c r="E1420" s="1"/>
      <c r="F1420" s="1"/>
      <c r="H1420" s="29" t="s">
        <v>14</v>
      </c>
      <c r="I1420" s="1"/>
      <c r="J1420" s="1"/>
      <c r="K1420" s="1"/>
      <c r="L1420" s="1"/>
      <c r="M1420" s="1"/>
    </row>
    <row r="1421" spans="1:14" ht="14.25" thickBot="1" x14ac:dyDescent="0.2">
      <c r="A1421" s="2" t="s">
        <v>0</v>
      </c>
      <c r="B1421" s="164" t="s">
        <v>12</v>
      </c>
      <c r="C1421" s="165"/>
      <c r="D1421" s="165"/>
      <c r="E1421" s="165"/>
      <c r="F1421" s="117"/>
      <c r="H1421" s="2" t="s">
        <v>0</v>
      </c>
      <c r="I1421" s="164" t="s">
        <v>12</v>
      </c>
      <c r="J1421" s="165"/>
      <c r="K1421" s="165"/>
      <c r="L1421" s="165"/>
      <c r="M1421" s="117"/>
    </row>
    <row r="1422" spans="1:14" ht="14.25" thickBot="1" x14ac:dyDescent="0.2">
      <c r="A1422" s="2" t="s">
        <v>1</v>
      </c>
      <c r="B1422" s="3" t="s">
        <v>489</v>
      </c>
      <c r="C1422" s="2" t="s">
        <v>490</v>
      </c>
      <c r="D1422" s="19" t="s">
        <v>491</v>
      </c>
      <c r="E1422" s="2" t="s">
        <v>492</v>
      </c>
      <c r="F1422" s="2" t="s">
        <v>2</v>
      </c>
      <c r="H1422" s="2" t="s">
        <v>1</v>
      </c>
      <c r="I1422" s="3" t="s">
        <v>489</v>
      </c>
      <c r="J1422" s="2" t="s">
        <v>490</v>
      </c>
      <c r="K1422" s="19" t="s">
        <v>491</v>
      </c>
      <c r="L1422" s="2" t="s">
        <v>492</v>
      </c>
      <c r="M1422" s="2" t="s">
        <v>2</v>
      </c>
    </row>
    <row r="1423" spans="1:14" x14ac:dyDescent="0.15">
      <c r="A1423" s="27" t="s">
        <v>6</v>
      </c>
      <c r="B1423" s="18">
        <f>B1417</f>
        <v>7</v>
      </c>
      <c r="C1423" s="20">
        <f>C1417</f>
        <v>8</v>
      </c>
      <c r="D1423" s="55">
        <f>D1417</f>
        <v>10</v>
      </c>
      <c r="E1423" s="20">
        <f>E1417</f>
        <v>5</v>
      </c>
      <c r="F1423" s="17">
        <f>SUM(B1423:E1423)</f>
        <v>30</v>
      </c>
      <c r="H1423" s="27" t="s">
        <v>6</v>
      </c>
      <c r="I1423" s="18">
        <f>I1417</f>
        <v>408</v>
      </c>
      <c r="J1423" s="20">
        <f>J1417</f>
        <v>322</v>
      </c>
      <c r="K1423" s="55">
        <f>K1417</f>
        <v>246</v>
      </c>
      <c r="L1423" s="58">
        <f>L1417</f>
        <v>90</v>
      </c>
      <c r="M1423" s="17">
        <f>SUM(I1423:L1423)</f>
        <v>1066</v>
      </c>
    </row>
    <row r="1424" spans="1:14" x14ac:dyDescent="0.15">
      <c r="A1424" s="6" t="s">
        <v>3</v>
      </c>
      <c r="B1424" s="31">
        <v>3</v>
      </c>
      <c r="C1424" s="32">
        <v>3</v>
      </c>
      <c r="D1424" s="31"/>
      <c r="E1424" s="52">
        <v>5</v>
      </c>
      <c r="F1424" s="5">
        <f t="shared" ref="F1424:F1433" si="341">SUM(B1424:E1424)</f>
        <v>11</v>
      </c>
      <c r="G1424" s="39">
        <v>45666</v>
      </c>
      <c r="H1424" s="6" t="s">
        <v>3</v>
      </c>
      <c r="I1424" s="31"/>
      <c r="J1424" s="32"/>
      <c r="K1424" s="31"/>
      <c r="L1424" s="52"/>
      <c r="M1424" s="5">
        <f t="shared" ref="M1424:M1433" si="342">SUM(I1424:L1424)</f>
        <v>0</v>
      </c>
    </row>
    <row r="1425" spans="1:14" x14ac:dyDescent="0.15">
      <c r="A1425" s="6" t="s">
        <v>45</v>
      </c>
      <c r="B1425" s="31"/>
      <c r="C1425" s="32"/>
      <c r="D1425" s="31"/>
      <c r="E1425" s="52">
        <v>2</v>
      </c>
      <c r="F1425" s="5">
        <f t="shared" si="341"/>
        <v>2</v>
      </c>
      <c r="G1425" s="39">
        <v>45667</v>
      </c>
      <c r="H1425" s="6" t="s">
        <v>3</v>
      </c>
      <c r="I1425" s="31"/>
      <c r="J1425" s="32"/>
      <c r="K1425" s="31"/>
      <c r="L1425" s="52"/>
      <c r="M1425" s="5">
        <f t="shared" si="342"/>
        <v>0</v>
      </c>
    </row>
    <row r="1426" spans="1:14" x14ac:dyDescent="0.15">
      <c r="A1426" s="6" t="s">
        <v>3</v>
      </c>
      <c r="B1426" s="31">
        <v>12</v>
      </c>
      <c r="C1426" s="32">
        <v>3</v>
      </c>
      <c r="D1426" s="31">
        <v>3</v>
      </c>
      <c r="E1426" s="52"/>
      <c r="F1426" s="5">
        <f t="shared" si="341"/>
        <v>18</v>
      </c>
      <c r="G1426" s="39">
        <v>45675</v>
      </c>
      <c r="H1426" s="6" t="s">
        <v>3</v>
      </c>
      <c r="I1426" s="31"/>
      <c r="J1426" s="32"/>
      <c r="K1426" s="31"/>
      <c r="L1426" s="52"/>
      <c r="M1426" s="5">
        <f t="shared" ref="M1426" si="343">SUM(I1426:L1426)</f>
        <v>0</v>
      </c>
    </row>
    <row r="1427" spans="1:14" x14ac:dyDescent="0.15">
      <c r="A1427" s="6" t="s">
        <v>45</v>
      </c>
      <c r="B1427" s="31">
        <v>4</v>
      </c>
      <c r="C1427" s="32"/>
      <c r="D1427" s="31"/>
      <c r="E1427" s="52"/>
      <c r="F1427" s="5">
        <f t="shared" si="341"/>
        <v>4</v>
      </c>
      <c r="G1427" s="39">
        <v>45680</v>
      </c>
      <c r="H1427" s="6" t="s">
        <v>3</v>
      </c>
      <c r="I1427" s="31"/>
      <c r="J1427" s="32"/>
      <c r="K1427" s="31"/>
      <c r="L1427" s="52"/>
      <c r="M1427" s="5">
        <f t="shared" ref="M1427:M1428" si="344">SUM(I1427:L1427)</f>
        <v>0</v>
      </c>
    </row>
    <row r="1428" spans="1:14" x14ac:dyDescent="0.15">
      <c r="A1428" s="6" t="s">
        <v>3</v>
      </c>
      <c r="B1428" s="31"/>
      <c r="C1428" s="32"/>
      <c r="D1428" s="31">
        <v>10</v>
      </c>
      <c r="E1428" s="52"/>
      <c r="F1428" s="5">
        <f t="shared" si="341"/>
        <v>10</v>
      </c>
      <c r="G1428" s="39">
        <v>45686</v>
      </c>
      <c r="H1428" s="6" t="s">
        <v>3</v>
      </c>
      <c r="I1428" s="31"/>
      <c r="J1428" s="32"/>
      <c r="K1428" s="31"/>
      <c r="L1428" s="52"/>
      <c r="M1428" s="5">
        <f t="shared" si="344"/>
        <v>0</v>
      </c>
    </row>
    <row r="1429" spans="1:14" x14ac:dyDescent="0.15">
      <c r="A1429" s="6" t="s">
        <v>45</v>
      </c>
      <c r="B1429" s="31"/>
      <c r="C1429" s="32"/>
      <c r="D1429" s="31">
        <v>1</v>
      </c>
      <c r="E1429" s="52"/>
      <c r="F1429" s="5">
        <f t="shared" si="341"/>
        <v>1</v>
      </c>
      <c r="G1429" s="39">
        <v>45687</v>
      </c>
      <c r="H1429" s="6" t="s">
        <v>3</v>
      </c>
      <c r="I1429" s="31"/>
      <c r="J1429" s="32"/>
      <c r="K1429" s="31"/>
      <c r="L1429" s="52"/>
      <c r="M1429" s="5">
        <f t="shared" si="342"/>
        <v>0</v>
      </c>
    </row>
    <row r="1430" spans="1:14" x14ac:dyDescent="0.15">
      <c r="A1430" s="6" t="s">
        <v>3</v>
      </c>
      <c r="B1430" s="31"/>
      <c r="C1430" s="32"/>
      <c r="D1430" s="31">
        <v>4</v>
      </c>
      <c r="E1430" s="52">
        <v>3</v>
      </c>
      <c r="F1430" s="5">
        <f t="shared" si="341"/>
        <v>7</v>
      </c>
      <c r="G1430" s="39">
        <v>45689</v>
      </c>
      <c r="H1430" s="6" t="s">
        <v>3</v>
      </c>
      <c r="I1430" s="31"/>
      <c r="J1430" s="32"/>
      <c r="K1430" s="31"/>
      <c r="L1430" s="52"/>
      <c r="M1430" s="5">
        <f t="shared" si="342"/>
        <v>0</v>
      </c>
    </row>
    <row r="1431" spans="1:14" x14ac:dyDescent="0.15">
      <c r="A1431" s="6" t="s">
        <v>689</v>
      </c>
      <c r="B1431" s="10"/>
      <c r="C1431" s="9"/>
      <c r="D1431" s="10"/>
      <c r="E1431" s="49">
        <v>1</v>
      </c>
      <c r="F1431" s="5">
        <f t="shared" si="341"/>
        <v>1</v>
      </c>
      <c r="G1431" s="39">
        <v>45698</v>
      </c>
      <c r="H1431" s="6" t="s">
        <v>3</v>
      </c>
      <c r="I1431" s="31"/>
      <c r="J1431" s="32"/>
      <c r="K1431" s="31"/>
      <c r="L1431" s="52"/>
      <c r="M1431" s="5">
        <f t="shared" si="342"/>
        <v>0</v>
      </c>
    </row>
    <row r="1432" spans="1:14" x14ac:dyDescent="0.15">
      <c r="A1432" s="6" t="s">
        <v>45</v>
      </c>
      <c r="B1432" s="31">
        <v>2</v>
      </c>
      <c r="C1432" s="32"/>
      <c r="D1432" s="31"/>
      <c r="E1432" s="52"/>
      <c r="F1432" s="5">
        <f t="shared" si="341"/>
        <v>2</v>
      </c>
      <c r="G1432" s="71">
        <v>45689</v>
      </c>
      <c r="H1432" s="6" t="s">
        <v>3</v>
      </c>
      <c r="I1432" s="34"/>
      <c r="J1432" s="35"/>
      <c r="K1432" s="34"/>
      <c r="L1432" s="32"/>
      <c r="M1432" s="5">
        <f t="shared" si="342"/>
        <v>0</v>
      </c>
    </row>
    <row r="1433" spans="1:14" ht="14.25" thickBot="1" x14ac:dyDescent="0.2">
      <c r="A1433" s="6" t="s">
        <v>3</v>
      </c>
      <c r="B1433" s="13"/>
      <c r="C1433" s="12"/>
      <c r="D1433" s="13"/>
      <c r="E1433" s="50"/>
      <c r="F1433" s="5">
        <f t="shared" si="341"/>
        <v>0</v>
      </c>
      <c r="H1433" s="6" t="s">
        <v>3</v>
      </c>
      <c r="I1433" s="34"/>
      <c r="J1433" s="35"/>
      <c r="K1433" s="34"/>
      <c r="L1433" s="53"/>
      <c r="M1433" s="5">
        <f t="shared" si="342"/>
        <v>0</v>
      </c>
    </row>
    <row r="1434" spans="1:14" ht="14.25" thickBot="1" x14ac:dyDescent="0.2">
      <c r="A1434" s="21" t="s">
        <v>4</v>
      </c>
      <c r="B1434" s="22">
        <f>SUM(B1423:B1433)</f>
        <v>28</v>
      </c>
      <c r="C1434" s="22">
        <f>SUM(C1423:C1433)</f>
        <v>14</v>
      </c>
      <c r="D1434" s="23">
        <f>SUM(D1423:D1433)</f>
        <v>28</v>
      </c>
      <c r="E1434" s="23">
        <f>SUM(E1423:E1433)</f>
        <v>16</v>
      </c>
      <c r="F1434" s="24">
        <f>SUM(B1434:E1434)</f>
        <v>86</v>
      </c>
      <c r="H1434" s="21" t="s">
        <v>4</v>
      </c>
      <c r="I1434" s="22">
        <f>SUM(I1423:I1433)</f>
        <v>408</v>
      </c>
      <c r="J1434" s="22">
        <f>SUM(J1423:J1433)</f>
        <v>322</v>
      </c>
      <c r="K1434" s="23">
        <f>SUM(K1423:K1433)</f>
        <v>246</v>
      </c>
      <c r="L1434" s="23">
        <f>SUM(L1423:L1433)</f>
        <v>90</v>
      </c>
      <c r="M1434" s="24">
        <f>SUM(I1434:L1434)</f>
        <v>1066</v>
      </c>
    </row>
    <row r="1435" spans="1:14" x14ac:dyDescent="0.15">
      <c r="A1435" s="4" t="s">
        <v>200</v>
      </c>
      <c r="B1435" s="8">
        <v>2</v>
      </c>
      <c r="C1435" s="9">
        <v>2</v>
      </c>
      <c r="D1435" s="10">
        <v>2</v>
      </c>
      <c r="E1435" s="9"/>
      <c r="F1435" s="5">
        <f t="shared" ref="F1435:F1458" si="345">SUM(B1435:E1435)</f>
        <v>6</v>
      </c>
      <c r="G1435" s="39">
        <v>45653</v>
      </c>
      <c r="H1435" s="4" t="s">
        <v>200</v>
      </c>
      <c r="I1435" s="8"/>
      <c r="J1435" s="9">
        <v>10</v>
      </c>
      <c r="K1435" s="10">
        <v>6</v>
      </c>
      <c r="L1435" s="9"/>
      <c r="M1435" s="7">
        <f t="shared" ref="M1435:M1453" si="346">SUM(I1435:L1435)</f>
        <v>16</v>
      </c>
      <c r="N1435" s="39">
        <v>45671</v>
      </c>
    </row>
    <row r="1436" spans="1:14" x14ac:dyDescent="0.15">
      <c r="A1436" s="4" t="s">
        <v>674</v>
      </c>
      <c r="B1436" s="8"/>
      <c r="C1436" s="9"/>
      <c r="D1436" s="10"/>
      <c r="E1436" s="9">
        <v>1</v>
      </c>
      <c r="F1436" s="5">
        <f t="shared" si="345"/>
        <v>1</v>
      </c>
      <c r="G1436" s="39">
        <v>45298</v>
      </c>
      <c r="H1436" s="4" t="s">
        <v>200</v>
      </c>
      <c r="I1436" s="8">
        <v>8</v>
      </c>
      <c r="J1436" s="9"/>
      <c r="K1436" s="10">
        <v>4</v>
      </c>
      <c r="L1436" s="9"/>
      <c r="M1436" s="7">
        <f t="shared" si="346"/>
        <v>12</v>
      </c>
      <c r="N1436" s="39">
        <v>45673</v>
      </c>
    </row>
    <row r="1437" spans="1:14" x14ac:dyDescent="0.15">
      <c r="A1437" s="4" t="s">
        <v>200</v>
      </c>
      <c r="B1437" s="8"/>
      <c r="C1437" s="9"/>
      <c r="D1437" s="10">
        <v>2</v>
      </c>
      <c r="E1437" s="9"/>
      <c r="F1437" s="5">
        <f t="shared" si="345"/>
        <v>2</v>
      </c>
      <c r="G1437" s="39">
        <v>45297</v>
      </c>
      <c r="H1437" s="4" t="s">
        <v>200</v>
      </c>
      <c r="I1437" s="8">
        <v>2</v>
      </c>
      <c r="J1437" s="9">
        <v>12</v>
      </c>
      <c r="K1437" s="10">
        <v>6</v>
      </c>
      <c r="L1437" s="9">
        <v>2</v>
      </c>
      <c r="M1437" s="7">
        <f t="shared" si="346"/>
        <v>22</v>
      </c>
      <c r="N1437" s="39">
        <v>45674</v>
      </c>
    </row>
    <row r="1438" spans="1:14" x14ac:dyDescent="0.15">
      <c r="A1438" s="4" t="s">
        <v>200</v>
      </c>
      <c r="B1438" s="8">
        <v>2</v>
      </c>
      <c r="C1438" s="9">
        <v>2</v>
      </c>
      <c r="D1438" s="10"/>
      <c r="E1438" s="9">
        <v>2</v>
      </c>
      <c r="F1438" s="5">
        <f t="shared" si="345"/>
        <v>6</v>
      </c>
      <c r="G1438" s="39">
        <v>45667</v>
      </c>
      <c r="H1438" s="4" t="s">
        <v>200</v>
      </c>
      <c r="I1438" s="8">
        <v>2</v>
      </c>
      <c r="J1438" s="9">
        <v>4</v>
      </c>
      <c r="K1438" s="10">
        <v>2</v>
      </c>
      <c r="L1438" s="9">
        <v>6</v>
      </c>
      <c r="M1438" s="7">
        <f t="shared" si="346"/>
        <v>14</v>
      </c>
      <c r="N1438" s="39">
        <v>45674</v>
      </c>
    </row>
    <row r="1439" spans="1:14" x14ac:dyDescent="0.15">
      <c r="A1439" s="4" t="s">
        <v>639</v>
      </c>
      <c r="B1439" s="8"/>
      <c r="C1439" s="9"/>
      <c r="D1439" s="10"/>
      <c r="E1439" s="9">
        <v>1</v>
      </c>
      <c r="F1439" s="5">
        <f t="shared" si="345"/>
        <v>1</v>
      </c>
      <c r="G1439" s="71">
        <v>45668</v>
      </c>
      <c r="H1439" s="4" t="s">
        <v>26</v>
      </c>
      <c r="I1439" s="8">
        <v>12</v>
      </c>
      <c r="J1439" s="9">
        <v>3</v>
      </c>
      <c r="K1439" s="10">
        <v>3</v>
      </c>
      <c r="L1439" s="9"/>
      <c r="M1439" s="7">
        <f t="shared" si="346"/>
        <v>18</v>
      </c>
      <c r="N1439" s="39">
        <v>45675</v>
      </c>
    </row>
    <row r="1440" spans="1:14" x14ac:dyDescent="0.15">
      <c r="A1440" s="4" t="s">
        <v>639</v>
      </c>
      <c r="B1440" s="8"/>
      <c r="C1440" s="9"/>
      <c r="D1440" s="10">
        <v>2</v>
      </c>
      <c r="E1440" s="9"/>
      <c r="F1440" s="5">
        <f t="shared" si="345"/>
        <v>2</v>
      </c>
      <c r="G1440" s="39">
        <v>45671</v>
      </c>
      <c r="H1440" s="4" t="s">
        <v>200</v>
      </c>
      <c r="I1440" s="8">
        <v>6</v>
      </c>
      <c r="J1440" s="9"/>
      <c r="K1440" s="10">
        <v>4</v>
      </c>
      <c r="L1440" s="9"/>
      <c r="M1440" s="7">
        <f t="shared" si="346"/>
        <v>10</v>
      </c>
      <c r="N1440" s="39">
        <v>45679</v>
      </c>
    </row>
    <row r="1441" spans="1:14" x14ac:dyDescent="0.15">
      <c r="A1441" s="4" t="s">
        <v>678</v>
      </c>
      <c r="B1441" s="8"/>
      <c r="C1441" s="9">
        <v>1</v>
      </c>
      <c r="D1441" s="10"/>
      <c r="E1441" s="9"/>
      <c r="F1441" s="5">
        <f t="shared" si="345"/>
        <v>1</v>
      </c>
      <c r="G1441" s="39">
        <v>45674</v>
      </c>
      <c r="H1441" s="4" t="s">
        <v>200</v>
      </c>
      <c r="I1441" s="8"/>
      <c r="J1441" s="9">
        <v>6</v>
      </c>
      <c r="K1441" s="10">
        <v>4</v>
      </c>
      <c r="L1441" s="9"/>
      <c r="M1441" s="7">
        <f t="shared" si="346"/>
        <v>10</v>
      </c>
      <c r="N1441" s="39">
        <v>45680</v>
      </c>
    </row>
    <row r="1442" spans="1:14" x14ac:dyDescent="0.15">
      <c r="A1442" s="4" t="s">
        <v>200</v>
      </c>
      <c r="B1442" s="8">
        <v>4</v>
      </c>
      <c r="C1442" s="9"/>
      <c r="D1442" s="10"/>
      <c r="E1442" s="9"/>
      <c r="F1442" s="5">
        <f t="shared" si="345"/>
        <v>4</v>
      </c>
      <c r="G1442" s="39">
        <v>45677</v>
      </c>
      <c r="H1442" s="4" t="s">
        <v>200</v>
      </c>
      <c r="I1442" s="8"/>
      <c r="J1442" s="9">
        <v>6</v>
      </c>
      <c r="K1442" s="10"/>
      <c r="L1442" s="9"/>
      <c r="M1442" s="7">
        <f t="shared" si="346"/>
        <v>6</v>
      </c>
      <c r="N1442" s="39">
        <v>45681</v>
      </c>
    </row>
    <row r="1443" spans="1:14" x14ac:dyDescent="0.15">
      <c r="A1443" s="4" t="s">
        <v>639</v>
      </c>
      <c r="B1443" s="8">
        <v>2</v>
      </c>
      <c r="C1443" s="9"/>
      <c r="D1443" s="10"/>
      <c r="E1443" s="9"/>
      <c r="F1443" s="5">
        <f t="shared" si="345"/>
        <v>2</v>
      </c>
      <c r="G1443" s="39">
        <v>45674</v>
      </c>
      <c r="H1443" s="4" t="s">
        <v>200</v>
      </c>
      <c r="I1443" s="8">
        <v>14</v>
      </c>
      <c r="J1443" s="9">
        <v>12</v>
      </c>
      <c r="K1443" s="10"/>
      <c r="L1443" s="9"/>
      <c r="M1443" s="7">
        <f t="shared" si="346"/>
        <v>26</v>
      </c>
      <c r="N1443" s="39">
        <v>45686</v>
      </c>
    </row>
    <row r="1444" spans="1:14" x14ac:dyDescent="0.15">
      <c r="A1444" s="4" t="s">
        <v>679</v>
      </c>
      <c r="B1444" s="8">
        <v>2</v>
      </c>
      <c r="C1444" s="9"/>
      <c r="D1444" s="10"/>
      <c r="E1444" s="9"/>
      <c r="F1444" s="5">
        <f t="shared" si="345"/>
        <v>2</v>
      </c>
      <c r="G1444" s="39">
        <v>45675</v>
      </c>
      <c r="H1444" s="4" t="s">
        <v>26</v>
      </c>
      <c r="I1444" s="8"/>
      <c r="J1444" s="9"/>
      <c r="K1444" s="10">
        <v>10</v>
      </c>
      <c r="L1444" s="9"/>
      <c r="M1444" s="7">
        <f t="shared" si="346"/>
        <v>10</v>
      </c>
      <c r="N1444" s="39">
        <v>45686</v>
      </c>
    </row>
    <row r="1445" spans="1:14" x14ac:dyDescent="0.15">
      <c r="A1445" s="4" t="s">
        <v>639</v>
      </c>
      <c r="B1445" s="8"/>
      <c r="C1445" s="9"/>
      <c r="D1445" s="10"/>
      <c r="E1445" s="9">
        <v>2</v>
      </c>
      <c r="F1445" s="5">
        <f t="shared" si="345"/>
        <v>2</v>
      </c>
      <c r="G1445" s="39">
        <v>45675</v>
      </c>
      <c r="H1445" s="4" t="s">
        <v>200</v>
      </c>
      <c r="I1445" s="8"/>
      <c r="J1445" s="9"/>
      <c r="K1445" s="10"/>
      <c r="L1445" s="9">
        <v>2</v>
      </c>
      <c r="M1445" s="7">
        <f t="shared" si="346"/>
        <v>2</v>
      </c>
      <c r="N1445" s="39">
        <v>45688</v>
      </c>
    </row>
    <row r="1446" spans="1:14" x14ac:dyDescent="0.15">
      <c r="A1446" s="4" t="s">
        <v>639</v>
      </c>
      <c r="B1446" s="8"/>
      <c r="C1446" s="9"/>
      <c r="D1446" s="10">
        <v>1</v>
      </c>
      <c r="E1446" s="9"/>
      <c r="F1446" s="5">
        <f t="shared" ref="F1446" si="347">SUM(B1446:E1446)</f>
        <v>1</v>
      </c>
      <c r="G1446" s="39">
        <v>45681</v>
      </c>
      <c r="H1446" s="4" t="s">
        <v>674</v>
      </c>
      <c r="I1446" s="8"/>
      <c r="J1446" s="9">
        <v>1</v>
      </c>
      <c r="K1446" s="10"/>
      <c r="L1446" s="9"/>
      <c r="M1446" s="7">
        <f t="shared" si="346"/>
        <v>1</v>
      </c>
      <c r="N1446" s="39">
        <v>45692</v>
      </c>
    </row>
    <row r="1447" spans="1:14" x14ac:dyDescent="0.15">
      <c r="A1447" s="4" t="s">
        <v>639</v>
      </c>
      <c r="B1447" s="8"/>
      <c r="C1447" s="9"/>
      <c r="D1447" s="10">
        <v>1</v>
      </c>
      <c r="E1447" s="9"/>
      <c r="F1447" s="5">
        <f t="shared" si="345"/>
        <v>1</v>
      </c>
      <c r="G1447" s="39">
        <v>45684</v>
      </c>
      <c r="H1447" s="4" t="s">
        <v>26</v>
      </c>
      <c r="I1447" s="8"/>
      <c r="J1447" s="9"/>
      <c r="K1447" s="10">
        <v>4</v>
      </c>
      <c r="L1447" s="9">
        <v>3</v>
      </c>
      <c r="M1447" s="7">
        <f t="shared" si="346"/>
        <v>7</v>
      </c>
      <c r="N1447" s="39">
        <v>45689</v>
      </c>
    </row>
    <row r="1448" spans="1:14" x14ac:dyDescent="0.15">
      <c r="A1448" s="4" t="s">
        <v>200</v>
      </c>
      <c r="B1448" s="8"/>
      <c r="C1448" s="9"/>
      <c r="D1448" s="10">
        <v>4</v>
      </c>
      <c r="E1448" s="9"/>
      <c r="F1448" s="5">
        <f t="shared" si="345"/>
        <v>4</v>
      </c>
      <c r="G1448" s="39">
        <v>45687</v>
      </c>
      <c r="H1448" s="4" t="s">
        <v>684</v>
      </c>
      <c r="I1448" s="8">
        <v>25</v>
      </c>
      <c r="J1448" s="9"/>
      <c r="K1448" s="10">
        <v>5</v>
      </c>
      <c r="L1448" s="9"/>
      <c r="M1448" s="7">
        <f t="shared" si="346"/>
        <v>30</v>
      </c>
      <c r="N1448" s="39">
        <v>45693</v>
      </c>
    </row>
    <row r="1449" spans="1:14" x14ac:dyDescent="0.15">
      <c r="A1449" s="4" t="s">
        <v>200</v>
      </c>
      <c r="B1449" s="8"/>
      <c r="C1449" s="9"/>
      <c r="D1449" s="10">
        <v>4</v>
      </c>
      <c r="E1449" s="9">
        <v>2</v>
      </c>
      <c r="F1449" s="5">
        <f t="shared" si="345"/>
        <v>6</v>
      </c>
      <c r="G1449" s="39">
        <v>45688</v>
      </c>
      <c r="H1449" s="4" t="s">
        <v>200</v>
      </c>
      <c r="I1449" s="8">
        <v>2</v>
      </c>
      <c r="J1449" s="9">
        <v>4</v>
      </c>
      <c r="K1449" s="10"/>
      <c r="L1449" s="9">
        <v>2</v>
      </c>
      <c r="M1449" s="7">
        <f t="shared" si="346"/>
        <v>8</v>
      </c>
      <c r="N1449" s="39">
        <v>45694</v>
      </c>
    </row>
    <row r="1450" spans="1:14" x14ac:dyDescent="0.15">
      <c r="A1450" s="4" t="s">
        <v>639</v>
      </c>
      <c r="B1450" s="8"/>
      <c r="C1450" s="9"/>
      <c r="D1450" s="10"/>
      <c r="E1450" s="9">
        <v>2</v>
      </c>
      <c r="F1450" s="5">
        <f t="shared" si="345"/>
        <v>2</v>
      </c>
      <c r="G1450" s="39">
        <v>45686</v>
      </c>
      <c r="H1450" s="4" t="s">
        <v>685</v>
      </c>
      <c r="I1450" s="8"/>
      <c r="J1450" s="9">
        <v>20</v>
      </c>
      <c r="K1450" s="10">
        <v>10</v>
      </c>
      <c r="L1450" s="9"/>
      <c r="M1450" s="7">
        <f t="shared" si="346"/>
        <v>30</v>
      </c>
      <c r="N1450" s="39">
        <v>45693</v>
      </c>
    </row>
    <row r="1451" spans="1:14" x14ac:dyDescent="0.15">
      <c r="A1451" s="4" t="s">
        <v>200</v>
      </c>
      <c r="B1451" s="8"/>
      <c r="C1451" s="9"/>
      <c r="D1451" s="10">
        <v>4</v>
      </c>
      <c r="E1451" s="9"/>
      <c r="F1451" s="5">
        <f t="shared" ref="F1451" si="348">SUM(B1451:E1451)</f>
        <v>4</v>
      </c>
      <c r="G1451" s="39">
        <v>45691</v>
      </c>
      <c r="H1451" s="4" t="s">
        <v>686</v>
      </c>
      <c r="I1451" s="8"/>
      <c r="J1451" s="9"/>
      <c r="K1451" s="10">
        <v>10</v>
      </c>
      <c r="L1451" s="9"/>
      <c r="M1451" s="7">
        <f t="shared" si="346"/>
        <v>10</v>
      </c>
      <c r="N1451" s="39">
        <v>45694</v>
      </c>
    </row>
    <row r="1452" spans="1:14" x14ac:dyDescent="0.15">
      <c r="A1452" s="4" t="s">
        <v>200</v>
      </c>
      <c r="B1452" s="8"/>
      <c r="C1452" s="9">
        <v>2</v>
      </c>
      <c r="D1452" s="10"/>
      <c r="E1452" s="9"/>
      <c r="F1452" s="5">
        <f t="shared" si="345"/>
        <v>2</v>
      </c>
      <c r="G1452" s="39">
        <v>45694</v>
      </c>
      <c r="H1452" s="4" t="s">
        <v>688</v>
      </c>
      <c r="I1452" s="8"/>
      <c r="J1452" s="9">
        <v>20</v>
      </c>
      <c r="K1452" s="10">
        <v>5</v>
      </c>
      <c r="L1452" s="9"/>
      <c r="M1452" s="7">
        <f t="shared" si="346"/>
        <v>25</v>
      </c>
      <c r="N1452" s="39">
        <v>45695</v>
      </c>
    </row>
    <row r="1453" spans="1:14" x14ac:dyDescent="0.15">
      <c r="A1453" s="4"/>
      <c r="B1453" s="8"/>
      <c r="C1453" s="9"/>
      <c r="D1453" s="10"/>
      <c r="E1453" s="9"/>
      <c r="F1453" s="5">
        <f t="shared" si="345"/>
        <v>0</v>
      </c>
      <c r="G1453" s="41"/>
      <c r="H1453" s="4"/>
      <c r="I1453" s="8"/>
      <c r="J1453" s="9"/>
      <c r="K1453" s="10"/>
      <c r="L1453" s="9"/>
      <c r="M1453" s="7">
        <f t="shared" si="346"/>
        <v>0</v>
      </c>
    </row>
    <row r="1454" spans="1:14" x14ac:dyDescent="0.15">
      <c r="A1454" s="4"/>
      <c r="B1454" s="8"/>
      <c r="C1454" s="9"/>
      <c r="D1454" s="10"/>
      <c r="E1454" s="9"/>
      <c r="F1454" s="5">
        <f t="shared" si="345"/>
        <v>0</v>
      </c>
      <c r="H1454" s="4"/>
      <c r="I1454" s="8"/>
      <c r="J1454" s="9"/>
      <c r="K1454" s="10"/>
      <c r="L1454" s="9"/>
      <c r="M1454" s="7">
        <f t="shared" ref="M1454:M1458" si="349">SUM(I1454:L1454)</f>
        <v>0</v>
      </c>
    </row>
    <row r="1455" spans="1:14" x14ac:dyDescent="0.15">
      <c r="A1455" s="4"/>
      <c r="B1455" s="8"/>
      <c r="C1455" s="9"/>
      <c r="D1455" s="10"/>
      <c r="E1455" s="9"/>
      <c r="F1455" s="5">
        <f t="shared" si="345"/>
        <v>0</v>
      </c>
      <c r="H1455" s="4" t="s">
        <v>668</v>
      </c>
      <c r="I1455" s="8"/>
      <c r="J1455" s="9"/>
      <c r="K1455" s="10"/>
      <c r="L1455" s="9"/>
      <c r="M1455" s="7">
        <f t="shared" ref="M1455" si="350">SUM(I1455:L1455)</f>
        <v>0</v>
      </c>
      <c r="N1455" s="41" t="s">
        <v>669</v>
      </c>
    </row>
    <row r="1456" spans="1:14" x14ac:dyDescent="0.15">
      <c r="A1456" s="4"/>
      <c r="B1456" s="8"/>
      <c r="C1456" s="9"/>
      <c r="D1456" s="10"/>
      <c r="E1456" s="9"/>
      <c r="F1456" s="5">
        <f t="shared" si="345"/>
        <v>0</v>
      </c>
      <c r="H1456" s="4" t="s">
        <v>666</v>
      </c>
      <c r="I1456" s="8"/>
      <c r="J1456" s="9"/>
      <c r="K1456" s="10"/>
      <c r="L1456" s="9"/>
      <c r="M1456" s="7">
        <f t="shared" si="349"/>
        <v>0</v>
      </c>
      <c r="N1456" s="41" t="s">
        <v>667</v>
      </c>
    </row>
    <row r="1457" spans="1:14" x14ac:dyDescent="0.15">
      <c r="A1457" s="4"/>
      <c r="B1457" s="8"/>
      <c r="C1457" s="9"/>
      <c r="D1457" s="10"/>
      <c r="E1457" s="9"/>
      <c r="F1457" s="5">
        <f t="shared" si="345"/>
        <v>0</v>
      </c>
      <c r="H1457" s="101" t="s">
        <v>656</v>
      </c>
      <c r="I1457" s="102"/>
      <c r="J1457" s="103"/>
      <c r="K1457" s="104"/>
      <c r="L1457" s="103"/>
      <c r="M1457" s="105">
        <f t="shared" si="349"/>
        <v>0</v>
      </c>
      <c r="N1457" s="41"/>
    </row>
    <row r="1458" spans="1:14" ht="14.25" thickBot="1" x14ac:dyDescent="0.2">
      <c r="A1458" s="4"/>
      <c r="B1458" s="8"/>
      <c r="C1458" s="9"/>
      <c r="D1458" s="10"/>
      <c r="E1458" s="9"/>
      <c r="F1458" s="5">
        <f t="shared" si="345"/>
        <v>0</v>
      </c>
      <c r="H1458" s="4" t="s">
        <v>655</v>
      </c>
      <c r="I1458" s="8"/>
      <c r="J1458" s="9"/>
      <c r="K1458" s="10"/>
      <c r="L1458" s="9"/>
      <c r="M1458" s="7">
        <f t="shared" si="349"/>
        <v>0</v>
      </c>
      <c r="N1458" s="41" t="s">
        <v>657</v>
      </c>
    </row>
    <row r="1459" spans="1:14" ht="14.25" thickBot="1" x14ac:dyDescent="0.2">
      <c r="A1459" s="3" t="s">
        <v>5</v>
      </c>
      <c r="B1459" s="14">
        <f>SUM(B1435:B1458)</f>
        <v>12</v>
      </c>
      <c r="C1459" s="14">
        <f>SUM(C1435:C1458)</f>
        <v>7</v>
      </c>
      <c r="D1459" s="14">
        <f>SUM(D1435:D1458)</f>
        <v>20</v>
      </c>
      <c r="E1459" s="14">
        <f>SUM(E1435:E1458)</f>
        <v>10</v>
      </c>
      <c r="F1459" s="15">
        <f>SUM(B1459:E1459)</f>
        <v>49</v>
      </c>
      <c r="H1459" s="3" t="s">
        <v>5</v>
      </c>
      <c r="I1459" s="14">
        <f>SUM(I1435:I1458)</f>
        <v>71</v>
      </c>
      <c r="J1459" s="14">
        <f>SUM(J1435:J1458)</f>
        <v>98</v>
      </c>
      <c r="K1459" s="14">
        <f>SUM(K1435:K1458)</f>
        <v>73</v>
      </c>
      <c r="L1459" s="14">
        <f>SUM(L1435:L1458)</f>
        <v>15</v>
      </c>
      <c r="M1459" s="15">
        <f>SUM(I1459:L1459)</f>
        <v>257</v>
      </c>
    </row>
    <row r="1460" spans="1:14" ht="14.25" thickBot="1" x14ac:dyDescent="0.2">
      <c r="A1460" s="25" t="s">
        <v>6</v>
      </c>
      <c r="B1460" s="26">
        <f>B1434-B1459</f>
        <v>16</v>
      </c>
      <c r="C1460" s="26">
        <f t="shared" ref="C1460:F1460" si="351">C1434-C1459</f>
        <v>7</v>
      </c>
      <c r="D1460" s="26">
        <f t="shared" si="351"/>
        <v>8</v>
      </c>
      <c r="E1460" s="26">
        <f t="shared" si="351"/>
        <v>6</v>
      </c>
      <c r="F1460" s="24">
        <f t="shared" si="351"/>
        <v>37</v>
      </c>
      <c r="H1460" s="25" t="s">
        <v>6</v>
      </c>
      <c r="I1460" s="26">
        <f>I1434-I1459</f>
        <v>337</v>
      </c>
      <c r="J1460" s="26">
        <f t="shared" ref="J1460:M1460" si="352">J1434-J1459</f>
        <v>224</v>
      </c>
      <c r="K1460" s="26">
        <f t="shared" si="352"/>
        <v>173</v>
      </c>
      <c r="L1460" s="26">
        <f t="shared" si="352"/>
        <v>75</v>
      </c>
      <c r="M1460" s="24">
        <f t="shared" si="352"/>
        <v>809</v>
      </c>
    </row>
    <row r="1461" spans="1:14" x14ac:dyDescent="0.15">
      <c r="I1461" s="99"/>
      <c r="J1461" s="99"/>
      <c r="K1461" s="99"/>
      <c r="L1461" s="99"/>
      <c r="M1461" s="99"/>
    </row>
    <row r="1463" spans="1:14" ht="21.75" thickBot="1" x14ac:dyDescent="0.25">
      <c r="A1463" s="29" t="s">
        <v>13</v>
      </c>
      <c r="B1463" s="1"/>
      <c r="C1463" s="1"/>
      <c r="D1463" s="1"/>
      <c r="E1463" s="1"/>
      <c r="F1463" s="1"/>
      <c r="H1463" s="29" t="s">
        <v>14</v>
      </c>
      <c r="I1463" s="1"/>
      <c r="J1463" s="1"/>
      <c r="K1463" s="1"/>
      <c r="L1463" s="1"/>
      <c r="M1463" s="1"/>
    </row>
    <row r="1464" spans="1:14" ht="14.25" thickBot="1" x14ac:dyDescent="0.2">
      <c r="A1464" s="2" t="s">
        <v>0</v>
      </c>
      <c r="B1464" s="164" t="s">
        <v>12</v>
      </c>
      <c r="C1464" s="165"/>
      <c r="D1464" s="165"/>
      <c r="E1464" s="165"/>
      <c r="F1464" s="117"/>
      <c r="H1464" s="2" t="s">
        <v>0</v>
      </c>
      <c r="I1464" s="164" t="s">
        <v>12</v>
      </c>
      <c r="J1464" s="165"/>
      <c r="K1464" s="165"/>
      <c r="L1464" s="165"/>
      <c r="M1464" s="117"/>
    </row>
    <row r="1465" spans="1:14" ht="14.25" thickBot="1" x14ac:dyDescent="0.2">
      <c r="A1465" s="2" t="s">
        <v>1</v>
      </c>
      <c r="B1465" s="3" t="s">
        <v>489</v>
      </c>
      <c r="C1465" s="2" t="s">
        <v>490</v>
      </c>
      <c r="D1465" s="19" t="s">
        <v>491</v>
      </c>
      <c r="E1465" s="2" t="s">
        <v>492</v>
      </c>
      <c r="F1465" s="2" t="s">
        <v>2</v>
      </c>
      <c r="H1465" s="2" t="s">
        <v>1</v>
      </c>
      <c r="I1465" s="3" t="s">
        <v>489</v>
      </c>
      <c r="J1465" s="2" t="s">
        <v>490</v>
      </c>
      <c r="K1465" s="19" t="s">
        <v>491</v>
      </c>
      <c r="L1465" s="2" t="s">
        <v>492</v>
      </c>
      <c r="M1465" s="2" t="s">
        <v>2</v>
      </c>
    </row>
    <row r="1466" spans="1:14" x14ac:dyDescent="0.15">
      <c r="A1466" s="27" t="s">
        <v>6</v>
      </c>
      <c r="B1466" s="18">
        <f>B1460</f>
        <v>16</v>
      </c>
      <c r="C1466" s="20">
        <f>C1460</f>
        <v>7</v>
      </c>
      <c r="D1466" s="55">
        <f>D1460</f>
        <v>8</v>
      </c>
      <c r="E1466" s="20">
        <f>E1460</f>
        <v>6</v>
      </c>
      <c r="F1466" s="17">
        <f>SUM(B1466:E1466)</f>
        <v>37</v>
      </c>
      <c r="H1466" s="27" t="s">
        <v>6</v>
      </c>
      <c r="I1466" s="18">
        <f>I1460</f>
        <v>337</v>
      </c>
      <c r="J1466" s="20">
        <f>J1460</f>
        <v>224</v>
      </c>
      <c r="K1466" s="55">
        <f>K1460</f>
        <v>173</v>
      </c>
      <c r="L1466" s="58">
        <f>L1460</f>
        <v>75</v>
      </c>
      <c r="M1466" s="17">
        <f>SUM(I1466:L1466)</f>
        <v>809</v>
      </c>
    </row>
    <row r="1467" spans="1:14" x14ac:dyDescent="0.15">
      <c r="A1467" s="6" t="s">
        <v>3</v>
      </c>
      <c r="B1467" s="31"/>
      <c r="C1467" s="32">
        <v>3</v>
      </c>
      <c r="D1467" s="31">
        <v>3</v>
      </c>
      <c r="E1467" s="52"/>
      <c r="F1467" s="5">
        <f t="shared" ref="F1467:F1476" si="353">SUM(B1467:E1467)</f>
        <v>6</v>
      </c>
      <c r="G1467" s="39">
        <v>45701</v>
      </c>
      <c r="H1467" s="6" t="s">
        <v>3</v>
      </c>
      <c r="I1467" s="31"/>
      <c r="J1467" s="32"/>
      <c r="K1467" s="31"/>
      <c r="L1467" s="52"/>
      <c r="M1467" s="5">
        <f t="shared" ref="M1467:M1476" si="354">SUM(I1467:L1467)</f>
        <v>0</v>
      </c>
    </row>
    <row r="1468" spans="1:14" x14ac:dyDescent="0.15">
      <c r="A1468" s="6" t="s">
        <v>3</v>
      </c>
      <c r="B1468" s="31"/>
      <c r="C1468" s="32">
        <v>5</v>
      </c>
      <c r="D1468" s="31"/>
      <c r="E1468" s="52"/>
      <c r="F1468" s="5">
        <f t="shared" si="353"/>
        <v>5</v>
      </c>
      <c r="G1468" s="39">
        <v>45706</v>
      </c>
      <c r="H1468" s="6" t="s">
        <v>3</v>
      </c>
      <c r="I1468" s="31"/>
      <c r="J1468" s="32"/>
      <c r="K1468" s="31"/>
      <c r="L1468" s="52"/>
      <c r="M1468" s="5">
        <f t="shared" si="354"/>
        <v>0</v>
      </c>
    </row>
    <row r="1469" spans="1:14" x14ac:dyDescent="0.15">
      <c r="A1469" s="6" t="s">
        <v>3</v>
      </c>
      <c r="B1469" s="31">
        <v>1</v>
      </c>
      <c r="C1469" s="32">
        <v>1</v>
      </c>
      <c r="D1469" s="31"/>
      <c r="E1469" s="52"/>
      <c r="F1469" s="5">
        <f t="shared" si="353"/>
        <v>2</v>
      </c>
      <c r="G1469" s="39">
        <v>45705</v>
      </c>
      <c r="H1469" s="6" t="s">
        <v>315</v>
      </c>
      <c r="I1469" s="31">
        <v>170</v>
      </c>
      <c r="J1469" s="32">
        <v>180</v>
      </c>
      <c r="K1469" s="31">
        <v>100</v>
      </c>
      <c r="L1469" s="52">
        <v>150</v>
      </c>
      <c r="M1469" s="5">
        <f t="shared" si="354"/>
        <v>600</v>
      </c>
      <c r="N1469" s="39" t="s">
        <v>687</v>
      </c>
    </row>
    <row r="1470" spans="1:14" x14ac:dyDescent="0.15">
      <c r="A1470" s="6" t="s">
        <v>3</v>
      </c>
      <c r="B1470" s="31"/>
      <c r="C1470" s="32"/>
      <c r="D1470" s="31">
        <v>3</v>
      </c>
      <c r="E1470" s="52"/>
      <c r="F1470" s="5">
        <f t="shared" si="353"/>
        <v>3</v>
      </c>
      <c r="G1470" s="39">
        <v>45728</v>
      </c>
      <c r="H1470" s="6" t="s">
        <v>3</v>
      </c>
      <c r="I1470" s="31"/>
      <c r="J1470" s="32"/>
      <c r="K1470" s="31"/>
      <c r="L1470" s="52"/>
      <c r="M1470" s="5">
        <f t="shared" ref="M1470" si="355">SUM(I1470:L1470)</f>
        <v>0</v>
      </c>
      <c r="N1470" s="41" t="s">
        <v>675</v>
      </c>
    </row>
    <row r="1471" spans="1:14" x14ac:dyDescent="0.15">
      <c r="A1471" s="6" t="s">
        <v>45</v>
      </c>
      <c r="B1471" s="31"/>
      <c r="C1471" s="32"/>
      <c r="D1471" s="31">
        <v>2</v>
      </c>
      <c r="E1471" s="52"/>
      <c r="F1471" s="5">
        <f t="shared" si="353"/>
        <v>2</v>
      </c>
      <c r="G1471" s="39">
        <v>45729</v>
      </c>
      <c r="H1471" s="6" t="s">
        <v>3</v>
      </c>
      <c r="I1471" s="31"/>
      <c r="J1471" s="32"/>
      <c r="K1471" s="31"/>
      <c r="L1471" s="52"/>
      <c r="M1471" s="5">
        <f t="shared" si="354"/>
        <v>0</v>
      </c>
    </row>
    <row r="1472" spans="1:14" x14ac:dyDescent="0.15">
      <c r="A1472" s="6" t="s">
        <v>3</v>
      </c>
      <c r="B1472" s="31"/>
      <c r="C1472" s="32"/>
      <c r="D1472" s="31"/>
      <c r="E1472" s="52"/>
      <c r="F1472" s="5">
        <f t="shared" si="353"/>
        <v>0</v>
      </c>
      <c r="G1472" s="41"/>
      <c r="H1472" s="6" t="s">
        <v>3</v>
      </c>
      <c r="I1472" s="31"/>
      <c r="J1472" s="32"/>
      <c r="K1472" s="31"/>
      <c r="L1472" s="52"/>
      <c r="M1472" s="5">
        <f t="shared" si="354"/>
        <v>0</v>
      </c>
    </row>
    <row r="1473" spans="1:15" x14ac:dyDescent="0.15">
      <c r="A1473" s="6" t="s">
        <v>3</v>
      </c>
      <c r="B1473" s="31"/>
      <c r="C1473" s="32"/>
      <c r="D1473" s="31"/>
      <c r="E1473" s="52"/>
      <c r="F1473" s="5">
        <f t="shared" si="353"/>
        <v>0</v>
      </c>
      <c r="G1473" s="41"/>
      <c r="H1473" s="6" t="s">
        <v>3</v>
      </c>
      <c r="I1473" s="31"/>
      <c r="J1473" s="32"/>
      <c r="K1473" s="31"/>
      <c r="L1473" s="52"/>
      <c r="M1473" s="5">
        <f t="shared" si="354"/>
        <v>0</v>
      </c>
    </row>
    <row r="1474" spans="1:15" x14ac:dyDescent="0.15">
      <c r="A1474" s="6" t="s">
        <v>3</v>
      </c>
      <c r="B1474" s="10"/>
      <c r="C1474" s="9"/>
      <c r="D1474" s="10"/>
      <c r="E1474" s="49"/>
      <c r="F1474" s="5">
        <f t="shared" si="353"/>
        <v>0</v>
      </c>
      <c r="H1474" s="6" t="s">
        <v>3</v>
      </c>
      <c r="I1474" s="31"/>
      <c r="J1474" s="32"/>
      <c r="K1474" s="31"/>
      <c r="L1474" s="52"/>
      <c r="M1474" s="5">
        <f t="shared" si="354"/>
        <v>0</v>
      </c>
    </row>
    <row r="1475" spans="1:15" x14ac:dyDescent="0.15">
      <c r="A1475" s="6" t="s">
        <v>3</v>
      </c>
      <c r="B1475" s="31"/>
      <c r="C1475" s="32"/>
      <c r="D1475" s="31"/>
      <c r="E1475" s="52"/>
      <c r="F1475" s="5">
        <f t="shared" si="353"/>
        <v>0</v>
      </c>
      <c r="H1475" s="6" t="s">
        <v>3</v>
      </c>
      <c r="I1475" s="34"/>
      <c r="J1475" s="35"/>
      <c r="K1475" s="34"/>
      <c r="L1475" s="32"/>
      <c r="M1475" s="5">
        <f t="shared" si="354"/>
        <v>0</v>
      </c>
    </row>
    <row r="1476" spans="1:15" ht="14.25" thickBot="1" x14ac:dyDescent="0.2">
      <c r="A1476" s="6" t="s">
        <v>3</v>
      </c>
      <c r="B1476" s="13"/>
      <c r="C1476" s="12"/>
      <c r="D1476" s="13"/>
      <c r="E1476" s="50"/>
      <c r="F1476" s="5">
        <f t="shared" si="353"/>
        <v>0</v>
      </c>
      <c r="H1476" s="6" t="s">
        <v>3</v>
      </c>
      <c r="I1476" s="34"/>
      <c r="J1476" s="35"/>
      <c r="K1476" s="34"/>
      <c r="L1476" s="53"/>
      <c r="M1476" s="5">
        <f t="shared" si="354"/>
        <v>0</v>
      </c>
    </row>
    <row r="1477" spans="1:15" ht="14.25" thickBot="1" x14ac:dyDescent="0.2">
      <c r="A1477" s="21" t="s">
        <v>4</v>
      </c>
      <c r="B1477" s="22">
        <f>SUM(B1466:B1476)</f>
        <v>17</v>
      </c>
      <c r="C1477" s="22">
        <f>SUM(C1466:C1476)</f>
        <v>16</v>
      </c>
      <c r="D1477" s="23">
        <f>SUM(D1466:D1476)</f>
        <v>16</v>
      </c>
      <c r="E1477" s="23">
        <f>SUM(E1466:E1476)</f>
        <v>6</v>
      </c>
      <c r="F1477" s="24">
        <f>SUM(B1477:E1477)</f>
        <v>55</v>
      </c>
      <c r="H1477" s="21" t="s">
        <v>4</v>
      </c>
      <c r="I1477" s="22">
        <f>SUM(I1466:I1476)</f>
        <v>507</v>
      </c>
      <c r="J1477" s="22">
        <f>SUM(J1466:J1476)</f>
        <v>404</v>
      </c>
      <c r="K1477" s="23">
        <f>SUM(K1466:K1476)</f>
        <v>273</v>
      </c>
      <c r="L1477" s="23">
        <f>SUM(L1466:L1476)</f>
        <v>225</v>
      </c>
      <c r="M1477" s="24">
        <f>SUM(I1477:L1477)</f>
        <v>1409</v>
      </c>
    </row>
    <row r="1478" spans="1:15" x14ac:dyDescent="0.15">
      <c r="A1478" s="4" t="s">
        <v>200</v>
      </c>
      <c r="B1478" s="8"/>
      <c r="C1478" s="9"/>
      <c r="D1478" s="10">
        <v>4</v>
      </c>
      <c r="E1478" s="9"/>
      <c r="F1478" s="5">
        <f t="shared" ref="F1478:F1501" si="356">SUM(B1478:E1478)</f>
        <v>4</v>
      </c>
      <c r="G1478" s="39">
        <v>45698</v>
      </c>
      <c r="H1478" s="4" t="s">
        <v>200</v>
      </c>
      <c r="I1478" s="8"/>
      <c r="J1478" s="9">
        <v>2</v>
      </c>
      <c r="K1478" s="10">
        <v>2</v>
      </c>
      <c r="L1478" s="9"/>
      <c r="M1478" s="7">
        <f t="shared" ref="M1478:M1496" si="357">SUM(I1478:L1478)</f>
        <v>4</v>
      </c>
      <c r="N1478" s="39">
        <v>45695</v>
      </c>
    </row>
    <row r="1479" spans="1:15" x14ac:dyDescent="0.15">
      <c r="A1479" s="4" t="s">
        <v>639</v>
      </c>
      <c r="B1479" s="8"/>
      <c r="C1479" s="9">
        <v>3</v>
      </c>
      <c r="D1479" s="10"/>
      <c r="E1479" s="9"/>
      <c r="F1479" s="5">
        <f t="shared" si="356"/>
        <v>3</v>
      </c>
      <c r="G1479" s="39">
        <v>45698</v>
      </c>
      <c r="H1479" s="4" t="s">
        <v>200</v>
      </c>
      <c r="I1479" s="8">
        <v>2</v>
      </c>
      <c r="J1479" s="9">
        <v>4</v>
      </c>
      <c r="K1479" s="10">
        <v>2</v>
      </c>
      <c r="L1479" s="9"/>
      <c r="M1479" s="7">
        <f t="shared" si="357"/>
        <v>8</v>
      </c>
      <c r="N1479" s="39">
        <v>45695</v>
      </c>
    </row>
    <row r="1480" spans="1:15" x14ac:dyDescent="0.15">
      <c r="A1480" s="4" t="s">
        <v>200</v>
      </c>
      <c r="B1480" s="8"/>
      <c r="C1480" s="9">
        <v>2</v>
      </c>
      <c r="D1480" s="10"/>
      <c r="E1480" s="9"/>
      <c r="F1480" s="5">
        <f t="shared" si="356"/>
        <v>2</v>
      </c>
      <c r="G1480" s="39">
        <v>45702</v>
      </c>
      <c r="H1480" s="4" t="s">
        <v>200</v>
      </c>
      <c r="I1480" s="8"/>
      <c r="J1480" s="9"/>
      <c r="K1480" s="10">
        <v>6</v>
      </c>
      <c r="L1480" s="9"/>
      <c r="M1480" s="7">
        <f t="shared" si="357"/>
        <v>6</v>
      </c>
      <c r="N1480" s="39">
        <v>45700</v>
      </c>
      <c r="O1480" s="30"/>
    </row>
    <row r="1481" spans="1:15" x14ac:dyDescent="0.15">
      <c r="A1481" s="4" t="s">
        <v>200</v>
      </c>
      <c r="B1481" s="8">
        <v>2</v>
      </c>
      <c r="C1481" s="9">
        <v>2</v>
      </c>
      <c r="D1481" s="10"/>
      <c r="E1481" s="9"/>
      <c r="F1481" s="5">
        <f t="shared" si="356"/>
        <v>4</v>
      </c>
      <c r="G1481" s="39">
        <v>45707</v>
      </c>
      <c r="H1481" s="4" t="s">
        <v>200</v>
      </c>
      <c r="I1481" s="8">
        <v>2</v>
      </c>
      <c r="J1481" s="9"/>
      <c r="K1481" s="10">
        <v>2</v>
      </c>
      <c r="L1481" s="9">
        <v>2</v>
      </c>
      <c r="M1481" s="7">
        <f t="shared" si="357"/>
        <v>6</v>
      </c>
      <c r="N1481" s="39">
        <v>45702</v>
      </c>
      <c r="O1481" s="30"/>
    </row>
    <row r="1482" spans="1:15" x14ac:dyDescent="0.15">
      <c r="A1482" s="4" t="s">
        <v>200</v>
      </c>
      <c r="B1482" s="8">
        <v>2</v>
      </c>
      <c r="C1482" s="9"/>
      <c r="D1482" s="10"/>
      <c r="E1482" s="9"/>
      <c r="F1482" s="5">
        <f t="shared" si="356"/>
        <v>2</v>
      </c>
      <c r="G1482" s="39">
        <v>45708</v>
      </c>
      <c r="H1482" s="4" t="s">
        <v>690</v>
      </c>
      <c r="I1482" s="8"/>
      <c r="J1482" s="9">
        <v>3</v>
      </c>
      <c r="K1482" s="10">
        <v>3</v>
      </c>
      <c r="L1482" s="9"/>
      <c r="M1482" s="7">
        <f t="shared" si="357"/>
        <v>6</v>
      </c>
      <c r="N1482" s="39">
        <v>45701</v>
      </c>
    </row>
    <row r="1483" spans="1:15" x14ac:dyDescent="0.15">
      <c r="A1483" s="4" t="s">
        <v>200</v>
      </c>
      <c r="B1483" s="8">
        <v>2</v>
      </c>
      <c r="C1483" s="9"/>
      <c r="D1483" s="10"/>
      <c r="E1483" s="9"/>
      <c r="F1483" s="5">
        <f t="shared" si="356"/>
        <v>2</v>
      </c>
      <c r="G1483" s="39">
        <v>45713</v>
      </c>
      <c r="H1483" s="4" t="s">
        <v>200</v>
      </c>
      <c r="I1483" s="8"/>
      <c r="J1483" s="9">
        <v>6</v>
      </c>
      <c r="K1483" s="10"/>
      <c r="L1483" s="9"/>
      <c r="M1483" s="7">
        <f t="shared" si="357"/>
        <v>6</v>
      </c>
      <c r="N1483" s="39">
        <v>45705</v>
      </c>
    </row>
    <row r="1484" spans="1:15" x14ac:dyDescent="0.15">
      <c r="A1484" s="4" t="s">
        <v>692</v>
      </c>
      <c r="B1484" s="8">
        <v>1</v>
      </c>
      <c r="C1484" s="9"/>
      <c r="D1484" s="10"/>
      <c r="E1484" s="9"/>
      <c r="F1484" s="5">
        <f t="shared" si="356"/>
        <v>1</v>
      </c>
      <c r="G1484" s="39">
        <v>45710</v>
      </c>
      <c r="H1484" s="4" t="s">
        <v>26</v>
      </c>
      <c r="I1484" s="8"/>
      <c r="J1484" s="9">
        <v>5</v>
      </c>
      <c r="K1484" s="10"/>
      <c r="L1484" s="9"/>
      <c r="M1484" s="7">
        <f t="shared" si="357"/>
        <v>5</v>
      </c>
      <c r="N1484" s="39">
        <v>45706</v>
      </c>
    </row>
    <row r="1485" spans="1:15" x14ac:dyDescent="0.15">
      <c r="A1485" s="4" t="s">
        <v>639</v>
      </c>
      <c r="B1485" s="8">
        <v>2</v>
      </c>
      <c r="C1485" s="9"/>
      <c r="D1485" s="10">
        <v>2</v>
      </c>
      <c r="E1485" s="9"/>
      <c r="F1485" s="5">
        <f t="shared" si="356"/>
        <v>4</v>
      </c>
      <c r="G1485" s="39">
        <v>45713</v>
      </c>
      <c r="H1485" s="4" t="s">
        <v>200</v>
      </c>
      <c r="I1485" s="8">
        <v>2</v>
      </c>
      <c r="J1485" s="9">
        <v>6</v>
      </c>
      <c r="K1485" s="10">
        <v>4</v>
      </c>
      <c r="L1485" s="9">
        <v>2</v>
      </c>
      <c r="M1485" s="7">
        <f t="shared" si="357"/>
        <v>14</v>
      </c>
      <c r="N1485" s="39">
        <v>45709</v>
      </c>
    </row>
    <row r="1486" spans="1:15" x14ac:dyDescent="0.15">
      <c r="A1486" s="4" t="s">
        <v>639</v>
      </c>
      <c r="B1486" s="8"/>
      <c r="C1486" s="9">
        <v>1</v>
      </c>
      <c r="D1486" s="10"/>
      <c r="E1486" s="9"/>
      <c r="F1486" s="5">
        <f t="shared" si="356"/>
        <v>1</v>
      </c>
      <c r="G1486" s="39">
        <v>45721</v>
      </c>
      <c r="H1486" s="4" t="s">
        <v>200</v>
      </c>
      <c r="I1486" s="8">
        <v>2</v>
      </c>
      <c r="J1486" s="9">
        <v>6</v>
      </c>
      <c r="K1486" s="10"/>
      <c r="L1486" s="9"/>
      <c r="M1486" s="7">
        <f t="shared" si="357"/>
        <v>8</v>
      </c>
      <c r="N1486" s="39">
        <v>45715</v>
      </c>
    </row>
    <row r="1487" spans="1:15" x14ac:dyDescent="0.15">
      <c r="A1487" s="4" t="s">
        <v>39</v>
      </c>
      <c r="B1487" s="8">
        <v>1</v>
      </c>
      <c r="C1487" s="9"/>
      <c r="D1487" s="10"/>
      <c r="E1487" s="9"/>
      <c r="F1487" s="5">
        <f t="shared" si="356"/>
        <v>1</v>
      </c>
      <c r="G1487" s="39">
        <v>45727</v>
      </c>
      <c r="H1487" s="4" t="s">
        <v>200</v>
      </c>
      <c r="I1487" s="8">
        <v>10</v>
      </c>
      <c r="J1487" s="9"/>
      <c r="K1487" s="10"/>
      <c r="L1487" s="9"/>
      <c r="M1487" s="7">
        <f t="shared" ref="M1487" si="358">SUM(I1487:L1487)</f>
        <v>10</v>
      </c>
      <c r="N1487" s="39">
        <v>45721</v>
      </c>
    </row>
    <row r="1488" spans="1:15" x14ac:dyDescent="0.15">
      <c r="A1488" s="4" t="s">
        <v>639</v>
      </c>
      <c r="B1488" s="8"/>
      <c r="C1488" s="9"/>
      <c r="D1488" s="10">
        <v>2</v>
      </c>
      <c r="E1488" s="9"/>
      <c r="F1488" s="5">
        <f t="shared" si="356"/>
        <v>2</v>
      </c>
      <c r="G1488" s="39">
        <v>45726</v>
      </c>
      <c r="H1488" s="4" t="s">
        <v>200</v>
      </c>
      <c r="I1488" s="8">
        <v>14</v>
      </c>
      <c r="J1488" s="9"/>
      <c r="K1488" s="10"/>
      <c r="L1488" s="9"/>
      <c r="M1488" s="7">
        <f t="shared" si="357"/>
        <v>14</v>
      </c>
      <c r="N1488" s="39">
        <v>45723</v>
      </c>
    </row>
    <row r="1489" spans="1:17" x14ac:dyDescent="0.15">
      <c r="A1489" s="4" t="s">
        <v>200</v>
      </c>
      <c r="B1489" s="8"/>
      <c r="C1489" s="9">
        <v>2</v>
      </c>
      <c r="D1489" s="10"/>
      <c r="E1489" s="9">
        <v>2</v>
      </c>
      <c r="F1489" s="5">
        <f t="shared" si="356"/>
        <v>4</v>
      </c>
      <c r="G1489" s="39">
        <v>45729</v>
      </c>
      <c r="H1489" s="4" t="s">
        <v>200</v>
      </c>
      <c r="I1489" s="8">
        <v>4</v>
      </c>
      <c r="J1489" s="9">
        <v>2</v>
      </c>
      <c r="K1489" s="10">
        <v>2</v>
      </c>
      <c r="L1489" s="9"/>
      <c r="M1489" s="7">
        <f t="shared" si="357"/>
        <v>8</v>
      </c>
      <c r="N1489" s="39">
        <v>45726</v>
      </c>
    </row>
    <row r="1490" spans="1:17" x14ac:dyDescent="0.15">
      <c r="A1490" s="4" t="s">
        <v>639</v>
      </c>
      <c r="B1490" s="8"/>
      <c r="C1490" s="9">
        <v>1</v>
      </c>
      <c r="D1490" s="10"/>
      <c r="E1490" s="9"/>
      <c r="F1490" s="5">
        <f t="shared" si="356"/>
        <v>1</v>
      </c>
      <c r="G1490" s="39">
        <v>45727</v>
      </c>
      <c r="H1490" s="4" t="s">
        <v>200</v>
      </c>
      <c r="I1490" s="8">
        <v>2</v>
      </c>
      <c r="J1490" s="9"/>
      <c r="K1490" s="10">
        <v>6</v>
      </c>
      <c r="L1490" s="9">
        <v>4</v>
      </c>
      <c r="M1490" s="7">
        <f t="shared" si="357"/>
        <v>12</v>
      </c>
      <c r="N1490" s="39">
        <v>45728</v>
      </c>
    </row>
    <row r="1491" spans="1:17" x14ac:dyDescent="0.15">
      <c r="A1491" s="4"/>
      <c r="B1491" s="8"/>
      <c r="C1491" s="9"/>
      <c r="D1491" s="10"/>
      <c r="E1491" s="9"/>
      <c r="F1491" s="5">
        <f t="shared" si="356"/>
        <v>0</v>
      </c>
      <c r="H1491" s="4" t="s">
        <v>698</v>
      </c>
      <c r="I1491" s="8">
        <v>20</v>
      </c>
      <c r="J1491" s="9">
        <v>20</v>
      </c>
      <c r="K1491" s="10">
        <v>20</v>
      </c>
      <c r="L1491" s="9">
        <v>10</v>
      </c>
      <c r="M1491" s="7">
        <f t="shared" si="357"/>
        <v>70</v>
      </c>
      <c r="N1491" s="39">
        <v>45733</v>
      </c>
    </row>
    <row r="1492" spans="1:17" x14ac:dyDescent="0.15">
      <c r="A1492" s="4"/>
      <c r="B1492" s="8"/>
      <c r="C1492" s="9"/>
      <c r="D1492" s="10"/>
      <c r="E1492" s="9"/>
      <c r="F1492" s="5">
        <f t="shared" si="356"/>
        <v>0</v>
      </c>
      <c r="H1492" s="4" t="s">
        <v>26</v>
      </c>
      <c r="I1492" s="8"/>
      <c r="J1492" s="9"/>
      <c r="K1492" s="10">
        <v>3</v>
      </c>
      <c r="L1492" s="9"/>
      <c r="M1492" s="7">
        <f t="shared" si="357"/>
        <v>3</v>
      </c>
      <c r="N1492" s="39">
        <v>45728</v>
      </c>
    </row>
    <row r="1493" spans="1:17" x14ac:dyDescent="0.15">
      <c r="A1493" s="4"/>
      <c r="B1493" s="8"/>
      <c r="C1493" s="9"/>
      <c r="D1493" s="10"/>
      <c r="E1493" s="9"/>
      <c r="F1493" s="5">
        <f t="shared" si="356"/>
        <v>0</v>
      </c>
      <c r="H1493" s="4" t="s">
        <v>699</v>
      </c>
      <c r="I1493" s="8">
        <v>24</v>
      </c>
      <c r="J1493" s="9">
        <v>24</v>
      </c>
      <c r="K1493" s="10">
        <v>12</v>
      </c>
      <c r="L1493" s="9">
        <v>8</v>
      </c>
      <c r="M1493" s="7">
        <f t="shared" si="357"/>
        <v>68</v>
      </c>
      <c r="N1493" s="39">
        <v>45735</v>
      </c>
    </row>
    <row r="1494" spans="1:17" x14ac:dyDescent="0.15">
      <c r="A1494" s="4"/>
      <c r="B1494" s="8"/>
      <c r="C1494" s="9"/>
      <c r="D1494" s="10"/>
      <c r="E1494" s="9"/>
      <c r="F1494" s="5">
        <f t="shared" si="356"/>
        <v>0</v>
      </c>
      <c r="H1494" s="4" t="s">
        <v>200</v>
      </c>
      <c r="I1494" s="8"/>
      <c r="J1494" s="9"/>
      <c r="K1494" s="10"/>
      <c r="L1494" s="9">
        <v>2</v>
      </c>
      <c r="M1494" s="7">
        <f t="shared" si="357"/>
        <v>2</v>
      </c>
      <c r="N1494" s="39">
        <v>45730</v>
      </c>
      <c r="O1494" s="30"/>
      <c r="P1494" s="30"/>
    </row>
    <row r="1495" spans="1:17" x14ac:dyDescent="0.15">
      <c r="A1495" s="4"/>
      <c r="B1495" s="8"/>
      <c r="C1495" s="9"/>
      <c r="D1495" s="10"/>
      <c r="E1495" s="9"/>
      <c r="F1495" s="5">
        <f t="shared" si="356"/>
        <v>0</v>
      </c>
      <c r="H1495" s="4" t="s">
        <v>200</v>
      </c>
      <c r="I1495" s="8"/>
      <c r="J1495" s="9">
        <v>4</v>
      </c>
      <c r="K1495" s="10"/>
      <c r="L1495" s="9"/>
      <c r="M1495" s="7">
        <f t="shared" si="357"/>
        <v>4</v>
      </c>
      <c r="N1495" s="39">
        <v>45733</v>
      </c>
      <c r="O1495" s="30"/>
      <c r="P1495" s="30"/>
    </row>
    <row r="1496" spans="1:17" x14ac:dyDescent="0.15">
      <c r="A1496" s="4"/>
      <c r="B1496" s="8"/>
      <c r="C1496" s="9"/>
      <c r="D1496" s="10"/>
      <c r="E1496" s="9"/>
      <c r="F1496" s="5">
        <f t="shared" si="356"/>
        <v>0</v>
      </c>
      <c r="H1496" s="4" t="s">
        <v>200</v>
      </c>
      <c r="I1496" s="8">
        <v>4</v>
      </c>
      <c r="J1496" s="9">
        <v>6</v>
      </c>
      <c r="K1496" s="10"/>
      <c r="L1496" s="9"/>
      <c r="M1496" s="7">
        <f t="shared" si="357"/>
        <v>10</v>
      </c>
      <c r="N1496" s="39">
        <v>45735</v>
      </c>
      <c r="O1496" s="30"/>
      <c r="P1496" s="30"/>
    </row>
    <row r="1497" spans="1:17" x14ac:dyDescent="0.15">
      <c r="A1497" s="4"/>
      <c r="B1497" s="8"/>
      <c r="C1497" s="9"/>
      <c r="D1497" s="10"/>
      <c r="E1497" s="9"/>
      <c r="F1497" s="5">
        <f t="shared" si="356"/>
        <v>0</v>
      </c>
      <c r="H1497" s="4"/>
      <c r="I1497" s="8"/>
      <c r="J1497" s="9"/>
      <c r="K1497" s="10"/>
      <c r="L1497" s="9"/>
      <c r="M1497" s="7">
        <f t="shared" ref="M1497:M1500" si="359">SUM(I1497:L1497)</f>
        <v>0</v>
      </c>
      <c r="N1497" s="41"/>
      <c r="O1497" s="30"/>
      <c r="P1497" s="30"/>
    </row>
    <row r="1498" spans="1:17" x14ac:dyDescent="0.15">
      <c r="A1498" s="4"/>
      <c r="B1498" s="8"/>
      <c r="C1498" s="9"/>
      <c r="D1498" s="10"/>
      <c r="E1498" s="9"/>
      <c r="F1498" s="5">
        <f t="shared" si="356"/>
        <v>0</v>
      </c>
      <c r="H1498" s="4" t="s">
        <v>673</v>
      </c>
      <c r="I1498" s="8"/>
      <c r="J1498" s="9"/>
      <c r="K1498" s="10"/>
      <c r="L1498" s="9"/>
      <c r="M1498" s="7">
        <f t="shared" si="359"/>
        <v>0</v>
      </c>
      <c r="N1498" s="41" t="s">
        <v>564</v>
      </c>
    </row>
    <row r="1499" spans="1:17" x14ac:dyDescent="0.15">
      <c r="A1499" s="4"/>
      <c r="B1499" s="8"/>
      <c r="C1499" s="9"/>
      <c r="D1499" s="10"/>
      <c r="E1499" s="9"/>
      <c r="F1499" s="5">
        <f t="shared" si="356"/>
        <v>0</v>
      </c>
      <c r="H1499" s="4" t="s">
        <v>676</v>
      </c>
      <c r="I1499" s="8"/>
      <c r="J1499" s="9"/>
      <c r="K1499" s="10"/>
      <c r="L1499" s="9"/>
      <c r="M1499" s="7">
        <f t="shared" si="359"/>
        <v>0</v>
      </c>
      <c r="N1499" s="41" t="s">
        <v>677</v>
      </c>
    </row>
    <row r="1500" spans="1:17" x14ac:dyDescent="0.15">
      <c r="A1500" s="4"/>
      <c r="B1500" s="8"/>
      <c r="C1500" s="9"/>
      <c r="D1500" s="10"/>
      <c r="E1500" s="9"/>
      <c r="F1500" s="5">
        <f t="shared" si="356"/>
        <v>0</v>
      </c>
      <c r="H1500" s="4" t="s">
        <v>573</v>
      </c>
      <c r="I1500" s="8"/>
      <c r="J1500" s="9"/>
      <c r="K1500" s="10"/>
      <c r="L1500" s="9"/>
      <c r="M1500" s="7">
        <f t="shared" si="359"/>
        <v>0</v>
      </c>
      <c r="N1500" s="41" t="s">
        <v>574</v>
      </c>
    </row>
    <row r="1501" spans="1:17" ht="14.25" thickBot="1" x14ac:dyDescent="0.2">
      <c r="A1501" s="4"/>
      <c r="B1501" s="8"/>
      <c r="C1501" s="9"/>
      <c r="D1501" s="10"/>
      <c r="E1501" s="9"/>
      <c r="F1501" s="5">
        <f t="shared" si="356"/>
        <v>0</v>
      </c>
      <c r="H1501" s="4" t="s">
        <v>693</v>
      </c>
      <c r="I1501" s="8"/>
      <c r="J1501" s="9"/>
      <c r="K1501" s="10"/>
      <c r="L1501" s="9"/>
      <c r="M1501" s="7">
        <f t="shared" ref="M1501" si="360">SUM(I1501:L1501)</f>
        <v>0</v>
      </c>
      <c r="N1501" s="41" t="s">
        <v>694</v>
      </c>
      <c r="O1501" s="144"/>
      <c r="P1501" s="144"/>
      <c r="Q1501" s="144"/>
    </row>
    <row r="1502" spans="1:17" ht="14.25" thickBot="1" x14ac:dyDescent="0.2">
      <c r="A1502" s="3" t="s">
        <v>5</v>
      </c>
      <c r="B1502" s="14">
        <f>SUM(B1478:B1501)</f>
        <v>10</v>
      </c>
      <c r="C1502" s="14">
        <f>SUM(C1478:C1501)</f>
        <v>11</v>
      </c>
      <c r="D1502" s="14">
        <f>SUM(D1478:D1501)</f>
        <v>8</v>
      </c>
      <c r="E1502" s="14">
        <f>SUM(E1478:E1501)</f>
        <v>2</v>
      </c>
      <c r="F1502" s="15">
        <f>SUM(B1502:E1502)</f>
        <v>31</v>
      </c>
      <c r="H1502" s="3" t="s">
        <v>5</v>
      </c>
      <c r="I1502" s="14">
        <f>SUM(I1478:I1501)</f>
        <v>86</v>
      </c>
      <c r="J1502" s="14">
        <f>SUM(J1478:J1501)</f>
        <v>88</v>
      </c>
      <c r="K1502" s="14">
        <f>SUM(K1478:K1501)</f>
        <v>62</v>
      </c>
      <c r="L1502" s="14">
        <f>SUM(L1478:L1501)</f>
        <v>28</v>
      </c>
      <c r="M1502" s="15">
        <f>SUM(I1502:L1502)</f>
        <v>264</v>
      </c>
      <c r="N1502" s="143"/>
    </row>
    <row r="1503" spans="1:17" ht="14.25" thickBot="1" x14ac:dyDescent="0.2">
      <c r="A1503" s="25" t="s">
        <v>6</v>
      </c>
      <c r="B1503" s="26">
        <f>B1477-B1502</f>
        <v>7</v>
      </c>
      <c r="C1503" s="26">
        <f t="shared" ref="C1503:F1503" si="361">C1477-C1502</f>
        <v>5</v>
      </c>
      <c r="D1503" s="26">
        <f t="shared" si="361"/>
        <v>8</v>
      </c>
      <c r="E1503" s="26">
        <f t="shared" si="361"/>
        <v>4</v>
      </c>
      <c r="F1503" s="24">
        <f t="shared" si="361"/>
        <v>24</v>
      </c>
      <c r="H1503" s="25" t="s">
        <v>6</v>
      </c>
      <c r="I1503" s="26">
        <f>I1477-I1502</f>
        <v>421</v>
      </c>
      <c r="J1503" s="26">
        <f t="shared" ref="J1503:M1503" si="362">J1477-J1502</f>
        <v>316</v>
      </c>
      <c r="K1503" s="26">
        <f t="shared" si="362"/>
        <v>211</v>
      </c>
      <c r="L1503" s="26">
        <f t="shared" si="362"/>
        <v>197</v>
      </c>
      <c r="M1503" s="24">
        <f t="shared" si="362"/>
        <v>1145</v>
      </c>
    </row>
    <row r="1504" spans="1:17" x14ac:dyDescent="0.15">
      <c r="I1504" s="99"/>
      <c r="J1504" s="99"/>
      <c r="K1504" s="99"/>
      <c r="L1504" s="99"/>
      <c r="M1504" s="99"/>
    </row>
    <row r="1506" spans="1:14" ht="21.75" thickBot="1" x14ac:dyDescent="0.25">
      <c r="A1506" s="29" t="s">
        <v>13</v>
      </c>
      <c r="B1506" s="1"/>
      <c r="C1506" s="1"/>
      <c r="D1506" s="1"/>
      <c r="E1506" s="1"/>
      <c r="F1506" s="1"/>
      <c r="H1506" s="29" t="s">
        <v>14</v>
      </c>
      <c r="I1506" s="1"/>
      <c r="J1506" s="1"/>
      <c r="K1506" s="1"/>
      <c r="L1506" s="1"/>
      <c r="M1506" s="1"/>
    </row>
    <row r="1507" spans="1:14" ht="14.25" thickBot="1" x14ac:dyDescent="0.2">
      <c r="A1507" s="2" t="s">
        <v>0</v>
      </c>
      <c r="B1507" s="164" t="s">
        <v>12</v>
      </c>
      <c r="C1507" s="165"/>
      <c r="D1507" s="165"/>
      <c r="E1507" s="165"/>
      <c r="F1507" s="117"/>
      <c r="H1507" s="2" t="s">
        <v>0</v>
      </c>
      <c r="I1507" s="164" t="s">
        <v>12</v>
      </c>
      <c r="J1507" s="165"/>
      <c r="K1507" s="165"/>
      <c r="L1507" s="165"/>
      <c r="M1507" s="117"/>
    </row>
    <row r="1508" spans="1:14" ht="14.25" thickBot="1" x14ac:dyDescent="0.2">
      <c r="A1508" s="2" t="s">
        <v>1</v>
      </c>
      <c r="B1508" s="3" t="s">
        <v>489</v>
      </c>
      <c r="C1508" s="2" t="s">
        <v>490</v>
      </c>
      <c r="D1508" s="19" t="s">
        <v>491</v>
      </c>
      <c r="E1508" s="2" t="s">
        <v>492</v>
      </c>
      <c r="F1508" s="2" t="s">
        <v>2</v>
      </c>
      <c r="H1508" s="2" t="s">
        <v>1</v>
      </c>
      <c r="I1508" s="3" t="s">
        <v>489</v>
      </c>
      <c r="J1508" s="2" t="s">
        <v>490</v>
      </c>
      <c r="K1508" s="19" t="s">
        <v>491</v>
      </c>
      <c r="L1508" s="2" t="s">
        <v>492</v>
      </c>
      <c r="M1508" s="2" t="s">
        <v>2</v>
      </c>
    </row>
    <row r="1509" spans="1:14" x14ac:dyDescent="0.15">
      <c r="A1509" s="27" t="s">
        <v>6</v>
      </c>
      <c r="B1509" s="18">
        <f>B1503</f>
        <v>7</v>
      </c>
      <c r="C1509" s="20">
        <f>C1503</f>
        <v>5</v>
      </c>
      <c r="D1509" s="55">
        <f>D1503</f>
        <v>8</v>
      </c>
      <c r="E1509" s="20">
        <f>E1503</f>
        <v>4</v>
      </c>
      <c r="F1509" s="17">
        <f>SUM(B1509:E1509)</f>
        <v>24</v>
      </c>
      <c r="H1509" s="27" t="s">
        <v>6</v>
      </c>
      <c r="I1509" s="18">
        <f>I1503</f>
        <v>421</v>
      </c>
      <c r="J1509" s="20">
        <f>J1503</f>
        <v>316</v>
      </c>
      <c r="K1509" s="55">
        <f>K1503</f>
        <v>211</v>
      </c>
      <c r="L1509" s="58">
        <f>L1503</f>
        <v>197</v>
      </c>
      <c r="M1509" s="17">
        <f>SUM(I1509:L1509)</f>
        <v>1145</v>
      </c>
    </row>
    <row r="1510" spans="1:14" x14ac:dyDescent="0.15">
      <c r="A1510" s="6" t="s">
        <v>3</v>
      </c>
      <c r="B1510" s="31">
        <v>5</v>
      </c>
      <c r="C1510" s="32">
        <v>5</v>
      </c>
      <c r="D1510" s="31"/>
      <c r="E1510" s="52"/>
      <c r="F1510" s="5">
        <f t="shared" ref="F1510:F1519" si="363">SUM(B1510:E1510)</f>
        <v>10</v>
      </c>
      <c r="G1510" s="39">
        <v>45740</v>
      </c>
      <c r="H1510" s="6" t="s">
        <v>3</v>
      </c>
      <c r="I1510" s="31"/>
      <c r="J1510" s="32">
        <v>100</v>
      </c>
      <c r="K1510" s="31">
        <v>50</v>
      </c>
      <c r="L1510" s="52">
        <v>50</v>
      </c>
      <c r="M1510" s="5">
        <f t="shared" ref="M1510:M1519" si="364">SUM(I1510:L1510)</f>
        <v>200</v>
      </c>
      <c r="N1510" s="39" t="s">
        <v>706</v>
      </c>
    </row>
    <row r="1511" spans="1:14" x14ac:dyDescent="0.15">
      <c r="A1511" s="6" t="s">
        <v>45</v>
      </c>
      <c r="B1511" s="31"/>
      <c r="C1511" s="32">
        <v>3</v>
      </c>
      <c r="D1511" s="31">
        <v>1</v>
      </c>
      <c r="E1511" s="52">
        <v>2</v>
      </c>
      <c r="F1511" s="5">
        <f t="shared" si="363"/>
        <v>6</v>
      </c>
      <c r="G1511" s="39">
        <v>45743</v>
      </c>
      <c r="H1511" s="6" t="s">
        <v>3</v>
      </c>
      <c r="I1511" s="31"/>
      <c r="J1511" s="32"/>
      <c r="K1511" s="31"/>
      <c r="L1511" s="52"/>
      <c r="M1511" s="5">
        <f t="shared" si="364"/>
        <v>0</v>
      </c>
    </row>
    <row r="1512" spans="1:14" x14ac:dyDescent="0.15">
      <c r="A1512" s="6" t="s">
        <v>3</v>
      </c>
      <c r="B1512" s="31">
        <v>3</v>
      </c>
      <c r="C1512" s="32">
        <v>5</v>
      </c>
      <c r="D1512" s="31">
        <v>3</v>
      </c>
      <c r="E1512" s="52">
        <f>2+3</f>
        <v>5</v>
      </c>
      <c r="F1512" s="5">
        <f t="shared" si="363"/>
        <v>16</v>
      </c>
      <c r="G1512" s="39">
        <v>45752</v>
      </c>
      <c r="H1512" s="145" t="s">
        <v>17</v>
      </c>
      <c r="I1512" s="146">
        <v>250</v>
      </c>
      <c r="J1512" s="147">
        <f>450-100</f>
        <v>350</v>
      </c>
      <c r="K1512" s="146">
        <f>300-50</f>
        <v>250</v>
      </c>
      <c r="L1512" s="148">
        <f>200-50</f>
        <v>150</v>
      </c>
      <c r="M1512" s="149">
        <f t="shared" si="364"/>
        <v>1000</v>
      </c>
      <c r="N1512" s="85" t="s">
        <v>707</v>
      </c>
    </row>
    <row r="1513" spans="1:14" x14ac:dyDescent="0.15">
      <c r="A1513" s="6" t="s">
        <v>3</v>
      </c>
      <c r="B1513" s="31"/>
      <c r="C1513" s="32"/>
      <c r="D1513" s="31"/>
      <c r="E1513" s="52"/>
      <c r="F1513" s="5">
        <f t="shared" si="363"/>
        <v>0</v>
      </c>
      <c r="G1513" s="41"/>
      <c r="H1513" s="145" t="s">
        <v>155</v>
      </c>
      <c r="I1513" s="146">
        <v>2</v>
      </c>
      <c r="J1513" s="147">
        <v>-7</v>
      </c>
      <c r="K1513" s="146">
        <v>-19</v>
      </c>
      <c r="L1513" s="148">
        <v>1</v>
      </c>
      <c r="M1513" s="149">
        <f t="shared" si="364"/>
        <v>-23</v>
      </c>
      <c r="N1513" s="150" t="s">
        <v>695</v>
      </c>
    </row>
    <row r="1514" spans="1:14" x14ac:dyDescent="0.15">
      <c r="A1514" s="6" t="s">
        <v>3</v>
      </c>
      <c r="B1514" s="31"/>
      <c r="C1514" s="32"/>
      <c r="D1514" s="31"/>
      <c r="E1514" s="52"/>
      <c r="F1514" s="5">
        <f t="shared" si="363"/>
        <v>0</v>
      </c>
      <c r="G1514" s="41"/>
      <c r="H1514" s="145" t="s">
        <v>131</v>
      </c>
      <c r="I1514" s="146">
        <v>5</v>
      </c>
      <c r="J1514" s="147">
        <v>18</v>
      </c>
      <c r="K1514" s="146">
        <v>13</v>
      </c>
      <c r="L1514" s="148">
        <v>23</v>
      </c>
      <c r="M1514" s="149">
        <f t="shared" si="364"/>
        <v>59</v>
      </c>
      <c r="N1514" s="85">
        <v>45751</v>
      </c>
    </row>
    <row r="1515" spans="1:14" x14ac:dyDescent="0.15">
      <c r="A1515" s="6" t="s">
        <v>3</v>
      </c>
      <c r="B1515" s="31"/>
      <c r="C1515" s="32"/>
      <c r="D1515" s="31"/>
      <c r="E1515" s="52"/>
      <c r="F1515" s="5">
        <f t="shared" si="363"/>
        <v>0</v>
      </c>
      <c r="G1515" s="41"/>
      <c r="H1515" s="6" t="s">
        <v>3</v>
      </c>
      <c r="I1515" s="31"/>
      <c r="J1515" s="32"/>
      <c r="K1515" s="31"/>
      <c r="L1515" s="52"/>
      <c r="M1515" s="5">
        <f t="shared" si="364"/>
        <v>0</v>
      </c>
    </row>
    <row r="1516" spans="1:14" x14ac:dyDescent="0.15">
      <c r="A1516" s="6" t="s">
        <v>3</v>
      </c>
      <c r="B1516" s="31"/>
      <c r="C1516" s="32"/>
      <c r="D1516" s="31"/>
      <c r="E1516" s="52"/>
      <c r="F1516" s="5">
        <f t="shared" si="363"/>
        <v>0</v>
      </c>
      <c r="G1516" s="41"/>
      <c r="H1516" s="6" t="s">
        <v>3</v>
      </c>
      <c r="I1516" s="31"/>
      <c r="J1516" s="32"/>
      <c r="K1516" s="31"/>
      <c r="L1516" s="52"/>
      <c r="M1516" s="5">
        <f t="shared" si="364"/>
        <v>0</v>
      </c>
    </row>
    <row r="1517" spans="1:14" x14ac:dyDescent="0.15">
      <c r="A1517" s="6" t="s">
        <v>3</v>
      </c>
      <c r="B1517" s="10"/>
      <c r="C1517" s="9"/>
      <c r="D1517" s="10"/>
      <c r="E1517" s="49"/>
      <c r="F1517" s="5">
        <f t="shared" si="363"/>
        <v>0</v>
      </c>
      <c r="H1517" s="6" t="s">
        <v>3</v>
      </c>
      <c r="I1517" s="31"/>
      <c r="J1517" s="32"/>
      <c r="K1517" s="31"/>
      <c r="L1517" s="52"/>
      <c r="M1517" s="5">
        <f t="shared" si="364"/>
        <v>0</v>
      </c>
    </row>
    <row r="1518" spans="1:14" x14ac:dyDescent="0.15">
      <c r="A1518" s="6" t="s">
        <v>3</v>
      </c>
      <c r="B1518" s="31"/>
      <c r="C1518" s="32"/>
      <c r="D1518" s="31"/>
      <c r="E1518" s="52"/>
      <c r="F1518" s="5">
        <f t="shared" si="363"/>
        <v>0</v>
      </c>
      <c r="H1518" s="6" t="s">
        <v>3</v>
      </c>
      <c r="I1518" s="34"/>
      <c r="J1518" s="35"/>
      <c r="K1518" s="34"/>
      <c r="L1518" s="32"/>
      <c r="M1518" s="5">
        <f t="shared" si="364"/>
        <v>0</v>
      </c>
    </row>
    <row r="1519" spans="1:14" ht="14.25" thickBot="1" x14ac:dyDescent="0.2">
      <c r="A1519" s="6" t="s">
        <v>3</v>
      </c>
      <c r="B1519" s="13"/>
      <c r="C1519" s="12"/>
      <c r="D1519" s="13"/>
      <c r="E1519" s="50"/>
      <c r="F1519" s="5">
        <f t="shared" si="363"/>
        <v>0</v>
      </c>
      <c r="H1519" s="6" t="s">
        <v>3</v>
      </c>
      <c r="I1519" s="34"/>
      <c r="J1519" s="35"/>
      <c r="K1519" s="34"/>
      <c r="L1519" s="53"/>
      <c r="M1519" s="5">
        <f t="shared" si="364"/>
        <v>0</v>
      </c>
    </row>
    <row r="1520" spans="1:14" ht="14.25" thickBot="1" x14ac:dyDescent="0.2">
      <c r="A1520" s="21" t="s">
        <v>4</v>
      </c>
      <c r="B1520" s="22">
        <f>SUM(B1509:B1519)</f>
        <v>15</v>
      </c>
      <c r="C1520" s="22">
        <f>SUM(C1509:C1519)</f>
        <v>18</v>
      </c>
      <c r="D1520" s="23">
        <f>SUM(D1509:D1519)</f>
        <v>12</v>
      </c>
      <c r="E1520" s="23">
        <f>SUM(E1509:E1519)</f>
        <v>11</v>
      </c>
      <c r="F1520" s="24">
        <f>SUM(B1520:E1520)</f>
        <v>56</v>
      </c>
      <c r="H1520" s="21" t="s">
        <v>4</v>
      </c>
      <c r="I1520" s="22">
        <f>SUM(I1509:I1519)</f>
        <v>678</v>
      </c>
      <c r="J1520" s="22">
        <f>SUM(J1509:J1519)</f>
        <v>777</v>
      </c>
      <c r="K1520" s="23">
        <f>SUM(K1509:K1519)</f>
        <v>505</v>
      </c>
      <c r="L1520" s="23">
        <f>SUM(L1509:L1519)</f>
        <v>421</v>
      </c>
      <c r="M1520" s="24">
        <f>SUM(I1520:L1520)</f>
        <v>2381</v>
      </c>
    </row>
    <row r="1521" spans="1:14" x14ac:dyDescent="0.15">
      <c r="A1521" s="4" t="s">
        <v>200</v>
      </c>
      <c r="B1521" s="8">
        <v>2</v>
      </c>
      <c r="C1521" s="9">
        <v>4</v>
      </c>
      <c r="D1521" s="10"/>
      <c r="E1521" s="9"/>
      <c r="F1521" s="5">
        <f t="shared" ref="F1521:F1544" si="365">SUM(B1521:E1521)</f>
        <v>6</v>
      </c>
      <c r="G1521" s="39">
        <v>45737</v>
      </c>
      <c r="H1521" s="4" t="s">
        <v>700</v>
      </c>
      <c r="I1521" s="8">
        <v>5</v>
      </c>
      <c r="J1521" s="9">
        <v>5</v>
      </c>
      <c r="K1521" s="10">
        <v>5</v>
      </c>
      <c r="L1521" s="9">
        <v>5</v>
      </c>
      <c r="M1521" s="7">
        <f t="shared" ref="M1521:M1544" si="366">SUM(I1521:L1521)</f>
        <v>20</v>
      </c>
      <c r="N1521" s="39">
        <v>45737</v>
      </c>
    </row>
    <row r="1522" spans="1:14" x14ac:dyDescent="0.15">
      <c r="A1522" s="4" t="s">
        <v>39</v>
      </c>
      <c r="B1522" s="8">
        <v>1</v>
      </c>
      <c r="C1522" s="9"/>
      <c r="D1522" s="10">
        <v>1</v>
      </c>
      <c r="E1522" s="9"/>
      <c r="F1522" s="5">
        <f t="shared" si="365"/>
        <v>2</v>
      </c>
      <c r="G1522" s="39">
        <v>45736</v>
      </c>
      <c r="H1522" s="4" t="s">
        <v>200</v>
      </c>
      <c r="I1522" s="8"/>
      <c r="J1522" s="9">
        <v>2</v>
      </c>
      <c r="K1522" s="10">
        <v>2</v>
      </c>
      <c r="L1522" s="9"/>
      <c r="M1522" s="7">
        <f t="shared" si="366"/>
        <v>4</v>
      </c>
      <c r="N1522" s="39">
        <v>45735</v>
      </c>
    </row>
    <row r="1523" spans="1:14" x14ac:dyDescent="0.15">
      <c r="A1523" s="4" t="s">
        <v>701</v>
      </c>
      <c r="B1523" s="8">
        <v>2</v>
      </c>
      <c r="C1523" s="9"/>
      <c r="D1523" s="10"/>
      <c r="E1523" s="9"/>
      <c r="F1523" s="5">
        <f t="shared" si="365"/>
        <v>2</v>
      </c>
      <c r="G1523" s="39">
        <v>45737</v>
      </c>
      <c r="H1523" s="4" t="s">
        <v>26</v>
      </c>
      <c r="I1523" s="8">
        <v>5</v>
      </c>
      <c r="J1523" s="9">
        <v>5</v>
      </c>
      <c r="K1523" s="10"/>
      <c r="L1523" s="9"/>
      <c r="M1523" s="7">
        <f t="shared" si="366"/>
        <v>10</v>
      </c>
      <c r="N1523" s="39">
        <v>45740</v>
      </c>
    </row>
    <row r="1524" spans="1:14" x14ac:dyDescent="0.15">
      <c r="A1524" s="4" t="s">
        <v>39</v>
      </c>
      <c r="B1524" s="8">
        <v>1</v>
      </c>
      <c r="C1524" s="9"/>
      <c r="D1524" s="10"/>
      <c r="E1524" s="9"/>
      <c r="F1524" s="5">
        <f t="shared" si="365"/>
        <v>1</v>
      </c>
      <c r="G1524" s="39">
        <v>45741</v>
      </c>
      <c r="H1524" s="4" t="s">
        <v>200</v>
      </c>
      <c r="I1524" s="8">
        <v>2</v>
      </c>
      <c r="J1524" s="9">
        <v>6</v>
      </c>
      <c r="K1524" s="10"/>
      <c r="L1524" s="9"/>
      <c r="M1524" s="7">
        <f t="shared" si="366"/>
        <v>8</v>
      </c>
      <c r="N1524" s="39">
        <v>45742</v>
      </c>
    </row>
    <row r="1525" spans="1:14" x14ac:dyDescent="0.15">
      <c r="A1525" s="4" t="s">
        <v>702</v>
      </c>
      <c r="B1525" s="8">
        <v>2</v>
      </c>
      <c r="C1525" s="9">
        <v>2</v>
      </c>
      <c r="D1525" s="10">
        <v>1</v>
      </c>
      <c r="E1525" s="9"/>
      <c r="F1525" s="5">
        <f t="shared" si="365"/>
        <v>5</v>
      </c>
      <c r="G1525" s="39">
        <v>45740</v>
      </c>
      <c r="H1525" s="4" t="s">
        <v>200</v>
      </c>
      <c r="I1525" s="8">
        <v>4</v>
      </c>
      <c r="J1525" s="9"/>
      <c r="K1525" s="10"/>
      <c r="L1525" s="9">
        <v>2</v>
      </c>
      <c r="M1525" s="7">
        <f t="shared" si="366"/>
        <v>6</v>
      </c>
      <c r="N1525" s="39">
        <v>45743</v>
      </c>
    </row>
    <row r="1526" spans="1:14" x14ac:dyDescent="0.15">
      <c r="A1526" s="4" t="s">
        <v>200</v>
      </c>
      <c r="B1526" s="8"/>
      <c r="C1526" s="9"/>
      <c r="D1526" s="10">
        <v>2</v>
      </c>
      <c r="E1526" s="9"/>
      <c r="F1526" s="5">
        <f t="shared" si="365"/>
        <v>2</v>
      </c>
      <c r="G1526" s="39">
        <v>45747</v>
      </c>
      <c r="H1526" s="4" t="s">
        <v>200</v>
      </c>
      <c r="I1526" s="8">
        <v>4</v>
      </c>
      <c r="J1526" s="9">
        <v>2</v>
      </c>
      <c r="K1526" s="10"/>
      <c r="L1526" s="9">
        <v>2</v>
      </c>
      <c r="M1526" s="7">
        <f t="shared" si="366"/>
        <v>8</v>
      </c>
      <c r="N1526" s="39">
        <v>45749</v>
      </c>
    </row>
    <row r="1527" spans="1:14" x14ac:dyDescent="0.15">
      <c r="A1527" s="4" t="s">
        <v>200</v>
      </c>
      <c r="B1527" s="8"/>
      <c r="C1527" s="9">
        <v>4</v>
      </c>
      <c r="D1527" s="10"/>
      <c r="E1527" s="9"/>
      <c r="F1527" s="5">
        <f t="shared" si="365"/>
        <v>4</v>
      </c>
      <c r="G1527" s="39">
        <v>45754</v>
      </c>
      <c r="H1527" s="4" t="s">
        <v>200</v>
      </c>
      <c r="I1527" s="8"/>
      <c r="J1527" s="9">
        <v>6</v>
      </c>
      <c r="K1527" s="10">
        <v>8</v>
      </c>
      <c r="L1527" s="9"/>
      <c r="M1527" s="7">
        <f t="shared" si="366"/>
        <v>14</v>
      </c>
      <c r="N1527" s="39">
        <v>45750</v>
      </c>
    </row>
    <row r="1528" spans="1:14" x14ac:dyDescent="0.15">
      <c r="A1528" s="4" t="s">
        <v>34</v>
      </c>
      <c r="B1528" s="8">
        <v>2</v>
      </c>
      <c r="C1528" s="9"/>
      <c r="D1528" s="10"/>
      <c r="E1528" s="9"/>
      <c r="F1528" s="5">
        <f t="shared" si="365"/>
        <v>2</v>
      </c>
      <c r="G1528" s="39">
        <v>45752</v>
      </c>
      <c r="H1528" s="4" t="s">
        <v>703</v>
      </c>
      <c r="I1528" s="8">
        <v>100</v>
      </c>
      <c r="J1528" s="9">
        <v>120</v>
      </c>
      <c r="K1528" s="10">
        <v>85</v>
      </c>
      <c r="L1528" s="9">
        <v>65</v>
      </c>
      <c r="M1528" s="7">
        <f t="shared" si="366"/>
        <v>370</v>
      </c>
      <c r="N1528" s="39">
        <v>45751</v>
      </c>
    </row>
    <row r="1529" spans="1:14" x14ac:dyDescent="0.15">
      <c r="A1529" s="4" t="s">
        <v>296</v>
      </c>
      <c r="B1529" s="8"/>
      <c r="C1529" s="9">
        <v>2</v>
      </c>
      <c r="D1529" s="10"/>
      <c r="E1529" s="9"/>
      <c r="F1529" s="5">
        <f t="shared" si="365"/>
        <v>2</v>
      </c>
      <c r="G1529" s="39">
        <v>45757</v>
      </c>
      <c r="H1529" s="4" t="s">
        <v>200</v>
      </c>
      <c r="I1529" s="8">
        <v>7</v>
      </c>
      <c r="J1529" s="9"/>
      <c r="K1529" s="10">
        <v>12</v>
      </c>
      <c r="L1529" s="9">
        <v>2</v>
      </c>
      <c r="M1529" s="7">
        <f t="shared" si="366"/>
        <v>21</v>
      </c>
      <c r="N1529" s="39">
        <v>45751</v>
      </c>
    </row>
    <row r="1530" spans="1:14" x14ac:dyDescent="0.15">
      <c r="A1530" s="4"/>
      <c r="B1530" s="8"/>
      <c r="C1530" s="9"/>
      <c r="D1530" s="10"/>
      <c r="E1530" s="9"/>
      <c r="F1530" s="5">
        <f t="shared" si="365"/>
        <v>0</v>
      </c>
      <c r="G1530" s="41"/>
      <c r="H1530" s="4" t="s">
        <v>200</v>
      </c>
      <c r="I1530" s="8">
        <v>2</v>
      </c>
      <c r="J1530" s="9">
        <v>14</v>
      </c>
      <c r="K1530" s="10"/>
      <c r="L1530" s="9"/>
      <c r="M1530" s="7">
        <f t="shared" si="366"/>
        <v>16</v>
      </c>
      <c r="N1530" s="39">
        <v>45751</v>
      </c>
    </row>
    <row r="1531" spans="1:14" x14ac:dyDescent="0.15">
      <c r="A1531" s="4"/>
      <c r="B1531" s="8"/>
      <c r="C1531" s="9"/>
      <c r="D1531" s="10"/>
      <c r="E1531" s="9"/>
      <c r="F1531" s="5">
        <f t="shared" si="365"/>
        <v>0</v>
      </c>
      <c r="H1531" s="4" t="s">
        <v>705</v>
      </c>
      <c r="I1531" s="8">
        <v>20</v>
      </c>
      <c r="J1531" s="9">
        <v>20</v>
      </c>
      <c r="K1531" s="10"/>
      <c r="L1531" s="9"/>
      <c r="M1531" s="7">
        <f t="shared" si="366"/>
        <v>40</v>
      </c>
      <c r="N1531" s="39">
        <v>45756</v>
      </c>
    </row>
    <row r="1532" spans="1:14" x14ac:dyDescent="0.15">
      <c r="A1532" s="4"/>
      <c r="B1532" s="8"/>
      <c r="C1532" s="9"/>
      <c r="D1532" s="10"/>
      <c r="E1532" s="9"/>
      <c r="F1532" s="5">
        <f t="shared" si="365"/>
        <v>0</v>
      </c>
      <c r="H1532" s="4" t="s">
        <v>26</v>
      </c>
      <c r="I1532" s="8">
        <v>3</v>
      </c>
      <c r="J1532" s="9">
        <v>5</v>
      </c>
      <c r="K1532" s="10">
        <v>3</v>
      </c>
      <c r="L1532" s="9">
        <v>3</v>
      </c>
      <c r="M1532" s="7">
        <f t="shared" si="366"/>
        <v>14</v>
      </c>
      <c r="N1532" s="39">
        <v>45752</v>
      </c>
    </row>
    <row r="1533" spans="1:14" x14ac:dyDescent="0.15">
      <c r="A1533" s="4"/>
      <c r="B1533" s="8"/>
      <c r="C1533" s="9"/>
      <c r="D1533" s="10"/>
      <c r="E1533" s="9"/>
      <c r="F1533" s="5">
        <f t="shared" si="365"/>
        <v>0</v>
      </c>
      <c r="H1533" s="4" t="s">
        <v>200</v>
      </c>
      <c r="I1533" s="8">
        <v>12</v>
      </c>
      <c r="J1533" s="9">
        <v>12</v>
      </c>
      <c r="K1533" s="10"/>
      <c r="L1533" s="9"/>
      <c r="M1533" s="7">
        <f t="shared" si="366"/>
        <v>24</v>
      </c>
      <c r="N1533" s="39">
        <v>45756</v>
      </c>
    </row>
    <row r="1534" spans="1:14" x14ac:dyDescent="0.15">
      <c r="A1534" s="4"/>
      <c r="B1534" s="8"/>
      <c r="C1534" s="9"/>
      <c r="D1534" s="10"/>
      <c r="E1534" s="9"/>
      <c r="F1534" s="5">
        <f t="shared" si="365"/>
        <v>0</v>
      </c>
      <c r="H1534" s="4" t="s">
        <v>200</v>
      </c>
      <c r="I1534" s="8"/>
      <c r="J1534" s="9">
        <v>24</v>
      </c>
      <c r="K1534" s="10"/>
      <c r="L1534" s="9"/>
      <c r="M1534" s="7">
        <f t="shared" si="366"/>
        <v>24</v>
      </c>
      <c r="N1534" s="39">
        <v>45758</v>
      </c>
    </row>
    <row r="1535" spans="1:14" x14ac:dyDescent="0.15">
      <c r="A1535" s="4"/>
      <c r="B1535" s="8"/>
      <c r="C1535" s="9"/>
      <c r="D1535" s="10"/>
      <c r="E1535" s="9"/>
      <c r="F1535" s="5">
        <f t="shared" si="365"/>
        <v>0</v>
      </c>
      <c r="H1535" s="4" t="s">
        <v>708</v>
      </c>
      <c r="I1535" s="8">
        <v>110</v>
      </c>
      <c r="J1535" s="9">
        <v>90</v>
      </c>
      <c r="K1535" s="10"/>
      <c r="L1535" s="9"/>
      <c r="M1535" s="7">
        <f t="shared" si="366"/>
        <v>200</v>
      </c>
      <c r="N1535" s="39">
        <v>45758</v>
      </c>
    </row>
    <row r="1536" spans="1:14" x14ac:dyDescent="0.15">
      <c r="A1536" s="4"/>
      <c r="B1536" s="8"/>
      <c r="C1536" s="9"/>
      <c r="D1536" s="10"/>
      <c r="E1536" s="9"/>
      <c r="F1536" s="5">
        <f t="shared" si="365"/>
        <v>0</v>
      </c>
      <c r="H1536" s="4" t="s">
        <v>709</v>
      </c>
      <c r="I1536" s="8"/>
      <c r="J1536" s="9">
        <v>24</v>
      </c>
      <c r="K1536" s="10"/>
      <c r="L1536" s="9"/>
      <c r="M1536" s="7">
        <f t="shared" si="366"/>
        <v>24</v>
      </c>
      <c r="N1536" s="39">
        <v>45758</v>
      </c>
    </row>
    <row r="1537" spans="1:17" x14ac:dyDescent="0.15">
      <c r="A1537" s="4"/>
      <c r="B1537" s="8"/>
      <c r="C1537" s="9"/>
      <c r="D1537" s="10"/>
      <c r="E1537" s="9"/>
      <c r="F1537" s="5">
        <f t="shared" si="365"/>
        <v>0</v>
      </c>
      <c r="H1537" s="4" t="s">
        <v>200</v>
      </c>
      <c r="I1537" s="8"/>
      <c r="J1537" s="9">
        <v>2</v>
      </c>
      <c r="K1537" s="10"/>
      <c r="L1537" s="9">
        <v>4</v>
      </c>
      <c r="M1537" s="7">
        <f t="shared" si="366"/>
        <v>6</v>
      </c>
      <c r="N1537" s="39">
        <v>45758</v>
      </c>
    </row>
    <row r="1538" spans="1:17" x14ac:dyDescent="0.15">
      <c r="A1538" s="4"/>
      <c r="B1538" s="8"/>
      <c r="C1538" s="9"/>
      <c r="D1538" s="10"/>
      <c r="E1538" s="9"/>
      <c r="F1538" s="5">
        <f t="shared" si="365"/>
        <v>0</v>
      </c>
      <c r="H1538" s="4" t="s">
        <v>710</v>
      </c>
      <c r="I1538" s="8">
        <v>14</v>
      </c>
      <c r="J1538" s="9"/>
      <c r="K1538" s="10"/>
      <c r="L1538" s="9"/>
      <c r="M1538" s="7">
        <f t="shared" si="366"/>
        <v>14</v>
      </c>
      <c r="N1538" s="39">
        <v>45761</v>
      </c>
    </row>
    <row r="1539" spans="1:17" x14ac:dyDescent="0.15">
      <c r="A1539" s="4"/>
      <c r="B1539" s="8"/>
      <c r="C1539" s="9"/>
      <c r="D1539" s="10"/>
      <c r="E1539" s="9"/>
      <c r="F1539" s="5">
        <f t="shared" si="365"/>
        <v>0</v>
      </c>
      <c r="H1539" s="4" t="s">
        <v>711</v>
      </c>
      <c r="I1539" s="8"/>
      <c r="J1539" s="9"/>
      <c r="K1539" s="10">
        <v>30</v>
      </c>
      <c r="L1539" s="9"/>
      <c r="M1539" s="7">
        <f t="shared" si="366"/>
        <v>30</v>
      </c>
      <c r="N1539" s="39">
        <v>45759</v>
      </c>
    </row>
    <row r="1540" spans="1:17" x14ac:dyDescent="0.15">
      <c r="A1540" s="4"/>
      <c r="B1540" s="8"/>
      <c r="C1540" s="9"/>
      <c r="D1540" s="10"/>
      <c r="E1540" s="9"/>
      <c r="F1540" s="5">
        <f t="shared" si="365"/>
        <v>0</v>
      </c>
      <c r="H1540" s="4"/>
      <c r="I1540" s="8"/>
      <c r="J1540" s="9"/>
      <c r="K1540" s="10"/>
      <c r="L1540" s="9"/>
      <c r="M1540" s="7">
        <f t="shared" ref="M1540" si="367">SUM(I1540:L1540)</f>
        <v>0</v>
      </c>
      <c r="N1540" s="41"/>
    </row>
    <row r="1541" spans="1:17" x14ac:dyDescent="0.15">
      <c r="A1541" s="4"/>
      <c r="B1541" s="8"/>
      <c r="C1541" s="9"/>
      <c r="D1541" s="10"/>
      <c r="E1541" s="9"/>
      <c r="F1541" s="5">
        <f t="shared" si="365"/>
        <v>0</v>
      </c>
      <c r="H1541" s="101" t="s">
        <v>682</v>
      </c>
      <c r="I1541" s="102"/>
      <c r="J1541" s="103"/>
      <c r="K1541" s="104"/>
      <c r="L1541" s="103"/>
      <c r="M1541" s="105">
        <f t="shared" si="366"/>
        <v>0</v>
      </c>
      <c r="N1541" s="106"/>
    </row>
    <row r="1542" spans="1:17" x14ac:dyDescent="0.15">
      <c r="A1542" s="4"/>
      <c r="B1542" s="8"/>
      <c r="C1542" s="9"/>
      <c r="D1542" s="10"/>
      <c r="E1542" s="9"/>
      <c r="F1542" s="5">
        <f t="shared" si="365"/>
        <v>0</v>
      </c>
      <c r="H1542" s="4" t="s">
        <v>680</v>
      </c>
      <c r="I1542" s="8"/>
      <c r="J1542" s="9"/>
      <c r="K1542" s="10"/>
      <c r="L1542" s="9"/>
      <c r="M1542" s="7">
        <f t="shared" si="366"/>
        <v>0</v>
      </c>
      <c r="N1542" s="41" t="s">
        <v>681</v>
      </c>
    </row>
    <row r="1543" spans="1:17" x14ac:dyDescent="0.15">
      <c r="A1543" s="4"/>
      <c r="B1543" s="8"/>
      <c r="C1543" s="9"/>
      <c r="D1543" s="10"/>
      <c r="E1543" s="9"/>
      <c r="F1543" s="5">
        <f t="shared" si="365"/>
        <v>0</v>
      </c>
      <c r="H1543" s="101" t="s">
        <v>683</v>
      </c>
      <c r="I1543" s="102"/>
      <c r="J1543" s="103"/>
      <c r="K1543" s="104"/>
      <c r="L1543" s="103"/>
      <c r="M1543" s="105">
        <f t="shared" si="366"/>
        <v>0</v>
      </c>
      <c r="N1543" s="106"/>
      <c r="O1543" s="30"/>
      <c r="P1543" s="30"/>
      <c r="Q1543" s="30"/>
    </row>
    <row r="1544" spans="1:17" ht="14.25" thickBot="1" x14ac:dyDescent="0.2">
      <c r="A1544" s="4"/>
      <c r="B1544" s="8"/>
      <c r="C1544" s="9"/>
      <c r="D1544" s="10"/>
      <c r="E1544" s="9"/>
      <c r="F1544" s="5">
        <f t="shared" si="365"/>
        <v>0</v>
      </c>
      <c r="H1544" s="4" t="s">
        <v>671</v>
      </c>
      <c r="I1544" s="8"/>
      <c r="J1544" s="9"/>
      <c r="K1544" s="10"/>
      <c r="L1544" s="9"/>
      <c r="M1544" s="7">
        <f t="shared" si="366"/>
        <v>0</v>
      </c>
      <c r="N1544" s="166" t="s">
        <v>670</v>
      </c>
      <c r="O1544" s="167"/>
      <c r="P1544" s="167"/>
      <c r="Q1544" s="167"/>
    </row>
    <row r="1545" spans="1:17" ht="14.25" thickBot="1" x14ac:dyDescent="0.2">
      <c r="A1545" s="3" t="s">
        <v>5</v>
      </c>
      <c r="B1545" s="14">
        <f>SUM(B1521:B1544)</f>
        <v>10</v>
      </c>
      <c r="C1545" s="14">
        <f>SUM(C1521:C1544)</f>
        <v>12</v>
      </c>
      <c r="D1545" s="14">
        <f>SUM(D1521:D1544)</f>
        <v>4</v>
      </c>
      <c r="E1545" s="14">
        <f>SUM(E1521:E1544)</f>
        <v>0</v>
      </c>
      <c r="F1545" s="15">
        <f>SUM(B1545:E1545)</f>
        <v>26</v>
      </c>
      <c r="H1545" s="3" t="s">
        <v>5</v>
      </c>
      <c r="I1545" s="14">
        <f>SUM(I1521:I1544)</f>
        <v>288</v>
      </c>
      <c r="J1545" s="14">
        <f>SUM(J1521:J1544)</f>
        <v>337</v>
      </c>
      <c r="K1545" s="14">
        <f>SUM(K1521:K1544)</f>
        <v>145</v>
      </c>
      <c r="L1545" s="14">
        <f>SUM(L1521:L1544)</f>
        <v>83</v>
      </c>
      <c r="M1545" s="15">
        <f>SUM(I1545:L1545)</f>
        <v>853</v>
      </c>
      <c r="N1545" s="41" t="s">
        <v>672</v>
      </c>
      <c r="O1545" s="30"/>
      <c r="P1545" s="30"/>
      <c r="Q1545" s="30"/>
    </row>
    <row r="1546" spans="1:17" ht="14.25" thickBot="1" x14ac:dyDescent="0.2">
      <c r="A1546" s="25" t="s">
        <v>6</v>
      </c>
      <c r="B1546" s="26">
        <f>B1520-B1545</f>
        <v>5</v>
      </c>
      <c r="C1546" s="26">
        <f t="shared" ref="C1546:F1546" si="368">C1520-C1545</f>
        <v>6</v>
      </c>
      <c r="D1546" s="26">
        <f t="shared" si="368"/>
        <v>8</v>
      </c>
      <c r="E1546" s="26">
        <f t="shared" si="368"/>
        <v>11</v>
      </c>
      <c r="F1546" s="24">
        <f t="shared" si="368"/>
        <v>30</v>
      </c>
      <c r="H1546" s="25" t="s">
        <v>6</v>
      </c>
      <c r="I1546" s="26">
        <f>I1520-I1545</f>
        <v>390</v>
      </c>
      <c r="J1546" s="26">
        <f t="shared" ref="J1546:M1546" si="369">J1520-J1545</f>
        <v>440</v>
      </c>
      <c r="K1546" s="26">
        <f t="shared" si="369"/>
        <v>360</v>
      </c>
      <c r="L1546" s="26">
        <f t="shared" si="369"/>
        <v>338</v>
      </c>
      <c r="M1546" s="24">
        <f t="shared" si="369"/>
        <v>1528</v>
      </c>
    </row>
    <row r="1549" spans="1:17" ht="21.75" thickBot="1" x14ac:dyDescent="0.25">
      <c r="A1549" s="29" t="s">
        <v>13</v>
      </c>
      <c r="B1549" s="1"/>
      <c r="C1549" s="1"/>
      <c r="D1549" s="1"/>
      <c r="E1549" s="1"/>
      <c r="F1549" s="1"/>
      <c r="H1549" s="29" t="s">
        <v>14</v>
      </c>
      <c r="I1549" s="1"/>
      <c r="J1549" s="1"/>
      <c r="K1549" s="1"/>
      <c r="L1549" s="1"/>
      <c r="M1549" s="1"/>
    </row>
    <row r="1550" spans="1:17" ht="14.25" thickBot="1" x14ac:dyDescent="0.2">
      <c r="A1550" s="2" t="s">
        <v>0</v>
      </c>
      <c r="B1550" s="164" t="s">
        <v>12</v>
      </c>
      <c r="C1550" s="165"/>
      <c r="D1550" s="165"/>
      <c r="E1550" s="165"/>
      <c r="F1550" s="117"/>
      <c r="H1550" s="2" t="s">
        <v>0</v>
      </c>
      <c r="I1550" s="164" t="s">
        <v>12</v>
      </c>
      <c r="J1550" s="165"/>
      <c r="K1550" s="165"/>
      <c r="L1550" s="165"/>
      <c r="M1550" s="117"/>
    </row>
    <row r="1551" spans="1:17" ht="14.25" thickBot="1" x14ac:dyDescent="0.2">
      <c r="A1551" s="2" t="s">
        <v>1</v>
      </c>
      <c r="B1551" s="3" t="s">
        <v>489</v>
      </c>
      <c r="C1551" s="2" t="s">
        <v>490</v>
      </c>
      <c r="D1551" s="19" t="s">
        <v>491</v>
      </c>
      <c r="E1551" s="2" t="s">
        <v>492</v>
      </c>
      <c r="F1551" s="2" t="s">
        <v>2</v>
      </c>
      <c r="H1551" s="2" t="s">
        <v>1</v>
      </c>
      <c r="I1551" s="3" t="s">
        <v>489</v>
      </c>
      <c r="J1551" s="2" t="s">
        <v>490</v>
      </c>
      <c r="K1551" s="19" t="s">
        <v>491</v>
      </c>
      <c r="L1551" s="2" t="s">
        <v>492</v>
      </c>
      <c r="M1551" s="2" t="s">
        <v>2</v>
      </c>
    </row>
    <row r="1552" spans="1:17" x14ac:dyDescent="0.15">
      <c r="A1552" s="27" t="s">
        <v>6</v>
      </c>
      <c r="B1552" s="18">
        <f>B1546</f>
        <v>5</v>
      </c>
      <c r="C1552" s="20">
        <f>C1546</f>
        <v>6</v>
      </c>
      <c r="D1552" s="55">
        <f>D1546</f>
        <v>8</v>
      </c>
      <c r="E1552" s="20">
        <f>E1546</f>
        <v>11</v>
      </c>
      <c r="F1552" s="17">
        <f>SUM(B1552:E1552)</f>
        <v>30</v>
      </c>
      <c r="H1552" s="27" t="s">
        <v>6</v>
      </c>
      <c r="I1552" s="18">
        <f>I1546</f>
        <v>390</v>
      </c>
      <c r="J1552" s="20">
        <f>J1546</f>
        <v>440</v>
      </c>
      <c r="K1552" s="55">
        <f>K1546</f>
        <v>360</v>
      </c>
      <c r="L1552" s="58">
        <f>L1546</f>
        <v>338</v>
      </c>
      <c r="M1552" s="17">
        <f>SUM(I1552:L1552)</f>
        <v>1528</v>
      </c>
    </row>
    <row r="1553" spans="1:16" x14ac:dyDescent="0.15">
      <c r="A1553" s="6" t="s">
        <v>3</v>
      </c>
      <c r="B1553" s="31">
        <v>5</v>
      </c>
      <c r="C1553" s="32">
        <v>5</v>
      </c>
      <c r="D1553" s="31"/>
      <c r="E1553" s="52"/>
      <c r="F1553" s="5">
        <f t="shared" ref="F1553:F1562" si="370">SUM(B1553:E1553)</f>
        <v>10</v>
      </c>
      <c r="G1553" s="39">
        <v>45762</v>
      </c>
      <c r="H1553" s="6" t="s">
        <v>3</v>
      </c>
      <c r="I1553" s="31"/>
      <c r="J1553" s="32"/>
      <c r="K1553" s="31"/>
      <c r="L1553" s="52"/>
      <c r="M1553" s="5">
        <f t="shared" ref="M1553:M1562" si="371">SUM(I1553:L1553)</f>
        <v>0</v>
      </c>
    </row>
    <row r="1554" spans="1:16" x14ac:dyDescent="0.15">
      <c r="A1554" s="6" t="s">
        <v>3</v>
      </c>
      <c r="B1554" s="31">
        <v>5</v>
      </c>
      <c r="C1554" s="32">
        <v>5</v>
      </c>
      <c r="D1554" s="31">
        <v>5</v>
      </c>
      <c r="E1554" s="52"/>
      <c r="F1554" s="5">
        <f t="shared" si="370"/>
        <v>15</v>
      </c>
      <c r="G1554" s="39">
        <v>45784</v>
      </c>
      <c r="H1554" s="6" t="s">
        <v>3</v>
      </c>
      <c r="I1554" s="31"/>
      <c r="J1554" s="32"/>
      <c r="K1554" s="31"/>
      <c r="L1554" s="52"/>
      <c r="M1554" s="5">
        <f t="shared" ref="M1554:M1557" si="372">SUM(I1554:L1554)</f>
        <v>0</v>
      </c>
    </row>
    <row r="1555" spans="1:16" x14ac:dyDescent="0.15">
      <c r="A1555" s="6" t="s">
        <v>3</v>
      </c>
      <c r="B1555" s="31"/>
      <c r="C1555" s="32">
        <v>5</v>
      </c>
      <c r="D1555" s="31"/>
      <c r="E1555" s="52"/>
      <c r="F1555" s="5">
        <f t="shared" si="370"/>
        <v>5</v>
      </c>
      <c r="G1555" s="39">
        <v>45785</v>
      </c>
      <c r="H1555" s="6" t="s">
        <v>3</v>
      </c>
      <c r="I1555" s="31"/>
      <c r="J1555" s="32"/>
      <c r="K1555" s="31"/>
      <c r="L1555" s="52"/>
      <c r="M1555" s="5">
        <f t="shared" ref="M1555:M1556" si="373">SUM(I1555:L1555)</f>
        <v>0</v>
      </c>
    </row>
    <row r="1556" spans="1:16" x14ac:dyDescent="0.15">
      <c r="A1556" s="6" t="s">
        <v>3</v>
      </c>
      <c r="B1556" s="31"/>
      <c r="C1556" s="32">
        <v>5</v>
      </c>
      <c r="D1556" s="31"/>
      <c r="E1556" s="52"/>
      <c r="F1556" s="5">
        <f t="shared" si="370"/>
        <v>5</v>
      </c>
      <c r="G1556" s="39">
        <v>45787</v>
      </c>
      <c r="H1556" s="6" t="s">
        <v>3</v>
      </c>
      <c r="I1556" s="31"/>
      <c r="J1556" s="32"/>
      <c r="K1556" s="31"/>
      <c r="L1556" s="52"/>
      <c r="M1556" s="5">
        <f t="shared" si="373"/>
        <v>0</v>
      </c>
    </row>
    <row r="1557" spans="1:16" x14ac:dyDescent="0.15">
      <c r="A1557" s="6" t="s">
        <v>3</v>
      </c>
      <c r="B1557" s="31">
        <v>10</v>
      </c>
      <c r="C1557" s="32">
        <v>5</v>
      </c>
      <c r="D1557" s="31"/>
      <c r="E1557" s="52"/>
      <c r="F1557" s="5">
        <f t="shared" si="370"/>
        <v>15</v>
      </c>
      <c r="G1557" s="39">
        <v>45793</v>
      </c>
      <c r="H1557" s="6" t="s">
        <v>3</v>
      </c>
      <c r="I1557" s="31"/>
      <c r="J1557" s="32"/>
      <c r="K1557" s="31"/>
      <c r="L1557" s="52"/>
      <c r="M1557" s="5">
        <f t="shared" si="372"/>
        <v>0</v>
      </c>
    </row>
    <row r="1558" spans="1:16" x14ac:dyDescent="0.15">
      <c r="A1558" s="6" t="s">
        <v>338</v>
      </c>
      <c r="B1558" s="31"/>
      <c r="C1558" s="32"/>
      <c r="D1558" s="31">
        <v>2</v>
      </c>
      <c r="E1558" s="52"/>
      <c r="F1558" s="5">
        <f t="shared" si="370"/>
        <v>2</v>
      </c>
      <c r="G1558" s="39">
        <v>45793</v>
      </c>
      <c r="H1558" s="6" t="s">
        <v>3</v>
      </c>
      <c r="I1558" s="31"/>
      <c r="J1558" s="32"/>
      <c r="K1558" s="31"/>
      <c r="L1558" s="52"/>
      <c r="M1558" s="5">
        <f t="shared" si="371"/>
        <v>0</v>
      </c>
    </row>
    <row r="1559" spans="1:16" x14ac:dyDescent="0.15">
      <c r="A1559" s="6" t="s">
        <v>3</v>
      </c>
      <c r="B1559" s="31"/>
      <c r="C1559" s="32"/>
      <c r="D1559" s="31"/>
      <c r="E1559" s="52">
        <v>3</v>
      </c>
      <c r="F1559" s="5">
        <f t="shared" si="370"/>
        <v>3</v>
      </c>
      <c r="G1559" s="39">
        <v>45798</v>
      </c>
      <c r="H1559" s="6" t="s">
        <v>3</v>
      </c>
      <c r="I1559" s="31"/>
      <c r="J1559" s="32"/>
      <c r="K1559" s="31"/>
      <c r="L1559" s="52"/>
      <c r="M1559" s="5">
        <f t="shared" si="371"/>
        <v>0</v>
      </c>
    </row>
    <row r="1560" spans="1:16" x14ac:dyDescent="0.15">
      <c r="A1560" s="6" t="s">
        <v>3</v>
      </c>
      <c r="B1560" s="10"/>
      <c r="C1560" s="9">
        <v>5</v>
      </c>
      <c r="D1560" s="10">
        <v>5</v>
      </c>
      <c r="E1560" s="49">
        <v>5</v>
      </c>
      <c r="F1560" s="5">
        <f t="shared" si="370"/>
        <v>15</v>
      </c>
      <c r="G1560" s="39">
        <v>45800</v>
      </c>
      <c r="H1560" s="6" t="s">
        <v>3</v>
      </c>
      <c r="I1560" s="31"/>
      <c r="J1560" s="32"/>
      <c r="K1560" s="31"/>
      <c r="L1560" s="52"/>
      <c r="M1560" s="5">
        <f t="shared" si="371"/>
        <v>0</v>
      </c>
    </row>
    <row r="1561" spans="1:16" x14ac:dyDescent="0.15">
      <c r="A1561" s="6" t="s">
        <v>338</v>
      </c>
      <c r="B1561" s="31"/>
      <c r="C1561" s="32">
        <v>2</v>
      </c>
      <c r="D1561" s="31"/>
      <c r="E1561" s="52">
        <v>2</v>
      </c>
      <c r="F1561" s="5">
        <f t="shared" si="370"/>
        <v>4</v>
      </c>
      <c r="G1561" s="71">
        <v>45799</v>
      </c>
      <c r="H1561" s="6" t="s">
        <v>3</v>
      </c>
      <c r="I1561" s="34"/>
      <c r="J1561" s="35"/>
      <c r="K1561" s="34"/>
      <c r="L1561" s="32"/>
      <c r="M1561" s="5">
        <f t="shared" si="371"/>
        <v>0</v>
      </c>
    </row>
    <row r="1562" spans="1:16" ht="14.25" thickBot="1" x14ac:dyDescent="0.2">
      <c r="A1562" s="6" t="s">
        <v>3</v>
      </c>
      <c r="B1562" s="13"/>
      <c r="C1562" s="12">
        <v>-5</v>
      </c>
      <c r="D1562" s="13"/>
      <c r="E1562" s="50"/>
      <c r="F1562" s="5">
        <f t="shared" si="370"/>
        <v>-5</v>
      </c>
      <c r="G1562" s="71">
        <v>45799</v>
      </c>
      <c r="H1562" s="6" t="s">
        <v>3</v>
      </c>
      <c r="I1562" s="34"/>
      <c r="J1562" s="35"/>
      <c r="K1562" s="34"/>
      <c r="L1562" s="53"/>
      <c r="M1562" s="5">
        <f t="shared" si="371"/>
        <v>0</v>
      </c>
    </row>
    <row r="1563" spans="1:16" ht="14.25" thickBot="1" x14ac:dyDescent="0.2">
      <c r="A1563" s="21" t="s">
        <v>4</v>
      </c>
      <c r="B1563" s="22">
        <f>SUM(B1552:B1562)</f>
        <v>25</v>
      </c>
      <c r="C1563" s="22">
        <f>SUM(C1552:C1562)</f>
        <v>33</v>
      </c>
      <c r="D1563" s="23">
        <f>SUM(D1552:D1562)</f>
        <v>20</v>
      </c>
      <c r="E1563" s="23">
        <f>SUM(E1552:E1562)</f>
        <v>21</v>
      </c>
      <c r="F1563" s="24">
        <f>SUM(B1563:E1563)</f>
        <v>99</v>
      </c>
      <c r="H1563" s="21" t="s">
        <v>4</v>
      </c>
      <c r="I1563" s="22">
        <f>SUM(I1552:I1562)</f>
        <v>390</v>
      </c>
      <c r="J1563" s="22">
        <f>SUM(J1552:J1562)</f>
        <v>440</v>
      </c>
      <c r="K1563" s="23">
        <f>SUM(K1552:K1562)</f>
        <v>360</v>
      </c>
      <c r="L1563" s="23">
        <f>SUM(L1552:L1562)</f>
        <v>338</v>
      </c>
      <c r="M1563" s="24">
        <f>SUM(I1563:L1563)</f>
        <v>1528</v>
      </c>
    </row>
    <row r="1564" spans="1:16" x14ac:dyDescent="0.15">
      <c r="A1564" s="4" t="s">
        <v>39</v>
      </c>
      <c r="B1564" s="8">
        <v>1</v>
      </c>
      <c r="C1564" s="9">
        <v>1</v>
      </c>
      <c r="D1564" s="10"/>
      <c r="E1564" s="9"/>
      <c r="F1564" s="5">
        <f t="shared" ref="F1564:F1587" si="374">SUM(B1564:E1564)</f>
        <v>2</v>
      </c>
      <c r="G1564" s="39">
        <v>45762</v>
      </c>
      <c r="H1564" s="4" t="s">
        <v>712</v>
      </c>
      <c r="I1564" s="8"/>
      <c r="J1564" s="9"/>
      <c r="K1564" s="10"/>
      <c r="L1564" s="9">
        <v>4</v>
      </c>
      <c r="M1564" s="7">
        <f t="shared" ref="M1564:M1583" si="375">SUM(I1564:L1564)</f>
        <v>4</v>
      </c>
      <c r="N1564" s="39">
        <v>45761</v>
      </c>
    </row>
    <row r="1565" spans="1:16" x14ac:dyDescent="0.15">
      <c r="A1565" s="4" t="s">
        <v>200</v>
      </c>
      <c r="B1565" s="8">
        <v>2</v>
      </c>
      <c r="C1565" s="9"/>
      <c r="D1565" s="10"/>
      <c r="E1565" s="9"/>
      <c r="F1565" s="5">
        <f t="shared" si="374"/>
        <v>2</v>
      </c>
      <c r="G1565" s="39">
        <v>45765</v>
      </c>
      <c r="H1565" s="4" t="s">
        <v>713</v>
      </c>
      <c r="I1565" s="8"/>
      <c r="J1565" s="9">
        <v>30</v>
      </c>
      <c r="K1565" s="10">
        <v>20</v>
      </c>
      <c r="L1565" s="9">
        <v>10</v>
      </c>
      <c r="M1565" s="7">
        <f t="shared" si="375"/>
        <v>60</v>
      </c>
      <c r="N1565" s="39">
        <v>45759</v>
      </c>
      <c r="O1565" s="30"/>
      <c r="P1565" s="30"/>
    </row>
    <row r="1566" spans="1:16" x14ac:dyDescent="0.15">
      <c r="A1566" s="4" t="s">
        <v>34</v>
      </c>
      <c r="B1566" s="8"/>
      <c r="C1566" s="9"/>
      <c r="D1566" s="10"/>
      <c r="E1566" s="9">
        <f>1+1</f>
        <v>2</v>
      </c>
      <c r="F1566" s="5">
        <f t="shared" si="374"/>
        <v>2</v>
      </c>
      <c r="G1566" s="39">
        <v>45765</v>
      </c>
      <c r="H1566" s="4" t="s">
        <v>200</v>
      </c>
      <c r="I1566" s="8"/>
      <c r="J1566" s="9"/>
      <c r="K1566" s="10">
        <v>2</v>
      </c>
      <c r="L1566" s="9">
        <v>8</v>
      </c>
      <c r="M1566" s="7">
        <f t="shared" si="375"/>
        <v>10</v>
      </c>
      <c r="N1566" s="39">
        <v>45763</v>
      </c>
      <c r="O1566" s="30"/>
      <c r="P1566" s="30"/>
    </row>
    <row r="1567" spans="1:16" x14ac:dyDescent="0.15">
      <c r="A1567" s="4" t="s">
        <v>718</v>
      </c>
      <c r="B1567" s="8">
        <v>2</v>
      </c>
      <c r="C1567" s="9"/>
      <c r="D1567" s="10"/>
      <c r="E1567" s="9"/>
      <c r="F1567" s="5">
        <f t="shared" si="374"/>
        <v>2</v>
      </c>
      <c r="G1567" s="39">
        <v>45770</v>
      </c>
      <c r="H1567" s="4" t="s">
        <v>26</v>
      </c>
      <c r="I1567" s="8">
        <v>5</v>
      </c>
      <c r="J1567" s="9">
        <v>5</v>
      </c>
      <c r="K1567" s="10"/>
      <c r="L1567" s="9"/>
      <c r="M1567" s="7">
        <f t="shared" si="375"/>
        <v>10</v>
      </c>
      <c r="N1567" s="39">
        <v>45762</v>
      </c>
    </row>
    <row r="1568" spans="1:16" x14ac:dyDescent="0.15">
      <c r="A1568" s="4" t="s">
        <v>200</v>
      </c>
      <c r="B1568" s="8"/>
      <c r="C1568" s="9">
        <v>2</v>
      </c>
      <c r="D1568" s="10"/>
      <c r="E1568" s="9"/>
      <c r="F1568" s="5">
        <f t="shared" si="374"/>
        <v>2</v>
      </c>
      <c r="G1568" s="39">
        <v>45777</v>
      </c>
      <c r="H1568" s="4" t="s">
        <v>714</v>
      </c>
      <c r="I1568" s="8"/>
      <c r="J1568" s="9"/>
      <c r="K1568" s="10">
        <v>6</v>
      </c>
      <c r="L1568" s="9"/>
      <c r="M1568" s="7">
        <f t="shared" si="375"/>
        <v>6</v>
      </c>
      <c r="N1568" s="39">
        <v>45764</v>
      </c>
    </row>
    <row r="1569" spans="1:15" x14ac:dyDescent="0.15">
      <c r="A1569" s="4" t="s">
        <v>34</v>
      </c>
      <c r="B1569" s="8"/>
      <c r="C1569" s="9"/>
      <c r="D1569" s="10">
        <v>1</v>
      </c>
      <c r="E1569" s="9">
        <v>1</v>
      </c>
      <c r="F1569" s="5">
        <f t="shared" si="374"/>
        <v>2</v>
      </c>
      <c r="G1569" s="39">
        <v>45775</v>
      </c>
      <c r="H1569" s="4" t="s">
        <v>715</v>
      </c>
      <c r="I1569" s="8">
        <v>36</v>
      </c>
      <c r="J1569" s="9"/>
      <c r="K1569" s="10">
        <v>6</v>
      </c>
      <c r="L1569" s="9"/>
      <c r="M1569" s="7">
        <f t="shared" ref="M1569" si="376">SUM(I1569:L1569)</f>
        <v>42</v>
      </c>
      <c r="N1569" s="39">
        <v>45768</v>
      </c>
      <c r="O1569" s="30"/>
    </row>
    <row r="1570" spans="1:15" x14ac:dyDescent="0.15">
      <c r="A1570" s="4" t="s">
        <v>200</v>
      </c>
      <c r="B1570" s="8"/>
      <c r="C1570" s="9">
        <v>2</v>
      </c>
      <c r="D1570" s="10"/>
      <c r="E1570" s="9"/>
      <c r="F1570" s="5">
        <f t="shared" si="374"/>
        <v>2</v>
      </c>
      <c r="G1570" s="39">
        <v>45779</v>
      </c>
      <c r="H1570" s="4" t="s">
        <v>719</v>
      </c>
      <c r="I1570" s="8"/>
      <c r="J1570" s="9"/>
      <c r="K1570" s="10">
        <v>6</v>
      </c>
      <c r="L1570" s="9"/>
      <c r="M1570" s="7">
        <f t="shared" si="375"/>
        <v>6</v>
      </c>
      <c r="N1570" s="39">
        <v>45772</v>
      </c>
      <c r="O1570" s="30"/>
    </row>
    <row r="1571" spans="1:15" x14ac:dyDescent="0.15">
      <c r="A1571" s="4" t="s">
        <v>200</v>
      </c>
      <c r="B1571" s="8"/>
      <c r="C1571" s="9">
        <v>4</v>
      </c>
      <c r="D1571" s="10">
        <v>2</v>
      </c>
      <c r="E1571" s="9"/>
      <c r="F1571" s="5">
        <f t="shared" si="374"/>
        <v>6</v>
      </c>
      <c r="G1571" s="39">
        <v>45784</v>
      </c>
      <c r="H1571" s="4" t="s">
        <v>720</v>
      </c>
      <c r="I1571" s="8"/>
      <c r="J1571" s="9"/>
      <c r="K1571" s="10">
        <v>4</v>
      </c>
      <c r="L1571" s="9"/>
      <c r="M1571" s="7">
        <f t="shared" si="375"/>
        <v>4</v>
      </c>
      <c r="N1571" s="39">
        <v>45775</v>
      </c>
      <c r="O1571" s="30"/>
    </row>
    <row r="1572" spans="1:15" x14ac:dyDescent="0.15">
      <c r="A1572" s="4" t="s">
        <v>200</v>
      </c>
      <c r="B1572" s="8">
        <v>2</v>
      </c>
      <c r="C1572" s="9">
        <v>4</v>
      </c>
      <c r="D1572" s="10"/>
      <c r="E1572" s="9"/>
      <c r="F1572" s="5">
        <f t="shared" si="374"/>
        <v>6</v>
      </c>
      <c r="G1572" s="39">
        <v>45786</v>
      </c>
      <c r="H1572" s="4" t="s">
        <v>721</v>
      </c>
      <c r="I1572" s="8"/>
      <c r="J1572" s="9"/>
      <c r="K1572" s="10"/>
      <c r="L1572" s="9">
        <v>14</v>
      </c>
      <c r="M1572" s="7">
        <f t="shared" si="375"/>
        <v>14</v>
      </c>
      <c r="N1572" s="39">
        <v>45784</v>
      </c>
      <c r="O1572" s="30"/>
    </row>
    <row r="1573" spans="1:15" x14ac:dyDescent="0.15">
      <c r="A1573" s="4" t="s">
        <v>200</v>
      </c>
      <c r="B1573" s="8"/>
      <c r="C1573" s="9">
        <v>2</v>
      </c>
      <c r="D1573" s="10"/>
      <c r="E1573" s="9"/>
      <c r="F1573" s="5">
        <f t="shared" si="374"/>
        <v>2</v>
      </c>
      <c r="G1573" s="39">
        <v>45786</v>
      </c>
      <c r="H1573" s="4" t="s">
        <v>722</v>
      </c>
      <c r="I1573" s="8">
        <v>4</v>
      </c>
      <c r="J1573" s="9">
        <v>2</v>
      </c>
      <c r="K1573" s="10"/>
      <c r="L1573" s="9"/>
      <c r="M1573" s="7">
        <f t="shared" si="375"/>
        <v>6</v>
      </c>
      <c r="N1573" s="39">
        <v>45779</v>
      </c>
    </row>
    <row r="1574" spans="1:15" x14ac:dyDescent="0.15">
      <c r="A1574" s="4" t="s">
        <v>200</v>
      </c>
      <c r="B1574" s="8"/>
      <c r="C1574" s="9">
        <v>2</v>
      </c>
      <c r="D1574" s="10"/>
      <c r="E1574" s="9"/>
      <c r="F1574" s="5">
        <f t="shared" si="374"/>
        <v>2</v>
      </c>
      <c r="G1574" s="39">
        <v>45789</v>
      </c>
      <c r="H1574" s="4" t="s">
        <v>26</v>
      </c>
      <c r="I1574" s="8">
        <v>5</v>
      </c>
      <c r="J1574" s="9">
        <v>5</v>
      </c>
      <c r="K1574" s="10">
        <v>5</v>
      </c>
      <c r="L1574" s="9"/>
      <c r="M1574" s="7">
        <f t="shared" si="375"/>
        <v>15</v>
      </c>
      <c r="N1574" s="39">
        <v>45784</v>
      </c>
    </row>
    <row r="1575" spans="1:15" x14ac:dyDescent="0.15">
      <c r="A1575" s="4" t="s">
        <v>200</v>
      </c>
      <c r="B1575" s="8">
        <v>2</v>
      </c>
      <c r="C1575" s="9"/>
      <c r="D1575" s="10"/>
      <c r="E1575" s="9"/>
      <c r="F1575" s="5">
        <f t="shared" si="374"/>
        <v>2</v>
      </c>
      <c r="G1575" s="39">
        <v>45791</v>
      </c>
      <c r="H1575" s="4" t="s">
        <v>26</v>
      </c>
      <c r="I1575" s="8"/>
      <c r="J1575" s="9">
        <v>5</v>
      </c>
      <c r="K1575" s="10"/>
      <c r="L1575" s="9"/>
      <c r="M1575" s="7">
        <f t="shared" si="375"/>
        <v>5</v>
      </c>
      <c r="N1575" s="39">
        <v>45785</v>
      </c>
    </row>
    <row r="1576" spans="1:15" x14ac:dyDescent="0.15">
      <c r="A1576" s="4" t="s">
        <v>39</v>
      </c>
      <c r="B1576" s="8"/>
      <c r="C1576" s="9"/>
      <c r="D1576" s="10">
        <v>2</v>
      </c>
      <c r="E1576" s="9"/>
      <c r="F1576" s="5">
        <f t="shared" si="374"/>
        <v>2</v>
      </c>
      <c r="G1576" s="39">
        <v>45790</v>
      </c>
      <c r="H1576" s="4" t="s">
        <v>723</v>
      </c>
      <c r="I1576" s="8"/>
      <c r="J1576" s="9">
        <v>16</v>
      </c>
      <c r="K1576" s="10"/>
      <c r="L1576" s="9"/>
      <c r="M1576" s="7">
        <f t="shared" si="375"/>
        <v>16</v>
      </c>
      <c r="N1576" s="39">
        <v>45790</v>
      </c>
    </row>
    <row r="1577" spans="1:15" x14ac:dyDescent="0.15">
      <c r="A1577" s="4" t="s">
        <v>200</v>
      </c>
      <c r="B1577" s="8">
        <v>2</v>
      </c>
      <c r="C1577" s="9"/>
      <c r="D1577" s="10">
        <v>2</v>
      </c>
      <c r="E1577" s="9"/>
      <c r="F1577" s="5">
        <f t="shared" si="374"/>
        <v>4</v>
      </c>
      <c r="G1577" s="39">
        <v>45792</v>
      </c>
      <c r="H1577" s="4" t="s">
        <v>724</v>
      </c>
      <c r="I1577" s="8"/>
      <c r="J1577" s="9">
        <f>4</f>
        <v>4</v>
      </c>
      <c r="K1577" s="10"/>
      <c r="L1577" s="9"/>
      <c r="M1577" s="7">
        <f t="shared" si="375"/>
        <v>4</v>
      </c>
      <c r="N1577" s="39">
        <v>45790</v>
      </c>
    </row>
    <row r="1578" spans="1:15" x14ac:dyDescent="0.15">
      <c r="A1578" s="4" t="s">
        <v>200</v>
      </c>
      <c r="B1578" s="8"/>
      <c r="C1578" s="9">
        <v>4</v>
      </c>
      <c r="D1578" s="10"/>
      <c r="E1578" s="9"/>
      <c r="F1578" s="5">
        <f t="shared" si="374"/>
        <v>4</v>
      </c>
      <c r="G1578" s="39">
        <v>45793</v>
      </c>
      <c r="H1578" s="4" t="s">
        <v>725</v>
      </c>
      <c r="I1578" s="8"/>
      <c r="J1578" s="9">
        <v>4</v>
      </c>
      <c r="K1578" s="10"/>
      <c r="L1578" s="9"/>
      <c r="M1578" s="7">
        <f t="shared" si="375"/>
        <v>4</v>
      </c>
      <c r="N1578" s="39">
        <v>45790</v>
      </c>
    </row>
    <row r="1579" spans="1:15" x14ac:dyDescent="0.15">
      <c r="A1579" s="4" t="s">
        <v>200</v>
      </c>
      <c r="B1579" s="8">
        <v>2</v>
      </c>
      <c r="C1579" s="9"/>
      <c r="D1579" s="10"/>
      <c r="E1579" s="9"/>
      <c r="F1579" s="5">
        <f t="shared" si="374"/>
        <v>2</v>
      </c>
      <c r="G1579" s="39">
        <v>45793</v>
      </c>
      <c r="H1579" s="4" t="s">
        <v>26</v>
      </c>
      <c r="I1579" s="8"/>
      <c r="J1579" s="9">
        <v>5</v>
      </c>
      <c r="K1579" s="10"/>
      <c r="L1579" s="9"/>
      <c r="M1579" s="7">
        <f t="shared" si="375"/>
        <v>5</v>
      </c>
      <c r="N1579" s="39">
        <v>45787</v>
      </c>
    </row>
    <row r="1580" spans="1:15" x14ac:dyDescent="0.15">
      <c r="A1580" s="4" t="s">
        <v>200</v>
      </c>
      <c r="B1580" s="8"/>
      <c r="C1580" s="9"/>
      <c r="D1580" s="10"/>
      <c r="E1580" s="9">
        <v>2</v>
      </c>
      <c r="F1580" s="5">
        <f t="shared" si="374"/>
        <v>2</v>
      </c>
      <c r="G1580" s="39">
        <v>45796</v>
      </c>
      <c r="H1580" s="4" t="s">
        <v>726</v>
      </c>
      <c r="I1580" s="8">
        <v>44</v>
      </c>
      <c r="J1580" s="9">
        <v>42</v>
      </c>
      <c r="K1580" s="10">
        <v>22</v>
      </c>
      <c r="L1580" s="9"/>
      <c r="M1580" s="7">
        <f t="shared" si="375"/>
        <v>108</v>
      </c>
      <c r="N1580" s="39">
        <v>45793</v>
      </c>
    </row>
    <row r="1581" spans="1:15" x14ac:dyDescent="0.15">
      <c r="A1581" s="4" t="s">
        <v>34</v>
      </c>
      <c r="B1581" s="8">
        <v>1</v>
      </c>
      <c r="C1581" s="9"/>
      <c r="D1581" s="10"/>
      <c r="E1581" s="9"/>
      <c r="F1581" s="5">
        <f t="shared" si="374"/>
        <v>1</v>
      </c>
      <c r="G1581" s="39">
        <v>45796</v>
      </c>
      <c r="H1581" s="4" t="s">
        <v>26</v>
      </c>
      <c r="I1581" s="8">
        <v>10</v>
      </c>
      <c r="J1581" s="9">
        <v>5</v>
      </c>
      <c r="K1581" s="10"/>
      <c r="L1581" s="9"/>
      <c r="M1581" s="7">
        <f t="shared" si="375"/>
        <v>15</v>
      </c>
      <c r="N1581" s="39">
        <v>45793</v>
      </c>
    </row>
    <row r="1582" spans="1:15" x14ac:dyDescent="0.15">
      <c r="A1582" s="4" t="s">
        <v>200</v>
      </c>
      <c r="B1582" s="8"/>
      <c r="C1582" s="9">
        <v>2</v>
      </c>
      <c r="D1582" s="10"/>
      <c r="E1582" s="9">
        <v>2</v>
      </c>
      <c r="F1582" s="5">
        <f t="shared" si="374"/>
        <v>4</v>
      </c>
      <c r="G1582" s="39">
        <v>45799</v>
      </c>
      <c r="H1582" s="4" t="s">
        <v>728</v>
      </c>
      <c r="I1582" s="8">
        <v>10</v>
      </c>
      <c r="J1582" s="9"/>
      <c r="K1582" s="10">
        <v>16</v>
      </c>
      <c r="L1582" s="9"/>
      <c r="M1582" s="7">
        <f t="shared" si="375"/>
        <v>26</v>
      </c>
      <c r="N1582" s="39">
        <v>45798</v>
      </c>
    </row>
    <row r="1583" spans="1:15" x14ac:dyDescent="0.15">
      <c r="A1583" s="4" t="s">
        <v>200</v>
      </c>
      <c r="B1583" s="8"/>
      <c r="C1583" s="9">
        <v>2</v>
      </c>
      <c r="D1583" s="10">
        <v>4</v>
      </c>
      <c r="E1583" s="9">
        <v>2</v>
      </c>
      <c r="F1583" s="5">
        <f t="shared" si="374"/>
        <v>8</v>
      </c>
      <c r="G1583" s="39">
        <v>45800</v>
      </c>
      <c r="H1583" s="4" t="s">
        <v>26</v>
      </c>
      <c r="I1583" s="8"/>
      <c r="J1583" s="9"/>
      <c r="K1583" s="10"/>
      <c r="L1583" s="9">
        <v>3</v>
      </c>
      <c r="M1583" s="7">
        <f t="shared" si="375"/>
        <v>3</v>
      </c>
      <c r="N1583" s="39">
        <v>45798</v>
      </c>
    </row>
    <row r="1584" spans="1:15" x14ac:dyDescent="0.15">
      <c r="A1584" s="4" t="s">
        <v>39</v>
      </c>
      <c r="B1584" s="8"/>
      <c r="C1584" s="9">
        <v>1</v>
      </c>
      <c r="D1584" s="10"/>
      <c r="E1584" s="9"/>
      <c r="F1584" s="5">
        <f t="shared" si="374"/>
        <v>1</v>
      </c>
      <c r="G1584" s="39">
        <v>45803</v>
      </c>
      <c r="H1584" s="4" t="s">
        <v>200</v>
      </c>
      <c r="I1584" s="8"/>
      <c r="J1584" s="9">
        <v>4</v>
      </c>
      <c r="K1584" s="10">
        <v>2</v>
      </c>
      <c r="L1584" s="9"/>
      <c r="M1584" s="7">
        <f t="shared" ref="M1584" si="377">SUM(I1584:L1584)</f>
        <v>6</v>
      </c>
      <c r="N1584" s="39">
        <v>45800</v>
      </c>
    </row>
    <row r="1585" spans="1:14" x14ac:dyDescent="0.15">
      <c r="A1585" s="4" t="s">
        <v>200</v>
      </c>
      <c r="B1585" s="8">
        <v>2</v>
      </c>
      <c r="C1585" s="9"/>
      <c r="D1585" s="10"/>
      <c r="E1585" s="9"/>
      <c r="F1585" s="5">
        <f t="shared" si="374"/>
        <v>2</v>
      </c>
      <c r="G1585" s="39">
        <v>45807</v>
      </c>
      <c r="H1585" s="4" t="s">
        <v>26</v>
      </c>
      <c r="I1585" s="8"/>
      <c r="J1585" s="9">
        <v>5</v>
      </c>
      <c r="K1585" s="10">
        <v>5</v>
      </c>
      <c r="L1585" s="9">
        <v>5</v>
      </c>
      <c r="M1585" s="7">
        <f t="shared" ref="M1585" si="378">SUM(I1585:L1585)</f>
        <v>15</v>
      </c>
      <c r="N1585" s="39">
        <v>45800</v>
      </c>
    </row>
    <row r="1586" spans="1:14" x14ac:dyDescent="0.15">
      <c r="A1586" s="4" t="s">
        <v>200</v>
      </c>
      <c r="B1586" s="8">
        <v>2</v>
      </c>
      <c r="C1586" s="9">
        <v>2</v>
      </c>
      <c r="D1586" s="10"/>
      <c r="E1586" s="9">
        <v>2</v>
      </c>
      <c r="F1586" s="5">
        <f t="shared" si="374"/>
        <v>6</v>
      </c>
      <c r="G1586" s="39">
        <v>45807</v>
      </c>
      <c r="H1586" s="4" t="s">
        <v>696</v>
      </c>
      <c r="I1586" s="8"/>
      <c r="J1586" s="9"/>
      <c r="K1586" s="10"/>
      <c r="L1586" s="9"/>
      <c r="M1586" s="7">
        <f t="shared" ref="M1586:M1587" si="379">SUM(I1586:L1586)</f>
        <v>0</v>
      </c>
      <c r="N1586" s="41" t="s">
        <v>697</v>
      </c>
    </row>
    <row r="1587" spans="1:14" ht="14.25" thickBot="1" x14ac:dyDescent="0.2">
      <c r="A1587" s="4"/>
      <c r="B1587" s="8"/>
      <c r="C1587" s="9"/>
      <c r="D1587" s="10"/>
      <c r="E1587" s="9"/>
      <c r="F1587" s="5">
        <f t="shared" si="374"/>
        <v>0</v>
      </c>
      <c r="H1587" s="4" t="s">
        <v>704</v>
      </c>
      <c r="I1587" s="8"/>
      <c r="J1587" s="9"/>
      <c r="K1587" s="10"/>
      <c r="L1587" s="9"/>
      <c r="M1587" s="7">
        <f t="shared" si="379"/>
        <v>0</v>
      </c>
      <c r="N1587" s="41" t="s">
        <v>185</v>
      </c>
    </row>
    <row r="1588" spans="1:14" ht="14.25" thickBot="1" x14ac:dyDescent="0.2">
      <c r="A1588" s="3" t="s">
        <v>5</v>
      </c>
      <c r="B1588" s="14">
        <f>SUM(B1564:B1587)</f>
        <v>18</v>
      </c>
      <c r="C1588" s="14">
        <f>SUM(C1564:C1587)</f>
        <v>28</v>
      </c>
      <c r="D1588" s="14">
        <f>SUM(D1564:D1587)</f>
        <v>11</v>
      </c>
      <c r="E1588" s="14">
        <f>SUM(E1564:E1587)</f>
        <v>11</v>
      </c>
      <c r="F1588" s="15">
        <f>SUM(B1588:E1588)</f>
        <v>68</v>
      </c>
      <c r="H1588" s="3" t="s">
        <v>5</v>
      </c>
      <c r="I1588" s="14">
        <f>SUM(I1564:I1587)</f>
        <v>114</v>
      </c>
      <c r="J1588" s="14">
        <f>SUM(J1564:J1587)</f>
        <v>132</v>
      </c>
      <c r="K1588" s="14">
        <f>SUM(K1564:K1587)</f>
        <v>94</v>
      </c>
      <c r="L1588" s="14">
        <f>SUM(L1564:L1587)</f>
        <v>44</v>
      </c>
      <c r="M1588" s="15">
        <f>SUM(I1588:L1588)</f>
        <v>384</v>
      </c>
    </row>
    <row r="1589" spans="1:14" ht="14.25" thickBot="1" x14ac:dyDescent="0.2">
      <c r="A1589" s="25" t="s">
        <v>6</v>
      </c>
      <c r="B1589" s="26">
        <f>B1563-B1588</f>
        <v>7</v>
      </c>
      <c r="C1589" s="26">
        <f t="shared" ref="C1589:F1589" si="380">C1563-C1588</f>
        <v>5</v>
      </c>
      <c r="D1589" s="26">
        <f t="shared" si="380"/>
        <v>9</v>
      </c>
      <c r="E1589" s="26">
        <f t="shared" si="380"/>
        <v>10</v>
      </c>
      <c r="F1589" s="24">
        <f t="shared" si="380"/>
        <v>31</v>
      </c>
      <c r="H1589" s="25" t="s">
        <v>6</v>
      </c>
      <c r="I1589" s="26">
        <f>I1563-I1588</f>
        <v>276</v>
      </c>
      <c r="J1589" s="26">
        <f t="shared" ref="J1589:M1589" si="381">J1563-J1588</f>
        <v>308</v>
      </c>
      <c r="K1589" s="26">
        <f t="shared" si="381"/>
        <v>266</v>
      </c>
      <c r="L1589" s="26">
        <f t="shared" si="381"/>
        <v>294</v>
      </c>
      <c r="M1589" s="24">
        <f t="shared" si="381"/>
        <v>1144</v>
      </c>
    </row>
    <row r="1592" spans="1:14" ht="21.75" thickBot="1" x14ac:dyDescent="0.25">
      <c r="A1592" s="29" t="s">
        <v>13</v>
      </c>
      <c r="B1592" s="1"/>
      <c r="C1592" s="1"/>
      <c r="D1592" s="1"/>
      <c r="E1592" s="1"/>
      <c r="F1592" s="1"/>
      <c r="H1592" s="29" t="s">
        <v>14</v>
      </c>
      <c r="I1592" s="1"/>
      <c r="J1592" s="1"/>
      <c r="K1592" s="1"/>
      <c r="L1592" s="1"/>
      <c r="M1592" s="1"/>
    </row>
    <row r="1593" spans="1:14" ht="14.25" thickBot="1" x14ac:dyDescent="0.2">
      <c r="A1593" s="2" t="s">
        <v>0</v>
      </c>
      <c r="B1593" s="164" t="s">
        <v>12</v>
      </c>
      <c r="C1593" s="165"/>
      <c r="D1593" s="165"/>
      <c r="E1593" s="165"/>
      <c r="F1593" s="117"/>
      <c r="H1593" s="2" t="s">
        <v>0</v>
      </c>
      <c r="I1593" s="164" t="s">
        <v>12</v>
      </c>
      <c r="J1593" s="165"/>
      <c r="K1593" s="165"/>
      <c r="L1593" s="165"/>
      <c r="M1593" s="117"/>
    </row>
    <row r="1594" spans="1:14" ht="14.25" thickBot="1" x14ac:dyDescent="0.2">
      <c r="A1594" s="2" t="s">
        <v>1</v>
      </c>
      <c r="B1594" s="3" t="s">
        <v>489</v>
      </c>
      <c r="C1594" s="2" t="s">
        <v>490</v>
      </c>
      <c r="D1594" s="19" t="s">
        <v>491</v>
      </c>
      <c r="E1594" s="2" t="s">
        <v>492</v>
      </c>
      <c r="F1594" s="2" t="s">
        <v>2</v>
      </c>
      <c r="H1594" s="2" t="s">
        <v>1</v>
      </c>
      <c r="I1594" s="3" t="s">
        <v>489</v>
      </c>
      <c r="J1594" s="2" t="s">
        <v>490</v>
      </c>
      <c r="K1594" s="19" t="s">
        <v>491</v>
      </c>
      <c r="L1594" s="2" t="s">
        <v>492</v>
      </c>
      <c r="M1594" s="2" t="s">
        <v>2</v>
      </c>
    </row>
    <row r="1595" spans="1:14" x14ac:dyDescent="0.15">
      <c r="A1595" s="27" t="s">
        <v>6</v>
      </c>
      <c r="B1595" s="18">
        <f>B1589</f>
        <v>7</v>
      </c>
      <c r="C1595" s="20">
        <f>C1589</f>
        <v>5</v>
      </c>
      <c r="D1595" s="55">
        <f>D1589</f>
        <v>9</v>
      </c>
      <c r="E1595" s="20">
        <f>E1589</f>
        <v>10</v>
      </c>
      <c r="F1595" s="17">
        <f>SUM(B1595:E1595)</f>
        <v>31</v>
      </c>
      <c r="H1595" s="27" t="s">
        <v>6</v>
      </c>
      <c r="I1595" s="18">
        <f>I1589</f>
        <v>276</v>
      </c>
      <c r="J1595" s="20">
        <f>J1589</f>
        <v>308</v>
      </c>
      <c r="K1595" s="55">
        <f>K1589</f>
        <v>266</v>
      </c>
      <c r="L1595" s="58">
        <f>L1589</f>
        <v>294</v>
      </c>
      <c r="M1595" s="17">
        <f>SUM(I1595:L1595)</f>
        <v>1144</v>
      </c>
    </row>
    <row r="1596" spans="1:14" x14ac:dyDescent="0.15">
      <c r="A1596" s="6" t="s">
        <v>3</v>
      </c>
      <c r="B1596" s="31">
        <v>3</v>
      </c>
      <c r="C1596" s="32">
        <v>5</v>
      </c>
      <c r="D1596" s="31">
        <v>3</v>
      </c>
      <c r="E1596" s="52"/>
      <c r="F1596" s="5">
        <f t="shared" ref="F1596:F1599" si="382">SUM(B1596:E1596)</f>
        <v>11</v>
      </c>
      <c r="G1596" s="39">
        <v>45808</v>
      </c>
      <c r="H1596" s="6" t="s">
        <v>3</v>
      </c>
      <c r="I1596" s="31"/>
      <c r="J1596" s="32"/>
      <c r="K1596" s="31"/>
      <c r="L1596" s="52"/>
      <c r="M1596" s="5">
        <f t="shared" ref="M1596:M1605" si="383">SUM(I1596:L1596)</f>
        <v>0</v>
      </c>
    </row>
    <row r="1597" spans="1:14" x14ac:dyDescent="0.15">
      <c r="A1597" s="6" t="s">
        <v>3</v>
      </c>
      <c r="B1597" s="31"/>
      <c r="C1597" s="32">
        <v>5</v>
      </c>
      <c r="D1597" s="31"/>
      <c r="E1597" s="52"/>
      <c r="F1597" s="5">
        <f t="shared" ref="F1597" si="384">SUM(B1597:E1597)</f>
        <v>5</v>
      </c>
      <c r="G1597" s="39">
        <v>45819</v>
      </c>
      <c r="H1597" s="6" t="s">
        <v>3</v>
      </c>
      <c r="I1597" s="31"/>
      <c r="J1597" s="32"/>
      <c r="K1597" s="31"/>
      <c r="L1597" s="52"/>
      <c r="M1597" s="5">
        <f t="shared" si="383"/>
        <v>0</v>
      </c>
      <c r="N1597" s="41"/>
    </row>
    <row r="1598" spans="1:14" x14ac:dyDescent="0.15">
      <c r="A1598" s="6" t="s">
        <v>3</v>
      </c>
      <c r="B1598" s="31">
        <v>5</v>
      </c>
      <c r="C1598" s="32">
        <v>5</v>
      </c>
      <c r="D1598" s="31"/>
      <c r="E1598" s="52"/>
      <c r="F1598" s="5">
        <f t="shared" si="382"/>
        <v>10</v>
      </c>
      <c r="G1598" s="39">
        <v>45820</v>
      </c>
      <c r="H1598" s="6" t="s">
        <v>131</v>
      </c>
      <c r="I1598" s="31">
        <v>58</v>
      </c>
      <c r="J1598" s="32">
        <v>53</v>
      </c>
      <c r="K1598" s="31">
        <v>44</v>
      </c>
      <c r="L1598" s="52">
        <v>14</v>
      </c>
      <c r="M1598" s="5">
        <f t="shared" si="383"/>
        <v>169</v>
      </c>
      <c r="N1598" s="39">
        <v>45814</v>
      </c>
    </row>
    <row r="1599" spans="1:14" x14ac:dyDescent="0.15">
      <c r="A1599" s="6" t="s">
        <v>618</v>
      </c>
      <c r="B1599" s="31">
        <v>2</v>
      </c>
      <c r="C1599" s="32">
        <v>2</v>
      </c>
      <c r="D1599" s="31">
        <v>1</v>
      </c>
      <c r="E1599" s="52"/>
      <c r="F1599" s="5">
        <f t="shared" si="382"/>
        <v>5</v>
      </c>
      <c r="G1599" s="39">
        <v>45826</v>
      </c>
      <c r="H1599" s="6" t="s">
        <v>3</v>
      </c>
      <c r="I1599" s="31"/>
      <c r="J1599" s="32"/>
      <c r="K1599" s="31"/>
      <c r="L1599" s="52"/>
      <c r="M1599" s="5">
        <f t="shared" si="383"/>
        <v>0</v>
      </c>
      <c r="N1599" s="41"/>
    </row>
    <row r="1600" spans="1:14" x14ac:dyDescent="0.15">
      <c r="A1600" s="6" t="s">
        <v>45</v>
      </c>
      <c r="B1600" s="31"/>
      <c r="C1600" s="32"/>
      <c r="D1600" s="31">
        <v>2</v>
      </c>
      <c r="E1600" s="52">
        <v>2</v>
      </c>
      <c r="F1600" s="5">
        <f t="shared" ref="F1600:F1605" si="385">SUM(B1600:E1600)</f>
        <v>4</v>
      </c>
      <c r="G1600" s="39">
        <v>45832</v>
      </c>
      <c r="H1600" s="6" t="s">
        <v>3</v>
      </c>
      <c r="I1600" s="31"/>
      <c r="J1600" s="32"/>
      <c r="K1600" s="31"/>
      <c r="L1600" s="52"/>
      <c r="M1600" s="5">
        <f t="shared" si="383"/>
        <v>0</v>
      </c>
    </row>
    <row r="1601" spans="1:14" x14ac:dyDescent="0.15">
      <c r="A1601" s="6" t="s">
        <v>3</v>
      </c>
      <c r="B1601" s="31">
        <v>3</v>
      </c>
      <c r="C1601" s="32"/>
      <c r="D1601" s="31"/>
      <c r="E1601" s="52">
        <v>3</v>
      </c>
      <c r="F1601" s="5">
        <f t="shared" si="385"/>
        <v>6</v>
      </c>
      <c r="G1601" s="39">
        <v>45839</v>
      </c>
      <c r="H1601" s="6" t="s">
        <v>3</v>
      </c>
      <c r="I1601" s="31"/>
      <c r="J1601" s="32"/>
      <c r="K1601" s="31"/>
      <c r="L1601" s="52"/>
      <c r="M1601" s="5">
        <f t="shared" si="383"/>
        <v>0</v>
      </c>
    </row>
    <row r="1602" spans="1:14" x14ac:dyDescent="0.15">
      <c r="A1602" s="6" t="s">
        <v>3</v>
      </c>
      <c r="B1602" s="31"/>
      <c r="C1602" s="32"/>
      <c r="D1602" s="31">
        <v>5</v>
      </c>
      <c r="E1602" s="52"/>
      <c r="F1602" s="5">
        <f t="shared" si="385"/>
        <v>5</v>
      </c>
      <c r="G1602" s="39">
        <v>45843</v>
      </c>
      <c r="H1602" s="6" t="s">
        <v>3</v>
      </c>
      <c r="I1602" s="31"/>
      <c r="J1602" s="32"/>
      <c r="K1602" s="31"/>
      <c r="L1602" s="52"/>
      <c r="M1602" s="5">
        <f t="shared" si="383"/>
        <v>0</v>
      </c>
    </row>
    <row r="1603" spans="1:14" x14ac:dyDescent="0.15">
      <c r="A1603" s="6" t="s">
        <v>45</v>
      </c>
      <c r="B1603" s="10"/>
      <c r="C1603" s="9">
        <v>2</v>
      </c>
      <c r="D1603" s="10">
        <v>2</v>
      </c>
      <c r="E1603" s="49"/>
      <c r="F1603" s="5">
        <f t="shared" si="385"/>
        <v>4</v>
      </c>
      <c r="G1603" s="39">
        <v>45840</v>
      </c>
      <c r="H1603" s="6" t="s">
        <v>3</v>
      </c>
      <c r="I1603" s="31"/>
      <c r="J1603" s="32"/>
      <c r="K1603" s="31"/>
      <c r="L1603" s="52"/>
      <c r="M1603" s="5">
        <f t="shared" si="383"/>
        <v>0</v>
      </c>
    </row>
    <row r="1604" spans="1:14" x14ac:dyDescent="0.15">
      <c r="A1604" s="6" t="s">
        <v>3</v>
      </c>
      <c r="B1604" s="31">
        <v>3</v>
      </c>
      <c r="C1604" s="32">
        <v>5</v>
      </c>
      <c r="D1604" s="31"/>
      <c r="E1604" s="52">
        <v>5</v>
      </c>
      <c r="F1604" s="5">
        <f t="shared" si="385"/>
        <v>13</v>
      </c>
      <c r="G1604" s="39">
        <v>45847</v>
      </c>
      <c r="H1604" s="6" t="s">
        <v>3</v>
      </c>
      <c r="I1604" s="34"/>
      <c r="J1604" s="35"/>
      <c r="K1604" s="34"/>
      <c r="L1604" s="32"/>
      <c r="M1604" s="5">
        <f t="shared" si="383"/>
        <v>0</v>
      </c>
    </row>
    <row r="1605" spans="1:14" ht="14.25" thickBot="1" x14ac:dyDescent="0.2">
      <c r="A1605" s="6" t="s">
        <v>3</v>
      </c>
      <c r="B1605" s="13"/>
      <c r="C1605" s="12">
        <v>4</v>
      </c>
      <c r="D1605" s="13">
        <v>-1</v>
      </c>
      <c r="E1605" s="50"/>
      <c r="F1605" s="5">
        <f t="shared" si="385"/>
        <v>3</v>
      </c>
      <c r="H1605" s="6" t="s">
        <v>3</v>
      </c>
      <c r="I1605" s="34"/>
      <c r="J1605" s="35"/>
      <c r="K1605" s="34"/>
      <c r="L1605" s="53"/>
      <c r="M1605" s="5">
        <f t="shared" si="383"/>
        <v>0</v>
      </c>
    </row>
    <row r="1606" spans="1:14" ht="14.25" thickBot="1" x14ac:dyDescent="0.2">
      <c r="A1606" s="21" t="s">
        <v>4</v>
      </c>
      <c r="B1606" s="22">
        <f>SUM(B1595:B1605)</f>
        <v>23</v>
      </c>
      <c r="C1606" s="22">
        <f>SUM(C1595:C1605)</f>
        <v>33</v>
      </c>
      <c r="D1606" s="23">
        <f>SUM(D1595:D1605)</f>
        <v>21</v>
      </c>
      <c r="E1606" s="23">
        <f>SUM(E1595:E1605)</f>
        <v>20</v>
      </c>
      <c r="F1606" s="24">
        <f>SUM(B1606:E1606)</f>
        <v>97</v>
      </c>
      <c r="H1606" s="21" t="s">
        <v>4</v>
      </c>
      <c r="I1606" s="22">
        <f>SUM(I1595:I1605)</f>
        <v>334</v>
      </c>
      <c r="J1606" s="22">
        <f>SUM(J1595:J1605)</f>
        <v>361</v>
      </c>
      <c r="K1606" s="23">
        <f>SUM(K1595:K1605)</f>
        <v>310</v>
      </c>
      <c r="L1606" s="23">
        <f>SUM(L1595:L1605)</f>
        <v>308</v>
      </c>
      <c r="M1606" s="24">
        <f>SUM(I1606:L1606)</f>
        <v>1313</v>
      </c>
    </row>
    <row r="1607" spans="1:14" x14ac:dyDescent="0.15">
      <c r="A1607" s="4" t="s">
        <v>200</v>
      </c>
      <c r="B1607" s="8">
        <v>2</v>
      </c>
      <c r="C1607" s="9">
        <v>4</v>
      </c>
      <c r="D1607" s="10">
        <v>4</v>
      </c>
      <c r="E1607" s="9"/>
      <c r="F1607" s="5">
        <f t="shared" ref="F1607:F1617" si="386">SUM(B1607:E1607)</f>
        <v>10</v>
      </c>
      <c r="G1607" s="39">
        <v>45810</v>
      </c>
      <c r="H1607" s="4" t="s">
        <v>200</v>
      </c>
      <c r="I1607" s="8">
        <v>10</v>
      </c>
      <c r="J1607" s="9"/>
      <c r="K1607" s="10"/>
      <c r="L1607" s="9"/>
      <c r="M1607" s="7">
        <f t="shared" ref="M1607:M1623" si="387">SUM(I1607:L1607)</f>
        <v>10</v>
      </c>
      <c r="N1607" s="39">
        <v>45806</v>
      </c>
    </row>
    <row r="1608" spans="1:14" x14ac:dyDescent="0.15">
      <c r="A1608" s="4" t="s">
        <v>730</v>
      </c>
      <c r="B1608" s="8"/>
      <c r="C1608" s="9">
        <v>1</v>
      </c>
      <c r="D1608" s="10"/>
      <c r="E1608" s="9"/>
      <c r="F1608" s="5">
        <f t="shared" si="386"/>
        <v>1</v>
      </c>
      <c r="G1608" s="39">
        <v>45808</v>
      </c>
      <c r="H1608" s="4" t="s">
        <v>729</v>
      </c>
      <c r="I1608" s="8"/>
      <c r="J1608" s="9">
        <v>1</v>
      </c>
      <c r="K1608" s="10"/>
      <c r="L1608" s="9"/>
      <c r="M1608" s="7">
        <f t="shared" si="387"/>
        <v>1</v>
      </c>
      <c r="N1608" s="39">
        <v>45811</v>
      </c>
    </row>
    <row r="1609" spans="1:14" x14ac:dyDescent="0.15">
      <c r="A1609" s="4" t="s">
        <v>200</v>
      </c>
      <c r="B1609" s="8"/>
      <c r="C1609" s="9"/>
      <c r="D1609" s="10"/>
      <c r="E1609" s="9">
        <v>2</v>
      </c>
      <c r="F1609" s="5">
        <f t="shared" si="386"/>
        <v>2</v>
      </c>
      <c r="G1609" s="39">
        <v>45814</v>
      </c>
      <c r="H1609" s="4" t="s">
        <v>26</v>
      </c>
      <c r="I1609" s="8">
        <v>3</v>
      </c>
      <c r="J1609" s="9">
        <v>5</v>
      </c>
      <c r="K1609" s="10">
        <v>3</v>
      </c>
      <c r="L1609" s="9"/>
      <c r="M1609" s="7">
        <f t="shared" si="387"/>
        <v>11</v>
      </c>
      <c r="N1609" s="39">
        <v>45808</v>
      </c>
    </row>
    <row r="1610" spans="1:14" x14ac:dyDescent="0.15">
      <c r="A1610" s="4" t="s">
        <v>39</v>
      </c>
      <c r="B1610" s="8">
        <v>1</v>
      </c>
      <c r="C1610" s="9"/>
      <c r="D1610" s="10"/>
      <c r="E1610" s="9"/>
      <c r="F1610" s="5">
        <f t="shared" si="386"/>
        <v>1</v>
      </c>
      <c r="G1610" s="39">
        <v>45815</v>
      </c>
      <c r="H1610" s="4" t="s">
        <v>200</v>
      </c>
      <c r="I1610" s="8"/>
      <c r="J1610" s="9">
        <v>8</v>
      </c>
      <c r="K1610" s="10">
        <v>2</v>
      </c>
      <c r="L1610" s="9"/>
      <c r="M1610" s="7">
        <f t="shared" si="387"/>
        <v>10</v>
      </c>
      <c r="N1610" s="39">
        <v>45812</v>
      </c>
    </row>
    <row r="1611" spans="1:14" x14ac:dyDescent="0.15">
      <c r="A1611" s="4" t="s">
        <v>200</v>
      </c>
      <c r="B1611" s="8"/>
      <c r="C1611" s="9">
        <v>2</v>
      </c>
      <c r="D1611" s="10">
        <v>2</v>
      </c>
      <c r="E1611" s="9">
        <v>2</v>
      </c>
      <c r="F1611" s="5">
        <f t="shared" si="386"/>
        <v>6</v>
      </c>
      <c r="G1611" s="39">
        <v>45819</v>
      </c>
      <c r="H1611" s="4" t="s">
        <v>200</v>
      </c>
      <c r="I1611" s="8"/>
      <c r="J1611" s="9"/>
      <c r="K1611" s="10"/>
      <c r="L1611" s="9">
        <v>4</v>
      </c>
      <c r="M1611" s="7">
        <f t="shared" si="387"/>
        <v>4</v>
      </c>
      <c r="N1611" s="39">
        <v>45813</v>
      </c>
    </row>
    <row r="1612" spans="1:14" x14ac:dyDescent="0.15">
      <c r="A1612" s="4" t="s">
        <v>731</v>
      </c>
      <c r="B1612" s="8"/>
      <c r="C1612" s="9"/>
      <c r="D1612" s="10">
        <v>1</v>
      </c>
      <c r="E1612" s="9"/>
      <c r="F1612" s="5">
        <f t="shared" si="386"/>
        <v>1</v>
      </c>
      <c r="G1612" s="39">
        <v>45818</v>
      </c>
      <c r="H1612" s="4" t="s">
        <v>26</v>
      </c>
      <c r="I1612" s="8"/>
      <c r="J1612" s="9">
        <v>5</v>
      </c>
      <c r="K1612" s="10"/>
      <c r="L1612" s="9"/>
      <c r="M1612" s="7">
        <f t="shared" si="387"/>
        <v>5</v>
      </c>
      <c r="N1612" s="39">
        <v>45819</v>
      </c>
    </row>
    <row r="1613" spans="1:14" x14ac:dyDescent="0.15">
      <c r="A1613" s="4" t="s">
        <v>39</v>
      </c>
      <c r="B1613" s="8">
        <v>1</v>
      </c>
      <c r="C1613" s="9"/>
      <c r="D1613" s="10"/>
      <c r="E1613" s="9"/>
      <c r="F1613" s="5">
        <f t="shared" si="386"/>
        <v>1</v>
      </c>
      <c r="G1613" s="39">
        <v>45818</v>
      </c>
      <c r="H1613" s="4" t="s">
        <v>26</v>
      </c>
      <c r="I1613" s="8">
        <v>5</v>
      </c>
      <c r="J1613" s="9">
        <v>5</v>
      </c>
      <c r="K1613" s="10"/>
      <c r="L1613" s="9"/>
      <c r="M1613" s="7">
        <f t="shared" si="387"/>
        <v>10</v>
      </c>
      <c r="N1613" s="39">
        <v>45820</v>
      </c>
    </row>
    <row r="1614" spans="1:14" x14ac:dyDescent="0.15">
      <c r="A1614" s="4" t="s">
        <v>200</v>
      </c>
      <c r="B1614" s="8">
        <v>2</v>
      </c>
      <c r="C1614" s="9">
        <v>2</v>
      </c>
      <c r="D1614" s="10"/>
      <c r="E1614" s="9"/>
      <c r="F1614" s="5">
        <f t="shared" si="386"/>
        <v>4</v>
      </c>
      <c r="G1614" s="39">
        <v>45820</v>
      </c>
      <c r="H1614" s="4" t="s">
        <v>200</v>
      </c>
      <c r="I1614" s="8">
        <v>2</v>
      </c>
      <c r="J1614" s="9">
        <v>8</v>
      </c>
      <c r="K1614" s="10"/>
      <c r="L1614" s="9"/>
      <c r="M1614" s="7">
        <f t="shared" si="387"/>
        <v>10</v>
      </c>
      <c r="N1614" s="39">
        <v>45821</v>
      </c>
    </row>
    <row r="1615" spans="1:14" x14ac:dyDescent="0.15">
      <c r="A1615" s="4" t="s">
        <v>200</v>
      </c>
      <c r="B1615" s="8">
        <v>2</v>
      </c>
      <c r="C1615" s="9">
        <v>2</v>
      </c>
      <c r="D1615" s="10"/>
      <c r="E1615" s="9"/>
      <c r="F1615" s="5">
        <f t="shared" si="386"/>
        <v>4</v>
      </c>
      <c r="G1615" s="39">
        <v>45821</v>
      </c>
      <c r="H1615" s="4" t="s">
        <v>200</v>
      </c>
      <c r="I1615" s="8">
        <v>6</v>
      </c>
      <c r="J1615" s="9"/>
      <c r="K1615" s="10"/>
      <c r="L1615" s="9"/>
      <c r="M1615" s="7">
        <f t="shared" si="387"/>
        <v>6</v>
      </c>
      <c r="N1615" s="39">
        <v>45824</v>
      </c>
    </row>
    <row r="1616" spans="1:14" x14ac:dyDescent="0.15">
      <c r="A1616" s="4" t="s">
        <v>731</v>
      </c>
      <c r="B1616" s="8">
        <v>1</v>
      </c>
      <c r="C1616" s="9"/>
      <c r="D1616" s="10"/>
      <c r="E1616" s="9"/>
      <c r="F1616" s="5">
        <f t="shared" si="386"/>
        <v>1</v>
      </c>
      <c r="G1616" s="39">
        <v>45824</v>
      </c>
      <c r="H1616" s="4" t="s">
        <v>200</v>
      </c>
      <c r="I1616" s="8">
        <v>8</v>
      </c>
      <c r="J1616" s="9">
        <v>4</v>
      </c>
      <c r="K1616" s="10">
        <v>2</v>
      </c>
      <c r="L1616" s="9"/>
      <c r="M1616" s="7">
        <f t="shared" si="387"/>
        <v>14</v>
      </c>
      <c r="N1616" s="39">
        <v>45826</v>
      </c>
    </row>
    <row r="1617" spans="1:14" x14ac:dyDescent="0.15">
      <c r="A1617" s="4" t="s">
        <v>34</v>
      </c>
      <c r="B1617" s="8"/>
      <c r="C1617" s="9"/>
      <c r="D1617" s="10">
        <v>1</v>
      </c>
      <c r="E1617" s="9"/>
      <c r="F1617" s="5">
        <f t="shared" si="386"/>
        <v>1</v>
      </c>
      <c r="G1617" s="39">
        <v>45824</v>
      </c>
      <c r="H1617" s="4" t="s">
        <v>200</v>
      </c>
      <c r="I1617" s="8"/>
      <c r="J1617" s="9">
        <v>2</v>
      </c>
      <c r="K1617" s="10">
        <v>12</v>
      </c>
      <c r="L1617" s="9"/>
      <c r="M1617" s="7">
        <f t="shared" si="387"/>
        <v>14</v>
      </c>
      <c r="N1617" s="39">
        <v>45827</v>
      </c>
    </row>
    <row r="1618" spans="1:14" x14ac:dyDescent="0.15">
      <c r="A1618" s="4" t="s">
        <v>39</v>
      </c>
      <c r="B1618" s="8"/>
      <c r="C1618" s="9"/>
      <c r="D1618" s="10"/>
      <c r="E1618" s="9">
        <v>1</v>
      </c>
      <c r="F1618" s="5">
        <f t="shared" ref="F1618:F1630" si="388">SUM(B1618:E1618)</f>
        <v>1</v>
      </c>
      <c r="G1618" s="39">
        <v>45825</v>
      </c>
      <c r="H1618" s="4" t="s">
        <v>200</v>
      </c>
      <c r="I1618" s="8">
        <v>4</v>
      </c>
      <c r="J1618" s="9"/>
      <c r="K1618" s="10"/>
      <c r="L1618" s="9"/>
      <c r="M1618" s="7">
        <f t="shared" si="387"/>
        <v>4</v>
      </c>
      <c r="N1618" s="39">
        <v>45833</v>
      </c>
    </row>
    <row r="1619" spans="1:14" x14ac:dyDescent="0.15">
      <c r="A1619" s="4" t="s">
        <v>200</v>
      </c>
      <c r="B1619" s="8">
        <v>2</v>
      </c>
      <c r="C1619" s="9"/>
      <c r="D1619" s="10"/>
      <c r="E1619" s="9"/>
      <c r="F1619" s="5">
        <f t="shared" si="388"/>
        <v>2</v>
      </c>
      <c r="G1619" s="39">
        <v>45831</v>
      </c>
      <c r="H1619" s="4" t="s">
        <v>732</v>
      </c>
      <c r="I1619" s="8"/>
      <c r="J1619" s="9">
        <v>8</v>
      </c>
      <c r="K1619" s="10"/>
      <c r="L1619" s="9"/>
      <c r="M1619" s="7">
        <f t="shared" si="387"/>
        <v>8</v>
      </c>
      <c r="N1619" s="39">
        <v>45838</v>
      </c>
    </row>
    <row r="1620" spans="1:14" x14ac:dyDescent="0.15">
      <c r="A1620" s="4" t="s">
        <v>34</v>
      </c>
      <c r="B1620" s="8"/>
      <c r="C1620" s="9">
        <v>2</v>
      </c>
      <c r="D1620" s="10"/>
      <c r="E1620" s="9"/>
      <c r="F1620" s="5">
        <f t="shared" si="388"/>
        <v>2</v>
      </c>
      <c r="G1620" s="39">
        <v>45831</v>
      </c>
      <c r="H1620" s="4" t="s">
        <v>26</v>
      </c>
      <c r="I1620" s="8">
        <v>3</v>
      </c>
      <c r="J1620" s="9"/>
      <c r="K1620" s="10"/>
      <c r="L1620" s="9">
        <v>3</v>
      </c>
      <c r="M1620" s="7">
        <f t="shared" si="387"/>
        <v>6</v>
      </c>
      <c r="N1620" s="39">
        <v>45839</v>
      </c>
    </row>
    <row r="1621" spans="1:14" x14ac:dyDescent="0.15">
      <c r="A1621" s="4" t="s">
        <v>39</v>
      </c>
      <c r="B1621" s="8">
        <v>2</v>
      </c>
      <c r="C1621" s="9">
        <v>3</v>
      </c>
      <c r="D1621" s="10"/>
      <c r="E1621" s="9">
        <v>1</v>
      </c>
      <c r="F1621" s="5">
        <f t="shared" si="388"/>
        <v>6</v>
      </c>
      <c r="G1621" s="39">
        <v>45833</v>
      </c>
      <c r="H1621" s="4" t="s">
        <v>26</v>
      </c>
      <c r="I1621" s="8"/>
      <c r="J1621" s="9"/>
      <c r="K1621" s="10">
        <v>5</v>
      </c>
      <c r="L1621" s="9"/>
      <c r="M1621" s="7">
        <f t="shared" si="387"/>
        <v>5</v>
      </c>
      <c r="N1621" s="39">
        <v>45843</v>
      </c>
    </row>
    <row r="1622" spans="1:14" x14ac:dyDescent="0.15">
      <c r="A1622" s="4" t="s">
        <v>200</v>
      </c>
      <c r="B1622" s="8"/>
      <c r="C1622" s="9"/>
      <c r="D1622" s="10"/>
      <c r="E1622" s="9">
        <v>2</v>
      </c>
      <c r="F1622" s="5">
        <f t="shared" si="388"/>
        <v>2</v>
      </c>
      <c r="G1622" s="39">
        <v>45835</v>
      </c>
      <c r="H1622" s="4" t="s">
        <v>736</v>
      </c>
      <c r="I1622" s="8"/>
      <c r="J1622" s="9"/>
      <c r="K1622" s="10"/>
      <c r="L1622" s="9">
        <v>16</v>
      </c>
      <c r="M1622" s="7">
        <f t="shared" si="387"/>
        <v>16</v>
      </c>
      <c r="N1622" s="39">
        <v>45848</v>
      </c>
    </row>
    <row r="1623" spans="1:14" x14ac:dyDescent="0.15">
      <c r="A1623" s="4" t="s">
        <v>39</v>
      </c>
      <c r="B1623" s="8"/>
      <c r="C1623" s="9">
        <v>1</v>
      </c>
      <c r="D1623" s="10"/>
      <c r="E1623" s="9"/>
      <c r="F1623" s="5">
        <f t="shared" si="388"/>
        <v>1</v>
      </c>
      <c r="G1623" s="39">
        <v>45840</v>
      </c>
      <c r="H1623" s="4" t="s">
        <v>26</v>
      </c>
      <c r="I1623" s="8">
        <v>3</v>
      </c>
      <c r="J1623" s="9">
        <v>5</v>
      </c>
      <c r="K1623" s="10"/>
      <c r="L1623" s="9">
        <v>5</v>
      </c>
      <c r="M1623" s="7">
        <f t="shared" si="387"/>
        <v>13</v>
      </c>
      <c r="N1623" s="39">
        <v>45847</v>
      </c>
    </row>
    <row r="1624" spans="1:14" x14ac:dyDescent="0.15">
      <c r="A1624" s="4" t="s">
        <v>200</v>
      </c>
      <c r="B1624" s="8"/>
      <c r="C1624" s="9">
        <v>2</v>
      </c>
      <c r="D1624" s="10"/>
      <c r="E1624" s="9"/>
      <c r="F1624" s="5">
        <f t="shared" si="388"/>
        <v>2</v>
      </c>
      <c r="G1624" s="39">
        <v>45842</v>
      </c>
      <c r="H1624" s="4" t="s">
        <v>200</v>
      </c>
      <c r="I1624" s="8"/>
      <c r="J1624" s="9"/>
      <c r="K1624" s="10"/>
      <c r="L1624" s="9">
        <v>2</v>
      </c>
      <c r="M1624" s="7">
        <f t="shared" ref="M1624:M1630" si="389">SUM(I1624:L1624)</f>
        <v>2</v>
      </c>
      <c r="N1624" s="39">
        <v>45849</v>
      </c>
    </row>
    <row r="1625" spans="1:14" x14ac:dyDescent="0.15">
      <c r="A1625" s="4" t="s">
        <v>34</v>
      </c>
      <c r="B1625" s="8">
        <v>1</v>
      </c>
      <c r="C1625" s="9"/>
      <c r="D1625" s="10"/>
      <c r="E1625" s="9"/>
      <c r="F1625" s="5">
        <f t="shared" si="388"/>
        <v>1</v>
      </c>
      <c r="G1625" s="39">
        <v>45843</v>
      </c>
      <c r="H1625" s="4" t="s">
        <v>200</v>
      </c>
      <c r="I1625" s="8">
        <v>4</v>
      </c>
      <c r="J1625" s="9">
        <v>4</v>
      </c>
      <c r="K1625" s="10">
        <v>4</v>
      </c>
      <c r="L1625" s="9">
        <v>2</v>
      </c>
      <c r="M1625" s="7">
        <f t="shared" si="389"/>
        <v>14</v>
      </c>
      <c r="N1625" s="39">
        <v>45854</v>
      </c>
    </row>
    <row r="1626" spans="1:14" x14ac:dyDescent="0.15">
      <c r="A1626" s="4" t="s">
        <v>200</v>
      </c>
      <c r="B1626" s="8"/>
      <c r="C1626" s="9"/>
      <c r="D1626" s="10"/>
      <c r="E1626" s="9">
        <v>2</v>
      </c>
      <c r="F1626" s="5">
        <f t="shared" si="388"/>
        <v>2</v>
      </c>
      <c r="G1626" s="39">
        <v>45847</v>
      </c>
      <c r="H1626" s="4"/>
      <c r="I1626" s="8"/>
      <c r="J1626" s="9"/>
      <c r="K1626" s="10"/>
      <c r="L1626" s="9"/>
      <c r="M1626" s="7">
        <f t="shared" si="389"/>
        <v>0</v>
      </c>
      <c r="N1626" s="41"/>
    </row>
    <row r="1627" spans="1:14" x14ac:dyDescent="0.15">
      <c r="A1627" s="4" t="s">
        <v>39</v>
      </c>
      <c r="B1627" s="8"/>
      <c r="C1627" s="9">
        <v>2</v>
      </c>
      <c r="D1627" s="10"/>
      <c r="E1627" s="9">
        <v>2</v>
      </c>
      <c r="F1627" s="5">
        <f t="shared" si="388"/>
        <v>4</v>
      </c>
      <c r="G1627" s="39">
        <v>45847</v>
      </c>
      <c r="H1627" s="4"/>
      <c r="I1627" s="8"/>
      <c r="J1627" s="9"/>
      <c r="K1627" s="10"/>
      <c r="L1627" s="9"/>
      <c r="M1627" s="7">
        <f t="shared" si="389"/>
        <v>0</v>
      </c>
    </row>
    <row r="1628" spans="1:14" x14ac:dyDescent="0.15">
      <c r="A1628" s="4" t="s">
        <v>34</v>
      </c>
      <c r="B1628" s="8"/>
      <c r="C1628" s="9">
        <v>1</v>
      </c>
      <c r="D1628" s="10"/>
      <c r="E1628" s="9"/>
      <c r="F1628" s="5">
        <f t="shared" si="388"/>
        <v>1</v>
      </c>
      <c r="G1628" s="39">
        <v>45848</v>
      </c>
      <c r="H1628" s="4"/>
      <c r="I1628" s="8"/>
      <c r="J1628" s="9"/>
      <c r="K1628" s="10"/>
      <c r="L1628" s="9"/>
      <c r="M1628" s="7">
        <f t="shared" ref="M1628:M1629" si="390">SUM(I1628:L1628)</f>
        <v>0</v>
      </c>
    </row>
    <row r="1629" spans="1:14" x14ac:dyDescent="0.15">
      <c r="A1629" s="4" t="s">
        <v>39</v>
      </c>
      <c r="B1629" s="8"/>
      <c r="C1629" s="9"/>
      <c r="D1629" s="10">
        <v>1</v>
      </c>
      <c r="E1629" s="9"/>
      <c r="F1629" s="5">
        <f t="shared" si="388"/>
        <v>1</v>
      </c>
      <c r="G1629" s="39">
        <v>45853</v>
      </c>
      <c r="H1629" s="4" t="s">
        <v>716</v>
      </c>
      <c r="I1629" s="8"/>
      <c r="J1629" s="9"/>
      <c r="K1629" s="10"/>
      <c r="L1629" s="9"/>
      <c r="M1629" s="7">
        <f t="shared" si="390"/>
        <v>0</v>
      </c>
      <c r="N1629" s="41" t="s">
        <v>717</v>
      </c>
    </row>
    <row r="1630" spans="1:14" ht="14.25" thickBot="1" x14ac:dyDescent="0.2">
      <c r="A1630" s="4" t="s">
        <v>34</v>
      </c>
      <c r="B1630" s="8"/>
      <c r="C1630" s="9">
        <v>1</v>
      </c>
      <c r="D1630" s="10"/>
      <c r="E1630" s="9"/>
      <c r="F1630" s="5">
        <f t="shared" si="388"/>
        <v>1</v>
      </c>
      <c r="G1630" s="71">
        <v>45852</v>
      </c>
      <c r="H1630" s="4" t="s">
        <v>727</v>
      </c>
      <c r="I1630" s="8"/>
      <c r="J1630" s="9"/>
      <c r="K1630" s="10"/>
      <c r="L1630" s="9"/>
      <c r="M1630" s="7">
        <f t="shared" si="389"/>
        <v>0</v>
      </c>
      <c r="N1630" s="41" t="s">
        <v>427</v>
      </c>
    </row>
    <row r="1631" spans="1:14" ht="14.25" thickBot="1" x14ac:dyDescent="0.2">
      <c r="A1631" s="3" t="s">
        <v>5</v>
      </c>
      <c r="B1631" s="14">
        <f>SUM(B1607:B1630)</f>
        <v>14</v>
      </c>
      <c r="C1631" s="14">
        <f>SUM(C1607:C1630)</f>
        <v>23</v>
      </c>
      <c r="D1631" s="14">
        <f>SUM(D1607:D1630)</f>
        <v>9</v>
      </c>
      <c r="E1631" s="14">
        <f>SUM(E1607:E1630)</f>
        <v>12</v>
      </c>
      <c r="F1631" s="15">
        <f>SUM(B1631:E1631)</f>
        <v>58</v>
      </c>
      <c r="H1631" s="3" t="s">
        <v>5</v>
      </c>
      <c r="I1631" s="14">
        <f>SUM(I1607:I1630)</f>
        <v>48</v>
      </c>
      <c r="J1631" s="14">
        <f>SUM(J1607:J1630)</f>
        <v>55</v>
      </c>
      <c r="K1631" s="14">
        <f>SUM(K1607:K1630)</f>
        <v>28</v>
      </c>
      <c r="L1631" s="14">
        <f>SUM(L1607:L1630)</f>
        <v>32</v>
      </c>
      <c r="M1631" s="15">
        <f>SUM(I1631:L1631)</f>
        <v>163</v>
      </c>
    </row>
    <row r="1632" spans="1:14" ht="14.25" thickBot="1" x14ac:dyDescent="0.2">
      <c r="A1632" s="25" t="s">
        <v>6</v>
      </c>
      <c r="B1632" s="26">
        <f>B1606-B1631</f>
        <v>9</v>
      </c>
      <c r="C1632" s="26">
        <f t="shared" ref="C1632:F1632" si="391">C1606-C1631</f>
        <v>10</v>
      </c>
      <c r="D1632" s="26">
        <f t="shared" si="391"/>
        <v>12</v>
      </c>
      <c r="E1632" s="26">
        <f t="shared" si="391"/>
        <v>8</v>
      </c>
      <c r="F1632" s="24">
        <f t="shared" si="391"/>
        <v>39</v>
      </c>
      <c r="H1632" s="25" t="s">
        <v>6</v>
      </c>
      <c r="I1632" s="26">
        <f>I1606-I1631</f>
        <v>286</v>
      </c>
      <c r="J1632" s="26">
        <f t="shared" ref="J1632:M1632" si="392">J1606-J1631</f>
        <v>306</v>
      </c>
      <c r="K1632" s="26">
        <f t="shared" si="392"/>
        <v>282</v>
      </c>
      <c r="L1632" s="26">
        <f t="shared" si="392"/>
        <v>276</v>
      </c>
      <c r="M1632" s="24">
        <f t="shared" si="392"/>
        <v>1150</v>
      </c>
    </row>
    <row r="1635" spans="1:13" ht="21.75" thickBot="1" x14ac:dyDescent="0.25">
      <c r="A1635" s="29" t="s">
        <v>13</v>
      </c>
      <c r="B1635" s="1"/>
      <c r="C1635" s="1"/>
      <c r="D1635" s="1"/>
      <c r="E1635" s="1"/>
      <c r="F1635" s="1"/>
      <c r="H1635" s="29" t="s">
        <v>14</v>
      </c>
      <c r="I1635" s="1"/>
      <c r="J1635" s="1"/>
      <c r="K1635" s="1"/>
      <c r="L1635" s="1"/>
      <c r="M1635" s="1"/>
    </row>
    <row r="1636" spans="1:13" ht="14.25" thickBot="1" x14ac:dyDescent="0.2">
      <c r="A1636" s="2" t="s">
        <v>0</v>
      </c>
      <c r="B1636" s="164" t="s">
        <v>12</v>
      </c>
      <c r="C1636" s="165"/>
      <c r="D1636" s="165"/>
      <c r="E1636" s="165"/>
      <c r="F1636" s="117"/>
      <c r="H1636" s="2" t="s">
        <v>0</v>
      </c>
      <c r="I1636" s="164" t="s">
        <v>12</v>
      </c>
      <c r="J1636" s="165"/>
      <c r="K1636" s="165"/>
      <c r="L1636" s="165"/>
      <c r="M1636" s="117"/>
    </row>
    <row r="1637" spans="1:13" ht="14.25" thickBot="1" x14ac:dyDescent="0.2">
      <c r="A1637" s="2" t="s">
        <v>1</v>
      </c>
      <c r="B1637" s="3" t="s">
        <v>489</v>
      </c>
      <c r="C1637" s="2" t="s">
        <v>490</v>
      </c>
      <c r="D1637" s="19" t="s">
        <v>491</v>
      </c>
      <c r="E1637" s="2" t="s">
        <v>492</v>
      </c>
      <c r="F1637" s="2" t="s">
        <v>2</v>
      </c>
      <c r="H1637" s="2" t="s">
        <v>1</v>
      </c>
      <c r="I1637" s="3" t="s">
        <v>489</v>
      </c>
      <c r="J1637" s="2" t="s">
        <v>490</v>
      </c>
      <c r="K1637" s="19" t="s">
        <v>491</v>
      </c>
      <c r="L1637" s="2" t="s">
        <v>492</v>
      </c>
      <c r="M1637" s="2" t="s">
        <v>2</v>
      </c>
    </row>
    <row r="1638" spans="1:13" x14ac:dyDescent="0.15">
      <c r="A1638" s="27" t="s">
        <v>6</v>
      </c>
      <c r="B1638" s="18">
        <f>B1632</f>
        <v>9</v>
      </c>
      <c r="C1638" s="20">
        <f>C1632</f>
        <v>10</v>
      </c>
      <c r="D1638" s="55">
        <f>D1632</f>
        <v>12</v>
      </c>
      <c r="E1638" s="20">
        <f>E1632</f>
        <v>8</v>
      </c>
      <c r="F1638" s="17">
        <f>SUM(B1638:E1638)</f>
        <v>39</v>
      </c>
      <c r="H1638" s="27" t="s">
        <v>6</v>
      </c>
      <c r="I1638" s="18">
        <f>I1632</f>
        <v>286</v>
      </c>
      <c r="J1638" s="20">
        <f>J1632</f>
        <v>306</v>
      </c>
      <c r="K1638" s="55">
        <f>K1632</f>
        <v>282</v>
      </c>
      <c r="L1638" s="58">
        <f>L1632</f>
        <v>276</v>
      </c>
      <c r="M1638" s="17">
        <f>SUM(I1638:L1638)</f>
        <v>1150</v>
      </c>
    </row>
    <row r="1639" spans="1:13" x14ac:dyDescent="0.15">
      <c r="A1639" s="4" t="s">
        <v>737</v>
      </c>
      <c r="B1639" s="8">
        <v>1</v>
      </c>
      <c r="C1639" s="9"/>
      <c r="D1639" s="10"/>
      <c r="E1639" s="9"/>
      <c r="F1639" s="5">
        <f t="shared" ref="F1639" si="393">SUM(B1639:E1639)</f>
        <v>1</v>
      </c>
      <c r="G1639" s="39">
        <v>45855</v>
      </c>
      <c r="H1639" s="6" t="s">
        <v>3</v>
      </c>
      <c r="I1639" s="31"/>
      <c r="J1639" s="32"/>
      <c r="K1639" s="31"/>
      <c r="L1639" s="52"/>
      <c r="M1639" s="5">
        <f t="shared" ref="M1639:M1643" si="394">SUM(I1639:L1639)</f>
        <v>0</v>
      </c>
    </row>
    <row r="1640" spans="1:13" x14ac:dyDescent="0.15">
      <c r="A1640" s="6" t="s">
        <v>3</v>
      </c>
      <c r="B1640" s="31"/>
      <c r="C1640" s="32">
        <v>5</v>
      </c>
      <c r="D1640" s="31"/>
      <c r="E1640" s="52"/>
      <c r="F1640" s="5">
        <f t="shared" ref="F1640:F1643" si="395">SUM(B1640:E1640)</f>
        <v>5</v>
      </c>
      <c r="G1640" s="39">
        <v>45863</v>
      </c>
      <c r="H1640" s="6" t="s">
        <v>3</v>
      </c>
      <c r="I1640" s="31"/>
      <c r="J1640" s="32"/>
      <c r="K1640" s="31"/>
      <c r="L1640" s="52"/>
      <c r="M1640" s="5">
        <f t="shared" si="394"/>
        <v>0</v>
      </c>
    </row>
    <row r="1641" spans="1:13" x14ac:dyDescent="0.15">
      <c r="A1641" s="6" t="s">
        <v>3</v>
      </c>
      <c r="B1641" s="31"/>
      <c r="C1641" s="32">
        <v>5</v>
      </c>
      <c r="D1641" s="31"/>
      <c r="E1641" s="52"/>
      <c r="F1641" s="5">
        <f t="shared" si="395"/>
        <v>5</v>
      </c>
      <c r="G1641" s="39">
        <v>45876</v>
      </c>
      <c r="H1641" s="6" t="s">
        <v>3</v>
      </c>
      <c r="I1641" s="31"/>
      <c r="J1641" s="32"/>
      <c r="K1641" s="31"/>
      <c r="L1641" s="52"/>
      <c r="M1641" s="5">
        <f t="shared" si="394"/>
        <v>0</v>
      </c>
    </row>
    <row r="1642" spans="1:13" x14ac:dyDescent="0.15">
      <c r="A1642" s="6" t="s">
        <v>45</v>
      </c>
      <c r="B1642" s="31"/>
      <c r="C1642" s="32"/>
      <c r="D1642" s="31"/>
      <c r="E1642" s="52">
        <v>2</v>
      </c>
      <c r="F1642" s="5">
        <f t="shared" si="395"/>
        <v>2</v>
      </c>
      <c r="G1642" s="39">
        <v>45874</v>
      </c>
      <c r="H1642" s="6" t="s">
        <v>3</v>
      </c>
      <c r="I1642" s="31"/>
      <c r="J1642" s="32"/>
      <c r="K1642" s="31"/>
      <c r="L1642" s="52"/>
      <c r="M1642" s="5">
        <f t="shared" si="394"/>
        <v>0</v>
      </c>
    </row>
    <row r="1643" spans="1:13" x14ac:dyDescent="0.15">
      <c r="A1643" s="6" t="s">
        <v>306</v>
      </c>
      <c r="B1643" s="31">
        <v>0</v>
      </c>
      <c r="C1643" s="32">
        <v>0</v>
      </c>
      <c r="D1643" s="31">
        <v>0</v>
      </c>
      <c r="E1643" s="52">
        <v>0</v>
      </c>
      <c r="F1643" s="5">
        <f t="shared" si="395"/>
        <v>0</v>
      </c>
      <c r="G1643" s="39">
        <v>45888</v>
      </c>
      <c r="H1643" s="6" t="s">
        <v>3</v>
      </c>
      <c r="I1643" s="31"/>
      <c r="J1643" s="32"/>
      <c r="K1643" s="31"/>
      <c r="L1643" s="52"/>
      <c r="M1643" s="5">
        <f t="shared" si="394"/>
        <v>0</v>
      </c>
    </row>
    <row r="1644" spans="1:13" x14ac:dyDescent="0.15">
      <c r="A1644" s="6" t="s">
        <v>3</v>
      </c>
      <c r="B1644" s="31">
        <v>5</v>
      </c>
      <c r="C1644" s="32">
        <v>5</v>
      </c>
      <c r="D1644" s="31"/>
      <c r="E1644" s="52"/>
      <c r="F1644" s="5">
        <f t="shared" ref="F1644:F1648" si="396">SUM(B1644:E1644)</f>
        <v>10</v>
      </c>
      <c r="G1644" s="39">
        <v>45890</v>
      </c>
      <c r="H1644" s="6" t="s">
        <v>3</v>
      </c>
      <c r="I1644" s="31"/>
      <c r="J1644" s="32"/>
      <c r="K1644" s="31"/>
      <c r="L1644" s="52"/>
      <c r="M1644" s="5">
        <f t="shared" ref="M1644:M1648" si="397">SUM(I1644:L1644)</f>
        <v>0</v>
      </c>
    </row>
    <row r="1645" spans="1:13" x14ac:dyDescent="0.15">
      <c r="A1645" s="6" t="s">
        <v>3</v>
      </c>
      <c r="B1645" s="31">
        <v>3</v>
      </c>
      <c r="C1645" s="32"/>
      <c r="D1645" s="31">
        <v>3</v>
      </c>
      <c r="E1645" s="52">
        <v>5</v>
      </c>
      <c r="F1645" s="5">
        <f t="shared" si="396"/>
        <v>11</v>
      </c>
      <c r="G1645" s="39">
        <v>45899</v>
      </c>
      <c r="H1645" s="6" t="s">
        <v>3</v>
      </c>
      <c r="I1645" s="31"/>
      <c r="J1645" s="32"/>
      <c r="K1645" s="31"/>
      <c r="L1645" s="52"/>
      <c r="M1645" s="5">
        <f t="shared" si="397"/>
        <v>0</v>
      </c>
    </row>
    <row r="1646" spans="1:13" x14ac:dyDescent="0.15">
      <c r="A1646" s="6" t="s">
        <v>338</v>
      </c>
      <c r="B1646" s="10"/>
      <c r="C1646" s="9"/>
      <c r="D1646" s="10">
        <v>2</v>
      </c>
      <c r="E1646" s="49"/>
      <c r="F1646" s="5">
        <f t="shared" si="396"/>
        <v>2</v>
      </c>
      <c r="G1646" s="71">
        <v>45899</v>
      </c>
      <c r="H1646" s="6" t="s">
        <v>3</v>
      </c>
      <c r="I1646" s="31"/>
      <c r="J1646" s="32"/>
      <c r="K1646" s="31"/>
      <c r="L1646" s="52"/>
      <c r="M1646" s="5">
        <f t="shared" si="397"/>
        <v>0</v>
      </c>
    </row>
    <row r="1647" spans="1:13" x14ac:dyDescent="0.15">
      <c r="A1647" s="6" t="s">
        <v>45</v>
      </c>
      <c r="B1647" s="31"/>
      <c r="C1647" s="32"/>
      <c r="D1647" s="31"/>
      <c r="E1647" s="52">
        <v>2</v>
      </c>
      <c r="F1647" s="5">
        <f t="shared" si="396"/>
        <v>2</v>
      </c>
      <c r="G1647" s="71">
        <v>45910</v>
      </c>
      <c r="H1647" s="6" t="s">
        <v>3</v>
      </c>
      <c r="I1647" s="34"/>
      <c r="J1647" s="35"/>
      <c r="K1647" s="34"/>
      <c r="L1647" s="32"/>
      <c r="M1647" s="5">
        <f t="shared" si="397"/>
        <v>0</v>
      </c>
    </row>
    <row r="1648" spans="1:13" ht="14.25" thickBot="1" x14ac:dyDescent="0.2">
      <c r="A1648" s="6" t="s">
        <v>3</v>
      </c>
      <c r="B1648" s="13"/>
      <c r="C1648" s="12"/>
      <c r="D1648" s="13"/>
      <c r="E1648" s="50"/>
      <c r="F1648" s="5">
        <f t="shared" si="396"/>
        <v>0</v>
      </c>
      <c r="H1648" s="6" t="s">
        <v>3</v>
      </c>
      <c r="I1648" s="34"/>
      <c r="J1648" s="35"/>
      <c r="K1648" s="34"/>
      <c r="L1648" s="53"/>
      <c r="M1648" s="5">
        <f t="shared" si="397"/>
        <v>0</v>
      </c>
    </row>
    <row r="1649" spans="1:14" ht="14.25" thickBot="1" x14ac:dyDescent="0.2">
      <c r="A1649" s="21" t="s">
        <v>4</v>
      </c>
      <c r="B1649" s="22">
        <f>SUM(B1638:B1648)</f>
        <v>18</v>
      </c>
      <c r="C1649" s="22">
        <f>SUM(C1638:C1648)</f>
        <v>25</v>
      </c>
      <c r="D1649" s="23">
        <f>SUM(D1638:D1648)</f>
        <v>17</v>
      </c>
      <c r="E1649" s="23">
        <f>SUM(E1638:E1648)</f>
        <v>17</v>
      </c>
      <c r="F1649" s="24">
        <f>SUM(B1649:E1649)</f>
        <v>77</v>
      </c>
      <c r="H1649" s="21" t="s">
        <v>4</v>
      </c>
      <c r="I1649" s="22">
        <f>SUM(I1638:I1648)</f>
        <v>286</v>
      </c>
      <c r="J1649" s="22">
        <f>SUM(J1638:J1648)</f>
        <v>306</v>
      </c>
      <c r="K1649" s="23">
        <f>SUM(K1638:K1648)</f>
        <v>282</v>
      </c>
      <c r="L1649" s="23">
        <f>SUM(L1638:L1648)</f>
        <v>276</v>
      </c>
      <c r="M1649" s="24">
        <f>SUM(I1649:L1649)</f>
        <v>1150</v>
      </c>
    </row>
    <row r="1650" spans="1:14" x14ac:dyDescent="0.15">
      <c r="A1650" s="4" t="s">
        <v>200</v>
      </c>
      <c r="B1650" s="8"/>
      <c r="C1650" s="9"/>
      <c r="D1650" s="10"/>
      <c r="E1650" s="9">
        <v>2</v>
      </c>
      <c r="F1650" s="5">
        <f t="shared" ref="F1650:F1661" si="398">SUM(B1650:E1650)</f>
        <v>2</v>
      </c>
      <c r="G1650" s="39">
        <v>45860</v>
      </c>
      <c r="H1650" s="4" t="s">
        <v>740</v>
      </c>
      <c r="I1650" s="8"/>
      <c r="J1650" s="9">
        <v>5</v>
      </c>
      <c r="K1650" s="10"/>
      <c r="L1650" s="9"/>
      <c r="M1650" s="7">
        <f t="shared" ref="M1650:M1661" si="399">SUM(I1650:L1650)</f>
        <v>5</v>
      </c>
      <c r="N1650" s="39">
        <v>45863</v>
      </c>
    </row>
    <row r="1651" spans="1:14" x14ac:dyDescent="0.15">
      <c r="A1651" s="4" t="s">
        <v>39</v>
      </c>
      <c r="B1651" s="8"/>
      <c r="C1651" s="9">
        <v>2</v>
      </c>
      <c r="D1651" s="10"/>
      <c r="E1651" s="9"/>
      <c r="F1651" s="5">
        <f t="shared" si="398"/>
        <v>2</v>
      </c>
      <c r="G1651" s="39">
        <v>45861</v>
      </c>
      <c r="H1651" s="4" t="s">
        <v>741</v>
      </c>
      <c r="I1651" s="8"/>
      <c r="J1651" s="9"/>
      <c r="K1651" s="10">
        <v>8</v>
      </c>
      <c r="L1651" s="9"/>
      <c r="M1651" s="7">
        <f t="shared" si="399"/>
        <v>8</v>
      </c>
      <c r="N1651" s="39">
        <v>45866</v>
      </c>
    </row>
    <row r="1652" spans="1:14" x14ac:dyDescent="0.15">
      <c r="A1652" s="4" t="s">
        <v>34</v>
      </c>
      <c r="B1652" s="8"/>
      <c r="C1652" s="9"/>
      <c r="D1652" s="10">
        <v>2</v>
      </c>
      <c r="E1652" s="9"/>
      <c r="F1652" s="5">
        <f t="shared" si="398"/>
        <v>2</v>
      </c>
      <c r="G1652" s="39">
        <v>45861</v>
      </c>
      <c r="H1652" s="4" t="s">
        <v>742</v>
      </c>
      <c r="I1652" s="8"/>
      <c r="J1652" s="9">
        <v>12</v>
      </c>
      <c r="K1652" s="10"/>
      <c r="L1652" s="9"/>
      <c r="M1652" s="7">
        <f t="shared" si="399"/>
        <v>12</v>
      </c>
      <c r="N1652" s="39">
        <v>45869</v>
      </c>
    </row>
    <row r="1653" spans="1:14" x14ac:dyDescent="0.15">
      <c r="A1653" s="4" t="s">
        <v>200</v>
      </c>
      <c r="B1653" s="8"/>
      <c r="C1653" s="9">
        <v>2</v>
      </c>
      <c r="D1653" s="10"/>
      <c r="E1653" s="9"/>
      <c r="F1653" s="5">
        <f t="shared" si="398"/>
        <v>2</v>
      </c>
      <c r="G1653" s="39">
        <v>45868</v>
      </c>
      <c r="H1653" s="4" t="s">
        <v>743</v>
      </c>
      <c r="I1653" s="8"/>
      <c r="J1653" s="9">
        <v>12</v>
      </c>
      <c r="K1653" s="10">
        <v>4</v>
      </c>
      <c r="L1653" s="9"/>
      <c r="M1653" s="7">
        <f t="shared" si="399"/>
        <v>16</v>
      </c>
      <c r="N1653" s="39">
        <v>45873</v>
      </c>
    </row>
    <row r="1654" spans="1:14" x14ac:dyDescent="0.15">
      <c r="A1654" s="4" t="s">
        <v>39</v>
      </c>
      <c r="B1654" s="8"/>
      <c r="C1654" s="9">
        <v>2</v>
      </c>
      <c r="D1654" s="10"/>
      <c r="E1654" s="9"/>
      <c r="F1654" s="5">
        <f t="shared" si="398"/>
        <v>2</v>
      </c>
      <c r="G1654" s="39">
        <v>45867</v>
      </c>
      <c r="H1654" s="4" t="s">
        <v>26</v>
      </c>
      <c r="I1654" s="8"/>
      <c r="J1654" s="9">
        <v>5</v>
      </c>
      <c r="K1654" s="10"/>
      <c r="L1654" s="9"/>
      <c r="M1654" s="7">
        <f t="shared" si="399"/>
        <v>5</v>
      </c>
      <c r="N1654" s="39">
        <v>45876</v>
      </c>
    </row>
    <row r="1655" spans="1:14" x14ac:dyDescent="0.15">
      <c r="A1655" s="4" t="s">
        <v>200</v>
      </c>
      <c r="B1655" s="8">
        <v>2</v>
      </c>
      <c r="C1655" s="9"/>
      <c r="D1655" s="10"/>
      <c r="E1655" s="9"/>
      <c r="F1655" s="5">
        <f t="shared" si="398"/>
        <v>2</v>
      </c>
      <c r="G1655" s="39">
        <v>45870</v>
      </c>
      <c r="H1655" s="4" t="s">
        <v>26</v>
      </c>
      <c r="I1655" s="8">
        <v>5</v>
      </c>
      <c r="J1655" s="9">
        <v>5</v>
      </c>
      <c r="K1655" s="10"/>
      <c r="L1655" s="9"/>
      <c r="M1655" s="7">
        <f t="shared" si="399"/>
        <v>10</v>
      </c>
      <c r="N1655" s="39">
        <v>45890</v>
      </c>
    </row>
    <row r="1656" spans="1:14" x14ac:dyDescent="0.15">
      <c r="A1656" s="4" t="s">
        <v>34</v>
      </c>
      <c r="B1656" s="8">
        <v>2</v>
      </c>
      <c r="C1656" s="9"/>
      <c r="D1656" s="10"/>
      <c r="E1656" s="9"/>
      <c r="F1656" s="5">
        <f t="shared" si="398"/>
        <v>2</v>
      </c>
      <c r="G1656" s="39">
        <v>45869</v>
      </c>
      <c r="H1656" s="4" t="s">
        <v>296</v>
      </c>
      <c r="I1656" s="8">
        <v>2</v>
      </c>
      <c r="J1656" s="9"/>
      <c r="K1656" s="10"/>
      <c r="L1656" s="9">
        <v>4</v>
      </c>
      <c r="M1656" s="7">
        <f t="shared" si="399"/>
        <v>6</v>
      </c>
      <c r="N1656" s="39">
        <v>45896</v>
      </c>
    </row>
    <row r="1657" spans="1:14" x14ac:dyDescent="0.15">
      <c r="A1657" s="4" t="s">
        <v>200</v>
      </c>
      <c r="B1657" s="8"/>
      <c r="C1657" s="9"/>
      <c r="D1657" s="10"/>
      <c r="E1657" s="9">
        <v>2</v>
      </c>
      <c r="F1657" s="5">
        <f t="shared" si="398"/>
        <v>2</v>
      </c>
      <c r="G1657" s="39">
        <v>45875</v>
      </c>
      <c r="H1657" s="4" t="s">
        <v>744</v>
      </c>
      <c r="I1657" s="8">
        <v>16</v>
      </c>
      <c r="J1657" s="9"/>
      <c r="K1657" s="10"/>
      <c r="L1657" s="9"/>
      <c r="M1657" s="7">
        <f t="shared" si="399"/>
        <v>16</v>
      </c>
      <c r="N1657" s="39">
        <v>45901</v>
      </c>
    </row>
    <row r="1658" spans="1:14" x14ac:dyDescent="0.15">
      <c r="A1658" s="4" t="s">
        <v>200</v>
      </c>
      <c r="B1658" s="8"/>
      <c r="C1658" s="9">
        <v>2</v>
      </c>
      <c r="D1658" s="10"/>
      <c r="E1658" s="9"/>
      <c r="F1658" s="5">
        <f t="shared" si="398"/>
        <v>2</v>
      </c>
      <c r="G1658" s="39">
        <v>45877</v>
      </c>
      <c r="H1658" s="4" t="s">
        <v>26</v>
      </c>
      <c r="I1658" s="8">
        <v>3</v>
      </c>
      <c r="J1658" s="9"/>
      <c r="K1658" s="10">
        <v>3</v>
      </c>
      <c r="L1658" s="9">
        <v>5</v>
      </c>
      <c r="M1658" s="7">
        <f t="shared" si="399"/>
        <v>11</v>
      </c>
      <c r="N1658" s="39">
        <v>45899</v>
      </c>
    </row>
    <row r="1659" spans="1:14" x14ac:dyDescent="0.15">
      <c r="A1659" s="4" t="s">
        <v>200</v>
      </c>
      <c r="B1659" s="8"/>
      <c r="C1659" s="9">
        <v>2</v>
      </c>
      <c r="D1659" s="10"/>
      <c r="E1659" s="9"/>
      <c r="F1659" s="5">
        <f t="shared" si="398"/>
        <v>2</v>
      </c>
      <c r="G1659" s="39">
        <v>45877</v>
      </c>
      <c r="H1659" s="4" t="s">
        <v>296</v>
      </c>
      <c r="I1659" s="8">
        <v>6</v>
      </c>
      <c r="J1659" s="9">
        <v>4</v>
      </c>
      <c r="K1659" s="10">
        <v>2</v>
      </c>
      <c r="L1659" s="9">
        <v>2</v>
      </c>
      <c r="M1659" s="7">
        <f t="shared" si="399"/>
        <v>14</v>
      </c>
      <c r="N1659" s="39">
        <v>45903</v>
      </c>
    </row>
    <row r="1660" spans="1:14" x14ac:dyDescent="0.15">
      <c r="A1660" s="4" t="s">
        <v>34</v>
      </c>
      <c r="B1660" s="8"/>
      <c r="C1660" s="9"/>
      <c r="D1660" s="10">
        <v>1</v>
      </c>
      <c r="E1660" s="9"/>
      <c r="F1660" s="5">
        <f t="shared" si="398"/>
        <v>1</v>
      </c>
      <c r="G1660" s="39">
        <v>45877</v>
      </c>
      <c r="H1660" s="4" t="s">
        <v>296</v>
      </c>
      <c r="I1660" s="8"/>
      <c r="J1660" s="9">
        <v>8</v>
      </c>
      <c r="K1660" s="10"/>
      <c r="L1660" s="9"/>
      <c r="M1660" s="7">
        <f t="shared" si="399"/>
        <v>8</v>
      </c>
      <c r="N1660" s="39">
        <v>45912</v>
      </c>
    </row>
    <row r="1661" spans="1:14" x14ac:dyDescent="0.15">
      <c r="A1661" s="4" t="s">
        <v>200</v>
      </c>
      <c r="B1661" s="8"/>
      <c r="C1661" s="9"/>
      <c r="D1661" s="10"/>
      <c r="E1661" s="9">
        <v>2</v>
      </c>
      <c r="F1661" s="5">
        <f t="shared" si="398"/>
        <v>2</v>
      </c>
      <c r="G1661" s="39">
        <v>45889</v>
      </c>
      <c r="H1661" s="4"/>
      <c r="I1661" s="8"/>
      <c r="J1661" s="9"/>
      <c r="K1661" s="10"/>
      <c r="L1661" s="9"/>
      <c r="M1661" s="7">
        <f t="shared" si="399"/>
        <v>0</v>
      </c>
      <c r="N1661" s="41"/>
    </row>
    <row r="1662" spans="1:14" x14ac:dyDescent="0.15">
      <c r="A1662" s="4" t="s">
        <v>39</v>
      </c>
      <c r="B1662" s="8"/>
      <c r="C1662" s="9">
        <v>1</v>
      </c>
      <c r="D1662" s="10">
        <v>1</v>
      </c>
      <c r="E1662" s="9"/>
      <c r="F1662" s="5">
        <f t="shared" ref="F1662" si="400">SUM(B1662:E1662)</f>
        <v>2</v>
      </c>
      <c r="G1662" s="39">
        <v>45888</v>
      </c>
      <c r="H1662" s="4"/>
      <c r="I1662" s="8"/>
      <c r="J1662" s="9"/>
      <c r="K1662" s="10"/>
      <c r="L1662" s="9"/>
      <c r="M1662" s="7">
        <f t="shared" ref="M1662" si="401">SUM(I1662:L1662)</f>
        <v>0</v>
      </c>
      <c r="N1662" s="41"/>
    </row>
    <row r="1663" spans="1:14" x14ac:dyDescent="0.15">
      <c r="A1663" s="4" t="s">
        <v>34</v>
      </c>
      <c r="B1663" s="8">
        <v>1</v>
      </c>
      <c r="C1663" s="9"/>
      <c r="D1663" s="10"/>
      <c r="E1663" s="9"/>
      <c r="F1663" s="5">
        <f t="shared" ref="F1663:F1673" si="402">SUM(B1663:E1663)</f>
        <v>1</v>
      </c>
      <c r="G1663" s="39">
        <v>45887</v>
      </c>
      <c r="H1663" s="4"/>
      <c r="I1663" s="8"/>
      <c r="J1663" s="9"/>
      <c r="K1663" s="10"/>
      <c r="L1663" s="9"/>
      <c r="M1663" s="7">
        <f t="shared" ref="M1663:M1670" si="403">SUM(I1663:L1663)</f>
        <v>0</v>
      </c>
      <c r="N1663" s="41"/>
    </row>
    <row r="1664" spans="1:14" x14ac:dyDescent="0.15">
      <c r="A1664" s="4" t="s">
        <v>296</v>
      </c>
      <c r="B1664" s="8"/>
      <c r="C1664" s="9">
        <v>2</v>
      </c>
      <c r="D1664" s="10"/>
      <c r="E1664" s="9"/>
      <c r="F1664" s="5">
        <f t="shared" si="402"/>
        <v>2</v>
      </c>
      <c r="G1664" s="39">
        <v>45891</v>
      </c>
      <c r="H1664" s="4"/>
      <c r="I1664" s="8"/>
      <c r="J1664" s="9"/>
      <c r="K1664" s="10"/>
      <c r="L1664" s="9"/>
      <c r="M1664" s="7">
        <f t="shared" si="403"/>
        <v>0</v>
      </c>
    </row>
    <row r="1665" spans="1:14" x14ac:dyDescent="0.15">
      <c r="A1665" s="4" t="s">
        <v>34</v>
      </c>
      <c r="B1665" s="8"/>
      <c r="C1665" s="9">
        <v>1</v>
      </c>
      <c r="D1665" s="10"/>
      <c r="E1665" s="9"/>
      <c r="F1665" s="5">
        <f t="shared" si="402"/>
        <v>1</v>
      </c>
      <c r="G1665" s="39">
        <v>45894</v>
      </c>
      <c r="H1665" s="4"/>
      <c r="I1665" s="8"/>
      <c r="J1665" s="9"/>
      <c r="K1665" s="10"/>
      <c r="L1665" s="9"/>
      <c r="M1665" s="7">
        <f t="shared" si="403"/>
        <v>0</v>
      </c>
    </row>
    <row r="1666" spans="1:14" x14ac:dyDescent="0.15">
      <c r="A1666" s="4" t="s">
        <v>296</v>
      </c>
      <c r="B1666" s="8">
        <v>2</v>
      </c>
      <c r="C1666" s="9"/>
      <c r="D1666" s="10"/>
      <c r="E1666" s="9"/>
      <c r="F1666" s="5">
        <f t="shared" si="402"/>
        <v>2</v>
      </c>
      <c r="G1666" s="39">
        <v>45898</v>
      </c>
      <c r="H1666" s="4"/>
      <c r="I1666" s="8"/>
      <c r="J1666" s="9"/>
      <c r="K1666" s="10"/>
      <c r="L1666" s="9"/>
      <c r="M1666" s="7">
        <f t="shared" si="403"/>
        <v>0</v>
      </c>
    </row>
    <row r="1667" spans="1:14" x14ac:dyDescent="0.15">
      <c r="A1667" s="4" t="s">
        <v>39</v>
      </c>
      <c r="B1667" s="8"/>
      <c r="C1667" s="9">
        <v>1</v>
      </c>
      <c r="D1667" s="10"/>
      <c r="E1667" s="9"/>
      <c r="F1667" s="5">
        <f t="shared" si="402"/>
        <v>1</v>
      </c>
      <c r="G1667" s="39">
        <v>45899</v>
      </c>
      <c r="H1667" s="4"/>
      <c r="I1667" s="8"/>
      <c r="J1667" s="9"/>
      <c r="K1667" s="10"/>
      <c r="L1667" s="9"/>
      <c r="M1667" s="7">
        <f t="shared" si="403"/>
        <v>0</v>
      </c>
    </row>
    <row r="1668" spans="1:14" x14ac:dyDescent="0.15">
      <c r="A1668" s="4" t="s">
        <v>34</v>
      </c>
      <c r="B1668" s="8"/>
      <c r="C1668" s="9"/>
      <c r="D1668" s="10"/>
      <c r="E1668" s="9">
        <v>2</v>
      </c>
      <c r="F1668" s="5">
        <f t="shared" si="402"/>
        <v>2</v>
      </c>
      <c r="G1668" s="39">
        <v>45898</v>
      </c>
      <c r="H1668" s="4"/>
      <c r="I1668" s="8"/>
      <c r="J1668" s="9"/>
      <c r="K1668" s="10"/>
      <c r="L1668" s="9"/>
      <c r="M1668" s="7">
        <f t="shared" si="403"/>
        <v>0</v>
      </c>
    </row>
    <row r="1669" spans="1:14" x14ac:dyDescent="0.15">
      <c r="A1669" s="4" t="s">
        <v>296</v>
      </c>
      <c r="B1669" s="8"/>
      <c r="C1669" s="9"/>
      <c r="D1669" s="10">
        <v>2</v>
      </c>
      <c r="E1669" s="9"/>
      <c r="F1669" s="5">
        <f t="shared" si="402"/>
        <v>2</v>
      </c>
      <c r="G1669" s="39">
        <v>45910</v>
      </c>
      <c r="H1669" s="4"/>
      <c r="I1669" s="8"/>
      <c r="J1669" s="9"/>
      <c r="K1669" s="10"/>
      <c r="L1669" s="9"/>
      <c r="M1669" s="7">
        <f t="shared" si="403"/>
        <v>0</v>
      </c>
    </row>
    <row r="1670" spans="1:14" x14ac:dyDescent="0.15">
      <c r="A1670" s="4" t="s">
        <v>39</v>
      </c>
      <c r="B1670" s="8">
        <v>4</v>
      </c>
      <c r="C1670" s="9"/>
      <c r="D1670" s="10"/>
      <c r="E1670" s="9"/>
      <c r="F1670" s="5">
        <f t="shared" si="402"/>
        <v>4</v>
      </c>
      <c r="G1670" s="39">
        <v>45909</v>
      </c>
      <c r="H1670" s="4"/>
      <c r="I1670" s="8"/>
      <c r="J1670" s="9"/>
      <c r="K1670" s="10"/>
      <c r="L1670" s="9"/>
      <c r="M1670" s="7">
        <f t="shared" si="403"/>
        <v>0</v>
      </c>
    </row>
    <row r="1671" spans="1:14" x14ac:dyDescent="0.15">
      <c r="A1671" s="4" t="s">
        <v>34</v>
      </c>
      <c r="B1671" s="8">
        <v>1</v>
      </c>
      <c r="C1671" s="9"/>
      <c r="D1671" s="10"/>
      <c r="E1671" s="9"/>
      <c r="F1671" s="5">
        <f t="shared" si="402"/>
        <v>1</v>
      </c>
      <c r="G1671" s="39">
        <v>45909</v>
      </c>
      <c r="H1671" s="4"/>
      <c r="I1671" s="8"/>
      <c r="J1671" s="9"/>
      <c r="K1671" s="10"/>
      <c r="L1671" s="9"/>
      <c r="M1671" s="7">
        <f t="shared" ref="M1671:M1672" si="404">SUM(I1671:L1671)</f>
        <v>0</v>
      </c>
    </row>
    <row r="1672" spans="1:14" x14ac:dyDescent="0.15">
      <c r="A1672" s="4" t="s">
        <v>296</v>
      </c>
      <c r="B1672" s="8"/>
      <c r="C1672" s="9">
        <v>2</v>
      </c>
      <c r="D1672" s="10"/>
      <c r="E1672" s="9"/>
      <c r="F1672" s="5">
        <f t="shared" si="402"/>
        <v>2</v>
      </c>
      <c r="G1672" s="39">
        <v>45912</v>
      </c>
      <c r="H1672" s="4"/>
      <c r="I1672" s="8"/>
      <c r="J1672" s="9"/>
      <c r="K1672" s="10"/>
      <c r="L1672" s="9"/>
      <c r="M1672" s="7">
        <f t="shared" si="404"/>
        <v>0</v>
      </c>
    </row>
    <row r="1673" spans="1:14" ht="14.25" thickBot="1" x14ac:dyDescent="0.2">
      <c r="A1673" s="4" t="s">
        <v>39</v>
      </c>
      <c r="B1673" s="8">
        <v>2</v>
      </c>
      <c r="C1673" s="9"/>
      <c r="D1673" s="10"/>
      <c r="E1673" s="9"/>
      <c r="F1673" s="5">
        <f t="shared" si="402"/>
        <v>2</v>
      </c>
      <c r="G1673" s="39">
        <v>45912</v>
      </c>
      <c r="H1673" s="4" t="s">
        <v>738</v>
      </c>
      <c r="I1673" s="8"/>
      <c r="J1673" s="9"/>
      <c r="K1673" s="10"/>
      <c r="L1673" s="9"/>
      <c r="M1673" s="7">
        <f t="shared" ref="M1673" si="405">SUM(I1673:L1673)</f>
        <v>0</v>
      </c>
      <c r="N1673" s="41" t="s">
        <v>739</v>
      </c>
    </row>
    <row r="1674" spans="1:14" ht="14.25" thickBot="1" x14ac:dyDescent="0.2">
      <c r="A1674" s="3" t="s">
        <v>5</v>
      </c>
      <c r="B1674" s="14">
        <f>SUM(B1650:B1673)</f>
        <v>14</v>
      </c>
      <c r="C1674" s="14">
        <f>SUM(C1650:C1673)</f>
        <v>17</v>
      </c>
      <c r="D1674" s="14">
        <f>SUM(D1650:D1673)</f>
        <v>6</v>
      </c>
      <c r="E1674" s="14">
        <f>SUM(E1650:E1673)</f>
        <v>8</v>
      </c>
      <c r="F1674" s="15">
        <f>SUM(B1674:E1674)</f>
        <v>45</v>
      </c>
      <c r="H1674" s="3" t="s">
        <v>5</v>
      </c>
      <c r="I1674" s="14">
        <f>SUM(I1650:I1673)</f>
        <v>32</v>
      </c>
      <c r="J1674" s="14">
        <f>SUM(J1650:J1673)</f>
        <v>51</v>
      </c>
      <c r="K1674" s="14">
        <f>SUM(K1650:K1673)</f>
        <v>17</v>
      </c>
      <c r="L1674" s="14">
        <f>SUM(L1650:L1673)</f>
        <v>11</v>
      </c>
      <c r="M1674" s="15">
        <f>SUM(I1674:L1674)</f>
        <v>111</v>
      </c>
    </row>
    <row r="1675" spans="1:14" ht="14.25" thickBot="1" x14ac:dyDescent="0.2">
      <c r="A1675" s="25" t="s">
        <v>6</v>
      </c>
      <c r="B1675" s="26">
        <f>B1649-B1674</f>
        <v>4</v>
      </c>
      <c r="C1675" s="26">
        <f t="shared" ref="C1675:F1675" si="406">C1649-C1674</f>
        <v>8</v>
      </c>
      <c r="D1675" s="26">
        <f t="shared" si="406"/>
        <v>11</v>
      </c>
      <c r="E1675" s="26">
        <f t="shared" si="406"/>
        <v>9</v>
      </c>
      <c r="F1675" s="24">
        <f t="shared" si="406"/>
        <v>32</v>
      </c>
      <c r="H1675" s="25" t="s">
        <v>6</v>
      </c>
      <c r="I1675" s="26">
        <f>I1649-I1674</f>
        <v>254</v>
      </c>
      <c r="J1675" s="26">
        <f t="shared" ref="J1675:M1675" si="407">J1649-J1674</f>
        <v>255</v>
      </c>
      <c r="K1675" s="26">
        <f t="shared" si="407"/>
        <v>265</v>
      </c>
      <c r="L1675" s="26">
        <f t="shared" si="407"/>
        <v>265</v>
      </c>
      <c r="M1675" s="24">
        <f t="shared" si="407"/>
        <v>1039</v>
      </c>
    </row>
    <row r="1678" spans="1:14" ht="21.75" thickBot="1" x14ac:dyDescent="0.25">
      <c r="A1678" s="29" t="s">
        <v>13</v>
      </c>
      <c r="B1678" s="1"/>
      <c r="C1678" s="1"/>
      <c r="D1678" s="1"/>
      <c r="E1678" s="1"/>
      <c r="F1678" s="1"/>
      <c r="H1678" s="29" t="s">
        <v>14</v>
      </c>
      <c r="I1678" s="1"/>
      <c r="J1678" s="1"/>
      <c r="K1678" s="1"/>
      <c r="L1678" s="1"/>
      <c r="M1678" s="1"/>
    </row>
    <row r="1679" spans="1:14" ht="14.25" thickBot="1" x14ac:dyDescent="0.2">
      <c r="A1679" s="2" t="s">
        <v>0</v>
      </c>
      <c r="B1679" s="164" t="s">
        <v>12</v>
      </c>
      <c r="C1679" s="165"/>
      <c r="D1679" s="165"/>
      <c r="E1679" s="165"/>
      <c r="F1679" s="117"/>
      <c r="H1679" s="2" t="s">
        <v>0</v>
      </c>
      <c r="I1679" s="164" t="s">
        <v>12</v>
      </c>
      <c r="J1679" s="165"/>
      <c r="K1679" s="165"/>
      <c r="L1679" s="165"/>
      <c r="M1679" s="117"/>
    </row>
    <row r="1680" spans="1:14" ht="14.25" thickBot="1" x14ac:dyDescent="0.2">
      <c r="A1680" s="2" t="s">
        <v>1</v>
      </c>
      <c r="B1680" s="3" t="s">
        <v>489</v>
      </c>
      <c r="C1680" s="2" t="s">
        <v>490</v>
      </c>
      <c r="D1680" s="19" t="s">
        <v>491</v>
      </c>
      <c r="E1680" s="2" t="s">
        <v>492</v>
      </c>
      <c r="F1680" s="2" t="s">
        <v>2</v>
      </c>
      <c r="H1680" s="2" t="s">
        <v>1</v>
      </c>
      <c r="I1680" s="3" t="s">
        <v>489</v>
      </c>
      <c r="J1680" s="2" t="s">
        <v>490</v>
      </c>
      <c r="K1680" s="19" t="s">
        <v>491</v>
      </c>
      <c r="L1680" s="2" t="s">
        <v>492</v>
      </c>
      <c r="M1680" s="2" t="s">
        <v>2</v>
      </c>
    </row>
    <row r="1681" spans="1:14" x14ac:dyDescent="0.15">
      <c r="A1681" s="27" t="s">
        <v>6</v>
      </c>
      <c r="B1681" s="18">
        <f>B1675</f>
        <v>4</v>
      </c>
      <c r="C1681" s="20">
        <f>C1675</f>
        <v>8</v>
      </c>
      <c r="D1681" s="55">
        <f>D1675</f>
        <v>11</v>
      </c>
      <c r="E1681" s="20">
        <f>E1675</f>
        <v>9</v>
      </c>
      <c r="F1681" s="17">
        <f>SUM(B1681:E1681)</f>
        <v>32</v>
      </c>
      <c r="H1681" s="27" t="s">
        <v>6</v>
      </c>
      <c r="I1681" s="18">
        <f>I1675</f>
        <v>254</v>
      </c>
      <c r="J1681" s="20">
        <f>J1675</f>
        <v>255</v>
      </c>
      <c r="K1681" s="55">
        <f>K1675</f>
        <v>265</v>
      </c>
      <c r="L1681" s="58">
        <f>L1675</f>
        <v>265</v>
      </c>
      <c r="M1681" s="17">
        <f>SUM(I1681:L1681)</f>
        <v>1039</v>
      </c>
    </row>
    <row r="1682" spans="1:14" x14ac:dyDescent="0.15">
      <c r="A1682" s="6" t="s">
        <v>3</v>
      </c>
      <c r="B1682" s="31">
        <v>5</v>
      </c>
      <c r="C1682" s="32">
        <v>5</v>
      </c>
      <c r="D1682" s="31"/>
      <c r="E1682" s="52"/>
      <c r="F1682" s="5">
        <f t="shared" ref="F1682:F1689" si="408">SUM(B1682:E1682)</f>
        <v>10</v>
      </c>
      <c r="G1682" s="39">
        <v>45916</v>
      </c>
      <c r="H1682" s="6" t="s">
        <v>3</v>
      </c>
      <c r="I1682" s="31"/>
      <c r="J1682" s="32"/>
      <c r="K1682" s="31"/>
      <c r="L1682" s="52"/>
      <c r="M1682" s="5">
        <f t="shared" ref="M1682:M1691" si="409">SUM(I1682:L1682)</f>
        <v>0</v>
      </c>
    </row>
    <row r="1683" spans="1:14" x14ac:dyDescent="0.15">
      <c r="A1683" s="6" t="s">
        <v>3</v>
      </c>
      <c r="B1683" s="31">
        <v>5</v>
      </c>
      <c r="C1683" s="32"/>
      <c r="D1683" s="31"/>
      <c r="E1683" s="52"/>
      <c r="F1683" s="5">
        <f t="shared" si="408"/>
        <v>5</v>
      </c>
      <c r="G1683" s="39">
        <v>45926</v>
      </c>
      <c r="H1683" s="6" t="s">
        <v>3</v>
      </c>
      <c r="I1683" s="31"/>
      <c r="J1683" s="32"/>
      <c r="K1683" s="31"/>
      <c r="L1683" s="52"/>
      <c r="M1683" s="5">
        <f t="shared" si="409"/>
        <v>0</v>
      </c>
    </row>
    <row r="1684" spans="1:14" x14ac:dyDescent="0.15">
      <c r="A1684" s="6" t="s">
        <v>3</v>
      </c>
      <c r="B1684" s="31"/>
      <c r="C1684" s="32">
        <v>5</v>
      </c>
      <c r="D1684" s="31"/>
      <c r="E1684" s="52"/>
      <c r="F1684" s="5">
        <f t="shared" si="408"/>
        <v>5</v>
      </c>
      <c r="G1684" s="39">
        <v>45934</v>
      </c>
      <c r="H1684" s="6" t="s">
        <v>3</v>
      </c>
      <c r="I1684" s="31"/>
      <c r="J1684" s="32"/>
      <c r="K1684" s="31"/>
      <c r="L1684" s="52"/>
      <c r="M1684" s="5">
        <f t="shared" si="409"/>
        <v>0</v>
      </c>
    </row>
    <row r="1685" spans="1:14" x14ac:dyDescent="0.15">
      <c r="A1685" s="6" t="s">
        <v>3</v>
      </c>
      <c r="B1685" s="31">
        <v>5</v>
      </c>
      <c r="C1685" s="32"/>
      <c r="D1685" s="31"/>
      <c r="E1685" s="52"/>
      <c r="F1685" s="5">
        <f t="shared" si="408"/>
        <v>5</v>
      </c>
      <c r="G1685" s="39">
        <v>45937</v>
      </c>
      <c r="H1685" s="6" t="s">
        <v>3</v>
      </c>
      <c r="I1685" s="31"/>
      <c r="J1685" s="32"/>
      <c r="K1685" s="31"/>
      <c r="L1685" s="52"/>
      <c r="M1685" s="5">
        <f t="shared" si="409"/>
        <v>0</v>
      </c>
    </row>
    <row r="1686" spans="1:14" x14ac:dyDescent="0.15">
      <c r="A1686" s="145" t="s">
        <v>3</v>
      </c>
      <c r="B1686" s="146"/>
      <c r="C1686" s="147">
        <v>5</v>
      </c>
      <c r="D1686" s="146"/>
      <c r="E1686" s="148"/>
      <c r="F1686" s="149">
        <f t="shared" si="408"/>
        <v>5</v>
      </c>
      <c r="G1686" s="85">
        <v>45939</v>
      </c>
      <c r="H1686" s="6" t="s">
        <v>3</v>
      </c>
      <c r="I1686" s="31"/>
      <c r="J1686" s="32"/>
      <c r="K1686" s="31"/>
      <c r="L1686" s="52"/>
      <c r="M1686" s="5">
        <f t="shared" si="409"/>
        <v>0</v>
      </c>
    </row>
    <row r="1687" spans="1:14" x14ac:dyDescent="0.15">
      <c r="A1687" s="6" t="s">
        <v>3</v>
      </c>
      <c r="B1687" s="31"/>
      <c r="C1687" s="32">
        <v>3</v>
      </c>
      <c r="D1687" s="31"/>
      <c r="E1687" s="52"/>
      <c r="F1687" s="5">
        <f t="shared" si="408"/>
        <v>3</v>
      </c>
      <c r="G1687" s="39">
        <v>45945</v>
      </c>
      <c r="H1687" s="6" t="s">
        <v>3</v>
      </c>
      <c r="I1687" s="31"/>
      <c r="J1687" s="32"/>
      <c r="K1687" s="31"/>
      <c r="L1687" s="52"/>
      <c r="M1687" s="5">
        <f t="shared" si="409"/>
        <v>0</v>
      </c>
    </row>
    <row r="1688" spans="1:14" x14ac:dyDescent="0.15">
      <c r="A1688" s="6" t="s">
        <v>3</v>
      </c>
      <c r="B1688" s="31"/>
      <c r="C1688" s="32">
        <v>5</v>
      </c>
      <c r="D1688" s="31"/>
      <c r="E1688" s="52"/>
      <c r="F1688" s="5">
        <f t="shared" si="408"/>
        <v>5</v>
      </c>
      <c r="G1688" s="39">
        <v>45952</v>
      </c>
      <c r="H1688" s="6" t="s">
        <v>3</v>
      </c>
      <c r="I1688" s="31"/>
      <c r="J1688" s="32"/>
      <c r="K1688" s="31"/>
      <c r="L1688" s="52"/>
      <c r="M1688" s="5">
        <f t="shared" si="409"/>
        <v>0</v>
      </c>
    </row>
    <row r="1689" spans="1:14" x14ac:dyDescent="0.15">
      <c r="A1689" s="6" t="s">
        <v>338</v>
      </c>
      <c r="B1689" s="31"/>
      <c r="C1689" s="32"/>
      <c r="D1689" s="31">
        <v>2</v>
      </c>
      <c r="E1689" s="52"/>
      <c r="F1689" s="5">
        <f t="shared" si="408"/>
        <v>2</v>
      </c>
      <c r="G1689" s="71">
        <v>45950</v>
      </c>
      <c r="H1689" s="6" t="s">
        <v>3</v>
      </c>
      <c r="I1689" s="31"/>
      <c r="J1689" s="32"/>
      <c r="K1689" s="31"/>
      <c r="L1689" s="52"/>
      <c r="M1689" s="5">
        <f t="shared" si="409"/>
        <v>0</v>
      </c>
    </row>
    <row r="1690" spans="1:14" x14ac:dyDescent="0.15">
      <c r="A1690" s="145" t="s">
        <v>3</v>
      </c>
      <c r="B1690" s="146">
        <v>5</v>
      </c>
      <c r="C1690" s="147">
        <v>5</v>
      </c>
      <c r="D1690" s="146"/>
      <c r="E1690" s="148"/>
      <c r="F1690" s="149">
        <f t="shared" ref="F1690:F1691" si="410">SUM(B1690:E1690)</f>
        <v>10</v>
      </c>
      <c r="G1690" s="85">
        <v>45957</v>
      </c>
      <c r="H1690" s="6" t="s">
        <v>3</v>
      </c>
      <c r="I1690" s="34"/>
      <c r="J1690" s="35"/>
      <c r="K1690" s="34"/>
      <c r="L1690" s="32"/>
      <c r="M1690" s="5">
        <f t="shared" si="409"/>
        <v>0</v>
      </c>
    </row>
    <row r="1691" spans="1:14" ht="14.25" thickBot="1" x14ac:dyDescent="0.2">
      <c r="A1691" s="6" t="s">
        <v>3</v>
      </c>
      <c r="B1691" s="13"/>
      <c r="C1691" s="12">
        <v>1</v>
      </c>
      <c r="D1691" s="13">
        <v>-1</v>
      </c>
      <c r="E1691" s="50">
        <v>2</v>
      </c>
      <c r="F1691" s="5">
        <f t="shared" si="410"/>
        <v>2</v>
      </c>
      <c r="G1691" s="39">
        <v>45957</v>
      </c>
      <c r="H1691" s="6" t="s">
        <v>3</v>
      </c>
      <c r="I1691" s="34"/>
      <c r="J1691" s="35"/>
      <c r="K1691" s="34"/>
      <c r="L1691" s="53"/>
      <c r="M1691" s="5">
        <f t="shared" si="409"/>
        <v>0</v>
      </c>
    </row>
    <row r="1692" spans="1:14" ht="14.25" thickBot="1" x14ac:dyDescent="0.2">
      <c r="A1692" s="21" t="s">
        <v>4</v>
      </c>
      <c r="B1692" s="22">
        <f>SUM(B1681:B1691)</f>
        <v>24</v>
      </c>
      <c r="C1692" s="22">
        <f>SUM(C1681:C1691)</f>
        <v>37</v>
      </c>
      <c r="D1692" s="23">
        <f>SUM(D1681:D1691)</f>
        <v>12</v>
      </c>
      <c r="E1692" s="23">
        <f>SUM(E1681:E1691)</f>
        <v>11</v>
      </c>
      <c r="F1692" s="24">
        <f>SUM(B1692:E1692)</f>
        <v>84</v>
      </c>
      <c r="H1692" s="21" t="s">
        <v>4</v>
      </c>
      <c r="I1692" s="22">
        <f>SUM(I1681:I1691)</f>
        <v>254</v>
      </c>
      <c r="J1692" s="22">
        <f>SUM(J1681:J1691)</f>
        <v>255</v>
      </c>
      <c r="K1692" s="23">
        <f>SUM(K1681:K1691)</f>
        <v>265</v>
      </c>
      <c r="L1692" s="23">
        <f>SUM(L1681:L1691)</f>
        <v>265</v>
      </c>
      <c r="M1692" s="24">
        <f>SUM(I1692:L1692)</f>
        <v>1039</v>
      </c>
    </row>
    <row r="1693" spans="1:14" x14ac:dyDescent="0.15">
      <c r="A1693" s="4" t="s">
        <v>296</v>
      </c>
      <c r="B1693" s="8"/>
      <c r="C1693" s="9">
        <v>4</v>
      </c>
      <c r="D1693" s="10"/>
      <c r="E1693" s="9">
        <v>2</v>
      </c>
      <c r="F1693" s="5">
        <f t="shared" ref="F1693:F1714" si="411">SUM(B1693:E1693)</f>
        <v>6</v>
      </c>
      <c r="G1693" s="39">
        <v>45916</v>
      </c>
      <c r="H1693" s="4" t="s">
        <v>26</v>
      </c>
      <c r="I1693" s="8">
        <v>5</v>
      </c>
      <c r="J1693" s="9">
        <v>5</v>
      </c>
      <c r="K1693" s="10"/>
      <c r="L1693" s="9"/>
      <c r="M1693" s="7">
        <f t="shared" ref="M1693" si="412">SUM(I1693:L1693)</f>
        <v>10</v>
      </c>
      <c r="N1693" s="39">
        <v>45916</v>
      </c>
    </row>
    <row r="1694" spans="1:14" x14ac:dyDescent="0.15">
      <c r="A1694" s="4" t="s">
        <v>746</v>
      </c>
      <c r="B1694" s="8"/>
      <c r="C1694" s="9">
        <v>2</v>
      </c>
      <c r="D1694" s="10"/>
      <c r="E1694" s="9"/>
      <c r="F1694" s="5">
        <f t="shared" si="411"/>
        <v>2</v>
      </c>
      <c r="G1694" s="39">
        <v>45918</v>
      </c>
      <c r="H1694" s="4" t="s">
        <v>296</v>
      </c>
      <c r="I1694" s="8"/>
      <c r="J1694" s="9">
        <v>6</v>
      </c>
      <c r="K1694" s="10"/>
      <c r="L1694" s="9"/>
      <c r="M1694" s="7">
        <f t="shared" ref="M1694:M1702" si="413">SUM(I1694:L1694)</f>
        <v>6</v>
      </c>
      <c r="N1694" s="39">
        <v>45918</v>
      </c>
    </row>
    <row r="1695" spans="1:14" x14ac:dyDescent="0.15">
      <c r="A1695" s="4" t="s">
        <v>296</v>
      </c>
      <c r="B1695" s="8"/>
      <c r="C1695" s="9"/>
      <c r="D1695" s="10">
        <v>2</v>
      </c>
      <c r="E1695" s="9"/>
      <c r="F1695" s="5">
        <f t="shared" si="411"/>
        <v>2</v>
      </c>
      <c r="G1695" s="39">
        <v>45922</v>
      </c>
      <c r="H1695" s="4" t="s">
        <v>745</v>
      </c>
      <c r="I1695" s="8"/>
      <c r="J1695" s="9">
        <v>10</v>
      </c>
      <c r="K1695" s="10"/>
      <c r="L1695" s="9"/>
      <c r="M1695" s="7">
        <f t="shared" si="413"/>
        <v>10</v>
      </c>
      <c r="N1695" s="39">
        <v>45922</v>
      </c>
    </row>
    <row r="1696" spans="1:14" x14ac:dyDescent="0.15">
      <c r="A1696" s="4" t="s">
        <v>296</v>
      </c>
      <c r="B1696" s="8">
        <v>2</v>
      </c>
      <c r="C1696" s="9"/>
      <c r="D1696" s="10"/>
      <c r="E1696" s="9"/>
      <c r="F1696" s="5">
        <f t="shared" si="411"/>
        <v>2</v>
      </c>
      <c r="G1696" s="39">
        <v>45924</v>
      </c>
      <c r="H1696" s="4" t="s">
        <v>296</v>
      </c>
      <c r="I1696" s="8">
        <v>4</v>
      </c>
      <c r="J1696" s="9"/>
      <c r="K1696" s="10">
        <v>4</v>
      </c>
      <c r="L1696" s="9"/>
      <c r="M1696" s="7">
        <f t="shared" si="413"/>
        <v>8</v>
      </c>
      <c r="N1696" s="39">
        <v>45919</v>
      </c>
    </row>
    <row r="1697" spans="1:14" x14ac:dyDescent="0.15">
      <c r="A1697" s="4" t="s">
        <v>34</v>
      </c>
      <c r="B1697" s="8"/>
      <c r="C1697" s="9"/>
      <c r="D1697" s="10">
        <v>1</v>
      </c>
      <c r="E1697" s="9"/>
      <c r="F1697" s="5">
        <f t="shared" si="411"/>
        <v>1</v>
      </c>
      <c r="G1697" s="39">
        <v>45922</v>
      </c>
      <c r="H1697" s="4" t="s">
        <v>747</v>
      </c>
      <c r="I1697" s="8"/>
      <c r="J1697" s="9">
        <v>8</v>
      </c>
      <c r="K1697" s="10"/>
      <c r="L1697" s="9"/>
      <c r="M1697" s="7">
        <f t="shared" si="413"/>
        <v>8</v>
      </c>
      <c r="N1697" s="39">
        <v>45926</v>
      </c>
    </row>
    <row r="1698" spans="1:14" x14ac:dyDescent="0.15">
      <c r="A1698" s="4" t="s">
        <v>296</v>
      </c>
      <c r="B1698" s="8">
        <v>4</v>
      </c>
      <c r="C1698" s="9"/>
      <c r="D1698" s="10">
        <v>2</v>
      </c>
      <c r="E1698" s="9"/>
      <c r="F1698" s="5">
        <f t="shared" si="411"/>
        <v>6</v>
      </c>
      <c r="G1698" s="39">
        <v>45926</v>
      </c>
      <c r="H1698" s="4" t="s">
        <v>748</v>
      </c>
      <c r="I1698" s="8"/>
      <c r="J1698" s="9"/>
      <c r="K1698" s="10">
        <v>6</v>
      </c>
      <c r="L1698" s="9"/>
      <c r="M1698" s="7">
        <f t="shared" si="413"/>
        <v>6</v>
      </c>
      <c r="N1698" s="39">
        <v>45926</v>
      </c>
    </row>
    <row r="1699" spans="1:14" x14ac:dyDescent="0.15">
      <c r="A1699" s="4" t="s">
        <v>296</v>
      </c>
      <c r="B1699" s="8"/>
      <c r="C1699" s="9">
        <v>2</v>
      </c>
      <c r="D1699" s="10"/>
      <c r="E1699" s="9"/>
      <c r="F1699" s="5">
        <f t="shared" si="411"/>
        <v>2</v>
      </c>
      <c r="G1699" s="39">
        <v>45933</v>
      </c>
      <c r="H1699" s="4" t="s">
        <v>296</v>
      </c>
      <c r="I1699" s="8">
        <v>2</v>
      </c>
      <c r="J1699" s="9"/>
      <c r="K1699" s="10">
        <v>2</v>
      </c>
      <c r="L1699" s="9"/>
      <c r="M1699" s="7">
        <f t="shared" si="413"/>
        <v>4</v>
      </c>
      <c r="N1699" s="39">
        <v>45926</v>
      </c>
    </row>
    <row r="1700" spans="1:14" x14ac:dyDescent="0.15">
      <c r="A1700" s="4" t="s">
        <v>296</v>
      </c>
      <c r="B1700" s="8"/>
      <c r="C1700" s="9">
        <v>2</v>
      </c>
      <c r="D1700" s="10"/>
      <c r="E1700" s="9"/>
      <c r="F1700" s="5">
        <f t="shared" si="411"/>
        <v>2</v>
      </c>
      <c r="G1700" s="39">
        <v>45933</v>
      </c>
      <c r="H1700" s="4" t="s">
        <v>749</v>
      </c>
      <c r="I1700" s="8">
        <v>30</v>
      </c>
      <c r="J1700" s="9">
        <v>50</v>
      </c>
      <c r="K1700" s="10">
        <v>30</v>
      </c>
      <c r="L1700" s="9"/>
      <c r="M1700" s="7">
        <f t="shared" si="413"/>
        <v>110</v>
      </c>
      <c r="N1700" s="39">
        <v>45927</v>
      </c>
    </row>
    <row r="1701" spans="1:14" x14ac:dyDescent="0.15">
      <c r="A1701" s="4" t="s">
        <v>34</v>
      </c>
      <c r="B1701" s="8">
        <v>1</v>
      </c>
      <c r="C1701" s="9"/>
      <c r="D1701" s="10"/>
      <c r="E1701" s="9"/>
      <c r="F1701" s="5">
        <f t="shared" si="411"/>
        <v>1</v>
      </c>
      <c r="G1701" s="71">
        <v>45932</v>
      </c>
      <c r="H1701" s="4" t="s">
        <v>26</v>
      </c>
      <c r="I1701" s="8">
        <v>5</v>
      </c>
      <c r="J1701" s="9"/>
      <c r="K1701" s="10"/>
      <c r="L1701" s="9"/>
      <c r="M1701" s="7">
        <f t="shared" si="413"/>
        <v>5</v>
      </c>
      <c r="N1701" s="39">
        <v>45926</v>
      </c>
    </row>
    <row r="1702" spans="1:14" x14ac:dyDescent="0.15">
      <c r="A1702" s="4" t="s">
        <v>296</v>
      </c>
      <c r="B1702" s="8">
        <v>2</v>
      </c>
      <c r="C1702" s="9"/>
      <c r="D1702" s="10"/>
      <c r="E1702" s="9"/>
      <c r="F1702" s="5">
        <f t="shared" si="411"/>
        <v>2</v>
      </c>
      <c r="G1702" s="39">
        <v>45936</v>
      </c>
      <c r="H1702" s="4" t="s">
        <v>26</v>
      </c>
      <c r="I1702" s="8"/>
      <c r="J1702" s="9">
        <v>5</v>
      </c>
      <c r="K1702" s="10"/>
      <c r="L1702" s="9"/>
      <c r="M1702" s="7">
        <f t="shared" si="413"/>
        <v>5</v>
      </c>
      <c r="N1702" s="39">
        <v>45934</v>
      </c>
    </row>
    <row r="1703" spans="1:14" x14ac:dyDescent="0.15">
      <c r="A1703" s="4" t="s">
        <v>39</v>
      </c>
      <c r="B1703" s="8"/>
      <c r="C1703" s="9">
        <v>2</v>
      </c>
      <c r="D1703" s="10"/>
      <c r="E1703" s="9"/>
      <c r="F1703" s="5">
        <f t="shared" si="411"/>
        <v>2</v>
      </c>
      <c r="G1703" s="39">
        <v>45934</v>
      </c>
      <c r="H1703" s="4" t="s">
        <v>26</v>
      </c>
      <c r="I1703" s="8">
        <v>5</v>
      </c>
      <c r="J1703" s="9"/>
      <c r="K1703" s="10"/>
      <c r="L1703" s="9"/>
      <c r="M1703" s="7">
        <f t="shared" ref="M1703:M1716" si="414">SUM(I1703:L1703)</f>
        <v>5</v>
      </c>
      <c r="N1703" s="39">
        <v>45937</v>
      </c>
    </row>
    <row r="1704" spans="1:14" x14ac:dyDescent="0.15">
      <c r="A1704" s="4" t="s">
        <v>296</v>
      </c>
      <c r="B1704" s="8">
        <v>2</v>
      </c>
      <c r="C1704" s="9"/>
      <c r="D1704" s="10"/>
      <c r="E1704" s="9"/>
      <c r="F1704" s="5">
        <f t="shared" si="411"/>
        <v>2</v>
      </c>
      <c r="G1704" s="39">
        <v>45938</v>
      </c>
      <c r="H1704" s="151" t="s">
        <v>26</v>
      </c>
      <c r="I1704" s="152"/>
      <c r="J1704" s="153">
        <v>5</v>
      </c>
      <c r="K1704" s="154"/>
      <c r="L1704" s="153"/>
      <c r="M1704" s="155">
        <f t="shared" si="414"/>
        <v>5</v>
      </c>
      <c r="N1704" s="85">
        <v>45939</v>
      </c>
    </row>
    <row r="1705" spans="1:14" x14ac:dyDescent="0.15">
      <c r="A1705" s="4" t="s">
        <v>296</v>
      </c>
      <c r="B1705" s="8"/>
      <c r="C1705" s="9">
        <v>4</v>
      </c>
      <c r="D1705" s="10"/>
      <c r="E1705" s="9"/>
      <c r="F1705" s="5">
        <f t="shared" si="411"/>
        <v>4</v>
      </c>
      <c r="G1705" s="39">
        <v>45939</v>
      </c>
      <c r="H1705" s="4" t="s">
        <v>750</v>
      </c>
      <c r="I1705" s="8"/>
      <c r="J1705" s="9">
        <v>6</v>
      </c>
      <c r="K1705" s="10"/>
      <c r="L1705" s="9"/>
      <c r="M1705" s="7">
        <f t="shared" si="414"/>
        <v>6</v>
      </c>
      <c r="N1705" s="39">
        <v>45944</v>
      </c>
    </row>
    <row r="1706" spans="1:14" x14ac:dyDescent="0.15">
      <c r="A1706" s="4" t="s">
        <v>296</v>
      </c>
      <c r="B1706" s="8"/>
      <c r="C1706" s="9">
        <v>2</v>
      </c>
      <c r="D1706" s="10"/>
      <c r="E1706" s="9"/>
      <c r="F1706" s="5">
        <f t="shared" si="411"/>
        <v>2</v>
      </c>
      <c r="G1706" s="39">
        <v>45944</v>
      </c>
      <c r="H1706" s="4" t="s">
        <v>296</v>
      </c>
      <c r="I1706" s="8"/>
      <c r="J1706" s="9"/>
      <c r="K1706" s="10">
        <v>4</v>
      </c>
      <c r="L1706" s="9"/>
      <c r="M1706" s="7">
        <f t="shared" si="414"/>
        <v>4</v>
      </c>
      <c r="N1706" s="39">
        <v>45946</v>
      </c>
    </row>
    <row r="1707" spans="1:14" x14ac:dyDescent="0.15">
      <c r="A1707" s="4" t="s">
        <v>39</v>
      </c>
      <c r="B1707" s="8"/>
      <c r="C1707" s="9">
        <v>1</v>
      </c>
      <c r="D1707" s="10">
        <v>1</v>
      </c>
      <c r="E1707" s="9"/>
      <c r="F1707" s="5">
        <f t="shared" si="411"/>
        <v>2</v>
      </c>
      <c r="G1707" s="39">
        <v>45945</v>
      </c>
      <c r="H1707" s="151" t="s">
        <v>753</v>
      </c>
      <c r="I1707" s="152"/>
      <c r="J1707" s="153">
        <v>3</v>
      </c>
      <c r="K1707" s="154"/>
      <c r="L1707" s="153"/>
      <c r="M1707" s="155">
        <f t="shared" si="414"/>
        <v>3</v>
      </c>
      <c r="N1707" s="85">
        <v>45945</v>
      </c>
    </row>
    <row r="1708" spans="1:14" x14ac:dyDescent="0.15">
      <c r="A1708" s="4" t="s">
        <v>34</v>
      </c>
      <c r="B1708" s="8"/>
      <c r="C1708" s="9">
        <v>1</v>
      </c>
      <c r="D1708" s="10"/>
      <c r="E1708" s="9"/>
      <c r="F1708" s="5">
        <f t="shared" si="411"/>
        <v>1</v>
      </c>
      <c r="G1708" s="71">
        <v>45944</v>
      </c>
      <c r="H1708" s="4" t="s">
        <v>26</v>
      </c>
      <c r="I1708" s="8"/>
      <c r="J1708" s="9">
        <v>5</v>
      </c>
      <c r="K1708" s="10"/>
      <c r="L1708" s="9"/>
      <c r="M1708" s="7">
        <f t="shared" si="414"/>
        <v>5</v>
      </c>
      <c r="N1708" s="39">
        <v>45952</v>
      </c>
    </row>
    <row r="1709" spans="1:14" x14ac:dyDescent="0.15">
      <c r="A1709" s="4" t="s">
        <v>296</v>
      </c>
      <c r="B1709" s="8">
        <v>2</v>
      </c>
      <c r="C1709" s="9"/>
      <c r="D1709" s="10"/>
      <c r="E1709" s="9"/>
      <c r="F1709" s="5">
        <f t="shared" si="411"/>
        <v>2</v>
      </c>
      <c r="G1709" s="39">
        <v>45947</v>
      </c>
      <c r="H1709" s="151" t="s">
        <v>296</v>
      </c>
      <c r="I1709" s="152">
        <v>2</v>
      </c>
      <c r="J1709" s="153">
        <v>2</v>
      </c>
      <c r="K1709" s="154"/>
      <c r="L1709" s="153"/>
      <c r="M1709" s="149">
        <f t="shared" si="414"/>
        <v>4</v>
      </c>
      <c r="N1709" s="85">
        <v>45953</v>
      </c>
    </row>
    <row r="1710" spans="1:14" x14ac:dyDescent="0.15">
      <c r="A1710" s="4" t="s">
        <v>39</v>
      </c>
      <c r="B1710" s="8"/>
      <c r="C1710" s="9"/>
      <c r="D1710" s="10"/>
      <c r="E1710" s="9">
        <v>1</v>
      </c>
      <c r="F1710" s="5">
        <f t="shared" si="411"/>
        <v>1</v>
      </c>
      <c r="G1710" s="39">
        <v>45947</v>
      </c>
      <c r="H1710" s="151" t="s">
        <v>26</v>
      </c>
      <c r="I1710" s="152">
        <v>5</v>
      </c>
      <c r="J1710" s="153">
        <v>5</v>
      </c>
      <c r="K1710" s="154"/>
      <c r="L1710" s="153"/>
      <c r="M1710" s="155">
        <f t="shared" si="414"/>
        <v>10</v>
      </c>
      <c r="N1710" s="85">
        <v>45957</v>
      </c>
    </row>
    <row r="1711" spans="1:14" x14ac:dyDescent="0.15">
      <c r="A1711" s="4" t="s">
        <v>296</v>
      </c>
      <c r="B1711" s="8"/>
      <c r="C1711" s="9">
        <v>2</v>
      </c>
      <c r="D1711" s="10"/>
      <c r="E1711" s="9"/>
      <c r="F1711" s="5">
        <f t="shared" si="411"/>
        <v>2</v>
      </c>
      <c r="G1711" s="39">
        <v>45950</v>
      </c>
      <c r="H1711" s="4"/>
      <c r="I1711" s="8"/>
      <c r="J1711" s="9"/>
      <c r="K1711" s="10"/>
      <c r="L1711" s="9"/>
      <c r="M1711" s="7">
        <f t="shared" si="414"/>
        <v>0</v>
      </c>
    </row>
    <row r="1712" spans="1:14" x14ac:dyDescent="0.15">
      <c r="A1712" s="4" t="s">
        <v>296</v>
      </c>
      <c r="B1712" s="8"/>
      <c r="C1712" s="9">
        <v>2</v>
      </c>
      <c r="D1712" s="10"/>
      <c r="E1712" s="9"/>
      <c r="F1712" s="5">
        <f t="shared" si="411"/>
        <v>2</v>
      </c>
      <c r="G1712" s="39">
        <v>45952</v>
      </c>
      <c r="H1712" s="4"/>
      <c r="I1712" s="8"/>
      <c r="J1712" s="9"/>
      <c r="K1712" s="10"/>
      <c r="L1712" s="9"/>
      <c r="M1712" s="7">
        <f t="shared" si="414"/>
        <v>0</v>
      </c>
    </row>
    <row r="1713" spans="1:14" x14ac:dyDescent="0.15">
      <c r="A1713" s="4" t="s">
        <v>39</v>
      </c>
      <c r="B1713" s="8"/>
      <c r="C1713" s="9">
        <v>1</v>
      </c>
      <c r="D1713" s="10"/>
      <c r="E1713" s="9"/>
      <c r="F1713" s="5">
        <f t="shared" si="411"/>
        <v>1</v>
      </c>
      <c r="G1713" s="39">
        <v>45951</v>
      </c>
      <c r="H1713" s="4"/>
      <c r="I1713" s="8"/>
      <c r="J1713" s="9"/>
      <c r="K1713" s="10"/>
      <c r="L1713" s="9"/>
      <c r="M1713" s="7">
        <f t="shared" si="414"/>
        <v>0</v>
      </c>
    </row>
    <row r="1714" spans="1:14" x14ac:dyDescent="0.15">
      <c r="A1714" s="4" t="s">
        <v>296</v>
      </c>
      <c r="B1714" s="8">
        <v>2</v>
      </c>
      <c r="C1714" s="9"/>
      <c r="D1714" s="10"/>
      <c r="E1714" s="9"/>
      <c r="F1714" s="5">
        <f t="shared" si="411"/>
        <v>2</v>
      </c>
      <c r="G1714" s="39">
        <v>45954</v>
      </c>
      <c r="H1714" s="4"/>
      <c r="I1714" s="8"/>
      <c r="J1714" s="9"/>
      <c r="K1714" s="10"/>
      <c r="L1714" s="9"/>
      <c r="M1714" s="7">
        <f t="shared" ref="M1714" si="415">SUM(I1714:L1714)</f>
        <v>0</v>
      </c>
    </row>
    <row r="1715" spans="1:14" x14ac:dyDescent="0.15">
      <c r="A1715" s="4" t="s">
        <v>296</v>
      </c>
      <c r="B1715" s="8"/>
      <c r="C1715" s="9">
        <v>2</v>
      </c>
      <c r="D1715" s="10"/>
      <c r="E1715" s="9"/>
      <c r="F1715" s="5">
        <f t="shared" ref="F1715:F1716" si="416">SUM(B1715:E1715)</f>
        <v>2</v>
      </c>
      <c r="G1715" s="39">
        <v>45954</v>
      </c>
      <c r="H1715" s="101" t="s">
        <v>734</v>
      </c>
      <c r="I1715" s="102"/>
      <c r="J1715" s="103"/>
      <c r="K1715" s="104"/>
      <c r="L1715" s="156"/>
      <c r="M1715" s="105">
        <f t="shared" si="414"/>
        <v>0</v>
      </c>
      <c r="N1715" s="41"/>
    </row>
    <row r="1716" spans="1:14" ht="14.25" thickBot="1" x14ac:dyDescent="0.2">
      <c r="A1716" s="4" t="s">
        <v>296</v>
      </c>
      <c r="B1716" s="8">
        <v>2</v>
      </c>
      <c r="C1716" s="9"/>
      <c r="D1716" s="10"/>
      <c r="E1716" s="9"/>
      <c r="F1716" s="5">
        <f t="shared" si="416"/>
        <v>2</v>
      </c>
      <c r="G1716" s="39">
        <v>45959</v>
      </c>
      <c r="H1716" s="4" t="s">
        <v>733</v>
      </c>
      <c r="I1716" s="8"/>
      <c r="J1716" s="9"/>
      <c r="K1716" s="10"/>
      <c r="L1716" s="126"/>
      <c r="M1716" s="7">
        <f t="shared" si="414"/>
        <v>0</v>
      </c>
      <c r="N1716" s="41" t="s">
        <v>735</v>
      </c>
    </row>
    <row r="1717" spans="1:14" ht="14.25" thickBot="1" x14ac:dyDescent="0.2">
      <c r="A1717" s="3" t="s">
        <v>5</v>
      </c>
      <c r="B1717" s="14">
        <f>SUM(B1693:B1716)</f>
        <v>17</v>
      </c>
      <c r="C1717" s="14">
        <f>SUM(C1693:C1716)</f>
        <v>27</v>
      </c>
      <c r="D1717" s="14">
        <f>SUM(D1693:D1716)</f>
        <v>6</v>
      </c>
      <c r="E1717" s="14">
        <f>SUM(E1693:E1716)</f>
        <v>3</v>
      </c>
      <c r="F1717" s="15">
        <f>SUM(B1717:E1717)</f>
        <v>53</v>
      </c>
      <c r="H1717" s="3" t="s">
        <v>5</v>
      </c>
      <c r="I1717" s="14">
        <f>SUM(I1693:I1716)</f>
        <v>58</v>
      </c>
      <c r="J1717" s="14">
        <f>SUM(J1693:J1716)</f>
        <v>110</v>
      </c>
      <c r="K1717" s="14">
        <f>SUM(K1693:K1716)</f>
        <v>46</v>
      </c>
      <c r="L1717" s="14">
        <f>SUM(L1693:L1716)</f>
        <v>0</v>
      </c>
      <c r="M1717" s="15">
        <f>SUM(I1717:L1717)</f>
        <v>214</v>
      </c>
    </row>
    <row r="1718" spans="1:14" ht="14.25" thickBot="1" x14ac:dyDescent="0.2">
      <c r="A1718" s="25" t="s">
        <v>6</v>
      </c>
      <c r="B1718" s="26">
        <f>B1692-B1717</f>
        <v>7</v>
      </c>
      <c r="C1718" s="26">
        <f t="shared" ref="C1718:F1718" si="417">C1692-C1717</f>
        <v>10</v>
      </c>
      <c r="D1718" s="26">
        <f t="shared" si="417"/>
        <v>6</v>
      </c>
      <c r="E1718" s="26">
        <f t="shared" si="417"/>
        <v>8</v>
      </c>
      <c r="F1718" s="24">
        <f t="shared" si="417"/>
        <v>31</v>
      </c>
      <c r="H1718" s="25" t="s">
        <v>6</v>
      </c>
      <c r="I1718" s="26">
        <f>I1692-I1717</f>
        <v>196</v>
      </c>
      <c r="J1718" s="26">
        <f t="shared" ref="J1718:M1718" si="418">J1692-J1717</f>
        <v>145</v>
      </c>
      <c r="K1718" s="26">
        <f t="shared" si="418"/>
        <v>219</v>
      </c>
      <c r="L1718" s="26">
        <f t="shared" si="418"/>
        <v>265</v>
      </c>
      <c r="M1718" s="24">
        <f t="shared" si="418"/>
        <v>825</v>
      </c>
    </row>
    <row r="1721" spans="1:14" ht="21.75" thickBot="1" x14ac:dyDescent="0.25">
      <c r="A1721" s="29" t="s">
        <v>13</v>
      </c>
      <c r="B1721" s="1"/>
      <c r="C1721" s="1"/>
      <c r="D1721" s="1"/>
      <c r="E1721" s="1"/>
      <c r="F1721" s="1"/>
      <c r="H1721" s="29" t="s">
        <v>14</v>
      </c>
      <c r="I1721" s="1"/>
      <c r="J1721" s="1"/>
      <c r="K1721" s="1"/>
      <c r="L1721" s="1"/>
      <c r="M1721" s="1"/>
    </row>
    <row r="1722" spans="1:14" ht="14.25" thickBot="1" x14ac:dyDescent="0.2">
      <c r="A1722" s="2" t="s">
        <v>0</v>
      </c>
      <c r="B1722" s="164" t="s">
        <v>12</v>
      </c>
      <c r="C1722" s="165"/>
      <c r="D1722" s="165"/>
      <c r="E1722" s="165"/>
      <c r="F1722" s="117"/>
      <c r="H1722" s="2" t="s">
        <v>0</v>
      </c>
      <c r="I1722" s="164" t="s">
        <v>12</v>
      </c>
      <c r="J1722" s="165"/>
      <c r="K1722" s="165"/>
      <c r="L1722" s="165"/>
      <c r="M1722" s="117"/>
    </row>
    <row r="1723" spans="1:14" ht="14.25" thickBot="1" x14ac:dyDescent="0.2">
      <c r="A1723" s="2" t="s">
        <v>1</v>
      </c>
      <c r="B1723" s="3" t="s">
        <v>489</v>
      </c>
      <c r="C1723" s="2" t="s">
        <v>490</v>
      </c>
      <c r="D1723" s="19" t="s">
        <v>491</v>
      </c>
      <c r="E1723" s="2" t="s">
        <v>492</v>
      </c>
      <c r="F1723" s="2" t="s">
        <v>2</v>
      </c>
      <c r="H1723" s="2" t="s">
        <v>1</v>
      </c>
      <c r="I1723" s="3" t="s">
        <v>489</v>
      </c>
      <c r="J1723" s="2" t="s">
        <v>490</v>
      </c>
      <c r="K1723" s="19" t="s">
        <v>491</v>
      </c>
      <c r="L1723" s="2" t="s">
        <v>492</v>
      </c>
      <c r="M1723" s="2" t="s">
        <v>2</v>
      </c>
    </row>
    <row r="1724" spans="1:14" x14ac:dyDescent="0.15">
      <c r="A1724" s="27" t="s">
        <v>6</v>
      </c>
      <c r="B1724" s="18">
        <f>B1718</f>
        <v>7</v>
      </c>
      <c r="C1724" s="20">
        <f>C1718</f>
        <v>10</v>
      </c>
      <c r="D1724" s="55">
        <f>D1718</f>
        <v>6</v>
      </c>
      <c r="E1724" s="20">
        <f>E1718</f>
        <v>8</v>
      </c>
      <c r="F1724" s="17">
        <f>SUM(B1724:E1724)</f>
        <v>31</v>
      </c>
      <c r="H1724" s="27" t="s">
        <v>6</v>
      </c>
      <c r="I1724" s="18">
        <f>I1718</f>
        <v>196</v>
      </c>
      <c r="J1724" s="20">
        <f>J1718</f>
        <v>145</v>
      </c>
      <c r="K1724" s="55">
        <f>K1718</f>
        <v>219</v>
      </c>
      <c r="L1724" s="58">
        <f>L1718</f>
        <v>265</v>
      </c>
      <c r="M1724" s="17">
        <f>SUM(I1724:L1724)</f>
        <v>825</v>
      </c>
    </row>
    <row r="1725" spans="1:14" x14ac:dyDescent="0.15">
      <c r="A1725" s="145" t="s">
        <v>3</v>
      </c>
      <c r="B1725" s="146"/>
      <c r="C1725" s="147"/>
      <c r="D1725" s="146">
        <v>5</v>
      </c>
      <c r="E1725" s="148">
        <v>5</v>
      </c>
      <c r="F1725" s="149">
        <f t="shared" ref="F1725:F1734" si="419">SUM(B1725:E1725)</f>
        <v>10</v>
      </c>
      <c r="G1725" s="85">
        <v>45960</v>
      </c>
      <c r="H1725" s="6" t="s">
        <v>306</v>
      </c>
      <c r="I1725" s="31"/>
      <c r="J1725" s="32">
        <v>16</v>
      </c>
      <c r="K1725" s="31"/>
      <c r="L1725" s="52"/>
      <c r="M1725" s="5">
        <f t="shared" ref="M1725:M1734" si="420">SUM(I1725:L1725)</f>
        <v>16</v>
      </c>
      <c r="N1725" s="71">
        <v>46039</v>
      </c>
    </row>
    <row r="1726" spans="1:14" x14ac:dyDescent="0.15">
      <c r="A1726" s="145" t="s">
        <v>3</v>
      </c>
      <c r="B1726" s="146">
        <v>5</v>
      </c>
      <c r="C1726" s="147"/>
      <c r="D1726" s="146">
        <v>5</v>
      </c>
      <c r="E1726" s="148"/>
      <c r="F1726" s="149">
        <f t="shared" si="419"/>
        <v>10</v>
      </c>
      <c r="G1726" s="85">
        <v>45973</v>
      </c>
      <c r="H1726" s="6" t="s">
        <v>3</v>
      </c>
      <c r="I1726" s="31"/>
      <c r="J1726" s="32"/>
      <c r="K1726" s="31"/>
      <c r="L1726" s="52"/>
      <c r="M1726" s="5">
        <f t="shared" si="420"/>
        <v>0</v>
      </c>
    </row>
    <row r="1727" spans="1:14" x14ac:dyDescent="0.15">
      <c r="A1727" s="6" t="s">
        <v>268</v>
      </c>
      <c r="B1727" s="31">
        <v>3</v>
      </c>
      <c r="C1727" s="32">
        <v>4</v>
      </c>
      <c r="D1727" s="31"/>
      <c r="E1727" s="52"/>
      <c r="F1727" s="5">
        <f t="shared" si="419"/>
        <v>7</v>
      </c>
      <c r="G1727" s="39">
        <v>45978</v>
      </c>
      <c r="H1727" s="6" t="s">
        <v>3</v>
      </c>
      <c r="I1727" s="31"/>
      <c r="J1727" s="32"/>
      <c r="K1727" s="31"/>
      <c r="L1727" s="52"/>
      <c r="M1727" s="5">
        <f t="shared" si="420"/>
        <v>0</v>
      </c>
    </row>
    <row r="1728" spans="1:14" x14ac:dyDescent="0.15">
      <c r="A1728" s="6" t="s">
        <v>3</v>
      </c>
      <c r="B1728" s="31"/>
      <c r="C1728" s="32"/>
      <c r="D1728" s="31">
        <v>5</v>
      </c>
      <c r="E1728" s="52"/>
      <c r="F1728" s="5">
        <f t="shared" si="419"/>
        <v>5</v>
      </c>
      <c r="G1728" s="39">
        <v>45989</v>
      </c>
      <c r="H1728" s="6" t="s">
        <v>3</v>
      </c>
      <c r="I1728" s="31"/>
      <c r="J1728" s="32"/>
      <c r="K1728" s="31"/>
      <c r="L1728" s="52"/>
      <c r="M1728" s="5">
        <f t="shared" si="420"/>
        <v>0</v>
      </c>
    </row>
    <row r="1729" spans="1:14" x14ac:dyDescent="0.15">
      <c r="A1729" s="145" t="s">
        <v>3</v>
      </c>
      <c r="B1729" s="146"/>
      <c r="C1729" s="147">
        <v>5</v>
      </c>
      <c r="D1729" s="146"/>
      <c r="E1729" s="148"/>
      <c r="F1729" s="149">
        <f t="shared" si="419"/>
        <v>5</v>
      </c>
      <c r="G1729" s="85">
        <v>45993</v>
      </c>
      <c r="H1729" s="6" t="s">
        <v>3</v>
      </c>
      <c r="I1729" s="31"/>
      <c r="J1729" s="32"/>
      <c r="K1729" s="31"/>
      <c r="L1729" s="52"/>
      <c r="M1729" s="5">
        <f t="shared" si="420"/>
        <v>0</v>
      </c>
    </row>
    <row r="1730" spans="1:14" x14ac:dyDescent="0.15">
      <c r="A1730" s="145" t="s">
        <v>3</v>
      </c>
      <c r="B1730" s="146">
        <v>5</v>
      </c>
      <c r="C1730" s="147">
        <v>3</v>
      </c>
      <c r="D1730" s="146"/>
      <c r="E1730" s="148"/>
      <c r="F1730" s="149">
        <f t="shared" si="419"/>
        <v>8</v>
      </c>
      <c r="G1730" s="85">
        <v>46007</v>
      </c>
      <c r="H1730" s="6" t="s">
        <v>3</v>
      </c>
      <c r="I1730" s="31"/>
      <c r="J1730" s="32"/>
      <c r="K1730" s="31"/>
      <c r="L1730" s="52"/>
      <c r="M1730" s="5">
        <f t="shared" si="420"/>
        <v>0</v>
      </c>
    </row>
    <row r="1731" spans="1:14" x14ac:dyDescent="0.15">
      <c r="A1731" s="6" t="s">
        <v>3</v>
      </c>
      <c r="B1731" s="31"/>
      <c r="C1731" s="32"/>
      <c r="D1731" s="31"/>
      <c r="E1731" s="52"/>
      <c r="F1731" s="5">
        <f t="shared" si="419"/>
        <v>0</v>
      </c>
      <c r="H1731" s="6" t="s">
        <v>3</v>
      </c>
      <c r="I1731" s="31"/>
      <c r="J1731" s="32"/>
      <c r="K1731" s="31"/>
      <c r="L1731" s="52"/>
      <c r="M1731" s="5">
        <f t="shared" si="420"/>
        <v>0</v>
      </c>
    </row>
    <row r="1732" spans="1:14" x14ac:dyDescent="0.15">
      <c r="A1732" s="6" t="s">
        <v>3</v>
      </c>
      <c r="B1732" s="31"/>
      <c r="C1732" s="32"/>
      <c r="D1732" s="31"/>
      <c r="E1732" s="52"/>
      <c r="F1732" s="5">
        <f t="shared" si="419"/>
        <v>0</v>
      </c>
      <c r="H1732" s="6" t="s">
        <v>3</v>
      </c>
      <c r="I1732" s="31"/>
      <c r="J1732" s="32"/>
      <c r="K1732" s="31"/>
      <c r="L1732" s="52"/>
      <c r="M1732" s="5">
        <f t="shared" si="420"/>
        <v>0</v>
      </c>
    </row>
    <row r="1733" spans="1:14" x14ac:dyDescent="0.15">
      <c r="A1733" s="6" t="s">
        <v>3</v>
      </c>
      <c r="B1733" s="31"/>
      <c r="C1733" s="32"/>
      <c r="D1733" s="31"/>
      <c r="E1733" s="52"/>
      <c r="F1733" s="5">
        <f t="shared" si="419"/>
        <v>0</v>
      </c>
      <c r="H1733" s="6" t="s">
        <v>3</v>
      </c>
      <c r="I1733" s="34"/>
      <c r="J1733" s="35"/>
      <c r="K1733" s="34"/>
      <c r="L1733" s="32"/>
      <c r="M1733" s="5">
        <f t="shared" si="420"/>
        <v>0</v>
      </c>
    </row>
    <row r="1734" spans="1:14" ht="14.25" thickBot="1" x14ac:dyDescent="0.2">
      <c r="A1734" s="6" t="s">
        <v>3</v>
      </c>
      <c r="B1734" s="13"/>
      <c r="C1734" s="12"/>
      <c r="D1734" s="13"/>
      <c r="E1734" s="50"/>
      <c r="F1734" s="5">
        <f t="shared" si="419"/>
        <v>0</v>
      </c>
      <c r="H1734" s="6" t="s">
        <v>3</v>
      </c>
      <c r="I1734" s="34"/>
      <c r="J1734" s="35"/>
      <c r="K1734" s="34"/>
      <c r="L1734" s="53"/>
      <c r="M1734" s="5">
        <f t="shared" si="420"/>
        <v>0</v>
      </c>
    </row>
    <row r="1735" spans="1:14" ht="14.25" thickBot="1" x14ac:dyDescent="0.2">
      <c r="A1735" s="21" t="s">
        <v>4</v>
      </c>
      <c r="B1735" s="22">
        <f>SUM(B1724:B1734)</f>
        <v>20</v>
      </c>
      <c r="C1735" s="22">
        <f>SUM(C1724:C1734)</f>
        <v>22</v>
      </c>
      <c r="D1735" s="23">
        <f>SUM(D1724:D1734)</f>
        <v>21</v>
      </c>
      <c r="E1735" s="23">
        <f>SUM(E1724:E1734)</f>
        <v>13</v>
      </c>
      <c r="F1735" s="24">
        <f>SUM(B1735:E1735)</f>
        <v>76</v>
      </c>
      <c r="H1735" s="21" t="s">
        <v>4</v>
      </c>
      <c r="I1735" s="22">
        <f>SUM(I1724:I1734)</f>
        <v>196</v>
      </c>
      <c r="J1735" s="22">
        <f>SUM(J1724:J1734)</f>
        <v>161</v>
      </c>
      <c r="K1735" s="23">
        <f>SUM(K1724:K1734)</f>
        <v>219</v>
      </c>
      <c r="L1735" s="23">
        <f>SUM(L1724:L1734)</f>
        <v>265</v>
      </c>
      <c r="M1735" s="24">
        <f>SUM(I1735:L1735)</f>
        <v>841</v>
      </c>
    </row>
    <row r="1736" spans="1:14" x14ac:dyDescent="0.15">
      <c r="A1736" s="4" t="s">
        <v>34</v>
      </c>
      <c r="B1736" s="8"/>
      <c r="C1736" s="9"/>
      <c r="D1736" s="10">
        <v>1</v>
      </c>
      <c r="E1736" s="9"/>
      <c r="F1736" s="5">
        <f t="shared" ref="F1736:F1759" si="421">SUM(B1736:E1736)</f>
        <v>1</v>
      </c>
      <c r="G1736" s="39">
        <v>45957</v>
      </c>
      <c r="H1736" s="151" t="s">
        <v>756</v>
      </c>
      <c r="I1736" s="152"/>
      <c r="J1736" s="153"/>
      <c r="K1736" s="154">
        <v>5</v>
      </c>
      <c r="L1736" s="153">
        <v>5</v>
      </c>
      <c r="M1736" s="155">
        <f t="shared" ref="M1736:M1756" si="422">SUM(I1736:L1736)</f>
        <v>10</v>
      </c>
      <c r="N1736" s="85">
        <v>45960</v>
      </c>
    </row>
    <row r="1737" spans="1:14" x14ac:dyDescent="0.15">
      <c r="A1737" s="4" t="s">
        <v>296</v>
      </c>
      <c r="B1737" s="8"/>
      <c r="C1737" s="9"/>
      <c r="D1737" s="10"/>
      <c r="E1737" s="9">
        <v>2</v>
      </c>
      <c r="F1737" s="5">
        <f t="shared" si="421"/>
        <v>2</v>
      </c>
      <c r="G1737" s="39">
        <v>45960</v>
      </c>
      <c r="H1737" s="4" t="s">
        <v>26</v>
      </c>
      <c r="I1737" s="8">
        <v>5</v>
      </c>
      <c r="J1737" s="9"/>
      <c r="K1737" s="10">
        <v>5</v>
      </c>
      <c r="L1737" s="9"/>
      <c r="M1737" s="7">
        <f t="shared" si="422"/>
        <v>10</v>
      </c>
      <c r="N1737" s="39">
        <v>45973</v>
      </c>
    </row>
    <row r="1738" spans="1:14" x14ac:dyDescent="0.15">
      <c r="A1738" s="4" t="s">
        <v>34</v>
      </c>
      <c r="B1738" s="8"/>
      <c r="C1738" s="9"/>
      <c r="D1738" s="10">
        <v>4</v>
      </c>
      <c r="E1738" s="9"/>
      <c r="F1738" s="5">
        <f t="shared" si="421"/>
        <v>4</v>
      </c>
      <c r="G1738" s="39">
        <v>45959</v>
      </c>
      <c r="H1738" s="4" t="s">
        <v>26</v>
      </c>
      <c r="I1738" s="8"/>
      <c r="J1738" s="9"/>
      <c r="K1738" s="10">
        <v>5</v>
      </c>
      <c r="L1738" s="9"/>
      <c r="M1738" s="7">
        <f t="shared" si="422"/>
        <v>5</v>
      </c>
      <c r="N1738" s="39">
        <v>45989</v>
      </c>
    </row>
    <row r="1739" spans="1:14" x14ac:dyDescent="0.15">
      <c r="A1739" s="4" t="s">
        <v>34</v>
      </c>
      <c r="B1739" s="8"/>
      <c r="C1739" s="9"/>
      <c r="D1739" s="10">
        <v>1</v>
      </c>
      <c r="E1739" s="9"/>
      <c r="F1739" s="5">
        <f t="shared" si="421"/>
        <v>1</v>
      </c>
      <c r="G1739" s="39">
        <v>45960</v>
      </c>
      <c r="H1739" s="4" t="s">
        <v>296</v>
      </c>
      <c r="I1739" s="8">
        <v>4</v>
      </c>
      <c r="J1739" s="9">
        <v>6</v>
      </c>
      <c r="K1739" s="10">
        <v>2</v>
      </c>
      <c r="L1739" s="9">
        <v>2</v>
      </c>
      <c r="M1739" s="7">
        <f t="shared" si="422"/>
        <v>14</v>
      </c>
      <c r="N1739" s="39">
        <v>45992</v>
      </c>
    </row>
    <row r="1740" spans="1:14" x14ac:dyDescent="0.15">
      <c r="A1740" s="4" t="s">
        <v>296</v>
      </c>
      <c r="B1740" s="8">
        <v>2</v>
      </c>
      <c r="C1740" s="9"/>
      <c r="D1740" s="10"/>
      <c r="E1740" s="9"/>
      <c r="F1740" s="5">
        <f t="shared" si="421"/>
        <v>2</v>
      </c>
      <c r="G1740" s="39">
        <v>45968</v>
      </c>
      <c r="H1740" s="4" t="s">
        <v>758</v>
      </c>
      <c r="I1740" s="8"/>
      <c r="J1740" s="9"/>
      <c r="K1740" s="10">
        <v>16</v>
      </c>
      <c r="L1740" s="9"/>
      <c r="M1740" s="7">
        <f t="shared" si="422"/>
        <v>16</v>
      </c>
      <c r="N1740" s="39">
        <v>45995</v>
      </c>
    </row>
    <row r="1741" spans="1:14" x14ac:dyDescent="0.15">
      <c r="A1741" s="4" t="s">
        <v>757</v>
      </c>
      <c r="B1741" s="8">
        <v>1</v>
      </c>
      <c r="C1741" s="9"/>
      <c r="D1741" s="10"/>
      <c r="E1741" s="9"/>
      <c r="F1741" s="5">
        <f t="shared" si="421"/>
        <v>1</v>
      </c>
      <c r="G1741" s="39">
        <v>45967</v>
      </c>
      <c r="H1741" s="4" t="s">
        <v>760</v>
      </c>
      <c r="I1741" s="8"/>
      <c r="J1741" s="9">
        <v>5</v>
      </c>
      <c r="K1741" s="10"/>
      <c r="L1741" s="9"/>
      <c r="M1741" s="7">
        <f t="shared" si="422"/>
        <v>5</v>
      </c>
      <c r="N1741" s="39">
        <v>45993</v>
      </c>
    </row>
    <row r="1742" spans="1:14" x14ac:dyDescent="0.15">
      <c r="A1742" s="4" t="s">
        <v>34</v>
      </c>
      <c r="B1742" s="8">
        <v>2</v>
      </c>
      <c r="C1742" s="9"/>
      <c r="D1742" s="10">
        <v>1</v>
      </c>
      <c r="E1742" s="9"/>
      <c r="F1742" s="5">
        <f t="shared" si="421"/>
        <v>3</v>
      </c>
      <c r="G1742" s="39">
        <v>45971</v>
      </c>
      <c r="H1742" s="4" t="s">
        <v>761</v>
      </c>
      <c r="I1742" s="8">
        <v>28</v>
      </c>
      <c r="J1742" s="9">
        <v>38</v>
      </c>
      <c r="K1742" s="10">
        <v>2</v>
      </c>
      <c r="L1742" s="9">
        <v>10</v>
      </c>
      <c r="M1742" s="7">
        <f t="shared" si="422"/>
        <v>78</v>
      </c>
      <c r="N1742" s="39">
        <v>46008</v>
      </c>
    </row>
    <row r="1743" spans="1:14" x14ac:dyDescent="0.15">
      <c r="A1743" s="4" t="s">
        <v>39</v>
      </c>
      <c r="B1743" s="8"/>
      <c r="C1743" s="9">
        <v>1</v>
      </c>
      <c r="D1743" s="10"/>
      <c r="E1743" s="9"/>
      <c r="F1743" s="5">
        <f t="shared" si="421"/>
        <v>1</v>
      </c>
      <c r="G1743" s="39">
        <v>45972</v>
      </c>
      <c r="H1743" s="4" t="s">
        <v>296</v>
      </c>
      <c r="I1743" s="8"/>
      <c r="J1743" s="9">
        <v>2</v>
      </c>
      <c r="K1743" s="10">
        <v>2</v>
      </c>
      <c r="L1743" s="9"/>
      <c r="M1743" s="7">
        <f t="shared" si="422"/>
        <v>4</v>
      </c>
      <c r="N1743" s="39">
        <v>46001</v>
      </c>
    </row>
    <row r="1744" spans="1:14" x14ac:dyDescent="0.15">
      <c r="A1744" s="4" t="s">
        <v>39</v>
      </c>
      <c r="B1744" s="8"/>
      <c r="C1744" s="9"/>
      <c r="D1744" s="10">
        <v>1</v>
      </c>
      <c r="E1744" s="9"/>
      <c r="F1744" s="5">
        <f t="shared" si="421"/>
        <v>1</v>
      </c>
      <c r="G1744" s="39">
        <v>45983</v>
      </c>
      <c r="H1744" s="4" t="s">
        <v>296</v>
      </c>
      <c r="I1744" s="8"/>
      <c r="J1744" s="9">
        <v>4</v>
      </c>
      <c r="K1744" s="10">
        <v>2</v>
      </c>
      <c r="L1744" s="9">
        <v>2</v>
      </c>
      <c r="M1744" s="7">
        <f t="shared" si="422"/>
        <v>8</v>
      </c>
      <c r="N1744" s="39">
        <v>46002</v>
      </c>
    </row>
    <row r="1745" spans="1:14" x14ac:dyDescent="0.15">
      <c r="A1745" s="4" t="s">
        <v>39</v>
      </c>
      <c r="B1745" s="8">
        <v>1</v>
      </c>
      <c r="C1745" s="9">
        <v>1</v>
      </c>
      <c r="D1745" s="10">
        <v>1</v>
      </c>
      <c r="E1745" s="9"/>
      <c r="F1745" s="5">
        <f t="shared" si="421"/>
        <v>3</v>
      </c>
      <c r="G1745" s="39">
        <v>45987</v>
      </c>
      <c r="H1745" s="4" t="s">
        <v>296</v>
      </c>
      <c r="I1745" s="8"/>
      <c r="J1745" s="9"/>
      <c r="K1745" s="10"/>
      <c r="L1745" s="9">
        <v>6</v>
      </c>
      <c r="M1745" s="7">
        <f t="shared" si="422"/>
        <v>6</v>
      </c>
      <c r="N1745" s="39">
        <v>46006</v>
      </c>
    </row>
    <row r="1746" spans="1:14" x14ac:dyDescent="0.15">
      <c r="A1746" s="4" t="s">
        <v>296</v>
      </c>
      <c r="B1746" s="8"/>
      <c r="C1746" s="9"/>
      <c r="D1746" s="10">
        <v>2</v>
      </c>
      <c r="E1746" s="9"/>
      <c r="F1746" s="5">
        <f t="shared" si="421"/>
        <v>2</v>
      </c>
      <c r="G1746" s="39">
        <v>45989</v>
      </c>
      <c r="H1746" s="4" t="s">
        <v>296</v>
      </c>
      <c r="I1746" s="8"/>
      <c r="J1746" s="9"/>
      <c r="K1746" s="10">
        <v>6</v>
      </c>
      <c r="L1746" s="9"/>
      <c r="M1746" s="7">
        <f t="shared" si="422"/>
        <v>6</v>
      </c>
      <c r="N1746" s="39">
        <v>46008</v>
      </c>
    </row>
    <row r="1747" spans="1:14" x14ac:dyDescent="0.15">
      <c r="A1747" s="4" t="s">
        <v>34</v>
      </c>
      <c r="B1747" s="8">
        <v>1</v>
      </c>
      <c r="C1747" s="9"/>
      <c r="D1747" s="10"/>
      <c r="E1747" s="9"/>
      <c r="F1747" s="5">
        <f t="shared" si="421"/>
        <v>1</v>
      </c>
      <c r="G1747" s="39">
        <v>45987</v>
      </c>
      <c r="H1747" s="4" t="s">
        <v>762</v>
      </c>
      <c r="I1747" s="8">
        <v>1</v>
      </c>
      <c r="J1747" s="9"/>
      <c r="K1747" s="10">
        <v>1</v>
      </c>
      <c r="L1747" s="9">
        <v>1</v>
      </c>
      <c r="M1747" s="7">
        <f t="shared" si="422"/>
        <v>3</v>
      </c>
      <c r="N1747" s="39">
        <v>46007</v>
      </c>
    </row>
    <row r="1748" spans="1:14" x14ac:dyDescent="0.15">
      <c r="A1748" s="4" t="s">
        <v>296</v>
      </c>
      <c r="B1748" s="8"/>
      <c r="C1748" s="9">
        <v>2</v>
      </c>
      <c r="D1748" s="10"/>
      <c r="E1748" s="9"/>
      <c r="F1748" s="5">
        <f t="shared" si="421"/>
        <v>2</v>
      </c>
      <c r="G1748" s="39">
        <v>45989</v>
      </c>
      <c r="H1748" s="151" t="s">
        <v>763</v>
      </c>
      <c r="I1748" s="152">
        <v>5</v>
      </c>
      <c r="J1748" s="153">
        <v>3</v>
      </c>
      <c r="K1748" s="154"/>
      <c r="L1748" s="153"/>
      <c r="M1748" s="155">
        <f t="shared" si="422"/>
        <v>8</v>
      </c>
      <c r="N1748" s="85">
        <v>46007</v>
      </c>
    </row>
    <row r="1749" spans="1:14" x14ac:dyDescent="0.15">
      <c r="A1749" s="4" t="s">
        <v>34</v>
      </c>
      <c r="B1749" s="8"/>
      <c r="C1749" s="9">
        <v>1</v>
      </c>
      <c r="D1749" s="10"/>
      <c r="E1749" s="9"/>
      <c r="F1749" s="5">
        <f t="shared" si="421"/>
        <v>1</v>
      </c>
      <c r="G1749" s="39">
        <v>45988</v>
      </c>
      <c r="H1749" s="4" t="s">
        <v>296</v>
      </c>
      <c r="I1749" s="8"/>
      <c r="J1749" s="9">
        <v>2</v>
      </c>
      <c r="K1749" s="10">
        <v>2</v>
      </c>
      <c r="L1749" s="9">
        <v>2</v>
      </c>
      <c r="M1749" s="7">
        <f t="shared" si="422"/>
        <v>6</v>
      </c>
      <c r="N1749" s="39">
        <v>46010</v>
      </c>
    </row>
    <row r="1750" spans="1:14" x14ac:dyDescent="0.15">
      <c r="A1750" s="4" t="s">
        <v>39</v>
      </c>
      <c r="B1750" s="8"/>
      <c r="C1750" s="9">
        <v>2</v>
      </c>
      <c r="D1750" s="10"/>
      <c r="E1750" s="9"/>
      <c r="F1750" s="5">
        <f t="shared" si="421"/>
        <v>2</v>
      </c>
      <c r="G1750" s="39">
        <v>45993</v>
      </c>
      <c r="H1750" s="4" t="s">
        <v>296</v>
      </c>
      <c r="I1750" s="8"/>
      <c r="J1750" s="9">
        <v>2</v>
      </c>
      <c r="K1750" s="10"/>
      <c r="L1750" s="9"/>
      <c r="M1750" s="5">
        <f t="shared" si="422"/>
        <v>2</v>
      </c>
      <c r="N1750" s="39">
        <v>46016</v>
      </c>
    </row>
    <row r="1751" spans="1:14" x14ac:dyDescent="0.15">
      <c r="A1751" s="4" t="s">
        <v>34</v>
      </c>
      <c r="B1751" s="8"/>
      <c r="C1751" s="9"/>
      <c r="D1751" s="10">
        <v>1</v>
      </c>
      <c r="E1751" s="9"/>
      <c r="F1751" s="5">
        <f t="shared" si="421"/>
        <v>1</v>
      </c>
      <c r="G1751" s="39">
        <v>45992</v>
      </c>
      <c r="H1751" s="4" t="s">
        <v>763</v>
      </c>
      <c r="I1751" s="8">
        <v>5</v>
      </c>
      <c r="J1751" s="9">
        <v>5</v>
      </c>
      <c r="K1751" s="10"/>
      <c r="L1751" s="9"/>
      <c r="M1751" s="7">
        <f t="shared" si="422"/>
        <v>10</v>
      </c>
      <c r="N1751" s="39">
        <v>46031</v>
      </c>
    </row>
    <row r="1752" spans="1:14" x14ac:dyDescent="0.15">
      <c r="A1752" s="4" t="s">
        <v>34</v>
      </c>
      <c r="B1752" s="8">
        <v>1</v>
      </c>
      <c r="C1752" s="9"/>
      <c r="D1752" s="10"/>
      <c r="E1752" s="9"/>
      <c r="F1752" s="5">
        <f t="shared" si="421"/>
        <v>1</v>
      </c>
      <c r="G1752" s="39">
        <v>45999</v>
      </c>
      <c r="H1752" s="4"/>
      <c r="I1752" s="8"/>
      <c r="J1752" s="9"/>
      <c r="K1752" s="10"/>
      <c r="L1752" s="9"/>
      <c r="M1752" s="7">
        <f t="shared" si="422"/>
        <v>0</v>
      </c>
      <c r="N1752" s="41"/>
    </row>
    <row r="1753" spans="1:14" x14ac:dyDescent="0.15">
      <c r="A1753" s="4" t="s">
        <v>296</v>
      </c>
      <c r="B1753" s="8"/>
      <c r="C1753" s="9">
        <v>4</v>
      </c>
      <c r="D1753" s="10"/>
      <c r="E1753" s="9"/>
      <c r="F1753" s="5">
        <f t="shared" si="421"/>
        <v>4</v>
      </c>
      <c r="G1753" s="39">
        <v>46003</v>
      </c>
      <c r="H1753" s="4"/>
      <c r="I1753" s="8"/>
      <c r="J1753" s="9"/>
      <c r="K1753" s="10"/>
      <c r="L1753" s="9"/>
      <c r="M1753" s="7">
        <f t="shared" si="422"/>
        <v>0</v>
      </c>
      <c r="N1753" s="41"/>
    </row>
    <row r="1754" spans="1:14" x14ac:dyDescent="0.15">
      <c r="A1754" s="4" t="s">
        <v>39</v>
      </c>
      <c r="B1754" s="8">
        <v>1</v>
      </c>
      <c r="C1754" s="9"/>
      <c r="D1754" s="10"/>
      <c r="E1754" s="9"/>
      <c r="F1754" s="5">
        <f t="shared" si="421"/>
        <v>1</v>
      </c>
      <c r="G1754" s="39">
        <v>46003</v>
      </c>
      <c r="H1754" s="4"/>
      <c r="I1754" s="8"/>
      <c r="J1754" s="9"/>
      <c r="K1754" s="10"/>
      <c r="L1754" s="9"/>
      <c r="M1754" s="7">
        <f t="shared" si="422"/>
        <v>0</v>
      </c>
      <c r="N1754" s="41"/>
    </row>
    <row r="1755" spans="1:14" x14ac:dyDescent="0.15">
      <c r="A1755" s="4" t="s">
        <v>34</v>
      </c>
      <c r="B1755" s="8"/>
      <c r="C1755" s="9">
        <v>1</v>
      </c>
      <c r="D1755" s="10"/>
      <c r="E1755" s="9"/>
      <c r="F1755" s="5">
        <f t="shared" si="421"/>
        <v>1</v>
      </c>
      <c r="G1755" s="39">
        <v>46002</v>
      </c>
      <c r="H1755" s="4"/>
      <c r="I1755" s="8"/>
      <c r="J1755" s="9"/>
      <c r="K1755" s="10"/>
      <c r="L1755" s="9"/>
      <c r="M1755" s="7">
        <f t="shared" si="422"/>
        <v>0</v>
      </c>
      <c r="N1755" s="41"/>
    </row>
    <row r="1756" spans="1:14" x14ac:dyDescent="0.15">
      <c r="A1756" s="4" t="s">
        <v>34</v>
      </c>
      <c r="B1756" s="8">
        <v>4</v>
      </c>
      <c r="C1756" s="9"/>
      <c r="D1756" s="10">
        <v>1</v>
      </c>
      <c r="E1756" s="9"/>
      <c r="F1756" s="5">
        <f t="shared" si="421"/>
        <v>5</v>
      </c>
      <c r="G1756" s="39">
        <v>46006</v>
      </c>
      <c r="H1756" s="4"/>
      <c r="I1756" s="8"/>
      <c r="J1756" s="9"/>
      <c r="K1756" s="10"/>
      <c r="L1756" s="9"/>
      <c r="M1756" s="7">
        <f t="shared" si="422"/>
        <v>0</v>
      </c>
      <c r="N1756" s="41"/>
    </row>
    <row r="1757" spans="1:14" x14ac:dyDescent="0.15">
      <c r="A1757" s="4" t="s">
        <v>296</v>
      </c>
      <c r="B1757" s="8"/>
      <c r="C1757" s="9">
        <v>2</v>
      </c>
      <c r="D1757" s="10"/>
      <c r="E1757" s="9"/>
      <c r="F1757" s="5">
        <f t="shared" si="421"/>
        <v>2</v>
      </c>
      <c r="G1757" s="39">
        <v>46009</v>
      </c>
      <c r="H1757" s="4"/>
      <c r="I1757" s="8"/>
      <c r="J1757" s="9"/>
      <c r="K1757" s="10"/>
      <c r="L1757" s="9"/>
      <c r="M1757" s="7">
        <f t="shared" ref="M1757" si="423">SUM(I1757:L1757)</f>
        <v>0</v>
      </c>
      <c r="N1757" s="41"/>
    </row>
    <row r="1758" spans="1:14" x14ac:dyDescent="0.15">
      <c r="A1758" s="4" t="s">
        <v>296</v>
      </c>
      <c r="B1758" s="8">
        <v>2</v>
      </c>
      <c r="C1758" s="9"/>
      <c r="D1758" s="10"/>
      <c r="E1758" s="9"/>
      <c r="F1758" s="5">
        <f t="shared" si="421"/>
        <v>2</v>
      </c>
      <c r="G1758" s="39">
        <v>46013</v>
      </c>
      <c r="H1758" s="4"/>
      <c r="I1758" s="8"/>
      <c r="J1758" s="9"/>
      <c r="K1758" s="10"/>
      <c r="L1758" s="9"/>
      <c r="M1758" s="7">
        <f t="shared" ref="M1758" si="424">SUM(I1758:L1758)</f>
        <v>0</v>
      </c>
      <c r="N1758" s="41"/>
    </row>
    <row r="1759" spans="1:14" ht="14.25" thickBot="1" x14ac:dyDescent="0.2">
      <c r="A1759" s="4" t="s">
        <v>296</v>
      </c>
      <c r="B1759" s="8"/>
      <c r="C1759" s="9">
        <v>2</v>
      </c>
      <c r="D1759" s="10"/>
      <c r="E1759" s="9"/>
      <c r="F1759" s="5">
        <f t="shared" si="421"/>
        <v>2</v>
      </c>
      <c r="G1759" s="39">
        <v>46015</v>
      </c>
      <c r="H1759" s="4" t="s">
        <v>754</v>
      </c>
      <c r="I1759" s="8"/>
      <c r="J1759" s="9"/>
      <c r="K1759" s="10"/>
      <c r="L1759" s="9"/>
      <c r="M1759" s="7">
        <f t="shared" ref="M1759" si="425">SUM(I1759:L1759)</f>
        <v>0</v>
      </c>
      <c r="N1759" s="41" t="s">
        <v>755</v>
      </c>
    </row>
    <row r="1760" spans="1:14" ht="14.25" thickBot="1" x14ac:dyDescent="0.2">
      <c r="A1760" s="3" t="s">
        <v>5</v>
      </c>
      <c r="B1760" s="14">
        <f>SUM(B1736:B1759)</f>
        <v>15</v>
      </c>
      <c r="C1760" s="14">
        <f>SUM(C1736:C1759)</f>
        <v>16</v>
      </c>
      <c r="D1760" s="14">
        <f>SUM(D1736:D1759)</f>
        <v>13</v>
      </c>
      <c r="E1760" s="14">
        <f>SUM(E1736:E1759)</f>
        <v>2</v>
      </c>
      <c r="F1760" s="15">
        <f>SUM(B1760:E1760)</f>
        <v>46</v>
      </c>
      <c r="H1760" s="3" t="s">
        <v>5</v>
      </c>
      <c r="I1760" s="14">
        <f>SUM(I1736:I1759)</f>
        <v>48</v>
      </c>
      <c r="J1760" s="14">
        <f>SUM(J1736:J1759)</f>
        <v>67</v>
      </c>
      <c r="K1760" s="14">
        <f>SUM(K1736:K1759)</f>
        <v>48</v>
      </c>
      <c r="L1760" s="14">
        <f>SUM(L1736:L1759)</f>
        <v>28</v>
      </c>
      <c r="M1760" s="15">
        <f>SUM(I1760:L1760)</f>
        <v>191</v>
      </c>
    </row>
    <row r="1761" spans="1:13" ht="14.25" thickBot="1" x14ac:dyDescent="0.2">
      <c r="A1761" s="25" t="s">
        <v>6</v>
      </c>
      <c r="B1761" s="26">
        <f>B1735-B1760</f>
        <v>5</v>
      </c>
      <c r="C1761" s="26">
        <f t="shared" ref="C1761:F1761" si="426">C1735-C1760</f>
        <v>6</v>
      </c>
      <c r="D1761" s="26">
        <f t="shared" si="426"/>
        <v>8</v>
      </c>
      <c r="E1761" s="26">
        <f t="shared" si="426"/>
        <v>11</v>
      </c>
      <c r="F1761" s="24">
        <f t="shared" si="426"/>
        <v>30</v>
      </c>
      <c r="H1761" s="25" t="s">
        <v>6</v>
      </c>
      <c r="I1761" s="26">
        <f>I1735-I1760</f>
        <v>148</v>
      </c>
      <c r="J1761" s="26">
        <f t="shared" ref="J1761:M1761" si="427">J1735-J1760</f>
        <v>94</v>
      </c>
      <c r="K1761" s="26">
        <f t="shared" si="427"/>
        <v>171</v>
      </c>
      <c r="L1761" s="26">
        <f t="shared" si="427"/>
        <v>237</v>
      </c>
      <c r="M1761" s="24">
        <f t="shared" si="427"/>
        <v>650</v>
      </c>
    </row>
    <row r="1762" spans="1:13" x14ac:dyDescent="0.15">
      <c r="H1762" s="157" t="s">
        <v>764</v>
      </c>
      <c r="I1762" s="158">
        <f>I1760+I1717+I1674+I1631+I1588+I1545+I1502+I1459+I1416</f>
        <v>782</v>
      </c>
      <c r="J1762" s="158">
        <f t="shared" ref="J1762:M1762" si="428">J1760+J1717+J1674+J1631+J1588+J1545+J1502+J1459+J1416</f>
        <v>1023</v>
      </c>
      <c r="K1762" s="158">
        <f t="shared" si="428"/>
        <v>560</v>
      </c>
      <c r="L1762" s="158">
        <f t="shared" si="428"/>
        <v>263</v>
      </c>
      <c r="M1762" s="158">
        <f t="shared" si="428"/>
        <v>2628</v>
      </c>
    </row>
    <row r="1763" spans="1:13" x14ac:dyDescent="0.15">
      <c r="H1763" s="159" t="s">
        <v>765</v>
      </c>
      <c r="I1763" s="100">
        <f>I1762/$M$1762*100</f>
        <v>29.75646879756469</v>
      </c>
      <c r="J1763" s="100">
        <f t="shared" ref="J1763:M1763" si="429">J1762/$M$1762*100</f>
        <v>38.926940639269411</v>
      </c>
      <c r="K1763" s="100">
        <f t="shared" si="429"/>
        <v>21.3089802130898</v>
      </c>
      <c r="L1763" s="100">
        <f t="shared" si="429"/>
        <v>10.007610350076103</v>
      </c>
      <c r="M1763" s="100">
        <f t="shared" si="429"/>
        <v>100</v>
      </c>
    </row>
    <row r="1764" spans="1:13" ht="21.75" thickBot="1" x14ac:dyDescent="0.25">
      <c r="A1764" s="29" t="s">
        <v>13</v>
      </c>
      <c r="B1764" s="1"/>
      <c r="C1764" s="1"/>
      <c r="D1764" s="1"/>
      <c r="E1764" s="1"/>
      <c r="F1764" s="1"/>
      <c r="H1764" s="29" t="s">
        <v>14</v>
      </c>
      <c r="I1764" s="1"/>
      <c r="J1764" s="1"/>
      <c r="K1764" s="1"/>
      <c r="L1764" s="1"/>
      <c r="M1764" s="1"/>
    </row>
    <row r="1765" spans="1:13" ht="14.25" thickBot="1" x14ac:dyDescent="0.2">
      <c r="A1765" s="2" t="s">
        <v>0</v>
      </c>
      <c r="B1765" s="164" t="s">
        <v>12</v>
      </c>
      <c r="C1765" s="165"/>
      <c r="D1765" s="165"/>
      <c r="E1765" s="165"/>
      <c r="F1765" s="117"/>
      <c r="H1765" s="2" t="s">
        <v>0</v>
      </c>
      <c r="I1765" s="164" t="s">
        <v>12</v>
      </c>
      <c r="J1765" s="165"/>
      <c r="K1765" s="165"/>
      <c r="L1765" s="165"/>
      <c r="M1765" s="117"/>
    </row>
    <row r="1766" spans="1:13" ht="14.25" thickBot="1" x14ac:dyDescent="0.2">
      <c r="A1766" s="2" t="s">
        <v>1</v>
      </c>
      <c r="B1766" s="3" t="s">
        <v>489</v>
      </c>
      <c r="C1766" s="2" t="s">
        <v>490</v>
      </c>
      <c r="D1766" s="19" t="s">
        <v>491</v>
      </c>
      <c r="E1766" s="2" t="s">
        <v>492</v>
      </c>
      <c r="F1766" s="2" t="s">
        <v>2</v>
      </c>
      <c r="H1766" s="2" t="s">
        <v>1</v>
      </c>
      <c r="I1766" s="3" t="s">
        <v>489</v>
      </c>
      <c r="J1766" s="2" t="s">
        <v>490</v>
      </c>
      <c r="K1766" s="19" t="s">
        <v>491</v>
      </c>
      <c r="L1766" s="2" t="s">
        <v>492</v>
      </c>
      <c r="M1766" s="2" t="s">
        <v>2</v>
      </c>
    </row>
    <row r="1767" spans="1:13" x14ac:dyDescent="0.15">
      <c r="A1767" s="27" t="s">
        <v>6</v>
      </c>
      <c r="B1767" s="18">
        <f>B1761</f>
        <v>5</v>
      </c>
      <c r="C1767" s="20">
        <f>C1761</f>
        <v>6</v>
      </c>
      <c r="D1767" s="55">
        <f>D1761</f>
        <v>8</v>
      </c>
      <c r="E1767" s="20">
        <f>E1761</f>
        <v>11</v>
      </c>
      <c r="F1767" s="17">
        <f>SUM(B1767:E1767)</f>
        <v>30</v>
      </c>
      <c r="H1767" s="27" t="s">
        <v>6</v>
      </c>
      <c r="I1767" s="18">
        <f>I1761</f>
        <v>148</v>
      </c>
      <c r="J1767" s="20">
        <f>J1761</f>
        <v>94</v>
      </c>
      <c r="K1767" s="55">
        <f>K1761</f>
        <v>171</v>
      </c>
      <c r="L1767" s="58">
        <f>L1761</f>
        <v>237</v>
      </c>
      <c r="M1767" s="17">
        <f>SUM(I1767:L1767)</f>
        <v>650</v>
      </c>
    </row>
    <row r="1768" spans="1:13" x14ac:dyDescent="0.15">
      <c r="A1768" s="6" t="s">
        <v>3</v>
      </c>
      <c r="B1768" s="31">
        <v>5</v>
      </c>
      <c r="C1768" s="32">
        <v>5</v>
      </c>
      <c r="D1768" s="31"/>
      <c r="E1768" s="52"/>
      <c r="F1768" s="5">
        <f t="shared" ref="F1768:F1777" si="430">SUM(B1768:E1768)</f>
        <v>10</v>
      </c>
      <c r="G1768" s="39">
        <v>46031</v>
      </c>
      <c r="H1768" s="6" t="s">
        <v>3</v>
      </c>
      <c r="I1768" s="31"/>
      <c r="J1768" s="32"/>
      <c r="K1768" s="31"/>
      <c r="L1768" s="52"/>
      <c r="M1768" s="5">
        <f t="shared" ref="M1768:M1777" si="431">SUM(I1768:L1768)</f>
        <v>0</v>
      </c>
    </row>
    <row r="1769" spans="1:13" x14ac:dyDescent="0.15">
      <c r="A1769" s="145" t="s">
        <v>3</v>
      </c>
      <c r="B1769" s="146">
        <v>3</v>
      </c>
      <c r="C1769" s="147"/>
      <c r="D1769" s="146"/>
      <c r="E1769" s="148"/>
      <c r="F1769" s="149">
        <f t="shared" si="430"/>
        <v>3</v>
      </c>
      <c r="G1769" s="85">
        <v>46037</v>
      </c>
      <c r="H1769" s="6" t="s">
        <v>3</v>
      </c>
      <c r="I1769" s="31"/>
      <c r="J1769" s="32"/>
      <c r="K1769" s="31"/>
      <c r="L1769" s="52"/>
      <c r="M1769" s="5">
        <f t="shared" si="431"/>
        <v>0</v>
      </c>
    </row>
    <row r="1770" spans="1:13" x14ac:dyDescent="0.15">
      <c r="A1770" s="6" t="s">
        <v>3</v>
      </c>
      <c r="B1770" s="31">
        <v>5</v>
      </c>
      <c r="C1770" s="32"/>
      <c r="D1770" s="31"/>
      <c r="E1770" s="52"/>
      <c r="F1770" s="5">
        <f t="shared" si="430"/>
        <v>5</v>
      </c>
      <c r="G1770" s="39">
        <v>46039</v>
      </c>
      <c r="H1770" s="6" t="s">
        <v>3</v>
      </c>
      <c r="I1770" s="31"/>
      <c r="J1770" s="32"/>
      <c r="K1770" s="31"/>
      <c r="L1770" s="52"/>
      <c r="M1770" s="5">
        <f t="shared" si="431"/>
        <v>0</v>
      </c>
    </row>
    <row r="1771" spans="1:13" x14ac:dyDescent="0.15">
      <c r="A1771" s="6" t="s">
        <v>45</v>
      </c>
      <c r="B1771" s="31"/>
      <c r="C1771" s="32"/>
      <c r="D1771" s="31">
        <v>2</v>
      </c>
      <c r="E1771" s="52"/>
      <c r="F1771" s="5">
        <f t="shared" si="430"/>
        <v>2</v>
      </c>
      <c r="G1771" s="39">
        <v>46038</v>
      </c>
      <c r="H1771" s="6" t="s">
        <v>3</v>
      </c>
      <c r="I1771" s="31"/>
      <c r="J1771" s="32"/>
      <c r="K1771" s="31"/>
      <c r="L1771" s="52"/>
      <c r="M1771" s="5">
        <f t="shared" ref="M1771:M1773" si="432">SUM(I1771:L1771)</f>
        <v>0</v>
      </c>
    </row>
    <row r="1772" spans="1:13" x14ac:dyDescent="0.15">
      <c r="A1772" s="6" t="s">
        <v>3</v>
      </c>
      <c r="B1772" s="31"/>
      <c r="C1772" s="32">
        <v>3</v>
      </c>
      <c r="D1772" s="31"/>
      <c r="E1772" s="52"/>
      <c r="F1772" s="5">
        <f t="shared" si="430"/>
        <v>3</v>
      </c>
      <c r="G1772" s="39">
        <v>46045</v>
      </c>
      <c r="H1772" s="6" t="s">
        <v>3</v>
      </c>
      <c r="I1772" s="31"/>
      <c r="J1772" s="32"/>
      <c r="K1772" s="31"/>
      <c r="L1772" s="52"/>
      <c r="M1772" s="5">
        <f t="shared" si="432"/>
        <v>0</v>
      </c>
    </row>
    <row r="1773" spans="1:13" x14ac:dyDescent="0.15">
      <c r="A1773" s="145" t="s">
        <v>3</v>
      </c>
      <c r="B1773" s="146"/>
      <c r="C1773" s="147">
        <v>3</v>
      </c>
      <c r="D1773" s="146"/>
      <c r="E1773" s="148"/>
      <c r="F1773" s="149">
        <f t="shared" si="430"/>
        <v>3</v>
      </c>
      <c r="G1773" s="85">
        <v>46056</v>
      </c>
      <c r="H1773" s="6" t="s">
        <v>3</v>
      </c>
      <c r="I1773" s="31"/>
      <c r="J1773" s="32"/>
      <c r="K1773" s="31"/>
      <c r="L1773" s="52"/>
      <c r="M1773" s="5">
        <f t="shared" si="432"/>
        <v>0</v>
      </c>
    </row>
    <row r="1774" spans="1:13" x14ac:dyDescent="0.15">
      <c r="A1774" s="145" t="s">
        <v>3</v>
      </c>
      <c r="B1774" s="146"/>
      <c r="C1774" s="147">
        <v>5</v>
      </c>
      <c r="D1774" s="146"/>
      <c r="E1774" s="148"/>
      <c r="F1774" s="149">
        <f t="shared" si="430"/>
        <v>5</v>
      </c>
      <c r="G1774" s="85">
        <v>46071</v>
      </c>
      <c r="H1774" s="6" t="s">
        <v>3</v>
      </c>
      <c r="I1774" s="31"/>
      <c r="J1774" s="32"/>
      <c r="K1774" s="31"/>
      <c r="L1774" s="52"/>
      <c r="M1774" s="5">
        <f t="shared" si="431"/>
        <v>0</v>
      </c>
    </row>
    <row r="1775" spans="1:13" x14ac:dyDescent="0.15">
      <c r="A1775" s="6" t="s">
        <v>338</v>
      </c>
      <c r="B1775" s="31"/>
      <c r="C1775" s="32">
        <v>6</v>
      </c>
      <c r="D1775" s="31"/>
      <c r="E1775" s="52"/>
      <c r="F1775" s="5">
        <f t="shared" si="430"/>
        <v>6</v>
      </c>
      <c r="G1775" s="71">
        <v>46071</v>
      </c>
      <c r="H1775" s="6" t="s">
        <v>3</v>
      </c>
      <c r="I1775" s="31"/>
      <c r="J1775" s="32"/>
      <c r="K1775" s="31"/>
      <c r="L1775" s="52"/>
      <c r="M1775" s="5">
        <f t="shared" si="431"/>
        <v>0</v>
      </c>
    </row>
    <row r="1776" spans="1:13" x14ac:dyDescent="0.15">
      <c r="A1776" s="6" t="s">
        <v>306</v>
      </c>
      <c r="B1776" s="31">
        <v>0</v>
      </c>
      <c r="C1776" s="32">
        <v>0</v>
      </c>
      <c r="D1776" s="31">
        <v>-1</v>
      </c>
      <c r="E1776" s="52">
        <v>-2</v>
      </c>
      <c r="F1776" s="5">
        <f t="shared" si="430"/>
        <v>-3</v>
      </c>
      <c r="G1776" s="39">
        <v>46072</v>
      </c>
      <c r="H1776" s="6" t="s">
        <v>3</v>
      </c>
      <c r="I1776" s="34"/>
      <c r="J1776" s="35"/>
      <c r="K1776" s="34"/>
      <c r="L1776" s="32"/>
      <c r="M1776" s="5">
        <f t="shared" si="431"/>
        <v>0</v>
      </c>
    </row>
    <row r="1777" spans="1:14" ht="14.25" thickBot="1" x14ac:dyDescent="0.2">
      <c r="A1777" s="6" t="s">
        <v>3</v>
      </c>
      <c r="B1777" s="13"/>
      <c r="C1777" s="12"/>
      <c r="D1777" s="13">
        <v>3</v>
      </c>
      <c r="E1777" s="50"/>
      <c r="F1777" s="5">
        <f t="shared" si="430"/>
        <v>3</v>
      </c>
      <c r="G1777" s="39">
        <v>46083</v>
      </c>
      <c r="H1777" s="6" t="s">
        <v>3</v>
      </c>
      <c r="I1777" s="34"/>
      <c r="J1777" s="35"/>
      <c r="K1777" s="34"/>
      <c r="L1777" s="53"/>
      <c r="M1777" s="5">
        <f t="shared" si="431"/>
        <v>0</v>
      </c>
    </row>
    <row r="1778" spans="1:14" ht="14.25" thickBot="1" x14ac:dyDescent="0.2">
      <c r="A1778" s="21" t="s">
        <v>4</v>
      </c>
      <c r="B1778" s="22">
        <f>SUM(B1767:B1777)</f>
        <v>18</v>
      </c>
      <c r="C1778" s="22">
        <f>SUM(C1767:C1777)</f>
        <v>28</v>
      </c>
      <c r="D1778" s="23">
        <f>SUM(D1767:D1777)</f>
        <v>12</v>
      </c>
      <c r="E1778" s="23">
        <f>SUM(E1767:E1777)</f>
        <v>9</v>
      </c>
      <c r="F1778" s="24">
        <f>SUM(B1778:E1778)</f>
        <v>67</v>
      </c>
      <c r="H1778" s="21" t="s">
        <v>4</v>
      </c>
      <c r="I1778" s="22">
        <f>SUM(I1767:I1777)</f>
        <v>148</v>
      </c>
      <c r="J1778" s="22">
        <f>SUM(J1767:J1777)</f>
        <v>94</v>
      </c>
      <c r="K1778" s="23">
        <f>SUM(K1767:K1777)</f>
        <v>171</v>
      </c>
      <c r="L1778" s="23">
        <f>SUM(L1767:L1777)</f>
        <v>237</v>
      </c>
      <c r="M1778" s="24">
        <f>SUM(I1778:L1778)</f>
        <v>650</v>
      </c>
    </row>
    <row r="1779" spans="1:14" x14ac:dyDescent="0.15">
      <c r="A1779" s="4" t="s">
        <v>296</v>
      </c>
      <c r="B1779" s="8">
        <v>2</v>
      </c>
      <c r="C1779" s="9">
        <v>2</v>
      </c>
      <c r="D1779" s="10"/>
      <c r="E1779" s="9"/>
      <c r="F1779" s="5">
        <f t="shared" ref="F1779" si="433">SUM(B1779:E1779)</f>
        <v>4</v>
      </c>
      <c r="G1779" s="39">
        <v>46029</v>
      </c>
      <c r="H1779" s="4" t="s">
        <v>296</v>
      </c>
      <c r="I1779" s="8">
        <v>2</v>
      </c>
      <c r="J1779" s="9">
        <v>4</v>
      </c>
      <c r="K1779" s="10">
        <v>4</v>
      </c>
      <c r="L1779" s="9"/>
      <c r="M1779" s="7">
        <f t="shared" ref="M1779:M1802" si="434">SUM(I1779:L1779)</f>
        <v>10</v>
      </c>
      <c r="N1779" s="39">
        <v>46038</v>
      </c>
    </row>
    <row r="1780" spans="1:14" x14ac:dyDescent="0.15">
      <c r="A1780" s="4" t="s">
        <v>39</v>
      </c>
      <c r="B1780" s="8"/>
      <c r="C1780" s="9"/>
      <c r="D1780" s="10"/>
      <c r="E1780" s="9">
        <v>1</v>
      </c>
      <c r="F1780" s="5">
        <f t="shared" ref="F1780:F1802" si="435">SUM(B1780:E1780)</f>
        <v>1</v>
      </c>
      <c r="G1780" s="39">
        <v>46028</v>
      </c>
      <c r="H1780" s="151" t="s">
        <v>763</v>
      </c>
      <c r="I1780" s="152">
        <v>3</v>
      </c>
      <c r="J1780" s="153"/>
      <c r="K1780" s="154"/>
      <c r="L1780" s="153"/>
      <c r="M1780" s="155">
        <f t="shared" si="434"/>
        <v>3</v>
      </c>
      <c r="N1780" s="85">
        <v>46037</v>
      </c>
    </row>
    <row r="1781" spans="1:14" x14ac:dyDescent="0.15">
      <c r="A1781" s="4" t="s">
        <v>34</v>
      </c>
      <c r="B1781" s="8"/>
      <c r="C1781" s="9">
        <v>1</v>
      </c>
      <c r="D1781" s="10"/>
      <c r="E1781" s="9"/>
      <c r="F1781" s="5">
        <f t="shared" si="435"/>
        <v>1</v>
      </c>
      <c r="G1781" s="39">
        <v>46027</v>
      </c>
      <c r="H1781" s="4" t="s">
        <v>767</v>
      </c>
      <c r="I1781" s="8">
        <v>42</v>
      </c>
      <c r="J1781" s="9">
        <v>2</v>
      </c>
      <c r="K1781" s="10">
        <v>8</v>
      </c>
      <c r="L1781" s="9">
        <v>10</v>
      </c>
      <c r="M1781" s="7">
        <f t="shared" si="434"/>
        <v>62</v>
      </c>
      <c r="N1781" s="39">
        <v>46041</v>
      </c>
    </row>
    <row r="1782" spans="1:14" x14ac:dyDescent="0.15">
      <c r="A1782" s="4" t="s">
        <v>296</v>
      </c>
      <c r="B1782" s="8"/>
      <c r="C1782" s="9"/>
      <c r="D1782" s="10"/>
      <c r="E1782" s="9">
        <v>2</v>
      </c>
      <c r="F1782" s="5">
        <f t="shared" si="435"/>
        <v>2</v>
      </c>
      <c r="G1782" s="39">
        <v>46031</v>
      </c>
      <c r="H1782" s="4" t="s">
        <v>768</v>
      </c>
      <c r="I1782" s="8">
        <v>5</v>
      </c>
      <c r="J1782" s="9"/>
      <c r="K1782" s="10"/>
      <c r="L1782" s="9"/>
      <c r="M1782" s="7">
        <f t="shared" si="434"/>
        <v>5</v>
      </c>
      <c r="N1782" s="71">
        <v>46039</v>
      </c>
    </row>
    <row r="1783" spans="1:14" x14ac:dyDescent="0.15">
      <c r="A1783" s="4" t="s">
        <v>296</v>
      </c>
      <c r="B1783" s="8"/>
      <c r="C1783" s="9"/>
      <c r="D1783" s="10"/>
      <c r="E1783" s="9">
        <v>2</v>
      </c>
      <c r="F1783" s="5">
        <f t="shared" si="435"/>
        <v>2</v>
      </c>
      <c r="G1783" s="39">
        <v>46031</v>
      </c>
      <c r="H1783" s="4" t="s">
        <v>769</v>
      </c>
      <c r="I1783" s="8"/>
      <c r="J1783" s="9">
        <v>10</v>
      </c>
      <c r="K1783" s="10">
        <v>12</v>
      </c>
      <c r="L1783" s="9"/>
      <c r="M1783" s="7">
        <f t="shared" si="434"/>
        <v>22</v>
      </c>
      <c r="N1783" s="39">
        <v>46043</v>
      </c>
    </row>
    <row r="1784" spans="1:14" x14ac:dyDescent="0.15">
      <c r="A1784" s="4" t="s">
        <v>296</v>
      </c>
      <c r="B1784" s="8">
        <v>2</v>
      </c>
      <c r="C1784" s="9"/>
      <c r="D1784" s="10"/>
      <c r="E1784" s="9"/>
      <c r="F1784" s="5">
        <f t="shared" si="435"/>
        <v>2</v>
      </c>
      <c r="G1784" s="39">
        <v>46035</v>
      </c>
      <c r="H1784" s="4" t="s">
        <v>296</v>
      </c>
      <c r="I1784" s="8">
        <v>4</v>
      </c>
      <c r="J1784" s="9"/>
      <c r="K1784" s="10"/>
      <c r="L1784" s="9"/>
      <c r="M1784" s="7">
        <f t="shared" si="434"/>
        <v>4</v>
      </c>
      <c r="N1784" s="39">
        <v>46043</v>
      </c>
    </row>
    <row r="1785" spans="1:14" x14ac:dyDescent="0.15">
      <c r="A1785" s="4" t="s">
        <v>39</v>
      </c>
      <c r="B1785" s="8">
        <v>4</v>
      </c>
      <c r="C1785" s="9">
        <v>1</v>
      </c>
      <c r="D1785" s="10">
        <v>1</v>
      </c>
      <c r="E1785" s="9">
        <v>1</v>
      </c>
      <c r="F1785" s="5">
        <f t="shared" si="435"/>
        <v>7</v>
      </c>
      <c r="G1785" s="39">
        <v>46036</v>
      </c>
      <c r="H1785" s="4" t="s">
        <v>770</v>
      </c>
      <c r="I1785" s="8"/>
      <c r="J1785" s="9">
        <v>10</v>
      </c>
      <c r="K1785" s="10"/>
      <c r="L1785" s="9"/>
      <c r="M1785" s="7">
        <f t="shared" si="434"/>
        <v>10</v>
      </c>
      <c r="N1785" s="39">
        <v>46045</v>
      </c>
    </row>
    <row r="1786" spans="1:14" x14ac:dyDescent="0.15">
      <c r="A1786" s="4" t="s">
        <v>296</v>
      </c>
      <c r="B1786" s="8">
        <v>2</v>
      </c>
      <c r="C1786" s="9"/>
      <c r="D1786" s="10"/>
      <c r="E1786" s="9"/>
      <c r="F1786" s="5">
        <f t="shared" si="435"/>
        <v>2</v>
      </c>
      <c r="G1786" s="39">
        <v>46041</v>
      </c>
      <c r="H1786" s="4" t="s">
        <v>296</v>
      </c>
      <c r="I1786" s="8">
        <v>2</v>
      </c>
      <c r="J1786" s="9">
        <v>2</v>
      </c>
      <c r="K1786" s="10">
        <v>2</v>
      </c>
      <c r="L1786" s="9"/>
      <c r="M1786" s="7">
        <f t="shared" si="434"/>
        <v>6</v>
      </c>
      <c r="N1786" s="39">
        <v>46045</v>
      </c>
    </row>
    <row r="1787" spans="1:14" x14ac:dyDescent="0.15">
      <c r="A1787" s="4" t="s">
        <v>34</v>
      </c>
      <c r="B1787" s="8"/>
      <c r="C1787" s="9">
        <v>2</v>
      </c>
      <c r="D1787" s="10"/>
      <c r="E1787" s="9"/>
      <c r="F1787" s="5">
        <f t="shared" si="435"/>
        <v>2</v>
      </c>
      <c r="G1787" s="39">
        <v>46041</v>
      </c>
      <c r="H1787" s="4" t="s">
        <v>771</v>
      </c>
      <c r="I1787" s="8"/>
      <c r="J1787" s="9">
        <v>8</v>
      </c>
      <c r="K1787" s="10"/>
      <c r="L1787" s="9"/>
      <c r="M1787" s="7">
        <f t="shared" si="434"/>
        <v>8</v>
      </c>
      <c r="N1787" s="39">
        <v>46049</v>
      </c>
    </row>
    <row r="1788" spans="1:14" x14ac:dyDescent="0.15">
      <c r="A1788" s="4" t="s">
        <v>296</v>
      </c>
      <c r="B1788" s="8"/>
      <c r="C1788" s="9">
        <v>2</v>
      </c>
      <c r="D1788" s="10"/>
      <c r="E1788" s="9"/>
      <c r="F1788" s="5">
        <f t="shared" si="435"/>
        <v>2</v>
      </c>
      <c r="G1788" s="39">
        <v>46045</v>
      </c>
      <c r="H1788" s="4" t="s">
        <v>763</v>
      </c>
      <c r="I1788" s="8"/>
      <c r="J1788" s="9">
        <v>3</v>
      </c>
      <c r="K1788" s="10"/>
      <c r="L1788" s="9"/>
      <c r="M1788" s="7">
        <f t="shared" si="434"/>
        <v>3</v>
      </c>
      <c r="N1788" s="71">
        <v>46045</v>
      </c>
    </row>
    <row r="1789" spans="1:14" x14ac:dyDescent="0.15">
      <c r="A1789" s="4" t="s">
        <v>296</v>
      </c>
      <c r="B1789" s="8"/>
      <c r="C1789" s="9">
        <v>2</v>
      </c>
      <c r="D1789" s="10"/>
      <c r="E1789" s="9"/>
      <c r="F1789" s="5">
        <f t="shared" si="435"/>
        <v>2</v>
      </c>
      <c r="G1789" s="39">
        <v>46048</v>
      </c>
      <c r="H1789" s="4" t="s">
        <v>772</v>
      </c>
      <c r="I1789" s="8"/>
      <c r="J1789" s="9">
        <v>6</v>
      </c>
      <c r="K1789" s="10"/>
      <c r="L1789" s="9"/>
      <c r="M1789" s="7">
        <f t="shared" si="434"/>
        <v>6</v>
      </c>
      <c r="N1789" s="39">
        <v>46051</v>
      </c>
    </row>
    <row r="1790" spans="1:14" x14ac:dyDescent="0.15">
      <c r="A1790" s="4" t="s">
        <v>34</v>
      </c>
      <c r="B1790" s="8"/>
      <c r="C1790" s="9">
        <v>1</v>
      </c>
      <c r="D1790" s="10"/>
      <c r="E1790" s="9"/>
      <c r="F1790" s="5">
        <f t="shared" si="435"/>
        <v>1</v>
      </c>
      <c r="G1790" s="39">
        <v>46053</v>
      </c>
      <c r="H1790" s="4" t="s">
        <v>773</v>
      </c>
      <c r="I1790" s="8"/>
      <c r="J1790" s="9"/>
      <c r="K1790" s="10"/>
      <c r="L1790" s="9">
        <v>14</v>
      </c>
      <c r="M1790" s="7">
        <f t="shared" si="434"/>
        <v>14</v>
      </c>
      <c r="N1790" s="39">
        <v>46051</v>
      </c>
    </row>
    <row r="1791" spans="1:14" x14ac:dyDescent="0.15">
      <c r="A1791" s="4" t="s">
        <v>296</v>
      </c>
      <c r="B1791" s="8"/>
      <c r="C1791" s="9">
        <v>2</v>
      </c>
      <c r="D1791" s="10"/>
      <c r="E1791" s="9"/>
      <c r="F1791" s="5">
        <f t="shared" si="435"/>
        <v>2</v>
      </c>
      <c r="G1791" s="39">
        <v>46057</v>
      </c>
      <c r="H1791" s="151" t="s">
        <v>763</v>
      </c>
      <c r="I1791" s="152"/>
      <c r="J1791" s="153">
        <v>3</v>
      </c>
      <c r="K1791" s="154"/>
      <c r="L1791" s="153"/>
      <c r="M1791" s="155">
        <f t="shared" si="434"/>
        <v>3</v>
      </c>
      <c r="N1791" s="85">
        <v>46056</v>
      </c>
    </row>
    <row r="1792" spans="1:14" x14ac:dyDescent="0.15">
      <c r="A1792" s="4" t="s">
        <v>34</v>
      </c>
      <c r="B1792" s="8">
        <v>1</v>
      </c>
      <c r="C1792" s="9"/>
      <c r="D1792" s="10">
        <v>1</v>
      </c>
      <c r="E1792" s="9"/>
      <c r="F1792" s="5">
        <f t="shared" si="435"/>
        <v>2</v>
      </c>
      <c r="G1792" s="39">
        <v>46062</v>
      </c>
      <c r="H1792" s="4" t="s">
        <v>774</v>
      </c>
      <c r="I1792" s="8"/>
      <c r="J1792" s="9">
        <v>12</v>
      </c>
      <c r="K1792" s="10"/>
      <c r="L1792" s="9"/>
      <c r="M1792" s="7">
        <f t="shared" si="434"/>
        <v>12</v>
      </c>
      <c r="N1792" s="39">
        <v>46062</v>
      </c>
    </row>
    <row r="1793" spans="1:14" x14ac:dyDescent="0.15">
      <c r="A1793" s="4" t="s">
        <v>296</v>
      </c>
      <c r="B1793" s="8"/>
      <c r="C1793" s="9">
        <v>2</v>
      </c>
      <c r="D1793" s="10"/>
      <c r="E1793" s="9"/>
      <c r="F1793" s="5">
        <f t="shared" si="435"/>
        <v>2</v>
      </c>
      <c r="G1793" s="39">
        <v>46069</v>
      </c>
      <c r="H1793" s="151" t="s">
        <v>777</v>
      </c>
      <c r="I1793" s="152"/>
      <c r="J1793" s="153">
        <v>5</v>
      </c>
      <c r="K1793" s="154"/>
      <c r="L1793" s="153"/>
      <c r="M1793" s="155">
        <f t="shared" si="434"/>
        <v>5</v>
      </c>
      <c r="N1793" s="85">
        <v>46071</v>
      </c>
    </row>
    <row r="1794" spans="1:14" x14ac:dyDescent="0.15">
      <c r="A1794" s="4" t="s">
        <v>296</v>
      </c>
      <c r="B1794" s="8"/>
      <c r="C1794" s="9"/>
      <c r="D1794" s="10">
        <v>2</v>
      </c>
      <c r="E1794" s="9"/>
      <c r="F1794" s="5">
        <f t="shared" si="435"/>
        <v>2</v>
      </c>
      <c r="G1794" s="39">
        <v>46071</v>
      </c>
      <c r="H1794" s="4" t="s">
        <v>778</v>
      </c>
      <c r="I1794" s="8"/>
      <c r="J1794" s="9"/>
      <c r="K1794" s="10">
        <v>16</v>
      </c>
      <c r="L1794" s="9"/>
      <c r="M1794" s="7">
        <f t="shared" si="434"/>
        <v>16</v>
      </c>
      <c r="N1794" s="39">
        <v>46077</v>
      </c>
    </row>
    <row r="1795" spans="1:14" x14ac:dyDescent="0.15">
      <c r="A1795" s="4" t="s">
        <v>39</v>
      </c>
      <c r="B1795" s="8">
        <v>2</v>
      </c>
      <c r="C1795" s="9">
        <v>1</v>
      </c>
      <c r="D1795" s="10">
        <v>1</v>
      </c>
      <c r="E1795" s="9"/>
      <c r="F1795" s="5">
        <f t="shared" si="435"/>
        <v>4</v>
      </c>
      <c r="G1795" s="39">
        <v>46070</v>
      </c>
      <c r="H1795" s="4" t="s">
        <v>779</v>
      </c>
      <c r="I1795" s="8"/>
      <c r="J1795" s="9">
        <v>8</v>
      </c>
      <c r="K1795" s="10"/>
      <c r="L1795" s="9"/>
      <c r="M1795" s="7">
        <f t="shared" si="434"/>
        <v>8</v>
      </c>
      <c r="N1795" s="39">
        <v>46077</v>
      </c>
    </row>
    <row r="1796" spans="1:14" x14ac:dyDescent="0.15">
      <c r="A1796" s="4" t="s">
        <v>34</v>
      </c>
      <c r="B1796" s="8"/>
      <c r="C1796" s="9"/>
      <c r="D1796" s="10">
        <v>2</v>
      </c>
      <c r="E1796" s="9"/>
      <c r="F1796" s="5">
        <f t="shared" si="435"/>
        <v>2</v>
      </c>
      <c r="G1796" s="39">
        <v>46080</v>
      </c>
      <c r="H1796" s="4" t="s">
        <v>780</v>
      </c>
      <c r="I1796" s="8"/>
      <c r="J1796" s="9">
        <v>6</v>
      </c>
      <c r="K1796" s="10"/>
      <c r="L1796" s="9"/>
      <c r="M1796" s="7">
        <f t="shared" si="434"/>
        <v>6</v>
      </c>
      <c r="N1796" s="39">
        <v>46084</v>
      </c>
    </row>
    <row r="1797" spans="1:14" x14ac:dyDescent="0.15">
      <c r="A1797" s="4" t="s">
        <v>39</v>
      </c>
      <c r="B1797" s="8">
        <v>2</v>
      </c>
      <c r="C1797" s="9">
        <v>1</v>
      </c>
      <c r="D1797" s="10"/>
      <c r="E1797" s="9">
        <v>1</v>
      </c>
      <c r="F1797" s="5">
        <f t="shared" si="435"/>
        <v>4</v>
      </c>
      <c r="G1797" s="39">
        <v>46084</v>
      </c>
      <c r="H1797" s="4" t="s">
        <v>781</v>
      </c>
      <c r="I1797" s="8">
        <v>4</v>
      </c>
      <c r="J1797" s="9"/>
      <c r="K1797" s="10"/>
      <c r="L1797" s="9"/>
      <c r="M1797" s="7">
        <f t="shared" si="434"/>
        <v>4</v>
      </c>
      <c r="N1797" s="39">
        <v>46086</v>
      </c>
    </row>
    <row r="1798" spans="1:14" x14ac:dyDescent="0.15">
      <c r="A1798" s="4" t="s">
        <v>34</v>
      </c>
      <c r="B1798" s="8">
        <v>1</v>
      </c>
      <c r="C1798" s="9"/>
      <c r="D1798" s="10"/>
      <c r="E1798" s="9"/>
      <c r="F1798" s="5">
        <f t="shared" si="435"/>
        <v>1</v>
      </c>
      <c r="G1798" s="39">
        <v>46083</v>
      </c>
      <c r="H1798" s="4" t="s">
        <v>763</v>
      </c>
      <c r="I1798" s="8"/>
      <c r="J1798" s="9"/>
      <c r="K1798" s="10">
        <v>3</v>
      </c>
      <c r="L1798" s="9"/>
      <c r="M1798" s="7">
        <f t="shared" si="434"/>
        <v>3</v>
      </c>
      <c r="N1798" s="39">
        <v>46083</v>
      </c>
    </row>
    <row r="1799" spans="1:14" x14ac:dyDescent="0.15">
      <c r="A1799" s="4" t="s">
        <v>3</v>
      </c>
      <c r="B1799" s="8">
        <v>-3</v>
      </c>
      <c r="C1799" s="9"/>
      <c r="D1799" s="10"/>
      <c r="E1799" s="9"/>
      <c r="F1799" s="5">
        <f t="shared" si="435"/>
        <v>-3</v>
      </c>
      <c r="G1799" s="39">
        <v>46084</v>
      </c>
      <c r="H1799" s="4" t="s">
        <v>763</v>
      </c>
      <c r="I1799" s="8">
        <v>3</v>
      </c>
      <c r="J1799" s="9"/>
      <c r="K1799" s="10"/>
      <c r="L1799" s="9"/>
      <c r="M1799" s="7">
        <f t="shared" si="434"/>
        <v>3</v>
      </c>
      <c r="N1799" s="39">
        <v>46084</v>
      </c>
    </row>
    <row r="1800" spans="1:14" x14ac:dyDescent="0.15">
      <c r="A1800" s="4" t="s">
        <v>34</v>
      </c>
      <c r="B1800" s="8">
        <v>1</v>
      </c>
      <c r="C1800" s="9">
        <v>1</v>
      </c>
      <c r="D1800" s="10"/>
      <c r="E1800" s="9"/>
      <c r="F1800" s="5">
        <f t="shared" si="435"/>
        <v>2</v>
      </c>
      <c r="G1800" s="39">
        <v>46086</v>
      </c>
      <c r="H1800" s="4" t="s">
        <v>759</v>
      </c>
      <c r="I1800" s="8"/>
      <c r="J1800" s="9"/>
      <c r="K1800" s="10"/>
      <c r="L1800" s="9"/>
      <c r="M1800" s="7">
        <f t="shared" si="434"/>
        <v>0</v>
      </c>
      <c r="N1800" s="41" t="s">
        <v>665</v>
      </c>
    </row>
    <row r="1801" spans="1:14" x14ac:dyDescent="0.15">
      <c r="A1801" s="4" t="s">
        <v>34</v>
      </c>
      <c r="B1801" s="8"/>
      <c r="C1801" s="9"/>
      <c r="D1801" s="10">
        <v>1</v>
      </c>
      <c r="E1801" s="9"/>
      <c r="F1801" s="5">
        <f t="shared" si="435"/>
        <v>1</v>
      </c>
      <c r="G1801" s="39">
        <v>46090</v>
      </c>
      <c r="H1801" s="101" t="s">
        <v>752</v>
      </c>
      <c r="I1801" s="102"/>
      <c r="J1801" s="103"/>
      <c r="K1801" s="104"/>
      <c r="L1801" s="103"/>
      <c r="M1801" s="105">
        <f t="shared" si="434"/>
        <v>0</v>
      </c>
      <c r="N1801" s="41"/>
    </row>
    <row r="1802" spans="1:14" ht="14.25" thickBot="1" x14ac:dyDescent="0.2">
      <c r="A1802" s="4" t="s">
        <v>34</v>
      </c>
      <c r="B1802" s="8"/>
      <c r="C1802" s="9">
        <v>1</v>
      </c>
      <c r="D1802" s="10"/>
      <c r="E1802" s="9"/>
      <c r="F1802" s="5">
        <f t="shared" si="435"/>
        <v>1</v>
      </c>
      <c r="G1802" s="39">
        <v>46092</v>
      </c>
      <c r="H1802" s="4" t="s">
        <v>751</v>
      </c>
      <c r="I1802" s="8"/>
      <c r="J1802" s="9"/>
      <c r="K1802" s="10"/>
      <c r="L1802" s="9"/>
      <c r="M1802" s="7">
        <f t="shared" si="434"/>
        <v>0</v>
      </c>
      <c r="N1802" s="41" t="s">
        <v>775</v>
      </c>
    </row>
    <row r="1803" spans="1:14" ht="14.25" thickBot="1" x14ac:dyDescent="0.2">
      <c r="A1803" s="3" t="s">
        <v>5</v>
      </c>
      <c r="B1803" s="14">
        <f>SUM(B1779:B1802)</f>
        <v>14</v>
      </c>
      <c r="C1803" s="14">
        <f>SUM(C1779:C1802)</f>
        <v>19</v>
      </c>
      <c r="D1803" s="14">
        <f>SUM(D1779:D1802)</f>
        <v>8</v>
      </c>
      <c r="E1803" s="14">
        <f>SUM(E1779:E1802)</f>
        <v>7</v>
      </c>
      <c r="F1803" s="15">
        <f>SUM(B1803:E1803)</f>
        <v>48</v>
      </c>
      <c r="H1803" s="3" t="s">
        <v>5</v>
      </c>
      <c r="I1803" s="14">
        <f>SUM(I1779:I1802)</f>
        <v>65</v>
      </c>
      <c r="J1803" s="14">
        <f>SUM(J1779:J1802)</f>
        <v>79</v>
      </c>
      <c r="K1803" s="14">
        <f>SUM(K1779:K1802)</f>
        <v>45</v>
      </c>
      <c r="L1803" s="14">
        <f>SUM(L1779:L1802)</f>
        <v>24</v>
      </c>
      <c r="M1803" s="15">
        <f>SUM(I1803:L1803)</f>
        <v>213</v>
      </c>
    </row>
    <row r="1804" spans="1:14" ht="14.25" thickBot="1" x14ac:dyDescent="0.2">
      <c r="A1804" s="25" t="s">
        <v>6</v>
      </c>
      <c r="B1804" s="26">
        <f>B1778-B1803</f>
        <v>4</v>
      </c>
      <c r="C1804" s="26">
        <f t="shared" ref="C1804:F1804" si="436">C1778-C1803</f>
        <v>9</v>
      </c>
      <c r="D1804" s="26">
        <f t="shared" si="436"/>
        <v>4</v>
      </c>
      <c r="E1804" s="26">
        <f t="shared" si="436"/>
        <v>2</v>
      </c>
      <c r="F1804" s="24">
        <f t="shared" si="436"/>
        <v>19</v>
      </c>
      <c r="H1804" s="25" t="s">
        <v>6</v>
      </c>
      <c r="I1804" s="26">
        <f>I1778-I1803</f>
        <v>83</v>
      </c>
      <c r="J1804" s="26">
        <f t="shared" ref="J1804:M1804" si="437">J1778-J1803</f>
        <v>15</v>
      </c>
      <c r="K1804" s="26">
        <f t="shared" si="437"/>
        <v>126</v>
      </c>
      <c r="L1804" s="26">
        <f t="shared" si="437"/>
        <v>213</v>
      </c>
      <c r="M1804" s="24">
        <f t="shared" si="437"/>
        <v>437</v>
      </c>
    </row>
    <row r="1805" spans="1:14" x14ac:dyDescent="0.15">
      <c r="H1805" s="161" t="s">
        <v>766</v>
      </c>
      <c r="I1805" s="72">
        <f>I1804/$M$1804*100</f>
        <v>18.993135011441648</v>
      </c>
      <c r="J1805" s="72">
        <f t="shared" ref="J1805:M1805" si="438">J1804/$M$1804*100</f>
        <v>3.4324942791762014</v>
      </c>
      <c r="K1805" s="72">
        <f t="shared" si="438"/>
        <v>28.832951945080094</v>
      </c>
      <c r="L1805" s="72">
        <f t="shared" si="438"/>
        <v>48.741418764302061</v>
      </c>
      <c r="M1805" s="72">
        <f t="shared" si="438"/>
        <v>100</v>
      </c>
    </row>
    <row r="1806" spans="1:14" x14ac:dyDescent="0.15">
      <c r="H1806" s="160" t="s">
        <v>765</v>
      </c>
      <c r="I1806" s="128">
        <v>29.7</v>
      </c>
      <c r="J1806" s="128">
        <v>38.799999999999997</v>
      </c>
      <c r="K1806" s="128">
        <v>21.4</v>
      </c>
      <c r="L1806" s="128">
        <v>10.1</v>
      </c>
      <c r="M1806" s="100">
        <f>SUM(I1806:L1806)</f>
        <v>100</v>
      </c>
    </row>
    <row r="1807" spans="1:14" ht="21.75" thickBot="1" x14ac:dyDescent="0.25">
      <c r="A1807" s="29" t="s">
        <v>13</v>
      </c>
      <c r="B1807" s="1"/>
      <c r="C1807" s="1"/>
      <c r="D1807" s="1"/>
      <c r="E1807" s="1"/>
      <c r="F1807" s="1"/>
      <c r="H1807" s="29" t="s">
        <v>14</v>
      </c>
      <c r="I1807" s="1"/>
      <c r="J1807" s="1"/>
      <c r="K1807" s="1"/>
      <c r="L1807" s="1"/>
      <c r="M1807" s="1"/>
    </row>
    <row r="1808" spans="1:14" ht="14.25" thickBot="1" x14ac:dyDescent="0.2">
      <c r="A1808" s="2" t="s">
        <v>0</v>
      </c>
      <c r="B1808" s="164" t="s">
        <v>12</v>
      </c>
      <c r="C1808" s="165"/>
      <c r="D1808" s="165"/>
      <c r="E1808" s="165"/>
      <c r="F1808" s="117"/>
      <c r="H1808" s="2" t="s">
        <v>0</v>
      </c>
      <c r="I1808" s="164" t="s">
        <v>12</v>
      </c>
      <c r="J1808" s="165"/>
      <c r="K1808" s="165"/>
      <c r="L1808" s="165"/>
      <c r="M1808" s="117"/>
    </row>
    <row r="1809" spans="1:14" ht="14.25" thickBot="1" x14ac:dyDescent="0.2">
      <c r="A1809" s="2" t="s">
        <v>1</v>
      </c>
      <c r="B1809" s="3" t="s">
        <v>489</v>
      </c>
      <c r="C1809" s="2" t="s">
        <v>490</v>
      </c>
      <c r="D1809" s="19" t="s">
        <v>491</v>
      </c>
      <c r="E1809" s="2" t="s">
        <v>492</v>
      </c>
      <c r="F1809" s="2" t="s">
        <v>2</v>
      </c>
      <c r="H1809" s="2" t="s">
        <v>1</v>
      </c>
      <c r="I1809" s="3" t="s">
        <v>489</v>
      </c>
      <c r="J1809" s="2" t="s">
        <v>490</v>
      </c>
      <c r="K1809" s="19" t="s">
        <v>491</v>
      </c>
      <c r="L1809" s="2" t="s">
        <v>492</v>
      </c>
      <c r="M1809" s="2" t="s">
        <v>2</v>
      </c>
    </row>
    <row r="1810" spans="1:14" x14ac:dyDescent="0.15">
      <c r="A1810" s="27" t="s">
        <v>6</v>
      </c>
      <c r="B1810" s="18">
        <f>B1804</f>
        <v>4</v>
      </c>
      <c r="C1810" s="20">
        <f>C1804</f>
        <v>9</v>
      </c>
      <c r="D1810" s="55">
        <f>D1804</f>
        <v>4</v>
      </c>
      <c r="E1810" s="20">
        <f>E1804</f>
        <v>2</v>
      </c>
      <c r="F1810" s="17">
        <f>SUM(B1810:E1810)</f>
        <v>19</v>
      </c>
      <c r="H1810" s="27" t="s">
        <v>6</v>
      </c>
      <c r="I1810" s="18">
        <f>I1804</f>
        <v>83</v>
      </c>
      <c r="J1810" s="20">
        <f>J1804</f>
        <v>15</v>
      </c>
      <c r="K1810" s="55">
        <f>K1804</f>
        <v>126</v>
      </c>
      <c r="L1810" s="58">
        <f>L1804</f>
        <v>213</v>
      </c>
      <c r="M1810" s="17">
        <f>SUM(I1810:L1810)</f>
        <v>437</v>
      </c>
    </row>
    <row r="1811" spans="1:14" x14ac:dyDescent="0.15">
      <c r="A1811" s="6" t="s">
        <v>338</v>
      </c>
      <c r="B1811" s="31"/>
      <c r="C1811" s="32"/>
      <c r="D1811" s="31"/>
      <c r="E1811" s="52">
        <v>2</v>
      </c>
      <c r="F1811" s="5">
        <f t="shared" ref="F1811:F1820" si="439">SUM(B1811:E1811)</f>
        <v>2</v>
      </c>
      <c r="G1811" s="39">
        <v>46097</v>
      </c>
      <c r="H1811" s="6" t="s">
        <v>3</v>
      </c>
      <c r="I1811" s="31"/>
      <c r="J1811" s="32"/>
      <c r="K1811" s="31"/>
      <c r="L1811" s="52"/>
      <c r="M1811" s="5">
        <f t="shared" ref="M1811:M1819" si="440">SUM(I1811:L1811)</f>
        <v>0</v>
      </c>
    </row>
    <row r="1812" spans="1:14" x14ac:dyDescent="0.15">
      <c r="A1812" s="145" t="s">
        <v>3</v>
      </c>
      <c r="B1812" s="146">
        <v>3</v>
      </c>
      <c r="C1812" s="147"/>
      <c r="D1812" s="146"/>
      <c r="E1812" s="148"/>
      <c r="F1812" s="149">
        <f t="shared" si="439"/>
        <v>3</v>
      </c>
      <c r="G1812" s="85">
        <v>46099</v>
      </c>
      <c r="H1812" s="6" t="s">
        <v>3</v>
      </c>
      <c r="I1812" s="31"/>
      <c r="J1812" s="32"/>
      <c r="K1812" s="31"/>
      <c r="L1812" s="52"/>
      <c r="M1812" s="5">
        <f t="shared" si="440"/>
        <v>0</v>
      </c>
    </row>
    <row r="1813" spans="1:14" x14ac:dyDescent="0.15">
      <c r="A1813" s="6" t="s">
        <v>3</v>
      </c>
      <c r="B1813" s="31">
        <v>5</v>
      </c>
      <c r="C1813" s="32"/>
      <c r="D1813" s="31"/>
      <c r="E1813" s="52"/>
      <c r="F1813" s="5">
        <f t="shared" si="439"/>
        <v>5</v>
      </c>
      <c r="G1813" s="39">
        <v>46108</v>
      </c>
      <c r="H1813" s="6" t="s">
        <v>3</v>
      </c>
      <c r="I1813" s="31"/>
      <c r="J1813" s="32"/>
      <c r="K1813" s="31"/>
      <c r="L1813" s="52"/>
      <c r="M1813" s="5">
        <f t="shared" ref="M1813:M1814" si="441">SUM(I1813:L1813)</f>
        <v>0</v>
      </c>
    </row>
    <row r="1814" spans="1:14" x14ac:dyDescent="0.15">
      <c r="A1814" s="6" t="s">
        <v>3</v>
      </c>
      <c r="B1814" s="31"/>
      <c r="C1814" s="32"/>
      <c r="D1814" s="31"/>
      <c r="E1814" s="52">
        <v>7</v>
      </c>
      <c r="F1814" s="5">
        <f t="shared" si="439"/>
        <v>7</v>
      </c>
      <c r="G1814" s="39">
        <v>46115</v>
      </c>
      <c r="H1814" s="6" t="s">
        <v>3</v>
      </c>
      <c r="I1814" s="31"/>
      <c r="J1814" s="32"/>
      <c r="K1814" s="31"/>
      <c r="L1814" s="52"/>
      <c r="M1814" s="5">
        <f t="shared" si="441"/>
        <v>0</v>
      </c>
    </row>
    <row r="1815" spans="1:14" x14ac:dyDescent="0.15">
      <c r="A1815" s="145" t="s">
        <v>3</v>
      </c>
      <c r="B1815" s="146">
        <v>5</v>
      </c>
      <c r="C1815" s="147">
        <v>7</v>
      </c>
      <c r="D1815" s="146">
        <v>5</v>
      </c>
      <c r="E1815" s="148">
        <v>3</v>
      </c>
      <c r="F1815" s="149">
        <f t="shared" si="439"/>
        <v>20</v>
      </c>
      <c r="G1815" s="85">
        <v>46119</v>
      </c>
      <c r="H1815" s="6" t="s">
        <v>3</v>
      </c>
      <c r="I1815" s="31"/>
      <c r="J1815" s="32"/>
      <c r="K1815" s="31"/>
      <c r="L1815" s="52"/>
      <c r="M1815" s="5">
        <f t="shared" ref="M1815:M1816" si="442">SUM(I1815:L1815)</f>
        <v>0</v>
      </c>
    </row>
    <row r="1816" spans="1:14" x14ac:dyDescent="0.15">
      <c r="A1816" s="6" t="s">
        <v>3</v>
      </c>
      <c r="B1816" s="31"/>
      <c r="C1816" s="32"/>
      <c r="D1816" s="31"/>
      <c r="E1816" s="52"/>
      <c r="F1816" s="5">
        <f t="shared" si="439"/>
        <v>0</v>
      </c>
      <c r="G1816" s="41"/>
      <c r="H1816" s="6" t="s">
        <v>3</v>
      </c>
      <c r="I1816" s="31"/>
      <c r="J1816" s="32"/>
      <c r="K1816" s="31"/>
      <c r="L1816" s="52"/>
      <c r="M1816" s="5">
        <f t="shared" si="442"/>
        <v>0</v>
      </c>
    </row>
    <row r="1817" spans="1:14" x14ac:dyDescent="0.15">
      <c r="A1817" s="6" t="s">
        <v>3</v>
      </c>
      <c r="B1817" s="31"/>
      <c r="C1817" s="32"/>
      <c r="D1817" s="31"/>
      <c r="E1817" s="52"/>
      <c r="F1817" s="5">
        <f t="shared" si="439"/>
        <v>0</v>
      </c>
      <c r="H1817" s="6" t="s">
        <v>3</v>
      </c>
      <c r="I1817" s="31"/>
      <c r="J1817" s="32"/>
      <c r="K1817" s="31"/>
      <c r="L1817" s="52"/>
      <c r="M1817" s="5">
        <f t="shared" si="440"/>
        <v>0</v>
      </c>
    </row>
    <row r="1818" spans="1:14" x14ac:dyDescent="0.15">
      <c r="A1818" s="6" t="s">
        <v>3</v>
      </c>
      <c r="B1818" s="31"/>
      <c r="C1818" s="32"/>
      <c r="D1818" s="31"/>
      <c r="E1818" s="52"/>
      <c r="F1818" s="5">
        <f t="shared" si="439"/>
        <v>0</v>
      </c>
      <c r="H1818" s="6" t="s">
        <v>3</v>
      </c>
      <c r="I1818" s="31"/>
      <c r="J1818" s="32"/>
      <c r="K1818" s="31"/>
      <c r="L1818" s="52"/>
      <c r="M1818" s="5">
        <f t="shared" si="440"/>
        <v>0</v>
      </c>
    </row>
    <row r="1819" spans="1:14" x14ac:dyDescent="0.15">
      <c r="A1819" s="6" t="s">
        <v>3</v>
      </c>
      <c r="B1819" s="31"/>
      <c r="C1819" s="32"/>
      <c r="D1819" s="31"/>
      <c r="E1819" s="52"/>
      <c r="F1819" s="5">
        <f t="shared" si="439"/>
        <v>0</v>
      </c>
      <c r="H1819" s="6" t="s">
        <v>3</v>
      </c>
      <c r="I1819" s="34"/>
      <c r="J1819" s="35"/>
      <c r="K1819" s="34"/>
      <c r="L1819" s="32"/>
      <c r="M1819" s="5">
        <f t="shared" si="440"/>
        <v>0</v>
      </c>
    </row>
    <row r="1820" spans="1:14" ht="14.25" thickBot="1" x14ac:dyDescent="0.2">
      <c r="A1820" s="6" t="s">
        <v>3</v>
      </c>
      <c r="B1820" s="13"/>
      <c r="C1820" s="12"/>
      <c r="D1820" s="13"/>
      <c r="E1820" s="50"/>
      <c r="F1820" s="5">
        <f t="shared" si="439"/>
        <v>0</v>
      </c>
      <c r="H1820" s="6" t="s">
        <v>3</v>
      </c>
      <c r="I1820" s="34"/>
      <c r="J1820" s="35"/>
      <c r="K1820" s="34"/>
      <c r="L1820" s="32"/>
      <c r="M1820" s="5">
        <f t="shared" ref="M1820" si="443">SUM(I1820:L1820)</f>
        <v>0</v>
      </c>
    </row>
    <row r="1821" spans="1:14" ht="14.25" thickBot="1" x14ac:dyDescent="0.2">
      <c r="A1821" s="21" t="s">
        <v>4</v>
      </c>
      <c r="B1821" s="22">
        <f>SUM(B1810:B1820)</f>
        <v>17</v>
      </c>
      <c r="C1821" s="22">
        <f>SUM(C1810:C1820)</f>
        <v>16</v>
      </c>
      <c r="D1821" s="23">
        <f>SUM(D1810:D1820)</f>
        <v>9</v>
      </c>
      <c r="E1821" s="23">
        <f>SUM(E1810:E1820)</f>
        <v>14</v>
      </c>
      <c r="F1821" s="24">
        <f>SUM(B1821:E1821)</f>
        <v>56</v>
      </c>
      <c r="H1821" s="21" t="s">
        <v>4</v>
      </c>
      <c r="I1821" s="22">
        <f>SUM(I1810:I1820)</f>
        <v>83</v>
      </c>
      <c r="J1821" s="22">
        <f>SUM(J1810:J1820)</f>
        <v>15</v>
      </c>
      <c r="K1821" s="23">
        <f>SUM(K1810:K1820)</f>
        <v>126</v>
      </c>
      <c r="L1821" s="23">
        <f>SUM(L1810:L1820)</f>
        <v>213</v>
      </c>
      <c r="M1821" s="24">
        <f>SUM(I1821:L1821)</f>
        <v>437</v>
      </c>
    </row>
    <row r="1822" spans="1:14" x14ac:dyDescent="0.15">
      <c r="A1822" s="4" t="s">
        <v>296</v>
      </c>
      <c r="B1822" s="8">
        <v>2</v>
      </c>
      <c r="C1822" s="9"/>
      <c r="D1822" s="10"/>
      <c r="E1822" s="9">
        <v>1</v>
      </c>
      <c r="F1822" s="5">
        <f t="shared" ref="F1822:F1823" si="444">SUM(B1822:E1822)</f>
        <v>3</v>
      </c>
      <c r="G1822" s="39">
        <v>46097</v>
      </c>
      <c r="H1822" s="4" t="s">
        <v>782</v>
      </c>
      <c r="I1822" s="8">
        <v>2</v>
      </c>
      <c r="J1822" s="9"/>
      <c r="K1822" s="10"/>
      <c r="L1822" s="9"/>
      <c r="M1822" s="7">
        <f t="shared" ref="M1822:M1842" si="445">SUM(I1822:L1822)</f>
        <v>2</v>
      </c>
      <c r="N1822" s="39">
        <v>46087</v>
      </c>
    </row>
    <row r="1823" spans="1:14" x14ac:dyDescent="0.15">
      <c r="A1823" s="4" t="s">
        <v>34</v>
      </c>
      <c r="B1823" s="8">
        <v>2</v>
      </c>
      <c r="C1823" s="9"/>
      <c r="D1823" s="10">
        <v>1</v>
      </c>
      <c r="E1823" s="9"/>
      <c r="F1823" s="5">
        <f t="shared" si="444"/>
        <v>3</v>
      </c>
      <c r="G1823" s="39">
        <v>46104</v>
      </c>
      <c r="H1823" s="4" t="s">
        <v>787</v>
      </c>
      <c r="I1823" s="8">
        <v>4</v>
      </c>
      <c r="J1823" s="9"/>
      <c r="K1823" s="10"/>
      <c r="L1823" s="9"/>
      <c r="M1823" s="7">
        <f t="shared" si="445"/>
        <v>4</v>
      </c>
      <c r="N1823" s="39">
        <v>46094</v>
      </c>
    </row>
    <row r="1824" spans="1:14" x14ac:dyDescent="0.15">
      <c r="A1824" s="4" t="s">
        <v>34</v>
      </c>
      <c r="B1824" s="8">
        <v>1</v>
      </c>
      <c r="C1824" s="9"/>
      <c r="D1824" s="10"/>
      <c r="E1824" s="9"/>
      <c r="F1824" s="5">
        <f t="shared" ref="F1824:F1844" si="446">SUM(B1824:E1824)</f>
        <v>1</v>
      </c>
      <c r="G1824" s="39">
        <v>46107</v>
      </c>
      <c r="H1824" s="4" t="s">
        <v>788</v>
      </c>
      <c r="I1824" s="8">
        <v>6</v>
      </c>
      <c r="J1824" s="9"/>
      <c r="K1824" s="10"/>
      <c r="L1824" s="9"/>
      <c r="M1824" s="7">
        <f t="shared" si="445"/>
        <v>6</v>
      </c>
      <c r="N1824" s="39">
        <v>46098</v>
      </c>
    </row>
    <row r="1825" spans="1:14" x14ac:dyDescent="0.15">
      <c r="A1825" s="4" t="s">
        <v>34</v>
      </c>
      <c r="B1825" s="8"/>
      <c r="C1825" s="9"/>
      <c r="D1825" s="10"/>
      <c r="E1825" s="9">
        <v>1</v>
      </c>
      <c r="F1825" s="5">
        <f t="shared" si="446"/>
        <v>1</v>
      </c>
      <c r="G1825" s="39">
        <v>46108</v>
      </c>
      <c r="H1825" s="4" t="s">
        <v>763</v>
      </c>
      <c r="I1825" s="8">
        <v>3</v>
      </c>
      <c r="J1825" s="9"/>
      <c r="K1825" s="10"/>
      <c r="L1825" s="9"/>
      <c r="M1825" s="7">
        <f t="shared" si="445"/>
        <v>3</v>
      </c>
      <c r="N1825" s="39">
        <v>46099</v>
      </c>
    </row>
    <row r="1826" spans="1:14" x14ac:dyDescent="0.15">
      <c r="A1826" s="4" t="s">
        <v>34</v>
      </c>
      <c r="B1826" s="8">
        <v>1</v>
      </c>
      <c r="C1826" s="9"/>
      <c r="D1826" s="10"/>
      <c r="E1826" s="9"/>
      <c r="F1826" s="5">
        <f t="shared" si="446"/>
        <v>1</v>
      </c>
      <c r="G1826" s="39">
        <v>46111</v>
      </c>
      <c r="H1826" s="4" t="s">
        <v>789</v>
      </c>
      <c r="I1826" s="8"/>
      <c r="J1826" s="9">
        <v>2</v>
      </c>
      <c r="K1826" s="10">
        <v>12</v>
      </c>
      <c r="L1826" s="9"/>
      <c r="M1826" s="7">
        <f t="shared" si="445"/>
        <v>14</v>
      </c>
      <c r="N1826" s="39">
        <v>46104</v>
      </c>
    </row>
    <row r="1827" spans="1:14" x14ac:dyDescent="0.15">
      <c r="A1827" s="4" t="s">
        <v>296</v>
      </c>
      <c r="B1827" s="8">
        <v>2</v>
      </c>
      <c r="C1827" s="9">
        <v>2</v>
      </c>
      <c r="D1827" s="10"/>
      <c r="E1827" s="9"/>
      <c r="F1827" s="5">
        <f t="shared" si="446"/>
        <v>4</v>
      </c>
      <c r="G1827" s="39">
        <v>46114</v>
      </c>
      <c r="H1827" s="4" t="s">
        <v>763</v>
      </c>
      <c r="I1827" s="8">
        <v>5</v>
      </c>
      <c r="J1827" s="9"/>
      <c r="K1827" s="10"/>
      <c r="L1827" s="9"/>
      <c r="M1827" s="7"/>
      <c r="N1827" s="39">
        <v>46108</v>
      </c>
    </row>
    <row r="1828" spans="1:14" x14ac:dyDescent="0.15">
      <c r="A1828" s="4" t="s">
        <v>34</v>
      </c>
      <c r="B1828" s="8">
        <v>1</v>
      </c>
      <c r="C1828" s="9"/>
      <c r="D1828" s="10"/>
      <c r="E1828" s="9">
        <v>1</v>
      </c>
      <c r="F1828" s="5">
        <f t="shared" si="446"/>
        <v>2</v>
      </c>
      <c r="G1828" s="39">
        <v>46112</v>
      </c>
      <c r="H1828" s="4" t="s">
        <v>790</v>
      </c>
      <c r="I1828" s="8">
        <v>10</v>
      </c>
      <c r="J1828" s="9"/>
      <c r="K1828" s="10"/>
      <c r="L1828" s="9"/>
      <c r="M1828" s="7"/>
      <c r="N1828" s="39">
        <v>46115</v>
      </c>
    </row>
    <row r="1829" spans="1:14" x14ac:dyDescent="0.15">
      <c r="A1829" s="4" t="s">
        <v>34</v>
      </c>
      <c r="B1829" s="8"/>
      <c r="C1829" s="9">
        <v>1</v>
      </c>
      <c r="D1829" s="10"/>
      <c r="E1829" s="9"/>
      <c r="F1829" s="5">
        <f t="shared" ref="F1829" si="447">SUM(B1829:E1829)</f>
        <v>1</v>
      </c>
      <c r="G1829" s="39">
        <v>46114</v>
      </c>
      <c r="H1829" s="4" t="s">
        <v>791</v>
      </c>
      <c r="I1829" s="8">
        <v>8</v>
      </c>
      <c r="J1829" s="9"/>
      <c r="K1829" s="10"/>
      <c r="L1829" s="9"/>
      <c r="M1829" s="7">
        <f t="shared" si="445"/>
        <v>8</v>
      </c>
      <c r="N1829" s="39">
        <v>46120</v>
      </c>
    </row>
    <row r="1830" spans="1:14" x14ac:dyDescent="0.15">
      <c r="A1830" s="4" t="s">
        <v>296</v>
      </c>
      <c r="B1830" s="8"/>
      <c r="C1830" s="9">
        <v>2</v>
      </c>
      <c r="D1830" s="10"/>
      <c r="E1830" s="9"/>
      <c r="F1830" s="5">
        <f t="shared" si="446"/>
        <v>2</v>
      </c>
      <c r="G1830" s="39">
        <v>46118</v>
      </c>
      <c r="H1830" s="4" t="s">
        <v>763</v>
      </c>
      <c r="I1830" s="8"/>
      <c r="J1830" s="9"/>
      <c r="K1830" s="10"/>
      <c r="L1830" s="9">
        <v>7</v>
      </c>
      <c r="M1830" s="7">
        <f t="shared" si="445"/>
        <v>7</v>
      </c>
      <c r="N1830" s="39">
        <v>46115</v>
      </c>
    </row>
    <row r="1831" spans="1:14" x14ac:dyDescent="0.15">
      <c r="A1831" s="4" t="s">
        <v>793</v>
      </c>
      <c r="B1831" s="8"/>
      <c r="C1831" s="9">
        <v>4</v>
      </c>
      <c r="D1831" s="10"/>
      <c r="E1831" s="9"/>
      <c r="F1831" s="5">
        <f t="shared" si="446"/>
        <v>4</v>
      </c>
      <c r="G1831" s="39">
        <v>46122</v>
      </c>
      <c r="H1831" s="4" t="s">
        <v>792</v>
      </c>
      <c r="I1831" s="8"/>
      <c r="J1831" s="9"/>
      <c r="K1831" s="10"/>
      <c r="L1831" s="9">
        <v>8</v>
      </c>
      <c r="M1831" s="7">
        <f t="shared" si="445"/>
        <v>8</v>
      </c>
      <c r="N1831" s="39">
        <v>46120</v>
      </c>
    </row>
    <row r="1832" spans="1:14" x14ac:dyDescent="0.15">
      <c r="A1832" s="4" t="s">
        <v>296</v>
      </c>
      <c r="B1832" s="8">
        <v>6</v>
      </c>
      <c r="C1832" s="9">
        <v>6</v>
      </c>
      <c r="D1832" s="10">
        <v>2</v>
      </c>
      <c r="E1832" s="9">
        <v>8</v>
      </c>
      <c r="F1832" s="5">
        <f t="shared" si="446"/>
        <v>22</v>
      </c>
      <c r="G1832" s="39">
        <v>46122</v>
      </c>
      <c r="H1832" s="151" t="s">
        <v>763</v>
      </c>
      <c r="I1832" s="152">
        <v>5</v>
      </c>
      <c r="J1832" s="153">
        <v>7</v>
      </c>
      <c r="K1832" s="154">
        <v>5</v>
      </c>
      <c r="L1832" s="153">
        <v>3</v>
      </c>
      <c r="M1832" s="155">
        <f t="shared" si="445"/>
        <v>20</v>
      </c>
      <c r="N1832" s="85">
        <v>46119</v>
      </c>
    </row>
    <row r="1833" spans="1:14" x14ac:dyDescent="0.15">
      <c r="A1833" s="4" t="s">
        <v>795</v>
      </c>
      <c r="B1833" s="8"/>
      <c r="C1833" s="9"/>
      <c r="D1833" s="10">
        <v>2</v>
      </c>
      <c r="E1833" s="9"/>
      <c r="F1833" s="5">
        <f t="shared" si="446"/>
        <v>2</v>
      </c>
      <c r="G1833" s="39">
        <v>46122</v>
      </c>
      <c r="H1833" s="4" t="s">
        <v>200</v>
      </c>
      <c r="I1833" s="8">
        <v>2</v>
      </c>
      <c r="J1833" s="9"/>
      <c r="K1833" s="10"/>
      <c r="L1833" s="9"/>
      <c r="M1833" s="7">
        <f t="shared" si="445"/>
        <v>2</v>
      </c>
      <c r="N1833" s="39">
        <v>46125</v>
      </c>
    </row>
    <row r="1834" spans="1:14" x14ac:dyDescent="0.15">
      <c r="A1834" s="4" t="s">
        <v>34</v>
      </c>
      <c r="B1834" s="8"/>
      <c r="C1834" s="9"/>
      <c r="D1834" s="10">
        <v>1</v>
      </c>
      <c r="E1834" s="9"/>
      <c r="F1834" s="5">
        <f t="shared" si="446"/>
        <v>1</v>
      </c>
      <c r="G1834" s="39">
        <v>46125</v>
      </c>
      <c r="H1834" s="4" t="s">
        <v>200</v>
      </c>
      <c r="I1834" s="8">
        <v>2</v>
      </c>
      <c r="J1834" s="9"/>
      <c r="K1834" s="10"/>
      <c r="L1834" s="9"/>
      <c r="M1834" s="7">
        <f t="shared" si="445"/>
        <v>2</v>
      </c>
      <c r="N1834" s="39">
        <v>46127</v>
      </c>
    </row>
    <row r="1835" spans="1:14" x14ac:dyDescent="0.15">
      <c r="A1835" s="4"/>
      <c r="B1835" s="8"/>
      <c r="C1835" s="9"/>
      <c r="D1835" s="10"/>
      <c r="E1835" s="9"/>
      <c r="F1835" s="5">
        <f t="shared" si="446"/>
        <v>0</v>
      </c>
      <c r="G1835" s="39"/>
      <c r="H1835" s="4" t="s">
        <v>200</v>
      </c>
      <c r="I1835" s="8">
        <v>2</v>
      </c>
      <c r="J1835" s="9"/>
      <c r="K1835" s="10">
        <v>4</v>
      </c>
      <c r="L1835" s="9"/>
      <c r="M1835" s="7">
        <f t="shared" si="445"/>
        <v>6</v>
      </c>
      <c r="N1835" s="39">
        <v>46128</v>
      </c>
    </row>
    <row r="1836" spans="1:14" x14ac:dyDescent="0.15">
      <c r="A1836" s="4"/>
      <c r="B1836" s="8"/>
      <c r="C1836" s="9"/>
      <c r="D1836" s="10"/>
      <c r="E1836" s="9"/>
      <c r="F1836" s="5">
        <f t="shared" si="446"/>
        <v>0</v>
      </c>
      <c r="G1836" s="41"/>
      <c r="H1836" s="4" t="s">
        <v>200</v>
      </c>
      <c r="I1836" s="8">
        <v>2</v>
      </c>
      <c r="J1836" s="9"/>
      <c r="K1836" s="10"/>
      <c r="L1836" s="9"/>
      <c r="M1836" s="7">
        <f t="shared" si="445"/>
        <v>2</v>
      </c>
      <c r="N1836" s="39">
        <v>46129</v>
      </c>
    </row>
    <row r="1837" spans="1:14" x14ac:dyDescent="0.15">
      <c r="A1837" s="4"/>
      <c r="B1837" s="8"/>
      <c r="C1837" s="9"/>
      <c r="D1837" s="10"/>
      <c r="E1837" s="9"/>
      <c r="F1837" s="5">
        <f t="shared" si="446"/>
        <v>0</v>
      </c>
      <c r="G1837" s="41"/>
      <c r="H1837" s="4"/>
      <c r="I1837" s="8"/>
      <c r="J1837" s="9"/>
      <c r="K1837" s="10"/>
      <c r="L1837" s="9"/>
      <c r="M1837" s="7">
        <f t="shared" si="445"/>
        <v>0</v>
      </c>
      <c r="N1837" s="41"/>
    </row>
    <row r="1838" spans="1:14" x14ac:dyDescent="0.15">
      <c r="A1838" s="4"/>
      <c r="B1838" s="8"/>
      <c r="C1838" s="9"/>
      <c r="D1838" s="10"/>
      <c r="E1838" s="9"/>
      <c r="F1838" s="5">
        <f t="shared" si="446"/>
        <v>0</v>
      </c>
      <c r="G1838" s="41"/>
      <c r="H1838" s="4"/>
      <c r="I1838" s="8"/>
      <c r="J1838" s="9"/>
      <c r="K1838" s="10"/>
      <c r="L1838" s="9"/>
      <c r="M1838" s="7">
        <f t="shared" si="445"/>
        <v>0</v>
      </c>
    </row>
    <row r="1839" spans="1:14" x14ac:dyDescent="0.15">
      <c r="A1839" s="4"/>
      <c r="B1839" s="8"/>
      <c r="C1839" s="9"/>
      <c r="D1839" s="10"/>
      <c r="E1839" s="9"/>
      <c r="F1839" s="5">
        <f t="shared" si="446"/>
        <v>0</v>
      </c>
      <c r="G1839" s="41"/>
      <c r="H1839" s="4"/>
      <c r="I1839" s="8"/>
      <c r="J1839" s="9"/>
      <c r="K1839" s="10"/>
      <c r="L1839" s="9"/>
      <c r="M1839" s="7">
        <f t="shared" si="445"/>
        <v>0</v>
      </c>
    </row>
    <row r="1840" spans="1:14" x14ac:dyDescent="0.15">
      <c r="A1840" s="4"/>
      <c r="B1840" s="8"/>
      <c r="C1840" s="9"/>
      <c r="D1840" s="10"/>
      <c r="E1840" s="9"/>
      <c r="F1840" s="5">
        <f t="shared" si="446"/>
        <v>0</v>
      </c>
      <c r="G1840" s="41"/>
      <c r="H1840" s="4"/>
      <c r="I1840" s="8"/>
      <c r="J1840" s="9"/>
      <c r="K1840" s="10"/>
      <c r="L1840" s="9"/>
      <c r="M1840" s="7">
        <f t="shared" si="445"/>
        <v>0</v>
      </c>
    </row>
    <row r="1841" spans="1:14" x14ac:dyDescent="0.15">
      <c r="A1841" s="4"/>
      <c r="B1841" s="8"/>
      <c r="C1841" s="9"/>
      <c r="D1841" s="10"/>
      <c r="E1841" s="9"/>
      <c r="F1841" s="5">
        <f t="shared" si="446"/>
        <v>0</v>
      </c>
      <c r="G1841" s="41"/>
      <c r="H1841" s="4"/>
      <c r="I1841" s="8"/>
      <c r="J1841" s="9"/>
      <c r="K1841" s="10"/>
      <c r="L1841" s="9"/>
      <c r="M1841" s="7">
        <f t="shared" si="445"/>
        <v>0</v>
      </c>
    </row>
    <row r="1842" spans="1:14" x14ac:dyDescent="0.15">
      <c r="A1842" s="4"/>
      <c r="B1842" s="8"/>
      <c r="C1842" s="9"/>
      <c r="D1842" s="10"/>
      <c r="E1842" s="9"/>
      <c r="F1842" s="5">
        <f t="shared" si="446"/>
        <v>0</v>
      </c>
      <c r="G1842" s="41"/>
      <c r="H1842" s="4"/>
      <c r="I1842" s="8"/>
      <c r="J1842" s="9"/>
      <c r="K1842" s="10"/>
      <c r="L1842" s="9"/>
      <c r="M1842" s="7">
        <f t="shared" si="445"/>
        <v>0</v>
      </c>
    </row>
    <row r="1843" spans="1:14" x14ac:dyDescent="0.15">
      <c r="A1843" s="4"/>
      <c r="B1843" s="8"/>
      <c r="C1843" s="9"/>
      <c r="D1843" s="10"/>
      <c r="E1843" s="9"/>
      <c r="F1843" s="5">
        <f t="shared" si="446"/>
        <v>0</v>
      </c>
      <c r="G1843" s="41"/>
      <c r="H1843" s="4"/>
      <c r="I1843" s="8"/>
      <c r="J1843" s="9"/>
      <c r="K1843" s="10"/>
      <c r="L1843" s="9"/>
      <c r="M1843" s="7">
        <f t="shared" ref="M1843:M1844" si="448">SUM(I1843:L1843)</f>
        <v>0</v>
      </c>
    </row>
    <row r="1844" spans="1:14" x14ac:dyDescent="0.15">
      <c r="A1844" s="4"/>
      <c r="B1844" s="8"/>
      <c r="C1844" s="9"/>
      <c r="D1844" s="10"/>
      <c r="E1844" s="9"/>
      <c r="F1844" s="5">
        <f t="shared" si="446"/>
        <v>0</v>
      </c>
      <c r="G1844" s="41"/>
      <c r="H1844" s="4"/>
      <c r="I1844" s="8"/>
      <c r="J1844" s="9"/>
      <c r="K1844" s="10"/>
      <c r="L1844" s="9"/>
      <c r="M1844" s="7">
        <f t="shared" si="448"/>
        <v>0</v>
      </c>
    </row>
    <row r="1845" spans="1:14" ht="14.25" thickBot="1" x14ac:dyDescent="0.2">
      <c r="A1845" s="4"/>
      <c r="B1845" s="8"/>
      <c r="C1845" s="9"/>
      <c r="D1845" s="10"/>
      <c r="E1845" s="9"/>
      <c r="F1845" s="5">
        <f t="shared" ref="F1845" si="449">SUM(B1845:E1845)</f>
        <v>0</v>
      </c>
      <c r="G1845" s="41"/>
      <c r="H1845" s="4"/>
      <c r="I1845" s="8"/>
      <c r="J1845" s="9"/>
      <c r="K1845" s="10"/>
      <c r="L1845" s="9"/>
      <c r="M1845" s="7">
        <f t="shared" ref="M1845" si="450">SUM(I1845:L1845)</f>
        <v>0</v>
      </c>
    </row>
    <row r="1846" spans="1:14" ht="14.25" thickBot="1" x14ac:dyDescent="0.2">
      <c r="A1846" s="3" t="s">
        <v>5</v>
      </c>
      <c r="B1846" s="14">
        <f>SUM(B1822:B1845)</f>
        <v>15</v>
      </c>
      <c r="C1846" s="14">
        <f>SUM(C1822:C1845)</f>
        <v>15</v>
      </c>
      <c r="D1846" s="14">
        <f>SUM(D1822:D1845)</f>
        <v>6</v>
      </c>
      <c r="E1846" s="14">
        <f>SUM(E1822:E1845)</f>
        <v>11</v>
      </c>
      <c r="F1846" s="15">
        <f>SUM(B1846:E1846)</f>
        <v>47</v>
      </c>
      <c r="H1846" s="3" t="s">
        <v>5</v>
      </c>
      <c r="I1846" s="14">
        <f>SUM(I1822:I1845)</f>
        <v>51</v>
      </c>
      <c r="J1846" s="14">
        <f>SUM(J1822:J1845)</f>
        <v>9</v>
      </c>
      <c r="K1846" s="14">
        <f>SUM(K1822:K1845)</f>
        <v>21</v>
      </c>
      <c r="L1846" s="14">
        <f>SUM(L1822:L1845)</f>
        <v>18</v>
      </c>
      <c r="M1846" s="15">
        <f>SUM(I1846:L1846)</f>
        <v>99</v>
      </c>
    </row>
    <row r="1847" spans="1:14" ht="14.25" thickBot="1" x14ac:dyDescent="0.2">
      <c r="A1847" s="25" t="s">
        <v>6</v>
      </c>
      <c r="B1847" s="26">
        <f>B1821-B1846</f>
        <v>2</v>
      </c>
      <c r="C1847" s="26">
        <f t="shared" ref="C1847:F1847" si="451">C1821-C1846</f>
        <v>1</v>
      </c>
      <c r="D1847" s="26">
        <f t="shared" si="451"/>
        <v>3</v>
      </c>
      <c r="E1847" s="26">
        <f t="shared" si="451"/>
        <v>3</v>
      </c>
      <c r="F1847" s="24">
        <f t="shared" si="451"/>
        <v>9</v>
      </c>
      <c r="H1847" s="25" t="s">
        <v>6</v>
      </c>
      <c r="I1847" s="26">
        <f>I1821-I1846</f>
        <v>32</v>
      </c>
      <c r="J1847" s="26">
        <f t="shared" ref="J1847:M1847" si="452">J1821-J1846</f>
        <v>6</v>
      </c>
      <c r="K1847" s="26">
        <f t="shared" si="452"/>
        <v>105</v>
      </c>
      <c r="L1847" s="26">
        <f t="shared" si="452"/>
        <v>195</v>
      </c>
      <c r="M1847" s="24">
        <f t="shared" si="452"/>
        <v>338</v>
      </c>
    </row>
    <row r="1848" spans="1:14" x14ac:dyDescent="0.15">
      <c r="H1848" s="161" t="s">
        <v>766</v>
      </c>
      <c r="I1848" s="72">
        <f>I1847/$M$1847*100</f>
        <v>9.4674556213017755</v>
      </c>
      <c r="J1848" s="72">
        <f t="shared" ref="J1848:M1848" si="453">J1847/$M$1847*100</f>
        <v>1.7751479289940828</v>
      </c>
      <c r="K1848" s="72">
        <f t="shared" si="453"/>
        <v>31.065088757396449</v>
      </c>
      <c r="L1848" s="72">
        <f t="shared" si="453"/>
        <v>57.692307692307686</v>
      </c>
      <c r="M1848" s="72">
        <f t="shared" si="453"/>
        <v>100</v>
      </c>
    </row>
    <row r="1849" spans="1:14" x14ac:dyDescent="0.15">
      <c r="H1849" s="160" t="s">
        <v>765</v>
      </c>
      <c r="I1849" s="128">
        <v>29.7</v>
      </c>
      <c r="J1849" s="128">
        <v>38.799999999999997</v>
      </c>
      <c r="K1849" s="128">
        <v>21.4</v>
      </c>
      <c r="L1849" s="128">
        <v>10.1</v>
      </c>
      <c r="M1849" s="100">
        <f>SUM(I1849:L1849)</f>
        <v>100</v>
      </c>
    </row>
    <row r="1850" spans="1:14" ht="21.75" thickBot="1" x14ac:dyDescent="0.25">
      <c r="A1850" s="29" t="s">
        <v>13</v>
      </c>
      <c r="B1850" s="1"/>
      <c r="C1850" s="1"/>
      <c r="D1850" s="1"/>
      <c r="E1850" s="1"/>
      <c r="F1850" s="1"/>
      <c r="H1850" s="29" t="s">
        <v>14</v>
      </c>
      <c r="I1850" s="1"/>
      <c r="J1850" s="1"/>
      <c r="K1850" s="1"/>
      <c r="L1850" s="1"/>
      <c r="M1850" s="1"/>
    </row>
    <row r="1851" spans="1:14" ht="14.25" thickBot="1" x14ac:dyDescent="0.2">
      <c r="A1851" s="2" t="s">
        <v>0</v>
      </c>
      <c r="B1851" s="164" t="s">
        <v>12</v>
      </c>
      <c r="C1851" s="165"/>
      <c r="D1851" s="165"/>
      <c r="E1851" s="165"/>
      <c r="F1851" s="117"/>
      <c r="H1851" s="2" t="s">
        <v>0</v>
      </c>
      <c r="I1851" s="164" t="s">
        <v>12</v>
      </c>
      <c r="J1851" s="165"/>
      <c r="K1851" s="165"/>
      <c r="L1851" s="165"/>
      <c r="M1851" s="117"/>
    </row>
    <row r="1852" spans="1:14" ht="14.25" thickBot="1" x14ac:dyDescent="0.2">
      <c r="A1852" s="2" t="s">
        <v>1</v>
      </c>
      <c r="B1852" s="3" t="s">
        <v>489</v>
      </c>
      <c r="C1852" s="2" t="s">
        <v>490</v>
      </c>
      <c r="D1852" s="19" t="s">
        <v>491</v>
      </c>
      <c r="E1852" s="2" t="s">
        <v>492</v>
      </c>
      <c r="F1852" s="2" t="s">
        <v>2</v>
      </c>
      <c r="H1852" s="2" t="s">
        <v>1</v>
      </c>
      <c r="I1852" s="3" t="s">
        <v>489</v>
      </c>
      <c r="J1852" s="2" t="s">
        <v>490</v>
      </c>
      <c r="K1852" s="19" t="s">
        <v>491</v>
      </c>
      <c r="L1852" s="2" t="s">
        <v>492</v>
      </c>
      <c r="M1852" s="2" t="s">
        <v>2</v>
      </c>
    </row>
    <row r="1853" spans="1:14" x14ac:dyDescent="0.15">
      <c r="A1853" s="27" t="s">
        <v>6</v>
      </c>
      <c r="B1853" s="18">
        <f>B1847</f>
        <v>2</v>
      </c>
      <c r="C1853" s="20">
        <f>C1847</f>
        <v>1</v>
      </c>
      <c r="D1853" s="55">
        <f>D1847</f>
        <v>3</v>
      </c>
      <c r="E1853" s="20">
        <f>E1847</f>
        <v>3</v>
      </c>
      <c r="F1853" s="17">
        <f>SUM(B1853:E1853)</f>
        <v>9</v>
      </c>
      <c r="H1853" s="27" t="s">
        <v>6</v>
      </c>
      <c r="I1853" s="18">
        <f>I1847</f>
        <v>32</v>
      </c>
      <c r="J1853" s="20">
        <f>J1847</f>
        <v>6</v>
      </c>
      <c r="K1853" s="55">
        <f>K1847</f>
        <v>105</v>
      </c>
      <c r="L1853" s="58">
        <f>L1847</f>
        <v>195</v>
      </c>
      <c r="M1853" s="17">
        <f>SUM(I1853:L1853)</f>
        <v>338</v>
      </c>
    </row>
    <row r="1854" spans="1:14" x14ac:dyDescent="0.15">
      <c r="A1854" s="6" t="s">
        <v>3</v>
      </c>
      <c r="B1854" s="31">
        <v>4</v>
      </c>
      <c r="C1854" s="32">
        <v>10</v>
      </c>
      <c r="D1854" s="31">
        <v>4</v>
      </c>
      <c r="E1854" s="52">
        <v>4</v>
      </c>
      <c r="F1854" s="5">
        <f t="shared" ref="F1854:F1863" si="454">SUM(B1854:E1854)</f>
        <v>22</v>
      </c>
      <c r="G1854" s="39">
        <v>46144</v>
      </c>
      <c r="H1854" s="6" t="s">
        <v>3</v>
      </c>
      <c r="I1854" s="31"/>
      <c r="J1854" s="32"/>
      <c r="K1854" s="31"/>
      <c r="L1854" s="52"/>
      <c r="M1854" s="5">
        <f t="shared" ref="M1854:M1863" si="455">SUM(I1854:L1854)</f>
        <v>0</v>
      </c>
    </row>
    <row r="1855" spans="1:14" x14ac:dyDescent="0.15">
      <c r="A1855" s="145" t="s">
        <v>3</v>
      </c>
      <c r="B1855" s="146">
        <v>3</v>
      </c>
      <c r="C1855" s="147">
        <v>5</v>
      </c>
      <c r="D1855" s="146"/>
      <c r="E1855" s="148"/>
      <c r="F1855" s="149">
        <f t="shared" si="454"/>
        <v>8</v>
      </c>
      <c r="G1855" s="85">
        <v>46156</v>
      </c>
      <c r="H1855" s="6" t="s">
        <v>3</v>
      </c>
      <c r="I1855" s="31"/>
      <c r="J1855" s="32">
        <v>50</v>
      </c>
      <c r="K1855" s="31">
        <v>-30</v>
      </c>
      <c r="L1855" s="52"/>
      <c r="M1855" s="5">
        <f t="shared" si="455"/>
        <v>20</v>
      </c>
      <c r="N1855" s="39" t="s">
        <v>796</v>
      </c>
    </row>
    <row r="1856" spans="1:14" x14ac:dyDescent="0.15">
      <c r="A1856" s="145" t="s">
        <v>3</v>
      </c>
      <c r="B1856" s="146"/>
      <c r="C1856" s="147">
        <v>3</v>
      </c>
      <c r="D1856" s="146"/>
      <c r="E1856" s="148"/>
      <c r="F1856" s="149">
        <f t="shared" si="454"/>
        <v>3</v>
      </c>
      <c r="G1856" s="85">
        <v>46162</v>
      </c>
      <c r="H1856" s="6" t="s">
        <v>315</v>
      </c>
      <c r="I1856" s="31">
        <v>150</v>
      </c>
      <c r="J1856" s="32">
        <v>200</v>
      </c>
      <c r="K1856" s="31">
        <v>100</v>
      </c>
      <c r="L1856" s="52">
        <v>0</v>
      </c>
      <c r="M1856" s="5">
        <f t="shared" si="455"/>
        <v>450</v>
      </c>
      <c r="N1856" s="39" t="s">
        <v>810</v>
      </c>
    </row>
    <row r="1857" spans="1:14" x14ac:dyDescent="0.15">
      <c r="A1857" s="6" t="s">
        <v>45</v>
      </c>
      <c r="B1857" s="31">
        <v>1</v>
      </c>
      <c r="C1857" s="32"/>
      <c r="D1857" s="31"/>
      <c r="E1857" s="52"/>
      <c r="F1857" s="5">
        <f t="shared" si="454"/>
        <v>1</v>
      </c>
      <c r="G1857" s="39">
        <v>46168</v>
      </c>
      <c r="H1857" s="6" t="s">
        <v>3</v>
      </c>
      <c r="I1857" s="31"/>
      <c r="J1857" s="32"/>
      <c r="K1857" s="31"/>
      <c r="L1857" s="52"/>
      <c r="M1857" s="5">
        <f t="shared" ref="M1857" si="456">SUM(I1857:L1857)</f>
        <v>0</v>
      </c>
      <c r="N1857" s="41"/>
    </row>
    <row r="1858" spans="1:14" x14ac:dyDescent="0.15">
      <c r="A1858" s="145" t="s">
        <v>3</v>
      </c>
      <c r="B1858" s="146"/>
      <c r="C1858" s="147"/>
      <c r="D1858" s="146"/>
      <c r="E1858" s="148"/>
      <c r="F1858" s="149">
        <f t="shared" si="454"/>
        <v>0</v>
      </c>
      <c r="G1858" s="85"/>
      <c r="H1858" s="6" t="s">
        <v>3</v>
      </c>
      <c r="I1858" s="31"/>
      <c r="J1858" s="32"/>
      <c r="K1858" s="31"/>
      <c r="L1858" s="52"/>
      <c r="M1858" s="5">
        <f t="shared" si="455"/>
        <v>0</v>
      </c>
    </row>
    <row r="1859" spans="1:14" x14ac:dyDescent="0.15">
      <c r="A1859" s="6" t="s">
        <v>3</v>
      </c>
      <c r="B1859" s="31"/>
      <c r="C1859" s="32"/>
      <c r="D1859" s="31"/>
      <c r="E1859" s="52"/>
      <c r="F1859" s="5">
        <f t="shared" si="454"/>
        <v>0</v>
      </c>
      <c r="G1859" s="41"/>
      <c r="H1859" s="6" t="s">
        <v>3</v>
      </c>
      <c r="I1859" s="31"/>
      <c r="J1859" s="32"/>
      <c r="K1859" s="31"/>
      <c r="L1859" s="52"/>
      <c r="M1859" s="5">
        <f t="shared" si="455"/>
        <v>0</v>
      </c>
    </row>
    <row r="1860" spans="1:14" x14ac:dyDescent="0.15">
      <c r="A1860" s="6" t="s">
        <v>3</v>
      </c>
      <c r="B1860" s="31"/>
      <c r="C1860" s="32"/>
      <c r="D1860" s="31"/>
      <c r="E1860" s="52"/>
      <c r="F1860" s="5">
        <f t="shared" si="454"/>
        <v>0</v>
      </c>
      <c r="H1860" s="6" t="s">
        <v>3</v>
      </c>
      <c r="I1860" s="31"/>
      <c r="J1860" s="32"/>
      <c r="K1860" s="31"/>
      <c r="L1860" s="52"/>
      <c r="M1860" s="5">
        <f t="shared" si="455"/>
        <v>0</v>
      </c>
    </row>
    <row r="1861" spans="1:14" x14ac:dyDescent="0.15">
      <c r="A1861" s="6" t="s">
        <v>3</v>
      </c>
      <c r="B1861" s="31"/>
      <c r="C1861" s="32"/>
      <c r="D1861" s="31"/>
      <c r="E1861" s="52"/>
      <c r="F1861" s="5">
        <f t="shared" si="454"/>
        <v>0</v>
      </c>
      <c r="H1861" s="6" t="s">
        <v>3</v>
      </c>
      <c r="I1861" s="31"/>
      <c r="J1861" s="32"/>
      <c r="K1861" s="31"/>
      <c r="L1861" s="52"/>
      <c r="M1861" s="5">
        <f t="shared" si="455"/>
        <v>0</v>
      </c>
    </row>
    <row r="1862" spans="1:14" x14ac:dyDescent="0.15">
      <c r="A1862" s="6" t="s">
        <v>3</v>
      </c>
      <c r="B1862" s="31"/>
      <c r="C1862" s="32"/>
      <c r="D1862" s="31"/>
      <c r="E1862" s="52"/>
      <c r="F1862" s="5">
        <f t="shared" si="454"/>
        <v>0</v>
      </c>
      <c r="H1862" s="6" t="s">
        <v>3</v>
      </c>
      <c r="I1862" s="34"/>
      <c r="J1862" s="35"/>
      <c r="K1862" s="34"/>
      <c r="L1862" s="32"/>
      <c r="M1862" s="5">
        <f t="shared" si="455"/>
        <v>0</v>
      </c>
    </row>
    <row r="1863" spans="1:14" ht="14.25" thickBot="1" x14ac:dyDescent="0.2">
      <c r="A1863" s="6" t="s">
        <v>3</v>
      </c>
      <c r="B1863" s="13"/>
      <c r="C1863" s="12"/>
      <c r="D1863" s="13"/>
      <c r="E1863" s="50"/>
      <c r="F1863" s="5">
        <f t="shared" si="454"/>
        <v>0</v>
      </c>
      <c r="H1863" s="6" t="s">
        <v>3</v>
      </c>
      <c r="I1863" s="34"/>
      <c r="J1863" s="35"/>
      <c r="K1863" s="34"/>
      <c r="L1863" s="53"/>
      <c r="M1863" s="5">
        <f t="shared" si="455"/>
        <v>0</v>
      </c>
    </row>
    <row r="1864" spans="1:14" ht="14.25" thickBot="1" x14ac:dyDescent="0.2">
      <c r="A1864" s="21" t="s">
        <v>4</v>
      </c>
      <c r="B1864" s="22">
        <f>SUM(B1853:B1863)</f>
        <v>10</v>
      </c>
      <c r="C1864" s="22">
        <f>SUM(C1853:C1863)</f>
        <v>19</v>
      </c>
      <c r="D1864" s="23">
        <f>SUM(D1853:D1863)</f>
        <v>7</v>
      </c>
      <c r="E1864" s="23">
        <f>SUM(E1853:E1863)</f>
        <v>7</v>
      </c>
      <c r="F1864" s="24">
        <f>SUM(B1864:E1864)</f>
        <v>43</v>
      </c>
      <c r="H1864" s="21" t="s">
        <v>4</v>
      </c>
      <c r="I1864" s="22">
        <f>SUM(I1853:I1863)</f>
        <v>182</v>
      </c>
      <c r="J1864" s="22">
        <f>SUM(J1853:J1863)</f>
        <v>256</v>
      </c>
      <c r="K1864" s="23">
        <f>SUM(K1853:K1863)</f>
        <v>175</v>
      </c>
      <c r="L1864" s="23">
        <f>SUM(L1853:L1863)</f>
        <v>195</v>
      </c>
      <c r="M1864" s="24">
        <f>SUM(I1864:L1864)</f>
        <v>808</v>
      </c>
    </row>
    <row r="1865" spans="1:14" x14ac:dyDescent="0.15">
      <c r="A1865" s="4" t="s">
        <v>801</v>
      </c>
      <c r="B1865" s="8"/>
      <c r="C1865" s="9"/>
      <c r="D1865" s="10"/>
      <c r="E1865" s="9">
        <v>1</v>
      </c>
      <c r="F1865" s="5">
        <f t="shared" ref="F1865:F1888" si="457">SUM(B1865:E1865)</f>
        <v>1</v>
      </c>
      <c r="G1865" s="39">
        <v>46143</v>
      </c>
      <c r="H1865" s="101" t="s">
        <v>794</v>
      </c>
      <c r="I1865" s="102"/>
      <c r="J1865" s="103">
        <f>18+2</f>
        <v>20</v>
      </c>
      <c r="K1865" s="104"/>
      <c r="L1865" s="103"/>
      <c r="M1865" s="105">
        <f t="shared" ref="M1865:M1888" si="458">SUM(I1865:L1865)</f>
        <v>20</v>
      </c>
      <c r="N1865" s="162">
        <v>46130</v>
      </c>
    </row>
    <row r="1866" spans="1:14" x14ac:dyDescent="0.15">
      <c r="A1866" s="4" t="s">
        <v>803</v>
      </c>
      <c r="B1866" s="8">
        <v>4</v>
      </c>
      <c r="C1866" s="9">
        <v>8</v>
      </c>
      <c r="D1866" s="10"/>
      <c r="E1866" s="9"/>
      <c r="F1866" s="5">
        <f t="shared" si="457"/>
        <v>12</v>
      </c>
      <c r="G1866" s="39">
        <v>46153</v>
      </c>
      <c r="H1866" s="4" t="s">
        <v>793</v>
      </c>
      <c r="I1866" s="8"/>
      <c r="J1866" s="9">
        <v>10</v>
      </c>
      <c r="K1866" s="10"/>
      <c r="L1866" s="9"/>
      <c r="M1866" s="7">
        <f t="shared" si="458"/>
        <v>10</v>
      </c>
      <c r="N1866" s="39">
        <v>46134</v>
      </c>
    </row>
    <row r="1867" spans="1:14" x14ac:dyDescent="0.15">
      <c r="A1867" s="4" t="s">
        <v>200</v>
      </c>
      <c r="B1867" s="8"/>
      <c r="C1867" s="9"/>
      <c r="D1867" s="10"/>
      <c r="E1867" s="9">
        <v>2</v>
      </c>
      <c r="F1867" s="5">
        <f t="shared" si="457"/>
        <v>2</v>
      </c>
      <c r="G1867" s="39">
        <v>46155</v>
      </c>
      <c r="H1867" s="4" t="s">
        <v>797</v>
      </c>
      <c r="I1867" s="8">
        <v>4</v>
      </c>
      <c r="J1867" s="9"/>
      <c r="K1867" s="10"/>
      <c r="L1867" s="9"/>
      <c r="M1867" s="7">
        <f t="shared" si="458"/>
        <v>4</v>
      </c>
      <c r="N1867" s="39">
        <v>46135</v>
      </c>
    </row>
    <row r="1868" spans="1:14" x14ac:dyDescent="0.15">
      <c r="A1868" s="4" t="s">
        <v>806</v>
      </c>
      <c r="B1868" s="8"/>
      <c r="C1868" s="9">
        <v>2</v>
      </c>
      <c r="D1868" s="10"/>
      <c r="E1868" s="9"/>
      <c r="F1868" s="5">
        <f t="shared" si="457"/>
        <v>2</v>
      </c>
      <c r="G1868" s="39">
        <v>46155</v>
      </c>
      <c r="H1868" s="4" t="s">
        <v>200</v>
      </c>
      <c r="I1868" s="8">
        <v>4</v>
      </c>
      <c r="J1868" s="9"/>
      <c r="K1868" s="10"/>
      <c r="L1868" s="9"/>
      <c r="M1868" s="7">
        <f t="shared" si="458"/>
        <v>4</v>
      </c>
      <c r="N1868" s="39">
        <v>46136</v>
      </c>
    </row>
    <row r="1869" spans="1:14" x14ac:dyDescent="0.15">
      <c r="A1869" s="4" t="s">
        <v>39</v>
      </c>
      <c r="B1869" s="8"/>
      <c r="C1869" s="9">
        <v>1</v>
      </c>
      <c r="D1869" s="10"/>
      <c r="E1869" s="9"/>
      <c r="F1869" s="5">
        <f t="shared" si="457"/>
        <v>1</v>
      </c>
      <c r="G1869" s="39">
        <v>46156</v>
      </c>
      <c r="H1869" s="4" t="s">
        <v>200</v>
      </c>
      <c r="I1869" s="8">
        <v>4</v>
      </c>
      <c r="J1869" s="9">
        <v>6</v>
      </c>
      <c r="K1869" s="10">
        <v>2</v>
      </c>
      <c r="L1869" s="9">
        <v>2</v>
      </c>
      <c r="M1869" s="7">
        <f t="shared" si="458"/>
        <v>14</v>
      </c>
      <c r="N1869" s="39">
        <v>46137</v>
      </c>
    </row>
    <row r="1870" spans="1:14" x14ac:dyDescent="0.15">
      <c r="A1870" s="4" t="s">
        <v>34</v>
      </c>
      <c r="B1870" s="8"/>
      <c r="C1870" s="9">
        <v>1</v>
      </c>
      <c r="D1870" s="10"/>
      <c r="E1870" s="9"/>
      <c r="F1870" s="5">
        <f t="shared" si="457"/>
        <v>1</v>
      </c>
      <c r="G1870" s="39">
        <v>46157</v>
      </c>
      <c r="H1870" s="4" t="s">
        <v>200</v>
      </c>
      <c r="I1870" s="8">
        <v>16</v>
      </c>
      <c r="J1870" s="9">
        <v>2</v>
      </c>
      <c r="K1870" s="10">
        <v>2</v>
      </c>
      <c r="L1870" s="9">
        <v>2</v>
      </c>
      <c r="M1870" s="7">
        <f t="shared" si="458"/>
        <v>22</v>
      </c>
      <c r="N1870" s="39">
        <v>46140</v>
      </c>
    </row>
    <row r="1871" spans="1:14" x14ac:dyDescent="0.15">
      <c r="A1871" s="4" t="s">
        <v>200</v>
      </c>
      <c r="B1871" s="8"/>
      <c r="C1871" s="9">
        <v>2</v>
      </c>
      <c r="D1871" s="10"/>
      <c r="E1871" s="9"/>
      <c r="F1871" s="5">
        <f t="shared" si="457"/>
        <v>2</v>
      </c>
      <c r="G1871" s="39">
        <v>46162</v>
      </c>
      <c r="H1871" s="4" t="s">
        <v>200</v>
      </c>
      <c r="I1871" s="8"/>
      <c r="J1871" s="9">
        <v>4</v>
      </c>
      <c r="K1871" s="10">
        <v>8</v>
      </c>
      <c r="L1871" s="9"/>
      <c r="M1871" s="7">
        <f t="shared" si="458"/>
        <v>12</v>
      </c>
      <c r="N1871" s="39">
        <v>46142</v>
      </c>
    </row>
    <row r="1872" spans="1:14" x14ac:dyDescent="0.15">
      <c r="A1872" s="4" t="s">
        <v>34</v>
      </c>
      <c r="B1872" s="8"/>
      <c r="C1872" s="9"/>
      <c r="D1872" s="10">
        <v>1</v>
      </c>
      <c r="E1872" s="9">
        <v>2</v>
      </c>
      <c r="F1872" s="5">
        <f t="shared" si="457"/>
        <v>3</v>
      </c>
      <c r="G1872" s="39">
        <v>46167</v>
      </c>
      <c r="H1872" s="4" t="s">
        <v>200</v>
      </c>
      <c r="I1872" s="8"/>
      <c r="J1872" s="9">
        <v>4</v>
      </c>
      <c r="K1872" s="10">
        <v>4</v>
      </c>
      <c r="L1872" s="9"/>
      <c r="M1872" s="7">
        <f t="shared" si="458"/>
        <v>8</v>
      </c>
      <c r="N1872" s="39">
        <v>46143</v>
      </c>
    </row>
    <row r="1873" spans="1:14" x14ac:dyDescent="0.15">
      <c r="A1873" s="4" t="s">
        <v>34</v>
      </c>
      <c r="B1873" s="8"/>
      <c r="C1873" s="9"/>
      <c r="D1873" s="10">
        <v>1</v>
      </c>
      <c r="E1873" s="9"/>
      <c r="F1873" s="5">
        <f t="shared" si="457"/>
        <v>1</v>
      </c>
      <c r="G1873" s="39">
        <v>46169</v>
      </c>
      <c r="H1873" s="4" t="s">
        <v>200</v>
      </c>
      <c r="I1873" s="8"/>
      <c r="J1873" s="9"/>
      <c r="K1873" s="10"/>
      <c r="L1873" s="9">
        <v>6</v>
      </c>
      <c r="M1873" s="7">
        <f t="shared" si="458"/>
        <v>6</v>
      </c>
      <c r="N1873" s="39">
        <v>46149</v>
      </c>
    </row>
    <row r="1874" spans="1:14" x14ac:dyDescent="0.15">
      <c r="A1874" s="4" t="s">
        <v>34</v>
      </c>
      <c r="B1874" s="8">
        <v>1</v>
      </c>
      <c r="C1874" s="9"/>
      <c r="D1874" s="10"/>
      <c r="E1874" s="9"/>
      <c r="F1874" s="5">
        <f t="shared" si="457"/>
        <v>1</v>
      </c>
      <c r="G1874" s="39">
        <v>46170</v>
      </c>
      <c r="H1874" s="4" t="s">
        <v>802</v>
      </c>
      <c r="I1874" s="8">
        <v>4</v>
      </c>
      <c r="J1874" s="9">
        <v>10</v>
      </c>
      <c r="K1874" s="10">
        <v>4</v>
      </c>
      <c r="L1874" s="9">
        <v>4</v>
      </c>
      <c r="M1874" s="7">
        <f t="shared" si="458"/>
        <v>22</v>
      </c>
      <c r="N1874" s="39">
        <v>46144</v>
      </c>
    </row>
    <row r="1875" spans="1:14" x14ac:dyDescent="0.15">
      <c r="A1875" s="4"/>
      <c r="B1875" s="8"/>
      <c r="C1875" s="9"/>
      <c r="D1875" s="10"/>
      <c r="E1875" s="9"/>
      <c r="F1875" s="5">
        <f t="shared" si="457"/>
        <v>0</v>
      </c>
      <c r="G1875" s="39"/>
      <c r="H1875" s="4" t="s">
        <v>804</v>
      </c>
      <c r="I1875" s="8"/>
      <c r="J1875" s="9">
        <v>1</v>
      </c>
      <c r="K1875" s="10"/>
      <c r="L1875" s="9"/>
      <c r="M1875" s="7">
        <f t="shared" si="458"/>
        <v>1</v>
      </c>
      <c r="N1875" s="39">
        <v>46156</v>
      </c>
    </row>
    <row r="1876" spans="1:14" x14ac:dyDescent="0.15">
      <c r="A1876" s="4"/>
      <c r="B1876" s="8"/>
      <c r="C1876" s="9"/>
      <c r="D1876" s="10"/>
      <c r="E1876" s="9"/>
      <c r="F1876" s="5">
        <f t="shared" si="457"/>
        <v>0</v>
      </c>
      <c r="G1876" s="39"/>
      <c r="H1876" s="4" t="s">
        <v>805</v>
      </c>
      <c r="I1876" s="8">
        <v>2</v>
      </c>
      <c r="J1876" s="9"/>
      <c r="K1876" s="10"/>
      <c r="L1876" s="9"/>
      <c r="M1876" s="7">
        <f t="shared" si="458"/>
        <v>2</v>
      </c>
      <c r="N1876" s="39">
        <v>46156</v>
      </c>
    </row>
    <row r="1877" spans="1:14" x14ac:dyDescent="0.15">
      <c r="A1877" s="4"/>
      <c r="B1877" s="8"/>
      <c r="C1877" s="9"/>
      <c r="D1877" s="10"/>
      <c r="E1877" s="9"/>
      <c r="F1877" s="5">
        <f t="shared" si="457"/>
        <v>0</v>
      </c>
      <c r="G1877" s="39"/>
      <c r="H1877" s="4" t="s">
        <v>200</v>
      </c>
      <c r="I1877" s="8">
        <v>28</v>
      </c>
      <c r="J1877" s="9">
        <v>18</v>
      </c>
      <c r="K1877" s="10">
        <v>22</v>
      </c>
      <c r="L1877" s="9">
        <v>6</v>
      </c>
      <c r="M1877" s="7">
        <f t="shared" si="458"/>
        <v>74</v>
      </c>
      <c r="N1877" s="39">
        <v>46156</v>
      </c>
    </row>
    <row r="1878" spans="1:14" x14ac:dyDescent="0.15">
      <c r="A1878" s="4"/>
      <c r="B1878" s="8"/>
      <c r="C1878" s="9"/>
      <c r="D1878" s="10"/>
      <c r="E1878" s="9"/>
      <c r="F1878" s="5">
        <f t="shared" si="457"/>
        <v>0</v>
      </c>
      <c r="G1878" s="39"/>
      <c r="H1878" s="4" t="s">
        <v>807</v>
      </c>
      <c r="I1878" s="8"/>
      <c r="J1878" s="9">
        <v>6</v>
      </c>
      <c r="K1878" s="10"/>
      <c r="L1878" s="9"/>
      <c r="M1878" s="7">
        <f t="shared" si="458"/>
        <v>6</v>
      </c>
      <c r="N1878" s="39">
        <v>46160</v>
      </c>
    </row>
    <row r="1879" spans="1:14" x14ac:dyDescent="0.15">
      <c r="A1879" s="4"/>
      <c r="B1879" s="8"/>
      <c r="C1879" s="9"/>
      <c r="D1879" s="10"/>
      <c r="E1879" s="9"/>
      <c r="F1879" s="5">
        <f t="shared" si="457"/>
        <v>0</v>
      </c>
      <c r="G1879" s="41"/>
      <c r="H1879" s="4" t="s">
        <v>200</v>
      </c>
      <c r="I1879" s="8"/>
      <c r="J1879" s="9">
        <v>2</v>
      </c>
      <c r="K1879" s="10"/>
      <c r="L1879" s="9"/>
      <c r="M1879" s="7">
        <f t="shared" si="458"/>
        <v>2</v>
      </c>
      <c r="N1879" s="39">
        <v>46157</v>
      </c>
    </row>
    <row r="1880" spans="1:14" x14ac:dyDescent="0.15">
      <c r="A1880" s="4"/>
      <c r="B1880" s="8"/>
      <c r="C1880" s="9"/>
      <c r="D1880" s="10"/>
      <c r="E1880" s="9"/>
      <c r="F1880" s="5">
        <f t="shared" si="457"/>
        <v>0</v>
      </c>
      <c r="G1880" s="41"/>
      <c r="H1880" s="4" t="s">
        <v>763</v>
      </c>
      <c r="I1880" s="8">
        <v>3</v>
      </c>
      <c r="J1880" s="9">
        <v>5</v>
      </c>
      <c r="K1880" s="10"/>
      <c r="L1880" s="9"/>
      <c r="M1880" s="7">
        <f t="shared" si="458"/>
        <v>8</v>
      </c>
      <c r="N1880" s="39">
        <v>46156</v>
      </c>
    </row>
    <row r="1881" spans="1:14" x14ac:dyDescent="0.15">
      <c r="A1881" s="4"/>
      <c r="B1881" s="8"/>
      <c r="C1881" s="9"/>
      <c r="D1881" s="10"/>
      <c r="E1881" s="9"/>
      <c r="F1881" s="5">
        <f t="shared" si="457"/>
        <v>0</v>
      </c>
      <c r="G1881" s="41"/>
      <c r="H1881" s="4" t="s">
        <v>763</v>
      </c>
      <c r="I1881" s="8"/>
      <c r="J1881" s="9">
        <v>3</v>
      </c>
      <c r="K1881" s="10"/>
      <c r="L1881" s="9"/>
      <c r="M1881" s="7">
        <f t="shared" si="458"/>
        <v>3</v>
      </c>
      <c r="N1881" s="39">
        <v>46162</v>
      </c>
    </row>
    <row r="1882" spans="1:14" x14ac:dyDescent="0.15">
      <c r="A1882" s="4"/>
      <c r="B1882" s="8"/>
      <c r="C1882" s="9"/>
      <c r="D1882" s="10"/>
      <c r="E1882" s="9"/>
      <c r="F1882" s="5">
        <f t="shared" si="457"/>
        <v>0</v>
      </c>
      <c r="G1882" s="41"/>
      <c r="H1882" s="4" t="s">
        <v>811</v>
      </c>
      <c r="I1882" s="8"/>
      <c r="J1882" s="9">
        <v>10</v>
      </c>
      <c r="K1882" s="10"/>
      <c r="L1882" s="9"/>
      <c r="M1882" s="7">
        <f t="shared" si="458"/>
        <v>10</v>
      </c>
      <c r="N1882" s="39">
        <v>46164</v>
      </c>
    </row>
    <row r="1883" spans="1:14" x14ac:dyDescent="0.15">
      <c r="A1883" s="4"/>
      <c r="B1883" s="8"/>
      <c r="C1883" s="9"/>
      <c r="D1883" s="10"/>
      <c r="E1883" s="9"/>
      <c r="F1883" s="5">
        <f t="shared" si="457"/>
        <v>0</v>
      </c>
      <c r="G1883" s="41"/>
      <c r="H1883" s="4" t="s">
        <v>200</v>
      </c>
      <c r="I1883" s="8">
        <v>2</v>
      </c>
      <c r="J1883" s="9">
        <v>4</v>
      </c>
      <c r="K1883" s="10"/>
      <c r="L1883" s="9"/>
      <c r="M1883" s="7">
        <f t="shared" si="458"/>
        <v>6</v>
      </c>
      <c r="N1883" s="39">
        <v>46163</v>
      </c>
    </row>
    <row r="1884" spans="1:14" x14ac:dyDescent="0.15">
      <c r="A1884" s="4"/>
      <c r="B1884" s="8"/>
      <c r="C1884" s="9"/>
      <c r="D1884" s="10"/>
      <c r="E1884" s="9"/>
      <c r="F1884" s="5">
        <f t="shared" si="457"/>
        <v>0</v>
      </c>
      <c r="G1884" s="41"/>
      <c r="H1884" s="4" t="s">
        <v>200</v>
      </c>
      <c r="I1884" s="8"/>
      <c r="J1884" s="9"/>
      <c r="K1884" s="10"/>
      <c r="L1884" s="9">
        <v>2</v>
      </c>
      <c r="M1884" s="7">
        <f t="shared" si="458"/>
        <v>2</v>
      </c>
      <c r="N1884" s="39">
        <v>46164</v>
      </c>
    </row>
    <row r="1885" spans="1:14" x14ac:dyDescent="0.15">
      <c r="A1885" s="4"/>
      <c r="B1885" s="8"/>
      <c r="C1885" s="9"/>
      <c r="D1885" s="10"/>
      <c r="E1885" s="9"/>
      <c r="F1885" s="5">
        <f t="shared" si="457"/>
        <v>0</v>
      </c>
      <c r="G1885" s="41"/>
      <c r="H1885" s="4" t="s">
        <v>784</v>
      </c>
      <c r="I1885" s="8"/>
      <c r="J1885" s="9"/>
      <c r="K1885" s="10"/>
      <c r="L1885" s="9"/>
      <c r="M1885" s="7">
        <f t="shared" ref="M1885:M1886" si="459">SUM(I1885:L1885)</f>
        <v>0</v>
      </c>
      <c r="N1885" s="41" t="s">
        <v>785</v>
      </c>
    </row>
    <row r="1886" spans="1:14" x14ac:dyDescent="0.15">
      <c r="A1886" s="4"/>
      <c r="B1886" s="8"/>
      <c r="C1886" s="9"/>
      <c r="D1886" s="10"/>
      <c r="E1886" s="9"/>
      <c r="F1886" s="5">
        <f t="shared" si="457"/>
        <v>0</v>
      </c>
      <c r="G1886" s="41"/>
      <c r="H1886" s="4" t="s">
        <v>783</v>
      </c>
      <c r="I1886" s="8"/>
      <c r="J1886" s="9"/>
      <c r="K1886" s="10"/>
      <c r="L1886" s="9"/>
      <c r="M1886" s="7">
        <f t="shared" si="459"/>
        <v>0</v>
      </c>
      <c r="N1886" s="41" t="s">
        <v>370</v>
      </c>
    </row>
    <row r="1887" spans="1:14" x14ac:dyDescent="0.15">
      <c r="A1887" s="4"/>
      <c r="B1887" s="8"/>
      <c r="C1887" s="9"/>
      <c r="D1887" s="10"/>
      <c r="E1887" s="9"/>
      <c r="F1887" s="5">
        <f t="shared" si="457"/>
        <v>0</v>
      </c>
      <c r="G1887" s="41"/>
      <c r="H1887" s="4" t="s">
        <v>786</v>
      </c>
      <c r="I1887" s="8"/>
      <c r="J1887" s="9"/>
      <c r="K1887" s="10"/>
      <c r="L1887" s="9"/>
      <c r="M1887" s="7">
        <f t="shared" si="458"/>
        <v>0</v>
      </c>
      <c r="N1887" s="41" t="s">
        <v>697</v>
      </c>
    </row>
    <row r="1888" spans="1:14" ht="14.25" thickBot="1" x14ac:dyDescent="0.2">
      <c r="A1888" s="4"/>
      <c r="B1888" s="8"/>
      <c r="C1888" s="9"/>
      <c r="D1888" s="10"/>
      <c r="E1888" s="9"/>
      <c r="F1888" s="5">
        <f t="shared" si="457"/>
        <v>0</v>
      </c>
      <c r="G1888" s="41"/>
      <c r="H1888" s="4" t="s">
        <v>776</v>
      </c>
      <c r="I1888" s="8"/>
      <c r="J1888" s="9"/>
      <c r="K1888" s="10"/>
      <c r="L1888" s="9"/>
      <c r="M1888" s="7">
        <f t="shared" si="458"/>
        <v>0</v>
      </c>
      <c r="N1888" s="41" t="s">
        <v>163</v>
      </c>
    </row>
    <row r="1889" spans="1:13" ht="14.25" thickBot="1" x14ac:dyDescent="0.2">
      <c r="A1889" s="3" t="s">
        <v>5</v>
      </c>
      <c r="B1889" s="14">
        <f>SUM(B1865:B1888)</f>
        <v>5</v>
      </c>
      <c r="C1889" s="14">
        <f>SUM(C1865:C1888)</f>
        <v>14</v>
      </c>
      <c r="D1889" s="14">
        <f>SUM(D1865:D1888)</f>
        <v>2</v>
      </c>
      <c r="E1889" s="14">
        <f>SUM(E1865:E1888)</f>
        <v>5</v>
      </c>
      <c r="F1889" s="15">
        <f>SUM(B1889:E1889)</f>
        <v>26</v>
      </c>
      <c r="H1889" s="3" t="s">
        <v>5</v>
      </c>
      <c r="I1889" s="14">
        <f>SUM(I1865:I1888)</f>
        <v>67</v>
      </c>
      <c r="J1889" s="14">
        <f>SUM(J1865:J1888)</f>
        <v>105</v>
      </c>
      <c r="K1889" s="14">
        <f>SUM(K1865:K1888)</f>
        <v>42</v>
      </c>
      <c r="L1889" s="14">
        <f>SUM(L1865:L1888)</f>
        <v>22</v>
      </c>
      <c r="M1889" s="15">
        <f>SUM(I1889:L1889)</f>
        <v>236</v>
      </c>
    </row>
    <row r="1890" spans="1:13" ht="14.25" thickBot="1" x14ac:dyDescent="0.2">
      <c r="A1890" s="25" t="s">
        <v>6</v>
      </c>
      <c r="B1890" s="26">
        <f>B1864-B1889</f>
        <v>5</v>
      </c>
      <c r="C1890" s="26">
        <f t="shared" ref="C1890:F1890" si="460">C1864-C1889</f>
        <v>5</v>
      </c>
      <c r="D1890" s="26">
        <f t="shared" si="460"/>
        <v>5</v>
      </c>
      <c r="E1890" s="26">
        <f t="shared" si="460"/>
        <v>2</v>
      </c>
      <c r="F1890" s="24">
        <f t="shared" si="460"/>
        <v>17</v>
      </c>
      <c r="H1890" s="25" t="s">
        <v>6</v>
      </c>
      <c r="I1890" s="26">
        <f>I1864-I1889</f>
        <v>115</v>
      </c>
      <c r="J1890" s="26">
        <f t="shared" ref="J1890:M1890" si="461">J1864-J1889</f>
        <v>151</v>
      </c>
      <c r="K1890" s="26">
        <f t="shared" si="461"/>
        <v>133</v>
      </c>
      <c r="L1890" s="26">
        <f t="shared" si="461"/>
        <v>173</v>
      </c>
      <c r="M1890" s="24">
        <f t="shared" si="461"/>
        <v>572</v>
      </c>
    </row>
    <row r="1891" spans="1:13" x14ac:dyDescent="0.15">
      <c r="H1891" s="161"/>
      <c r="I1891" s="131">
        <f>I1889+I1846+I1803+I1762</f>
        <v>965</v>
      </c>
      <c r="J1891" s="131">
        <f t="shared" ref="J1891:M1891" si="462">J1889+J1846+J1803+J1762</f>
        <v>1216</v>
      </c>
      <c r="K1891" s="131">
        <f t="shared" si="462"/>
        <v>668</v>
      </c>
      <c r="L1891" s="131">
        <f t="shared" si="462"/>
        <v>327</v>
      </c>
      <c r="M1891" s="131">
        <f t="shared" si="462"/>
        <v>3176</v>
      </c>
    </row>
    <row r="1892" spans="1:13" x14ac:dyDescent="0.15">
      <c r="H1892" s="160"/>
      <c r="I1892" s="100">
        <f>I1891/$M$1891*100</f>
        <v>30.384130982367758</v>
      </c>
      <c r="J1892" s="100">
        <f t="shared" ref="J1892:M1892" si="463">J1891/$M$1891*100</f>
        <v>38.287153652392945</v>
      </c>
      <c r="K1892" s="100">
        <f t="shared" si="463"/>
        <v>21.032745591939548</v>
      </c>
      <c r="L1892" s="100">
        <f t="shared" si="463"/>
        <v>10.295969773299749</v>
      </c>
      <c r="M1892" s="100">
        <f t="shared" si="463"/>
        <v>100</v>
      </c>
    </row>
    <row r="1893" spans="1:13" ht="21.75" thickBot="1" x14ac:dyDescent="0.25">
      <c r="A1893" s="29" t="s">
        <v>13</v>
      </c>
      <c r="B1893" s="1"/>
      <c r="C1893" s="1"/>
      <c r="D1893" s="1"/>
      <c r="E1893" s="1"/>
      <c r="F1893" s="1"/>
      <c r="H1893" s="29" t="s">
        <v>14</v>
      </c>
      <c r="I1893" s="1"/>
      <c r="J1893" s="1"/>
      <c r="K1893" s="1"/>
      <c r="L1893" s="1"/>
      <c r="M1893" s="1"/>
    </row>
    <row r="1894" spans="1:13" ht="14.25" thickBot="1" x14ac:dyDescent="0.2">
      <c r="A1894" s="2" t="s">
        <v>0</v>
      </c>
      <c r="B1894" s="164" t="s">
        <v>12</v>
      </c>
      <c r="C1894" s="165"/>
      <c r="D1894" s="165"/>
      <c r="E1894" s="165"/>
      <c r="F1894" s="117"/>
      <c r="H1894" s="2" t="s">
        <v>0</v>
      </c>
      <c r="I1894" s="164" t="s">
        <v>12</v>
      </c>
      <c r="J1894" s="165"/>
      <c r="K1894" s="165"/>
      <c r="L1894" s="165"/>
      <c r="M1894" s="117"/>
    </row>
    <row r="1895" spans="1:13" ht="14.25" thickBot="1" x14ac:dyDescent="0.2">
      <c r="A1895" s="2" t="s">
        <v>1</v>
      </c>
      <c r="B1895" s="3" t="s">
        <v>489</v>
      </c>
      <c r="C1895" s="2" t="s">
        <v>490</v>
      </c>
      <c r="D1895" s="19" t="s">
        <v>491</v>
      </c>
      <c r="E1895" s="2" t="s">
        <v>492</v>
      </c>
      <c r="F1895" s="2" t="s">
        <v>2</v>
      </c>
      <c r="H1895" s="2" t="s">
        <v>1</v>
      </c>
      <c r="I1895" s="3" t="s">
        <v>489</v>
      </c>
      <c r="J1895" s="2" t="s">
        <v>490</v>
      </c>
      <c r="K1895" s="19" t="s">
        <v>491</v>
      </c>
      <c r="L1895" s="2" t="s">
        <v>492</v>
      </c>
      <c r="M1895" s="2" t="s">
        <v>2</v>
      </c>
    </row>
    <row r="1896" spans="1:13" x14ac:dyDescent="0.15">
      <c r="A1896" s="27" t="s">
        <v>6</v>
      </c>
      <c r="B1896" s="18">
        <f>B1890</f>
        <v>5</v>
      </c>
      <c r="C1896" s="20">
        <f>C1890</f>
        <v>5</v>
      </c>
      <c r="D1896" s="55">
        <f>D1890</f>
        <v>5</v>
      </c>
      <c r="E1896" s="20">
        <f>E1890</f>
        <v>2</v>
      </c>
      <c r="F1896" s="17">
        <f>SUM(B1896:E1896)</f>
        <v>17</v>
      </c>
      <c r="H1896" s="27" t="s">
        <v>6</v>
      </c>
      <c r="I1896" s="18">
        <f>I1890</f>
        <v>115</v>
      </c>
      <c r="J1896" s="20">
        <f>J1890</f>
        <v>151</v>
      </c>
      <c r="K1896" s="55">
        <f>K1890</f>
        <v>133</v>
      </c>
      <c r="L1896" s="58">
        <f>L1890</f>
        <v>173</v>
      </c>
      <c r="M1896" s="17">
        <f>SUM(I1896:L1896)</f>
        <v>572</v>
      </c>
    </row>
    <row r="1897" spans="1:13" x14ac:dyDescent="0.15">
      <c r="A1897" s="145" t="s">
        <v>3</v>
      </c>
      <c r="B1897" s="146">
        <v>3</v>
      </c>
      <c r="C1897" s="147"/>
      <c r="D1897" s="146"/>
      <c r="E1897" s="148">
        <v>3</v>
      </c>
      <c r="F1897" s="149">
        <f t="shared" ref="F1897:F1906" si="464">SUM(B1897:E1897)</f>
        <v>6</v>
      </c>
      <c r="G1897" s="85">
        <v>46175</v>
      </c>
      <c r="H1897" s="6" t="s">
        <v>3</v>
      </c>
      <c r="I1897" s="31"/>
      <c r="J1897" s="32"/>
      <c r="K1897" s="31"/>
      <c r="L1897" s="52"/>
      <c r="M1897" s="5">
        <f t="shared" ref="M1897:M1906" si="465">SUM(I1897:L1897)</f>
        <v>0</v>
      </c>
    </row>
    <row r="1898" spans="1:13" x14ac:dyDescent="0.15">
      <c r="A1898" s="145" t="s">
        <v>3</v>
      </c>
      <c r="B1898" s="146">
        <v>5</v>
      </c>
      <c r="C1898" s="147"/>
      <c r="D1898" s="146"/>
      <c r="E1898" s="148"/>
      <c r="F1898" s="149">
        <f t="shared" si="464"/>
        <v>5</v>
      </c>
      <c r="G1898" s="85">
        <v>46183</v>
      </c>
      <c r="H1898" s="6" t="s">
        <v>3</v>
      </c>
      <c r="I1898" s="31"/>
      <c r="J1898" s="32"/>
      <c r="K1898" s="31"/>
      <c r="L1898" s="52"/>
      <c r="M1898" s="5">
        <f t="shared" si="465"/>
        <v>0</v>
      </c>
    </row>
    <row r="1899" spans="1:13" x14ac:dyDescent="0.15">
      <c r="A1899" s="6" t="s">
        <v>3</v>
      </c>
      <c r="B1899" s="31"/>
      <c r="C1899" s="32"/>
      <c r="D1899" s="31"/>
      <c r="E1899" s="52"/>
      <c r="F1899" s="5">
        <f t="shared" si="464"/>
        <v>0</v>
      </c>
      <c r="H1899" s="6" t="s">
        <v>3</v>
      </c>
      <c r="I1899" s="31"/>
      <c r="J1899" s="32"/>
      <c r="K1899" s="31"/>
      <c r="L1899" s="52"/>
      <c r="M1899" s="5">
        <f t="shared" ref="M1899" si="466">SUM(I1899:L1899)</f>
        <v>0</v>
      </c>
    </row>
    <row r="1900" spans="1:13" x14ac:dyDescent="0.15">
      <c r="A1900" s="6" t="s">
        <v>3</v>
      </c>
      <c r="B1900" s="31"/>
      <c r="C1900" s="32"/>
      <c r="D1900" s="31"/>
      <c r="E1900" s="52"/>
      <c r="F1900" s="5">
        <f t="shared" si="464"/>
        <v>0</v>
      </c>
      <c r="H1900" s="6" t="s">
        <v>3</v>
      </c>
      <c r="I1900" s="31"/>
      <c r="J1900" s="32"/>
      <c r="K1900" s="31"/>
      <c r="L1900" s="52"/>
      <c r="M1900" s="5">
        <f t="shared" ref="M1900:M1902" si="467">SUM(I1900:L1900)</f>
        <v>0</v>
      </c>
    </row>
    <row r="1901" spans="1:13" x14ac:dyDescent="0.15">
      <c r="A1901" s="145" t="s">
        <v>3</v>
      </c>
      <c r="B1901" s="146"/>
      <c r="C1901" s="147"/>
      <c r="D1901" s="146"/>
      <c r="E1901" s="148"/>
      <c r="F1901" s="149">
        <f t="shared" si="464"/>
        <v>0</v>
      </c>
      <c r="H1901" s="6" t="s">
        <v>3</v>
      </c>
      <c r="I1901" s="31"/>
      <c r="J1901" s="32"/>
      <c r="K1901" s="31"/>
      <c r="L1901" s="52"/>
      <c r="M1901" s="5">
        <f t="shared" si="467"/>
        <v>0</v>
      </c>
    </row>
    <row r="1902" spans="1:13" x14ac:dyDescent="0.15">
      <c r="A1902" s="6" t="s">
        <v>3</v>
      </c>
      <c r="B1902" s="31"/>
      <c r="C1902" s="32"/>
      <c r="D1902" s="31"/>
      <c r="E1902" s="52"/>
      <c r="F1902" s="5">
        <f t="shared" si="464"/>
        <v>0</v>
      </c>
      <c r="H1902" s="6" t="s">
        <v>3</v>
      </c>
      <c r="I1902" s="31"/>
      <c r="J1902" s="32"/>
      <c r="K1902" s="31"/>
      <c r="L1902" s="52"/>
      <c r="M1902" s="5">
        <f t="shared" si="467"/>
        <v>0</v>
      </c>
    </row>
    <row r="1903" spans="1:13" x14ac:dyDescent="0.15">
      <c r="A1903" s="6" t="s">
        <v>3</v>
      </c>
      <c r="B1903" s="31"/>
      <c r="C1903" s="32"/>
      <c r="D1903" s="31"/>
      <c r="E1903" s="52"/>
      <c r="F1903" s="5">
        <f t="shared" si="464"/>
        <v>0</v>
      </c>
      <c r="H1903" s="6" t="s">
        <v>3</v>
      </c>
      <c r="I1903" s="31"/>
      <c r="J1903" s="32"/>
      <c r="K1903" s="31"/>
      <c r="L1903" s="52"/>
      <c r="M1903" s="5">
        <f t="shared" si="465"/>
        <v>0</v>
      </c>
    </row>
    <row r="1904" spans="1:13" x14ac:dyDescent="0.15">
      <c r="A1904" s="6" t="s">
        <v>3</v>
      </c>
      <c r="B1904" s="31"/>
      <c r="C1904" s="32"/>
      <c r="D1904" s="31"/>
      <c r="E1904" s="52"/>
      <c r="F1904" s="5">
        <f t="shared" si="464"/>
        <v>0</v>
      </c>
      <c r="H1904" s="6" t="s">
        <v>3</v>
      </c>
      <c r="I1904" s="31"/>
      <c r="J1904" s="32"/>
      <c r="K1904" s="31"/>
      <c r="L1904" s="52"/>
      <c r="M1904" s="5">
        <f t="shared" si="465"/>
        <v>0</v>
      </c>
    </row>
    <row r="1905" spans="1:14" x14ac:dyDescent="0.15">
      <c r="A1905" s="6" t="s">
        <v>3</v>
      </c>
      <c r="B1905" s="31"/>
      <c r="C1905" s="32"/>
      <c r="D1905" s="31"/>
      <c r="E1905" s="52"/>
      <c r="F1905" s="5">
        <f t="shared" si="464"/>
        <v>0</v>
      </c>
      <c r="H1905" s="6" t="s">
        <v>3</v>
      </c>
      <c r="I1905" s="34"/>
      <c r="J1905" s="35"/>
      <c r="K1905" s="34"/>
      <c r="L1905" s="32"/>
      <c r="M1905" s="5">
        <f t="shared" si="465"/>
        <v>0</v>
      </c>
    </row>
    <row r="1906" spans="1:14" ht="14.25" thickBot="1" x14ac:dyDescent="0.2">
      <c r="A1906" s="6" t="s">
        <v>3</v>
      </c>
      <c r="B1906" s="13"/>
      <c r="C1906" s="12"/>
      <c r="D1906" s="13"/>
      <c r="E1906" s="50"/>
      <c r="F1906" s="5">
        <f t="shared" si="464"/>
        <v>0</v>
      </c>
      <c r="H1906" s="6" t="s">
        <v>3</v>
      </c>
      <c r="I1906" s="34"/>
      <c r="J1906" s="35"/>
      <c r="K1906" s="34"/>
      <c r="L1906" s="53"/>
      <c r="M1906" s="5">
        <f t="shared" si="465"/>
        <v>0</v>
      </c>
    </row>
    <row r="1907" spans="1:14" ht="14.25" thickBot="1" x14ac:dyDescent="0.2">
      <c r="A1907" s="21" t="s">
        <v>4</v>
      </c>
      <c r="B1907" s="22">
        <f>SUM(B1896:B1906)</f>
        <v>13</v>
      </c>
      <c r="C1907" s="22">
        <f>SUM(C1896:C1906)</f>
        <v>5</v>
      </c>
      <c r="D1907" s="23">
        <f>SUM(D1896:D1906)</f>
        <v>5</v>
      </c>
      <c r="E1907" s="23">
        <f>SUM(E1896:E1906)</f>
        <v>5</v>
      </c>
      <c r="F1907" s="24">
        <f>SUM(B1907:E1907)</f>
        <v>28</v>
      </c>
      <c r="H1907" s="21" t="s">
        <v>4</v>
      </c>
      <c r="I1907" s="22">
        <f>SUM(I1896:I1906)</f>
        <v>115</v>
      </c>
      <c r="J1907" s="22">
        <f>SUM(J1896:J1906)</f>
        <v>151</v>
      </c>
      <c r="K1907" s="23">
        <f>SUM(K1896:K1906)</f>
        <v>133</v>
      </c>
      <c r="L1907" s="23">
        <f>SUM(L1896:L1906)</f>
        <v>173</v>
      </c>
      <c r="M1907" s="24">
        <f>SUM(I1907:L1907)</f>
        <v>572</v>
      </c>
    </row>
    <row r="1908" spans="1:14" x14ac:dyDescent="0.15">
      <c r="A1908" s="4" t="s">
        <v>812</v>
      </c>
      <c r="B1908" s="8">
        <v>1</v>
      </c>
      <c r="C1908" s="9">
        <v>1</v>
      </c>
      <c r="D1908" s="10"/>
      <c r="E1908" s="9"/>
      <c r="F1908" s="5">
        <f t="shared" ref="F1908:F1931" si="468">SUM(B1908:E1908)</f>
        <v>2</v>
      </c>
      <c r="G1908" s="39">
        <v>46175</v>
      </c>
      <c r="H1908" s="4" t="s">
        <v>200</v>
      </c>
      <c r="I1908" s="8">
        <v>2</v>
      </c>
      <c r="J1908" s="9"/>
      <c r="K1908" s="10"/>
      <c r="L1908" s="9"/>
      <c r="M1908" s="7">
        <f t="shared" ref="M1908:M1931" si="469">SUM(I1908:L1908)</f>
        <v>2</v>
      </c>
      <c r="N1908" s="39">
        <v>46169</v>
      </c>
    </row>
    <row r="1909" spans="1:14" x14ac:dyDescent="0.15">
      <c r="A1909" s="4" t="s">
        <v>34</v>
      </c>
      <c r="B1909" s="8">
        <v>2</v>
      </c>
      <c r="C1909" s="9"/>
      <c r="D1909" s="10"/>
      <c r="E1909" s="9"/>
      <c r="F1909" s="5">
        <f t="shared" si="468"/>
        <v>2</v>
      </c>
      <c r="G1909" s="39">
        <v>46174</v>
      </c>
      <c r="H1909" s="4" t="s">
        <v>200</v>
      </c>
      <c r="I1909" s="8"/>
      <c r="J1909" s="9">
        <v>4</v>
      </c>
      <c r="K1909" s="10"/>
      <c r="L1909" s="9"/>
      <c r="M1909" s="7">
        <f t="shared" si="469"/>
        <v>4</v>
      </c>
      <c r="N1909" s="39">
        <v>46170</v>
      </c>
    </row>
    <row r="1910" spans="1:14" x14ac:dyDescent="0.15">
      <c r="A1910" s="4" t="s">
        <v>34</v>
      </c>
      <c r="B1910" s="8">
        <v>1</v>
      </c>
      <c r="C1910" s="9"/>
      <c r="D1910" s="10"/>
      <c r="E1910" s="9"/>
      <c r="F1910" s="5">
        <f t="shared" si="468"/>
        <v>1</v>
      </c>
      <c r="G1910" s="71">
        <v>46177</v>
      </c>
      <c r="H1910" s="4" t="s">
        <v>200</v>
      </c>
      <c r="I1910" s="8"/>
      <c r="J1910" s="9">
        <v>2</v>
      </c>
      <c r="K1910" s="10"/>
      <c r="L1910" s="9"/>
      <c r="M1910" s="7">
        <f t="shared" si="469"/>
        <v>2</v>
      </c>
      <c r="N1910" s="39">
        <v>46171</v>
      </c>
    </row>
    <row r="1911" spans="1:14" x14ac:dyDescent="0.15">
      <c r="A1911" s="4" t="s">
        <v>34</v>
      </c>
      <c r="B1911" s="8">
        <v>2</v>
      </c>
      <c r="C1911" s="9"/>
      <c r="D1911" s="10"/>
      <c r="E1911" s="9"/>
      <c r="F1911" s="5">
        <f t="shared" si="468"/>
        <v>2</v>
      </c>
      <c r="G1911" s="71">
        <v>46181</v>
      </c>
      <c r="H1911" s="4" t="s">
        <v>200</v>
      </c>
      <c r="I1911" s="8"/>
      <c r="J1911" s="9"/>
      <c r="K1911" s="10">
        <v>2</v>
      </c>
      <c r="L1911" s="9"/>
      <c r="M1911" s="7">
        <f t="shared" si="469"/>
        <v>2</v>
      </c>
      <c r="N1911" s="39">
        <v>46172</v>
      </c>
    </row>
    <row r="1912" spans="1:14" x14ac:dyDescent="0.15">
      <c r="A1912" s="4" t="s">
        <v>34</v>
      </c>
      <c r="B1912" s="8">
        <v>2</v>
      </c>
      <c r="C1912" s="9"/>
      <c r="D1912" s="10"/>
      <c r="E1912" s="9"/>
      <c r="F1912" s="5">
        <f t="shared" si="468"/>
        <v>2</v>
      </c>
      <c r="G1912" s="71">
        <v>46182</v>
      </c>
      <c r="H1912" s="4" t="s">
        <v>200</v>
      </c>
      <c r="I1912" s="8"/>
      <c r="J1912" s="9"/>
      <c r="K1912" s="10">
        <v>2</v>
      </c>
      <c r="L1912" s="9"/>
      <c r="M1912" s="7">
        <f t="shared" si="469"/>
        <v>2</v>
      </c>
      <c r="N1912" s="39">
        <v>46176</v>
      </c>
    </row>
    <row r="1913" spans="1:14" x14ac:dyDescent="0.15">
      <c r="A1913" s="4" t="s">
        <v>34</v>
      </c>
      <c r="B1913" s="8"/>
      <c r="C1913" s="9"/>
      <c r="D1913" s="10">
        <v>2</v>
      </c>
      <c r="E1913" s="9"/>
      <c r="F1913" s="5">
        <f t="shared" si="468"/>
        <v>2</v>
      </c>
      <c r="G1913" s="71">
        <v>46183</v>
      </c>
      <c r="H1913" s="151" t="s">
        <v>763</v>
      </c>
      <c r="I1913" s="152">
        <v>3</v>
      </c>
      <c r="J1913" s="153"/>
      <c r="K1913" s="154"/>
      <c r="L1913" s="153">
        <v>3</v>
      </c>
      <c r="M1913" s="155">
        <f t="shared" si="469"/>
        <v>6</v>
      </c>
      <c r="N1913" s="85">
        <v>46175</v>
      </c>
    </row>
    <row r="1914" spans="1:14" x14ac:dyDescent="0.15">
      <c r="A1914" s="4" t="s">
        <v>639</v>
      </c>
      <c r="B1914" s="8">
        <v>1</v>
      </c>
      <c r="C1914" s="9"/>
      <c r="D1914" s="10"/>
      <c r="E1914" s="9"/>
      <c r="F1914" s="5">
        <f t="shared" si="468"/>
        <v>1</v>
      </c>
      <c r="G1914" s="71">
        <v>46217</v>
      </c>
      <c r="H1914" s="4" t="s">
        <v>813</v>
      </c>
      <c r="I1914" s="8"/>
      <c r="J1914" s="9">
        <v>4</v>
      </c>
      <c r="K1914" s="10"/>
      <c r="L1914" s="9"/>
      <c r="M1914" s="7">
        <f t="shared" si="469"/>
        <v>4</v>
      </c>
      <c r="N1914" s="39">
        <v>46181</v>
      </c>
    </row>
    <row r="1915" spans="1:14" x14ac:dyDescent="0.15">
      <c r="A1915" s="4"/>
      <c r="B1915" s="8"/>
      <c r="C1915" s="9"/>
      <c r="D1915" s="10"/>
      <c r="E1915" s="9"/>
      <c r="F1915" s="5">
        <f t="shared" si="468"/>
        <v>0</v>
      </c>
      <c r="H1915" s="4" t="s">
        <v>200</v>
      </c>
      <c r="I1915" s="8">
        <v>6</v>
      </c>
      <c r="J1915" s="9">
        <v>6</v>
      </c>
      <c r="K1915" s="10">
        <v>4</v>
      </c>
      <c r="L1915" s="9">
        <v>2</v>
      </c>
      <c r="M1915" s="7">
        <f t="shared" si="469"/>
        <v>18</v>
      </c>
      <c r="N1915" s="39">
        <v>46181</v>
      </c>
    </row>
    <row r="1916" spans="1:14" x14ac:dyDescent="0.15">
      <c r="A1916" s="4"/>
      <c r="B1916" s="8"/>
      <c r="C1916" s="9"/>
      <c r="D1916" s="10"/>
      <c r="E1916" s="9"/>
      <c r="F1916" s="5">
        <f t="shared" si="468"/>
        <v>0</v>
      </c>
      <c r="H1916" s="151" t="s">
        <v>763</v>
      </c>
      <c r="I1916" s="152">
        <v>5</v>
      </c>
      <c r="J1916" s="153"/>
      <c r="K1916" s="154"/>
      <c r="L1916" s="153"/>
      <c r="M1916" s="155">
        <f t="shared" si="469"/>
        <v>5</v>
      </c>
      <c r="N1916" s="85">
        <v>46183</v>
      </c>
    </row>
    <row r="1917" spans="1:14" x14ac:dyDescent="0.15">
      <c r="A1917" s="4"/>
      <c r="B1917" s="8"/>
      <c r="C1917" s="9"/>
      <c r="D1917" s="10"/>
      <c r="E1917" s="9"/>
      <c r="F1917" s="5">
        <f t="shared" si="468"/>
        <v>0</v>
      </c>
      <c r="H1917" s="4" t="s">
        <v>200</v>
      </c>
      <c r="I1917" s="8"/>
      <c r="J1917" s="9"/>
      <c r="K1917" s="10">
        <v>4</v>
      </c>
      <c r="L1917" s="9"/>
      <c r="M1917" s="7">
        <f t="shared" si="469"/>
        <v>4</v>
      </c>
      <c r="N1917" s="39">
        <v>46185</v>
      </c>
    </row>
    <row r="1918" spans="1:14" x14ac:dyDescent="0.15">
      <c r="A1918" s="4"/>
      <c r="B1918" s="8"/>
      <c r="C1918" s="9"/>
      <c r="D1918" s="10"/>
      <c r="E1918" s="9"/>
      <c r="F1918" s="5">
        <f t="shared" si="468"/>
        <v>0</v>
      </c>
      <c r="H1918" s="4" t="s">
        <v>200</v>
      </c>
      <c r="I1918" s="8">
        <v>6</v>
      </c>
      <c r="J1918" s="9">
        <v>12</v>
      </c>
      <c r="K1918" s="10"/>
      <c r="L1918" s="9">
        <v>2</v>
      </c>
      <c r="M1918" s="7">
        <f t="shared" si="469"/>
        <v>20</v>
      </c>
      <c r="N1918" s="39">
        <v>46185</v>
      </c>
    </row>
    <row r="1919" spans="1:14" x14ac:dyDescent="0.15">
      <c r="A1919" s="4"/>
      <c r="B1919" s="8"/>
      <c r="C1919" s="9"/>
      <c r="D1919" s="10"/>
      <c r="E1919" s="9"/>
      <c r="F1919" s="5">
        <f t="shared" si="468"/>
        <v>0</v>
      </c>
      <c r="H1919" s="4" t="s">
        <v>814</v>
      </c>
      <c r="I1919" s="8"/>
      <c r="J1919" s="9">
        <v>6</v>
      </c>
      <c r="K1919" s="10"/>
      <c r="L1919" s="9">
        <v>6</v>
      </c>
      <c r="M1919" s="7">
        <f t="shared" si="469"/>
        <v>12</v>
      </c>
      <c r="N1919" s="39">
        <v>46185</v>
      </c>
    </row>
    <row r="1920" spans="1:14" x14ac:dyDescent="0.15">
      <c r="A1920" s="4"/>
      <c r="B1920" s="8"/>
      <c r="C1920" s="9"/>
      <c r="D1920" s="10"/>
      <c r="E1920" s="9"/>
      <c r="F1920" s="5">
        <f t="shared" si="468"/>
        <v>0</v>
      </c>
      <c r="H1920" s="4" t="s">
        <v>200</v>
      </c>
      <c r="I1920" s="8"/>
      <c r="J1920" s="9"/>
      <c r="K1920" s="10"/>
      <c r="L1920" s="9">
        <v>2</v>
      </c>
      <c r="M1920" s="7">
        <f t="shared" si="469"/>
        <v>2</v>
      </c>
      <c r="N1920" s="39">
        <v>46188</v>
      </c>
    </row>
    <row r="1921" spans="1:14" x14ac:dyDescent="0.15">
      <c r="A1921" s="4"/>
      <c r="B1921" s="8"/>
      <c r="C1921" s="9"/>
      <c r="D1921" s="10"/>
      <c r="E1921" s="9"/>
      <c r="F1921" s="5">
        <f t="shared" si="468"/>
        <v>0</v>
      </c>
      <c r="H1921" s="4" t="s">
        <v>200</v>
      </c>
      <c r="I1921" s="8"/>
      <c r="J1921" s="9">
        <v>2</v>
      </c>
      <c r="K1921" s="10">
        <v>6</v>
      </c>
      <c r="L1921" s="9">
        <v>6</v>
      </c>
      <c r="M1921" s="7">
        <f t="shared" si="469"/>
        <v>14</v>
      </c>
      <c r="N1921" s="39">
        <v>46190</v>
      </c>
    </row>
    <row r="1922" spans="1:14" x14ac:dyDescent="0.15">
      <c r="A1922" s="4"/>
      <c r="B1922" s="8"/>
      <c r="C1922" s="9"/>
      <c r="D1922" s="10"/>
      <c r="E1922" s="9"/>
      <c r="F1922" s="5">
        <f t="shared" si="468"/>
        <v>0</v>
      </c>
      <c r="H1922" s="4" t="s">
        <v>200</v>
      </c>
      <c r="I1922" s="8">
        <v>8</v>
      </c>
      <c r="J1922" s="9">
        <v>4</v>
      </c>
      <c r="K1922" s="10">
        <v>2</v>
      </c>
      <c r="L1922" s="9"/>
      <c r="M1922" s="7">
        <f t="shared" si="469"/>
        <v>14</v>
      </c>
      <c r="N1922" s="39">
        <v>46191</v>
      </c>
    </row>
    <row r="1923" spans="1:14" x14ac:dyDescent="0.15">
      <c r="A1923" s="4"/>
      <c r="B1923" s="8"/>
      <c r="C1923" s="9"/>
      <c r="D1923" s="10"/>
      <c r="E1923" s="9"/>
      <c r="F1923" s="5">
        <f t="shared" si="468"/>
        <v>0</v>
      </c>
      <c r="H1923" s="4" t="s">
        <v>200</v>
      </c>
      <c r="I1923" s="8"/>
      <c r="J1923" s="9"/>
      <c r="K1923" s="10">
        <v>2</v>
      </c>
      <c r="L1923" s="9"/>
      <c r="M1923" s="7">
        <f t="shared" si="469"/>
        <v>2</v>
      </c>
      <c r="N1923" s="39">
        <v>46192</v>
      </c>
    </row>
    <row r="1924" spans="1:14" x14ac:dyDescent="0.15">
      <c r="A1924" s="4"/>
      <c r="B1924" s="8"/>
      <c r="C1924" s="9"/>
      <c r="D1924" s="10"/>
      <c r="E1924" s="9"/>
      <c r="F1924" s="5">
        <f t="shared" si="468"/>
        <v>0</v>
      </c>
      <c r="H1924" s="20" t="s">
        <v>200</v>
      </c>
      <c r="I1924" s="59"/>
      <c r="J1924" s="60"/>
      <c r="K1924" s="61">
        <v>4</v>
      </c>
      <c r="L1924" s="60"/>
      <c r="M1924" s="62">
        <f t="shared" si="469"/>
        <v>4</v>
      </c>
      <c r="N1924" s="163">
        <v>46192</v>
      </c>
    </row>
    <row r="1925" spans="1:14" x14ac:dyDescent="0.15">
      <c r="A1925" s="4"/>
      <c r="B1925" s="8"/>
      <c r="C1925" s="9"/>
      <c r="D1925" s="10"/>
      <c r="E1925" s="9"/>
      <c r="F1925" s="5">
        <f t="shared" si="468"/>
        <v>0</v>
      </c>
      <c r="H1925" s="4"/>
      <c r="I1925" s="8"/>
      <c r="J1925" s="9"/>
      <c r="K1925" s="10"/>
      <c r="L1925" s="9"/>
      <c r="M1925" s="7">
        <f t="shared" si="469"/>
        <v>0</v>
      </c>
    </row>
    <row r="1926" spans="1:14" x14ac:dyDescent="0.15">
      <c r="A1926" s="4"/>
      <c r="B1926" s="8"/>
      <c r="C1926" s="9"/>
      <c r="D1926" s="10"/>
      <c r="E1926" s="9"/>
      <c r="F1926" s="5">
        <f t="shared" si="468"/>
        <v>0</v>
      </c>
      <c r="H1926" s="4"/>
      <c r="I1926" s="8"/>
      <c r="J1926" s="9"/>
      <c r="K1926" s="10"/>
      <c r="L1926" s="9"/>
      <c r="M1926" s="7">
        <f t="shared" si="469"/>
        <v>0</v>
      </c>
    </row>
    <row r="1927" spans="1:14" x14ac:dyDescent="0.15">
      <c r="A1927" s="4"/>
      <c r="B1927" s="8"/>
      <c r="C1927" s="9"/>
      <c r="D1927" s="10"/>
      <c r="E1927" s="9"/>
      <c r="F1927" s="5">
        <f t="shared" si="468"/>
        <v>0</v>
      </c>
      <c r="H1927" s="4"/>
      <c r="I1927" s="8"/>
      <c r="J1927" s="9"/>
      <c r="K1927" s="10"/>
      <c r="L1927" s="9"/>
      <c r="M1927" s="7">
        <f t="shared" si="469"/>
        <v>0</v>
      </c>
    </row>
    <row r="1928" spans="1:14" x14ac:dyDescent="0.15">
      <c r="A1928" s="4"/>
      <c r="B1928" s="8"/>
      <c r="C1928" s="9"/>
      <c r="D1928" s="10"/>
      <c r="E1928" s="9"/>
      <c r="F1928" s="5">
        <f t="shared" si="468"/>
        <v>0</v>
      </c>
      <c r="H1928" s="4"/>
      <c r="I1928" s="8"/>
      <c r="J1928" s="9"/>
      <c r="K1928" s="10"/>
      <c r="L1928" s="9"/>
      <c r="M1928" s="7">
        <f t="shared" si="469"/>
        <v>0</v>
      </c>
    </row>
    <row r="1929" spans="1:14" x14ac:dyDescent="0.15">
      <c r="A1929" s="4"/>
      <c r="B1929" s="8"/>
      <c r="C1929" s="9"/>
      <c r="D1929" s="10"/>
      <c r="E1929" s="9"/>
      <c r="F1929" s="5">
        <f t="shared" si="468"/>
        <v>0</v>
      </c>
      <c r="H1929" s="4"/>
      <c r="I1929" s="8"/>
      <c r="J1929" s="9"/>
      <c r="K1929" s="10"/>
      <c r="L1929" s="9"/>
      <c r="M1929" s="7">
        <f t="shared" si="469"/>
        <v>0</v>
      </c>
    </row>
    <row r="1930" spans="1:14" x14ac:dyDescent="0.15">
      <c r="A1930" s="4"/>
      <c r="B1930" s="8"/>
      <c r="C1930" s="9"/>
      <c r="D1930" s="10"/>
      <c r="E1930" s="9"/>
      <c r="F1930" s="5">
        <f t="shared" si="468"/>
        <v>0</v>
      </c>
      <c r="H1930" s="4" t="s">
        <v>799</v>
      </c>
      <c r="I1930" s="8"/>
      <c r="J1930" s="9"/>
      <c r="K1930" s="10"/>
      <c r="L1930" s="9"/>
      <c r="M1930" s="7">
        <f t="shared" ref="M1930" si="470">SUM(I1930:L1930)</f>
        <v>0</v>
      </c>
      <c r="N1930" s="41" t="s">
        <v>800</v>
      </c>
    </row>
    <row r="1931" spans="1:14" ht="14.25" thickBot="1" x14ac:dyDescent="0.2">
      <c r="A1931" s="4"/>
      <c r="B1931" s="8"/>
      <c r="C1931" s="9"/>
      <c r="D1931" s="10"/>
      <c r="E1931" s="9"/>
      <c r="F1931" s="5">
        <f t="shared" si="468"/>
        <v>0</v>
      </c>
      <c r="H1931" s="20" t="s">
        <v>815</v>
      </c>
      <c r="I1931" s="59">
        <v>15</v>
      </c>
      <c r="J1931" s="60">
        <v>25</v>
      </c>
      <c r="K1931" s="61">
        <v>20</v>
      </c>
      <c r="L1931" s="60">
        <v>15</v>
      </c>
      <c r="M1931" s="62">
        <f t="shared" si="469"/>
        <v>75</v>
      </c>
      <c r="N1931" s="64" t="s">
        <v>816</v>
      </c>
    </row>
    <row r="1932" spans="1:14" ht="14.25" thickBot="1" x14ac:dyDescent="0.2">
      <c r="A1932" s="3" t="s">
        <v>5</v>
      </c>
      <c r="B1932" s="14">
        <f>SUM(B1908:B1931)</f>
        <v>9</v>
      </c>
      <c r="C1932" s="14">
        <f>SUM(C1908:C1931)</f>
        <v>1</v>
      </c>
      <c r="D1932" s="14">
        <f>SUM(D1908:D1931)</f>
        <v>2</v>
      </c>
      <c r="E1932" s="14">
        <f>SUM(E1908:E1931)</f>
        <v>0</v>
      </c>
      <c r="F1932" s="15">
        <f>SUM(B1932:E1932)</f>
        <v>12</v>
      </c>
      <c r="H1932" s="3" t="s">
        <v>5</v>
      </c>
      <c r="I1932" s="14">
        <f>SUM(I1908:I1931)</f>
        <v>45</v>
      </c>
      <c r="J1932" s="14">
        <f>SUM(J1908:J1931)</f>
        <v>65</v>
      </c>
      <c r="K1932" s="14">
        <f>SUM(K1908:K1931)</f>
        <v>46</v>
      </c>
      <c r="L1932" s="14">
        <f>SUM(L1908:L1931)</f>
        <v>36</v>
      </c>
      <c r="M1932" s="15">
        <f>SUM(I1932:L1932)</f>
        <v>192</v>
      </c>
    </row>
    <row r="1933" spans="1:14" ht="14.25" thickBot="1" x14ac:dyDescent="0.2">
      <c r="A1933" s="25" t="s">
        <v>6</v>
      </c>
      <c r="B1933" s="26">
        <f>B1907-B1932</f>
        <v>4</v>
      </c>
      <c r="C1933" s="26">
        <f t="shared" ref="C1933:F1933" si="471">C1907-C1932</f>
        <v>4</v>
      </c>
      <c r="D1933" s="26">
        <f t="shared" si="471"/>
        <v>3</v>
      </c>
      <c r="E1933" s="26">
        <f t="shared" si="471"/>
        <v>5</v>
      </c>
      <c r="F1933" s="24">
        <f t="shared" si="471"/>
        <v>16</v>
      </c>
      <c r="H1933" s="25" t="s">
        <v>6</v>
      </c>
      <c r="I1933" s="26">
        <f>I1907-I1932</f>
        <v>70</v>
      </c>
      <c r="J1933" s="26">
        <f t="shared" ref="J1933:M1933" si="472">J1907-J1932</f>
        <v>86</v>
      </c>
      <c r="K1933" s="26">
        <f t="shared" si="472"/>
        <v>87</v>
      </c>
      <c r="L1933" s="26">
        <f t="shared" si="472"/>
        <v>137</v>
      </c>
      <c r="M1933" s="24">
        <f t="shared" si="472"/>
        <v>380</v>
      </c>
    </row>
    <row r="1936" spans="1:14" ht="21.75" thickBot="1" x14ac:dyDescent="0.25">
      <c r="A1936" s="29" t="s">
        <v>13</v>
      </c>
      <c r="B1936" s="1"/>
      <c r="C1936" s="1"/>
      <c r="D1936" s="1"/>
      <c r="E1936" s="1"/>
      <c r="F1936" s="1"/>
      <c r="H1936" s="29" t="s">
        <v>14</v>
      </c>
      <c r="I1936" s="1"/>
      <c r="J1936" s="1"/>
      <c r="K1936" s="1"/>
      <c r="L1936" s="1"/>
      <c r="M1936" s="1"/>
    </row>
    <row r="1937" spans="1:14" ht="14.25" thickBot="1" x14ac:dyDescent="0.2">
      <c r="A1937" s="2" t="s">
        <v>0</v>
      </c>
      <c r="B1937" s="164" t="s">
        <v>12</v>
      </c>
      <c r="C1937" s="165"/>
      <c r="D1937" s="165"/>
      <c r="E1937" s="165"/>
      <c r="F1937" s="117"/>
      <c r="H1937" s="2" t="s">
        <v>0</v>
      </c>
      <c r="I1937" s="164" t="s">
        <v>12</v>
      </c>
      <c r="J1937" s="165"/>
      <c r="K1937" s="165"/>
      <c r="L1937" s="165"/>
      <c r="M1937" s="117"/>
    </row>
    <row r="1938" spans="1:14" ht="14.25" thickBot="1" x14ac:dyDescent="0.2">
      <c r="A1938" s="2" t="s">
        <v>1</v>
      </c>
      <c r="B1938" s="3" t="s">
        <v>489</v>
      </c>
      <c r="C1938" s="2" t="s">
        <v>490</v>
      </c>
      <c r="D1938" s="19" t="s">
        <v>491</v>
      </c>
      <c r="E1938" s="2" t="s">
        <v>492</v>
      </c>
      <c r="F1938" s="2" t="s">
        <v>2</v>
      </c>
      <c r="H1938" s="2" t="s">
        <v>1</v>
      </c>
      <c r="I1938" s="3" t="s">
        <v>489</v>
      </c>
      <c r="J1938" s="2" t="s">
        <v>490</v>
      </c>
      <c r="K1938" s="19" t="s">
        <v>491</v>
      </c>
      <c r="L1938" s="2" t="s">
        <v>492</v>
      </c>
      <c r="M1938" s="2" t="s">
        <v>2</v>
      </c>
    </row>
    <row r="1939" spans="1:14" x14ac:dyDescent="0.15">
      <c r="A1939" s="27" t="s">
        <v>6</v>
      </c>
      <c r="B1939" s="18">
        <f>B1933</f>
        <v>4</v>
      </c>
      <c r="C1939" s="20">
        <f>C1933</f>
        <v>4</v>
      </c>
      <c r="D1939" s="55">
        <f>D1933</f>
        <v>3</v>
      </c>
      <c r="E1939" s="20">
        <f>E1933</f>
        <v>5</v>
      </c>
      <c r="F1939" s="17">
        <f>SUM(B1939:E1939)</f>
        <v>16</v>
      </c>
      <c r="H1939" s="27" t="s">
        <v>6</v>
      </c>
      <c r="I1939" s="18">
        <f>I1933</f>
        <v>70</v>
      </c>
      <c r="J1939" s="20">
        <f>J1933</f>
        <v>86</v>
      </c>
      <c r="K1939" s="55">
        <f>K1933</f>
        <v>87</v>
      </c>
      <c r="L1939" s="58">
        <f>L1933</f>
        <v>137</v>
      </c>
      <c r="M1939" s="17">
        <f>SUM(I1939:L1939)</f>
        <v>380</v>
      </c>
    </row>
    <row r="1940" spans="1:14" x14ac:dyDescent="0.15">
      <c r="A1940" s="6" t="s">
        <v>3</v>
      </c>
      <c r="B1940" s="31"/>
      <c r="C1940" s="32"/>
      <c r="D1940" s="31"/>
      <c r="E1940" s="52"/>
      <c r="F1940" s="5">
        <f t="shared" ref="F1940:F1949" si="473">SUM(B1940:E1940)</f>
        <v>0</v>
      </c>
      <c r="H1940" s="6" t="s">
        <v>3</v>
      </c>
      <c r="I1940" s="31"/>
      <c r="J1940" s="32"/>
      <c r="K1940" s="31"/>
      <c r="L1940" s="52"/>
      <c r="M1940" s="5">
        <f t="shared" ref="M1940:M1949" si="474">SUM(I1940:L1940)</f>
        <v>0</v>
      </c>
    </row>
    <row r="1941" spans="1:14" x14ac:dyDescent="0.15">
      <c r="A1941" s="6" t="s">
        <v>3</v>
      </c>
      <c r="B1941" s="31"/>
      <c r="C1941" s="32"/>
      <c r="D1941" s="31"/>
      <c r="E1941" s="52"/>
      <c r="F1941" s="5">
        <f t="shared" si="473"/>
        <v>0</v>
      </c>
      <c r="H1941" s="6" t="s">
        <v>3</v>
      </c>
      <c r="I1941" s="31"/>
      <c r="J1941" s="32"/>
      <c r="K1941" s="31"/>
      <c r="L1941" s="52"/>
      <c r="M1941" s="5">
        <f t="shared" si="474"/>
        <v>0</v>
      </c>
    </row>
    <row r="1942" spans="1:14" x14ac:dyDescent="0.15">
      <c r="A1942" s="6" t="s">
        <v>3</v>
      </c>
      <c r="B1942" s="31"/>
      <c r="C1942" s="32"/>
      <c r="D1942" s="31"/>
      <c r="E1942" s="52"/>
      <c r="F1942" s="5">
        <f t="shared" si="473"/>
        <v>0</v>
      </c>
      <c r="H1942" s="27" t="s">
        <v>316</v>
      </c>
      <c r="I1942" s="44">
        <v>200</v>
      </c>
      <c r="J1942" s="43">
        <v>250</v>
      </c>
      <c r="K1942" s="44">
        <v>80</v>
      </c>
      <c r="L1942" s="57">
        <v>0</v>
      </c>
      <c r="M1942" s="17">
        <f t="shared" si="474"/>
        <v>530</v>
      </c>
      <c r="N1942" s="64" t="s">
        <v>798</v>
      </c>
    </row>
    <row r="1943" spans="1:14" x14ac:dyDescent="0.15">
      <c r="A1943" s="6" t="s">
        <v>3</v>
      </c>
      <c r="B1943" s="31"/>
      <c r="C1943" s="32"/>
      <c r="D1943" s="31"/>
      <c r="E1943" s="52"/>
      <c r="F1943" s="5">
        <f t="shared" si="473"/>
        <v>0</v>
      </c>
      <c r="H1943" s="6" t="s">
        <v>3</v>
      </c>
      <c r="I1943" s="31">
        <v>-9</v>
      </c>
      <c r="J1943" s="32">
        <v>-53</v>
      </c>
      <c r="K1943" s="31">
        <v>-78</v>
      </c>
      <c r="L1943" s="52"/>
      <c r="M1943" s="5">
        <f t="shared" ref="M1943" si="475">SUM(I1943:L1943)</f>
        <v>-140</v>
      </c>
    </row>
    <row r="1944" spans="1:14" x14ac:dyDescent="0.15">
      <c r="A1944" s="145" t="s">
        <v>3</v>
      </c>
      <c r="B1944" s="146"/>
      <c r="C1944" s="147"/>
      <c r="D1944" s="146"/>
      <c r="E1944" s="148"/>
      <c r="F1944" s="149">
        <f t="shared" si="473"/>
        <v>0</v>
      </c>
      <c r="H1944" s="6" t="s">
        <v>3</v>
      </c>
      <c r="I1944" s="31"/>
      <c r="J1944" s="32"/>
      <c r="K1944" s="31"/>
      <c r="L1944" s="52"/>
      <c r="M1944" s="5">
        <f t="shared" ref="M1944" si="476">SUM(I1944:L1944)</f>
        <v>0</v>
      </c>
    </row>
    <row r="1945" spans="1:14" x14ac:dyDescent="0.15">
      <c r="A1945" s="6" t="s">
        <v>3</v>
      </c>
      <c r="B1945" s="31"/>
      <c r="C1945" s="32"/>
      <c r="D1945" s="31"/>
      <c r="E1945" s="52"/>
      <c r="F1945" s="5">
        <f t="shared" si="473"/>
        <v>0</v>
      </c>
      <c r="H1945" s="6" t="s">
        <v>3</v>
      </c>
      <c r="I1945" s="31"/>
      <c r="J1945" s="32"/>
      <c r="K1945" s="31"/>
      <c r="L1945" s="52"/>
      <c r="M1945" s="5">
        <f t="shared" si="474"/>
        <v>0</v>
      </c>
    </row>
    <row r="1946" spans="1:14" x14ac:dyDescent="0.15">
      <c r="A1946" s="6" t="s">
        <v>3</v>
      </c>
      <c r="B1946" s="31"/>
      <c r="C1946" s="32"/>
      <c r="D1946" s="31"/>
      <c r="E1946" s="52"/>
      <c r="F1946" s="5">
        <f t="shared" si="473"/>
        <v>0</v>
      </c>
      <c r="H1946" s="6" t="s">
        <v>3</v>
      </c>
      <c r="I1946" s="31"/>
      <c r="J1946" s="32"/>
      <c r="K1946" s="31"/>
      <c r="L1946" s="52"/>
      <c r="M1946" s="5">
        <f t="shared" si="474"/>
        <v>0</v>
      </c>
    </row>
    <row r="1947" spans="1:14" x14ac:dyDescent="0.15">
      <c r="A1947" s="6" t="s">
        <v>3</v>
      </c>
      <c r="B1947" s="31"/>
      <c r="C1947" s="32"/>
      <c r="D1947" s="31"/>
      <c r="E1947" s="52"/>
      <c r="F1947" s="5">
        <f t="shared" si="473"/>
        <v>0</v>
      </c>
      <c r="H1947" s="6" t="s">
        <v>3</v>
      </c>
      <c r="I1947" s="31"/>
      <c r="J1947" s="32"/>
      <c r="K1947" s="31"/>
      <c r="L1947" s="52"/>
      <c r="M1947" s="5">
        <f t="shared" si="474"/>
        <v>0</v>
      </c>
    </row>
    <row r="1948" spans="1:14" x14ac:dyDescent="0.15">
      <c r="A1948" s="6" t="s">
        <v>3</v>
      </c>
      <c r="B1948" s="31"/>
      <c r="C1948" s="32"/>
      <c r="D1948" s="31"/>
      <c r="E1948" s="52"/>
      <c r="F1948" s="5">
        <f t="shared" si="473"/>
        <v>0</v>
      </c>
      <c r="H1948" s="6" t="s">
        <v>3</v>
      </c>
      <c r="I1948" s="34"/>
      <c r="J1948" s="35"/>
      <c r="K1948" s="34"/>
      <c r="L1948" s="32"/>
      <c r="M1948" s="5">
        <f t="shared" si="474"/>
        <v>0</v>
      </c>
    </row>
    <row r="1949" spans="1:14" ht="14.25" thickBot="1" x14ac:dyDescent="0.2">
      <c r="A1949" s="6" t="s">
        <v>3</v>
      </c>
      <c r="B1949" s="13"/>
      <c r="C1949" s="12"/>
      <c r="D1949" s="13"/>
      <c r="E1949" s="50"/>
      <c r="F1949" s="5">
        <f t="shared" si="473"/>
        <v>0</v>
      </c>
      <c r="H1949" s="6" t="s">
        <v>3</v>
      </c>
      <c r="I1949" s="34"/>
      <c r="J1949" s="35"/>
      <c r="K1949" s="34"/>
      <c r="L1949" s="53"/>
      <c r="M1949" s="5">
        <f t="shared" si="474"/>
        <v>0</v>
      </c>
    </row>
    <row r="1950" spans="1:14" ht="14.25" thickBot="1" x14ac:dyDescent="0.2">
      <c r="A1950" s="21" t="s">
        <v>4</v>
      </c>
      <c r="B1950" s="22">
        <f>SUM(B1939:B1949)</f>
        <v>4</v>
      </c>
      <c r="C1950" s="22">
        <f>SUM(C1939:C1949)</f>
        <v>4</v>
      </c>
      <c r="D1950" s="23">
        <f>SUM(D1939:D1949)</f>
        <v>3</v>
      </c>
      <c r="E1950" s="23">
        <f>SUM(E1939:E1949)</f>
        <v>5</v>
      </c>
      <c r="F1950" s="24">
        <f>SUM(B1950:E1950)</f>
        <v>16</v>
      </c>
      <c r="H1950" s="21" t="s">
        <v>4</v>
      </c>
      <c r="I1950" s="22">
        <f>SUM(I1939:I1949)</f>
        <v>261</v>
      </c>
      <c r="J1950" s="22">
        <f>SUM(J1939:J1949)</f>
        <v>283</v>
      </c>
      <c r="K1950" s="23">
        <f>SUM(K1939:K1949)</f>
        <v>89</v>
      </c>
      <c r="L1950" s="23">
        <f>SUM(L1939:L1949)</f>
        <v>137</v>
      </c>
      <c r="M1950" s="24">
        <f>SUM(I1950:L1950)</f>
        <v>770</v>
      </c>
    </row>
    <row r="1951" spans="1:14" x14ac:dyDescent="0.15">
      <c r="A1951" s="4"/>
      <c r="B1951" s="8"/>
      <c r="C1951" s="9"/>
      <c r="D1951" s="10"/>
      <c r="E1951" s="9"/>
      <c r="F1951" s="5">
        <f t="shared" ref="F1951:F1974" si="477">SUM(B1951:E1951)</f>
        <v>0</v>
      </c>
      <c r="H1951" s="4"/>
      <c r="I1951" s="8"/>
      <c r="J1951" s="9"/>
      <c r="K1951" s="10"/>
      <c r="L1951" s="9"/>
      <c r="M1951" s="7">
        <f t="shared" ref="M1951:M1973" si="478">SUM(I1951:L1951)</f>
        <v>0</v>
      </c>
    </row>
    <row r="1952" spans="1:14" x14ac:dyDescent="0.15">
      <c r="A1952" s="4"/>
      <c r="B1952" s="8"/>
      <c r="C1952" s="9"/>
      <c r="D1952" s="10"/>
      <c r="E1952" s="9"/>
      <c r="F1952" s="5">
        <f t="shared" si="477"/>
        <v>0</v>
      </c>
      <c r="H1952" s="4"/>
      <c r="I1952" s="8"/>
      <c r="J1952" s="9"/>
      <c r="K1952" s="10"/>
      <c r="L1952" s="9"/>
      <c r="M1952" s="7">
        <f t="shared" si="478"/>
        <v>0</v>
      </c>
    </row>
    <row r="1953" spans="1:13" x14ac:dyDescent="0.15">
      <c r="A1953" s="4"/>
      <c r="B1953" s="8"/>
      <c r="C1953" s="9"/>
      <c r="D1953" s="10"/>
      <c r="E1953" s="9"/>
      <c r="F1953" s="5">
        <f t="shared" si="477"/>
        <v>0</v>
      </c>
      <c r="H1953" s="4"/>
      <c r="I1953" s="8"/>
      <c r="J1953" s="9"/>
      <c r="K1953" s="10"/>
      <c r="L1953" s="9"/>
      <c r="M1953" s="7">
        <f t="shared" si="478"/>
        <v>0</v>
      </c>
    </row>
    <row r="1954" spans="1:13" x14ac:dyDescent="0.15">
      <c r="A1954" s="4"/>
      <c r="B1954" s="8"/>
      <c r="C1954" s="9"/>
      <c r="D1954" s="10"/>
      <c r="E1954" s="9"/>
      <c r="F1954" s="5">
        <f t="shared" si="477"/>
        <v>0</v>
      </c>
      <c r="H1954" s="4"/>
      <c r="I1954" s="8"/>
      <c r="J1954" s="9"/>
      <c r="K1954" s="10"/>
      <c r="L1954" s="9"/>
      <c r="M1954" s="7">
        <f t="shared" si="478"/>
        <v>0</v>
      </c>
    </row>
    <row r="1955" spans="1:13" x14ac:dyDescent="0.15">
      <c r="A1955" s="4"/>
      <c r="B1955" s="8"/>
      <c r="C1955" s="9"/>
      <c r="D1955" s="10"/>
      <c r="E1955" s="9"/>
      <c r="F1955" s="5">
        <f t="shared" si="477"/>
        <v>0</v>
      </c>
      <c r="H1955" s="4"/>
      <c r="I1955" s="8"/>
      <c r="J1955" s="9"/>
      <c r="K1955" s="10"/>
      <c r="L1955" s="9"/>
      <c r="M1955" s="7">
        <f t="shared" si="478"/>
        <v>0</v>
      </c>
    </row>
    <row r="1956" spans="1:13" x14ac:dyDescent="0.15">
      <c r="A1956" s="4"/>
      <c r="B1956" s="8"/>
      <c r="C1956" s="9"/>
      <c r="D1956" s="10"/>
      <c r="E1956" s="9"/>
      <c r="F1956" s="5">
        <f t="shared" si="477"/>
        <v>0</v>
      </c>
      <c r="H1956" s="4"/>
      <c r="I1956" s="8"/>
      <c r="J1956" s="9"/>
      <c r="K1956" s="10"/>
      <c r="L1956" s="9"/>
      <c r="M1956" s="7">
        <f t="shared" si="478"/>
        <v>0</v>
      </c>
    </row>
    <row r="1957" spans="1:13" x14ac:dyDescent="0.15">
      <c r="A1957" s="4"/>
      <c r="B1957" s="8"/>
      <c r="C1957" s="9"/>
      <c r="D1957" s="10"/>
      <c r="E1957" s="9"/>
      <c r="F1957" s="5">
        <f t="shared" si="477"/>
        <v>0</v>
      </c>
      <c r="H1957" s="4"/>
      <c r="I1957" s="8"/>
      <c r="J1957" s="9"/>
      <c r="K1957" s="10"/>
      <c r="L1957" s="9"/>
      <c r="M1957" s="7">
        <f t="shared" si="478"/>
        <v>0</v>
      </c>
    </row>
    <row r="1958" spans="1:13" x14ac:dyDescent="0.15">
      <c r="A1958" s="4"/>
      <c r="B1958" s="8"/>
      <c r="C1958" s="9"/>
      <c r="D1958" s="10"/>
      <c r="E1958" s="9"/>
      <c r="F1958" s="5">
        <f t="shared" si="477"/>
        <v>0</v>
      </c>
      <c r="H1958" s="4"/>
      <c r="I1958" s="8"/>
      <c r="J1958" s="9"/>
      <c r="K1958" s="10"/>
      <c r="L1958" s="9"/>
      <c r="M1958" s="7">
        <f t="shared" si="478"/>
        <v>0</v>
      </c>
    </row>
    <row r="1959" spans="1:13" x14ac:dyDescent="0.15">
      <c r="A1959" s="4"/>
      <c r="B1959" s="8"/>
      <c r="C1959" s="9"/>
      <c r="D1959" s="10"/>
      <c r="E1959" s="9"/>
      <c r="F1959" s="5">
        <f t="shared" si="477"/>
        <v>0</v>
      </c>
      <c r="H1959" s="4"/>
      <c r="I1959" s="8"/>
      <c r="J1959" s="9"/>
      <c r="K1959" s="10"/>
      <c r="L1959" s="9"/>
      <c r="M1959" s="7">
        <f t="shared" si="478"/>
        <v>0</v>
      </c>
    </row>
    <row r="1960" spans="1:13" x14ac:dyDescent="0.15">
      <c r="A1960" s="4"/>
      <c r="B1960" s="8"/>
      <c r="C1960" s="9"/>
      <c r="D1960" s="10"/>
      <c r="E1960" s="9"/>
      <c r="F1960" s="5">
        <f t="shared" si="477"/>
        <v>0</v>
      </c>
      <c r="H1960" s="4"/>
      <c r="I1960" s="8"/>
      <c r="J1960" s="9"/>
      <c r="K1960" s="10"/>
      <c r="L1960" s="9"/>
      <c r="M1960" s="7">
        <f t="shared" si="478"/>
        <v>0</v>
      </c>
    </row>
    <row r="1961" spans="1:13" x14ac:dyDescent="0.15">
      <c r="A1961" s="4"/>
      <c r="B1961" s="8"/>
      <c r="C1961" s="9"/>
      <c r="D1961" s="10"/>
      <c r="E1961" s="9"/>
      <c r="F1961" s="5">
        <f t="shared" si="477"/>
        <v>0</v>
      </c>
      <c r="H1961" s="4"/>
      <c r="I1961" s="8"/>
      <c r="J1961" s="9"/>
      <c r="K1961" s="10"/>
      <c r="L1961" s="9"/>
      <c r="M1961" s="7">
        <f t="shared" si="478"/>
        <v>0</v>
      </c>
    </row>
    <row r="1962" spans="1:13" x14ac:dyDescent="0.15">
      <c r="A1962" s="4"/>
      <c r="B1962" s="8"/>
      <c r="C1962" s="9"/>
      <c r="D1962" s="10"/>
      <c r="E1962" s="9"/>
      <c r="F1962" s="5">
        <f t="shared" si="477"/>
        <v>0</v>
      </c>
      <c r="H1962" s="4"/>
      <c r="I1962" s="8"/>
      <c r="J1962" s="9"/>
      <c r="K1962" s="10"/>
      <c r="L1962" s="9"/>
      <c r="M1962" s="7">
        <f t="shared" si="478"/>
        <v>0</v>
      </c>
    </row>
    <row r="1963" spans="1:13" x14ac:dyDescent="0.15">
      <c r="A1963" s="4"/>
      <c r="B1963" s="8"/>
      <c r="C1963" s="9"/>
      <c r="D1963" s="10"/>
      <c r="E1963" s="9"/>
      <c r="F1963" s="5">
        <f t="shared" si="477"/>
        <v>0</v>
      </c>
      <c r="H1963" s="4"/>
      <c r="I1963" s="8"/>
      <c r="J1963" s="9"/>
      <c r="K1963" s="10"/>
      <c r="L1963" s="9"/>
      <c r="M1963" s="7">
        <f t="shared" si="478"/>
        <v>0</v>
      </c>
    </row>
    <row r="1964" spans="1:13" x14ac:dyDescent="0.15">
      <c r="A1964" s="4"/>
      <c r="B1964" s="8"/>
      <c r="C1964" s="9"/>
      <c r="D1964" s="10"/>
      <c r="E1964" s="9"/>
      <c r="F1964" s="5">
        <f t="shared" si="477"/>
        <v>0</v>
      </c>
      <c r="H1964" s="4"/>
      <c r="I1964" s="8"/>
      <c r="J1964" s="9"/>
      <c r="K1964" s="10"/>
      <c r="L1964" s="9"/>
      <c r="M1964" s="7">
        <f t="shared" si="478"/>
        <v>0</v>
      </c>
    </row>
    <row r="1965" spans="1:13" x14ac:dyDescent="0.15">
      <c r="A1965" s="4"/>
      <c r="B1965" s="8"/>
      <c r="C1965" s="9"/>
      <c r="D1965" s="10"/>
      <c r="E1965" s="9"/>
      <c r="F1965" s="5">
        <f t="shared" si="477"/>
        <v>0</v>
      </c>
      <c r="H1965" s="4"/>
      <c r="I1965" s="8"/>
      <c r="J1965" s="9"/>
      <c r="K1965" s="10"/>
      <c r="L1965" s="9"/>
      <c r="M1965" s="7">
        <f t="shared" si="478"/>
        <v>0</v>
      </c>
    </row>
    <row r="1966" spans="1:13" x14ac:dyDescent="0.15">
      <c r="A1966" s="4"/>
      <c r="B1966" s="8"/>
      <c r="C1966" s="9"/>
      <c r="D1966" s="10"/>
      <c r="E1966" s="9"/>
      <c r="F1966" s="5">
        <f t="shared" si="477"/>
        <v>0</v>
      </c>
      <c r="H1966" s="4"/>
      <c r="I1966" s="8"/>
      <c r="J1966" s="9"/>
      <c r="K1966" s="10"/>
      <c r="L1966" s="9"/>
      <c r="M1966" s="7">
        <f t="shared" si="478"/>
        <v>0</v>
      </c>
    </row>
    <row r="1967" spans="1:13" x14ac:dyDescent="0.15">
      <c r="A1967" s="4"/>
      <c r="B1967" s="8"/>
      <c r="C1967" s="9"/>
      <c r="D1967" s="10"/>
      <c r="E1967" s="9"/>
      <c r="F1967" s="5">
        <f t="shared" si="477"/>
        <v>0</v>
      </c>
      <c r="H1967" s="4"/>
      <c r="I1967" s="8"/>
      <c r="J1967" s="9"/>
      <c r="K1967" s="10"/>
      <c r="L1967" s="9"/>
      <c r="M1967" s="7">
        <f t="shared" si="478"/>
        <v>0</v>
      </c>
    </row>
    <row r="1968" spans="1:13" x14ac:dyDescent="0.15">
      <c r="A1968" s="4"/>
      <c r="B1968" s="8"/>
      <c r="C1968" s="9"/>
      <c r="D1968" s="10"/>
      <c r="E1968" s="9"/>
      <c r="F1968" s="5">
        <f t="shared" si="477"/>
        <v>0</v>
      </c>
      <c r="H1968" s="4"/>
      <c r="I1968" s="8"/>
      <c r="J1968" s="9"/>
      <c r="K1968" s="10"/>
      <c r="L1968" s="9"/>
      <c r="M1968" s="7">
        <f t="shared" si="478"/>
        <v>0</v>
      </c>
    </row>
    <row r="1969" spans="1:13" x14ac:dyDescent="0.15">
      <c r="A1969" s="4"/>
      <c r="B1969" s="8"/>
      <c r="C1969" s="9"/>
      <c r="D1969" s="10"/>
      <c r="E1969" s="9"/>
      <c r="F1969" s="5">
        <f t="shared" si="477"/>
        <v>0</v>
      </c>
      <c r="H1969" s="4"/>
      <c r="I1969" s="8"/>
      <c r="J1969" s="9"/>
      <c r="K1969" s="10"/>
      <c r="L1969" s="9"/>
      <c r="M1969" s="7">
        <f t="shared" si="478"/>
        <v>0</v>
      </c>
    </row>
    <row r="1970" spans="1:13" x14ac:dyDescent="0.15">
      <c r="A1970" s="4"/>
      <c r="B1970" s="8"/>
      <c r="C1970" s="9"/>
      <c r="D1970" s="10"/>
      <c r="E1970" s="9"/>
      <c r="F1970" s="5">
        <f t="shared" si="477"/>
        <v>0</v>
      </c>
      <c r="H1970" s="4"/>
      <c r="I1970" s="8"/>
      <c r="J1970" s="9"/>
      <c r="K1970" s="10"/>
      <c r="L1970" s="9"/>
      <c r="M1970" s="7">
        <f t="shared" si="478"/>
        <v>0</v>
      </c>
    </row>
    <row r="1971" spans="1:13" x14ac:dyDescent="0.15">
      <c r="A1971" s="4"/>
      <c r="B1971" s="8"/>
      <c r="C1971" s="9"/>
      <c r="D1971" s="10"/>
      <c r="E1971" s="9"/>
      <c r="F1971" s="5">
        <f t="shared" si="477"/>
        <v>0</v>
      </c>
      <c r="H1971" s="4"/>
      <c r="I1971" s="8"/>
      <c r="J1971" s="9"/>
      <c r="K1971" s="10"/>
      <c r="L1971" s="9"/>
      <c r="M1971" s="7">
        <f t="shared" si="478"/>
        <v>0</v>
      </c>
    </row>
    <row r="1972" spans="1:13" x14ac:dyDescent="0.15">
      <c r="A1972" s="4"/>
      <c r="B1972" s="8"/>
      <c r="C1972" s="9"/>
      <c r="D1972" s="10"/>
      <c r="E1972" s="9"/>
      <c r="F1972" s="5">
        <f t="shared" si="477"/>
        <v>0</v>
      </c>
      <c r="H1972" s="4"/>
      <c r="I1972" s="8"/>
      <c r="J1972" s="9"/>
      <c r="K1972" s="10"/>
      <c r="L1972" s="9"/>
      <c r="M1972" s="7">
        <f t="shared" si="478"/>
        <v>0</v>
      </c>
    </row>
    <row r="1973" spans="1:13" x14ac:dyDescent="0.15">
      <c r="A1973" s="4"/>
      <c r="B1973" s="8"/>
      <c r="C1973" s="9"/>
      <c r="D1973" s="10"/>
      <c r="E1973" s="9"/>
      <c r="F1973" s="5">
        <f t="shared" si="477"/>
        <v>0</v>
      </c>
      <c r="H1973" s="4"/>
      <c r="I1973" s="8"/>
      <c r="J1973" s="9"/>
      <c r="K1973" s="10"/>
      <c r="L1973" s="9"/>
      <c r="M1973" s="7">
        <f t="shared" si="478"/>
        <v>0</v>
      </c>
    </row>
    <row r="1974" spans="1:13" ht="14.25" thickBot="1" x14ac:dyDescent="0.2">
      <c r="A1974" s="4"/>
      <c r="B1974" s="8"/>
      <c r="C1974" s="9"/>
      <c r="D1974" s="10"/>
      <c r="E1974" s="9"/>
      <c r="F1974" s="5">
        <f t="shared" si="477"/>
        <v>0</v>
      </c>
      <c r="H1974" s="4"/>
      <c r="I1974" s="8"/>
      <c r="J1974" s="9"/>
      <c r="K1974" s="10"/>
      <c r="L1974" s="9"/>
      <c r="M1974" s="7">
        <f t="shared" ref="M1974" si="479">SUM(I1974:L1974)</f>
        <v>0</v>
      </c>
    </row>
    <row r="1975" spans="1:13" ht="14.25" thickBot="1" x14ac:dyDescent="0.2">
      <c r="A1975" s="3" t="s">
        <v>5</v>
      </c>
      <c r="B1975" s="14">
        <f>SUM(B1951:B1974)</f>
        <v>0</v>
      </c>
      <c r="C1975" s="14">
        <f>SUM(C1951:C1974)</f>
        <v>0</v>
      </c>
      <c r="D1975" s="14">
        <f>SUM(D1951:D1974)</f>
        <v>0</v>
      </c>
      <c r="E1975" s="14">
        <f>SUM(E1951:E1974)</f>
        <v>0</v>
      </c>
      <c r="F1975" s="15">
        <f>SUM(B1975:E1975)</f>
        <v>0</v>
      </c>
      <c r="H1975" s="3" t="s">
        <v>5</v>
      </c>
      <c r="I1975" s="14">
        <f>SUM(I1951:I1974)</f>
        <v>0</v>
      </c>
      <c r="J1975" s="14">
        <f>SUM(J1951:J1974)</f>
        <v>0</v>
      </c>
      <c r="K1975" s="14">
        <f>SUM(K1951:K1974)</f>
        <v>0</v>
      </c>
      <c r="L1975" s="14">
        <f>SUM(L1951:L1974)</f>
        <v>0</v>
      </c>
      <c r="M1975" s="15">
        <f>SUM(I1975:L1975)</f>
        <v>0</v>
      </c>
    </row>
    <row r="1976" spans="1:13" ht="14.25" thickBot="1" x14ac:dyDescent="0.2">
      <c r="A1976" s="25" t="s">
        <v>6</v>
      </c>
      <c r="B1976" s="26">
        <f>B1950-B1975</f>
        <v>4</v>
      </c>
      <c r="C1976" s="26">
        <f t="shared" ref="C1976:F1976" si="480">C1950-C1975</f>
        <v>4</v>
      </c>
      <c r="D1976" s="26">
        <f t="shared" si="480"/>
        <v>3</v>
      </c>
      <c r="E1976" s="26">
        <f t="shared" si="480"/>
        <v>5</v>
      </c>
      <c r="F1976" s="24">
        <f t="shared" si="480"/>
        <v>16</v>
      </c>
      <c r="H1976" s="25" t="s">
        <v>6</v>
      </c>
      <c r="I1976" s="26">
        <f>I1950-I1975</f>
        <v>261</v>
      </c>
      <c r="J1976" s="26">
        <f t="shared" ref="J1976:M1976" si="481">J1950-J1975</f>
        <v>283</v>
      </c>
      <c r="K1976" s="26">
        <f t="shared" si="481"/>
        <v>89</v>
      </c>
      <c r="L1976" s="26">
        <f t="shared" si="481"/>
        <v>137</v>
      </c>
      <c r="M1976" s="24">
        <f t="shared" si="481"/>
        <v>770</v>
      </c>
    </row>
    <row r="1977" spans="1:13" x14ac:dyDescent="0.15">
      <c r="H1977" s="161" t="s">
        <v>766</v>
      </c>
      <c r="I1977" s="72">
        <f>I1976/$M$1976*100</f>
        <v>33.896103896103895</v>
      </c>
      <c r="J1977" s="72">
        <f t="shared" ref="J1977:M1977" si="482">J1976/$M$1976*100</f>
        <v>36.753246753246756</v>
      </c>
      <c r="K1977" s="72">
        <f t="shared" si="482"/>
        <v>11.558441558441558</v>
      </c>
      <c r="L1977" s="72">
        <f t="shared" si="482"/>
        <v>17.792207792207794</v>
      </c>
      <c r="M1977" s="72">
        <f t="shared" si="482"/>
        <v>100</v>
      </c>
    </row>
    <row r="1978" spans="1:13" x14ac:dyDescent="0.15">
      <c r="H1978" s="160" t="s">
        <v>765</v>
      </c>
      <c r="I1978" s="128">
        <v>30.5</v>
      </c>
      <c r="J1978" s="100">
        <v>38</v>
      </c>
      <c r="K1978" s="128">
        <v>21.2</v>
      </c>
      <c r="L1978" s="128">
        <v>10.3</v>
      </c>
      <c r="M1978" s="100">
        <f>SUM(I1978:L1978)</f>
        <v>100</v>
      </c>
    </row>
    <row r="1979" spans="1:13" ht="21.75" thickBot="1" x14ac:dyDescent="0.25">
      <c r="A1979" s="29" t="s">
        <v>13</v>
      </c>
      <c r="B1979" s="1"/>
      <c r="C1979" s="1"/>
      <c r="D1979" s="1"/>
      <c r="E1979" s="1"/>
      <c r="F1979" s="1"/>
      <c r="H1979" s="29" t="s">
        <v>14</v>
      </c>
      <c r="I1979" s="1"/>
      <c r="J1979" s="1"/>
      <c r="K1979" s="1"/>
      <c r="L1979" s="1"/>
      <c r="M1979" s="1"/>
    </row>
    <row r="1980" spans="1:13" ht="14.25" thickBot="1" x14ac:dyDescent="0.2">
      <c r="A1980" s="2" t="s">
        <v>0</v>
      </c>
      <c r="B1980" s="164" t="s">
        <v>12</v>
      </c>
      <c r="C1980" s="165"/>
      <c r="D1980" s="165"/>
      <c r="E1980" s="165"/>
      <c r="F1980" s="117"/>
      <c r="H1980" s="2" t="s">
        <v>0</v>
      </c>
      <c r="I1980" s="164" t="s">
        <v>12</v>
      </c>
      <c r="J1980" s="165"/>
      <c r="K1980" s="165"/>
      <c r="L1980" s="165"/>
      <c r="M1980" s="117"/>
    </row>
    <row r="1981" spans="1:13" ht="14.25" thickBot="1" x14ac:dyDescent="0.2">
      <c r="A1981" s="2" t="s">
        <v>1</v>
      </c>
      <c r="B1981" s="3" t="s">
        <v>489</v>
      </c>
      <c r="C1981" s="2" t="s">
        <v>490</v>
      </c>
      <c r="D1981" s="19" t="s">
        <v>491</v>
      </c>
      <c r="E1981" s="2" t="s">
        <v>492</v>
      </c>
      <c r="F1981" s="2" t="s">
        <v>2</v>
      </c>
      <c r="H1981" s="2" t="s">
        <v>1</v>
      </c>
      <c r="I1981" s="3" t="s">
        <v>489</v>
      </c>
      <c r="J1981" s="2" t="s">
        <v>490</v>
      </c>
      <c r="K1981" s="19" t="s">
        <v>491</v>
      </c>
      <c r="L1981" s="2" t="s">
        <v>492</v>
      </c>
      <c r="M1981" s="2" t="s">
        <v>2</v>
      </c>
    </row>
    <row r="1982" spans="1:13" x14ac:dyDescent="0.15">
      <c r="A1982" s="27" t="s">
        <v>6</v>
      </c>
      <c r="B1982" s="18">
        <f>B1976</f>
        <v>4</v>
      </c>
      <c r="C1982" s="20">
        <f>C1976</f>
        <v>4</v>
      </c>
      <c r="D1982" s="55">
        <f>D1976</f>
        <v>3</v>
      </c>
      <c r="E1982" s="20">
        <f>E1976</f>
        <v>5</v>
      </c>
      <c r="F1982" s="17">
        <f>SUM(B1982:E1982)</f>
        <v>16</v>
      </c>
      <c r="H1982" s="27" t="s">
        <v>6</v>
      </c>
      <c r="I1982" s="18">
        <f>I1976</f>
        <v>261</v>
      </c>
      <c r="J1982" s="20">
        <f>J1976</f>
        <v>283</v>
      </c>
      <c r="K1982" s="55">
        <f>K1976</f>
        <v>89</v>
      </c>
      <c r="L1982" s="58">
        <f>L1976</f>
        <v>137</v>
      </c>
      <c r="M1982" s="17">
        <f>SUM(I1982:L1982)</f>
        <v>770</v>
      </c>
    </row>
    <row r="1983" spans="1:13" x14ac:dyDescent="0.15">
      <c r="A1983" s="6" t="s">
        <v>3</v>
      </c>
      <c r="B1983" s="31"/>
      <c r="C1983" s="32"/>
      <c r="D1983" s="31"/>
      <c r="E1983" s="52"/>
      <c r="F1983" s="5">
        <f t="shared" ref="F1983:F1992" si="483">SUM(B1983:E1983)</f>
        <v>0</v>
      </c>
      <c r="H1983" s="6" t="s">
        <v>3</v>
      </c>
      <c r="I1983" s="31"/>
      <c r="J1983" s="32"/>
      <c r="K1983" s="31"/>
      <c r="L1983" s="52"/>
      <c r="M1983" s="5">
        <f t="shared" ref="M1983:M1992" si="484">SUM(I1983:L1983)</f>
        <v>0</v>
      </c>
    </row>
    <row r="1984" spans="1:13" x14ac:dyDescent="0.15">
      <c r="A1984" s="6" t="s">
        <v>3</v>
      </c>
      <c r="B1984" s="31"/>
      <c r="C1984" s="32"/>
      <c r="D1984" s="31"/>
      <c r="E1984" s="52"/>
      <c r="F1984" s="5">
        <f t="shared" si="483"/>
        <v>0</v>
      </c>
      <c r="H1984" s="6" t="s">
        <v>3</v>
      </c>
      <c r="I1984" s="31"/>
      <c r="J1984" s="32"/>
      <c r="K1984" s="31"/>
      <c r="L1984" s="52"/>
      <c r="M1984" s="5">
        <f t="shared" si="484"/>
        <v>0</v>
      </c>
    </row>
    <row r="1985" spans="1:14" x14ac:dyDescent="0.15">
      <c r="A1985" s="6" t="s">
        <v>3</v>
      </c>
      <c r="B1985" s="31"/>
      <c r="C1985" s="32"/>
      <c r="D1985" s="31"/>
      <c r="E1985" s="52"/>
      <c r="F1985" s="5">
        <f t="shared" si="483"/>
        <v>0</v>
      </c>
      <c r="H1985" s="6" t="s">
        <v>3</v>
      </c>
      <c r="I1985" s="31"/>
      <c r="J1985" s="32"/>
      <c r="K1985" s="31"/>
      <c r="L1985" s="52"/>
      <c r="M1985" s="5">
        <f t="shared" si="484"/>
        <v>0</v>
      </c>
    </row>
    <row r="1986" spans="1:14" x14ac:dyDescent="0.15">
      <c r="A1986" s="6" t="s">
        <v>3</v>
      </c>
      <c r="B1986" s="31"/>
      <c r="C1986" s="32"/>
      <c r="D1986" s="31"/>
      <c r="E1986" s="52"/>
      <c r="F1986" s="5">
        <f t="shared" si="483"/>
        <v>0</v>
      </c>
      <c r="H1986" s="6" t="s">
        <v>809</v>
      </c>
      <c r="I1986" s="31">
        <v>330</v>
      </c>
      <c r="J1986" s="32">
        <v>450</v>
      </c>
      <c r="K1986" s="31">
        <v>320</v>
      </c>
      <c r="L1986" s="52">
        <v>100</v>
      </c>
      <c r="M1986" s="5">
        <f t="shared" si="484"/>
        <v>1200</v>
      </c>
      <c r="N1986" s="40" t="s">
        <v>808</v>
      </c>
    </row>
    <row r="1987" spans="1:14" x14ac:dyDescent="0.15">
      <c r="A1987" s="145" t="s">
        <v>3</v>
      </c>
      <c r="B1987" s="146"/>
      <c r="C1987" s="147"/>
      <c r="D1987" s="146"/>
      <c r="E1987" s="148"/>
      <c r="F1987" s="149">
        <f t="shared" si="483"/>
        <v>0</v>
      </c>
      <c r="H1987" s="6" t="s">
        <v>3</v>
      </c>
      <c r="I1987" s="31"/>
      <c r="J1987" s="32"/>
      <c r="K1987" s="31"/>
      <c r="L1987" s="52"/>
      <c r="M1987" s="5">
        <f t="shared" si="484"/>
        <v>0</v>
      </c>
    </row>
    <row r="1988" spans="1:14" x14ac:dyDescent="0.15">
      <c r="A1988" s="6" t="s">
        <v>3</v>
      </c>
      <c r="B1988" s="31"/>
      <c r="C1988" s="32"/>
      <c r="D1988" s="31"/>
      <c r="E1988" s="52"/>
      <c r="F1988" s="5">
        <f t="shared" si="483"/>
        <v>0</v>
      </c>
      <c r="H1988" s="6" t="s">
        <v>3</v>
      </c>
      <c r="I1988" s="31"/>
      <c r="J1988" s="32"/>
      <c r="K1988" s="31"/>
      <c r="L1988" s="52"/>
      <c r="M1988" s="5">
        <f t="shared" si="484"/>
        <v>0</v>
      </c>
    </row>
    <row r="1989" spans="1:14" x14ac:dyDescent="0.15">
      <c r="A1989" s="6" t="s">
        <v>3</v>
      </c>
      <c r="B1989" s="31"/>
      <c r="C1989" s="32"/>
      <c r="D1989" s="31"/>
      <c r="E1989" s="52"/>
      <c r="F1989" s="5">
        <f t="shared" si="483"/>
        <v>0</v>
      </c>
      <c r="H1989" s="6" t="s">
        <v>3</v>
      </c>
      <c r="I1989" s="31"/>
      <c r="J1989" s="32"/>
      <c r="K1989" s="31"/>
      <c r="L1989" s="52"/>
      <c r="M1989" s="5">
        <f t="shared" si="484"/>
        <v>0</v>
      </c>
    </row>
    <row r="1990" spans="1:14" x14ac:dyDescent="0.15">
      <c r="A1990" s="6" t="s">
        <v>3</v>
      </c>
      <c r="B1990" s="31"/>
      <c r="C1990" s="32"/>
      <c r="D1990" s="31"/>
      <c r="E1990" s="52"/>
      <c r="F1990" s="5">
        <f t="shared" si="483"/>
        <v>0</v>
      </c>
      <c r="H1990" s="6" t="s">
        <v>3</v>
      </c>
      <c r="I1990" s="31"/>
      <c r="J1990" s="32"/>
      <c r="K1990" s="31"/>
      <c r="L1990" s="52"/>
      <c r="M1990" s="5">
        <f t="shared" si="484"/>
        <v>0</v>
      </c>
    </row>
    <row r="1991" spans="1:14" x14ac:dyDescent="0.15">
      <c r="A1991" s="6" t="s">
        <v>3</v>
      </c>
      <c r="B1991" s="31"/>
      <c r="C1991" s="32"/>
      <c r="D1991" s="31"/>
      <c r="E1991" s="52"/>
      <c r="F1991" s="5">
        <f t="shared" si="483"/>
        <v>0</v>
      </c>
      <c r="H1991" s="6" t="s">
        <v>3</v>
      </c>
      <c r="I1991" s="34"/>
      <c r="J1991" s="35"/>
      <c r="K1991" s="34"/>
      <c r="L1991" s="32"/>
      <c r="M1991" s="5">
        <f t="shared" si="484"/>
        <v>0</v>
      </c>
    </row>
    <row r="1992" spans="1:14" ht="14.25" thickBot="1" x14ac:dyDescent="0.2">
      <c r="A1992" s="6" t="s">
        <v>3</v>
      </c>
      <c r="B1992" s="13"/>
      <c r="C1992" s="12"/>
      <c r="D1992" s="13"/>
      <c r="E1992" s="50"/>
      <c r="F1992" s="5">
        <f t="shared" si="483"/>
        <v>0</v>
      </c>
      <c r="H1992" s="6" t="s">
        <v>3</v>
      </c>
      <c r="I1992" s="34"/>
      <c r="J1992" s="35"/>
      <c r="K1992" s="34"/>
      <c r="L1992" s="53"/>
      <c r="M1992" s="5">
        <f t="shared" si="484"/>
        <v>0</v>
      </c>
    </row>
    <row r="1993" spans="1:14" ht="14.25" thickBot="1" x14ac:dyDescent="0.2">
      <c r="A1993" s="21" t="s">
        <v>4</v>
      </c>
      <c r="B1993" s="22">
        <f>SUM(B1982:B1992)</f>
        <v>4</v>
      </c>
      <c r="C1993" s="22">
        <f>SUM(C1982:C1992)</f>
        <v>4</v>
      </c>
      <c r="D1993" s="23">
        <f>SUM(D1982:D1992)</f>
        <v>3</v>
      </c>
      <c r="E1993" s="23">
        <f>SUM(E1982:E1992)</f>
        <v>5</v>
      </c>
      <c r="F1993" s="24">
        <f>SUM(B1993:E1993)</f>
        <v>16</v>
      </c>
      <c r="H1993" s="21" t="s">
        <v>4</v>
      </c>
      <c r="I1993" s="22">
        <f>SUM(I1982:I1992)</f>
        <v>591</v>
      </c>
      <c r="J1993" s="22">
        <f>SUM(J1982:J1992)</f>
        <v>733</v>
      </c>
      <c r="K1993" s="23">
        <f>SUM(K1982:K1992)</f>
        <v>409</v>
      </c>
      <c r="L1993" s="23">
        <f>SUM(L1982:L1992)</f>
        <v>237</v>
      </c>
      <c r="M1993" s="24">
        <f>SUM(I1993:L1993)</f>
        <v>1970</v>
      </c>
    </row>
    <row r="1994" spans="1:14" x14ac:dyDescent="0.15">
      <c r="A1994" s="4"/>
      <c r="B1994" s="8"/>
      <c r="C1994" s="9"/>
      <c r="D1994" s="10"/>
      <c r="E1994" s="9"/>
      <c r="F1994" s="5">
        <f t="shared" ref="F1994:F2017" si="485">SUM(B1994:E1994)</f>
        <v>0</v>
      </c>
      <c r="H1994" s="4"/>
      <c r="I1994" s="8"/>
      <c r="J1994" s="9"/>
      <c r="K1994" s="10"/>
      <c r="L1994" s="9"/>
      <c r="M1994" s="7">
        <f t="shared" ref="M1994:M2017" si="486">SUM(I1994:L1994)</f>
        <v>0</v>
      </c>
    </row>
    <row r="1995" spans="1:14" x14ac:dyDescent="0.15">
      <c r="A1995" s="4"/>
      <c r="B1995" s="8"/>
      <c r="C1995" s="9"/>
      <c r="D1995" s="10"/>
      <c r="E1995" s="9"/>
      <c r="F1995" s="5">
        <f t="shared" si="485"/>
        <v>0</v>
      </c>
      <c r="H1995" s="4"/>
      <c r="I1995" s="8"/>
      <c r="J1995" s="9"/>
      <c r="K1995" s="10"/>
      <c r="L1995" s="9"/>
      <c r="M1995" s="7">
        <f t="shared" si="486"/>
        <v>0</v>
      </c>
    </row>
    <row r="1996" spans="1:14" x14ac:dyDescent="0.15">
      <c r="A1996" s="4"/>
      <c r="B1996" s="8"/>
      <c r="C1996" s="9"/>
      <c r="D1996" s="10"/>
      <c r="E1996" s="9"/>
      <c r="F1996" s="5">
        <f t="shared" si="485"/>
        <v>0</v>
      </c>
      <c r="H1996" s="4"/>
      <c r="I1996" s="8"/>
      <c r="J1996" s="9"/>
      <c r="K1996" s="10"/>
      <c r="L1996" s="9"/>
      <c r="M1996" s="7">
        <f t="shared" si="486"/>
        <v>0</v>
      </c>
    </row>
    <row r="1997" spans="1:14" x14ac:dyDescent="0.15">
      <c r="A1997" s="4"/>
      <c r="B1997" s="8"/>
      <c r="C1997" s="9"/>
      <c r="D1997" s="10"/>
      <c r="E1997" s="9"/>
      <c r="F1997" s="5">
        <f t="shared" si="485"/>
        <v>0</v>
      </c>
      <c r="H1997" s="4"/>
      <c r="I1997" s="8"/>
      <c r="J1997" s="9"/>
      <c r="K1997" s="10"/>
      <c r="L1997" s="9"/>
      <c r="M1997" s="7">
        <f t="shared" si="486"/>
        <v>0</v>
      </c>
    </row>
    <row r="1998" spans="1:14" x14ac:dyDescent="0.15">
      <c r="A1998" s="4"/>
      <c r="B1998" s="8"/>
      <c r="C1998" s="9"/>
      <c r="D1998" s="10"/>
      <c r="E1998" s="9"/>
      <c r="F1998" s="5">
        <f t="shared" si="485"/>
        <v>0</v>
      </c>
      <c r="H1998" s="4"/>
      <c r="I1998" s="8"/>
      <c r="J1998" s="9"/>
      <c r="K1998" s="10"/>
      <c r="L1998" s="9"/>
      <c r="M1998" s="7">
        <f t="shared" si="486"/>
        <v>0</v>
      </c>
    </row>
    <row r="1999" spans="1:14" x14ac:dyDescent="0.15">
      <c r="A1999" s="4"/>
      <c r="B1999" s="8"/>
      <c r="C1999" s="9"/>
      <c r="D1999" s="10"/>
      <c r="E1999" s="9"/>
      <c r="F1999" s="5">
        <f t="shared" si="485"/>
        <v>0</v>
      </c>
      <c r="H1999" s="4"/>
      <c r="I1999" s="8"/>
      <c r="J1999" s="9"/>
      <c r="K1999" s="10"/>
      <c r="L1999" s="9"/>
      <c r="M1999" s="7">
        <f t="shared" si="486"/>
        <v>0</v>
      </c>
    </row>
    <row r="2000" spans="1:14" x14ac:dyDescent="0.15">
      <c r="A2000" s="4"/>
      <c r="B2000" s="8"/>
      <c r="C2000" s="9"/>
      <c r="D2000" s="10"/>
      <c r="E2000" s="9"/>
      <c r="F2000" s="5">
        <f t="shared" si="485"/>
        <v>0</v>
      </c>
      <c r="H2000" s="4"/>
      <c r="I2000" s="8"/>
      <c r="J2000" s="9"/>
      <c r="K2000" s="10"/>
      <c r="L2000" s="9"/>
      <c r="M2000" s="7">
        <f t="shared" si="486"/>
        <v>0</v>
      </c>
    </row>
    <row r="2001" spans="1:13" x14ac:dyDescent="0.15">
      <c r="A2001" s="4"/>
      <c r="B2001" s="8"/>
      <c r="C2001" s="9"/>
      <c r="D2001" s="10"/>
      <c r="E2001" s="9"/>
      <c r="F2001" s="5">
        <f t="shared" si="485"/>
        <v>0</v>
      </c>
      <c r="H2001" s="4"/>
      <c r="I2001" s="8"/>
      <c r="J2001" s="9"/>
      <c r="K2001" s="10"/>
      <c r="L2001" s="9"/>
      <c r="M2001" s="7">
        <f t="shared" si="486"/>
        <v>0</v>
      </c>
    </row>
    <row r="2002" spans="1:13" x14ac:dyDescent="0.15">
      <c r="A2002" s="4"/>
      <c r="B2002" s="8"/>
      <c r="C2002" s="9"/>
      <c r="D2002" s="10"/>
      <c r="E2002" s="9"/>
      <c r="F2002" s="5">
        <f t="shared" si="485"/>
        <v>0</v>
      </c>
      <c r="H2002" s="4"/>
      <c r="I2002" s="8"/>
      <c r="J2002" s="9"/>
      <c r="K2002" s="10"/>
      <c r="L2002" s="9"/>
      <c r="M2002" s="7">
        <f t="shared" si="486"/>
        <v>0</v>
      </c>
    </row>
    <row r="2003" spans="1:13" x14ac:dyDescent="0.15">
      <c r="A2003" s="4"/>
      <c r="B2003" s="8"/>
      <c r="C2003" s="9"/>
      <c r="D2003" s="10"/>
      <c r="E2003" s="9"/>
      <c r="F2003" s="5">
        <f t="shared" si="485"/>
        <v>0</v>
      </c>
      <c r="H2003" s="4"/>
      <c r="I2003" s="8"/>
      <c r="J2003" s="9"/>
      <c r="K2003" s="10"/>
      <c r="L2003" s="9"/>
      <c r="M2003" s="7">
        <f t="shared" si="486"/>
        <v>0</v>
      </c>
    </row>
    <row r="2004" spans="1:13" x14ac:dyDescent="0.15">
      <c r="A2004" s="4"/>
      <c r="B2004" s="8"/>
      <c r="C2004" s="9"/>
      <c r="D2004" s="10"/>
      <c r="E2004" s="9"/>
      <c r="F2004" s="5">
        <f t="shared" si="485"/>
        <v>0</v>
      </c>
      <c r="H2004" s="4"/>
      <c r="I2004" s="8"/>
      <c r="J2004" s="9"/>
      <c r="K2004" s="10"/>
      <c r="L2004" s="9"/>
      <c r="M2004" s="7">
        <f t="shared" si="486"/>
        <v>0</v>
      </c>
    </row>
    <row r="2005" spans="1:13" x14ac:dyDescent="0.15">
      <c r="A2005" s="4"/>
      <c r="B2005" s="8"/>
      <c r="C2005" s="9"/>
      <c r="D2005" s="10"/>
      <c r="E2005" s="9"/>
      <c r="F2005" s="5">
        <f t="shared" si="485"/>
        <v>0</v>
      </c>
      <c r="H2005" s="4"/>
      <c r="I2005" s="8"/>
      <c r="J2005" s="9"/>
      <c r="K2005" s="10"/>
      <c r="L2005" s="9"/>
      <c r="M2005" s="7">
        <f t="shared" si="486"/>
        <v>0</v>
      </c>
    </row>
    <row r="2006" spans="1:13" x14ac:dyDescent="0.15">
      <c r="A2006" s="4"/>
      <c r="B2006" s="8"/>
      <c r="C2006" s="9"/>
      <c r="D2006" s="10"/>
      <c r="E2006" s="9"/>
      <c r="F2006" s="5">
        <f t="shared" si="485"/>
        <v>0</v>
      </c>
      <c r="H2006" s="4"/>
      <c r="I2006" s="8"/>
      <c r="J2006" s="9"/>
      <c r="K2006" s="10"/>
      <c r="L2006" s="9"/>
      <c r="M2006" s="7">
        <f t="shared" si="486"/>
        <v>0</v>
      </c>
    </row>
    <row r="2007" spans="1:13" x14ac:dyDescent="0.15">
      <c r="A2007" s="4"/>
      <c r="B2007" s="8"/>
      <c r="C2007" s="9"/>
      <c r="D2007" s="10"/>
      <c r="E2007" s="9"/>
      <c r="F2007" s="5">
        <f t="shared" si="485"/>
        <v>0</v>
      </c>
      <c r="H2007" s="4"/>
      <c r="I2007" s="8"/>
      <c r="J2007" s="9"/>
      <c r="K2007" s="10"/>
      <c r="L2007" s="9"/>
      <c r="M2007" s="7">
        <f t="shared" si="486"/>
        <v>0</v>
      </c>
    </row>
    <row r="2008" spans="1:13" x14ac:dyDescent="0.15">
      <c r="A2008" s="4"/>
      <c r="B2008" s="8"/>
      <c r="C2008" s="9"/>
      <c r="D2008" s="10"/>
      <c r="E2008" s="9"/>
      <c r="F2008" s="5">
        <f t="shared" si="485"/>
        <v>0</v>
      </c>
      <c r="H2008" s="4"/>
      <c r="I2008" s="8"/>
      <c r="J2008" s="9"/>
      <c r="K2008" s="10"/>
      <c r="L2008" s="9"/>
      <c r="M2008" s="7">
        <f t="shared" si="486"/>
        <v>0</v>
      </c>
    </row>
    <row r="2009" spans="1:13" x14ac:dyDescent="0.15">
      <c r="A2009" s="4"/>
      <c r="B2009" s="8"/>
      <c r="C2009" s="9"/>
      <c r="D2009" s="10"/>
      <c r="E2009" s="9"/>
      <c r="F2009" s="5">
        <f t="shared" si="485"/>
        <v>0</v>
      </c>
      <c r="H2009" s="4"/>
      <c r="I2009" s="8"/>
      <c r="J2009" s="9"/>
      <c r="K2009" s="10"/>
      <c r="L2009" s="9"/>
      <c r="M2009" s="7">
        <f t="shared" si="486"/>
        <v>0</v>
      </c>
    </row>
    <row r="2010" spans="1:13" x14ac:dyDescent="0.15">
      <c r="A2010" s="4"/>
      <c r="B2010" s="8"/>
      <c r="C2010" s="9"/>
      <c r="D2010" s="10"/>
      <c r="E2010" s="9"/>
      <c r="F2010" s="5">
        <f t="shared" si="485"/>
        <v>0</v>
      </c>
      <c r="H2010" s="4"/>
      <c r="I2010" s="8"/>
      <c r="J2010" s="9"/>
      <c r="K2010" s="10"/>
      <c r="L2010" s="9"/>
      <c r="M2010" s="7">
        <f t="shared" si="486"/>
        <v>0</v>
      </c>
    </row>
    <row r="2011" spans="1:13" x14ac:dyDescent="0.15">
      <c r="A2011" s="4"/>
      <c r="B2011" s="8"/>
      <c r="C2011" s="9"/>
      <c r="D2011" s="10"/>
      <c r="E2011" s="9"/>
      <c r="F2011" s="5">
        <f t="shared" si="485"/>
        <v>0</v>
      </c>
      <c r="H2011" s="4"/>
      <c r="I2011" s="8"/>
      <c r="J2011" s="9"/>
      <c r="K2011" s="10"/>
      <c r="L2011" s="9"/>
      <c r="M2011" s="7">
        <f t="shared" si="486"/>
        <v>0</v>
      </c>
    </row>
    <row r="2012" spans="1:13" x14ac:dyDescent="0.15">
      <c r="A2012" s="4"/>
      <c r="B2012" s="8"/>
      <c r="C2012" s="9"/>
      <c r="D2012" s="10"/>
      <c r="E2012" s="9"/>
      <c r="F2012" s="5">
        <f t="shared" si="485"/>
        <v>0</v>
      </c>
      <c r="H2012" s="4"/>
      <c r="I2012" s="8"/>
      <c r="J2012" s="9"/>
      <c r="K2012" s="10"/>
      <c r="L2012" s="9"/>
      <c r="M2012" s="7">
        <f t="shared" si="486"/>
        <v>0</v>
      </c>
    </row>
    <row r="2013" spans="1:13" x14ac:dyDescent="0.15">
      <c r="A2013" s="4"/>
      <c r="B2013" s="8"/>
      <c r="C2013" s="9"/>
      <c r="D2013" s="10"/>
      <c r="E2013" s="9"/>
      <c r="F2013" s="5">
        <f t="shared" si="485"/>
        <v>0</v>
      </c>
      <c r="H2013" s="4"/>
      <c r="I2013" s="8"/>
      <c r="J2013" s="9"/>
      <c r="K2013" s="10"/>
      <c r="L2013" s="9"/>
      <c r="M2013" s="7">
        <f t="shared" si="486"/>
        <v>0</v>
      </c>
    </row>
    <row r="2014" spans="1:13" x14ac:dyDescent="0.15">
      <c r="A2014" s="4"/>
      <c r="B2014" s="8"/>
      <c r="C2014" s="9"/>
      <c r="D2014" s="10"/>
      <c r="E2014" s="9"/>
      <c r="F2014" s="5">
        <f t="shared" si="485"/>
        <v>0</v>
      </c>
      <c r="H2014" s="4"/>
      <c r="I2014" s="8"/>
      <c r="J2014" s="9"/>
      <c r="K2014" s="10"/>
      <c r="L2014" s="9"/>
      <c r="M2014" s="7">
        <f t="shared" si="486"/>
        <v>0</v>
      </c>
    </row>
    <row r="2015" spans="1:13" x14ac:dyDescent="0.15">
      <c r="A2015" s="4"/>
      <c r="B2015" s="8"/>
      <c r="C2015" s="9"/>
      <c r="D2015" s="10"/>
      <c r="E2015" s="9"/>
      <c r="F2015" s="5">
        <f t="shared" si="485"/>
        <v>0</v>
      </c>
      <c r="H2015" s="4"/>
      <c r="I2015" s="8"/>
      <c r="J2015" s="9"/>
      <c r="K2015" s="10"/>
      <c r="L2015" s="9"/>
      <c r="M2015" s="7">
        <f t="shared" si="486"/>
        <v>0</v>
      </c>
    </row>
    <row r="2016" spans="1:13" x14ac:dyDescent="0.15">
      <c r="A2016" s="4"/>
      <c r="B2016" s="8"/>
      <c r="C2016" s="9"/>
      <c r="D2016" s="10"/>
      <c r="E2016" s="9"/>
      <c r="F2016" s="5">
        <f t="shared" si="485"/>
        <v>0</v>
      </c>
      <c r="H2016" s="4"/>
      <c r="I2016" s="8"/>
      <c r="J2016" s="9"/>
      <c r="K2016" s="10"/>
      <c r="L2016" s="9"/>
      <c r="M2016" s="7">
        <f t="shared" si="486"/>
        <v>0</v>
      </c>
    </row>
    <row r="2017" spans="1:13" ht="14.25" thickBot="1" x14ac:dyDescent="0.2">
      <c r="A2017" s="4"/>
      <c r="B2017" s="8"/>
      <c r="C2017" s="9"/>
      <c r="D2017" s="10"/>
      <c r="E2017" s="9"/>
      <c r="F2017" s="5">
        <f t="shared" si="485"/>
        <v>0</v>
      </c>
      <c r="H2017" s="4"/>
      <c r="I2017" s="8"/>
      <c r="J2017" s="9"/>
      <c r="K2017" s="10"/>
      <c r="L2017" s="9"/>
      <c r="M2017" s="7">
        <f t="shared" si="486"/>
        <v>0</v>
      </c>
    </row>
    <row r="2018" spans="1:13" ht="14.25" thickBot="1" x14ac:dyDescent="0.2">
      <c r="A2018" s="3" t="s">
        <v>5</v>
      </c>
      <c r="B2018" s="14">
        <f>SUM(B1994:B2017)</f>
        <v>0</v>
      </c>
      <c r="C2018" s="14">
        <f>SUM(C1994:C2017)</f>
        <v>0</v>
      </c>
      <c r="D2018" s="14">
        <f>SUM(D1994:D2017)</f>
        <v>0</v>
      </c>
      <c r="E2018" s="14">
        <f>SUM(E1994:E2017)</f>
        <v>0</v>
      </c>
      <c r="F2018" s="15">
        <f>SUM(B2018:E2018)</f>
        <v>0</v>
      </c>
      <c r="H2018" s="3" t="s">
        <v>5</v>
      </c>
      <c r="I2018" s="14">
        <f>SUM(I1994:I2017)</f>
        <v>0</v>
      </c>
      <c r="J2018" s="14">
        <f>SUM(J1994:J2017)</f>
        <v>0</v>
      </c>
      <c r="K2018" s="14">
        <f>SUM(K1994:K2017)</f>
        <v>0</v>
      </c>
      <c r="L2018" s="14">
        <f>SUM(L1994:L2017)</f>
        <v>0</v>
      </c>
      <c r="M2018" s="15">
        <f>SUM(I2018:L2018)</f>
        <v>0</v>
      </c>
    </row>
    <row r="2019" spans="1:13" ht="14.25" thickBot="1" x14ac:dyDescent="0.2">
      <c r="A2019" s="25" t="s">
        <v>6</v>
      </c>
      <c r="B2019" s="26">
        <f>B1993-B2018</f>
        <v>4</v>
      </c>
      <c r="C2019" s="26">
        <f t="shared" ref="C2019:F2019" si="487">C1993-C2018</f>
        <v>4</v>
      </c>
      <c r="D2019" s="26">
        <f t="shared" si="487"/>
        <v>3</v>
      </c>
      <c r="E2019" s="26">
        <f t="shared" si="487"/>
        <v>5</v>
      </c>
      <c r="F2019" s="24">
        <f t="shared" si="487"/>
        <v>16</v>
      </c>
      <c r="H2019" s="25" t="s">
        <v>6</v>
      </c>
      <c r="I2019" s="26">
        <f>I1993-I2018</f>
        <v>591</v>
      </c>
      <c r="J2019" s="26">
        <f t="shared" ref="J2019:M2019" si="488">J1993-J2018</f>
        <v>733</v>
      </c>
      <c r="K2019" s="26">
        <f t="shared" si="488"/>
        <v>409</v>
      </c>
      <c r="L2019" s="26">
        <f t="shared" si="488"/>
        <v>237</v>
      </c>
      <c r="M2019" s="24">
        <f t="shared" si="488"/>
        <v>1970</v>
      </c>
    </row>
    <row r="2020" spans="1:13" x14ac:dyDescent="0.15">
      <c r="H2020" s="161" t="s">
        <v>766</v>
      </c>
      <c r="I2020" s="72">
        <f>I2019/$M$2019*100</f>
        <v>30</v>
      </c>
      <c r="J2020" s="72">
        <f t="shared" ref="J2020:M2020" si="489">J2019/$M$2019*100</f>
        <v>37.208121827411169</v>
      </c>
      <c r="K2020" s="72">
        <f t="shared" si="489"/>
        <v>20.761421319796955</v>
      </c>
      <c r="L2020" s="72">
        <f t="shared" si="489"/>
        <v>12.030456852791877</v>
      </c>
      <c r="M2020" s="72">
        <f t="shared" si="489"/>
        <v>100</v>
      </c>
    </row>
    <row r="2021" spans="1:13" x14ac:dyDescent="0.15">
      <c r="H2021" s="160" t="s">
        <v>765</v>
      </c>
      <c r="I2021" s="128">
        <v>30.5</v>
      </c>
      <c r="J2021" s="100">
        <v>38</v>
      </c>
      <c r="K2021" s="128">
        <v>21.2</v>
      </c>
      <c r="L2021" s="128">
        <v>10.3</v>
      </c>
      <c r="M2021" s="100">
        <f>SUM(I2021:L2021)</f>
        <v>100</v>
      </c>
    </row>
  </sheetData>
  <mergeCells count="101">
    <mergeCell ref="B1206:E1206"/>
    <mergeCell ref="I1206:L1206"/>
    <mergeCell ref="I346:M346"/>
    <mergeCell ref="P2:T2"/>
    <mergeCell ref="B88:F88"/>
    <mergeCell ref="I88:M88"/>
    <mergeCell ref="P88:T88"/>
    <mergeCell ref="B45:F45"/>
    <mergeCell ref="I45:M45"/>
    <mergeCell ref="P45:T45"/>
    <mergeCell ref="B2:F2"/>
    <mergeCell ref="I2:M2"/>
    <mergeCell ref="B346:F346"/>
    <mergeCell ref="P131:T131"/>
    <mergeCell ref="B174:F174"/>
    <mergeCell ref="I174:M174"/>
    <mergeCell ref="P174:T174"/>
    <mergeCell ref="I303:M303"/>
    <mergeCell ref="B217:F217"/>
    <mergeCell ref="I217:M217"/>
    <mergeCell ref="B131:F131"/>
    <mergeCell ref="I131:M131"/>
    <mergeCell ref="P217:T217"/>
    <mergeCell ref="I260:M260"/>
    <mergeCell ref="B260:F260"/>
    <mergeCell ref="B303:F303"/>
    <mergeCell ref="I819:L819"/>
    <mergeCell ref="B819:E819"/>
    <mergeCell ref="I776:L776"/>
    <mergeCell ref="B776:E776"/>
    <mergeCell ref="I733:L733"/>
    <mergeCell ref="B733:E733"/>
    <mergeCell ref="B389:F389"/>
    <mergeCell ref="I389:M389"/>
    <mergeCell ref="B647:F647"/>
    <mergeCell ref="I647:M647"/>
    <mergeCell ref="I690:L690"/>
    <mergeCell ref="B690:E690"/>
    <mergeCell ref="B604:F604"/>
    <mergeCell ref="B518:F518"/>
    <mergeCell ref="I518:M518"/>
    <mergeCell ref="B432:F432"/>
    <mergeCell ref="I432:M432"/>
    <mergeCell ref="B475:F475"/>
    <mergeCell ref="I475:M475"/>
    <mergeCell ref="I604:M604"/>
    <mergeCell ref="B561:F561"/>
    <mergeCell ref="I561:M561"/>
    <mergeCell ref="N1544:Q1544"/>
    <mergeCell ref="B1593:E1593"/>
    <mergeCell ref="I1593:L1593"/>
    <mergeCell ref="B1550:E1550"/>
    <mergeCell ref="I1550:L1550"/>
    <mergeCell ref="I1894:L1894"/>
    <mergeCell ref="B1894:E1894"/>
    <mergeCell ref="B1851:E1851"/>
    <mergeCell ref="I1851:L1851"/>
    <mergeCell ref="I1679:L1679"/>
    <mergeCell ref="B1808:E1808"/>
    <mergeCell ref="I1808:L1808"/>
    <mergeCell ref="B1636:E1636"/>
    <mergeCell ref="I1636:L1636"/>
    <mergeCell ref="B1765:E1765"/>
    <mergeCell ref="I1765:L1765"/>
    <mergeCell ref="B1679:E1679"/>
    <mergeCell ref="B1722:E1722"/>
    <mergeCell ref="I1722:L1722"/>
    <mergeCell ref="I1937:L1937"/>
    <mergeCell ref="B1937:E1937"/>
    <mergeCell ref="I1980:L1980"/>
    <mergeCell ref="B1980:E1980"/>
    <mergeCell ref="B1507:E1507"/>
    <mergeCell ref="I1507:L1507"/>
    <mergeCell ref="B1077:E1077"/>
    <mergeCell ref="I1077:L1077"/>
    <mergeCell ref="B1163:E1163"/>
    <mergeCell ref="I1163:L1163"/>
    <mergeCell ref="B1249:E1249"/>
    <mergeCell ref="I1249:L1249"/>
    <mergeCell ref="B1120:E1120"/>
    <mergeCell ref="I1120:L1120"/>
    <mergeCell ref="B1292:E1292"/>
    <mergeCell ref="I1292:L1292"/>
    <mergeCell ref="B1464:E1464"/>
    <mergeCell ref="I1464:L1464"/>
    <mergeCell ref="B1421:E1421"/>
    <mergeCell ref="I1421:L1421"/>
    <mergeCell ref="B1378:E1378"/>
    <mergeCell ref="I1378:L1378"/>
    <mergeCell ref="B1335:E1335"/>
    <mergeCell ref="I1335:L1335"/>
    <mergeCell ref="B862:E862"/>
    <mergeCell ref="I862:L862"/>
    <mergeCell ref="B905:E905"/>
    <mergeCell ref="I905:L905"/>
    <mergeCell ref="B948:E948"/>
    <mergeCell ref="I948:L948"/>
    <mergeCell ref="B991:E991"/>
    <mergeCell ref="I991:L991"/>
    <mergeCell ref="B1034:E1034"/>
    <mergeCell ref="I1034:L1034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21"/>
  <sheetViews>
    <sheetView topLeftCell="A91" zoomScaleNormal="100" workbookViewId="0">
      <selection activeCell="S106" sqref="S106"/>
    </sheetView>
  </sheetViews>
  <sheetFormatPr defaultRowHeight="13.5" x14ac:dyDescent="0.15"/>
  <cols>
    <col min="2" max="2" width="13.875" customWidth="1"/>
    <col min="3" max="6" width="5.25" customWidth="1"/>
    <col min="7" max="7" width="7.125" customWidth="1"/>
    <col min="8" max="11" width="5.25" customWidth="1"/>
    <col min="12" max="12" width="7.125" customWidth="1"/>
    <col min="13" max="16" width="5.25" customWidth="1"/>
    <col min="17" max="18" width="7.125" customWidth="1"/>
    <col min="19" max="19" width="9.25" style="40" bestFit="1" customWidth="1"/>
  </cols>
  <sheetData>
    <row r="1" spans="2:19" ht="21.75" thickBot="1" x14ac:dyDescent="0.25">
      <c r="B1" s="88" t="s">
        <v>107</v>
      </c>
      <c r="C1" s="89"/>
      <c r="D1" s="89"/>
      <c r="E1" s="89"/>
      <c r="F1" s="89"/>
      <c r="G1" s="90"/>
      <c r="H1" s="89"/>
      <c r="I1" s="88"/>
      <c r="J1" s="87"/>
      <c r="K1" s="87"/>
      <c r="L1" s="87"/>
      <c r="M1" s="1"/>
      <c r="N1" s="1"/>
      <c r="O1" s="1"/>
      <c r="P1" s="1"/>
      <c r="Q1" s="1"/>
    </row>
    <row r="2" spans="2:19" ht="14.25" thickBot="1" x14ac:dyDescent="0.2">
      <c r="B2" s="2" t="s">
        <v>0</v>
      </c>
      <c r="C2" s="169" t="s">
        <v>106</v>
      </c>
      <c r="D2" s="169"/>
      <c r="E2" s="169"/>
      <c r="F2" s="169"/>
      <c r="G2" s="170"/>
      <c r="H2" s="171" t="s">
        <v>105</v>
      </c>
      <c r="I2" s="172"/>
      <c r="J2" s="172"/>
      <c r="K2" s="172"/>
      <c r="L2" s="173"/>
      <c r="M2" s="174" t="s">
        <v>104</v>
      </c>
      <c r="N2" s="175"/>
      <c r="O2" s="175"/>
      <c r="P2" s="175"/>
      <c r="Q2" s="176"/>
      <c r="R2" s="177"/>
    </row>
    <row r="3" spans="2:19" ht="14.25" thickBot="1" x14ac:dyDescent="0.2">
      <c r="B3" s="2" t="s">
        <v>1</v>
      </c>
      <c r="C3" s="3" t="s">
        <v>103</v>
      </c>
      <c r="D3" s="2" t="s">
        <v>102</v>
      </c>
      <c r="E3" s="2" t="s">
        <v>101</v>
      </c>
      <c r="F3" s="19" t="s">
        <v>100</v>
      </c>
      <c r="G3" s="2" t="s">
        <v>2</v>
      </c>
      <c r="H3" s="3" t="s">
        <v>103</v>
      </c>
      <c r="I3" s="2" t="s">
        <v>102</v>
      </c>
      <c r="J3" s="2" t="s">
        <v>101</v>
      </c>
      <c r="K3" s="19" t="s">
        <v>100</v>
      </c>
      <c r="L3" s="2" t="s">
        <v>2</v>
      </c>
      <c r="M3" s="3" t="s">
        <v>103</v>
      </c>
      <c r="N3" s="2" t="s">
        <v>102</v>
      </c>
      <c r="O3" s="2" t="s">
        <v>101</v>
      </c>
      <c r="P3" s="19" t="s">
        <v>100</v>
      </c>
      <c r="Q3" s="3" t="s">
        <v>2</v>
      </c>
      <c r="R3" s="178"/>
    </row>
    <row r="4" spans="2:19" x14ac:dyDescent="0.15">
      <c r="B4" s="6" t="s">
        <v>3</v>
      </c>
      <c r="C4" s="66">
        <v>1</v>
      </c>
      <c r="D4" s="4"/>
      <c r="E4" s="4"/>
      <c r="F4" s="66"/>
      <c r="G4" s="5">
        <f>SUM(C4:F4)</f>
        <v>1</v>
      </c>
      <c r="H4" s="66">
        <v>1</v>
      </c>
      <c r="I4" s="4"/>
      <c r="J4" s="4"/>
      <c r="K4" s="66"/>
      <c r="L4" s="5">
        <f>SUM(H4:K4)</f>
        <v>1</v>
      </c>
      <c r="M4" s="66">
        <v>1</v>
      </c>
      <c r="N4" s="4"/>
      <c r="O4" s="4"/>
      <c r="P4" s="66"/>
      <c r="Q4" s="5">
        <f>SUM(M4:P4)</f>
        <v>1</v>
      </c>
      <c r="R4" s="79">
        <f t="shared" ref="R4:R14" si="0">G4+L4+Q4</f>
        <v>3</v>
      </c>
      <c r="S4" s="39">
        <v>44460</v>
      </c>
    </row>
    <row r="5" spans="2:19" x14ac:dyDescent="0.15">
      <c r="B5" s="6" t="s">
        <v>3</v>
      </c>
      <c r="C5" s="16"/>
      <c r="D5" s="11">
        <v>1</v>
      </c>
      <c r="E5" s="11"/>
      <c r="F5" s="66"/>
      <c r="G5" s="5">
        <f t="shared" ref="G5:G37" si="1">SUM(C5:F5)</f>
        <v>1</v>
      </c>
      <c r="H5" s="16"/>
      <c r="I5" s="11">
        <v>1</v>
      </c>
      <c r="J5" s="11"/>
      <c r="K5" s="66"/>
      <c r="L5" s="5">
        <f t="shared" ref="L5:L39" si="2">SUM(H5:K5)</f>
        <v>1</v>
      </c>
      <c r="M5" s="16"/>
      <c r="N5" s="11">
        <v>1</v>
      </c>
      <c r="O5" s="11"/>
      <c r="P5" s="66"/>
      <c r="Q5" s="5">
        <f t="shared" ref="Q5:Q39" si="3">SUM(M5:P5)</f>
        <v>1</v>
      </c>
      <c r="R5" s="79">
        <f t="shared" si="0"/>
        <v>3</v>
      </c>
      <c r="S5" s="39">
        <v>44463</v>
      </c>
    </row>
    <row r="6" spans="2:19" x14ac:dyDescent="0.15">
      <c r="B6" s="6" t="s">
        <v>3</v>
      </c>
      <c r="C6" s="16">
        <v>1</v>
      </c>
      <c r="D6" s="11"/>
      <c r="E6" s="11"/>
      <c r="F6" s="66"/>
      <c r="G6" s="5">
        <f t="shared" si="1"/>
        <v>1</v>
      </c>
      <c r="H6" s="16">
        <v>1</v>
      </c>
      <c r="I6" s="11"/>
      <c r="J6" s="11"/>
      <c r="K6" s="66"/>
      <c r="L6" s="5">
        <f t="shared" si="2"/>
        <v>1</v>
      </c>
      <c r="M6" s="16">
        <v>1</v>
      </c>
      <c r="N6" s="11"/>
      <c r="O6" s="11"/>
      <c r="P6" s="66"/>
      <c r="Q6" s="5">
        <f t="shared" si="3"/>
        <v>1</v>
      </c>
      <c r="R6" s="79">
        <f t="shared" si="0"/>
        <v>3</v>
      </c>
      <c r="S6" s="39">
        <v>44476</v>
      </c>
    </row>
    <row r="7" spans="2:19" x14ac:dyDescent="0.15">
      <c r="B7" s="6" t="s">
        <v>3</v>
      </c>
      <c r="C7" s="16"/>
      <c r="D7" s="11"/>
      <c r="E7" s="11">
        <v>1</v>
      </c>
      <c r="F7" s="66"/>
      <c r="G7" s="5">
        <f t="shared" si="1"/>
        <v>1</v>
      </c>
      <c r="H7" s="16"/>
      <c r="I7" s="11"/>
      <c r="J7" s="11">
        <v>1</v>
      </c>
      <c r="K7" s="66"/>
      <c r="L7" s="5">
        <f t="shared" si="2"/>
        <v>1</v>
      </c>
      <c r="M7" s="16"/>
      <c r="N7" s="11"/>
      <c r="O7" s="11">
        <v>1</v>
      </c>
      <c r="P7" s="66"/>
      <c r="Q7" s="5">
        <f t="shared" si="3"/>
        <v>1</v>
      </c>
      <c r="R7" s="79">
        <f t="shared" si="0"/>
        <v>3</v>
      </c>
      <c r="S7" s="39">
        <v>44505</v>
      </c>
    </row>
    <row r="8" spans="2:19" x14ac:dyDescent="0.15">
      <c r="B8" s="6" t="s">
        <v>3</v>
      </c>
      <c r="C8" s="16"/>
      <c r="D8" s="11"/>
      <c r="E8" s="11">
        <v>1</v>
      </c>
      <c r="F8" s="66"/>
      <c r="G8" s="5">
        <f t="shared" si="1"/>
        <v>1</v>
      </c>
      <c r="H8" s="16"/>
      <c r="I8" s="11"/>
      <c r="J8" s="11">
        <v>1</v>
      </c>
      <c r="K8" s="66"/>
      <c r="L8" s="5">
        <f t="shared" si="2"/>
        <v>1</v>
      </c>
      <c r="M8" s="16"/>
      <c r="N8" s="11"/>
      <c r="O8" s="11">
        <v>1</v>
      </c>
      <c r="P8" s="66"/>
      <c r="Q8" s="5">
        <f t="shared" si="3"/>
        <v>1</v>
      </c>
      <c r="R8" s="79">
        <f t="shared" si="0"/>
        <v>3</v>
      </c>
      <c r="S8" s="39">
        <v>44506</v>
      </c>
    </row>
    <row r="9" spans="2:19" x14ac:dyDescent="0.15">
      <c r="B9" s="6" t="s">
        <v>3</v>
      </c>
      <c r="C9" s="16"/>
      <c r="D9" s="11">
        <v>1</v>
      </c>
      <c r="E9" s="11"/>
      <c r="F9" s="66">
        <v>1</v>
      </c>
      <c r="G9" s="5">
        <f t="shared" si="1"/>
        <v>2</v>
      </c>
      <c r="H9" s="16"/>
      <c r="I9" s="11">
        <v>1</v>
      </c>
      <c r="J9" s="11"/>
      <c r="K9" s="66">
        <v>1</v>
      </c>
      <c r="L9" s="5">
        <f t="shared" si="2"/>
        <v>2</v>
      </c>
      <c r="M9" s="16"/>
      <c r="N9" s="11">
        <v>1</v>
      </c>
      <c r="O9" s="11"/>
      <c r="P9" s="66">
        <v>1</v>
      </c>
      <c r="Q9" s="5">
        <f t="shared" si="3"/>
        <v>2</v>
      </c>
      <c r="R9" s="79">
        <f t="shared" si="0"/>
        <v>6</v>
      </c>
      <c r="S9" s="39">
        <v>44519</v>
      </c>
    </row>
    <row r="10" spans="2:19" x14ac:dyDescent="0.15">
      <c r="B10" s="6" t="s">
        <v>3</v>
      </c>
      <c r="C10" s="16"/>
      <c r="D10" s="11"/>
      <c r="E10" s="11">
        <v>1</v>
      </c>
      <c r="F10" s="66">
        <v>2</v>
      </c>
      <c r="G10" s="5">
        <f t="shared" si="1"/>
        <v>3</v>
      </c>
      <c r="H10" s="16"/>
      <c r="I10" s="11"/>
      <c r="J10" s="11">
        <v>1</v>
      </c>
      <c r="K10" s="66">
        <v>2</v>
      </c>
      <c r="L10" s="5">
        <f t="shared" si="2"/>
        <v>3</v>
      </c>
      <c r="M10" s="16"/>
      <c r="N10" s="11"/>
      <c r="O10" s="11">
        <v>1</v>
      </c>
      <c r="P10" s="66">
        <v>2</v>
      </c>
      <c r="Q10" s="5">
        <f t="shared" si="3"/>
        <v>3</v>
      </c>
      <c r="R10" s="79">
        <f t="shared" si="0"/>
        <v>9</v>
      </c>
      <c r="S10" s="39">
        <v>44586</v>
      </c>
    </row>
    <row r="11" spans="2:19" x14ac:dyDescent="0.15">
      <c r="B11" s="6" t="s">
        <v>3</v>
      </c>
      <c r="C11" s="10"/>
      <c r="D11" s="9">
        <v>1</v>
      </c>
      <c r="E11" s="9"/>
      <c r="F11" s="78"/>
      <c r="G11" s="5">
        <f t="shared" si="1"/>
        <v>1</v>
      </c>
      <c r="H11" s="10"/>
      <c r="I11" s="9">
        <v>1</v>
      </c>
      <c r="J11" s="9"/>
      <c r="K11" s="78"/>
      <c r="L11" s="5">
        <f t="shared" si="2"/>
        <v>1</v>
      </c>
      <c r="M11" s="10"/>
      <c r="N11" s="9">
        <v>1</v>
      </c>
      <c r="O11" s="9"/>
      <c r="P11" s="78"/>
      <c r="Q11" s="5">
        <f t="shared" si="3"/>
        <v>1</v>
      </c>
      <c r="R11" s="79">
        <f t="shared" si="0"/>
        <v>3</v>
      </c>
      <c r="S11" s="39">
        <v>44602</v>
      </c>
    </row>
    <row r="12" spans="2:19" x14ac:dyDescent="0.15">
      <c r="B12" s="6" t="s">
        <v>3</v>
      </c>
      <c r="C12" s="10"/>
      <c r="D12" s="9">
        <v>1</v>
      </c>
      <c r="E12" s="9"/>
      <c r="F12" s="78"/>
      <c r="G12" s="5">
        <f t="shared" si="1"/>
        <v>1</v>
      </c>
      <c r="H12" s="10"/>
      <c r="I12" s="9">
        <v>1</v>
      </c>
      <c r="J12" s="9"/>
      <c r="K12" s="78"/>
      <c r="L12" s="5">
        <f t="shared" si="2"/>
        <v>1</v>
      </c>
      <c r="M12" s="10"/>
      <c r="N12" s="9">
        <v>1</v>
      </c>
      <c r="O12" s="9"/>
      <c r="P12" s="78"/>
      <c r="Q12" s="5">
        <f t="shared" si="3"/>
        <v>1</v>
      </c>
      <c r="R12" s="79">
        <f t="shared" si="0"/>
        <v>3</v>
      </c>
      <c r="S12" s="39">
        <v>44606</v>
      </c>
    </row>
    <row r="13" spans="2:19" x14ac:dyDescent="0.15">
      <c r="B13" s="6" t="s">
        <v>3</v>
      </c>
      <c r="C13" s="10">
        <v>1</v>
      </c>
      <c r="D13" s="9"/>
      <c r="E13" s="9"/>
      <c r="F13" s="78"/>
      <c r="G13" s="5">
        <f t="shared" si="1"/>
        <v>1</v>
      </c>
      <c r="H13" s="10">
        <v>1</v>
      </c>
      <c r="I13" s="9"/>
      <c r="J13" s="9"/>
      <c r="K13" s="78"/>
      <c r="L13" s="5">
        <f t="shared" si="2"/>
        <v>1</v>
      </c>
      <c r="M13" s="10">
        <v>1</v>
      </c>
      <c r="N13" s="9"/>
      <c r="O13" s="9"/>
      <c r="P13" s="78"/>
      <c r="Q13" s="5">
        <f t="shared" si="3"/>
        <v>1</v>
      </c>
      <c r="R13" s="79">
        <f t="shared" si="0"/>
        <v>3</v>
      </c>
      <c r="S13" s="39">
        <v>44627</v>
      </c>
    </row>
    <row r="14" spans="2:19" ht="14.25" thickBot="1" x14ac:dyDescent="0.2">
      <c r="B14" s="84" t="s">
        <v>3</v>
      </c>
      <c r="C14" s="13"/>
      <c r="D14" s="12"/>
      <c r="E14" s="12">
        <v>2</v>
      </c>
      <c r="F14" s="1"/>
      <c r="G14" s="83">
        <f t="shared" si="1"/>
        <v>2</v>
      </c>
      <c r="H14" s="13"/>
      <c r="I14" s="12"/>
      <c r="J14" s="12">
        <v>2</v>
      </c>
      <c r="K14" s="1"/>
      <c r="L14" s="83">
        <f t="shared" si="2"/>
        <v>2</v>
      </c>
      <c r="M14" s="13"/>
      <c r="N14" s="12"/>
      <c r="O14" s="12">
        <v>2</v>
      </c>
      <c r="P14" s="1"/>
      <c r="Q14" s="83">
        <f t="shared" si="3"/>
        <v>2</v>
      </c>
      <c r="R14" s="77">
        <f t="shared" si="0"/>
        <v>6</v>
      </c>
      <c r="S14" s="39">
        <v>44628</v>
      </c>
    </row>
    <row r="15" spans="2:19" ht="14.25" thickBot="1" x14ac:dyDescent="0.2">
      <c r="B15" s="21" t="s">
        <v>4</v>
      </c>
      <c r="C15" s="22">
        <f>SUM(C4:C14)</f>
        <v>3</v>
      </c>
      <c r="D15" s="22">
        <f>SUM(D4:D14)</f>
        <v>4</v>
      </c>
      <c r="E15" s="22">
        <f>SUM(E4:E14)</f>
        <v>5</v>
      </c>
      <c r="F15" s="82">
        <f>SUM(F4:F14)</f>
        <v>3</v>
      </c>
      <c r="G15" s="24">
        <f>SUM(C15:F15)</f>
        <v>15</v>
      </c>
      <c r="H15" s="22">
        <f>SUM(H4:H14)</f>
        <v>3</v>
      </c>
      <c r="I15" s="22">
        <f>SUM(I4:I14)</f>
        <v>4</v>
      </c>
      <c r="J15" s="22">
        <f>SUM(J4:J14)</f>
        <v>5</v>
      </c>
      <c r="K15" s="82">
        <f>SUM(K4:K14)</f>
        <v>3</v>
      </c>
      <c r="L15" s="24">
        <f t="shared" si="2"/>
        <v>15</v>
      </c>
      <c r="M15" s="22">
        <f>SUM(M4:M14)</f>
        <v>3</v>
      </c>
      <c r="N15" s="22">
        <f>SUM(N4:N14)</f>
        <v>4</v>
      </c>
      <c r="O15" s="22">
        <f>SUM(O4:O14)</f>
        <v>5</v>
      </c>
      <c r="P15" s="82">
        <f>SUM(P4:P14)</f>
        <v>3</v>
      </c>
      <c r="Q15" s="24">
        <f t="shared" si="3"/>
        <v>15</v>
      </c>
      <c r="R15" s="81">
        <f>SUM(R4:R14)</f>
        <v>45</v>
      </c>
    </row>
    <row r="16" spans="2:19" x14ac:dyDescent="0.15">
      <c r="B16" s="4" t="s">
        <v>34</v>
      </c>
      <c r="C16" s="80"/>
      <c r="D16" s="49"/>
      <c r="E16" s="49"/>
      <c r="F16" s="78"/>
      <c r="G16" s="5">
        <f t="shared" si="1"/>
        <v>0</v>
      </c>
      <c r="H16" s="80"/>
      <c r="I16" s="49"/>
      <c r="J16" s="49"/>
      <c r="K16" s="78"/>
      <c r="L16" s="5">
        <f t="shared" si="2"/>
        <v>0</v>
      </c>
      <c r="M16" s="80">
        <v>1</v>
      </c>
      <c r="N16" s="49"/>
      <c r="O16" s="49"/>
      <c r="P16" s="78"/>
      <c r="Q16" s="5">
        <f t="shared" si="3"/>
        <v>1</v>
      </c>
      <c r="R16" s="79">
        <f t="shared" ref="R16:R37" si="4">G16+L16+Q16</f>
        <v>1</v>
      </c>
      <c r="S16" s="39">
        <v>44460</v>
      </c>
    </row>
    <row r="17" spans="2:19" x14ac:dyDescent="0.15">
      <c r="B17" s="4" t="s">
        <v>34</v>
      </c>
      <c r="C17" s="8"/>
      <c r="D17" s="9"/>
      <c r="E17" s="9"/>
      <c r="F17" s="78"/>
      <c r="G17" s="5">
        <f t="shared" si="1"/>
        <v>0</v>
      </c>
      <c r="H17" s="8"/>
      <c r="I17" s="9">
        <v>1</v>
      </c>
      <c r="J17" s="9"/>
      <c r="K17" s="78"/>
      <c r="L17" s="5">
        <f t="shared" si="2"/>
        <v>1</v>
      </c>
      <c r="M17" s="8"/>
      <c r="N17" s="9"/>
      <c r="O17" s="9"/>
      <c r="P17" s="78"/>
      <c r="Q17" s="5">
        <f t="shared" si="3"/>
        <v>0</v>
      </c>
      <c r="R17" s="79">
        <f t="shared" si="4"/>
        <v>1</v>
      </c>
      <c r="S17" s="39">
        <v>44463</v>
      </c>
    </row>
    <row r="18" spans="2:19" x14ac:dyDescent="0.15">
      <c r="B18" s="4" t="s">
        <v>34</v>
      </c>
      <c r="C18" s="8"/>
      <c r="D18" s="9"/>
      <c r="E18" s="9"/>
      <c r="F18" s="78"/>
      <c r="G18" s="5">
        <f t="shared" si="1"/>
        <v>0</v>
      </c>
      <c r="H18" s="8">
        <v>1</v>
      </c>
      <c r="I18" s="9"/>
      <c r="J18" s="9"/>
      <c r="K18" s="78"/>
      <c r="L18" s="5">
        <f t="shared" si="2"/>
        <v>1</v>
      </c>
      <c r="M18" s="8"/>
      <c r="N18" s="9"/>
      <c r="O18" s="9"/>
      <c r="P18" s="78"/>
      <c r="Q18" s="5">
        <f t="shared" si="3"/>
        <v>0</v>
      </c>
      <c r="R18" s="79">
        <f t="shared" si="4"/>
        <v>1</v>
      </c>
      <c r="S18" s="39">
        <v>44474</v>
      </c>
    </row>
    <row r="19" spans="2:19" x14ac:dyDescent="0.15">
      <c r="B19" s="4" t="s">
        <v>34</v>
      </c>
      <c r="C19" s="8"/>
      <c r="D19" s="9"/>
      <c r="E19" s="9"/>
      <c r="F19" s="78"/>
      <c r="G19" s="5">
        <f t="shared" si="1"/>
        <v>0</v>
      </c>
      <c r="H19" s="8"/>
      <c r="I19" s="9"/>
      <c r="J19" s="9"/>
      <c r="K19" s="78"/>
      <c r="L19" s="5">
        <f t="shared" si="2"/>
        <v>0</v>
      </c>
      <c r="M19" s="8">
        <v>1</v>
      </c>
      <c r="N19" s="9"/>
      <c r="O19" s="9"/>
      <c r="P19" s="78"/>
      <c r="Q19" s="5">
        <f t="shared" si="3"/>
        <v>1</v>
      </c>
      <c r="R19" s="79">
        <f t="shared" si="4"/>
        <v>1</v>
      </c>
      <c r="S19" s="39">
        <v>44476</v>
      </c>
    </row>
    <row r="20" spans="2:19" x14ac:dyDescent="0.15">
      <c r="B20" s="4" t="s">
        <v>34</v>
      </c>
      <c r="C20" s="8"/>
      <c r="D20" s="9"/>
      <c r="E20" s="9"/>
      <c r="F20" s="78"/>
      <c r="G20" s="5">
        <f t="shared" si="1"/>
        <v>0</v>
      </c>
      <c r="H20" s="8"/>
      <c r="I20" s="9"/>
      <c r="J20" s="9">
        <v>1</v>
      </c>
      <c r="K20" s="78"/>
      <c r="L20" s="5">
        <f t="shared" si="2"/>
        <v>1</v>
      </c>
      <c r="M20" s="8"/>
      <c r="N20" s="9"/>
      <c r="O20" s="9"/>
      <c r="P20" s="78"/>
      <c r="Q20" s="5">
        <f t="shared" si="3"/>
        <v>0</v>
      </c>
      <c r="R20" s="79">
        <f t="shared" si="4"/>
        <v>1</v>
      </c>
      <c r="S20" s="39">
        <v>44505</v>
      </c>
    </row>
    <row r="21" spans="2:19" x14ac:dyDescent="0.15">
      <c r="B21" s="4" t="s">
        <v>34</v>
      </c>
      <c r="C21" s="8"/>
      <c r="D21" s="9"/>
      <c r="E21" s="9"/>
      <c r="F21" s="78"/>
      <c r="G21" s="5">
        <f t="shared" si="1"/>
        <v>0</v>
      </c>
      <c r="H21" s="8"/>
      <c r="I21" s="9"/>
      <c r="J21" s="9">
        <v>1</v>
      </c>
      <c r="K21" s="78"/>
      <c r="L21" s="5">
        <f t="shared" si="2"/>
        <v>1</v>
      </c>
      <c r="M21" s="8"/>
      <c r="N21" s="9"/>
      <c r="O21" s="9"/>
      <c r="P21" s="78"/>
      <c r="Q21" s="5">
        <f t="shared" si="3"/>
        <v>0</v>
      </c>
      <c r="R21" s="79">
        <f t="shared" si="4"/>
        <v>1</v>
      </c>
      <c r="S21" s="39">
        <v>44506</v>
      </c>
    </row>
    <row r="22" spans="2:19" x14ac:dyDescent="0.15">
      <c r="B22" s="4" t="s">
        <v>34</v>
      </c>
      <c r="C22" s="8"/>
      <c r="D22" s="9"/>
      <c r="E22" s="9"/>
      <c r="F22" s="78"/>
      <c r="G22" s="5">
        <f t="shared" si="1"/>
        <v>0</v>
      </c>
      <c r="H22" s="8"/>
      <c r="I22" s="9"/>
      <c r="J22" s="9"/>
      <c r="K22" s="78"/>
      <c r="L22" s="5">
        <f t="shared" si="2"/>
        <v>0</v>
      </c>
      <c r="M22" s="8"/>
      <c r="N22" s="9"/>
      <c r="O22" s="9">
        <v>1</v>
      </c>
      <c r="P22" s="78"/>
      <c r="Q22" s="5">
        <f t="shared" si="3"/>
        <v>1</v>
      </c>
      <c r="R22" s="79">
        <f t="shared" si="4"/>
        <v>1</v>
      </c>
      <c r="S22" s="39">
        <v>44509</v>
      </c>
    </row>
    <row r="23" spans="2:19" x14ac:dyDescent="0.15">
      <c r="B23" s="4" t="s">
        <v>34</v>
      </c>
      <c r="C23" s="8"/>
      <c r="D23" s="9"/>
      <c r="E23" s="9">
        <v>1</v>
      </c>
      <c r="F23" s="78"/>
      <c r="G23" s="5">
        <f t="shared" si="1"/>
        <v>1</v>
      </c>
      <c r="H23" s="8"/>
      <c r="I23" s="9">
        <v>1</v>
      </c>
      <c r="J23" s="9"/>
      <c r="K23" s="78"/>
      <c r="L23" s="5">
        <f t="shared" si="2"/>
        <v>1</v>
      </c>
      <c r="M23" s="8"/>
      <c r="N23" s="9"/>
      <c r="O23" s="9"/>
      <c r="P23" s="78"/>
      <c r="Q23" s="5">
        <f t="shared" si="3"/>
        <v>0</v>
      </c>
      <c r="R23" s="79">
        <f t="shared" si="4"/>
        <v>2</v>
      </c>
      <c r="S23" s="39">
        <v>44519</v>
      </c>
    </row>
    <row r="24" spans="2:19" x14ac:dyDescent="0.15">
      <c r="B24" s="4" t="s">
        <v>34</v>
      </c>
      <c r="C24" s="8"/>
      <c r="D24" s="9"/>
      <c r="E24" s="9"/>
      <c r="F24" s="78"/>
      <c r="G24" s="5">
        <f t="shared" si="1"/>
        <v>0</v>
      </c>
      <c r="H24" s="8"/>
      <c r="I24" s="9"/>
      <c r="J24" s="9"/>
      <c r="K24" s="78"/>
      <c r="L24" s="5">
        <f t="shared" si="2"/>
        <v>0</v>
      </c>
      <c r="M24" s="8"/>
      <c r="N24" s="9"/>
      <c r="O24" s="9">
        <v>1</v>
      </c>
      <c r="P24" s="78"/>
      <c r="Q24" s="5">
        <f t="shared" si="3"/>
        <v>1</v>
      </c>
      <c r="R24" s="79">
        <f t="shared" si="4"/>
        <v>1</v>
      </c>
      <c r="S24" s="39">
        <v>44529</v>
      </c>
    </row>
    <row r="25" spans="2:19" x14ac:dyDescent="0.15">
      <c r="B25" s="4" t="s">
        <v>34</v>
      </c>
      <c r="C25" s="8"/>
      <c r="D25" s="9">
        <f>1+1</f>
        <v>2</v>
      </c>
      <c r="E25" s="9"/>
      <c r="F25" s="78"/>
      <c r="G25" s="5">
        <f t="shared" si="1"/>
        <v>2</v>
      </c>
      <c r="H25" s="8"/>
      <c r="I25" s="9"/>
      <c r="J25" s="9"/>
      <c r="K25" s="78"/>
      <c r="L25" s="5">
        <f t="shared" si="2"/>
        <v>0</v>
      </c>
      <c r="M25" s="8"/>
      <c r="N25" s="9">
        <v>1</v>
      </c>
      <c r="O25" s="9"/>
      <c r="P25" s="78"/>
      <c r="Q25" s="5">
        <f t="shared" si="3"/>
        <v>1</v>
      </c>
      <c r="R25" s="79">
        <f t="shared" si="4"/>
        <v>3</v>
      </c>
      <c r="S25" s="39">
        <v>44536</v>
      </c>
    </row>
    <row r="26" spans="2:19" x14ac:dyDescent="0.15">
      <c r="B26" s="4" t="s">
        <v>34</v>
      </c>
      <c r="C26" s="8"/>
      <c r="D26" s="9"/>
      <c r="E26" s="9"/>
      <c r="F26" s="78">
        <v>1</v>
      </c>
      <c r="G26" s="5">
        <f t="shared" si="1"/>
        <v>1</v>
      </c>
      <c r="H26" s="8"/>
      <c r="I26" s="9"/>
      <c r="J26" s="9"/>
      <c r="K26" s="78">
        <v>1</v>
      </c>
      <c r="L26" s="5">
        <f t="shared" si="2"/>
        <v>1</v>
      </c>
      <c r="M26" s="8"/>
      <c r="N26" s="9"/>
      <c r="O26" s="9"/>
      <c r="P26" s="78"/>
      <c r="Q26" s="5">
        <f t="shared" si="3"/>
        <v>0</v>
      </c>
      <c r="R26" s="79">
        <f t="shared" si="4"/>
        <v>2</v>
      </c>
      <c r="S26" s="39">
        <v>44543</v>
      </c>
    </row>
    <row r="27" spans="2:19" x14ac:dyDescent="0.15">
      <c r="B27" s="4" t="s">
        <v>34</v>
      </c>
      <c r="C27" s="8"/>
      <c r="D27" s="9"/>
      <c r="E27" s="9"/>
      <c r="F27" s="78"/>
      <c r="G27" s="5">
        <f t="shared" si="1"/>
        <v>0</v>
      </c>
      <c r="H27" s="8"/>
      <c r="I27" s="9"/>
      <c r="J27" s="9"/>
      <c r="K27" s="78"/>
      <c r="L27" s="5">
        <f t="shared" si="2"/>
        <v>0</v>
      </c>
      <c r="M27" s="8"/>
      <c r="N27" s="9">
        <v>1</v>
      </c>
      <c r="O27" s="9"/>
      <c r="P27" s="78"/>
      <c r="Q27" s="5">
        <f t="shared" si="3"/>
        <v>1</v>
      </c>
      <c r="R27" s="79">
        <f t="shared" si="4"/>
        <v>1</v>
      </c>
      <c r="S27" s="39">
        <v>44578</v>
      </c>
    </row>
    <row r="28" spans="2:19" x14ac:dyDescent="0.15">
      <c r="B28" s="4" t="s">
        <v>34</v>
      </c>
      <c r="C28" s="59"/>
      <c r="D28" s="9"/>
      <c r="E28" s="9"/>
      <c r="F28" s="78">
        <v>2</v>
      </c>
      <c r="G28" s="5">
        <f t="shared" si="1"/>
        <v>2</v>
      </c>
      <c r="H28" s="8"/>
      <c r="I28" s="9"/>
      <c r="J28" s="9"/>
      <c r="K28" s="78"/>
      <c r="L28" s="5">
        <f t="shared" si="2"/>
        <v>0</v>
      </c>
      <c r="M28" s="8"/>
      <c r="N28" s="9"/>
      <c r="O28" s="9">
        <v>1</v>
      </c>
      <c r="P28" s="78"/>
      <c r="Q28" s="5">
        <f t="shared" si="3"/>
        <v>1</v>
      </c>
      <c r="R28" s="79">
        <f t="shared" si="4"/>
        <v>3</v>
      </c>
      <c r="S28" s="71">
        <v>44586</v>
      </c>
    </row>
    <row r="29" spans="2:19" x14ac:dyDescent="0.15">
      <c r="B29" s="4" t="s">
        <v>34</v>
      </c>
      <c r="C29" s="8">
        <v>1</v>
      </c>
      <c r="D29" s="9"/>
      <c r="E29" s="9"/>
      <c r="F29" s="78"/>
      <c r="G29" s="5">
        <f t="shared" si="1"/>
        <v>1</v>
      </c>
      <c r="H29" s="8"/>
      <c r="I29" s="9"/>
      <c r="J29" s="9"/>
      <c r="K29" s="78"/>
      <c r="L29" s="5">
        <f t="shared" si="2"/>
        <v>0</v>
      </c>
      <c r="M29" s="8"/>
      <c r="N29" s="9"/>
      <c r="O29" s="9"/>
      <c r="P29" s="78"/>
      <c r="Q29" s="5">
        <f t="shared" si="3"/>
        <v>0</v>
      </c>
      <c r="R29" s="79">
        <f t="shared" si="4"/>
        <v>1</v>
      </c>
      <c r="S29" s="39">
        <v>44597</v>
      </c>
    </row>
    <row r="30" spans="2:19" x14ac:dyDescent="0.15">
      <c r="B30" s="4" t="s">
        <v>34</v>
      </c>
      <c r="C30" s="8"/>
      <c r="D30" s="9"/>
      <c r="E30" s="9"/>
      <c r="F30" s="78"/>
      <c r="G30" s="5">
        <f t="shared" si="1"/>
        <v>0</v>
      </c>
      <c r="H30" s="8"/>
      <c r="I30" s="9">
        <v>1</v>
      </c>
      <c r="J30" s="9"/>
      <c r="K30" s="78"/>
      <c r="L30" s="5">
        <f t="shared" si="2"/>
        <v>1</v>
      </c>
      <c r="M30" s="8"/>
      <c r="N30" s="9"/>
      <c r="O30" s="9"/>
      <c r="P30" s="78"/>
      <c r="Q30" s="5">
        <f t="shared" si="3"/>
        <v>0</v>
      </c>
      <c r="R30" s="79">
        <f t="shared" si="4"/>
        <v>1</v>
      </c>
      <c r="S30" s="39">
        <v>44602</v>
      </c>
    </row>
    <row r="31" spans="2:19" x14ac:dyDescent="0.15">
      <c r="B31" s="4" t="s">
        <v>34</v>
      </c>
      <c r="C31" s="59"/>
      <c r="D31" s="9"/>
      <c r="E31" s="9"/>
      <c r="F31" s="78"/>
      <c r="G31" s="5">
        <f t="shared" si="1"/>
        <v>0</v>
      </c>
      <c r="H31" s="8"/>
      <c r="I31" s="9">
        <v>1</v>
      </c>
      <c r="J31" s="9"/>
      <c r="K31" s="78"/>
      <c r="L31" s="5">
        <f t="shared" si="2"/>
        <v>1</v>
      </c>
      <c r="M31" s="8"/>
      <c r="N31" s="9"/>
      <c r="O31" s="9"/>
      <c r="P31" s="78"/>
      <c r="Q31" s="5">
        <f t="shared" si="3"/>
        <v>0</v>
      </c>
      <c r="R31" s="79">
        <f t="shared" si="4"/>
        <v>1</v>
      </c>
      <c r="S31" s="39">
        <v>44606</v>
      </c>
    </row>
    <row r="32" spans="2:19" x14ac:dyDescent="0.15">
      <c r="B32" s="4" t="s">
        <v>34</v>
      </c>
      <c r="C32" s="59"/>
      <c r="D32" s="9"/>
      <c r="E32" s="9">
        <v>2</v>
      </c>
      <c r="F32" s="78"/>
      <c r="G32" s="5">
        <f t="shared" si="1"/>
        <v>2</v>
      </c>
      <c r="H32" s="8"/>
      <c r="I32" s="9"/>
      <c r="J32" s="9"/>
      <c r="K32" s="78"/>
      <c r="L32" s="5">
        <f t="shared" si="2"/>
        <v>0</v>
      </c>
      <c r="M32" s="8"/>
      <c r="N32" s="9"/>
      <c r="O32" s="9"/>
      <c r="P32" s="78"/>
      <c r="Q32" s="5">
        <f t="shared" si="3"/>
        <v>0</v>
      </c>
      <c r="R32" s="79">
        <f t="shared" si="4"/>
        <v>2</v>
      </c>
      <c r="S32" s="39">
        <v>44607</v>
      </c>
    </row>
    <row r="33" spans="2:19" x14ac:dyDescent="0.15">
      <c r="B33" s="4" t="s">
        <v>34</v>
      </c>
      <c r="C33" s="8"/>
      <c r="D33" s="9"/>
      <c r="E33" s="9"/>
      <c r="F33" s="78"/>
      <c r="G33" s="5">
        <f t="shared" si="1"/>
        <v>0</v>
      </c>
      <c r="H33" s="8"/>
      <c r="I33" s="9"/>
      <c r="J33" s="9"/>
      <c r="K33" s="78">
        <v>1</v>
      </c>
      <c r="L33" s="5">
        <f t="shared" si="2"/>
        <v>1</v>
      </c>
      <c r="M33" s="8"/>
      <c r="N33" s="9"/>
      <c r="O33" s="9"/>
      <c r="P33" s="78"/>
      <c r="Q33" s="5">
        <f t="shared" si="3"/>
        <v>0</v>
      </c>
      <c r="R33" s="79">
        <f t="shared" si="4"/>
        <v>1</v>
      </c>
      <c r="S33" s="39">
        <v>44625</v>
      </c>
    </row>
    <row r="34" spans="2:19" x14ac:dyDescent="0.15">
      <c r="B34" s="4" t="s">
        <v>34</v>
      </c>
      <c r="C34" s="8"/>
      <c r="D34" s="9"/>
      <c r="E34" s="9"/>
      <c r="F34" s="78"/>
      <c r="G34" s="5">
        <f t="shared" si="1"/>
        <v>0</v>
      </c>
      <c r="H34" s="8">
        <v>2</v>
      </c>
      <c r="I34" s="9"/>
      <c r="J34" s="9"/>
      <c r="K34" s="78"/>
      <c r="L34" s="5">
        <f t="shared" si="2"/>
        <v>2</v>
      </c>
      <c r="M34" s="8"/>
      <c r="N34" s="9"/>
      <c r="O34" s="9"/>
      <c r="P34" s="78"/>
      <c r="Q34" s="5">
        <f t="shared" si="3"/>
        <v>0</v>
      </c>
      <c r="R34" s="79">
        <f t="shared" si="4"/>
        <v>2</v>
      </c>
      <c r="S34" s="39">
        <v>44627</v>
      </c>
    </row>
    <row r="35" spans="2:19" x14ac:dyDescent="0.15">
      <c r="B35" s="4" t="s">
        <v>34</v>
      </c>
      <c r="C35" s="59"/>
      <c r="D35" s="9"/>
      <c r="E35" s="9">
        <v>2</v>
      </c>
      <c r="F35" s="78"/>
      <c r="G35" s="5">
        <f t="shared" si="1"/>
        <v>2</v>
      </c>
      <c r="H35" s="8"/>
      <c r="I35" s="9"/>
      <c r="J35" s="9">
        <v>2</v>
      </c>
      <c r="K35" s="78"/>
      <c r="L35" s="5">
        <f t="shared" si="2"/>
        <v>2</v>
      </c>
      <c r="M35" s="8"/>
      <c r="N35" s="9"/>
      <c r="O35" s="9"/>
      <c r="P35" s="78"/>
      <c r="Q35" s="5">
        <f t="shared" si="3"/>
        <v>0</v>
      </c>
      <c r="R35" s="79">
        <f t="shared" si="4"/>
        <v>4</v>
      </c>
      <c r="S35" s="39">
        <v>44628</v>
      </c>
    </row>
    <row r="36" spans="2:19" x14ac:dyDescent="0.15">
      <c r="B36" s="4" t="s">
        <v>34</v>
      </c>
      <c r="C36" s="59"/>
      <c r="D36" s="9"/>
      <c r="E36" s="9"/>
      <c r="F36" s="78"/>
      <c r="G36" s="5">
        <f t="shared" si="1"/>
        <v>0</v>
      </c>
      <c r="H36" s="8"/>
      <c r="I36" s="9"/>
      <c r="J36" s="9"/>
      <c r="K36" s="78"/>
      <c r="L36" s="5">
        <f t="shared" si="2"/>
        <v>0</v>
      </c>
      <c r="M36" s="8"/>
      <c r="N36" s="9"/>
      <c r="O36" s="9"/>
      <c r="P36" s="78"/>
      <c r="Q36" s="5">
        <f t="shared" si="3"/>
        <v>0</v>
      </c>
      <c r="R36" s="79">
        <f t="shared" si="4"/>
        <v>0</v>
      </c>
      <c r="S36" s="71"/>
    </row>
    <row r="37" spans="2:19" ht="14.25" thickBot="1" x14ac:dyDescent="0.2">
      <c r="B37" s="11"/>
      <c r="C37" s="59"/>
      <c r="D37" s="9"/>
      <c r="E37" s="9"/>
      <c r="F37" s="78"/>
      <c r="G37" s="5">
        <f t="shared" si="1"/>
        <v>0</v>
      </c>
      <c r="H37" s="8"/>
      <c r="I37" s="9"/>
      <c r="J37" s="9"/>
      <c r="K37" s="78"/>
      <c r="L37" s="5">
        <f t="shared" si="2"/>
        <v>0</v>
      </c>
      <c r="M37" s="8"/>
      <c r="N37" s="9"/>
      <c r="O37" s="9"/>
      <c r="P37" s="78"/>
      <c r="Q37" s="5">
        <f t="shared" si="3"/>
        <v>0</v>
      </c>
      <c r="R37" s="77">
        <f t="shared" si="4"/>
        <v>0</v>
      </c>
      <c r="S37" s="39"/>
    </row>
    <row r="38" spans="2:19" ht="14.25" thickBot="1" x14ac:dyDescent="0.2">
      <c r="B38" s="3" t="s">
        <v>5</v>
      </c>
      <c r="C38" s="22">
        <f t="shared" ref="C38:K38" si="5">SUM(C16:C37)</f>
        <v>1</v>
      </c>
      <c r="D38" s="22">
        <f t="shared" si="5"/>
        <v>2</v>
      </c>
      <c r="E38" s="22">
        <f t="shared" si="5"/>
        <v>5</v>
      </c>
      <c r="F38" s="76">
        <f t="shared" si="5"/>
        <v>3</v>
      </c>
      <c r="G38" s="75">
        <f t="shared" si="5"/>
        <v>11</v>
      </c>
      <c r="H38" s="22">
        <f t="shared" si="5"/>
        <v>3</v>
      </c>
      <c r="I38" s="22">
        <f t="shared" si="5"/>
        <v>4</v>
      </c>
      <c r="J38" s="22">
        <f t="shared" si="5"/>
        <v>4</v>
      </c>
      <c r="K38" s="76">
        <f t="shared" si="5"/>
        <v>2</v>
      </c>
      <c r="L38" s="75">
        <f t="shared" si="2"/>
        <v>13</v>
      </c>
      <c r="M38" s="22">
        <f>SUM(M16:M37)</f>
        <v>2</v>
      </c>
      <c r="N38" s="22">
        <f>SUM(N16:N37)</f>
        <v>2</v>
      </c>
      <c r="O38" s="22">
        <f>SUM(O16:O37)</f>
        <v>3</v>
      </c>
      <c r="P38" s="76">
        <f>SUM(P16:P37)</f>
        <v>0</v>
      </c>
      <c r="Q38" s="75">
        <f t="shared" si="3"/>
        <v>7</v>
      </c>
      <c r="R38" s="73">
        <f>SUM(R16:R37)</f>
        <v>31</v>
      </c>
    </row>
    <row r="39" spans="2:19" ht="14.25" thickBot="1" x14ac:dyDescent="0.2">
      <c r="B39" s="25" t="s">
        <v>6</v>
      </c>
      <c r="C39" s="26">
        <f t="shared" ref="C39:R39" si="6">C15-C38</f>
        <v>2</v>
      </c>
      <c r="D39" s="26">
        <f t="shared" si="6"/>
        <v>2</v>
      </c>
      <c r="E39" s="24">
        <f t="shared" si="6"/>
        <v>0</v>
      </c>
      <c r="F39" s="74">
        <f t="shared" si="6"/>
        <v>0</v>
      </c>
      <c r="G39" s="26">
        <f t="shared" si="6"/>
        <v>4</v>
      </c>
      <c r="H39" s="26">
        <f t="shared" si="6"/>
        <v>0</v>
      </c>
      <c r="I39" s="26">
        <f t="shared" si="6"/>
        <v>0</v>
      </c>
      <c r="J39" s="24">
        <f t="shared" si="6"/>
        <v>1</v>
      </c>
      <c r="K39" s="74">
        <f t="shared" si="6"/>
        <v>1</v>
      </c>
      <c r="L39" s="26">
        <f t="shared" si="2"/>
        <v>2</v>
      </c>
      <c r="M39" s="26">
        <f t="shared" si="6"/>
        <v>1</v>
      </c>
      <c r="N39" s="26">
        <f t="shared" si="6"/>
        <v>2</v>
      </c>
      <c r="O39" s="24">
        <f t="shared" si="6"/>
        <v>2</v>
      </c>
      <c r="P39" s="74">
        <f t="shared" si="6"/>
        <v>3</v>
      </c>
      <c r="Q39" s="26">
        <f t="shared" si="3"/>
        <v>8</v>
      </c>
      <c r="R39" s="73">
        <f t="shared" si="6"/>
        <v>14</v>
      </c>
    </row>
    <row r="42" spans="2:19" ht="21.75" thickBot="1" x14ac:dyDescent="0.25">
      <c r="B42" s="88" t="s">
        <v>107</v>
      </c>
      <c r="C42" s="89"/>
      <c r="D42" s="89"/>
      <c r="E42" s="89"/>
      <c r="F42" s="89"/>
      <c r="G42" s="90"/>
      <c r="H42" s="89"/>
      <c r="I42" s="88"/>
      <c r="J42" s="87"/>
      <c r="K42" s="87"/>
      <c r="L42" s="87"/>
      <c r="M42" s="1"/>
      <c r="N42" s="1"/>
      <c r="O42" s="1"/>
      <c r="P42" s="1"/>
      <c r="Q42" s="1"/>
    </row>
    <row r="43" spans="2:19" ht="14.25" thickBot="1" x14ac:dyDescent="0.2">
      <c r="B43" s="2" t="s">
        <v>0</v>
      </c>
      <c r="C43" s="169" t="s">
        <v>106</v>
      </c>
      <c r="D43" s="169"/>
      <c r="E43" s="169"/>
      <c r="F43" s="169"/>
      <c r="G43" s="170"/>
      <c r="H43" s="171" t="s">
        <v>105</v>
      </c>
      <c r="I43" s="172"/>
      <c r="J43" s="172"/>
      <c r="K43" s="172"/>
      <c r="L43" s="173"/>
      <c r="M43" s="174" t="s">
        <v>104</v>
      </c>
      <c r="N43" s="175"/>
      <c r="O43" s="175"/>
      <c r="P43" s="175"/>
      <c r="Q43" s="176"/>
      <c r="R43" s="177"/>
    </row>
    <row r="44" spans="2:19" ht="14.25" thickBot="1" x14ac:dyDescent="0.2">
      <c r="B44" s="2" t="s">
        <v>1</v>
      </c>
      <c r="C44" s="3" t="s">
        <v>103</v>
      </c>
      <c r="D44" s="2" t="s">
        <v>102</v>
      </c>
      <c r="E44" s="2" t="s">
        <v>101</v>
      </c>
      <c r="F44" s="19" t="s">
        <v>100</v>
      </c>
      <c r="G44" s="2" t="s">
        <v>2</v>
      </c>
      <c r="H44" s="3" t="s">
        <v>103</v>
      </c>
      <c r="I44" s="2" t="s">
        <v>102</v>
      </c>
      <c r="J44" s="2" t="s">
        <v>101</v>
      </c>
      <c r="K44" s="19" t="s">
        <v>100</v>
      </c>
      <c r="L44" s="2" t="s">
        <v>2</v>
      </c>
      <c r="M44" s="3" t="s">
        <v>103</v>
      </c>
      <c r="N44" s="2" t="s">
        <v>102</v>
      </c>
      <c r="O44" s="2" t="s">
        <v>101</v>
      </c>
      <c r="P44" s="19" t="s">
        <v>100</v>
      </c>
      <c r="Q44" s="3" t="s">
        <v>2</v>
      </c>
      <c r="R44" s="178"/>
    </row>
    <row r="45" spans="2:19" x14ac:dyDescent="0.15">
      <c r="B45" s="27" t="s">
        <v>6</v>
      </c>
      <c r="C45" s="18">
        <f t="shared" ref="C45:R45" si="7">C39</f>
        <v>2</v>
      </c>
      <c r="D45" s="20">
        <f t="shared" si="7"/>
        <v>2</v>
      </c>
      <c r="E45" s="20">
        <f t="shared" si="7"/>
        <v>0</v>
      </c>
      <c r="F45" s="18">
        <f t="shared" si="7"/>
        <v>0</v>
      </c>
      <c r="G45" s="17">
        <f>G39</f>
        <v>4</v>
      </c>
      <c r="H45" s="18">
        <f t="shared" si="7"/>
        <v>0</v>
      </c>
      <c r="I45" s="20">
        <f t="shared" si="7"/>
        <v>0</v>
      </c>
      <c r="J45" s="20">
        <f t="shared" si="7"/>
        <v>1</v>
      </c>
      <c r="K45" s="18">
        <f>K39</f>
        <v>1</v>
      </c>
      <c r="L45" s="17">
        <f>L39</f>
        <v>2</v>
      </c>
      <c r="M45" s="18">
        <f t="shared" si="7"/>
        <v>1</v>
      </c>
      <c r="N45" s="20">
        <f t="shared" si="7"/>
        <v>2</v>
      </c>
      <c r="O45" s="20">
        <f t="shared" si="7"/>
        <v>2</v>
      </c>
      <c r="P45" s="18">
        <f t="shared" si="7"/>
        <v>3</v>
      </c>
      <c r="Q45" s="17">
        <f t="shared" si="7"/>
        <v>8</v>
      </c>
      <c r="R45" s="86">
        <f t="shared" si="7"/>
        <v>14</v>
      </c>
    </row>
    <row r="46" spans="2:19" x14ac:dyDescent="0.15">
      <c r="B46" s="6" t="s">
        <v>3</v>
      </c>
      <c r="C46" s="16"/>
      <c r="D46" s="11">
        <v>1</v>
      </c>
      <c r="E46" s="11"/>
      <c r="F46" s="66"/>
      <c r="G46" s="5">
        <f>SUM(C46:F46)</f>
        <v>1</v>
      </c>
      <c r="H46" s="16"/>
      <c r="I46" s="11">
        <v>1</v>
      </c>
      <c r="J46" s="11"/>
      <c r="K46" s="66"/>
      <c r="L46" s="5">
        <f>SUM(H46:K46)</f>
        <v>1</v>
      </c>
      <c r="M46" s="16"/>
      <c r="N46" s="11">
        <v>1</v>
      </c>
      <c r="O46" s="11"/>
      <c r="P46" s="66"/>
      <c r="Q46" s="5">
        <f>SUM(M46:P46)</f>
        <v>1</v>
      </c>
      <c r="R46" s="79">
        <f t="shared" ref="R46:R55" si="8">G46+L46+Q46</f>
        <v>3</v>
      </c>
      <c r="S46" s="39">
        <v>44629</v>
      </c>
    </row>
    <row r="47" spans="2:19" x14ac:dyDescent="0.15">
      <c r="B47" s="6" t="s">
        <v>3</v>
      </c>
      <c r="C47" s="16"/>
      <c r="D47" s="11"/>
      <c r="E47" s="11"/>
      <c r="F47" s="66">
        <v>1</v>
      </c>
      <c r="G47" s="5">
        <f t="shared" ref="G47:G78" si="9">SUM(C47:F47)</f>
        <v>1</v>
      </c>
      <c r="H47" s="16"/>
      <c r="I47" s="11"/>
      <c r="J47" s="11"/>
      <c r="K47" s="66">
        <v>1</v>
      </c>
      <c r="L47" s="5">
        <f t="shared" ref="L47:L80" si="10">SUM(H47:K47)</f>
        <v>1</v>
      </c>
      <c r="M47" s="16"/>
      <c r="N47" s="11"/>
      <c r="O47" s="11"/>
      <c r="P47" s="66">
        <v>1</v>
      </c>
      <c r="Q47" s="5">
        <f t="shared" ref="Q47:Q80" si="11">SUM(M47:P47)</f>
        <v>1</v>
      </c>
      <c r="R47" s="79">
        <f t="shared" si="8"/>
        <v>3</v>
      </c>
      <c r="S47" s="39">
        <v>44678</v>
      </c>
    </row>
    <row r="48" spans="2:19" x14ac:dyDescent="0.15">
      <c r="B48" s="6" t="s">
        <v>3</v>
      </c>
      <c r="C48" s="16"/>
      <c r="D48" s="11"/>
      <c r="E48" s="11">
        <v>2</v>
      </c>
      <c r="F48" s="66"/>
      <c r="G48" s="5">
        <f t="shared" si="9"/>
        <v>2</v>
      </c>
      <c r="H48" s="16"/>
      <c r="I48" s="11"/>
      <c r="J48" s="11">
        <v>2</v>
      </c>
      <c r="K48" s="66"/>
      <c r="L48" s="5">
        <f t="shared" si="10"/>
        <v>2</v>
      </c>
      <c r="M48" s="16"/>
      <c r="N48" s="11"/>
      <c r="O48" s="11">
        <v>2</v>
      </c>
      <c r="P48" s="66"/>
      <c r="Q48" s="5">
        <f t="shared" si="11"/>
        <v>2</v>
      </c>
      <c r="R48" s="79">
        <f t="shared" si="8"/>
        <v>6</v>
      </c>
      <c r="S48" s="39">
        <v>44691</v>
      </c>
    </row>
    <row r="49" spans="2:19" x14ac:dyDescent="0.15">
      <c r="B49" s="27" t="s">
        <v>270</v>
      </c>
      <c r="C49" s="111"/>
      <c r="D49" s="27"/>
      <c r="E49" s="27"/>
      <c r="F49" s="114"/>
      <c r="G49" s="112">
        <f t="shared" si="9"/>
        <v>0</v>
      </c>
      <c r="H49" s="111"/>
      <c r="I49" s="27"/>
      <c r="J49" s="27"/>
      <c r="K49" s="114"/>
      <c r="L49" s="112">
        <f t="shared" si="10"/>
        <v>0</v>
      </c>
      <c r="M49" s="111"/>
      <c r="N49" s="27"/>
      <c r="O49" s="27"/>
      <c r="P49" s="114">
        <v>0</v>
      </c>
      <c r="Q49" s="112">
        <f t="shared" si="11"/>
        <v>0</v>
      </c>
      <c r="R49" s="115">
        <f t="shared" si="8"/>
        <v>0</v>
      </c>
      <c r="S49" s="113">
        <v>44798</v>
      </c>
    </row>
    <row r="50" spans="2:19" x14ac:dyDescent="0.15">
      <c r="B50" s="6" t="s">
        <v>3</v>
      </c>
      <c r="C50" s="16"/>
      <c r="D50" s="11"/>
      <c r="E50" s="11"/>
      <c r="F50" s="66"/>
      <c r="G50" s="5">
        <f t="shared" si="9"/>
        <v>0</v>
      </c>
      <c r="H50" s="16"/>
      <c r="I50" s="11">
        <v>1</v>
      </c>
      <c r="J50" s="11">
        <v>2</v>
      </c>
      <c r="K50" s="66"/>
      <c r="L50" s="5">
        <f t="shared" si="10"/>
        <v>3</v>
      </c>
      <c r="M50" s="16">
        <v>1</v>
      </c>
      <c r="N50" s="11"/>
      <c r="O50" s="11"/>
      <c r="P50" s="66">
        <v>1</v>
      </c>
      <c r="Q50" s="5">
        <f t="shared" si="11"/>
        <v>2</v>
      </c>
      <c r="R50" s="79">
        <f t="shared" si="8"/>
        <v>5</v>
      </c>
      <c r="S50" s="39"/>
    </row>
    <row r="51" spans="2:19" x14ac:dyDescent="0.15">
      <c r="B51" s="6" t="s">
        <v>306</v>
      </c>
      <c r="C51" s="16">
        <v>1</v>
      </c>
      <c r="D51" s="11">
        <v>0</v>
      </c>
      <c r="E51" s="11">
        <v>0</v>
      </c>
      <c r="F51" s="66">
        <v>0</v>
      </c>
      <c r="G51" s="5">
        <f t="shared" si="9"/>
        <v>1</v>
      </c>
      <c r="H51" s="16">
        <v>0</v>
      </c>
      <c r="I51" s="11">
        <v>0</v>
      </c>
      <c r="J51" s="11">
        <v>0</v>
      </c>
      <c r="K51" s="66">
        <v>0</v>
      </c>
      <c r="L51" s="5">
        <f t="shared" si="10"/>
        <v>0</v>
      </c>
      <c r="M51" s="16">
        <v>0</v>
      </c>
      <c r="N51" s="11">
        <v>0</v>
      </c>
      <c r="O51" s="11">
        <v>0</v>
      </c>
      <c r="P51" s="66">
        <v>0</v>
      </c>
      <c r="Q51" s="5">
        <f t="shared" si="11"/>
        <v>0</v>
      </c>
      <c r="R51" s="79">
        <f t="shared" si="8"/>
        <v>1</v>
      </c>
      <c r="S51" s="39">
        <v>45527</v>
      </c>
    </row>
    <row r="52" spans="2:19" x14ac:dyDescent="0.15">
      <c r="B52" s="6" t="s">
        <v>3</v>
      </c>
      <c r="C52" s="10"/>
      <c r="D52" s="9">
        <v>1</v>
      </c>
      <c r="E52" s="9"/>
      <c r="F52" s="78"/>
      <c r="G52" s="5">
        <f t="shared" si="9"/>
        <v>1</v>
      </c>
      <c r="H52" s="10"/>
      <c r="I52" s="9">
        <v>1</v>
      </c>
      <c r="J52" s="9"/>
      <c r="K52" s="78"/>
      <c r="L52" s="5">
        <f t="shared" si="10"/>
        <v>1</v>
      </c>
      <c r="M52" s="10"/>
      <c r="N52" s="9"/>
      <c r="O52" s="9"/>
      <c r="P52" s="78"/>
      <c r="Q52" s="5">
        <f t="shared" si="11"/>
        <v>0</v>
      </c>
      <c r="R52" s="79">
        <f t="shared" si="8"/>
        <v>2</v>
      </c>
      <c r="S52" s="39">
        <v>45586</v>
      </c>
    </row>
    <row r="53" spans="2:19" x14ac:dyDescent="0.15">
      <c r="B53" s="6" t="s">
        <v>3</v>
      </c>
      <c r="C53" s="10"/>
      <c r="D53" s="9"/>
      <c r="E53" s="9"/>
      <c r="F53" s="78"/>
      <c r="G53" s="5">
        <f t="shared" si="9"/>
        <v>0</v>
      </c>
      <c r="H53" s="10"/>
      <c r="I53" s="9"/>
      <c r="J53" s="9"/>
      <c r="K53" s="78"/>
      <c r="L53" s="5">
        <f t="shared" si="10"/>
        <v>0</v>
      </c>
      <c r="M53" s="10"/>
      <c r="N53" s="9"/>
      <c r="O53" s="9"/>
      <c r="P53" s="78"/>
      <c r="Q53" s="5">
        <f t="shared" si="11"/>
        <v>0</v>
      </c>
      <c r="R53" s="79">
        <f t="shared" si="8"/>
        <v>0</v>
      </c>
      <c r="S53" s="85"/>
    </row>
    <row r="54" spans="2:19" x14ac:dyDescent="0.15">
      <c r="B54" s="6" t="s">
        <v>3</v>
      </c>
      <c r="C54" s="10"/>
      <c r="D54" s="9"/>
      <c r="E54" s="9"/>
      <c r="F54" s="78"/>
      <c r="G54" s="5">
        <f t="shared" si="9"/>
        <v>0</v>
      </c>
      <c r="H54" s="10"/>
      <c r="I54" s="9"/>
      <c r="J54" s="9"/>
      <c r="K54" s="78"/>
      <c r="L54" s="5">
        <f t="shared" si="10"/>
        <v>0</v>
      </c>
      <c r="M54" s="10"/>
      <c r="N54" s="9"/>
      <c r="O54" s="9"/>
      <c r="P54" s="78"/>
      <c r="Q54" s="5">
        <f t="shared" si="11"/>
        <v>0</v>
      </c>
      <c r="R54" s="79">
        <f t="shared" si="8"/>
        <v>0</v>
      </c>
      <c r="S54" s="39"/>
    </row>
    <row r="55" spans="2:19" ht="14.25" thickBot="1" x14ac:dyDescent="0.2">
      <c r="B55" s="84" t="s">
        <v>3</v>
      </c>
      <c r="C55" s="13"/>
      <c r="D55" s="12"/>
      <c r="E55" s="12"/>
      <c r="F55" s="1"/>
      <c r="G55" s="83">
        <f t="shared" si="9"/>
        <v>0</v>
      </c>
      <c r="H55" s="13"/>
      <c r="I55" s="12"/>
      <c r="J55" s="12"/>
      <c r="K55" s="1"/>
      <c r="L55" s="83">
        <f t="shared" si="10"/>
        <v>0</v>
      </c>
      <c r="M55" s="13"/>
      <c r="N55" s="12"/>
      <c r="O55" s="12"/>
      <c r="P55" s="1"/>
      <c r="Q55" s="83">
        <f t="shared" si="11"/>
        <v>0</v>
      </c>
      <c r="R55" s="77">
        <f t="shared" si="8"/>
        <v>0</v>
      </c>
    </row>
    <row r="56" spans="2:19" ht="14.25" thickBot="1" x14ac:dyDescent="0.2">
      <c r="B56" s="21" t="s">
        <v>4</v>
      </c>
      <c r="C56" s="22">
        <f>SUM(C45:C55)</f>
        <v>3</v>
      </c>
      <c r="D56" s="22">
        <f>SUM(D45:D55)</f>
        <v>4</v>
      </c>
      <c r="E56" s="22">
        <f>SUM(E45:E55)</f>
        <v>2</v>
      </c>
      <c r="F56" s="82">
        <f>SUM(F45:F55)</f>
        <v>1</v>
      </c>
      <c r="G56" s="24">
        <f t="shared" si="9"/>
        <v>10</v>
      </c>
      <c r="H56" s="22">
        <f>SUM(H45:H55)</f>
        <v>0</v>
      </c>
      <c r="I56" s="22">
        <f>SUM(I45:I55)</f>
        <v>3</v>
      </c>
      <c r="J56" s="22">
        <f>SUM(J45:J55)</f>
        <v>5</v>
      </c>
      <c r="K56" s="82">
        <f>SUM(K45:K55)</f>
        <v>2</v>
      </c>
      <c r="L56" s="24">
        <f t="shared" si="10"/>
        <v>10</v>
      </c>
      <c r="M56" s="22">
        <f>SUM(M45:M55)</f>
        <v>2</v>
      </c>
      <c r="N56" s="22">
        <f>SUM(N45:N55)</f>
        <v>3</v>
      </c>
      <c r="O56" s="22">
        <f>SUM(O45:O55)</f>
        <v>4</v>
      </c>
      <c r="P56" s="82">
        <f>SUM(P45:P55)</f>
        <v>5</v>
      </c>
      <c r="Q56" s="24">
        <f t="shared" si="11"/>
        <v>14</v>
      </c>
      <c r="R56" s="81">
        <f>SUM(R45:R55)</f>
        <v>34</v>
      </c>
    </row>
    <row r="57" spans="2:19" x14ac:dyDescent="0.15">
      <c r="B57" s="4" t="s">
        <v>34</v>
      </c>
      <c r="C57" s="80"/>
      <c r="D57" s="49">
        <v>1</v>
      </c>
      <c r="E57" s="49"/>
      <c r="F57" s="78"/>
      <c r="G57" s="5">
        <f t="shared" si="9"/>
        <v>1</v>
      </c>
      <c r="H57" s="80"/>
      <c r="I57" s="49">
        <v>1</v>
      </c>
      <c r="J57" s="49"/>
      <c r="K57" s="78"/>
      <c r="L57" s="5">
        <f t="shared" si="10"/>
        <v>1</v>
      </c>
      <c r="M57" s="80"/>
      <c r="N57" s="49"/>
      <c r="O57" s="49"/>
      <c r="P57" s="78"/>
      <c r="Q57" s="5">
        <f t="shared" si="11"/>
        <v>0</v>
      </c>
      <c r="R57" s="79">
        <f t="shared" ref="R57:R78" si="12">G57+L57+Q57</f>
        <v>2</v>
      </c>
      <c r="S57" s="39">
        <v>44629</v>
      </c>
    </row>
    <row r="58" spans="2:19" x14ac:dyDescent="0.15">
      <c r="B58" s="4" t="s">
        <v>34</v>
      </c>
      <c r="C58" s="8">
        <v>1</v>
      </c>
      <c r="D58" s="9"/>
      <c r="E58" s="9"/>
      <c r="F58" s="78"/>
      <c r="G58" s="5">
        <f t="shared" si="9"/>
        <v>1</v>
      </c>
      <c r="H58" s="8"/>
      <c r="I58" s="9"/>
      <c r="J58" s="9"/>
      <c r="K58" s="78"/>
      <c r="L58" s="5">
        <f t="shared" si="10"/>
        <v>0</v>
      </c>
      <c r="M58" s="8"/>
      <c r="N58" s="9"/>
      <c r="O58" s="9"/>
      <c r="P58" s="78"/>
      <c r="Q58" s="5">
        <f t="shared" si="11"/>
        <v>0</v>
      </c>
      <c r="R58" s="79">
        <f t="shared" si="12"/>
        <v>1</v>
      </c>
      <c r="S58" s="39">
        <v>44631</v>
      </c>
    </row>
    <row r="59" spans="2:19" x14ac:dyDescent="0.15">
      <c r="B59" s="4" t="s">
        <v>34</v>
      </c>
      <c r="C59" s="8"/>
      <c r="D59" s="9">
        <v>1</v>
      </c>
      <c r="E59" s="9"/>
      <c r="F59" s="78"/>
      <c r="G59" s="5">
        <f t="shared" si="9"/>
        <v>1</v>
      </c>
      <c r="H59" s="8"/>
      <c r="I59" s="9"/>
      <c r="J59" s="9"/>
      <c r="K59" s="78"/>
      <c r="L59" s="5">
        <f t="shared" si="10"/>
        <v>0</v>
      </c>
      <c r="M59" s="8"/>
      <c r="N59" s="9"/>
      <c r="O59" s="9"/>
      <c r="P59" s="78"/>
      <c r="Q59" s="5">
        <f t="shared" si="11"/>
        <v>0</v>
      </c>
      <c r="R59" s="79">
        <f t="shared" si="12"/>
        <v>1</v>
      </c>
      <c r="S59" s="39">
        <v>44634</v>
      </c>
    </row>
    <row r="60" spans="2:19" x14ac:dyDescent="0.15">
      <c r="B60" s="4" t="s">
        <v>34</v>
      </c>
      <c r="C60" s="8"/>
      <c r="D60" s="9"/>
      <c r="E60" s="9"/>
      <c r="F60" s="78"/>
      <c r="G60" s="5">
        <f t="shared" si="9"/>
        <v>0</v>
      </c>
      <c r="H60" s="8"/>
      <c r="I60" s="9"/>
      <c r="J60" s="9"/>
      <c r="K60" s="78"/>
      <c r="L60" s="5">
        <f t="shared" si="10"/>
        <v>0</v>
      </c>
      <c r="M60" s="8"/>
      <c r="N60" s="9"/>
      <c r="O60" s="9"/>
      <c r="P60" s="78">
        <v>1</v>
      </c>
      <c r="Q60" s="5">
        <f t="shared" si="11"/>
        <v>1</v>
      </c>
      <c r="R60" s="79">
        <f t="shared" si="12"/>
        <v>1</v>
      </c>
      <c r="S60" s="39">
        <v>44643</v>
      </c>
    </row>
    <row r="61" spans="2:19" x14ac:dyDescent="0.15">
      <c r="B61" s="4" t="s">
        <v>34</v>
      </c>
      <c r="C61" s="8"/>
      <c r="D61" s="9"/>
      <c r="E61" s="9"/>
      <c r="F61" s="78"/>
      <c r="G61" s="5">
        <f t="shared" si="9"/>
        <v>0</v>
      </c>
      <c r="H61" s="8"/>
      <c r="I61" s="9"/>
      <c r="J61" s="9"/>
      <c r="K61" s="78">
        <v>1</v>
      </c>
      <c r="L61" s="5">
        <f t="shared" si="10"/>
        <v>1</v>
      </c>
      <c r="M61" s="8"/>
      <c r="N61" s="9">
        <v>1</v>
      </c>
      <c r="O61" s="9"/>
      <c r="P61" s="78">
        <v>1</v>
      </c>
      <c r="Q61" s="5">
        <f t="shared" si="11"/>
        <v>2</v>
      </c>
      <c r="R61" s="79">
        <f t="shared" si="12"/>
        <v>3</v>
      </c>
      <c r="S61" s="39">
        <v>44645</v>
      </c>
    </row>
    <row r="62" spans="2:19" x14ac:dyDescent="0.15">
      <c r="B62" s="4" t="s">
        <v>34</v>
      </c>
      <c r="C62" s="8">
        <v>1</v>
      </c>
      <c r="D62" s="9"/>
      <c r="E62" s="9"/>
      <c r="F62" s="78"/>
      <c r="G62" s="5">
        <f t="shared" si="9"/>
        <v>1</v>
      </c>
      <c r="H62" s="8"/>
      <c r="I62" s="9"/>
      <c r="J62" s="9"/>
      <c r="K62" s="78"/>
      <c r="L62" s="5">
        <f t="shared" si="10"/>
        <v>0</v>
      </c>
      <c r="M62" s="8"/>
      <c r="N62" s="9"/>
      <c r="O62" s="9"/>
      <c r="P62" s="78"/>
      <c r="Q62" s="5">
        <f t="shared" si="11"/>
        <v>0</v>
      </c>
      <c r="R62" s="79">
        <f t="shared" si="12"/>
        <v>1</v>
      </c>
      <c r="S62" s="39">
        <v>44656</v>
      </c>
    </row>
    <row r="63" spans="2:19" x14ac:dyDescent="0.15">
      <c r="B63" s="4" t="s">
        <v>34</v>
      </c>
      <c r="C63" s="8"/>
      <c r="D63" s="9"/>
      <c r="E63" s="9"/>
      <c r="F63" s="78">
        <v>1</v>
      </c>
      <c r="G63" s="5">
        <f t="shared" si="9"/>
        <v>1</v>
      </c>
      <c r="H63" s="8"/>
      <c r="I63" s="9"/>
      <c r="J63" s="9"/>
      <c r="K63" s="78"/>
      <c r="L63" s="5">
        <f t="shared" si="10"/>
        <v>0</v>
      </c>
      <c r="M63" s="8"/>
      <c r="N63" s="9"/>
      <c r="O63" s="9"/>
      <c r="P63" s="78"/>
      <c r="Q63" s="5">
        <f t="shared" si="11"/>
        <v>0</v>
      </c>
      <c r="R63" s="79">
        <f t="shared" si="12"/>
        <v>1</v>
      </c>
      <c r="S63" s="39">
        <v>44690</v>
      </c>
    </row>
    <row r="64" spans="2:19" x14ac:dyDescent="0.15">
      <c r="B64" s="4" t="s">
        <v>34</v>
      </c>
      <c r="C64" s="8"/>
      <c r="D64" s="9"/>
      <c r="E64" s="9">
        <v>2</v>
      </c>
      <c r="F64" s="78"/>
      <c r="G64" s="5">
        <f t="shared" si="9"/>
        <v>2</v>
      </c>
      <c r="H64" s="8"/>
      <c r="I64" s="9"/>
      <c r="J64" s="9"/>
      <c r="K64" s="78"/>
      <c r="L64" s="5">
        <f t="shared" si="10"/>
        <v>0</v>
      </c>
      <c r="M64" s="8"/>
      <c r="N64" s="9"/>
      <c r="O64" s="9"/>
      <c r="P64" s="78"/>
      <c r="Q64" s="5">
        <f t="shared" si="11"/>
        <v>0</v>
      </c>
      <c r="R64" s="79">
        <f t="shared" si="12"/>
        <v>2</v>
      </c>
      <c r="S64" s="39">
        <v>44691</v>
      </c>
    </row>
    <row r="65" spans="2:19" x14ac:dyDescent="0.15">
      <c r="B65" s="4" t="s">
        <v>34</v>
      </c>
      <c r="C65" s="8"/>
      <c r="D65" s="9"/>
      <c r="E65" s="9"/>
      <c r="F65" s="78"/>
      <c r="G65" s="5">
        <f t="shared" si="9"/>
        <v>0</v>
      </c>
      <c r="H65" s="8"/>
      <c r="I65" s="9"/>
      <c r="J65" s="9"/>
      <c r="K65" s="78"/>
      <c r="L65" s="5">
        <f t="shared" si="10"/>
        <v>0</v>
      </c>
      <c r="M65" s="8">
        <v>1</v>
      </c>
      <c r="N65" s="9"/>
      <c r="O65" s="9"/>
      <c r="P65" s="78"/>
      <c r="Q65" s="5">
        <f t="shared" si="11"/>
        <v>1</v>
      </c>
      <c r="R65" s="79">
        <f t="shared" si="12"/>
        <v>1</v>
      </c>
      <c r="S65" s="39">
        <v>44704</v>
      </c>
    </row>
    <row r="66" spans="2:19" x14ac:dyDescent="0.15">
      <c r="B66" s="4" t="s">
        <v>34</v>
      </c>
      <c r="C66" s="8"/>
      <c r="D66" s="9">
        <v>1</v>
      </c>
      <c r="E66" s="9"/>
      <c r="F66" s="78"/>
      <c r="G66" s="5">
        <f t="shared" si="9"/>
        <v>1</v>
      </c>
      <c r="H66" s="8"/>
      <c r="I66" s="9"/>
      <c r="J66" s="9"/>
      <c r="K66" s="78"/>
      <c r="L66" s="5">
        <f t="shared" si="10"/>
        <v>0</v>
      </c>
      <c r="M66" s="8"/>
      <c r="N66" s="9"/>
      <c r="O66" s="9"/>
      <c r="P66" s="78"/>
      <c r="Q66" s="5">
        <f t="shared" si="11"/>
        <v>0</v>
      </c>
      <c r="R66" s="79">
        <f t="shared" si="12"/>
        <v>1</v>
      </c>
      <c r="S66" s="39">
        <v>44705</v>
      </c>
    </row>
    <row r="67" spans="2:19" x14ac:dyDescent="0.15">
      <c r="B67" s="4" t="s">
        <v>34</v>
      </c>
      <c r="C67" s="59"/>
      <c r="D67" s="9"/>
      <c r="E67" s="9"/>
      <c r="F67" s="78"/>
      <c r="G67" s="5">
        <f t="shared" si="9"/>
        <v>0</v>
      </c>
      <c r="H67" s="8"/>
      <c r="I67" s="9"/>
      <c r="J67" s="9">
        <v>1</v>
      </c>
      <c r="K67" s="78"/>
      <c r="L67" s="5">
        <f t="shared" si="10"/>
        <v>1</v>
      </c>
      <c r="M67" s="8"/>
      <c r="N67" s="9"/>
      <c r="O67" s="9"/>
      <c r="P67" s="78"/>
      <c r="Q67" s="5">
        <f t="shared" si="11"/>
        <v>0</v>
      </c>
      <c r="R67" s="79">
        <f t="shared" si="12"/>
        <v>1</v>
      </c>
      <c r="S67" s="39">
        <v>44706</v>
      </c>
    </row>
    <row r="68" spans="2:19" x14ac:dyDescent="0.15">
      <c r="B68" s="4" t="s">
        <v>34</v>
      </c>
      <c r="C68" s="8"/>
      <c r="D68" s="9"/>
      <c r="E68" s="9"/>
      <c r="F68" s="78"/>
      <c r="G68" s="5">
        <f t="shared" si="9"/>
        <v>0</v>
      </c>
      <c r="H68" s="8"/>
      <c r="I68" s="9"/>
      <c r="J68" s="9"/>
      <c r="K68" s="78"/>
      <c r="L68" s="5">
        <f t="shared" si="10"/>
        <v>0</v>
      </c>
      <c r="M68" s="8"/>
      <c r="N68" s="9">
        <v>1</v>
      </c>
      <c r="O68" s="9"/>
      <c r="P68" s="78"/>
      <c r="Q68" s="5">
        <f t="shared" si="11"/>
        <v>1</v>
      </c>
      <c r="R68" s="79">
        <f t="shared" si="12"/>
        <v>1</v>
      </c>
      <c r="S68" s="39">
        <v>44708</v>
      </c>
    </row>
    <row r="69" spans="2:19" x14ac:dyDescent="0.15">
      <c r="B69" s="4" t="s">
        <v>34</v>
      </c>
      <c r="C69" s="8"/>
      <c r="D69" s="9"/>
      <c r="E69" s="9"/>
      <c r="F69" s="78"/>
      <c r="G69" s="5">
        <f t="shared" si="9"/>
        <v>0</v>
      </c>
      <c r="H69" s="8"/>
      <c r="I69" s="9"/>
      <c r="J69" s="9">
        <v>1</v>
      </c>
      <c r="K69" s="78"/>
      <c r="L69" s="5">
        <f t="shared" si="10"/>
        <v>1</v>
      </c>
      <c r="M69" s="8"/>
      <c r="N69" s="9"/>
      <c r="O69" s="9"/>
      <c r="P69" s="78"/>
      <c r="Q69" s="5">
        <f t="shared" si="11"/>
        <v>0</v>
      </c>
      <c r="R69" s="79">
        <f t="shared" si="12"/>
        <v>1</v>
      </c>
      <c r="S69" s="39">
        <v>44712</v>
      </c>
    </row>
    <row r="70" spans="2:19" x14ac:dyDescent="0.15">
      <c r="B70" s="4" t="s">
        <v>34</v>
      </c>
      <c r="C70" s="59"/>
      <c r="D70" s="9"/>
      <c r="E70" s="9"/>
      <c r="F70" s="78"/>
      <c r="G70" s="5">
        <f t="shared" si="9"/>
        <v>0</v>
      </c>
      <c r="H70" s="8"/>
      <c r="I70" s="9"/>
      <c r="J70" s="9"/>
      <c r="K70" s="78"/>
      <c r="L70" s="5">
        <f t="shared" si="10"/>
        <v>0</v>
      </c>
      <c r="M70" s="8"/>
      <c r="N70" s="9"/>
      <c r="O70" s="9"/>
      <c r="P70" s="78">
        <v>1</v>
      </c>
      <c r="Q70" s="5">
        <f t="shared" si="11"/>
        <v>1</v>
      </c>
      <c r="R70" s="79">
        <f t="shared" si="12"/>
        <v>1</v>
      </c>
      <c r="S70" s="39">
        <v>44718</v>
      </c>
    </row>
    <row r="71" spans="2:19" x14ac:dyDescent="0.15">
      <c r="B71" s="4" t="s">
        <v>34</v>
      </c>
      <c r="C71" s="59"/>
      <c r="D71" s="9"/>
      <c r="E71" s="9"/>
      <c r="F71" s="78"/>
      <c r="G71" s="5">
        <f t="shared" si="9"/>
        <v>0</v>
      </c>
      <c r="H71" s="8"/>
      <c r="I71" s="9"/>
      <c r="J71" s="9"/>
      <c r="K71" s="78"/>
      <c r="L71" s="5">
        <f t="shared" si="10"/>
        <v>0</v>
      </c>
      <c r="M71" s="8"/>
      <c r="N71" s="9">
        <v>1</v>
      </c>
      <c r="O71" s="9"/>
      <c r="P71" s="78"/>
      <c r="Q71" s="5">
        <f t="shared" si="11"/>
        <v>1</v>
      </c>
      <c r="R71" s="79">
        <f t="shared" si="12"/>
        <v>1</v>
      </c>
      <c r="S71" s="39">
        <v>44732</v>
      </c>
    </row>
    <row r="72" spans="2:19" x14ac:dyDescent="0.15">
      <c r="B72" s="4" t="s">
        <v>34</v>
      </c>
      <c r="C72" s="8"/>
      <c r="D72" s="9"/>
      <c r="E72" s="9"/>
      <c r="F72" s="78"/>
      <c r="G72" s="5">
        <f t="shared" si="9"/>
        <v>0</v>
      </c>
      <c r="H72" s="8"/>
      <c r="I72" s="9"/>
      <c r="J72" s="9"/>
      <c r="K72" s="78">
        <v>1</v>
      </c>
      <c r="L72" s="5">
        <f t="shared" si="10"/>
        <v>1</v>
      </c>
      <c r="M72" s="8"/>
      <c r="N72" s="9"/>
      <c r="O72" s="9"/>
      <c r="P72" s="78"/>
      <c r="Q72" s="5">
        <f t="shared" si="11"/>
        <v>0</v>
      </c>
      <c r="R72" s="79">
        <f t="shared" si="12"/>
        <v>1</v>
      </c>
      <c r="S72" s="39">
        <v>44739</v>
      </c>
    </row>
    <row r="73" spans="2:19" x14ac:dyDescent="0.15">
      <c r="B73" s="4" t="s">
        <v>34</v>
      </c>
      <c r="C73" s="8"/>
      <c r="D73" s="9"/>
      <c r="E73" s="9"/>
      <c r="F73" s="78"/>
      <c r="G73" s="5">
        <f t="shared" si="9"/>
        <v>0</v>
      </c>
      <c r="H73" s="8"/>
      <c r="I73" s="9"/>
      <c r="J73" s="9"/>
      <c r="K73" s="78"/>
      <c r="L73" s="5">
        <f t="shared" si="10"/>
        <v>0</v>
      </c>
      <c r="M73" s="8"/>
      <c r="N73" s="9"/>
      <c r="O73" s="9">
        <v>1</v>
      </c>
      <c r="P73" s="78"/>
      <c r="Q73" s="5">
        <f t="shared" si="11"/>
        <v>1</v>
      </c>
      <c r="R73" s="79">
        <f t="shared" si="12"/>
        <v>1</v>
      </c>
      <c r="S73" s="39">
        <v>44776</v>
      </c>
    </row>
    <row r="74" spans="2:19" x14ac:dyDescent="0.15">
      <c r="B74" s="4" t="s">
        <v>34</v>
      </c>
      <c r="C74" s="59"/>
      <c r="D74" s="9"/>
      <c r="E74" s="9"/>
      <c r="F74" s="78"/>
      <c r="G74" s="5">
        <f t="shared" si="9"/>
        <v>0</v>
      </c>
      <c r="H74" s="8"/>
      <c r="I74" s="9"/>
      <c r="J74" s="9"/>
      <c r="K74" s="78"/>
      <c r="L74" s="5">
        <f t="shared" si="10"/>
        <v>0</v>
      </c>
      <c r="M74" s="8"/>
      <c r="N74" s="9"/>
      <c r="O74" s="9">
        <v>2</v>
      </c>
      <c r="P74" s="78"/>
      <c r="Q74" s="5">
        <f t="shared" si="11"/>
        <v>2</v>
      </c>
      <c r="R74" s="79">
        <f t="shared" si="12"/>
        <v>2</v>
      </c>
      <c r="S74" s="39">
        <v>44781</v>
      </c>
    </row>
    <row r="75" spans="2:19" x14ac:dyDescent="0.15">
      <c r="B75" s="4" t="s">
        <v>34</v>
      </c>
      <c r="C75" s="59"/>
      <c r="D75" s="9"/>
      <c r="E75" s="9"/>
      <c r="F75" s="78"/>
      <c r="G75" s="5">
        <f t="shared" si="9"/>
        <v>0</v>
      </c>
      <c r="H75" s="8"/>
      <c r="I75" s="9"/>
      <c r="J75" s="9"/>
      <c r="K75" s="78"/>
      <c r="L75" s="5">
        <f t="shared" si="10"/>
        <v>0</v>
      </c>
      <c r="M75" s="8"/>
      <c r="N75" s="9"/>
      <c r="O75" s="9">
        <v>1</v>
      </c>
      <c r="P75" s="78"/>
      <c r="Q75" s="5">
        <f t="shared" si="11"/>
        <v>1</v>
      </c>
      <c r="R75" s="79">
        <f t="shared" si="12"/>
        <v>1</v>
      </c>
      <c r="S75" s="39">
        <v>44790</v>
      </c>
    </row>
    <row r="76" spans="2:19" x14ac:dyDescent="0.15">
      <c r="B76" s="4" t="s">
        <v>34</v>
      </c>
      <c r="C76" s="59"/>
      <c r="D76" s="9"/>
      <c r="E76" s="9"/>
      <c r="F76" s="78"/>
      <c r="G76" s="5">
        <f t="shared" si="9"/>
        <v>0</v>
      </c>
      <c r="H76" s="8"/>
      <c r="I76" s="9"/>
      <c r="J76" s="9"/>
      <c r="K76" s="78"/>
      <c r="L76" s="5">
        <f t="shared" si="10"/>
        <v>0</v>
      </c>
      <c r="M76" s="8"/>
      <c r="N76" s="9"/>
      <c r="O76" s="9"/>
      <c r="P76" s="78">
        <v>1</v>
      </c>
      <c r="Q76" s="5">
        <f t="shared" si="11"/>
        <v>1</v>
      </c>
      <c r="R76" s="79">
        <f t="shared" si="12"/>
        <v>1</v>
      </c>
      <c r="S76" s="39">
        <v>44845</v>
      </c>
    </row>
    <row r="77" spans="2:19" x14ac:dyDescent="0.15">
      <c r="B77" s="4" t="s">
        <v>34</v>
      </c>
      <c r="C77" s="59"/>
      <c r="D77" s="9"/>
      <c r="E77" s="9"/>
      <c r="F77" s="78"/>
      <c r="G77" s="5">
        <f t="shared" si="9"/>
        <v>0</v>
      </c>
      <c r="H77" s="8"/>
      <c r="I77" s="9">
        <v>1</v>
      </c>
      <c r="J77" s="9"/>
      <c r="K77" s="78"/>
      <c r="L77" s="5">
        <f t="shared" si="10"/>
        <v>1</v>
      </c>
      <c r="M77" s="8"/>
      <c r="N77" s="9"/>
      <c r="O77" s="9"/>
      <c r="P77" s="78"/>
      <c r="Q77" s="5">
        <f t="shared" si="11"/>
        <v>0</v>
      </c>
      <c r="R77" s="79">
        <f t="shared" si="12"/>
        <v>1</v>
      </c>
      <c r="S77" s="39">
        <v>45372</v>
      </c>
    </row>
    <row r="78" spans="2:19" ht="14.25" thickBot="1" x14ac:dyDescent="0.2">
      <c r="B78" s="4" t="s">
        <v>34</v>
      </c>
      <c r="C78" s="59"/>
      <c r="D78" s="9"/>
      <c r="E78" s="9"/>
      <c r="F78" s="78"/>
      <c r="G78" s="5">
        <f t="shared" si="9"/>
        <v>0</v>
      </c>
      <c r="H78" s="8"/>
      <c r="I78" s="9"/>
      <c r="J78" s="9"/>
      <c r="K78" s="78"/>
      <c r="L78" s="5">
        <f t="shared" si="10"/>
        <v>0</v>
      </c>
      <c r="M78" s="8">
        <v>1</v>
      </c>
      <c r="N78" s="9"/>
      <c r="O78" s="9"/>
      <c r="P78" s="78"/>
      <c r="Q78" s="5">
        <f t="shared" si="11"/>
        <v>1</v>
      </c>
      <c r="R78" s="77">
        <f t="shared" si="12"/>
        <v>1</v>
      </c>
      <c r="S78" s="39">
        <v>45419</v>
      </c>
    </row>
    <row r="79" spans="2:19" ht="14.25" thickBot="1" x14ac:dyDescent="0.2">
      <c r="B79" s="3" t="s">
        <v>5</v>
      </c>
      <c r="C79" s="119">
        <f t="shared" ref="C79:K79" si="13">SUM(C57:C78)</f>
        <v>2</v>
      </c>
      <c r="D79" s="119">
        <f t="shared" si="13"/>
        <v>3</v>
      </c>
      <c r="E79" s="119">
        <f t="shared" si="13"/>
        <v>2</v>
      </c>
      <c r="F79" s="120">
        <f t="shared" si="13"/>
        <v>1</v>
      </c>
      <c r="G79" s="75">
        <f t="shared" si="13"/>
        <v>8</v>
      </c>
      <c r="H79" s="119">
        <f t="shared" si="13"/>
        <v>0</v>
      </c>
      <c r="I79" s="119">
        <f t="shared" si="13"/>
        <v>2</v>
      </c>
      <c r="J79" s="119">
        <f t="shared" si="13"/>
        <v>2</v>
      </c>
      <c r="K79" s="120">
        <f t="shared" si="13"/>
        <v>2</v>
      </c>
      <c r="L79" s="75">
        <f t="shared" si="10"/>
        <v>6</v>
      </c>
      <c r="M79" s="119">
        <f>SUM(M57:M78)</f>
        <v>2</v>
      </c>
      <c r="N79" s="119">
        <f>SUM(N57:N78)</f>
        <v>3</v>
      </c>
      <c r="O79" s="119">
        <f>SUM(O57:O78)</f>
        <v>4</v>
      </c>
      <c r="P79" s="120">
        <f>SUM(P57:P78)</f>
        <v>4</v>
      </c>
      <c r="Q79" s="75">
        <f t="shared" si="11"/>
        <v>13</v>
      </c>
      <c r="R79" s="73">
        <f>SUM(R57:R78)</f>
        <v>27</v>
      </c>
    </row>
    <row r="80" spans="2:19" ht="14.25" thickBot="1" x14ac:dyDescent="0.2">
      <c r="B80" s="25" t="s">
        <v>6</v>
      </c>
      <c r="C80" s="121">
        <f t="shared" ref="C80:R80" si="14">C56-C79</f>
        <v>1</v>
      </c>
      <c r="D80" s="121">
        <f t="shared" si="14"/>
        <v>1</v>
      </c>
      <c r="E80" s="119">
        <f t="shared" si="14"/>
        <v>0</v>
      </c>
      <c r="F80" s="122">
        <f t="shared" si="14"/>
        <v>0</v>
      </c>
      <c r="G80" s="26">
        <f t="shared" si="14"/>
        <v>2</v>
      </c>
      <c r="H80" s="121">
        <f t="shared" si="14"/>
        <v>0</v>
      </c>
      <c r="I80" s="121">
        <f t="shared" si="14"/>
        <v>1</v>
      </c>
      <c r="J80" s="119">
        <f t="shared" si="14"/>
        <v>3</v>
      </c>
      <c r="K80" s="122">
        <f t="shared" si="14"/>
        <v>0</v>
      </c>
      <c r="L80" s="26">
        <f t="shared" si="10"/>
        <v>4</v>
      </c>
      <c r="M80" s="121">
        <f t="shared" si="14"/>
        <v>0</v>
      </c>
      <c r="N80" s="121">
        <f t="shared" si="14"/>
        <v>0</v>
      </c>
      <c r="O80" s="119">
        <f t="shared" si="14"/>
        <v>0</v>
      </c>
      <c r="P80" s="122">
        <f t="shared" si="14"/>
        <v>1</v>
      </c>
      <c r="Q80" s="26">
        <f t="shared" si="11"/>
        <v>1</v>
      </c>
      <c r="R80" s="73">
        <f t="shared" si="14"/>
        <v>7</v>
      </c>
    </row>
    <row r="83" spans="2:18" ht="21.75" thickBot="1" x14ac:dyDescent="0.25">
      <c r="B83" s="88" t="s">
        <v>107</v>
      </c>
      <c r="C83" s="89"/>
      <c r="D83" s="89"/>
      <c r="E83" s="89"/>
      <c r="F83" s="89"/>
      <c r="G83" s="90"/>
      <c r="H83" s="89"/>
      <c r="I83" s="88"/>
      <c r="J83" s="87"/>
      <c r="K83" s="87"/>
      <c r="L83" s="87"/>
      <c r="M83" s="1"/>
      <c r="N83" s="1"/>
      <c r="O83" s="1"/>
      <c r="P83" s="1"/>
      <c r="Q83" s="1"/>
    </row>
    <row r="84" spans="2:18" ht="14.25" thickBot="1" x14ac:dyDescent="0.2">
      <c r="B84" s="2" t="s">
        <v>0</v>
      </c>
      <c r="C84" s="169" t="s">
        <v>106</v>
      </c>
      <c r="D84" s="169"/>
      <c r="E84" s="169"/>
      <c r="F84" s="169"/>
      <c r="G84" s="170"/>
      <c r="H84" s="171" t="s">
        <v>105</v>
      </c>
      <c r="I84" s="172"/>
      <c r="J84" s="172"/>
      <c r="K84" s="172"/>
      <c r="L84" s="173"/>
      <c r="M84" s="174" t="s">
        <v>104</v>
      </c>
      <c r="N84" s="175"/>
      <c r="O84" s="175"/>
      <c r="P84" s="175"/>
      <c r="Q84" s="176"/>
      <c r="R84" s="177"/>
    </row>
    <row r="85" spans="2:18" ht="14.25" thickBot="1" x14ac:dyDescent="0.2">
      <c r="B85" s="2" t="s">
        <v>1</v>
      </c>
      <c r="C85" s="3" t="s">
        <v>103</v>
      </c>
      <c r="D85" s="2" t="s">
        <v>102</v>
      </c>
      <c r="E85" s="2" t="s">
        <v>101</v>
      </c>
      <c r="F85" s="19" t="s">
        <v>100</v>
      </c>
      <c r="G85" s="2" t="s">
        <v>2</v>
      </c>
      <c r="H85" s="3" t="s">
        <v>103</v>
      </c>
      <c r="I85" s="2" t="s">
        <v>102</v>
      </c>
      <c r="J85" s="2" t="s">
        <v>101</v>
      </c>
      <c r="K85" s="19" t="s">
        <v>100</v>
      </c>
      <c r="L85" s="2" t="s">
        <v>2</v>
      </c>
      <c r="M85" s="3" t="s">
        <v>103</v>
      </c>
      <c r="N85" s="2" t="s">
        <v>102</v>
      </c>
      <c r="O85" s="2" t="s">
        <v>101</v>
      </c>
      <c r="P85" s="19" t="s">
        <v>100</v>
      </c>
      <c r="Q85" s="3" t="s">
        <v>2</v>
      </c>
      <c r="R85" s="178"/>
    </row>
    <row r="86" spans="2:18" x14ac:dyDescent="0.15">
      <c r="B86" s="27" t="s">
        <v>6</v>
      </c>
      <c r="C86" s="18">
        <f t="shared" ref="C86:F86" si="15">C80</f>
        <v>1</v>
      </c>
      <c r="D86" s="20">
        <f t="shared" si="15"/>
        <v>1</v>
      </c>
      <c r="E86" s="20">
        <f t="shared" si="15"/>
        <v>0</v>
      </c>
      <c r="F86" s="18">
        <f t="shared" si="15"/>
        <v>0</v>
      </c>
      <c r="G86" s="17">
        <f>G80</f>
        <v>2</v>
      </c>
      <c r="H86" s="18">
        <f t="shared" ref="H86:J86" si="16">H80</f>
        <v>0</v>
      </c>
      <c r="I86" s="20">
        <f t="shared" si="16"/>
        <v>1</v>
      </c>
      <c r="J86" s="20">
        <f t="shared" si="16"/>
        <v>3</v>
      </c>
      <c r="K86" s="18">
        <f>K80</f>
        <v>0</v>
      </c>
      <c r="L86" s="17">
        <f>L80</f>
        <v>4</v>
      </c>
      <c r="M86" s="18">
        <f t="shared" ref="M86:R86" si="17">M80</f>
        <v>0</v>
      </c>
      <c r="N86" s="20">
        <f t="shared" si="17"/>
        <v>0</v>
      </c>
      <c r="O86" s="20">
        <f t="shared" si="17"/>
        <v>0</v>
      </c>
      <c r="P86" s="18">
        <f t="shared" si="17"/>
        <v>1</v>
      </c>
      <c r="Q86" s="17">
        <f t="shared" si="17"/>
        <v>1</v>
      </c>
      <c r="R86" s="86">
        <f t="shared" si="17"/>
        <v>7</v>
      </c>
    </row>
    <row r="87" spans="2:18" x14ac:dyDescent="0.15">
      <c r="B87" s="6" t="s">
        <v>3</v>
      </c>
      <c r="C87" s="16">
        <v>1</v>
      </c>
      <c r="D87" s="11">
        <v>1</v>
      </c>
      <c r="E87" s="11"/>
      <c r="F87" s="66"/>
      <c r="G87" s="5">
        <f>SUM(C87:F87)</f>
        <v>2</v>
      </c>
      <c r="H87" s="16">
        <v>1</v>
      </c>
      <c r="I87" s="11">
        <v>1</v>
      </c>
      <c r="J87" s="11"/>
      <c r="K87" s="66"/>
      <c r="L87" s="5">
        <f>SUM(H87:K87)</f>
        <v>2</v>
      </c>
      <c r="M87" s="16">
        <v>1</v>
      </c>
      <c r="N87" s="11">
        <v>1</v>
      </c>
      <c r="O87" s="11">
        <v>1</v>
      </c>
      <c r="P87" s="66">
        <v>1</v>
      </c>
      <c r="Q87" s="5">
        <f>SUM(M87:P87)</f>
        <v>4</v>
      </c>
      <c r="R87" s="79">
        <f t="shared" ref="R87:R96" si="18">G87+L87+Q87</f>
        <v>8</v>
      </c>
    </row>
    <row r="88" spans="2:18" x14ac:dyDescent="0.15">
      <c r="B88" s="6" t="s">
        <v>3</v>
      </c>
      <c r="C88" s="16"/>
      <c r="D88" s="11"/>
      <c r="E88" s="11"/>
      <c r="F88" s="66"/>
      <c r="G88" s="5">
        <f t="shared" ref="G88:G119" si="19">SUM(C88:F88)</f>
        <v>0</v>
      </c>
      <c r="H88" s="16"/>
      <c r="I88" s="11"/>
      <c r="J88" s="11"/>
      <c r="K88" s="66"/>
      <c r="L88" s="5">
        <f t="shared" ref="L88:L119" si="20">SUM(H88:K88)</f>
        <v>0</v>
      </c>
      <c r="M88" s="16"/>
      <c r="N88" s="11"/>
      <c r="O88" s="11"/>
      <c r="P88" s="66"/>
      <c r="Q88" s="5">
        <f t="shared" ref="Q88:Q119" si="21">SUM(M88:P88)</f>
        <v>0</v>
      </c>
      <c r="R88" s="79">
        <f t="shared" si="18"/>
        <v>0</v>
      </c>
    </row>
    <row r="89" spans="2:18" x14ac:dyDescent="0.15">
      <c r="B89" s="6" t="s">
        <v>3</v>
      </c>
      <c r="C89" s="10"/>
      <c r="D89" s="9"/>
      <c r="E89" s="9"/>
      <c r="F89" s="78"/>
      <c r="G89" s="5">
        <f t="shared" ref="G89:G92" si="22">SUM(C89:F89)</f>
        <v>0</v>
      </c>
      <c r="H89" s="10"/>
      <c r="I89" s="9"/>
      <c r="J89" s="9"/>
      <c r="K89" s="78"/>
      <c r="L89" s="5">
        <f t="shared" ref="L89:L92" si="23">SUM(H89:K89)</f>
        <v>0</v>
      </c>
      <c r="M89" s="10"/>
      <c r="N89" s="9"/>
      <c r="O89" s="9"/>
      <c r="P89" s="78"/>
      <c r="Q89" s="5">
        <f t="shared" ref="Q89:Q92" si="24">SUM(M89:P89)</f>
        <v>0</v>
      </c>
      <c r="R89" s="79">
        <f t="shared" ref="R89:R92" si="25">G89+L89+Q89</f>
        <v>0</v>
      </c>
    </row>
    <row r="90" spans="2:18" x14ac:dyDescent="0.15">
      <c r="B90" s="6" t="s">
        <v>3</v>
      </c>
      <c r="C90" s="10"/>
      <c r="D90" s="9"/>
      <c r="E90" s="9"/>
      <c r="F90" s="78"/>
      <c r="G90" s="5">
        <f t="shared" si="22"/>
        <v>0</v>
      </c>
      <c r="H90" s="10"/>
      <c r="I90" s="9"/>
      <c r="J90" s="9"/>
      <c r="K90" s="78"/>
      <c r="L90" s="5">
        <f t="shared" si="23"/>
        <v>0</v>
      </c>
      <c r="M90" s="10"/>
      <c r="N90" s="9"/>
      <c r="O90" s="9"/>
      <c r="P90" s="78"/>
      <c r="Q90" s="5">
        <f t="shared" si="24"/>
        <v>0</v>
      </c>
      <c r="R90" s="79">
        <f t="shared" si="25"/>
        <v>0</v>
      </c>
    </row>
    <row r="91" spans="2:18" x14ac:dyDescent="0.15">
      <c r="B91" s="6" t="s">
        <v>3</v>
      </c>
      <c r="C91" s="10"/>
      <c r="D91" s="9"/>
      <c r="E91" s="9"/>
      <c r="F91" s="78"/>
      <c r="G91" s="5">
        <f t="shared" si="22"/>
        <v>0</v>
      </c>
      <c r="H91" s="10"/>
      <c r="I91" s="9"/>
      <c r="J91" s="9"/>
      <c r="K91" s="78"/>
      <c r="L91" s="5">
        <f t="shared" si="23"/>
        <v>0</v>
      </c>
      <c r="M91" s="10"/>
      <c r="N91" s="9"/>
      <c r="O91" s="9"/>
      <c r="P91" s="78"/>
      <c r="Q91" s="5">
        <f t="shared" si="24"/>
        <v>0</v>
      </c>
      <c r="R91" s="79">
        <f t="shared" si="25"/>
        <v>0</v>
      </c>
    </row>
    <row r="92" spans="2:18" x14ac:dyDescent="0.15">
      <c r="B92" s="6" t="s">
        <v>3</v>
      </c>
      <c r="C92" s="10"/>
      <c r="D92" s="9"/>
      <c r="E92" s="9"/>
      <c r="F92" s="78"/>
      <c r="G92" s="5">
        <f t="shared" si="22"/>
        <v>0</v>
      </c>
      <c r="H92" s="10"/>
      <c r="I92" s="9"/>
      <c r="J92" s="9"/>
      <c r="K92" s="78"/>
      <c r="L92" s="5">
        <f t="shared" si="23"/>
        <v>0</v>
      </c>
      <c r="M92" s="10"/>
      <c r="N92" s="9"/>
      <c r="O92" s="9"/>
      <c r="P92" s="78"/>
      <c r="Q92" s="5">
        <f t="shared" si="24"/>
        <v>0</v>
      </c>
      <c r="R92" s="79">
        <f t="shared" si="25"/>
        <v>0</v>
      </c>
    </row>
    <row r="93" spans="2:18" x14ac:dyDescent="0.15">
      <c r="B93" s="6" t="s">
        <v>3</v>
      </c>
      <c r="C93" s="10"/>
      <c r="D93" s="9"/>
      <c r="E93" s="9"/>
      <c r="F93" s="78"/>
      <c r="G93" s="5">
        <f t="shared" si="19"/>
        <v>0</v>
      </c>
      <c r="H93" s="10"/>
      <c r="I93" s="9"/>
      <c r="J93" s="9"/>
      <c r="K93" s="78"/>
      <c r="L93" s="5">
        <f t="shared" si="20"/>
        <v>0</v>
      </c>
      <c r="M93" s="10"/>
      <c r="N93" s="9"/>
      <c r="O93" s="9"/>
      <c r="P93" s="78"/>
      <c r="Q93" s="5">
        <f t="shared" si="21"/>
        <v>0</v>
      </c>
      <c r="R93" s="79">
        <f t="shared" si="18"/>
        <v>0</v>
      </c>
    </row>
    <row r="94" spans="2:18" x14ac:dyDescent="0.15">
      <c r="B94" s="6" t="s">
        <v>3</v>
      </c>
      <c r="C94" s="10"/>
      <c r="D94" s="9"/>
      <c r="E94" s="9"/>
      <c r="F94" s="78"/>
      <c r="G94" s="5">
        <f t="shared" si="19"/>
        <v>0</v>
      </c>
      <c r="H94" s="10"/>
      <c r="I94" s="9"/>
      <c r="J94" s="9"/>
      <c r="K94" s="78"/>
      <c r="L94" s="5">
        <f t="shared" si="20"/>
        <v>0</v>
      </c>
      <c r="M94" s="10"/>
      <c r="N94" s="9"/>
      <c r="O94" s="9"/>
      <c r="P94" s="78"/>
      <c r="Q94" s="5">
        <f t="shared" si="21"/>
        <v>0</v>
      </c>
      <c r="R94" s="79">
        <f t="shared" si="18"/>
        <v>0</v>
      </c>
    </row>
    <row r="95" spans="2:18" x14ac:dyDescent="0.15">
      <c r="B95" s="6" t="s">
        <v>3</v>
      </c>
      <c r="C95" s="10"/>
      <c r="D95" s="9"/>
      <c r="E95" s="9"/>
      <c r="F95" s="78"/>
      <c r="G95" s="5">
        <f t="shared" si="19"/>
        <v>0</v>
      </c>
      <c r="H95" s="10"/>
      <c r="I95" s="9"/>
      <c r="J95" s="9"/>
      <c r="K95" s="78"/>
      <c r="L95" s="5">
        <f t="shared" si="20"/>
        <v>0</v>
      </c>
      <c r="M95" s="10"/>
      <c r="N95" s="9"/>
      <c r="O95" s="9"/>
      <c r="P95" s="78"/>
      <c r="Q95" s="5">
        <f t="shared" si="21"/>
        <v>0</v>
      </c>
      <c r="R95" s="79">
        <f t="shared" si="18"/>
        <v>0</v>
      </c>
    </row>
    <row r="96" spans="2:18" ht="14.25" thickBot="1" x14ac:dyDescent="0.2">
      <c r="B96" s="84" t="s">
        <v>3</v>
      </c>
      <c r="C96" s="13"/>
      <c r="D96" s="12"/>
      <c r="E96" s="12"/>
      <c r="F96" s="1"/>
      <c r="G96" s="83">
        <f t="shared" si="19"/>
        <v>0</v>
      </c>
      <c r="H96" s="13"/>
      <c r="I96" s="12"/>
      <c r="J96" s="12"/>
      <c r="K96" s="1"/>
      <c r="L96" s="83">
        <f t="shared" si="20"/>
        <v>0</v>
      </c>
      <c r="M96" s="13"/>
      <c r="N96" s="12"/>
      <c r="O96" s="12"/>
      <c r="P96" s="1"/>
      <c r="Q96" s="83">
        <f t="shared" si="21"/>
        <v>0</v>
      </c>
      <c r="R96" s="77">
        <f t="shared" si="18"/>
        <v>0</v>
      </c>
    </row>
    <row r="97" spans="2:19" ht="14.25" thickBot="1" x14ac:dyDescent="0.2">
      <c r="B97" s="21" t="s">
        <v>4</v>
      </c>
      <c r="C97" s="22">
        <f>SUM(C86:C96)</f>
        <v>2</v>
      </c>
      <c r="D97" s="22">
        <f>SUM(D86:D96)</f>
        <v>2</v>
      </c>
      <c r="E97" s="22">
        <f>SUM(E86:E96)</f>
        <v>0</v>
      </c>
      <c r="F97" s="82">
        <f>SUM(F86:F96)</f>
        <v>0</v>
      </c>
      <c r="G97" s="24">
        <f t="shared" si="19"/>
        <v>4</v>
      </c>
      <c r="H97" s="22">
        <f>SUM(H86:H96)</f>
        <v>1</v>
      </c>
      <c r="I97" s="22">
        <f>SUM(I86:I96)</f>
        <v>2</v>
      </c>
      <c r="J97" s="22">
        <f>SUM(J86:J96)</f>
        <v>3</v>
      </c>
      <c r="K97" s="82">
        <f>SUM(K86:K96)</f>
        <v>0</v>
      </c>
      <c r="L97" s="24">
        <f t="shared" si="20"/>
        <v>6</v>
      </c>
      <c r="M97" s="22">
        <f>SUM(M86:M96)</f>
        <v>1</v>
      </c>
      <c r="N97" s="22">
        <f>SUM(N86:N96)</f>
        <v>1</v>
      </c>
      <c r="O97" s="22">
        <f>SUM(O86:O96)</f>
        <v>1</v>
      </c>
      <c r="P97" s="82">
        <f>SUM(P86:P96)</f>
        <v>2</v>
      </c>
      <c r="Q97" s="24">
        <f t="shared" si="21"/>
        <v>5</v>
      </c>
      <c r="R97" s="81">
        <f>SUM(R86:R96)</f>
        <v>15</v>
      </c>
    </row>
    <row r="98" spans="2:19" x14ac:dyDescent="0.15">
      <c r="B98" s="4" t="s">
        <v>691</v>
      </c>
      <c r="C98" s="80">
        <v>1</v>
      </c>
      <c r="D98" s="49">
        <v>1</v>
      </c>
      <c r="E98" s="49"/>
      <c r="F98" s="78"/>
      <c r="G98" s="5">
        <f t="shared" si="19"/>
        <v>2</v>
      </c>
      <c r="H98" s="80">
        <v>1</v>
      </c>
      <c r="I98" s="49">
        <v>1</v>
      </c>
      <c r="J98" s="49"/>
      <c r="K98" s="78"/>
      <c r="L98" s="5">
        <f t="shared" si="20"/>
        <v>2</v>
      </c>
      <c r="M98" s="80">
        <v>1</v>
      </c>
      <c r="N98" s="49">
        <v>1</v>
      </c>
      <c r="O98" s="49"/>
      <c r="P98" s="78"/>
      <c r="Q98" s="5">
        <f t="shared" si="21"/>
        <v>2</v>
      </c>
      <c r="R98" s="79">
        <f t="shared" ref="R98:R119" si="26">G98+L98+Q98</f>
        <v>6</v>
      </c>
      <c r="S98" s="71">
        <v>45705</v>
      </c>
    </row>
    <row r="99" spans="2:19" x14ac:dyDescent="0.15">
      <c r="B99" s="4" t="s">
        <v>34</v>
      </c>
      <c r="C99" s="8"/>
      <c r="D99" s="9">
        <v>1</v>
      </c>
      <c r="E99" s="9"/>
      <c r="F99" s="78"/>
      <c r="G99" s="5">
        <f t="shared" si="19"/>
        <v>1</v>
      </c>
      <c r="H99" s="8"/>
      <c r="I99" s="9">
        <v>1</v>
      </c>
      <c r="J99" s="9"/>
      <c r="K99" s="78"/>
      <c r="L99" s="5">
        <f t="shared" si="20"/>
        <v>1</v>
      </c>
      <c r="M99" s="8"/>
      <c r="N99" s="9"/>
      <c r="O99" s="9"/>
      <c r="P99" s="78"/>
      <c r="Q99" s="5">
        <f t="shared" si="21"/>
        <v>0</v>
      </c>
      <c r="R99" s="79">
        <f t="shared" si="26"/>
        <v>2</v>
      </c>
      <c r="S99" s="71">
        <v>45709</v>
      </c>
    </row>
    <row r="100" spans="2:19" x14ac:dyDescent="0.15">
      <c r="B100" s="4" t="s">
        <v>34</v>
      </c>
      <c r="C100" s="8"/>
      <c r="D100" s="9"/>
      <c r="E100" s="9"/>
      <c r="F100" s="78"/>
      <c r="G100" s="5">
        <f t="shared" si="19"/>
        <v>0</v>
      </c>
      <c r="H100" s="8"/>
      <c r="I100" s="9"/>
      <c r="J100" s="9">
        <v>1</v>
      </c>
      <c r="K100" s="78"/>
      <c r="L100" s="5">
        <f t="shared" si="20"/>
        <v>1</v>
      </c>
      <c r="M100" s="8"/>
      <c r="N100" s="9"/>
      <c r="O100" s="9"/>
      <c r="P100" s="78"/>
      <c r="Q100" s="5">
        <f t="shared" si="21"/>
        <v>0</v>
      </c>
      <c r="R100" s="79">
        <f t="shared" si="26"/>
        <v>1</v>
      </c>
      <c r="S100" s="71">
        <v>45831</v>
      </c>
    </row>
    <row r="101" spans="2:19" x14ac:dyDescent="0.15">
      <c r="B101" s="4" t="s">
        <v>34</v>
      </c>
      <c r="C101" s="8">
        <v>1</v>
      </c>
      <c r="D101" s="9"/>
      <c r="E101" s="9"/>
      <c r="F101" s="78"/>
      <c r="G101" s="5">
        <f t="shared" si="19"/>
        <v>1</v>
      </c>
      <c r="H101" s="8"/>
      <c r="I101" s="9"/>
      <c r="J101" s="9"/>
      <c r="K101" s="78"/>
      <c r="L101" s="5">
        <f t="shared" si="20"/>
        <v>0</v>
      </c>
      <c r="M101" s="8"/>
      <c r="N101" s="9"/>
      <c r="O101" s="9"/>
      <c r="P101" s="78"/>
      <c r="Q101" s="5">
        <f t="shared" si="21"/>
        <v>0</v>
      </c>
      <c r="R101" s="79">
        <f t="shared" si="26"/>
        <v>1</v>
      </c>
      <c r="S101" s="71">
        <v>45838</v>
      </c>
    </row>
    <row r="102" spans="2:19" x14ac:dyDescent="0.15">
      <c r="B102" s="4" t="s">
        <v>34</v>
      </c>
      <c r="C102" s="8"/>
      <c r="D102" s="9"/>
      <c r="E102" s="9"/>
      <c r="F102" s="78"/>
      <c r="G102" s="5">
        <f t="shared" si="19"/>
        <v>0</v>
      </c>
      <c r="H102" s="8"/>
      <c r="I102" s="9"/>
      <c r="J102" s="9">
        <v>1</v>
      </c>
      <c r="K102" s="78"/>
      <c r="L102" s="5">
        <f t="shared" si="20"/>
        <v>1</v>
      </c>
      <c r="M102" s="8"/>
      <c r="N102" s="9"/>
      <c r="O102" s="9"/>
      <c r="P102" s="78"/>
      <c r="Q102" s="5">
        <f t="shared" si="21"/>
        <v>0</v>
      </c>
      <c r="R102" s="79">
        <f t="shared" si="26"/>
        <v>1</v>
      </c>
      <c r="S102" s="71">
        <v>45849</v>
      </c>
    </row>
    <row r="103" spans="2:19" x14ac:dyDescent="0.15">
      <c r="B103" s="4" t="s">
        <v>34</v>
      </c>
      <c r="C103" s="8"/>
      <c r="D103" s="9"/>
      <c r="E103" s="9"/>
      <c r="F103" s="78"/>
      <c r="G103" s="5">
        <f t="shared" si="19"/>
        <v>0</v>
      </c>
      <c r="H103" s="8"/>
      <c r="I103" s="9"/>
      <c r="J103" s="9">
        <v>1</v>
      </c>
      <c r="K103" s="78"/>
      <c r="L103" s="5">
        <f t="shared" si="20"/>
        <v>1</v>
      </c>
      <c r="M103" s="8"/>
      <c r="N103" s="9"/>
      <c r="O103" s="9"/>
      <c r="P103" s="78"/>
      <c r="Q103" s="5">
        <f t="shared" si="21"/>
        <v>0</v>
      </c>
      <c r="R103" s="79">
        <f t="shared" si="26"/>
        <v>1</v>
      </c>
      <c r="S103" s="71">
        <v>45867</v>
      </c>
    </row>
    <row r="104" spans="2:19" x14ac:dyDescent="0.15">
      <c r="B104" s="4" t="s">
        <v>34</v>
      </c>
      <c r="C104" s="8"/>
      <c r="D104" s="9"/>
      <c r="E104" s="9"/>
      <c r="F104" s="78"/>
      <c r="G104" s="5">
        <f t="shared" si="19"/>
        <v>0</v>
      </c>
      <c r="H104" s="8"/>
      <c r="I104" s="9"/>
      <c r="J104" s="9"/>
      <c r="K104" s="78"/>
      <c r="L104" s="5">
        <f t="shared" si="20"/>
        <v>0</v>
      </c>
      <c r="M104" s="8"/>
      <c r="N104" s="9"/>
      <c r="O104" s="9"/>
      <c r="P104" s="78">
        <v>2</v>
      </c>
      <c r="Q104" s="5">
        <f t="shared" si="21"/>
        <v>2</v>
      </c>
      <c r="R104" s="79">
        <f t="shared" si="26"/>
        <v>2</v>
      </c>
      <c r="S104" s="71">
        <v>45905</v>
      </c>
    </row>
    <row r="105" spans="2:19" x14ac:dyDescent="0.15">
      <c r="B105" s="4" t="s">
        <v>34</v>
      </c>
      <c r="C105" s="8"/>
      <c r="D105" s="9"/>
      <c r="E105" s="9"/>
      <c r="F105" s="78"/>
      <c r="G105" s="5">
        <f t="shared" si="19"/>
        <v>0</v>
      </c>
      <c r="H105" s="8"/>
      <c r="I105" s="9"/>
      <c r="J105" s="9"/>
      <c r="K105" s="78"/>
      <c r="L105" s="5">
        <f t="shared" si="20"/>
        <v>0</v>
      </c>
      <c r="M105" s="8"/>
      <c r="N105" s="9"/>
      <c r="O105" s="9">
        <v>1</v>
      </c>
      <c r="P105" s="78"/>
      <c r="Q105" s="5">
        <f t="shared" si="21"/>
        <v>1</v>
      </c>
      <c r="R105" s="79">
        <f t="shared" si="26"/>
        <v>1</v>
      </c>
      <c r="S105" s="71">
        <v>45910</v>
      </c>
    </row>
    <row r="106" spans="2:19" x14ac:dyDescent="0.15">
      <c r="B106" s="4"/>
      <c r="C106" s="8"/>
      <c r="D106" s="9"/>
      <c r="E106" s="9"/>
      <c r="F106" s="78"/>
      <c r="G106" s="5">
        <f t="shared" si="19"/>
        <v>0</v>
      </c>
      <c r="H106" s="8"/>
      <c r="I106" s="9"/>
      <c r="J106" s="9"/>
      <c r="K106" s="78"/>
      <c r="L106" s="5">
        <f t="shared" si="20"/>
        <v>0</v>
      </c>
      <c r="M106" s="8"/>
      <c r="N106" s="9"/>
      <c r="O106" s="9"/>
      <c r="P106" s="78"/>
      <c r="Q106" s="5">
        <f t="shared" si="21"/>
        <v>0</v>
      </c>
      <c r="R106" s="79">
        <f t="shared" si="26"/>
        <v>0</v>
      </c>
    </row>
    <row r="107" spans="2:19" x14ac:dyDescent="0.15">
      <c r="B107" s="4"/>
      <c r="C107" s="8"/>
      <c r="D107" s="9"/>
      <c r="E107" s="9"/>
      <c r="F107" s="78"/>
      <c r="G107" s="5">
        <f t="shared" si="19"/>
        <v>0</v>
      </c>
      <c r="H107" s="8"/>
      <c r="I107" s="9"/>
      <c r="J107" s="9"/>
      <c r="K107" s="78"/>
      <c r="L107" s="5">
        <f t="shared" si="20"/>
        <v>0</v>
      </c>
      <c r="M107" s="8"/>
      <c r="N107" s="9"/>
      <c r="O107" s="9"/>
      <c r="P107" s="78"/>
      <c r="Q107" s="5">
        <f t="shared" si="21"/>
        <v>0</v>
      </c>
      <c r="R107" s="79">
        <f t="shared" si="26"/>
        <v>0</v>
      </c>
    </row>
    <row r="108" spans="2:19" x14ac:dyDescent="0.15">
      <c r="B108" s="4"/>
      <c r="C108" s="59"/>
      <c r="D108" s="9"/>
      <c r="E108" s="9"/>
      <c r="F108" s="78"/>
      <c r="G108" s="5">
        <f t="shared" si="19"/>
        <v>0</v>
      </c>
      <c r="H108" s="8"/>
      <c r="I108" s="9"/>
      <c r="J108" s="9"/>
      <c r="K108" s="78"/>
      <c r="L108" s="5">
        <f t="shared" si="20"/>
        <v>0</v>
      </c>
      <c r="M108" s="8"/>
      <c r="N108" s="9"/>
      <c r="O108" s="9"/>
      <c r="P108" s="78"/>
      <c r="Q108" s="5">
        <f t="shared" si="21"/>
        <v>0</v>
      </c>
      <c r="R108" s="79">
        <f t="shared" si="26"/>
        <v>0</v>
      </c>
    </row>
    <row r="109" spans="2:19" x14ac:dyDescent="0.15">
      <c r="B109" s="4"/>
      <c r="C109" s="8"/>
      <c r="D109" s="9"/>
      <c r="E109" s="9"/>
      <c r="F109" s="78"/>
      <c r="G109" s="5">
        <f t="shared" si="19"/>
        <v>0</v>
      </c>
      <c r="H109" s="8"/>
      <c r="I109" s="9"/>
      <c r="J109" s="9"/>
      <c r="K109" s="78"/>
      <c r="L109" s="5">
        <f t="shared" si="20"/>
        <v>0</v>
      </c>
      <c r="M109" s="8"/>
      <c r="N109" s="9"/>
      <c r="O109" s="9"/>
      <c r="P109" s="78"/>
      <c r="Q109" s="5">
        <f t="shared" si="21"/>
        <v>0</v>
      </c>
      <c r="R109" s="79">
        <f t="shared" si="26"/>
        <v>0</v>
      </c>
    </row>
    <row r="110" spans="2:19" x14ac:dyDescent="0.15">
      <c r="B110" s="4"/>
      <c r="C110" s="8"/>
      <c r="D110" s="9"/>
      <c r="E110" s="9"/>
      <c r="F110" s="78"/>
      <c r="G110" s="5">
        <f t="shared" si="19"/>
        <v>0</v>
      </c>
      <c r="H110" s="8"/>
      <c r="I110" s="9"/>
      <c r="J110" s="9"/>
      <c r="K110" s="78"/>
      <c r="L110" s="5">
        <f t="shared" si="20"/>
        <v>0</v>
      </c>
      <c r="M110" s="8"/>
      <c r="N110" s="9"/>
      <c r="O110" s="9"/>
      <c r="P110" s="78"/>
      <c r="Q110" s="5">
        <f t="shared" si="21"/>
        <v>0</v>
      </c>
      <c r="R110" s="79">
        <f t="shared" si="26"/>
        <v>0</v>
      </c>
    </row>
    <row r="111" spans="2:19" x14ac:dyDescent="0.15">
      <c r="B111" s="4"/>
      <c r="C111" s="59"/>
      <c r="D111" s="9"/>
      <c r="E111" s="9"/>
      <c r="F111" s="78"/>
      <c r="G111" s="5">
        <f t="shared" si="19"/>
        <v>0</v>
      </c>
      <c r="H111" s="8"/>
      <c r="I111" s="9"/>
      <c r="J111" s="9"/>
      <c r="K111" s="78"/>
      <c r="L111" s="5">
        <f t="shared" si="20"/>
        <v>0</v>
      </c>
      <c r="M111" s="8"/>
      <c r="N111" s="9"/>
      <c r="O111" s="9"/>
      <c r="P111" s="78"/>
      <c r="Q111" s="5">
        <f t="shared" si="21"/>
        <v>0</v>
      </c>
      <c r="R111" s="79">
        <f t="shared" si="26"/>
        <v>0</v>
      </c>
    </row>
    <row r="112" spans="2:19" x14ac:dyDescent="0.15">
      <c r="B112" s="4"/>
      <c r="C112" s="59"/>
      <c r="D112" s="9"/>
      <c r="E112" s="9"/>
      <c r="F112" s="78"/>
      <c r="G112" s="5">
        <f t="shared" si="19"/>
        <v>0</v>
      </c>
      <c r="H112" s="8"/>
      <c r="I112" s="9"/>
      <c r="J112" s="9"/>
      <c r="K112" s="78"/>
      <c r="L112" s="5">
        <f t="shared" si="20"/>
        <v>0</v>
      </c>
      <c r="M112" s="8"/>
      <c r="N112" s="9"/>
      <c r="O112" s="9"/>
      <c r="P112" s="78"/>
      <c r="Q112" s="5">
        <f t="shared" si="21"/>
        <v>0</v>
      </c>
      <c r="R112" s="79">
        <f t="shared" si="26"/>
        <v>0</v>
      </c>
    </row>
    <row r="113" spans="2:18" x14ac:dyDescent="0.15">
      <c r="B113" s="4"/>
      <c r="C113" s="8"/>
      <c r="D113" s="9"/>
      <c r="E113" s="9"/>
      <c r="F113" s="78"/>
      <c r="G113" s="5">
        <f t="shared" si="19"/>
        <v>0</v>
      </c>
      <c r="H113" s="8"/>
      <c r="I113" s="9"/>
      <c r="J113" s="9"/>
      <c r="K113" s="78"/>
      <c r="L113" s="5">
        <f t="shared" si="20"/>
        <v>0</v>
      </c>
      <c r="M113" s="8"/>
      <c r="N113" s="9"/>
      <c r="O113" s="9"/>
      <c r="P113" s="78"/>
      <c r="Q113" s="5">
        <f t="shared" si="21"/>
        <v>0</v>
      </c>
      <c r="R113" s="79">
        <f t="shared" si="26"/>
        <v>0</v>
      </c>
    </row>
    <row r="114" spans="2:18" x14ac:dyDescent="0.15">
      <c r="B114" s="4"/>
      <c r="C114" s="8"/>
      <c r="D114" s="9"/>
      <c r="E114" s="9"/>
      <c r="F114" s="78"/>
      <c r="G114" s="5">
        <f t="shared" si="19"/>
        <v>0</v>
      </c>
      <c r="H114" s="8"/>
      <c r="I114" s="9"/>
      <c r="J114" s="9"/>
      <c r="K114" s="78"/>
      <c r="L114" s="5">
        <f t="shared" si="20"/>
        <v>0</v>
      </c>
      <c r="M114" s="8"/>
      <c r="N114" s="9"/>
      <c r="O114" s="9"/>
      <c r="P114" s="78"/>
      <c r="Q114" s="5">
        <f t="shared" si="21"/>
        <v>0</v>
      </c>
      <c r="R114" s="79">
        <f t="shared" si="26"/>
        <v>0</v>
      </c>
    </row>
    <row r="115" spans="2:18" x14ac:dyDescent="0.15">
      <c r="B115" s="4"/>
      <c r="C115" s="59"/>
      <c r="D115" s="9"/>
      <c r="E115" s="9"/>
      <c r="F115" s="78"/>
      <c r="G115" s="5">
        <f t="shared" si="19"/>
        <v>0</v>
      </c>
      <c r="H115" s="8"/>
      <c r="I115" s="9"/>
      <c r="J115" s="9"/>
      <c r="K115" s="78"/>
      <c r="L115" s="5">
        <f t="shared" si="20"/>
        <v>0</v>
      </c>
      <c r="M115" s="8"/>
      <c r="N115" s="9"/>
      <c r="O115" s="9"/>
      <c r="P115" s="78"/>
      <c r="Q115" s="5">
        <f t="shared" si="21"/>
        <v>0</v>
      </c>
      <c r="R115" s="79">
        <f t="shared" si="26"/>
        <v>0</v>
      </c>
    </row>
    <row r="116" spans="2:18" x14ac:dyDescent="0.15">
      <c r="B116" s="4"/>
      <c r="C116" s="59"/>
      <c r="D116" s="9"/>
      <c r="E116" s="9"/>
      <c r="F116" s="78"/>
      <c r="G116" s="5">
        <f t="shared" si="19"/>
        <v>0</v>
      </c>
      <c r="H116" s="8"/>
      <c r="I116" s="9"/>
      <c r="J116" s="9"/>
      <c r="K116" s="78"/>
      <c r="L116" s="5">
        <f t="shared" si="20"/>
        <v>0</v>
      </c>
      <c r="M116" s="8"/>
      <c r="N116" s="9"/>
      <c r="O116" s="9"/>
      <c r="P116" s="78"/>
      <c r="Q116" s="5">
        <f t="shared" si="21"/>
        <v>0</v>
      </c>
      <c r="R116" s="79">
        <f t="shared" si="26"/>
        <v>0</v>
      </c>
    </row>
    <row r="117" spans="2:18" x14ac:dyDescent="0.15">
      <c r="B117" s="4"/>
      <c r="C117" s="59"/>
      <c r="D117" s="9"/>
      <c r="E117" s="9"/>
      <c r="F117" s="78"/>
      <c r="G117" s="5">
        <f t="shared" si="19"/>
        <v>0</v>
      </c>
      <c r="H117" s="8"/>
      <c r="I117" s="9"/>
      <c r="J117" s="9"/>
      <c r="K117" s="78"/>
      <c r="L117" s="5">
        <f t="shared" si="20"/>
        <v>0</v>
      </c>
      <c r="M117" s="8"/>
      <c r="N117" s="9"/>
      <c r="O117" s="9"/>
      <c r="P117" s="78"/>
      <c r="Q117" s="5">
        <f t="shared" si="21"/>
        <v>0</v>
      </c>
      <c r="R117" s="79">
        <f t="shared" si="26"/>
        <v>0</v>
      </c>
    </row>
    <row r="118" spans="2:18" x14ac:dyDescent="0.15">
      <c r="B118" s="4"/>
      <c r="C118" s="59"/>
      <c r="D118" s="9"/>
      <c r="E118" s="9"/>
      <c r="F118" s="78"/>
      <c r="G118" s="5">
        <f t="shared" si="19"/>
        <v>0</v>
      </c>
      <c r="H118" s="8"/>
      <c r="I118" s="9"/>
      <c r="J118" s="9"/>
      <c r="K118" s="78"/>
      <c r="L118" s="5">
        <f t="shared" si="20"/>
        <v>0</v>
      </c>
      <c r="M118" s="8"/>
      <c r="N118" s="9"/>
      <c r="O118" s="9"/>
      <c r="P118" s="78"/>
      <c r="Q118" s="5">
        <f t="shared" si="21"/>
        <v>0</v>
      </c>
      <c r="R118" s="79">
        <f t="shared" si="26"/>
        <v>0</v>
      </c>
    </row>
    <row r="119" spans="2:18" ht="14.25" thickBot="1" x14ac:dyDescent="0.2">
      <c r="B119" s="4"/>
      <c r="C119" s="59"/>
      <c r="D119" s="9"/>
      <c r="E119" s="9"/>
      <c r="F119" s="78"/>
      <c r="G119" s="5">
        <f t="shared" si="19"/>
        <v>0</v>
      </c>
      <c r="H119" s="8"/>
      <c r="I119" s="9"/>
      <c r="J119" s="9"/>
      <c r="K119" s="78"/>
      <c r="L119" s="5">
        <f t="shared" si="20"/>
        <v>0</v>
      </c>
      <c r="M119" s="8"/>
      <c r="N119" s="9"/>
      <c r="O119" s="9"/>
      <c r="P119" s="78"/>
      <c r="Q119" s="5">
        <f t="shared" si="21"/>
        <v>0</v>
      </c>
      <c r="R119" s="77">
        <f t="shared" si="26"/>
        <v>0</v>
      </c>
    </row>
    <row r="120" spans="2:18" ht="14.25" thickBot="1" x14ac:dyDescent="0.2">
      <c r="B120" s="3" t="s">
        <v>5</v>
      </c>
      <c r="C120" s="14">
        <f t="shared" ref="C120:G120" si="27">SUM(C98:C119)</f>
        <v>2</v>
      </c>
      <c r="D120" s="14">
        <f t="shared" si="27"/>
        <v>2</v>
      </c>
      <c r="E120" s="14">
        <f t="shared" si="27"/>
        <v>0</v>
      </c>
      <c r="F120" s="14">
        <f t="shared" si="27"/>
        <v>0</v>
      </c>
      <c r="G120" s="15">
        <f t="shared" si="27"/>
        <v>4</v>
      </c>
      <c r="H120" s="14">
        <f t="shared" ref="H120:Q120" si="28">SUM(H98:H119)</f>
        <v>1</v>
      </c>
      <c r="I120" s="14">
        <f t="shared" si="28"/>
        <v>2</v>
      </c>
      <c r="J120" s="14">
        <f t="shared" si="28"/>
        <v>3</v>
      </c>
      <c r="K120" s="14">
        <f t="shared" si="28"/>
        <v>0</v>
      </c>
      <c r="L120" s="15">
        <f t="shared" si="28"/>
        <v>6</v>
      </c>
      <c r="M120" s="14">
        <f t="shared" si="28"/>
        <v>1</v>
      </c>
      <c r="N120" s="14">
        <f t="shared" si="28"/>
        <v>1</v>
      </c>
      <c r="O120" s="14">
        <f t="shared" si="28"/>
        <v>1</v>
      </c>
      <c r="P120" s="14">
        <f t="shared" si="28"/>
        <v>2</v>
      </c>
      <c r="Q120" s="15">
        <f t="shared" si="28"/>
        <v>5</v>
      </c>
      <c r="R120" s="73">
        <f>SUM(R98:R119)</f>
        <v>15</v>
      </c>
    </row>
    <row r="121" spans="2:18" ht="14.25" thickBot="1" x14ac:dyDescent="0.2">
      <c r="B121" s="25" t="s">
        <v>6</v>
      </c>
      <c r="C121" s="26">
        <f t="shared" ref="C121:G121" si="29">C97-C120</f>
        <v>0</v>
      </c>
      <c r="D121" s="26">
        <f t="shared" si="29"/>
        <v>0</v>
      </c>
      <c r="E121" s="26">
        <f t="shared" si="29"/>
        <v>0</v>
      </c>
      <c r="F121" s="26">
        <f t="shared" si="29"/>
        <v>0</v>
      </c>
      <c r="G121" s="24">
        <f t="shared" si="29"/>
        <v>0</v>
      </c>
      <c r="H121" s="26">
        <f t="shared" ref="H121:Q121" si="30">H97-H120</f>
        <v>0</v>
      </c>
      <c r="I121" s="26">
        <f t="shared" si="30"/>
        <v>0</v>
      </c>
      <c r="J121" s="26">
        <f t="shared" si="30"/>
        <v>0</v>
      </c>
      <c r="K121" s="26">
        <f t="shared" si="30"/>
        <v>0</v>
      </c>
      <c r="L121" s="24">
        <f t="shared" si="30"/>
        <v>0</v>
      </c>
      <c r="M121" s="26">
        <f t="shared" si="30"/>
        <v>0</v>
      </c>
      <c r="N121" s="26">
        <f t="shared" si="30"/>
        <v>0</v>
      </c>
      <c r="O121" s="26">
        <f t="shared" si="30"/>
        <v>0</v>
      </c>
      <c r="P121" s="26">
        <f t="shared" si="30"/>
        <v>0</v>
      </c>
      <c r="Q121" s="24">
        <f t="shared" si="30"/>
        <v>0</v>
      </c>
      <c r="R121" s="73">
        <f t="shared" ref="R121" si="31">R97-R120</f>
        <v>0</v>
      </c>
    </row>
  </sheetData>
  <mergeCells count="12">
    <mergeCell ref="C84:G84"/>
    <mergeCell ref="H84:L84"/>
    <mergeCell ref="M84:Q84"/>
    <mergeCell ref="R84:R85"/>
    <mergeCell ref="R2:R3"/>
    <mergeCell ref="C43:G43"/>
    <mergeCell ref="H43:L43"/>
    <mergeCell ref="M43:Q43"/>
    <mergeCell ref="R43:R44"/>
    <mergeCell ref="C2:G2"/>
    <mergeCell ref="H2:L2"/>
    <mergeCell ref="M2:Q2"/>
  </mergeCells>
  <phoneticPr fontId="7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淡色すっぽりショーツオリジナル</vt:lpstr>
      <vt:lpstr>ネット用単品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2019-04-16T00:04:05Z</cp:lastPrinted>
  <dcterms:created xsi:type="dcterms:W3CDTF">2014-05-16T05:12:07Z</dcterms:created>
  <dcterms:modified xsi:type="dcterms:W3CDTF">2026-07-14T09:58:32Z</dcterms:modified>
</cp:coreProperties>
</file>