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58779F0A-8F8B-48AA-94EE-BCCD79A16C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色組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4" i="4" l="1"/>
  <c r="L184" i="4"/>
  <c r="O183" i="4"/>
  <c r="L183" i="4"/>
  <c r="O195" i="4"/>
  <c r="O194" i="4"/>
  <c r="L194" i="4"/>
  <c r="L195" i="4"/>
  <c r="O191" i="4"/>
  <c r="L191" i="4"/>
  <c r="O189" i="4"/>
  <c r="L189" i="4"/>
  <c r="N187" i="4"/>
  <c r="M187" i="4"/>
  <c r="K187" i="4"/>
  <c r="J187" i="4"/>
  <c r="F187" i="4"/>
  <c r="E187" i="4"/>
  <c r="G187" i="4" s="1"/>
  <c r="C187" i="4"/>
  <c r="D187" i="4" s="1"/>
  <c r="B187" i="4"/>
  <c r="O186" i="4"/>
  <c r="L186" i="4"/>
  <c r="G186" i="4"/>
  <c r="D186" i="4"/>
  <c r="O185" i="4"/>
  <c r="L185" i="4"/>
  <c r="G185" i="4"/>
  <c r="D185" i="4"/>
  <c r="G184" i="4"/>
  <c r="D184" i="4"/>
  <c r="G183" i="4"/>
  <c r="D183" i="4"/>
  <c r="O182" i="4"/>
  <c r="L182" i="4"/>
  <c r="G182" i="4"/>
  <c r="D182" i="4"/>
  <c r="O181" i="4"/>
  <c r="L181" i="4"/>
  <c r="G181" i="4"/>
  <c r="D181" i="4"/>
  <c r="O180" i="4"/>
  <c r="L180" i="4"/>
  <c r="G180" i="4"/>
  <c r="D180" i="4"/>
  <c r="O179" i="4"/>
  <c r="L179" i="4"/>
  <c r="G179" i="4"/>
  <c r="D179" i="4"/>
  <c r="O178" i="4"/>
  <c r="L178" i="4"/>
  <c r="G178" i="4"/>
  <c r="D178" i="4"/>
  <c r="O177" i="4"/>
  <c r="L177" i="4"/>
  <c r="G177" i="4"/>
  <c r="D177" i="4"/>
  <c r="O176" i="4"/>
  <c r="L176" i="4"/>
  <c r="G176" i="4"/>
  <c r="D176" i="4"/>
  <c r="O175" i="4"/>
  <c r="L175" i="4"/>
  <c r="G175" i="4"/>
  <c r="D175" i="4"/>
  <c r="O174" i="4"/>
  <c r="L174" i="4"/>
  <c r="G174" i="4"/>
  <c r="D174" i="4"/>
  <c r="O173" i="4"/>
  <c r="L173" i="4"/>
  <c r="G173" i="4"/>
  <c r="D173" i="4"/>
  <c r="O172" i="4"/>
  <c r="L172" i="4"/>
  <c r="G172" i="4"/>
  <c r="D172" i="4"/>
  <c r="O171" i="4"/>
  <c r="L171" i="4"/>
  <c r="G171" i="4"/>
  <c r="D171" i="4"/>
  <c r="O170" i="4"/>
  <c r="L170" i="4"/>
  <c r="G170" i="4"/>
  <c r="D170" i="4"/>
  <c r="O169" i="4"/>
  <c r="L169" i="4"/>
  <c r="G169" i="4"/>
  <c r="D169" i="4"/>
  <c r="O168" i="4"/>
  <c r="L168" i="4"/>
  <c r="G168" i="4"/>
  <c r="D168" i="4"/>
  <c r="O167" i="4"/>
  <c r="L167" i="4"/>
  <c r="G167" i="4"/>
  <c r="D167" i="4"/>
  <c r="O166" i="4"/>
  <c r="L166" i="4"/>
  <c r="G166" i="4"/>
  <c r="D166" i="4"/>
  <c r="O165" i="4"/>
  <c r="L165" i="4"/>
  <c r="G165" i="4"/>
  <c r="D165" i="4"/>
  <c r="O164" i="4"/>
  <c r="L164" i="4"/>
  <c r="G164" i="4"/>
  <c r="D164" i="4"/>
  <c r="O163" i="4"/>
  <c r="L163" i="4"/>
  <c r="G163" i="4"/>
  <c r="D163" i="4"/>
  <c r="O161" i="4"/>
  <c r="L161" i="4"/>
  <c r="G161" i="4"/>
  <c r="D161" i="4"/>
  <c r="O160" i="4"/>
  <c r="L160" i="4"/>
  <c r="G160" i="4"/>
  <c r="D160" i="4"/>
  <c r="O159" i="4"/>
  <c r="L159" i="4"/>
  <c r="G159" i="4"/>
  <c r="D159" i="4"/>
  <c r="O158" i="4"/>
  <c r="L158" i="4"/>
  <c r="G158" i="4"/>
  <c r="D158" i="4"/>
  <c r="O157" i="4"/>
  <c r="L157" i="4"/>
  <c r="G157" i="4"/>
  <c r="D157" i="4"/>
  <c r="O151" i="4"/>
  <c r="L151" i="4"/>
  <c r="O52" i="4"/>
  <c r="L52" i="4"/>
  <c r="N149" i="4"/>
  <c r="M149" i="4"/>
  <c r="K149" i="4"/>
  <c r="J149" i="4"/>
  <c r="F149" i="4"/>
  <c r="E149" i="4"/>
  <c r="G149" i="4" s="1"/>
  <c r="C149" i="4"/>
  <c r="B149" i="4"/>
  <c r="D149" i="4" s="1"/>
  <c r="O148" i="4"/>
  <c r="L148" i="4"/>
  <c r="G148" i="4"/>
  <c r="D148" i="4"/>
  <c r="O147" i="4"/>
  <c r="L147" i="4"/>
  <c r="G147" i="4"/>
  <c r="D147" i="4"/>
  <c r="O146" i="4"/>
  <c r="L146" i="4"/>
  <c r="G146" i="4"/>
  <c r="D146" i="4"/>
  <c r="O145" i="4"/>
  <c r="L145" i="4"/>
  <c r="G145" i="4"/>
  <c r="D145" i="4"/>
  <c r="O144" i="4"/>
  <c r="L144" i="4"/>
  <c r="G144" i="4"/>
  <c r="D144" i="4"/>
  <c r="O143" i="4"/>
  <c r="L143" i="4"/>
  <c r="G143" i="4"/>
  <c r="D143" i="4"/>
  <c r="O142" i="4"/>
  <c r="L142" i="4"/>
  <c r="G142" i="4"/>
  <c r="D142" i="4"/>
  <c r="O141" i="4"/>
  <c r="L141" i="4"/>
  <c r="G141" i="4"/>
  <c r="D141" i="4"/>
  <c r="O140" i="4"/>
  <c r="L140" i="4"/>
  <c r="G140" i="4"/>
  <c r="D140" i="4"/>
  <c r="O139" i="4"/>
  <c r="L139" i="4"/>
  <c r="G139" i="4"/>
  <c r="D139" i="4"/>
  <c r="O138" i="4"/>
  <c r="L138" i="4"/>
  <c r="G138" i="4"/>
  <c r="D138" i="4"/>
  <c r="O137" i="4"/>
  <c r="L137" i="4"/>
  <c r="G137" i="4"/>
  <c r="D137" i="4"/>
  <c r="O136" i="4"/>
  <c r="L136" i="4"/>
  <c r="G136" i="4"/>
  <c r="D136" i="4"/>
  <c r="O135" i="4"/>
  <c r="L135" i="4"/>
  <c r="G135" i="4"/>
  <c r="D135" i="4"/>
  <c r="O134" i="4"/>
  <c r="L134" i="4"/>
  <c r="G134" i="4"/>
  <c r="D134" i="4"/>
  <c r="O133" i="4"/>
  <c r="L133" i="4"/>
  <c r="G133" i="4"/>
  <c r="D133" i="4"/>
  <c r="O132" i="4"/>
  <c r="L132" i="4"/>
  <c r="G132" i="4"/>
  <c r="D132" i="4"/>
  <c r="O131" i="4"/>
  <c r="L131" i="4"/>
  <c r="G131" i="4"/>
  <c r="D131" i="4"/>
  <c r="O130" i="4"/>
  <c r="L130" i="4"/>
  <c r="G130" i="4"/>
  <c r="D130" i="4"/>
  <c r="O129" i="4"/>
  <c r="L129" i="4"/>
  <c r="G129" i="4"/>
  <c r="D129" i="4"/>
  <c r="O128" i="4"/>
  <c r="L128" i="4"/>
  <c r="G128" i="4"/>
  <c r="D128" i="4"/>
  <c r="O127" i="4"/>
  <c r="L127" i="4"/>
  <c r="G127" i="4"/>
  <c r="D127" i="4"/>
  <c r="O126" i="4"/>
  <c r="L126" i="4"/>
  <c r="G126" i="4"/>
  <c r="D126" i="4"/>
  <c r="O125" i="4"/>
  <c r="L125" i="4"/>
  <c r="G125" i="4"/>
  <c r="D125" i="4"/>
  <c r="O123" i="4"/>
  <c r="L123" i="4"/>
  <c r="G123" i="4"/>
  <c r="D123" i="4"/>
  <c r="O122" i="4"/>
  <c r="L122" i="4"/>
  <c r="G122" i="4"/>
  <c r="D122" i="4"/>
  <c r="O121" i="4"/>
  <c r="L121" i="4"/>
  <c r="G121" i="4"/>
  <c r="D121" i="4"/>
  <c r="O120" i="4"/>
  <c r="L120" i="4"/>
  <c r="G120" i="4"/>
  <c r="D120" i="4"/>
  <c r="O119" i="4"/>
  <c r="L119" i="4"/>
  <c r="G119" i="4"/>
  <c r="D119" i="4"/>
  <c r="L82" i="4"/>
  <c r="O82" i="4"/>
  <c r="N111" i="4"/>
  <c r="M111" i="4"/>
  <c r="K111" i="4"/>
  <c r="J111" i="4"/>
  <c r="F111" i="4"/>
  <c r="E111" i="4"/>
  <c r="C111" i="4"/>
  <c r="B111" i="4"/>
  <c r="O110" i="4"/>
  <c r="L110" i="4"/>
  <c r="G110" i="4"/>
  <c r="D110" i="4"/>
  <c r="O109" i="4"/>
  <c r="L109" i="4"/>
  <c r="G109" i="4"/>
  <c r="D109" i="4"/>
  <c r="O108" i="4"/>
  <c r="L108" i="4"/>
  <c r="G108" i="4"/>
  <c r="D108" i="4"/>
  <c r="O107" i="4"/>
  <c r="L107" i="4"/>
  <c r="G107" i="4"/>
  <c r="D107" i="4"/>
  <c r="O106" i="4"/>
  <c r="L106" i="4"/>
  <c r="G106" i="4"/>
  <c r="D106" i="4"/>
  <c r="O105" i="4"/>
  <c r="L105" i="4"/>
  <c r="G105" i="4"/>
  <c r="D105" i="4"/>
  <c r="O104" i="4"/>
  <c r="L104" i="4"/>
  <c r="G104" i="4"/>
  <c r="D104" i="4"/>
  <c r="O103" i="4"/>
  <c r="L103" i="4"/>
  <c r="G103" i="4"/>
  <c r="D103" i="4"/>
  <c r="O102" i="4"/>
  <c r="L102" i="4"/>
  <c r="G102" i="4"/>
  <c r="D102" i="4"/>
  <c r="O101" i="4"/>
  <c r="L101" i="4"/>
  <c r="G101" i="4"/>
  <c r="D101" i="4"/>
  <c r="O100" i="4"/>
  <c r="L100" i="4"/>
  <c r="G100" i="4"/>
  <c r="D100" i="4"/>
  <c r="O99" i="4"/>
  <c r="L99" i="4"/>
  <c r="G99" i="4"/>
  <c r="D99" i="4"/>
  <c r="O98" i="4"/>
  <c r="L98" i="4"/>
  <c r="G98" i="4"/>
  <c r="D98" i="4"/>
  <c r="O97" i="4"/>
  <c r="L97" i="4"/>
  <c r="G97" i="4"/>
  <c r="D97" i="4"/>
  <c r="O96" i="4"/>
  <c r="L96" i="4"/>
  <c r="G96" i="4"/>
  <c r="D96" i="4"/>
  <c r="O95" i="4"/>
  <c r="L95" i="4"/>
  <c r="G95" i="4"/>
  <c r="D95" i="4"/>
  <c r="O94" i="4"/>
  <c r="L94" i="4"/>
  <c r="G94" i="4"/>
  <c r="D94" i="4"/>
  <c r="O93" i="4"/>
  <c r="L93" i="4"/>
  <c r="G93" i="4"/>
  <c r="D93" i="4"/>
  <c r="O92" i="4"/>
  <c r="L92" i="4"/>
  <c r="G92" i="4"/>
  <c r="D92" i="4"/>
  <c r="O91" i="4"/>
  <c r="L91" i="4"/>
  <c r="G91" i="4"/>
  <c r="D91" i="4"/>
  <c r="O90" i="4"/>
  <c r="L90" i="4"/>
  <c r="G90" i="4"/>
  <c r="D90" i="4"/>
  <c r="O89" i="4"/>
  <c r="L89" i="4"/>
  <c r="G89" i="4"/>
  <c r="D89" i="4"/>
  <c r="O88" i="4"/>
  <c r="L88" i="4"/>
  <c r="G88" i="4"/>
  <c r="D88" i="4"/>
  <c r="O87" i="4"/>
  <c r="L87" i="4"/>
  <c r="G87" i="4"/>
  <c r="D87" i="4"/>
  <c r="O85" i="4"/>
  <c r="L85" i="4"/>
  <c r="G85" i="4"/>
  <c r="D85" i="4"/>
  <c r="O84" i="4"/>
  <c r="L84" i="4"/>
  <c r="G84" i="4"/>
  <c r="D84" i="4"/>
  <c r="O83" i="4"/>
  <c r="L83" i="4"/>
  <c r="G83" i="4"/>
  <c r="D83" i="4"/>
  <c r="G82" i="4"/>
  <c r="D82" i="4"/>
  <c r="O81" i="4"/>
  <c r="L81" i="4"/>
  <c r="G81" i="4"/>
  <c r="D81" i="4"/>
  <c r="D31" i="4"/>
  <c r="G31" i="4"/>
  <c r="G49" i="4"/>
  <c r="D49" i="4"/>
  <c r="L47" i="4"/>
  <c r="O47" i="4"/>
  <c r="O7" i="4"/>
  <c r="L7" i="4"/>
  <c r="D26" i="4"/>
  <c r="L5" i="4"/>
  <c r="L71" i="4"/>
  <c r="O71" i="4"/>
  <c r="L72" i="4"/>
  <c r="O72" i="4"/>
  <c r="L34" i="4"/>
  <c r="L70" i="4"/>
  <c r="F15" i="4"/>
  <c r="N73" i="4"/>
  <c r="M73" i="4"/>
  <c r="K73" i="4"/>
  <c r="J73" i="4"/>
  <c r="O70" i="4"/>
  <c r="O69" i="4"/>
  <c r="L69" i="4"/>
  <c r="O68" i="4"/>
  <c r="L68" i="4"/>
  <c r="O67" i="4"/>
  <c r="L67" i="4"/>
  <c r="O66" i="4"/>
  <c r="L66" i="4"/>
  <c r="O65" i="4"/>
  <c r="L65" i="4"/>
  <c r="O64" i="4"/>
  <c r="L64" i="4"/>
  <c r="O63" i="4"/>
  <c r="L63" i="4"/>
  <c r="O62" i="4"/>
  <c r="L62" i="4"/>
  <c r="O61" i="4"/>
  <c r="L61" i="4"/>
  <c r="O60" i="4"/>
  <c r="L60" i="4"/>
  <c r="O59" i="4"/>
  <c r="L59" i="4"/>
  <c r="O58" i="4"/>
  <c r="L58" i="4"/>
  <c r="O57" i="4"/>
  <c r="L57" i="4"/>
  <c r="O56" i="4"/>
  <c r="L56" i="4"/>
  <c r="O55" i="4"/>
  <c r="L55" i="4"/>
  <c r="O54" i="4"/>
  <c r="L54" i="4"/>
  <c r="O53" i="4"/>
  <c r="L53" i="4"/>
  <c r="O51" i="4"/>
  <c r="L51" i="4"/>
  <c r="O50" i="4"/>
  <c r="L50" i="4"/>
  <c r="O49" i="4"/>
  <c r="L49" i="4"/>
  <c r="O46" i="4"/>
  <c r="L46" i="4"/>
  <c r="O45" i="4"/>
  <c r="L45" i="4"/>
  <c r="O44" i="4"/>
  <c r="L44" i="4"/>
  <c r="O43" i="4"/>
  <c r="L43" i="4"/>
  <c r="N35" i="4"/>
  <c r="M35" i="4"/>
  <c r="K35" i="4"/>
  <c r="J35" i="4"/>
  <c r="O34" i="4"/>
  <c r="O33" i="4"/>
  <c r="L33" i="4"/>
  <c r="O32" i="4"/>
  <c r="L32" i="4"/>
  <c r="O31" i="4"/>
  <c r="L31" i="4"/>
  <c r="O30" i="4"/>
  <c r="L30" i="4"/>
  <c r="O29" i="4"/>
  <c r="L29" i="4"/>
  <c r="O28" i="4"/>
  <c r="L28" i="4"/>
  <c r="O27" i="4"/>
  <c r="L27" i="4"/>
  <c r="O26" i="4"/>
  <c r="L26" i="4"/>
  <c r="O25" i="4"/>
  <c r="L25" i="4"/>
  <c r="O24" i="4"/>
  <c r="L24" i="4"/>
  <c r="O23" i="4"/>
  <c r="L23" i="4"/>
  <c r="O22" i="4"/>
  <c r="L22" i="4"/>
  <c r="O21" i="4"/>
  <c r="L21" i="4"/>
  <c r="O20" i="4"/>
  <c r="L20" i="4"/>
  <c r="O19" i="4"/>
  <c r="L19" i="4"/>
  <c r="O18" i="4"/>
  <c r="L18" i="4"/>
  <c r="O17" i="4"/>
  <c r="L17" i="4"/>
  <c r="O16" i="4"/>
  <c r="L16" i="4"/>
  <c r="O15" i="4"/>
  <c r="L15" i="4"/>
  <c r="O14" i="4"/>
  <c r="L14" i="4"/>
  <c r="O13" i="4"/>
  <c r="L13" i="4"/>
  <c r="O12" i="4"/>
  <c r="L12" i="4"/>
  <c r="O11" i="4"/>
  <c r="L11" i="4"/>
  <c r="N10" i="4"/>
  <c r="M10" i="4"/>
  <c r="K10" i="4"/>
  <c r="J10" i="4"/>
  <c r="O9" i="4"/>
  <c r="L9" i="4"/>
  <c r="O8" i="4"/>
  <c r="L8" i="4"/>
  <c r="O6" i="4"/>
  <c r="L6" i="4"/>
  <c r="O5" i="4"/>
  <c r="O4" i="4"/>
  <c r="L4" i="4"/>
  <c r="F73" i="4"/>
  <c r="E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7" i="4"/>
  <c r="G46" i="4"/>
  <c r="G45" i="4"/>
  <c r="G44" i="4"/>
  <c r="G43" i="4"/>
  <c r="C73" i="4"/>
  <c r="B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7" i="4"/>
  <c r="D46" i="4"/>
  <c r="D45" i="4"/>
  <c r="D44" i="4"/>
  <c r="D43" i="4"/>
  <c r="D4" i="4"/>
  <c r="G4" i="4"/>
  <c r="D5" i="4"/>
  <c r="G5" i="4"/>
  <c r="F35" i="4"/>
  <c r="E35" i="4"/>
  <c r="G34" i="4"/>
  <c r="G33" i="4"/>
  <c r="G32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F10" i="4"/>
  <c r="E10" i="4"/>
  <c r="G9" i="4"/>
  <c r="G8" i="4"/>
  <c r="G7" i="4"/>
  <c r="G6" i="4"/>
  <c r="C35" i="4"/>
  <c r="B35" i="4"/>
  <c r="D34" i="4"/>
  <c r="D33" i="4"/>
  <c r="D32" i="4"/>
  <c r="D30" i="4"/>
  <c r="D29" i="4"/>
  <c r="D28" i="4"/>
  <c r="D27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C10" i="4"/>
  <c r="B10" i="4"/>
  <c r="D9" i="4"/>
  <c r="D8" i="4"/>
  <c r="D7" i="4"/>
  <c r="D6" i="4"/>
  <c r="D111" i="4" l="1"/>
  <c r="O187" i="4"/>
  <c r="L187" i="4"/>
  <c r="G111" i="4"/>
  <c r="D73" i="4"/>
  <c r="G73" i="4"/>
  <c r="O149" i="4"/>
  <c r="L149" i="4"/>
  <c r="O111" i="4"/>
  <c r="L111" i="4"/>
  <c r="D35" i="4"/>
  <c r="M36" i="4"/>
  <c r="M42" i="4" s="1"/>
  <c r="O73" i="4"/>
  <c r="L73" i="4"/>
  <c r="C36" i="4"/>
  <c r="C42" i="4" s="1"/>
  <c r="C48" i="4" s="1"/>
  <c r="C74" i="4" s="1"/>
  <c r="C80" i="4" s="1"/>
  <c r="C86" i="4" s="1"/>
  <c r="C112" i="4" s="1"/>
  <c r="C118" i="4" s="1"/>
  <c r="C124" i="4" s="1"/>
  <c r="C150" i="4" s="1"/>
  <c r="C156" i="4" s="1"/>
  <c r="C162" i="4" s="1"/>
  <c r="C188" i="4" s="1"/>
  <c r="N36" i="4"/>
  <c r="N42" i="4" s="1"/>
  <c r="N48" i="4" s="1"/>
  <c r="N74" i="4" s="1"/>
  <c r="N80" i="4" s="1"/>
  <c r="N86" i="4" s="1"/>
  <c r="N112" i="4" s="1"/>
  <c r="N118" i="4" s="1"/>
  <c r="N124" i="4" s="1"/>
  <c r="N150" i="4" s="1"/>
  <c r="N156" i="4" s="1"/>
  <c r="N162" i="4" s="1"/>
  <c r="N188" i="4" s="1"/>
  <c r="N190" i="4" s="1"/>
  <c r="N192" i="4" s="1"/>
  <c r="O35" i="4"/>
  <c r="L35" i="4"/>
  <c r="K36" i="4"/>
  <c r="K42" i="4" s="1"/>
  <c r="K48" i="4" s="1"/>
  <c r="K74" i="4" s="1"/>
  <c r="K80" i="4" s="1"/>
  <c r="K86" i="4" s="1"/>
  <c r="K112" i="4" s="1"/>
  <c r="K118" i="4" s="1"/>
  <c r="K124" i="4" s="1"/>
  <c r="K150" i="4" s="1"/>
  <c r="K156" i="4" s="1"/>
  <c r="K162" i="4" s="1"/>
  <c r="K188" i="4" s="1"/>
  <c r="K190" i="4" s="1"/>
  <c r="K192" i="4" s="1"/>
  <c r="J36" i="4"/>
  <c r="J42" i="4" s="1"/>
  <c r="F36" i="4"/>
  <c r="F42" i="4" s="1"/>
  <c r="F48" i="4" s="1"/>
  <c r="F74" i="4" s="1"/>
  <c r="F80" i="4" s="1"/>
  <c r="F86" i="4" s="1"/>
  <c r="F112" i="4" s="1"/>
  <c r="F118" i="4" s="1"/>
  <c r="F124" i="4" s="1"/>
  <c r="F150" i="4" s="1"/>
  <c r="F156" i="4" s="1"/>
  <c r="F162" i="4" s="1"/>
  <c r="F188" i="4" s="1"/>
  <c r="G35" i="4"/>
  <c r="B36" i="4"/>
  <c r="E36" i="4"/>
  <c r="L10" i="4"/>
  <c r="O10" i="4"/>
  <c r="G10" i="4"/>
  <c r="D10" i="4"/>
  <c r="D36" i="4" l="1"/>
  <c r="O36" i="4"/>
  <c r="L36" i="4"/>
  <c r="G36" i="4"/>
  <c r="B42" i="4"/>
  <c r="E42" i="4"/>
  <c r="E48" i="4" s="1"/>
  <c r="E74" i="4" s="1"/>
  <c r="M48" i="4"/>
  <c r="O42" i="4"/>
  <c r="J48" i="4"/>
  <c r="L42" i="4"/>
  <c r="G74" i="4" l="1"/>
  <c r="E80" i="4"/>
  <c r="B48" i="4"/>
  <c r="D42" i="4"/>
  <c r="G48" i="4"/>
  <c r="G42" i="4"/>
  <c r="J74" i="4"/>
  <c r="L48" i="4"/>
  <c r="M74" i="4"/>
  <c r="O48" i="4"/>
  <c r="O74" i="4" l="1"/>
  <c r="M80" i="4"/>
  <c r="L74" i="4"/>
  <c r="J80" i="4"/>
  <c r="G80" i="4"/>
  <c r="E86" i="4"/>
  <c r="B74" i="4"/>
  <c r="D48" i="4"/>
  <c r="D74" i="4" l="1"/>
  <c r="B80" i="4"/>
  <c r="M86" i="4"/>
  <c r="O80" i="4"/>
  <c r="J86" i="4"/>
  <c r="L80" i="4"/>
  <c r="E112" i="4"/>
  <c r="G86" i="4"/>
  <c r="G112" i="4" l="1"/>
  <c r="E118" i="4"/>
  <c r="D80" i="4"/>
  <c r="B86" i="4"/>
  <c r="O86" i="4"/>
  <c r="M112" i="4"/>
  <c r="L86" i="4"/>
  <c r="J112" i="4"/>
  <c r="E124" i="4" l="1"/>
  <c r="G118" i="4"/>
  <c r="D86" i="4"/>
  <c r="B112" i="4"/>
  <c r="O112" i="4"/>
  <c r="M118" i="4"/>
  <c r="J118" i="4"/>
  <c r="L112" i="4"/>
  <c r="E150" i="4" l="1"/>
  <c r="G124" i="4"/>
  <c r="D112" i="4"/>
  <c r="B118" i="4"/>
  <c r="M124" i="4"/>
  <c r="O118" i="4"/>
  <c r="L118" i="4"/>
  <c r="J124" i="4"/>
  <c r="G150" i="4" l="1"/>
  <c r="E156" i="4"/>
  <c r="B124" i="4"/>
  <c r="D118" i="4"/>
  <c r="M150" i="4"/>
  <c r="O124" i="4"/>
  <c r="L124" i="4"/>
  <c r="J150" i="4"/>
  <c r="E162" i="4" l="1"/>
  <c r="G156" i="4"/>
  <c r="O150" i="4"/>
  <c r="M156" i="4"/>
  <c r="L150" i="4"/>
  <c r="J156" i="4"/>
  <c r="D124" i="4"/>
  <c r="B150" i="4"/>
  <c r="E188" i="4" l="1"/>
  <c r="G188" i="4" s="1"/>
  <c r="G162" i="4"/>
  <c r="D150" i="4"/>
  <c r="B156" i="4"/>
  <c r="O156" i="4"/>
  <c r="M162" i="4"/>
  <c r="J162" i="4"/>
  <c r="L156" i="4"/>
  <c r="D156" i="4" l="1"/>
  <c r="B162" i="4"/>
  <c r="M188" i="4"/>
  <c r="O162" i="4"/>
  <c r="L162" i="4"/>
  <c r="J188" i="4"/>
  <c r="B188" i="4" l="1"/>
  <c r="D188" i="4" s="1"/>
  <c r="D162" i="4"/>
  <c r="O188" i="4"/>
  <c r="O190" i="4" s="1"/>
  <c r="O192" i="4" s="1"/>
  <c r="M190" i="4"/>
  <c r="M192" i="4" s="1"/>
  <c r="J190" i="4"/>
  <c r="J192" i="4" s="1"/>
  <c r="L188" i="4"/>
  <c r="L190" i="4" s="1"/>
  <c r="L192" i="4" s="1"/>
</calcChain>
</file>

<file path=xl/sharedStrings.xml><?xml version="1.0" encoding="utf-8"?>
<sst xmlns="http://schemas.openxmlformats.org/spreadsheetml/2006/main" count="318" uniqueCount="74">
  <si>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</si>
  <si>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</si>
  <si>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</si>
  <si>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</si>
  <si>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</si>
  <si>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初回</t>
    <rPh sb="0" eb="2">
      <t>ショカイ</t>
    </rPh>
    <phoneticPr fontId="2"/>
  </si>
  <si>
    <t>M-L</t>
    <phoneticPr fontId="7"/>
  </si>
  <si>
    <t>L-LL</t>
    <phoneticPr fontId="7"/>
  </si>
  <si>
    <t>ピンク/アイボリー</t>
    <phoneticPr fontId="7"/>
  </si>
  <si>
    <t>ブラウン/パープル</t>
    <phoneticPr fontId="7"/>
  </si>
  <si>
    <t>＜シカ加工保湿成形ショーツ2色組＞　.@540   夢販在庫</t>
    <rPh sb="3" eb="5">
      <t>カコウ</t>
    </rPh>
    <rPh sb="5" eb="7">
      <t>ホシツ</t>
    </rPh>
    <rPh sb="7" eb="9">
      <t>セイケイ</t>
    </rPh>
    <rPh sb="14" eb="16">
      <t>ショクグミ</t>
    </rPh>
    <rPh sb="26" eb="30">
      <t>ユメハンザイコ</t>
    </rPh>
    <phoneticPr fontId="2"/>
  </si>
  <si>
    <t>＜シカ加工保湿成形ショーツ2色組＞　.@540   KPORT在庫</t>
    <rPh sb="3" eb="5">
      <t>カコウ</t>
    </rPh>
    <rPh sb="5" eb="7">
      <t>ホシツ</t>
    </rPh>
    <rPh sb="7" eb="9">
      <t>セイケイ</t>
    </rPh>
    <rPh sb="14" eb="16">
      <t>ショクグミ</t>
    </rPh>
    <rPh sb="31" eb="33">
      <t>ザイコ</t>
    </rPh>
    <phoneticPr fontId="2"/>
  </si>
  <si>
    <t>初回 8/27済</t>
    <rPh sb="0" eb="2">
      <t>ショカイ</t>
    </rPh>
    <rPh sb="7" eb="8">
      <t>スミ</t>
    </rPh>
    <phoneticPr fontId="2"/>
  </si>
  <si>
    <t>ネット</t>
    <phoneticPr fontId="7"/>
  </si>
  <si>
    <t>カラー</t>
    <phoneticPr fontId="7"/>
  </si>
  <si>
    <t>サイズ</t>
    <phoneticPr fontId="7"/>
  </si>
  <si>
    <t>在庫確認</t>
    <rPh sb="0" eb="4">
      <t>ザイコカクニン</t>
    </rPh>
    <phoneticPr fontId="2"/>
  </si>
  <si>
    <t>点2/28、前取3/7、アバウト3/13・18、最終3/26</t>
    <rPh sb="0" eb="1">
      <t>テン</t>
    </rPh>
    <rPh sb="6" eb="8">
      <t>マエトリ</t>
    </rPh>
    <rPh sb="24" eb="26">
      <t>サイシュウ</t>
    </rPh>
    <phoneticPr fontId="7"/>
  </si>
  <si>
    <t>2024/12/6伝数</t>
    <rPh sb="9" eb="10">
      <t>デン</t>
    </rPh>
    <rPh sb="10" eb="11">
      <t>スウ</t>
    </rPh>
    <phoneticPr fontId="7"/>
  </si>
  <si>
    <t>3617-020～023</t>
    <phoneticPr fontId="7"/>
  </si>
  <si>
    <t>くらし返品</t>
    <rPh sb="3" eb="5">
      <t>ヘンピン</t>
    </rPh>
    <phoneticPr fontId="2"/>
  </si>
  <si>
    <t>くらし企画返品</t>
    <rPh sb="3" eb="7">
      <t>キカクヘンピン</t>
    </rPh>
    <phoneticPr fontId="2"/>
  </si>
  <si>
    <t>K-PORT</t>
    <phoneticPr fontId="7"/>
  </si>
  <si>
    <t>くらしキャロット選定会議用返却</t>
    <rPh sb="8" eb="12">
      <t>センテイカイギ</t>
    </rPh>
    <rPh sb="12" eb="13">
      <t>ヨウ</t>
    </rPh>
    <rPh sb="13" eb="15">
      <t>ヘンキャク</t>
    </rPh>
    <phoneticPr fontId="7"/>
  </si>
  <si>
    <t>←ここまで式確認7/17</t>
    <rPh sb="5" eb="8">
      <t>シキカクニン</t>
    </rPh>
    <phoneticPr fontId="7"/>
  </si>
  <si>
    <t>日生協キャロット3月1号差分予測</t>
    <rPh sb="0" eb="3">
      <t>ニッセイキョウ</t>
    </rPh>
    <rPh sb="9" eb="10">
      <t>ガツ</t>
    </rPh>
    <rPh sb="11" eb="12">
      <t>ゴウ</t>
    </rPh>
    <rPh sb="12" eb="16">
      <t>サブンヨソク</t>
    </rPh>
    <phoneticPr fontId="7"/>
  </si>
  <si>
    <t>日生協キャロット3月1号東日本①</t>
    <rPh sb="0" eb="3">
      <t>ニッセイキョウ</t>
    </rPh>
    <rPh sb="9" eb="10">
      <t>ガツ</t>
    </rPh>
    <rPh sb="11" eb="12">
      <t>ゴウ</t>
    </rPh>
    <rPh sb="12" eb="15">
      <t>ヒガシニホン</t>
    </rPh>
    <phoneticPr fontId="7"/>
  </si>
  <si>
    <t>日生協キャロット3月1号西日本①</t>
    <rPh sb="0" eb="3">
      <t>ニッセイキョウ</t>
    </rPh>
    <rPh sb="9" eb="10">
      <t>ガツ</t>
    </rPh>
    <rPh sb="11" eb="12">
      <t>ゴウ</t>
    </rPh>
    <rPh sb="12" eb="13">
      <t>ニシ</t>
    </rPh>
    <rPh sb="13" eb="15">
      <t>ニホン</t>
    </rPh>
    <phoneticPr fontId="7"/>
  </si>
  <si>
    <t>日生協キャロット3月1号東日本②</t>
    <rPh sb="0" eb="3">
      <t>ニッセイキョウ</t>
    </rPh>
    <rPh sb="9" eb="10">
      <t>ガツ</t>
    </rPh>
    <rPh sb="11" eb="12">
      <t>ゴウ</t>
    </rPh>
    <rPh sb="12" eb="15">
      <t>ヒガシニホン</t>
    </rPh>
    <phoneticPr fontId="7"/>
  </si>
  <si>
    <t>日生協キャロット3月1号西日本②</t>
    <rPh sb="0" eb="3">
      <t>ニッセイキョウ</t>
    </rPh>
    <rPh sb="9" eb="10">
      <t>ガツ</t>
    </rPh>
    <rPh sb="11" eb="12">
      <t>ゴウ</t>
    </rPh>
    <rPh sb="12" eb="13">
      <t>ニシ</t>
    </rPh>
    <rPh sb="13" eb="15">
      <t>ニホン</t>
    </rPh>
    <phoneticPr fontId="7"/>
  </si>
  <si>
    <t>日生協キャロット3月1号東日本③</t>
    <rPh sb="0" eb="3">
      <t>ニッセイキョウ</t>
    </rPh>
    <rPh sb="9" eb="10">
      <t>ガツ</t>
    </rPh>
    <rPh sb="11" eb="12">
      <t>ゴウ</t>
    </rPh>
    <rPh sb="12" eb="15">
      <t>ヒガシニホン</t>
    </rPh>
    <phoneticPr fontId="7"/>
  </si>
  <si>
    <t>日生協キャロット3月1号東日本④</t>
    <rPh sb="0" eb="3">
      <t>ニッセイキョウ</t>
    </rPh>
    <rPh sb="9" eb="10">
      <t>ガツ</t>
    </rPh>
    <rPh sb="11" eb="12">
      <t>ゴウ</t>
    </rPh>
    <rPh sb="12" eb="15">
      <t>ヒガシニホン</t>
    </rPh>
    <phoneticPr fontId="7"/>
  </si>
  <si>
    <t>総数</t>
    <phoneticPr fontId="7"/>
  </si>
  <si>
    <t>日生協キャロット12月42号差分予測</t>
    <rPh sb="0" eb="3">
      <t>ニッセイキョウ</t>
    </rPh>
    <rPh sb="10" eb="11">
      <t>ガツ</t>
    </rPh>
    <rPh sb="13" eb="14">
      <t>ゴウ</t>
    </rPh>
    <rPh sb="14" eb="18">
      <t>サブンヨソク</t>
    </rPh>
    <phoneticPr fontId="7"/>
  </si>
  <si>
    <t>日生協キャロット3月1号</t>
    <rPh sb="0" eb="3">
      <t>ニッセイキョウ</t>
    </rPh>
    <rPh sb="9" eb="10">
      <t>ガツ</t>
    </rPh>
    <rPh sb="11" eb="12">
      <t>ゴウ</t>
    </rPh>
    <phoneticPr fontId="7"/>
  </si>
  <si>
    <t>点12/12、前取12/19、アバウト12/23、最終1/7</t>
    <rPh sb="0" eb="1">
      <t>テン</t>
    </rPh>
    <rPh sb="7" eb="9">
      <t>マエトリ</t>
    </rPh>
    <rPh sb="25" eb="27">
      <t>サイシュウ</t>
    </rPh>
    <phoneticPr fontId="7"/>
  </si>
  <si>
    <t>日生協キャロット12月42号￥1580</t>
    <rPh sb="0" eb="3">
      <t>ニッセイキョウ</t>
    </rPh>
    <rPh sb="10" eb="11">
      <t>ガツ</t>
    </rPh>
    <rPh sb="13" eb="14">
      <t>ゴウ</t>
    </rPh>
    <phoneticPr fontId="7"/>
  </si>
  <si>
    <t>日生協キャロット2月51号差分予測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7"/>
  </si>
  <si>
    <t>日生協キャロット2月51号￥1580</t>
    <rPh sb="0" eb="3">
      <t>ニッセイキョウ</t>
    </rPh>
    <rPh sb="9" eb="10">
      <t>ガツ</t>
    </rPh>
    <rPh sb="12" eb="13">
      <t>ゴウ</t>
    </rPh>
    <phoneticPr fontId="7"/>
  </si>
  <si>
    <t>点2/13、前取2/20、アバウト2/24・3/3、最終3/11</t>
    <rPh sb="0" eb="1">
      <t>テン</t>
    </rPh>
    <rPh sb="6" eb="8">
      <t>マエトリ</t>
    </rPh>
    <rPh sb="26" eb="28">
      <t>サイシュウ</t>
    </rPh>
    <phoneticPr fontId="7"/>
  </si>
  <si>
    <t>日生協キャロット2026年4月差分予測</t>
    <rPh sb="0" eb="3">
      <t>ニッセイキョウ</t>
    </rPh>
    <rPh sb="12" eb="13">
      <t>ネン</t>
    </rPh>
    <rPh sb="14" eb="15">
      <t>ガツ</t>
    </rPh>
    <rPh sb="15" eb="19">
      <t>サブンヨソク</t>
    </rPh>
    <phoneticPr fontId="7"/>
  </si>
  <si>
    <t>2025/12/8数伝</t>
    <rPh sb="9" eb="11">
      <t>スウデン</t>
    </rPh>
    <phoneticPr fontId="7"/>
  </si>
  <si>
    <t>日生協キャロット12月42号￥1580（東日本）①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7"/>
  </si>
  <si>
    <t>日生協キャロット12月42号￥1580（西日本）①</t>
    <rPh sb="0" eb="3">
      <t>ニッセイキョウ</t>
    </rPh>
    <rPh sb="10" eb="11">
      <t>ガツ</t>
    </rPh>
    <rPh sb="13" eb="14">
      <t>ゴウ</t>
    </rPh>
    <rPh sb="20" eb="21">
      <t>ニシ</t>
    </rPh>
    <rPh sb="21" eb="23">
      <t>ニホン</t>
    </rPh>
    <phoneticPr fontId="7"/>
  </si>
  <si>
    <t>日生協キャロット12月42号￥1580（東日本）②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7"/>
  </si>
  <si>
    <t>日生協キャロット12月42号￥1580（西日本)①</t>
    <rPh sb="0" eb="3">
      <t>ニッセイキョウ</t>
    </rPh>
    <rPh sb="10" eb="11">
      <t>ガツ</t>
    </rPh>
    <rPh sb="13" eb="14">
      <t>ゴウ</t>
    </rPh>
    <rPh sb="20" eb="21">
      <t>ニシ</t>
    </rPh>
    <rPh sb="21" eb="23">
      <t>ニホン</t>
    </rPh>
    <phoneticPr fontId="7"/>
  </si>
  <si>
    <t>夢販</t>
    <rPh sb="0" eb="2">
      <t>y</t>
    </rPh>
    <phoneticPr fontId="7"/>
  </si>
  <si>
    <t>日生協キャロット2026年4月5号￥1580</t>
    <rPh sb="0" eb="3">
      <t>ニッセイキョウ</t>
    </rPh>
    <rPh sb="12" eb="13">
      <t>ネン</t>
    </rPh>
    <rPh sb="14" eb="15">
      <t>ガツ</t>
    </rPh>
    <rPh sb="16" eb="17">
      <t>ゴウ</t>
    </rPh>
    <phoneticPr fontId="7"/>
  </si>
  <si>
    <t>点3/27、前取4/3、キャロット4/7、最終4/22</t>
    <rPh sb="0" eb="1">
      <t>テン</t>
    </rPh>
    <rPh sb="6" eb="8">
      <t>マエトリ</t>
    </rPh>
    <rPh sb="21" eb="23">
      <t>サイシュウ</t>
    </rPh>
    <phoneticPr fontId="7"/>
  </si>
  <si>
    <t>日生協キャロット12月42号￥1580（東日本）③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7"/>
  </si>
  <si>
    <t>追加</t>
    <rPh sb="0" eb="2">
      <t>ツイカ</t>
    </rPh>
    <phoneticPr fontId="7"/>
  </si>
  <si>
    <t>日生協キャロット2月51号￥1580（西日本）①</t>
    <rPh sb="0" eb="3">
      <t>ニッセイキョウ</t>
    </rPh>
    <rPh sb="9" eb="10">
      <t>ガツ</t>
    </rPh>
    <rPh sb="12" eb="13">
      <t>ゴウ</t>
    </rPh>
    <rPh sb="19" eb="22">
      <t>ニシニホン</t>
    </rPh>
    <phoneticPr fontId="7"/>
  </si>
  <si>
    <t>在庫確認</t>
    <rPh sb="0" eb="4">
      <t>ザイコカクニン</t>
    </rPh>
    <phoneticPr fontId="7"/>
  </si>
  <si>
    <t>日生協キャロット2月51号￥1580（西日本）②</t>
    <rPh sb="0" eb="3">
      <t>ニッセイキョウ</t>
    </rPh>
    <rPh sb="9" eb="10">
      <t>ガツ</t>
    </rPh>
    <rPh sb="12" eb="13">
      <t>ゴウ</t>
    </rPh>
    <rPh sb="19" eb="22">
      <t>ニシニホン</t>
    </rPh>
    <phoneticPr fontId="7"/>
  </si>
  <si>
    <t>日生協キャロット2月51号￥1580（東日本）①</t>
    <rPh sb="0" eb="3">
      <t>ニッセイキョウ</t>
    </rPh>
    <rPh sb="9" eb="10">
      <t>ガツ</t>
    </rPh>
    <rPh sb="12" eb="13">
      <t>ゴウ</t>
    </rPh>
    <rPh sb="19" eb="20">
      <t>ヒガシ</t>
    </rPh>
    <rPh sb="20" eb="22">
      <t>ニホン</t>
    </rPh>
    <phoneticPr fontId="7"/>
  </si>
  <si>
    <t>←ここまで確認2026/2/25</t>
    <rPh sb="5" eb="7">
      <t>カクニン</t>
    </rPh>
    <phoneticPr fontId="7"/>
  </si>
  <si>
    <t>日生協キャロット2月51号￥1580（東日本②</t>
    <rPh sb="0" eb="3">
      <t>ニッセイキョウ</t>
    </rPh>
    <rPh sb="9" eb="10">
      <t>ガツ</t>
    </rPh>
    <rPh sb="12" eb="13">
      <t>ゴウ</t>
    </rPh>
    <rPh sb="19" eb="20">
      <t>ヒガシ</t>
    </rPh>
    <rPh sb="20" eb="22">
      <t>ニホン</t>
    </rPh>
    <phoneticPr fontId="7"/>
  </si>
  <si>
    <t>ネット</t>
    <phoneticPr fontId="7"/>
  </si>
  <si>
    <t>日生協キャロット2月51号￥1580直送</t>
    <rPh sb="0" eb="3">
      <t>ニッセイキョウ</t>
    </rPh>
    <rPh sb="9" eb="10">
      <t>ガツ</t>
    </rPh>
    <rPh sb="12" eb="13">
      <t>ゴウ</t>
    </rPh>
    <rPh sb="18" eb="20">
      <t>チョクソウ</t>
    </rPh>
    <phoneticPr fontId="7"/>
  </si>
  <si>
    <t>日生協キャロット2026年4月5号￥1580①</t>
    <rPh sb="0" eb="3">
      <t>ニッセイキョウ</t>
    </rPh>
    <rPh sb="12" eb="13">
      <t>ネン</t>
    </rPh>
    <rPh sb="14" eb="15">
      <t>ガツ</t>
    </rPh>
    <rPh sb="16" eb="17">
      <t>ゴウ</t>
    </rPh>
    <phoneticPr fontId="7"/>
  </si>
  <si>
    <t>サクラマチsample</t>
    <phoneticPr fontId="7"/>
  </si>
  <si>
    <t>4P在庫　5/14</t>
    <rPh sb="2" eb="4">
      <t>ザイコ</t>
    </rPh>
    <phoneticPr fontId="7"/>
  </si>
  <si>
    <t>ユーコープ9月1回</t>
    <rPh sb="6" eb="7">
      <t>ガツ</t>
    </rPh>
    <rPh sb="8" eb="9">
      <t>カイ</t>
    </rPh>
    <phoneticPr fontId="7"/>
  </si>
  <si>
    <t>内定</t>
    <rPh sb="0" eb="2">
      <t>ナイテイ</t>
    </rPh>
    <phoneticPr fontId="7"/>
  </si>
  <si>
    <t>計</t>
    <rPh sb="0" eb="1">
      <t>ケイ</t>
    </rPh>
    <phoneticPr fontId="7"/>
  </si>
  <si>
    <t>合計</t>
    <rPh sb="0" eb="2">
      <t>ゴウケイ</t>
    </rPh>
    <phoneticPr fontId="7"/>
  </si>
  <si>
    <t>くらし企画在庫</t>
    <rPh sb="3" eb="5">
      <t>キカク</t>
    </rPh>
    <rPh sb="5" eb="7">
      <t>ザイコ</t>
    </rPh>
    <phoneticPr fontId="7"/>
  </si>
  <si>
    <t>キャロット５１号実績</t>
    <rPh sb="7" eb="8">
      <t>ゴウ</t>
    </rPh>
    <rPh sb="8" eb="10">
      <t>ジッセキ</t>
    </rPh>
    <phoneticPr fontId="7"/>
  </si>
  <si>
    <t>キャロット４２号実績</t>
    <rPh sb="7" eb="8">
      <t>ゴウ</t>
    </rPh>
    <rPh sb="8" eb="10">
      <t>ジッセキ</t>
    </rPh>
    <phoneticPr fontId="7"/>
  </si>
  <si>
    <t>日生協キャロット10月〇号</t>
    <rPh sb="0" eb="3">
      <t>ニッセイキョウ</t>
    </rPh>
    <rPh sb="10" eb="11">
      <t>ガツ</t>
    </rPh>
    <rPh sb="12" eb="13">
      <t>ゴウ</t>
    </rPh>
    <phoneticPr fontId="7"/>
  </si>
  <si>
    <t>日生協キャロット10月〇号差分予測</t>
    <rPh sb="0" eb="3">
      <t>ニッセイキョウ</t>
    </rPh>
    <rPh sb="10" eb="11">
      <t>ガツ</t>
    </rPh>
    <rPh sb="12" eb="13">
      <t>ゴウ</t>
    </rPh>
    <rPh sb="13" eb="15">
      <t>サブン</t>
    </rPh>
    <rPh sb="15" eb="17">
      <t>ヨソク</t>
    </rPh>
    <phoneticPr fontId="7"/>
  </si>
  <si>
    <t>8/19～25</t>
    <phoneticPr fontId="7"/>
  </si>
  <si>
    <t>ユーコープ9月1回 差分予測</t>
    <rPh sb="6" eb="7">
      <t>ガツ</t>
    </rPh>
    <rPh sb="8" eb="9">
      <t>カイ</t>
    </rPh>
    <rPh sb="10" eb="14">
      <t>サブンヨソク</t>
    </rPh>
    <phoneticPr fontId="7"/>
  </si>
  <si>
    <t>くらし返品</t>
    <rPh sb="3" eb="5">
      <t>ヘンピン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</si>
</sst>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0" borderId="2" xfId="1" applyBorder="1"/>
    <xf numFmtId="0" fontId="1" fillId="0" borderId="4" xfId="1" applyBorder="1" applyAlignment="1">
      <alignment horizontal="center" vertical="center" shrinkToFit="1"/>
    </xf>
    <xf numFmtId="0" fontId="1" fillId="0" borderId="2" xfId="1" applyBorder="1" applyAlignment="1">
      <alignment horizontal="center" vertical="center" shrinkToFit="1"/>
    </xf>
    <xf numFmtId="0" fontId="8" fillId="0" borderId="6" xfId="1" applyFont="1" applyBorder="1" applyAlignment="1">
      <alignment horizontal="center" vertical="center"/>
    </xf>
    <xf numFmtId="0" fontId="1" fillId="2" borderId="2" xfId="1" applyFill="1" applyBorder="1"/>
    <xf numFmtId="0" fontId="1" fillId="2" borderId="1" xfId="1" applyFill="1" applyBorder="1"/>
    <xf numFmtId="0" fontId="1" fillId="2" borderId="3" xfId="1" applyFill="1" applyBorder="1"/>
    <xf numFmtId="0" fontId="5" fillId="2" borderId="1" xfId="1" applyFont="1" applyFill="1" applyBorder="1"/>
    <xf numFmtId="0" fontId="1" fillId="2" borderId="4" xfId="1" applyFill="1" applyBorder="1"/>
    <xf numFmtId="0" fontId="1" fillId="0" borderId="4" xfId="1" applyBorder="1"/>
    <xf numFmtId="0" fontId="1" fillId="0" borderId="3" xfId="1" applyBorder="1"/>
    <xf numFmtId="0" fontId="1" fillId="0" borderId="3" xfId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5" fillId="2" borderId="7" xfId="1" applyFont="1" applyFill="1" applyBorder="1"/>
    <xf numFmtId="0" fontId="9" fillId="2" borderId="1" xfId="1" applyFont="1" applyFill="1" applyBorder="1"/>
    <xf numFmtId="0" fontId="9" fillId="0" borderId="4" xfId="1" applyFont="1" applyBorder="1"/>
    <xf numFmtId="0" fontId="9" fillId="2" borderId="4" xfId="1" applyFont="1" applyFill="1" applyBorder="1"/>
    <xf numFmtId="0" fontId="4" fillId="3" borderId="0" xfId="1" applyFont="1" applyFill="1"/>
    <xf numFmtId="0" fontId="1" fillId="3" borderId="0" xfId="1" applyFill="1"/>
    <xf numFmtId="0" fontId="9" fillId="2" borderId="7" xfId="1" applyFont="1" applyFill="1" applyBorder="1"/>
    <xf numFmtId="0" fontId="4" fillId="4" borderId="0" xfId="1" applyFont="1" applyFill="1"/>
    <xf numFmtId="0" fontId="1" fillId="4" borderId="0" xfId="1" applyFill="1"/>
    <xf numFmtId="0" fontId="1" fillId="0" borderId="0" xfId="1" applyAlignment="1">
      <alignment horizontal="left"/>
    </xf>
    <xf numFmtId="0" fontId="3" fillId="0" borderId="0" xfId="1" applyFont="1" applyAlignment="1">
      <alignment horizontal="left" vertical="center"/>
    </xf>
    <xf numFmtId="56" fontId="1" fillId="0" borderId="0" xfId="1" applyNumberFormat="1" applyAlignment="1">
      <alignment horizontal="left"/>
    </xf>
    <xf numFmtId="0" fontId="5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1" xfId="1" applyFont="1" applyBorder="1" applyAlignment="1">
      <alignment horizontal="center"/>
    </xf>
    <xf numFmtId="56" fontId="10" fillId="0" borderId="0" xfId="0" applyNumberFormat="1" applyFont="1">
      <alignment vertical="center"/>
    </xf>
    <xf numFmtId="0" fontId="1" fillId="0" borderId="3" xfId="1" applyBorder="1" applyAlignment="1">
      <alignment horizontal="center" vertical="center" shrinkToFit="1"/>
    </xf>
    <xf numFmtId="0" fontId="1" fillId="0" borderId="6" xfId="1" applyBorder="1" applyAlignment="1">
      <alignment horizontal="center" vertical="center" shrinkToFit="1"/>
    </xf>
    <xf numFmtId="0" fontId="10" fillId="0" borderId="0" xfId="0" applyFont="1">
      <alignment vertical="center"/>
    </xf>
    <xf numFmtId="0" fontId="3" fillId="0" borderId="2" xfId="1" applyFont="1" applyBorder="1"/>
    <xf numFmtId="0" fontId="3" fillId="2" borderId="2" xfId="1" applyFont="1" applyFill="1" applyBorder="1"/>
    <xf numFmtId="56" fontId="0" fillId="0" borderId="0" xfId="0" applyNumberFormat="1">
      <alignment vertical="center"/>
    </xf>
    <xf numFmtId="0" fontId="11" fillId="0" borderId="0" xfId="0" applyFont="1">
      <alignment vertical="center"/>
    </xf>
    <xf numFmtId="0" fontId="12" fillId="0" borderId="2" xfId="1" applyFont="1" applyBorder="1" applyAlignment="1">
      <alignment horizontal="center" vertical="center"/>
    </xf>
    <xf numFmtId="0" fontId="13" fillId="0" borderId="2" xfId="1" applyFont="1" applyBorder="1"/>
    <xf numFmtId="0" fontId="13" fillId="2" borderId="2" xfId="1" applyFont="1" applyFill="1" applyBorder="1"/>
    <xf numFmtId="56" fontId="13" fillId="0" borderId="0" xfId="1" applyNumberFormat="1" applyFont="1" applyAlignment="1">
      <alignment horizontal="left"/>
    </xf>
    <xf numFmtId="0" fontId="13" fillId="0" borderId="4" xfId="1" applyFont="1" applyBorder="1" applyAlignment="1">
      <alignment horizontal="center" vertical="center" shrinkToFit="1"/>
    </xf>
    <xf numFmtId="56" fontId="14" fillId="0" borderId="0" xfId="0" applyNumberFormat="1" applyFont="1">
      <alignment vertical="center"/>
    </xf>
    <xf numFmtId="0" fontId="12" fillId="0" borderId="3" xfId="1" applyFont="1" applyBorder="1" applyAlignment="1">
      <alignment horizontal="center" vertical="center"/>
    </xf>
    <xf numFmtId="0" fontId="13" fillId="0" borderId="3" xfId="1" applyFont="1" applyBorder="1"/>
    <xf numFmtId="0" fontId="13" fillId="2" borderId="3" xfId="1" applyFont="1" applyFill="1" applyBorder="1"/>
    <xf numFmtId="0" fontId="15" fillId="0" borderId="0" xfId="0" applyFont="1">
      <alignment vertical="center"/>
    </xf>
    <xf numFmtId="0" fontId="13" fillId="0" borderId="2" xfId="1" applyFont="1" applyBorder="1" applyAlignment="1">
      <alignment horizontal="center" vertical="center" shrinkToFit="1"/>
    </xf>
    <xf numFmtId="0" fontId="0" fillId="0" borderId="0" xfId="0" applyAlignment="1">
      <alignment horizontal="right" vertical="center"/>
    </xf>
    <xf numFmtId="0" fontId="1" fillId="0" borderId="5" xfId="1" applyBorder="1"/>
    <xf numFmtId="0" fontId="1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/>
    <xf numFmtId="0" fontId="9" fillId="2" borderId="2" xfId="1" applyFont="1" applyFill="1" applyBorder="1"/>
    <xf numFmtId="56" fontId="16" fillId="0" borderId="0" xfId="0" applyNumberFormat="1" applyFo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9" fillId="0" borderId="3" xfId="1" applyFont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center" shrinkToFit="1"/>
    </xf>
    <xf numFmtId="0" fontId="8" fillId="0" borderId="2" xfId="1" applyFont="1" applyBorder="1"/>
    <xf numFmtId="0" fontId="8" fillId="2" borderId="2" xfId="1" applyFont="1" applyFill="1" applyBorder="1"/>
    <xf numFmtId="0" fontId="3" fillId="6" borderId="8" xfId="1" applyFont="1" applyFill="1" applyBorder="1" applyAlignment="1">
      <alignment horizontal="center"/>
    </xf>
    <xf numFmtId="0" fontId="3" fillId="6" borderId="10" xfId="1" applyFont="1" applyFill="1" applyBorder="1" applyAlignment="1">
      <alignment horizontal="center"/>
    </xf>
    <xf numFmtId="0" fontId="3" fillId="6" borderId="9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3" fillId="5" borderId="9" xfId="1" applyFont="1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9C82-76B8-480E-A7E9-9F7510B2EBF4}">
  <dimension ref="A1:R196"/>
  <sheetViews>
    <sheetView tabSelected="1" topLeftCell="A87" zoomScaleNormal="100" workbookViewId="0">
      <selection activeCell="H103" sqref="H103"/>
    </sheetView>
  </sheetViews>
  <sheetFormatPr defaultRowHeight="13.5" x14ac:dyDescent="0.15"/>
  <cols>
    <col min="1" max="1" width="32" customWidth="1"/>
    <col min="2" max="3" width="10.75" customWidth="1"/>
    <col min="4" max="4" width="8.125" customWidth="1"/>
    <col min="5" max="6" width="10.75" customWidth="1"/>
    <col min="7" max="7" width="8.125" customWidth="1"/>
    <col min="8" max="8" width="15.125" style="34" customWidth="1"/>
    <col min="9" max="9" width="36.125" customWidth="1"/>
    <col min="10" max="15" width="10.75" customWidth="1"/>
    <col min="16" max="16" width="9.25" bestFit="1" customWidth="1"/>
  </cols>
  <sheetData>
    <row r="1" spans="1:18" ht="19.5" thickBot="1" x14ac:dyDescent="0.25">
      <c r="A1" s="25" t="s">
        <v>10</v>
      </c>
      <c r="B1" s="26"/>
      <c r="C1" s="26"/>
      <c r="D1" s="26"/>
      <c r="E1" s="26"/>
      <c r="F1" s="26"/>
      <c r="G1" s="26"/>
      <c r="H1" s="30"/>
      <c r="I1" s="28" t="s">
        <v>11</v>
      </c>
      <c r="J1" s="29"/>
      <c r="K1" s="29"/>
      <c r="L1" s="29"/>
      <c r="M1" s="29"/>
      <c r="N1" s="29" t="s">
        <v>19</v>
      </c>
      <c r="O1" s="29"/>
    </row>
    <row r="2" spans="1:18" ht="14.25" thickBot="1" x14ac:dyDescent="0.2">
      <c r="A2" s="35" t="s">
        <v>14</v>
      </c>
      <c r="B2" s="69" t="s">
        <v>8</v>
      </c>
      <c r="C2" s="70"/>
      <c r="D2" s="71"/>
      <c r="E2" s="72" t="s">
        <v>9</v>
      </c>
      <c r="F2" s="73"/>
      <c r="G2" s="74"/>
      <c r="H2" s="30"/>
      <c r="I2" s="35" t="s">
        <v>14</v>
      </c>
      <c r="J2" s="69" t="s">
        <v>8</v>
      </c>
      <c r="K2" s="70"/>
      <c r="L2" s="71"/>
      <c r="M2" s="72" t="s">
        <v>9</v>
      </c>
      <c r="N2" s="73"/>
      <c r="O2" s="74"/>
    </row>
    <row r="3" spans="1:18" ht="14.25" thickBot="1" x14ac:dyDescent="0.2">
      <c r="A3" s="35" t="s">
        <v>15</v>
      </c>
      <c r="B3" s="1" t="s">
        <v>6</v>
      </c>
      <c r="C3" s="1" t="s">
        <v>7</v>
      </c>
      <c r="D3" s="1" t="s">
        <v>0</v>
      </c>
      <c r="E3" s="1" t="s">
        <v>6</v>
      </c>
      <c r="F3" s="1" t="s">
        <v>7</v>
      </c>
      <c r="G3" s="1" t="s">
        <v>0</v>
      </c>
      <c r="H3" s="31"/>
      <c r="I3" s="35" t="s">
        <v>15</v>
      </c>
      <c r="J3" s="1" t="s">
        <v>6</v>
      </c>
      <c r="K3" s="1" t="s">
        <v>7</v>
      </c>
      <c r="L3" s="1" t="s">
        <v>0</v>
      </c>
      <c r="M3" s="1" t="s">
        <v>6</v>
      </c>
      <c r="N3" s="1" t="s">
        <v>7</v>
      </c>
      <c r="O3" s="1" t="s">
        <v>0</v>
      </c>
    </row>
    <row r="4" spans="1:18" x14ac:dyDescent="0.15">
      <c r="A4" s="2" t="s">
        <v>5</v>
      </c>
      <c r="B4" s="17">
        <v>7</v>
      </c>
      <c r="C4" s="17">
        <v>7</v>
      </c>
      <c r="D4" s="16">
        <f t="shared" ref="D4:D5" si="0">B4+C4</f>
        <v>14</v>
      </c>
      <c r="E4" s="17">
        <v>7</v>
      </c>
      <c r="F4" s="17">
        <v>7</v>
      </c>
      <c r="G4" s="16">
        <f t="shared" ref="G4:G5" si="1">E4+F4</f>
        <v>14</v>
      </c>
      <c r="H4" s="32">
        <v>45568</v>
      </c>
      <c r="I4" s="2" t="s">
        <v>12</v>
      </c>
      <c r="J4" s="8">
        <v>250</v>
      </c>
      <c r="K4" s="8">
        <v>250</v>
      </c>
      <c r="L4" s="12">
        <f t="shared" ref="L4:L36" si="2">J4+K4</f>
        <v>500</v>
      </c>
      <c r="M4" s="8">
        <v>250</v>
      </c>
      <c r="N4" s="8">
        <v>250</v>
      </c>
      <c r="O4" s="12">
        <f t="shared" ref="O4:O36" si="3">M4+N4</f>
        <v>500</v>
      </c>
      <c r="P4" s="36" t="s">
        <v>18</v>
      </c>
    </row>
    <row r="5" spans="1:18" x14ac:dyDescent="0.15">
      <c r="A5" s="2" t="s">
        <v>1</v>
      </c>
      <c r="B5" s="8"/>
      <c r="C5" s="8">
        <v>1</v>
      </c>
      <c r="D5" s="12">
        <f t="shared" si="0"/>
        <v>1</v>
      </c>
      <c r="E5" s="8"/>
      <c r="F5" s="8">
        <v>1</v>
      </c>
      <c r="G5" s="12">
        <f t="shared" si="1"/>
        <v>1</v>
      </c>
      <c r="H5" s="32">
        <v>45647</v>
      </c>
      <c r="I5" s="2" t="s">
        <v>1</v>
      </c>
      <c r="J5" s="8">
        <v>6</v>
      </c>
      <c r="K5" s="8">
        <v>5</v>
      </c>
      <c r="L5" s="12">
        <f t="shared" si="2"/>
        <v>11</v>
      </c>
      <c r="M5" s="8">
        <v>2</v>
      </c>
      <c r="N5" s="8">
        <v>2</v>
      </c>
      <c r="O5" s="12">
        <f t="shared" si="3"/>
        <v>4</v>
      </c>
      <c r="P5" s="42">
        <v>45808</v>
      </c>
    </row>
    <row r="6" spans="1:18" x14ac:dyDescent="0.15">
      <c r="A6" s="2" t="s">
        <v>1</v>
      </c>
      <c r="B6" s="8"/>
      <c r="C6" s="8"/>
      <c r="D6" s="12">
        <f t="shared" ref="D6:D36" si="4">B6+C6</f>
        <v>0</v>
      </c>
      <c r="E6" s="8"/>
      <c r="F6" s="8">
        <v>1</v>
      </c>
      <c r="G6" s="12">
        <f t="shared" ref="G6:G36" si="5">E6+F6</f>
        <v>1</v>
      </c>
      <c r="H6" s="32">
        <v>45703</v>
      </c>
      <c r="I6" s="2" t="s">
        <v>20</v>
      </c>
      <c r="J6" s="8">
        <v>35</v>
      </c>
      <c r="K6" s="8">
        <v>32</v>
      </c>
      <c r="L6" s="12">
        <f t="shared" si="2"/>
        <v>67</v>
      </c>
      <c r="M6" s="8">
        <v>37</v>
      </c>
      <c r="N6" s="8">
        <v>19</v>
      </c>
      <c r="O6" s="12">
        <f t="shared" si="3"/>
        <v>56</v>
      </c>
      <c r="P6" s="36">
        <v>45793</v>
      </c>
    </row>
    <row r="7" spans="1:18" x14ac:dyDescent="0.15">
      <c r="A7" s="2" t="s">
        <v>21</v>
      </c>
      <c r="B7" s="8">
        <v>7</v>
      </c>
      <c r="C7" s="8">
        <v>5</v>
      </c>
      <c r="D7" s="12">
        <f t="shared" si="4"/>
        <v>12</v>
      </c>
      <c r="E7" s="8">
        <v>2</v>
      </c>
      <c r="F7" s="8">
        <v>2</v>
      </c>
      <c r="G7" s="12">
        <f t="shared" si="5"/>
        <v>4</v>
      </c>
      <c r="H7" s="32">
        <v>45797</v>
      </c>
      <c r="I7" s="2" t="s">
        <v>1</v>
      </c>
      <c r="J7" s="8"/>
      <c r="K7" s="8">
        <v>3</v>
      </c>
      <c r="L7" s="12">
        <f t="shared" si="2"/>
        <v>3</v>
      </c>
      <c r="M7" s="8"/>
      <c r="N7" s="8"/>
      <c r="O7" s="12">
        <f t="shared" si="3"/>
        <v>0</v>
      </c>
      <c r="P7" s="42">
        <v>45815</v>
      </c>
    </row>
    <row r="8" spans="1:18" x14ac:dyDescent="0.15">
      <c r="A8" s="2" t="s">
        <v>1</v>
      </c>
      <c r="B8" s="8"/>
      <c r="C8" s="8">
        <v>1</v>
      </c>
      <c r="D8" s="12">
        <f t="shared" si="4"/>
        <v>1</v>
      </c>
      <c r="E8" s="8"/>
      <c r="F8" s="8">
        <v>1</v>
      </c>
      <c r="G8" s="12">
        <f t="shared" si="5"/>
        <v>1</v>
      </c>
      <c r="H8" s="32">
        <v>45845</v>
      </c>
      <c r="I8" s="2" t="s">
        <v>1</v>
      </c>
      <c r="J8" s="8"/>
      <c r="K8" s="8"/>
      <c r="L8" s="12">
        <f t="shared" si="2"/>
        <v>0</v>
      </c>
      <c r="M8" s="8"/>
      <c r="N8" s="8"/>
      <c r="O8" s="12">
        <f t="shared" si="3"/>
        <v>0</v>
      </c>
    </row>
    <row r="9" spans="1:18" ht="14.25" thickBot="1" x14ac:dyDescent="0.2">
      <c r="A9" s="3" t="s">
        <v>16</v>
      </c>
      <c r="B9" s="18">
        <v>-2</v>
      </c>
      <c r="C9" s="18">
        <v>1</v>
      </c>
      <c r="D9" s="14">
        <f t="shared" si="4"/>
        <v>-1</v>
      </c>
      <c r="E9" s="18">
        <v>-4</v>
      </c>
      <c r="F9" s="18">
        <v>3</v>
      </c>
      <c r="G9" s="14">
        <f t="shared" si="5"/>
        <v>-1</v>
      </c>
      <c r="H9" s="32"/>
      <c r="I9" s="3" t="s">
        <v>1</v>
      </c>
      <c r="J9" s="18"/>
      <c r="K9" s="18"/>
      <c r="L9" s="14">
        <f t="shared" si="2"/>
        <v>0</v>
      </c>
      <c r="M9" s="18"/>
      <c r="N9" s="18"/>
      <c r="O9" s="14">
        <f t="shared" si="3"/>
        <v>0</v>
      </c>
    </row>
    <row r="10" spans="1:18" ht="14.25" thickBot="1" x14ac:dyDescent="0.2">
      <c r="A10" s="7" t="s">
        <v>2</v>
      </c>
      <c r="B10" s="15">
        <f>SUM(B4:B9)</f>
        <v>12</v>
      </c>
      <c r="C10" s="15">
        <f>SUM(C4:C9)</f>
        <v>15</v>
      </c>
      <c r="D10" s="22">
        <f t="shared" si="4"/>
        <v>27</v>
      </c>
      <c r="E10" s="15">
        <f>SUM(E4:E9)</f>
        <v>5</v>
      </c>
      <c r="F10" s="15">
        <f>SUM(F4:F9)</f>
        <v>15</v>
      </c>
      <c r="G10" s="22">
        <f t="shared" si="5"/>
        <v>20</v>
      </c>
      <c r="H10" s="33"/>
      <c r="I10" s="7" t="s">
        <v>2</v>
      </c>
      <c r="J10" s="15">
        <f>SUM(J4:J9)</f>
        <v>291</v>
      </c>
      <c r="K10" s="15">
        <f>SUM(K4:K9)</f>
        <v>290</v>
      </c>
      <c r="L10" s="22">
        <f t="shared" si="2"/>
        <v>581</v>
      </c>
      <c r="M10" s="15">
        <f>SUM(M4:M9)</f>
        <v>289</v>
      </c>
      <c r="N10" s="15">
        <f>SUM(N4:N9)</f>
        <v>271</v>
      </c>
      <c r="O10" s="22">
        <f t="shared" si="3"/>
        <v>560</v>
      </c>
    </row>
    <row r="11" spans="1:18" x14ac:dyDescent="0.15">
      <c r="A11" s="4" t="s">
        <v>13</v>
      </c>
      <c r="B11" s="17"/>
      <c r="C11" s="17"/>
      <c r="D11" s="16">
        <f t="shared" si="4"/>
        <v>0</v>
      </c>
      <c r="E11" s="17">
        <v>1</v>
      </c>
      <c r="F11" s="17"/>
      <c r="G11" s="16">
        <f t="shared" si="5"/>
        <v>1</v>
      </c>
      <c r="H11" s="32">
        <v>45568</v>
      </c>
      <c r="I11" s="38" t="s">
        <v>26</v>
      </c>
      <c r="J11" s="17">
        <v>5</v>
      </c>
      <c r="K11" s="17">
        <v>5</v>
      </c>
      <c r="L11" s="16">
        <f t="shared" si="2"/>
        <v>10</v>
      </c>
      <c r="M11" s="17">
        <v>5</v>
      </c>
      <c r="N11" s="17">
        <v>5</v>
      </c>
      <c r="O11" s="16">
        <f t="shared" si="3"/>
        <v>10</v>
      </c>
      <c r="P11" s="36">
        <v>45717</v>
      </c>
    </row>
    <row r="12" spans="1:18" x14ac:dyDescent="0.15">
      <c r="A12" s="4" t="s">
        <v>13</v>
      </c>
      <c r="B12" s="8">
        <v>1</v>
      </c>
      <c r="C12" s="8"/>
      <c r="D12" s="12">
        <f t="shared" si="4"/>
        <v>1</v>
      </c>
      <c r="E12" s="8"/>
      <c r="F12" s="8"/>
      <c r="G12" s="12">
        <f t="shared" si="5"/>
        <v>0</v>
      </c>
      <c r="H12" s="32">
        <v>45584</v>
      </c>
      <c r="I12" s="10" t="s">
        <v>27</v>
      </c>
      <c r="J12" s="8">
        <v>15</v>
      </c>
      <c r="K12" s="8">
        <v>15</v>
      </c>
      <c r="L12" s="12">
        <f t="shared" si="2"/>
        <v>30</v>
      </c>
      <c r="M12" s="8">
        <v>10</v>
      </c>
      <c r="N12" s="8">
        <v>15</v>
      </c>
      <c r="O12" s="12">
        <f t="shared" si="3"/>
        <v>25</v>
      </c>
      <c r="P12" s="36">
        <v>45723</v>
      </c>
      <c r="Q12" s="39"/>
    </row>
    <row r="13" spans="1:18" x14ac:dyDescent="0.15">
      <c r="A13" s="4" t="s">
        <v>13</v>
      </c>
      <c r="B13" s="8"/>
      <c r="C13" s="8"/>
      <c r="D13" s="12">
        <f t="shared" si="4"/>
        <v>0</v>
      </c>
      <c r="E13" s="8"/>
      <c r="F13" s="8">
        <v>3</v>
      </c>
      <c r="G13" s="12">
        <f t="shared" si="5"/>
        <v>3</v>
      </c>
      <c r="H13" s="32">
        <v>45593</v>
      </c>
      <c r="I13" s="9" t="s">
        <v>28</v>
      </c>
      <c r="J13" s="8">
        <v>45</v>
      </c>
      <c r="K13" s="8">
        <v>50</v>
      </c>
      <c r="L13" s="12">
        <f t="shared" si="2"/>
        <v>95</v>
      </c>
      <c r="M13" s="8">
        <v>45</v>
      </c>
      <c r="N13" s="8">
        <v>50</v>
      </c>
      <c r="O13" s="12">
        <f t="shared" si="3"/>
        <v>95</v>
      </c>
      <c r="P13" s="36">
        <v>45730</v>
      </c>
      <c r="Q13" s="39"/>
    </row>
    <row r="14" spans="1:18" x14ac:dyDescent="0.15">
      <c r="A14" s="4" t="s">
        <v>13</v>
      </c>
      <c r="B14" s="8"/>
      <c r="C14" s="8"/>
      <c r="D14" s="12">
        <f t="shared" si="4"/>
        <v>0</v>
      </c>
      <c r="E14" s="8"/>
      <c r="F14" s="8">
        <v>1</v>
      </c>
      <c r="G14" s="12">
        <f t="shared" si="5"/>
        <v>1</v>
      </c>
      <c r="H14" s="32">
        <v>45618</v>
      </c>
      <c r="I14" s="10" t="s">
        <v>29</v>
      </c>
      <c r="J14" s="8">
        <v>35</v>
      </c>
      <c r="K14" s="8">
        <v>5</v>
      </c>
      <c r="L14" s="12">
        <f t="shared" si="2"/>
        <v>40</v>
      </c>
      <c r="M14" s="8">
        <v>15</v>
      </c>
      <c r="N14" s="8">
        <v>5</v>
      </c>
      <c r="O14" s="12">
        <f t="shared" si="3"/>
        <v>20</v>
      </c>
      <c r="P14" s="36">
        <v>45731</v>
      </c>
      <c r="Q14" s="39"/>
      <c r="R14" s="39"/>
    </row>
    <row r="15" spans="1:18" x14ac:dyDescent="0.15">
      <c r="A15" s="4" t="s">
        <v>13</v>
      </c>
      <c r="B15" s="8">
        <v>1</v>
      </c>
      <c r="C15" s="8"/>
      <c r="D15" s="12">
        <f t="shared" si="4"/>
        <v>1</v>
      </c>
      <c r="E15" s="8">
        <v>1</v>
      </c>
      <c r="F15" s="8">
        <f>1+1</f>
        <v>2</v>
      </c>
      <c r="G15" s="12">
        <f t="shared" si="5"/>
        <v>3</v>
      </c>
      <c r="H15" s="32">
        <v>45621</v>
      </c>
      <c r="I15" s="9" t="s">
        <v>30</v>
      </c>
      <c r="J15" s="8">
        <v>25</v>
      </c>
      <c r="K15" s="8">
        <v>10</v>
      </c>
      <c r="L15" s="12">
        <f t="shared" si="2"/>
        <v>35</v>
      </c>
      <c r="M15" s="8">
        <v>10</v>
      </c>
      <c r="N15" s="8">
        <v>5</v>
      </c>
      <c r="O15" s="12">
        <f t="shared" si="3"/>
        <v>15</v>
      </c>
      <c r="P15" s="36">
        <v>45736</v>
      </c>
      <c r="Q15" s="39"/>
      <c r="R15" s="39"/>
    </row>
    <row r="16" spans="1:18" x14ac:dyDescent="0.15">
      <c r="A16" s="4" t="s">
        <v>13</v>
      </c>
      <c r="B16" s="8"/>
      <c r="C16" s="8"/>
      <c r="D16" s="12">
        <f t="shared" si="4"/>
        <v>0</v>
      </c>
      <c r="E16" s="8"/>
      <c r="F16" s="8">
        <v>1</v>
      </c>
      <c r="G16" s="12">
        <f t="shared" si="5"/>
        <v>1</v>
      </c>
      <c r="H16" s="32">
        <v>45622</v>
      </c>
      <c r="I16" s="9" t="s">
        <v>31</v>
      </c>
      <c r="J16" s="8">
        <v>20</v>
      </c>
      <c r="K16" s="8">
        <v>40</v>
      </c>
      <c r="L16" s="12">
        <f t="shared" si="2"/>
        <v>60</v>
      </c>
      <c r="M16" s="8">
        <v>40</v>
      </c>
      <c r="N16" s="8">
        <v>20</v>
      </c>
      <c r="O16" s="12">
        <f t="shared" si="3"/>
        <v>60</v>
      </c>
      <c r="P16" s="36">
        <v>45738</v>
      </c>
      <c r="Q16" s="39"/>
      <c r="R16" s="39"/>
    </row>
    <row r="17" spans="1:18" x14ac:dyDescent="0.15">
      <c r="A17" s="4" t="s">
        <v>13</v>
      </c>
      <c r="B17" s="8">
        <v>1</v>
      </c>
      <c r="C17" s="8"/>
      <c r="D17" s="12">
        <f t="shared" si="4"/>
        <v>1</v>
      </c>
      <c r="E17" s="8"/>
      <c r="F17" s="8"/>
      <c r="G17" s="12">
        <f t="shared" si="5"/>
        <v>0</v>
      </c>
      <c r="H17" s="32">
        <v>45637</v>
      </c>
      <c r="I17" s="9"/>
      <c r="J17" s="8"/>
      <c r="K17" s="8"/>
      <c r="L17" s="12">
        <f t="shared" si="2"/>
        <v>0</v>
      </c>
      <c r="M17" s="8"/>
      <c r="N17" s="8"/>
      <c r="O17" s="12">
        <f t="shared" si="3"/>
        <v>0</v>
      </c>
      <c r="P17" s="39"/>
      <c r="Q17" s="39"/>
      <c r="R17" s="39"/>
    </row>
    <row r="18" spans="1:18" x14ac:dyDescent="0.15">
      <c r="A18" s="4" t="s">
        <v>13</v>
      </c>
      <c r="B18" s="8"/>
      <c r="C18" s="8"/>
      <c r="D18" s="12">
        <f t="shared" si="4"/>
        <v>0</v>
      </c>
      <c r="E18" s="8"/>
      <c r="F18" s="8">
        <v>1</v>
      </c>
      <c r="G18" s="12">
        <f t="shared" si="5"/>
        <v>1</v>
      </c>
      <c r="H18" s="32">
        <v>45642</v>
      </c>
      <c r="I18" s="9"/>
      <c r="J18" s="8"/>
      <c r="K18" s="8"/>
      <c r="L18" s="12">
        <f t="shared" si="2"/>
        <v>0</v>
      </c>
      <c r="M18" s="8"/>
      <c r="N18" s="8"/>
      <c r="O18" s="12">
        <f t="shared" si="3"/>
        <v>0</v>
      </c>
      <c r="P18" s="39"/>
    </row>
    <row r="19" spans="1:18" x14ac:dyDescent="0.15">
      <c r="A19" s="4" t="s">
        <v>13</v>
      </c>
      <c r="B19" s="8"/>
      <c r="C19" s="8">
        <v>1</v>
      </c>
      <c r="D19" s="12">
        <f t="shared" si="4"/>
        <v>1</v>
      </c>
      <c r="E19" s="8"/>
      <c r="F19" s="8">
        <v>1</v>
      </c>
      <c r="G19" s="12">
        <f t="shared" si="5"/>
        <v>1</v>
      </c>
      <c r="H19" s="32">
        <v>45647</v>
      </c>
      <c r="I19" s="9"/>
      <c r="J19" s="8"/>
      <c r="K19" s="8"/>
      <c r="L19" s="12">
        <f t="shared" si="2"/>
        <v>0</v>
      </c>
      <c r="M19" s="8"/>
      <c r="N19" s="8"/>
      <c r="O19" s="12">
        <f t="shared" si="3"/>
        <v>0</v>
      </c>
      <c r="P19" s="39"/>
    </row>
    <row r="20" spans="1:18" x14ac:dyDescent="0.15">
      <c r="A20" s="4" t="s">
        <v>13</v>
      </c>
      <c r="B20" s="8"/>
      <c r="C20" s="8">
        <v>1</v>
      </c>
      <c r="D20" s="12">
        <f t="shared" si="4"/>
        <v>1</v>
      </c>
      <c r="E20" s="8"/>
      <c r="F20" s="8"/>
      <c r="G20" s="12">
        <f t="shared" si="5"/>
        <v>0</v>
      </c>
      <c r="H20" s="32">
        <v>45698</v>
      </c>
      <c r="I20" s="9"/>
      <c r="J20" s="8"/>
      <c r="K20" s="8"/>
      <c r="L20" s="12">
        <f t="shared" si="2"/>
        <v>0</v>
      </c>
      <c r="M20" s="8"/>
      <c r="N20" s="8"/>
      <c r="O20" s="12">
        <f t="shared" si="3"/>
        <v>0</v>
      </c>
      <c r="P20" s="39"/>
    </row>
    <row r="21" spans="1:18" x14ac:dyDescent="0.15">
      <c r="A21" s="4" t="s">
        <v>13</v>
      </c>
      <c r="B21" s="8">
        <v>1</v>
      </c>
      <c r="C21" s="8"/>
      <c r="D21" s="12">
        <f t="shared" si="4"/>
        <v>1</v>
      </c>
      <c r="E21" s="8"/>
      <c r="F21" s="8"/>
      <c r="G21" s="12">
        <f t="shared" si="5"/>
        <v>0</v>
      </c>
      <c r="H21" s="32">
        <v>45722</v>
      </c>
      <c r="I21" s="9"/>
      <c r="J21" s="8"/>
      <c r="K21" s="8"/>
      <c r="L21" s="12">
        <f t="shared" si="2"/>
        <v>0</v>
      </c>
      <c r="M21" s="8"/>
      <c r="N21" s="8"/>
      <c r="O21" s="12">
        <f t="shared" si="3"/>
        <v>0</v>
      </c>
      <c r="P21" s="39"/>
    </row>
    <row r="22" spans="1:18" x14ac:dyDescent="0.15">
      <c r="A22" s="4" t="s">
        <v>13</v>
      </c>
      <c r="B22" s="8"/>
      <c r="C22" s="8">
        <v>1</v>
      </c>
      <c r="D22" s="12">
        <f t="shared" si="4"/>
        <v>1</v>
      </c>
      <c r="E22" s="8"/>
      <c r="F22" s="8"/>
      <c r="G22" s="12">
        <f t="shared" si="5"/>
        <v>0</v>
      </c>
      <c r="H22" s="32">
        <v>45733</v>
      </c>
      <c r="I22" s="9"/>
      <c r="J22" s="8"/>
      <c r="K22" s="8"/>
      <c r="L22" s="12">
        <f t="shared" si="2"/>
        <v>0</v>
      </c>
      <c r="M22" s="8"/>
      <c r="N22" s="8"/>
      <c r="O22" s="12">
        <f t="shared" si="3"/>
        <v>0</v>
      </c>
    </row>
    <row r="23" spans="1:18" x14ac:dyDescent="0.15">
      <c r="A23" s="4" t="s">
        <v>13</v>
      </c>
      <c r="B23" s="8"/>
      <c r="C23" s="8"/>
      <c r="D23" s="12">
        <f t="shared" si="4"/>
        <v>0</v>
      </c>
      <c r="E23" s="8"/>
      <c r="F23" s="8">
        <v>1</v>
      </c>
      <c r="G23" s="12">
        <f t="shared" si="5"/>
        <v>1</v>
      </c>
      <c r="H23" s="32">
        <v>45754</v>
      </c>
      <c r="I23" s="9"/>
      <c r="J23" s="8"/>
      <c r="K23" s="8"/>
      <c r="L23" s="12">
        <f t="shared" si="2"/>
        <v>0</v>
      </c>
      <c r="M23" s="8"/>
      <c r="N23" s="8"/>
      <c r="O23" s="12">
        <f t="shared" si="3"/>
        <v>0</v>
      </c>
    </row>
    <row r="24" spans="1:18" x14ac:dyDescent="0.15">
      <c r="A24" s="4" t="s">
        <v>13</v>
      </c>
      <c r="B24" s="8">
        <v>1</v>
      </c>
      <c r="C24" s="8"/>
      <c r="D24" s="12">
        <f t="shared" si="4"/>
        <v>1</v>
      </c>
      <c r="E24" s="8"/>
      <c r="F24" s="8"/>
      <c r="G24" s="12">
        <f t="shared" si="5"/>
        <v>0</v>
      </c>
      <c r="H24" s="32">
        <v>45775</v>
      </c>
      <c r="I24" s="9"/>
      <c r="J24" s="8"/>
      <c r="K24" s="8"/>
      <c r="L24" s="12">
        <f t="shared" si="2"/>
        <v>0</v>
      </c>
      <c r="M24" s="8"/>
      <c r="N24" s="8"/>
      <c r="O24" s="12">
        <f t="shared" si="3"/>
        <v>0</v>
      </c>
    </row>
    <row r="25" spans="1:18" x14ac:dyDescent="0.15">
      <c r="A25" s="4" t="s">
        <v>13</v>
      </c>
      <c r="B25" s="8"/>
      <c r="C25" s="8"/>
      <c r="D25" s="12">
        <f t="shared" si="4"/>
        <v>0</v>
      </c>
      <c r="E25" s="8"/>
      <c r="F25" s="8">
        <v>1</v>
      </c>
      <c r="G25" s="12">
        <f t="shared" si="5"/>
        <v>1</v>
      </c>
      <c r="H25" s="32">
        <v>45804</v>
      </c>
      <c r="I25" s="4"/>
      <c r="J25" s="8"/>
      <c r="K25" s="8"/>
      <c r="L25" s="12">
        <f t="shared" si="2"/>
        <v>0</v>
      </c>
      <c r="M25" s="8"/>
      <c r="N25" s="8"/>
      <c r="O25" s="12">
        <f t="shared" si="3"/>
        <v>0</v>
      </c>
    </row>
    <row r="26" spans="1:18" x14ac:dyDescent="0.15">
      <c r="A26" s="5" t="s">
        <v>22</v>
      </c>
      <c r="B26" s="8">
        <v>6</v>
      </c>
      <c r="C26" s="8">
        <v>5</v>
      </c>
      <c r="D26" s="12">
        <f t="shared" ref="D26" si="6">B26+C26</f>
        <v>11</v>
      </c>
      <c r="E26" s="8">
        <v>2</v>
      </c>
      <c r="F26" s="8">
        <v>2</v>
      </c>
      <c r="G26" s="12">
        <f t="shared" si="5"/>
        <v>4</v>
      </c>
      <c r="H26" s="32">
        <v>45808</v>
      </c>
      <c r="I26" s="5"/>
      <c r="J26" s="8"/>
      <c r="K26" s="8"/>
      <c r="L26" s="12">
        <f t="shared" si="2"/>
        <v>0</v>
      </c>
      <c r="M26" s="8"/>
      <c r="N26" s="8"/>
      <c r="O26" s="12">
        <f t="shared" si="3"/>
        <v>0</v>
      </c>
    </row>
    <row r="27" spans="1:18" x14ac:dyDescent="0.15">
      <c r="A27" s="5" t="s">
        <v>22</v>
      </c>
      <c r="B27" s="8"/>
      <c r="C27" s="8">
        <v>3</v>
      </c>
      <c r="D27" s="12">
        <f t="shared" si="4"/>
        <v>3</v>
      </c>
      <c r="E27" s="8"/>
      <c r="F27" s="8"/>
      <c r="G27" s="12">
        <f t="shared" si="5"/>
        <v>0</v>
      </c>
      <c r="H27" s="32">
        <v>45815</v>
      </c>
      <c r="I27" s="4"/>
      <c r="J27" s="8"/>
      <c r="K27" s="8"/>
      <c r="L27" s="12">
        <f t="shared" si="2"/>
        <v>0</v>
      </c>
      <c r="M27" s="8"/>
      <c r="N27" s="8"/>
      <c r="O27" s="12">
        <f t="shared" si="3"/>
        <v>0</v>
      </c>
    </row>
    <row r="28" spans="1:18" x14ac:dyDescent="0.15">
      <c r="A28" s="4" t="s">
        <v>23</v>
      </c>
      <c r="B28" s="8"/>
      <c r="C28" s="8">
        <v>-1</v>
      </c>
      <c r="D28" s="12">
        <f t="shared" si="4"/>
        <v>-1</v>
      </c>
      <c r="E28" s="8">
        <v>-1</v>
      </c>
      <c r="F28" s="8"/>
      <c r="G28" s="12">
        <f t="shared" si="5"/>
        <v>-1</v>
      </c>
      <c r="H28" s="32">
        <v>45843</v>
      </c>
      <c r="I28" s="9"/>
      <c r="J28" s="8"/>
      <c r="K28" s="8"/>
      <c r="L28" s="12">
        <f t="shared" si="2"/>
        <v>0</v>
      </c>
      <c r="M28" s="8"/>
      <c r="N28" s="8"/>
      <c r="O28" s="12">
        <f t="shared" si="3"/>
        <v>0</v>
      </c>
    </row>
    <row r="29" spans="1:18" x14ac:dyDescent="0.15">
      <c r="A29" s="4" t="s">
        <v>13</v>
      </c>
      <c r="B29" s="8"/>
      <c r="C29" s="8"/>
      <c r="D29" s="12">
        <f t="shared" si="4"/>
        <v>0</v>
      </c>
      <c r="E29" s="8"/>
      <c r="F29" s="8">
        <v>1</v>
      </c>
      <c r="G29" s="12">
        <f t="shared" si="5"/>
        <v>1</v>
      </c>
      <c r="H29" s="32">
        <v>45845</v>
      </c>
      <c r="I29" s="4"/>
      <c r="J29" s="8"/>
      <c r="K29" s="8"/>
      <c r="L29" s="12">
        <f t="shared" si="2"/>
        <v>0</v>
      </c>
      <c r="M29" s="8"/>
      <c r="N29" s="8"/>
      <c r="O29" s="12">
        <f t="shared" si="3"/>
        <v>0</v>
      </c>
    </row>
    <row r="30" spans="1:18" x14ac:dyDescent="0.15">
      <c r="A30" s="4" t="s">
        <v>13</v>
      </c>
      <c r="B30" s="8"/>
      <c r="C30" s="8">
        <v>1</v>
      </c>
      <c r="D30" s="12">
        <f t="shared" si="4"/>
        <v>1</v>
      </c>
      <c r="E30" s="8"/>
      <c r="F30" s="8"/>
      <c r="G30" s="12">
        <f t="shared" si="5"/>
        <v>0</v>
      </c>
      <c r="H30" s="32">
        <v>45906</v>
      </c>
      <c r="I30" s="10"/>
      <c r="J30" s="8"/>
      <c r="K30" s="8"/>
      <c r="L30" s="12">
        <f t="shared" si="2"/>
        <v>0</v>
      </c>
      <c r="M30" s="8"/>
      <c r="N30" s="8"/>
      <c r="O30" s="12">
        <f t="shared" si="3"/>
        <v>0</v>
      </c>
    </row>
    <row r="31" spans="1:18" x14ac:dyDescent="0.15">
      <c r="A31" s="6"/>
      <c r="B31" s="8"/>
      <c r="C31" s="8"/>
      <c r="D31" s="12">
        <f t="shared" ref="D31" si="7">B31+C31</f>
        <v>0</v>
      </c>
      <c r="E31" s="8"/>
      <c r="F31" s="8"/>
      <c r="G31" s="12">
        <f t="shared" ref="G31" si="8">E31+F31</f>
        <v>0</v>
      </c>
      <c r="H31" s="30"/>
      <c r="I31" s="4"/>
      <c r="J31" s="8"/>
      <c r="K31" s="8"/>
      <c r="L31" s="12">
        <f t="shared" si="2"/>
        <v>0</v>
      </c>
      <c r="M31" s="8"/>
      <c r="N31" s="8"/>
      <c r="O31" s="12">
        <f t="shared" si="3"/>
        <v>0</v>
      </c>
    </row>
    <row r="32" spans="1:18" x14ac:dyDescent="0.15">
      <c r="A32" s="6"/>
      <c r="B32" s="8"/>
      <c r="C32" s="8"/>
      <c r="D32" s="12">
        <f t="shared" si="4"/>
        <v>0</v>
      </c>
      <c r="E32" s="8"/>
      <c r="F32" s="8"/>
      <c r="G32" s="12">
        <f t="shared" si="5"/>
        <v>0</v>
      </c>
      <c r="H32" s="30"/>
      <c r="I32" s="6"/>
      <c r="J32" s="8"/>
      <c r="K32" s="8"/>
      <c r="L32" s="12">
        <f t="shared" si="2"/>
        <v>0</v>
      </c>
      <c r="M32" s="8"/>
      <c r="N32" s="8"/>
      <c r="O32" s="12">
        <f t="shared" si="3"/>
        <v>0</v>
      </c>
    </row>
    <row r="33" spans="1:17" x14ac:dyDescent="0.15">
      <c r="A33" s="10"/>
      <c r="B33" s="8"/>
      <c r="C33" s="8"/>
      <c r="D33" s="12">
        <f t="shared" si="4"/>
        <v>0</v>
      </c>
      <c r="E33" s="8"/>
      <c r="F33" s="8"/>
      <c r="G33" s="12">
        <f t="shared" si="5"/>
        <v>0</v>
      </c>
      <c r="H33" s="30"/>
      <c r="I33" s="3" t="s">
        <v>25</v>
      </c>
      <c r="J33" s="40"/>
      <c r="K33" s="40"/>
      <c r="L33" s="41">
        <f t="shared" si="2"/>
        <v>0</v>
      </c>
      <c r="M33" s="40"/>
      <c r="N33" s="40"/>
      <c r="O33" s="41">
        <f t="shared" si="3"/>
        <v>0</v>
      </c>
      <c r="P33" s="39"/>
      <c r="Q33" s="39"/>
    </row>
    <row r="34" spans="1:17" ht="14.25" thickBot="1" x14ac:dyDescent="0.2">
      <c r="A34" s="19"/>
      <c r="B34" s="18"/>
      <c r="C34" s="18"/>
      <c r="D34" s="14">
        <f t="shared" si="4"/>
        <v>0</v>
      </c>
      <c r="E34" s="18"/>
      <c r="F34" s="18"/>
      <c r="G34" s="14">
        <f t="shared" si="5"/>
        <v>0</v>
      </c>
      <c r="H34" s="30"/>
      <c r="I34" s="37" t="s">
        <v>34</v>
      </c>
      <c r="J34" s="18"/>
      <c r="K34" s="18"/>
      <c r="L34" s="14">
        <f t="shared" si="2"/>
        <v>0</v>
      </c>
      <c r="M34" s="18"/>
      <c r="N34" s="18"/>
      <c r="O34" s="14">
        <f t="shared" si="3"/>
        <v>0</v>
      </c>
      <c r="P34" s="39" t="s">
        <v>17</v>
      </c>
      <c r="Q34" s="39"/>
    </row>
    <row r="35" spans="1:17" ht="14.25" thickBot="1" x14ac:dyDescent="0.2">
      <c r="A35" s="1" t="s">
        <v>3</v>
      </c>
      <c r="B35" s="13">
        <f>SUM(B11:B34)</f>
        <v>11</v>
      </c>
      <c r="C35" s="13">
        <f>SUM(C11:C34)</f>
        <v>11</v>
      </c>
      <c r="D35" s="13">
        <f t="shared" si="4"/>
        <v>22</v>
      </c>
      <c r="E35" s="13">
        <f>SUM(E11:E34)</f>
        <v>3</v>
      </c>
      <c r="F35" s="13">
        <f>SUM(F11:F34)</f>
        <v>14</v>
      </c>
      <c r="G35" s="13">
        <f t="shared" si="5"/>
        <v>17</v>
      </c>
      <c r="H35" s="30"/>
      <c r="I35" s="1" t="s">
        <v>3</v>
      </c>
      <c r="J35" s="13">
        <f>SUM(J11:J34)</f>
        <v>145</v>
      </c>
      <c r="K35" s="13">
        <f>SUM(K11:K34)</f>
        <v>125</v>
      </c>
      <c r="L35" s="13">
        <f t="shared" si="2"/>
        <v>270</v>
      </c>
      <c r="M35" s="13">
        <f>SUM(M11:M34)</f>
        <v>125</v>
      </c>
      <c r="N35" s="13">
        <f>SUM(N11:N34)</f>
        <v>100</v>
      </c>
      <c r="O35" s="13">
        <f t="shared" si="3"/>
        <v>225</v>
      </c>
    </row>
    <row r="36" spans="1:17" ht="14.25" thickBot="1" x14ac:dyDescent="0.2">
      <c r="A36" s="20" t="s">
        <v>4</v>
      </c>
      <c r="B36" s="21">
        <f>B10-B35</f>
        <v>1</v>
      </c>
      <c r="C36" s="21">
        <f>C10-C35</f>
        <v>4</v>
      </c>
      <c r="D36" s="27">
        <f t="shared" si="4"/>
        <v>5</v>
      </c>
      <c r="E36" s="21">
        <f>E10-E35</f>
        <v>2</v>
      </c>
      <c r="F36" s="21">
        <f>F10-F35</f>
        <v>1</v>
      </c>
      <c r="G36" s="27">
        <f t="shared" si="5"/>
        <v>3</v>
      </c>
      <c r="H36" s="33"/>
      <c r="I36" s="20" t="s">
        <v>4</v>
      </c>
      <c r="J36" s="21">
        <f>J10-J35</f>
        <v>146</v>
      </c>
      <c r="K36" s="21">
        <f>K10-K35</f>
        <v>165</v>
      </c>
      <c r="L36" s="27">
        <f t="shared" si="2"/>
        <v>311</v>
      </c>
      <c r="M36" s="21">
        <f>M10-M35</f>
        <v>164</v>
      </c>
      <c r="N36" s="21">
        <f>N10-N35</f>
        <v>171</v>
      </c>
      <c r="O36" s="27">
        <f t="shared" si="3"/>
        <v>335</v>
      </c>
    </row>
    <row r="39" spans="1:17" ht="19.5" thickBot="1" x14ac:dyDescent="0.25">
      <c r="A39" s="25" t="s">
        <v>10</v>
      </c>
      <c r="B39" s="26"/>
      <c r="C39" s="26"/>
      <c r="D39" s="26"/>
      <c r="E39" s="26"/>
      <c r="F39" s="26"/>
      <c r="G39" s="26"/>
      <c r="H39" s="30"/>
      <c r="I39" s="28" t="s">
        <v>11</v>
      </c>
      <c r="J39" s="29"/>
      <c r="K39" s="29"/>
      <c r="L39" s="29"/>
      <c r="M39" s="29"/>
      <c r="N39" s="29" t="s">
        <v>19</v>
      </c>
      <c r="O39" s="29"/>
    </row>
    <row r="40" spans="1:17" ht="14.25" thickBot="1" x14ac:dyDescent="0.2">
      <c r="A40" s="35" t="s">
        <v>14</v>
      </c>
      <c r="B40" s="69" t="s">
        <v>8</v>
      </c>
      <c r="C40" s="70"/>
      <c r="D40" s="71"/>
      <c r="E40" s="72" t="s">
        <v>9</v>
      </c>
      <c r="F40" s="73"/>
      <c r="G40" s="74"/>
      <c r="H40" s="30"/>
      <c r="I40" s="35" t="s">
        <v>14</v>
      </c>
      <c r="J40" s="69" t="s">
        <v>8</v>
      </c>
      <c r="K40" s="70"/>
      <c r="L40" s="71"/>
      <c r="M40" s="72" t="s">
        <v>9</v>
      </c>
      <c r="N40" s="73"/>
      <c r="O40" s="74"/>
    </row>
    <row r="41" spans="1:17" ht="14.25" thickBot="1" x14ac:dyDescent="0.2">
      <c r="A41" s="35" t="s">
        <v>15</v>
      </c>
      <c r="B41" s="1" t="s">
        <v>6</v>
      </c>
      <c r="C41" s="1" t="s">
        <v>7</v>
      </c>
      <c r="D41" s="1" t="s">
        <v>0</v>
      </c>
      <c r="E41" s="1" t="s">
        <v>6</v>
      </c>
      <c r="F41" s="1" t="s">
        <v>7</v>
      </c>
      <c r="G41" s="1" t="s">
        <v>0</v>
      </c>
      <c r="H41" s="31"/>
      <c r="I41" s="35" t="s">
        <v>15</v>
      </c>
      <c r="J41" s="1" t="s">
        <v>6</v>
      </c>
      <c r="K41" s="1" t="s">
        <v>7</v>
      </c>
      <c r="L41" s="1" t="s">
        <v>0</v>
      </c>
      <c r="M41" s="1" t="s">
        <v>6</v>
      </c>
      <c r="N41" s="1" t="s">
        <v>7</v>
      </c>
      <c r="O41" s="1" t="s">
        <v>0</v>
      </c>
    </row>
    <row r="42" spans="1:17" x14ac:dyDescent="0.15">
      <c r="A42" s="11" t="s">
        <v>4</v>
      </c>
      <c r="B42" s="23">
        <f>B36</f>
        <v>1</v>
      </c>
      <c r="C42" s="23">
        <f>C36</f>
        <v>4</v>
      </c>
      <c r="D42" s="24">
        <f>B42+C42</f>
        <v>5</v>
      </c>
      <c r="E42" s="23">
        <f>E36</f>
        <v>2</v>
      </c>
      <c r="F42" s="23">
        <f>F36</f>
        <v>1</v>
      </c>
      <c r="G42" s="24">
        <f>E42+F42</f>
        <v>3</v>
      </c>
      <c r="H42" s="30"/>
      <c r="I42" s="11" t="s">
        <v>4</v>
      </c>
      <c r="J42" s="23">
        <f>J36</f>
        <v>146</v>
      </c>
      <c r="K42" s="23">
        <f>K36</f>
        <v>165</v>
      </c>
      <c r="L42" s="24">
        <f>J42+K42</f>
        <v>311</v>
      </c>
      <c r="M42" s="23">
        <f>M36</f>
        <v>164</v>
      </c>
      <c r="N42" s="23">
        <f>N36</f>
        <v>171</v>
      </c>
      <c r="O42" s="24">
        <f>M42+N42</f>
        <v>335</v>
      </c>
    </row>
    <row r="43" spans="1:17" x14ac:dyDescent="0.15">
      <c r="A43" s="2" t="s">
        <v>1</v>
      </c>
      <c r="B43" s="8">
        <v>3</v>
      </c>
      <c r="C43" s="8"/>
      <c r="D43" s="12">
        <f t="shared" ref="D43:D74" si="9">B43+C43</f>
        <v>3</v>
      </c>
      <c r="E43" s="8">
        <v>3</v>
      </c>
      <c r="F43" s="8"/>
      <c r="G43" s="12">
        <f t="shared" ref="G43:G74" si="10">E43+F43</f>
        <v>3</v>
      </c>
      <c r="H43" s="32">
        <v>45922</v>
      </c>
      <c r="I43" s="2" t="s">
        <v>1</v>
      </c>
      <c r="J43" s="8"/>
      <c r="K43" s="8"/>
      <c r="L43" s="12">
        <f t="shared" ref="L43:L74" si="11">J43+K43</f>
        <v>0</v>
      </c>
      <c r="M43" s="8"/>
      <c r="N43" s="8"/>
      <c r="O43" s="12">
        <f t="shared" ref="O43:O74" si="12">M43+N43</f>
        <v>0</v>
      </c>
    </row>
    <row r="44" spans="1:17" x14ac:dyDescent="0.15">
      <c r="A44" s="2" t="s">
        <v>1</v>
      </c>
      <c r="B44" s="8">
        <v>3</v>
      </c>
      <c r="C44" s="8">
        <v>3</v>
      </c>
      <c r="D44" s="12">
        <f t="shared" si="9"/>
        <v>6</v>
      </c>
      <c r="E44" s="8">
        <v>5</v>
      </c>
      <c r="F44" s="8">
        <v>5</v>
      </c>
      <c r="G44" s="12">
        <f t="shared" si="10"/>
        <v>10</v>
      </c>
      <c r="H44" s="32">
        <v>46007</v>
      </c>
      <c r="I44" s="2" t="s">
        <v>1</v>
      </c>
      <c r="J44" s="8">
        <v>500</v>
      </c>
      <c r="K44" s="8">
        <v>500</v>
      </c>
      <c r="L44" s="12">
        <f t="shared" si="11"/>
        <v>1000</v>
      </c>
      <c r="M44" s="8">
        <v>500</v>
      </c>
      <c r="N44" s="8">
        <v>500</v>
      </c>
      <c r="O44" s="12">
        <f t="shared" si="12"/>
        <v>1000</v>
      </c>
      <c r="P44" s="36" t="s">
        <v>41</v>
      </c>
      <c r="Q44" s="43"/>
    </row>
    <row r="45" spans="1:17" x14ac:dyDescent="0.15">
      <c r="A45" s="2" t="s">
        <v>1</v>
      </c>
      <c r="B45" s="8"/>
      <c r="C45" s="8"/>
      <c r="D45" s="12">
        <f t="shared" si="9"/>
        <v>0</v>
      </c>
      <c r="E45" s="8"/>
      <c r="F45" s="8">
        <v>3</v>
      </c>
      <c r="G45" s="12">
        <f t="shared" si="10"/>
        <v>3</v>
      </c>
      <c r="H45" s="32">
        <v>46045</v>
      </c>
      <c r="I45" s="2" t="s">
        <v>1</v>
      </c>
      <c r="J45" s="8">
        <v>6</v>
      </c>
      <c r="K45" s="8">
        <v>13</v>
      </c>
      <c r="L45" s="12">
        <f t="shared" si="11"/>
        <v>19</v>
      </c>
      <c r="M45" s="8">
        <v>11</v>
      </c>
      <c r="N45" s="8">
        <v>-82</v>
      </c>
      <c r="O45" s="12">
        <f t="shared" si="12"/>
        <v>-71</v>
      </c>
      <c r="P45" s="39"/>
    </row>
    <row r="46" spans="1:17" x14ac:dyDescent="0.15">
      <c r="A46" s="44" t="s">
        <v>1</v>
      </c>
      <c r="B46" s="45"/>
      <c r="C46" s="45"/>
      <c r="D46" s="46">
        <f t="shared" si="9"/>
        <v>0</v>
      </c>
      <c r="E46" s="45"/>
      <c r="F46" s="45">
        <v>3</v>
      </c>
      <c r="G46" s="46">
        <f t="shared" si="10"/>
        <v>3</v>
      </c>
      <c r="H46" s="47">
        <v>46057</v>
      </c>
      <c r="I46" s="2" t="s">
        <v>1</v>
      </c>
      <c r="J46" s="8"/>
      <c r="K46" s="8"/>
      <c r="L46" s="12">
        <f t="shared" si="11"/>
        <v>0</v>
      </c>
      <c r="M46" s="8"/>
      <c r="N46" s="8"/>
      <c r="O46" s="12">
        <f t="shared" si="12"/>
        <v>0</v>
      </c>
    </row>
    <row r="47" spans="1:17" ht="14.25" thickBot="1" x14ac:dyDescent="0.2">
      <c r="A47" s="50" t="s">
        <v>1</v>
      </c>
      <c r="B47" s="51">
        <v>3</v>
      </c>
      <c r="C47" s="51"/>
      <c r="D47" s="52">
        <f t="shared" si="9"/>
        <v>3</v>
      </c>
      <c r="E47" s="51">
        <v>3</v>
      </c>
      <c r="F47" s="51"/>
      <c r="G47" s="52">
        <f t="shared" si="10"/>
        <v>3</v>
      </c>
      <c r="H47" s="47">
        <v>46065</v>
      </c>
      <c r="I47" s="2" t="s">
        <v>1</v>
      </c>
      <c r="J47" s="8"/>
      <c r="K47" s="8"/>
      <c r="L47" s="12">
        <f t="shared" ref="L47" si="13">J47+K47</f>
        <v>0</v>
      </c>
      <c r="M47" s="8"/>
      <c r="N47" s="8"/>
      <c r="O47" s="12">
        <f t="shared" ref="O47" si="14">M47+N47</f>
        <v>0</v>
      </c>
    </row>
    <row r="48" spans="1:17" ht="14.25" thickBot="1" x14ac:dyDescent="0.2">
      <c r="A48" s="7" t="s">
        <v>2</v>
      </c>
      <c r="B48" s="15">
        <f>SUM(B42:B47)</f>
        <v>10</v>
      </c>
      <c r="C48" s="15">
        <f>SUM(C42:C47)</f>
        <v>7</v>
      </c>
      <c r="D48" s="22">
        <f t="shared" si="9"/>
        <v>17</v>
      </c>
      <c r="E48" s="15">
        <f>SUM(E42:E47)</f>
        <v>13</v>
      </c>
      <c r="F48" s="15">
        <f>SUM(F42:F47)</f>
        <v>12</v>
      </c>
      <c r="G48" s="22">
        <f t="shared" si="10"/>
        <v>25</v>
      </c>
      <c r="H48" s="33"/>
      <c r="I48" s="7" t="s">
        <v>32</v>
      </c>
      <c r="J48" s="15">
        <f>SUM(J42:J47)</f>
        <v>652</v>
      </c>
      <c r="K48" s="15">
        <f>SUM(K42:K47)</f>
        <v>678</v>
      </c>
      <c r="L48" s="22">
        <f t="shared" si="11"/>
        <v>1330</v>
      </c>
      <c r="M48" s="15">
        <f>SUM(M42:M47)</f>
        <v>675</v>
      </c>
      <c r="N48" s="15">
        <f>SUM(N42:N47)</f>
        <v>589</v>
      </c>
      <c r="O48" s="22">
        <f t="shared" si="12"/>
        <v>1264</v>
      </c>
    </row>
    <row r="49" spans="1:17" x14ac:dyDescent="0.15">
      <c r="A49" s="4" t="s">
        <v>13</v>
      </c>
      <c r="B49" s="8"/>
      <c r="C49" s="8"/>
      <c r="D49" s="12">
        <f t="shared" si="9"/>
        <v>0</v>
      </c>
      <c r="E49" s="8">
        <v>3</v>
      </c>
      <c r="F49" s="8"/>
      <c r="G49" s="12">
        <f t="shared" si="10"/>
        <v>3</v>
      </c>
      <c r="H49" s="32">
        <v>45922</v>
      </c>
      <c r="I49" s="38" t="s">
        <v>42</v>
      </c>
      <c r="J49" s="17">
        <v>10</v>
      </c>
      <c r="K49" s="17">
        <v>10</v>
      </c>
      <c r="L49" s="16">
        <f t="shared" si="11"/>
        <v>20</v>
      </c>
      <c r="M49" s="17">
        <v>10</v>
      </c>
      <c r="N49" s="17">
        <v>10</v>
      </c>
      <c r="O49" s="16">
        <f t="shared" si="12"/>
        <v>20</v>
      </c>
      <c r="P49" s="36">
        <v>46003</v>
      </c>
      <c r="Q49" s="39"/>
    </row>
    <row r="50" spans="1:17" x14ac:dyDescent="0.15">
      <c r="A50" s="4" t="s">
        <v>13</v>
      </c>
      <c r="B50" s="8"/>
      <c r="C50" s="8"/>
      <c r="D50" s="12">
        <f t="shared" si="9"/>
        <v>0</v>
      </c>
      <c r="E50" s="8">
        <v>1</v>
      </c>
      <c r="F50" s="8"/>
      <c r="G50" s="12">
        <f t="shared" si="10"/>
        <v>1</v>
      </c>
      <c r="H50" s="32">
        <v>45992</v>
      </c>
      <c r="I50" s="10" t="s">
        <v>43</v>
      </c>
      <c r="J50" s="8">
        <v>50</v>
      </c>
      <c r="K50" s="8">
        <v>50</v>
      </c>
      <c r="L50" s="12">
        <f t="shared" si="11"/>
        <v>100</v>
      </c>
      <c r="M50" s="8">
        <v>50</v>
      </c>
      <c r="N50" s="8">
        <v>50</v>
      </c>
      <c r="O50" s="12">
        <f t="shared" si="12"/>
        <v>100</v>
      </c>
      <c r="P50" s="36">
        <v>46009</v>
      </c>
      <c r="Q50" s="39"/>
    </row>
    <row r="51" spans="1:17" x14ac:dyDescent="0.15">
      <c r="A51" s="4" t="s">
        <v>13</v>
      </c>
      <c r="B51" s="8"/>
      <c r="C51" s="8">
        <v>1</v>
      </c>
      <c r="D51" s="12">
        <f t="shared" si="9"/>
        <v>1</v>
      </c>
      <c r="E51" s="8"/>
      <c r="F51" s="8">
        <v>2</v>
      </c>
      <c r="G51" s="12">
        <f t="shared" si="10"/>
        <v>2</v>
      </c>
      <c r="H51" s="32">
        <v>46007</v>
      </c>
      <c r="I51" s="9" t="s">
        <v>45</v>
      </c>
      <c r="J51" s="8">
        <v>50</v>
      </c>
      <c r="K51" s="8"/>
      <c r="L51" s="12">
        <f t="shared" si="11"/>
        <v>50</v>
      </c>
      <c r="M51" s="8"/>
      <c r="N51" s="8"/>
      <c r="O51" s="12">
        <f t="shared" si="12"/>
        <v>0</v>
      </c>
      <c r="P51" s="36">
        <v>46009</v>
      </c>
    </row>
    <row r="52" spans="1:17" x14ac:dyDescent="0.15">
      <c r="A52" s="4" t="s">
        <v>13</v>
      </c>
      <c r="B52" s="8"/>
      <c r="C52" s="8"/>
      <c r="D52" s="12">
        <f t="shared" si="9"/>
        <v>0</v>
      </c>
      <c r="E52" s="8">
        <v>1</v>
      </c>
      <c r="F52" s="8"/>
      <c r="G52" s="12">
        <f t="shared" si="10"/>
        <v>1</v>
      </c>
      <c r="H52" s="32">
        <v>46010</v>
      </c>
      <c r="I52" s="9" t="s">
        <v>44</v>
      </c>
      <c r="J52" s="8">
        <v>50</v>
      </c>
      <c r="K52" s="8">
        <v>50</v>
      </c>
      <c r="L52" s="12">
        <f t="shared" ref="L52" si="15">J52+K52</f>
        <v>100</v>
      </c>
      <c r="M52" s="8">
        <v>50</v>
      </c>
      <c r="N52" s="8">
        <v>50</v>
      </c>
      <c r="O52" s="12">
        <f t="shared" ref="O52" si="16">M52+N52</f>
        <v>100</v>
      </c>
      <c r="P52" s="36">
        <v>46009</v>
      </c>
    </row>
    <row r="53" spans="1:17" x14ac:dyDescent="0.15">
      <c r="A53" s="4" t="s">
        <v>13</v>
      </c>
      <c r="B53" s="8"/>
      <c r="C53" s="8"/>
      <c r="D53" s="12">
        <f t="shared" si="9"/>
        <v>0</v>
      </c>
      <c r="E53" s="8"/>
      <c r="F53" s="8">
        <v>1</v>
      </c>
      <c r="G53" s="12">
        <f t="shared" si="10"/>
        <v>1</v>
      </c>
      <c r="H53" s="32">
        <v>46027</v>
      </c>
      <c r="I53" s="9" t="s">
        <v>44</v>
      </c>
      <c r="J53" s="8">
        <v>50</v>
      </c>
      <c r="K53" s="8"/>
      <c r="L53" s="12">
        <f t="shared" si="11"/>
        <v>50</v>
      </c>
      <c r="M53" s="8"/>
      <c r="N53" s="8"/>
      <c r="O53" s="12">
        <f t="shared" si="12"/>
        <v>0</v>
      </c>
      <c r="P53" s="36">
        <v>46009</v>
      </c>
    </row>
    <row r="54" spans="1:17" x14ac:dyDescent="0.15">
      <c r="A54" s="4" t="s">
        <v>13</v>
      </c>
      <c r="B54" s="8">
        <v>1</v>
      </c>
      <c r="C54" s="8"/>
      <c r="D54" s="12">
        <f t="shared" si="9"/>
        <v>1</v>
      </c>
      <c r="E54" s="8"/>
      <c r="F54" s="8"/>
      <c r="G54" s="12">
        <f t="shared" si="10"/>
        <v>0</v>
      </c>
      <c r="H54" s="32">
        <v>46035</v>
      </c>
      <c r="I54" s="9" t="s">
        <v>46</v>
      </c>
      <c r="J54" s="8">
        <v>3</v>
      </c>
      <c r="K54" s="8">
        <v>3</v>
      </c>
      <c r="L54" s="12">
        <f t="shared" si="11"/>
        <v>6</v>
      </c>
      <c r="M54" s="8">
        <v>5</v>
      </c>
      <c r="N54" s="8">
        <v>5</v>
      </c>
      <c r="O54" s="12">
        <f t="shared" si="12"/>
        <v>10</v>
      </c>
      <c r="P54" s="36">
        <v>46007</v>
      </c>
    </row>
    <row r="55" spans="1:17" x14ac:dyDescent="0.15">
      <c r="A55" s="4" t="s">
        <v>13</v>
      </c>
      <c r="B55" s="8"/>
      <c r="C55" s="8"/>
      <c r="D55" s="12">
        <f t="shared" si="9"/>
        <v>0</v>
      </c>
      <c r="E55" s="8"/>
      <c r="F55" s="8">
        <v>1</v>
      </c>
      <c r="G55" s="12">
        <f t="shared" si="10"/>
        <v>1</v>
      </c>
      <c r="H55" s="32">
        <v>46044</v>
      </c>
      <c r="I55" s="9" t="s">
        <v>49</v>
      </c>
      <c r="J55" s="8">
        <v>100</v>
      </c>
      <c r="K55" s="8">
        <v>50</v>
      </c>
      <c r="L55" s="12">
        <f t="shared" si="11"/>
        <v>150</v>
      </c>
      <c r="M55" s="8">
        <v>100</v>
      </c>
      <c r="N55" s="8">
        <v>150</v>
      </c>
      <c r="O55" s="12">
        <f t="shared" si="12"/>
        <v>250</v>
      </c>
      <c r="P55" s="36">
        <v>46016</v>
      </c>
    </row>
    <row r="56" spans="1:17" x14ac:dyDescent="0.15">
      <c r="A56" s="4" t="s">
        <v>13</v>
      </c>
      <c r="B56" s="8"/>
      <c r="C56" s="8"/>
      <c r="D56" s="12">
        <f t="shared" si="9"/>
        <v>0</v>
      </c>
      <c r="E56" s="8"/>
      <c r="F56" s="8">
        <v>1</v>
      </c>
      <c r="G56" s="12">
        <f t="shared" si="10"/>
        <v>1</v>
      </c>
      <c r="H56" s="32">
        <v>46045</v>
      </c>
      <c r="I56" s="9" t="s">
        <v>46</v>
      </c>
      <c r="J56" s="8"/>
      <c r="K56" s="8"/>
      <c r="L56" s="12">
        <f t="shared" si="11"/>
        <v>0</v>
      </c>
      <c r="M56" s="8"/>
      <c r="N56" s="8">
        <v>3</v>
      </c>
      <c r="O56" s="12">
        <f t="shared" si="12"/>
        <v>3</v>
      </c>
      <c r="P56" s="36">
        <v>46045</v>
      </c>
      <c r="Q56" s="39"/>
    </row>
    <row r="57" spans="1:17" x14ac:dyDescent="0.15">
      <c r="A57" s="4" t="s">
        <v>13</v>
      </c>
      <c r="B57" s="8"/>
      <c r="C57" s="8">
        <v>1</v>
      </c>
      <c r="D57" s="12">
        <f t="shared" si="9"/>
        <v>1</v>
      </c>
      <c r="E57" s="8"/>
      <c r="F57" s="8">
        <v>1</v>
      </c>
      <c r="G57" s="12">
        <f t="shared" si="10"/>
        <v>1</v>
      </c>
      <c r="H57" s="32">
        <v>46048</v>
      </c>
      <c r="I57" s="48" t="s">
        <v>46</v>
      </c>
      <c r="J57" s="45"/>
      <c r="K57" s="45"/>
      <c r="L57" s="46">
        <f t="shared" si="11"/>
        <v>0</v>
      </c>
      <c r="M57" s="45"/>
      <c r="N57" s="45">
        <v>3</v>
      </c>
      <c r="O57" s="46">
        <f t="shared" si="12"/>
        <v>3</v>
      </c>
      <c r="P57" s="49">
        <v>46057</v>
      </c>
    </row>
    <row r="58" spans="1:17" x14ac:dyDescent="0.15">
      <c r="A58" s="4" t="s">
        <v>13</v>
      </c>
      <c r="B58" s="8">
        <v>1</v>
      </c>
      <c r="C58" s="8"/>
      <c r="D58" s="12">
        <f t="shared" si="9"/>
        <v>1</v>
      </c>
      <c r="E58" s="8">
        <v>1</v>
      </c>
      <c r="F58" s="8"/>
      <c r="G58" s="12">
        <f t="shared" si="10"/>
        <v>1</v>
      </c>
      <c r="H58" s="32">
        <v>46050</v>
      </c>
      <c r="I58" s="9" t="s">
        <v>46</v>
      </c>
      <c r="J58" s="8">
        <v>3</v>
      </c>
      <c r="K58" s="8"/>
      <c r="L58" s="12">
        <f t="shared" si="11"/>
        <v>3</v>
      </c>
      <c r="M58" s="8">
        <v>3</v>
      </c>
      <c r="N58" s="8"/>
      <c r="O58" s="12">
        <f t="shared" si="12"/>
        <v>3</v>
      </c>
      <c r="P58" s="36">
        <v>46065</v>
      </c>
      <c r="Q58" s="39"/>
    </row>
    <row r="59" spans="1:17" x14ac:dyDescent="0.15">
      <c r="A59" s="4" t="s">
        <v>13</v>
      </c>
      <c r="B59" s="8"/>
      <c r="C59" s="8"/>
      <c r="D59" s="12">
        <f t="shared" si="9"/>
        <v>0</v>
      </c>
      <c r="E59" s="8">
        <v>1</v>
      </c>
      <c r="F59" s="8">
        <v>1</v>
      </c>
      <c r="G59" s="12">
        <f t="shared" si="10"/>
        <v>2</v>
      </c>
      <c r="H59" s="32">
        <v>46056</v>
      </c>
      <c r="I59" s="9" t="s">
        <v>46</v>
      </c>
      <c r="J59" s="8">
        <v>3</v>
      </c>
      <c r="K59" s="8"/>
      <c r="L59" s="12">
        <f t="shared" si="11"/>
        <v>3</v>
      </c>
      <c r="M59" s="8"/>
      <c r="N59" s="8"/>
      <c r="O59" s="12">
        <f t="shared" si="12"/>
        <v>0</v>
      </c>
      <c r="P59" s="36">
        <v>46073</v>
      </c>
      <c r="Q59" s="39"/>
    </row>
    <row r="60" spans="1:17" x14ac:dyDescent="0.15">
      <c r="A60" s="4" t="s">
        <v>13</v>
      </c>
      <c r="B60" s="8">
        <v>1</v>
      </c>
      <c r="C60" s="8"/>
      <c r="D60" s="12">
        <f t="shared" si="9"/>
        <v>1</v>
      </c>
      <c r="E60" s="8"/>
      <c r="F60" s="8">
        <v>1</v>
      </c>
      <c r="G60" s="12">
        <f t="shared" si="10"/>
        <v>1</v>
      </c>
      <c r="H60" s="32">
        <v>46062</v>
      </c>
      <c r="I60" s="48" t="s">
        <v>46</v>
      </c>
      <c r="J60" s="45"/>
      <c r="K60" s="45"/>
      <c r="L60" s="46">
        <f t="shared" si="11"/>
        <v>0</v>
      </c>
      <c r="M60" s="45">
        <v>4</v>
      </c>
      <c r="N60" s="45">
        <v>3</v>
      </c>
      <c r="O60" s="46">
        <f t="shared" si="12"/>
        <v>7</v>
      </c>
      <c r="P60" s="49">
        <v>46085</v>
      </c>
    </row>
    <row r="61" spans="1:17" x14ac:dyDescent="0.15">
      <c r="A61" s="4" t="s">
        <v>13</v>
      </c>
      <c r="B61" s="8"/>
      <c r="C61" s="8">
        <v>1</v>
      </c>
      <c r="D61" s="12">
        <f t="shared" si="9"/>
        <v>1</v>
      </c>
      <c r="E61" s="8">
        <v>1</v>
      </c>
      <c r="F61" s="8"/>
      <c r="G61" s="12">
        <f t="shared" si="10"/>
        <v>1</v>
      </c>
      <c r="H61" s="32">
        <v>46063</v>
      </c>
      <c r="I61" s="48" t="s">
        <v>46</v>
      </c>
      <c r="J61" s="45"/>
      <c r="K61" s="45"/>
      <c r="L61" s="46">
        <f t="shared" si="11"/>
        <v>0</v>
      </c>
      <c r="M61" s="45">
        <v>3</v>
      </c>
      <c r="N61" s="45"/>
      <c r="O61" s="46">
        <f t="shared" si="12"/>
        <v>3</v>
      </c>
      <c r="P61" s="49">
        <v>46094</v>
      </c>
    </row>
    <row r="62" spans="1:17" x14ac:dyDescent="0.15">
      <c r="A62" s="4" t="s">
        <v>13</v>
      </c>
      <c r="B62" s="8">
        <v>3</v>
      </c>
      <c r="C62" s="8">
        <v>1</v>
      </c>
      <c r="D62" s="12">
        <f t="shared" si="9"/>
        <v>4</v>
      </c>
      <c r="E62" s="8"/>
      <c r="F62" s="8"/>
      <c r="G62" s="12">
        <f t="shared" si="10"/>
        <v>0</v>
      </c>
      <c r="H62" s="32">
        <v>46065</v>
      </c>
      <c r="I62" s="9" t="s">
        <v>46</v>
      </c>
      <c r="J62" s="8"/>
      <c r="K62" s="8">
        <v>3</v>
      </c>
      <c r="L62" s="12">
        <f t="shared" si="11"/>
        <v>3</v>
      </c>
      <c r="M62" s="8"/>
      <c r="N62" s="8"/>
      <c r="O62" s="12">
        <f t="shared" si="12"/>
        <v>0</v>
      </c>
      <c r="P62" s="36">
        <v>46097</v>
      </c>
      <c r="Q62" s="39"/>
    </row>
    <row r="63" spans="1:17" x14ac:dyDescent="0.15">
      <c r="A63" s="4" t="s">
        <v>13</v>
      </c>
      <c r="B63" s="8"/>
      <c r="C63" s="8"/>
      <c r="D63" s="12">
        <f t="shared" si="9"/>
        <v>0</v>
      </c>
      <c r="E63" s="8"/>
      <c r="F63" s="8">
        <v>2</v>
      </c>
      <c r="G63" s="12">
        <f t="shared" si="10"/>
        <v>2</v>
      </c>
      <c r="H63" s="32">
        <v>46069</v>
      </c>
      <c r="I63" s="4"/>
      <c r="J63" s="8"/>
      <c r="K63" s="8"/>
      <c r="L63" s="12">
        <f t="shared" si="11"/>
        <v>0</v>
      </c>
      <c r="M63" s="8"/>
      <c r="N63" s="8"/>
      <c r="O63" s="12">
        <f t="shared" si="12"/>
        <v>0</v>
      </c>
    </row>
    <row r="64" spans="1:17" x14ac:dyDescent="0.15">
      <c r="A64" s="4" t="s">
        <v>13</v>
      </c>
      <c r="B64" s="8">
        <v>1</v>
      </c>
      <c r="C64" s="8"/>
      <c r="D64" s="12">
        <f t="shared" si="9"/>
        <v>1</v>
      </c>
      <c r="E64" s="8"/>
      <c r="F64" s="8"/>
      <c r="G64" s="12">
        <f t="shared" si="10"/>
        <v>0</v>
      </c>
      <c r="H64" s="32">
        <v>46071</v>
      </c>
      <c r="I64" s="5"/>
      <c r="J64" s="8"/>
      <c r="K64" s="8"/>
      <c r="L64" s="12">
        <f t="shared" si="11"/>
        <v>0</v>
      </c>
      <c r="M64" s="8"/>
      <c r="N64" s="8"/>
      <c r="O64" s="12">
        <f t="shared" si="12"/>
        <v>0</v>
      </c>
    </row>
    <row r="65" spans="1:16" x14ac:dyDescent="0.15">
      <c r="A65" s="4" t="s">
        <v>50</v>
      </c>
      <c r="B65" s="8">
        <v>-3</v>
      </c>
      <c r="C65" s="8"/>
      <c r="D65" s="12">
        <f t="shared" si="9"/>
        <v>-3</v>
      </c>
      <c r="E65" s="8"/>
      <c r="F65" s="8"/>
      <c r="G65" s="12">
        <f t="shared" si="10"/>
        <v>0</v>
      </c>
      <c r="H65" s="32">
        <v>46073</v>
      </c>
      <c r="I65" s="4"/>
      <c r="J65" s="8"/>
      <c r="K65" s="8"/>
      <c r="L65" s="12">
        <f t="shared" si="11"/>
        <v>0</v>
      </c>
      <c r="M65" s="8"/>
      <c r="N65" s="8"/>
      <c r="O65" s="12">
        <f t="shared" si="12"/>
        <v>0</v>
      </c>
    </row>
    <row r="66" spans="1:16" x14ac:dyDescent="0.15">
      <c r="A66" s="9" t="s">
        <v>52</v>
      </c>
      <c r="B66" s="8">
        <v>0</v>
      </c>
      <c r="C66" s="8">
        <v>0</v>
      </c>
      <c r="D66" s="12">
        <f t="shared" si="9"/>
        <v>0</v>
      </c>
      <c r="E66" s="8">
        <v>1</v>
      </c>
      <c r="F66" s="8">
        <v>-1</v>
      </c>
      <c r="G66" s="12">
        <f t="shared" si="10"/>
        <v>0</v>
      </c>
      <c r="H66" s="32">
        <v>46073</v>
      </c>
      <c r="I66" s="9"/>
      <c r="J66" s="8"/>
      <c r="K66" s="8"/>
      <c r="L66" s="12">
        <f t="shared" si="11"/>
        <v>0</v>
      </c>
      <c r="M66" s="8"/>
      <c r="N66" s="8"/>
      <c r="O66" s="12">
        <f t="shared" si="12"/>
        <v>0</v>
      </c>
    </row>
    <row r="67" spans="1:16" x14ac:dyDescent="0.15">
      <c r="A67" s="4" t="s">
        <v>13</v>
      </c>
      <c r="B67" s="8"/>
      <c r="C67" s="8"/>
      <c r="D67" s="12">
        <f t="shared" si="9"/>
        <v>0</v>
      </c>
      <c r="E67" s="8">
        <v>1</v>
      </c>
      <c r="F67" s="8"/>
      <c r="G67" s="12">
        <f t="shared" si="10"/>
        <v>1</v>
      </c>
      <c r="H67" s="32">
        <v>46079</v>
      </c>
      <c r="I67" s="4"/>
      <c r="J67" s="8"/>
      <c r="K67" s="8"/>
      <c r="L67" s="12">
        <f t="shared" si="11"/>
        <v>0</v>
      </c>
      <c r="M67" s="8"/>
      <c r="N67" s="8"/>
      <c r="O67" s="12">
        <f t="shared" si="12"/>
        <v>0</v>
      </c>
    </row>
    <row r="68" spans="1:16" x14ac:dyDescent="0.15">
      <c r="A68" s="4" t="s">
        <v>13</v>
      </c>
      <c r="B68" s="8"/>
      <c r="C68" s="8"/>
      <c r="D68" s="12">
        <f t="shared" si="9"/>
        <v>0</v>
      </c>
      <c r="E68" s="8">
        <v>1</v>
      </c>
      <c r="F68" s="8"/>
      <c r="G68" s="12">
        <f t="shared" si="10"/>
        <v>1</v>
      </c>
      <c r="H68" s="32">
        <v>46080</v>
      </c>
      <c r="I68" s="10"/>
      <c r="J68" s="8"/>
      <c r="K68" s="8"/>
      <c r="L68" s="12">
        <f t="shared" si="11"/>
        <v>0</v>
      </c>
      <c r="M68" s="8"/>
      <c r="N68" s="8"/>
      <c r="O68" s="12">
        <f t="shared" si="12"/>
        <v>0</v>
      </c>
    </row>
    <row r="69" spans="1:16" x14ac:dyDescent="0.15">
      <c r="A69" s="4" t="s">
        <v>13</v>
      </c>
      <c r="B69" s="8"/>
      <c r="C69" s="8"/>
      <c r="D69" s="12">
        <f t="shared" si="9"/>
        <v>0</v>
      </c>
      <c r="E69" s="8"/>
      <c r="F69" s="8">
        <v>1</v>
      </c>
      <c r="G69" s="12">
        <f t="shared" si="10"/>
        <v>1</v>
      </c>
      <c r="H69" s="32">
        <v>46083</v>
      </c>
      <c r="I69" s="4"/>
      <c r="J69" s="8"/>
      <c r="K69" s="8"/>
      <c r="L69" s="12">
        <f t="shared" si="11"/>
        <v>0</v>
      </c>
      <c r="M69" s="8"/>
      <c r="N69" s="8"/>
      <c r="O69" s="12">
        <f t="shared" si="12"/>
        <v>0</v>
      </c>
    </row>
    <row r="70" spans="1:16" x14ac:dyDescent="0.15">
      <c r="A70" s="4" t="s">
        <v>13</v>
      </c>
      <c r="B70" s="8"/>
      <c r="C70" s="8"/>
      <c r="D70" s="12">
        <f t="shared" si="9"/>
        <v>0</v>
      </c>
      <c r="E70" s="8">
        <v>1</v>
      </c>
      <c r="F70" s="8"/>
      <c r="G70" s="12">
        <f t="shared" si="10"/>
        <v>1</v>
      </c>
      <c r="H70" s="32">
        <v>46084</v>
      </c>
      <c r="I70" s="5"/>
      <c r="J70" s="8"/>
      <c r="K70" s="8"/>
      <c r="L70" s="12">
        <f t="shared" si="11"/>
        <v>0</v>
      </c>
      <c r="M70" s="8"/>
      <c r="N70" s="8"/>
      <c r="O70" s="12">
        <f t="shared" si="12"/>
        <v>0</v>
      </c>
    </row>
    <row r="71" spans="1:16" x14ac:dyDescent="0.15">
      <c r="A71" s="54" t="s">
        <v>1</v>
      </c>
      <c r="B71" s="45"/>
      <c r="C71" s="45"/>
      <c r="D71" s="46">
        <f t="shared" si="9"/>
        <v>0</v>
      </c>
      <c r="E71" s="45">
        <v>-4</v>
      </c>
      <c r="F71" s="45">
        <v>-3</v>
      </c>
      <c r="G71" s="46">
        <f t="shared" si="10"/>
        <v>-7</v>
      </c>
      <c r="H71" s="47">
        <v>46085</v>
      </c>
      <c r="I71" s="3" t="s">
        <v>33</v>
      </c>
      <c r="J71" s="40"/>
      <c r="K71" s="40"/>
      <c r="L71" s="41">
        <f t="shared" ref="L71:L72" si="17">J71+K71</f>
        <v>0</v>
      </c>
      <c r="M71" s="40"/>
      <c r="N71" s="40"/>
      <c r="O71" s="41">
        <f t="shared" ref="O71:O72" si="18">M71+N71</f>
        <v>0</v>
      </c>
      <c r="P71" s="39"/>
    </row>
    <row r="72" spans="1:16" ht="14.25" thickBot="1" x14ac:dyDescent="0.2">
      <c r="A72" s="19"/>
      <c r="B72" s="18"/>
      <c r="C72" s="18"/>
      <c r="D72" s="14">
        <f t="shared" si="9"/>
        <v>0</v>
      </c>
      <c r="E72" s="18"/>
      <c r="F72" s="18"/>
      <c r="G72" s="14">
        <f t="shared" si="10"/>
        <v>0</v>
      </c>
      <c r="H72" s="30"/>
      <c r="I72" s="37" t="s">
        <v>36</v>
      </c>
      <c r="J72" s="8"/>
      <c r="K72" s="8"/>
      <c r="L72" s="12">
        <f t="shared" si="17"/>
        <v>0</v>
      </c>
      <c r="M72" s="8"/>
      <c r="N72" s="8"/>
      <c r="O72" s="12">
        <f t="shared" si="18"/>
        <v>0</v>
      </c>
      <c r="P72" s="39" t="s">
        <v>35</v>
      </c>
    </row>
    <row r="73" spans="1:16" ht="14.25" thickBot="1" x14ac:dyDescent="0.2">
      <c r="A73" s="1" t="s">
        <v>3</v>
      </c>
      <c r="B73" s="13">
        <f>SUM(B49:B72)</f>
        <v>4</v>
      </c>
      <c r="C73" s="13">
        <f>SUM(C49:C72)</f>
        <v>4</v>
      </c>
      <c r="D73" s="13">
        <f t="shared" si="9"/>
        <v>8</v>
      </c>
      <c r="E73" s="13">
        <f>SUM(E49:E72)</f>
        <v>8</v>
      </c>
      <c r="F73" s="13">
        <f>SUM(F49:F72)</f>
        <v>7</v>
      </c>
      <c r="G73" s="13">
        <f t="shared" si="10"/>
        <v>15</v>
      </c>
      <c r="H73" s="30"/>
      <c r="I73" s="1" t="s">
        <v>3</v>
      </c>
      <c r="J73" s="13">
        <f>SUM(J49:J72)</f>
        <v>319</v>
      </c>
      <c r="K73" s="13">
        <f>SUM(K49:K72)</f>
        <v>166</v>
      </c>
      <c r="L73" s="13">
        <f t="shared" si="11"/>
        <v>485</v>
      </c>
      <c r="M73" s="13">
        <f>SUM(M49:M72)</f>
        <v>225</v>
      </c>
      <c r="N73" s="13">
        <f>SUM(N49:N72)</f>
        <v>274</v>
      </c>
      <c r="O73" s="13">
        <f t="shared" si="12"/>
        <v>499</v>
      </c>
    </row>
    <row r="74" spans="1:16" ht="14.25" thickBot="1" x14ac:dyDescent="0.2">
      <c r="A74" s="20" t="s">
        <v>4</v>
      </c>
      <c r="B74" s="21">
        <f>B48-B73</f>
        <v>6</v>
      </c>
      <c r="C74" s="21">
        <f>C48-C73</f>
        <v>3</v>
      </c>
      <c r="D74" s="27">
        <f t="shared" si="9"/>
        <v>9</v>
      </c>
      <c r="E74" s="27">
        <f>E48-E73</f>
        <v>5</v>
      </c>
      <c r="F74" s="27">
        <f>F48-F73</f>
        <v>5</v>
      </c>
      <c r="G74" s="27">
        <f t="shared" si="10"/>
        <v>10</v>
      </c>
      <c r="H74" s="33"/>
      <c r="I74" s="20" t="s">
        <v>4</v>
      </c>
      <c r="J74" s="21">
        <f>J48-J73</f>
        <v>333</v>
      </c>
      <c r="K74" s="21">
        <f>K48-K73</f>
        <v>512</v>
      </c>
      <c r="L74" s="27">
        <f t="shared" si="11"/>
        <v>845</v>
      </c>
      <c r="M74" s="21">
        <f>M48-M73</f>
        <v>450</v>
      </c>
      <c r="N74" s="21">
        <f>N48-N73</f>
        <v>315</v>
      </c>
      <c r="O74" s="27">
        <f t="shared" si="12"/>
        <v>765</v>
      </c>
      <c r="P74" s="53" t="s">
        <v>24</v>
      </c>
    </row>
    <row r="77" spans="1:16" ht="19.5" thickBot="1" x14ac:dyDescent="0.25">
      <c r="A77" s="25" t="s">
        <v>10</v>
      </c>
      <c r="B77" s="26"/>
      <c r="C77" s="26"/>
      <c r="D77" s="26"/>
      <c r="E77" s="26"/>
      <c r="F77" s="26"/>
      <c r="G77" s="26"/>
      <c r="H77" s="30"/>
      <c r="I77" s="28" t="s">
        <v>11</v>
      </c>
      <c r="J77" s="29"/>
      <c r="K77" s="29"/>
      <c r="L77" s="29"/>
      <c r="M77" s="29"/>
      <c r="N77" s="29" t="s">
        <v>19</v>
      </c>
      <c r="O77" s="29"/>
    </row>
    <row r="78" spans="1:16" ht="14.25" thickBot="1" x14ac:dyDescent="0.2">
      <c r="A78" s="35" t="s">
        <v>14</v>
      </c>
      <c r="B78" s="69" t="s">
        <v>8</v>
      </c>
      <c r="C78" s="70"/>
      <c r="D78" s="71"/>
      <c r="E78" s="72" t="s">
        <v>9</v>
      </c>
      <c r="F78" s="73"/>
      <c r="G78" s="74"/>
      <c r="H78" s="30"/>
      <c r="I78" s="35" t="s">
        <v>14</v>
      </c>
      <c r="J78" s="69" t="s">
        <v>8</v>
      </c>
      <c r="K78" s="70"/>
      <c r="L78" s="71"/>
      <c r="M78" s="72" t="s">
        <v>9</v>
      </c>
      <c r="N78" s="73"/>
      <c r="O78" s="74"/>
    </row>
    <row r="79" spans="1:16" ht="14.25" thickBot="1" x14ac:dyDescent="0.2">
      <c r="A79" s="35" t="s">
        <v>15</v>
      </c>
      <c r="B79" s="1" t="s">
        <v>6</v>
      </c>
      <c r="C79" s="1" t="s">
        <v>7</v>
      </c>
      <c r="D79" s="1" t="s">
        <v>0</v>
      </c>
      <c r="E79" s="1" t="s">
        <v>6</v>
      </c>
      <c r="F79" s="1" t="s">
        <v>7</v>
      </c>
      <c r="G79" s="1" t="s">
        <v>0</v>
      </c>
      <c r="H79" s="31"/>
      <c r="I79" s="35" t="s">
        <v>15</v>
      </c>
      <c r="J79" s="1" t="s">
        <v>6</v>
      </c>
      <c r="K79" s="1" t="s">
        <v>7</v>
      </c>
      <c r="L79" s="1" t="s">
        <v>0</v>
      </c>
      <c r="M79" s="1" t="s">
        <v>6</v>
      </c>
      <c r="N79" s="1" t="s">
        <v>7</v>
      </c>
      <c r="O79" s="1" t="s">
        <v>0</v>
      </c>
    </row>
    <row r="80" spans="1:16" x14ac:dyDescent="0.15">
      <c r="A80" s="11" t="s">
        <v>4</v>
      </c>
      <c r="B80" s="23">
        <f>B74</f>
        <v>6</v>
      </c>
      <c r="C80" s="23">
        <f>C74</f>
        <v>3</v>
      </c>
      <c r="D80" s="24">
        <f>B80+C80</f>
        <v>9</v>
      </c>
      <c r="E80" s="23">
        <f>E74</f>
        <v>5</v>
      </c>
      <c r="F80" s="23">
        <f>F74</f>
        <v>5</v>
      </c>
      <c r="G80" s="24">
        <f>E80+F80</f>
        <v>10</v>
      </c>
      <c r="H80" s="30"/>
      <c r="I80" s="11" t="s">
        <v>4</v>
      </c>
      <c r="J80" s="23">
        <f>J74</f>
        <v>333</v>
      </c>
      <c r="K80" s="23">
        <f>K74</f>
        <v>512</v>
      </c>
      <c r="L80" s="24">
        <f>J80+K80</f>
        <v>845</v>
      </c>
      <c r="M80" s="23">
        <f>M74</f>
        <v>450</v>
      </c>
      <c r="N80" s="23">
        <f>N74</f>
        <v>315</v>
      </c>
      <c r="O80" s="24">
        <f>M80+N80</f>
        <v>765</v>
      </c>
    </row>
    <row r="81" spans="1:17" x14ac:dyDescent="0.15">
      <c r="A81" s="2" t="s">
        <v>20</v>
      </c>
      <c r="B81" s="8">
        <v>1</v>
      </c>
      <c r="C81" s="8">
        <v>1</v>
      </c>
      <c r="D81" s="12">
        <f t="shared" ref="D81:D112" si="19">B81+C81</f>
        <v>2</v>
      </c>
      <c r="E81" s="8"/>
      <c r="F81" s="8">
        <v>2</v>
      </c>
      <c r="G81" s="12">
        <f t="shared" ref="G81:G112" si="20">E81+F81</f>
        <v>2</v>
      </c>
      <c r="H81" s="32">
        <v>46085</v>
      </c>
      <c r="I81" s="2" t="s">
        <v>1</v>
      </c>
      <c r="J81" s="8"/>
      <c r="K81" s="8"/>
      <c r="L81" s="12">
        <f t="shared" ref="L81:L112" si="21">J81+K81</f>
        <v>0</v>
      </c>
      <c r="M81" s="8"/>
      <c r="N81" s="8"/>
      <c r="O81" s="12">
        <f t="shared" ref="O81:O112" si="22">M81+N81</f>
        <v>0</v>
      </c>
    </row>
    <row r="82" spans="1:17" x14ac:dyDescent="0.15">
      <c r="A82" s="44" t="s">
        <v>1</v>
      </c>
      <c r="B82" s="45"/>
      <c r="C82" s="45"/>
      <c r="D82" s="46">
        <f t="shared" si="19"/>
        <v>0</v>
      </c>
      <c r="E82" s="45">
        <v>3</v>
      </c>
      <c r="F82" s="45"/>
      <c r="G82" s="46">
        <f t="shared" si="20"/>
        <v>3</v>
      </c>
      <c r="H82" s="47">
        <v>46094</v>
      </c>
      <c r="I82" s="2" t="s">
        <v>1</v>
      </c>
      <c r="J82" s="8"/>
      <c r="K82" s="8"/>
      <c r="L82" s="12">
        <f t="shared" ref="L82" si="23">J82+K82</f>
        <v>0</v>
      </c>
      <c r="M82" s="8"/>
      <c r="N82" s="8"/>
      <c r="O82" s="12">
        <f t="shared" ref="O82" si="24">M82+N82</f>
        <v>0</v>
      </c>
      <c r="P82" s="43"/>
    </row>
    <row r="83" spans="1:17" x14ac:dyDescent="0.15">
      <c r="A83" s="2" t="s">
        <v>1</v>
      </c>
      <c r="B83" s="8"/>
      <c r="C83" s="8">
        <v>3</v>
      </c>
      <c r="D83" s="12">
        <f t="shared" si="19"/>
        <v>3</v>
      </c>
      <c r="E83" s="8"/>
      <c r="F83" s="8"/>
      <c r="G83" s="12">
        <f t="shared" si="20"/>
        <v>0</v>
      </c>
      <c r="H83" s="32">
        <v>46097</v>
      </c>
      <c r="I83" s="2" t="s">
        <v>1</v>
      </c>
      <c r="J83" s="8"/>
      <c r="K83" s="8"/>
      <c r="L83" s="12">
        <f t="shared" si="21"/>
        <v>0</v>
      </c>
      <c r="M83" s="8"/>
      <c r="N83" s="8"/>
      <c r="O83" s="12">
        <f t="shared" si="22"/>
        <v>0</v>
      </c>
      <c r="P83" s="43"/>
    </row>
    <row r="84" spans="1:17" x14ac:dyDescent="0.15">
      <c r="A84" s="44" t="s">
        <v>1</v>
      </c>
      <c r="B84" s="45"/>
      <c r="C84" s="45"/>
      <c r="D84" s="46">
        <f t="shared" si="19"/>
        <v>0</v>
      </c>
      <c r="E84" s="45"/>
      <c r="F84" s="45">
        <v>3</v>
      </c>
      <c r="G84" s="46">
        <f t="shared" si="20"/>
        <v>3</v>
      </c>
      <c r="H84" s="47">
        <v>46130</v>
      </c>
      <c r="I84" s="2" t="s">
        <v>1</v>
      </c>
      <c r="J84" s="8"/>
      <c r="K84" s="8"/>
      <c r="L84" s="12">
        <f t="shared" si="21"/>
        <v>0</v>
      </c>
      <c r="M84" s="8"/>
      <c r="N84" s="8"/>
      <c r="O84" s="12">
        <f t="shared" si="22"/>
        <v>0</v>
      </c>
    </row>
    <row r="85" spans="1:17" ht="14.25" thickBot="1" x14ac:dyDescent="0.2">
      <c r="A85" s="2" t="s">
        <v>20</v>
      </c>
      <c r="B85" s="18"/>
      <c r="C85" s="18">
        <v>1</v>
      </c>
      <c r="D85" s="14">
        <f t="shared" si="19"/>
        <v>1</v>
      </c>
      <c r="E85" s="18">
        <v>3</v>
      </c>
      <c r="F85" s="18"/>
      <c r="G85" s="14">
        <f t="shared" si="20"/>
        <v>3</v>
      </c>
      <c r="H85" s="32">
        <v>46155</v>
      </c>
      <c r="I85" s="2" t="s">
        <v>1</v>
      </c>
      <c r="J85" s="8"/>
      <c r="K85" s="8"/>
      <c r="L85" s="12">
        <f t="shared" si="21"/>
        <v>0</v>
      </c>
      <c r="M85" s="8"/>
      <c r="N85" s="8"/>
      <c r="O85" s="12">
        <f t="shared" si="22"/>
        <v>0</v>
      </c>
    </row>
    <row r="86" spans="1:17" ht="14.25" thickBot="1" x14ac:dyDescent="0.2">
      <c r="A86" s="7" t="s">
        <v>2</v>
      </c>
      <c r="B86" s="15">
        <f>SUM(B80:B85)</f>
        <v>7</v>
      </c>
      <c r="C86" s="15">
        <f>SUM(C80:C85)</f>
        <v>8</v>
      </c>
      <c r="D86" s="22">
        <f t="shared" si="19"/>
        <v>15</v>
      </c>
      <c r="E86" s="15">
        <f>SUM(E80:E85)</f>
        <v>11</v>
      </c>
      <c r="F86" s="15">
        <f>SUM(F80:F85)</f>
        <v>10</v>
      </c>
      <c r="G86" s="22">
        <f t="shared" si="20"/>
        <v>21</v>
      </c>
      <c r="H86" s="33"/>
      <c r="I86" s="7" t="s">
        <v>32</v>
      </c>
      <c r="J86" s="15">
        <f>SUM(J80:J85)</f>
        <v>333</v>
      </c>
      <c r="K86" s="15">
        <f>SUM(K80:K85)</f>
        <v>512</v>
      </c>
      <c r="L86" s="22">
        <f t="shared" si="21"/>
        <v>845</v>
      </c>
      <c r="M86" s="15">
        <f>SUM(M80:M85)</f>
        <v>450</v>
      </c>
      <c r="N86" s="15">
        <f>SUM(N80:N85)</f>
        <v>315</v>
      </c>
      <c r="O86" s="22">
        <f t="shared" si="22"/>
        <v>765</v>
      </c>
    </row>
    <row r="87" spans="1:17" x14ac:dyDescent="0.15">
      <c r="A87" s="4" t="s">
        <v>57</v>
      </c>
      <c r="B87" s="8"/>
      <c r="C87" s="8"/>
      <c r="D87" s="12">
        <f t="shared" si="19"/>
        <v>0</v>
      </c>
      <c r="E87" s="8">
        <v>2</v>
      </c>
      <c r="F87" s="8"/>
      <c r="G87" s="12">
        <f t="shared" si="20"/>
        <v>2</v>
      </c>
      <c r="H87" s="32">
        <v>46087</v>
      </c>
      <c r="I87" s="38" t="s">
        <v>51</v>
      </c>
      <c r="J87" s="17"/>
      <c r="K87" s="17"/>
      <c r="L87" s="16">
        <f t="shared" si="21"/>
        <v>0</v>
      </c>
      <c r="M87" s="17">
        <v>20</v>
      </c>
      <c r="N87" s="17"/>
      <c r="O87" s="16">
        <f t="shared" si="22"/>
        <v>20</v>
      </c>
      <c r="P87" s="36">
        <v>46077</v>
      </c>
      <c r="Q87" s="39"/>
    </row>
    <row r="88" spans="1:17" x14ac:dyDescent="0.15">
      <c r="A88" s="4" t="s">
        <v>13</v>
      </c>
      <c r="B88" s="8"/>
      <c r="C88" s="8">
        <v>1</v>
      </c>
      <c r="D88" s="12">
        <f t="shared" si="19"/>
        <v>1</v>
      </c>
      <c r="E88" s="8">
        <v>1</v>
      </c>
      <c r="F88" s="8">
        <v>2</v>
      </c>
      <c r="G88" s="12">
        <f t="shared" si="20"/>
        <v>3</v>
      </c>
      <c r="H88" s="32">
        <v>46090</v>
      </c>
      <c r="I88" s="9" t="s">
        <v>53</v>
      </c>
      <c r="J88" s="8"/>
      <c r="K88" s="8">
        <v>10</v>
      </c>
      <c r="L88" s="12">
        <f t="shared" si="21"/>
        <v>10</v>
      </c>
      <c r="M88" s="8">
        <v>20</v>
      </c>
      <c r="N88" s="8"/>
      <c r="O88" s="12">
        <f t="shared" si="22"/>
        <v>20</v>
      </c>
      <c r="P88" s="36">
        <v>46079</v>
      </c>
      <c r="Q88" s="39"/>
    </row>
    <row r="89" spans="1:17" x14ac:dyDescent="0.15">
      <c r="A89" s="4" t="s">
        <v>13</v>
      </c>
      <c r="B89" s="8"/>
      <c r="C89" s="8">
        <v>1</v>
      </c>
      <c r="D89" s="12">
        <f t="shared" si="19"/>
        <v>1</v>
      </c>
      <c r="E89" s="8"/>
      <c r="F89" s="8"/>
      <c r="G89" s="12">
        <f t="shared" si="20"/>
        <v>0</v>
      </c>
      <c r="H89" s="32">
        <v>46094</v>
      </c>
      <c r="I89" s="9" t="s">
        <v>54</v>
      </c>
      <c r="J89" s="8"/>
      <c r="K89" s="8">
        <v>40</v>
      </c>
      <c r="L89" s="12">
        <f t="shared" si="21"/>
        <v>40</v>
      </c>
      <c r="M89" s="8">
        <v>80</v>
      </c>
      <c r="N89" s="8"/>
      <c r="O89" s="12">
        <f t="shared" si="22"/>
        <v>80</v>
      </c>
      <c r="P89" s="36">
        <v>46079</v>
      </c>
    </row>
    <row r="90" spans="1:17" x14ac:dyDescent="0.15">
      <c r="A90" s="4" t="s">
        <v>13</v>
      </c>
      <c r="B90" s="8"/>
      <c r="C90" s="8">
        <v>1</v>
      </c>
      <c r="D90" s="12">
        <f t="shared" si="19"/>
        <v>1</v>
      </c>
      <c r="E90" s="8"/>
      <c r="F90" s="8">
        <v>1</v>
      </c>
      <c r="G90" s="12">
        <f t="shared" si="20"/>
        <v>1</v>
      </c>
      <c r="H90" s="32">
        <v>46111</v>
      </c>
      <c r="I90" s="9" t="s">
        <v>56</v>
      </c>
      <c r="J90" s="8"/>
      <c r="K90" s="8">
        <v>15</v>
      </c>
      <c r="L90" s="12">
        <f t="shared" si="21"/>
        <v>15</v>
      </c>
      <c r="M90" s="8">
        <v>20</v>
      </c>
      <c r="N90" s="8">
        <v>15</v>
      </c>
      <c r="O90" s="12">
        <f t="shared" si="22"/>
        <v>35</v>
      </c>
      <c r="P90" s="36">
        <v>46086</v>
      </c>
    </row>
    <row r="91" spans="1:17" x14ac:dyDescent="0.15">
      <c r="A91" s="4" t="s">
        <v>13</v>
      </c>
      <c r="B91" s="8"/>
      <c r="C91" s="8"/>
      <c r="D91" s="12">
        <f t="shared" si="19"/>
        <v>0</v>
      </c>
      <c r="E91" s="8"/>
      <c r="F91" s="8">
        <v>1</v>
      </c>
      <c r="G91" s="12">
        <f t="shared" si="20"/>
        <v>1</v>
      </c>
      <c r="H91" s="32">
        <v>46125</v>
      </c>
      <c r="I91" s="9" t="s">
        <v>58</v>
      </c>
      <c r="J91" s="8"/>
      <c r="K91" s="8"/>
      <c r="L91" s="12">
        <f t="shared" si="21"/>
        <v>0</v>
      </c>
      <c r="M91" s="8"/>
      <c r="N91" s="8">
        <v>8</v>
      </c>
      <c r="O91" s="12">
        <f t="shared" si="22"/>
        <v>8</v>
      </c>
      <c r="P91" s="36">
        <v>46092</v>
      </c>
    </row>
    <row r="92" spans="1:17" x14ac:dyDescent="0.15">
      <c r="A92" s="9" t="s">
        <v>60</v>
      </c>
      <c r="B92" s="8"/>
      <c r="C92" s="8"/>
      <c r="D92" s="12">
        <f t="shared" si="19"/>
        <v>0</v>
      </c>
      <c r="E92" s="8">
        <v>1</v>
      </c>
      <c r="F92" s="8"/>
      <c r="G92" s="12">
        <f t="shared" si="20"/>
        <v>1</v>
      </c>
      <c r="H92" s="32">
        <v>46128</v>
      </c>
      <c r="I92" s="48" t="s">
        <v>46</v>
      </c>
      <c r="J92" s="45"/>
      <c r="K92" s="45"/>
      <c r="L92" s="46">
        <f t="shared" si="21"/>
        <v>0</v>
      </c>
      <c r="M92" s="45"/>
      <c r="N92" s="45">
        <v>3</v>
      </c>
      <c r="O92" s="46">
        <f t="shared" si="22"/>
        <v>3</v>
      </c>
      <c r="P92" s="49">
        <v>46130</v>
      </c>
    </row>
    <row r="93" spans="1:17" x14ac:dyDescent="0.15">
      <c r="A93" s="9" t="s">
        <v>13</v>
      </c>
      <c r="B93" s="8"/>
      <c r="C93" s="8"/>
      <c r="D93" s="12">
        <f t="shared" si="19"/>
        <v>0</v>
      </c>
      <c r="E93" s="8"/>
      <c r="F93" s="8">
        <v>1</v>
      </c>
      <c r="G93" s="12">
        <f t="shared" si="20"/>
        <v>1</v>
      </c>
      <c r="H93" s="32">
        <v>46127</v>
      </c>
      <c r="I93" s="9"/>
      <c r="J93" s="8"/>
      <c r="K93" s="8"/>
      <c r="L93" s="12">
        <f t="shared" si="21"/>
        <v>0</v>
      </c>
      <c r="M93" s="8"/>
      <c r="N93" s="8"/>
      <c r="O93" s="12">
        <f t="shared" si="22"/>
        <v>0</v>
      </c>
    </row>
    <row r="94" spans="1:17" x14ac:dyDescent="0.15">
      <c r="A94" s="9" t="s">
        <v>13</v>
      </c>
      <c r="B94" s="8"/>
      <c r="C94" s="8">
        <v>1</v>
      </c>
      <c r="D94" s="12">
        <f t="shared" si="19"/>
        <v>1</v>
      </c>
      <c r="E94" s="8"/>
      <c r="F94" s="8"/>
      <c r="G94" s="12">
        <f t="shared" si="20"/>
        <v>0</v>
      </c>
      <c r="H94" s="32">
        <v>46134</v>
      </c>
      <c r="I94" s="9"/>
      <c r="J94" s="8"/>
      <c r="K94" s="8"/>
      <c r="L94" s="12">
        <f t="shared" si="21"/>
        <v>0</v>
      </c>
      <c r="M94" s="8"/>
      <c r="N94" s="8"/>
      <c r="O94" s="12">
        <f t="shared" si="22"/>
        <v>0</v>
      </c>
    </row>
    <row r="95" spans="1:17" x14ac:dyDescent="0.15">
      <c r="A95" s="9" t="s">
        <v>13</v>
      </c>
      <c r="B95" s="8"/>
      <c r="C95" s="8">
        <v>1</v>
      </c>
      <c r="D95" s="12">
        <f t="shared" si="19"/>
        <v>1</v>
      </c>
      <c r="E95" s="8"/>
      <c r="F95" s="8">
        <v>1</v>
      </c>
      <c r="G95" s="12">
        <f t="shared" si="20"/>
        <v>1</v>
      </c>
      <c r="H95" s="32">
        <v>46139</v>
      </c>
      <c r="I95" s="9"/>
      <c r="J95" s="8"/>
      <c r="K95" s="8"/>
      <c r="L95" s="12">
        <f t="shared" si="21"/>
        <v>0</v>
      </c>
      <c r="M95" s="8"/>
      <c r="N95" s="8"/>
      <c r="O95" s="12">
        <f t="shared" si="22"/>
        <v>0</v>
      </c>
    </row>
    <row r="96" spans="1:17" x14ac:dyDescent="0.15">
      <c r="A96" s="9" t="s">
        <v>13</v>
      </c>
      <c r="B96" s="8"/>
      <c r="C96" s="8"/>
      <c r="D96" s="12">
        <f t="shared" si="19"/>
        <v>0</v>
      </c>
      <c r="E96" s="8"/>
      <c r="F96" s="8">
        <v>1</v>
      </c>
      <c r="G96" s="12">
        <f t="shared" si="20"/>
        <v>1</v>
      </c>
      <c r="H96" s="32">
        <v>46143</v>
      </c>
      <c r="I96" s="9"/>
      <c r="J96" s="8"/>
      <c r="K96" s="8"/>
      <c r="L96" s="12">
        <f t="shared" si="21"/>
        <v>0</v>
      </c>
      <c r="M96" s="8"/>
      <c r="N96" s="8"/>
      <c r="O96" s="12">
        <f t="shared" si="22"/>
        <v>0</v>
      </c>
    </row>
    <row r="97" spans="1:17" x14ac:dyDescent="0.15">
      <c r="A97" s="9" t="s">
        <v>13</v>
      </c>
      <c r="B97" s="8"/>
      <c r="C97" s="8">
        <v>1</v>
      </c>
      <c r="D97" s="12">
        <f t="shared" si="19"/>
        <v>1</v>
      </c>
      <c r="E97" s="8"/>
      <c r="F97" s="8"/>
      <c r="G97" s="12">
        <f t="shared" si="20"/>
        <v>0</v>
      </c>
      <c r="H97" s="32">
        <v>46149</v>
      </c>
      <c r="I97" s="9"/>
      <c r="J97" s="8"/>
      <c r="K97" s="8"/>
      <c r="L97" s="12">
        <f t="shared" si="21"/>
        <v>0</v>
      </c>
      <c r="M97" s="8"/>
      <c r="N97" s="8"/>
      <c r="O97" s="12">
        <f t="shared" si="22"/>
        <v>0</v>
      </c>
    </row>
    <row r="98" spans="1:17" x14ac:dyDescent="0.15">
      <c r="A98" s="9" t="s">
        <v>13</v>
      </c>
      <c r="B98" s="8">
        <v>1</v>
      </c>
      <c r="C98" s="8"/>
      <c r="D98" s="12">
        <f t="shared" si="19"/>
        <v>1</v>
      </c>
      <c r="E98" s="8"/>
      <c r="F98" s="8"/>
      <c r="G98" s="12">
        <f t="shared" si="20"/>
        <v>0</v>
      </c>
      <c r="H98" s="32">
        <v>46169</v>
      </c>
      <c r="I98" s="9"/>
      <c r="J98" s="8"/>
      <c r="K98" s="8"/>
      <c r="L98" s="12">
        <f t="shared" si="21"/>
        <v>0</v>
      </c>
      <c r="M98" s="8"/>
      <c r="N98" s="8"/>
      <c r="O98" s="12">
        <f t="shared" si="22"/>
        <v>0</v>
      </c>
    </row>
    <row r="99" spans="1:17" x14ac:dyDescent="0.15">
      <c r="A99" s="9" t="s">
        <v>13</v>
      </c>
      <c r="B99" s="8"/>
      <c r="C99" s="8"/>
      <c r="D99" s="12">
        <f t="shared" si="19"/>
        <v>0</v>
      </c>
      <c r="E99" s="8">
        <v>2</v>
      </c>
      <c r="F99" s="8"/>
      <c r="G99" s="12">
        <f t="shared" si="20"/>
        <v>2</v>
      </c>
      <c r="H99" s="32">
        <v>46181</v>
      </c>
      <c r="I99" s="9"/>
      <c r="J99" s="8"/>
      <c r="K99" s="8"/>
      <c r="L99" s="12">
        <f t="shared" si="21"/>
        <v>0</v>
      </c>
      <c r="M99" s="8"/>
      <c r="N99" s="8"/>
      <c r="O99" s="12">
        <f t="shared" si="22"/>
        <v>0</v>
      </c>
    </row>
    <row r="100" spans="1:17" x14ac:dyDescent="0.15">
      <c r="A100" s="9" t="s">
        <v>73</v>
      </c>
      <c r="B100" s="8">
        <v>-2</v>
      </c>
      <c r="C100" s="8">
        <v>-5</v>
      </c>
      <c r="D100" s="12">
        <f t="shared" si="19"/>
        <v>-7</v>
      </c>
      <c r="E100" s="8">
        <v>-2</v>
      </c>
      <c r="F100" s="8">
        <v>-6</v>
      </c>
      <c r="G100" s="12">
        <f t="shared" si="20"/>
        <v>-8</v>
      </c>
      <c r="H100" s="32">
        <v>46190</v>
      </c>
      <c r="I100" s="9"/>
      <c r="J100" s="8"/>
      <c r="K100" s="8"/>
      <c r="L100" s="12">
        <f t="shared" si="21"/>
        <v>0</v>
      </c>
      <c r="M100" s="8"/>
      <c r="N100" s="8"/>
      <c r="O100" s="12">
        <f t="shared" si="22"/>
        <v>0</v>
      </c>
    </row>
    <row r="101" spans="1:17" x14ac:dyDescent="0.15">
      <c r="A101" s="4"/>
      <c r="B101" s="8"/>
      <c r="C101" s="8"/>
      <c r="D101" s="12">
        <f t="shared" si="19"/>
        <v>0</v>
      </c>
      <c r="E101" s="8"/>
      <c r="F101" s="8"/>
      <c r="G101" s="12">
        <f t="shared" si="20"/>
        <v>0</v>
      </c>
      <c r="H101" s="32"/>
      <c r="I101" s="4"/>
      <c r="J101" s="8"/>
      <c r="K101" s="8"/>
      <c r="L101" s="12">
        <f t="shared" si="21"/>
        <v>0</v>
      </c>
      <c r="M101" s="8"/>
      <c r="N101" s="8"/>
      <c r="O101" s="12">
        <f t="shared" si="22"/>
        <v>0</v>
      </c>
    </row>
    <row r="102" spans="1:17" x14ac:dyDescent="0.15">
      <c r="A102" s="5"/>
      <c r="B102" s="8"/>
      <c r="C102" s="8"/>
      <c r="D102" s="12">
        <f t="shared" si="19"/>
        <v>0</v>
      </c>
      <c r="E102" s="8"/>
      <c r="F102" s="8"/>
      <c r="G102" s="12">
        <f t="shared" si="20"/>
        <v>0</v>
      </c>
      <c r="H102" s="32"/>
      <c r="I102" s="5"/>
      <c r="J102" s="8"/>
      <c r="K102" s="8"/>
      <c r="L102" s="12">
        <f t="shared" si="21"/>
        <v>0</v>
      </c>
      <c r="M102" s="8"/>
      <c r="N102" s="8"/>
      <c r="O102" s="12">
        <f t="shared" si="22"/>
        <v>0</v>
      </c>
    </row>
    <row r="103" spans="1:17" x14ac:dyDescent="0.15">
      <c r="A103" s="4"/>
      <c r="B103" s="8"/>
      <c r="C103" s="8"/>
      <c r="D103" s="12">
        <f t="shared" si="19"/>
        <v>0</v>
      </c>
      <c r="E103" s="8"/>
      <c r="F103" s="8"/>
      <c r="G103" s="12">
        <f t="shared" si="20"/>
        <v>0</v>
      </c>
      <c r="H103" s="32"/>
      <c r="I103" s="4"/>
      <c r="J103" s="8"/>
      <c r="K103" s="8"/>
      <c r="L103" s="12">
        <f t="shared" si="21"/>
        <v>0</v>
      </c>
      <c r="M103" s="8"/>
      <c r="N103" s="8"/>
      <c r="O103" s="12">
        <f t="shared" si="22"/>
        <v>0</v>
      </c>
    </row>
    <row r="104" spans="1:17" x14ac:dyDescent="0.15">
      <c r="A104" s="9"/>
      <c r="B104" s="8"/>
      <c r="C104" s="8"/>
      <c r="D104" s="12">
        <f t="shared" si="19"/>
        <v>0</v>
      </c>
      <c r="E104" s="8"/>
      <c r="F104" s="8"/>
      <c r="G104" s="12">
        <f t="shared" si="20"/>
        <v>0</v>
      </c>
      <c r="H104" s="32"/>
      <c r="I104" s="9"/>
      <c r="J104" s="8"/>
      <c r="K104" s="8"/>
      <c r="L104" s="12">
        <f t="shared" si="21"/>
        <v>0</v>
      </c>
      <c r="M104" s="8"/>
      <c r="N104" s="8"/>
      <c r="O104" s="12">
        <f t="shared" si="22"/>
        <v>0</v>
      </c>
    </row>
    <row r="105" spans="1:17" x14ac:dyDescent="0.15">
      <c r="A105" s="4"/>
      <c r="B105" s="8"/>
      <c r="C105" s="8"/>
      <c r="D105" s="12">
        <f t="shared" si="19"/>
        <v>0</v>
      </c>
      <c r="E105" s="8"/>
      <c r="F105" s="8"/>
      <c r="G105" s="12">
        <f t="shared" si="20"/>
        <v>0</v>
      </c>
      <c r="H105" s="32"/>
      <c r="I105" s="4"/>
      <c r="J105" s="8"/>
      <c r="K105" s="8"/>
      <c r="L105" s="12">
        <f t="shared" si="21"/>
        <v>0</v>
      </c>
      <c r="M105" s="8"/>
      <c r="N105" s="8"/>
      <c r="O105" s="12">
        <f t="shared" si="22"/>
        <v>0</v>
      </c>
    </row>
    <row r="106" spans="1:17" x14ac:dyDescent="0.15">
      <c r="A106" s="10"/>
      <c r="B106" s="8"/>
      <c r="C106" s="8"/>
      <c r="D106" s="12">
        <f t="shared" si="19"/>
        <v>0</v>
      </c>
      <c r="E106" s="8"/>
      <c r="F106" s="8"/>
      <c r="G106" s="12">
        <f t="shared" si="20"/>
        <v>0</v>
      </c>
      <c r="H106" s="32"/>
      <c r="I106" s="10"/>
      <c r="J106" s="8"/>
      <c r="K106" s="8"/>
      <c r="L106" s="12">
        <f t="shared" si="21"/>
        <v>0</v>
      </c>
      <c r="M106" s="8"/>
      <c r="N106" s="8"/>
      <c r="O106" s="12">
        <f t="shared" si="22"/>
        <v>0</v>
      </c>
    </row>
    <row r="107" spans="1:17" x14ac:dyDescent="0.15">
      <c r="A107" s="4"/>
      <c r="B107" s="8"/>
      <c r="C107" s="8"/>
      <c r="D107" s="12">
        <f t="shared" si="19"/>
        <v>0</v>
      </c>
      <c r="E107" s="8"/>
      <c r="F107" s="8"/>
      <c r="G107" s="12">
        <f t="shared" si="20"/>
        <v>0</v>
      </c>
      <c r="H107" s="32"/>
      <c r="I107" s="4"/>
      <c r="J107" s="8"/>
      <c r="K107" s="8"/>
      <c r="L107" s="12">
        <f t="shared" si="21"/>
        <v>0</v>
      </c>
      <c r="M107" s="8"/>
      <c r="N107" s="8"/>
      <c r="O107" s="12">
        <f t="shared" si="22"/>
        <v>0</v>
      </c>
    </row>
    <row r="108" spans="1:17" x14ac:dyDescent="0.15">
      <c r="A108" s="6"/>
      <c r="B108" s="8"/>
      <c r="C108" s="8"/>
      <c r="D108" s="12">
        <f t="shared" si="19"/>
        <v>0</v>
      </c>
      <c r="E108" s="8"/>
      <c r="F108" s="8"/>
      <c r="G108" s="12">
        <f t="shared" si="20"/>
        <v>0</v>
      </c>
      <c r="H108" s="30"/>
      <c r="I108" s="5"/>
      <c r="J108" s="8"/>
      <c r="K108" s="8"/>
      <c r="L108" s="12">
        <f t="shared" si="21"/>
        <v>0</v>
      </c>
      <c r="M108" s="8"/>
      <c r="N108" s="8"/>
      <c r="O108" s="12">
        <f t="shared" si="22"/>
        <v>0</v>
      </c>
    </row>
    <row r="109" spans="1:17" x14ac:dyDescent="0.15">
      <c r="A109" s="10"/>
      <c r="B109" s="8"/>
      <c r="C109" s="8"/>
      <c r="D109" s="12">
        <f t="shared" si="19"/>
        <v>0</v>
      </c>
      <c r="E109" s="8"/>
      <c r="F109" s="8"/>
      <c r="G109" s="12">
        <f t="shared" si="20"/>
        <v>0</v>
      </c>
      <c r="H109" s="30"/>
      <c r="I109" s="3" t="s">
        <v>37</v>
      </c>
      <c r="J109" s="40"/>
      <c r="K109" s="40"/>
      <c r="L109" s="41">
        <f t="shared" si="21"/>
        <v>0</v>
      </c>
      <c r="M109" s="40"/>
      <c r="N109" s="40"/>
      <c r="O109" s="41">
        <f t="shared" si="22"/>
        <v>0</v>
      </c>
      <c r="P109" s="39"/>
      <c r="Q109" s="39"/>
    </row>
    <row r="110" spans="1:17" ht="14.25" thickBot="1" x14ac:dyDescent="0.2">
      <c r="A110" s="19"/>
      <c r="B110" s="18"/>
      <c r="C110" s="18"/>
      <c r="D110" s="14">
        <f t="shared" si="19"/>
        <v>0</v>
      </c>
      <c r="E110" s="18"/>
      <c r="F110" s="18"/>
      <c r="G110" s="14">
        <f t="shared" si="20"/>
        <v>0</v>
      </c>
      <c r="H110" s="30"/>
      <c r="I110" s="37" t="s">
        <v>38</v>
      </c>
      <c r="J110" s="8"/>
      <c r="K110" s="8"/>
      <c r="L110" s="12">
        <f t="shared" si="21"/>
        <v>0</v>
      </c>
      <c r="M110" s="8"/>
      <c r="N110" s="8"/>
      <c r="O110" s="12">
        <f t="shared" si="22"/>
        <v>0</v>
      </c>
      <c r="P110" s="39" t="s">
        <v>39</v>
      </c>
      <c r="Q110" s="39"/>
    </row>
    <row r="111" spans="1:17" ht="14.25" thickBot="1" x14ac:dyDescent="0.2">
      <c r="A111" s="1" t="s">
        <v>3</v>
      </c>
      <c r="B111" s="13">
        <f>SUM(B87:B110)</f>
        <v>-1</v>
      </c>
      <c r="C111" s="13">
        <f>SUM(C87:C110)</f>
        <v>1</v>
      </c>
      <c r="D111" s="13">
        <f t="shared" si="19"/>
        <v>0</v>
      </c>
      <c r="E111" s="13">
        <f>SUM(E87:E110)</f>
        <v>4</v>
      </c>
      <c r="F111" s="13">
        <f>SUM(F87:F110)</f>
        <v>1</v>
      </c>
      <c r="G111" s="13">
        <f t="shared" si="20"/>
        <v>5</v>
      </c>
      <c r="H111" s="30"/>
      <c r="I111" s="1" t="s">
        <v>3</v>
      </c>
      <c r="J111" s="13">
        <f>SUM(J87:J110)</f>
        <v>0</v>
      </c>
      <c r="K111" s="13">
        <f>SUM(K87:K110)</f>
        <v>65</v>
      </c>
      <c r="L111" s="13">
        <f t="shared" si="21"/>
        <v>65</v>
      </c>
      <c r="M111" s="13">
        <f>SUM(M87:M110)</f>
        <v>140</v>
      </c>
      <c r="N111" s="13">
        <f>SUM(N87:N110)</f>
        <v>26</v>
      </c>
      <c r="O111" s="13">
        <f t="shared" si="22"/>
        <v>166</v>
      </c>
    </row>
    <row r="112" spans="1:17" ht="14.25" thickBot="1" x14ac:dyDescent="0.2">
      <c r="A112" s="20" t="s">
        <v>4</v>
      </c>
      <c r="B112" s="21">
        <f>B86-B111</f>
        <v>8</v>
      </c>
      <c r="C112" s="21">
        <f>C86-C111</f>
        <v>7</v>
      </c>
      <c r="D112" s="27">
        <f t="shared" si="19"/>
        <v>15</v>
      </c>
      <c r="E112" s="27">
        <f>E86-E111</f>
        <v>7</v>
      </c>
      <c r="F112" s="27">
        <f>F86-F111</f>
        <v>9</v>
      </c>
      <c r="G112" s="27">
        <f t="shared" si="20"/>
        <v>16</v>
      </c>
      <c r="H112" s="33"/>
      <c r="I112" s="20" t="s">
        <v>4</v>
      </c>
      <c r="J112" s="21">
        <f>J86-J111</f>
        <v>333</v>
      </c>
      <c r="K112" s="21">
        <f>K86-K111</f>
        <v>447</v>
      </c>
      <c r="L112" s="27">
        <f t="shared" si="21"/>
        <v>780</v>
      </c>
      <c r="M112" s="21">
        <f>M86-M111</f>
        <v>310</v>
      </c>
      <c r="N112" s="21">
        <f>N86-N111</f>
        <v>289</v>
      </c>
      <c r="O112" s="27">
        <f t="shared" si="22"/>
        <v>599</v>
      </c>
    </row>
    <row r="115" spans="1:16" ht="19.5" thickBot="1" x14ac:dyDescent="0.25">
      <c r="A115" s="25" t="s">
        <v>10</v>
      </c>
      <c r="B115" s="26"/>
      <c r="C115" s="26"/>
      <c r="D115" s="26"/>
      <c r="E115" s="26"/>
      <c r="F115" s="26"/>
      <c r="G115" s="26"/>
      <c r="H115" s="30"/>
      <c r="I115" s="28" t="s">
        <v>11</v>
      </c>
      <c r="J115" s="29"/>
      <c r="K115" s="29"/>
      <c r="L115" s="29"/>
      <c r="M115" s="29"/>
      <c r="N115" s="29" t="s">
        <v>19</v>
      </c>
      <c r="O115" s="29"/>
    </row>
    <row r="116" spans="1:16" ht="14.25" thickBot="1" x14ac:dyDescent="0.2">
      <c r="A116" s="35" t="s">
        <v>14</v>
      </c>
      <c r="B116" s="69" t="s">
        <v>8</v>
      </c>
      <c r="C116" s="70"/>
      <c r="D116" s="71"/>
      <c r="E116" s="72" t="s">
        <v>9</v>
      </c>
      <c r="F116" s="73"/>
      <c r="G116" s="74"/>
      <c r="H116" s="30"/>
      <c r="I116" s="35" t="s">
        <v>14</v>
      </c>
      <c r="J116" s="69" t="s">
        <v>8</v>
      </c>
      <c r="K116" s="70"/>
      <c r="L116" s="71"/>
      <c r="M116" s="72" t="s">
        <v>9</v>
      </c>
      <c r="N116" s="73"/>
      <c r="O116" s="74"/>
    </row>
    <row r="117" spans="1:16" ht="14.25" thickBot="1" x14ac:dyDescent="0.2">
      <c r="A117" s="35" t="s">
        <v>15</v>
      </c>
      <c r="B117" s="1" t="s">
        <v>6</v>
      </c>
      <c r="C117" s="1" t="s">
        <v>7</v>
      </c>
      <c r="D117" s="1" t="s">
        <v>0</v>
      </c>
      <c r="E117" s="1" t="s">
        <v>6</v>
      </c>
      <c r="F117" s="1" t="s">
        <v>7</v>
      </c>
      <c r="G117" s="1" t="s">
        <v>0</v>
      </c>
      <c r="H117" s="31"/>
      <c r="I117" s="35" t="s">
        <v>15</v>
      </c>
      <c r="J117" s="1" t="s">
        <v>6</v>
      </c>
      <c r="K117" s="1" t="s">
        <v>7</v>
      </c>
      <c r="L117" s="1" t="s">
        <v>0</v>
      </c>
      <c r="M117" s="1" t="s">
        <v>6</v>
      </c>
      <c r="N117" s="1" t="s">
        <v>7</v>
      </c>
      <c r="O117" s="1" t="s">
        <v>0</v>
      </c>
    </row>
    <row r="118" spans="1:16" x14ac:dyDescent="0.15">
      <c r="A118" s="11" t="s">
        <v>4</v>
      </c>
      <c r="B118" s="23">
        <f>B112</f>
        <v>8</v>
      </c>
      <c r="C118" s="23">
        <f>C112</f>
        <v>7</v>
      </c>
      <c r="D118" s="24">
        <f>B118+C118</f>
        <v>15</v>
      </c>
      <c r="E118" s="23">
        <f>E112</f>
        <v>7</v>
      </c>
      <c r="F118" s="23">
        <f>F112</f>
        <v>9</v>
      </c>
      <c r="G118" s="24">
        <f>E118+F118</f>
        <v>16</v>
      </c>
      <c r="H118" s="30"/>
      <c r="I118" s="11" t="s">
        <v>4</v>
      </c>
      <c r="J118" s="23">
        <f>J112</f>
        <v>333</v>
      </c>
      <c r="K118" s="23">
        <f>K112</f>
        <v>447</v>
      </c>
      <c r="L118" s="24">
        <f>J118+K118</f>
        <v>780</v>
      </c>
      <c r="M118" s="23">
        <f>M112</f>
        <v>310</v>
      </c>
      <c r="N118" s="23">
        <f>N112</f>
        <v>289</v>
      </c>
      <c r="O118" s="24">
        <f>M118+N118</f>
        <v>599</v>
      </c>
    </row>
    <row r="119" spans="1:16" x14ac:dyDescent="0.15">
      <c r="A119" s="2" t="s">
        <v>1</v>
      </c>
      <c r="B119" s="8"/>
      <c r="C119" s="8"/>
      <c r="D119" s="12">
        <f t="shared" ref="D119:D150" si="25">B119+C119</f>
        <v>0</v>
      </c>
      <c r="E119" s="8"/>
      <c r="F119" s="8"/>
      <c r="G119" s="12">
        <f t="shared" ref="G119:G150" si="26">E119+F119</f>
        <v>0</v>
      </c>
      <c r="H119" s="32"/>
      <c r="I119" s="2" t="s">
        <v>1</v>
      </c>
      <c r="J119" s="8"/>
      <c r="K119" s="8"/>
      <c r="L119" s="12">
        <f t="shared" ref="L119:L150" si="27">J119+K119</f>
        <v>0</v>
      </c>
      <c r="M119" s="8"/>
      <c r="N119" s="8"/>
      <c r="O119" s="12">
        <f t="shared" ref="O119:O150" si="28">M119+N119</f>
        <v>0</v>
      </c>
    </row>
    <row r="120" spans="1:16" x14ac:dyDescent="0.15">
      <c r="A120" s="2" t="s">
        <v>1</v>
      </c>
      <c r="B120" s="8"/>
      <c r="C120" s="8"/>
      <c r="D120" s="12">
        <f t="shared" si="25"/>
        <v>0</v>
      </c>
      <c r="E120" s="8"/>
      <c r="F120" s="8"/>
      <c r="G120" s="12">
        <f t="shared" si="26"/>
        <v>0</v>
      </c>
      <c r="H120" s="32"/>
      <c r="I120" s="59" t="s">
        <v>20</v>
      </c>
      <c r="J120" s="60">
        <v>21</v>
      </c>
      <c r="K120" s="60">
        <v>1</v>
      </c>
      <c r="L120" s="61">
        <f t="shared" si="27"/>
        <v>22</v>
      </c>
      <c r="M120" s="60">
        <v>15</v>
      </c>
      <c r="N120" s="60">
        <v>1</v>
      </c>
      <c r="O120" s="61">
        <f t="shared" si="28"/>
        <v>16</v>
      </c>
      <c r="P120" s="62">
        <v>46192</v>
      </c>
    </row>
    <row r="121" spans="1:16" x14ac:dyDescent="0.15">
      <c r="A121" s="2" t="s">
        <v>1</v>
      </c>
      <c r="B121" s="8"/>
      <c r="C121" s="8"/>
      <c r="D121" s="12">
        <f t="shared" si="25"/>
        <v>0</v>
      </c>
      <c r="E121" s="8"/>
      <c r="F121" s="8"/>
      <c r="G121" s="12">
        <f t="shared" si="26"/>
        <v>0</v>
      </c>
      <c r="H121" s="32"/>
      <c r="I121" s="59" t="s">
        <v>20</v>
      </c>
      <c r="J121" s="60">
        <v>27</v>
      </c>
      <c r="K121" s="60">
        <v>39</v>
      </c>
      <c r="L121" s="61">
        <f t="shared" si="27"/>
        <v>66</v>
      </c>
      <c r="M121" s="60">
        <v>54</v>
      </c>
      <c r="N121" s="60">
        <v>41</v>
      </c>
      <c r="O121" s="61">
        <f t="shared" si="28"/>
        <v>95</v>
      </c>
      <c r="P121" s="62">
        <v>46192</v>
      </c>
    </row>
    <row r="122" spans="1:16" x14ac:dyDescent="0.15">
      <c r="A122" s="2" t="s">
        <v>1</v>
      </c>
      <c r="B122" s="8"/>
      <c r="C122" s="8"/>
      <c r="D122" s="12">
        <f t="shared" si="25"/>
        <v>0</v>
      </c>
      <c r="E122" s="8"/>
      <c r="F122" s="8"/>
      <c r="G122" s="12">
        <f t="shared" si="26"/>
        <v>0</v>
      </c>
      <c r="H122" s="32"/>
      <c r="I122" s="2" t="s">
        <v>1</v>
      </c>
      <c r="J122" s="8"/>
      <c r="K122" s="8"/>
      <c r="L122" s="12">
        <f t="shared" si="27"/>
        <v>0</v>
      </c>
      <c r="M122" s="8"/>
      <c r="N122" s="8"/>
      <c r="O122" s="12">
        <f t="shared" si="28"/>
        <v>0</v>
      </c>
    </row>
    <row r="123" spans="1:16" ht="14.25" thickBot="1" x14ac:dyDescent="0.2">
      <c r="A123" s="3" t="s">
        <v>1</v>
      </c>
      <c r="B123" s="18"/>
      <c r="C123" s="18"/>
      <c r="D123" s="14">
        <f t="shared" si="25"/>
        <v>0</v>
      </c>
      <c r="E123" s="18"/>
      <c r="F123" s="18"/>
      <c r="G123" s="14">
        <f t="shared" si="26"/>
        <v>0</v>
      </c>
      <c r="H123" s="32"/>
      <c r="I123" s="2" t="s">
        <v>1</v>
      </c>
      <c r="J123" s="8"/>
      <c r="K123" s="8"/>
      <c r="L123" s="12">
        <f t="shared" si="27"/>
        <v>0</v>
      </c>
      <c r="M123" s="8"/>
      <c r="N123" s="8"/>
      <c r="O123" s="12">
        <f t="shared" si="28"/>
        <v>0</v>
      </c>
    </row>
    <row r="124" spans="1:16" ht="14.25" thickBot="1" x14ac:dyDescent="0.2">
      <c r="A124" s="7" t="s">
        <v>2</v>
      </c>
      <c r="B124" s="15">
        <f>SUM(B118:B123)</f>
        <v>8</v>
      </c>
      <c r="C124" s="15">
        <f>SUM(C118:C123)</f>
        <v>7</v>
      </c>
      <c r="D124" s="22">
        <f t="shared" si="25"/>
        <v>15</v>
      </c>
      <c r="E124" s="15">
        <f>SUM(E118:E123)</f>
        <v>7</v>
      </c>
      <c r="F124" s="15">
        <f>SUM(F118:F123)</f>
        <v>9</v>
      </c>
      <c r="G124" s="22">
        <f t="shared" si="26"/>
        <v>16</v>
      </c>
      <c r="H124" s="33"/>
      <c r="I124" s="7" t="s">
        <v>32</v>
      </c>
      <c r="J124" s="15">
        <f>SUM(J118:J123)</f>
        <v>381</v>
      </c>
      <c r="K124" s="15">
        <f>SUM(K118:K123)</f>
        <v>487</v>
      </c>
      <c r="L124" s="22">
        <f t="shared" si="27"/>
        <v>868</v>
      </c>
      <c r="M124" s="15">
        <f>SUM(M118:M123)</f>
        <v>379</v>
      </c>
      <c r="N124" s="15">
        <f>SUM(N118:N123)</f>
        <v>331</v>
      </c>
      <c r="O124" s="22">
        <f t="shared" si="28"/>
        <v>710</v>
      </c>
    </row>
    <row r="125" spans="1:16" x14ac:dyDescent="0.15">
      <c r="A125" s="4"/>
      <c r="B125" s="8"/>
      <c r="C125" s="8"/>
      <c r="D125" s="12">
        <f t="shared" si="25"/>
        <v>0</v>
      </c>
      <c r="E125" s="8"/>
      <c r="F125" s="8"/>
      <c r="G125" s="12">
        <f t="shared" si="26"/>
        <v>0</v>
      </c>
      <c r="H125" s="32"/>
      <c r="I125" s="38" t="s">
        <v>59</v>
      </c>
      <c r="J125" s="17">
        <v>40</v>
      </c>
      <c r="K125" s="17">
        <v>50</v>
      </c>
      <c r="L125" s="16">
        <f t="shared" si="27"/>
        <v>90</v>
      </c>
      <c r="M125" s="17">
        <v>40</v>
      </c>
      <c r="N125" s="17">
        <v>60</v>
      </c>
      <c r="O125" s="16">
        <f t="shared" si="28"/>
        <v>100</v>
      </c>
      <c r="P125" s="36">
        <v>46115</v>
      </c>
    </row>
    <row r="126" spans="1:16" x14ac:dyDescent="0.15">
      <c r="A126" s="9"/>
      <c r="B126" s="8"/>
      <c r="C126" s="8"/>
      <c r="D126" s="12">
        <f t="shared" si="25"/>
        <v>0</v>
      </c>
      <c r="E126" s="8"/>
      <c r="F126" s="8"/>
      <c r="G126" s="12">
        <f t="shared" si="26"/>
        <v>0</v>
      </c>
      <c r="H126" s="32"/>
      <c r="I126" s="9"/>
      <c r="J126" s="8"/>
      <c r="K126" s="8"/>
      <c r="L126" s="12">
        <f t="shared" si="27"/>
        <v>0</v>
      </c>
      <c r="M126" s="8"/>
      <c r="N126" s="8"/>
      <c r="O126" s="12">
        <f t="shared" si="28"/>
        <v>0</v>
      </c>
    </row>
    <row r="127" spans="1:16" x14ac:dyDescent="0.15">
      <c r="A127" s="9"/>
      <c r="B127" s="8"/>
      <c r="C127" s="8"/>
      <c r="D127" s="12">
        <f t="shared" si="25"/>
        <v>0</v>
      </c>
      <c r="E127" s="8"/>
      <c r="F127" s="8"/>
      <c r="G127" s="12">
        <f t="shared" si="26"/>
        <v>0</v>
      </c>
      <c r="H127" s="32"/>
      <c r="I127" s="9"/>
      <c r="J127" s="8"/>
      <c r="K127" s="8"/>
      <c r="L127" s="12">
        <f t="shared" si="27"/>
        <v>0</v>
      </c>
      <c r="M127" s="8"/>
      <c r="N127" s="8"/>
      <c r="O127" s="12">
        <f t="shared" si="28"/>
        <v>0</v>
      </c>
    </row>
    <row r="128" spans="1:16" x14ac:dyDescent="0.15">
      <c r="A128" s="9"/>
      <c r="B128" s="8"/>
      <c r="C128" s="8"/>
      <c r="D128" s="12">
        <f t="shared" si="25"/>
        <v>0</v>
      </c>
      <c r="E128" s="8"/>
      <c r="F128" s="8"/>
      <c r="G128" s="12">
        <f t="shared" si="26"/>
        <v>0</v>
      </c>
      <c r="H128" s="32"/>
      <c r="I128" s="9"/>
      <c r="J128" s="8"/>
      <c r="K128" s="8"/>
      <c r="L128" s="12">
        <f t="shared" si="27"/>
        <v>0</v>
      </c>
      <c r="M128" s="8"/>
      <c r="N128" s="8"/>
      <c r="O128" s="12">
        <f t="shared" si="28"/>
        <v>0</v>
      </c>
    </row>
    <row r="129" spans="1:15" x14ac:dyDescent="0.15">
      <c r="A129" s="9"/>
      <c r="B129" s="8"/>
      <c r="C129" s="8"/>
      <c r="D129" s="12">
        <f t="shared" si="25"/>
        <v>0</v>
      </c>
      <c r="E129" s="8"/>
      <c r="F129" s="8"/>
      <c r="G129" s="12">
        <f t="shared" si="26"/>
        <v>0</v>
      </c>
      <c r="H129" s="32"/>
      <c r="I129" s="9"/>
      <c r="J129" s="8"/>
      <c r="K129" s="8"/>
      <c r="L129" s="12">
        <f t="shared" si="27"/>
        <v>0</v>
      </c>
      <c r="M129" s="8"/>
      <c r="N129" s="8"/>
      <c r="O129" s="12">
        <f t="shared" si="28"/>
        <v>0</v>
      </c>
    </row>
    <row r="130" spans="1:15" x14ac:dyDescent="0.15">
      <c r="A130" s="9"/>
      <c r="B130" s="8"/>
      <c r="C130" s="8"/>
      <c r="D130" s="12">
        <f t="shared" si="25"/>
        <v>0</v>
      </c>
      <c r="E130" s="8"/>
      <c r="F130" s="8"/>
      <c r="G130" s="12">
        <f t="shared" si="26"/>
        <v>0</v>
      </c>
      <c r="H130" s="32"/>
      <c r="I130" s="9"/>
      <c r="J130" s="8"/>
      <c r="K130" s="8"/>
      <c r="L130" s="12">
        <f t="shared" si="27"/>
        <v>0</v>
      </c>
      <c r="M130" s="8"/>
      <c r="N130" s="8"/>
      <c r="O130" s="12">
        <f t="shared" si="28"/>
        <v>0</v>
      </c>
    </row>
    <row r="131" spans="1:15" x14ac:dyDescent="0.15">
      <c r="A131" s="9"/>
      <c r="B131" s="8"/>
      <c r="C131" s="8"/>
      <c r="D131" s="12">
        <f t="shared" si="25"/>
        <v>0</v>
      </c>
      <c r="E131" s="8"/>
      <c r="F131" s="8"/>
      <c r="G131" s="12">
        <f t="shared" si="26"/>
        <v>0</v>
      </c>
      <c r="H131" s="32"/>
      <c r="I131" s="9"/>
      <c r="J131" s="8"/>
      <c r="K131" s="8"/>
      <c r="L131" s="12">
        <f t="shared" si="27"/>
        <v>0</v>
      </c>
      <c r="M131" s="8"/>
      <c r="N131" s="8"/>
      <c r="O131" s="12">
        <f t="shared" si="28"/>
        <v>0</v>
      </c>
    </row>
    <row r="132" spans="1:15" x14ac:dyDescent="0.15">
      <c r="A132" s="9"/>
      <c r="B132" s="8"/>
      <c r="C132" s="8"/>
      <c r="D132" s="12">
        <f t="shared" si="25"/>
        <v>0</v>
      </c>
      <c r="E132" s="8"/>
      <c r="F132" s="8"/>
      <c r="G132" s="12">
        <f t="shared" si="26"/>
        <v>0</v>
      </c>
      <c r="H132" s="32"/>
      <c r="I132" s="9"/>
      <c r="J132" s="8"/>
      <c r="K132" s="8"/>
      <c r="L132" s="12">
        <f t="shared" si="27"/>
        <v>0</v>
      </c>
      <c r="M132" s="8"/>
      <c r="N132" s="8"/>
      <c r="O132" s="12">
        <f t="shared" si="28"/>
        <v>0</v>
      </c>
    </row>
    <row r="133" spans="1:15" x14ac:dyDescent="0.15">
      <c r="A133" s="9"/>
      <c r="B133" s="8"/>
      <c r="C133" s="8"/>
      <c r="D133" s="12">
        <f t="shared" si="25"/>
        <v>0</v>
      </c>
      <c r="E133" s="8"/>
      <c r="F133" s="8"/>
      <c r="G133" s="12">
        <f t="shared" si="26"/>
        <v>0</v>
      </c>
      <c r="H133" s="32"/>
      <c r="I133" s="9"/>
      <c r="J133" s="8"/>
      <c r="K133" s="8"/>
      <c r="L133" s="12">
        <f t="shared" si="27"/>
        <v>0</v>
      </c>
      <c r="M133" s="8"/>
      <c r="N133" s="8"/>
      <c r="O133" s="12">
        <f t="shared" si="28"/>
        <v>0</v>
      </c>
    </row>
    <row r="134" spans="1:15" x14ac:dyDescent="0.15">
      <c r="A134" s="9"/>
      <c r="B134" s="8"/>
      <c r="C134" s="8"/>
      <c r="D134" s="12">
        <f t="shared" si="25"/>
        <v>0</v>
      </c>
      <c r="E134" s="8"/>
      <c r="F134" s="8"/>
      <c r="G134" s="12">
        <f t="shared" si="26"/>
        <v>0</v>
      </c>
      <c r="H134" s="32"/>
      <c r="I134" s="9"/>
      <c r="J134" s="8"/>
      <c r="K134" s="8"/>
      <c r="L134" s="12">
        <f t="shared" si="27"/>
        <v>0</v>
      </c>
      <c r="M134" s="8"/>
      <c r="N134" s="8"/>
      <c r="O134" s="12">
        <f t="shared" si="28"/>
        <v>0</v>
      </c>
    </row>
    <row r="135" spans="1:15" x14ac:dyDescent="0.15">
      <c r="A135" s="9"/>
      <c r="B135" s="8"/>
      <c r="C135" s="8"/>
      <c r="D135" s="12">
        <f t="shared" si="25"/>
        <v>0</v>
      </c>
      <c r="E135" s="8"/>
      <c r="F135" s="8"/>
      <c r="G135" s="12">
        <f t="shared" si="26"/>
        <v>0</v>
      </c>
      <c r="H135" s="32"/>
      <c r="I135" s="9"/>
      <c r="J135" s="8"/>
      <c r="K135" s="8"/>
      <c r="L135" s="12">
        <f t="shared" si="27"/>
        <v>0</v>
      </c>
      <c r="M135" s="8"/>
      <c r="N135" s="8"/>
      <c r="O135" s="12">
        <f t="shared" si="28"/>
        <v>0</v>
      </c>
    </row>
    <row r="136" spans="1:15" x14ac:dyDescent="0.15">
      <c r="A136" s="9"/>
      <c r="B136" s="8"/>
      <c r="C136" s="8"/>
      <c r="D136" s="12">
        <f t="shared" si="25"/>
        <v>0</v>
      </c>
      <c r="E136" s="8"/>
      <c r="F136" s="8"/>
      <c r="G136" s="12">
        <f t="shared" si="26"/>
        <v>0</v>
      </c>
      <c r="H136" s="32"/>
      <c r="I136" s="9"/>
      <c r="J136" s="8"/>
      <c r="K136" s="8"/>
      <c r="L136" s="12">
        <f t="shared" si="27"/>
        <v>0</v>
      </c>
      <c r="M136" s="8"/>
      <c r="N136" s="8"/>
      <c r="O136" s="12">
        <f t="shared" si="28"/>
        <v>0</v>
      </c>
    </row>
    <row r="137" spans="1:15" x14ac:dyDescent="0.15">
      <c r="A137" s="9"/>
      <c r="B137" s="8"/>
      <c r="C137" s="8"/>
      <c r="D137" s="12">
        <f t="shared" si="25"/>
        <v>0</v>
      </c>
      <c r="E137" s="8"/>
      <c r="F137" s="8"/>
      <c r="G137" s="12">
        <f t="shared" si="26"/>
        <v>0</v>
      </c>
      <c r="H137" s="32"/>
      <c r="I137" s="9"/>
      <c r="J137" s="8"/>
      <c r="K137" s="8"/>
      <c r="L137" s="12">
        <f t="shared" si="27"/>
        <v>0</v>
      </c>
      <c r="M137" s="8"/>
      <c r="N137" s="8"/>
      <c r="O137" s="12">
        <f t="shared" si="28"/>
        <v>0</v>
      </c>
    </row>
    <row r="138" spans="1:15" x14ac:dyDescent="0.15">
      <c r="A138" s="9"/>
      <c r="B138" s="8"/>
      <c r="C138" s="8"/>
      <c r="D138" s="12">
        <f t="shared" si="25"/>
        <v>0</v>
      </c>
      <c r="E138" s="8"/>
      <c r="F138" s="8"/>
      <c r="G138" s="12">
        <f t="shared" si="26"/>
        <v>0</v>
      </c>
      <c r="H138" s="32"/>
      <c r="I138" s="9"/>
      <c r="J138" s="8"/>
      <c r="K138" s="8"/>
      <c r="L138" s="12">
        <f t="shared" si="27"/>
        <v>0</v>
      </c>
      <c r="M138" s="8"/>
      <c r="N138" s="8"/>
      <c r="O138" s="12">
        <f t="shared" si="28"/>
        <v>0</v>
      </c>
    </row>
    <row r="139" spans="1:15" x14ac:dyDescent="0.15">
      <c r="A139" s="4"/>
      <c r="B139" s="8"/>
      <c r="C139" s="8"/>
      <c r="D139" s="12">
        <f t="shared" si="25"/>
        <v>0</v>
      </c>
      <c r="E139" s="8"/>
      <c r="F139" s="8"/>
      <c r="G139" s="12">
        <f t="shared" si="26"/>
        <v>0</v>
      </c>
      <c r="H139" s="32"/>
      <c r="I139" s="4"/>
      <c r="J139" s="8"/>
      <c r="K139" s="8"/>
      <c r="L139" s="12">
        <f t="shared" si="27"/>
        <v>0</v>
      </c>
      <c r="M139" s="8"/>
      <c r="N139" s="8"/>
      <c r="O139" s="12">
        <f t="shared" si="28"/>
        <v>0</v>
      </c>
    </row>
    <row r="140" spans="1:15" x14ac:dyDescent="0.15">
      <c r="A140" s="5"/>
      <c r="B140" s="8"/>
      <c r="C140" s="8"/>
      <c r="D140" s="12">
        <f t="shared" si="25"/>
        <v>0</v>
      </c>
      <c r="E140" s="8"/>
      <c r="F140" s="8"/>
      <c r="G140" s="12">
        <f t="shared" si="26"/>
        <v>0</v>
      </c>
      <c r="H140" s="32"/>
      <c r="I140" s="5"/>
      <c r="J140" s="8"/>
      <c r="K140" s="8"/>
      <c r="L140" s="12">
        <f t="shared" si="27"/>
        <v>0</v>
      </c>
      <c r="M140" s="8"/>
      <c r="N140" s="8"/>
      <c r="O140" s="12">
        <f t="shared" si="28"/>
        <v>0</v>
      </c>
    </row>
    <row r="141" spans="1:15" x14ac:dyDescent="0.15">
      <c r="A141" s="4"/>
      <c r="B141" s="8"/>
      <c r="C141" s="8"/>
      <c r="D141" s="12">
        <f t="shared" si="25"/>
        <v>0</v>
      </c>
      <c r="E141" s="8"/>
      <c r="F141" s="8"/>
      <c r="G141" s="12">
        <f t="shared" si="26"/>
        <v>0</v>
      </c>
      <c r="H141" s="32"/>
      <c r="I141" s="4"/>
      <c r="J141" s="8"/>
      <c r="K141" s="8"/>
      <c r="L141" s="12">
        <f t="shared" si="27"/>
        <v>0</v>
      </c>
      <c r="M141" s="8"/>
      <c r="N141" s="8"/>
      <c r="O141" s="12">
        <f t="shared" si="28"/>
        <v>0</v>
      </c>
    </row>
    <row r="142" spans="1:15" x14ac:dyDescent="0.15">
      <c r="A142" s="9"/>
      <c r="B142" s="8"/>
      <c r="C142" s="8"/>
      <c r="D142" s="12">
        <f t="shared" si="25"/>
        <v>0</v>
      </c>
      <c r="E142" s="8"/>
      <c r="F142" s="8"/>
      <c r="G142" s="12">
        <f t="shared" si="26"/>
        <v>0</v>
      </c>
      <c r="H142" s="32"/>
      <c r="I142" s="9"/>
      <c r="J142" s="8"/>
      <c r="K142" s="8"/>
      <c r="L142" s="12">
        <f t="shared" si="27"/>
        <v>0</v>
      </c>
      <c r="M142" s="8"/>
      <c r="N142" s="8"/>
      <c r="O142" s="12">
        <f t="shared" si="28"/>
        <v>0</v>
      </c>
    </row>
    <row r="143" spans="1:15" x14ac:dyDescent="0.15">
      <c r="A143" s="4"/>
      <c r="B143" s="8"/>
      <c r="C143" s="8"/>
      <c r="D143" s="12">
        <f t="shared" si="25"/>
        <v>0</v>
      </c>
      <c r="E143" s="8"/>
      <c r="F143" s="8"/>
      <c r="G143" s="12">
        <f t="shared" si="26"/>
        <v>0</v>
      </c>
      <c r="H143" s="32"/>
      <c r="I143" s="4"/>
      <c r="J143" s="8"/>
      <c r="K143" s="8"/>
      <c r="L143" s="12">
        <f t="shared" si="27"/>
        <v>0</v>
      </c>
      <c r="M143" s="8"/>
      <c r="N143" s="8"/>
      <c r="O143" s="12">
        <f t="shared" si="28"/>
        <v>0</v>
      </c>
    </row>
    <row r="144" spans="1:15" x14ac:dyDescent="0.15">
      <c r="A144" s="10"/>
      <c r="B144" s="8"/>
      <c r="C144" s="8"/>
      <c r="D144" s="12">
        <f t="shared" si="25"/>
        <v>0</v>
      </c>
      <c r="E144" s="8"/>
      <c r="F144" s="8"/>
      <c r="G144" s="12">
        <f t="shared" si="26"/>
        <v>0</v>
      </c>
      <c r="H144" s="32"/>
      <c r="I144" s="10"/>
      <c r="J144" s="8"/>
      <c r="K144" s="8"/>
      <c r="L144" s="12">
        <f t="shared" si="27"/>
        <v>0</v>
      </c>
      <c r="M144" s="8"/>
      <c r="N144" s="8"/>
      <c r="O144" s="12">
        <f t="shared" si="28"/>
        <v>0</v>
      </c>
    </row>
    <row r="145" spans="1:16" x14ac:dyDescent="0.15">
      <c r="A145" s="4"/>
      <c r="B145" s="8"/>
      <c r="C145" s="8"/>
      <c r="D145" s="12">
        <f t="shared" si="25"/>
        <v>0</v>
      </c>
      <c r="E145" s="8"/>
      <c r="F145" s="8"/>
      <c r="G145" s="12">
        <f t="shared" si="26"/>
        <v>0</v>
      </c>
      <c r="H145" s="32"/>
      <c r="I145" s="4"/>
      <c r="J145" s="8"/>
      <c r="K145" s="8"/>
      <c r="L145" s="12">
        <f t="shared" si="27"/>
        <v>0</v>
      </c>
      <c r="M145" s="8"/>
      <c r="N145" s="8"/>
      <c r="O145" s="12">
        <f t="shared" si="28"/>
        <v>0</v>
      </c>
    </row>
    <row r="146" spans="1:16" x14ac:dyDescent="0.15">
      <c r="A146" s="6"/>
      <c r="B146" s="8"/>
      <c r="C146" s="8"/>
      <c r="D146" s="12">
        <f t="shared" si="25"/>
        <v>0</v>
      </c>
      <c r="E146" s="8"/>
      <c r="F146" s="8"/>
      <c r="G146" s="12">
        <f t="shared" si="26"/>
        <v>0</v>
      </c>
      <c r="H146" s="30"/>
      <c r="I146" s="5"/>
      <c r="J146" s="8"/>
      <c r="K146" s="8"/>
      <c r="L146" s="12">
        <f t="shared" si="27"/>
        <v>0</v>
      </c>
      <c r="M146" s="8"/>
      <c r="N146" s="8"/>
      <c r="O146" s="12">
        <f t="shared" si="28"/>
        <v>0</v>
      </c>
    </row>
    <row r="147" spans="1:16" x14ac:dyDescent="0.15">
      <c r="A147" s="10"/>
      <c r="B147" s="8"/>
      <c r="C147" s="8"/>
      <c r="D147" s="12">
        <f t="shared" si="25"/>
        <v>0</v>
      </c>
      <c r="E147" s="8"/>
      <c r="F147" s="8"/>
      <c r="G147" s="12">
        <f t="shared" si="26"/>
        <v>0</v>
      </c>
      <c r="H147" s="30"/>
      <c r="I147" s="3" t="s">
        <v>40</v>
      </c>
      <c r="J147" s="40"/>
      <c r="K147" s="40"/>
      <c r="L147" s="41">
        <f t="shared" si="27"/>
        <v>0</v>
      </c>
      <c r="M147" s="40"/>
      <c r="N147" s="40"/>
      <c r="O147" s="41">
        <f t="shared" si="28"/>
        <v>0</v>
      </c>
      <c r="P147" s="39"/>
    </row>
    <row r="148" spans="1:16" ht="14.25" thickBot="1" x14ac:dyDescent="0.2">
      <c r="A148" s="19"/>
      <c r="B148" s="18"/>
      <c r="C148" s="18"/>
      <c r="D148" s="14">
        <f t="shared" si="25"/>
        <v>0</v>
      </c>
      <c r="E148" s="18"/>
      <c r="F148" s="18"/>
      <c r="G148" s="14">
        <f t="shared" si="26"/>
        <v>0</v>
      </c>
      <c r="H148" s="30"/>
      <c r="I148" s="37" t="s">
        <v>47</v>
      </c>
      <c r="J148" s="8"/>
      <c r="K148" s="8"/>
      <c r="L148" s="12">
        <f t="shared" si="27"/>
        <v>0</v>
      </c>
      <c r="M148" s="8"/>
      <c r="N148" s="8"/>
      <c r="O148" s="12">
        <f t="shared" si="28"/>
        <v>0</v>
      </c>
      <c r="P148" s="39" t="s">
        <v>48</v>
      </c>
    </row>
    <row r="149" spans="1:16" ht="14.25" thickBot="1" x14ac:dyDescent="0.2">
      <c r="A149" s="1" t="s">
        <v>3</v>
      </c>
      <c r="B149" s="13">
        <f>SUM(B125:B148)</f>
        <v>0</v>
      </c>
      <c r="C149" s="13">
        <f>SUM(C125:C148)</f>
        <v>0</v>
      </c>
      <c r="D149" s="13">
        <f t="shared" si="25"/>
        <v>0</v>
      </c>
      <c r="E149" s="13">
        <f>SUM(E125:E148)</f>
        <v>0</v>
      </c>
      <c r="F149" s="13">
        <f>SUM(F125:F148)</f>
        <v>0</v>
      </c>
      <c r="G149" s="13">
        <f t="shared" si="26"/>
        <v>0</v>
      </c>
      <c r="H149" s="30"/>
      <c r="I149" s="1" t="s">
        <v>3</v>
      </c>
      <c r="J149" s="13">
        <f>SUM(J125:J148)</f>
        <v>40</v>
      </c>
      <c r="K149" s="13">
        <f>SUM(K125:K148)</f>
        <v>50</v>
      </c>
      <c r="L149" s="13">
        <f t="shared" si="27"/>
        <v>90</v>
      </c>
      <c r="M149" s="13">
        <f>SUM(M125:M148)</f>
        <v>40</v>
      </c>
      <c r="N149" s="13">
        <f>SUM(N125:N148)</f>
        <v>60</v>
      </c>
      <c r="O149" s="13">
        <f t="shared" si="28"/>
        <v>100</v>
      </c>
    </row>
    <row r="150" spans="1:16" ht="14.25" thickBot="1" x14ac:dyDescent="0.2">
      <c r="A150" s="20" t="s">
        <v>4</v>
      </c>
      <c r="B150" s="21">
        <f>B124-B149</f>
        <v>8</v>
      </c>
      <c r="C150" s="21">
        <f>C124-C149</f>
        <v>7</v>
      </c>
      <c r="D150" s="27">
        <f t="shared" si="25"/>
        <v>15</v>
      </c>
      <c r="E150" s="27">
        <f>E124-E149</f>
        <v>7</v>
      </c>
      <c r="F150" s="27">
        <f>F124-F149</f>
        <v>9</v>
      </c>
      <c r="G150" s="27">
        <f t="shared" si="26"/>
        <v>16</v>
      </c>
      <c r="H150" s="33"/>
      <c r="I150" s="20" t="s">
        <v>4</v>
      </c>
      <c r="J150" s="21">
        <f>J124-J149</f>
        <v>341</v>
      </c>
      <c r="K150" s="21">
        <f>K124-K149</f>
        <v>437</v>
      </c>
      <c r="L150" s="27">
        <f t="shared" si="27"/>
        <v>778</v>
      </c>
      <c r="M150" s="21">
        <f>M124-M149</f>
        <v>339</v>
      </c>
      <c r="N150" s="21">
        <f>N124-N149</f>
        <v>271</v>
      </c>
      <c r="O150" s="27">
        <f t="shared" si="28"/>
        <v>610</v>
      </c>
      <c r="P150" s="53" t="s">
        <v>55</v>
      </c>
    </row>
    <row r="151" spans="1:16" x14ac:dyDescent="0.15">
      <c r="I151" s="55" t="s">
        <v>61</v>
      </c>
      <c r="J151">
        <v>187</v>
      </c>
      <c r="K151">
        <v>152</v>
      </c>
      <c r="L151" s="56">
        <f>SUM(J151:K151)</f>
        <v>339</v>
      </c>
      <c r="M151">
        <v>187</v>
      </c>
      <c r="N151">
        <v>152</v>
      </c>
      <c r="O151" s="56">
        <f>SUM(M151:N151)</f>
        <v>339</v>
      </c>
    </row>
    <row r="153" spans="1:16" ht="19.5" thickBot="1" x14ac:dyDescent="0.25">
      <c r="A153" s="25" t="s">
        <v>10</v>
      </c>
      <c r="B153" s="26"/>
      <c r="C153" s="26"/>
      <c r="D153" s="26"/>
      <c r="E153" s="26"/>
      <c r="F153" s="26"/>
      <c r="G153" s="26"/>
      <c r="H153" s="30"/>
      <c r="I153" s="28" t="s">
        <v>11</v>
      </c>
      <c r="J153" s="29"/>
      <c r="K153" s="29"/>
      <c r="L153" s="29"/>
      <c r="M153" s="29"/>
      <c r="N153" s="29" t="s">
        <v>19</v>
      </c>
      <c r="O153" s="29"/>
    </row>
    <row r="154" spans="1:16" ht="14.25" thickBot="1" x14ac:dyDescent="0.2">
      <c r="A154" s="35" t="s">
        <v>14</v>
      </c>
      <c r="B154" s="69" t="s">
        <v>8</v>
      </c>
      <c r="C154" s="70"/>
      <c r="D154" s="71"/>
      <c r="E154" s="72" t="s">
        <v>9</v>
      </c>
      <c r="F154" s="73"/>
      <c r="G154" s="74"/>
      <c r="H154" s="30"/>
      <c r="I154" s="35" t="s">
        <v>14</v>
      </c>
      <c r="J154" s="69" t="s">
        <v>8</v>
      </c>
      <c r="K154" s="70"/>
      <c r="L154" s="71"/>
      <c r="M154" s="72" t="s">
        <v>9</v>
      </c>
      <c r="N154" s="73"/>
      <c r="O154" s="74"/>
    </row>
    <row r="155" spans="1:16" ht="14.25" thickBot="1" x14ac:dyDescent="0.2">
      <c r="A155" s="35" t="s">
        <v>15</v>
      </c>
      <c r="B155" s="1" t="s">
        <v>6</v>
      </c>
      <c r="C155" s="1" t="s">
        <v>7</v>
      </c>
      <c r="D155" s="1" t="s">
        <v>0</v>
      </c>
      <c r="E155" s="1" t="s">
        <v>6</v>
      </c>
      <c r="F155" s="1" t="s">
        <v>7</v>
      </c>
      <c r="G155" s="1" t="s">
        <v>0</v>
      </c>
      <c r="H155" s="31"/>
      <c r="I155" s="35" t="s">
        <v>15</v>
      </c>
      <c r="J155" s="1" t="s">
        <v>6</v>
      </c>
      <c r="K155" s="1" t="s">
        <v>7</v>
      </c>
      <c r="L155" s="1" t="s">
        <v>0</v>
      </c>
      <c r="M155" s="1" t="s">
        <v>6</v>
      </c>
      <c r="N155" s="1" t="s">
        <v>7</v>
      </c>
      <c r="O155" s="1" t="s">
        <v>0</v>
      </c>
    </row>
    <row r="156" spans="1:16" x14ac:dyDescent="0.15">
      <c r="A156" s="11" t="s">
        <v>4</v>
      </c>
      <c r="B156" s="23">
        <f>B150</f>
        <v>8</v>
      </c>
      <c r="C156" s="23">
        <f>C150</f>
        <v>7</v>
      </c>
      <c r="D156" s="24">
        <f>B156+C156</f>
        <v>15</v>
      </c>
      <c r="E156" s="23">
        <f>E150</f>
        <v>7</v>
      </c>
      <c r="F156" s="23">
        <f>F150</f>
        <v>9</v>
      </c>
      <c r="G156" s="24">
        <f>E156+F156</f>
        <v>16</v>
      </c>
      <c r="H156" s="30"/>
      <c r="I156" s="11" t="s">
        <v>4</v>
      </c>
      <c r="J156" s="23">
        <f>J150</f>
        <v>341</v>
      </c>
      <c r="K156" s="23">
        <f>K150</f>
        <v>437</v>
      </c>
      <c r="L156" s="24">
        <f>J156+K156</f>
        <v>778</v>
      </c>
      <c r="M156" s="23">
        <f>M150</f>
        <v>339</v>
      </c>
      <c r="N156" s="23">
        <f>N150</f>
        <v>271</v>
      </c>
      <c r="O156" s="24">
        <f>M156+N156</f>
        <v>610</v>
      </c>
    </row>
    <row r="157" spans="1:16" x14ac:dyDescent="0.15">
      <c r="A157" s="2" t="s">
        <v>1</v>
      </c>
      <c r="B157" s="8"/>
      <c r="C157" s="8"/>
      <c r="D157" s="12">
        <f t="shared" ref="D157:D188" si="29">B157+C157</f>
        <v>0</v>
      </c>
      <c r="E157" s="8"/>
      <c r="F157" s="8"/>
      <c r="G157" s="12">
        <f t="shared" ref="G157:G188" si="30">E157+F157</f>
        <v>0</v>
      </c>
      <c r="H157" s="32"/>
      <c r="I157" s="2" t="s">
        <v>1</v>
      </c>
      <c r="J157" s="8"/>
      <c r="K157" s="8"/>
      <c r="L157" s="12">
        <f t="shared" ref="L157:L188" si="31">J157+K157</f>
        <v>0</v>
      </c>
      <c r="M157" s="8"/>
      <c r="N157" s="8"/>
      <c r="O157" s="12">
        <f t="shared" ref="O157:O188" si="32">M157+N157</f>
        <v>0</v>
      </c>
    </row>
    <row r="158" spans="1:16" x14ac:dyDescent="0.15">
      <c r="A158" s="2" t="s">
        <v>1</v>
      </c>
      <c r="B158" s="8"/>
      <c r="C158" s="8"/>
      <c r="D158" s="12">
        <f t="shared" si="29"/>
        <v>0</v>
      </c>
      <c r="E158" s="8"/>
      <c r="F158" s="8"/>
      <c r="G158" s="12">
        <f t="shared" si="30"/>
        <v>0</v>
      </c>
      <c r="H158" s="32"/>
      <c r="I158" s="2" t="s">
        <v>1</v>
      </c>
      <c r="J158" s="8"/>
      <c r="K158" s="8"/>
      <c r="L158" s="12">
        <f t="shared" si="31"/>
        <v>0</v>
      </c>
      <c r="M158" s="8"/>
      <c r="N158" s="8"/>
      <c r="O158" s="12">
        <f t="shared" si="32"/>
        <v>0</v>
      </c>
    </row>
    <row r="159" spans="1:16" x14ac:dyDescent="0.15">
      <c r="A159" s="2" t="s">
        <v>1</v>
      </c>
      <c r="B159" s="8"/>
      <c r="C159" s="8"/>
      <c r="D159" s="12">
        <f t="shared" si="29"/>
        <v>0</v>
      </c>
      <c r="E159" s="8"/>
      <c r="F159" s="8"/>
      <c r="G159" s="12">
        <f t="shared" si="30"/>
        <v>0</v>
      </c>
      <c r="H159" s="32"/>
      <c r="I159" s="2" t="s">
        <v>1</v>
      </c>
      <c r="J159" s="8"/>
      <c r="K159" s="8"/>
      <c r="L159" s="12">
        <f t="shared" si="31"/>
        <v>0</v>
      </c>
      <c r="M159" s="8"/>
      <c r="N159" s="8"/>
      <c r="O159" s="12">
        <f t="shared" si="32"/>
        <v>0</v>
      </c>
    </row>
    <row r="160" spans="1:16" x14ac:dyDescent="0.15">
      <c r="A160" s="2" t="s">
        <v>1</v>
      </c>
      <c r="B160" s="8"/>
      <c r="C160" s="8"/>
      <c r="D160" s="12">
        <f t="shared" si="29"/>
        <v>0</v>
      </c>
      <c r="E160" s="8"/>
      <c r="F160" s="8"/>
      <c r="G160" s="12">
        <f t="shared" si="30"/>
        <v>0</v>
      </c>
      <c r="H160" s="32"/>
      <c r="I160" s="2" t="s">
        <v>1</v>
      </c>
      <c r="J160" s="8"/>
      <c r="K160" s="8"/>
      <c r="L160" s="12">
        <f t="shared" si="31"/>
        <v>0</v>
      </c>
      <c r="M160" s="8"/>
      <c r="N160" s="8"/>
      <c r="O160" s="12">
        <f t="shared" si="32"/>
        <v>0</v>
      </c>
    </row>
    <row r="161" spans="1:16" ht="14.25" thickBot="1" x14ac:dyDescent="0.2">
      <c r="A161" s="3" t="s">
        <v>1</v>
      </c>
      <c r="B161" s="18"/>
      <c r="C161" s="18"/>
      <c r="D161" s="14">
        <f t="shared" si="29"/>
        <v>0</v>
      </c>
      <c r="E161" s="18"/>
      <c r="F161" s="18"/>
      <c r="G161" s="14">
        <f t="shared" si="30"/>
        <v>0</v>
      </c>
      <c r="H161" s="32"/>
      <c r="I161" s="2" t="s">
        <v>1</v>
      </c>
      <c r="J161" s="8"/>
      <c r="K161" s="8"/>
      <c r="L161" s="12">
        <f t="shared" si="31"/>
        <v>0</v>
      </c>
      <c r="M161" s="8"/>
      <c r="N161" s="8"/>
      <c r="O161" s="12">
        <f t="shared" si="32"/>
        <v>0</v>
      </c>
    </row>
    <row r="162" spans="1:16" ht="14.25" thickBot="1" x14ac:dyDescent="0.2">
      <c r="A162" s="7" t="s">
        <v>2</v>
      </c>
      <c r="B162" s="15">
        <f>SUM(B156:B161)</f>
        <v>8</v>
      </c>
      <c r="C162" s="15">
        <f>SUM(C156:C161)</f>
        <v>7</v>
      </c>
      <c r="D162" s="22">
        <f t="shared" si="29"/>
        <v>15</v>
      </c>
      <c r="E162" s="15">
        <f>SUM(E156:E161)</f>
        <v>7</v>
      </c>
      <c r="F162" s="15">
        <f>SUM(F156:F161)</f>
        <v>9</v>
      </c>
      <c r="G162" s="22">
        <f t="shared" si="30"/>
        <v>16</v>
      </c>
      <c r="H162" s="33"/>
      <c r="I162" s="7" t="s">
        <v>32</v>
      </c>
      <c r="J162" s="15">
        <f>SUM(J156:J161)</f>
        <v>341</v>
      </c>
      <c r="K162" s="15">
        <f>SUM(K156:K161)</f>
        <v>437</v>
      </c>
      <c r="L162" s="22">
        <f t="shared" si="31"/>
        <v>778</v>
      </c>
      <c r="M162" s="15">
        <f>SUM(M156:M161)</f>
        <v>339</v>
      </c>
      <c r="N162" s="15">
        <f>SUM(N156:N161)</f>
        <v>271</v>
      </c>
      <c r="O162" s="22">
        <f t="shared" si="32"/>
        <v>610</v>
      </c>
    </row>
    <row r="163" spans="1:16" x14ac:dyDescent="0.15">
      <c r="A163" s="4"/>
      <c r="B163" s="8"/>
      <c r="C163" s="8"/>
      <c r="D163" s="12">
        <f t="shared" si="29"/>
        <v>0</v>
      </c>
      <c r="E163" s="8"/>
      <c r="F163" s="8"/>
      <c r="G163" s="12">
        <f t="shared" si="30"/>
        <v>0</v>
      </c>
      <c r="H163" s="32"/>
      <c r="I163" s="38"/>
      <c r="J163" s="17"/>
      <c r="K163" s="17"/>
      <c r="L163" s="16">
        <f t="shared" si="31"/>
        <v>0</v>
      </c>
      <c r="M163" s="17"/>
      <c r="N163" s="17"/>
      <c r="O163" s="16">
        <f t="shared" si="32"/>
        <v>0</v>
      </c>
      <c r="P163" s="36"/>
    </row>
    <row r="164" spans="1:16" x14ac:dyDescent="0.15">
      <c r="A164" s="9"/>
      <c r="B164" s="8"/>
      <c r="C164" s="8"/>
      <c r="D164" s="12">
        <f t="shared" si="29"/>
        <v>0</v>
      </c>
      <c r="E164" s="8"/>
      <c r="F164" s="8"/>
      <c r="G164" s="12">
        <f t="shared" si="30"/>
        <v>0</v>
      </c>
      <c r="H164" s="32"/>
      <c r="I164" s="9"/>
      <c r="J164" s="8"/>
      <c r="K164" s="8"/>
      <c r="L164" s="12">
        <f t="shared" si="31"/>
        <v>0</v>
      </c>
      <c r="M164" s="8"/>
      <c r="N164" s="8"/>
      <c r="O164" s="12">
        <f t="shared" si="32"/>
        <v>0</v>
      </c>
    </row>
    <row r="165" spans="1:16" x14ac:dyDescent="0.15">
      <c r="A165" s="9"/>
      <c r="B165" s="8"/>
      <c r="C165" s="8"/>
      <c r="D165" s="12">
        <f t="shared" si="29"/>
        <v>0</v>
      </c>
      <c r="E165" s="8"/>
      <c r="F165" s="8"/>
      <c r="G165" s="12">
        <f t="shared" si="30"/>
        <v>0</v>
      </c>
      <c r="H165" s="32"/>
      <c r="I165" s="9"/>
      <c r="J165" s="8"/>
      <c r="K165" s="8"/>
      <c r="L165" s="12">
        <f t="shared" si="31"/>
        <v>0</v>
      </c>
      <c r="M165" s="8"/>
      <c r="N165" s="8"/>
      <c r="O165" s="12">
        <f t="shared" si="32"/>
        <v>0</v>
      </c>
    </row>
    <row r="166" spans="1:16" x14ac:dyDescent="0.15">
      <c r="A166" s="9"/>
      <c r="B166" s="8"/>
      <c r="C166" s="8"/>
      <c r="D166" s="12">
        <f t="shared" si="29"/>
        <v>0</v>
      </c>
      <c r="E166" s="8"/>
      <c r="F166" s="8"/>
      <c r="G166" s="12">
        <f t="shared" si="30"/>
        <v>0</v>
      </c>
      <c r="H166" s="32"/>
      <c r="I166" s="9"/>
      <c r="J166" s="8"/>
      <c r="K166" s="8"/>
      <c r="L166" s="12">
        <f t="shared" si="31"/>
        <v>0</v>
      </c>
      <c r="M166" s="8"/>
      <c r="N166" s="8"/>
      <c r="O166" s="12">
        <f t="shared" si="32"/>
        <v>0</v>
      </c>
    </row>
    <row r="167" spans="1:16" x14ac:dyDescent="0.15">
      <c r="A167" s="9"/>
      <c r="B167" s="8"/>
      <c r="C167" s="8"/>
      <c r="D167" s="12">
        <f t="shared" si="29"/>
        <v>0</v>
      </c>
      <c r="E167" s="8"/>
      <c r="F167" s="8"/>
      <c r="G167" s="12">
        <f t="shared" si="30"/>
        <v>0</v>
      </c>
      <c r="H167" s="32"/>
      <c r="I167" s="9"/>
      <c r="J167" s="8"/>
      <c r="K167" s="8"/>
      <c r="L167" s="12">
        <f t="shared" si="31"/>
        <v>0</v>
      </c>
      <c r="M167" s="8"/>
      <c r="N167" s="8"/>
      <c r="O167" s="12">
        <f t="shared" si="32"/>
        <v>0</v>
      </c>
    </row>
    <row r="168" spans="1:16" x14ac:dyDescent="0.15">
      <c r="A168" s="9"/>
      <c r="B168" s="8"/>
      <c r="C168" s="8"/>
      <c r="D168" s="12">
        <f t="shared" si="29"/>
        <v>0</v>
      </c>
      <c r="E168" s="8"/>
      <c r="F168" s="8"/>
      <c r="G168" s="12">
        <f t="shared" si="30"/>
        <v>0</v>
      </c>
      <c r="H168" s="32"/>
      <c r="I168" s="9"/>
      <c r="J168" s="8"/>
      <c r="K168" s="8"/>
      <c r="L168" s="12">
        <f t="shared" si="31"/>
        <v>0</v>
      </c>
      <c r="M168" s="8"/>
      <c r="N168" s="8"/>
      <c r="O168" s="12">
        <f t="shared" si="32"/>
        <v>0</v>
      </c>
    </row>
    <row r="169" spans="1:16" x14ac:dyDescent="0.15">
      <c r="A169" s="9"/>
      <c r="B169" s="8"/>
      <c r="C169" s="8"/>
      <c r="D169" s="12">
        <f t="shared" si="29"/>
        <v>0</v>
      </c>
      <c r="E169" s="8"/>
      <c r="F169" s="8"/>
      <c r="G169" s="12">
        <f t="shared" si="30"/>
        <v>0</v>
      </c>
      <c r="H169" s="32"/>
      <c r="I169" s="9"/>
      <c r="J169" s="8"/>
      <c r="K169" s="8"/>
      <c r="L169" s="12">
        <f t="shared" si="31"/>
        <v>0</v>
      </c>
      <c r="M169" s="8"/>
      <c r="N169" s="8"/>
      <c r="O169" s="12">
        <f t="shared" si="32"/>
        <v>0</v>
      </c>
    </row>
    <row r="170" spans="1:16" x14ac:dyDescent="0.15">
      <c r="A170" s="9"/>
      <c r="B170" s="8"/>
      <c r="C170" s="8"/>
      <c r="D170" s="12">
        <f t="shared" si="29"/>
        <v>0</v>
      </c>
      <c r="E170" s="8"/>
      <c r="F170" s="8"/>
      <c r="G170" s="12">
        <f t="shared" si="30"/>
        <v>0</v>
      </c>
      <c r="H170" s="32"/>
      <c r="I170" s="9"/>
      <c r="J170" s="8"/>
      <c r="K170" s="8"/>
      <c r="L170" s="12">
        <f t="shared" si="31"/>
        <v>0</v>
      </c>
      <c r="M170" s="8"/>
      <c r="N170" s="8"/>
      <c r="O170" s="12">
        <f t="shared" si="32"/>
        <v>0</v>
      </c>
    </row>
    <row r="171" spans="1:16" x14ac:dyDescent="0.15">
      <c r="A171" s="9"/>
      <c r="B171" s="8"/>
      <c r="C171" s="8"/>
      <c r="D171" s="12">
        <f t="shared" si="29"/>
        <v>0</v>
      </c>
      <c r="E171" s="8"/>
      <c r="F171" s="8"/>
      <c r="G171" s="12">
        <f t="shared" si="30"/>
        <v>0</v>
      </c>
      <c r="H171" s="32"/>
      <c r="I171" s="9"/>
      <c r="J171" s="8"/>
      <c r="K171" s="8"/>
      <c r="L171" s="12">
        <f t="shared" si="31"/>
        <v>0</v>
      </c>
      <c r="M171" s="8"/>
      <c r="N171" s="8"/>
      <c r="O171" s="12">
        <f t="shared" si="32"/>
        <v>0</v>
      </c>
    </row>
    <row r="172" spans="1:16" x14ac:dyDescent="0.15">
      <c r="A172" s="9"/>
      <c r="B172" s="8"/>
      <c r="C172" s="8"/>
      <c r="D172" s="12">
        <f t="shared" si="29"/>
        <v>0</v>
      </c>
      <c r="E172" s="8"/>
      <c r="F172" s="8"/>
      <c r="G172" s="12">
        <f t="shared" si="30"/>
        <v>0</v>
      </c>
      <c r="H172" s="32"/>
      <c r="I172" s="9"/>
      <c r="J172" s="8"/>
      <c r="K172" s="8"/>
      <c r="L172" s="12">
        <f t="shared" si="31"/>
        <v>0</v>
      </c>
      <c r="M172" s="8"/>
      <c r="N172" s="8"/>
      <c r="O172" s="12">
        <f t="shared" si="32"/>
        <v>0</v>
      </c>
    </row>
    <row r="173" spans="1:16" x14ac:dyDescent="0.15">
      <c r="A173" s="9"/>
      <c r="B173" s="8"/>
      <c r="C173" s="8"/>
      <c r="D173" s="12">
        <f t="shared" si="29"/>
        <v>0</v>
      </c>
      <c r="E173" s="8"/>
      <c r="F173" s="8"/>
      <c r="G173" s="12">
        <f t="shared" si="30"/>
        <v>0</v>
      </c>
      <c r="H173" s="32"/>
      <c r="I173" s="9"/>
      <c r="J173" s="8"/>
      <c r="K173" s="8"/>
      <c r="L173" s="12">
        <f t="shared" si="31"/>
        <v>0</v>
      </c>
      <c r="M173" s="8"/>
      <c r="N173" s="8"/>
      <c r="O173" s="12">
        <f t="shared" si="32"/>
        <v>0</v>
      </c>
    </row>
    <row r="174" spans="1:16" x14ac:dyDescent="0.15">
      <c r="A174" s="9"/>
      <c r="B174" s="8"/>
      <c r="C174" s="8"/>
      <c r="D174" s="12">
        <f t="shared" si="29"/>
        <v>0</v>
      </c>
      <c r="E174" s="8"/>
      <c r="F174" s="8"/>
      <c r="G174" s="12">
        <f t="shared" si="30"/>
        <v>0</v>
      </c>
      <c r="H174" s="32"/>
      <c r="I174" s="9"/>
      <c r="J174" s="8"/>
      <c r="K174" s="8"/>
      <c r="L174" s="12">
        <f t="shared" si="31"/>
        <v>0</v>
      </c>
      <c r="M174" s="8"/>
      <c r="N174" s="8"/>
      <c r="O174" s="12">
        <f t="shared" si="32"/>
        <v>0</v>
      </c>
    </row>
    <row r="175" spans="1:16" x14ac:dyDescent="0.15">
      <c r="A175" s="9"/>
      <c r="B175" s="8"/>
      <c r="C175" s="8"/>
      <c r="D175" s="12">
        <f t="shared" si="29"/>
        <v>0</v>
      </c>
      <c r="E175" s="8"/>
      <c r="F175" s="8"/>
      <c r="G175" s="12">
        <f t="shared" si="30"/>
        <v>0</v>
      </c>
      <c r="H175" s="32"/>
      <c r="I175" s="9"/>
      <c r="J175" s="8"/>
      <c r="K175" s="8"/>
      <c r="L175" s="12">
        <f t="shared" si="31"/>
        <v>0</v>
      </c>
      <c r="M175" s="8"/>
      <c r="N175" s="8"/>
      <c r="O175" s="12">
        <f t="shared" si="32"/>
        <v>0</v>
      </c>
    </row>
    <row r="176" spans="1:16" x14ac:dyDescent="0.15">
      <c r="A176" s="9"/>
      <c r="B176" s="8"/>
      <c r="C176" s="8"/>
      <c r="D176" s="12">
        <f t="shared" si="29"/>
        <v>0</v>
      </c>
      <c r="E176" s="8"/>
      <c r="F176" s="8"/>
      <c r="G176" s="12">
        <f t="shared" si="30"/>
        <v>0</v>
      </c>
      <c r="H176" s="32"/>
      <c r="I176" s="9"/>
      <c r="J176" s="8"/>
      <c r="K176" s="8"/>
      <c r="L176" s="12">
        <f t="shared" si="31"/>
        <v>0</v>
      </c>
      <c r="M176" s="8"/>
      <c r="N176" s="8"/>
      <c r="O176" s="12">
        <f t="shared" si="32"/>
        <v>0</v>
      </c>
    </row>
    <row r="177" spans="1:16" x14ac:dyDescent="0.15">
      <c r="A177" s="4"/>
      <c r="B177" s="8"/>
      <c r="C177" s="8"/>
      <c r="D177" s="12">
        <f t="shared" si="29"/>
        <v>0</v>
      </c>
      <c r="E177" s="8"/>
      <c r="F177" s="8"/>
      <c r="G177" s="12">
        <f t="shared" si="30"/>
        <v>0</v>
      </c>
      <c r="H177" s="32"/>
      <c r="I177" s="4"/>
      <c r="J177" s="8"/>
      <c r="K177" s="8"/>
      <c r="L177" s="12">
        <f t="shared" si="31"/>
        <v>0</v>
      </c>
      <c r="M177" s="8"/>
      <c r="N177" s="8"/>
      <c r="O177" s="12">
        <f t="shared" si="32"/>
        <v>0</v>
      </c>
    </row>
    <row r="178" spans="1:16" x14ac:dyDescent="0.15">
      <c r="A178" s="5"/>
      <c r="B178" s="8"/>
      <c r="C178" s="8"/>
      <c r="D178" s="12">
        <f t="shared" si="29"/>
        <v>0</v>
      </c>
      <c r="E178" s="8"/>
      <c r="F178" s="8"/>
      <c r="G178" s="12">
        <f t="shared" si="30"/>
        <v>0</v>
      </c>
      <c r="H178" s="32"/>
      <c r="I178" s="5"/>
      <c r="J178" s="8"/>
      <c r="K178" s="8"/>
      <c r="L178" s="12">
        <f t="shared" si="31"/>
        <v>0</v>
      </c>
      <c r="M178" s="8"/>
      <c r="N178" s="8"/>
      <c r="O178" s="12">
        <f t="shared" si="32"/>
        <v>0</v>
      </c>
    </row>
    <row r="179" spans="1:16" x14ac:dyDescent="0.15">
      <c r="A179" s="4"/>
      <c r="B179" s="8"/>
      <c r="C179" s="8"/>
      <c r="D179" s="12">
        <f t="shared" si="29"/>
        <v>0</v>
      </c>
      <c r="E179" s="8"/>
      <c r="F179" s="8"/>
      <c r="G179" s="12">
        <f t="shared" si="30"/>
        <v>0</v>
      </c>
      <c r="H179" s="32"/>
      <c r="I179" s="4"/>
      <c r="J179" s="8"/>
      <c r="K179" s="8"/>
      <c r="L179" s="12">
        <f t="shared" si="31"/>
        <v>0</v>
      </c>
      <c r="M179" s="8"/>
      <c r="N179" s="8"/>
      <c r="O179" s="12">
        <f t="shared" si="32"/>
        <v>0</v>
      </c>
    </row>
    <row r="180" spans="1:16" x14ac:dyDescent="0.15">
      <c r="A180" s="9"/>
      <c r="B180" s="8"/>
      <c r="C180" s="8"/>
      <c r="D180" s="12">
        <f t="shared" si="29"/>
        <v>0</v>
      </c>
      <c r="E180" s="8"/>
      <c r="F180" s="8"/>
      <c r="G180" s="12">
        <f t="shared" si="30"/>
        <v>0</v>
      </c>
      <c r="H180" s="32"/>
      <c r="I180" s="9"/>
      <c r="J180" s="8"/>
      <c r="K180" s="8"/>
      <c r="L180" s="12">
        <f t="shared" si="31"/>
        <v>0</v>
      </c>
      <c r="M180" s="8"/>
      <c r="N180" s="8"/>
      <c r="O180" s="12">
        <f t="shared" si="32"/>
        <v>0</v>
      </c>
    </row>
    <row r="181" spans="1:16" x14ac:dyDescent="0.15">
      <c r="A181" s="4"/>
      <c r="B181" s="8"/>
      <c r="C181" s="8"/>
      <c r="D181" s="12">
        <f t="shared" si="29"/>
        <v>0</v>
      </c>
      <c r="E181" s="8"/>
      <c r="F181" s="8"/>
      <c r="G181" s="12">
        <f t="shared" si="30"/>
        <v>0</v>
      </c>
      <c r="H181" s="32"/>
      <c r="I181" s="4"/>
      <c r="J181" s="8"/>
      <c r="K181" s="8"/>
      <c r="L181" s="12">
        <f t="shared" si="31"/>
        <v>0</v>
      </c>
      <c r="M181" s="8"/>
      <c r="N181" s="8"/>
      <c r="O181" s="12">
        <f t="shared" si="32"/>
        <v>0</v>
      </c>
    </row>
    <row r="182" spans="1:16" x14ac:dyDescent="0.15">
      <c r="A182" s="10"/>
      <c r="B182" s="8"/>
      <c r="C182" s="8"/>
      <c r="D182" s="12">
        <f t="shared" si="29"/>
        <v>0</v>
      </c>
      <c r="E182" s="8"/>
      <c r="F182" s="8"/>
      <c r="G182" s="12">
        <f t="shared" si="30"/>
        <v>0</v>
      </c>
      <c r="H182" s="32"/>
      <c r="I182" s="10"/>
      <c r="J182" s="8"/>
      <c r="K182" s="8"/>
      <c r="L182" s="12">
        <f t="shared" si="31"/>
        <v>0</v>
      </c>
      <c r="M182" s="8"/>
      <c r="N182" s="8"/>
      <c r="O182" s="12">
        <f t="shared" si="32"/>
        <v>0</v>
      </c>
    </row>
    <row r="183" spans="1:16" x14ac:dyDescent="0.15">
      <c r="A183" s="4"/>
      <c r="B183" s="8"/>
      <c r="C183" s="8"/>
      <c r="D183" s="12">
        <f t="shared" si="29"/>
        <v>0</v>
      </c>
      <c r="E183" s="8"/>
      <c r="F183" s="8"/>
      <c r="G183" s="12">
        <f t="shared" si="30"/>
        <v>0</v>
      </c>
      <c r="H183" s="32"/>
      <c r="I183" s="3" t="s">
        <v>70</v>
      </c>
      <c r="J183" s="40">
        <v>0</v>
      </c>
      <c r="K183" s="40">
        <v>0</v>
      </c>
      <c r="L183" s="41">
        <f t="shared" ref="L183:L184" si="33">J183+K183</f>
        <v>0</v>
      </c>
      <c r="M183" s="40">
        <v>0</v>
      </c>
      <c r="N183" s="40">
        <v>0</v>
      </c>
      <c r="O183" s="41">
        <f t="shared" ref="O183:O184" si="34">M183+N183</f>
        <v>0</v>
      </c>
    </row>
    <row r="184" spans="1:16" x14ac:dyDescent="0.15">
      <c r="A184" s="6"/>
      <c r="B184" s="8"/>
      <c r="C184" s="8"/>
      <c r="D184" s="12">
        <f t="shared" si="29"/>
        <v>0</v>
      </c>
      <c r="E184" s="8"/>
      <c r="F184" s="8"/>
      <c r="G184" s="12">
        <f t="shared" si="30"/>
        <v>0</v>
      </c>
      <c r="H184" s="30"/>
      <c r="I184" s="19" t="s">
        <v>69</v>
      </c>
      <c r="J184" s="8">
        <v>200</v>
      </c>
      <c r="K184" s="8">
        <v>250</v>
      </c>
      <c r="L184" s="12">
        <f t="shared" si="33"/>
        <v>450</v>
      </c>
      <c r="M184" s="8">
        <v>200</v>
      </c>
      <c r="N184" s="8">
        <v>250</v>
      </c>
      <c r="O184" s="12">
        <f t="shared" si="34"/>
        <v>450</v>
      </c>
      <c r="P184" s="39" t="s">
        <v>63</v>
      </c>
    </row>
    <row r="185" spans="1:16" x14ac:dyDescent="0.15">
      <c r="A185" s="10"/>
      <c r="B185" s="8"/>
      <c r="C185" s="8"/>
      <c r="D185" s="12">
        <f t="shared" si="29"/>
        <v>0</v>
      </c>
      <c r="E185" s="8"/>
      <c r="F185" s="8"/>
      <c r="G185" s="12">
        <f t="shared" si="30"/>
        <v>0</v>
      </c>
      <c r="H185" s="30"/>
      <c r="I185" s="66" t="s">
        <v>72</v>
      </c>
      <c r="J185" s="67">
        <v>0</v>
      </c>
      <c r="K185" s="67">
        <v>0</v>
      </c>
      <c r="L185" s="68">
        <f t="shared" si="31"/>
        <v>0</v>
      </c>
      <c r="M185" s="67">
        <v>0</v>
      </c>
      <c r="N185" s="67">
        <v>0</v>
      </c>
      <c r="O185" s="68">
        <f t="shared" si="32"/>
        <v>0</v>
      </c>
      <c r="P185" s="39"/>
    </row>
    <row r="186" spans="1:16" ht="14.25" thickBot="1" x14ac:dyDescent="0.2">
      <c r="A186" s="19"/>
      <c r="B186" s="18"/>
      <c r="C186" s="18"/>
      <c r="D186" s="14">
        <f t="shared" si="29"/>
        <v>0</v>
      </c>
      <c r="E186" s="18"/>
      <c r="F186" s="18"/>
      <c r="G186" s="14">
        <f t="shared" si="30"/>
        <v>0</v>
      </c>
      <c r="H186" s="30"/>
      <c r="I186" s="65" t="s">
        <v>62</v>
      </c>
      <c r="J186" s="60">
        <v>120</v>
      </c>
      <c r="K186" s="60">
        <v>85</v>
      </c>
      <c r="L186" s="61">
        <f t="shared" si="31"/>
        <v>205</v>
      </c>
      <c r="M186" s="60">
        <v>95</v>
      </c>
      <c r="N186" s="60">
        <v>55</v>
      </c>
      <c r="O186" s="61">
        <f t="shared" si="32"/>
        <v>150</v>
      </c>
      <c r="P186" s="64" t="s">
        <v>71</v>
      </c>
    </row>
    <row r="187" spans="1:16" ht="14.25" thickBot="1" x14ac:dyDescent="0.2">
      <c r="A187" s="1" t="s">
        <v>3</v>
      </c>
      <c r="B187" s="13">
        <f>SUM(B163:B186)</f>
        <v>0</v>
      </c>
      <c r="C187" s="13">
        <f>SUM(C163:C186)</f>
        <v>0</v>
      </c>
      <c r="D187" s="13">
        <f t="shared" si="29"/>
        <v>0</v>
      </c>
      <c r="E187" s="13">
        <f>SUM(E163:E186)</f>
        <v>0</v>
      </c>
      <c r="F187" s="13">
        <f>SUM(F163:F186)</f>
        <v>0</v>
      </c>
      <c r="G187" s="13">
        <f t="shared" si="30"/>
        <v>0</v>
      </c>
      <c r="H187" s="30"/>
      <c r="I187" s="1" t="s">
        <v>3</v>
      </c>
      <c r="J187" s="13">
        <f>SUM(J163:J186)</f>
        <v>320</v>
      </c>
      <c r="K187" s="13">
        <f>SUM(K163:K186)</f>
        <v>335</v>
      </c>
      <c r="L187" s="13">
        <f t="shared" si="31"/>
        <v>655</v>
      </c>
      <c r="M187" s="13">
        <f>SUM(M163:M186)</f>
        <v>295</v>
      </c>
      <c r="N187" s="13">
        <f>SUM(N163:N186)</f>
        <v>305</v>
      </c>
      <c r="O187" s="13">
        <f t="shared" si="32"/>
        <v>600</v>
      </c>
    </row>
    <row r="188" spans="1:16" ht="14.25" thickBot="1" x14ac:dyDescent="0.2">
      <c r="A188" s="20" t="s">
        <v>4</v>
      </c>
      <c r="B188" s="21">
        <f>B162-B187</f>
        <v>8</v>
      </c>
      <c r="C188" s="21">
        <f>C162-C187</f>
        <v>7</v>
      </c>
      <c r="D188" s="27">
        <f t="shared" si="29"/>
        <v>15</v>
      </c>
      <c r="E188" s="27">
        <f>E162-E187</f>
        <v>7</v>
      </c>
      <c r="F188" s="27">
        <f>F162-F187</f>
        <v>9</v>
      </c>
      <c r="G188" s="27">
        <f t="shared" si="30"/>
        <v>16</v>
      </c>
      <c r="H188" s="33"/>
      <c r="I188" s="20" t="s">
        <v>4</v>
      </c>
      <c r="J188" s="21">
        <f>J162-J187</f>
        <v>21</v>
      </c>
      <c r="K188" s="21">
        <f>K162-K187</f>
        <v>102</v>
      </c>
      <c r="L188" s="27">
        <f t="shared" si="31"/>
        <v>123</v>
      </c>
      <c r="M188" s="21">
        <f>M162-M187</f>
        <v>44</v>
      </c>
      <c r="N188" s="21">
        <f>N162-N187</f>
        <v>-34</v>
      </c>
      <c r="O188" s="27">
        <f t="shared" si="32"/>
        <v>10</v>
      </c>
      <c r="P188" s="39"/>
    </row>
    <row r="189" spans="1:16" x14ac:dyDescent="0.15">
      <c r="I189" s="58" t="s">
        <v>61</v>
      </c>
      <c r="J189" s="39">
        <v>187</v>
      </c>
      <c r="K189" s="39">
        <v>152</v>
      </c>
      <c r="L189" s="56">
        <f>SUM(J189:K189)</f>
        <v>339</v>
      </c>
      <c r="M189" s="39">
        <v>187</v>
      </c>
      <c r="N189" s="39">
        <v>152</v>
      </c>
      <c r="O189" s="56">
        <f>SUM(M189:N189)</f>
        <v>339</v>
      </c>
    </row>
    <row r="190" spans="1:16" x14ac:dyDescent="0.15">
      <c r="I190" s="63" t="s">
        <v>64</v>
      </c>
      <c r="J190" s="64">
        <f>SUM(J188:J189)</f>
        <v>208</v>
      </c>
      <c r="K190" s="64">
        <f t="shared" ref="K190:O190" si="35">SUM(K188:K189)</f>
        <v>254</v>
      </c>
      <c r="L190" s="64">
        <f t="shared" si="35"/>
        <v>462</v>
      </c>
      <c r="M190" s="64">
        <f t="shared" si="35"/>
        <v>231</v>
      </c>
      <c r="N190" s="64">
        <f t="shared" si="35"/>
        <v>118</v>
      </c>
      <c r="O190" s="64">
        <f t="shared" si="35"/>
        <v>349</v>
      </c>
    </row>
    <row r="191" spans="1:16" x14ac:dyDescent="0.15">
      <c r="I191" s="55" t="s">
        <v>66</v>
      </c>
      <c r="J191">
        <v>48</v>
      </c>
      <c r="K191">
        <v>40</v>
      </c>
      <c r="L191">
        <f>SUM(J191:K191)</f>
        <v>88</v>
      </c>
      <c r="M191">
        <v>69</v>
      </c>
      <c r="N191">
        <v>42</v>
      </c>
      <c r="O191">
        <f>SUM(M191:N191)</f>
        <v>111</v>
      </c>
    </row>
    <row r="192" spans="1:16" x14ac:dyDescent="0.15">
      <c r="I192" s="57" t="s">
        <v>65</v>
      </c>
      <c r="J192" s="53">
        <f>SUM(J190:J191)</f>
        <v>256</v>
      </c>
      <c r="K192" s="53">
        <f t="shared" ref="K192:O192" si="36">SUM(K190:K191)</f>
        <v>294</v>
      </c>
      <c r="L192" s="53">
        <f t="shared" si="36"/>
        <v>550</v>
      </c>
      <c r="M192" s="53">
        <f t="shared" si="36"/>
        <v>300</v>
      </c>
      <c r="N192" s="53">
        <f t="shared" si="36"/>
        <v>160</v>
      </c>
      <c r="O192" s="53">
        <f t="shared" si="36"/>
        <v>460</v>
      </c>
    </row>
    <row r="193" spans="9:16" x14ac:dyDescent="0.15">
      <c r="I193" s="39"/>
      <c r="J193" s="39"/>
      <c r="K193" s="39"/>
      <c r="L193" s="39"/>
      <c r="M193" s="39"/>
      <c r="N193" s="39"/>
      <c r="O193" s="39"/>
      <c r="P193" s="39"/>
    </row>
    <row r="194" spans="9:16" x14ac:dyDescent="0.15">
      <c r="I194" s="58" t="s">
        <v>67</v>
      </c>
      <c r="J194" s="39">
        <v>146</v>
      </c>
      <c r="K194" s="39">
        <v>122</v>
      </c>
      <c r="L194" s="39">
        <f>SUM(J194:K194)</f>
        <v>268</v>
      </c>
      <c r="M194" s="39">
        <v>166</v>
      </c>
      <c r="N194" s="39">
        <v>154</v>
      </c>
      <c r="O194" s="39">
        <f>SUM(M194:N194)</f>
        <v>320</v>
      </c>
      <c r="P194" s="39"/>
    </row>
    <row r="195" spans="9:16" x14ac:dyDescent="0.15">
      <c r="I195" s="58" t="s">
        <v>68</v>
      </c>
      <c r="J195" s="39">
        <v>128</v>
      </c>
      <c r="K195" s="39">
        <v>89</v>
      </c>
      <c r="L195" s="39">
        <f>SUM(J195:K195)</f>
        <v>217</v>
      </c>
      <c r="M195" s="39">
        <v>130</v>
      </c>
      <c r="N195" s="39">
        <v>122</v>
      </c>
      <c r="O195" s="39">
        <f>SUM(M195:N195)</f>
        <v>252</v>
      </c>
      <c r="P195" s="39"/>
    </row>
    <row r="196" spans="9:16" x14ac:dyDescent="0.15">
      <c r="I196" s="39"/>
      <c r="J196" s="39"/>
      <c r="K196" s="39"/>
      <c r="L196" s="39"/>
      <c r="M196" s="39"/>
      <c r="N196" s="39"/>
      <c r="O196" s="39"/>
      <c r="P196" s="39"/>
    </row>
  </sheetData>
  <mergeCells count="20">
    <mergeCell ref="M2:O2"/>
    <mergeCell ref="J40:L40"/>
    <mergeCell ref="M40:O40"/>
    <mergeCell ref="B2:D2"/>
    <mergeCell ref="E2:G2"/>
    <mergeCell ref="B40:D40"/>
    <mergeCell ref="E40:G40"/>
    <mergeCell ref="J2:L2"/>
    <mergeCell ref="B78:D78"/>
    <mergeCell ref="E78:G78"/>
    <mergeCell ref="J78:L78"/>
    <mergeCell ref="M78:O78"/>
    <mergeCell ref="B154:D154"/>
    <mergeCell ref="E154:G154"/>
    <mergeCell ref="J154:L154"/>
    <mergeCell ref="M154:O154"/>
    <mergeCell ref="B116:D116"/>
    <mergeCell ref="E116:G116"/>
    <mergeCell ref="J116:L116"/>
    <mergeCell ref="M116:O116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D8E8-487C-4331-B9C8-D78FA0C53AB6}">
  <dimension ref="A1"/>
  <sheetViews>
    <sheetView topLeftCell="A16" workbookViewId="0">
      <selection activeCell="M23" sqref="M23"/>
    </sheetView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2色組</vt:lpstr>
      <vt:lpstr>Sheet1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2019-05-14T05:55:55Z</cp:lastPrinted>
  <dcterms:created xsi:type="dcterms:W3CDTF">2014-01-28T06:53:42Z</dcterms:created>
  <dcterms:modified xsi:type="dcterms:W3CDTF">2026-06-17T02:49:21Z</dcterms:modified>
</cp:coreProperties>
</file>