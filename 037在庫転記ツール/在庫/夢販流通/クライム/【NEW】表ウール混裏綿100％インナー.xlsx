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クライム\"/>
    </mc:Choice>
  </mc:AlternateContent>
  <xr:revisionPtr revIDLastSave="0" documentId="13_ncr:1_{4440AF46-49AD-4E8E-A0F5-1122B663320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８分袖インナー " sheetId="1" r:id="rId1"/>
    <sheet name="９分丈ボトム" sheetId="4" r:id="rId2"/>
    <sheet name="Sheet1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98" i="1" l="1"/>
  <c r="I698" i="1"/>
  <c r="J698" i="1" s="1"/>
  <c r="I697" i="1"/>
  <c r="E697" i="1"/>
  <c r="J697" i="1" s="1"/>
  <c r="O644" i="4"/>
  <c r="R644" i="4"/>
  <c r="S644" i="4"/>
  <c r="P693" i="4"/>
  <c r="T693" i="4"/>
  <c r="U693" i="4"/>
  <c r="P694" i="4"/>
  <c r="T694" i="4"/>
  <c r="P702" i="4"/>
  <c r="U702" i="4" s="1"/>
  <c r="T702" i="4"/>
  <c r="P703" i="4"/>
  <c r="U703" i="4" s="1"/>
  <c r="T703" i="4"/>
  <c r="P704" i="4"/>
  <c r="U704" i="4" s="1"/>
  <c r="T704" i="4"/>
  <c r="P705" i="4"/>
  <c r="T705" i="4"/>
  <c r="U705" i="4"/>
  <c r="P706" i="4"/>
  <c r="T706" i="4"/>
  <c r="U706" i="4" s="1"/>
  <c r="P707" i="4"/>
  <c r="U707" i="4" s="1"/>
  <c r="T707" i="4"/>
  <c r="P708" i="4"/>
  <c r="U708" i="4" s="1"/>
  <c r="T708" i="4"/>
  <c r="P709" i="4"/>
  <c r="T709" i="4"/>
  <c r="U709" i="4"/>
  <c r="E693" i="4"/>
  <c r="J693" i="4" s="1"/>
  <c r="I693" i="4"/>
  <c r="E694" i="4"/>
  <c r="J694" i="4" s="1"/>
  <c r="I694" i="4"/>
  <c r="E702" i="4"/>
  <c r="I702" i="4"/>
  <c r="E703" i="4"/>
  <c r="I703" i="4"/>
  <c r="S728" i="4"/>
  <c r="R728" i="4"/>
  <c r="Q728" i="4"/>
  <c r="O728" i="4"/>
  <c r="N728" i="4"/>
  <c r="M728" i="4"/>
  <c r="H728" i="4"/>
  <c r="G728" i="4"/>
  <c r="F728" i="4"/>
  <c r="D728" i="4"/>
  <c r="C728" i="4"/>
  <c r="B728" i="4"/>
  <c r="E728" i="4" s="1"/>
  <c r="T727" i="4"/>
  <c r="P727" i="4"/>
  <c r="J727" i="4"/>
  <c r="I727" i="4"/>
  <c r="E727" i="4"/>
  <c r="T726" i="4"/>
  <c r="P726" i="4"/>
  <c r="I726" i="4"/>
  <c r="E726" i="4"/>
  <c r="J726" i="4" s="1"/>
  <c r="T725" i="4"/>
  <c r="P725" i="4"/>
  <c r="J725" i="4"/>
  <c r="I725" i="4"/>
  <c r="E725" i="4"/>
  <c r="T724" i="4"/>
  <c r="P724" i="4"/>
  <c r="I724" i="4"/>
  <c r="E724" i="4"/>
  <c r="J724" i="4" s="1"/>
  <c r="T723" i="4"/>
  <c r="P723" i="4"/>
  <c r="U723" i="4" s="1"/>
  <c r="J723" i="4"/>
  <c r="I723" i="4"/>
  <c r="E723" i="4"/>
  <c r="T722" i="4"/>
  <c r="U722" i="4" s="1"/>
  <c r="P722" i="4"/>
  <c r="I722" i="4"/>
  <c r="E722" i="4"/>
  <c r="J722" i="4" s="1"/>
  <c r="T721" i="4"/>
  <c r="P721" i="4"/>
  <c r="U721" i="4" s="1"/>
  <c r="J721" i="4"/>
  <c r="I721" i="4"/>
  <c r="E721" i="4"/>
  <c r="T720" i="4"/>
  <c r="U720" i="4" s="1"/>
  <c r="P720" i="4"/>
  <c r="I720" i="4"/>
  <c r="E720" i="4"/>
  <c r="J720" i="4" s="1"/>
  <c r="T719" i="4"/>
  <c r="P719" i="4"/>
  <c r="U719" i="4" s="1"/>
  <c r="J719" i="4"/>
  <c r="I719" i="4"/>
  <c r="E719" i="4"/>
  <c r="T718" i="4"/>
  <c r="U718" i="4" s="1"/>
  <c r="P718" i="4"/>
  <c r="I718" i="4"/>
  <c r="E718" i="4"/>
  <c r="J718" i="4" s="1"/>
  <c r="T717" i="4"/>
  <c r="P717" i="4"/>
  <c r="U717" i="4" s="1"/>
  <c r="J717" i="4"/>
  <c r="I717" i="4"/>
  <c r="E717" i="4"/>
  <c r="T716" i="4"/>
  <c r="U716" i="4" s="1"/>
  <c r="P716" i="4"/>
  <c r="I716" i="4"/>
  <c r="E716" i="4"/>
  <c r="J716" i="4" s="1"/>
  <c r="T715" i="4"/>
  <c r="P715" i="4"/>
  <c r="U715" i="4" s="1"/>
  <c r="J715" i="4"/>
  <c r="I715" i="4"/>
  <c r="E715" i="4"/>
  <c r="T714" i="4"/>
  <c r="U714" i="4" s="1"/>
  <c r="P714" i="4"/>
  <c r="I714" i="4"/>
  <c r="E714" i="4"/>
  <c r="J714" i="4" s="1"/>
  <c r="T713" i="4"/>
  <c r="P713" i="4"/>
  <c r="U713" i="4" s="1"/>
  <c r="J713" i="4"/>
  <c r="I713" i="4"/>
  <c r="E713" i="4"/>
  <c r="T712" i="4"/>
  <c r="U712" i="4" s="1"/>
  <c r="P712" i="4"/>
  <c r="I712" i="4"/>
  <c r="E712" i="4"/>
  <c r="J712" i="4" s="1"/>
  <c r="T711" i="4"/>
  <c r="P711" i="4"/>
  <c r="U711" i="4" s="1"/>
  <c r="J711" i="4"/>
  <c r="I711" i="4"/>
  <c r="E711" i="4"/>
  <c r="T710" i="4"/>
  <c r="U710" i="4" s="1"/>
  <c r="P710" i="4"/>
  <c r="I710" i="4"/>
  <c r="E710" i="4"/>
  <c r="J710" i="4" s="1"/>
  <c r="J709" i="4"/>
  <c r="I709" i="4"/>
  <c r="E709" i="4"/>
  <c r="I708" i="4"/>
  <c r="E708" i="4"/>
  <c r="J708" i="4" s="1"/>
  <c r="J707" i="4"/>
  <c r="I707" i="4"/>
  <c r="E707" i="4"/>
  <c r="I706" i="4"/>
  <c r="E706" i="4"/>
  <c r="J706" i="4" s="1"/>
  <c r="J705" i="4"/>
  <c r="I705" i="4"/>
  <c r="E705" i="4"/>
  <c r="I704" i="4"/>
  <c r="E704" i="4"/>
  <c r="J704" i="4" s="1"/>
  <c r="S701" i="4"/>
  <c r="O701" i="4"/>
  <c r="H701" i="4"/>
  <c r="D701" i="4"/>
  <c r="D729" i="4" s="1"/>
  <c r="T700" i="4"/>
  <c r="U700" i="4" s="1"/>
  <c r="P700" i="4"/>
  <c r="I700" i="4"/>
  <c r="E700" i="4"/>
  <c r="J700" i="4" s="1"/>
  <c r="T699" i="4"/>
  <c r="P699" i="4"/>
  <c r="U699" i="4" s="1"/>
  <c r="J699" i="4"/>
  <c r="I699" i="4"/>
  <c r="E699" i="4"/>
  <c r="T698" i="4"/>
  <c r="U698" i="4" s="1"/>
  <c r="P698" i="4"/>
  <c r="I698" i="4"/>
  <c r="E698" i="4"/>
  <c r="J698" i="4" s="1"/>
  <c r="T697" i="4"/>
  <c r="P697" i="4"/>
  <c r="J697" i="4"/>
  <c r="I697" i="4"/>
  <c r="E697" i="4"/>
  <c r="T696" i="4"/>
  <c r="P696" i="4"/>
  <c r="I696" i="4"/>
  <c r="E696" i="4"/>
  <c r="J696" i="4" s="1"/>
  <c r="T695" i="4"/>
  <c r="P695" i="4"/>
  <c r="J695" i="4"/>
  <c r="I695" i="4"/>
  <c r="E695" i="4"/>
  <c r="S692" i="4"/>
  <c r="O692" i="4"/>
  <c r="H692" i="4"/>
  <c r="G692" i="4"/>
  <c r="G701" i="4" s="1"/>
  <c r="G729" i="4" s="1"/>
  <c r="D692" i="4"/>
  <c r="C692" i="4"/>
  <c r="C701" i="4" s="1"/>
  <c r="C729" i="4" s="1"/>
  <c r="P774" i="1"/>
  <c r="N687" i="1"/>
  <c r="O687" i="1"/>
  <c r="S687" i="1"/>
  <c r="E736" i="1"/>
  <c r="J736" i="1" s="1"/>
  <c r="I736" i="1"/>
  <c r="E737" i="1"/>
  <c r="J737" i="1" s="1"/>
  <c r="I737" i="1"/>
  <c r="E738" i="1"/>
  <c r="I738" i="1"/>
  <c r="J738" i="1" s="1"/>
  <c r="E739" i="1"/>
  <c r="I739" i="1"/>
  <c r="J739" i="1"/>
  <c r="E740" i="1"/>
  <c r="J740" i="1" s="1"/>
  <c r="I740" i="1"/>
  <c r="E745" i="1"/>
  <c r="I745" i="1"/>
  <c r="E746" i="1"/>
  <c r="I746" i="1"/>
  <c r="P745" i="1"/>
  <c r="U745" i="1" s="1"/>
  <c r="T745" i="1"/>
  <c r="P746" i="1"/>
  <c r="U746" i="1" s="1"/>
  <c r="T746" i="1"/>
  <c r="P747" i="1"/>
  <c r="T747" i="1"/>
  <c r="U747" i="1" s="1"/>
  <c r="P748" i="1"/>
  <c r="T748" i="1"/>
  <c r="U748" i="1"/>
  <c r="P749" i="1"/>
  <c r="U749" i="1" s="1"/>
  <c r="T749" i="1"/>
  <c r="P750" i="1"/>
  <c r="U750" i="1" s="1"/>
  <c r="T750" i="1"/>
  <c r="P751" i="1"/>
  <c r="T751" i="1"/>
  <c r="U751" i="1" s="1"/>
  <c r="P752" i="1"/>
  <c r="T752" i="1"/>
  <c r="U752" i="1"/>
  <c r="P753" i="1"/>
  <c r="U753" i="1" s="1"/>
  <c r="T753" i="1"/>
  <c r="P754" i="1"/>
  <c r="U754" i="1" s="1"/>
  <c r="T754" i="1"/>
  <c r="P736" i="1"/>
  <c r="T736" i="1"/>
  <c r="U736" i="1"/>
  <c r="P737" i="1"/>
  <c r="T737" i="1"/>
  <c r="S771" i="1"/>
  <c r="R771" i="1"/>
  <c r="Q771" i="1"/>
  <c r="O771" i="1"/>
  <c r="N771" i="1"/>
  <c r="M771" i="1"/>
  <c r="H771" i="1"/>
  <c r="G771" i="1"/>
  <c r="F771" i="1"/>
  <c r="I771" i="1" s="1"/>
  <c r="D771" i="1"/>
  <c r="C771" i="1"/>
  <c r="B771" i="1"/>
  <c r="E771" i="1" s="1"/>
  <c r="T770" i="1"/>
  <c r="P770" i="1"/>
  <c r="J770" i="1"/>
  <c r="I770" i="1"/>
  <c r="E770" i="1"/>
  <c r="T769" i="1"/>
  <c r="P769" i="1"/>
  <c r="I769" i="1"/>
  <c r="E769" i="1"/>
  <c r="J769" i="1" s="1"/>
  <c r="T768" i="1"/>
  <c r="P768" i="1"/>
  <c r="J768" i="1"/>
  <c r="I768" i="1"/>
  <c r="E768" i="1"/>
  <c r="T767" i="1"/>
  <c r="P767" i="1"/>
  <c r="I767" i="1"/>
  <c r="E767" i="1"/>
  <c r="J767" i="1" s="1"/>
  <c r="U766" i="1"/>
  <c r="T766" i="1"/>
  <c r="P766" i="1"/>
  <c r="J766" i="1"/>
  <c r="I766" i="1"/>
  <c r="E766" i="1"/>
  <c r="T765" i="1"/>
  <c r="P765" i="1"/>
  <c r="U765" i="1" s="1"/>
  <c r="I765" i="1"/>
  <c r="E765" i="1"/>
  <c r="J765" i="1" s="1"/>
  <c r="U764" i="1"/>
  <c r="T764" i="1"/>
  <c r="P764" i="1"/>
  <c r="J764" i="1"/>
  <c r="I764" i="1"/>
  <c r="E764" i="1"/>
  <c r="T763" i="1"/>
  <c r="P763" i="1"/>
  <c r="U763" i="1" s="1"/>
  <c r="I763" i="1"/>
  <c r="E763" i="1"/>
  <c r="J763" i="1" s="1"/>
  <c r="U762" i="1"/>
  <c r="T762" i="1"/>
  <c r="P762" i="1"/>
  <c r="J762" i="1"/>
  <c r="I762" i="1"/>
  <c r="E762" i="1"/>
  <c r="T761" i="1"/>
  <c r="P761" i="1"/>
  <c r="U761" i="1" s="1"/>
  <c r="I761" i="1"/>
  <c r="E761" i="1"/>
  <c r="J761" i="1" s="1"/>
  <c r="U760" i="1"/>
  <c r="T760" i="1"/>
  <c r="P760" i="1"/>
  <c r="J760" i="1"/>
  <c r="I760" i="1"/>
  <c r="E760" i="1"/>
  <c r="T759" i="1"/>
  <c r="P759" i="1"/>
  <c r="U759" i="1" s="1"/>
  <c r="I759" i="1"/>
  <c r="E759" i="1"/>
  <c r="J759" i="1" s="1"/>
  <c r="U758" i="1"/>
  <c r="T758" i="1"/>
  <c r="P758" i="1"/>
  <c r="J758" i="1"/>
  <c r="I758" i="1"/>
  <c r="E758" i="1"/>
  <c r="T757" i="1"/>
  <c r="P757" i="1"/>
  <c r="U757" i="1" s="1"/>
  <c r="I757" i="1"/>
  <c r="E757" i="1"/>
  <c r="J757" i="1" s="1"/>
  <c r="U756" i="1"/>
  <c r="T756" i="1"/>
  <c r="P756" i="1"/>
  <c r="J756" i="1"/>
  <c r="I756" i="1"/>
  <c r="E756" i="1"/>
  <c r="T755" i="1"/>
  <c r="P755" i="1"/>
  <c r="U755" i="1" s="1"/>
  <c r="I755" i="1"/>
  <c r="E755" i="1"/>
  <c r="J755" i="1" s="1"/>
  <c r="J754" i="1"/>
  <c r="I754" i="1"/>
  <c r="E754" i="1"/>
  <c r="I753" i="1"/>
  <c r="E753" i="1"/>
  <c r="J753" i="1" s="1"/>
  <c r="J752" i="1"/>
  <c r="I752" i="1"/>
  <c r="E752" i="1"/>
  <c r="I751" i="1"/>
  <c r="E751" i="1"/>
  <c r="J751" i="1" s="1"/>
  <c r="J750" i="1"/>
  <c r="I750" i="1"/>
  <c r="E750" i="1"/>
  <c r="I749" i="1"/>
  <c r="E749" i="1"/>
  <c r="J749" i="1" s="1"/>
  <c r="J748" i="1"/>
  <c r="I748" i="1"/>
  <c r="E748" i="1"/>
  <c r="I747" i="1"/>
  <c r="E747" i="1"/>
  <c r="J747" i="1" s="1"/>
  <c r="T743" i="1"/>
  <c r="P743" i="1"/>
  <c r="U743" i="1" s="1"/>
  <c r="I743" i="1"/>
  <c r="E743" i="1"/>
  <c r="J743" i="1" s="1"/>
  <c r="T742" i="1"/>
  <c r="P742" i="1"/>
  <c r="U742" i="1" s="1"/>
  <c r="J742" i="1"/>
  <c r="I742" i="1"/>
  <c r="E742" i="1"/>
  <c r="T741" i="1"/>
  <c r="P741" i="1"/>
  <c r="U741" i="1" s="1"/>
  <c r="I741" i="1"/>
  <c r="E741" i="1"/>
  <c r="J741" i="1" s="1"/>
  <c r="U740" i="1"/>
  <c r="T740" i="1"/>
  <c r="P740" i="1"/>
  <c r="T739" i="1"/>
  <c r="P739" i="1"/>
  <c r="T738" i="1"/>
  <c r="P738" i="1"/>
  <c r="S735" i="1"/>
  <c r="S744" i="1" s="1"/>
  <c r="O735" i="1"/>
  <c r="O744" i="1" s="1"/>
  <c r="P650" i="4"/>
  <c r="T650" i="4"/>
  <c r="U650" i="4" s="1"/>
  <c r="P651" i="4"/>
  <c r="T651" i="4"/>
  <c r="U651" i="4" s="1"/>
  <c r="P652" i="4"/>
  <c r="T652" i="4"/>
  <c r="U652" i="4" s="1"/>
  <c r="P653" i="4"/>
  <c r="T653" i="4"/>
  <c r="U653" i="4"/>
  <c r="P654" i="4"/>
  <c r="T654" i="4"/>
  <c r="U654" i="4" s="1"/>
  <c r="P677" i="4"/>
  <c r="T677" i="4"/>
  <c r="U677" i="4" s="1"/>
  <c r="P678" i="4"/>
  <c r="T678" i="4"/>
  <c r="U678" i="4"/>
  <c r="P679" i="4"/>
  <c r="T679" i="4"/>
  <c r="U679" i="4" s="1"/>
  <c r="P680" i="4"/>
  <c r="T680" i="4"/>
  <c r="U680" i="4"/>
  <c r="P681" i="4"/>
  <c r="T681" i="4"/>
  <c r="U681" i="4" s="1"/>
  <c r="P682" i="4"/>
  <c r="T682" i="4"/>
  <c r="U682" i="4"/>
  <c r="P683" i="4"/>
  <c r="T683" i="4"/>
  <c r="U683" i="4" s="1"/>
  <c r="P684" i="4"/>
  <c r="T684" i="4"/>
  <c r="U684" i="4"/>
  <c r="P659" i="4"/>
  <c r="T659" i="4"/>
  <c r="U659" i="4" s="1"/>
  <c r="P660" i="4"/>
  <c r="T660" i="4"/>
  <c r="U660" i="4" s="1"/>
  <c r="P661" i="4"/>
  <c r="T661" i="4"/>
  <c r="P662" i="4"/>
  <c r="T662" i="4"/>
  <c r="U662" i="4" s="1"/>
  <c r="P663" i="4"/>
  <c r="T663" i="4"/>
  <c r="U663" i="4" s="1"/>
  <c r="P664" i="4"/>
  <c r="T664" i="4"/>
  <c r="U664" i="4" s="1"/>
  <c r="P665" i="4"/>
  <c r="T665" i="4"/>
  <c r="P666" i="4"/>
  <c r="T666" i="4"/>
  <c r="U666" i="4" s="1"/>
  <c r="P667" i="4"/>
  <c r="T667" i="4"/>
  <c r="P668" i="4"/>
  <c r="T668" i="4"/>
  <c r="U668" i="4" s="1"/>
  <c r="P669" i="4"/>
  <c r="T669" i="4"/>
  <c r="U669" i="4" s="1"/>
  <c r="P670" i="4"/>
  <c r="T670" i="4"/>
  <c r="U670" i="4" s="1"/>
  <c r="P671" i="4"/>
  <c r="T671" i="4"/>
  <c r="U671" i="4" s="1"/>
  <c r="P672" i="4"/>
  <c r="T672" i="4"/>
  <c r="U672" i="4" s="1"/>
  <c r="P673" i="4"/>
  <c r="T673" i="4"/>
  <c r="U673" i="4" s="1"/>
  <c r="P674" i="4"/>
  <c r="T674" i="4"/>
  <c r="U674" i="4"/>
  <c r="P675" i="4"/>
  <c r="T675" i="4"/>
  <c r="U675" i="4" s="1"/>
  <c r="S685" i="4"/>
  <c r="R685" i="4"/>
  <c r="Q685" i="4"/>
  <c r="Q644" i="4" s="1"/>
  <c r="O685" i="4"/>
  <c r="N685" i="4"/>
  <c r="N644" i="4" s="1"/>
  <c r="M685" i="4"/>
  <c r="M644" i="4" s="1"/>
  <c r="H685" i="4"/>
  <c r="G685" i="4"/>
  <c r="F685" i="4"/>
  <c r="D685" i="4"/>
  <c r="C685" i="4"/>
  <c r="B685" i="4"/>
  <c r="E685" i="4" s="1"/>
  <c r="I684" i="4"/>
  <c r="E684" i="4"/>
  <c r="J684" i="4" s="1"/>
  <c r="I683" i="4"/>
  <c r="E683" i="4"/>
  <c r="J683" i="4" s="1"/>
  <c r="I682" i="4"/>
  <c r="E682" i="4"/>
  <c r="J682" i="4" s="1"/>
  <c r="I681" i="4"/>
  <c r="E681" i="4"/>
  <c r="J681" i="4" s="1"/>
  <c r="I680" i="4"/>
  <c r="E680" i="4"/>
  <c r="J680" i="4" s="1"/>
  <c r="I679" i="4"/>
  <c r="E679" i="4"/>
  <c r="J679" i="4" s="1"/>
  <c r="I678" i="4"/>
  <c r="E678" i="4"/>
  <c r="J678" i="4" s="1"/>
  <c r="I677" i="4"/>
  <c r="E677" i="4"/>
  <c r="J677" i="4" s="1"/>
  <c r="T676" i="4"/>
  <c r="P676" i="4"/>
  <c r="U676" i="4" s="1"/>
  <c r="I676" i="4"/>
  <c r="E676" i="4"/>
  <c r="J676" i="4" s="1"/>
  <c r="I675" i="4"/>
  <c r="E675" i="4"/>
  <c r="J675" i="4" s="1"/>
  <c r="I674" i="4"/>
  <c r="E674" i="4"/>
  <c r="J674" i="4" s="1"/>
  <c r="I673" i="4"/>
  <c r="E673" i="4"/>
  <c r="J673" i="4" s="1"/>
  <c r="I672" i="4"/>
  <c r="E672" i="4"/>
  <c r="J672" i="4" s="1"/>
  <c r="I671" i="4"/>
  <c r="E671" i="4"/>
  <c r="J671" i="4" s="1"/>
  <c r="I670" i="4"/>
  <c r="E670" i="4"/>
  <c r="J670" i="4" s="1"/>
  <c r="I669" i="4"/>
  <c r="E669" i="4"/>
  <c r="J669" i="4" s="1"/>
  <c r="I668" i="4"/>
  <c r="E668" i="4"/>
  <c r="J668" i="4" s="1"/>
  <c r="I667" i="4"/>
  <c r="E667" i="4"/>
  <c r="J667" i="4" s="1"/>
  <c r="I666" i="4"/>
  <c r="E666" i="4"/>
  <c r="J666" i="4" s="1"/>
  <c r="I665" i="4"/>
  <c r="E665" i="4"/>
  <c r="J665" i="4" s="1"/>
  <c r="I664" i="4"/>
  <c r="E664" i="4"/>
  <c r="J664" i="4" s="1"/>
  <c r="I663" i="4"/>
  <c r="E663" i="4"/>
  <c r="J663" i="4" s="1"/>
  <c r="I662" i="4"/>
  <c r="E662" i="4"/>
  <c r="J662" i="4" s="1"/>
  <c r="I661" i="4"/>
  <c r="E661" i="4"/>
  <c r="J661" i="4" s="1"/>
  <c r="I660" i="4"/>
  <c r="E660" i="4"/>
  <c r="J660" i="4" s="1"/>
  <c r="I659" i="4"/>
  <c r="E659" i="4"/>
  <c r="J659" i="4" s="1"/>
  <c r="T657" i="4"/>
  <c r="P657" i="4"/>
  <c r="U657" i="4" s="1"/>
  <c r="I657" i="4"/>
  <c r="E657" i="4"/>
  <c r="J657" i="4" s="1"/>
  <c r="T656" i="4"/>
  <c r="P656" i="4"/>
  <c r="I656" i="4"/>
  <c r="E656" i="4"/>
  <c r="J656" i="4" s="1"/>
  <c r="T655" i="4"/>
  <c r="P655" i="4"/>
  <c r="U655" i="4" s="1"/>
  <c r="I655" i="4"/>
  <c r="E655" i="4"/>
  <c r="J655" i="4" s="1"/>
  <c r="I654" i="4"/>
  <c r="E654" i="4"/>
  <c r="J654" i="4" s="1"/>
  <c r="I653" i="4"/>
  <c r="E653" i="4"/>
  <c r="J653" i="4" s="1"/>
  <c r="I652" i="4"/>
  <c r="E652" i="4"/>
  <c r="I651" i="4"/>
  <c r="E651" i="4"/>
  <c r="I650" i="4"/>
  <c r="E650" i="4"/>
  <c r="J650" i="4" s="1"/>
  <c r="P693" i="1"/>
  <c r="T693" i="1"/>
  <c r="U693" i="1" s="1"/>
  <c r="P694" i="1"/>
  <c r="T694" i="1"/>
  <c r="U694" i="1" s="1"/>
  <c r="P695" i="1"/>
  <c r="T695" i="1"/>
  <c r="P696" i="1"/>
  <c r="T696" i="1"/>
  <c r="U696" i="1"/>
  <c r="P697" i="1"/>
  <c r="T697" i="1"/>
  <c r="U697" i="1" s="1"/>
  <c r="P698" i="1"/>
  <c r="T698" i="1"/>
  <c r="U698" i="1"/>
  <c r="P723" i="1"/>
  <c r="T723" i="1"/>
  <c r="U723" i="1" s="1"/>
  <c r="P724" i="1"/>
  <c r="T724" i="1"/>
  <c r="U724" i="1"/>
  <c r="P725" i="1"/>
  <c r="T725" i="1"/>
  <c r="U725" i="1" s="1"/>
  <c r="P726" i="1"/>
  <c r="T726" i="1"/>
  <c r="U726" i="1"/>
  <c r="P727" i="1"/>
  <c r="T727" i="1"/>
  <c r="U727" i="1" s="1"/>
  <c r="P702" i="1"/>
  <c r="T702" i="1"/>
  <c r="U702" i="1" s="1"/>
  <c r="P703" i="1"/>
  <c r="T703" i="1"/>
  <c r="U703" i="1"/>
  <c r="P704" i="1"/>
  <c r="T704" i="1"/>
  <c r="U704" i="1" s="1"/>
  <c r="P705" i="1"/>
  <c r="T705" i="1"/>
  <c r="U705" i="1" s="1"/>
  <c r="P706" i="1"/>
  <c r="T706" i="1"/>
  <c r="P707" i="1"/>
  <c r="T707" i="1"/>
  <c r="U707" i="1" s="1"/>
  <c r="P708" i="1"/>
  <c r="T708" i="1"/>
  <c r="U708" i="1" s="1"/>
  <c r="P709" i="1"/>
  <c r="T709" i="1"/>
  <c r="U709" i="1"/>
  <c r="P710" i="1"/>
  <c r="T710" i="1"/>
  <c r="P711" i="1"/>
  <c r="T711" i="1"/>
  <c r="U711" i="1" s="1"/>
  <c r="P712" i="1"/>
  <c r="T712" i="1"/>
  <c r="U712" i="1" s="1"/>
  <c r="P713" i="1"/>
  <c r="T713" i="1"/>
  <c r="U713" i="1" s="1"/>
  <c r="P714" i="1"/>
  <c r="T714" i="1"/>
  <c r="P715" i="1"/>
  <c r="T715" i="1"/>
  <c r="U715" i="1"/>
  <c r="P716" i="1"/>
  <c r="T716" i="1"/>
  <c r="P717" i="1"/>
  <c r="T717" i="1"/>
  <c r="U717" i="1" s="1"/>
  <c r="P718" i="1"/>
  <c r="T718" i="1"/>
  <c r="U718" i="1" s="1"/>
  <c r="P719" i="1"/>
  <c r="T719" i="1"/>
  <c r="U719" i="1"/>
  <c r="P720" i="1"/>
  <c r="T720" i="1"/>
  <c r="U720" i="1" s="1"/>
  <c r="P721" i="1"/>
  <c r="T721" i="1"/>
  <c r="U721" i="1"/>
  <c r="E702" i="1"/>
  <c r="I702" i="1"/>
  <c r="E703" i="1"/>
  <c r="I703" i="1"/>
  <c r="J703" i="1"/>
  <c r="E704" i="1"/>
  <c r="I704" i="1"/>
  <c r="J704" i="1" s="1"/>
  <c r="E693" i="1"/>
  <c r="I693" i="1"/>
  <c r="J693" i="1" s="1"/>
  <c r="E694" i="1"/>
  <c r="I694" i="1"/>
  <c r="J694" i="1" s="1"/>
  <c r="S728" i="1"/>
  <c r="R728" i="1"/>
  <c r="R687" i="1" s="1"/>
  <c r="Q728" i="1"/>
  <c r="Q687" i="1" s="1"/>
  <c r="O728" i="1"/>
  <c r="N728" i="1"/>
  <c r="M728" i="1"/>
  <c r="M687" i="1" s="1"/>
  <c r="H728" i="1"/>
  <c r="G728" i="1"/>
  <c r="F728" i="1"/>
  <c r="D728" i="1"/>
  <c r="C728" i="1"/>
  <c r="B728" i="1"/>
  <c r="I727" i="1"/>
  <c r="E727" i="1"/>
  <c r="J727" i="1" s="1"/>
  <c r="I726" i="1"/>
  <c r="E726" i="1"/>
  <c r="J726" i="1" s="1"/>
  <c r="I725" i="1"/>
  <c r="E725" i="1"/>
  <c r="J725" i="1" s="1"/>
  <c r="I724" i="1"/>
  <c r="E724" i="1"/>
  <c r="J724" i="1" s="1"/>
  <c r="I723" i="1"/>
  <c r="E723" i="1"/>
  <c r="J723" i="1" s="1"/>
  <c r="T722" i="1"/>
  <c r="P722" i="1"/>
  <c r="U722" i="1" s="1"/>
  <c r="I722" i="1"/>
  <c r="E722" i="1"/>
  <c r="J722" i="1" s="1"/>
  <c r="I721" i="1"/>
  <c r="E721" i="1"/>
  <c r="J721" i="1" s="1"/>
  <c r="I720" i="1"/>
  <c r="E720" i="1"/>
  <c r="J720" i="1" s="1"/>
  <c r="I719" i="1"/>
  <c r="E719" i="1"/>
  <c r="J719" i="1" s="1"/>
  <c r="I718" i="1"/>
  <c r="E718" i="1"/>
  <c r="J718" i="1" s="1"/>
  <c r="I717" i="1"/>
  <c r="E717" i="1"/>
  <c r="J717" i="1" s="1"/>
  <c r="I716" i="1"/>
  <c r="E716" i="1"/>
  <c r="J716" i="1" s="1"/>
  <c r="I715" i="1"/>
  <c r="E715" i="1"/>
  <c r="J715" i="1" s="1"/>
  <c r="I714" i="1"/>
  <c r="E714" i="1"/>
  <c r="J714" i="1" s="1"/>
  <c r="I713" i="1"/>
  <c r="E713" i="1"/>
  <c r="J713" i="1" s="1"/>
  <c r="I712" i="1"/>
  <c r="E712" i="1"/>
  <c r="J712" i="1" s="1"/>
  <c r="I711" i="1"/>
  <c r="E711" i="1"/>
  <c r="J711" i="1" s="1"/>
  <c r="I710" i="1"/>
  <c r="E710" i="1"/>
  <c r="J710" i="1" s="1"/>
  <c r="I709" i="1"/>
  <c r="E709" i="1"/>
  <c r="J709" i="1" s="1"/>
  <c r="I708" i="1"/>
  <c r="E708" i="1"/>
  <c r="J708" i="1" s="1"/>
  <c r="I707" i="1"/>
  <c r="E707" i="1"/>
  <c r="J707" i="1" s="1"/>
  <c r="I706" i="1"/>
  <c r="E706" i="1"/>
  <c r="J706" i="1" s="1"/>
  <c r="I705" i="1"/>
  <c r="E705" i="1"/>
  <c r="J705" i="1" s="1"/>
  <c r="B701" i="1"/>
  <c r="T700" i="1"/>
  <c r="P700" i="1"/>
  <c r="U700" i="1" s="1"/>
  <c r="I700" i="1"/>
  <c r="E700" i="1"/>
  <c r="J700" i="1" s="1"/>
  <c r="T699" i="1"/>
  <c r="P699" i="1"/>
  <c r="I699" i="1"/>
  <c r="E699" i="1"/>
  <c r="J699" i="1" s="1"/>
  <c r="I696" i="1"/>
  <c r="E696" i="1"/>
  <c r="J696" i="1" s="1"/>
  <c r="I695" i="1"/>
  <c r="E695" i="1"/>
  <c r="J695" i="1" s="1"/>
  <c r="H692" i="1"/>
  <c r="H701" i="1" s="1"/>
  <c r="G692" i="1"/>
  <c r="G701" i="1" s="1"/>
  <c r="F692" i="1"/>
  <c r="I692" i="1" s="1"/>
  <c r="C692" i="1"/>
  <c r="C701" i="1" s="1"/>
  <c r="C729" i="1" s="1"/>
  <c r="C735" i="1" s="1"/>
  <c r="C744" i="1" s="1"/>
  <c r="C772" i="1" s="1"/>
  <c r="B692" i="1"/>
  <c r="P594" i="4"/>
  <c r="T594" i="4"/>
  <c r="U594" i="4" s="1"/>
  <c r="T639" i="4"/>
  <c r="P639" i="4"/>
  <c r="U639" i="4" s="1"/>
  <c r="T683" i="1"/>
  <c r="P683" i="1"/>
  <c r="U683" i="1" s="1"/>
  <c r="T682" i="1"/>
  <c r="P682" i="1"/>
  <c r="U682" i="1" s="1"/>
  <c r="T640" i="4"/>
  <c r="P640" i="4"/>
  <c r="U640" i="4" s="1"/>
  <c r="P637" i="1"/>
  <c r="U637" i="1" s="1"/>
  <c r="T637" i="1"/>
  <c r="P638" i="1"/>
  <c r="U638" i="1" s="1"/>
  <c r="T638" i="1"/>
  <c r="P639" i="1"/>
  <c r="T639" i="1"/>
  <c r="T641" i="1"/>
  <c r="R599" i="4"/>
  <c r="T684" i="1"/>
  <c r="P684" i="1"/>
  <c r="U684" i="1" s="1"/>
  <c r="T641" i="4"/>
  <c r="U641" i="4" s="1"/>
  <c r="P641" i="4"/>
  <c r="P616" i="1"/>
  <c r="T616" i="1"/>
  <c r="T583" i="1"/>
  <c r="P583" i="1"/>
  <c r="U583" i="1" s="1"/>
  <c r="P573" i="4"/>
  <c r="T573" i="4"/>
  <c r="T536" i="4"/>
  <c r="P536" i="4"/>
  <c r="U536" i="4" s="1"/>
  <c r="N599" i="4"/>
  <c r="O599" i="4"/>
  <c r="T596" i="4"/>
  <c r="P596" i="4"/>
  <c r="U596" i="4" s="1"/>
  <c r="T595" i="4"/>
  <c r="P595" i="4"/>
  <c r="T597" i="4"/>
  <c r="P597" i="4"/>
  <c r="T554" i="4"/>
  <c r="P554" i="4"/>
  <c r="T553" i="4"/>
  <c r="P553" i="4"/>
  <c r="U553" i="4" s="1"/>
  <c r="T597" i="1"/>
  <c r="P597" i="1"/>
  <c r="T596" i="1"/>
  <c r="P596" i="1"/>
  <c r="E616" i="1"/>
  <c r="I616" i="1"/>
  <c r="J616" i="1"/>
  <c r="E659" i="1"/>
  <c r="I659" i="1"/>
  <c r="J659" i="1"/>
  <c r="H685" i="1"/>
  <c r="G685" i="1"/>
  <c r="F685" i="1"/>
  <c r="D685" i="1"/>
  <c r="C685" i="1"/>
  <c r="B685" i="1"/>
  <c r="I684" i="1"/>
  <c r="J684" i="1" s="1"/>
  <c r="E684" i="1"/>
  <c r="I683" i="1"/>
  <c r="E683" i="1"/>
  <c r="J683" i="1" s="1"/>
  <c r="I682" i="1"/>
  <c r="E682" i="1"/>
  <c r="J682" i="1" s="1"/>
  <c r="J681" i="1"/>
  <c r="I681" i="1"/>
  <c r="E681" i="1"/>
  <c r="I680" i="1"/>
  <c r="J680" i="1" s="1"/>
  <c r="E680" i="1"/>
  <c r="I679" i="1"/>
  <c r="E679" i="1"/>
  <c r="J679" i="1" s="1"/>
  <c r="I678" i="1"/>
  <c r="E678" i="1"/>
  <c r="J678" i="1" s="1"/>
  <c r="J677" i="1"/>
  <c r="I677" i="1"/>
  <c r="E677" i="1"/>
  <c r="I676" i="1"/>
  <c r="J676" i="1" s="1"/>
  <c r="E676" i="1"/>
  <c r="I675" i="1"/>
  <c r="E675" i="1"/>
  <c r="J675" i="1" s="1"/>
  <c r="I674" i="1"/>
  <c r="E674" i="1"/>
  <c r="J674" i="1" s="1"/>
  <c r="J673" i="1"/>
  <c r="I673" i="1"/>
  <c r="E673" i="1"/>
  <c r="I672" i="1"/>
  <c r="J672" i="1" s="1"/>
  <c r="E672" i="1"/>
  <c r="I671" i="1"/>
  <c r="E671" i="1"/>
  <c r="J671" i="1" s="1"/>
  <c r="I670" i="1"/>
  <c r="E670" i="1"/>
  <c r="J670" i="1" s="1"/>
  <c r="J669" i="1"/>
  <c r="I669" i="1"/>
  <c r="E669" i="1"/>
  <c r="I668" i="1"/>
  <c r="J668" i="1" s="1"/>
  <c r="E668" i="1"/>
  <c r="I667" i="1"/>
  <c r="E667" i="1"/>
  <c r="J667" i="1" s="1"/>
  <c r="I666" i="1"/>
  <c r="E666" i="1"/>
  <c r="J666" i="1" s="1"/>
  <c r="J665" i="1"/>
  <c r="I665" i="1"/>
  <c r="E665" i="1"/>
  <c r="I664" i="1"/>
  <c r="J664" i="1" s="1"/>
  <c r="E664" i="1"/>
  <c r="I663" i="1"/>
  <c r="E663" i="1"/>
  <c r="J663" i="1" s="1"/>
  <c r="I662" i="1"/>
  <c r="E662" i="1"/>
  <c r="J662" i="1" s="1"/>
  <c r="J661" i="1"/>
  <c r="I661" i="1"/>
  <c r="E661" i="1"/>
  <c r="I660" i="1"/>
  <c r="E660" i="1"/>
  <c r="I657" i="1"/>
  <c r="E657" i="1"/>
  <c r="J657" i="1" s="1"/>
  <c r="I656" i="1"/>
  <c r="E656" i="1"/>
  <c r="J656" i="1" s="1"/>
  <c r="J655" i="1"/>
  <c r="I655" i="1"/>
  <c r="E655" i="1"/>
  <c r="I654" i="1"/>
  <c r="J654" i="1" s="1"/>
  <c r="E654" i="1"/>
  <c r="I653" i="1"/>
  <c r="E653" i="1"/>
  <c r="J653" i="1" s="1"/>
  <c r="I652" i="1"/>
  <c r="E652" i="1"/>
  <c r="J652" i="1" s="1"/>
  <c r="J651" i="1"/>
  <c r="I651" i="1"/>
  <c r="E651" i="1"/>
  <c r="I650" i="1"/>
  <c r="E650" i="1"/>
  <c r="H642" i="1"/>
  <c r="G642" i="1"/>
  <c r="F642" i="1"/>
  <c r="D642" i="1"/>
  <c r="C642" i="1"/>
  <c r="B642" i="1"/>
  <c r="I641" i="1"/>
  <c r="J641" i="1" s="1"/>
  <c r="E641" i="1"/>
  <c r="I640" i="1"/>
  <c r="E640" i="1"/>
  <c r="J640" i="1" s="1"/>
  <c r="I639" i="1"/>
  <c r="E639" i="1"/>
  <c r="J639" i="1" s="1"/>
  <c r="J638" i="1"/>
  <c r="I638" i="1"/>
  <c r="E638" i="1"/>
  <c r="I637" i="1"/>
  <c r="J637" i="1" s="1"/>
  <c r="E637" i="1"/>
  <c r="I636" i="1"/>
  <c r="E636" i="1"/>
  <c r="J636" i="1" s="1"/>
  <c r="I635" i="1"/>
  <c r="E635" i="1"/>
  <c r="J635" i="1" s="1"/>
  <c r="J634" i="1"/>
  <c r="I634" i="1"/>
  <c r="E634" i="1"/>
  <c r="I633" i="1"/>
  <c r="J633" i="1" s="1"/>
  <c r="E633" i="1"/>
  <c r="I632" i="1"/>
  <c r="E632" i="1"/>
  <c r="J632" i="1" s="1"/>
  <c r="I631" i="1"/>
  <c r="E631" i="1"/>
  <c r="J631" i="1" s="1"/>
  <c r="J630" i="1"/>
  <c r="I630" i="1"/>
  <c r="E630" i="1"/>
  <c r="I629" i="1"/>
  <c r="J629" i="1" s="1"/>
  <c r="E629" i="1"/>
  <c r="I628" i="1"/>
  <c r="E628" i="1"/>
  <c r="J628" i="1" s="1"/>
  <c r="I627" i="1"/>
  <c r="E627" i="1"/>
  <c r="J627" i="1" s="1"/>
  <c r="J626" i="1"/>
  <c r="I626" i="1"/>
  <c r="E626" i="1"/>
  <c r="I625" i="1"/>
  <c r="J625" i="1" s="1"/>
  <c r="E625" i="1"/>
  <c r="I624" i="1"/>
  <c r="E624" i="1"/>
  <c r="J624" i="1" s="1"/>
  <c r="I623" i="1"/>
  <c r="E623" i="1"/>
  <c r="J623" i="1" s="1"/>
  <c r="J622" i="1"/>
  <c r="I622" i="1"/>
  <c r="E622" i="1"/>
  <c r="I621" i="1"/>
  <c r="J621" i="1" s="1"/>
  <c r="E621" i="1"/>
  <c r="I620" i="1"/>
  <c r="E620" i="1"/>
  <c r="J620" i="1" s="1"/>
  <c r="I619" i="1"/>
  <c r="E619" i="1"/>
  <c r="J619" i="1" s="1"/>
  <c r="J618" i="1"/>
  <c r="I618" i="1"/>
  <c r="E618" i="1"/>
  <c r="I617" i="1"/>
  <c r="J617" i="1" s="1"/>
  <c r="E617" i="1"/>
  <c r="I614" i="1"/>
  <c r="E614" i="1"/>
  <c r="J614" i="1" s="1"/>
  <c r="I613" i="1"/>
  <c r="E613" i="1"/>
  <c r="J613" i="1" s="1"/>
  <c r="J612" i="1"/>
  <c r="I612" i="1"/>
  <c r="E612" i="1"/>
  <c r="I611" i="1"/>
  <c r="J611" i="1" s="1"/>
  <c r="E611" i="1"/>
  <c r="I610" i="1"/>
  <c r="E610" i="1"/>
  <c r="J610" i="1" s="1"/>
  <c r="I609" i="1"/>
  <c r="E609" i="1"/>
  <c r="J609" i="1" s="1"/>
  <c r="I608" i="1"/>
  <c r="E608" i="1"/>
  <c r="J608" i="1" s="1"/>
  <c r="I607" i="1"/>
  <c r="E607" i="1"/>
  <c r="H606" i="1"/>
  <c r="H615" i="1" s="1"/>
  <c r="H643" i="1" s="1"/>
  <c r="H649" i="1" s="1"/>
  <c r="H658" i="1" s="1"/>
  <c r="H686" i="1" s="1"/>
  <c r="D606" i="1"/>
  <c r="D615" i="1" s="1"/>
  <c r="D643" i="1" s="1"/>
  <c r="D649" i="1" s="1"/>
  <c r="D658" i="1" s="1"/>
  <c r="D686" i="1" s="1"/>
  <c r="D692" i="1" s="1"/>
  <c r="D701" i="1" s="1"/>
  <c r="P598" i="1"/>
  <c r="T598" i="1"/>
  <c r="P567" i="1"/>
  <c r="U567" i="1" s="1"/>
  <c r="T567" i="1"/>
  <c r="P568" i="1"/>
  <c r="U568" i="1" s="1"/>
  <c r="T568" i="1"/>
  <c r="P569" i="1"/>
  <c r="T569" i="1"/>
  <c r="U569" i="1" s="1"/>
  <c r="T610" i="1"/>
  <c r="P610" i="1"/>
  <c r="U610" i="1" s="1"/>
  <c r="U609" i="1"/>
  <c r="T609" i="1"/>
  <c r="P609" i="1"/>
  <c r="P608" i="1"/>
  <c r="U608" i="1" s="1"/>
  <c r="T608" i="1"/>
  <c r="P612" i="1"/>
  <c r="U612" i="1" s="1"/>
  <c r="T612" i="1"/>
  <c r="P640" i="1"/>
  <c r="T640" i="1"/>
  <c r="P655" i="1"/>
  <c r="T655" i="1"/>
  <c r="U655" i="1"/>
  <c r="T652" i="1"/>
  <c r="P652" i="1"/>
  <c r="U652" i="1" s="1"/>
  <c r="P651" i="1"/>
  <c r="U651" i="1" s="1"/>
  <c r="T651" i="1"/>
  <c r="P653" i="1"/>
  <c r="T653" i="1"/>
  <c r="P654" i="1"/>
  <c r="T654" i="1"/>
  <c r="U654" i="1" s="1"/>
  <c r="S685" i="1"/>
  <c r="R685" i="1"/>
  <c r="Q685" i="1"/>
  <c r="O685" i="1"/>
  <c r="N685" i="1"/>
  <c r="M685" i="1"/>
  <c r="U681" i="1"/>
  <c r="T681" i="1"/>
  <c r="P681" i="1"/>
  <c r="T680" i="1"/>
  <c r="P680" i="1"/>
  <c r="U680" i="1" s="1"/>
  <c r="T679" i="1"/>
  <c r="P679" i="1"/>
  <c r="T678" i="1"/>
  <c r="P678" i="1"/>
  <c r="T677" i="1"/>
  <c r="P677" i="1"/>
  <c r="U677" i="1" s="1"/>
  <c r="T676" i="1"/>
  <c r="P676" i="1"/>
  <c r="T675" i="1"/>
  <c r="P675" i="1"/>
  <c r="U675" i="1" s="1"/>
  <c r="T674" i="1"/>
  <c r="P674" i="1"/>
  <c r="T673" i="1"/>
  <c r="P673" i="1"/>
  <c r="U673" i="1" s="1"/>
  <c r="T672" i="1"/>
  <c r="P672" i="1"/>
  <c r="T671" i="1"/>
  <c r="P671" i="1"/>
  <c r="U671" i="1" s="1"/>
  <c r="T670" i="1"/>
  <c r="P670" i="1"/>
  <c r="T669" i="1"/>
  <c r="P669" i="1"/>
  <c r="U669" i="1" s="1"/>
  <c r="T668" i="1"/>
  <c r="P668" i="1"/>
  <c r="T667" i="1"/>
  <c r="P667" i="1"/>
  <c r="U667" i="1" s="1"/>
  <c r="T666" i="1"/>
  <c r="P666" i="1"/>
  <c r="T665" i="1"/>
  <c r="P665" i="1"/>
  <c r="U665" i="1" s="1"/>
  <c r="T664" i="1"/>
  <c r="P664" i="1"/>
  <c r="T663" i="1"/>
  <c r="P663" i="1"/>
  <c r="U663" i="1" s="1"/>
  <c r="T662" i="1"/>
  <c r="P662" i="1"/>
  <c r="T661" i="1"/>
  <c r="P661" i="1"/>
  <c r="U661" i="1" s="1"/>
  <c r="T660" i="1"/>
  <c r="P660" i="1"/>
  <c r="T659" i="1"/>
  <c r="P659" i="1"/>
  <c r="U657" i="1"/>
  <c r="T657" i="1"/>
  <c r="P657" i="1"/>
  <c r="U656" i="1"/>
  <c r="T656" i="1"/>
  <c r="P656" i="1"/>
  <c r="U650" i="1"/>
  <c r="T650" i="1"/>
  <c r="P650" i="1"/>
  <c r="S642" i="1"/>
  <c r="R642" i="1"/>
  <c r="Q642" i="1"/>
  <c r="O642" i="1"/>
  <c r="N642" i="1"/>
  <c r="M642" i="1"/>
  <c r="T636" i="1"/>
  <c r="P636" i="1"/>
  <c r="T635" i="1"/>
  <c r="P635" i="1"/>
  <c r="T634" i="1"/>
  <c r="P634" i="1"/>
  <c r="U634" i="1" s="1"/>
  <c r="T633" i="1"/>
  <c r="P633" i="1"/>
  <c r="U633" i="1" s="1"/>
  <c r="T632" i="1"/>
  <c r="P632" i="1"/>
  <c r="T631" i="1"/>
  <c r="P631" i="1"/>
  <c r="U631" i="1" s="1"/>
  <c r="T630" i="1"/>
  <c r="P630" i="1"/>
  <c r="T629" i="1"/>
  <c r="P629" i="1"/>
  <c r="T628" i="1"/>
  <c r="U628" i="1" s="1"/>
  <c r="P628" i="1"/>
  <c r="T627" i="1"/>
  <c r="P627" i="1"/>
  <c r="T626" i="1"/>
  <c r="P626" i="1"/>
  <c r="U626" i="1" s="1"/>
  <c r="T625" i="1"/>
  <c r="P625" i="1"/>
  <c r="U625" i="1" s="1"/>
  <c r="T624" i="1"/>
  <c r="P624" i="1"/>
  <c r="U624" i="1" s="1"/>
  <c r="T623" i="1"/>
  <c r="P623" i="1"/>
  <c r="T622" i="1"/>
  <c r="P622" i="1"/>
  <c r="U622" i="1" s="1"/>
  <c r="T621" i="1"/>
  <c r="P621" i="1"/>
  <c r="U621" i="1" s="1"/>
  <c r="T620" i="1"/>
  <c r="P620" i="1"/>
  <c r="U620" i="1" s="1"/>
  <c r="T619" i="1"/>
  <c r="P619" i="1"/>
  <c r="U619" i="1" s="1"/>
  <c r="T618" i="1"/>
  <c r="P618" i="1"/>
  <c r="T617" i="1"/>
  <c r="P617" i="1"/>
  <c r="T614" i="1"/>
  <c r="P614" i="1"/>
  <c r="U614" i="1" s="1"/>
  <c r="U613" i="1"/>
  <c r="T613" i="1"/>
  <c r="P613" i="1"/>
  <c r="T611" i="1"/>
  <c r="P611" i="1"/>
  <c r="T607" i="1"/>
  <c r="P607" i="1"/>
  <c r="U607" i="1" s="1"/>
  <c r="H642" i="4"/>
  <c r="I642" i="4" s="1"/>
  <c r="G642" i="4"/>
  <c r="F642" i="4"/>
  <c r="D642" i="4"/>
  <c r="E642" i="4" s="1"/>
  <c r="J642" i="4" s="1"/>
  <c r="C642" i="4"/>
  <c r="B642" i="4"/>
  <c r="I641" i="4"/>
  <c r="J641" i="4" s="1"/>
  <c r="E641" i="4"/>
  <c r="I640" i="4"/>
  <c r="E640" i="4"/>
  <c r="J640" i="4" s="1"/>
  <c r="I639" i="4"/>
  <c r="E639" i="4"/>
  <c r="J639" i="4" s="1"/>
  <c r="J638" i="4"/>
  <c r="I638" i="4"/>
  <c r="E638" i="4"/>
  <c r="I637" i="4"/>
  <c r="J637" i="4" s="1"/>
  <c r="E637" i="4"/>
  <c r="I636" i="4"/>
  <c r="E636" i="4"/>
  <c r="J636" i="4" s="1"/>
  <c r="I635" i="4"/>
  <c r="E635" i="4"/>
  <c r="J635" i="4" s="1"/>
  <c r="J634" i="4"/>
  <c r="I634" i="4"/>
  <c r="E634" i="4"/>
  <c r="I633" i="4"/>
  <c r="J633" i="4" s="1"/>
  <c r="E633" i="4"/>
  <c r="I632" i="4"/>
  <c r="E632" i="4"/>
  <c r="J632" i="4" s="1"/>
  <c r="I631" i="4"/>
  <c r="E631" i="4"/>
  <c r="J631" i="4" s="1"/>
  <c r="J630" i="4"/>
  <c r="I630" i="4"/>
  <c r="E630" i="4"/>
  <c r="I629" i="4"/>
  <c r="J629" i="4" s="1"/>
  <c r="E629" i="4"/>
  <c r="I628" i="4"/>
  <c r="E628" i="4"/>
  <c r="J628" i="4" s="1"/>
  <c r="I627" i="4"/>
  <c r="E627" i="4"/>
  <c r="J627" i="4" s="1"/>
  <c r="J626" i="4"/>
  <c r="I626" i="4"/>
  <c r="E626" i="4"/>
  <c r="I625" i="4"/>
  <c r="J625" i="4" s="1"/>
  <c r="E625" i="4"/>
  <c r="I624" i="4"/>
  <c r="E624" i="4"/>
  <c r="J624" i="4" s="1"/>
  <c r="I623" i="4"/>
  <c r="E623" i="4"/>
  <c r="J623" i="4" s="1"/>
  <c r="J622" i="4"/>
  <c r="I622" i="4"/>
  <c r="E622" i="4"/>
  <c r="I621" i="4"/>
  <c r="J621" i="4" s="1"/>
  <c r="E621" i="4"/>
  <c r="I620" i="4"/>
  <c r="E620" i="4"/>
  <c r="J620" i="4" s="1"/>
  <c r="I619" i="4"/>
  <c r="E619" i="4"/>
  <c r="J619" i="4" s="1"/>
  <c r="J618" i="4"/>
  <c r="I618" i="4"/>
  <c r="E618" i="4"/>
  <c r="I617" i="4"/>
  <c r="J617" i="4" s="1"/>
  <c r="E617" i="4"/>
  <c r="I616" i="4"/>
  <c r="E616" i="4"/>
  <c r="J616" i="4" s="1"/>
  <c r="I614" i="4"/>
  <c r="E614" i="4"/>
  <c r="J614" i="4" s="1"/>
  <c r="I613" i="4"/>
  <c r="E613" i="4"/>
  <c r="J613" i="4" s="1"/>
  <c r="J612" i="4"/>
  <c r="I612" i="4"/>
  <c r="E612" i="4"/>
  <c r="I611" i="4"/>
  <c r="J611" i="4" s="1"/>
  <c r="E611" i="4"/>
  <c r="I610" i="4"/>
  <c r="E610" i="4"/>
  <c r="J610" i="4" s="1"/>
  <c r="I609" i="4"/>
  <c r="E609" i="4"/>
  <c r="J609" i="4" s="1"/>
  <c r="I608" i="4"/>
  <c r="E608" i="4"/>
  <c r="I607" i="4"/>
  <c r="J607" i="4" s="1"/>
  <c r="E607" i="4"/>
  <c r="E573" i="4"/>
  <c r="I573" i="4"/>
  <c r="J573" i="4" s="1"/>
  <c r="H599" i="4"/>
  <c r="G599" i="4"/>
  <c r="F599" i="4"/>
  <c r="D599" i="4"/>
  <c r="C599" i="4"/>
  <c r="B599" i="4"/>
  <c r="I598" i="4"/>
  <c r="J598" i="4" s="1"/>
  <c r="E598" i="4"/>
  <c r="I597" i="4"/>
  <c r="E597" i="4"/>
  <c r="J597" i="4" s="1"/>
  <c r="I596" i="4"/>
  <c r="E596" i="4"/>
  <c r="J596" i="4" s="1"/>
  <c r="J595" i="4"/>
  <c r="I595" i="4"/>
  <c r="E595" i="4"/>
  <c r="I594" i="4"/>
  <c r="J594" i="4" s="1"/>
  <c r="E594" i="4"/>
  <c r="I593" i="4"/>
  <c r="E593" i="4"/>
  <c r="J593" i="4" s="1"/>
  <c r="I592" i="4"/>
  <c r="E592" i="4"/>
  <c r="J592" i="4" s="1"/>
  <c r="J591" i="4"/>
  <c r="I591" i="4"/>
  <c r="E591" i="4"/>
  <c r="I590" i="4"/>
  <c r="J590" i="4" s="1"/>
  <c r="E590" i="4"/>
  <c r="I589" i="4"/>
  <c r="E589" i="4"/>
  <c r="J589" i="4" s="1"/>
  <c r="I588" i="4"/>
  <c r="E588" i="4"/>
  <c r="J588" i="4" s="1"/>
  <c r="J587" i="4"/>
  <c r="I587" i="4"/>
  <c r="E587" i="4"/>
  <c r="I586" i="4"/>
  <c r="J586" i="4" s="1"/>
  <c r="E586" i="4"/>
  <c r="I585" i="4"/>
  <c r="E585" i="4"/>
  <c r="J585" i="4" s="1"/>
  <c r="I584" i="4"/>
  <c r="E584" i="4"/>
  <c r="J584" i="4" s="1"/>
  <c r="J583" i="4"/>
  <c r="I583" i="4"/>
  <c r="E583" i="4"/>
  <c r="I582" i="4"/>
  <c r="J582" i="4" s="1"/>
  <c r="E582" i="4"/>
  <c r="I581" i="4"/>
  <c r="E581" i="4"/>
  <c r="J581" i="4" s="1"/>
  <c r="I580" i="4"/>
  <c r="E580" i="4"/>
  <c r="J580" i="4" s="1"/>
  <c r="J579" i="4"/>
  <c r="I579" i="4"/>
  <c r="E579" i="4"/>
  <c r="I578" i="4"/>
  <c r="J578" i="4" s="1"/>
  <c r="E578" i="4"/>
  <c r="I577" i="4"/>
  <c r="E577" i="4"/>
  <c r="J577" i="4" s="1"/>
  <c r="I576" i="4"/>
  <c r="E576" i="4"/>
  <c r="J576" i="4" s="1"/>
  <c r="I575" i="4"/>
  <c r="E575" i="4"/>
  <c r="I574" i="4"/>
  <c r="J574" i="4" s="1"/>
  <c r="E574" i="4"/>
  <c r="I571" i="4"/>
  <c r="E571" i="4"/>
  <c r="J571" i="4" s="1"/>
  <c r="I570" i="4"/>
  <c r="E570" i="4"/>
  <c r="J570" i="4" s="1"/>
  <c r="J569" i="4"/>
  <c r="I569" i="4"/>
  <c r="E569" i="4"/>
  <c r="I568" i="4"/>
  <c r="J568" i="4" s="1"/>
  <c r="E568" i="4"/>
  <c r="I567" i="4"/>
  <c r="E567" i="4"/>
  <c r="J567" i="4" s="1"/>
  <c r="I566" i="4"/>
  <c r="E566" i="4"/>
  <c r="J566" i="4" s="1"/>
  <c r="I565" i="4"/>
  <c r="E565" i="4"/>
  <c r="J565" i="4" s="1"/>
  <c r="I564" i="4"/>
  <c r="E564" i="4"/>
  <c r="H563" i="4"/>
  <c r="H572" i="4" s="1"/>
  <c r="P524" i="4"/>
  <c r="U524" i="4" s="1"/>
  <c r="T524" i="4"/>
  <c r="P525" i="4"/>
  <c r="U525" i="4" s="1"/>
  <c r="T525" i="4"/>
  <c r="P526" i="4"/>
  <c r="T526" i="4"/>
  <c r="U526" i="4" s="1"/>
  <c r="P555" i="4"/>
  <c r="T555" i="4"/>
  <c r="T609" i="4"/>
  <c r="P609" i="4"/>
  <c r="U609" i="4" s="1"/>
  <c r="P608" i="4"/>
  <c r="T608" i="4"/>
  <c r="U608" i="4"/>
  <c r="P610" i="4"/>
  <c r="T610" i="4"/>
  <c r="S642" i="4"/>
  <c r="R642" i="4"/>
  <c r="Q642" i="4"/>
  <c r="O642" i="4"/>
  <c r="N642" i="4"/>
  <c r="M642" i="4"/>
  <c r="U638" i="4"/>
  <c r="T638" i="4"/>
  <c r="P638" i="4"/>
  <c r="T637" i="4"/>
  <c r="U637" i="4" s="1"/>
  <c r="P637" i="4"/>
  <c r="T636" i="4"/>
  <c r="P636" i="4"/>
  <c r="U636" i="4" s="1"/>
  <c r="T635" i="4"/>
  <c r="P635" i="4"/>
  <c r="T634" i="4"/>
  <c r="P634" i="4"/>
  <c r="T633" i="4"/>
  <c r="P633" i="4"/>
  <c r="T632" i="4"/>
  <c r="P632" i="4"/>
  <c r="U632" i="4" s="1"/>
  <c r="T631" i="4"/>
  <c r="P631" i="4"/>
  <c r="U631" i="4" s="1"/>
  <c r="T630" i="4"/>
  <c r="P630" i="4"/>
  <c r="T629" i="4"/>
  <c r="U629" i="4" s="1"/>
  <c r="P629" i="4"/>
  <c r="T628" i="4"/>
  <c r="P628" i="4"/>
  <c r="T627" i="4"/>
  <c r="P627" i="4"/>
  <c r="U627" i="4" s="1"/>
  <c r="T626" i="4"/>
  <c r="P626" i="4"/>
  <c r="U626" i="4" s="1"/>
  <c r="T625" i="4"/>
  <c r="P625" i="4"/>
  <c r="T624" i="4"/>
  <c r="P624" i="4"/>
  <c r="T623" i="4"/>
  <c r="P623" i="4"/>
  <c r="U623" i="4" s="1"/>
  <c r="T622" i="4"/>
  <c r="P622" i="4"/>
  <c r="T621" i="4"/>
  <c r="U621" i="4" s="1"/>
  <c r="P621" i="4"/>
  <c r="T620" i="4"/>
  <c r="P620" i="4"/>
  <c r="U620" i="4" s="1"/>
  <c r="T619" i="4"/>
  <c r="P619" i="4"/>
  <c r="T618" i="4"/>
  <c r="P618" i="4"/>
  <c r="U618" i="4" s="1"/>
  <c r="T617" i="4"/>
  <c r="P617" i="4"/>
  <c r="T616" i="4"/>
  <c r="P616" i="4"/>
  <c r="U616" i="4" s="1"/>
  <c r="T614" i="4"/>
  <c r="P614" i="4"/>
  <c r="U614" i="4" s="1"/>
  <c r="T613" i="4"/>
  <c r="P613" i="4"/>
  <c r="U613" i="4" s="1"/>
  <c r="U612" i="4"/>
  <c r="T612" i="4"/>
  <c r="P612" i="4"/>
  <c r="T611" i="4"/>
  <c r="U611" i="4" s="1"/>
  <c r="P611" i="4"/>
  <c r="T607" i="4"/>
  <c r="U607" i="4" s="1"/>
  <c r="P607" i="4"/>
  <c r="P567" i="4"/>
  <c r="U567" i="4" s="1"/>
  <c r="T567" i="4"/>
  <c r="P569" i="4"/>
  <c r="T569" i="4"/>
  <c r="U569" i="4" s="1"/>
  <c r="T566" i="4"/>
  <c r="P566" i="4"/>
  <c r="U565" i="4"/>
  <c r="T565" i="4"/>
  <c r="P565" i="4"/>
  <c r="S599" i="4"/>
  <c r="Q599" i="4"/>
  <c r="M599" i="4"/>
  <c r="T593" i="4"/>
  <c r="P593" i="4"/>
  <c r="U593" i="4" s="1"/>
  <c r="T592" i="4"/>
  <c r="P592" i="4"/>
  <c r="T591" i="4"/>
  <c r="P591" i="4"/>
  <c r="T590" i="4"/>
  <c r="U590" i="4" s="1"/>
  <c r="P590" i="4"/>
  <c r="T589" i="4"/>
  <c r="P589" i="4"/>
  <c r="T588" i="4"/>
  <c r="P588" i="4"/>
  <c r="T587" i="4"/>
  <c r="P587" i="4"/>
  <c r="U587" i="4" s="1"/>
  <c r="T586" i="4"/>
  <c r="U586" i="4" s="1"/>
  <c r="P586" i="4"/>
  <c r="T585" i="4"/>
  <c r="P585" i="4"/>
  <c r="U585" i="4" s="1"/>
  <c r="T584" i="4"/>
  <c r="P584" i="4"/>
  <c r="T583" i="4"/>
  <c r="P583" i="4"/>
  <c r="U583" i="4" s="1"/>
  <c r="T582" i="4"/>
  <c r="U582" i="4" s="1"/>
  <c r="P582" i="4"/>
  <c r="T581" i="4"/>
  <c r="P581" i="4"/>
  <c r="U581" i="4" s="1"/>
  <c r="T580" i="4"/>
  <c r="P580" i="4"/>
  <c r="U580" i="4" s="1"/>
  <c r="T579" i="4"/>
  <c r="P579" i="4"/>
  <c r="U579" i="4" s="1"/>
  <c r="T578" i="4"/>
  <c r="U578" i="4" s="1"/>
  <c r="P578" i="4"/>
  <c r="T577" i="4"/>
  <c r="P577" i="4"/>
  <c r="T576" i="4"/>
  <c r="P576" i="4"/>
  <c r="T575" i="4"/>
  <c r="P575" i="4"/>
  <c r="T574" i="4"/>
  <c r="U574" i="4" s="1"/>
  <c r="P574" i="4"/>
  <c r="T571" i="4"/>
  <c r="P571" i="4"/>
  <c r="U571" i="4" s="1"/>
  <c r="T570" i="4"/>
  <c r="P570" i="4"/>
  <c r="U570" i="4" s="1"/>
  <c r="T568" i="4"/>
  <c r="P568" i="4"/>
  <c r="T564" i="4"/>
  <c r="U564" i="4" s="1"/>
  <c r="P564" i="4"/>
  <c r="T508" i="4"/>
  <c r="P508" i="4"/>
  <c r="U508" i="4" s="1"/>
  <c r="T507" i="4"/>
  <c r="P507" i="4"/>
  <c r="U507" i="4" s="1"/>
  <c r="T506" i="4"/>
  <c r="P506" i="4"/>
  <c r="U506" i="4" s="1"/>
  <c r="T505" i="4"/>
  <c r="P505" i="4"/>
  <c r="U505" i="4" s="1"/>
  <c r="T504" i="4"/>
  <c r="P504" i="4"/>
  <c r="U504" i="4" s="1"/>
  <c r="T503" i="4"/>
  <c r="P503" i="4"/>
  <c r="U503" i="4" s="1"/>
  <c r="T502" i="4"/>
  <c r="P502" i="4"/>
  <c r="U502" i="4" s="1"/>
  <c r="T501" i="4"/>
  <c r="P501" i="4"/>
  <c r="U501" i="4" s="1"/>
  <c r="T500" i="4"/>
  <c r="P500" i="4"/>
  <c r="U500" i="4" s="1"/>
  <c r="T499" i="4"/>
  <c r="P499" i="4"/>
  <c r="U499" i="4" s="1"/>
  <c r="T498" i="4"/>
  <c r="P498" i="4"/>
  <c r="U498" i="4" s="1"/>
  <c r="T497" i="4"/>
  <c r="P497" i="4"/>
  <c r="U497" i="4" s="1"/>
  <c r="T496" i="4"/>
  <c r="P496" i="4"/>
  <c r="U496" i="4" s="1"/>
  <c r="T495" i="4"/>
  <c r="P495" i="4"/>
  <c r="U495" i="4" s="1"/>
  <c r="T494" i="4"/>
  <c r="P494" i="4"/>
  <c r="U494" i="4" s="1"/>
  <c r="T493" i="4"/>
  <c r="P493" i="4"/>
  <c r="U493" i="4" s="1"/>
  <c r="T492" i="4"/>
  <c r="P492" i="4"/>
  <c r="U492" i="4" s="1"/>
  <c r="T491" i="4"/>
  <c r="P491" i="4"/>
  <c r="U491" i="4" s="1"/>
  <c r="T490" i="4"/>
  <c r="P490" i="4"/>
  <c r="U490" i="4" s="1"/>
  <c r="T489" i="4"/>
  <c r="P489" i="4"/>
  <c r="U489" i="4" s="1"/>
  <c r="T488" i="4"/>
  <c r="P488" i="4"/>
  <c r="U488" i="4" s="1"/>
  <c r="T487" i="4"/>
  <c r="P487" i="4"/>
  <c r="U487" i="4" s="1"/>
  <c r="T464" i="4"/>
  <c r="P464" i="4"/>
  <c r="U464" i="4" s="1"/>
  <c r="T463" i="4"/>
  <c r="P463" i="4"/>
  <c r="U463" i="4" s="1"/>
  <c r="T522" i="1"/>
  <c r="P522" i="1"/>
  <c r="U522" i="1" s="1"/>
  <c r="P521" i="4"/>
  <c r="U521" i="4" s="1"/>
  <c r="T521" i="4"/>
  <c r="P522" i="4"/>
  <c r="U522" i="4" s="1"/>
  <c r="T522" i="4"/>
  <c r="P530" i="4"/>
  <c r="U530" i="4" s="1"/>
  <c r="T530" i="4"/>
  <c r="P531" i="4"/>
  <c r="U531" i="4" s="1"/>
  <c r="T531" i="4"/>
  <c r="P532" i="4"/>
  <c r="T532" i="4"/>
  <c r="U532" i="4" s="1"/>
  <c r="P533" i="4"/>
  <c r="T533" i="4"/>
  <c r="U533" i="4" s="1"/>
  <c r="P534" i="4"/>
  <c r="T534" i="4"/>
  <c r="P535" i="4"/>
  <c r="T535" i="4"/>
  <c r="P537" i="4"/>
  <c r="T537" i="4"/>
  <c r="U537" i="4" s="1"/>
  <c r="P538" i="4"/>
  <c r="T538" i="4"/>
  <c r="P539" i="4"/>
  <c r="T539" i="4"/>
  <c r="P540" i="4"/>
  <c r="T540" i="4"/>
  <c r="U540" i="4" s="1"/>
  <c r="P541" i="4"/>
  <c r="T541" i="4"/>
  <c r="U541" i="4" s="1"/>
  <c r="P542" i="4"/>
  <c r="T542" i="4"/>
  <c r="P543" i="4"/>
  <c r="U543" i="4" s="1"/>
  <c r="T543" i="4"/>
  <c r="P544" i="4"/>
  <c r="T544" i="4"/>
  <c r="U544" i="4" s="1"/>
  <c r="P545" i="4"/>
  <c r="T545" i="4"/>
  <c r="U545" i="4" s="1"/>
  <c r="P546" i="4"/>
  <c r="T546" i="4"/>
  <c r="P547" i="4"/>
  <c r="T547" i="4"/>
  <c r="P548" i="4"/>
  <c r="T548" i="4"/>
  <c r="P549" i="4"/>
  <c r="T549" i="4"/>
  <c r="U549" i="4"/>
  <c r="P550" i="4"/>
  <c r="T550" i="4"/>
  <c r="E530" i="4"/>
  <c r="I530" i="4"/>
  <c r="E531" i="4"/>
  <c r="J531" i="4" s="1"/>
  <c r="I531" i="4"/>
  <c r="E532" i="4"/>
  <c r="I532" i="4"/>
  <c r="J532" i="4" s="1"/>
  <c r="E521" i="4"/>
  <c r="I521" i="4"/>
  <c r="J521" i="4" s="1"/>
  <c r="E522" i="4"/>
  <c r="J522" i="4" s="1"/>
  <c r="I522" i="4"/>
  <c r="E523" i="4"/>
  <c r="J523" i="4" s="1"/>
  <c r="I523" i="4"/>
  <c r="E524" i="4"/>
  <c r="I524" i="4"/>
  <c r="J524" i="4"/>
  <c r="S556" i="4"/>
  <c r="R556" i="4"/>
  <c r="R558" i="4" s="1"/>
  <c r="Q556" i="4"/>
  <c r="O556" i="4"/>
  <c r="N556" i="4"/>
  <c r="M556" i="4"/>
  <c r="H556" i="4"/>
  <c r="G556" i="4"/>
  <c r="F556" i="4"/>
  <c r="D556" i="4"/>
  <c r="C556" i="4"/>
  <c r="B556" i="4"/>
  <c r="J555" i="4"/>
  <c r="I555" i="4"/>
  <c r="E555" i="4"/>
  <c r="I554" i="4"/>
  <c r="E554" i="4"/>
  <c r="J554" i="4" s="1"/>
  <c r="J553" i="4"/>
  <c r="I553" i="4"/>
  <c r="E553" i="4"/>
  <c r="T552" i="4"/>
  <c r="P552" i="4"/>
  <c r="U552" i="4" s="1"/>
  <c r="I552" i="4"/>
  <c r="E552" i="4"/>
  <c r="J552" i="4" s="1"/>
  <c r="T551" i="4"/>
  <c r="P551" i="4"/>
  <c r="J551" i="4"/>
  <c r="I551" i="4"/>
  <c r="E551" i="4"/>
  <c r="I550" i="4"/>
  <c r="E550" i="4"/>
  <c r="J550" i="4" s="1"/>
  <c r="J549" i="4"/>
  <c r="I549" i="4"/>
  <c r="E549" i="4"/>
  <c r="I548" i="4"/>
  <c r="E548" i="4"/>
  <c r="J548" i="4" s="1"/>
  <c r="J547" i="4"/>
  <c r="I547" i="4"/>
  <c r="E547" i="4"/>
  <c r="I546" i="4"/>
  <c r="E546" i="4"/>
  <c r="J546" i="4" s="1"/>
  <c r="J545" i="4"/>
  <c r="I545" i="4"/>
  <c r="E545" i="4"/>
  <c r="I544" i="4"/>
  <c r="E544" i="4"/>
  <c r="J544" i="4" s="1"/>
  <c r="J543" i="4"/>
  <c r="I543" i="4"/>
  <c r="E543" i="4"/>
  <c r="I542" i="4"/>
  <c r="E542" i="4"/>
  <c r="J542" i="4" s="1"/>
  <c r="J541" i="4"/>
  <c r="I541" i="4"/>
  <c r="E541" i="4"/>
  <c r="I540" i="4"/>
  <c r="E540" i="4"/>
  <c r="J540" i="4" s="1"/>
  <c r="J539" i="4"/>
  <c r="I539" i="4"/>
  <c r="E539" i="4"/>
  <c r="I538" i="4"/>
  <c r="E538" i="4"/>
  <c r="J538" i="4" s="1"/>
  <c r="J537" i="4"/>
  <c r="I537" i="4"/>
  <c r="E537" i="4"/>
  <c r="I536" i="4"/>
  <c r="E536" i="4"/>
  <c r="J536" i="4" s="1"/>
  <c r="J535" i="4"/>
  <c r="I535" i="4"/>
  <c r="E535" i="4"/>
  <c r="I534" i="4"/>
  <c r="E534" i="4"/>
  <c r="J534" i="4" s="1"/>
  <c r="J533" i="4"/>
  <c r="I533" i="4"/>
  <c r="E533" i="4"/>
  <c r="T528" i="4"/>
  <c r="P528" i="4"/>
  <c r="U528" i="4" s="1"/>
  <c r="I528" i="4"/>
  <c r="E528" i="4"/>
  <c r="J528" i="4" s="1"/>
  <c r="U527" i="4"/>
  <c r="T527" i="4"/>
  <c r="P527" i="4"/>
  <c r="J527" i="4"/>
  <c r="I527" i="4"/>
  <c r="E527" i="4"/>
  <c r="I526" i="4"/>
  <c r="E526" i="4"/>
  <c r="J526" i="4" s="1"/>
  <c r="J525" i="4"/>
  <c r="I525" i="4"/>
  <c r="E525" i="4"/>
  <c r="T523" i="4"/>
  <c r="U523" i="4" s="1"/>
  <c r="P523" i="4"/>
  <c r="C520" i="4"/>
  <c r="C529" i="4" s="1"/>
  <c r="P564" i="1"/>
  <c r="U564" i="1" s="1"/>
  <c r="T564" i="1"/>
  <c r="P573" i="1"/>
  <c r="T573" i="1"/>
  <c r="U573" i="1"/>
  <c r="P574" i="1"/>
  <c r="T574" i="1"/>
  <c r="P575" i="1"/>
  <c r="U575" i="1" s="1"/>
  <c r="T575" i="1"/>
  <c r="P576" i="1"/>
  <c r="T576" i="1"/>
  <c r="U576" i="1"/>
  <c r="P577" i="1"/>
  <c r="T577" i="1"/>
  <c r="U577" i="1" s="1"/>
  <c r="P578" i="1"/>
  <c r="T578" i="1"/>
  <c r="P579" i="1"/>
  <c r="T579" i="1"/>
  <c r="P580" i="1"/>
  <c r="T580" i="1"/>
  <c r="U580" i="1" s="1"/>
  <c r="P581" i="1"/>
  <c r="T581" i="1"/>
  <c r="U581" i="1"/>
  <c r="P582" i="1"/>
  <c r="T582" i="1"/>
  <c r="E573" i="1"/>
  <c r="I573" i="1"/>
  <c r="E564" i="1"/>
  <c r="I564" i="1"/>
  <c r="J564" i="1" s="1"/>
  <c r="E565" i="1"/>
  <c r="J565" i="1" s="1"/>
  <c r="I565" i="1"/>
  <c r="S599" i="1"/>
  <c r="R599" i="1"/>
  <c r="Q599" i="1"/>
  <c r="O599" i="1"/>
  <c r="N599" i="1"/>
  <c r="M599" i="1"/>
  <c r="H599" i="1"/>
  <c r="G599" i="1"/>
  <c r="F599" i="1"/>
  <c r="I599" i="1" s="1"/>
  <c r="D599" i="1"/>
  <c r="C599" i="1"/>
  <c r="B599" i="1"/>
  <c r="J598" i="1"/>
  <c r="I598" i="1"/>
  <c r="E598" i="1"/>
  <c r="I597" i="1"/>
  <c r="E597" i="1"/>
  <c r="J597" i="1" s="1"/>
  <c r="J596" i="1"/>
  <c r="I596" i="1"/>
  <c r="E596" i="1"/>
  <c r="T595" i="1"/>
  <c r="P595" i="1"/>
  <c r="I595" i="1"/>
  <c r="E595" i="1"/>
  <c r="J595" i="1" s="1"/>
  <c r="T594" i="1"/>
  <c r="P594" i="1"/>
  <c r="J594" i="1"/>
  <c r="I594" i="1"/>
  <c r="E594" i="1"/>
  <c r="T593" i="1"/>
  <c r="P593" i="1"/>
  <c r="I593" i="1"/>
  <c r="E593" i="1"/>
  <c r="J593" i="1" s="1"/>
  <c r="T592" i="1"/>
  <c r="P592" i="1"/>
  <c r="U592" i="1" s="1"/>
  <c r="J592" i="1"/>
  <c r="I592" i="1"/>
  <c r="E592" i="1"/>
  <c r="T591" i="1"/>
  <c r="P591" i="1"/>
  <c r="I591" i="1"/>
  <c r="E591" i="1"/>
  <c r="J591" i="1" s="1"/>
  <c r="T590" i="1"/>
  <c r="P590" i="1"/>
  <c r="U590" i="1" s="1"/>
  <c r="J590" i="1"/>
  <c r="I590" i="1"/>
  <c r="E590" i="1"/>
  <c r="T589" i="1"/>
  <c r="U589" i="1" s="1"/>
  <c r="P589" i="1"/>
  <c r="I589" i="1"/>
  <c r="E589" i="1"/>
  <c r="J589" i="1" s="1"/>
  <c r="T588" i="1"/>
  <c r="P588" i="1"/>
  <c r="J588" i="1"/>
  <c r="I588" i="1"/>
  <c r="E588" i="1"/>
  <c r="T587" i="1"/>
  <c r="U587" i="1" s="1"/>
  <c r="P587" i="1"/>
  <c r="I587" i="1"/>
  <c r="E587" i="1"/>
  <c r="J587" i="1" s="1"/>
  <c r="T586" i="1"/>
  <c r="P586" i="1"/>
  <c r="J586" i="1"/>
  <c r="I586" i="1"/>
  <c r="E586" i="1"/>
  <c r="T585" i="1"/>
  <c r="P585" i="1"/>
  <c r="I585" i="1"/>
  <c r="E585" i="1"/>
  <c r="J585" i="1" s="1"/>
  <c r="T584" i="1"/>
  <c r="P584" i="1"/>
  <c r="U584" i="1" s="1"/>
  <c r="J584" i="1"/>
  <c r="I584" i="1"/>
  <c r="E584" i="1"/>
  <c r="I583" i="1"/>
  <c r="E583" i="1"/>
  <c r="J583" i="1" s="1"/>
  <c r="J582" i="1"/>
  <c r="I582" i="1"/>
  <c r="E582" i="1"/>
  <c r="I581" i="1"/>
  <c r="E581" i="1"/>
  <c r="J581" i="1" s="1"/>
  <c r="J580" i="1"/>
  <c r="I580" i="1"/>
  <c r="E580" i="1"/>
  <c r="I579" i="1"/>
  <c r="E579" i="1"/>
  <c r="J579" i="1" s="1"/>
  <c r="J578" i="1"/>
  <c r="I578" i="1"/>
  <c r="E578" i="1"/>
  <c r="I577" i="1"/>
  <c r="E577" i="1"/>
  <c r="J577" i="1" s="1"/>
  <c r="J576" i="1"/>
  <c r="I576" i="1"/>
  <c r="E576" i="1"/>
  <c r="I575" i="1"/>
  <c r="E575" i="1"/>
  <c r="J575" i="1" s="1"/>
  <c r="J574" i="1"/>
  <c r="I574" i="1"/>
  <c r="E574" i="1"/>
  <c r="T571" i="1"/>
  <c r="U571" i="1" s="1"/>
  <c r="P571" i="1"/>
  <c r="I571" i="1"/>
  <c r="E571" i="1"/>
  <c r="J571" i="1" s="1"/>
  <c r="T570" i="1"/>
  <c r="P570" i="1"/>
  <c r="U570" i="1" s="1"/>
  <c r="J570" i="1"/>
  <c r="I570" i="1"/>
  <c r="E570" i="1"/>
  <c r="I569" i="1"/>
  <c r="E569" i="1"/>
  <c r="J569" i="1" s="1"/>
  <c r="J568" i="1"/>
  <c r="I568" i="1"/>
  <c r="E568" i="1"/>
  <c r="I567" i="1"/>
  <c r="E567" i="1"/>
  <c r="J567" i="1" s="1"/>
  <c r="T566" i="1"/>
  <c r="P566" i="1"/>
  <c r="U566" i="1" s="1"/>
  <c r="J566" i="1"/>
  <c r="I566" i="1"/>
  <c r="E566" i="1"/>
  <c r="T565" i="1"/>
  <c r="P565" i="1"/>
  <c r="R513" i="4"/>
  <c r="T512" i="4"/>
  <c r="T479" i="4"/>
  <c r="P479" i="4"/>
  <c r="P510" i="1"/>
  <c r="T510" i="1"/>
  <c r="U510" i="1" s="1"/>
  <c r="P511" i="1"/>
  <c r="T511" i="1"/>
  <c r="U511" i="1" s="1"/>
  <c r="P512" i="1"/>
  <c r="T512" i="1"/>
  <c r="U512" i="1"/>
  <c r="T555" i="1"/>
  <c r="P555" i="1"/>
  <c r="P553" i="1"/>
  <c r="T553" i="1"/>
  <c r="U553" i="1" s="1"/>
  <c r="P554" i="1"/>
  <c r="T554" i="1"/>
  <c r="U554" i="1"/>
  <c r="P530" i="1"/>
  <c r="T530" i="1"/>
  <c r="P531" i="1"/>
  <c r="T531" i="1"/>
  <c r="U531" i="1" s="1"/>
  <c r="P532" i="1"/>
  <c r="T532" i="1"/>
  <c r="P533" i="1"/>
  <c r="T533" i="1"/>
  <c r="U533" i="1" s="1"/>
  <c r="P534" i="1"/>
  <c r="T534" i="1"/>
  <c r="U534" i="1" s="1"/>
  <c r="P535" i="1"/>
  <c r="T535" i="1"/>
  <c r="U535" i="1" s="1"/>
  <c r="P536" i="1"/>
  <c r="T536" i="1"/>
  <c r="U536" i="1" s="1"/>
  <c r="P537" i="1"/>
  <c r="T537" i="1"/>
  <c r="U537" i="1" s="1"/>
  <c r="P538" i="1"/>
  <c r="T538" i="1"/>
  <c r="P539" i="1"/>
  <c r="T539" i="1"/>
  <c r="U539" i="1"/>
  <c r="P540" i="1"/>
  <c r="T540" i="1"/>
  <c r="U540" i="1" s="1"/>
  <c r="P541" i="1"/>
  <c r="T541" i="1"/>
  <c r="U541" i="1" s="1"/>
  <c r="P542" i="1"/>
  <c r="T542" i="1"/>
  <c r="U542" i="1" s="1"/>
  <c r="P543" i="1"/>
  <c r="T543" i="1"/>
  <c r="U543" i="1" s="1"/>
  <c r="P544" i="1"/>
  <c r="T544" i="1"/>
  <c r="P545" i="1"/>
  <c r="T545" i="1"/>
  <c r="U545" i="1"/>
  <c r="P546" i="1"/>
  <c r="T546" i="1"/>
  <c r="U546" i="1" s="1"/>
  <c r="P547" i="1"/>
  <c r="T547" i="1"/>
  <c r="U547" i="1"/>
  <c r="P548" i="1"/>
  <c r="T548" i="1"/>
  <c r="U548" i="1" s="1"/>
  <c r="P549" i="1"/>
  <c r="T549" i="1"/>
  <c r="U549" i="1"/>
  <c r="P550" i="1"/>
  <c r="T550" i="1"/>
  <c r="U550" i="1" s="1"/>
  <c r="P521" i="1"/>
  <c r="T521" i="1"/>
  <c r="U521" i="1" s="1"/>
  <c r="E521" i="1"/>
  <c r="I521" i="1"/>
  <c r="E522" i="1"/>
  <c r="I522" i="1"/>
  <c r="J522" i="1" s="1"/>
  <c r="E523" i="1"/>
  <c r="I523" i="1"/>
  <c r="J523" i="1" s="1"/>
  <c r="E524" i="1"/>
  <c r="I524" i="1"/>
  <c r="J524" i="1" s="1"/>
  <c r="E525" i="1"/>
  <c r="I525" i="1"/>
  <c r="E526" i="1"/>
  <c r="I526" i="1"/>
  <c r="J526" i="1"/>
  <c r="E528" i="1"/>
  <c r="I528" i="1"/>
  <c r="J528" i="1" s="1"/>
  <c r="E530" i="1"/>
  <c r="I530" i="1"/>
  <c r="E531" i="1"/>
  <c r="I531" i="1"/>
  <c r="E532" i="1"/>
  <c r="I532" i="1"/>
  <c r="E533" i="1"/>
  <c r="I533" i="1"/>
  <c r="J533" i="1"/>
  <c r="E534" i="1"/>
  <c r="I534" i="1"/>
  <c r="J534" i="1" s="1"/>
  <c r="E535" i="1"/>
  <c r="I535" i="1"/>
  <c r="J535" i="1"/>
  <c r="S556" i="1"/>
  <c r="R556" i="1"/>
  <c r="Q556" i="1"/>
  <c r="O556" i="1"/>
  <c r="N556" i="1"/>
  <c r="M556" i="1"/>
  <c r="H556" i="1"/>
  <c r="G556" i="1"/>
  <c r="F556" i="1"/>
  <c r="D556" i="1"/>
  <c r="C556" i="1"/>
  <c r="B556" i="1"/>
  <c r="J555" i="1"/>
  <c r="I555" i="1"/>
  <c r="E555" i="1"/>
  <c r="J554" i="1"/>
  <c r="I554" i="1"/>
  <c r="E554" i="1"/>
  <c r="J553" i="1"/>
  <c r="I553" i="1"/>
  <c r="E553" i="1"/>
  <c r="U552" i="1"/>
  <c r="T552" i="1"/>
  <c r="P552" i="1"/>
  <c r="J552" i="1"/>
  <c r="I552" i="1"/>
  <c r="E552" i="1"/>
  <c r="U551" i="1"/>
  <c r="T551" i="1"/>
  <c r="P551" i="1"/>
  <c r="J551" i="1"/>
  <c r="I551" i="1"/>
  <c r="E551" i="1"/>
  <c r="J550" i="1"/>
  <c r="I550" i="1"/>
  <c r="E550" i="1"/>
  <c r="J549" i="1"/>
  <c r="I549" i="1"/>
  <c r="E549" i="1"/>
  <c r="J548" i="1"/>
  <c r="I548" i="1"/>
  <c r="E548" i="1"/>
  <c r="J547" i="1"/>
  <c r="I547" i="1"/>
  <c r="E547" i="1"/>
  <c r="J546" i="1"/>
  <c r="I546" i="1"/>
  <c r="E546" i="1"/>
  <c r="J545" i="1"/>
  <c r="I545" i="1"/>
  <c r="E545" i="1"/>
  <c r="J544" i="1"/>
  <c r="I544" i="1"/>
  <c r="E544" i="1"/>
  <c r="J543" i="1"/>
  <c r="I543" i="1"/>
  <c r="E543" i="1"/>
  <c r="J542" i="1"/>
  <c r="I542" i="1"/>
  <c r="E542" i="1"/>
  <c r="I541" i="1"/>
  <c r="E541" i="1"/>
  <c r="J541" i="1" s="1"/>
  <c r="I540" i="1"/>
  <c r="E540" i="1"/>
  <c r="J540" i="1" s="1"/>
  <c r="I539" i="1"/>
  <c r="E539" i="1"/>
  <c r="J539" i="1" s="1"/>
  <c r="I538" i="1"/>
  <c r="E538" i="1"/>
  <c r="J538" i="1" s="1"/>
  <c r="I537" i="1"/>
  <c r="E537" i="1"/>
  <c r="J537" i="1" s="1"/>
  <c r="I536" i="1"/>
  <c r="E536" i="1"/>
  <c r="J536" i="1" s="1"/>
  <c r="G529" i="1"/>
  <c r="C529" i="1"/>
  <c r="T528" i="1"/>
  <c r="U528" i="1" s="1"/>
  <c r="P528" i="1"/>
  <c r="T527" i="1"/>
  <c r="U527" i="1" s="1"/>
  <c r="P527" i="1"/>
  <c r="I527" i="1"/>
  <c r="E527" i="1"/>
  <c r="J527" i="1" s="1"/>
  <c r="T526" i="1"/>
  <c r="U526" i="1" s="1"/>
  <c r="P526" i="1"/>
  <c r="T525" i="1"/>
  <c r="U525" i="1" s="1"/>
  <c r="P525" i="1"/>
  <c r="T524" i="1"/>
  <c r="U524" i="1" s="1"/>
  <c r="P524" i="1"/>
  <c r="T523" i="1"/>
  <c r="U523" i="1" s="1"/>
  <c r="P523" i="1"/>
  <c r="H520" i="1"/>
  <c r="H529" i="1" s="1"/>
  <c r="H557" i="1" s="1"/>
  <c r="H563" i="1" s="1"/>
  <c r="H572" i="1" s="1"/>
  <c r="H600" i="1" s="1"/>
  <c r="G520" i="1"/>
  <c r="F520" i="1"/>
  <c r="I520" i="1" s="1"/>
  <c r="D520" i="1"/>
  <c r="D529" i="1" s="1"/>
  <c r="D557" i="1" s="1"/>
  <c r="D563" i="1" s="1"/>
  <c r="D572" i="1" s="1"/>
  <c r="C520" i="1"/>
  <c r="B520" i="1"/>
  <c r="E520" i="1" s="1"/>
  <c r="J520" i="1" s="1"/>
  <c r="P467" i="4"/>
  <c r="T467" i="4"/>
  <c r="U467" i="4" s="1"/>
  <c r="P468" i="4"/>
  <c r="T468" i="4"/>
  <c r="U468" i="4" s="1"/>
  <c r="P469" i="4"/>
  <c r="T469" i="4"/>
  <c r="U469" i="4"/>
  <c r="P512" i="4"/>
  <c r="E487" i="4"/>
  <c r="I487" i="4"/>
  <c r="J485" i="4"/>
  <c r="I485" i="4"/>
  <c r="E485" i="4"/>
  <c r="I484" i="4"/>
  <c r="E484" i="4"/>
  <c r="J484" i="4" s="1"/>
  <c r="J483" i="4"/>
  <c r="I483" i="4"/>
  <c r="E483" i="4"/>
  <c r="I482" i="4"/>
  <c r="E482" i="4"/>
  <c r="I481" i="4"/>
  <c r="E481" i="4"/>
  <c r="I480" i="4"/>
  <c r="E480" i="4"/>
  <c r="I479" i="4"/>
  <c r="J479" i="4" s="1"/>
  <c r="E479" i="4"/>
  <c r="I478" i="4"/>
  <c r="E478" i="4"/>
  <c r="P478" i="4"/>
  <c r="T478" i="4"/>
  <c r="P480" i="4"/>
  <c r="T480" i="4"/>
  <c r="U480" i="4"/>
  <c r="T511" i="4"/>
  <c r="P511" i="4"/>
  <c r="U511" i="4" s="1"/>
  <c r="T510" i="4"/>
  <c r="P510" i="4"/>
  <c r="T509" i="4"/>
  <c r="P509" i="4"/>
  <c r="E488" i="4"/>
  <c r="I488" i="4"/>
  <c r="E489" i="4"/>
  <c r="I489" i="4"/>
  <c r="J489" i="4" s="1"/>
  <c r="E490" i="4"/>
  <c r="I490" i="4"/>
  <c r="E491" i="4"/>
  <c r="I491" i="4"/>
  <c r="J491" i="4"/>
  <c r="S513" i="4"/>
  <c r="Q513" i="4"/>
  <c r="O513" i="4"/>
  <c r="N513" i="4"/>
  <c r="M513" i="4"/>
  <c r="H513" i="4"/>
  <c r="G513" i="4"/>
  <c r="F513" i="4"/>
  <c r="D513" i="4"/>
  <c r="C513" i="4"/>
  <c r="B513" i="4"/>
  <c r="I512" i="4"/>
  <c r="E512" i="4"/>
  <c r="J512" i="4" s="1"/>
  <c r="I511" i="4"/>
  <c r="E511" i="4"/>
  <c r="J511" i="4" s="1"/>
  <c r="I510" i="4"/>
  <c r="E510" i="4"/>
  <c r="J510" i="4" s="1"/>
  <c r="I509" i="4"/>
  <c r="E509" i="4"/>
  <c r="J509" i="4" s="1"/>
  <c r="I508" i="4"/>
  <c r="E508" i="4"/>
  <c r="J508" i="4" s="1"/>
  <c r="I507" i="4"/>
  <c r="E507" i="4"/>
  <c r="J507" i="4" s="1"/>
  <c r="I506" i="4"/>
  <c r="E506" i="4"/>
  <c r="J506" i="4" s="1"/>
  <c r="I505" i="4"/>
  <c r="E505" i="4"/>
  <c r="J505" i="4" s="1"/>
  <c r="I504" i="4"/>
  <c r="E504" i="4"/>
  <c r="J504" i="4" s="1"/>
  <c r="I503" i="4"/>
  <c r="E503" i="4"/>
  <c r="J503" i="4" s="1"/>
  <c r="I502" i="4"/>
  <c r="E502" i="4"/>
  <c r="J502" i="4" s="1"/>
  <c r="I501" i="4"/>
  <c r="E501" i="4"/>
  <c r="J501" i="4" s="1"/>
  <c r="I500" i="4"/>
  <c r="E500" i="4"/>
  <c r="J500" i="4" s="1"/>
  <c r="I499" i="4"/>
  <c r="E499" i="4"/>
  <c r="J499" i="4" s="1"/>
  <c r="I498" i="4"/>
  <c r="E498" i="4"/>
  <c r="J498" i="4" s="1"/>
  <c r="I497" i="4"/>
  <c r="E497" i="4"/>
  <c r="J497" i="4" s="1"/>
  <c r="I496" i="4"/>
  <c r="E496" i="4"/>
  <c r="J496" i="4" s="1"/>
  <c r="I495" i="4"/>
  <c r="E495" i="4"/>
  <c r="J495" i="4" s="1"/>
  <c r="I494" i="4"/>
  <c r="E494" i="4"/>
  <c r="J494" i="4" s="1"/>
  <c r="I493" i="4"/>
  <c r="E493" i="4"/>
  <c r="J493" i="4" s="1"/>
  <c r="I492" i="4"/>
  <c r="E492" i="4"/>
  <c r="J492" i="4" s="1"/>
  <c r="T485" i="4"/>
  <c r="P485" i="4"/>
  <c r="U485" i="4" s="1"/>
  <c r="T484" i="4"/>
  <c r="P484" i="4"/>
  <c r="U484" i="4" s="1"/>
  <c r="T483" i="4"/>
  <c r="P483" i="4"/>
  <c r="U483" i="4" s="1"/>
  <c r="T482" i="4"/>
  <c r="P482" i="4"/>
  <c r="U482" i="4" s="1"/>
  <c r="T481" i="4"/>
  <c r="P481" i="4"/>
  <c r="U481" i="4" s="1"/>
  <c r="H477" i="4"/>
  <c r="H486" i="4" s="1"/>
  <c r="F477" i="4"/>
  <c r="F486" i="4" s="1"/>
  <c r="D477" i="4"/>
  <c r="D486" i="4" s="1"/>
  <c r="D514" i="4" s="1"/>
  <c r="D520" i="4" s="1"/>
  <c r="D529" i="4" s="1"/>
  <c r="C477" i="4"/>
  <c r="C486" i="4" s="1"/>
  <c r="P485" i="1"/>
  <c r="T485" i="1"/>
  <c r="U485" i="1"/>
  <c r="T479" i="1"/>
  <c r="P479" i="1"/>
  <c r="U479" i="1" s="1"/>
  <c r="E512" i="1"/>
  <c r="I512" i="1"/>
  <c r="J512" i="1" s="1"/>
  <c r="T437" i="4"/>
  <c r="P437" i="4"/>
  <c r="I448" i="4"/>
  <c r="D470" i="4"/>
  <c r="E468" i="4"/>
  <c r="I468" i="4"/>
  <c r="J468" i="4"/>
  <c r="E469" i="4"/>
  <c r="I469" i="4"/>
  <c r="J469" i="4"/>
  <c r="P440" i="4"/>
  <c r="U440" i="4" s="1"/>
  <c r="T440" i="4"/>
  <c r="P441" i="4"/>
  <c r="T441" i="4"/>
  <c r="U441" i="4"/>
  <c r="P438" i="4"/>
  <c r="T438" i="4"/>
  <c r="U438" i="4"/>
  <c r="P439" i="4"/>
  <c r="T439" i="4"/>
  <c r="U439" i="4"/>
  <c r="T436" i="4"/>
  <c r="P436" i="4"/>
  <c r="U436" i="4" s="1"/>
  <c r="T435" i="4"/>
  <c r="P435" i="4"/>
  <c r="U435" i="4" s="1"/>
  <c r="E482" i="1"/>
  <c r="I482" i="1"/>
  <c r="J482" i="1" s="1"/>
  <c r="C470" i="4"/>
  <c r="I440" i="4"/>
  <c r="E440" i="4"/>
  <c r="U478" i="1"/>
  <c r="T478" i="1"/>
  <c r="P478" i="1"/>
  <c r="T442" i="4"/>
  <c r="P442" i="4"/>
  <c r="E407" i="4"/>
  <c r="I407" i="4"/>
  <c r="J407" i="4"/>
  <c r="I444" i="4"/>
  <c r="E444" i="4"/>
  <c r="J444" i="4" s="1"/>
  <c r="P398" i="4"/>
  <c r="U398" i="4" s="1"/>
  <c r="T398" i="4"/>
  <c r="P423" i="4"/>
  <c r="U423" i="4" s="1"/>
  <c r="T423" i="4"/>
  <c r="P424" i="4"/>
  <c r="U424" i="4" s="1"/>
  <c r="T424" i="4"/>
  <c r="T426" i="4"/>
  <c r="P426" i="4"/>
  <c r="U426" i="4" s="1"/>
  <c r="T425" i="4"/>
  <c r="P425" i="4"/>
  <c r="U425" i="4" s="1"/>
  <c r="P466" i="4"/>
  <c r="T466" i="4"/>
  <c r="U466" i="4" s="1"/>
  <c r="P444" i="4"/>
  <c r="T444" i="4"/>
  <c r="U444" i="4" s="1"/>
  <c r="P445" i="4"/>
  <c r="T445" i="4"/>
  <c r="P446" i="4"/>
  <c r="T446" i="4"/>
  <c r="U446" i="4" s="1"/>
  <c r="P447" i="4"/>
  <c r="T447" i="4"/>
  <c r="P448" i="4"/>
  <c r="U448" i="4" s="1"/>
  <c r="T448" i="4"/>
  <c r="P449" i="4"/>
  <c r="U449" i="4" s="1"/>
  <c r="T449" i="4"/>
  <c r="P450" i="4"/>
  <c r="U450" i="4" s="1"/>
  <c r="T450" i="4"/>
  <c r="P451" i="4"/>
  <c r="T451" i="4"/>
  <c r="U451" i="4" s="1"/>
  <c r="P452" i="4"/>
  <c r="T452" i="4"/>
  <c r="P453" i="4"/>
  <c r="T453" i="4"/>
  <c r="U453" i="4" s="1"/>
  <c r="P454" i="4"/>
  <c r="T454" i="4"/>
  <c r="U454" i="4" s="1"/>
  <c r="P455" i="4"/>
  <c r="T455" i="4"/>
  <c r="P456" i="4"/>
  <c r="T456" i="4"/>
  <c r="P457" i="4"/>
  <c r="T457" i="4"/>
  <c r="P458" i="4"/>
  <c r="U458" i="4" s="1"/>
  <c r="T458" i="4"/>
  <c r="P459" i="4"/>
  <c r="T459" i="4"/>
  <c r="U459" i="4"/>
  <c r="P460" i="4"/>
  <c r="T460" i="4"/>
  <c r="P461" i="4"/>
  <c r="T461" i="4"/>
  <c r="U461" i="4" s="1"/>
  <c r="P462" i="4"/>
  <c r="T462" i="4"/>
  <c r="U462" i="4" s="1"/>
  <c r="E445" i="4"/>
  <c r="I445" i="4"/>
  <c r="E446" i="4"/>
  <c r="J446" i="4" s="1"/>
  <c r="I446" i="4"/>
  <c r="E447" i="4"/>
  <c r="I447" i="4"/>
  <c r="J447" i="4" s="1"/>
  <c r="E448" i="4"/>
  <c r="E435" i="4"/>
  <c r="I435" i="4"/>
  <c r="S470" i="4"/>
  <c r="R470" i="4"/>
  <c r="Q470" i="4"/>
  <c r="O470" i="4"/>
  <c r="N470" i="4"/>
  <c r="M470" i="4"/>
  <c r="H470" i="4"/>
  <c r="G470" i="4"/>
  <c r="F470" i="4"/>
  <c r="B470" i="4"/>
  <c r="J467" i="4"/>
  <c r="I467" i="4"/>
  <c r="E467" i="4"/>
  <c r="I466" i="4"/>
  <c r="E466" i="4"/>
  <c r="J466" i="4" s="1"/>
  <c r="U465" i="4"/>
  <c r="T465" i="4"/>
  <c r="P465" i="4"/>
  <c r="J465" i="4"/>
  <c r="I465" i="4"/>
  <c r="E465" i="4"/>
  <c r="I464" i="4"/>
  <c r="E464" i="4"/>
  <c r="J464" i="4" s="1"/>
  <c r="J463" i="4"/>
  <c r="I463" i="4"/>
  <c r="E463" i="4"/>
  <c r="I462" i="4"/>
  <c r="E462" i="4"/>
  <c r="J462" i="4" s="1"/>
  <c r="J461" i="4"/>
  <c r="I461" i="4"/>
  <c r="E461" i="4"/>
  <c r="I460" i="4"/>
  <c r="E460" i="4"/>
  <c r="J460" i="4" s="1"/>
  <c r="J459" i="4"/>
  <c r="I459" i="4"/>
  <c r="E459" i="4"/>
  <c r="I458" i="4"/>
  <c r="E458" i="4"/>
  <c r="J458" i="4" s="1"/>
  <c r="J457" i="4"/>
  <c r="I457" i="4"/>
  <c r="E457" i="4"/>
  <c r="I456" i="4"/>
  <c r="E456" i="4"/>
  <c r="J456" i="4" s="1"/>
  <c r="J455" i="4"/>
  <c r="I455" i="4"/>
  <c r="E455" i="4"/>
  <c r="I454" i="4"/>
  <c r="E454" i="4"/>
  <c r="J454" i="4" s="1"/>
  <c r="J453" i="4"/>
  <c r="I453" i="4"/>
  <c r="E453" i="4"/>
  <c r="I452" i="4"/>
  <c r="E452" i="4"/>
  <c r="J452" i="4" s="1"/>
  <c r="J451" i="4"/>
  <c r="I451" i="4"/>
  <c r="E451" i="4"/>
  <c r="I450" i="4"/>
  <c r="E450" i="4"/>
  <c r="J450" i="4" s="1"/>
  <c r="I449" i="4"/>
  <c r="E449" i="4"/>
  <c r="I442" i="4"/>
  <c r="E442" i="4"/>
  <c r="I441" i="4"/>
  <c r="E441" i="4"/>
  <c r="I439" i="4"/>
  <c r="E439" i="4"/>
  <c r="I438" i="4"/>
  <c r="E438" i="4"/>
  <c r="J438" i="4" s="1"/>
  <c r="I437" i="4"/>
  <c r="E437" i="4"/>
  <c r="I436" i="4"/>
  <c r="E436" i="4"/>
  <c r="J436" i="4" s="1"/>
  <c r="P466" i="1"/>
  <c r="T466" i="1"/>
  <c r="P467" i="1"/>
  <c r="U467" i="1" s="1"/>
  <c r="T467" i="1"/>
  <c r="T469" i="1"/>
  <c r="P469" i="1"/>
  <c r="U469" i="1" s="1"/>
  <c r="T468" i="1"/>
  <c r="P468" i="1"/>
  <c r="U468" i="1" s="1"/>
  <c r="P509" i="1"/>
  <c r="T509" i="1"/>
  <c r="U509" i="1" s="1"/>
  <c r="P487" i="1"/>
  <c r="T487" i="1"/>
  <c r="P488" i="1"/>
  <c r="T488" i="1"/>
  <c r="P489" i="1"/>
  <c r="T489" i="1"/>
  <c r="P490" i="1"/>
  <c r="T490" i="1"/>
  <c r="U490" i="1" s="1"/>
  <c r="P491" i="1"/>
  <c r="T491" i="1"/>
  <c r="U491" i="1" s="1"/>
  <c r="P492" i="1"/>
  <c r="U492" i="1" s="1"/>
  <c r="T492" i="1"/>
  <c r="P493" i="1"/>
  <c r="U493" i="1" s="1"/>
  <c r="T493" i="1"/>
  <c r="P494" i="1"/>
  <c r="T494" i="1"/>
  <c r="U494" i="1"/>
  <c r="P495" i="1"/>
  <c r="U495" i="1" s="1"/>
  <c r="T495" i="1"/>
  <c r="P496" i="1"/>
  <c r="T496" i="1"/>
  <c r="U496" i="1" s="1"/>
  <c r="P497" i="1"/>
  <c r="U497" i="1" s="1"/>
  <c r="T497" i="1"/>
  <c r="P498" i="1"/>
  <c r="U498" i="1" s="1"/>
  <c r="T498" i="1"/>
  <c r="P499" i="1"/>
  <c r="T499" i="1"/>
  <c r="U499" i="1" s="1"/>
  <c r="P500" i="1"/>
  <c r="U500" i="1" s="1"/>
  <c r="T500" i="1"/>
  <c r="P501" i="1"/>
  <c r="T501" i="1"/>
  <c r="P502" i="1"/>
  <c r="T502" i="1"/>
  <c r="U502" i="1"/>
  <c r="P503" i="1"/>
  <c r="T503" i="1"/>
  <c r="P504" i="1"/>
  <c r="T504" i="1"/>
  <c r="U504" i="1" s="1"/>
  <c r="P505" i="1"/>
  <c r="T505" i="1"/>
  <c r="P484" i="1"/>
  <c r="U484" i="1" s="1"/>
  <c r="T484" i="1"/>
  <c r="E487" i="1"/>
  <c r="I487" i="1"/>
  <c r="E488" i="1"/>
  <c r="I488" i="1"/>
  <c r="E489" i="1"/>
  <c r="J489" i="1" s="1"/>
  <c r="I489" i="1"/>
  <c r="E490" i="1"/>
  <c r="I490" i="1"/>
  <c r="E478" i="1"/>
  <c r="J478" i="1" s="1"/>
  <c r="I478" i="1"/>
  <c r="S513" i="1"/>
  <c r="R513" i="1"/>
  <c r="Q513" i="1"/>
  <c r="O513" i="1"/>
  <c r="N513" i="1"/>
  <c r="M513" i="1"/>
  <c r="H513" i="1"/>
  <c r="G513" i="1"/>
  <c r="F513" i="1"/>
  <c r="D513" i="1"/>
  <c r="C513" i="1"/>
  <c r="B513" i="1"/>
  <c r="I511" i="1"/>
  <c r="J511" i="1" s="1"/>
  <c r="E511" i="1"/>
  <c r="I510" i="1"/>
  <c r="E510" i="1"/>
  <c r="J510" i="1" s="1"/>
  <c r="J509" i="1"/>
  <c r="I509" i="1"/>
  <c r="E509" i="1"/>
  <c r="T508" i="1"/>
  <c r="P508" i="1"/>
  <c r="U508" i="1" s="1"/>
  <c r="I508" i="1"/>
  <c r="E508" i="1"/>
  <c r="J508" i="1" s="1"/>
  <c r="T507" i="1"/>
  <c r="P507" i="1"/>
  <c r="I507" i="1"/>
  <c r="J507" i="1" s="1"/>
  <c r="E507" i="1"/>
  <c r="T506" i="1"/>
  <c r="P506" i="1"/>
  <c r="U506" i="1" s="1"/>
  <c r="I506" i="1"/>
  <c r="E506" i="1"/>
  <c r="J506" i="1" s="1"/>
  <c r="J505" i="1"/>
  <c r="I505" i="1"/>
  <c r="E505" i="1"/>
  <c r="I504" i="1"/>
  <c r="E504" i="1"/>
  <c r="J504" i="1" s="1"/>
  <c r="I503" i="1"/>
  <c r="J503" i="1" s="1"/>
  <c r="E503" i="1"/>
  <c r="I502" i="1"/>
  <c r="E502" i="1"/>
  <c r="J502" i="1" s="1"/>
  <c r="J501" i="1"/>
  <c r="I501" i="1"/>
  <c r="E501" i="1"/>
  <c r="I500" i="1"/>
  <c r="E500" i="1"/>
  <c r="J500" i="1" s="1"/>
  <c r="I499" i="1"/>
  <c r="E499" i="1"/>
  <c r="J499" i="1" s="1"/>
  <c r="I498" i="1"/>
  <c r="E498" i="1"/>
  <c r="J498" i="1" s="1"/>
  <c r="J497" i="1"/>
  <c r="I497" i="1"/>
  <c r="E497" i="1"/>
  <c r="I496" i="1"/>
  <c r="J496" i="1" s="1"/>
  <c r="E496" i="1"/>
  <c r="I495" i="1"/>
  <c r="E495" i="1"/>
  <c r="J495" i="1" s="1"/>
  <c r="I494" i="1"/>
  <c r="E494" i="1"/>
  <c r="J494" i="1" s="1"/>
  <c r="J493" i="1"/>
  <c r="I493" i="1"/>
  <c r="E493" i="1"/>
  <c r="I492" i="1"/>
  <c r="J492" i="1" s="1"/>
  <c r="E492" i="1"/>
  <c r="I491" i="1"/>
  <c r="E491" i="1"/>
  <c r="I485" i="1"/>
  <c r="E485" i="1"/>
  <c r="I484" i="1"/>
  <c r="E484" i="1"/>
  <c r="J484" i="1" s="1"/>
  <c r="T483" i="1"/>
  <c r="P483" i="1"/>
  <c r="U483" i="1" s="1"/>
  <c r="I483" i="1"/>
  <c r="E483" i="1"/>
  <c r="U482" i="1"/>
  <c r="T482" i="1"/>
  <c r="P482" i="1"/>
  <c r="T481" i="1"/>
  <c r="P481" i="1"/>
  <c r="U481" i="1" s="1"/>
  <c r="I481" i="1"/>
  <c r="E481" i="1"/>
  <c r="J481" i="1" s="1"/>
  <c r="T480" i="1"/>
  <c r="P480" i="1"/>
  <c r="I480" i="1"/>
  <c r="E480" i="1"/>
  <c r="J480" i="1" s="1"/>
  <c r="I479" i="1"/>
  <c r="E479" i="1"/>
  <c r="H477" i="1"/>
  <c r="H486" i="1" s="1"/>
  <c r="H514" i="1" s="1"/>
  <c r="G477" i="1"/>
  <c r="G486" i="1" s="1"/>
  <c r="C477" i="1"/>
  <c r="C486" i="1" s="1"/>
  <c r="T435" i="1"/>
  <c r="P435" i="1"/>
  <c r="U435" i="1" s="1"/>
  <c r="T392" i="4"/>
  <c r="P392" i="4"/>
  <c r="U392" i="4" s="1"/>
  <c r="T465" i="1"/>
  <c r="U465" i="1" s="1"/>
  <c r="P465" i="1"/>
  <c r="T422" i="4"/>
  <c r="P422" i="4"/>
  <c r="U422" i="4" s="1"/>
  <c r="O470" i="1"/>
  <c r="Q470" i="1"/>
  <c r="R470" i="1"/>
  <c r="S470" i="1"/>
  <c r="P381" i="4"/>
  <c r="T381" i="4"/>
  <c r="U381" i="4"/>
  <c r="P382" i="4"/>
  <c r="U382" i="4" s="1"/>
  <c r="T382" i="4"/>
  <c r="P383" i="4"/>
  <c r="U383" i="4" s="1"/>
  <c r="T383" i="4"/>
  <c r="R427" i="4"/>
  <c r="P424" i="1"/>
  <c r="T424" i="1"/>
  <c r="U424" i="1"/>
  <c r="P425" i="1"/>
  <c r="U425" i="1" s="1"/>
  <c r="T425" i="1"/>
  <c r="P426" i="1"/>
  <c r="U426" i="1" s="1"/>
  <c r="T426" i="1"/>
  <c r="N470" i="1"/>
  <c r="P401" i="4"/>
  <c r="T401" i="4"/>
  <c r="U401" i="4" s="1"/>
  <c r="P402" i="4"/>
  <c r="T402" i="4"/>
  <c r="U402" i="4" s="1"/>
  <c r="P403" i="4"/>
  <c r="T403" i="4"/>
  <c r="U403" i="4" s="1"/>
  <c r="P404" i="4"/>
  <c r="T404" i="4"/>
  <c r="U404" i="4" s="1"/>
  <c r="P405" i="4"/>
  <c r="T405" i="4"/>
  <c r="P406" i="4"/>
  <c r="T406" i="4"/>
  <c r="U406" i="4"/>
  <c r="P407" i="4"/>
  <c r="T407" i="4"/>
  <c r="U407" i="4" s="1"/>
  <c r="P408" i="4"/>
  <c r="T408" i="4"/>
  <c r="U408" i="4" s="1"/>
  <c r="P409" i="4"/>
  <c r="T409" i="4"/>
  <c r="U409" i="4" s="1"/>
  <c r="P410" i="4"/>
  <c r="T410" i="4"/>
  <c r="U410" i="4" s="1"/>
  <c r="P411" i="4"/>
  <c r="T411" i="4"/>
  <c r="U411" i="4" s="1"/>
  <c r="P412" i="4"/>
  <c r="T412" i="4"/>
  <c r="U412" i="4" s="1"/>
  <c r="P413" i="4"/>
  <c r="T413" i="4"/>
  <c r="U413" i="4" s="1"/>
  <c r="P414" i="4"/>
  <c r="T414" i="4"/>
  <c r="U414" i="4" s="1"/>
  <c r="P415" i="4"/>
  <c r="T415" i="4"/>
  <c r="U415" i="4" s="1"/>
  <c r="P416" i="4"/>
  <c r="T416" i="4"/>
  <c r="U416" i="4" s="1"/>
  <c r="P417" i="4"/>
  <c r="T417" i="4"/>
  <c r="U417" i="4" s="1"/>
  <c r="P418" i="4"/>
  <c r="T418" i="4"/>
  <c r="U418" i="4" s="1"/>
  <c r="P419" i="4"/>
  <c r="T419" i="4"/>
  <c r="U419" i="4" s="1"/>
  <c r="P379" i="4"/>
  <c r="T379" i="4"/>
  <c r="U379" i="4" s="1"/>
  <c r="P380" i="4"/>
  <c r="T380" i="4"/>
  <c r="U380" i="4" s="1"/>
  <c r="E392" i="4"/>
  <c r="I392" i="4"/>
  <c r="J392" i="4" s="1"/>
  <c r="H427" i="4"/>
  <c r="G427" i="4"/>
  <c r="F427" i="4"/>
  <c r="D427" i="4"/>
  <c r="C427" i="4"/>
  <c r="B427" i="4"/>
  <c r="I426" i="4"/>
  <c r="E426" i="4"/>
  <c r="J426" i="4" s="1"/>
  <c r="S427" i="4"/>
  <c r="O427" i="4"/>
  <c r="N427" i="4"/>
  <c r="M427" i="4"/>
  <c r="I425" i="4"/>
  <c r="E425" i="4"/>
  <c r="J425" i="4" s="1"/>
  <c r="I424" i="4"/>
  <c r="E424" i="4"/>
  <c r="J424" i="4" s="1"/>
  <c r="I423" i="4"/>
  <c r="E423" i="4"/>
  <c r="J423" i="4" s="1"/>
  <c r="I422" i="4"/>
  <c r="E422" i="4"/>
  <c r="J422" i="4" s="1"/>
  <c r="T421" i="4"/>
  <c r="P421" i="4"/>
  <c r="I421" i="4"/>
  <c r="E421" i="4"/>
  <c r="J421" i="4" s="1"/>
  <c r="T420" i="4"/>
  <c r="P420" i="4"/>
  <c r="U420" i="4" s="1"/>
  <c r="I420" i="4"/>
  <c r="E420" i="4"/>
  <c r="J420" i="4" s="1"/>
  <c r="I419" i="4"/>
  <c r="E419" i="4"/>
  <c r="J419" i="4" s="1"/>
  <c r="I418" i="4"/>
  <c r="E418" i="4"/>
  <c r="J418" i="4" s="1"/>
  <c r="I417" i="4"/>
  <c r="E417" i="4"/>
  <c r="J417" i="4" s="1"/>
  <c r="I416" i="4"/>
  <c r="E416" i="4"/>
  <c r="J416" i="4" s="1"/>
  <c r="I415" i="4"/>
  <c r="E415" i="4"/>
  <c r="J415" i="4" s="1"/>
  <c r="I414" i="4"/>
  <c r="E414" i="4"/>
  <c r="J414" i="4" s="1"/>
  <c r="I413" i="4"/>
  <c r="E413" i="4"/>
  <c r="J413" i="4" s="1"/>
  <c r="I412" i="4"/>
  <c r="E412" i="4"/>
  <c r="J412" i="4" s="1"/>
  <c r="I411" i="4"/>
  <c r="E411" i="4"/>
  <c r="J411" i="4" s="1"/>
  <c r="I410" i="4"/>
  <c r="E410" i="4"/>
  <c r="J410" i="4" s="1"/>
  <c r="I409" i="4"/>
  <c r="E409" i="4"/>
  <c r="J409" i="4" s="1"/>
  <c r="I408" i="4"/>
  <c r="E408" i="4"/>
  <c r="J408" i="4" s="1"/>
  <c r="I406" i="4"/>
  <c r="E406" i="4"/>
  <c r="J406" i="4" s="1"/>
  <c r="I405" i="4"/>
  <c r="E405" i="4"/>
  <c r="I404" i="4"/>
  <c r="E404" i="4"/>
  <c r="J404" i="4" s="1"/>
  <c r="I403" i="4"/>
  <c r="E403" i="4"/>
  <c r="J403" i="4" s="1"/>
  <c r="I402" i="4"/>
  <c r="E402" i="4"/>
  <c r="J402" i="4" s="1"/>
  <c r="I401" i="4"/>
  <c r="E401" i="4"/>
  <c r="B400" i="4"/>
  <c r="T399" i="4"/>
  <c r="P399" i="4"/>
  <c r="I399" i="4"/>
  <c r="E399" i="4"/>
  <c r="J399" i="4" s="1"/>
  <c r="I398" i="4"/>
  <c r="E398" i="4"/>
  <c r="J398" i="4" s="1"/>
  <c r="T397" i="4"/>
  <c r="P397" i="4"/>
  <c r="U397" i="4" s="1"/>
  <c r="I397" i="4"/>
  <c r="E397" i="4"/>
  <c r="J397" i="4" s="1"/>
  <c r="T396" i="4"/>
  <c r="P396" i="4"/>
  <c r="I396" i="4"/>
  <c r="E396" i="4"/>
  <c r="J396" i="4" s="1"/>
  <c r="T395" i="4"/>
  <c r="P395" i="4"/>
  <c r="U395" i="4" s="1"/>
  <c r="I395" i="4"/>
  <c r="E395" i="4"/>
  <c r="J395" i="4" s="1"/>
  <c r="T394" i="4"/>
  <c r="P394" i="4"/>
  <c r="I394" i="4"/>
  <c r="E394" i="4"/>
  <c r="J394" i="4" s="1"/>
  <c r="T393" i="4"/>
  <c r="P393" i="4"/>
  <c r="U393" i="4" s="1"/>
  <c r="I393" i="4"/>
  <c r="E393" i="4"/>
  <c r="H391" i="4"/>
  <c r="H400" i="4" s="1"/>
  <c r="H428" i="4" s="1"/>
  <c r="H434" i="4" s="1"/>
  <c r="H443" i="4" s="1"/>
  <c r="D391" i="4"/>
  <c r="D400" i="4" s="1"/>
  <c r="D428" i="4" s="1"/>
  <c r="D434" i="4" s="1"/>
  <c r="D443" i="4" s="1"/>
  <c r="C391" i="4"/>
  <c r="C400" i="4" s="1"/>
  <c r="B391" i="4"/>
  <c r="E391" i="4" s="1"/>
  <c r="P422" i="1"/>
  <c r="T422" i="1"/>
  <c r="U422" i="1" s="1"/>
  <c r="P423" i="1"/>
  <c r="T423" i="1"/>
  <c r="U423" i="1" s="1"/>
  <c r="O427" i="1"/>
  <c r="S427" i="1"/>
  <c r="P444" i="1"/>
  <c r="T444" i="1"/>
  <c r="P445" i="1"/>
  <c r="T445" i="1"/>
  <c r="U445" i="1"/>
  <c r="P446" i="1"/>
  <c r="T446" i="1"/>
  <c r="P447" i="1"/>
  <c r="T447" i="1"/>
  <c r="U447" i="1" s="1"/>
  <c r="P448" i="1"/>
  <c r="T448" i="1"/>
  <c r="P449" i="1"/>
  <c r="T449" i="1"/>
  <c r="U449" i="1" s="1"/>
  <c r="P450" i="1"/>
  <c r="T450" i="1"/>
  <c r="P451" i="1"/>
  <c r="T451" i="1"/>
  <c r="U451" i="1"/>
  <c r="P452" i="1"/>
  <c r="T452" i="1"/>
  <c r="U452" i="1" s="1"/>
  <c r="P453" i="1"/>
  <c r="T453" i="1"/>
  <c r="U453" i="1"/>
  <c r="P454" i="1"/>
  <c r="T454" i="1"/>
  <c r="U454" i="1" s="1"/>
  <c r="P455" i="1"/>
  <c r="T455" i="1"/>
  <c r="U455" i="1" s="1"/>
  <c r="P456" i="1"/>
  <c r="T456" i="1"/>
  <c r="P457" i="1"/>
  <c r="T457" i="1"/>
  <c r="U457" i="1"/>
  <c r="P458" i="1"/>
  <c r="T458" i="1"/>
  <c r="U458" i="1" s="1"/>
  <c r="P459" i="1"/>
  <c r="T459" i="1"/>
  <c r="U459" i="1" s="1"/>
  <c r="P460" i="1"/>
  <c r="T460" i="1"/>
  <c r="P461" i="1"/>
  <c r="T461" i="1"/>
  <c r="U461" i="1"/>
  <c r="P462" i="1"/>
  <c r="T462" i="1"/>
  <c r="P463" i="1"/>
  <c r="U463" i="1" s="1"/>
  <c r="T463" i="1"/>
  <c r="E435" i="1"/>
  <c r="I435" i="1"/>
  <c r="H470" i="1"/>
  <c r="G470" i="1"/>
  <c r="F470" i="1"/>
  <c r="I470" i="1" s="1"/>
  <c r="D470" i="1"/>
  <c r="C470" i="1"/>
  <c r="B470" i="1"/>
  <c r="I469" i="1"/>
  <c r="E469" i="1"/>
  <c r="J469" i="1" s="1"/>
  <c r="I468" i="1"/>
  <c r="E468" i="1"/>
  <c r="J468" i="1" s="1"/>
  <c r="I467" i="1"/>
  <c r="E467" i="1"/>
  <c r="J467" i="1" s="1"/>
  <c r="I466" i="1"/>
  <c r="E466" i="1"/>
  <c r="J466" i="1" s="1"/>
  <c r="I465" i="1"/>
  <c r="E465" i="1"/>
  <c r="J465" i="1" s="1"/>
  <c r="T464" i="1"/>
  <c r="P464" i="1"/>
  <c r="I464" i="1"/>
  <c r="E464" i="1"/>
  <c r="J464" i="1" s="1"/>
  <c r="I463" i="1"/>
  <c r="E463" i="1"/>
  <c r="J463" i="1" s="1"/>
  <c r="I462" i="1"/>
  <c r="E462" i="1"/>
  <c r="J462" i="1" s="1"/>
  <c r="I461" i="1"/>
  <c r="E461" i="1"/>
  <c r="J461" i="1" s="1"/>
  <c r="I460" i="1"/>
  <c r="E460" i="1"/>
  <c r="J460" i="1" s="1"/>
  <c r="I459" i="1"/>
  <c r="E459" i="1"/>
  <c r="J459" i="1" s="1"/>
  <c r="I458" i="1"/>
  <c r="E458" i="1"/>
  <c r="J458" i="1" s="1"/>
  <c r="I457" i="1"/>
  <c r="E457" i="1"/>
  <c r="J457" i="1" s="1"/>
  <c r="I456" i="1"/>
  <c r="E456" i="1"/>
  <c r="J456" i="1" s="1"/>
  <c r="I455" i="1"/>
  <c r="E455" i="1"/>
  <c r="J455" i="1" s="1"/>
  <c r="I454" i="1"/>
  <c r="E454" i="1"/>
  <c r="J454" i="1" s="1"/>
  <c r="I453" i="1"/>
  <c r="E453" i="1"/>
  <c r="J453" i="1" s="1"/>
  <c r="I452" i="1"/>
  <c r="E452" i="1"/>
  <c r="J452" i="1" s="1"/>
  <c r="I451" i="1"/>
  <c r="E451" i="1"/>
  <c r="J451" i="1" s="1"/>
  <c r="I450" i="1"/>
  <c r="E450" i="1"/>
  <c r="J450" i="1" s="1"/>
  <c r="I449" i="1"/>
  <c r="E449" i="1"/>
  <c r="I448" i="1"/>
  <c r="E448" i="1"/>
  <c r="I447" i="1"/>
  <c r="E447" i="1"/>
  <c r="I446" i="1"/>
  <c r="E446" i="1"/>
  <c r="J446" i="1" s="1"/>
  <c r="I445" i="1"/>
  <c r="E445" i="1"/>
  <c r="J445" i="1" s="1"/>
  <c r="I444" i="1"/>
  <c r="E444" i="1"/>
  <c r="J444" i="1" s="1"/>
  <c r="T442" i="1"/>
  <c r="P442" i="1"/>
  <c r="I442" i="1"/>
  <c r="E442" i="1"/>
  <c r="J442" i="1" s="1"/>
  <c r="T441" i="1"/>
  <c r="P441" i="1"/>
  <c r="I441" i="1"/>
  <c r="E441" i="1"/>
  <c r="J441" i="1" s="1"/>
  <c r="T440" i="1"/>
  <c r="P440" i="1"/>
  <c r="U440" i="1" s="1"/>
  <c r="I440" i="1"/>
  <c r="E440" i="1"/>
  <c r="J440" i="1" s="1"/>
  <c r="T439" i="1"/>
  <c r="P439" i="1"/>
  <c r="I439" i="1"/>
  <c r="E439" i="1"/>
  <c r="J439" i="1" s="1"/>
  <c r="T438" i="1"/>
  <c r="P438" i="1"/>
  <c r="U438" i="1" s="1"/>
  <c r="I438" i="1"/>
  <c r="E438" i="1"/>
  <c r="J438" i="1" s="1"/>
  <c r="T437" i="1"/>
  <c r="P437" i="1"/>
  <c r="I437" i="1"/>
  <c r="E437" i="1"/>
  <c r="J437" i="1" s="1"/>
  <c r="T436" i="1"/>
  <c r="P436" i="1"/>
  <c r="U436" i="1" s="1"/>
  <c r="I436" i="1"/>
  <c r="E436" i="1"/>
  <c r="J436" i="1" s="1"/>
  <c r="H434" i="1"/>
  <c r="H443" i="1" s="1"/>
  <c r="H471" i="1" s="1"/>
  <c r="G434" i="1"/>
  <c r="G443" i="1" s="1"/>
  <c r="G471" i="1" s="1"/>
  <c r="D434" i="1"/>
  <c r="D443" i="1" s="1"/>
  <c r="C434" i="1"/>
  <c r="C443" i="1" s="1"/>
  <c r="C471" i="1" s="1"/>
  <c r="B434" i="1"/>
  <c r="E434" i="1" s="1"/>
  <c r="R427" i="1"/>
  <c r="N427" i="1"/>
  <c r="N384" i="4"/>
  <c r="P374" i="1"/>
  <c r="T374" i="1"/>
  <c r="U374" i="1" s="1"/>
  <c r="T401" i="1"/>
  <c r="P401" i="1"/>
  <c r="U401" i="1" s="1"/>
  <c r="H384" i="4"/>
  <c r="G384" i="4"/>
  <c r="F384" i="4"/>
  <c r="D384" i="4"/>
  <c r="C384" i="4"/>
  <c r="B384" i="4"/>
  <c r="I383" i="4"/>
  <c r="E383" i="4"/>
  <c r="J383" i="4" s="1"/>
  <c r="I382" i="4"/>
  <c r="E382" i="4"/>
  <c r="J382" i="4" s="1"/>
  <c r="I381" i="4"/>
  <c r="E381" i="4"/>
  <c r="J381" i="4" s="1"/>
  <c r="J380" i="4"/>
  <c r="I380" i="4"/>
  <c r="E380" i="4"/>
  <c r="I379" i="4"/>
  <c r="J379" i="4" s="1"/>
  <c r="E379" i="4"/>
  <c r="I378" i="4"/>
  <c r="E378" i="4"/>
  <c r="J378" i="4" s="1"/>
  <c r="I377" i="4"/>
  <c r="E377" i="4"/>
  <c r="J377" i="4" s="1"/>
  <c r="J376" i="4"/>
  <c r="I376" i="4"/>
  <c r="E376" i="4"/>
  <c r="I375" i="4"/>
  <c r="J375" i="4" s="1"/>
  <c r="E375" i="4"/>
  <c r="I374" i="4"/>
  <c r="E374" i="4"/>
  <c r="J374" i="4" s="1"/>
  <c r="I373" i="4"/>
  <c r="E373" i="4"/>
  <c r="J373" i="4" s="1"/>
  <c r="J372" i="4"/>
  <c r="I372" i="4"/>
  <c r="E372" i="4"/>
  <c r="I371" i="4"/>
  <c r="J371" i="4" s="1"/>
  <c r="E371" i="4"/>
  <c r="I370" i="4"/>
  <c r="E370" i="4"/>
  <c r="J370" i="4" s="1"/>
  <c r="I369" i="4"/>
  <c r="E369" i="4"/>
  <c r="J369" i="4" s="1"/>
  <c r="J368" i="4"/>
  <c r="I368" i="4"/>
  <c r="E368" i="4"/>
  <c r="I367" i="4"/>
  <c r="J367" i="4" s="1"/>
  <c r="E367" i="4"/>
  <c r="I366" i="4"/>
  <c r="E366" i="4"/>
  <c r="J366" i="4" s="1"/>
  <c r="I365" i="4"/>
  <c r="E365" i="4"/>
  <c r="J365" i="4" s="1"/>
  <c r="J364" i="4"/>
  <c r="I364" i="4"/>
  <c r="E364" i="4"/>
  <c r="I363" i="4"/>
  <c r="J363" i="4" s="1"/>
  <c r="E363" i="4"/>
  <c r="I362" i="4"/>
  <c r="E362" i="4"/>
  <c r="J362" i="4" s="1"/>
  <c r="I361" i="4"/>
  <c r="E361" i="4"/>
  <c r="J361" i="4" s="1"/>
  <c r="J360" i="4"/>
  <c r="I360" i="4"/>
  <c r="E360" i="4"/>
  <c r="I359" i="4"/>
  <c r="E359" i="4"/>
  <c r="I358" i="4"/>
  <c r="E358" i="4"/>
  <c r="J358" i="4" s="1"/>
  <c r="C357" i="4"/>
  <c r="C385" i="4" s="1"/>
  <c r="I356" i="4"/>
  <c r="E356" i="4"/>
  <c r="J356" i="4" s="1"/>
  <c r="I355" i="4"/>
  <c r="E355" i="4"/>
  <c r="J355" i="4" s="1"/>
  <c r="J354" i="4"/>
  <c r="I354" i="4"/>
  <c r="E354" i="4"/>
  <c r="I353" i="4"/>
  <c r="J353" i="4" s="1"/>
  <c r="E353" i="4"/>
  <c r="I352" i="4"/>
  <c r="E352" i="4"/>
  <c r="J352" i="4" s="1"/>
  <c r="I351" i="4"/>
  <c r="E351" i="4"/>
  <c r="J351" i="4" s="1"/>
  <c r="J350" i="4"/>
  <c r="I350" i="4"/>
  <c r="E350" i="4"/>
  <c r="I349" i="4"/>
  <c r="E349" i="4"/>
  <c r="H348" i="4"/>
  <c r="H357" i="4" s="1"/>
  <c r="H385" i="4" s="1"/>
  <c r="D348" i="4"/>
  <c r="D357" i="4" s="1"/>
  <c r="D385" i="4" s="1"/>
  <c r="C348" i="4"/>
  <c r="B348" i="4"/>
  <c r="B357" i="4" s="1"/>
  <c r="P335" i="4"/>
  <c r="U335" i="4" s="1"/>
  <c r="T335" i="4"/>
  <c r="P336" i="4"/>
  <c r="U336" i="4" s="1"/>
  <c r="T336" i="4"/>
  <c r="P337" i="4"/>
  <c r="T337" i="4"/>
  <c r="U337" i="4" s="1"/>
  <c r="P338" i="4"/>
  <c r="T338" i="4"/>
  <c r="U338" i="4"/>
  <c r="T340" i="4"/>
  <c r="P340" i="4"/>
  <c r="U340" i="4" s="1"/>
  <c r="U339" i="4"/>
  <c r="T339" i="4"/>
  <c r="P339" i="4"/>
  <c r="P375" i="4"/>
  <c r="T375" i="4"/>
  <c r="P376" i="4"/>
  <c r="T376" i="4"/>
  <c r="P377" i="4"/>
  <c r="T377" i="4"/>
  <c r="P378" i="4"/>
  <c r="T378" i="4"/>
  <c r="U378" i="4"/>
  <c r="P358" i="4"/>
  <c r="T358" i="4"/>
  <c r="P359" i="4"/>
  <c r="T359" i="4"/>
  <c r="P360" i="4"/>
  <c r="T360" i="4"/>
  <c r="P361" i="4"/>
  <c r="T361" i="4"/>
  <c r="U361" i="4" s="1"/>
  <c r="P362" i="4"/>
  <c r="T362" i="4"/>
  <c r="P363" i="4"/>
  <c r="T363" i="4"/>
  <c r="P364" i="4"/>
  <c r="T364" i="4"/>
  <c r="P365" i="4"/>
  <c r="T365" i="4"/>
  <c r="U365" i="4" s="1"/>
  <c r="P366" i="4"/>
  <c r="T366" i="4"/>
  <c r="P367" i="4"/>
  <c r="T367" i="4"/>
  <c r="P368" i="4"/>
  <c r="T368" i="4"/>
  <c r="U368" i="4" s="1"/>
  <c r="P351" i="4"/>
  <c r="U351" i="4" s="1"/>
  <c r="T351" i="4"/>
  <c r="P352" i="4"/>
  <c r="U352" i="4" s="1"/>
  <c r="T352" i="4"/>
  <c r="T374" i="4"/>
  <c r="P374" i="4"/>
  <c r="U374" i="4" s="1"/>
  <c r="T373" i="4"/>
  <c r="P373" i="4"/>
  <c r="T372" i="4"/>
  <c r="P372" i="4"/>
  <c r="U372" i="4" s="1"/>
  <c r="T371" i="4"/>
  <c r="P371" i="4"/>
  <c r="U371" i="4" s="1"/>
  <c r="T370" i="4"/>
  <c r="P370" i="4"/>
  <c r="U370" i="4" s="1"/>
  <c r="T369" i="4"/>
  <c r="U369" i="4" s="1"/>
  <c r="P369" i="4"/>
  <c r="U356" i="4"/>
  <c r="T356" i="4"/>
  <c r="P356" i="4"/>
  <c r="T355" i="4"/>
  <c r="U355" i="4" s="1"/>
  <c r="P355" i="4"/>
  <c r="T354" i="4"/>
  <c r="P354" i="4"/>
  <c r="U354" i="4" s="1"/>
  <c r="T353" i="4"/>
  <c r="P353" i="4"/>
  <c r="U353" i="4" s="1"/>
  <c r="T350" i="4"/>
  <c r="P350" i="4"/>
  <c r="U350" i="4" s="1"/>
  <c r="T349" i="4"/>
  <c r="P349" i="4"/>
  <c r="U349" i="4" s="1"/>
  <c r="H427" i="1"/>
  <c r="G427" i="1"/>
  <c r="F427" i="1"/>
  <c r="D427" i="1"/>
  <c r="E427" i="1" s="1"/>
  <c r="C427" i="1"/>
  <c r="B427" i="1"/>
  <c r="I426" i="1"/>
  <c r="J426" i="1" s="1"/>
  <c r="E426" i="1"/>
  <c r="I425" i="1"/>
  <c r="E425" i="1"/>
  <c r="J425" i="1" s="1"/>
  <c r="I424" i="1"/>
  <c r="E424" i="1"/>
  <c r="J424" i="1" s="1"/>
  <c r="J423" i="1"/>
  <c r="I423" i="1"/>
  <c r="E423" i="1"/>
  <c r="I422" i="1"/>
  <c r="J422" i="1" s="1"/>
  <c r="E422" i="1"/>
  <c r="I421" i="1"/>
  <c r="E421" i="1"/>
  <c r="J421" i="1" s="1"/>
  <c r="I420" i="1"/>
  <c r="E420" i="1"/>
  <c r="J420" i="1" s="1"/>
  <c r="J419" i="1"/>
  <c r="I419" i="1"/>
  <c r="E419" i="1"/>
  <c r="I418" i="1"/>
  <c r="J418" i="1" s="1"/>
  <c r="E418" i="1"/>
  <c r="I417" i="1"/>
  <c r="E417" i="1"/>
  <c r="J417" i="1" s="1"/>
  <c r="I416" i="1"/>
  <c r="E416" i="1"/>
  <c r="J416" i="1" s="1"/>
  <c r="J415" i="1"/>
  <c r="I415" i="1"/>
  <c r="E415" i="1"/>
  <c r="I414" i="1"/>
  <c r="J414" i="1" s="1"/>
  <c r="E414" i="1"/>
  <c r="I413" i="1"/>
  <c r="E413" i="1"/>
  <c r="J413" i="1" s="1"/>
  <c r="I412" i="1"/>
  <c r="E412" i="1"/>
  <c r="J412" i="1" s="1"/>
  <c r="J411" i="1"/>
  <c r="I411" i="1"/>
  <c r="E411" i="1"/>
  <c r="I410" i="1"/>
  <c r="J410" i="1" s="1"/>
  <c r="E410" i="1"/>
  <c r="I409" i="1"/>
  <c r="E409" i="1"/>
  <c r="J409" i="1" s="1"/>
  <c r="I408" i="1"/>
  <c r="E408" i="1"/>
  <c r="J408" i="1" s="1"/>
  <c r="J407" i="1"/>
  <c r="I407" i="1"/>
  <c r="E407" i="1"/>
  <c r="I406" i="1"/>
  <c r="J406" i="1" s="1"/>
  <c r="E406" i="1"/>
  <c r="I405" i="1"/>
  <c r="E405" i="1"/>
  <c r="J405" i="1" s="1"/>
  <c r="I404" i="1"/>
  <c r="E404" i="1"/>
  <c r="J404" i="1" s="1"/>
  <c r="J403" i="1"/>
  <c r="I403" i="1"/>
  <c r="E403" i="1"/>
  <c r="I402" i="1"/>
  <c r="J402" i="1" s="1"/>
  <c r="E402" i="1"/>
  <c r="I401" i="1"/>
  <c r="E401" i="1"/>
  <c r="J401" i="1" s="1"/>
  <c r="G400" i="1"/>
  <c r="G428" i="1" s="1"/>
  <c r="F400" i="1"/>
  <c r="C400" i="1"/>
  <c r="C428" i="1" s="1"/>
  <c r="B400" i="1"/>
  <c r="B428" i="1" s="1"/>
  <c r="I399" i="1"/>
  <c r="E399" i="1"/>
  <c r="J399" i="1" s="1"/>
  <c r="I398" i="1"/>
  <c r="E398" i="1"/>
  <c r="J398" i="1" s="1"/>
  <c r="J397" i="1"/>
  <c r="I397" i="1"/>
  <c r="E397" i="1"/>
  <c r="I396" i="1"/>
  <c r="J396" i="1" s="1"/>
  <c r="E396" i="1"/>
  <c r="I395" i="1"/>
  <c r="E395" i="1"/>
  <c r="J395" i="1" s="1"/>
  <c r="I394" i="1"/>
  <c r="E394" i="1"/>
  <c r="J394" i="1" s="1"/>
  <c r="I393" i="1"/>
  <c r="E393" i="1"/>
  <c r="I392" i="1"/>
  <c r="E392" i="1"/>
  <c r="H391" i="1"/>
  <c r="H400" i="1" s="1"/>
  <c r="H428" i="1" s="1"/>
  <c r="G391" i="1"/>
  <c r="F391" i="1"/>
  <c r="D391" i="1"/>
  <c r="E391" i="1" s="1"/>
  <c r="C391" i="1"/>
  <c r="B391" i="1"/>
  <c r="P378" i="1"/>
  <c r="T378" i="1"/>
  <c r="U378" i="1"/>
  <c r="P379" i="1"/>
  <c r="U379" i="1" s="1"/>
  <c r="T379" i="1"/>
  <c r="P380" i="1"/>
  <c r="U380" i="1" s="1"/>
  <c r="T380" i="1"/>
  <c r="P381" i="1"/>
  <c r="T381" i="1"/>
  <c r="U381" i="1"/>
  <c r="T383" i="1"/>
  <c r="P383" i="1"/>
  <c r="U383" i="1" s="1"/>
  <c r="U382" i="1"/>
  <c r="T382" i="1"/>
  <c r="P382" i="1"/>
  <c r="P418" i="1"/>
  <c r="U418" i="1" s="1"/>
  <c r="T418" i="1"/>
  <c r="P419" i="1"/>
  <c r="T419" i="1"/>
  <c r="P420" i="1"/>
  <c r="U420" i="1" s="1"/>
  <c r="T420" i="1"/>
  <c r="P421" i="1"/>
  <c r="T421" i="1"/>
  <c r="U421" i="1" s="1"/>
  <c r="P402" i="1"/>
  <c r="T402" i="1"/>
  <c r="P403" i="1"/>
  <c r="T403" i="1"/>
  <c r="P404" i="1"/>
  <c r="T404" i="1"/>
  <c r="U404" i="1" s="1"/>
  <c r="P405" i="1"/>
  <c r="T405" i="1"/>
  <c r="U405" i="1" s="1"/>
  <c r="P406" i="1"/>
  <c r="T406" i="1"/>
  <c r="P407" i="1"/>
  <c r="T407" i="1"/>
  <c r="P408" i="1"/>
  <c r="T408" i="1"/>
  <c r="U408" i="1"/>
  <c r="P409" i="1"/>
  <c r="T409" i="1"/>
  <c r="U409" i="1" s="1"/>
  <c r="P410" i="1"/>
  <c r="U410" i="1" s="1"/>
  <c r="T410" i="1"/>
  <c r="P411" i="1"/>
  <c r="U411" i="1" s="1"/>
  <c r="T411" i="1"/>
  <c r="P412" i="1"/>
  <c r="T412" i="1"/>
  <c r="U412" i="1"/>
  <c r="P394" i="1"/>
  <c r="U394" i="1" s="1"/>
  <c r="T394" i="1"/>
  <c r="P395" i="1"/>
  <c r="U395" i="1" s="1"/>
  <c r="T395" i="1"/>
  <c r="M427" i="1"/>
  <c r="T417" i="1"/>
  <c r="P417" i="1"/>
  <c r="T416" i="1"/>
  <c r="P416" i="1"/>
  <c r="U416" i="1" s="1"/>
  <c r="T415" i="1"/>
  <c r="P415" i="1"/>
  <c r="T414" i="1"/>
  <c r="P414" i="1"/>
  <c r="T413" i="1"/>
  <c r="P413" i="1"/>
  <c r="U413" i="1" s="1"/>
  <c r="U399" i="1"/>
  <c r="T399" i="1"/>
  <c r="P399" i="1"/>
  <c r="U398" i="1"/>
  <c r="T398" i="1"/>
  <c r="P398" i="1"/>
  <c r="U397" i="1"/>
  <c r="T397" i="1"/>
  <c r="P397" i="1"/>
  <c r="U396" i="1"/>
  <c r="T396" i="1"/>
  <c r="P396" i="1"/>
  <c r="U393" i="1"/>
  <c r="T393" i="1"/>
  <c r="P393" i="1"/>
  <c r="U392" i="1"/>
  <c r="T392" i="1"/>
  <c r="P392" i="1"/>
  <c r="S341" i="4"/>
  <c r="R341" i="4"/>
  <c r="N341" i="4"/>
  <c r="S384" i="1"/>
  <c r="O384" i="1"/>
  <c r="Q384" i="1"/>
  <c r="R384" i="1"/>
  <c r="I266" i="4"/>
  <c r="E266" i="4"/>
  <c r="J266" i="4" s="1"/>
  <c r="I309" i="1"/>
  <c r="E309" i="1"/>
  <c r="J309" i="1" s="1"/>
  <c r="E315" i="4"/>
  <c r="I315" i="4"/>
  <c r="J315" i="4" s="1"/>
  <c r="I273" i="4"/>
  <c r="E273" i="4"/>
  <c r="J273" i="4" s="1"/>
  <c r="E349" i="1"/>
  <c r="I349" i="1"/>
  <c r="J349" i="1" s="1"/>
  <c r="E358" i="1"/>
  <c r="I358" i="1"/>
  <c r="J358" i="1"/>
  <c r="I319" i="1"/>
  <c r="E319" i="1"/>
  <c r="J319" i="1" s="1"/>
  <c r="T265" i="1"/>
  <c r="P265" i="1"/>
  <c r="U265" i="1" s="1"/>
  <c r="T222" i="4"/>
  <c r="P222" i="4"/>
  <c r="U222" i="4" s="1"/>
  <c r="N384" i="1"/>
  <c r="H384" i="1"/>
  <c r="G384" i="1"/>
  <c r="F384" i="1"/>
  <c r="I384" i="1" s="1"/>
  <c r="D384" i="1"/>
  <c r="C384" i="1"/>
  <c r="B384" i="1"/>
  <c r="M384" i="1"/>
  <c r="I383" i="1"/>
  <c r="E383" i="1"/>
  <c r="J383" i="1" s="1"/>
  <c r="J382" i="1"/>
  <c r="I382" i="1"/>
  <c r="E382" i="1"/>
  <c r="I381" i="1"/>
  <c r="E381" i="1"/>
  <c r="J381" i="1" s="1"/>
  <c r="J380" i="1"/>
  <c r="I380" i="1"/>
  <c r="E380" i="1"/>
  <c r="I379" i="1"/>
  <c r="E379" i="1"/>
  <c r="J379" i="1" s="1"/>
  <c r="J378" i="1"/>
  <c r="I378" i="1"/>
  <c r="E378" i="1"/>
  <c r="T377" i="1"/>
  <c r="P377" i="1"/>
  <c r="U377" i="1" s="1"/>
  <c r="I377" i="1"/>
  <c r="E377" i="1"/>
  <c r="J377" i="1" s="1"/>
  <c r="U376" i="1"/>
  <c r="T376" i="1"/>
  <c r="P376" i="1"/>
  <c r="J376" i="1"/>
  <c r="I376" i="1"/>
  <c r="E376" i="1"/>
  <c r="T375" i="1"/>
  <c r="P375" i="1"/>
  <c r="U375" i="1" s="1"/>
  <c r="I375" i="1"/>
  <c r="E375" i="1"/>
  <c r="J375" i="1" s="1"/>
  <c r="J374" i="1"/>
  <c r="I374" i="1"/>
  <c r="E374" i="1"/>
  <c r="T373" i="1"/>
  <c r="P373" i="1"/>
  <c r="I373" i="1"/>
  <c r="E373" i="1"/>
  <c r="J373" i="1" s="1"/>
  <c r="T372" i="1"/>
  <c r="P372" i="1"/>
  <c r="J372" i="1"/>
  <c r="I372" i="1"/>
  <c r="E372" i="1"/>
  <c r="T371" i="1"/>
  <c r="P371" i="1"/>
  <c r="I371" i="1"/>
  <c r="E371" i="1"/>
  <c r="J371" i="1" s="1"/>
  <c r="T370" i="1"/>
  <c r="P370" i="1"/>
  <c r="J370" i="1"/>
  <c r="I370" i="1"/>
  <c r="E370" i="1"/>
  <c r="T369" i="1"/>
  <c r="P369" i="1"/>
  <c r="U369" i="1" s="1"/>
  <c r="I369" i="1"/>
  <c r="E369" i="1"/>
  <c r="J369" i="1" s="1"/>
  <c r="T368" i="1"/>
  <c r="P368" i="1"/>
  <c r="J368" i="1"/>
  <c r="I368" i="1"/>
  <c r="E368" i="1"/>
  <c r="T367" i="1"/>
  <c r="P367" i="1"/>
  <c r="U367" i="1" s="1"/>
  <c r="I367" i="1"/>
  <c r="E367" i="1"/>
  <c r="J367" i="1" s="1"/>
  <c r="T366" i="1"/>
  <c r="P366" i="1"/>
  <c r="U366" i="1" s="1"/>
  <c r="J366" i="1"/>
  <c r="I366" i="1"/>
  <c r="E366" i="1"/>
  <c r="T365" i="1"/>
  <c r="P365" i="1"/>
  <c r="U365" i="1" s="1"/>
  <c r="I365" i="1"/>
  <c r="E365" i="1"/>
  <c r="J365" i="1" s="1"/>
  <c r="T364" i="1"/>
  <c r="P364" i="1"/>
  <c r="U364" i="1" s="1"/>
  <c r="J364" i="1"/>
  <c r="I364" i="1"/>
  <c r="E364" i="1"/>
  <c r="T363" i="1"/>
  <c r="P363" i="1"/>
  <c r="U363" i="1" s="1"/>
  <c r="I363" i="1"/>
  <c r="E363" i="1"/>
  <c r="J363" i="1" s="1"/>
  <c r="T362" i="1"/>
  <c r="P362" i="1"/>
  <c r="U362" i="1" s="1"/>
  <c r="J362" i="1"/>
  <c r="I362" i="1"/>
  <c r="E362" i="1"/>
  <c r="T361" i="1"/>
  <c r="P361" i="1"/>
  <c r="I361" i="1"/>
  <c r="E361" i="1"/>
  <c r="J361" i="1" s="1"/>
  <c r="T360" i="1"/>
  <c r="P360" i="1"/>
  <c r="J360" i="1"/>
  <c r="I360" i="1"/>
  <c r="E360" i="1"/>
  <c r="T359" i="1"/>
  <c r="U359" i="1" s="1"/>
  <c r="P359" i="1"/>
  <c r="I359" i="1"/>
  <c r="E359" i="1"/>
  <c r="J359" i="1" s="1"/>
  <c r="T358" i="1"/>
  <c r="P358" i="1"/>
  <c r="U358" i="1" s="1"/>
  <c r="U356" i="1"/>
  <c r="T356" i="1"/>
  <c r="P356" i="1"/>
  <c r="J356" i="1"/>
  <c r="I356" i="1"/>
  <c r="E356" i="1"/>
  <c r="T355" i="1"/>
  <c r="P355" i="1"/>
  <c r="U355" i="1" s="1"/>
  <c r="I355" i="1"/>
  <c r="E355" i="1"/>
  <c r="J355" i="1" s="1"/>
  <c r="U354" i="1"/>
  <c r="T354" i="1"/>
  <c r="P354" i="1"/>
  <c r="J354" i="1"/>
  <c r="I354" i="1"/>
  <c r="E354" i="1"/>
  <c r="T353" i="1"/>
  <c r="P353" i="1"/>
  <c r="U353" i="1" s="1"/>
  <c r="I353" i="1"/>
  <c r="E353" i="1"/>
  <c r="J353" i="1" s="1"/>
  <c r="U352" i="1"/>
  <c r="T352" i="1"/>
  <c r="P352" i="1"/>
  <c r="J352" i="1"/>
  <c r="I352" i="1"/>
  <c r="E352" i="1"/>
  <c r="T351" i="1"/>
  <c r="P351" i="1"/>
  <c r="I351" i="1"/>
  <c r="E351" i="1"/>
  <c r="J351" i="1" s="1"/>
  <c r="U350" i="1"/>
  <c r="T350" i="1"/>
  <c r="P350" i="1"/>
  <c r="J350" i="1"/>
  <c r="I350" i="1"/>
  <c r="E350" i="1"/>
  <c r="T349" i="1"/>
  <c r="P349" i="1"/>
  <c r="U349" i="1" s="1"/>
  <c r="P297" i="1"/>
  <c r="T297" i="1"/>
  <c r="P306" i="1"/>
  <c r="T306" i="1"/>
  <c r="U306" i="1" s="1"/>
  <c r="P307" i="1"/>
  <c r="U307" i="1" s="1"/>
  <c r="T307" i="1"/>
  <c r="P308" i="1"/>
  <c r="U308" i="1" s="1"/>
  <c r="T308" i="1"/>
  <c r="P309" i="1"/>
  <c r="T309" i="1"/>
  <c r="U309" i="1"/>
  <c r="P310" i="1"/>
  <c r="T310" i="1"/>
  <c r="U310" i="1"/>
  <c r="P311" i="1"/>
  <c r="U311" i="1" s="1"/>
  <c r="T311" i="1"/>
  <c r="P315" i="1"/>
  <c r="T315" i="1"/>
  <c r="P316" i="1"/>
  <c r="T316" i="1"/>
  <c r="P317" i="1"/>
  <c r="T317" i="1"/>
  <c r="P318" i="1"/>
  <c r="T318" i="1"/>
  <c r="U318" i="1" s="1"/>
  <c r="P319" i="1"/>
  <c r="T319" i="1"/>
  <c r="P320" i="1"/>
  <c r="T320" i="1"/>
  <c r="P321" i="1"/>
  <c r="T321" i="1"/>
  <c r="P322" i="1"/>
  <c r="T322" i="1"/>
  <c r="U322" i="1"/>
  <c r="P323" i="1"/>
  <c r="U323" i="1" s="1"/>
  <c r="T323" i="1"/>
  <c r="P324" i="1"/>
  <c r="U324" i="1" s="1"/>
  <c r="T324" i="1"/>
  <c r="P325" i="1"/>
  <c r="T325" i="1"/>
  <c r="U325" i="1" s="1"/>
  <c r="P326" i="1"/>
  <c r="T326" i="1"/>
  <c r="U326" i="1"/>
  <c r="P327" i="1"/>
  <c r="U327" i="1" s="1"/>
  <c r="T327" i="1"/>
  <c r="P328" i="1"/>
  <c r="U328" i="1" s="1"/>
  <c r="T328" i="1"/>
  <c r="P329" i="1"/>
  <c r="T329" i="1"/>
  <c r="U329" i="1" s="1"/>
  <c r="P330" i="1"/>
  <c r="T330" i="1"/>
  <c r="U330" i="1"/>
  <c r="P331" i="1"/>
  <c r="U331" i="1" s="1"/>
  <c r="T331" i="1"/>
  <c r="P332" i="1"/>
  <c r="U332" i="1" s="1"/>
  <c r="T332" i="1"/>
  <c r="P333" i="1"/>
  <c r="T333" i="1"/>
  <c r="U333" i="1" s="1"/>
  <c r="P334" i="1"/>
  <c r="T334" i="1"/>
  <c r="U334" i="1"/>
  <c r="P335" i="1"/>
  <c r="U335" i="1" s="1"/>
  <c r="T335" i="1"/>
  <c r="E315" i="1"/>
  <c r="J315" i="1" s="1"/>
  <c r="I315" i="1"/>
  <c r="E316" i="1"/>
  <c r="I316" i="1"/>
  <c r="E317" i="1"/>
  <c r="J317" i="1" s="1"/>
  <c r="I317" i="1"/>
  <c r="E318" i="1"/>
  <c r="I318" i="1"/>
  <c r="J318" i="1" s="1"/>
  <c r="E320" i="1"/>
  <c r="J320" i="1" s="1"/>
  <c r="I320" i="1"/>
  <c r="E321" i="1"/>
  <c r="J321" i="1" s="1"/>
  <c r="I321" i="1"/>
  <c r="E306" i="1"/>
  <c r="I306" i="1"/>
  <c r="E307" i="1"/>
  <c r="J307" i="1" s="1"/>
  <c r="I307" i="1"/>
  <c r="E308" i="1"/>
  <c r="J308" i="1" s="1"/>
  <c r="I308" i="1"/>
  <c r="S341" i="1"/>
  <c r="R341" i="1"/>
  <c r="O341" i="1"/>
  <c r="N341" i="1"/>
  <c r="H341" i="1"/>
  <c r="G341" i="1"/>
  <c r="F341" i="1"/>
  <c r="D341" i="1"/>
  <c r="C341" i="1"/>
  <c r="B341" i="1"/>
  <c r="T340" i="1"/>
  <c r="Q341" i="1"/>
  <c r="P340" i="1"/>
  <c r="M341" i="1"/>
  <c r="I340" i="1"/>
  <c r="E340" i="1"/>
  <c r="J340" i="1" s="1"/>
  <c r="T339" i="1"/>
  <c r="P339" i="1"/>
  <c r="U339" i="1" s="1"/>
  <c r="J339" i="1"/>
  <c r="I339" i="1"/>
  <c r="E339" i="1"/>
  <c r="T338" i="1"/>
  <c r="P338" i="1"/>
  <c r="U338" i="1" s="1"/>
  <c r="I338" i="1"/>
  <c r="E338" i="1"/>
  <c r="J338" i="1" s="1"/>
  <c r="T337" i="1"/>
  <c r="U337" i="1" s="1"/>
  <c r="P337" i="1"/>
  <c r="J337" i="1"/>
  <c r="I337" i="1"/>
  <c r="E337" i="1"/>
  <c r="T336" i="1"/>
  <c r="P336" i="1"/>
  <c r="U336" i="1" s="1"/>
  <c r="I336" i="1"/>
  <c r="E336" i="1"/>
  <c r="J336" i="1" s="1"/>
  <c r="J335" i="1"/>
  <c r="I335" i="1"/>
  <c r="E335" i="1"/>
  <c r="I334" i="1"/>
  <c r="E334" i="1"/>
  <c r="J334" i="1" s="1"/>
  <c r="J333" i="1"/>
  <c r="I333" i="1"/>
  <c r="E333" i="1"/>
  <c r="I332" i="1"/>
  <c r="E332" i="1"/>
  <c r="J332" i="1" s="1"/>
  <c r="J331" i="1"/>
  <c r="I331" i="1"/>
  <c r="E331" i="1"/>
  <c r="I330" i="1"/>
  <c r="E330" i="1"/>
  <c r="J330" i="1" s="1"/>
  <c r="J329" i="1"/>
  <c r="I329" i="1"/>
  <c r="E329" i="1"/>
  <c r="I328" i="1"/>
  <c r="E328" i="1"/>
  <c r="J328" i="1" s="1"/>
  <c r="J327" i="1"/>
  <c r="I327" i="1"/>
  <c r="E327" i="1"/>
  <c r="I326" i="1"/>
  <c r="E326" i="1"/>
  <c r="J326" i="1" s="1"/>
  <c r="J325" i="1"/>
  <c r="I325" i="1"/>
  <c r="E325" i="1"/>
  <c r="I324" i="1"/>
  <c r="E324" i="1"/>
  <c r="J324" i="1" s="1"/>
  <c r="J323" i="1"/>
  <c r="I323" i="1"/>
  <c r="E323" i="1"/>
  <c r="I322" i="1"/>
  <c r="E322" i="1"/>
  <c r="J322" i="1" s="1"/>
  <c r="T313" i="1"/>
  <c r="P313" i="1"/>
  <c r="U313" i="1" s="1"/>
  <c r="J313" i="1"/>
  <c r="I313" i="1"/>
  <c r="E313" i="1"/>
  <c r="T312" i="1"/>
  <c r="P312" i="1"/>
  <c r="U312" i="1" s="1"/>
  <c r="I312" i="1"/>
  <c r="E312" i="1"/>
  <c r="J312" i="1" s="1"/>
  <c r="I311" i="1"/>
  <c r="E311" i="1"/>
  <c r="I310" i="1"/>
  <c r="E310" i="1"/>
  <c r="J310" i="1" s="1"/>
  <c r="Q341" i="4"/>
  <c r="O341" i="4"/>
  <c r="H341" i="4"/>
  <c r="G341" i="4"/>
  <c r="F341" i="4"/>
  <c r="D341" i="4"/>
  <c r="C341" i="4"/>
  <c r="B341" i="4"/>
  <c r="J340" i="4"/>
  <c r="I340" i="4"/>
  <c r="E340" i="4"/>
  <c r="I339" i="4"/>
  <c r="E339" i="4"/>
  <c r="J339" i="4" s="1"/>
  <c r="J338" i="4"/>
  <c r="I338" i="4"/>
  <c r="E338" i="4"/>
  <c r="I337" i="4"/>
  <c r="E337" i="4"/>
  <c r="J337" i="4" s="1"/>
  <c r="J336" i="4"/>
  <c r="I336" i="4"/>
  <c r="E336" i="4"/>
  <c r="I335" i="4"/>
  <c r="E335" i="4"/>
  <c r="J335" i="4" s="1"/>
  <c r="T334" i="4"/>
  <c r="U334" i="4" s="1"/>
  <c r="P334" i="4"/>
  <c r="J334" i="4"/>
  <c r="I334" i="4"/>
  <c r="E334" i="4"/>
  <c r="T333" i="4"/>
  <c r="P333" i="4"/>
  <c r="U333" i="4" s="1"/>
  <c r="I333" i="4"/>
  <c r="E333" i="4"/>
  <c r="J333" i="4" s="1"/>
  <c r="T332" i="4"/>
  <c r="U332" i="4" s="1"/>
  <c r="P332" i="4"/>
  <c r="J332" i="4"/>
  <c r="I332" i="4"/>
  <c r="E332" i="4"/>
  <c r="T331" i="4"/>
  <c r="P331" i="4"/>
  <c r="U331" i="4" s="1"/>
  <c r="I331" i="4"/>
  <c r="E331" i="4"/>
  <c r="J331" i="4" s="1"/>
  <c r="T330" i="4"/>
  <c r="U330" i="4" s="1"/>
  <c r="P330" i="4"/>
  <c r="J330" i="4"/>
  <c r="I330" i="4"/>
  <c r="E330" i="4"/>
  <c r="T329" i="4"/>
  <c r="P329" i="4"/>
  <c r="U329" i="4" s="1"/>
  <c r="I329" i="4"/>
  <c r="E329" i="4"/>
  <c r="J329" i="4" s="1"/>
  <c r="T328" i="4"/>
  <c r="P328" i="4"/>
  <c r="J328" i="4"/>
  <c r="I328" i="4"/>
  <c r="E328" i="4"/>
  <c r="T327" i="4"/>
  <c r="P327" i="4"/>
  <c r="U327" i="4" s="1"/>
  <c r="I327" i="4"/>
  <c r="E327" i="4"/>
  <c r="J327" i="4" s="1"/>
  <c r="T326" i="4"/>
  <c r="P326" i="4"/>
  <c r="J326" i="4"/>
  <c r="I326" i="4"/>
  <c r="E326" i="4"/>
  <c r="T325" i="4"/>
  <c r="P325" i="4"/>
  <c r="I325" i="4"/>
  <c r="E325" i="4"/>
  <c r="J325" i="4" s="1"/>
  <c r="T324" i="4"/>
  <c r="U324" i="4" s="1"/>
  <c r="P324" i="4"/>
  <c r="J324" i="4"/>
  <c r="I324" i="4"/>
  <c r="E324" i="4"/>
  <c r="T323" i="4"/>
  <c r="P323" i="4"/>
  <c r="I323" i="4"/>
  <c r="E323" i="4"/>
  <c r="J323" i="4" s="1"/>
  <c r="T322" i="4"/>
  <c r="U322" i="4" s="1"/>
  <c r="P322" i="4"/>
  <c r="J322" i="4"/>
  <c r="I322" i="4"/>
  <c r="E322" i="4"/>
  <c r="T321" i="4"/>
  <c r="P321" i="4"/>
  <c r="I321" i="4"/>
  <c r="E321" i="4"/>
  <c r="J321" i="4" s="1"/>
  <c r="T320" i="4"/>
  <c r="U320" i="4" s="1"/>
  <c r="P320" i="4"/>
  <c r="J320" i="4"/>
  <c r="I320" i="4"/>
  <c r="E320" i="4"/>
  <c r="T319" i="4"/>
  <c r="P319" i="4"/>
  <c r="I319" i="4"/>
  <c r="E319" i="4"/>
  <c r="J319" i="4" s="1"/>
  <c r="T318" i="4"/>
  <c r="U318" i="4" s="1"/>
  <c r="P318" i="4"/>
  <c r="J318" i="4"/>
  <c r="I318" i="4"/>
  <c r="E318" i="4"/>
  <c r="T317" i="4"/>
  <c r="P317" i="4"/>
  <c r="I317" i="4"/>
  <c r="E317" i="4"/>
  <c r="J317" i="4" s="1"/>
  <c r="T316" i="4"/>
  <c r="U316" i="4" s="1"/>
  <c r="P316" i="4"/>
  <c r="I316" i="4"/>
  <c r="E316" i="4"/>
  <c r="T315" i="4"/>
  <c r="P315" i="4"/>
  <c r="T313" i="4"/>
  <c r="P313" i="4"/>
  <c r="U313" i="4" s="1"/>
  <c r="I313" i="4"/>
  <c r="E313" i="4"/>
  <c r="J313" i="4" s="1"/>
  <c r="T312" i="4"/>
  <c r="U312" i="4" s="1"/>
  <c r="P312" i="4"/>
  <c r="J312" i="4"/>
  <c r="I312" i="4"/>
  <c r="E312" i="4"/>
  <c r="T311" i="4"/>
  <c r="P311" i="4"/>
  <c r="U311" i="4" s="1"/>
  <c r="I311" i="4"/>
  <c r="E311" i="4"/>
  <c r="J311" i="4" s="1"/>
  <c r="T310" i="4"/>
  <c r="P310" i="4"/>
  <c r="J310" i="4"/>
  <c r="I310" i="4"/>
  <c r="E310" i="4"/>
  <c r="T309" i="4"/>
  <c r="P309" i="4"/>
  <c r="U309" i="4" s="1"/>
  <c r="I309" i="4"/>
  <c r="E309" i="4"/>
  <c r="J309" i="4" s="1"/>
  <c r="T308" i="4"/>
  <c r="P308" i="4"/>
  <c r="J308" i="4"/>
  <c r="I308" i="4"/>
  <c r="E308" i="4"/>
  <c r="T307" i="4"/>
  <c r="P307" i="4"/>
  <c r="U307" i="4" s="1"/>
  <c r="I307" i="4"/>
  <c r="E307" i="4"/>
  <c r="J307" i="4" s="1"/>
  <c r="T306" i="4"/>
  <c r="U306" i="4" s="1"/>
  <c r="P306" i="4"/>
  <c r="J306" i="4"/>
  <c r="I306" i="4"/>
  <c r="E306" i="4"/>
  <c r="P254" i="4"/>
  <c r="T254" i="4"/>
  <c r="P263" i="4"/>
  <c r="U263" i="4" s="1"/>
  <c r="T263" i="4"/>
  <c r="P264" i="4"/>
  <c r="U264" i="4" s="1"/>
  <c r="T264" i="4"/>
  <c r="P268" i="4"/>
  <c r="U268" i="4" s="1"/>
  <c r="T268" i="4"/>
  <c r="P272" i="4"/>
  <c r="U272" i="4" s="1"/>
  <c r="T272" i="4"/>
  <c r="P273" i="4"/>
  <c r="T273" i="4"/>
  <c r="P274" i="4"/>
  <c r="T274" i="4"/>
  <c r="U274" i="4" s="1"/>
  <c r="P275" i="4"/>
  <c r="T275" i="4"/>
  <c r="U275" i="4" s="1"/>
  <c r="P276" i="4"/>
  <c r="T276" i="4"/>
  <c r="P277" i="4"/>
  <c r="U277" i="4" s="1"/>
  <c r="T277" i="4"/>
  <c r="P278" i="4"/>
  <c r="T278" i="4"/>
  <c r="U278" i="4" s="1"/>
  <c r="P279" i="4"/>
  <c r="T279" i="4"/>
  <c r="U279" i="4"/>
  <c r="P280" i="4"/>
  <c r="U280" i="4" s="1"/>
  <c r="T280" i="4"/>
  <c r="P281" i="4"/>
  <c r="U281" i="4" s="1"/>
  <c r="T281" i="4"/>
  <c r="P282" i="4"/>
  <c r="T282" i="4"/>
  <c r="U282" i="4" s="1"/>
  <c r="P283" i="4"/>
  <c r="T283" i="4"/>
  <c r="U283" i="4"/>
  <c r="P284" i="4"/>
  <c r="U284" i="4" s="1"/>
  <c r="T284" i="4"/>
  <c r="P285" i="4"/>
  <c r="U285" i="4" s="1"/>
  <c r="T285" i="4"/>
  <c r="P286" i="4"/>
  <c r="T286" i="4"/>
  <c r="U286" i="4" s="1"/>
  <c r="P287" i="4"/>
  <c r="T287" i="4"/>
  <c r="U287" i="4"/>
  <c r="P288" i="4"/>
  <c r="U288" i="4" s="1"/>
  <c r="T288" i="4"/>
  <c r="P289" i="4"/>
  <c r="U289" i="4" s="1"/>
  <c r="T289" i="4"/>
  <c r="P290" i="4"/>
  <c r="T290" i="4"/>
  <c r="U290" i="4" s="1"/>
  <c r="E272" i="4"/>
  <c r="I272" i="4"/>
  <c r="E274" i="4"/>
  <c r="I274" i="4"/>
  <c r="J274" i="4"/>
  <c r="E275" i="4"/>
  <c r="J275" i="4" s="1"/>
  <c r="I275" i="4"/>
  <c r="E276" i="4"/>
  <c r="J276" i="4" s="1"/>
  <c r="I276" i="4"/>
  <c r="E263" i="4"/>
  <c r="I263" i="4"/>
  <c r="E264" i="4"/>
  <c r="I264" i="4"/>
  <c r="J264" i="4"/>
  <c r="E265" i="4"/>
  <c r="I265" i="4"/>
  <c r="J265" i="4" s="1"/>
  <c r="S298" i="4"/>
  <c r="R298" i="4"/>
  <c r="Q298" i="4"/>
  <c r="O298" i="4"/>
  <c r="N298" i="4"/>
  <c r="M298" i="4"/>
  <c r="P298" i="4" s="1"/>
  <c r="H298" i="4"/>
  <c r="G298" i="4"/>
  <c r="F298" i="4"/>
  <c r="D298" i="4"/>
  <c r="C298" i="4"/>
  <c r="B298" i="4"/>
  <c r="T297" i="4"/>
  <c r="P297" i="4"/>
  <c r="J297" i="4"/>
  <c r="I297" i="4"/>
  <c r="E297" i="4"/>
  <c r="T296" i="4"/>
  <c r="U296" i="4" s="1"/>
  <c r="P296" i="4"/>
  <c r="I296" i="4"/>
  <c r="E296" i="4"/>
  <c r="J296" i="4" s="1"/>
  <c r="T295" i="4"/>
  <c r="P295" i="4"/>
  <c r="U295" i="4" s="1"/>
  <c r="J295" i="4"/>
  <c r="I295" i="4"/>
  <c r="E295" i="4"/>
  <c r="T294" i="4"/>
  <c r="U294" i="4" s="1"/>
  <c r="P294" i="4"/>
  <c r="I294" i="4"/>
  <c r="E294" i="4"/>
  <c r="J294" i="4" s="1"/>
  <c r="T293" i="4"/>
  <c r="P293" i="4"/>
  <c r="U293" i="4" s="1"/>
  <c r="J293" i="4"/>
  <c r="I293" i="4"/>
  <c r="E293" i="4"/>
  <c r="T292" i="4"/>
  <c r="U292" i="4" s="1"/>
  <c r="P292" i="4"/>
  <c r="I292" i="4"/>
  <c r="E292" i="4"/>
  <c r="J292" i="4" s="1"/>
  <c r="T291" i="4"/>
  <c r="P291" i="4"/>
  <c r="U291" i="4" s="1"/>
  <c r="J291" i="4"/>
  <c r="I291" i="4"/>
  <c r="E291" i="4"/>
  <c r="I290" i="4"/>
  <c r="E290" i="4"/>
  <c r="J290" i="4" s="1"/>
  <c r="J289" i="4"/>
  <c r="I289" i="4"/>
  <c r="E289" i="4"/>
  <c r="I288" i="4"/>
  <c r="E288" i="4"/>
  <c r="J288" i="4" s="1"/>
  <c r="J287" i="4"/>
  <c r="I287" i="4"/>
  <c r="E287" i="4"/>
  <c r="I286" i="4"/>
  <c r="E286" i="4"/>
  <c r="J286" i="4" s="1"/>
  <c r="J285" i="4"/>
  <c r="I285" i="4"/>
  <c r="E285" i="4"/>
  <c r="I284" i="4"/>
  <c r="E284" i="4"/>
  <c r="J284" i="4" s="1"/>
  <c r="J283" i="4"/>
  <c r="I283" i="4"/>
  <c r="E283" i="4"/>
  <c r="I282" i="4"/>
  <c r="E282" i="4"/>
  <c r="J282" i="4" s="1"/>
  <c r="J281" i="4"/>
  <c r="I281" i="4"/>
  <c r="E281" i="4"/>
  <c r="I280" i="4"/>
  <c r="E280" i="4"/>
  <c r="J280" i="4" s="1"/>
  <c r="J279" i="4"/>
  <c r="I279" i="4"/>
  <c r="E279" i="4"/>
  <c r="I278" i="4"/>
  <c r="E278" i="4"/>
  <c r="J278" i="4" s="1"/>
  <c r="J277" i="4"/>
  <c r="I277" i="4"/>
  <c r="E277" i="4"/>
  <c r="T270" i="4"/>
  <c r="U270" i="4" s="1"/>
  <c r="P270" i="4"/>
  <c r="I270" i="4"/>
  <c r="E270" i="4"/>
  <c r="J270" i="4" s="1"/>
  <c r="T269" i="4"/>
  <c r="P269" i="4"/>
  <c r="U269" i="4" s="1"/>
  <c r="J269" i="4"/>
  <c r="I269" i="4"/>
  <c r="E269" i="4"/>
  <c r="I268" i="4"/>
  <c r="E268" i="4"/>
  <c r="T267" i="4"/>
  <c r="P267" i="4"/>
  <c r="U267" i="4" s="1"/>
  <c r="I267" i="4"/>
  <c r="E267" i="4"/>
  <c r="T266" i="4"/>
  <c r="U266" i="4" s="1"/>
  <c r="P266" i="4"/>
  <c r="T265" i="4"/>
  <c r="P265" i="4"/>
  <c r="U265" i="4" s="1"/>
  <c r="E222" i="4"/>
  <c r="I222" i="4"/>
  <c r="N255" i="4"/>
  <c r="N257" i="4" s="1"/>
  <c r="E230" i="4"/>
  <c r="E263" i="1"/>
  <c r="I263" i="1"/>
  <c r="S220" i="4"/>
  <c r="T220" i="4" s="1"/>
  <c r="O220" i="4"/>
  <c r="P220" i="4" s="1"/>
  <c r="E229" i="4"/>
  <c r="I229" i="4"/>
  <c r="I230" i="4"/>
  <c r="E231" i="4"/>
  <c r="I231" i="4"/>
  <c r="H255" i="4"/>
  <c r="G255" i="4"/>
  <c r="F255" i="4"/>
  <c r="D255" i="4"/>
  <c r="C255" i="4"/>
  <c r="B255" i="4"/>
  <c r="I254" i="4"/>
  <c r="E254" i="4"/>
  <c r="I253" i="4"/>
  <c r="E253" i="4"/>
  <c r="I252" i="4"/>
  <c r="E252" i="4"/>
  <c r="I251" i="4"/>
  <c r="E251" i="4"/>
  <c r="I250" i="4"/>
  <c r="E250" i="4"/>
  <c r="I249" i="4"/>
  <c r="E249" i="4"/>
  <c r="I248" i="4"/>
  <c r="E248" i="4"/>
  <c r="I247" i="4"/>
  <c r="E247" i="4"/>
  <c r="I246" i="4"/>
  <c r="E246" i="4"/>
  <c r="I245" i="4"/>
  <c r="E245" i="4"/>
  <c r="I244" i="4"/>
  <c r="E244" i="4"/>
  <c r="I243" i="4"/>
  <c r="E243" i="4"/>
  <c r="I242" i="4"/>
  <c r="E242" i="4"/>
  <c r="I241" i="4"/>
  <c r="E241" i="4"/>
  <c r="I240" i="4"/>
  <c r="E240" i="4"/>
  <c r="I239" i="4"/>
  <c r="E239" i="4"/>
  <c r="I238" i="4"/>
  <c r="E238" i="4"/>
  <c r="I237" i="4"/>
  <c r="E237" i="4"/>
  <c r="I236" i="4"/>
  <c r="E236" i="4"/>
  <c r="I235" i="4"/>
  <c r="E235" i="4"/>
  <c r="I234" i="4"/>
  <c r="E234" i="4"/>
  <c r="I233" i="4"/>
  <c r="E233" i="4"/>
  <c r="I232" i="4"/>
  <c r="E232" i="4"/>
  <c r="I227" i="4"/>
  <c r="E227" i="4"/>
  <c r="I226" i="4"/>
  <c r="E226" i="4"/>
  <c r="I225" i="4"/>
  <c r="E225" i="4"/>
  <c r="I224" i="4"/>
  <c r="E224" i="4"/>
  <c r="I223" i="4"/>
  <c r="E223" i="4"/>
  <c r="I221" i="4"/>
  <c r="E221" i="4"/>
  <c r="I220" i="4"/>
  <c r="E220" i="4"/>
  <c r="P182" i="4"/>
  <c r="T182" i="4"/>
  <c r="P183" i="4"/>
  <c r="T183" i="4"/>
  <c r="P250" i="4"/>
  <c r="T250" i="4"/>
  <c r="P251" i="4"/>
  <c r="T251" i="4"/>
  <c r="P252" i="4"/>
  <c r="T252" i="4"/>
  <c r="P253" i="4"/>
  <c r="T253" i="4"/>
  <c r="P229" i="4"/>
  <c r="T229" i="4"/>
  <c r="P230" i="4"/>
  <c r="T230" i="4"/>
  <c r="P231" i="4"/>
  <c r="T231" i="4"/>
  <c r="P232" i="4"/>
  <c r="T232" i="4"/>
  <c r="P233" i="4"/>
  <c r="T233" i="4"/>
  <c r="P234" i="4"/>
  <c r="T234" i="4"/>
  <c r="P235" i="4"/>
  <c r="T235" i="4"/>
  <c r="P236" i="4"/>
  <c r="T236" i="4"/>
  <c r="P237" i="4"/>
  <c r="T237" i="4"/>
  <c r="P238" i="4"/>
  <c r="T238" i="4"/>
  <c r="P239" i="4"/>
  <c r="T239" i="4"/>
  <c r="P240" i="4"/>
  <c r="T240" i="4"/>
  <c r="P241" i="4"/>
  <c r="T241" i="4"/>
  <c r="P242" i="4"/>
  <c r="T242" i="4"/>
  <c r="P243" i="4"/>
  <c r="T243" i="4"/>
  <c r="P244" i="4"/>
  <c r="T244" i="4"/>
  <c r="P245" i="4"/>
  <c r="T245" i="4"/>
  <c r="P246" i="4"/>
  <c r="T246" i="4"/>
  <c r="P247" i="4"/>
  <c r="T247" i="4"/>
  <c r="P248" i="4"/>
  <c r="T248" i="4"/>
  <c r="O255" i="4"/>
  <c r="O257" i="4" s="1"/>
  <c r="S255" i="4"/>
  <c r="S257" i="4" s="1"/>
  <c r="R255" i="4"/>
  <c r="R257" i="4" s="1"/>
  <c r="Q255" i="4"/>
  <c r="Q257" i="4" s="1"/>
  <c r="M255" i="4"/>
  <c r="M257" i="4" s="1"/>
  <c r="T249" i="4"/>
  <c r="P249" i="4"/>
  <c r="T227" i="4"/>
  <c r="P227" i="4"/>
  <c r="T226" i="4"/>
  <c r="P226" i="4"/>
  <c r="T225" i="4"/>
  <c r="P225" i="4"/>
  <c r="T224" i="4"/>
  <c r="P224" i="4"/>
  <c r="T223" i="4"/>
  <c r="P223" i="4"/>
  <c r="T221" i="4"/>
  <c r="P221" i="4"/>
  <c r="Z216" i="4"/>
  <c r="Z217" i="4" s="1"/>
  <c r="Y216" i="4"/>
  <c r="Y217" i="4" s="1"/>
  <c r="X216" i="4"/>
  <c r="X217" i="4" s="1"/>
  <c r="AA215" i="4"/>
  <c r="AA214" i="4"/>
  <c r="U716" i="1" l="1"/>
  <c r="U725" i="4"/>
  <c r="U724" i="4"/>
  <c r="T728" i="4"/>
  <c r="O729" i="4"/>
  <c r="U726" i="4"/>
  <c r="S729" i="4"/>
  <c r="U727" i="4"/>
  <c r="P728" i="4"/>
  <c r="U728" i="4" s="1"/>
  <c r="U767" i="1"/>
  <c r="U768" i="1"/>
  <c r="U769" i="1"/>
  <c r="T771" i="1"/>
  <c r="S772" i="1"/>
  <c r="U770" i="1"/>
  <c r="P771" i="1"/>
  <c r="O772" i="1"/>
  <c r="U695" i="4"/>
  <c r="J746" i="1"/>
  <c r="J703" i="4"/>
  <c r="U737" i="1"/>
  <c r="U738" i="1"/>
  <c r="U697" i="4"/>
  <c r="U739" i="1"/>
  <c r="U696" i="4"/>
  <c r="U714" i="1"/>
  <c r="U695" i="1"/>
  <c r="J702" i="4"/>
  <c r="J745" i="1"/>
  <c r="J652" i="4"/>
  <c r="U667" i="4"/>
  <c r="U694" i="4"/>
  <c r="H729" i="4"/>
  <c r="I728" i="4"/>
  <c r="J728" i="4" s="1"/>
  <c r="J771" i="1"/>
  <c r="E692" i="1"/>
  <c r="J692" i="1" s="1"/>
  <c r="U710" i="1"/>
  <c r="U665" i="4"/>
  <c r="J651" i="4"/>
  <c r="I685" i="4"/>
  <c r="J685" i="4" s="1"/>
  <c r="H729" i="1"/>
  <c r="H735" i="1" s="1"/>
  <c r="H744" i="1" s="1"/>
  <c r="H772" i="1" s="1"/>
  <c r="J702" i="1"/>
  <c r="E728" i="1"/>
  <c r="U706" i="1"/>
  <c r="U661" i="4"/>
  <c r="J608" i="4"/>
  <c r="U635" i="4"/>
  <c r="U634" i="4"/>
  <c r="U633" i="4"/>
  <c r="U679" i="1"/>
  <c r="P685" i="4"/>
  <c r="P644" i="4" s="1"/>
  <c r="T685" i="4"/>
  <c r="T644" i="4" s="1"/>
  <c r="U656" i="4"/>
  <c r="T728" i="1"/>
  <c r="T687" i="1" s="1"/>
  <c r="P728" i="1"/>
  <c r="P687" i="1" s="1"/>
  <c r="M688" i="1" s="1"/>
  <c r="D729" i="1"/>
  <c r="D735" i="1" s="1"/>
  <c r="D744" i="1" s="1"/>
  <c r="D772" i="1" s="1"/>
  <c r="G729" i="1"/>
  <c r="G735" i="1" s="1"/>
  <c r="G744" i="1" s="1"/>
  <c r="G772" i="1" s="1"/>
  <c r="I728" i="1"/>
  <c r="E701" i="1"/>
  <c r="B729" i="1"/>
  <c r="F701" i="1"/>
  <c r="U699" i="1"/>
  <c r="U678" i="1"/>
  <c r="J575" i="4"/>
  <c r="U630" i="4"/>
  <c r="U676" i="1"/>
  <c r="U674" i="1"/>
  <c r="U628" i="4"/>
  <c r="U672" i="1"/>
  <c r="U625" i="4"/>
  <c r="U624" i="4"/>
  <c r="U670" i="1"/>
  <c r="J660" i="1"/>
  <c r="U622" i="4"/>
  <c r="U668" i="1"/>
  <c r="U666" i="1"/>
  <c r="U619" i="4"/>
  <c r="U664" i="1"/>
  <c r="U617" i="4"/>
  <c r="J650" i="1"/>
  <c r="U662" i="1"/>
  <c r="U592" i="4"/>
  <c r="T685" i="1"/>
  <c r="U660" i="1"/>
  <c r="I599" i="4"/>
  <c r="E685" i="1"/>
  <c r="U591" i="4"/>
  <c r="U659" i="1"/>
  <c r="U589" i="4"/>
  <c r="U636" i="1"/>
  <c r="U588" i="4"/>
  <c r="U635" i="1"/>
  <c r="J564" i="4"/>
  <c r="J607" i="1"/>
  <c r="U632" i="1"/>
  <c r="U630" i="1"/>
  <c r="U597" i="4"/>
  <c r="U639" i="1"/>
  <c r="U584" i="4"/>
  <c r="U629" i="1"/>
  <c r="U627" i="1"/>
  <c r="U623" i="1"/>
  <c r="U577" i="4"/>
  <c r="U576" i="4"/>
  <c r="U653" i="1"/>
  <c r="U575" i="4"/>
  <c r="U573" i="4"/>
  <c r="U618" i="1"/>
  <c r="U551" i="4"/>
  <c r="U617" i="1"/>
  <c r="U550" i="4"/>
  <c r="U616" i="1"/>
  <c r="U595" i="1"/>
  <c r="U548" i="4"/>
  <c r="U594" i="1"/>
  <c r="P685" i="1"/>
  <c r="U547" i="4"/>
  <c r="U593" i="1"/>
  <c r="U546" i="4"/>
  <c r="U591" i="1"/>
  <c r="T598" i="4"/>
  <c r="P641" i="1"/>
  <c r="U542" i="4"/>
  <c r="U588" i="1"/>
  <c r="U610" i="4"/>
  <c r="U598" i="1"/>
  <c r="U586" i="1"/>
  <c r="U539" i="4"/>
  <c r="U585" i="1"/>
  <c r="U538" i="4"/>
  <c r="U535" i="4"/>
  <c r="U582" i="1"/>
  <c r="U534" i="4"/>
  <c r="U579" i="1"/>
  <c r="U578" i="1"/>
  <c r="U566" i="4"/>
  <c r="P598" i="4"/>
  <c r="U598" i="4" s="1"/>
  <c r="U555" i="4"/>
  <c r="U595" i="4"/>
  <c r="U597" i="1"/>
  <c r="U596" i="1"/>
  <c r="T642" i="1"/>
  <c r="U554" i="4"/>
  <c r="U640" i="1"/>
  <c r="U574" i="1"/>
  <c r="U641" i="1"/>
  <c r="I642" i="1"/>
  <c r="E642" i="1"/>
  <c r="J642" i="1" s="1"/>
  <c r="I685" i="1"/>
  <c r="U611" i="1"/>
  <c r="P642" i="1"/>
  <c r="H600" i="4"/>
  <c r="H606" i="4" s="1"/>
  <c r="H615" i="4" s="1"/>
  <c r="H643" i="4" s="1"/>
  <c r="H649" i="4" s="1"/>
  <c r="H658" i="4" s="1"/>
  <c r="H686" i="4" s="1"/>
  <c r="E599" i="4"/>
  <c r="O558" i="4"/>
  <c r="T642" i="4"/>
  <c r="P642" i="4"/>
  <c r="T599" i="4"/>
  <c r="P599" i="4"/>
  <c r="U568" i="4"/>
  <c r="J530" i="4"/>
  <c r="E556" i="4"/>
  <c r="C557" i="4"/>
  <c r="C563" i="4" s="1"/>
  <c r="C572" i="4" s="1"/>
  <c r="C600" i="4" s="1"/>
  <c r="C606" i="4" s="1"/>
  <c r="C615" i="4" s="1"/>
  <c r="C643" i="4" s="1"/>
  <c r="C649" i="4" s="1"/>
  <c r="C658" i="4" s="1"/>
  <c r="C686" i="4" s="1"/>
  <c r="J573" i="1"/>
  <c r="O601" i="1"/>
  <c r="R601" i="1"/>
  <c r="S601" i="1"/>
  <c r="J532" i="1"/>
  <c r="J490" i="4"/>
  <c r="S558" i="4"/>
  <c r="N558" i="4"/>
  <c r="J482" i="4"/>
  <c r="U544" i="1"/>
  <c r="J525" i="1"/>
  <c r="T556" i="4"/>
  <c r="Q558" i="4"/>
  <c r="P556" i="4"/>
  <c r="M558" i="4"/>
  <c r="T599" i="1"/>
  <c r="Q601" i="1"/>
  <c r="P599" i="1"/>
  <c r="N601" i="1"/>
  <c r="M601" i="1"/>
  <c r="J531" i="1"/>
  <c r="U510" i="4"/>
  <c r="U509" i="4"/>
  <c r="D557" i="4"/>
  <c r="D563" i="4" s="1"/>
  <c r="D572" i="4" s="1"/>
  <c r="D600" i="4" s="1"/>
  <c r="D606" i="4" s="1"/>
  <c r="D615" i="4" s="1"/>
  <c r="D643" i="4" s="1"/>
  <c r="D649" i="4" s="1"/>
  <c r="D658" i="4" s="1"/>
  <c r="D686" i="4" s="1"/>
  <c r="I556" i="4"/>
  <c r="J556" i="4" s="1"/>
  <c r="U565" i="1"/>
  <c r="E599" i="1"/>
  <c r="J599" i="1" s="1"/>
  <c r="D600" i="1"/>
  <c r="U538" i="1"/>
  <c r="U480" i="1"/>
  <c r="E556" i="1"/>
  <c r="J530" i="1"/>
  <c r="U479" i="4"/>
  <c r="J481" i="4"/>
  <c r="J480" i="4"/>
  <c r="U532" i="1"/>
  <c r="U512" i="4"/>
  <c r="P556" i="1"/>
  <c r="U478" i="4"/>
  <c r="J521" i="1"/>
  <c r="J488" i="4"/>
  <c r="I556" i="1"/>
  <c r="C557" i="1"/>
  <c r="C563" i="1" s="1"/>
  <c r="C572" i="1" s="1"/>
  <c r="C600" i="1" s="1"/>
  <c r="C606" i="1" s="1"/>
  <c r="C615" i="1" s="1"/>
  <c r="C643" i="1" s="1"/>
  <c r="C649" i="1" s="1"/>
  <c r="C658" i="1" s="1"/>
  <c r="C686" i="1" s="1"/>
  <c r="U555" i="1"/>
  <c r="U530" i="1"/>
  <c r="T556" i="1"/>
  <c r="G557" i="1"/>
  <c r="G563" i="1" s="1"/>
  <c r="G572" i="1" s="1"/>
  <c r="G600" i="1" s="1"/>
  <c r="G606" i="1" s="1"/>
  <c r="G615" i="1" s="1"/>
  <c r="G643" i="1" s="1"/>
  <c r="G649" i="1" s="1"/>
  <c r="G658" i="1" s="1"/>
  <c r="G686" i="1" s="1"/>
  <c r="B529" i="1"/>
  <c r="F529" i="1"/>
  <c r="U507" i="1"/>
  <c r="P513" i="4"/>
  <c r="J487" i="4"/>
  <c r="J483" i="1"/>
  <c r="J478" i="4"/>
  <c r="I513" i="4"/>
  <c r="T513" i="4"/>
  <c r="H514" i="4"/>
  <c r="H520" i="4" s="1"/>
  <c r="H529" i="4" s="1"/>
  <c r="H557" i="4" s="1"/>
  <c r="C514" i="4"/>
  <c r="E513" i="4"/>
  <c r="F514" i="4"/>
  <c r="F520" i="4" s="1"/>
  <c r="U505" i="1"/>
  <c r="J491" i="1"/>
  <c r="U503" i="1"/>
  <c r="J449" i="4"/>
  <c r="U460" i="4"/>
  <c r="U501" i="1"/>
  <c r="U437" i="4"/>
  <c r="J485" i="1"/>
  <c r="G514" i="1"/>
  <c r="J490" i="1"/>
  <c r="E513" i="1"/>
  <c r="J442" i="4"/>
  <c r="D471" i="4"/>
  <c r="J448" i="4"/>
  <c r="J441" i="4"/>
  <c r="J440" i="4"/>
  <c r="U457" i="4"/>
  <c r="J439" i="4"/>
  <c r="U456" i="4"/>
  <c r="U455" i="4"/>
  <c r="U442" i="4"/>
  <c r="J437" i="4"/>
  <c r="J488" i="1"/>
  <c r="C514" i="1"/>
  <c r="H471" i="4"/>
  <c r="J445" i="4"/>
  <c r="U452" i="4"/>
  <c r="J479" i="1"/>
  <c r="J487" i="1"/>
  <c r="I470" i="4"/>
  <c r="U447" i="4"/>
  <c r="U445" i="4"/>
  <c r="U489" i="1"/>
  <c r="J435" i="4"/>
  <c r="U488" i="1"/>
  <c r="U487" i="1"/>
  <c r="J449" i="1"/>
  <c r="U466" i="1"/>
  <c r="I427" i="4"/>
  <c r="J448" i="1"/>
  <c r="J393" i="4"/>
  <c r="U421" i="4"/>
  <c r="U464" i="1"/>
  <c r="P470" i="4"/>
  <c r="T470" i="4"/>
  <c r="E470" i="4"/>
  <c r="P513" i="1"/>
  <c r="T513" i="1"/>
  <c r="I513" i="1"/>
  <c r="U462" i="1"/>
  <c r="J447" i="1"/>
  <c r="E470" i="1"/>
  <c r="J470" i="1" s="1"/>
  <c r="J405" i="4"/>
  <c r="D471" i="1"/>
  <c r="D477" i="1" s="1"/>
  <c r="D486" i="1" s="1"/>
  <c r="D514" i="1" s="1"/>
  <c r="U460" i="1"/>
  <c r="J268" i="4"/>
  <c r="J435" i="1"/>
  <c r="J401" i="4"/>
  <c r="C428" i="4"/>
  <c r="C434" i="4" s="1"/>
  <c r="C443" i="4" s="1"/>
  <c r="C471" i="4" s="1"/>
  <c r="E427" i="4"/>
  <c r="U456" i="1"/>
  <c r="U375" i="4"/>
  <c r="U359" i="4"/>
  <c r="U399" i="4"/>
  <c r="U442" i="1"/>
  <c r="U450" i="1"/>
  <c r="U405" i="4"/>
  <c r="U448" i="1"/>
  <c r="J393" i="1"/>
  <c r="B443" i="1"/>
  <c r="E443" i="1" s="1"/>
  <c r="U446" i="1"/>
  <c r="Q427" i="4"/>
  <c r="T427" i="4" s="1"/>
  <c r="P427" i="4"/>
  <c r="M470" i="1"/>
  <c r="P470" i="1" s="1"/>
  <c r="U444" i="1"/>
  <c r="U377" i="4"/>
  <c r="M384" i="4"/>
  <c r="E400" i="4"/>
  <c r="B428" i="4"/>
  <c r="U394" i="4"/>
  <c r="U396" i="4"/>
  <c r="U437" i="1"/>
  <c r="U439" i="1"/>
  <c r="U441" i="1"/>
  <c r="T470" i="1"/>
  <c r="U376" i="4"/>
  <c r="U419" i="1"/>
  <c r="U373" i="4"/>
  <c r="U417" i="1"/>
  <c r="U415" i="1"/>
  <c r="U414" i="1"/>
  <c r="J349" i="4"/>
  <c r="J392" i="1"/>
  <c r="U367" i="4"/>
  <c r="U366" i="4"/>
  <c r="U364" i="4"/>
  <c r="U407" i="1"/>
  <c r="U363" i="4"/>
  <c r="U406" i="1"/>
  <c r="U362" i="4"/>
  <c r="U360" i="4"/>
  <c r="U403" i="1"/>
  <c r="U402" i="1"/>
  <c r="U358" i="4"/>
  <c r="U373" i="1"/>
  <c r="U328" i="4"/>
  <c r="U372" i="1"/>
  <c r="U371" i="1"/>
  <c r="U326" i="4"/>
  <c r="U370" i="1"/>
  <c r="I384" i="4"/>
  <c r="E384" i="4"/>
  <c r="J359" i="4"/>
  <c r="B385" i="4"/>
  <c r="E385" i="4" s="1"/>
  <c r="E357" i="4"/>
  <c r="J384" i="4"/>
  <c r="E348" i="4"/>
  <c r="Q384" i="4"/>
  <c r="R384" i="4"/>
  <c r="S384" i="4"/>
  <c r="O384" i="4"/>
  <c r="P384" i="4" s="1"/>
  <c r="F428" i="1"/>
  <c r="I427" i="1"/>
  <c r="J427" i="1" s="1"/>
  <c r="E428" i="1"/>
  <c r="I391" i="1"/>
  <c r="J391" i="1" s="1"/>
  <c r="D400" i="1"/>
  <c r="D428" i="1" s="1"/>
  <c r="E400" i="1"/>
  <c r="I400" i="1"/>
  <c r="Q427" i="1"/>
  <c r="T427" i="1" s="1"/>
  <c r="P427" i="1"/>
  <c r="U325" i="4"/>
  <c r="U368" i="1"/>
  <c r="U323" i="4"/>
  <c r="U321" i="4"/>
  <c r="U319" i="4"/>
  <c r="U317" i="4"/>
  <c r="U361" i="1"/>
  <c r="U360" i="1"/>
  <c r="M341" i="4"/>
  <c r="P341" i="4" s="1"/>
  <c r="I341" i="4"/>
  <c r="J316" i="4"/>
  <c r="U315" i="4"/>
  <c r="J311" i="1"/>
  <c r="T341" i="4"/>
  <c r="P384" i="1"/>
  <c r="J267" i="4"/>
  <c r="E341" i="4"/>
  <c r="J341" i="4" s="1"/>
  <c r="E384" i="1"/>
  <c r="J384" i="1" s="1"/>
  <c r="U276" i="4"/>
  <c r="U321" i="1"/>
  <c r="J263" i="4"/>
  <c r="J306" i="1"/>
  <c r="J316" i="1"/>
  <c r="J272" i="4"/>
  <c r="U320" i="1"/>
  <c r="T298" i="4"/>
  <c r="U298" i="4" s="1"/>
  <c r="U319" i="1"/>
  <c r="U273" i="4"/>
  <c r="U254" i="4"/>
  <c r="U317" i="1"/>
  <c r="U316" i="1"/>
  <c r="P341" i="1"/>
  <c r="U315" i="1"/>
  <c r="U297" i="1"/>
  <c r="U310" i="4"/>
  <c r="U308" i="4"/>
  <c r="U351" i="1"/>
  <c r="U297" i="4"/>
  <c r="U340" i="1"/>
  <c r="T384" i="1"/>
  <c r="T341" i="1"/>
  <c r="I341" i="1"/>
  <c r="E341" i="1"/>
  <c r="I298" i="4"/>
  <c r="E298" i="4"/>
  <c r="J222" i="4"/>
  <c r="U247" i="4"/>
  <c r="J263" i="1"/>
  <c r="U239" i="4"/>
  <c r="J226" i="4"/>
  <c r="U235" i="4"/>
  <c r="U224" i="4"/>
  <c r="J220" i="4"/>
  <c r="U225" i="4"/>
  <c r="U249" i="4"/>
  <c r="J231" i="4"/>
  <c r="U252" i="4"/>
  <c r="J227" i="4"/>
  <c r="U245" i="4"/>
  <c r="U237" i="4"/>
  <c r="J221" i="4"/>
  <c r="U233" i="4"/>
  <c r="U241" i="4"/>
  <c r="U238" i="4"/>
  <c r="U229" i="4"/>
  <c r="AA216" i="4"/>
  <c r="AA217" i="4" s="1"/>
  <c r="U231" i="4"/>
  <c r="U244" i="4"/>
  <c r="U236" i="4"/>
  <c r="U251" i="4"/>
  <c r="J225" i="4"/>
  <c r="J235" i="4"/>
  <c r="J241" i="4"/>
  <c r="J247" i="4"/>
  <c r="J253" i="4"/>
  <c r="U243" i="4"/>
  <c r="U250" i="4"/>
  <c r="J233" i="4"/>
  <c r="J239" i="4"/>
  <c r="J245" i="4"/>
  <c r="J251" i="4"/>
  <c r="U223" i="4"/>
  <c r="U248" i="4"/>
  <c r="U232" i="4"/>
  <c r="J234" i="4"/>
  <c r="J240" i="4"/>
  <c r="J246" i="4"/>
  <c r="J252" i="4"/>
  <c r="J229" i="4"/>
  <c r="U221" i="4"/>
  <c r="U242" i="4"/>
  <c r="U230" i="4"/>
  <c r="U183" i="4"/>
  <c r="J224" i="4"/>
  <c r="J232" i="4"/>
  <c r="J238" i="4"/>
  <c r="J244" i="4"/>
  <c r="J250" i="4"/>
  <c r="U240" i="4"/>
  <c r="J223" i="4"/>
  <c r="J237" i="4"/>
  <c r="J243" i="4"/>
  <c r="J249" i="4"/>
  <c r="U220" i="4"/>
  <c r="U226" i="4"/>
  <c r="P255" i="4"/>
  <c r="P257" i="4" s="1"/>
  <c r="N258" i="4" s="1"/>
  <c r="U246" i="4"/>
  <c r="U234" i="4"/>
  <c r="U253" i="4"/>
  <c r="U182" i="4"/>
  <c r="J236" i="4"/>
  <c r="J242" i="4"/>
  <c r="J248" i="4"/>
  <c r="J254" i="4"/>
  <c r="J230" i="4"/>
  <c r="U227" i="4"/>
  <c r="T255" i="4"/>
  <c r="T257" i="4" s="1"/>
  <c r="I255" i="4"/>
  <c r="E255" i="4"/>
  <c r="H298" i="1"/>
  <c r="G298" i="1"/>
  <c r="F298" i="1"/>
  <c r="D298" i="1"/>
  <c r="C298" i="1"/>
  <c r="B298" i="1"/>
  <c r="I297" i="1"/>
  <c r="E297" i="1"/>
  <c r="I296" i="1"/>
  <c r="E296" i="1"/>
  <c r="I295" i="1"/>
  <c r="E295" i="1"/>
  <c r="I294" i="1"/>
  <c r="E294" i="1"/>
  <c r="I293" i="1"/>
  <c r="E293" i="1"/>
  <c r="I292" i="1"/>
  <c r="E292" i="1"/>
  <c r="I291" i="1"/>
  <c r="E291" i="1"/>
  <c r="I290" i="1"/>
  <c r="E290" i="1"/>
  <c r="I289" i="1"/>
  <c r="E289" i="1"/>
  <c r="I288" i="1"/>
  <c r="E288" i="1"/>
  <c r="I287" i="1"/>
  <c r="E287" i="1"/>
  <c r="I286" i="1"/>
  <c r="E286" i="1"/>
  <c r="I285" i="1"/>
  <c r="E285" i="1"/>
  <c r="I284" i="1"/>
  <c r="E284" i="1"/>
  <c r="I283" i="1"/>
  <c r="E283" i="1"/>
  <c r="I282" i="1"/>
  <c r="E282" i="1"/>
  <c r="I281" i="1"/>
  <c r="E281" i="1"/>
  <c r="I280" i="1"/>
  <c r="E280" i="1"/>
  <c r="I279" i="1"/>
  <c r="E279" i="1"/>
  <c r="I278" i="1"/>
  <c r="E278" i="1"/>
  <c r="I277" i="1"/>
  <c r="E277" i="1"/>
  <c r="I276" i="1"/>
  <c r="E276" i="1"/>
  <c r="I275" i="1"/>
  <c r="E275" i="1"/>
  <c r="I274" i="1"/>
  <c r="E274" i="1"/>
  <c r="I273" i="1"/>
  <c r="E273" i="1"/>
  <c r="I272" i="1"/>
  <c r="E272" i="1"/>
  <c r="I270" i="1"/>
  <c r="E270" i="1"/>
  <c r="I269" i="1"/>
  <c r="E269" i="1"/>
  <c r="I268" i="1"/>
  <c r="E268" i="1"/>
  <c r="I267" i="1"/>
  <c r="E267" i="1"/>
  <c r="I266" i="1"/>
  <c r="E266" i="1"/>
  <c r="I265" i="1"/>
  <c r="E265" i="1"/>
  <c r="I264" i="1"/>
  <c r="E264" i="1"/>
  <c r="P225" i="1"/>
  <c r="T225" i="1"/>
  <c r="P226" i="1"/>
  <c r="T226" i="1"/>
  <c r="P293" i="1"/>
  <c r="T293" i="1"/>
  <c r="P294" i="1"/>
  <c r="T294" i="1"/>
  <c r="P295" i="1"/>
  <c r="T295" i="1"/>
  <c r="P296" i="1"/>
  <c r="T296" i="1"/>
  <c r="P272" i="1"/>
  <c r="T272" i="1"/>
  <c r="P273" i="1"/>
  <c r="T273" i="1"/>
  <c r="P274" i="1"/>
  <c r="T274" i="1"/>
  <c r="P275" i="1"/>
  <c r="T275" i="1"/>
  <c r="P276" i="1"/>
  <c r="T276" i="1"/>
  <c r="P277" i="1"/>
  <c r="T277" i="1"/>
  <c r="P278" i="1"/>
  <c r="T278" i="1"/>
  <c r="P279" i="1"/>
  <c r="T279" i="1"/>
  <c r="P280" i="1"/>
  <c r="T280" i="1"/>
  <c r="P281" i="1"/>
  <c r="T281" i="1"/>
  <c r="P282" i="1"/>
  <c r="T282" i="1"/>
  <c r="P283" i="1"/>
  <c r="T283" i="1"/>
  <c r="P284" i="1"/>
  <c r="T284" i="1"/>
  <c r="P285" i="1"/>
  <c r="T285" i="1"/>
  <c r="P286" i="1"/>
  <c r="T286" i="1"/>
  <c r="P287" i="1"/>
  <c r="T287" i="1"/>
  <c r="P288" i="1"/>
  <c r="U288" i="1" s="1"/>
  <c r="T288" i="1"/>
  <c r="P289" i="1"/>
  <c r="T289" i="1"/>
  <c r="P290" i="1"/>
  <c r="T290" i="1"/>
  <c r="P291" i="1"/>
  <c r="T291" i="1"/>
  <c r="O298" i="1"/>
  <c r="O300" i="1" s="1"/>
  <c r="N298" i="1"/>
  <c r="N300" i="1" s="1"/>
  <c r="S298" i="1"/>
  <c r="R298" i="1"/>
  <c r="Q298" i="1"/>
  <c r="M298" i="1"/>
  <c r="M300" i="1" s="1"/>
  <c r="T292" i="1"/>
  <c r="P292" i="1"/>
  <c r="T270" i="1"/>
  <c r="P270" i="1"/>
  <c r="T269" i="1"/>
  <c r="P269" i="1"/>
  <c r="T268" i="1"/>
  <c r="P268" i="1"/>
  <c r="T267" i="1"/>
  <c r="P267" i="1"/>
  <c r="T266" i="1"/>
  <c r="P266" i="1"/>
  <c r="T264" i="1"/>
  <c r="P264" i="1"/>
  <c r="T263" i="1"/>
  <c r="P263" i="1"/>
  <c r="Z259" i="1"/>
  <c r="Z260" i="1" s="1"/>
  <c r="Y259" i="1"/>
  <c r="Y260" i="1" s="1"/>
  <c r="X259" i="1"/>
  <c r="X260" i="1" s="1"/>
  <c r="AA258" i="1"/>
  <c r="AA257" i="1"/>
  <c r="U771" i="1" l="1"/>
  <c r="N645" i="4"/>
  <c r="P645" i="4"/>
  <c r="O645" i="4"/>
  <c r="M645" i="4"/>
  <c r="E729" i="1"/>
  <c r="B735" i="1"/>
  <c r="S688" i="1"/>
  <c r="R688" i="1"/>
  <c r="T688" i="1"/>
  <c r="Q688" i="1"/>
  <c r="O688" i="1"/>
  <c r="N688" i="1"/>
  <c r="P688" i="1"/>
  <c r="J728" i="1"/>
  <c r="U685" i="4"/>
  <c r="U644" i="4" s="1"/>
  <c r="U728" i="1"/>
  <c r="U687" i="1" s="1"/>
  <c r="I701" i="1"/>
  <c r="F729" i="1"/>
  <c r="J701" i="1"/>
  <c r="J599" i="4"/>
  <c r="J685" i="1"/>
  <c r="U685" i="1"/>
  <c r="U642" i="1"/>
  <c r="U599" i="4"/>
  <c r="T601" i="1"/>
  <c r="U642" i="4"/>
  <c r="U599" i="1"/>
  <c r="P601" i="1"/>
  <c r="O602" i="1" s="1"/>
  <c r="P558" i="4"/>
  <c r="N559" i="4" s="1"/>
  <c r="F529" i="4"/>
  <c r="F557" i="4" s="1"/>
  <c r="U556" i="4"/>
  <c r="T558" i="4"/>
  <c r="J556" i="1"/>
  <c r="J513" i="4"/>
  <c r="U513" i="4"/>
  <c r="U556" i="1"/>
  <c r="I529" i="1"/>
  <c r="F557" i="1"/>
  <c r="E529" i="1"/>
  <c r="B557" i="1"/>
  <c r="J513" i="1"/>
  <c r="J470" i="4"/>
  <c r="J427" i="4"/>
  <c r="U470" i="4"/>
  <c r="U513" i="1"/>
  <c r="E428" i="4"/>
  <c r="B434" i="4"/>
  <c r="B471" i="1"/>
  <c r="I428" i="1"/>
  <c r="J428" i="1" s="1"/>
  <c r="F434" i="1"/>
  <c r="U427" i="4"/>
  <c r="U470" i="1"/>
  <c r="T384" i="4"/>
  <c r="U384" i="4" s="1"/>
  <c r="J400" i="1"/>
  <c r="U427" i="1"/>
  <c r="U341" i="4"/>
  <c r="U384" i="1"/>
  <c r="J298" i="4"/>
  <c r="U341" i="1"/>
  <c r="J341" i="1"/>
  <c r="P258" i="4"/>
  <c r="O258" i="4"/>
  <c r="M258" i="4"/>
  <c r="J265" i="1"/>
  <c r="J275" i="1"/>
  <c r="J281" i="1"/>
  <c r="J287" i="1"/>
  <c r="J293" i="1"/>
  <c r="U276" i="1"/>
  <c r="U275" i="1"/>
  <c r="U295" i="1"/>
  <c r="U268" i="1"/>
  <c r="U292" i="1"/>
  <c r="U272" i="1"/>
  <c r="U274" i="1"/>
  <c r="J267" i="1"/>
  <c r="J295" i="1"/>
  <c r="I298" i="1"/>
  <c r="U290" i="1"/>
  <c r="U293" i="1"/>
  <c r="J269" i="1"/>
  <c r="J273" i="1"/>
  <c r="J279" i="1"/>
  <c r="J285" i="1"/>
  <c r="J291" i="1"/>
  <c r="J297" i="1"/>
  <c r="U283" i="1"/>
  <c r="U266" i="1"/>
  <c r="U282" i="1"/>
  <c r="U279" i="1"/>
  <c r="U294" i="1"/>
  <c r="U225" i="1"/>
  <c r="U280" i="1"/>
  <c r="J274" i="1"/>
  <c r="J280" i="1"/>
  <c r="J292" i="1"/>
  <c r="U291" i="1"/>
  <c r="U264" i="1"/>
  <c r="U270" i="1"/>
  <c r="U273" i="1"/>
  <c r="U286" i="1"/>
  <c r="U226" i="1"/>
  <c r="J286" i="1"/>
  <c r="U287" i="1"/>
  <c r="U284" i="1"/>
  <c r="U278" i="1"/>
  <c r="U255" i="4"/>
  <c r="U257" i="4" s="1"/>
  <c r="U267" i="1"/>
  <c r="U281" i="1"/>
  <c r="J268" i="1"/>
  <c r="J276" i="1"/>
  <c r="J282" i="1"/>
  <c r="J288" i="1"/>
  <c r="J294" i="1"/>
  <c r="J277" i="1"/>
  <c r="J283" i="1"/>
  <c r="J289" i="1"/>
  <c r="AA259" i="1"/>
  <c r="AA260" i="1" s="1"/>
  <c r="U285" i="1"/>
  <c r="J266" i="1"/>
  <c r="E298" i="1"/>
  <c r="J255" i="4"/>
  <c r="U263" i="1"/>
  <c r="U269" i="1"/>
  <c r="P298" i="1"/>
  <c r="P300" i="1" s="1"/>
  <c r="U289" i="1"/>
  <c r="U277" i="1"/>
  <c r="U296" i="1"/>
  <c r="J264" i="1"/>
  <c r="J270" i="1"/>
  <c r="J272" i="1"/>
  <c r="J278" i="1"/>
  <c r="J284" i="1"/>
  <c r="J290" i="1"/>
  <c r="J296" i="1"/>
  <c r="T298" i="1"/>
  <c r="I729" i="1" l="1"/>
  <c r="J729" i="1" s="1"/>
  <c r="F735" i="1"/>
  <c r="E735" i="1"/>
  <c r="B744" i="1"/>
  <c r="P602" i="1"/>
  <c r="F563" i="4"/>
  <c r="N602" i="1"/>
  <c r="O559" i="4"/>
  <c r="M559" i="4"/>
  <c r="P559" i="4"/>
  <c r="U558" i="4"/>
  <c r="U601" i="1"/>
  <c r="M602" i="1"/>
  <c r="I557" i="1"/>
  <c r="F563" i="1"/>
  <c r="E557" i="1"/>
  <c r="J557" i="1" s="1"/>
  <c r="B563" i="1"/>
  <c r="J529" i="1"/>
  <c r="E434" i="4"/>
  <c r="B443" i="4"/>
  <c r="E471" i="1"/>
  <c r="B477" i="1"/>
  <c r="I434" i="1"/>
  <c r="J434" i="1" s="1"/>
  <c r="F443" i="1"/>
  <c r="N301" i="1"/>
  <c r="P301" i="1"/>
  <c r="O301" i="1"/>
  <c r="M301" i="1"/>
  <c r="J298" i="1"/>
  <c r="U298" i="1"/>
  <c r="I735" i="1" l="1"/>
  <c r="F744" i="1"/>
  <c r="J735" i="1"/>
  <c r="B772" i="1"/>
  <c r="E772" i="1" s="1"/>
  <c r="E744" i="1"/>
  <c r="F572" i="4"/>
  <c r="F572" i="1"/>
  <c r="I563" i="1"/>
  <c r="B572" i="1"/>
  <c r="E563" i="1"/>
  <c r="J563" i="1" s="1"/>
  <c r="B471" i="4"/>
  <c r="E443" i="4"/>
  <c r="B486" i="1"/>
  <c r="E477" i="1"/>
  <c r="F471" i="1"/>
  <c r="I443" i="1"/>
  <c r="J443" i="1" s="1"/>
  <c r="P249" i="1"/>
  <c r="T249" i="1"/>
  <c r="F772" i="1" l="1"/>
  <c r="I772" i="1" s="1"/>
  <c r="J772" i="1" s="1"/>
  <c r="I744" i="1"/>
  <c r="J744" i="1" s="1"/>
  <c r="E471" i="4"/>
  <c r="B477" i="4"/>
  <c r="F600" i="4"/>
  <c r="F600" i="1"/>
  <c r="I572" i="1"/>
  <c r="B600" i="1"/>
  <c r="E572" i="1"/>
  <c r="J572" i="1" s="1"/>
  <c r="I471" i="1"/>
  <c r="J471" i="1" s="1"/>
  <c r="F477" i="1"/>
  <c r="B514" i="1"/>
  <c r="E514" i="1" s="1"/>
  <c r="E486" i="1"/>
  <c r="U249" i="1"/>
  <c r="T252" i="1"/>
  <c r="P252" i="1"/>
  <c r="T251" i="1"/>
  <c r="P251" i="1"/>
  <c r="T250" i="1"/>
  <c r="P250" i="1"/>
  <c r="E477" i="4" l="1"/>
  <c r="B486" i="4"/>
  <c r="F606" i="4"/>
  <c r="I600" i="1"/>
  <c r="F606" i="1"/>
  <c r="E600" i="1"/>
  <c r="B606" i="1"/>
  <c r="J600" i="1"/>
  <c r="F486" i="1"/>
  <c r="I477" i="1"/>
  <c r="J477" i="1" s="1"/>
  <c r="U251" i="1"/>
  <c r="U250" i="1"/>
  <c r="U252" i="1"/>
  <c r="T209" i="4"/>
  <c r="P209" i="4"/>
  <c r="T208" i="4"/>
  <c r="P208" i="4"/>
  <c r="T207" i="4"/>
  <c r="P207" i="4"/>
  <c r="T206" i="4"/>
  <c r="P206" i="4"/>
  <c r="E486" i="4" l="1"/>
  <c r="B514" i="4"/>
  <c r="F615" i="4"/>
  <c r="F615" i="1"/>
  <c r="I606" i="1"/>
  <c r="B615" i="1"/>
  <c r="E606" i="1"/>
  <c r="J606" i="1" s="1"/>
  <c r="I486" i="1"/>
  <c r="J486" i="1" s="1"/>
  <c r="F514" i="1"/>
  <c r="I514" i="1" s="1"/>
  <c r="J514" i="1" s="1"/>
  <c r="U206" i="4"/>
  <c r="U207" i="4"/>
  <c r="U209" i="4"/>
  <c r="U208" i="4"/>
  <c r="B520" i="4" l="1"/>
  <c r="E514" i="4"/>
  <c r="F643" i="4"/>
  <c r="F649" i="4" s="1"/>
  <c r="I615" i="1"/>
  <c r="F643" i="1"/>
  <c r="E615" i="1"/>
  <c r="J615" i="1" s="1"/>
  <c r="B643" i="1"/>
  <c r="P199" i="4"/>
  <c r="T199" i="4"/>
  <c r="F658" i="4" l="1"/>
  <c r="B529" i="4"/>
  <c r="E520" i="4"/>
  <c r="F649" i="1"/>
  <c r="I643" i="1"/>
  <c r="E643" i="1"/>
  <c r="J643" i="1" s="1"/>
  <c r="B649" i="1"/>
  <c r="U199" i="4"/>
  <c r="F686" i="4" l="1"/>
  <c r="F692" i="4" s="1"/>
  <c r="E529" i="4"/>
  <c r="B557" i="4"/>
  <c r="I649" i="1"/>
  <c r="F658" i="1"/>
  <c r="B658" i="1"/>
  <c r="E649" i="1"/>
  <c r="J649" i="1" s="1"/>
  <c r="E209" i="4"/>
  <c r="I209" i="4"/>
  <c r="E210" i="4"/>
  <c r="I210" i="4"/>
  <c r="E211" i="4"/>
  <c r="I211" i="4"/>
  <c r="E187" i="4"/>
  <c r="I187" i="4"/>
  <c r="E188" i="4"/>
  <c r="I188" i="4"/>
  <c r="P184" i="4"/>
  <c r="T184" i="4"/>
  <c r="T177" i="4"/>
  <c r="P177" i="4"/>
  <c r="I186" i="4"/>
  <c r="E186" i="4"/>
  <c r="I692" i="4" l="1"/>
  <c r="F701" i="4"/>
  <c r="E557" i="4"/>
  <c r="B563" i="4"/>
  <c r="I658" i="1"/>
  <c r="F686" i="1"/>
  <c r="I686" i="1" s="1"/>
  <c r="B686" i="1"/>
  <c r="E686" i="1" s="1"/>
  <c r="E658" i="1"/>
  <c r="J209" i="4"/>
  <c r="U177" i="4"/>
  <c r="J187" i="4"/>
  <c r="U184" i="4"/>
  <c r="J211" i="4"/>
  <c r="J188" i="4"/>
  <c r="J210" i="4"/>
  <c r="J186" i="4"/>
  <c r="P179" i="4"/>
  <c r="T179" i="4"/>
  <c r="T139" i="4"/>
  <c r="P139" i="4"/>
  <c r="P222" i="1"/>
  <c r="T222" i="1"/>
  <c r="T182" i="1"/>
  <c r="P182" i="1"/>
  <c r="F729" i="4" l="1"/>
  <c r="I729" i="4" s="1"/>
  <c r="I701" i="4"/>
  <c r="B572" i="4"/>
  <c r="E563" i="4"/>
  <c r="J686" i="1"/>
  <c r="J658" i="1"/>
  <c r="U182" i="1"/>
  <c r="U222" i="1"/>
  <c r="U139" i="4"/>
  <c r="U179" i="4"/>
  <c r="P204" i="4"/>
  <c r="T204" i="4"/>
  <c r="P246" i="1"/>
  <c r="T246" i="1"/>
  <c r="T209" i="1"/>
  <c r="P209" i="1"/>
  <c r="T211" i="1"/>
  <c r="P211" i="1"/>
  <c r="T210" i="1"/>
  <c r="P210" i="1"/>
  <c r="M212" i="1"/>
  <c r="N212" i="1"/>
  <c r="O212" i="1"/>
  <c r="Q212" i="1"/>
  <c r="R212" i="1"/>
  <c r="S212" i="1"/>
  <c r="T166" i="4"/>
  <c r="P166" i="4"/>
  <c r="T168" i="4"/>
  <c r="P168" i="4"/>
  <c r="T167" i="4"/>
  <c r="P167" i="4"/>
  <c r="B600" i="4" l="1"/>
  <c r="E572" i="4"/>
  <c r="U166" i="4"/>
  <c r="U167" i="4"/>
  <c r="U204" i="4"/>
  <c r="U209" i="1"/>
  <c r="U211" i="1"/>
  <c r="U246" i="1"/>
  <c r="U210" i="1"/>
  <c r="U168" i="4"/>
  <c r="T212" i="1"/>
  <c r="P212" i="1"/>
  <c r="E229" i="1"/>
  <c r="I229" i="1"/>
  <c r="I186" i="1"/>
  <c r="E186" i="1"/>
  <c r="P229" i="1"/>
  <c r="T229" i="1"/>
  <c r="P230" i="1"/>
  <c r="T230" i="1"/>
  <c r="T191" i="1"/>
  <c r="P191" i="1"/>
  <c r="T190" i="1"/>
  <c r="P190" i="1"/>
  <c r="E600" i="4" l="1"/>
  <c r="B606" i="4"/>
  <c r="J186" i="1"/>
  <c r="U190" i="1"/>
  <c r="U229" i="1"/>
  <c r="U230" i="1"/>
  <c r="J229" i="1"/>
  <c r="U212" i="1"/>
  <c r="U191" i="1"/>
  <c r="T245" i="1"/>
  <c r="P245" i="1"/>
  <c r="T203" i="4"/>
  <c r="P203" i="4"/>
  <c r="T210" i="4"/>
  <c r="P210" i="4"/>
  <c r="T253" i="1"/>
  <c r="P253" i="1"/>
  <c r="E606" i="4" l="1"/>
  <c r="B615" i="4"/>
  <c r="U203" i="4"/>
  <c r="U253" i="1"/>
  <c r="U245" i="1"/>
  <c r="U210" i="4"/>
  <c r="E615" i="4" l="1"/>
  <c r="B643" i="4"/>
  <c r="T187" i="1"/>
  <c r="P187" i="1"/>
  <c r="E643" i="4" l="1"/>
  <c r="B649" i="4"/>
  <c r="U187" i="1"/>
  <c r="P102" i="4"/>
  <c r="T102" i="4"/>
  <c r="T144" i="4"/>
  <c r="P144" i="4"/>
  <c r="T205" i="4"/>
  <c r="P205" i="4"/>
  <c r="T247" i="1"/>
  <c r="P247" i="1"/>
  <c r="P135" i="1"/>
  <c r="T135" i="1"/>
  <c r="P143" i="1"/>
  <c r="T143" i="1"/>
  <c r="E177" i="1"/>
  <c r="I177" i="1"/>
  <c r="P177" i="1"/>
  <c r="T177" i="1"/>
  <c r="E178" i="1"/>
  <c r="I178" i="1"/>
  <c r="P178" i="1"/>
  <c r="T178" i="1"/>
  <c r="E179" i="1"/>
  <c r="I179" i="1"/>
  <c r="P179" i="1"/>
  <c r="T179" i="1"/>
  <c r="E180" i="1"/>
  <c r="I180" i="1"/>
  <c r="P180" i="1"/>
  <c r="T180" i="1"/>
  <c r="E181" i="1"/>
  <c r="I181" i="1"/>
  <c r="P181" i="1"/>
  <c r="T181" i="1"/>
  <c r="E182" i="1"/>
  <c r="I182" i="1"/>
  <c r="E183" i="1"/>
  <c r="I183" i="1"/>
  <c r="P183" i="1"/>
  <c r="T183" i="1"/>
  <c r="E184" i="1"/>
  <c r="I184" i="1"/>
  <c r="P184" i="1"/>
  <c r="T184" i="1"/>
  <c r="P186" i="1"/>
  <c r="T186" i="1"/>
  <c r="E187" i="1"/>
  <c r="I187" i="1"/>
  <c r="E188" i="1"/>
  <c r="I188" i="1"/>
  <c r="P188" i="1"/>
  <c r="T188" i="1"/>
  <c r="E189" i="1"/>
  <c r="I189" i="1"/>
  <c r="P189" i="1"/>
  <c r="T189" i="1"/>
  <c r="E190" i="1"/>
  <c r="I190" i="1"/>
  <c r="E191" i="1"/>
  <c r="I191" i="1"/>
  <c r="E192" i="1"/>
  <c r="I192" i="1"/>
  <c r="P192" i="1"/>
  <c r="T192" i="1"/>
  <c r="E193" i="1"/>
  <c r="I193" i="1"/>
  <c r="P193" i="1"/>
  <c r="T193" i="1"/>
  <c r="E194" i="1"/>
  <c r="I194" i="1"/>
  <c r="P194" i="1"/>
  <c r="T194" i="1"/>
  <c r="E195" i="1"/>
  <c r="I195" i="1"/>
  <c r="P195" i="1"/>
  <c r="T195" i="1"/>
  <c r="E196" i="1"/>
  <c r="I196" i="1"/>
  <c r="P196" i="1"/>
  <c r="T196" i="1"/>
  <c r="E197" i="1"/>
  <c r="I197" i="1"/>
  <c r="P197" i="1"/>
  <c r="T197" i="1"/>
  <c r="E198" i="1"/>
  <c r="I198" i="1"/>
  <c r="P198" i="1"/>
  <c r="T198" i="1"/>
  <c r="E199" i="1"/>
  <c r="I199" i="1"/>
  <c r="P199" i="1"/>
  <c r="T199" i="1"/>
  <c r="E200" i="1"/>
  <c r="I200" i="1"/>
  <c r="P200" i="1"/>
  <c r="T200" i="1"/>
  <c r="E201" i="1"/>
  <c r="I201" i="1"/>
  <c r="P201" i="1"/>
  <c r="T201" i="1"/>
  <c r="E202" i="1"/>
  <c r="I202" i="1"/>
  <c r="P202" i="1"/>
  <c r="T202" i="1"/>
  <c r="E203" i="1"/>
  <c r="I203" i="1"/>
  <c r="P203" i="1"/>
  <c r="T203" i="1"/>
  <c r="E204" i="1"/>
  <c r="I204" i="1"/>
  <c r="P204" i="1"/>
  <c r="T204" i="1"/>
  <c r="E205" i="1"/>
  <c r="I205" i="1"/>
  <c r="P205" i="1"/>
  <c r="T205" i="1"/>
  <c r="E206" i="1"/>
  <c r="I206" i="1"/>
  <c r="P206" i="1"/>
  <c r="T206" i="1"/>
  <c r="E207" i="1"/>
  <c r="I207" i="1"/>
  <c r="P207" i="1"/>
  <c r="T207" i="1"/>
  <c r="E208" i="1"/>
  <c r="I208" i="1"/>
  <c r="P208" i="1"/>
  <c r="T208" i="1"/>
  <c r="E209" i="1"/>
  <c r="I209" i="1"/>
  <c r="E210" i="1"/>
  <c r="I210" i="1"/>
  <c r="E211" i="1"/>
  <c r="I211" i="1"/>
  <c r="B212" i="1"/>
  <c r="C212" i="1"/>
  <c r="D212" i="1"/>
  <c r="F212" i="1"/>
  <c r="G212" i="1"/>
  <c r="H212" i="1"/>
  <c r="E220" i="1"/>
  <c r="I220" i="1"/>
  <c r="P220" i="1"/>
  <c r="T220" i="1"/>
  <c r="E221" i="1"/>
  <c r="I221" i="1"/>
  <c r="P221" i="1"/>
  <c r="T221" i="1"/>
  <c r="E222" i="1"/>
  <c r="I222" i="1"/>
  <c r="E223" i="1"/>
  <c r="I223" i="1"/>
  <c r="P223" i="1"/>
  <c r="T223" i="1"/>
  <c r="E224" i="1"/>
  <c r="I224" i="1"/>
  <c r="P224" i="1"/>
  <c r="T224" i="1"/>
  <c r="E225" i="1"/>
  <c r="I225" i="1"/>
  <c r="E226" i="1"/>
  <c r="I226" i="1"/>
  <c r="E227" i="1"/>
  <c r="I227" i="1"/>
  <c r="P227" i="1"/>
  <c r="T227" i="1"/>
  <c r="E230" i="1"/>
  <c r="I230" i="1"/>
  <c r="E231" i="1"/>
  <c r="I231" i="1"/>
  <c r="P231" i="1"/>
  <c r="T231" i="1"/>
  <c r="E232" i="1"/>
  <c r="I232" i="1"/>
  <c r="P232" i="1"/>
  <c r="T232" i="1"/>
  <c r="E233" i="1"/>
  <c r="I233" i="1"/>
  <c r="P233" i="1"/>
  <c r="T233" i="1"/>
  <c r="E234" i="1"/>
  <c r="I234" i="1"/>
  <c r="P234" i="1"/>
  <c r="T234" i="1"/>
  <c r="E235" i="1"/>
  <c r="I235" i="1"/>
  <c r="P235" i="1"/>
  <c r="T235" i="1"/>
  <c r="E236" i="1"/>
  <c r="I236" i="1"/>
  <c r="P236" i="1"/>
  <c r="T236" i="1"/>
  <c r="E237" i="1"/>
  <c r="I237" i="1"/>
  <c r="P237" i="1"/>
  <c r="T237" i="1"/>
  <c r="E238" i="1"/>
  <c r="I238" i="1"/>
  <c r="P238" i="1"/>
  <c r="T238" i="1"/>
  <c r="E239" i="1"/>
  <c r="I239" i="1"/>
  <c r="P239" i="1"/>
  <c r="T239" i="1"/>
  <c r="E240" i="1"/>
  <c r="I240" i="1"/>
  <c r="P240" i="1"/>
  <c r="T240" i="1"/>
  <c r="E241" i="1"/>
  <c r="I241" i="1"/>
  <c r="P241" i="1"/>
  <c r="T241" i="1"/>
  <c r="E242" i="1"/>
  <c r="I242" i="1"/>
  <c r="P242" i="1"/>
  <c r="T242" i="1"/>
  <c r="E243" i="1"/>
  <c r="I243" i="1"/>
  <c r="P243" i="1"/>
  <c r="T243" i="1"/>
  <c r="E244" i="1"/>
  <c r="I244" i="1"/>
  <c r="P244" i="1"/>
  <c r="T244" i="1"/>
  <c r="E245" i="1"/>
  <c r="I245" i="1"/>
  <c r="E246" i="1"/>
  <c r="I246" i="1"/>
  <c r="E247" i="1"/>
  <c r="I247" i="1"/>
  <c r="E248" i="1"/>
  <c r="I248" i="1"/>
  <c r="E249" i="1"/>
  <c r="I249" i="1"/>
  <c r="E250" i="1"/>
  <c r="I250" i="1"/>
  <c r="E251" i="1"/>
  <c r="I251" i="1"/>
  <c r="E252" i="1"/>
  <c r="I252" i="1"/>
  <c r="E253" i="1"/>
  <c r="I253" i="1"/>
  <c r="E254" i="1"/>
  <c r="I254" i="1"/>
  <c r="B255" i="1"/>
  <c r="C255" i="1"/>
  <c r="D255" i="1"/>
  <c r="F255" i="1"/>
  <c r="G255" i="1"/>
  <c r="H255" i="1"/>
  <c r="B658" i="4" l="1"/>
  <c r="E649" i="4"/>
  <c r="U144" i="4"/>
  <c r="U102" i="4"/>
  <c r="J198" i="1"/>
  <c r="U220" i="1"/>
  <c r="J190" i="1"/>
  <c r="U186" i="1"/>
  <c r="J184" i="1"/>
  <c r="J181" i="1"/>
  <c r="U179" i="1"/>
  <c r="J248" i="1"/>
  <c r="J197" i="1"/>
  <c r="U195" i="1"/>
  <c r="J194" i="1"/>
  <c r="J254" i="1"/>
  <c r="J226" i="1"/>
  <c r="J191" i="1"/>
  <c r="U236" i="1"/>
  <c r="U227" i="1"/>
  <c r="J236" i="1"/>
  <c r="J230" i="1"/>
  <c r="J221" i="1"/>
  <c r="U241" i="1"/>
  <c r="J244" i="1"/>
  <c r="U242" i="1"/>
  <c r="J241" i="1"/>
  <c r="J207" i="1"/>
  <c r="J201" i="1"/>
  <c r="J239" i="1"/>
  <c r="U237" i="1"/>
  <c r="J235" i="1"/>
  <c r="U233" i="1"/>
  <c r="J232" i="1"/>
  <c r="J192" i="1"/>
  <c r="J187" i="1"/>
  <c r="J250" i="1"/>
  <c r="U244" i="1"/>
  <c r="J237" i="1"/>
  <c r="U224" i="1"/>
  <c r="J211" i="1"/>
  <c r="J205" i="1"/>
  <c r="U203" i="1"/>
  <c r="J202" i="1"/>
  <c r="J193" i="1"/>
  <c r="J225" i="1"/>
  <c r="R255" i="1"/>
  <c r="J240" i="1"/>
  <c r="U231" i="1"/>
  <c r="U223" i="1"/>
  <c r="J222" i="1"/>
  <c r="J195" i="1"/>
  <c r="U193" i="1"/>
  <c r="U189" i="1"/>
  <c r="J188" i="1"/>
  <c r="J179" i="1"/>
  <c r="U135" i="1"/>
  <c r="U202" i="1"/>
  <c r="J251" i="1"/>
  <c r="J252" i="1"/>
  <c r="U205" i="1"/>
  <c r="J253" i="1"/>
  <c r="J247" i="1"/>
  <c r="J245" i="1"/>
  <c r="U239" i="1"/>
  <c r="J238" i="1"/>
  <c r="N255" i="1"/>
  <c r="J204" i="1"/>
  <c r="J249" i="1"/>
  <c r="J246" i="1"/>
  <c r="U240" i="1"/>
  <c r="J231" i="1"/>
  <c r="J209" i="1"/>
  <c r="J206" i="1"/>
  <c r="U205" i="4"/>
  <c r="U247" i="1"/>
  <c r="J177" i="1"/>
  <c r="T254" i="1"/>
  <c r="P254" i="1"/>
  <c r="J199" i="1"/>
  <c r="U238" i="1"/>
  <c r="J210" i="1"/>
  <c r="J203" i="1"/>
  <c r="U201" i="1"/>
  <c r="U197" i="1"/>
  <c r="J196" i="1"/>
  <c r="U194" i="1"/>
  <c r="J189" i="1"/>
  <c r="J178" i="1"/>
  <c r="U143" i="1"/>
  <c r="U243" i="1"/>
  <c r="J242" i="1"/>
  <c r="U234" i="1"/>
  <c r="J233" i="1"/>
  <c r="J227" i="1"/>
  <c r="J223" i="1"/>
  <c r="U221" i="1"/>
  <c r="J200" i="1"/>
  <c r="U183" i="1"/>
  <c r="J182" i="1"/>
  <c r="S255" i="1"/>
  <c r="E255" i="1"/>
  <c r="J243" i="1"/>
  <c r="U235" i="1"/>
  <c r="J234" i="1"/>
  <c r="U232" i="1"/>
  <c r="J224" i="1"/>
  <c r="J220" i="1"/>
  <c r="J208" i="1"/>
  <c r="J183" i="1"/>
  <c r="U181" i="1"/>
  <c r="J180" i="1"/>
  <c r="T248" i="1"/>
  <c r="Q255" i="1"/>
  <c r="O255" i="1"/>
  <c r="P248" i="1"/>
  <c r="M255" i="1"/>
  <c r="I212" i="1"/>
  <c r="E212" i="1"/>
  <c r="U207" i="1"/>
  <c r="U199" i="1"/>
  <c r="U177" i="1"/>
  <c r="U204" i="1"/>
  <c r="U196" i="1"/>
  <c r="U188" i="1"/>
  <c r="U180" i="1"/>
  <c r="I255" i="1"/>
  <c r="U208" i="1"/>
  <c r="U200" i="1"/>
  <c r="U192" i="1"/>
  <c r="U178" i="1"/>
  <c r="U206" i="1"/>
  <c r="U198" i="1"/>
  <c r="U184" i="1"/>
  <c r="B686" i="4" l="1"/>
  <c r="E658" i="4"/>
  <c r="J212" i="1"/>
  <c r="U254" i="1"/>
  <c r="T255" i="1"/>
  <c r="J255" i="1"/>
  <c r="U248" i="1"/>
  <c r="P255" i="1"/>
  <c r="E686" i="4" l="1"/>
  <c r="B692" i="4"/>
  <c r="U255" i="1"/>
  <c r="P136" i="1"/>
  <c r="T136" i="1"/>
  <c r="H212" i="4"/>
  <c r="G212" i="4"/>
  <c r="F212" i="4"/>
  <c r="D212" i="4"/>
  <c r="C212" i="4"/>
  <c r="B212" i="4"/>
  <c r="I208" i="4"/>
  <c r="E208" i="4"/>
  <c r="I207" i="4"/>
  <c r="E207" i="4"/>
  <c r="I206" i="4"/>
  <c r="E206" i="4"/>
  <c r="I205" i="4"/>
  <c r="E205" i="4"/>
  <c r="I204" i="4"/>
  <c r="E204" i="4"/>
  <c r="I203" i="4"/>
  <c r="E203" i="4"/>
  <c r="I202" i="4"/>
  <c r="E202" i="4"/>
  <c r="I201" i="4"/>
  <c r="E201" i="4"/>
  <c r="I200" i="4"/>
  <c r="E200" i="4"/>
  <c r="I199" i="4"/>
  <c r="E199" i="4"/>
  <c r="I198" i="4"/>
  <c r="E198" i="4"/>
  <c r="I197" i="4"/>
  <c r="E197" i="4"/>
  <c r="I196" i="4"/>
  <c r="E196" i="4"/>
  <c r="I195" i="4"/>
  <c r="E195" i="4"/>
  <c r="I194" i="4"/>
  <c r="E194" i="4"/>
  <c r="I193" i="4"/>
  <c r="E193" i="4"/>
  <c r="I192" i="4"/>
  <c r="E192" i="4"/>
  <c r="I191" i="4"/>
  <c r="E191" i="4"/>
  <c r="I190" i="4"/>
  <c r="E190" i="4"/>
  <c r="I189" i="4"/>
  <c r="E189" i="4"/>
  <c r="I184" i="4"/>
  <c r="E184" i="4"/>
  <c r="I183" i="4"/>
  <c r="E183" i="4"/>
  <c r="I182" i="4"/>
  <c r="E182" i="4"/>
  <c r="I181" i="4"/>
  <c r="E181" i="4"/>
  <c r="I180" i="4"/>
  <c r="E180" i="4"/>
  <c r="I179" i="4"/>
  <c r="E179" i="4"/>
  <c r="I178" i="4"/>
  <c r="E178" i="4"/>
  <c r="I177" i="4"/>
  <c r="E177" i="4"/>
  <c r="P136" i="4"/>
  <c r="T136" i="4"/>
  <c r="P178" i="4"/>
  <c r="T178" i="4"/>
  <c r="S212" i="4"/>
  <c r="R212" i="4"/>
  <c r="Q212" i="4"/>
  <c r="O212" i="4"/>
  <c r="N212" i="4"/>
  <c r="M212" i="4"/>
  <c r="T211" i="4"/>
  <c r="P211" i="4"/>
  <c r="T202" i="4"/>
  <c r="P202" i="4"/>
  <c r="T201" i="4"/>
  <c r="P201" i="4"/>
  <c r="T200" i="4"/>
  <c r="P200" i="4"/>
  <c r="T198" i="4"/>
  <c r="P198" i="4"/>
  <c r="T197" i="4"/>
  <c r="P197" i="4"/>
  <c r="T196" i="4"/>
  <c r="P196" i="4"/>
  <c r="T195" i="4"/>
  <c r="P195" i="4"/>
  <c r="T194" i="4"/>
  <c r="P194" i="4"/>
  <c r="T193" i="4"/>
  <c r="P193" i="4"/>
  <c r="T192" i="4"/>
  <c r="P192" i="4"/>
  <c r="T191" i="4"/>
  <c r="P191" i="4"/>
  <c r="T190" i="4"/>
  <c r="P190" i="4"/>
  <c r="T189" i="4"/>
  <c r="P189" i="4"/>
  <c r="T188" i="4"/>
  <c r="P188" i="4"/>
  <c r="T187" i="4"/>
  <c r="P187" i="4"/>
  <c r="T186" i="4"/>
  <c r="P186" i="4"/>
  <c r="T181" i="4"/>
  <c r="P181" i="4"/>
  <c r="T180" i="4"/>
  <c r="P180" i="4"/>
  <c r="E692" i="4" l="1"/>
  <c r="J692" i="4" s="1"/>
  <c r="B701" i="4"/>
  <c r="J183" i="4"/>
  <c r="J193" i="4"/>
  <c r="J199" i="4"/>
  <c r="J205" i="4"/>
  <c r="U187" i="4"/>
  <c r="U193" i="4"/>
  <c r="I212" i="4"/>
  <c r="J177" i="4"/>
  <c r="T212" i="4"/>
  <c r="U189" i="4"/>
  <c r="U195" i="4"/>
  <c r="U201" i="4"/>
  <c r="J179" i="4"/>
  <c r="J189" i="4"/>
  <c r="J195" i="4"/>
  <c r="J201" i="4"/>
  <c r="J207" i="4"/>
  <c r="U181" i="4"/>
  <c r="U191" i="4"/>
  <c r="U197" i="4"/>
  <c r="J181" i="4"/>
  <c r="J191" i="4"/>
  <c r="J197" i="4"/>
  <c r="J203" i="4"/>
  <c r="U178" i="4"/>
  <c r="J196" i="4"/>
  <c r="U136" i="1"/>
  <c r="U136" i="4"/>
  <c r="J180" i="4"/>
  <c r="J184" i="4"/>
  <c r="J178" i="4"/>
  <c r="J182" i="4"/>
  <c r="U211" i="4"/>
  <c r="U194" i="4"/>
  <c r="J194" i="4"/>
  <c r="U186" i="4"/>
  <c r="U190" i="4"/>
  <c r="U198" i="4"/>
  <c r="U202" i="4"/>
  <c r="J190" i="4"/>
  <c r="J198" i="4"/>
  <c r="J202" i="4"/>
  <c r="J206" i="4"/>
  <c r="J200" i="4"/>
  <c r="J204" i="4"/>
  <c r="J208" i="4"/>
  <c r="E212" i="4"/>
  <c r="U188" i="4"/>
  <c r="U196" i="4"/>
  <c r="P212" i="4"/>
  <c r="U192" i="4"/>
  <c r="U200" i="4"/>
  <c r="J192" i="4"/>
  <c r="U180" i="4"/>
  <c r="E701" i="4" l="1"/>
  <c r="J701" i="4" s="1"/>
  <c r="B729" i="4"/>
  <c r="E729" i="4" s="1"/>
  <c r="J729" i="4" s="1"/>
  <c r="J212" i="4"/>
  <c r="U212" i="4"/>
  <c r="P92" i="4"/>
  <c r="T92" i="4"/>
  <c r="P93" i="4"/>
  <c r="T93" i="4"/>
  <c r="P94" i="4"/>
  <c r="T94" i="4"/>
  <c r="T135" i="4"/>
  <c r="P135" i="4"/>
  <c r="U92" i="4" l="1"/>
  <c r="U94" i="4"/>
  <c r="U135" i="4"/>
  <c r="U93" i="4"/>
  <c r="T37" i="4"/>
  <c r="P37" i="4"/>
  <c r="U37" i="4" l="1"/>
  <c r="P85" i="4"/>
  <c r="U85" i="4" s="1"/>
  <c r="P128" i="1" l="1"/>
  <c r="U128" i="1" s="1"/>
  <c r="P100" i="4" l="1"/>
  <c r="T100" i="4"/>
  <c r="T78" i="4"/>
  <c r="P78" i="4"/>
  <c r="U78" i="4" l="1"/>
  <c r="U100" i="4"/>
  <c r="P86" i="4"/>
  <c r="M129" i="1"/>
  <c r="N86" i="4" l="1"/>
  <c r="O86" i="4"/>
  <c r="P129" i="1"/>
  <c r="O129" i="1"/>
  <c r="N129" i="1"/>
  <c r="M86" i="4"/>
  <c r="S169" i="4"/>
  <c r="R169" i="4"/>
  <c r="Q169" i="4"/>
  <c r="O169" i="4"/>
  <c r="N169" i="4"/>
  <c r="M169" i="4"/>
  <c r="H169" i="4"/>
  <c r="G169" i="4"/>
  <c r="F169" i="4"/>
  <c r="D169" i="4"/>
  <c r="C169" i="4"/>
  <c r="B169" i="4"/>
  <c r="I168" i="4"/>
  <c r="E168" i="4"/>
  <c r="I167" i="4"/>
  <c r="E167" i="4"/>
  <c r="I166" i="4"/>
  <c r="E166" i="4"/>
  <c r="T165" i="4"/>
  <c r="P165" i="4"/>
  <c r="I165" i="4"/>
  <c r="E165" i="4"/>
  <c r="T164" i="4"/>
  <c r="P164" i="4"/>
  <c r="I164" i="4"/>
  <c r="E164" i="4"/>
  <c r="T163" i="4"/>
  <c r="P163" i="4"/>
  <c r="I163" i="4"/>
  <c r="E163" i="4"/>
  <c r="T162" i="4"/>
  <c r="P162" i="4"/>
  <c r="I162" i="4"/>
  <c r="E162" i="4"/>
  <c r="T161" i="4"/>
  <c r="P161" i="4"/>
  <c r="I161" i="4"/>
  <c r="E161" i="4"/>
  <c r="T160" i="4"/>
  <c r="P160" i="4"/>
  <c r="I160" i="4"/>
  <c r="E160" i="4"/>
  <c r="T159" i="4"/>
  <c r="P159" i="4"/>
  <c r="I159" i="4"/>
  <c r="E159" i="4"/>
  <c r="T158" i="4"/>
  <c r="P158" i="4"/>
  <c r="I158" i="4"/>
  <c r="E158" i="4"/>
  <c r="T157" i="4"/>
  <c r="P157" i="4"/>
  <c r="I157" i="4"/>
  <c r="E157" i="4"/>
  <c r="T156" i="4"/>
  <c r="P156" i="4"/>
  <c r="I156" i="4"/>
  <c r="E156" i="4"/>
  <c r="T155" i="4"/>
  <c r="P155" i="4"/>
  <c r="I155" i="4"/>
  <c r="E155" i="4"/>
  <c r="T154" i="4"/>
  <c r="P154" i="4"/>
  <c r="I154" i="4"/>
  <c r="E154" i="4"/>
  <c r="T153" i="4"/>
  <c r="P153" i="4"/>
  <c r="I153" i="4"/>
  <c r="E153" i="4"/>
  <c r="T152" i="4"/>
  <c r="P152" i="4"/>
  <c r="I152" i="4"/>
  <c r="E152" i="4"/>
  <c r="T151" i="4"/>
  <c r="P151" i="4"/>
  <c r="I151" i="4"/>
  <c r="E151" i="4"/>
  <c r="T150" i="4"/>
  <c r="P150" i="4"/>
  <c r="I150" i="4"/>
  <c r="E150" i="4"/>
  <c r="T149" i="4"/>
  <c r="P149" i="4"/>
  <c r="I149" i="4"/>
  <c r="E149" i="4"/>
  <c r="T148" i="4"/>
  <c r="P148" i="4"/>
  <c r="I148" i="4"/>
  <c r="E148" i="4"/>
  <c r="T147" i="4"/>
  <c r="P147" i="4"/>
  <c r="I147" i="4"/>
  <c r="E147" i="4"/>
  <c r="T146" i="4"/>
  <c r="P146" i="4"/>
  <c r="I146" i="4"/>
  <c r="E146" i="4"/>
  <c r="T145" i="4"/>
  <c r="P145" i="4"/>
  <c r="I145" i="4"/>
  <c r="E145" i="4"/>
  <c r="I144" i="4"/>
  <c r="E144" i="4"/>
  <c r="T143" i="4"/>
  <c r="P143" i="4"/>
  <c r="I143" i="4"/>
  <c r="E143" i="4"/>
  <c r="T141" i="4"/>
  <c r="P141" i="4"/>
  <c r="I141" i="4"/>
  <c r="E141" i="4"/>
  <c r="T140" i="4"/>
  <c r="P140" i="4"/>
  <c r="I140" i="4"/>
  <c r="E140" i="4"/>
  <c r="I139" i="4"/>
  <c r="E139" i="4"/>
  <c r="T138" i="4"/>
  <c r="P138" i="4"/>
  <c r="I138" i="4"/>
  <c r="E138" i="4"/>
  <c r="T137" i="4"/>
  <c r="P137" i="4"/>
  <c r="I137" i="4"/>
  <c r="E137" i="4"/>
  <c r="I136" i="4"/>
  <c r="E136" i="4"/>
  <c r="I135" i="4"/>
  <c r="E135" i="4"/>
  <c r="T134" i="4"/>
  <c r="P134" i="4"/>
  <c r="I134" i="4"/>
  <c r="E134" i="4"/>
  <c r="H169" i="1"/>
  <c r="G169" i="1"/>
  <c r="F169" i="1"/>
  <c r="D169" i="1"/>
  <c r="C169" i="1"/>
  <c r="B169" i="1"/>
  <c r="I168" i="1"/>
  <c r="E168" i="1"/>
  <c r="I167" i="1"/>
  <c r="E167" i="1"/>
  <c r="I166" i="1"/>
  <c r="E166" i="1"/>
  <c r="I165" i="1"/>
  <c r="E165" i="1"/>
  <c r="I164" i="1"/>
  <c r="E164" i="1"/>
  <c r="I163" i="1"/>
  <c r="E163" i="1"/>
  <c r="I162" i="1"/>
  <c r="E162" i="1"/>
  <c r="I161" i="1"/>
  <c r="E161" i="1"/>
  <c r="I160" i="1"/>
  <c r="E160" i="1"/>
  <c r="I159" i="1"/>
  <c r="E159" i="1"/>
  <c r="I158" i="1"/>
  <c r="E158" i="1"/>
  <c r="I157" i="1"/>
  <c r="E157" i="1"/>
  <c r="I156" i="1"/>
  <c r="E156" i="1"/>
  <c r="I155" i="1"/>
  <c r="E155" i="1"/>
  <c r="I154" i="1"/>
  <c r="E154" i="1"/>
  <c r="I153" i="1"/>
  <c r="E153" i="1"/>
  <c r="I152" i="1"/>
  <c r="E152" i="1"/>
  <c r="I151" i="1"/>
  <c r="E151" i="1"/>
  <c r="I150" i="1"/>
  <c r="E150" i="1"/>
  <c r="I149" i="1"/>
  <c r="E149" i="1"/>
  <c r="I148" i="1"/>
  <c r="E148" i="1"/>
  <c r="I147" i="1"/>
  <c r="E147" i="1"/>
  <c r="I146" i="1"/>
  <c r="E146" i="1"/>
  <c r="I145" i="1"/>
  <c r="E145" i="1"/>
  <c r="I144" i="1"/>
  <c r="E144" i="1"/>
  <c r="I143" i="1"/>
  <c r="E143" i="1"/>
  <c r="I141" i="1"/>
  <c r="E141" i="1"/>
  <c r="I140" i="1"/>
  <c r="E140" i="1"/>
  <c r="I139" i="1"/>
  <c r="E139" i="1"/>
  <c r="I138" i="1"/>
  <c r="E138" i="1"/>
  <c r="I137" i="1"/>
  <c r="E137" i="1"/>
  <c r="I136" i="1"/>
  <c r="E136" i="1"/>
  <c r="I135" i="1"/>
  <c r="E135" i="1"/>
  <c r="I134" i="1"/>
  <c r="E134" i="1"/>
  <c r="S169" i="1"/>
  <c r="R169" i="1"/>
  <c r="Q169" i="1"/>
  <c r="O169" i="1"/>
  <c r="N169" i="1"/>
  <c r="M169" i="1"/>
  <c r="T168" i="1"/>
  <c r="P168" i="1"/>
  <c r="T167" i="1"/>
  <c r="P167" i="1"/>
  <c r="T166" i="1"/>
  <c r="P166" i="1"/>
  <c r="T165" i="1"/>
  <c r="P165" i="1"/>
  <c r="T164" i="1"/>
  <c r="P164" i="1"/>
  <c r="T163" i="1"/>
  <c r="P163" i="1"/>
  <c r="T162" i="1"/>
  <c r="P162" i="1"/>
  <c r="T161" i="1"/>
  <c r="P161" i="1"/>
  <c r="T160" i="1"/>
  <c r="P160" i="1"/>
  <c r="T159" i="1"/>
  <c r="P159" i="1"/>
  <c r="T158" i="1"/>
  <c r="P158" i="1"/>
  <c r="T157" i="1"/>
  <c r="P157" i="1"/>
  <c r="T156" i="1"/>
  <c r="P156" i="1"/>
  <c r="T155" i="1"/>
  <c r="P155" i="1"/>
  <c r="T154" i="1"/>
  <c r="P154" i="1"/>
  <c r="T153" i="1"/>
  <c r="P153" i="1"/>
  <c r="T152" i="1"/>
  <c r="P152" i="1"/>
  <c r="T151" i="1"/>
  <c r="P151" i="1"/>
  <c r="T150" i="1"/>
  <c r="P150" i="1"/>
  <c r="T149" i="1"/>
  <c r="P149" i="1"/>
  <c r="T148" i="1"/>
  <c r="P148" i="1"/>
  <c r="T147" i="1"/>
  <c r="P147" i="1"/>
  <c r="T146" i="1"/>
  <c r="P146" i="1"/>
  <c r="T145" i="1"/>
  <c r="P145" i="1"/>
  <c r="T144" i="1"/>
  <c r="P144" i="1"/>
  <c r="T141" i="1"/>
  <c r="P141" i="1"/>
  <c r="T140" i="1"/>
  <c r="P140" i="1"/>
  <c r="T139" i="1"/>
  <c r="P139" i="1"/>
  <c r="T138" i="1"/>
  <c r="P138" i="1"/>
  <c r="T137" i="1"/>
  <c r="P137" i="1"/>
  <c r="T134" i="1"/>
  <c r="P134" i="1"/>
  <c r="U149" i="1" l="1"/>
  <c r="U141" i="1"/>
  <c r="U148" i="1"/>
  <c r="U137" i="4"/>
  <c r="U140" i="4"/>
  <c r="U147" i="4"/>
  <c r="U150" i="4"/>
  <c r="U153" i="4"/>
  <c r="U156" i="4"/>
  <c r="U159" i="4"/>
  <c r="U162" i="4"/>
  <c r="U134" i="4"/>
  <c r="U138" i="4"/>
  <c r="U141" i="4"/>
  <c r="U145" i="4"/>
  <c r="U148" i="4"/>
  <c r="U151" i="4"/>
  <c r="U154" i="4"/>
  <c r="U157" i="4"/>
  <c r="U160" i="4"/>
  <c r="U163" i="4"/>
  <c r="U147" i="1"/>
  <c r="U151" i="1"/>
  <c r="U157" i="1"/>
  <c r="U163" i="1"/>
  <c r="U159" i="1"/>
  <c r="U165" i="1"/>
  <c r="J146" i="1"/>
  <c r="J152" i="1"/>
  <c r="J158" i="1"/>
  <c r="J164" i="1"/>
  <c r="J138" i="1"/>
  <c r="U139" i="1"/>
  <c r="U146" i="1"/>
  <c r="J139" i="1"/>
  <c r="U145" i="1"/>
  <c r="U158" i="1"/>
  <c r="U161" i="1"/>
  <c r="U167" i="1"/>
  <c r="U137" i="1"/>
  <c r="T169" i="1"/>
  <c r="J151" i="1"/>
  <c r="E169" i="1"/>
  <c r="U134" i="1"/>
  <c r="U140" i="1"/>
  <c r="U168" i="1"/>
  <c r="J145" i="1"/>
  <c r="J157" i="1"/>
  <c r="J163" i="1"/>
  <c r="U155" i="1"/>
  <c r="U160" i="1"/>
  <c r="J138" i="4"/>
  <c r="J141" i="4"/>
  <c r="J145" i="4"/>
  <c r="J148" i="4"/>
  <c r="J151" i="4"/>
  <c r="J154" i="4"/>
  <c r="J157" i="4"/>
  <c r="J160" i="4"/>
  <c r="J163" i="4"/>
  <c r="J166" i="4"/>
  <c r="U153" i="1"/>
  <c r="J137" i="1"/>
  <c r="J147" i="1"/>
  <c r="J153" i="1"/>
  <c r="J159" i="1"/>
  <c r="J165" i="1"/>
  <c r="J135" i="4"/>
  <c r="I169" i="4"/>
  <c r="T169" i="4"/>
  <c r="J134" i="4"/>
  <c r="J147" i="4"/>
  <c r="J150" i="4"/>
  <c r="U138" i="1"/>
  <c r="U156" i="1"/>
  <c r="J135" i="1"/>
  <c r="J141" i="1"/>
  <c r="J149" i="1"/>
  <c r="J155" i="1"/>
  <c r="J161" i="1"/>
  <c r="J167" i="1"/>
  <c r="U165" i="4"/>
  <c r="J137" i="4"/>
  <c r="J140" i="4"/>
  <c r="J156" i="4"/>
  <c r="J159" i="4"/>
  <c r="J162" i="4"/>
  <c r="J165" i="4"/>
  <c r="U144" i="1"/>
  <c r="U154" i="1"/>
  <c r="U166" i="1"/>
  <c r="J136" i="1"/>
  <c r="J144" i="1"/>
  <c r="J150" i="1"/>
  <c r="J156" i="1"/>
  <c r="J162" i="1"/>
  <c r="J168" i="1"/>
  <c r="I169" i="1"/>
  <c r="J136" i="4"/>
  <c r="J139" i="4"/>
  <c r="J143" i="4"/>
  <c r="J146" i="4"/>
  <c r="J149" i="4"/>
  <c r="J152" i="4"/>
  <c r="J155" i="4"/>
  <c r="J158" i="4"/>
  <c r="J161" i="4"/>
  <c r="J164" i="4"/>
  <c r="J167" i="4"/>
  <c r="J144" i="4"/>
  <c r="J153" i="4"/>
  <c r="J168" i="4"/>
  <c r="U152" i="1"/>
  <c r="U164" i="1"/>
  <c r="U143" i="4"/>
  <c r="U146" i="4"/>
  <c r="U149" i="4"/>
  <c r="U152" i="4"/>
  <c r="U155" i="4"/>
  <c r="U158" i="4"/>
  <c r="U161" i="4"/>
  <c r="U164" i="4"/>
  <c r="P169" i="4"/>
  <c r="U150" i="1"/>
  <c r="U162" i="1"/>
  <c r="J140" i="1"/>
  <c r="J148" i="1"/>
  <c r="J154" i="1"/>
  <c r="J160" i="1"/>
  <c r="J166" i="1"/>
  <c r="E169" i="4"/>
  <c r="J143" i="1"/>
  <c r="J134" i="1"/>
  <c r="P169" i="1"/>
  <c r="P91" i="4"/>
  <c r="T91" i="4"/>
  <c r="P101" i="4"/>
  <c r="T101" i="4"/>
  <c r="P103" i="4"/>
  <c r="T103" i="4"/>
  <c r="P104" i="4"/>
  <c r="T104" i="4"/>
  <c r="P105" i="4"/>
  <c r="T105" i="4"/>
  <c r="P106" i="4"/>
  <c r="T106" i="4"/>
  <c r="P107" i="4"/>
  <c r="T107" i="4"/>
  <c r="P108" i="4"/>
  <c r="T108" i="4"/>
  <c r="P109" i="4"/>
  <c r="T109" i="4"/>
  <c r="P110" i="4"/>
  <c r="T110" i="4"/>
  <c r="P111" i="4"/>
  <c r="T111" i="4"/>
  <c r="P112" i="4"/>
  <c r="T112" i="4"/>
  <c r="P113" i="4"/>
  <c r="T113" i="4"/>
  <c r="P114" i="4"/>
  <c r="T114" i="4"/>
  <c r="P115" i="4"/>
  <c r="T115" i="4"/>
  <c r="P116" i="4"/>
  <c r="T116" i="4"/>
  <c r="P117" i="4"/>
  <c r="T117" i="4"/>
  <c r="P118" i="4"/>
  <c r="T118" i="4"/>
  <c r="P119" i="4"/>
  <c r="T119" i="4"/>
  <c r="P122" i="4"/>
  <c r="T122" i="4"/>
  <c r="P123" i="4"/>
  <c r="T123" i="4"/>
  <c r="P124" i="4"/>
  <c r="T124" i="4"/>
  <c r="P125" i="4"/>
  <c r="T125" i="4"/>
  <c r="E100" i="4"/>
  <c r="I100" i="4"/>
  <c r="E101" i="4"/>
  <c r="I101" i="4"/>
  <c r="E102" i="4"/>
  <c r="I102" i="4"/>
  <c r="E103" i="4"/>
  <c r="I103" i="4"/>
  <c r="E104" i="4"/>
  <c r="I104" i="4"/>
  <c r="E91" i="4"/>
  <c r="I91" i="4"/>
  <c r="E92" i="4"/>
  <c r="I92" i="4"/>
  <c r="E93" i="4"/>
  <c r="I93" i="4"/>
  <c r="E94" i="4"/>
  <c r="I94" i="4"/>
  <c r="S126" i="4"/>
  <c r="R126" i="4"/>
  <c r="Q126" i="4"/>
  <c r="O126" i="4"/>
  <c r="N126" i="4"/>
  <c r="M126" i="4"/>
  <c r="H126" i="4"/>
  <c r="G126" i="4"/>
  <c r="F126" i="4"/>
  <c r="D126" i="4"/>
  <c r="C126" i="4"/>
  <c r="B126" i="4"/>
  <c r="I125" i="4"/>
  <c r="E125" i="4"/>
  <c r="I124" i="4"/>
  <c r="E124" i="4"/>
  <c r="I123" i="4"/>
  <c r="E123" i="4"/>
  <c r="I122" i="4"/>
  <c r="E122" i="4"/>
  <c r="T121" i="4"/>
  <c r="P121" i="4"/>
  <c r="I121" i="4"/>
  <c r="E121" i="4"/>
  <c r="T120" i="4"/>
  <c r="P120" i="4"/>
  <c r="I120" i="4"/>
  <c r="E120" i="4"/>
  <c r="I119" i="4"/>
  <c r="E119" i="4"/>
  <c r="I118" i="4"/>
  <c r="E118" i="4"/>
  <c r="I117" i="4"/>
  <c r="E117" i="4"/>
  <c r="I116" i="4"/>
  <c r="E116" i="4"/>
  <c r="I115" i="4"/>
  <c r="E115" i="4"/>
  <c r="I114" i="4"/>
  <c r="E114" i="4"/>
  <c r="I113" i="4"/>
  <c r="E113" i="4"/>
  <c r="I112" i="4"/>
  <c r="E112" i="4"/>
  <c r="I111" i="4"/>
  <c r="E111" i="4"/>
  <c r="I110" i="4"/>
  <c r="E110" i="4"/>
  <c r="I109" i="4"/>
  <c r="E109" i="4"/>
  <c r="I108" i="4"/>
  <c r="E108" i="4"/>
  <c r="I107" i="4"/>
  <c r="E107" i="4"/>
  <c r="I106" i="4"/>
  <c r="E106" i="4"/>
  <c r="I105" i="4"/>
  <c r="E105" i="4"/>
  <c r="T98" i="4"/>
  <c r="P98" i="4"/>
  <c r="I98" i="4"/>
  <c r="E98" i="4"/>
  <c r="T97" i="4"/>
  <c r="P97" i="4"/>
  <c r="I97" i="4"/>
  <c r="E97" i="4"/>
  <c r="T96" i="4"/>
  <c r="P96" i="4"/>
  <c r="I96" i="4"/>
  <c r="E96" i="4"/>
  <c r="T95" i="4"/>
  <c r="P95" i="4"/>
  <c r="I95" i="4"/>
  <c r="E95" i="4"/>
  <c r="J169" i="4" l="1"/>
  <c r="U169" i="4"/>
  <c r="U106" i="4"/>
  <c r="U169" i="1"/>
  <c r="J95" i="4"/>
  <c r="U96" i="4"/>
  <c r="J98" i="4"/>
  <c r="J106" i="4"/>
  <c r="J109" i="4"/>
  <c r="J112" i="4"/>
  <c r="J115" i="4"/>
  <c r="J118" i="4"/>
  <c r="U120" i="4"/>
  <c r="J122" i="4"/>
  <c r="J125" i="4"/>
  <c r="U111" i="4"/>
  <c r="J169" i="1"/>
  <c r="J96" i="4"/>
  <c r="U97" i="4"/>
  <c r="J105" i="4"/>
  <c r="J108" i="4"/>
  <c r="J111" i="4"/>
  <c r="J114" i="4"/>
  <c r="U108" i="4"/>
  <c r="U91" i="4"/>
  <c r="J101" i="4"/>
  <c r="U110" i="4"/>
  <c r="U101" i="4"/>
  <c r="J91" i="4"/>
  <c r="U122" i="4"/>
  <c r="U103" i="4"/>
  <c r="U112" i="4"/>
  <c r="J117" i="4"/>
  <c r="J120" i="4"/>
  <c r="U121" i="4"/>
  <c r="J124" i="4"/>
  <c r="J93" i="4"/>
  <c r="J104" i="4"/>
  <c r="J103" i="4"/>
  <c r="U118" i="4"/>
  <c r="U113" i="4"/>
  <c r="U104" i="4"/>
  <c r="J92" i="4"/>
  <c r="U124" i="4"/>
  <c r="U119" i="4"/>
  <c r="U114" i="4"/>
  <c r="U95" i="4"/>
  <c r="J97" i="4"/>
  <c r="U98" i="4"/>
  <c r="J107" i="4"/>
  <c r="J110" i="4"/>
  <c r="J113" i="4"/>
  <c r="J116" i="4"/>
  <c r="J119" i="4"/>
  <c r="J121" i="4"/>
  <c r="J123" i="4"/>
  <c r="J94" i="4"/>
  <c r="J102" i="4"/>
  <c r="U116" i="4"/>
  <c r="U125" i="4"/>
  <c r="U115" i="4"/>
  <c r="U107" i="4"/>
  <c r="U117" i="4"/>
  <c r="U105" i="4"/>
  <c r="E126" i="4"/>
  <c r="J100" i="4"/>
  <c r="U123" i="4"/>
  <c r="U109" i="4"/>
  <c r="P126" i="4"/>
  <c r="T126" i="4"/>
  <c r="I126" i="4"/>
  <c r="P91" i="1"/>
  <c r="T91" i="1"/>
  <c r="P92" i="1"/>
  <c r="T92" i="1"/>
  <c r="P122" i="1"/>
  <c r="T122" i="1"/>
  <c r="P123" i="1"/>
  <c r="T123" i="1"/>
  <c r="P124" i="1"/>
  <c r="T124" i="1"/>
  <c r="P125" i="1"/>
  <c r="T125" i="1"/>
  <c r="P100" i="1"/>
  <c r="T100" i="1"/>
  <c r="P101" i="1"/>
  <c r="T101" i="1"/>
  <c r="P102" i="1"/>
  <c r="T102" i="1"/>
  <c r="P103" i="1"/>
  <c r="T103" i="1"/>
  <c r="P104" i="1"/>
  <c r="T104" i="1"/>
  <c r="P105" i="1"/>
  <c r="T105" i="1"/>
  <c r="P106" i="1"/>
  <c r="T106" i="1"/>
  <c r="P107" i="1"/>
  <c r="T107" i="1"/>
  <c r="P108" i="1"/>
  <c r="T108" i="1"/>
  <c r="P109" i="1"/>
  <c r="T109" i="1"/>
  <c r="P110" i="1"/>
  <c r="T110" i="1"/>
  <c r="P111" i="1"/>
  <c r="T111" i="1"/>
  <c r="P112" i="1"/>
  <c r="T112" i="1"/>
  <c r="P113" i="1"/>
  <c r="T113" i="1"/>
  <c r="P114" i="1"/>
  <c r="T114" i="1"/>
  <c r="P115" i="1"/>
  <c r="T115" i="1"/>
  <c r="P116" i="1"/>
  <c r="T116" i="1"/>
  <c r="P117" i="1"/>
  <c r="T117" i="1"/>
  <c r="P118" i="1"/>
  <c r="T118" i="1"/>
  <c r="P119" i="1"/>
  <c r="T119" i="1"/>
  <c r="P120" i="1"/>
  <c r="T120" i="1"/>
  <c r="E100" i="1"/>
  <c r="I100" i="1"/>
  <c r="E101" i="1"/>
  <c r="I101" i="1"/>
  <c r="E102" i="1"/>
  <c r="I102" i="1"/>
  <c r="E103" i="1"/>
  <c r="I103" i="1"/>
  <c r="E104" i="1"/>
  <c r="I104" i="1"/>
  <c r="E92" i="1"/>
  <c r="I92" i="1"/>
  <c r="E93" i="1"/>
  <c r="I93" i="1"/>
  <c r="S126" i="1"/>
  <c r="R126" i="1"/>
  <c r="Q126" i="1"/>
  <c r="O126" i="1"/>
  <c r="N126" i="1"/>
  <c r="M126" i="1"/>
  <c r="H126" i="1"/>
  <c r="G126" i="1"/>
  <c r="F126" i="1"/>
  <c r="D126" i="1"/>
  <c r="C126" i="1"/>
  <c r="B126" i="1"/>
  <c r="I125" i="1"/>
  <c r="E125" i="1"/>
  <c r="I124" i="1"/>
  <c r="E124" i="1"/>
  <c r="I123" i="1"/>
  <c r="E123" i="1"/>
  <c r="I122" i="1"/>
  <c r="E122" i="1"/>
  <c r="T121" i="1"/>
  <c r="P121" i="1"/>
  <c r="I121" i="1"/>
  <c r="E121" i="1"/>
  <c r="I120" i="1"/>
  <c r="E120" i="1"/>
  <c r="I119" i="1"/>
  <c r="E119" i="1"/>
  <c r="I118" i="1"/>
  <c r="E118" i="1"/>
  <c r="I117" i="1"/>
  <c r="E117" i="1"/>
  <c r="I116" i="1"/>
  <c r="E116" i="1"/>
  <c r="I115" i="1"/>
  <c r="E115" i="1"/>
  <c r="I114" i="1"/>
  <c r="E114" i="1"/>
  <c r="I113" i="1"/>
  <c r="E113" i="1"/>
  <c r="I112" i="1"/>
  <c r="E112" i="1"/>
  <c r="I111" i="1"/>
  <c r="E111" i="1"/>
  <c r="I110" i="1"/>
  <c r="E110" i="1"/>
  <c r="I109" i="1"/>
  <c r="E109" i="1"/>
  <c r="I108" i="1"/>
  <c r="E108" i="1"/>
  <c r="I107" i="1"/>
  <c r="E107" i="1"/>
  <c r="I106" i="1"/>
  <c r="E106" i="1"/>
  <c r="I105" i="1"/>
  <c r="E105" i="1"/>
  <c r="T98" i="1"/>
  <c r="P98" i="1"/>
  <c r="I98" i="1"/>
  <c r="E98" i="1"/>
  <c r="T97" i="1"/>
  <c r="P97" i="1"/>
  <c r="I97" i="1"/>
  <c r="E97" i="1"/>
  <c r="T96" i="1"/>
  <c r="P96" i="1"/>
  <c r="I96" i="1"/>
  <c r="E96" i="1"/>
  <c r="T95" i="1"/>
  <c r="P95" i="1"/>
  <c r="I95" i="1"/>
  <c r="E95" i="1"/>
  <c r="T94" i="1"/>
  <c r="P94" i="1"/>
  <c r="I94" i="1"/>
  <c r="E94" i="1"/>
  <c r="T93" i="1"/>
  <c r="P93" i="1"/>
  <c r="I91" i="1"/>
  <c r="E91" i="1"/>
  <c r="J126" i="4" l="1"/>
  <c r="U124" i="1"/>
  <c r="U94" i="1"/>
  <c r="J96" i="1"/>
  <c r="U97" i="1"/>
  <c r="J105" i="1"/>
  <c r="J108" i="1"/>
  <c r="J111" i="1"/>
  <c r="J114" i="1"/>
  <c r="J117" i="1"/>
  <c r="J120" i="1"/>
  <c r="J122" i="1"/>
  <c r="J125" i="1"/>
  <c r="U113" i="1"/>
  <c r="U107" i="1"/>
  <c r="U101" i="1"/>
  <c r="U105" i="1"/>
  <c r="J102" i="1"/>
  <c r="U118" i="1"/>
  <c r="U112" i="1"/>
  <c r="U106" i="1"/>
  <c r="J94" i="1"/>
  <c r="U95" i="1"/>
  <c r="J97" i="1"/>
  <c r="U98" i="1"/>
  <c r="J107" i="1"/>
  <c r="J110" i="1"/>
  <c r="J113" i="1"/>
  <c r="J116" i="1"/>
  <c r="J119" i="1"/>
  <c r="U121" i="1"/>
  <c r="J124" i="1"/>
  <c r="U120" i="1"/>
  <c r="J104" i="1"/>
  <c r="U108" i="1"/>
  <c r="J101" i="1"/>
  <c r="U117" i="1"/>
  <c r="U123" i="1"/>
  <c r="J92" i="1"/>
  <c r="U116" i="1"/>
  <c r="U110" i="1"/>
  <c r="U102" i="1"/>
  <c r="U104" i="1"/>
  <c r="J103" i="1"/>
  <c r="U119" i="1"/>
  <c r="U114" i="1"/>
  <c r="U111" i="1"/>
  <c r="U100" i="1"/>
  <c r="U91" i="1"/>
  <c r="J91" i="1"/>
  <c r="U122" i="1"/>
  <c r="U93" i="1"/>
  <c r="J95" i="1"/>
  <c r="U96" i="1"/>
  <c r="J98" i="1"/>
  <c r="J106" i="1"/>
  <c r="J109" i="1"/>
  <c r="J112" i="1"/>
  <c r="J115" i="1"/>
  <c r="J118" i="1"/>
  <c r="J121" i="1"/>
  <c r="J123" i="1"/>
  <c r="J93" i="1"/>
  <c r="U115" i="1"/>
  <c r="U103" i="1"/>
  <c r="U92" i="1"/>
  <c r="J100" i="1"/>
  <c r="U109" i="1"/>
  <c r="U125" i="1"/>
  <c r="U126" i="4"/>
  <c r="I126" i="1"/>
  <c r="P126" i="1"/>
  <c r="T126" i="1"/>
  <c r="E126" i="1"/>
  <c r="P79" i="4"/>
  <c r="T79" i="4"/>
  <c r="P80" i="4"/>
  <c r="T80" i="4"/>
  <c r="P79" i="1"/>
  <c r="T79" i="1"/>
  <c r="P80" i="1"/>
  <c r="T80" i="1"/>
  <c r="U79" i="1" l="1"/>
  <c r="J126" i="1"/>
  <c r="U126" i="1"/>
  <c r="U80" i="4"/>
  <c r="U80" i="1"/>
  <c r="U79" i="4"/>
  <c r="P72" i="1"/>
  <c r="T72" i="1"/>
  <c r="U72" i="1" l="1"/>
  <c r="T50" i="4"/>
  <c r="P50" i="4"/>
  <c r="T49" i="1"/>
  <c r="P49" i="1"/>
  <c r="E48" i="1"/>
  <c r="I48" i="1"/>
  <c r="U50" i="4" l="1"/>
  <c r="U49" i="1"/>
  <c r="J48" i="1"/>
  <c r="E80" i="4"/>
  <c r="I80" i="4"/>
  <c r="E81" i="4"/>
  <c r="I81" i="4"/>
  <c r="E82" i="4"/>
  <c r="I82" i="4"/>
  <c r="T48" i="4"/>
  <c r="P48" i="4"/>
  <c r="T65" i="4"/>
  <c r="P65" i="4"/>
  <c r="T65" i="1"/>
  <c r="P65" i="1"/>
  <c r="U65" i="4" l="1"/>
  <c r="J80" i="4"/>
  <c r="J82" i="4"/>
  <c r="U65" i="1"/>
  <c r="U48" i="4"/>
  <c r="J81" i="4"/>
  <c r="T81" i="4"/>
  <c r="P81" i="4"/>
  <c r="T81" i="1"/>
  <c r="P81" i="1"/>
  <c r="T78" i="1"/>
  <c r="P78" i="1"/>
  <c r="T6" i="1"/>
  <c r="P6" i="1"/>
  <c r="T6" i="4"/>
  <c r="P6" i="4"/>
  <c r="U78" i="1" l="1"/>
  <c r="U81" i="1"/>
  <c r="U81" i="4"/>
  <c r="U6" i="4"/>
  <c r="U6" i="1"/>
  <c r="T22" i="4" l="1"/>
  <c r="P22" i="4"/>
  <c r="T22" i="1"/>
  <c r="P22" i="1"/>
  <c r="P20" i="4"/>
  <c r="U22" i="1" l="1"/>
  <c r="U22" i="4"/>
  <c r="T82" i="1"/>
  <c r="P82" i="1"/>
  <c r="T82" i="4"/>
  <c r="P82" i="4"/>
  <c r="T38" i="4"/>
  <c r="P38" i="4"/>
  <c r="T38" i="1"/>
  <c r="P38" i="1"/>
  <c r="T49" i="4"/>
  <c r="P49" i="4"/>
  <c r="S83" i="4"/>
  <c r="R83" i="4"/>
  <c r="Q83" i="4"/>
  <c r="O83" i="4"/>
  <c r="N83" i="4"/>
  <c r="M83" i="4"/>
  <c r="H83" i="4"/>
  <c r="G83" i="4"/>
  <c r="F83" i="4"/>
  <c r="D83" i="4"/>
  <c r="C83" i="4"/>
  <c r="B83" i="4"/>
  <c r="I79" i="4"/>
  <c r="E79" i="4"/>
  <c r="I78" i="4"/>
  <c r="E78" i="4"/>
  <c r="T77" i="4"/>
  <c r="P77" i="4"/>
  <c r="I77" i="4"/>
  <c r="E77" i="4"/>
  <c r="T76" i="4"/>
  <c r="P76" i="4"/>
  <c r="I76" i="4"/>
  <c r="E76" i="4"/>
  <c r="T75" i="4"/>
  <c r="P75" i="4"/>
  <c r="I75" i="4"/>
  <c r="E75" i="4"/>
  <c r="T74" i="4"/>
  <c r="P74" i="4"/>
  <c r="I74" i="4"/>
  <c r="E74" i="4"/>
  <c r="T73" i="4"/>
  <c r="P73" i="4"/>
  <c r="I73" i="4"/>
  <c r="E73" i="4"/>
  <c r="T72" i="4"/>
  <c r="P72" i="4"/>
  <c r="I72" i="4"/>
  <c r="E72" i="4"/>
  <c r="T71" i="4"/>
  <c r="P71" i="4"/>
  <c r="I71" i="4"/>
  <c r="E71" i="4"/>
  <c r="T70" i="4"/>
  <c r="P70" i="4"/>
  <c r="I70" i="4"/>
  <c r="E70" i="4"/>
  <c r="T69" i="4"/>
  <c r="P69" i="4"/>
  <c r="I69" i="4"/>
  <c r="E69" i="4"/>
  <c r="T68" i="4"/>
  <c r="P68" i="4"/>
  <c r="I68" i="4"/>
  <c r="E68" i="4"/>
  <c r="T67" i="4"/>
  <c r="P67" i="4"/>
  <c r="I67" i="4"/>
  <c r="E67" i="4"/>
  <c r="T66" i="4"/>
  <c r="P66" i="4"/>
  <c r="I66" i="4"/>
  <c r="E66" i="4"/>
  <c r="I65" i="4"/>
  <c r="E65" i="4"/>
  <c r="T64" i="4"/>
  <c r="P64" i="4"/>
  <c r="I64" i="4"/>
  <c r="E64" i="4"/>
  <c r="T63" i="4"/>
  <c r="P63" i="4"/>
  <c r="I63" i="4"/>
  <c r="E63" i="4"/>
  <c r="T62" i="4"/>
  <c r="P62" i="4"/>
  <c r="I62" i="4"/>
  <c r="E62" i="4"/>
  <c r="T61" i="4"/>
  <c r="P61" i="4"/>
  <c r="I61" i="4"/>
  <c r="E61" i="4"/>
  <c r="T60" i="4"/>
  <c r="P60" i="4"/>
  <c r="I60" i="4"/>
  <c r="E60" i="4"/>
  <c r="T59" i="4"/>
  <c r="P59" i="4"/>
  <c r="I59" i="4"/>
  <c r="E59" i="4"/>
  <c r="T58" i="4"/>
  <c r="P58" i="4"/>
  <c r="I58" i="4"/>
  <c r="E58" i="4"/>
  <c r="T57" i="4"/>
  <c r="P57" i="4"/>
  <c r="I57" i="4"/>
  <c r="E57" i="4"/>
  <c r="T55" i="4"/>
  <c r="P55" i="4"/>
  <c r="I55" i="4"/>
  <c r="E55" i="4"/>
  <c r="T54" i="4"/>
  <c r="P54" i="4"/>
  <c r="I54" i="4"/>
  <c r="E54" i="4"/>
  <c r="T53" i="4"/>
  <c r="P53" i="4"/>
  <c r="I53" i="4"/>
  <c r="E53" i="4"/>
  <c r="T52" i="4"/>
  <c r="P52" i="4"/>
  <c r="I52" i="4"/>
  <c r="E52" i="4"/>
  <c r="T51" i="4"/>
  <c r="P51" i="4"/>
  <c r="I51" i="4"/>
  <c r="E51" i="4"/>
  <c r="I50" i="4"/>
  <c r="E50" i="4"/>
  <c r="I49" i="4"/>
  <c r="E49" i="4"/>
  <c r="I48" i="4"/>
  <c r="E48" i="4"/>
  <c r="S83" i="1"/>
  <c r="R83" i="1"/>
  <c r="Q83" i="1"/>
  <c r="O83" i="1"/>
  <c r="N83" i="1"/>
  <c r="M83" i="1"/>
  <c r="H83" i="1"/>
  <c r="G83" i="1"/>
  <c r="F83" i="1"/>
  <c r="D83" i="1"/>
  <c r="C83" i="1"/>
  <c r="B83" i="1"/>
  <c r="I82" i="1"/>
  <c r="E82" i="1"/>
  <c r="I81" i="1"/>
  <c r="E81" i="1"/>
  <c r="I80" i="1"/>
  <c r="E80" i="1"/>
  <c r="I79" i="1"/>
  <c r="E79" i="1"/>
  <c r="I78" i="1"/>
  <c r="E78" i="1"/>
  <c r="T77" i="1"/>
  <c r="P77" i="1"/>
  <c r="I77" i="1"/>
  <c r="E77" i="1"/>
  <c r="T76" i="1"/>
  <c r="P76" i="1"/>
  <c r="I76" i="1"/>
  <c r="E76" i="1"/>
  <c r="T75" i="1"/>
  <c r="P75" i="1"/>
  <c r="I75" i="1"/>
  <c r="E75" i="1"/>
  <c r="T74" i="1"/>
  <c r="P74" i="1"/>
  <c r="I74" i="1"/>
  <c r="E74" i="1"/>
  <c r="T73" i="1"/>
  <c r="P73" i="1"/>
  <c r="I73" i="1"/>
  <c r="E73" i="1"/>
  <c r="I72" i="1"/>
  <c r="E72" i="1"/>
  <c r="T71" i="1"/>
  <c r="P71" i="1"/>
  <c r="I71" i="1"/>
  <c r="E71" i="1"/>
  <c r="T70" i="1"/>
  <c r="P70" i="1"/>
  <c r="I70" i="1"/>
  <c r="E70" i="1"/>
  <c r="T69" i="1"/>
  <c r="P69" i="1"/>
  <c r="I69" i="1"/>
  <c r="E69" i="1"/>
  <c r="T68" i="1"/>
  <c r="P68" i="1"/>
  <c r="I68" i="1"/>
  <c r="E68" i="1"/>
  <c r="T67" i="1"/>
  <c r="P67" i="1"/>
  <c r="I67" i="1"/>
  <c r="E67" i="1"/>
  <c r="T66" i="1"/>
  <c r="P66" i="1"/>
  <c r="I66" i="1"/>
  <c r="E66" i="1"/>
  <c r="I65" i="1"/>
  <c r="E65" i="1"/>
  <c r="T64" i="1"/>
  <c r="P64" i="1"/>
  <c r="I64" i="1"/>
  <c r="E64" i="1"/>
  <c r="T63" i="1"/>
  <c r="P63" i="1"/>
  <c r="I63" i="1"/>
  <c r="E63" i="1"/>
  <c r="T62" i="1"/>
  <c r="P62" i="1"/>
  <c r="I62" i="1"/>
  <c r="E62" i="1"/>
  <c r="T61" i="1"/>
  <c r="P61" i="1"/>
  <c r="I61" i="1"/>
  <c r="E61" i="1"/>
  <c r="T60" i="1"/>
  <c r="P60" i="1"/>
  <c r="I60" i="1"/>
  <c r="E60" i="1"/>
  <c r="T59" i="1"/>
  <c r="P59" i="1"/>
  <c r="I59" i="1"/>
  <c r="E59" i="1"/>
  <c r="T58" i="1"/>
  <c r="P58" i="1"/>
  <c r="I58" i="1"/>
  <c r="E58" i="1"/>
  <c r="T57" i="1"/>
  <c r="P57" i="1"/>
  <c r="I57" i="1"/>
  <c r="E57" i="1"/>
  <c r="T55" i="1"/>
  <c r="P55" i="1"/>
  <c r="I55" i="1"/>
  <c r="E55" i="1"/>
  <c r="T54" i="1"/>
  <c r="P54" i="1"/>
  <c r="I54" i="1"/>
  <c r="E54" i="1"/>
  <c r="T53" i="1"/>
  <c r="P53" i="1"/>
  <c r="I53" i="1"/>
  <c r="E53" i="1"/>
  <c r="T52" i="1"/>
  <c r="P52" i="1"/>
  <c r="I52" i="1"/>
  <c r="E52" i="1"/>
  <c r="T51" i="1"/>
  <c r="P51" i="1"/>
  <c r="I51" i="1"/>
  <c r="E51" i="1"/>
  <c r="T50" i="1"/>
  <c r="P50" i="1"/>
  <c r="I50" i="1"/>
  <c r="E50" i="1"/>
  <c r="I49" i="1"/>
  <c r="E49" i="1"/>
  <c r="T48" i="1"/>
  <c r="P48" i="1"/>
  <c r="J49" i="1" l="1"/>
  <c r="U50" i="1"/>
  <c r="J52" i="1"/>
  <c r="U53" i="1"/>
  <c r="J55" i="1"/>
  <c r="U57" i="1"/>
  <c r="J59" i="1"/>
  <c r="U60" i="1"/>
  <c r="U63" i="1"/>
  <c r="J65" i="1"/>
  <c r="U66" i="1"/>
  <c r="U69" i="1"/>
  <c r="J71" i="1"/>
  <c r="U75" i="1"/>
  <c r="J77" i="1"/>
  <c r="U53" i="4"/>
  <c r="J55" i="4"/>
  <c r="J59" i="4"/>
  <c r="U60" i="4"/>
  <c r="J62" i="4"/>
  <c r="J65" i="4"/>
  <c r="U66" i="4"/>
  <c r="J68" i="4"/>
  <c r="J71" i="4"/>
  <c r="U72" i="4"/>
  <c r="J74" i="4"/>
  <c r="J51" i="1"/>
  <c r="U52" i="1"/>
  <c r="J54" i="1"/>
  <c r="U59" i="1"/>
  <c r="J61" i="1"/>
  <c r="U62" i="1"/>
  <c r="J67" i="1"/>
  <c r="U68" i="1"/>
  <c r="U71" i="1"/>
  <c r="J73" i="1"/>
  <c r="U74" i="1"/>
  <c r="U77" i="1"/>
  <c r="J79" i="1"/>
  <c r="J49" i="4"/>
  <c r="J51" i="4"/>
  <c r="U52" i="4"/>
  <c r="U55" i="4"/>
  <c r="J58" i="4"/>
  <c r="J61" i="4"/>
  <c r="U62" i="4"/>
  <c r="J64" i="4"/>
  <c r="J67" i="4"/>
  <c r="U68" i="4"/>
  <c r="J70" i="4"/>
  <c r="U74" i="4"/>
  <c r="J76" i="4"/>
  <c r="U82" i="1"/>
  <c r="U48" i="1"/>
  <c r="J50" i="1"/>
  <c r="U51" i="1"/>
  <c r="J53" i="1"/>
  <c r="U54" i="1"/>
  <c r="J57" i="1"/>
  <c r="U58" i="1"/>
  <c r="U61" i="1"/>
  <c r="J63" i="1"/>
  <c r="U64" i="1"/>
  <c r="U67" i="1"/>
  <c r="J69" i="1"/>
  <c r="U70" i="1"/>
  <c r="U73" i="1"/>
  <c r="J75" i="1"/>
  <c r="U76" i="1"/>
  <c r="J81" i="1"/>
  <c r="J48" i="4"/>
  <c r="U51" i="4"/>
  <c r="J53" i="4"/>
  <c r="U54" i="4"/>
  <c r="J57" i="4"/>
  <c r="U58" i="4"/>
  <c r="J60" i="4"/>
  <c r="J63" i="4"/>
  <c r="U64" i="4"/>
  <c r="J66" i="4"/>
  <c r="J69" i="4"/>
  <c r="U70" i="4"/>
  <c r="J72" i="4"/>
  <c r="U76" i="4"/>
  <c r="U49" i="4"/>
  <c r="U82" i="4"/>
  <c r="U38" i="1"/>
  <c r="J78" i="4"/>
  <c r="E83" i="4"/>
  <c r="U38" i="4"/>
  <c r="E83" i="1"/>
  <c r="P83" i="4"/>
  <c r="I83" i="1"/>
  <c r="J73" i="4"/>
  <c r="J75" i="4"/>
  <c r="J77" i="4"/>
  <c r="J79" i="4"/>
  <c r="I83" i="4"/>
  <c r="U55" i="1"/>
  <c r="J58" i="1"/>
  <c r="J60" i="1"/>
  <c r="J62" i="1"/>
  <c r="J64" i="1"/>
  <c r="J66" i="1"/>
  <c r="J68" i="1"/>
  <c r="J70" i="1"/>
  <c r="J72" i="1"/>
  <c r="J74" i="1"/>
  <c r="J76" i="1"/>
  <c r="J78" i="1"/>
  <c r="J80" i="1"/>
  <c r="J82" i="1"/>
  <c r="J50" i="4"/>
  <c r="J52" i="4"/>
  <c r="J54" i="4"/>
  <c r="U57" i="4"/>
  <c r="U59" i="4"/>
  <c r="U61" i="4"/>
  <c r="U63" i="4"/>
  <c r="U67" i="4"/>
  <c r="U69" i="4"/>
  <c r="U71" i="4"/>
  <c r="U73" i="4"/>
  <c r="U75" i="4"/>
  <c r="U77" i="4"/>
  <c r="T83" i="4"/>
  <c r="P83" i="1"/>
  <c r="T83" i="1"/>
  <c r="P4" i="4"/>
  <c r="J83" i="1" l="1"/>
  <c r="J83" i="4"/>
  <c r="U83" i="4"/>
  <c r="U83" i="1"/>
  <c r="T5" i="1"/>
  <c r="T7" i="1"/>
  <c r="P5" i="1"/>
  <c r="P7" i="1"/>
  <c r="U7" i="1" l="1"/>
  <c r="U5" i="1"/>
  <c r="T10" i="4"/>
  <c r="P10" i="4"/>
  <c r="U10" i="4" l="1"/>
  <c r="I15" i="1" l="1"/>
  <c r="E15" i="1"/>
  <c r="J15" i="1" l="1"/>
  <c r="T39" i="1" l="1"/>
  <c r="P39" i="1"/>
  <c r="T18" i="4"/>
  <c r="P18" i="4"/>
  <c r="T17" i="4"/>
  <c r="P17" i="4"/>
  <c r="T16" i="4"/>
  <c r="P16" i="4"/>
  <c r="T15" i="4"/>
  <c r="P15" i="4"/>
  <c r="T14" i="4"/>
  <c r="P14" i="4"/>
  <c r="P39" i="4"/>
  <c r="U18" i="4" l="1"/>
  <c r="U17" i="4"/>
  <c r="U15" i="4"/>
  <c r="U14" i="4"/>
  <c r="U16" i="4"/>
  <c r="U39" i="1"/>
  <c r="S40" i="4"/>
  <c r="R40" i="4"/>
  <c r="Q40" i="4"/>
  <c r="O40" i="4"/>
  <c r="N40" i="4"/>
  <c r="M40" i="4"/>
  <c r="H40" i="4"/>
  <c r="G40" i="4"/>
  <c r="F40" i="4"/>
  <c r="D40" i="4"/>
  <c r="C40" i="4"/>
  <c r="B40" i="4"/>
  <c r="T39" i="4"/>
  <c r="I39" i="4"/>
  <c r="E39" i="4"/>
  <c r="I38" i="4"/>
  <c r="E38" i="4"/>
  <c r="I37" i="4"/>
  <c r="E37" i="4"/>
  <c r="T36" i="4"/>
  <c r="P36" i="4"/>
  <c r="I36" i="4"/>
  <c r="E36" i="4"/>
  <c r="T35" i="4"/>
  <c r="P35" i="4"/>
  <c r="I35" i="4"/>
  <c r="E35" i="4"/>
  <c r="T34" i="4"/>
  <c r="P34" i="4"/>
  <c r="I34" i="4"/>
  <c r="E34" i="4"/>
  <c r="T33" i="4"/>
  <c r="P33" i="4"/>
  <c r="I33" i="4"/>
  <c r="E33" i="4"/>
  <c r="T32" i="4"/>
  <c r="P32" i="4"/>
  <c r="I32" i="4"/>
  <c r="E32" i="4"/>
  <c r="T31" i="4"/>
  <c r="P31" i="4"/>
  <c r="I31" i="4"/>
  <c r="E31" i="4"/>
  <c r="T30" i="4"/>
  <c r="P30" i="4"/>
  <c r="I30" i="4"/>
  <c r="E30" i="4"/>
  <c r="T29" i="4"/>
  <c r="P29" i="4"/>
  <c r="I29" i="4"/>
  <c r="E29" i="4"/>
  <c r="T28" i="4"/>
  <c r="P28" i="4"/>
  <c r="I28" i="4"/>
  <c r="E28" i="4"/>
  <c r="T27" i="4"/>
  <c r="P27" i="4"/>
  <c r="I27" i="4"/>
  <c r="E27" i="4"/>
  <c r="T26" i="4"/>
  <c r="P26" i="4"/>
  <c r="I26" i="4"/>
  <c r="E26" i="4"/>
  <c r="T25" i="4"/>
  <c r="P25" i="4"/>
  <c r="I25" i="4"/>
  <c r="E25" i="4"/>
  <c r="T24" i="4"/>
  <c r="P24" i="4"/>
  <c r="I24" i="4"/>
  <c r="E24" i="4"/>
  <c r="T23" i="4"/>
  <c r="P23" i="4"/>
  <c r="I23" i="4"/>
  <c r="E23" i="4"/>
  <c r="I22" i="4"/>
  <c r="E22" i="4"/>
  <c r="T21" i="4"/>
  <c r="P21" i="4"/>
  <c r="I21" i="4"/>
  <c r="E21" i="4"/>
  <c r="T20" i="4"/>
  <c r="I20" i="4"/>
  <c r="E20" i="4"/>
  <c r="T19" i="4"/>
  <c r="P19" i="4"/>
  <c r="I19" i="4"/>
  <c r="E19" i="4"/>
  <c r="I18" i="4"/>
  <c r="E18" i="4"/>
  <c r="I17" i="4"/>
  <c r="E17" i="4"/>
  <c r="I16" i="4"/>
  <c r="E16" i="4"/>
  <c r="I15" i="4"/>
  <c r="E15" i="4"/>
  <c r="I14" i="4"/>
  <c r="E14" i="4"/>
  <c r="S13" i="4"/>
  <c r="R13" i="4"/>
  <c r="Q13" i="4"/>
  <c r="O13" i="4"/>
  <c r="N13" i="4"/>
  <c r="M13" i="4"/>
  <c r="H13" i="4"/>
  <c r="G13" i="4"/>
  <c r="F13" i="4"/>
  <c r="D13" i="4"/>
  <c r="C13" i="4"/>
  <c r="B13" i="4"/>
  <c r="T12" i="4"/>
  <c r="P12" i="4"/>
  <c r="I12" i="4"/>
  <c r="E12" i="4"/>
  <c r="T11" i="4"/>
  <c r="P11" i="4"/>
  <c r="I11" i="4"/>
  <c r="E11" i="4"/>
  <c r="I10" i="4"/>
  <c r="E10" i="4"/>
  <c r="T9" i="4"/>
  <c r="P9" i="4"/>
  <c r="I9" i="4"/>
  <c r="E9" i="4"/>
  <c r="T8" i="4"/>
  <c r="P8" i="4"/>
  <c r="I8" i="4"/>
  <c r="E8" i="4"/>
  <c r="T7" i="4"/>
  <c r="P7" i="4"/>
  <c r="I7" i="4"/>
  <c r="E7" i="4"/>
  <c r="I6" i="4"/>
  <c r="E6" i="4"/>
  <c r="T5" i="4"/>
  <c r="P5" i="4"/>
  <c r="I5" i="4"/>
  <c r="E5" i="4"/>
  <c r="T4" i="4"/>
  <c r="I4" i="4"/>
  <c r="E4" i="4"/>
  <c r="H41" i="4" l="1"/>
  <c r="H47" i="4" s="1"/>
  <c r="H56" i="4" s="1"/>
  <c r="H84" i="4" s="1"/>
  <c r="H90" i="4" s="1"/>
  <c r="H99" i="4" s="1"/>
  <c r="H127" i="4" s="1"/>
  <c r="H133" i="4" s="1"/>
  <c r="H142" i="4" s="1"/>
  <c r="H170" i="4" s="1"/>
  <c r="H176" i="4" s="1"/>
  <c r="F41" i="4"/>
  <c r="F47" i="4" s="1"/>
  <c r="C41" i="4"/>
  <c r="C47" i="4" s="1"/>
  <c r="C56" i="4" s="1"/>
  <c r="C84" i="4" s="1"/>
  <c r="C90" i="4" s="1"/>
  <c r="E40" i="4"/>
  <c r="S41" i="4"/>
  <c r="S47" i="4" s="1"/>
  <c r="S56" i="4" s="1"/>
  <c r="S84" i="4" s="1"/>
  <c r="S90" i="4" s="1"/>
  <c r="S99" i="4" s="1"/>
  <c r="S127" i="4" s="1"/>
  <c r="S133" i="4" s="1"/>
  <c r="S142" i="4" s="1"/>
  <c r="S170" i="4" s="1"/>
  <c r="S176" i="4" s="1"/>
  <c r="S185" i="4" s="1"/>
  <c r="S213" i="4" s="1"/>
  <c r="S219" i="4" s="1"/>
  <c r="S228" i="4" s="1"/>
  <c r="S256" i="4" s="1"/>
  <c r="S262" i="4" s="1"/>
  <c r="S271" i="4" s="1"/>
  <c r="S299" i="4" s="1"/>
  <c r="S305" i="4" s="1"/>
  <c r="S314" i="4" s="1"/>
  <c r="S342" i="4" s="1"/>
  <c r="S348" i="4" s="1"/>
  <c r="S357" i="4" s="1"/>
  <c r="S385" i="4" s="1"/>
  <c r="S391" i="4" s="1"/>
  <c r="S400" i="4" s="1"/>
  <c r="S428" i="4" s="1"/>
  <c r="S434" i="4" s="1"/>
  <c r="S443" i="4" s="1"/>
  <c r="S471" i="4" s="1"/>
  <c r="S477" i="4" s="1"/>
  <c r="N41" i="4"/>
  <c r="N47" i="4" s="1"/>
  <c r="N56" i="4" s="1"/>
  <c r="N84" i="4" s="1"/>
  <c r="N90" i="4" s="1"/>
  <c r="N99" i="4" s="1"/>
  <c r="N127" i="4" s="1"/>
  <c r="N133" i="4" s="1"/>
  <c r="N142" i="4" s="1"/>
  <c r="N170" i="4" s="1"/>
  <c r="J4" i="4"/>
  <c r="J5" i="4"/>
  <c r="U5" i="4"/>
  <c r="J6" i="4"/>
  <c r="J7" i="4"/>
  <c r="U7" i="4"/>
  <c r="J8" i="4"/>
  <c r="U8" i="4"/>
  <c r="J9" i="4"/>
  <c r="U9" i="4"/>
  <c r="J10" i="4"/>
  <c r="J11" i="4"/>
  <c r="U11" i="4"/>
  <c r="J12" i="4"/>
  <c r="U12" i="4"/>
  <c r="B41" i="4"/>
  <c r="B47" i="4" s="1"/>
  <c r="D41" i="4"/>
  <c r="D47" i="4" s="1"/>
  <c r="D56" i="4" s="1"/>
  <c r="D84" i="4" s="1"/>
  <c r="D90" i="4" s="1"/>
  <c r="D99" i="4" s="1"/>
  <c r="D127" i="4" s="1"/>
  <c r="D133" i="4" s="1"/>
  <c r="D142" i="4" s="1"/>
  <c r="D170" i="4" s="1"/>
  <c r="D176" i="4" s="1"/>
  <c r="G41" i="4"/>
  <c r="G47" i="4" s="1"/>
  <c r="G56" i="4" s="1"/>
  <c r="G84" i="4" s="1"/>
  <c r="G90" i="4" s="1"/>
  <c r="M41" i="4"/>
  <c r="M47" i="4" s="1"/>
  <c r="O41" i="4"/>
  <c r="O47" i="4" s="1"/>
  <c r="O56" i="4" s="1"/>
  <c r="O84" i="4" s="1"/>
  <c r="O90" i="4" s="1"/>
  <c r="O99" i="4" s="1"/>
  <c r="O127" i="4" s="1"/>
  <c r="O133" i="4" s="1"/>
  <c r="R41" i="4"/>
  <c r="R47" i="4" s="1"/>
  <c r="R56" i="4" s="1"/>
  <c r="R84" i="4" s="1"/>
  <c r="R90" i="4" s="1"/>
  <c r="R99" i="4" s="1"/>
  <c r="R127" i="4" s="1"/>
  <c r="R133" i="4" s="1"/>
  <c r="R142" i="4" s="1"/>
  <c r="R170" i="4" s="1"/>
  <c r="R176" i="4" s="1"/>
  <c r="R185" i="4" s="1"/>
  <c r="R213" i="4" s="1"/>
  <c r="R219" i="4" s="1"/>
  <c r="R228" i="4" s="1"/>
  <c r="R256" i="4" s="1"/>
  <c r="R262" i="4" s="1"/>
  <c r="R271" i="4" s="1"/>
  <c r="R299" i="4" s="1"/>
  <c r="R305" i="4" s="1"/>
  <c r="R314" i="4" s="1"/>
  <c r="J14" i="4"/>
  <c r="J15" i="4"/>
  <c r="J16" i="4"/>
  <c r="J17" i="4"/>
  <c r="J18" i="4"/>
  <c r="J19" i="4"/>
  <c r="U19" i="4"/>
  <c r="J20" i="4"/>
  <c r="U20" i="4"/>
  <c r="J21" i="4"/>
  <c r="U21" i="4"/>
  <c r="J22" i="4"/>
  <c r="J23" i="4"/>
  <c r="U23" i="4"/>
  <c r="J24" i="4"/>
  <c r="U24" i="4"/>
  <c r="J25" i="4"/>
  <c r="U25" i="4"/>
  <c r="J26" i="4"/>
  <c r="U26" i="4"/>
  <c r="J27" i="4"/>
  <c r="U27" i="4"/>
  <c r="J28" i="4"/>
  <c r="U28" i="4"/>
  <c r="J29" i="4"/>
  <c r="U29" i="4"/>
  <c r="J30" i="4"/>
  <c r="U30" i="4"/>
  <c r="J31" i="4"/>
  <c r="U31" i="4"/>
  <c r="J32" i="4"/>
  <c r="U32" i="4"/>
  <c r="J33" i="4"/>
  <c r="U33" i="4"/>
  <c r="J34" i="4"/>
  <c r="U34" i="4"/>
  <c r="J35" i="4"/>
  <c r="U35" i="4"/>
  <c r="J36" i="4"/>
  <c r="U36" i="4"/>
  <c r="J37" i="4"/>
  <c r="J38" i="4"/>
  <c r="J39" i="4"/>
  <c r="Q41" i="4"/>
  <c r="Q47" i="4" s="1"/>
  <c r="I40" i="4"/>
  <c r="T40" i="4"/>
  <c r="U4" i="4"/>
  <c r="U39" i="4"/>
  <c r="P40" i="4"/>
  <c r="E13" i="4"/>
  <c r="I13" i="4"/>
  <c r="P13" i="4"/>
  <c r="T13" i="4"/>
  <c r="S486" i="4" l="1"/>
  <c r="S514" i="4" s="1"/>
  <c r="S520" i="4" s="1"/>
  <c r="R342" i="4"/>
  <c r="R348" i="4" s="1"/>
  <c r="R357" i="4" s="1"/>
  <c r="R385" i="4" s="1"/>
  <c r="R391" i="4" s="1"/>
  <c r="R400" i="4" s="1"/>
  <c r="R428" i="4" s="1"/>
  <c r="R434" i="4" s="1"/>
  <c r="R443" i="4" s="1"/>
  <c r="R471" i="4" s="1"/>
  <c r="R477" i="4" s="1"/>
  <c r="R486" i="4" s="1"/>
  <c r="R514" i="4" s="1"/>
  <c r="R520" i="4" s="1"/>
  <c r="R529" i="4" s="1"/>
  <c r="R557" i="4" s="1"/>
  <c r="R563" i="4" s="1"/>
  <c r="R572" i="4" s="1"/>
  <c r="R600" i="4" s="1"/>
  <c r="R606" i="4" s="1"/>
  <c r="R615" i="4" s="1"/>
  <c r="R643" i="4" s="1"/>
  <c r="R649" i="4" s="1"/>
  <c r="R658" i="4" s="1"/>
  <c r="R686" i="4" s="1"/>
  <c r="R692" i="4" s="1"/>
  <c r="R701" i="4" s="1"/>
  <c r="R729" i="4" s="1"/>
  <c r="H185" i="4"/>
  <c r="D185" i="4"/>
  <c r="N176" i="4"/>
  <c r="N185" i="4" s="1"/>
  <c r="N213" i="4" s="1"/>
  <c r="N219" i="4" s="1"/>
  <c r="N228" i="4" s="1"/>
  <c r="N256" i="4" s="1"/>
  <c r="N262" i="4" s="1"/>
  <c r="N271" i="4" s="1"/>
  <c r="N299" i="4" s="1"/>
  <c r="N305" i="4" s="1"/>
  <c r="N314" i="4" s="1"/>
  <c r="N342" i="4" s="1"/>
  <c r="N348" i="4" s="1"/>
  <c r="N357" i="4" s="1"/>
  <c r="N385" i="4" s="1"/>
  <c r="O142" i="4"/>
  <c r="G99" i="4"/>
  <c r="C99" i="4"/>
  <c r="B56" i="4"/>
  <c r="E47" i="4"/>
  <c r="F56" i="4"/>
  <c r="I47" i="4"/>
  <c r="Q56" i="4"/>
  <c r="T47" i="4"/>
  <c r="M56" i="4"/>
  <c r="P47" i="4"/>
  <c r="J40" i="4"/>
  <c r="E41" i="4"/>
  <c r="T41" i="4"/>
  <c r="I41" i="4"/>
  <c r="P41" i="4"/>
  <c r="U40" i="4"/>
  <c r="U13" i="4"/>
  <c r="J13" i="4"/>
  <c r="S529" i="4" l="1"/>
  <c r="N391" i="4"/>
  <c r="N400" i="4" s="1"/>
  <c r="N428" i="4" s="1"/>
  <c r="N434" i="4" s="1"/>
  <c r="N443" i="4" s="1"/>
  <c r="N471" i="4" s="1"/>
  <c r="N477" i="4" s="1"/>
  <c r="N486" i="4" s="1"/>
  <c r="N514" i="4" s="1"/>
  <c r="N520" i="4" s="1"/>
  <c r="N529" i="4" s="1"/>
  <c r="N557" i="4" s="1"/>
  <c r="N563" i="4" s="1"/>
  <c r="N572" i="4" s="1"/>
  <c r="N600" i="4" s="1"/>
  <c r="N606" i="4" s="1"/>
  <c r="N615" i="4" s="1"/>
  <c r="N643" i="4" s="1"/>
  <c r="N649" i="4" s="1"/>
  <c r="N658" i="4" s="1"/>
  <c r="N686" i="4" s="1"/>
  <c r="N692" i="4" s="1"/>
  <c r="N701" i="4" s="1"/>
  <c r="N729" i="4" s="1"/>
  <c r="N386" i="4"/>
  <c r="H213" i="4"/>
  <c r="H219" i="4" s="1"/>
  <c r="H228" i="4" s="1"/>
  <c r="H256" i="4" s="1"/>
  <c r="H262" i="4" s="1"/>
  <c r="H271" i="4" s="1"/>
  <c r="H299" i="4" s="1"/>
  <c r="H305" i="4" s="1"/>
  <c r="H314" i="4" s="1"/>
  <c r="H342" i="4" s="1"/>
  <c r="D213" i="4"/>
  <c r="D219" i="4" s="1"/>
  <c r="D228" i="4" s="1"/>
  <c r="D256" i="4" s="1"/>
  <c r="D262" i="4" s="1"/>
  <c r="D271" i="4" s="1"/>
  <c r="D299" i="4" s="1"/>
  <c r="D305" i="4" s="1"/>
  <c r="D314" i="4" s="1"/>
  <c r="D342" i="4" s="1"/>
  <c r="O170" i="4"/>
  <c r="G127" i="4"/>
  <c r="G133" i="4" s="1"/>
  <c r="G142" i="4" s="1"/>
  <c r="G170" i="4" s="1"/>
  <c r="G176" i="4" s="1"/>
  <c r="G185" i="4" s="1"/>
  <c r="G213" i="4" s="1"/>
  <c r="G219" i="4" s="1"/>
  <c r="G228" i="4" s="1"/>
  <c r="G256" i="4" s="1"/>
  <c r="G262" i="4" s="1"/>
  <c r="C127" i="4"/>
  <c r="C133" i="4" s="1"/>
  <c r="U47" i="4"/>
  <c r="I56" i="4"/>
  <c r="F84" i="4"/>
  <c r="J47" i="4"/>
  <c r="B84" i="4"/>
  <c r="E56" i="4"/>
  <c r="Q84" i="4"/>
  <c r="T56" i="4"/>
  <c r="M84" i="4"/>
  <c r="P56" i="4"/>
  <c r="U41" i="4"/>
  <c r="J41" i="4"/>
  <c r="I39" i="1"/>
  <c r="E39" i="1"/>
  <c r="I38" i="1"/>
  <c r="E38" i="1"/>
  <c r="S40" i="1"/>
  <c r="R40" i="1"/>
  <c r="Q40" i="1"/>
  <c r="O40" i="1"/>
  <c r="N40" i="1"/>
  <c r="M40" i="1"/>
  <c r="T37" i="1"/>
  <c r="P37" i="1"/>
  <c r="T36" i="1"/>
  <c r="P36" i="1"/>
  <c r="T35" i="1"/>
  <c r="P35" i="1"/>
  <c r="T34" i="1"/>
  <c r="P34" i="1"/>
  <c r="T33" i="1"/>
  <c r="P33" i="1"/>
  <c r="T32" i="1"/>
  <c r="P32" i="1"/>
  <c r="T31" i="1"/>
  <c r="P31" i="1"/>
  <c r="T30" i="1"/>
  <c r="P30" i="1"/>
  <c r="T29" i="1"/>
  <c r="P29" i="1"/>
  <c r="T28" i="1"/>
  <c r="P28" i="1"/>
  <c r="T27" i="1"/>
  <c r="P27" i="1"/>
  <c r="T26" i="1"/>
  <c r="P26" i="1"/>
  <c r="T25" i="1"/>
  <c r="P25" i="1"/>
  <c r="T24" i="1"/>
  <c r="P24" i="1"/>
  <c r="T23" i="1"/>
  <c r="P23" i="1"/>
  <c r="T21" i="1"/>
  <c r="P21" i="1"/>
  <c r="T20" i="1"/>
  <c r="P20" i="1"/>
  <c r="T19" i="1"/>
  <c r="P19" i="1"/>
  <c r="T18" i="1"/>
  <c r="P18" i="1"/>
  <c r="T17" i="1"/>
  <c r="P17" i="1"/>
  <c r="T16" i="1"/>
  <c r="P16" i="1"/>
  <c r="T15" i="1"/>
  <c r="P15" i="1"/>
  <c r="T14" i="1"/>
  <c r="P14" i="1"/>
  <c r="S13" i="1"/>
  <c r="R13" i="1"/>
  <c r="Q13" i="1"/>
  <c r="O13" i="1"/>
  <c r="N13" i="1"/>
  <c r="M13" i="1"/>
  <c r="T12" i="1"/>
  <c r="P12" i="1"/>
  <c r="T11" i="1"/>
  <c r="P11" i="1"/>
  <c r="T10" i="1"/>
  <c r="P10" i="1"/>
  <c r="T9" i="1"/>
  <c r="P9" i="1"/>
  <c r="T8" i="1"/>
  <c r="P8" i="1"/>
  <c r="T4" i="1"/>
  <c r="P4" i="1"/>
  <c r="S557" i="4" l="1"/>
  <c r="S563" i="4" s="1"/>
  <c r="S572" i="4" s="1"/>
  <c r="S600" i="4" s="1"/>
  <c r="S606" i="4" s="1"/>
  <c r="S615" i="4" s="1"/>
  <c r="S643" i="4" s="1"/>
  <c r="S649" i="4" s="1"/>
  <c r="G271" i="4"/>
  <c r="O176" i="4"/>
  <c r="O185" i="4" s="1"/>
  <c r="O213" i="4" s="1"/>
  <c r="O219" i="4" s="1"/>
  <c r="O228" i="4" s="1"/>
  <c r="O256" i="4" s="1"/>
  <c r="O262" i="4" s="1"/>
  <c r="O271" i="4" s="1"/>
  <c r="O299" i="4" s="1"/>
  <c r="O305" i="4" s="1"/>
  <c r="O314" i="4" s="1"/>
  <c r="O342" i="4" s="1"/>
  <c r="O348" i="4" s="1"/>
  <c r="O357" i="4" s="1"/>
  <c r="O385" i="4" s="1"/>
  <c r="C142" i="4"/>
  <c r="C170" i="4" s="1"/>
  <c r="C176" i="4" s="1"/>
  <c r="C185" i="4" s="1"/>
  <c r="C213" i="4" s="1"/>
  <c r="C219" i="4" s="1"/>
  <c r="C228" i="4" s="1"/>
  <c r="C256" i="4" s="1"/>
  <c r="C262" i="4" s="1"/>
  <c r="T84" i="4"/>
  <c r="Q90" i="4"/>
  <c r="E84" i="4"/>
  <c r="B90" i="4"/>
  <c r="P84" i="4"/>
  <c r="M90" i="4"/>
  <c r="I84" i="4"/>
  <c r="F90" i="4"/>
  <c r="J56" i="4"/>
  <c r="U56" i="4"/>
  <c r="O41" i="1"/>
  <c r="O47" i="1" s="1"/>
  <c r="O56" i="1" s="1"/>
  <c r="O84" i="1" s="1"/>
  <c r="O90" i="1" s="1"/>
  <c r="O99" i="1" s="1"/>
  <c r="O127" i="1" s="1"/>
  <c r="O133" i="1" s="1"/>
  <c r="O142" i="1" s="1"/>
  <c r="O170" i="1" s="1"/>
  <c r="O176" i="1" s="1"/>
  <c r="O185" i="1" s="1"/>
  <c r="O213" i="1" s="1"/>
  <c r="S41" i="1"/>
  <c r="S47" i="1" s="1"/>
  <c r="S56" i="1" s="1"/>
  <c r="S84" i="1" s="1"/>
  <c r="S90" i="1" s="1"/>
  <c r="S99" i="1" s="1"/>
  <c r="S127" i="1" s="1"/>
  <c r="S133" i="1" s="1"/>
  <c r="S142" i="1" s="1"/>
  <c r="S170" i="1" s="1"/>
  <c r="S176" i="1" s="1"/>
  <c r="Q41" i="1"/>
  <c r="Q47" i="1" s="1"/>
  <c r="U8" i="1"/>
  <c r="U9" i="1"/>
  <c r="U10" i="1"/>
  <c r="U11" i="1"/>
  <c r="U12" i="1"/>
  <c r="U15" i="1"/>
  <c r="U16" i="1"/>
  <c r="U17" i="1"/>
  <c r="U18" i="1"/>
  <c r="U19" i="1"/>
  <c r="U20" i="1"/>
  <c r="U21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M41" i="1"/>
  <c r="M47" i="1" s="1"/>
  <c r="J38" i="1"/>
  <c r="R41" i="1"/>
  <c r="R47" i="1" s="1"/>
  <c r="R56" i="1" s="1"/>
  <c r="R84" i="1" s="1"/>
  <c r="R90" i="1" s="1"/>
  <c r="R99" i="1" s="1"/>
  <c r="R127" i="1" s="1"/>
  <c r="R133" i="1" s="1"/>
  <c r="R142" i="1" s="1"/>
  <c r="R170" i="1" s="1"/>
  <c r="R176" i="1" s="1"/>
  <c r="R185" i="1" s="1"/>
  <c r="R213" i="1" s="1"/>
  <c r="R219" i="1" s="1"/>
  <c r="R228" i="1" s="1"/>
  <c r="R256" i="1" s="1"/>
  <c r="R262" i="1" s="1"/>
  <c r="R271" i="1" s="1"/>
  <c r="R299" i="1" s="1"/>
  <c r="R305" i="1" s="1"/>
  <c r="R314" i="1" s="1"/>
  <c r="R342" i="1" s="1"/>
  <c r="R348" i="1" s="1"/>
  <c r="R357" i="1" s="1"/>
  <c r="R385" i="1" s="1"/>
  <c r="R391" i="1" s="1"/>
  <c r="R400" i="1" s="1"/>
  <c r="R428" i="1" s="1"/>
  <c r="R434" i="1" s="1"/>
  <c r="R443" i="1" s="1"/>
  <c r="R471" i="1" s="1"/>
  <c r="R477" i="1" s="1"/>
  <c r="R486" i="1" s="1"/>
  <c r="R514" i="1" s="1"/>
  <c r="R520" i="1" s="1"/>
  <c r="R529" i="1" s="1"/>
  <c r="R557" i="1" s="1"/>
  <c r="R563" i="1" s="1"/>
  <c r="R572" i="1" s="1"/>
  <c r="R600" i="1" s="1"/>
  <c r="R606" i="1" s="1"/>
  <c r="U14" i="1"/>
  <c r="N41" i="1"/>
  <c r="N47" i="1" s="1"/>
  <c r="N56" i="1" s="1"/>
  <c r="N84" i="1" s="1"/>
  <c r="N90" i="1" s="1"/>
  <c r="N99" i="1" s="1"/>
  <c r="N127" i="1" s="1"/>
  <c r="N133" i="1" s="1"/>
  <c r="N142" i="1" s="1"/>
  <c r="N170" i="1" s="1"/>
  <c r="N176" i="1" s="1"/>
  <c r="N185" i="1" s="1"/>
  <c r="N213" i="1" s="1"/>
  <c r="J39" i="1"/>
  <c r="T40" i="1"/>
  <c r="P40" i="1"/>
  <c r="U4" i="1"/>
  <c r="P13" i="1"/>
  <c r="T13" i="1"/>
  <c r="I18" i="1"/>
  <c r="E18" i="1"/>
  <c r="S658" i="4" l="1"/>
  <c r="R615" i="1"/>
  <c r="R643" i="1" s="1"/>
  <c r="R649" i="1" s="1"/>
  <c r="R658" i="1" s="1"/>
  <c r="R686" i="1" s="1"/>
  <c r="R692" i="1" s="1"/>
  <c r="R701" i="1" s="1"/>
  <c r="R729" i="1" s="1"/>
  <c r="R735" i="1" s="1"/>
  <c r="R744" i="1" s="1"/>
  <c r="R772" i="1" s="1"/>
  <c r="O391" i="4"/>
  <c r="O400" i="4" s="1"/>
  <c r="O428" i="4" s="1"/>
  <c r="O434" i="4" s="1"/>
  <c r="O443" i="4" s="1"/>
  <c r="O471" i="4" s="1"/>
  <c r="O477" i="4" s="1"/>
  <c r="O486" i="4" s="1"/>
  <c r="O514" i="4" s="1"/>
  <c r="O520" i="4" s="1"/>
  <c r="O386" i="4"/>
  <c r="G299" i="4"/>
  <c r="C271" i="4"/>
  <c r="N219" i="1"/>
  <c r="N228" i="1" s="1"/>
  <c r="N256" i="1" s="1"/>
  <c r="N262" i="1" s="1"/>
  <c r="S185" i="1"/>
  <c r="S213" i="1" s="1"/>
  <c r="S219" i="1" s="1"/>
  <c r="S228" i="1" s="1"/>
  <c r="S256" i="1" s="1"/>
  <c r="S262" i="1" s="1"/>
  <c r="S271" i="1" s="1"/>
  <c r="S299" i="1" s="1"/>
  <c r="S305" i="1" s="1"/>
  <c r="S314" i="1" s="1"/>
  <c r="S342" i="1" s="1"/>
  <c r="S348" i="1" s="1"/>
  <c r="S357" i="1" s="1"/>
  <c r="S385" i="1" s="1"/>
  <c r="S391" i="1" s="1"/>
  <c r="S400" i="1" s="1"/>
  <c r="S428" i="1" s="1"/>
  <c r="S434" i="1" s="1"/>
  <c r="S443" i="1" s="1"/>
  <c r="S471" i="1" s="1"/>
  <c r="S477" i="1" s="1"/>
  <c r="S486" i="1" s="1"/>
  <c r="S514" i="1" s="1"/>
  <c r="S520" i="1" s="1"/>
  <c r="S529" i="1" s="1"/>
  <c r="S557" i="1" s="1"/>
  <c r="S563" i="1" s="1"/>
  <c r="S572" i="1" s="1"/>
  <c r="S600" i="1" s="1"/>
  <c r="S606" i="1" s="1"/>
  <c r="S615" i="1" s="1"/>
  <c r="S643" i="1" s="1"/>
  <c r="S649" i="1" s="1"/>
  <c r="S658" i="1" s="1"/>
  <c r="S686" i="1" s="1"/>
  <c r="S692" i="1" s="1"/>
  <c r="S701" i="1" s="1"/>
  <c r="S729" i="1" s="1"/>
  <c r="O219" i="1"/>
  <c r="O228" i="1" s="1"/>
  <c r="O256" i="1" s="1"/>
  <c r="O262" i="1" s="1"/>
  <c r="O271" i="1" s="1"/>
  <c r="O299" i="1" s="1"/>
  <c r="O305" i="1" s="1"/>
  <c r="O314" i="1" s="1"/>
  <c r="O342" i="1" s="1"/>
  <c r="O348" i="1" s="1"/>
  <c r="O357" i="1" s="1"/>
  <c r="O385" i="1" s="1"/>
  <c r="O391" i="1" s="1"/>
  <c r="O400" i="1" s="1"/>
  <c r="O428" i="1" s="1"/>
  <c r="U84" i="4"/>
  <c r="J84" i="4"/>
  <c r="B99" i="4"/>
  <c r="E90" i="4"/>
  <c r="F99" i="4"/>
  <c r="I90" i="4"/>
  <c r="Q99" i="4"/>
  <c r="T90" i="4"/>
  <c r="M99" i="4"/>
  <c r="P90" i="4"/>
  <c r="Q56" i="1"/>
  <c r="T47" i="1"/>
  <c r="M56" i="1"/>
  <c r="P47" i="1"/>
  <c r="P41" i="1"/>
  <c r="T41" i="1"/>
  <c r="U40" i="1"/>
  <c r="U13" i="1"/>
  <c r="J18" i="1"/>
  <c r="H40" i="1"/>
  <c r="G40" i="1"/>
  <c r="F40" i="1"/>
  <c r="D40" i="1"/>
  <c r="C40" i="1"/>
  <c r="B40" i="1"/>
  <c r="I37" i="1"/>
  <c r="E37" i="1"/>
  <c r="I36" i="1"/>
  <c r="E36" i="1"/>
  <c r="I35" i="1"/>
  <c r="E35" i="1"/>
  <c r="I34" i="1"/>
  <c r="E34" i="1"/>
  <c r="I33" i="1"/>
  <c r="E33" i="1"/>
  <c r="I32" i="1"/>
  <c r="E32" i="1"/>
  <c r="I31" i="1"/>
  <c r="E31" i="1"/>
  <c r="I30" i="1"/>
  <c r="E30" i="1"/>
  <c r="I29" i="1"/>
  <c r="E29" i="1"/>
  <c r="I28" i="1"/>
  <c r="E28" i="1"/>
  <c r="I27" i="1"/>
  <c r="E27" i="1"/>
  <c r="I26" i="1"/>
  <c r="E26" i="1"/>
  <c r="I25" i="1"/>
  <c r="E25" i="1"/>
  <c r="I24" i="1"/>
  <c r="E24" i="1"/>
  <c r="I23" i="1"/>
  <c r="E23" i="1"/>
  <c r="I22" i="1"/>
  <c r="E22" i="1"/>
  <c r="I21" i="1"/>
  <c r="E21" i="1"/>
  <c r="I20" i="1"/>
  <c r="E20" i="1"/>
  <c r="I19" i="1"/>
  <c r="E19" i="1"/>
  <c r="I17" i="1"/>
  <c r="E17" i="1"/>
  <c r="I16" i="1"/>
  <c r="E16" i="1"/>
  <c r="I14" i="1"/>
  <c r="E14" i="1"/>
  <c r="H13" i="1"/>
  <c r="G13" i="1"/>
  <c r="F13" i="1"/>
  <c r="D13" i="1"/>
  <c r="C13" i="1"/>
  <c r="B13" i="1"/>
  <c r="I12" i="1"/>
  <c r="E12" i="1"/>
  <c r="I11" i="1"/>
  <c r="E11" i="1"/>
  <c r="I10" i="1"/>
  <c r="E10" i="1"/>
  <c r="I9" i="1"/>
  <c r="E9" i="1"/>
  <c r="I8" i="1"/>
  <c r="E8" i="1"/>
  <c r="I7" i="1"/>
  <c r="E7" i="1"/>
  <c r="I6" i="1"/>
  <c r="E6" i="1"/>
  <c r="I5" i="1"/>
  <c r="E5" i="1"/>
  <c r="I4" i="1"/>
  <c r="E4" i="1"/>
  <c r="S686" i="4" l="1"/>
  <c r="O529" i="4"/>
  <c r="O434" i="1"/>
  <c r="O443" i="1" s="1"/>
  <c r="O471" i="1" s="1"/>
  <c r="O477" i="1" s="1"/>
  <c r="O486" i="1" s="1"/>
  <c r="O514" i="1" s="1"/>
  <c r="O520" i="1" s="1"/>
  <c r="O529" i="1" s="1"/>
  <c r="O557" i="1" s="1"/>
  <c r="O563" i="1" s="1"/>
  <c r="O572" i="1" s="1"/>
  <c r="O600" i="1" s="1"/>
  <c r="O606" i="1" s="1"/>
  <c r="O615" i="1" s="1"/>
  <c r="O643" i="1" s="1"/>
  <c r="O649" i="1" s="1"/>
  <c r="O658" i="1" s="1"/>
  <c r="O686" i="1" s="1"/>
  <c r="O692" i="1" s="1"/>
  <c r="O701" i="1" s="1"/>
  <c r="O729" i="1" s="1"/>
  <c r="O429" i="1"/>
  <c r="G305" i="4"/>
  <c r="C299" i="4"/>
  <c r="N271" i="1"/>
  <c r="N299" i="1" s="1"/>
  <c r="N305" i="1" s="1"/>
  <c r="N314" i="1" s="1"/>
  <c r="N342" i="1" s="1"/>
  <c r="N348" i="1" s="1"/>
  <c r="N357" i="1" s="1"/>
  <c r="N385" i="1" s="1"/>
  <c r="N391" i="1" s="1"/>
  <c r="N400" i="1" s="1"/>
  <c r="N428" i="1" s="1"/>
  <c r="J90" i="4"/>
  <c r="T99" i="4"/>
  <c r="Q127" i="4"/>
  <c r="F127" i="4"/>
  <c r="I99" i="4"/>
  <c r="U90" i="4"/>
  <c r="M127" i="4"/>
  <c r="P99" i="4"/>
  <c r="B127" i="4"/>
  <c r="E99" i="4"/>
  <c r="M84" i="1"/>
  <c r="P56" i="1"/>
  <c r="U47" i="1"/>
  <c r="Q84" i="1"/>
  <c r="T56" i="1"/>
  <c r="B41" i="1"/>
  <c r="B47" i="1" s="1"/>
  <c r="U41" i="1"/>
  <c r="G41" i="1"/>
  <c r="G47" i="1" s="1"/>
  <c r="G56" i="1" s="1"/>
  <c r="G84" i="1" s="1"/>
  <c r="G90" i="1" s="1"/>
  <c r="G99" i="1" s="1"/>
  <c r="G127" i="1" s="1"/>
  <c r="G133" i="1" s="1"/>
  <c r="G142" i="1" s="1"/>
  <c r="G170" i="1" s="1"/>
  <c r="G176" i="1" s="1"/>
  <c r="G185" i="1" s="1"/>
  <c r="G213" i="1" s="1"/>
  <c r="G219" i="1" s="1"/>
  <c r="G228" i="1" s="1"/>
  <c r="G256" i="1" s="1"/>
  <c r="G262" i="1" s="1"/>
  <c r="G271" i="1" s="1"/>
  <c r="G299" i="1" s="1"/>
  <c r="G305" i="1" s="1"/>
  <c r="H41" i="1"/>
  <c r="H47" i="1" s="1"/>
  <c r="H56" i="1" s="1"/>
  <c r="H84" i="1" s="1"/>
  <c r="H90" i="1" s="1"/>
  <c r="H99" i="1" s="1"/>
  <c r="H127" i="1" s="1"/>
  <c r="H133" i="1" s="1"/>
  <c r="H142" i="1" s="1"/>
  <c r="H170" i="1" s="1"/>
  <c r="H176" i="1" s="1"/>
  <c r="H185" i="1" s="1"/>
  <c r="H213" i="1" s="1"/>
  <c r="H219" i="1" s="1"/>
  <c r="H228" i="1" s="1"/>
  <c r="H256" i="1" s="1"/>
  <c r="H262" i="1" s="1"/>
  <c r="H271" i="1" s="1"/>
  <c r="H299" i="1" s="1"/>
  <c r="H305" i="1" s="1"/>
  <c r="H314" i="1" s="1"/>
  <c r="H342" i="1" s="1"/>
  <c r="H348" i="1" s="1"/>
  <c r="H357" i="1" s="1"/>
  <c r="H385" i="1" s="1"/>
  <c r="F41" i="1"/>
  <c r="F47" i="1" s="1"/>
  <c r="D41" i="1"/>
  <c r="D47" i="1" s="1"/>
  <c r="D56" i="1" s="1"/>
  <c r="D84" i="1" s="1"/>
  <c r="D90" i="1" s="1"/>
  <c r="D99" i="1" s="1"/>
  <c r="D127" i="1" s="1"/>
  <c r="D133" i="1" s="1"/>
  <c r="D142" i="1" s="1"/>
  <c r="D170" i="1" s="1"/>
  <c r="D176" i="1" s="1"/>
  <c r="D185" i="1" s="1"/>
  <c r="D213" i="1" s="1"/>
  <c r="D219" i="1" s="1"/>
  <c r="D228" i="1" s="1"/>
  <c r="D256" i="1" s="1"/>
  <c r="D262" i="1" s="1"/>
  <c r="D271" i="1" s="1"/>
  <c r="D299" i="1" s="1"/>
  <c r="D305" i="1" s="1"/>
  <c r="D314" i="1" s="1"/>
  <c r="D342" i="1" s="1"/>
  <c r="D348" i="1" s="1"/>
  <c r="D357" i="1" s="1"/>
  <c r="D385" i="1" s="1"/>
  <c r="C41" i="1"/>
  <c r="C47" i="1" s="1"/>
  <c r="C56" i="1" s="1"/>
  <c r="C84" i="1" s="1"/>
  <c r="C90" i="1" s="1"/>
  <c r="C99" i="1" s="1"/>
  <c r="C127" i="1" s="1"/>
  <c r="C133" i="1" s="1"/>
  <c r="C142" i="1" s="1"/>
  <c r="C170" i="1" s="1"/>
  <c r="C176" i="1" s="1"/>
  <c r="J4" i="1"/>
  <c r="J5" i="1"/>
  <c r="J6" i="1"/>
  <c r="J7" i="1"/>
  <c r="J8" i="1"/>
  <c r="J9" i="1"/>
  <c r="J10" i="1"/>
  <c r="J11" i="1"/>
  <c r="J12" i="1"/>
  <c r="J16" i="1"/>
  <c r="J17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14" i="1"/>
  <c r="I40" i="1"/>
  <c r="E40" i="1"/>
  <c r="E13" i="1"/>
  <c r="I13" i="1"/>
  <c r="O557" i="4" l="1"/>
  <c r="O563" i="4" s="1"/>
  <c r="O572" i="4" s="1"/>
  <c r="O600" i="4" s="1"/>
  <c r="O606" i="4" s="1"/>
  <c r="O615" i="4" s="1"/>
  <c r="O643" i="4" s="1"/>
  <c r="O649" i="4" s="1"/>
  <c r="N434" i="1"/>
  <c r="N443" i="1" s="1"/>
  <c r="N471" i="1" s="1"/>
  <c r="N477" i="1" s="1"/>
  <c r="N486" i="1" s="1"/>
  <c r="N514" i="1" s="1"/>
  <c r="N520" i="1" s="1"/>
  <c r="N529" i="1" s="1"/>
  <c r="N557" i="1" s="1"/>
  <c r="N563" i="1" s="1"/>
  <c r="N572" i="1" s="1"/>
  <c r="N600" i="1" s="1"/>
  <c r="N606" i="1" s="1"/>
  <c r="N429" i="1"/>
  <c r="G314" i="4"/>
  <c r="C305" i="4"/>
  <c r="G314" i="1"/>
  <c r="C185" i="1"/>
  <c r="C213" i="1" s="1"/>
  <c r="C219" i="1" s="1"/>
  <c r="C228" i="1" s="1"/>
  <c r="C256" i="1" s="1"/>
  <c r="C262" i="1" s="1"/>
  <c r="C271" i="1" s="1"/>
  <c r="C299" i="1" s="1"/>
  <c r="C305" i="1" s="1"/>
  <c r="U99" i="4"/>
  <c r="I127" i="4"/>
  <c r="F133" i="4"/>
  <c r="E127" i="4"/>
  <c r="B133" i="4"/>
  <c r="T127" i="4"/>
  <c r="Q133" i="4"/>
  <c r="P127" i="4"/>
  <c r="M133" i="4"/>
  <c r="P84" i="1"/>
  <c r="M90" i="1"/>
  <c r="J99" i="4"/>
  <c r="T84" i="1"/>
  <c r="Q90" i="1"/>
  <c r="U56" i="1"/>
  <c r="F56" i="1"/>
  <c r="I47" i="1"/>
  <c r="B56" i="1"/>
  <c r="E47" i="1"/>
  <c r="I41" i="1"/>
  <c r="E41" i="1"/>
  <c r="J40" i="1"/>
  <c r="J13" i="1"/>
  <c r="O658" i="4" l="1"/>
  <c r="N615" i="1"/>
  <c r="N643" i="1" s="1"/>
  <c r="N649" i="1" s="1"/>
  <c r="N658" i="1" s="1"/>
  <c r="N686" i="1" s="1"/>
  <c r="N692" i="1" s="1"/>
  <c r="N701" i="1" s="1"/>
  <c r="N729" i="1" s="1"/>
  <c r="N735" i="1" s="1"/>
  <c r="N744" i="1" s="1"/>
  <c r="N772" i="1" s="1"/>
  <c r="G342" i="4"/>
  <c r="G348" i="4" s="1"/>
  <c r="G357" i="4" s="1"/>
  <c r="G385" i="4" s="1"/>
  <c r="G391" i="4" s="1"/>
  <c r="G400" i="4" s="1"/>
  <c r="G428" i="4" s="1"/>
  <c r="G434" i="4" s="1"/>
  <c r="G443" i="4" s="1"/>
  <c r="G471" i="4" s="1"/>
  <c r="G477" i="4" s="1"/>
  <c r="C314" i="4"/>
  <c r="G342" i="1"/>
  <c r="C314" i="1"/>
  <c r="J127" i="4"/>
  <c r="U127" i="4"/>
  <c r="U84" i="1"/>
  <c r="F142" i="4"/>
  <c r="I133" i="4"/>
  <c r="B142" i="4"/>
  <c r="E133" i="4"/>
  <c r="Q142" i="4"/>
  <c r="T133" i="4"/>
  <c r="M142" i="4"/>
  <c r="P133" i="4"/>
  <c r="Q99" i="1"/>
  <c r="T90" i="1"/>
  <c r="M99" i="1"/>
  <c r="P90" i="1"/>
  <c r="J47" i="1"/>
  <c r="I56" i="1"/>
  <c r="F84" i="1"/>
  <c r="B84" i="1"/>
  <c r="E56" i="1"/>
  <c r="J41" i="1"/>
  <c r="O686" i="4" l="1"/>
  <c r="G486" i="4"/>
  <c r="I477" i="4"/>
  <c r="J477" i="4" s="1"/>
  <c r="C342" i="4"/>
  <c r="G348" i="1"/>
  <c r="C342" i="1"/>
  <c r="U90" i="1"/>
  <c r="J133" i="4"/>
  <c r="U133" i="4"/>
  <c r="F170" i="4"/>
  <c r="I142" i="4"/>
  <c r="E142" i="4"/>
  <c r="B170" i="4"/>
  <c r="Q170" i="4"/>
  <c r="T142" i="4"/>
  <c r="M170" i="4"/>
  <c r="P142" i="4"/>
  <c r="P99" i="1"/>
  <c r="M127" i="1"/>
  <c r="E84" i="1"/>
  <c r="B90" i="1"/>
  <c r="I84" i="1"/>
  <c r="F90" i="1"/>
  <c r="T99" i="1"/>
  <c r="Q127" i="1"/>
  <c r="J56" i="1"/>
  <c r="I486" i="4" l="1"/>
  <c r="J486" i="4" s="1"/>
  <c r="G514" i="4"/>
  <c r="G357" i="1"/>
  <c r="C348" i="1"/>
  <c r="E170" i="4"/>
  <c r="B176" i="4"/>
  <c r="I170" i="4"/>
  <c r="F176" i="4"/>
  <c r="M176" i="4"/>
  <c r="M185" i="4" s="1"/>
  <c r="T170" i="4"/>
  <c r="Q176" i="4"/>
  <c r="P170" i="4"/>
  <c r="J142" i="4"/>
  <c r="J84" i="1"/>
  <c r="T127" i="1"/>
  <c r="Q133" i="1"/>
  <c r="P127" i="1"/>
  <c r="M133" i="1"/>
  <c r="U142" i="4"/>
  <c r="I90" i="1"/>
  <c r="F99" i="1"/>
  <c r="E90" i="1"/>
  <c r="B99" i="1"/>
  <c r="U99" i="1"/>
  <c r="G520" i="4" l="1"/>
  <c r="I514" i="4"/>
  <c r="J514" i="4" s="1"/>
  <c r="G385" i="1"/>
  <c r="C357" i="1"/>
  <c r="J170" i="4"/>
  <c r="P176" i="4"/>
  <c r="B185" i="4"/>
  <c r="E176" i="4"/>
  <c r="F185" i="4"/>
  <c r="I176" i="4"/>
  <c r="U127" i="1"/>
  <c r="U170" i="4"/>
  <c r="T176" i="4"/>
  <c r="Q185" i="4"/>
  <c r="M213" i="4"/>
  <c r="P185" i="4"/>
  <c r="J90" i="1"/>
  <c r="Q142" i="1"/>
  <c r="T133" i="1"/>
  <c r="M142" i="1"/>
  <c r="P133" i="1"/>
  <c r="E99" i="1"/>
  <c r="B127" i="1"/>
  <c r="F127" i="1"/>
  <c r="I99" i="1"/>
  <c r="G529" i="4" l="1"/>
  <c r="I520" i="4"/>
  <c r="J520" i="4" s="1"/>
  <c r="C385" i="1"/>
  <c r="P213" i="4"/>
  <c r="M219" i="4"/>
  <c r="U176" i="4"/>
  <c r="F213" i="4"/>
  <c r="I185" i="4"/>
  <c r="J176" i="4"/>
  <c r="B213" i="4"/>
  <c r="E185" i="4"/>
  <c r="T185" i="4"/>
  <c r="U185" i="4" s="1"/>
  <c r="Q213" i="4"/>
  <c r="U133" i="1"/>
  <c r="E127" i="1"/>
  <c r="B133" i="1"/>
  <c r="I127" i="1"/>
  <c r="F133" i="1"/>
  <c r="Q170" i="1"/>
  <c r="Q176" i="1" s="1"/>
  <c r="T142" i="1"/>
  <c r="P142" i="1"/>
  <c r="M170" i="1"/>
  <c r="M176" i="1" s="1"/>
  <c r="J99" i="1"/>
  <c r="G557" i="4" l="1"/>
  <c r="I529" i="4"/>
  <c r="J529" i="4" s="1"/>
  <c r="I213" i="4"/>
  <c r="F219" i="4"/>
  <c r="E213" i="4"/>
  <c r="B219" i="4"/>
  <c r="T213" i="4"/>
  <c r="U213" i="4" s="1"/>
  <c r="Q219" i="4"/>
  <c r="M228" i="4"/>
  <c r="P219" i="4"/>
  <c r="P176" i="1"/>
  <c r="M185" i="1"/>
  <c r="Q185" i="1"/>
  <c r="T176" i="1"/>
  <c r="J185" i="4"/>
  <c r="J127" i="1"/>
  <c r="F142" i="1"/>
  <c r="I133" i="1"/>
  <c r="B142" i="1"/>
  <c r="E133" i="1"/>
  <c r="U142" i="1"/>
  <c r="T170" i="1"/>
  <c r="P170" i="1"/>
  <c r="G563" i="4" l="1"/>
  <c r="I557" i="4"/>
  <c r="J557" i="4" s="1"/>
  <c r="J213" i="4"/>
  <c r="B228" i="4"/>
  <c r="E219" i="4"/>
  <c r="F228" i="4"/>
  <c r="I219" i="4"/>
  <c r="M256" i="4"/>
  <c r="P228" i="4"/>
  <c r="Q228" i="4"/>
  <c r="T219" i="4"/>
  <c r="U219" i="4" s="1"/>
  <c r="Q213" i="1"/>
  <c r="T185" i="1"/>
  <c r="P185" i="1"/>
  <c r="M213" i="1"/>
  <c r="U176" i="1"/>
  <c r="J133" i="1"/>
  <c r="B170" i="1"/>
  <c r="B176" i="1" s="1"/>
  <c r="E142" i="1"/>
  <c r="F170" i="1"/>
  <c r="F176" i="1" s="1"/>
  <c r="I142" i="1"/>
  <c r="U170" i="1"/>
  <c r="G572" i="4" l="1"/>
  <c r="I563" i="4"/>
  <c r="J563" i="4" s="1"/>
  <c r="P256" i="4"/>
  <c r="M262" i="4"/>
  <c r="F256" i="4"/>
  <c r="I228" i="4"/>
  <c r="J219" i="4"/>
  <c r="B256" i="4"/>
  <c r="E228" i="4"/>
  <c r="T228" i="4"/>
  <c r="U228" i="4" s="1"/>
  <c r="Q256" i="4"/>
  <c r="U185" i="1"/>
  <c r="B185" i="1"/>
  <c r="E176" i="1"/>
  <c r="I176" i="1"/>
  <c r="F185" i="1"/>
  <c r="P213" i="1"/>
  <c r="M219" i="1"/>
  <c r="Q219" i="1"/>
  <c r="T213" i="1"/>
  <c r="J142" i="1"/>
  <c r="I170" i="1"/>
  <c r="E170" i="1"/>
  <c r="G600" i="4" l="1"/>
  <c r="I572" i="4"/>
  <c r="J572" i="4" s="1"/>
  <c r="I256" i="4"/>
  <c r="F262" i="4"/>
  <c r="E256" i="4"/>
  <c r="B262" i="4"/>
  <c r="M271" i="4"/>
  <c r="P262" i="4"/>
  <c r="T256" i="4"/>
  <c r="U256" i="4" s="1"/>
  <c r="Q262" i="4"/>
  <c r="J256" i="4"/>
  <c r="J228" i="4"/>
  <c r="I185" i="1"/>
  <c r="F213" i="1"/>
  <c r="J176" i="1"/>
  <c r="B213" i="1"/>
  <c r="E185" i="1"/>
  <c r="T219" i="1"/>
  <c r="Q228" i="1"/>
  <c r="M228" i="1"/>
  <c r="P219" i="1"/>
  <c r="U213" i="1"/>
  <c r="J170" i="1"/>
  <c r="G606" i="4" l="1"/>
  <c r="I600" i="4"/>
  <c r="J600" i="4" s="1"/>
  <c r="F271" i="4"/>
  <c r="I262" i="4"/>
  <c r="B271" i="4"/>
  <c r="E262" i="4"/>
  <c r="Q271" i="4"/>
  <c r="T262" i="4"/>
  <c r="U262" i="4" s="1"/>
  <c r="M299" i="4"/>
  <c r="P271" i="4"/>
  <c r="B219" i="1"/>
  <c r="E213" i="1"/>
  <c r="I213" i="1"/>
  <c r="F219" i="1"/>
  <c r="U219" i="1"/>
  <c r="J185" i="1"/>
  <c r="P228" i="1"/>
  <c r="M256" i="1"/>
  <c r="T228" i="1"/>
  <c r="Q256" i="1"/>
  <c r="G615" i="4" l="1"/>
  <c r="I606" i="4"/>
  <c r="J606" i="4" s="1"/>
  <c r="J262" i="4"/>
  <c r="F299" i="4"/>
  <c r="I271" i="4"/>
  <c r="B299" i="4"/>
  <c r="E271" i="4"/>
  <c r="P299" i="4"/>
  <c r="M305" i="4"/>
  <c r="T271" i="4"/>
  <c r="U271" i="4" s="1"/>
  <c r="Q299" i="4"/>
  <c r="P256" i="1"/>
  <c r="M262" i="1"/>
  <c r="T256" i="1"/>
  <c r="U256" i="1" s="1"/>
  <c r="Q262" i="1"/>
  <c r="I219" i="1"/>
  <c r="F228" i="1"/>
  <c r="J213" i="1"/>
  <c r="E219" i="1"/>
  <c r="B228" i="1"/>
  <c r="U228" i="1"/>
  <c r="G643" i="4" l="1"/>
  <c r="I615" i="4"/>
  <c r="J615" i="4" s="1"/>
  <c r="J271" i="4"/>
  <c r="F305" i="4"/>
  <c r="I299" i="4"/>
  <c r="B305" i="4"/>
  <c r="E299" i="4"/>
  <c r="T299" i="4"/>
  <c r="U299" i="4" s="1"/>
  <c r="Q305" i="4"/>
  <c r="M314" i="4"/>
  <c r="P305" i="4"/>
  <c r="M271" i="1"/>
  <c r="P262" i="1"/>
  <c r="Q271" i="1"/>
  <c r="T262" i="1"/>
  <c r="J219" i="1"/>
  <c r="I228" i="1"/>
  <c r="F256" i="1"/>
  <c r="B256" i="1"/>
  <c r="E228" i="1"/>
  <c r="I643" i="4" l="1"/>
  <c r="J643" i="4" s="1"/>
  <c r="G649" i="4"/>
  <c r="J299" i="4"/>
  <c r="F314" i="4"/>
  <c r="I305" i="4"/>
  <c r="B314" i="4"/>
  <c r="E305" i="4"/>
  <c r="T305" i="4"/>
  <c r="U305" i="4" s="1"/>
  <c r="Q314" i="4"/>
  <c r="M342" i="4"/>
  <c r="M348" i="4" s="1"/>
  <c r="P314" i="4"/>
  <c r="U262" i="1"/>
  <c r="E256" i="1"/>
  <c r="B262" i="1"/>
  <c r="I256" i="1"/>
  <c r="J256" i="1" s="1"/>
  <c r="F262" i="1"/>
  <c r="Q299" i="1"/>
  <c r="T271" i="1"/>
  <c r="M299" i="1"/>
  <c r="P271" i="1"/>
  <c r="J228" i="1"/>
  <c r="G658" i="4" l="1"/>
  <c r="I649" i="4"/>
  <c r="J649" i="4" s="1"/>
  <c r="P348" i="4"/>
  <c r="M357" i="4"/>
  <c r="J305" i="4"/>
  <c r="F342" i="4"/>
  <c r="I314" i="4"/>
  <c r="B342" i="4"/>
  <c r="E342" i="4" s="1"/>
  <c r="E314" i="4"/>
  <c r="P342" i="4"/>
  <c r="M343" i="4" s="1"/>
  <c r="Q342" i="4"/>
  <c r="T314" i="4"/>
  <c r="U314" i="4" s="1"/>
  <c r="P299" i="1"/>
  <c r="M305" i="1"/>
  <c r="T299" i="1"/>
  <c r="Q305" i="1"/>
  <c r="U271" i="1"/>
  <c r="B271" i="1"/>
  <c r="E262" i="1"/>
  <c r="F271" i="1"/>
  <c r="I262" i="1"/>
  <c r="G686" i="4" l="1"/>
  <c r="I686" i="4" s="1"/>
  <c r="J686" i="4" s="1"/>
  <c r="I658" i="4"/>
  <c r="J658" i="4" s="1"/>
  <c r="I342" i="4"/>
  <c r="F348" i="4"/>
  <c r="M385" i="4"/>
  <c r="P357" i="4"/>
  <c r="T342" i="4"/>
  <c r="U342" i="4" s="1"/>
  <c r="Q348" i="4"/>
  <c r="J342" i="4"/>
  <c r="U299" i="1"/>
  <c r="J314" i="4"/>
  <c r="N343" i="4"/>
  <c r="O343" i="4"/>
  <c r="P343" i="4"/>
  <c r="T305" i="1"/>
  <c r="Q314" i="1"/>
  <c r="P305" i="1"/>
  <c r="M314" i="1"/>
  <c r="J262" i="1"/>
  <c r="I271" i="1"/>
  <c r="F299" i="1"/>
  <c r="E271" i="1"/>
  <c r="B299" i="1"/>
  <c r="F357" i="4" l="1"/>
  <c r="I348" i="4"/>
  <c r="J348" i="4" s="1"/>
  <c r="P385" i="4"/>
  <c r="P386" i="4" s="1"/>
  <c r="M391" i="4"/>
  <c r="M386" i="4"/>
  <c r="T348" i="4"/>
  <c r="U348" i="4" s="1"/>
  <c r="Q357" i="4"/>
  <c r="I299" i="1"/>
  <c r="F305" i="1"/>
  <c r="E299" i="1"/>
  <c r="B305" i="1"/>
  <c r="U305" i="1"/>
  <c r="M342" i="1"/>
  <c r="P314" i="1"/>
  <c r="Q342" i="1"/>
  <c r="T314" i="1"/>
  <c r="J271" i="1"/>
  <c r="J299" i="1"/>
  <c r="F385" i="4" l="1"/>
  <c r="I357" i="4"/>
  <c r="J357" i="4" s="1"/>
  <c r="M400" i="4"/>
  <c r="P391" i="4"/>
  <c r="T357" i="4"/>
  <c r="U357" i="4" s="1"/>
  <c r="Q385" i="4"/>
  <c r="F314" i="1"/>
  <c r="I305" i="1"/>
  <c r="B314" i="1"/>
  <c r="E305" i="1"/>
  <c r="J305" i="1" s="1"/>
  <c r="T342" i="1"/>
  <c r="Q348" i="1"/>
  <c r="P342" i="1"/>
  <c r="M348" i="1"/>
  <c r="U314" i="1"/>
  <c r="F391" i="4" l="1"/>
  <c r="I385" i="4"/>
  <c r="J385" i="4" s="1"/>
  <c r="T385" i="4"/>
  <c r="U385" i="4" s="1"/>
  <c r="Q391" i="4"/>
  <c r="M428" i="4"/>
  <c r="P400" i="4"/>
  <c r="U342" i="1"/>
  <c r="F342" i="1"/>
  <c r="I314" i="1"/>
  <c r="B342" i="1"/>
  <c r="E314" i="1"/>
  <c r="T348" i="1"/>
  <c r="Q357" i="1"/>
  <c r="P348" i="1"/>
  <c r="M357" i="1"/>
  <c r="P428" i="4" l="1"/>
  <c r="M434" i="4"/>
  <c r="I391" i="4"/>
  <c r="J391" i="4" s="1"/>
  <c r="F400" i="4"/>
  <c r="Q400" i="4"/>
  <c r="T391" i="4"/>
  <c r="U391" i="4" s="1"/>
  <c r="J314" i="1"/>
  <c r="F348" i="1"/>
  <c r="I342" i="1"/>
  <c r="B348" i="1"/>
  <c r="E342" i="1"/>
  <c r="J342" i="1" s="1"/>
  <c r="U348" i="1"/>
  <c r="T357" i="1"/>
  <c r="Q385" i="1"/>
  <c r="M385" i="1"/>
  <c r="M391" i="1" s="1"/>
  <c r="P357" i="1"/>
  <c r="M443" i="4" l="1"/>
  <c r="P434" i="4"/>
  <c r="I400" i="4"/>
  <c r="J400" i="4" s="1"/>
  <c r="F428" i="4"/>
  <c r="Q428" i="4"/>
  <c r="T400" i="4"/>
  <c r="U400" i="4" s="1"/>
  <c r="T385" i="1"/>
  <c r="Q391" i="1"/>
  <c r="M400" i="1"/>
  <c r="P391" i="1"/>
  <c r="F357" i="1"/>
  <c r="I348" i="1"/>
  <c r="B357" i="1"/>
  <c r="E348" i="1"/>
  <c r="J348" i="1" s="1"/>
  <c r="U357" i="1"/>
  <c r="P385" i="1"/>
  <c r="M386" i="1" s="1"/>
  <c r="I428" i="4" l="1"/>
  <c r="J428" i="4" s="1"/>
  <c r="F434" i="4"/>
  <c r="T428" i="4"/>
  <c r="U428" i="4" s="1"/>
  <c r="Q434" i="4"/>
  <c r="M471" i="4"/>
  <c r="P443" i="4"/>
  <c r="Q400" i="1"/>
  <c r="T391" i="1"/>
  <c r="U391" i="1" s="1"/>
  <c r="M428" i="1"/>
  <c r="P400" i="1"/>
  <c r="F385" i="1"/>
  <c r="I385" i="1" s="1"/>
  <c r="I357" i="1"/>
  <c r="B385" i="1"/>
  <c r="E385" i="1" s="1"/>
  <c r="E357" i="1"/>
  <c r="J357" i="1" s="1"/>
  <c r="U385" i="1"/>
  <c r="N386" i="1"/>
  <c r="O386" i="1"/>
  <c r="P386" i="1"/>
  <c r="P471" i="4" l="1"/>
  <c r="M477" i="4"/>
  <c r="I434" i="4"/>
  <c r="J434" i="4" s="1"/>
  <c r="F443" i="4"/>
  <c r="Q443" i="4"/>
  <c r="T434" i="4"/>
  <c r="U434" i="4" s="1"/>
  <c r="P428" i="1"/>
  <c r="P429" i="1" s="1"/>
  <c r="M434" i="1"/>
  <c r="M429" i="1"/>
  <c r="T400" i="1"/>
  <c r="U400" i="1" s="1"/>
  <c r="Q428" i="1"/>
  <c r="J385" i="1"/>
  <c r="M486" i="4" l="1"/>
  <c r="P477" i="4"/>
  <c r="I443" i="4"/>
  <c r="J443" i="4" s="1"/>
  <c r="F471" i="4"/>
  <c r="I471" i="4" s="1"/>
  <c r="J471" i="4" s="1"/>
  <c r="Q471" i="4"/>
  <c r="T443" i="4"/>
  <c r="U443" i="4" s="1"/>
  <c r="T428" i="1"/>
  <c r="U428" i="1" s="1"/>
  <c r="Q434" i="1"/>
  <c r="M443" i="1"/>
  <c r="P434" i="1"/>
  <c r="T471" i="4" l="1"/>
  <c r="U471" i="4" s="1"/>
  <c r="Q477" i="4"/>
  <c r="M514" i="4"/>
  <c r="P486" i="4"/>
  <c r="Q443" i="1"/>
  <c r="T434" i="1"/>
  <c r="U434" i="1" s="1"/>
  <c r="M471" i="1"/>
  <c r="P443" i="1"/>
  <c r="P514" i="4" l="1"/>
  <c r="M520" i="4"/>
  <c r="Q486" i="4"/>
  <c r="T477" i="4"/>
  <c r="U477" i="4" s="1"/>
  <c r="P471" i="1"/>
  <c r="M477" i="1"/>
  <c r="Q471" i="1"/>
  <c r="T443" i="1"/>
  <c r="U443" i="1" s="1"/>
  <c r="M529" i="4" l="1"/>
  <c r="P520" i="4"/>
  <c r="Q514" i="4"/>
  <c r="T486" i="4"/>
  <c r="U486" i="4" s="1"/>
  <c r="M486" i="1"/>
  <c r="P477" i="1"/>
  <c r="T471" i="1"/>
  <c r="U471" i="1" s="1"/>
  <c r="Q477" i="1"/>
  <c r="T514" i="4" l="1"/>
  <c r="U514" i="4" s="1"/>
  <c r="Q520" i="4"/>
  <c r="M557" i="4"/>
  <c r="P529" i="4"/>
  <c r="T477" i="1"/>
  <c r="U477" i="1" s="1"/>
  <c r="Q486" i="1"/>
  <c r="M514" i="1"/>
  <c r="P486" i="1"/>
  <c r="P557" i="4" l="1"/>
  <c r="M563" i="4"/>
  <c r="Q529" i="4"/>
  <c r="T520" i="4"/>
  <c r="U520" i="4" s="1"/>
  <c r="P514" i="1"/>
  <c r="M520" i="1"/>
  <c r="T486" i="1"/>
  <c r="U486" i="1" s="1"/>
  <c r="Q514" i="1"/>
  <c r="M572" i="4" l="1"/>
  <c r="P563" i="4"/>
  <c r="Q557" i="4"/>
  <c r="T529" i="4"/>
  <c r="U529" i="4" s="1"/>
  <c r="T514" i="1"/>
  <c r="U514" i="1" s="1"/>
  <c r="Q520" i="1"/>
  <c r="M529" i="1"/>
  <c r="P520" i="1"/>
  <c r="T557" i="4" l="1"/>
  <c r="U557" i="4" s="1"/>
  <c r="Q563" i="4"/>
  <c r="M600" i="4"/>
  <c r="P572" i="4"/>
  <c r="Q529" i="1"/>
  <c r="T520" i="1"/>
  <c r="U520" i="1" s="1"/>
  <c r="P529" i="1"/>
  <c r="M557" i="1"/>
  <c r="P600" i="4" l="1"/>
  <c r="M606" i="4"/>
  <c r="Q572" i="4"/>
  <c r="T563" i="4"/>
  <c r="U563" i="4" s="1"/>
  <c r="P557" i="1"/>
  <c r="M563" i="1"/>
  <c r="Q557" i="1"/>
  <c r="T529" i="1"/>
  <c r="U529" i="1" s="1"/>
  <c r="T572" i="4" l="1"/>
  <c r="U572" i="4" s="1"/>
  <c r="Q600" i="4"/>
  <c r="M615" i="4"/>
  <c r="P606" i="4"/>
  <c r="M572" i="1"/>
  <c r="P563" i="1"/>
  <c r="T557" i="1"/>
  <c r="U557" i="1" s="1"/>
  <c r="Q563" i="1"/>
  <c r="P615" i="4" l="1"/>
  <c r="M643" i="4"/>
  <c r="T600" i="4"/>
  <c r="U600" i="4" s="1"/>
  <c r="Q606" i="4"/>
  <c r="Q572" i="1"/>
  <c r="T563" i="1"/>
  <c r="U563" i="1" s="1"/>
  <c r="P572" i="1"/>
  <c r="M600" i="1"/>
  <c r="M606" i="1" s="1"/>
  <c r="P643" i="4" l="1"/>
  <c r="M649" i="4"/>
  <c r="M615" i="1"/>
  <c r="P606" i="1"/>
  <c r="Q615" i="4"/>
  <c r="T606" i="4"/>
  <c r="U606" i="4" s="1"/>
  <c r="P600" i="1"/>
  <c r="T572" i="1"/>
  <c r="U572" i="1" s="1"/>
  <c r="Q600" i="1"/>
  <c r="M658" i="4" l="1"/>
  <c r="P649" i="4"/>
  <c r="T600" i="1"/>
  <c r="U600" i="1" s="1"/>
  <c r="Q606" i="1"/>
  <c r="M643" i="1"/>
  <c r="P615" i="1"/>
  <c r="Q643" i="4"/>
  <c r="T615" i="4"/>
  <c r="U615" i="4" s="1"/>
  <c r="T643" i="4" l="1"/>
  <c r="U643" i="4" s="1"/>
  <c r="Q649" i="4"/>
  <c r="M686" i="4"/>
  <c r="P658" i="4"/>
  <c r="M649" i="1"/>
  <c r="P643" i="1"/>
  <c r="Q615" i="1"/>
  <c r="T606" i="1"/>
  <c r="U606" i="1" s="1"/>
  <c r="P686" i="4" l="1"/>
  <c r="M692" i="4"/>
  <c r="Q658" i="4"/>
  <c r="T649" i="4"/>
  <c r="U649" i="4" s="1"/>
  <c r="Q643" i="1"/>
  <c r="T615" i="1"/>
  <c r="U615" i="1" s="1"/>
  <c r="M658" i="1"/>
  <c r="P649" i="1"/>
  <c r="M701" i="4" l="1"/>
  <c r="P692" i="4"/>
  <c r="Q686" i="4"/>
  <c r="T658" i="4"/>
  <c r="U658" i="4" s="1"/>
  <c r="M686" i="1"/>
  <c r="P658" i="1"/>
  <c r="T643" i="1"/>
  <c r="U643" i="1" s="1"/>
  <c r="Q649" i="1"/>
  <c r="T686" i="4" l="1"/>
  <c r="U686" i="4" s="1"/>
  <c r="Q692" i="4"/>
  <c r="M729" i="4"/>
  <c r="P729" i="4" s="1"/>
  <c r="P701" i="4"/>
  <c r="P686" i="1"/>
  <c r="M692" i="1"/>
  <c r="Q658" i="1"/>
  <c r="T649" i="1"/>
  <c r="U649" i="1" s="1"/>
  <c r="Q701" i="4" l="1"/>
  <c r="T692" i="4"/>
  <c r="U692" i="4" s="1"/>
  <c r="M730" i="4"/>
  <c r="O730" i="4"/>
  <c r="N730" i="4"/>
  <c r="P730" i="4"/>
  <c r="M701" i="1"/>
  <c r="P692" i="1"/>
  <c r="Q686" i="1"/>
  <c r="T658" i="1"/>
  <c r="U658" i="1" s="1"/>
  <c r="T701" i="4" l="1"/>
  <c r="U701" i="4" s="1"/>
  <c r="Q729" i="4"/>
  <c r="T729" i="4" s="1"/>
  <c r="U729" i="4" s="1"/>
  <c r="T686" i="1"/>
  <c r="U686" i="1" s="1"/>
  <c r="Q692" i="1"/>
  <c r="P701" i="1"/>
  <c r="M729" i="1"/>
  <c r="P729" i="1" l="1"/>
  <c r="M735" i="1"/>
  <c r="Q701" i="1"/>
  <c r="T692" i="1"/>
  <c r="U692" i="1" s="1"/>
  <c r="M744" i="1" l="1"/>
  <c r="P735" i="1"/>
  <c r="T701" i="1"/>
  <c r="U701" i="1" s="1"/>
  <c r="Q729" i="1"/>
  <c r="T729" i="1" l="1"/>
  <c r="U729" i="1" s="1"/>
  <c r="Q735" i="1"/>
  <c r="M772" i="1"/>
  <c r="P744" i="1"/>
  <c r="Q744" i="1" l="1"/>
  <c r="T735" i="1"/>
  <c r="U735" i="1" s="1"/>
  <c r="P772" i="1"/>
  <c r="M773" i="1" s="1"/>
  <c r="Q772" i="1" l="1"/>
  <c r="T772" i="1" s="1"/>
  <c r="U772" i="1" s="1"/>
  <c r="T744" i="1"/>
  <c r="U744" i="1" s="1"/>
  <c r="O773" i="1"/>
  <c r="P773" i="1"/>
  <c r="N773" i="1"/>
</calcChain>
</file>

<file path=xl/sharedStrings.xml><?xml version="1.0" encoding="utf-8"?>
<sst xmlns="http://schemas.openxmlformats.org/spreadsheetml/2006/main" count="2662" uniqueCount="476">
  <si>
    <t>合計</t>
    <rPh sb="0" eb="2">
      <t>ゴウケイ</t>
    </rPh>
    <phoneticPr fontId="2"/>
  </si>
  <si>
    <t>サイズ</t>
  </si>
  <si>
    <t>M</t>
  </si>
  <si>
    <t>L</t>
  </si>
  <si>
    <t>LL</t>
  </si>
  <si>
    <t>計</t>
    <rPh sb="0" eb="1">
      <t>ケイ</t>
    </rPh>
    <phoneticPr fontId="2"/>
  </si>
  <si>
    <t>初回</t>
    <rPh sb="0" eb="2">
      <t>ショカイ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</si>
  <si>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</si>
  <si>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</si>
  <si>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</si>
  <si>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</si>
  <si>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</si>
  <si>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追加６</t>
    <rPh sb="0" eb="2">
      <t>ツイカ</t>
    </rPh>
    <phoneticPr fontId="2"/>
  </si>
  <si>
    <t>追加７</t>
    <rPh sb="0" eb="2">
      <t>ツイカ</t>
    </rPh>
    <phoneticPr fontId="2"/>
  </si>
  <si>
    <t>追加８</t>
    <rPh sb="0" eb="2">
      <t>ツイカ</t>
    </rPh>
    <phoneticPr fontId="2"/>
  </si>
  <si>
    <t>総在庫</t>
    <rPh sb="0" eb="1">
      <t>ソウ</t>
    </rPh>
    <rPh sb="1" eb="3">
      <t>ザイコ</t>
    </rPh>
    <phoneticPr fontId="2"/>
  </si>
  <si>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</si>
  <si>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7"/>
  </si>
  <si>
    <t>ピンク</t>
    <phoneticPr fontId="7"/>
  </si>
  <si>
    <t>ピンク</t>
    <phoneticPr fontId="7"/>
  </si>
  <si>
    <t>追加</t>
    <rPh sb="0" eb="2">
      <t>ツイカ</t>
    </rPh>
    <phoneticPr fontId="7"/>
  </si>
  <si>
    <t>追加</t>
    <rPh sb="0" eb="2">
      <t>ツイカ</t>
    </rPh>
    <phoneticPr fontId="7"/>
  </si>
  <si>
    <t>パープル</t>
  </si>
  <si>
    <t>JODアクセス7089</t>
    <phoneticPr fontId="7"/>
  </si>
  <si>
    <t>11/15～</t>
    <phoneticPr fontId="7"/>
  </si>
  <si>
    <t>初回 2-1</t>
    <rPh sb="0" eb="2">
      <t>ショカイ</t>
    </rPh>
    <phoneticPr fontId="2"/>
  </si>
  <si>
    <t>追加２ 2-2</t>
    <rPh sb="0" eb="2">
      <t>ツイカ</t>
    </rPh>
    <phoneticPr fontId="2"/>
  </si>
  <si>
    <t>JOD特別号9547</t>
    <rPh sb="3" eb="6">
      <t>トクベツゴウ</t>
    </rPh>
    <phoneticPr fontId="7"/>
  </si>
  <si>
    <t>11/21～</t>
    <phoneticPr fontId="7"/>
  </si>
  <si>
    <t>＜NEW表ウール混裏綿100％　８分袖インナー　No.1016-500-505　夢販在庫＞</t>
    <rPh sb="4" eb="5">
      <t>オモテ</t>
    </rPh>
    <rPh sb="8" eb="9">
      <t>コン</t>
    </rPh>
    <rPh sb="9" eb="10">
      <t>ウラ</t>
    </rPh>
    <rPh sb="10" eb="11">
      <t>メン</t>
    </rPh>
    <rPh sb="17" eb="18">
      <t>ブ</t>
    </rPh>
    <rPh sb="18" eb="19">
      <t>ソデ</t>
    </rPh>
    <rPh sb="40" eb="42">
      <t>ユメハン</t>
    </rPh>
    <rPh sb="42" eb="44">
      <t>ザイコ</t>
    </rPh>
    <phoneticPr fontId="2"/>
  </si>
  <si>
    <t>＜NEW表ウール混裏綿100％　８分袖インナー　No.1016-500-505　K-PORT在庫＞</t>
    <rPh sb="46" eb="48">
      <t>ザイコ</t>
    </rPh>
    <phoneticPr fontId="2"/>
  </si>
  <si>
    <t>＜NEW表ウール混裏綿100％　９分丈ボトム　No.1016-510-515　夢販在庫＞</t>
    <rPh sb="4" eb="5">
      <t>オモテ</t>
    </rPh>
    <rPh sb="8" eb="9">
      <t>コン</t>
    </rPh>
    <rPh sb="9" eb="10">
      <t>ウラ</t>
    </rPh>
    <rPh sb="10" eb="11">
      <t>メン</t>
    </rPh>
    <rPh sb="17" eb="18">
      <t>ブ</t>
    </rPh>
    <rPh sb="18" eb="19">
      <t>タケ</t>
    </rPh>
    <rPh sb="39" eb="41">
      <t>ユメハン</t>
    </rPh>
    <rPh sb="41" eb="43">
      <t>ザイコ</t>
    </rPh>
    <phoneticPr fontId="2"/>
  </si>
  <si>
    <t>＜NEW表ウール混裏綿100％　９分丈ボトム　No.1016-510-515　K-PORT在庫＞</t>
    <rPh sb="45" eb="47">
      <t>ザイコ</t>
    </rPh>
    <phoneticPr fontId="2"/>
  </si>
  <si>
    <t>ローズ</t>
    <phoneticPr fontId="7"/>
  </si>
  <si>
    <t>JOD特別版1206</t>
    <rPh sb="3" eb="6">
      <t>トクベツバン</t>
    </rPh>
    <phoneticPr fontId="7"/>
  </si>
  <si>
    <t>12/5～</t>
    <phoneticPr fontId="7"/>
  </si>
  <si>
    <t>2022/11/4数伝</t>
    <rPh sb="9" eb="10">
      <t>スウ</t>
    </rPh>
    <rPh sb="10" eb="11">
      <t>デン</t>
    </rPh>
    <phoneticPr fontId="7"/>
  </si>
  <si>
    <t>夢販</t>
    <rPh sb="0" eb="2">
      <t>ユメハン</t>
    </rPh>
    <phoneticPr fontId="7"/>
  </si>
  <si>
    <t>JOD①</t>
    <phoneticPr fontId="7"/>
  </si>
  <si>
    <t>JOD①</t>
    <phoneticPr fontId="7"/>
  </si>
  <si>
    <t>JOD②</t>
    <phoneticPr fontId="7"/>
  </si>
  <si>
    <t>JOD③</t>
    <phoneticPr fontId="7"/>
  </si>
  <si>
    <t>JOD④</t>
    <phoneticPr fontId="7"/>
  </si>
  <si>
    <t>JOD⑤</t>
    <phoneticPr fontId="7"/>
  </si>
  <si>
    <t>JOD⑥</t>
    <phoneticPr fontId="7"/>
  </si>
  <si>
    <t>JOD⑦</t>
    <phoneticPr fontId="7"/>
  </si>
  <si>
    <t>シンエイsample</t>
    <phoneticPr fontId="7"/>
  </si>
  <si>
    <t>JOD⑧</t>
    <phoneticPr fontId="7"/>
  </si>
  <si>
    <t>JOD⑧</t>
    <phoneticPr fontId="7"/>
  </si>
  <si>
    <t>JOD⑨</t>
    <phoneticPr fontId="7"/>
  </si>
  <si>
    <t>JOD⑨</t>
    <phoneticPr fontId="7"/>
  </si>
  <si>
    <t>2022/12/3数伝</t>
    <rPh sb="9" eb="10">
      <t>スウ</t>
    </rPh>
    <rPh sb="10" eb="11">
      <t>デン</t>
    </rPh>
    <phoneticPr fontId="7"/>
  </si>
  <si>
    <t>JOD⑩</t>
    <phoneticPr fontId="7"/>
  </si>
  <si>
    <t>JOD⑪</t>
    <phoneticPr fontId="7"/>
  </si>
  <si>
    <t>JOD⑪</t>
    <phoneticPr fontId="7"/>
  </si>
  <si>
    <t>JOD⑫</t>
    <phoneticPr fontId="7"/>
  </si>
  <si>
    <t>JOD⑬</t>
    <phoneticPr fontId="7"/>
  </si>
  <si>
    <t>JOD⑫</t>
    <phoneticPr fontId="7"/>
  </si>
  <si>
    <t>JOD⑭</t>
    <phoneticPr fontId="7"/>
  </si>
  <si>
    <t>JODクレーム対応</t>
    <rPh sb="7" eb="9">
      <t>タイオウ</t>
    </rPh>
    <phoneticPr fontId="7"/>
  </si>
  <si>
    <t>JOD⑬</t>
    <phoneticPr fontId="7"/>
  </si>
  <si>
    <t>JOD⑮</t>
    <phoneticPr fontId="7"/>
  </si>
  <si>
    <t>JOD⑭</t>
    <phoneticPr fontId="7"/>
  </si>
  <si>
    <t>JOD⑯</t>
    <phoneticPr fontId="7"/>
  </si>
  <si>
    <t>JOD⑮</t>
    <phoneticPr fontId="7"/>
  </si>
  <si>
    <t>JOD⑰</t>
    <phoneticPr fontId="7"/>
  </si>
  <si>
    <t>JOD⑯</t>
    <phoneticPr fontId="7"/>
  </si>
  <si>
    <t>JOD⑱</t>
    <phoneticPr fontId="7"/>
  </si>
  <si>
    <t>JOD⑰</t>
    <phoneticPr fontId="7"/>
  </si>
  <si>
    <t>JOD⑲</t>
    <phoneticPr fontId="7"/>
  </si>
  <si>
    <t>JOD⑱</t>
    <phoneticPr fontId="7"/>
  </si>
  <si>
    <t>JOD⑲</t>
    <phoneticPr fontId="7"/>
  </si>
  <si>
    <t>JOD⑳</t>
    <phoneticPr fontId="7"/>
  </si>
  <si>
    <t>JOD特別版0203</t>
    <rPh sb="3" eb="6">
      <t>トクベツバン</t>
    </rPh>
    <phoneticPr fontId="7"/>
  </si>
  <si>
    <t>2/1～</t>
    <phoneticPr fontId="7"/>
  </si>
  <si>
    <t>JOD⑳</t>
    <phoneticPr fontId="7"/>
  </si>
  <si>
    <t>JOD㉑</t>
    <phoneticPr fontId="7"/>
  </si>
  <si>
    <t>JOD返品</t>
    <rPh sb="3" eb="5">
      <t>ヘンピン</t>
    </rPh>
    <phoneticPr fontId="7"/>
  </si>
  <si>
    <t>JOD㉑</t>
    <phoneticPr fontId="7"/>
  </si>
  <si>
    <t>JOD㉑</t>
    <phoneticPr fontId="7"/>
  </si>
  <si>
    <t>JOD㉒</t>
    <phoneticPr fontId="7"/>
  </si>
  <si>
    <t>JODアクセス7091</t>
    <phoneticPr fontId="7"/>
  </si>
  <si>
    <t>2/18～</t>
    <phoneticPr fontId="7"/>
  </si>
  <si>
    <t>JOD㉒</t>
    <phoneticPr fontId="7"/>
  </si>
  <si>
    <t>JOD㉓</t>
    <phoneticPr fontId="7"/>
  </si>
  <si>
    <t>JOD㉔</t>
    <phoneticPr fontId="7"/>
  </si>
  <si>
    <t>JOD㉕</t>
    <phoneticPr fontId="7"/>
  </si>
  <si>
    <t>JOD㉓</t>
    <phoneticPr fontId="7"/>
  </si>
  <si>
    <r>
      <t>京都生協1月3回</t>
    </r>
    <r>
      <rPr>
        <b/>
        <sz val="11"/>
        <rFont val="ＭＳ Ｐゴシック"/>
        <family val="3"/>
        <charset val="128"/>
        <scheme val="minor"/>
      </rPr>
      <t>不透明袋①</t>
    </r>
    <rPh sb="0" eb="4">
      <t>キョウトセイキョウ</t>
    </rPh>
    <rPh sb="5" eb="6">
      <t>ガツ</t>
    </rPh>
    <rPh sb="7" eb="8">
      <t>カイ</t>
    </rPh>
    <rPh sb="8" eb="12">
      <t>フトウメイフクロ</t>
    </rPh>
    <phoneticPr fontId="7"/>
  </si>
  <si>
    <t>JOD㉖</t>
    <phoneticPr fontId="7"/>
  </si>
  <si>
    <r>
      <t>京都生協1月3回</t>
    </r>
    <r>
      <rPr>
        <b/>
        <sz val="11"/>
        <rFont val="ＭＳ Ｐゴシック"/>
        <family val="3"/>
        <charset val="128"/>
        <scheme val="minor"/>
      </rPr>
      <t>不透明袋②</t>
    </r>
    <rPh sb="0" eb="4">
      <t>キョウトセイキョウ</t>
    </rPh>
    <rPh sb="5" eb="6">
      <t>ガツ</t>
    </rPh>
    <rPh sb="7" eb="8">
      <t>カイ</t>
    </rPh>
    <rPh sb="8" eb="12">
      <t>フトウメイフクロ</t>
    </rPh>
    <phoneticPr fontId="7"/>
  </si>
  <si>
    <t>JOD㉔</t>
    <phoneticPr fontId="7"/>
  </si>
  <si>
    <t>JOD㉕</t>
    <phoneticPr fontId="7"/>
  </si>
  <si>
    <t>JOD㉗</t>
    <phoneticPr fontId="7"/>
  </si>
  <si>
    <t>JOD㉖</t>
    <phoneticPr fontId="7"/>
  </si>
  <si>
    <r>
      <t>京都生協1月3回</t>
    </r>
    <r>
      <rPr>
        <b/>
        <sz val="10"/>
        <rFont val="ＭＳ Ｐゴシック"/>
        <family val="3"/>
        <charset val="128"/>
        <scheme val="minor"/>
      </rPr>
      <t>不透明袋③再送分</t>
    </r>
    <rPh sb="0" eb="4">
      <t>キョウトセイキョウ</t>
    </rPh>
    <rPh sb="5" eb="6">
      <t>ガツ</t>
    </rPh>
    <rPh sb="7" eb="8">
      <t>カイ</t>
    </rPh>
    <rPh sb="8" eb="12">
      <t>フトウメイフクロ</t>
    </rPh>
    <rPh sb="13" eb="16">
      <t>サイソウブン</t>
    </rPh>
    <phoneticPr fontId="7"/>
  </si>
  <si>
    <r>
      <t>京都生協1月3回</t>
    </r>
    <r>
      <rPr>
        <b/>
        <sz val="10"/>
        <rFont val="ＭＳ Ｐゴシック"/>
        <family val="3"/>
        <charset val="128"/>
        <scheme val="minor"/>
      </rPr>
      <t>不透明袋②再送分</t>
    </r>
    <rPh sb="0" eb="4">
      <t>キョウトセイキョウ</t>
    </rPh>
    <rPh sb="5" eb="6">
      <t>ガツ</t>
    </rPh>
    <rPh sb="7" eb="8">
      <t>カイ</t>
    </rPh>
    <rPh sb="8" eb="12">
      <t>フトウメイフクロ</t>
    </rPh>
    <rPh sb="13" eb="16">
      <t>サイソウブン</t>
    </rPh>
    <phoneticPr fontId="7"/>
  </si>
  <si>
    <t>K-PORT</t>
    <phoneticPr fontId="7"/>
  </si>
  <si>
    <t>JOD㉘</t>
    <phoneticPr fontId="7"/>
  </si>
  <si>
    <t>JOD㉗</t>
    <phoneticPr fontId="7"/>
  </si>
  <si>
    <r>
      <t>京都生協1月3回</t>
    </r>
    <r>
      <rPr>
        <b/>
        <sz val="11"/>
        <rFont val="ＭＳ Ｐゴシック"/>
        <family val="3"/>
        <charset val="128"/>
        <scheme val="minor"/>
      </rPr>
      <t>不透明袋</t>
    </r>
    <rPh sb="0" eb="4">
      <t>キョウトセイキョウ</t>
    </rPh>
    <rPh sb="5" eb="6">
      <t>ガツ</t>
    </rPh>
    <rPh sb="7" eb="8">
      <t>カイ</t>
    </rPh>
    <rPh sb="8" eb="12">
      <t>フトウメイフクロ</t>
    </rPh>
    <phoneticPr fontId="7"/>
  </si>
  <si>
    <t>JOD㉙</t>
    <phoneticPr fontId="7"/>
  </si>
  <si>
    <t>シンエイ返品</t>
    <rPh sb="4" eb="6">
      <t>ヘンピン</t>
    </rPh>
    <phoneticPr fontId="7"/>
  </si>
  <si>
    <t>JOD㉚</t>
    <phoneticPr fontId="7"/>
  </si>
  <si>
    <t>JOD㉛</t>
    <phoneticPr fontId="7"/>
  </si>
  <si>
    <t>JOD㉘</t>
    <phoneticPr fontId="7"/>
  </si>
  <si>
    <t>JOD㉜</t>
    <phoneticPr fontId="7"/>
  </si>
  <si>
    <t>JOD㉙</t>
    <phoneticPr fontId="7"/>
  </si>
  <si>
    <t>シンエイ返品</t>
    <rPh sb="4" eb="6">
      <t>ヘンピン</t>
    </rPh>
    <phoneticPr fontId="2"/>
  </si>
  <si>
    <t>2/1～</t>
    <phoneticPr fontId="7"/>
  </si>
  <si>
    <t>JOD㉝</t>
    <phoneticPr fontId="7"/>
  </si>
  <si>
    <t>JOD㉚</t>
    <phoneticPr fontId="7"/>
  </si>
  <si>
    <t>JOD㉞</t>
    <phoneticPr fontId="7"/>
  </si>
  <si>
    <t>JOD㉛</t>
    <phoneticPr fontId="7"/>
  </si>
  <si>
    <t>JOD㉟</t>
    <phoneticPr fontId="7"/>
  </si>
  <si>
    <t>JOD㉜</t>
    <phoneticPr fontId="7"/>
  </si>
  <si>
    <t>JOD㊱</t>
    <phoneticPr fontId="7"/>
  </si>
  <si>
    <t>JOD㉝</t>
    <phoneticPr fontId="7"/>
  </si>
  <si>
    <t>JOD㊲</t>
    <phoneticPr fontId="7"/>
  </si>
  <si>
    <t>JOD㉞</t>
    <phoneticPr fontId="7"/>
  </si>
  <si>
    <t>JOD㊳</t>
    <phoneticPr fontId="7"/>
  </si>
  <si>
    <t>JOD㉟</t>
    <phoneticPr fontId="7"/>
  </si>
  <si>
    <t>JOD㊴</t>
    <phoneticPr fontId="7"/>
  </si>
  <si>
    <t>JOD㊵</t>
    <phoneticPr fontId="7"/>
  </si>
  <si>
    <t>JOD㊱</t>
    <phoneticPr fontId="7"/>
  </si>
  <si>
    <t>JOD㊶</t>
    <phoneticPr fontId="7"/>
  </si>
  <si>
    <t>JOD㊷</t>
    <phoneticPr fontId="7"/>
  </si>
  <si>
    <t>JOD㊲</t>
    <phoneticPr fontId="7"/>
  </si>
  <si>
    <t>JOD㊸</t>
    <phoneticPr fontId="7"/>
  </si>
  <si>
    <t>JOD㊳</t>
    <phoneticPr fontId="7"/>
  </si>
  <si>
    <t>JOD㊴</t>
    <phoneticPr fontId="7"/>
  </si>
  <si>
    <t>JOD㊹</t>
    <phoneticPr fontId="7"/>
  </si>
  <si>
    <t>JOD㊵</t>
    <phoneticPr fontId="7"/>
  </si>
  <si>
    <t>JOD㊺</t>
    <phoneticPr fontId="7"/>
  </si>
  <si>
    <t>JOD㊶</t>
    <phoneticPr fontId="7"/>
  </si>
  <si>
    <t>JOD㊻</t>
    <phoneticPr fontId="7"/>
  </si>
  <si>
    <t>JOD㊷</t>
    <phoneticPr fontId="7"/>
  </si>
  <si>
    <t>JOD㊼</t>
    <phoneticPr fontId="7"/>
  </si>
  <si>
    <t>JOD㊽</t>
    <phoneticPr fontId="7"/>
  </si>
  <si>
    <t>JOD㊸</t>
    <phoneticPr fontId="7"/>
  </si>
  <si>
    <t>従来品との合算</t>
    <rPh sb="0" eb="3">
      <t>ジュウライヒン</t>
    </rPh>
    <rPh sb="5" eb="7">
      <t>ガッサン</t>
    </rPh>
    <phoneticPr fontId="7"/>
  </si>
  <si>
    <t>JOD㊷</t>
    <phoneticPr fontId="7"/>
  </si>
  <si>
    <t>JOD㊾</t>
    <phoneticPr fontId="7"/>
  </si>
  <si>
    <t>JOD㊿</t>
    <phoneticPr fontId="7"/>
  </si>
  <si>
    <t>JOD㊹</t>
    <phoneticPr fontId="7"/>
  </si>
  <si>
    <t>JOD㊺</t>
    <phoneticPr fontId="7"/>
  </si>
  <si>
    <t>追加２ 2-1</t>
    <rPh sb="0" eb="2">
      <t>ツイカ</t>
    </rPh>
    <phoneticPr fontId="2"/>
  </si>
  <si>
    <t>JOD51</t>
    <phoneticPr fontId="7"/>
  </si>
  <si>
    <t>JOD㊻</t>
    <phoneticPr fontId="7"/>
  </si>
  <si>
    <t>JOD52</t>
  </si>
  <si>
    <t>JOD㊼</t>
    <phoneticPr fontId="7"/>
  </si>
  <si>
    <t>JOD㊽</t>
    <phoneticPr fontId="7"/>
  </si>
  <si>
    <t>JOD㊾</t>
    <phoneticPr fontId="7"/>
  </si>
  <si>
    <t>JOD2022年11月～5回実績</t>
    <rPh sb="7" eb="8">
      <t>ネン</t>
    </rPh>
    <rPh sb="10" eb="11">
      <t>ガツ</t>
    </rPh>
    <rPh sb="13" eb="14">
      <t>カイ</t>
    </rPh>
    <rPh sb="14" eb="16">
      <t>ジッセキ</t>
    </rPh>
    <phoneticPr fontId="7"/>
  </si>
  <si>
    <t>なごみ旧品2022年実績</t>
    <rPh sb="3" eb="4">
      <t>キュウ</t>
    </rPh>
    <rPh sb="4" eb="5">
      <t>ヒン</t>
    </rPh>
    <rPh sb="9" eb="10">
      <t>ネン</t>
    </rPh>
    <rPh sb="10" eb="12">
      <t>ジッセキ</t>
    </rPh>
    <phoneticPr fontId="7"/>
  </si>
  <si>
    <t>なごみsample</t>
    <phoneticPr fontId="7"/>
  </si>
  <si>
    <t>JOD53</t>
  </si>
  <si>
    <t>JOD㊿</t>
    <phoneticPr fontId="7"/>
  </si>
  <si>
    <t>JOD51</t>
    <phoneticPr fontId="7"/>
  </si>
  <si>
    <t>JOD54</t>
    <phoneticPr fontId="7"/>
  </si>
  <si>
    <t>在庫確認</t>
    <rPh sb="0" eb="4">
      <t>ザイコカクニン</t>
    </rPh>
    <phoneticPr fontId="7"/>
  </si>
  <si>
    <t>なごみ11月号DM</t>
    <rPh sb="5" eb="7">
      <t>ガツゴウ</t>
    </rPh>
    <phoneticPr fontId="7"/>
  </si>
  <si>
    <t>11/1～12/28</t>
    <phoneticPr fontId="7"/>
  </si>
  <si>
    <t>なごみ検品用sample</t>
    <rPh sb="3" eb="6">
      <t>ケンピンヨウ</t>
    </rPh>
    <phoneticPr fontId="7"/>
  </si>
  <si>
    <t>夢販</t>
    <rPh sb="0" eb="2">
      <t>ユメハン</t>
    </rPh>
    <phoneticPr fontId="7"/>
  </si>
  <si>
    <t>なごみ11月号DM①</t>
    <rPh sb="5" eb="7">
      <t>ガツゴウ</t>
    </rPh>
    <phoneticPr fontId="7"/>
  </si>
  <si>
    <t>ここからスタート</t>
    <phoneticPr fontId="7"/>
  </si>
  <si>
    <t>ここからスタート</t>
    <phoneticPr fontId="7"/>
  </si>
  <si>
    <t>10/10～</t>
    <phoneticPr fontId="7"/>
  </si>
  <si>
    <t>コープ北陸10月3回（不透明袋）</t>
    <rPh sb="3" eb="5">
      <t>ホクリク</t>
    </rPh>
    <rPh sb="7" eb="8">
      <t>ガツ</t>
    </rPh>
    <rPh sb="9" eb="10">
      <t>カイ</t>
    </rPh>
    <rPh sb="11" eb="15">
      <t>フトウメイフクロ</t>
    </rPh>
    <phoneticPr fontId="7"/>
  </si>
  <si>
    <t>JOD特別版1019</t>
    <rPh sb="3" eb="5">
      <t>トクベツ</t>
    </rPh>
    <rPh sb="5" eb="6">
      <t>バン</t>
    </rPh>
    <phoneticPr fontId="7"/>
  </si>
  <si>
    <t>10/18～</t>
    <phoneticPr fontId="7"/>
  </si>
  <si>
    <t>JOD特別版1019</t>
    <rPh sb="3" eb="6">
      <t>トクベツバン</t>
    </rPh>
    <phoneticPr fontId="7"/>
  </si>
  <si>
    <t>京都生協11-5ｗ</t>
    <rPh sb="0" eb="4">
      <t>キョウトセイキョウ</t>
    </rPh>
    <phoneticPr fontId="7"/>
  </si>
  <si>
    <t>JODアフルール7271</t>
    <phoneticPr fontId="7"/>
  </si>
  <si>
    <t>10/24～</t>
    <phoneticPr fontId="7"/>
  </si>
  <si>
    <t>夢販</t>
    <rPh sb="0" eb="2">
      <t>ユメハン</t>
    </rPh>
    <phoneticPr fontId="7"/>
  </si>
  <si>
    <t>コープ北陸10月3回（不透明袋）①</t>
    <rPh sb="3" eb="5">
      <t>ホクリク</t>
    </rPh>
    <rPh sb="7" eb="8">
      <t>ガツ</t>
    </rPh>
    <rPh sb="9" eb="10">
      <t>カイ</t>
    </rPh>
    <rPh sb="11" eb="15">
      <t>フトウメイフクロ</t>
    </rPh>
    <phoneticPr fontId="7"/>
  </si>
  <si>
    <t>2023/10/5数伝</t>
    <rPh sb="9" eb="10">
      <t>スウ</t>
    </rPh>
    <rPh sb="10" eb="11">
      <t>デン</t>
    </rPh>
    <phoneticPr fontId="7"/>
  </si>
  <si>
    <t>コープ北陸10月3回（不透明袋）②</t>
    <rPh sb="3" eb="5">
      <t>ホクリク</t>
    </rPh>
    <rPh sb="7" eb="8">
      <t>ガツ</t>
    </rPh>
    <rPh sb="9" eb="10">
      <t>カイ</t>
    </rPh>
    <rPh sb="11" eb="15">
      <t>フトウメイフクロ</t>
    </rPh>
    <phoneticPr fontId="7"/>
  </si>
  <si>
    <t>JOD特別版1107</t>
    <rPh sb="3" eb="6">
      <t>トクベツバン</t>
    </rPh>
    <phoneticPr fontId="7"/>
  </si>
  <si>
    <t>11/6～</t>
    <phoneticPr fontId="7"/>
  </si>
  <si>
    <t>JOD特別版1126</t>
    <rPh sb="3" eb="6">
      <t>トクベツバン</t>
    </rPh>
    <phoneticPr fontId="7"/>
  </si>
  <si>
    <t>11/25～</t>
    <phoneticPr fontId="7"/>
  </si>
  <si>
    <t>JOD①</t>
    <phoneticPr fontId="7"/>
  </si>
  <si>
    <t>JOD②</t>
    <phoneticPr fontId="7"/>
  </si>
  <si>
    <t>JOD③</t>
    <phoneticPr fontId="7"/>
  </si>
  <si>
    <t>ネット</t>
    <phoneticPr fontId="7"/>
  </si>
  <si>
    <t>JOD③</t>
    <phoneticPr fontId="7"/>
  </si>
  <si>
    <t>JOD④</t>
    <phoneticPr fontId="7"/>
  </si>
  <si>
    <t>JOD④</t>
    <phoneticPr fontId="7"/>
  </si>
  <si>
    <t>JOD⑤</t>
    <phoneticPr fontId="7"/>
  </si>
  <si>
    <t>JOD⑤</t>
    <phoneticPr fontId="7"/>
  </si>
  <si>
    <t>JOD⑥</t>
    <phoneticPr fontId="7"/>
  </si>
  <si>
    <t>JOD⑥</t>
    <phoneticPr fontId="7"/>
  </si>
  <si>
    <t>JOD⑦</t>
    <phoneticPr fontId="7"/>
  </si>
  <si>
    <t>JOD⑦</t>
    <phoneticPr fontId="7"/>
  </si>
  <si>
    <t>JOD⑧</t>
    <phoneticPr fontId="7"/>
  </si>
  <si>
    <t>2023/11/1伝済</t>
    <rPh sb="9" eb="10">
      <t>デン</t>
    </rPh>
    <rPh sb="10" eb="11">
      <t>スミ</t>
    </rPh>
    <phoneticPr fontId="7"/>
  </si>
  <si>
    <t>JOD⑧</t>
    <phoneticPr fontId="7"/>
  </si>
  <si>
    <t>JOD⑨</t>
    <phoneticPr fontId="7"/>
  </si>
  <si>
    <t>JOD⑨</t>
    <phoneticPr fontId="7"/>
  </si>
  <si>
    <t>JOD⑩</t>
    <phoneticPr fontId="7"/>
  </si>
  <si>
    <t>JOD⑩</t>
    <phoneticPr fontId="7"/>
  </si>
  <si>
    <t>JOD⑪</t>
    <phoneticPr fontId="7"/>
  </si>
  <si>
    <t>JOD⑪</t>
    <phoneticPr fontId="7"/>
  </si>
  <si>
    <t>JOD⑫</t>
    <phoneticPr fontId="7"/>
  </si>
  <si>
    <t>JOD⑫</t>
    <phoneticPr fontId="7"/>
  </si>
  <si>
    <t>JOD⑬</t>
    <phoneticPr fontId="7"/>
  </si>
  <si>
    <t>JOD⑬</t>
    <phoneticPr fontId="7"/>
  </si>
  <si>
    <t>JOD⑭</t>
    <phoneticPr fontId="7"/>
  </si>
  <si>
    <t>なごみ11月号DM②</t>
    <rPh sb="5" eb="7">
      <t>ガツゴウ</t>
    </rPh>
    <phoneticPr fontId="7"/>
  </si>
  <si>
    <t>JOD⑭</t>
    <phoneticPr fontId="7"/>
  </si>
  <si>
    <t>JOD⑮</t>
    <phoneticPr fontId="7"/>
  </si>
  <si>
    <t>なごみ11月号DM③</t>
    <rPh sb="5" eb="7">
      <t>ガツゴウ</t>
    </rPh>
    <phoneticPr fontId="7"/>
  </si>
  <si>
    <t>JOD⑮</t>
    <phoneticPr fontId="7"/>
  </si>
  <si>
    <t>JOD⑯</t>
    <phoneticPr fontId="7"/>
  </si>
  <si>
    <t>JOD⑰</t>
    <phoneticPr fontId="7"/>
  </si>
  <si>
    <t>JOD⑰</t>
    <phoneticPr fontId="7"/>
  </si>
  <si>
    <t>JOD⑱</t>
    <phoneticPr fontId="7"/>
  </si>
  <si>
    <t>K-PORT</t>
    <phoneticPr fontId="7"/>
  </si>
  <si>
    <t>JOD⑱</t>
    <phoneticPr fontId="7"/>
  </si>
  <si>
    <t>JOD⑲</t>
    <phoneticPr fontId="7"/>
  </si>
  <si>
    <t>なごみ11月号DM④</t>
    <rPh sb="5" eb="7">
      <t>ガツゴウ</t>
    </rPh>
    <phoneticPr fontId="7"/>
  </si>
  <si>
    <t>JOD⑲</t>
    <phoneticPr fontId="7"/>
  </si>
  <si>
    <t>JOD⑳</t>
    <phoneticPr fontId="7"/>
  </si>
  <si>
    <t>なごみ11月号DM⑤</t>
    <rPh sb="5" eb="7">
      <t>ガツゴウ</t>
    </rPh>
    <phoneticPr fontId="7"/>
  </si>
  <si>
    <t>JOD⑳</t>
    <phoneticPr fontId="7"/>
  </si>
  <si>
    <t>JOD㉑</t>
    <phoneticPr fontId="7"/>
  </si>
  <si>
    <t>JOD㉑</t>
    <phoneticPr fontId="7"/>
  </si>
  <si>
    <t>なごみ11月号DM⑥</t>
    <rPh sb="5" eb="7">
      <t>ガツゴウ</t>
    </rPh>
    <phoneticPr fontId="7"/>
  </si>
  <si>
    <t>なごみ11月号DM⑦</t>
    <rPh sb="5" eb="7">
      <t>ガツゴウ</t>
    </rPh>
    <phoneticPr fontId="7"/>
  </si>
  <si>
    <t>夢販</t>
    <rPh sb="0" eb="2">
      <t>ユメハン</t>
    </rPh>
    <phoneticPr fontId="7"/>
  </si>
  <si>
    <t>ネット</t>
    <phoneticPr fontId="7"/>
  </si>
  <si>
    <t>JOD㉓</t>
    <phoneticPr fontId="7"/>
  </si>
  <si>
    <t>JOD㉓</t>
    <phoneticPr fontId="7"/>
  </si>
  <si>
    <t>JOD㉔</t>
    <phoneticPr fontId="7"/>
  </si>
  <si>
    <t>JOD㉕</t>
    <phoneticPr fontId="7"/>
  </si>
  <si>
    <t>JOD㉖</t>
    <phoneticPr fontId="7"/>
  </si>
  <si>
    <t>JOD㉗</t>
    <phoneticPr fontId="7"/>
  </si>
  <si>
    <t>JOD㉔</t>
    <phoneticPr fontId="7"/>
  </si>
  <si>
    <t>JOD㉘</t>
    <phoneticPr fontId="7"/>
  </si>
  <si>
    <t>JOD㉕</t>
    <phoneticPr fontId="7"/>
  </si>
  <si>
    <t>JOD㉙</t>
    <phoneticPr fontId="7"/>
  </si>
  <si>
    <t>JOD㉖</t>
    <phoneticPr fontId="7"/>
  </si>
  <si>
    <t>なごみ11月号DM⑧</t>
    <rPh sb="5" eb="7">
      <t>ガツゴウ</t>
    </rPh>
    <phoneticPr fontId="7"/>
  </si>
  <si>
    <t>なごみ11月号DM差分予測</t>
    <rPh sb="5" eb="7">
      <t>ガツゴウ</t>
    </rPh>
    <rPh sb="9" eb="13">
      <t>サブンヨソク</t>
    </rPh>
    <phoneticPr fontId="7"/>
  </si>
  <si>
    <t>JOD㉚</t>
    <phoneticPr fontId="7"/>
  </si>
  <si>
    <t>JOD㉗</t>
    <phoneticPr fontId="7"/>
  </si>
  <si>
    <t>伝日付１月5日</t>
    <rPh sb="0" eb="1">
      <t>デン</t>
    </rPh>
    <rPh sb="1" eb="3">
      <t>ヒヅケ</t>
    </rPh>
    <rPh sb="4" eb="5">
      <t>ガツ</t>
    </rPh>
    <rPh sb="6" eb="7">
      <t>カ</t>
    </rPh>
    <phoneticPr fontId="7"/>
  </si>
  <si>
    <t>2023年12/8までの実績</t>
    <rPh sb="4" eb="5">
      <t>ネン</t>
    </rPh>
    <rPh sb="12" eb="14">
      <t>ジッセキ</t>
    </rPh>
    <phoneticPr fontId="7"/>
  </si>
  <si>
    <t>JOD㉛</t>
    <phoneticPr fontId="7"/>
  </si>
  <si>
    <t>JOD㉘</t>
    <phoneticPr fontId="7"/>
  </si>
  <si>
    <t>JOD㉜</t>
    <phoneticPr fontId="7"/>
  </si>
  <si>
    <t>JOD㉙</t>
    <phoneticPr fontId="7"/>
  </si>
  <si>
    <t>JOD㉝</t>
    <phoneticPr fontId="7"/>
  </si>
  <si>
    <t>JOD㉚</t>
    <phoneticPr fontId="7"/>
  </si>
  <si>
    <t>JOD㉞</t>
    <phoneticPr fontId="7"/>
  </si>
  <si>
    <t>JOD㉟</t>
    <phoneticPr fontId="7"/>
  </si>
  <si>
    <t>JOD㉛</t>
    <phoneticPr fontId="7"/>
  </si>
  <si>
    <t>JOD返品</t>
    <rPh sb="3" eb="5">
      <t>ヘンピン</t>
    </rPh>
    <phoneticPr fontId="2"/>
  </si>
  <si>
    <t>JOD㊱</t>
    <phoneticPr fontId="7"/>
  </si>
  <si>
    <t>JOD㉜</t>
    <phoneticPr fontId="7"/>
  </si>
  <si>
    <t>JOD㊲</t>
    <phoneticPr fontId="7"/>
  </si>
  <si>
    <t>JOD㉝</t>
    <phoneticPr fontId="7"/>
  </si>
  <si>
    <t>JOD㊳</t>
    <phoneticPr fontId="7"/>
  </si>
  <si>
    <t>JOD㉞</t>
    <phoneticPr fontId="7"/>
  </si>
  <si>
    <t>JOD㊴</t>
    <phoneticPr fontId="7"/>
  </si>
  <si>
    <t>JOD㉟</t>
    <phoneticPr fontId="7"/>
  </si>
  <si>
    <t>JOD㊵</t>
    <phoneticPr fontId="7"/>
  </si>
  <si>
    <t>JOD㊱</t>
    <phoneticPr fontId="7"/>
  </si>
  <si>
    <t>JOD㊶</t>
    <phoneticPr fontId="7"/>
  </si>
  <si>
    <t>JOD㊲</t>
    <phoneticPr fontId="7"/>
  </si>
  <si>
    <t>JOD㊷</t>
    <phoneticPr fontId="7"/>
  </si>
  <si>
    <t>JOD㊳</t>
    <phoneticPr fontId="7"/>
  </si>
  <si>
    <t>2023/12/25伝済</t>
    <rPh sb="10" eb="11">
      <t>デン</t>
    </rPh>
    <rPh sb="11" eb="12">
      <t>スミ</t>
    </rPh>
    <phoneticPr fontId="7"/>
  </si>
  <si>
    <t>JOD㊸</t>
    <phoneticPr fontId="7"/>
  </si>
  <si>
    <t>JOD㊴</t>
    <phoneticPr fontId="7"/>
  </si>
  <si>
    <t>JOD㊹</t>
    <phoneticPr fontId="7"/>
  </si>
  <si>
    <t>JOD㊵</t>
    <phoneticPr fontId="7"/>
  </si>
  <si>
    <t>JOD㊺</t>
    <phoneticPr fontId="7"/>
  </si>
  <si>
    <t>JOD㊶</t>
    <phoneticPr fontId="7"/>
  </si>
  <si>
    <t>JODアクセス7099</t>
    <phoneticPr fontId="7"/>
  </si>
  <si>
    <t>K-PORT</t>
    <phoneticPr fontId="7"/>
  </si>
  <si>
    <t>ネット</t>
    <phoneticPr fontId="7"/>
  </si>
  <si>
    <t>JOD㊷</t>
    <phoneticPr fontId="7"/>
  </si>
  <si>
    <t>JOD52</t>
    <phoneticPr fontId="7"/>
  </si>
  <si>
    <t>なごみ返品</t>
    <rPh sb="3" eb="5">
      <t>ヘンピン</t>
    </rPh>
    <phoneticPr fontId="2"/>
  </si>
  <si>
    <t>なごみ返品</t>
    <rPh sb="3" eb="5">
      <t>ヘンピン</t>
    </rPh>
    <phoneticPr fontId="7"/>
  </si>
  <si>
    <t>JOD54</t>
  </si>
  <si>
    <t>ここから２０２４年AW</t>
    <rPh sb="8" eb="9">
      <t>ネン</t>
    </rPh>
    <phoneticPr fontId="7"/>
  </si>
  <si>
    <t>ここから２０２４年AW</t>
    <rPh sb="8" eb="9">
      <t>ネン</t>
    </rPh>
    <phoneticPr fontId="7"/>
  </si>
  <si>
    <t>JOD55</t>
    <phoneticPr fontId="7"/>
  </si>
  <si>
    <t>JOD56</t>
    <phoneticPr fontId="7"/>
  </si>
  <si>
    <t>JOD50</t>
    <phoneticPr fontId="7"/>
  </si>
  <si>
    <t>JOD51</t>
  </si>
  <si>
    <t>JOD57</t>
  </si>
  <si>
    <t>JOD58</t>
  </si>
  <si>
    <t>JOD59</t>
  </si>
  <si>
    <t>JOD60</t>
    <phoneticPr fontId="7"/>
  </si>
  <si>
    <t>JOD61</t>
    <phoneticPr fontId="7"/>
  </si>
  <si>
    <t>JOD62</t>
  </si>
  <si>
    <t>JOD55</t>
  </si>
  <si>
    <t>JOD63</t>
    <phoneticPr fontId="7"/>
  </si>
  <si>
    <t>JOD64</t>
  </si>
  <si>
    <t>JOD65</t>
  </si>
  <si>
    <t>JOD56</t>
  </si>
  <si>
    <t>JOD57</t>
    <phoneticPr fontId="7"/>
  </si>
  <si>
    <t>JOD66</t>
  </si>
  <si>
    <t>JOD67</t>
  </si>
  <si>
    <t>JOD68</t>
  </si>
  <si>
    <t>JOD69</t>
    <phoneticPr fontId="7"/>
  </si>
  <si>
    <t>JOD60</t>
    <phoneticPr fontId="7"/>
  </si>
  <si>
    <t>JOD70</t>
  </si>
  <si>
    <t>KPORT</t>
    <phoneticPr fontId="7"/>
  </si>
  <si>
    <t>夢販</t>
    <rPh sb="0" eb="2">
      <t>ユメハン</t>
    </rPh>
    <phoneticPr fontId="2"/>
  </si>
  <si>
    <t>JOD61</t>
    <phoneticPr fontId="7"/>
  </si>
  <si>
    <t>JOD71</t>
    <phoneticPr fontId="7"/>
  </si>
  <si>
    <t>JOD72</t>
    <phoneticPr fontId="7"/>
  </si>
  <si>
    <t>アテニアsample</t>
    <phoneticPr fontId="7"/>
  </si>
  <si>
    <t>JOD73</t>
    <phoneticPr fontId="7"/>
  </si>
  <si>
    <t>アテニアsample返却</t>
    <rPh sb="10" eb="12">
      <t>ヘンキャク</t>
    </rPh>
    <phoneticPr fontId="7"/>
  </si>
  <si>
    <t>追加３ 1-1</t>
    <rPh sb="0" eb="2">
      <t>ツイカ</t>
    </rPh>
    <phoneticPr fontId="2"/>
  </si>
  <si>
    <t>JODルリネ7004</t>
    <phoneticPr fontId="7"/>
  </si>
  <si>
    <t>10/1～</t>
    <phoneticPr fontId="7"/>
  </si>
  <si>
    <t>2/19～</t>
    <phoneticPr fontId="7"/>
  </si>
  <si>
    <t>JOD特別版1009</t>
    <rPh sb="3" eb="6">
      <t>トクベツバン</t>
    </rPh>
    <phoneticPr fontId="7"/>
  </si>
  <si>
    <t>10/8～</t>
    <phoneticPr fontId="7"/>
  </si>
  <si>
    <t>在庫確認</t>
    <rPh sb="0" eb="4">
      <t>ザイコカクニン</t>
    </rPh>
    <phoneticPr fontId="2"/>
  </si>
  <si>
    <t>なごみ検品用</t>
    <rPh sb="3" eb="6">
      <t>ケンピンヨウ</t>
    </rPh>
    <phoneticPr fontId="7"/>
  </si>
  <si>
    <t>ネット</t>
    <phoneticPr fontId="7"/>
  </si>
  <si>
    <t>JODアクセス7005</t>
    <phoneticPr fontId="7"/>
  </si>
  <si>
    <t>JODメルシー1106</t>
    <phoneticPr fontId="7"/>
  </si>
  <si>
    <t>JOD①</t>
    <phoneticPr fontId="7"/>
  </si>
  <si>
    <t>2024/10/4伝数</t>
    <rPh sb="9" eb="10">
      <t>デン</t>
    </rPh>
    <rPh sb="10" eb="11">
      <t>スウ</t>
    </rPh>
    <phoneticPr fontId="7"/>
  </si>
  <si>
    <t>JOD特別号9512</t>
    <rPh sb="3" eb="6">
      <t>トクベツゴウ</t>
    </rPh>
    <phoneticPr fontId="7"/>
  </si>
  <si>
    <t>11/20～</t>
    <phoneticPr fontId="7"/>
  </si>
  <si>
    <t>＜NEW表ウール混裏綿100％　８分袖インナー　No.1016-500-505　K-PORT在庫＞</t>
    <phoneticPr fontId="2"/>
  </si>
  <si>
    <t>JOD特別号R9802</t>
    <rPh sb="3" eb="6">
      <t>トクベツゴウ</t>
    </rPh>
    <phoneticPr fontId="7"/>
  </si>
  <si>
    <t>12/4～</t>
    <phoneticPr fontId="7"/>
  </si>
  <si>
    <t>JODメルシー1224</t>
    <phoneticPr fontId="7"/>
  </si>
  <si>
    <t>12/24～</t>
    <phoneticPr fontId="7"/>
  </si>
  <si>
    <t>JOD特別号9519</t>
    <rPh sb="3" eb="6">
      <t>トクベツゴウ</t>
    </rPh>
    <phoneticPr fontId="7"/>
  </si>
  <si>
    <t>1/29～</t>
    <phoneticPr fontId="7"/>
  </si>
  <si>
    <t>なごみ11月号DM⑨</t>
    <rPh sb="5" eb="7">
      <t>ガツゴウ</t>
    </rPh>
    <phoneticPr fontId="7"/>
  </si>
  <si>
    <t>JOD㊵西濃</t>
    <rPh sb="4" eb="6">
      <t>セイノウ</t>
    </rPh>
    <phoneticPr fontId="7"/>
  </si>
  <si>
    <t>K-PORT</t>
    <phoneticPr fontId="7"/>
  </si>
  <si>
    <t>夢販移動</t>
    <rPh sb="0" eb="4">
      <t>ユメハンイドウ</t>
    </rPh>
    <phoneticPr fontId="2"/>
  </si>
  <si>
    <t>なごみ11月号DM⑩</t>
    <rPh sb="5" eb="7">
      <t>ガツゴウ</t>
    </rPh>
    <phoneticPr fontId="7"/>
  </si>
  <si>
    <t>JODアクセス7007</t>
    <phoneticPr fontId="7"/>
  </si>
  <si>
    <t>JOD53</t>
    <phoneticPr fontId="7"/>
  </si>
  <si>
    <t>ネット</t>
    <phoneticPr fontId="7"/>
  </si>
  <si>
    <t>夢販</t>
    <rPh sb="0" eb="2">
      <t>ユメハン</t>
    </rPh>
    <phoneticPr fontId="7"/>
  </si>
  <si>
    <t>ネット</t>
    <phoneticPr fontId="7"/>
  </si>
  <si>
    <t>2024/1/7数伝</t>
    <rPh sb="8" eb="9">
      <t>スウ</t>
    </rPh>
    <rPh sb="9" eb="10">
      <t>デン</t>
    </rPh>
    <phoneticPr fontId="7"/>
  </si>
  <si>
    <t>JOD58</t>
    <phoneticPr fontId="7"/>
  </si>
  <si>
    <t>JOD60</t>
  </si>
  <si>
    <t>JOD61</t>
  </si>
  <si>
    <t>KPORT</t>
    <phoneticPr fontId="7"/>
  </si>
  <si>
    <t>夢販移動</t>
    <rPh sb="0" eb="4">
      <t>ユメハンイドウ</t>
    </rPh>
    <phoneticPr fontId="7"/>
  </si>
  <si>
    <t>K-PORT</t>
    <phoneticPr fontId="7"/>
  </si>
  <si>
    <t>JOD63</t>
  </si>
  <si>
    <t>JOD59</t>
    <phoneticPr fontId="7"/>
  </si>
  <si>
    <t>JOD67</t>
    <phoneticPr fontId="7"/>
  </si>
  <si>
    <t>JOD63</t>
    <phoneticPr fontId="7"/>
  </si>
  <si>
    <t>JOD64</t>
    <phoneticPr fontId="7"/>
  </si>
  <si>
    <t>JOD68</t>
    <phoneticPr fontId="7"/>
  </si>
  <si>
    <t>JOD66</t>
    <phoneticPr fontId="7"/>
  </si>
  <si>
    <t>JOD69</t>
    <phoneticPr fontId="7"/>
  </si>
  <si>
    <t>JOD67</t>
    <phoneticPr fontId="7"/>
  </si>
  <si>
    <t>夢販</t>
    <rPh sb="0" eb="2">
      <t>ユメハン</t>
    </rPh>
    <phoneticPr fontId="7"/>
  </si>
  <si>
    <t>JOD70</t>
    <phoneticPr fontId="7"/>
  </si>
  <si>
    <t>JOD71</t>
  </si>
  <si>
    <t>JOD69</t>
  </si>
  <si>
    <t>JOD72</t>
  </si>
  <si>
    <t>JOD73</t>
    <phoneticPr fontId="7"/>
  </si>
  <si>
    <t>JOD71</t>
    <phoneticPr fontId="7"/>
  </si>
  <si>
    <t>JOD74</t>
    <phoneticPr fontId="7"/>
  </si>
  <si>
    <t>JOD75</t>
  </si>
  <si>
    <t>JOD73</t>
  </si>
  <si>
    <t>JOD76</t>
  </si>
  <si>
    <t>JOD74</t>
  </si>
  <si>
    <t>JOD77</t>
    <phoneticPr fontId="7"/>
  </si>
  <si>
    <t>KPORT</t>
    <phoneticPr fontId="7"/>
  </si>
  <si>
    <t>夢販移動</t>
    <rPh sb="0" eb="2">
      <t>ユメハン</t>
    </rPh>
    <rPh sb="2" eb="4">
      <t>イドウ</t>
    </rPh>
    <phoneticPr fontId="2"/>
  </si>
  <si>
    <t>JOD78</t>
  </si>
  <si>
    <t>JOD79</t>
  </si>
  <si>
    <t>JOD77</t>
  </si>
  <si>
    <t>JOD80</t>
  </si>
  <si>
    <t>JOD81</t>
  </si>
  <si>
    <t>JOD82</t>
  </si>
  <si>
    <t>JOD83</t>
  </si>
  <si>
    <t>JOD84</t>
  </si>
  <si>
    <t>JOD85</t>
  </si>
  <si>
    <t>JOD86</t>
  </si>
  <si>
    <t>JOD87</t>
  </si>
  <si>
    <t>JOD88</t>
  </si>
  <si>
    <t>JOD85</t>
    <phoneticPr fontId="7"/>
  </si>
  <si>
    <t>JOD89</t>
  </si>
  <si>
    <t>JOD90</t>
  </si>
  <si>
    <t>JOD91</t>
  </si>
  <si>
    <t>JOD92</t>
  </si>
  <si>
    <t>２０２５年度</t>
    <rPh sb="4" eb="5">
      <t>ネン</t>
    </rPh>
    <rPh sb="5" eb="6">
      <t>ド</t>
    </rPh>
    <phoneticPr fontId="7"/>
  </si>
  <si>
    <t>２０２５年AW～</t>
    <rPh sb="4" eb="5">
      <t>ネン</t>
    </rPh>
    <phoneticPr fontId="7"/>
  </si>
  <si>
    <t>２０２４年度実績</t>
    <rPh sb="4" eb="5">
      <t>ネン</t>
    </rPh>
    <rPh sb="5" eb="6">
      <t>ド</t>
    </rPh>
    <rPh sb="6" eb="8">
      <t>ジッセキ</t>
    </rPh>
    <phoneticPr fontId="7"/>
  </si>
  <si>
    <t>JOD93</t>
  </si>
  <si>
    <t>JOD94</t>
  </si>
  <si>
    <t>追加２　　3-1</t>
    <rPh sb="0" eb="2">
      <t>ツイカ</t>
    </rPh>
    <phoneticPr fontId="2"/>
  </si>
  <si>
    <t>JOD95</t>
  </si>
  <si>
    <t>←ここまで式確認2025/7/17</t>
    <rPh sb="0" eb="8">
      <t>&lt;-ココマデシキカクニン</t>
    </rPh>
    <phoneticPr fontId="7"/>
  </si>
  <si>
    <t>8/30ship</t>
    <phoneticPr fontId="7"/>
  </si>
  <si>
    <t>JODアクセス7012</t>
    <phoneticPr fontId="7"/>
  </si>
  <si>
    <t>夢販</t>
    <rPh sb="0" eb="2">
      <t>ユメハン</t>
    </rPh>
    <phoneticPr fontId="7"/>
  </si>
  <si>
    <t>JOD撮影用sample</t>
    <rPh sb="3" eb="6">
      <t>サツエイヨウ</t>
    </rPh>
    <phoneticPr fontId="7"/>
  </si>
  <si>
    <t>11/1～1/10</t>
    <phoneticPr fontId="7"/>
  </si>
  <si>
    <t>JOD特別号R9813</t>
    <rPh sb="3" eb="6">
      <t>トクベツゴウ</t>
    </rPh>
    <phoneticPr fontId="7"/>
  </si>
  <si>
    <t>9/30～</t>
    <phoneticPr fontId="7"/>
  </si>
  <si>
    <t>過入荷分</t>
    <rPh sb="0" eb="4">
      <t>カニュウカブン</t>
    </rPh>
    <phoneticPr fontId="2"/>
  </si>
  <si>
    <t>追加３　3-3</t>
    <rPh sb="0" eb="2">
      <t>ツイカ</t>
    </rPh>
    <phoneticPr fontId="2"/>
  </si>
  <si>
    <t>追加２  3-2</t>
    <rPh sb="0" eb="2">
      <t>ツイカ</t>
    </rPh>
    <phoneticPr fontId="2"/>
  </si>
  <si>
    <t>追加３   3-2</t>
    <rPh sb="0" eb="2">
      <t>ツイカ</t>
    </rPh>
    <phoneticPr fontId="2"/>
  </si>
  <si>
    <t>夢販</t>
    <rPh sb="0" eb="2">
      <t>ユメハン</t>
    </rPh>
    <phoneticPr fontId="7"/>
  </si>
  <si>
    <t>2025/9/9数伝</t>
    <rPh sb="8" eb="10">
      <t>スウデン</t>
    </rPh>
    <phoneticPr fontId="7"/>
  </si>
  <si>
    <t>2025/9/9数伝</t>
    <rPh sb="8" eb="10">
      <t>スウデン</t>
    </rPh>
    <phoneticPr fontId="7"/>
  </si>
  <si>
    <t>JODメルシー1027</t>
    <phoneticPr fontId="7"/>
  </si>
  <si>
    <t>10/27～</t>
    <phoneticPr fontId="7"/>
  </si>
  <si>
    <t>JOD①</t>
    <phoneticPr fontId="7"/>
  </si>
  <si>
    <t>JOD特別版1107</t>
    <rPh sb="3" eb="5">
      <t>トクベツ</t>
    </rPh>
    <rPh sb="5" eb="6">
      <t>バン</t>
    </rPh>
    <phoneticPr fontId="7"/>
  </si>
  <si>
    <t>JODアクセス7013</t>
    <phoneticPr fontId="7"/>
  </si>
  <si>
    <t>JOD特別号9545</t>
    <rPh sb="3" eb="6">
      <t>トクベツゴウ</t>
    </rPh>
    <phoneticPr fontId="7"/>
  </si>
  <si>
    <t>入荷済み分</t>
    <rPh sb="0" eb="3">
      <t>ニュウカズ</t>
    </rPh>
    <rPh sb="4" eb="5">
      <t>ブン</t>
    </rPh>
    <phoneticPr fontId="2"/>
  </si>
  <si>
    <t>2025/11/12数伝</t>
    <rPh sb="10" eb="12">
      <t>スウデン</t>
    </rPh>
    <phoneticPr fontId="7"/>
  </si>
  <si>
    <t>JOD特別号9550</t>
    <rPh sb="3" eb="4">
      <t>トク</t>
    </rPh>
    <rPh sb="4" eb="6">
      <t>ベツゴウ</t>
    </rPh>
    <phoneticPr fontId="7"/>
  </si>
  <si>
    <t>12/17～</t>
    <phoneticPr fontId="7"/>
  </si>
  <si>
    <t>JOD特別号9550</t>
    <rPh sb="3" eb="6">
      <t>トクベツゴウ</t>
    </rPh>
    <phoneticPr fontId="7"/>
  </si>
  <si>
    <t>JOD㉒</t>
    <phoneticPr fontId="7"/>
  </si>
  <si>
    <t>JOD特別版0123</t>
    <rPh sb="3" eb="5">
      <t>トクベツ</t>
    </rPh>
    <rPh sb="5" eb="6">
      <t>バン</t>
    </rPh>
    <phoneticPr fontId="7"/>
  </si>
  <si>
    <t>1/22～</t>
    <phoneticPr fontId="7"/>
  </si>
  <si>
    <t>JOD特別版0123</t>
    <rPh sb="3" eb="4">
      <t>トク</t>
    </rPh>
    <rPh sb="5" eb="6">
      <t>バン</t>
    </rPh>
    <phoneticPr fontId="7"/>
  </si>
  <si>
    <t>2025/12/8数伝</t>
    <rPh sb="9" eb="11">
      <t>スウデン</t>
    </rPh>
    <phoneticPr fontId="7"/>
  </si>
  <si>
    <t>JOD特別版0203</t>
    <rPh sb="3" eb="4">
      <t>トク</t>
    </rPh>
    <rPh sb="5" eb="6">
      <t>バン</t>
    </rPh>
    <phoneticPr fontId="7"/>
  </si>
  <si>
    <t>2/2～</t>
    <phoneticPr fontId="7"/>
  </si>
  <si>
    <t>JOD特別版0203</t>
    <rPh sb="3" eb="5">
      <t>トクベツ</t>
    </rPh>
    <rPh sb="5" eb="6">
      <t>バン</t>
    </rPh>
    <phoneticPr fontId="7"/>
  </si>
  <si>
    <t>KPORT</t>
    <phoneticPr fontId="7"/>
  </si>
  <si>
    <t>ゆめはん移動</t>
    <rPh sb="4" eb="6">
      <t>イドウ</t>
    </rPh>
    <phoneticPr fontId="2"/>
  </si>
  <si>
    <t>JOD返品</t>
    <rPh sb="0" eb="5">
      <t>jヘンピン</t>
    </rPh>
    <phoneticPr fontId="2"/>
  </si>
  <si>
    <t>JOD59</t>
    <phoneticPr fontId="7"/>
  </si>
  <si>
    <t>JOD57</t>
    <phoneticPr fontId="7"/>
  </si>
  <si>
    <t>KPORT</t>
    <phoneticPr fontId="7"/>
  </si>
  <si>
    <t>→ここまで在庫確認済2/26</t>
    <rPh sb="0" eb="10">
      <t>ヤジルシココマデザイコカクニンスミ</t>
    </rPh>
    <phoneticPr fontId="7"/>
  </si>
  <si>
    <t>←ここまで式確認2026/3/11</t>
    <rPh sb="0" eb="8">
      <t>&lt;-ココマデシキカクニン</t>
    </rPh>
    <phoneticPr fontId="7"/>
  </si>
  <si>
    <t>２０２６年度</t>
    <rPh sb="4" eb="5">
      <t>ネン</t>
    </rPh>
    <rPh sb="5" eb="6">
      <t>ド</t>
    </rPh>
    <phoneticPr fontId="7"/>
  </si>
  <si>
    <t>２０２５年実績構成比</t>
    <rPh sb="4" eb="5">
      <t>ネン</t>
    </rPh>
    <rPh sb="5" eb="7">
      <t>ジッセキ</t>
    </rPh>
    <rPh sb="7" eb="10">
      <t>コウセイヒ</t>
    </rPh>
    <phoneticPr fontId="7"/>
  </si>
  <si>
    <t>２０２５年９月～２０２６年３月実績</t>
    <rPh sb="4" eb="5">
      <t>ネン</t>
    </rPh>
    <rPh sb="6" eb="7">
      <t>ガツ</t>
    </rPh>
    <rPh sb="12" eb="13">
      <t>ネン</t>
    </rPh>
    <rPh sb="14" eb="15">
      <t>ガツ</t>
    </rPh>
    <rPh sb="15" eb="17">
      <t>ジッセキ</t>
    </rPh>
    <phoneticPr fontId="7"/>
  </si>
  <si>
    <t>在庫構成比</t>
    <rPh sb="0" eb="2">
      <t>ザイコ</t>
    </rPh>
    <rPh sb="2" eb="5">
      <t>コウセイヒ</t>
    </rPh>
    <phoneticPr fontId="7"/>
  </si>
  <si>
    <t>2024年実績構成比</t>
    <rPh sb="4" eb="5">
      <t>ネン</t>
    </rPh>
    <rPh sb="5" eb="7">
      <t>ジッセキ</t>
    </rPh>
    <rPh sb="7" eb="10">
      <t>コウセイヒ</t>
    </rPh>
    <phoneticPr fontId="7"/>
  </si>
  <si>
    <t>２０２６年AW～</t>
    <rPh sb="4" eb="5">
      <t>ネン</t>
    </rPh>
    <phoneticPr fontId="7"/>
  </si>
  <si>
    <t>2025年9月～2026年3月実績構成比</t>
    <rPh sb="4" eb="5">
      <t>ネン</t>
    </rPh>
    <rPh sb="6" eb="7">
      <t>ガツ</t>
    </rPh>
    <rPh sb="12" eb="13">
      <t>ネン</t>
    </rPh>
    <rPh sb="14" eb="15">
      <t>ガツ</t>
    </rPh>
    <rPh sb="15" eb="17">
      <t>ジッセキ</t>
    </rPh>
    <rPh sb="17" eb="20">
      <t>コウセイヒ</t>
    </rPh>
    <phoneticPr fontId="7"/>
  </si>
  <si>
    <t>2025年9月～2026年3月実績数</t>
    <rPh sb="4" eb="5">
      <t>ネン</t>
    </rPh>
    <rPh sb="6" eb="7">
      <t>ガツ</t>
    </rPh>
    <rPh sb="12" eb="13">
      <t>ネン</t>
    </rPh>
    <rPh sb="14" eb="15">
      <t>ガツ</t>
    </rPh>
    <rPh sb="15" eb="17">
      <t>ジッセキ</t>
    </rPh>
    <rPh sb="17" eb="18">
      <t>スウ</t>
    </rPh>
    <phoneticPr fontId="7"/>
  </si>
  <si>
    <t>２０２４年実績構成比</t>
    <rPh sb="4" eb="5">
      <t>ネン</t>
    </rPh>
    <rPh sb="5" eb="10">
      <t>ジッセキコウセイヒ</t>
    </rPh>
    <phoneticPr fontId="7"/>
  </si>
  <si>
    <t>ゆめはん</t>
    <phoneticPr fontId="2"/>
  </si>
  <si>
    <t>JOD69</t>
    <phoneticPr fontId="7"/>
  </si>
  <si>
    <t>JOD65</t>
    <phoneticPr fontId="7"/>
  </si>
  <si>
    <t>＜NEW表ウール混裏綿100％　９分丈ボトム　@520No.1016-510-515　K-PORT在庫＞</t>
    <rPh sb="49" eb="51">
      <t>ザイコ</t>
    </rPh>
    <phoneticPr fontId="2"/>
  </si>
  <si>
    <t>＜NEW表ウール混裏綿100％　８分袖インナー@520　No.1016-500-505　K-PORT在庫＞</t>
    <phoneticPr fontId="2"/>
  </si>
  <si>
    <t>営業sample</t>
    <rPh sb="0" eb="2">
      <t>エイギョウ</t>
    </rPh>
    <phoneticPr fontId="7"/>
  </si>
  <si>
    <t>サクラマチsample</t>
    <phoneticPr fontId="7"/>
  </si>
  <si>
    <t>１/初旬</t>
    <rPh sb="2" eb="4">
      <t>ショジュン</t>
    </rPh>
    <phoneticPr fontId="7"/>
  </si>
  <si>
    <t>1/初旬</t>
    <rPh sb="2" eb="4">
      <t>ショジュン</t>
    </rPh>
    <phoneticPr fontId="7"/>
  </si>
  <si>
    <t>サクラマチ（グリーンコープ）2色組</t>
    <phoneticPr fontId="7"/>
  </si>
  <si>
    <t>サクラマチ（九州）2色組</t>
    <rPh sb="6" eb="8">
      <t>キュウシュウ</t>
    </rPh>
    <phoneticPr fontId="7"/>
  </si>
  <si>
    <t>なごみ2026年2色組</t>
    <rPh sb="7" eb="8">
      <t>ネン</t>
    </rPh>
    <phoneticPr fontId="7"/>
  </si>
  <si>
    <t>JOD2026年2色組</t>
    <rPh sb="7" eb="8">
      <t>ネン</t>
    </rPh>
    <phoneticPr fontId="7"/>
  </si>
  <si>
    <t>ゆめはん</t>
    <phoneticPr fontId="7"/>
  </si>
  <si>
    <t>JOD68</t>
    <phoneticPr fontId="7"/>
  </si>
  <si>
    <t>JOD72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</si>
</sst>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0.0_ "/>
    <numFmt numFmtId="177" formatCode="0.0"/>
  </numFmts>
  <fonts count="26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b/>
      <sz val="10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36"/>
      <color theme="1"/>
      <name val="ＭＳ Ｐゴシック"/>
      <family val="2"/>
      <charset val="128"/>
      <scheme val="minor"/>
    </font>
    <font>
      <sz val="36"/>
      <color theme="1"/>
      <name val="ＭＳ Ｐゴシック"/>
      <family val="3"/>
      <charset val="128"/>
      <scheme val="minor"/>
    </font>
    <font>
      <sz val="28"/>
      <color theme="1"/>
      <name val="ＭＳ Ｐゴシック"/>
      <family val="2"/>
      <charset val="128"/>
      <scheme val="minor"/>
    </font>
    <font>
      <sz val="28"/>
      <color theme="1"/>
      <name val="ＭＳ Ｐゴシック"/>
      <family val="3"/>
      <charset val="128"/>
      <scheme val="minor"/>
    </font>
    <font>
      <b/>
      <sz val="28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4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80">
    <xf numFmtId="0" fontId="0" fillId="0" borderId="0" xfId="0">
      <alignment vertical="center"/>
    </xf>
    <xf numFmtId="0" fontId="1" fillId="0" borderId="0" xfId="1"/>
    <xf numFmtId="0" fontId="3" fillId="0" borderId="0" xfId="1" applyFont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10" xfId="1" applyBorder="1"/>
    <xf numFmtId="0" fontId="1" fillId="0" borderId="9" xfId="1" applyBorder="1"/>
    <xf numFmtId="0" fontId="1" fillId="0" borderId="16" xfId="1" applyBorder="1"/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1" fillId="0" borderId="20" xfId="1" applyBorder="1"/>
    <xf numFmtId="0" fontId="1" fillId="0" borderId="21" xfId="1" applyBorder="1"/>
    <xf numFmtId="0" fontId="1" fillId="0" borderId="22" xfId="1" applyBorder="1"/>
    <xf numFmtId="0" fontId="1" fillId="0" borderId="24" xfId="1" applyBorder="1"/>
    <xf numFmtId="0" fontId="1" fillId="0" borderId="25" xfId="1" applyBorder="1"/>
    <xf numFmtId="0" fontId="5" fillId="0" borderId="27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56" fontId="1" fillId="0" borderId="26" xfId="1" applyNumberFormat="1" applyBorder="1" applyAlignment="1">
      <alignment horizontal="center" vertical="center"/>
    </xf>
    <xf numFmtId="0" fontId="1" fillId="0" borderId="10" xfId="1" applyBorder="1" applyAlignment="1">
      <alignment horizontal="center" vertical="center" shrinkToFit="1"/>
    </xf>
    <xf numFmtId="0" fontId="6" fillId="0" borderId="1" xfId="1" applyFont="1" applyBorder="1"/>
    <xf numFmtId="0" fontId="6" fillId="0" borderId="2" xfId="1" applyFont="1" applyBorder="1"/>
    <xf numFmtId="0" fontId="6" fillId="0" borderId="4" xfId="1" applyFont="1" applyBorder="1"/>
    <xf numFmtId="0" fontId="6" fillId="0" borderId="11" xfId="1" applyFont="1" applyBorder="1"/>
    <xf numFmtId="0" fontId="1" fillId="0" borderId="28" xfId="1" applyBorder="1"/>
    <xf numFmtId="0" fontId="1" fillId="0" borderId="29" xfId="1" applyBorder="1"/>
    <xf numFmtId="0" fontId="1" fillId="0" borderId="32" xfId="1" applyBorder="1"/>
    <xf numFmtId="0" fontId="6" fillId="0" borderId="27" xfId="1" applyFont="1" applyBorder="1" applyAlignment="1">
      <alignment horizontal="center" vertical="center"/>
    </xf>
    <xf numFmtId="0" fontId="1" fillId="0" borderId="33" xfId="1" applyBorder="1"/>
    <xf numFmtId="0" fontId="8" fillId="0" borderId="0" xfId="0" applyFont="1">
      <alignment vertical="center"/>
    </xf>
    <xf numFmtId="0" fontId="1" fillId="0" borderId="27" xfId="1" applyBorder="1" applyAlignment="1">
      <alignment horizontal="center" vertical="center"/>
    </xf>
    <xf numFmtId="0" fontId="1" fillId="0" borderId="12" xfId="1" applyBorder="1"/>
    <xf numFmtId="0" fontId="1" fillId="0" borderId="13" xfId="1" applyBorder="1"/>
    <xf numFmtId="0" fontId="1" fillId="0" borderId="31" xfId="1" applyBorder="1"/>
    <xf numFmtId="0" fontId="1" fillId="0" borderId="11" xfId="1" applyBorder="1"/>
    <xf numFmtId="0" fontId="1" fillId="0" borderId="1" xfId="1" applyBorder="1"/>
    <xf numFmtId="0" fontId="1" fillId="0" borderId="2" xfId="1" applyBorder="1"/>
    <xf numFmtId="0" fontId="1" fillId="0" borderId="15" xfId="1" applyBorder="1"/>
    <xf numFmtId="0" fontId="1" fillId="0" borderId="5" xfId="1" applyBorder="1"/>
    <xf numFmtId="0" fontId="5" fillId="0" borderId="34" xfId="1" applyFont="1" applyBorder="1"/>
    <xf numFmtId="0" fontId="1" fillId="0" borderId="40" xfId="1" applyBorder="1"/>
    <xf numFmtId="0" fontId="1" fillId="0" borderId="39" xfId="1" applyBorder="1"/>
    <xf numFmtId="0" fontId="1" fillId="0" borderId="41" xfId="1" applyBorder="1"/>
    <xf numFmtId="0" fontId="1" fillId="0" borderId="42" xfId="1" applyBorder="1"/>
    <xf numFmtId="0" fontId="5" fillId="0" borderId="30" xfId="1" applyFont="1" applyBorder="1"/>
    <xf numFmtId="0" fontId="5" fillId="0" borderId="36" xfId="1" applyFont="1" applyBorder="1"/>
    <xf numFmtId="0" fontId="5" fillId="0" borderId="43" xfId="1" applyFont="1" applyBorder="1"/>
    <xf numFmtId="0" fontId="1" fillId="0" borderId="3" xfId="1" applyBorder="1"/>
    <xf numFmtId="0" fontId="1" fillId="0" borderId="38" xfId="1" applyBorder="1"/>
    <xf numFmtId="0" fontId="1" fillId="0" borderId="14" xfId="1" applyBorder="1"/>
    <xf numFmtId="0" fontId="1" fillId="0" borderId="35" xfId="1" applyBorder="1"/>
    <xf numFmtId="56" fontId="9" fillId="0" borderId="0" xfId="0" applyNumberFormat="1" applyFont="1">
      <alignment vertical="center"/>
    </xf>
    <xf numFmtId="56" fontId="8" fillId="0" borderId="0" xfId="0" applyNumberFormat="1" applyFont="1">
      <alignment vertical="center"/>
    </xf>
    <xf numFmtId="56" fontId="0" fillId="0" borderId="0" xfId="0" applyNumberFormat="1">
      <alignment vertical="center"/>
    </xf>
    <xf numFmtId="56" fontId="9" fillId="0" borderId="37" xfId="0" applyNumberFormat="1" applyFont="1" applyBorder="1">
      <alignment vertical="center"/>
    </xf>
    <xf numFmtId="0" fontId="6" fillId="0" borderId="10" xfId="1" applyFont="1" applyBorder="1" applyAlignment="1">
      <alignment horizontal="center" vertical="center" shrinkToFit="1"/>
    </xf>
    <xf numFmtId="0" fontId="9" fillId="0" borderId="0" xfId="0" applyFont="1">
      <alignment vertical="center"/>
    </xf>
    <xf numFmtId="56" fontId="1" fillId="0" borderId="27" xfId="1" applyNumberForma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56" fontId="6" fillId="0" borderId="27" xfId="1" applyNumberFormat="1" applyFont="1" applyBorder="1" applyAlignment="1">
      <alignment horizontal="center" vertical="center"/>
    </xf>
    <xf numFmtId="0" fontId="6" fillId="0" borderId="12" xfId="1" applyFont="1" applyBorder="1"/>
    <xf numFmtId="0" fontId="6" fillId="0" borderId="13" xfId="1" applyFont="1" applyBorder="1"/>
    <xf numFmtId="0" fontId="6" fillId="0" borderId="14" xfId="1" applyFont="1" applyBorder="1"/>
    <xf numFmtId="0" fontId="6" fillId="0" borderId="15" xfId="1" applyFont="1" applyBorder="1"/>
    <xf numFmtId="0" fontId="1" fillId="0" borderId="47" xfId="1" applyBorder="1"/>
    <xf numFmtId="0" fontId="1" fillId="0" borderId="48" xfId="1" applyBorder="1"/>
    <xf numFmtId="0" fontId="1" fillId="0" borderId="49" xfId="1" applyBorder="1"/>
    <xf numFmtId="0" fontId="1" fillId="0" borderId="23" xfId="1" applyBorder="1"/>
    <xf numFmtId="0" fontId="1" fillId="0" borderId="50" xfId="1" applyBorder="1"/>
    <xf numFmtId="0" fontId="1" fillId="0" borderId="51" xfId="1" applyBorder="1"/>
    <xf numFmtId="56" fontId="1" fillId="0" borderId="52" xfId="1" applyNumberForma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56" fontId="1" fillId="0" borderId="23" xfId="1" applyNumberFormat="1" applyBorder="1" applyAlignment="1">
      <alignment horizontal="center" vertical="center"/>
    </xf>
    <xf numFmtId="0" fontId="1" fillId="0" borderId="4" xfId="1" applyBorder="1"/>
    <xf numFmtId="0" fontId="3" fillId="2" borderId="0" xfId="1" applyFont="1" applyFill="1"/>
    <xf numFmtId="0" fontId="1" fillId="2" borderId="0" xfId="1" applyFill="1"/>
    <xf numFmtId="0" fontId="3" fillId="3" borderId="0" xfId="1" applyFont="1" applyFill="1"/>
    <xf numFmtId="0" fontId="1" fillId="3" borderId="0" xfId="1" applyFill="1"/>
    <xf numFmtId="0" fontId="3" fillId="4" borderId="0" xfId="1" applyFont="1" applyFill="1"/>
    <xf numFmtId="0" fontId="1" fillId="4" borderId="0" xfId="1" applyFill="1"/>
    <xf numFmtId="177" fontId="13" fillId="0" borderId="0" xfId="0" applyNumberFormat="1" applyFont="1">
      <alignment vertical="center"/>
    </xf>
    <xf numFmtId="177" fontId="14" fillId="0" borderId="0" xfId="0" applyNumberFormat="1" applyFont="1">
      <alignment vertical="center"/>
    </xf>
    <xf numFmtId="0" fontId="6" fillId="0" borderId="10" xfId="1" applyFont="1" applyBorder="1"/>
    <xf numFmtId="1" fontId="13" fillId="0" borderId="0" xfId="0" applyNumberFormat="1" applyFont="1">
      <alignment vertical="center"/>
    </xf>
    <xf numFmtId="0" fontId="6" fillId="0" borderId="6" xfId="1" applyFont="1" applyBorder="1"/>
    <xf numFmtId="0" fontId="6" fillId="0" borderId="7" xfId="1" applyFont="1" applyBorder="1"/>
    <xf numFmtId="0" fontId="6" fillId="0" borderId="39" xfId="1" applyFont="1" applyBorder="1"/>
    <xf numFmtId="0" fontId="13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0" fontId="14" fillId="0" borderId="0" xfId="0" applyFont="1">
      <alignment vertical="center"/>
    </xf>
    <xf numFmtId="0" fontId="15" fillId="0" borderId="0" xfId="1" applyFont="1"/>
    <xf numFmtId="0" fontId="6" fillId="0" borderId="8" xfId="1" applyFont="1" applyBorder="1"/>
    <xf numFmtId="0" fontId="6" fillId="0" borderId="5" xfId="1" applyFont="1" applyBorder="1"/>
    <xf numFmtId="0" fontId="1" fillId="0" borderId="23" xfId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56" fontId="1" fillId="0" borderId="10" xfId="1" applyNumberFormat="1" applyBorder="1" applyAlignment="1">
      <alignment horizontal="center" vertical="center" shrinkToFit="1"/>
    </xf>
    <xf numFmtId="56" fontId="1" fillId="0" borderId="5" xfId="1" applyNumberFormat="1" applyBorder="1" applyAlignment="1">
      <alignment horizontal="center" vertical="center"/>
    </xf>
    <xf numFmtId="56" fontId="9" fillId="0" borderId="0" xfId="0" applyNumberFormat="1" applyFont="1" applyAlignment="1">
      <alignment horizontal="left" vertical="center"/>
    </xf>
    <xf numFmtId="0" fontId="4" fillId="0" borderId="10" xfId="1" applyFont="1" applyBorder="1" applyAlignment="1">
      <alignment horizontal="center" vertical="center" shrinkToFit="1"/>
    </xf>
    <xf numFmtId="0" fontId="4" fillId="0" borderId="6" xfId="1" applyFont="1" applyBorder="1"/>
    <xf numFmtId="0" fontId="4" fillId="0" borderId="7" xfId="1" applyFont="1" applyBorder="1"/>
    <xf numFmtId="0" fontId="4" fillId="0" borderId="8" xfId="1" applyFont="1" applyBorder="1"/>
    <xf numFmtId="0" fontId="4" fillId="0" borderId="5" xfId="1" applyFont="1" applyBorder="1"/>
    <xf numFmtId="0" fontId="4" fillId="0" borderId="9" xfId="1" applyFont="1" applyBorder="1"/>
    <xf numFmtId="0" fontId="4" fillId="0" borderId="10" xfId="1" applyFont="1" applyBorder="1"/>
    <xf numFmtId="56" fontId="10" fillId="0" borderId="0" xfId="0" applyNumberFormat="1" applyFont="1">
      <alignment vertical="center"/>
    </xf>
    <xf numFmtId="56" fontId="10" fillId="0" borderId="0" xfId="0" applyNumberFormat="1" applyFont="1" applyAlignment="1">
      <alignment horizontal="left" vertical="center"/>
    </xf>
    <xf numFmtId="0" fontId="6" fillId="0" borderId="3" xfId="1" applyFont="1" applyBorder="1"/>
    <xf numFmtId="0" fontId="22" fillId="0" borderId="0" xfId="0" applyFont="1">
      <alignment vertical="center"/>
    </xf>
    <xf numFmtId="0" fontId="4" fillId="4" borderId="0" xfId="1" applyFont="1" applyFill="1"/>
    <xf numFmtId="56" fontId="22" fillId="0" borderId="0" xfId="0" applyNumberFormat="1" applyFont="1">
      <alignment vertical="center"/>
    </xf>
    <xf numFmtId="0" fontId="3" fillId="3" borderId="0" xfId="1" applyFont="1" applyFill="1" applyAlignment="1">
      <alignment horizontal="center"/>
    </xf>
    <xf numFmtId="0" fontId="23" fillId="0" borderId="0" xfId="0" applyFont="1">
      <alignment vertical="center"/>
    </xf>
    <xf numFmtId="0" fontId="24" fillId="0" borderId="10" xfId="1" applyFont="1" applyBorder="1" applyAlignment="1">
      <alignment horizontal="center" vertical="center" shrinkToFit="1"/>
    </xf>
    <xf numFmtId="0" fontId="24" fillId="0" borderId="6" xfId="1" applyFont="1" applyBorder="1"/>
    <xf numFmtId="0" fontId="24" fillId="0" borderId="7" xfId="1" applyFont="1" applyBorder="1"/>
    <xf numFmtId="0" fontId="24" fillId="0" borderId="8" xfId="1" applyFont="1" applyBorder="1"/>
    <xf numFmtId="0" fontId="24" fillId="0" borderId="5" xfId="1" applyFont="1" applyBorder="1"/>
    <xf numFmtId="0" fontId="24" fillId="0" borderId="10" xfId="1" applyFont="1" applyBorder="1"/>
    <xf numFmtId="0" fontId="24" fillId="0" borderId="9" xfId="1" applyFont="1" applyBorder="1"/>
    <xf numFmtId="0" fontId="0" fillId="0" borderId="0" xfId="0" applyAlignment="1">
      <alignment horizontal="right" vertical="center"/>
    </xf>
    <xf numFmtId="177" fontId="8" fillId="0" borderId="0" xfId="0" applyNumberFormat="1" applyFont="1">
      <alignment vertical="center"/>
    </xf>
    <xf numFmtId="0" fontId="14" fillId="0" borderId="0" xfId="0" applyFont="1" applyAlignment="1">
      <alignment horizontal="right" vertical="center"/>
    </xf>
    <xf numFmtId="0" fontId="6" fillId="0" borderId="37" xfId="1" applyFont="1" applyBorder="1" applyAlignment="1">
      <alignment horizontal="center" vertical="center" shrinkToFit="1"/>
    </xf>
    <xf numFmtId="56" fontId="24" fillId="0" borderId="26" xfId="1" applyNumberFormat="1" applyFont="1" applyBorder="1" applyAlignment="1">
      <alignment horizontal="center" vertical="center"/>
    </xf>
    <xf numFmtId="0" fontId="24" fillId="0" borderId="39" xfId="1" applyFont="1" applyBorder="1"/>
    <xf numFmtId="0" fontId="24" fillId="0" borderId="5" xfId="1" applyFont="1" applyBorder="1" applyAlignment="1">
      <alignment horizontal="center" vertical="center"/>
    </xf>
    <xf numFmtId="0" fontId="24" fillId="0" borderId="16" xfId="1" applyFont="1" applyBorder="1"/>
    <xf numFmtId="0" fontId="24" fillId="0" borderId="17" xfId="1" applyFont="1" applyBorder="1"/>
    <xf numFmtId="0" fontId="24" fillId="0" borderId="18" xfId="1" applyFont="1" applyBorder="1"/>
    <xf numFmtId="0" fontId="24" fillId="0" borderId="19" xfId="1" applyFont="1" applyBorder="1"/>
    <xf numFmtId="0" fontId="24" fillId="0" borderId="41" xfId="1" applyFont="1" applyBorder="1"/>
    <xf numFmtId="6" fontId="25" fillId="4" borderId="0" xfId="1" applyNumberFormat="1" applyFont="1" applyFill="1"/>
    <xf numFmtId="56" fontId="6" fillId="0" borderId="26" xfId="1" applyNumberFormat="1" applyFont="1" applyBorder="1" applyAlignment="1">
      <alignment horizontal="center" vertical="center"/>
    </xf>
    <xf numFmtId="0" fontId="6" fillId="0" borderId="16" xfId="1" applyFont="1" applyBorder="1"/>
    <xf numFmtId="0" fontId="6" fillId="0" borderId="17" xfId="1" applyFont="1" applyBorder="1"/>
    <xf numFmtId="0" fontId="6" fillId="0" borderId="41" xfId="1" applyFont="1" applyBorder="1"/>
    <xf numFmtId="56" fontId="8" fillId="0" borderId="0" xfId="0" applyNumberFormat="1" applyFont="1" applyAlignment="1">
      <alignment horizontal="left" vertical="center"/>
    </xf>
    <xf numFmtId="0" fontId="4" fillId="0" borderId="27" xfId="1" applyFont="1" applyBorder="1" applyAlignment="1">
      <alignment horizontal="center" vertical="center"/>
    </xf>
    <xf numFmtId="0" fontId="4" fillId="0" borderId="45" xfId="1" applyFont="1" applyBorder="1" applyAlignment="1">
      <alignment horizontal="center" vertical="center"/>
    </xf>
    <xf numFmtId="0" fontId="4" fillId="0" borderId="44" xfId="1" applyFont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0" fontId="1" fillId="0" borderId="45" xfId="1" applyBorder="1" applyAlignment="1">
      <alignment horizontal="center" vertical="center"/>
    </xf>
    <xf numFmtId="0" fontId="1" fillId="0" borderId="44" xfId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30" xfId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" fillId="0" borderId="10" xfId="1" applyFont="1" applyBorder="1" applyAlignment="1">
      <alignment horizontal="center" vertical="center" shrinkToFit="1"/>
    </xf>
    <xf numFmtId="0" fontId="1" fillId="0" borderId="6" xfId="1" applyFont="1" applyBorder="1"/>
    <xf numFmtId="0" fontId="1" fillId="0" borderId="7" xfId="1" applyFont="1" applyBorder="1"/>
    <xf numFmtId="0" fontId="1" fillId="0" borderId="8" xfId="1" applyFont="1" applyBorder="1"/>
    <xf numFmtId="0" fontId="1" fillId="0" borderId="5" xfId="1" applyFont="1" applyBorder="1"/>
    <xf numFmtId="0" fontId="1" fillId="0" borderId="9" xfId="1" applyFont="1" applyBorder="1"/>
    <xf numFmtId="0" fontId="1" fillId="0" borderId="10" xfId="1" applyFont="1" applyBorder="1"/>
    <xf numFmtId="0" fontId="1" fillId="0" borderId="5" xfId="1" applyFont="1" applyBorder="1" applyAlignment="1">
      <alignment horizontal="center" vertical="center"/>
    </xf>
    <xf numFmtId="0" fontId="1" fillId="0" borderId="16" xfId="1" applyFont="1" applyBorder="1"/>
    <xf numFmtId="0" fontId="1" fillId="0" borderId="17" xfId="1" applyFont="1" applyBorder="1"/>
    <xf numFmtId="0" fontId="1" fillId="0" borderId="18" xfId="1" applyFont="1" applyBorder="1"/>
    <xf numFmtId="0" fontId="1" fillId="0" borderId="19" xfId="1" applyFont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76"/>
  <sheetViews>
    <sheetView topLeftCell="E697" zoomScaleNormal="100" workbookViewId="0">
      <selection activeCell="W725" sqref="W725"/>
    </sheetView>
  </sheetViews>
  <sheetFormatPr defaultRowHeight="13.5" x14ac:dyDescent="0.15"/>
  <cols>
    <col min="1" max="1" width="20.625" customWidth="1"/>
    <col min="11" max="11" width="9.25" bestFit="1" customWidth="1"/>
    <col min="12" max="12" width="28.125" customWidth="1"/>
    <col min="13" max="13" width="13.125" bestFit="1" customWidth="1"/>
    <col min="21" max="21" width="9.375" bestFit="1" customWidth="1"/>
    <col min="22" max="22" width="10.5" bestFit="1" customWidth="1"/>
  </cols>
  <sheetData>
    <row r="1" spans="1:23" ht="19.5" thickBot="1" x14ac:dyDescent="0.25">
      <c r="A1" s="2" t="s">
        <v>29</v>
      </c>
      <c r="B1" s="1"/>
      <c r="C1" s="1"/>
      <c r="D1" s="1"/>
      <c r="E1" s="1"/>
      <c r="F1" s="1"/>
      <c r="G1" s="1"/>
      <c r="H1" s="1"/>
      <c r="I1" s="1"/>
      <c r="J1" s="1"/>
      <c r="L1" s="2" t="s">
        <v>30</v>
      </c>
      <c r="M1" s="1"/>
      <c r="N1" s="1"/>
      <c r="O1" s="1"/>
      <c r="P1" s="1"/>
      <c r="Q1" s="1"/>
      <c r="R1" s="1"/>
      <c r="S1" s="1"/>
      <c r="T1" s="1"/>
      <c r="U1" s="1">
        <v>480</v>
      </c>
    </row>
    <row r="2" spans="1:23" ht="14.25" thickBot="1" x14ac:dyDescent="0.2">
      <c r="A2" s="6"/>
      <c r="B2" s="159" t="s">
        <v>19</v>
      </c>
      <c r="C2" s="160"/>
      <c r="D2" s="160"/>
      <c r="E2" s="161"/>
      <c r="F2" s="159" t="s">
        <v>22</v>
      </c>
      <c r="G2" s="160"/>
      <c r="H2" s="160"/>
      <c r="I2" s="162"/>
      <c r="J2" s="157" t="s">
        <v>0</v>
      </c>
      <c r="L2" s="6"/>
      <c r="M2" s="146" t="s">
        <v>18</v>
      </c>
      <c r="N2" s="147"/>
      <c r="O2" s="147"/>
      <c r="P2" s="148"/>
      <c r="Q2" s="146" t="s">
        <v>22</v>
      </c>
      <c r="R2" s="147"/>
      <c r="S2" s="147"/>
      <c r="T2" s="148"/>
      <c r="U2" s="157" t="s">
        <v>0</v>
      </c>
    </row>
    <row r="3" spans="1:23" ht="14.25" thickBot="1" x14ac:dyDescent="0.2">
      <c r="A3" s="6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3" t="s">
        <v>2</v>
      </c>
      <c r="G3" s="4" t="s">
        <v>3</v>
      </c>
      <c r="H3" s="5" t="s">
        <v>4</v>
      </c>
      <c r="I3" s="6" t="s">
        <v>5</v>
      </c>
      <c r="J3" s="158"/>
      <c r="L3" s="6" t="s">
        <v>1</v>
      </c>
      <c r="M3" s="3" t="s">
        <v>2</v>
      </c>
      <c r="N3" s="4" t="s">
        <v>3</v>
      </c>
      <c r="O3" s="5" t="s">
        <v>4</v>
      </c>
      <c r="P3" s="6" t="s">
        <v>5</v>
      </c>
      <c r="Q3" s="3" t="s">
        <v>2</v>
      </c>
      <c r="R3" s="4" t="s">
        <v>3</v>
      </c>
      <c r="S3" s="5" t="s">
        <v>4</v>
      </c>
      <c r="T3" s="6" t="s">
        <v>5</v>
      </c>
      <c r="U3" s="158"/>
    </row>
    <row r="4" spans="1:23" ht="14.25" thickBot="1" x14ac:dyDescent="0.2">
      <c r="A4" s="62" t="s">
        <v>6</v>
      </c>
      <c r="B4" s="36">
        <v>1</v>
      </c>
      <c r="C4" s="37">
        <v>1</v>
      </c>
      <c r="D4" s="54"/>
      <c r="E4" s="42">
        <f>SUM(B4:D4)</f>
        <v>2</v>
      </c>
      <c r="F4" s="36">
        <v>1</v>
      </c>
      <c r="G4" s="37">
        <v>1</v>
      </c>
      <c r="H4" s="54"/>
      <c r="I4" s="42">
        <f>SUM(F4:H4)</f>
        <v>2</v>
      </c>
      <c r="J4" s="42">
        <f>E4+I4</f>
        <v>4</v>
      </c>
      <c r="K4" s="56">
        <v>44870</v>
      </c>
      <c r="L4" s="62" t="s">
        <v>25</v>
      </c>
      <c r="M4" s="36">
        <v>80</v>
      </c>
      <c r="N4" s="37">
        <v>90</v>
      </c>
      <c r="O4" s="54">
        <v>50</v>
      </c>
      <c r="P4" s="39">
        <f>SUM(M4:O4)</f>
        <v>220</v>
      </c>
      <c r="Q4" s="36">
        <v>80</v>
      </c>
      <c r="R4" s="37">
        <v>90</v>
      </c>
      <c r="S4" s="54">
        <v>50</v>
      </c>
      <c r="T4" s="39">
        <f>SUM(Q4:S4)</f>
        <v>220</v>
      </c>
      <c r="U4" s="39">
        <f>P4+T4</f>
        <v>440</v>
      </c>
      <c r="V4" s="56" t="s">
        <v>36</v>
      </c>
    </row>
    <row r="5" spans="1:23" x14ac:dyDescent="0.15">
      <c r="A5" s="23" t="s">
        <v>20</v>
      </c>
      <c r="B5" s="36">
        <v>3</v>
      </c>
      <c r="C5" s="37">
        <v>3</v>
      </c>
      <c r="D5" s="38">
        <v>3</v>
      </c>
      <c r="E5" s="42">
        <f>SUM(B5:D5)</f>
        <v>9</v>
      </c>
      <c r="F5" s="53">
        <v>3</v>
      </c>
      <c r="G5" s="37">
        <v>3</v>
      </c>
      <c r="H5" s="54">
        <v>3</v>
      </c>
      <c r="I5" s="42">
        <f>SUM(F5:H5)</f>
        <v>9</v>
      </c>
      <c r="J5" s="42">
        <f>E5+I5</f>
        <v>18</v>
      </c>
      <c r="K5" s="56">
        <v>44901</v>
      </c>
      <c r="L5" s="23" t="s">
        <v>7</v>
      </c>
      <c r="M5" s="36"/>
      <c r="N5" s="37"/>
      <c r="O5" s="38"/>
      <c r="P5" s="43">
        <f t="shared" ref="P5:P7" si="0">SUM(M5:O5)</f>
        <v>0</v>
      </c>
      <c r="Q5" s="53"/>
      <c r="R5" s="37"/>
      <c r="S5" s="54"/>
      <c r="T5" s="43">
        <f t="shared" ref="T5:T7" si="1">SUM(Q5:S5)</f>
        <v>0</v>
      </c>
      <c r="U5" s="43">
        <f t="shared" ref="U5:U7" si="2">P5+T5</f>
        <v>0</v>
      </c>
      <c r="V5" s="56"/>
    </row>
    <row r="6" spans="1:23" x14ac:dyDescent="0.15">
      <c r="A6" s="23" t="s">
        <v>77</v>
      </c>
      <c r="B6" s="7">
        <v>1</v>
      </c>
      <c r="C6" s="8">
        <v>2</v>
      </c>
      <c r="D6" s="46"/>
      <c r="E6" s="10">
        <f>SUM(B6:D6)</f>
        <v>3</v>
      </c>
      <c r="F6" s="11">
        <v>1</v>
      </c>
      <c r="G6" s="8">
        <v>2</v>
      </c>
      <c r="H6" s="9"/>
      <c r="I6" s="10">
        <f>SUM(F6:H6)</f>
        <v>3</v>
      </c>
      <c r="J6" s="10">
        <f>E6+I6</f>
        <v>6</v>
      </c>
      <c r="K6" s="56">
        <v>44922</v>
      </c>
      <c r="L6" s="23" t="s">
        <v>26</v>
      </c>
      <c r="M6" s="7">
        <v>80</v>
      </c>
      <c r="N6" s="8">
        <v>90</v>
      </c>
      <c r="O6" s="46">
        <v>50</v>
      </c>
      <c r="P6" s="10">
        <f t="shared" si="0"/>
        <v>220</v>
      </c>
      <c r="Q6" s="11">
        <v>80</v>
      </c>
      <c r="R6" s="8">
        <v>90</v>
      </c>
      <c r="S6" s="9">
        <v>50</v>
      </c>
      <c r="T6" s="10">
        <f t="shared" si="1"/>
        <v>220</v>
      </c>
      <c r="U6" s="10">
        <f t="shared" si="2"/>
        <v>440</v>
      </c>
      <c r="V6" s="56" t="s">
        <v>51</v>
      </c>
    </row>
    <row r="7" spans="1:23" x14ac:dyDescent="0.15">
      <c r="A7" s="23" t="s">
        <v>77</v>
      </c>
      <c r="B7" s="16"/>
      <c r="C7" s="17">
        <v>1</v>
      </c>
      <c r="D7" s="45"/>
      <c r="E7" s="10">
        <f t="shared" ref="E7:E12" si="3">SUM(B7:D7)</f>
        <v>1</v>
      </c>
      <c r="F7" s="19"/>
      <c r="G7" s="17">
        <v>1</v>
      </c>
      <c r="H7" s="18"/>
      <c r="I7" s="10">
        <f t="shared" ref="I7:I12" si="4">SUM(F7:H7)</f>
        <v>1</v>
      </c>
      <c r="J7" s="10">
        <f t="shared" ref="J7:J12" si="5">E7+I7</f>
        <v>2</v>
      </c>
      <c r="K7" s="56">
        <v>44942</v>
      </c>
      <c r="L7" s="23" t="s">
        <v>9</v>
      </c>
      <c r="M7" s="16"/>
      <c r="N7" s="17"/>
      <c r="O7" s="45"/>
      <c r="P7" s="10">
        <f t="shared" si="0"/>
        <v>0</v>
      </c>
      <c r="Q7" s="19"/>
      <c r="R7" s="17"/>
      <c r="S7" s="18"/>
      <c r="T7" s="10">
        <f t="shared" si="1"/>
        <v>0</v>
      </c>
      <c r="U7" s="10">
        <f t="shared" si="2"/>
        <v>0</v>
      </c>
      <c r="V7" s="56"/>
    </row>
    <row r="8" spans="1:23" x14ac:dyDescent="0.15">
      <c r="A8" s="23" t="s">
        <v>20</v>
      </c>
      <c r="B8" s="7"/>
      <c r="C8" s="8"/>
      <c r="D8" s="46"/>
      <c r="E8" s="10">
        <f t="shared" si="3"/>
        <v>0</v>
      </c>
      <c r="F8" s="11"/>
      <c r="G8" s="8"/>
      <c r="H8" s="9"/>
      <c r="I8" s="10">
        <f t="shared" si="4"/>
        <v>0</v>
      </c>
      <c r="J8" s="10">
        <f t="shared" si="5"/>
        <v>0</v>
      </c>
      <c r="K8" s="56"/>
      <c r="L8" s="23" t="s">
        <v>10</v>
      </c>
      <c r="M8" s="7"/>
      <c r="N8" s="8"/>
      <c r="O8" s="46"/>
      <c r="P8" s="10">
        <f t="shared" ref="P8:P12" si="6">SUM(M8:O8)</f>
        <v>0</v>
      </c>
      <c r="Q8" s="11"/>
      <c r="R8" s="8"/>
      <c r="S8" s="9"/>
      <c r="T8" s="10">
        <f t="shared" ref="T8:T12" si="7">SUM(Q8:S8)</f>
        <v>0</v>
      </c>
      <c r="U8" s="10">
        <f t="shared" ref="U8:U12" si="8">P8+T8</f>
        <v>0</v>
      </c>
    </row>
    <row r="9" spans="1:23" x14ac:dyDescent="0.15">
      <c r="A9" s="23" t="s">
        <v>20</v>
      </c>
      <c r="B9" s="7"/>
      <c r="C9" s="8"/>
      <c r="D9" s="46"/>
      <c r="E9" s="10">
        <f t="shared" si="3"/>
        <v>0</v>
      </c>
      <c r="F9" s="11"/>
      <c r="G9" s="8"/>
      <c r="H9" s="9"/>
      <c r="I9" s="10">
        <f t="shared" si="4"/>
        <v>0</v>
      </c>
      <c r="J9" s="10">
        <f t="shared" si="5"/>
        <v>0</v>
      </c>
      <c r="K9" s="56"/>
      <c r="L9" s="23" t="s">
        <v>11</v>
      </c>
      <c r="M9" s="7"/>
      <c r="N9" s="8"/>
      <c r="O9" s="46"/>
      <c r="P9" s="10">
        <f t="shared" si="6"/>
        <v>0</v>
      </c>
      <c r="Q9" s="11"/>
      <c r="R9" s="8"/>
      <c r="S9" s="9"/>
      <c r="T9" s="10">
        <f t="shared" si="7"/>
        <v>0</v>
      </c>
      <c r="U9" s="10">
        <f t="shared" si="8"/>
        <v>0</v>
      </c>
    </row>
    <row r="10" spans="1:23" x14ac:dyDescent="0.15">
      <c r="A10" s="23" t="s">
        <v>20</v>
      </c>
      <c r="B10" s="7"/>
      <c r="C10" s="8"/>
      <c r="D10" s="46"/>
      <c r="E10" s="10">
        <f t="shared" si="3"/>
        <v>0</v>
      </c>
      <c r="F10" s="11"/>
      <c r="G10" s="8"/>
      <c r="H10" s="9"/>
      <c r="I10" s="10">
        <f t="shared" si="4"/>
        <v>0</v>
      </c>
      <c r="J10" s="10">
        <f t="shared" si="5"/>
        <v>0</v>
      </c>
      <c r="K10" s="56"/>
      <c r="L10" s="23" t="s">
        <v>12</v>
      </c>
      <c r="M10" s="7"/>
      <c r="N10" s="8"/>
      <c r="O10" s="46"/>
      <c r="P10" s="10">
        <f t="shared" si="6"/>
        <v>0</v>
      </c>
      <c r="Q10" s="11"/>
      <c r="R10" s="8"/>
      <c r="S10" s="9"/>
      <c r="T10" s="10">
        <f t="shared" si="7"/>
        <v>0</v>
      </c>
      <c r="U10" s="10">
        <f t="shared" si="8"/>
        <v>0</v>
      </c>
    </row>
    <row r="11" spans="1:23" x14ac:dyDescent="0.15">
      <c r="A11" s="23" t="s">
        <v>20</v>
      </c>
      <c r="B11" s="12"/>
      <c r="C11" s="13"/>
      <c r="D11" s="47"/>
      <c r="E11" s="10">
        <f t="shared" si="3"/>
        <v>0</v>
      </c>
      <c r="F11" s="15"/>
      <c r="G11" s="13"/>
      <c r="H11" s="14"/>
      <c r="I11" s="10">
        <f t="shared" si="4"/>
        <v>0</v>
      </c>
      <c r="J11" s="10">
        <f t="shared" si="5"/>
        <v>0</v>
      </c>
      <c r="K11" s="56"/>
      <c r="L11" s="23" t="s">
        <v>13</v>
      </c>
      <c r="M11" s="12"/>
      <c r="N11" s="13"/>
      <c r="O11" s="47"/>
      <c r="P11" s="10">
        <f t="shared" si="6"/>
        <v>0</v>
      </c>
      <c r="Q11" s="15"/>
      <c r="R11" s="13"/>
      <c r="S11" s="14"/>
      <c r="T11" s="10">
        <f t="shared" si="7"/>
        <v>0</v>
      </c>
      <c r="U11" s="10">
        <f t="shared" si="8"/>
        <v>0</v>
      </c>
    </row>
    <row r="12" spans="1:23" ht="14.25" thickBot="1" x14ac:dyDescent="0.2">
      <c r="A12" s="23" t="s">
        <v>20</v>
      </c>
      <c r="B12" s="29"/>
      <c r="C12" s="30"/>
      <c r="D12" s="48"/>
      <c r="E12" s="55">
        <f t="shared" si="3"/>
        <v>0</v>
      </c>
      <c r="F12" s="31"/>
      <c r="G12" s="31"/>
      <c r="H12" s="33"/>
      <c r="I12" s="55">
        <f t="shared" si="4"/>
        <v>0</v>
      </c>
      <c r="J12" s="20">
        <f t="shared" si="5"/>
        <v>0</v>
      </c>
      <c r="K12" s="56"/>
      <c r="L12" s="23" t="s">
        <v>14</v>
      </c>
      <c r="M12" s="29"/>
      <c r="N12" s="30"/>
      <c r="O12" s="48"/>
      <c r="P12" s="55">
        <f t="shared" si="6"/>
        <v>0</v>
      </c>
      <c r="Q12" s="31"/>
      <c r="R12" s="31"/>
      <c r="S12" s="33"/>
      <c r="T12" s="55">
        <f t="shared" si="7"/>
        <v>0</v>
      </c>
      <c r="U12" s="20">
        <f t="shared" si="8"/>
        <v>0</v>
      </c>
    </row>
    <row r="13" spans="1:23" ht="14.25" thickBot="1" x14ac:dyDescent="0.2">
      <c r="A13" s="32" t="s">
        <v>15</v>
      </c>
      <c r="B13" s="25">
        <f>SUM(B4:B12)</f>
        <v>5</v>
      </c>
      <c r="C13" s="26">
        <f>SUM(C4:C12)</f>
        <v>7</v>
      </c>
      <c r="D13" s="27">
        <f>SUM(D4:D12)</f>
        <v>3</v>
      </c>
      <c r="E13" s="28">
        <f>SUM(B13:D13)</f>
        <v>15</v>
      </c>
      <c r="F13" s="25">
        <f>SUM(F4:F12)</f>
        <v>5</v>
      </c>
      <c r="G13" s="26">
        <f>SUM(G4:G12)</f>
        <v>7</v>
      </c>
      <c r="H13" s="27">
        <f>SUM(H4:H12)</f>
        <v>3</v>
      </c>
      <c r="I13" s="28">
        <f>SUM(F13:H13)</f>
        <v>15</v>
      </c>
      <c r="J13" s="28">
        <f>E13+I13</f>
        <v>30</v>
      </c>
      <c r="L13" s="32" t="s">
        <v>15</v>
      </c>
      <c r="M13" s="25">
        <f>SUM(M4:M12)</f>
        <v>160</v>
      </c>
      <c r="N13" s="26">
        <f>SUM(N4:N12)</f>
        <v>180</v>
      </c>
      <c r="O13" s="27">
        <f>SUM(O4:O12)</f>
        <v>100</v>
      </c>
      <c r="P13" s="28">
        <f>SUM(M13:O13)</f>
        <v>440</v>
      </c>
      <c r="Q13" s="25">
        <f>SUM(Q4:Q12)</f>
        <v>160</v>
      </c>
      <c r="R13" s="26">
        <f>SUM(R4:R12)</f>
        <v>180</v>
      </c>
      <c r="S13" s="27">
        <f>SUM(S4:S12)</f>
        <v>100</v>
      </c>
      <c r="T13" s="28">
        <f>SUM(Q13:S13)</f>
        <v>440</v>
      </c>
      <c r="U13" s="28">
        <f>P13+T13</f>
        <v>880</v>
      </c>
    </row>
    <row r="14" spans="1:23" x14ac:dyDescent="0.15">
      <c r="A14" s="22" t="s">
        <v>46</v>
      </c>
      <c r="B14" s="12"/>
      <c r="C14" s="13">
        <v>1</v>
      </c>
      <c r="D14" s="14"/>
      <c r="E14" s="43">
        <f>SUM(B14:D14)</f>
        <v>1</v>
      </c>
      <c r="F14" s="15"/>
      <c r="G14" s="13">
        <v>1</v>
      </c>
      <c r="H14" s="14"/>
      <c r="I14" s="43">
        <f>SUM(F14:H14)</f>
        <v>1</v>
      </c>
      <c r="J14" s="10">
        <f>E14+I14</f>
        <v>2</v>
      </c>
      <c r="K14" s="56">
        <v>44900</v>
      </c>
      <c r="L14" s="22" t="s">
        <v>37</v>
      </c>
      <c r="M14" s="12">
        <v>1</v>
      </c>
      <c r="N14" s="13">
        <v>1</v>
      </c>
      <c r="O14" s="14"/>
      <c r="P14" s="43">
        <f>SUM(M14:O14)</f>
        <v>2</v>
      </c>
      <c r="Q14" s="15">
        <v>1</v>
      </c>
      <c r="R14" s="13">
        <v>1</v>
      </c>
      <c r="S14" s="14"/>
      <c r="T14" s="43">
        <f>SUM(Q14:S14)</f>
        <v>2</v>
      </c>
      <c r="U14" s="10">
        <f>P14+T14</f>
        <v>4</v>
      </c>
      <c r="V14" s="56">
        <v>44870</v>
      </c>
    </row>
    <row r="15" spans="1:23" x14ac:dyDescent="0.15">
      <c r="A15" s="22" t="s">
        <v>78</v>
      </c>
      <c r="B15" s="7"/>
      <c r="C15" s="8">
        <v>1</v>
      </c>
      <c r="D15" s="9"/>
      <c r="E15" s="43">
        <f t="shared" ref="E15" si="9">SUM(B15:D15)</f>
        <v>1</v>
      </c>
      <c r="F15" s="11"/>
      <c r="G15" s="8">
        <v>1</v>
      </c>
      <c r="H15" s="9"/>
      <c r="I15" s="43">
        <f t="shared" ref="I15" si="10">SUM(F15:H15)</f>
        <v>1</v>
      </c>
      <c r="J15" s="10">
        <f t="shared" ref="J15" si="11">E15+I15</f>
        <v>2</v>
      </c>
      <c r="K15" s="56">
        <v>44566</v>
      </c>
      <c r="L15" s="22" t="s">
        <v>38</v>
      </c>
      <c r="M15" s="7">
        <v>3</v>
      </c>
      <c r="N15" s="8">
        <v>3</v>
      </c>
      <c r="O15" s="9">
        <v>3</v>
      </c>
      <c r="P15" s="43">
        <f t="shared" ref="P15:P38" si="12">SUM(M15:O15)</f>
        <v>9</v>
      </c>
      <c r="Q15" s="11">
        <v>3</v>
      </c>
      <c r="R15" s="8">
        <v>3</v>
      </c>
      <c r="S15" s="9">
        <v>3</v>
      </c>
      <c r="T15" s="43">
        <f t="shared" ref="T15:T38" si="13">SUM(Q15:S15)</f>
        <v>9</v>
      </c>
      <c r="U15" s="10">
        <f t="shared" ref="U15:U38" si="14">P15+T15</f>
        <v>18</v>
      </c>
      <c r="V15" s="56">
        <v>44881</v>
      </c>
      <c r="W15" s="61"/>
    </row>
    <row r="16" spans="1:23" x14ac:dyDescent="0.15">
      <c r="A16" s="22" t="s">
        <v>97</v>
      </c>
      <c r="B16" s="7"/>
      <c r="C16" s="8">
        <v>1</v>
      </c>
      <c r="D16" s="9"/>
      <c r="E16" s="43">
        <f t="shared" ref="E16:E40" si="15">SUM(B16:D16)</f>
        <v>1</v>
      </c>
      <c r="F16" s="11"/>
      <c r="G16" s="8">
        <v>1</v>
      </c>
      <c r="H16" s="9"/>
      <c r="I16" s="43">
        <f t="shared" ref="I16:I40" si="16">SUM(F16:H16)</f>
        <v>1</v>
      </c>
      <c r="J16" s="10">
        <f t="shared" ref="J16:J38" si="17">E16+I16</f>
        <v>2</v>
      </c>
      <c r="K16" s="56">
        <v>44947</v>
      </c>
      <c r="L16" s="22" t="s">
        <v>40</v>
      </c>
      <c r="M16" s="7"/>
      <c r="N16" s="8">
        <v>5</v>
      </c>
      <c r="O16" s="9">
        <v>1</v>
      </c>
      <c r="P16" s="43">
        <f t="shared" si="12"/>
        <v>6</v>
      </c>
      <c r="Q16" s="11"/>
      <c r="R16" s="8">
        <v>5</v>
      </c>
      <c r="S16" s="9">
        <v>1</v>
      </c>
      <c r="T16" s="43">
        <f t="shared" si="13"/>
        <v>6</v>
      </c>
      <c r="U16" s="10">
        <f t="shared" si="14"/>
        <v>12</v>
      </c>
      <c r="V16" s="56">
        <v>44894</v>
      </c>
      <c r="W16" s="61"/>
    </row>
    <row r="17" spans="1:23" x14ac:dyDescent="0.15">
      <c r="A17" s="22"/>
      <c r="B17" s="7"/>
      <c r="C17" s="8"/>
      <c r="D17" s="9"/>
      <c r="E17" s="43">
        <f t="shared" si="15"/>
        <v>0</v>
      </c>
      <c r="F17" s="11"/>
      <c r="G17" s="8"/>
      <c r="H17" s="9"/>
      <c r="I17" s="43">
        <f t="shared" si="16"/>
        <v>0</v>
      </c>
      <c r="J17" s="10">
        <f t="shared" si="17"/>
        <v>0</v>
      </c>
      <c r="K17" s="56"/>
      <c r="L17" s="22" t="s">
        <v>41</v>
      </c>
      <c r="M17" s="7"/>
      <c r="N17" s="8">
        <v>2</v>
      </c>
      <c r="O17" s="9">
        <v>11</v>
      </c>
      <c r="P17" s="43">
        <f t="shared" si="12"/>
        <v>13</v>
      </c>
      <c r="Q17" s="11"/>
      <c r="R17" s="8">
        <v>2</v>
      </c>
      <c r="S17" s="9">
        <v>11</v>
      </c>
      <c r="T17" s="43">
        <f t="shared" si="13"/>
        <v>13</v>
      </c>
      <c r="U17" s="10">
        <f t="shared" si="14"/>
        <v>26</v>
      </c>
      <c r="V17" s="56">
        <v>44895</v>
      </c>
    </row>
    <row r="18" spans="1:23" x14ac:dyDescent="0.15">
      <c r="A18" s="22"/>
      <c r="B18" s="7"/>
      <c r="C18" s="8"/>
      <c r="D18" s="9"/>
      <c r="E18" s="43">
        <f t="shared" si="15"/>
        <v>0</v>
      </c>
      <c r="F18" s="11"/>
      <c r="G18" s="8"/>
      <c r="H18" s="9"/>
      <c r="I18" s="43">
        <f t="shared" si="16"/>
        <v>0</v>
      </c>
      <c r="J18" s="10">
        <f t="shared" si="17"/>
        <v>0</v>
      </c>
      <c r="K18" s="56"/>
      <c r="L18" s="22" t="s">
        <v>42</v>
      </c>
      <c r="M18" s="7">
        <v>5</v>
      </c>
      <c r="N18" s="8">
        <v>4</v>
      </c>
      <c r="O18" s="9">
        <v>4</v>
      </c>
      <c r="P18" s="43">
        <f t="shared" si="12"/>
        <v>13</v>
      </c>
      <c r="Q18" s="11">
        <v>5</v>
      </c>
      <c r="R18" s="8">
        <v>4</v>
      </c>
      <c r="S18" s="9">
        <v>4</v>
      </c>
      <c r="T18" s="43">
        <f t="shared" si="13"/>
        <v>13</v>
      </c>
      <c r="U18" s="10">
        <f t="shared" si="14"/>
        <v>26</v>
      </c>
      <c r="V18" s="56">
        <v>44896</v>
      </c>
    </row>
    <row r="19" spans="1:23" x14ac:dyDescent="0.15">
      <c r="A19" s="22"/>
      <c r="B19" s="7"/>
      <c r="C19" s="8"/>
      <c r="D19" s="9"/>
      <c r="E19" s="43">
        <f t="shared" si="15"/>
        <v>0</v>
      </c>
      <c r="F19" s="11"/>
      <c r="G19" s="8"/>
      <c r="H19" s="9"/>
      <c r="I19" s="43">
        <f t="shared" si="16"/>
        <v>0</v>
      </c>
      <c r="J19" s="10">
        <f t="shared" si="17"/>
        <v>0</v>
      </c>
      <c r="K19" s="56"/>
      <c r="L19" s="22" t="s">
        <v>43</v>
      </c>
      <c r="M19" s="7">
        <v>1</v>
      </c>
      <c r="N19" s="8">
        <v>6</v>
      </c>
      <c r="O19" s="9">
        <v>1</v>
      </c>
      <c r="P19" s="43">
        <f t="shared" si="12"/>
        <v>8</v>
      </c>
      <c r="Q19" s="11">
        <v>1</v>
      </c>
      <c r="R19" s="8">
        <v>6</v>
      </c>
      <c r="S19" s="9">
        <v>1</v>
      </c>
      <c r="T19" s="43">
        <f t="shared" si="13"/>
        <v>8</v>
      </c>
      <c r="U19" s="10">
        <f t="shared" si="14"/>
        <v>16</v>
      </c>
      <c r="V19" s="56">
        <v>44897</v>
      </c>
    </row>
    <row r="20" spans="1:23" x14ac:dyDescent="0.15">
      <c r="A20" s="22"/>
      <c r="B20" s="7"/>
      <c r="C20" s="8"/>
      <c r="D20" s="9"/>
      <c r="E20" s="43">
        <f t="shared" si="15"/>
        <v>0</v>
      </c>
      <c r="F20" s="11"/>
      <c r="G20" s="8"/>
      <c r="H20" s="9"/>
      <c r="I20" s="43">
        <f t="shared" si="16"/>
        <v>0</v>
      </c>
      <c r="J20" s="10">
        <f t="shared" si="17"/>
        <v>0</v>
      </c>
      <c r="K20" s="56"/>
      <c r="L20" s="22" t="s">
        <v>44</v>
      </c>
      <c r="M20" s="7">
        <v>2</v>
      </c>
      <c r="N20" s="8">
        <v>3</v>
      </c>
      <c r="O20" s="9">
        <v>1</v>
      </c>
      <c r="P20" s="43">
        <f t="shared" si="12"/>
        <v>6</v>
      </c>
      <c r="Q20" s="11">
        <v>2</v>
      </c>
      <c r="R20" s="8">
        <v>3</v>
      </c>
      <c r="S20" s="9">
        <v>1</v>
      </c>
      <c r="T20" s="43">
        <f t="shared" si="13"/>
        <v>6</v>
      </c>
      <c r="U20" s="10">
        <f t="shared" si="14"/>
        <v>12</v>
      </c>
      <c r="V20" s="56">
        <v>44900</v>
      </c>
    </row>
    <row r="21" spans="1:23" x14ac:dyDescent="0.15">
      <c r="A21" s="22"/>
      <c r="B21" s="7"/>
      <c r="C21" s="8"/>
      <c r="D21" s="9"/>
      <c r="E21" s="43">
        <f t="shared" si="15"/>
        <v>0</v>
      </c>
      <c r="F21" s="11"/>
      <c r="G21" s="8"/>
      <c r="H21" s="9"/>
      <c r="I21" s="43">
        <f t="shared" si="16"/>
        <v>0</v>
      </c>
      <c r="J21" s="10">
        <f t="shared" si="17"/>
        <v>0</v>
      </c>
      <c r="K21" s="56"/>
      <c r="L21" s="22" t="s">
        <v>45</v>
      </c>
      <c r="M21" s="7">
        <v>3</v>
      </c>
      <c r="N21" s="8">
        <v>4</v>
      </c>
      <c r="O21" s="9"/>
      <c r="P21" s="43">
        <f t="shared" si="12"/>
        <v>7</v>
      </c>
      <c r="Q21" s="11">
        <v>3</v>
      </c>
      <c r="R21" s="8">
        <v>4</v>
      </c>
      <c r="S21" s="9"/>
      <c r="T21" s="43">
        <f t="shared" si="13"/>
        <v>7</v>
      </c>
      <c r="U21" s="10">
        <f t="shared" si="14"/>
        <v>14</v>
      </c>
      <c r="V21" s="56">
        <v>44901</v>
      </c>
      <c r="W21" s="61"/>
    </row>
    <row r="22" spans="1:23" x14ac:dyDescent="0.15">
      <c r="A22" s="22"/>
      <c r="B22" s="7"/>
      <c r="C22" s="8"/>
      <c r="D22" s="9"/>
      <c r="E22" s="43">
        <f t="shared" si="15"/>
        <v>0</v>
      </c>
      <c r="F22" s="11"/>
      <c r="G22" s="8"/>
      <c r="H22" s="9"/>
      <c r="I22" s="43">
        <f t="shared" si="16"/>
        <v>0</v>
      </c>
      <c r="J22" s="10">
        <f t="shared" si="17"/>
        <v>0</v>
      </c>
      <c r="K22" s="56"/>
      <c r="L22" s="22" t="s">
        <v>37</v>
      </c>
      <c r="M22" s="7">
        <v>3</v>
      </c>
      <c r="N22" s="8">
        <v>3</v>
      </c>
      <c r="O22" s="9">
        <v>3</v>
      </c>
      <c r="P22" s="43">
        <f>SUM(M22:O22)</f>
        <v>9</v>
      </c>
      <c r="Q22" s="11">
        <v>3</v>
      </c>
      <c r="R22" s="8">
        <v>3</v>
      </c>
      <c r="S22" s="9">
        <v>3</v>
      </c>
      <c r="T22" s="43">
        <f>SUM(Q22:S22)</f>
        <v>9</v>
      </c>
      <c r="U22" s="10">
        <f>P22+T22</f>
        <v>18</v>
      </c>
      <c r="V22" s="56">
        <v>44901</v>
      </c>
    </row>
    <row r="23" spans="1:23" x14ac:dyDescent="0.15">
      <c r="A23" s="22"/>
      <c r="B23" s="12"/>
      <c r="C23" s="13"/>
      <c r="D23" s="14"/>
      <c r="E23" s="43">
        <f t="shared" si="15"/>
        <v>0</v>
      </c>
      <c r="F23" s="15"/>
      <c r="G23" s="13"/>
      <c r="H23" s="14"/>
      <c r="I23" s="43">
        <f t="shared" si="16"/>
        <v>0</v>
      </c>
      <c r="J23" s="10">
        <f t="shared" si="17"/>
        <v>0</v>
      </c>
      <c r="K23" s="56"/>
      <c r="L23" s="22" t="s">
        <v>47</v>
      </c>
      <c r="M23" s="12">
        <v>3</v>
      </c>
      <c r="N23" s="13">
        <v>6</v>
      </c>
      <c r="O23" s="14"/>
      <c r="P23" s="43">
        <f t="shared" si="12"/>
        <v>9</v>
      </c>
      <c r="Q23" s="15">
        <v>3</v>
      </c>
      <c r="R23" s="13">
        <v>6</v>
      </c>
      <c r="S23" s="14"/>
      <c r="T23" s="43">
        <f t="shared" si="13"/>
        <v>9</v>
      </c>
      <c r="U23" s="10">
        <f t="shared" si="14"/>
        <v>18</v>
      </c>
      <c r="V23" s="56">
        <v>44902</v>
      </c>
    </row>
    <row r="24" spans="1:23" x14ac:dyDescent="0.15">
      <c r="A24" s="22"/>
      <c r="B24" s="7"/>
      <c r="C24" s="8"/>
      <c r="D24" s="9"/>
      <c r="E24" s="43">
        <f t="shared" si="15"/>
        <v>0</v>
      </c>
      <c r="F24" s="11"/>
      <c r="G24" s="8"/>
      <c r="H24" s="9"/>
      <c r="I24" s="43">
        <f t="shared" si="16"/>
        <v>0</v>
      </c>
      <c r="J24" s="10">
        <f t="shared" si="17"/>
        <v>0</v>
      </c>
      <c r="K24" s="56"/>
      <c r="L24" s="22" t="s">
        <v>49</v>
      </c>
      <c r="M24" s="7">
        <v>4</v>
      </c>
      <c r="N24" s="8">
        <v>2</v>
      </c>
      <c r="O24" s="9"/>
      <c r="P24" s="43">
        <f t="shared" si="12"/>
        <v>6</v>
      </c>
      <c r="Q24" s="11">
        <v>4</v>
      </c>
      <c r="R24" s="8">
        <v>2</v>
      </c>
      <c r="S24" s="9"/>
      <c r="T24" s="43">
        <f t="shared" si="13"/>
        <v>6</v>
      </c>
      <c r="U24" s="10">
        <f t="shared" si="14"/>
        <v>12</v>
      </c>
      <c r="V24" s="56">
        <v>44903</v>
      </c>
    </row>
    <row r="25" spans="1:23" x14ac:dyDescent="0.15">
      <c r="A25" s="22"/>
      <c r="B25" s="7"/>
      <c r="C25" s="8"/>
      <c r="D25" s="9"/>
      <c r="E25" s="43">
        <f t="shared" si="15"/>
        <v>0</v>
      </c>
      <c r="F25" s="11"/>
      <c r="G25" s="8"/>
      <c r="H25" s="9"/>
      <c r="I25" s="43">
        <f t="shared" si="16"/>
        <v>0</v>
      </c>
      <c r="J25" s="10">
        <f t="shared" si="17"/>
        <v>0</v>
      </c>
      <c r="K25" s="56"/>
      <c r="L25" s="22" t="s">
        <v>52</v>
      </c>
      <c r="M25" s="7">
        <v>1</v>
      </c>
      <c r="N25" s="8"/>
      <c r="O25" s="9">
        <v>2</v>
      </c>
      <c r="P25" s="43">
        <f t="shared" si="12"/>
        <v>3</v>
      </c>
      <c r="Q25" s="11">
        <v>1</v>
      </c>
      <c r="R25" s="8"/>
      <c r="S25" s="9">
        <v>2</v>
      </c>
      <c r="T25" s="43">
        <f t="shared" si="13"/>
        <v>3</v>
      </c>
      <c r="U25" s="10">
        <f t="shared" si="14"/>
        <v>6</v>
      </c>
      <c r="V25" s="56">
        <v>44904</v>
      </c>
    </row>
    <row r="26" spans="1:23" x14ac:dyDescent="0.15">
      <c r="A26" s="22"/>
      <c r="B26" s="7"/>
      <c r="C26" s="8"/>
      <c r="D26" s="9"/>
      <c r="E26" s="43">
        <f t="shared" si="15"/>
        <v>0</v>
      </c>
      <c r="F26" s="11"/>
      <c r="G26" s="8"/>
      <c r="H26" s="9"/>
      <c r="I26" s="43">
        <f t="shared" si="16"/>
        <v>0</v>
      </c>
      <c r="J26" s="10">
        <f t="shared" si="17"/>
        <v>0</v>
      </c>
      <c r="K26" s="56"/>
      <c r="L26" s="22" t="s">
        <v>54</v>
      </c>
      <c r="M26" s="7">
        <v>11</v>
      </c>
      <c r="N26" s="8">
        <v>4</v>
      </c>
      <c r="O26" s="9"/>
      <c r="P26" s="43">
        <f t="shared" si="12"/>
        <v>15</v>
      </c>
      <c r="Q26" s="11">
        <v>11</v>
      </c>
      <c r="R26" s="8">
        <v>4</v>
      </c>
      <c r="S26" s="9"/>
      <c r="T26" s="43">
        <f t="shared" si="13"/>
        <v>15</v>
      </c>
      <c r="U26" s="10">
        <f t="shared" si="14"/>
        <v>30</v>
      </c>
      <c r="V26" s="56">
        <v>44908</v>
      </c>
    </row>
    <row r="27" spans="1:23" x14ac:dyDescent="0.15">
      <c r="A27" s="22"/>
      <c r="B27" s="7"/>
      <c r="C27" s="8"/>
      <c r="D27" s="9"/>
      <c r="E27" s="43">
        <f t="shared" si="15"/>
        <v>0</v>
      </c>
      <c r="F27" s="11"/>
      <c r="G27" s="8"/>
      <c r="H27" s="9"/>
      <c r="I27" s="43">
        <f t="shared" si="16"/>
        <v>0</v>
      </c>
      <c r="J27" s="10">
        <f t="shared" si="17"/>
        <v>0</v>
      </c>
      <c r="K27" s="56"/>
      <c r="L27" s="22" t="s">
        <v>57</v>
      </c>
      <c r="M27" s="7"/>
      <c r="N27" s="8">
        <v>8</v>
      </c>
      <c r="O27" s="9">
        <v>6</v>
      </c>
      <c r="P27" s="43">
        <f t="shared" si="12"/>
        <v>14</v>
      </c>
      <c r="Q27" s="11"/>
      <c r="R27" s="8">
        <v>8</v>
      </c>
      <c r="S27" s="9">
        <v>6</v>
      </c>
      <c r="T27" s="43">
        <f t="shared" si="13"/>
        <v>14</v>
      </c>
      <c r="U27" s="10">
        <f t="shared" si="14"/>
        <v>28</v>
      </c>
      <c r="V27" s="56">
        <v>44910</v>
      </c>
    </row>
    <row r="28" spans="1:23" x14ac:dyDescent="0.15">
      <c r="A28" s="22"/>
      <c r="B28" s="7"/>
      <c r="C28" s="8"/>
      <c r="D28" s="9"/>
      <c r="E28" s="43">
        <f t="shared" si="15"/>
        <v>0</v>
      </c>
      <c r="F28" s="11"/>
      <c r="G28" s="8"/>
      <c r="H28" s="9"/>
      <c r="I28" s="43">
        <f t="shared" si="16"/>
        <v>0</v>
      </c>
      <c r="J28" s="10">
        <f t="shared" si="17"/>
        <v>0</v>
      </c>
      <c r="K28" s="56"/>
      <c r="L28" s="22" t="s">
        <v>60</v>
      </c>
      <c r="M28" s="7">
        <v>6</v>
      </c>
      <c r="N28" s="8">
        <v>8</v>
      </c>
      <c r="O28" s="9">
        <v>5</v>
      </c>
      <c r="P28" s="43">
        <f t="shared" si="12"/>
        <v>19</v>
      </c>
      <c r="Q28" s="11">
        <v>6</v>
      </c>
      <c r="R28" s="8">
        <v>8</v>
      </c>
      <c r="S28" s="9">
        <v>5</v>
      </c>
      <c r="T28" s="43">
        <f t="shared" si="13"/>
        <v>19</v>
      </c>
      <c r="U28" s="10">
        <f t="shared" si="14"/>
        <v>38</v>
      </c>
      <c r="V28" s="56">
        <v>44911</v>
      </c>
    </row>
    <row r="29" spans="1:23" x14ac:dyDescent="0.15">
      <c r="A29" s="22"/>
      <c r="B29" s="7"/>
      <c r="C29" s="8"/>
      <c r="D29" s="9"/>
      <c r="E29" s="43">
        <f t="shared" si="15"/>
        <v>0</v>
      </c>
      <c r="F29" s="11"/>
      <c r="G29" s="8"/>
      <c r="H29" s="9"/>
      <c r="I29" s="43">
        <f t="shared" si="16"/>
        <v>0</v>
      </c>
      <c r="J29" s="10">
        <f t="shared" si="17"/>
        <v>0</v>
      </c>
      <c r="K29" s="56"/>
      <c r="L29" s="22" t="s">
        <v>62</v>
      </c>
      <c r="M29" s="7">
        <v>7</v>
      </c>
      <c r="N29" s="8">
        <v>5</v>
      </c>
      <c r="O29" s="9">
        <v>2</v>
      </c>
      <c r="P29" s="43">
        <f t="shared" si="12"/>
        <v>14</v>
      </c>
      <c r="Q29" s="11">
        <v>7</v>
      </c>
      <c r="R29" s="8">
        <v>5</v>
      </c>
      <c r="S29" s="9">
        <v>2</v>
      </c>
      <c r="T29" s="43">
        <f t="shared" si="13"/>
        <v>14</v>
      </c>
      <c r="U29" s="10">
        <f t="shared" si="14"/>
        <v>28</v>
      </c>
      <c r="V29" s="56">
        <v>44914</v>
      </c>
    </row>
    <row r="30" spans="1:23" x14ac:dyDescent="0.15">
      <c r="A30" s="24"/>
      <c r="B30" s="7"/>
      <c r="C30" s="8"/>
      <c r="D30" s="9"/>
      <c r="E30" s="43">
        <f t="shared" si="15"/>
        <v>0</v>
      </c>
      <c r="F30" s="11"/>
      <c r="G30" s="8"/>
      <c r="H30" s="9"/>
      <c r="I30" s="43">
        <f t="shared" si="16"/>
        <v>0</v>
      </c>
      <c r="J30" s="10">
        <f t="shared" si="17"/>
        <v>0</v>
      </c>
      <c r="K30" s="56"/>
      <c r="L30" s="22" t="s">
        <v>64</v>
      </c>
      <c r="M30" s="7">
        <v>6</v>
      </c>
      <c r="N30" s="8">
        <v>13</v>
      </c>
      <c r="O30" s="9">
        <v>3</v>
      </c>
      <c r="P30" s="43">
        <f t="shared" si="12"/>
        <v>22</v>
      </c>
      <c r="Q30" s="11">
        <v>6</v>
      </c>
      <c r="R30" s="8">
        <v>13</v>
      </c>
      <c r="S30" s="9">
        <v>3</v>
      </c>
      <c r="T30" s="43">
        <f t="shared" si="13"/>
        <v>22</v>
      </c>
      <c r="U30" s="10">
        <f t="shared" si="14"/>
        <v>44</v>
      </c>
      <c r="V30" s="56">
        <v>44915</v>
      </c>
    </row>
    <row r="31" spans="1:23" x14ac:dyDescent="0.15">
      <c r="A31" s="22"/>
      <c r="B31" s="7"/>
      <c r="C31" s="8"/>
      <c r="D31" s="9"/>
      <c r="E31" s="43">
        <f t="shared" si="15"/>
        <v>0</v>
      </c>
      <c r="F31" s="11"/>
      <c r="G31" s="8"/>
      <c r="H31" s="9"/>
      <c r="I31" s="43">
        <f t="shared" si="16"/>
        <v>0</v>
      </c>
      <c r="J31" s="10">
        <f t="shared" si="17"/>
        <v>0</v>
      </c>
      <c r="K31" s="56"/>
      <c r="L31" s="22" t="s">
        <v>66</v>
      </c>
      <c r="M31" s="7">
        <v>7</v>
      </c>
      <c r="N31" s="8">
        <v>1</v>
      </c>
      <c r="O31" s="9">
        <v>4</v>
      </c>
      <c r="P31" s="43">
        <f t="shared" si="12"/>
        <v>12</v>
      </c>
      <c r="Q31" s="11">
        <v>7</v>
      </c>
      <c r="R31" s="8">
        <v>1</v>
      </c>
      <c r="S31" s="9">
        <v>4</v>
      </c>
      <c r="T31" s="43">
        <f t="shared" si="13"/>
        <v>12</v>
      </c>
      <c r="U31" s="10">
        <f t="shared" si="14"/>
        <v>24</v>
      </c>
      <c r="V31" s="56">
        <v>44916</v>
      </c>
    </row>
    <row r="32" spans="1:23" x14ac:dyDescent="0.15">
      <c r="A32" s="22"/>
      <c r="B32" s="7"/>
      <c r="C32" s="8"/>
      <c r="D32" s="9"/>
      <c r="E32" s="43">
        <f t="shared" si="15"/>
        <v>0</v>
      </c>
      <c r="F32" s="11"/>
      <c r="G32" s="8"/>
      <c r="H32" s="9"/>
      <c r="I32" s="43">
        <f t="shared" si="16"/>
        <v>0</v>
      </c>
      <c r="J32" s="10">
        <f t="shared" si="17"/>
        <v>0</v>
      </c>
      <c r="K32" s="56"/>
      <c r="L32" s="22" t="s">
        <v>68</v>
      </c>
      <c r="M32" s="7"/>
      <c r="N32" s="8">
        <v>3</v>
      </c>
      <c r="O32" s="9">
        <v>4</v>
      </c>
      <c r="P32" s="43">
        <f t="shared" si="12"/>
        <v>7</v>
      </c>
      <c r="Q32" s="11"/>
      <c r="R32" s="8">
        <v>3</v>
      </c>
      <c r="S32" s="9">
        <v>4</v>
      </c>
      <c r="T32" s="43">
        <f t="shared" si="13"/>
        <v>7</v>
      </c>
      <c r="U32" s="10">
        <f t="shared" si="14"/>
        <v>14</v>
      </c>
      <c r="V32" s="56">
        <v>44917</v>
      </c>
    </row>
    <row r="33" spans="1:22" x14ac:dyDescent="0.15">
      <c r="A33" s="22"/>
      <c r="B33" s="7"/>
      <c r="C33" s="8"/>
      <c r="D33" s="9"/>
      <c r="E33" s="43">
        <f t="shared" si="15"/>
        <v>0</v>
      </c>
      <c r="F33" s="11"/>
      <c r="G33" s="8"/>
      <c r="H33" s="9"/>
      <c r="I33" s="43">
        <f t="shared" si="16"/>
        <v>0</v>
      </c>
      <c r="J33" s="10">
        <f t="shared" si="17"/>
        <v>0</v>
      </c>
      <c r="K33" s="56"/>
      <c r="L33" s="22" t="s">
        <v>70</v>
      </c>
      <c r="M33" s="7"/>
      <c r="N33" s="8"/>
      <c r="O33" s="9">
        <v>2</v>
      </c>
      <c r="P33" s="43">
        <f t="shared" si="12"/>
        <v>2</v>
      </c>
      <c r="Q33" s="11"/>
      <c r="R33" s="8"/>
      <c r="S33" s="9">
        <v>2</v>
      </c>
      <c r="T33" s="43">
        <f t="shared" si="13"/>
        <v>2</v>
      </c>
      <c r="U33" s="10">
        <f t="shared" si="14"/>
        <v>4</v>
      </c>
      <c r="V33" s="56">
        <v>44918</v>
      </c>
    </row>
    <row r="34" spans="1:22" x14ac:dyDescent="0.15">
      <c r="A34" s="22"/>
      <c r="B34" s="7"/>
      <c r="C34" s="8"/>
      <c r="D34" s="9"/>
      <c r="E34" s="43">
        <f t="shared" si="15"/>
        <v>0</v>
      </c>
      <c r="F34" s="11"/>
      <c r="G34" s="8"/>
      <c r="H34" s="9"/>
      <c r="I34" s="43">
        <f t="shared" si="16"/>
        <v>0</v>
      </c>
      <c r="J34" s="10">
        <f t="shared" si="17"/>
        <v>0</v>
      </c>
      <c r="K34" s="56"/>
      <c r="L34" s="22" t="s">
        <v>71</v>
      </c>
      <c r="M34" s="7"/>
      <c r="N34" s="8">
        <v>3</v>
      </c>
      <c r="O34" s="9">
        <v>3</v>
      </c>
      <c r="P34" s="43">
        <f t="shared" si="12"/>
        <v>6</v>
      </c>
      <c r="Q34" s="11"/>
      <c r="R34" s="8">
        <v>3</v>
      </c>
      <c r="S34" s="9">
        <v>3</v>
      </c>
      <c r="T34" s="43">
        <f t="shared" si="13"/>
        <v>6</v>
      </c>
      <c r="U34" s="10">
        <f t="shared" si="14"/>
        <v>12</v>
      </c>
      <c r="V34" s="56">
        <v>44921</v>
      </c>
    </row>
    <row r="35" spans="1:22" x14ac:dyDescent="0.15">
      <c r="A35" s="63"/>
      <c r="B35" s="12"/>
      <c r="C35" s="13"/>
      <c r="D35" s="14"/>
      <c r="E35" s="43">
        <f t="shared" si="15"/>
        <v>0</v>
      </c>
      <c r="F35" s="15"/>
      <c r="G35" s="13"/>
      <c r="H35" s="14"/>
      <c r="I35" s="43">
        <f t="shared" si="16"/>
        <v>0</v>
      </c>
      <c r="J35" s="10">
        <f t="shared" si="17"/>
        <v>0</v>
      </c>
      <c r="K35" s="59"/>
      <c r="L35" s="22" t="s">
        <v>75</v>
      </c>
      <c r="M35" s="12"/>
      <c r="N35" s="13">
        <v>1</v>
      </c>
      <c r="O35" s="14">
        <v>2</v>
      </c>
      <c r="P35" s="43">
        <f t="shared" si="12"/>
        <v>3</v>
      </c>
      <c r="Q35" s="15"/>
      <c r="R35" s="13">
        <v>1</v>
      </c>
      <c r="S35" s="14">
        <v>2</v>
      </c>
      <c r="T35" s="43">
        <f t="shared" si="13"/>
        <v>3</v>
      </c>
      <c r="U35" s="10">
        <f t="shared" si="14"/>
        <v>6</v>
      </c>
      <c r="V35" s="56">
        <v>44922</v>
      </c>
    </row>
    <row r="36" spans="1:22" x14ac:dyDescent="0.15">
      <c r="A36" s="22"/>
      <c r="B36" s="7"/>
      <c r="C36" s="8"/>
      <c r="D36" s="9"/>
      <c r="E36" s="43">
        <f t="shared" si="15"/>
        <v>0</v>
      </c>
      <c r="F36" s="11"/>
      <c r="G36" s="8"/>
      <c r="H36" s="9"/>
      <c r="I36" s="43">
        <f t="shared" si="16"/>
        <v>0</v>
      </c>
      <c r="J36" s="10">
        <f t="shared" si="17"/>
        <v>0</v>
      </c>
      <c r="K36" s="56"/>
      <c r="L36" s="22" t="s">
        <v>79</v>
      </c>
      <c r="M36" s="7">
        <v>1</v>
      </c>
      <c r="N36" s="8">
        <v>4</v>
      </c>
      <c r="O36" s="9">
        <v>1</v>
      </c>
      <c r="P36" s="43">
        <f t="shared" si="12"/>
        <v>6</v>
      </c>
      <c r="Q36" s="11">
        <v>1</v>
      </c>
      <c r="R36" s="8">
        <v>4</v>
      </c>
      <c r="S36" s="9">
        <v>1</v>
      </c>
      <c r="T36" s="43">
        <f t="shared" si="13"/>
        <v>6</v>
      </c>
      <c r="U36" s="10">
        <f t="shared" si="14"/>
        <v>12</v>
      </c>
      <c r="V36" s="56">
        <v>44932</v>
      </c>
    </row>
    <row r="37" spans="1:22" x14ac:dyDescent="0.15">
      <c r="A37" s="63"/>
      <c r="B37" s="7"/>
      <c r="C37" s="8"/>
      <c r="D37" s="9"/>
      <c r="E37" s="43">
        <f t="shared" si="15"/>
        <v>0</v>
      </c>
      <c r="F37" s="11"/>
      <c r="G37" s="8"/>
      <c r="H37" s="9"/>
      <c r="I37" s="43">
        <f t="shared" si="16"/>
        <v>0</v>
      </c>
      <c r="J37" s="10">
        <f t="shared" si="17"/>
        <v>0</v>
      </c>
      <c r="K37" s="56"/>
      <c r="L37" s="24"/>
      <c r="M37" s="7"/>
      <c r="N37" s="8"/>
      <c r="O37" s="9"/>
      <c r="P37" s="43">
        <f t="shared" si="12"/>
        <v>0</v>
      </c>
      <c r="Q37" s="11"/>
      <c r="R37" s="8"/>
      <c r="S37" s="9"/>
      <c r="T37" s="43">
        <f t="shared" si="13"/>
        <v>0</v>
      </c>
      <c r="U37" s="10">
        <f t="shared" si="14"/>
        <v>0</v>
      </c>
      <c r="V37" s="61"/>
    </row>
    <row r="38" spans="1:22" x14ac:dyDescent="0.15">
      <c r="A38" s="22"/>
      <c r="B38" s="7"/>
      <c r="C38" s="8"/>
      <c r="D38" s="9"/>
      <c r="E38" s="43">
        <f t="shared" si="15"/>
        <v>0</v>
      </c>
      <c r="F38" s="11"/>
      <c r="G38" s="8"/>
      <c r="H38" s="9"/>
      <c r="I38" s="43">
        <f t="shared" si="16"/>
        <v>0</v>
      </c>
      <c r="J38" s="10">
        <f t="shared" si="17"/>
        <v>0</v>
      </c>
      <c r="K38" s="56"/>
      <c r="L38" s="24" t="s">
        <v>27</v>
      </c>
      <c r="M38" s="7"/>
      <c r="N38" s="8"/>
      <c r="O38" s="9"/>
      <c r="P38" s="43">
        <f t="shared" si="12"/>
        <v>0</v>
      </c>
      <c r="Q38" s="11"/>
      <c r="R38" s="8"/>
      <c r="S38" s="9"/>
      <c r="T38" s="43">
        <f t="shared" si="13"/>
        <v>0</v>
      </c>
      <c r="U38" s="10">
        <f t="shared" si="14"/>
        <v>0</v>
      </c>
      <c r="V38" s="56" t="s">
        <v>28</v>
      </c>
    </row>
    <row r="39" spans="1:22" ht="14.25" thickBot="1" x14ac:dyDescent="0.2">
      <c r="A39" s="60"/>
      <c r="B39" s="12"/>
      <c r="C39" s="13"/>
      <c r="D39" s="14"/>
      <c r="E39" s="43">
        <f>SUM(B39:D39)</f>
        <v>0</v>
      </c>
      <c r="F39" s="15"/>
      <c r="G39" s="13"/>
      <c r="H39" s="14"/>
      <c r="I39" s="43">
        <f>SUM(F39:H39)</f>
        <v>0</v>
      </c>
      <c r="J39" s="10">
        <f>E39+I39</f>
        <v>0</v>
      </c>
      <c r="K39" s="56"/>
      <c r="L39" s="24" t="s">
        <v>23</v>
      </c>
      <c r="M39" s="7"/>
      <c r="N39" s="8"/>
      <c r="O39" s="9"/>
      <c r="P39" s="43">
        <f t="shared" ref="P39" si="18">SUM(M39:O39)</f>
        <v>0</v>
      </c>
      <c r="Q39" s="11"/>
      <c r="R39" s="8"/>
      <c r="S39" s="9"/>
      <c r="T39" s="43">
        <f t="shared" ref="T39" si="19">SUM(Q39:S39)</f>
        <v>0</v>
      </c>
      <c r="U39" s="10">
        <f t="shared" ref="U39" si="20">P39+T39</f>
        <v>0</v>
      </c>
      <c r="V39" s="56" t="s">
        <v>24</v>
      </c>
    </row>
    <row r="40" spans="1:22" ht="14.25" thickBot="1" x14ac:dyDescent="0.2">
      <c r="A40" s="35" t="s">
        <v>17</v>
      </c>
      <c r="B40" s="40">
        <f>SUM(B14:B39)</f>
        <v>0</v>
      </c>
      <c r="C40" s="41">
        <f t="shared" ref="C40:D40" si="21">SUM(C14:C39)</f>
        <v>3</v>
      </c>
      <c r="D40" s="52">
        <f t="shared" si="21"/>
        <v>0</v>
      </c>
      <c r="E40" s="39">
        <f t="shared" si="15"/>
        <v>3</v>
      </c>
      <c r="F40" s="40">
        <f>SUM(F14:F39)</f>
        <v>0</v>
      </c>
      <c r="G40" s="41">
        <f t="shared" ref="G40:H40" si="22">SUM(G14:G39)</f>
        <v>3</v>
      </c>
      <c r="H40" s="52">
        <f t="shared" si="22"/>
        <v>0</v>
      </c>
      <c r="I40" s="39">
        <f t="shared" si="16"/>
        <v>3</v>
      </c>
      <c r="J40" s="39">
        <f>E40+I40</f>
        <v>6</v>
      </c>
      <c r="K40" s="34"/>
      <c r="L40" s="35" t="s">
        <v>17</v>
      </c>
      <c r="M40" s="40">
        <f>SUM(M14:M39)</f>
        <v>64</v>
      </c>
      <c r="N40" s="41">
        <f t="shared" ref="N40:O40" si="23">SUM(N14:N39)</f>
        <v>89</v>
      </c>
      <c r="O40" s="52">
        <f t="shared" si="23"/>
        <v>58</v>
      </c>
      <c r="P40" s="39">
        <f t="shared" ref="P40" si="24">SUM(M40:O40)</f>
        <v>211</v>
      </c>
      <c r="Q40" s="40">
        <f>SUM(Q14:Q39)</f>
        <v>64</v>
      </c>
      <c r="R40" s="41">
        <f t="shared" ref="R40:S40" si="25">SUM(R14:R39)</f>
        <v>89</v>
      </c>
      <c r="S40" s="52">
        <f t="shared" si="25"/>
        <v>58</v>
      </c>
      <c r="T40" s="39">
        <f t="shared" ref="T40" si="26">SUM(Q40:S40)</f>
        <v>211</v>
      </c>
      <c r="U40" s="39">
        <f>P40+T40</f>
        <v>422</v>
      </c>
    </row>
    <row r="41" spans="1:22" ht="14.25" thickBot="1" x14ac:dyDescent="0.2">
      <c r="A41" s="21" t="s">
        <v>16</v>
      </c>
      <c r="B41" s="44">
        <f>B13-B40</f>
        <v>5</v>
      </c>
      <c r="C41" s="50">
        <f t="shared" ref="C41:D41" si="27">C13-C40</f>
        <v>4</v>
      </c>
      <c r="D41" s="51">
        <f t="shared" si="27"/>
        <v>3</v>
      </c>
      <c r="E41" s="49">
        <f>SUM(B41:D41)</f>
        <v>12</v>
      </c>
      <c r="F41" s="44">
        <f>F13-F40</f>
        <v>5</v>
      </c>
      <c r="G41" s="50">
        <f t="shared" ref="G41:H41" si="28">G13-G40</f>
        <v>4</v>
      </c>
      <c r="H41" s="51">
        <f t="shared" si="28"/>
        <v>3</v>
      </c>
      <c r="I41" s="49">
        <f>SUM(F41:H41)</f>
        <v>12</v>
      </c>
      <c r="J41" s="28">
        <f>E41+I41</f>
        <v>24</v>
      </c>
      <c r="L41" s="21" t="s">
        <v>16</v>
      </c>
      <c r="M41" s="44">
        <f>M13-M40</f>
        <v>96</v>
      </c>
      <c r="N41" s="50">
        <f t="shared" ref="N41:O41" si="29">N13-N40</f>
        <v>91</v>
      </c>
      <c r="O41" s="51">
        <f t="shared" si="29"/>
        <v>42</v>
      </c>
      <c r="P41" s="49">
        <f>SUM(M41:O41)</f>
        <v>229</v>
      </c>
      <c r="Q41" s="44">
        <f>Q13-Q40</f>
        <v>96</v>
      </c>
      <c r="R41" s="50">
        <f t="shared" ref="R41:S41" si="30">R13-R40</f>
        <v>91</v>
      </c>
      <c r="S41" s="51">
        <f t="shared" si="30"/>
        <v>42</v>
      </c>
      <c r="T41" s="49">
        <f>SUM(Q41:S41)</f>
        <v>229</v>
      </c>
      <c r="U41" s="28">
        <f>P41+T41</f>
        <v>458</v>
      </c>
    </row>
    <row r="42" spans="1:22" x14ac:dyDescent="0.15">
      <c r="B42" s="64"/>
      <c r="C42" s="64"/>
      <c r="D42" s="64"/>
      <c r="E42" s="64"/>
    </row>
    <row r="43" spans="1:22" x14ac:dyDescent="0.15">
      <c r="M43" s="64"/>
      <c r="N43" s="64"/>
      <c r="O43" s="64"/>
      <c r="P43" s="64"/>
    </row>
    <row r="44" spans="1:22" ht="19.5" thickBot="1" x14ac:dyDescent="0.25">
      <c r="A44" s="2" t="s">
        <v>29</v>
      </c>
      <c r="B44" s="1"/>
      <c r="C44" s="1"/>
      <c r="D44" s="1"/>
      <c r="E44" s="1"/>
      <c r="F44" s="1"/>
      <c r="G44" s="1"/>
      <c r="H44" s="1"/>
      <c r="I44" s="1"/>
      <c r="J44" s="1"/>
      <c r="L44" s="2" t="s">
        <v>30</v>
      </c>
      <c r="M44" s="1"/>
      <c r="N44" s="1"/>
      <c r="O44" s="1"/>
      <c r="P44" s="1"/>
      <c r="Q44" s="1"/>
      <c r="R44" s="1"/>
      <c r="S44" s="1"/>
      <c r="T44" s="1"/>
      <c r="U44" s="1">
        <v>480</v>
      </c>
    </row>
    <row r="45" spans="1:22" ht="14.25" thickBot="1" x14ac:dyDescent="0.2">
      <c r="A45" s="6"/>
      <c r="B45" s="159" t="s">
        <v>19</v>
      </c>
      <c r="C45" s="160"/>
      <c r="D45" s="160"/>
      <c r="E45" s="161"/>
      <c r="F45" s="159" t="s">
        <v>22</v>
      </c>
      <c r="G45" s="160"/>
      <c r="H45" s="160"/>
      <c r="I45" s="162"/>
      <c r="J45" s="157" t="s">
        <v>0</v>
      </c>
      <c r="L45" s="6"/>
      <c r="M45" s="146" t="s">
        <v>18</v>
      </c>
      <c r="N45" s="147"/>
      <c r="O45" s="147"/>
      <c r="P45" s="148"/>
      <c r="Q45" s="146" t="s">
        <v>22</v>
      </c>
      <c r="R45" s="147"/>
      <c r="S45" s="147"/>
      <c r="T45" s="148"/>
      <c r="U45" s="157" t="s">
        <v>0</v>
      </c>
    </row>
    <row r="46" spans="1:22" ht="14.25" thickBot="1" x14ac:dyDescent="0.2">
      <c r="A46" s="6" t="s">
        <v>1</v>
      </c>
      <c r="B46" s="3" t="s">
        <v>2</v>
      </c>
      <c r="C46" s="4" t="s">
        <v>3</v>
      </c>
      <c r="D46" s="5" t="s">
        <v>4</v>
      </c>
      <c r="E46" s="6" t="s">
        <v>5</v>
      </c>
      <c r="F46" s="3" t="s">
        <v>2</v>
      </c>
      <c r="G46" s="4" t="s">
        <v>3</v>
      </c>
      <c r="H46" s="5" t="s">
        <v>4</v>
      </c>
      <c r="I46" s="6" t="s">
        <v>5</v>
      </c>
      <c r="J46" s="158"/>
      <c r="L46" s="6" t="s">
        <v>1</v>
      </c>
      <c r="M46" s="3" t="s">
        <v>2</v>
      </c>
      <c r="N46" s="4" t="s">
        <v>3</v>
      </c>
      <c r="O46" s="5" t="s">
        <v>4</v>
      </c>
      <c r="P46" s="6" t="s">
        <v>5</v>
      </c>
      <c r="Q46" s="3" t="s">
        <v>2</v>
      </c>
      <c r="R46" s="4" t="s">
        <v>3</v>
      </c>
      <c r="S46" s="5" t="s">
        <v>4</v>
      </c>
      <c r="T46" s="6" t="s">
        <v>5</v>
      </c>
      <c r="U46" s="158"/>
    </row>
    <row r="47" spans="1:22" ht="14.25" thickBot="1" x14ac:dyDescent="0.2">
      <c r="A47" s="62" t="s">
        <v>16</v>
      </c>
      <c r="B47" s="40">
        <f>B41</f>
        <v>5</v>
      </c>
      <c r="C47" s="41">
        <f>C41</f>
        <v>4</v>
      </c>
      <c r="D47" s="81">
        <f>D41</f>
        <v>3</v>
      </c>
      <c r="E47" s="39">
        <f>SUM(B47:D47)</f>
        <v>12</v>
      </c>
      <c r="F47" s="40">
        <f>F41</f>
        <v>5</v>
      </c>
      <c r="G47" s="41">
        <f>G41</f>
        <v>4</v>
      </c>
      <c r="H47" s="81">
        <f>H41</f>
        <v>3</v>
      </c>
      <c r="I47" s="39">
        <f>SUM(F47:H47)</f>
        <v>12</v>
      </c>
      <c r="J47" s="39">
        <f>E47+I47</f>
        <v>24</v>
      </c>
      <c r="K47" s="56"/>
      <c r="L47" s="66" t="s">
        <v>6</v>
      </c>
      <c r="M47" s="67">
        <f>M41</f>
        <v>96</v>
      </c>
      <c r="N47" s="68">
        <f>N41</f>
        <v>91</v>
      </c>
      <c r="O47" s="69">
        <f>O41</f>
        <v>42</v>
      </c>
      <c r="P47" s="28">
        <f>SUM(M47:O47)</f>
        <v>229</v>
      </c>
      <c r="Q47" s="67">
        <f>Q41</f>
        <v>96</v>
      </c>
      <c r="R47" s="68">
        <f>R41</f>
        <v>91</v>
      </c>
      <c r="S47" s="69">
        <f>S41</f>
        <v>42</v>
      </c>
      <c r="T47" s="28">
        <f>SUM(Q47:S47)</f>
        <v>229</v>
      </c>
      <c r="U47" s="28">
        <f>P47+T47</f>
        <v>458</v>
      </c>
      <c r="V47" s="57"/>
    </row>
    <row r="48" spans="1:22" x14ac:dyDescent="0.15">
      <c r="A48" s="23" t="s">
        <v>20</v>
      </c>
      <c r="B48" s="16"/>
      <c r="C48" s="17"/>
      <c r="D48" s="45"/>
      <c r="E48" s="43">
        <f>SUM(B48:D48)</f>
        <v>0</v>
      </c>
      <c r="F48" s="19"/>
      <c r="G48" s="17"/>
      <c r="H48" s="18"/>
      <c r="I48" s="43">
        <f>SUM(F48:H48)</f>
        <v>0</v>
      </c>
      <c r="J48" s="43">
        <f>E48+I48</f>
        <v>0</v>
      </c>
      <c r="K48" s="56"/>
      <c r="L48" s="23" t="s">
        <v>108</v>
      </c>
      <c r="M48" s="36"/>
      <c r="N48" s="37"/>
      <c r="O48" s="38">
        <v>2</v>
      </c>
      <c r="P48" s="43">
        <f t="shared" ref="P48:P55" si="31">SUM(M48:O48)</f>
        <v>2</v>
      </c>
      <c r="Q48" s="53"/>
      <c r="R48" s="37"/>
      <c r="S48" s="54">
        <v>2</v>
      </c>
      <c r="T48" s="43">
        <f t="shared" ref="T48:T55" si="32">SUM(Q48:S48)</f>
        <v>2</v>
      </c>
      <c r="U48" s="43">
        <f t="shared" ref="U48:U55" si="33">P48+T48</f>
        <v>4</v>
      </c>
      <c r="V48" s="56">
        <v>44950</v>
      </c>
    </row>
    <row r="49" spans="1:22" x14ac:dyDescent="0.15">
      <c r="A49" s="23" t="s">
        <v>102</v>
      </c>
      <c r="B49" s="7">
        <v>1</v>
      </c>
      <c r="C49" s="8">
        <v>5</v>
      </c>
      <c r="D49" s="46"/>
      <c r="E49" s="10">
        <f>SUM(B49:D49)</f>
        <v>6</v>
      </c>
      <c r="F49" s="11">
        <v>1</v>
      </c>
      <c r="G49" s="8">
        <v>5</v>
      </c>
      <c r="H49" s="9"/>
      <c r="I49" s="10">
        <f>SUM(F49:H49)</f>
        <v>6</v>
      </c>
      <c r="J49" s="10">
        <f>E49+I49</f>
        <v>12</v>
      </c>
      <c r="K49" s="56">
        <v>44951</v>
      </c>
      <c r="L49" s="23" t="s">
        <v>8</v>
      </c>
      <c r="M49" s="7">
        <v>1</v>
      </c>
      <c r="N49" s="8">
        <v>5</v>
      </c>
      <c r="O49" s="9"/>
      <c r="P49" s="43">
        <f t="shared" si="31"/>
        <v>6</v>
      </c>
      <c r="Q49" s="7">
        <v>1</v>
      </c>
      <c r="R49" s="8">
        <v>5</v>
      </c>
      <c r="S49" s="9"/>
      <c r="T49" s="43">
        <f t="shared" si="32"/>
        <v>6</v>
      </c>
      <c r="U49" s="10">
        <f t="shared" si="33"/>
        <v>12</v>
      </c>
      <c r="V49" s="56">
        <v>44961</v>
      </c>
    </row>
    <row r="50" spans="1:22" x14ac:dyDescent="0.15">
      <c r="A50" s="23" t="s">
        <v>77</v>
      </c>
      <c r="B50" s="16">
        <v>1</v>
      </c>
      <c r="C50" s="17">
        <v>1</v>
      </c>
      <c r="D50" s="45"/>
      <c r="E50" s="10">
        <f t="shared" ref="E50:E55" si="34">SUM(B50:D50)</f>
        <v>2</v>
      </c>
      <c r="F50" s="19">
        <v>1</v>
      </c>
      <c r="G50" s="17">
        <v>1</v>
      </c>
      <c r="H50" s="18"/>
      <c r="I50" s="10">
        <f t="shared" ref="I50:I55" si="35">SUM(F50:H50)</f>
        <v>2</v>
      </c>
      <c r="J50" s="10">
        <f t="shared" ref="J50:J55" si="36">E50+I50</f>
        <v>4</v>
      </c>
      <c r="K50" s="56">
        <v>44951</v>
      </c>
      <c r="L50" s="23" t="s">
        <v>9</v>
      </c>
      <c r="M50" s="16"/>
      <c r="N50" s="17"/>
      <c r="O50" s="45"/>
      <c r="P50" s="10">
        <f t="shared" si="31"/>
        <v>0</v>
      </c>
      <c r="Q50" s="19"/>
      <c r="R50" s="17"/>
      <c r="S50" s="18"/>
      <c r="T50" s="10">
        <f t="shared" si="32"/>
        <v>0</v>
      </c>
      <c r="U50" s="10">
        <f t="shared" si="33"/>
        <v>0</v>
      </c>
      <c r="V50" s="56"/>
    </row>
    <row r="51" spans="1:22" x14ac:dyDescent="0.15">
      <c r="A51" s="23" t="s">
        <v>20</v>
      </c>
      <c r="B51" s="7"/>
      <c r="C51" s="8"/>
      <c r="D51" s="46"/>
      <c r="E51" s="10">
        <f t="shared" si="34"/>
        <v>0</v>
      </c>
      <c r="F51" s="11"/>
      <c r="G51" s="8"/>
      <c r="H51" s="9"/>
      <c r="I51" s="10">
        <f t="shared" si="35"/>
        <v>0</v>
      </c>
      <c r="J51" s="10">
        <f t="shared" si="36"/>
        <v>0</v>
      </c>
      <c r="K51" s="56"/>
      <c r="L51" s="23" t="s">
        <v>10</v>
      </c>
      <c r="M51" s="7"/>
      <c r="N51" s="8"/>
      <c r="O51" s="46"/>
      <c r="P51" s="10">
        <f t="shared" si="31"/>
        <v>0</v>
      </c>
      <c r="Q51" s="11"/>
      <c r="R51" s="8"/>
      <c r="S51" s="9"/>
      <c r="T51" s="10">
        <f t="shared" si="32"/>
        <v>0</v>
      </c>
      <c r="U51" s="10">
        <f t="shared" si="33"/>
        <v>0</v>
      </c>
    </row>
    <row r="52" spans="1:22" x14ac:dyDescent="0.15">
      <c r="A52" s="23" t="s">
        <v>20</v>
      </c>
      <c r="B52" s="7"/>
      <c r="C52" s="8"/>
      <c r="D52" s="46"/>
      <c r="E52" s="10">
        <f t="shared" si="34"/>
        <v>0</v>
      </c>
      <c r="F52" s="11"/>
      <c r="G52" s="8"/>
      <c r="H52" s="9"/>
      <c r="I52" s="10">
        <f t="shared" si="35"/>
        <v>0</v>
      </c>
      <c r="J52" s="10">
        <f t="shared" si="36"/>
        <v>0</v>
      </c>
      <c r="K52" s="56"/>
      <c r="L52" s="23" t="s">
        <v>11</v>
      </c>
      <c r="M52" s="7"/>
      <c r="N52" s="8"/>
      <c r="O52" s="46"/>
      <c r="P52" s="10">
        <f t="shared" si="31"/>
        <v>0</v>
      </c>
      <c r="Q52" s="11"/>
      <c r="R52" s="8"/>
      <c r="S52" s="9"/>
      <c r="T52" s="10">
        <f t="shared" si="32"/>
        <v>0</v>
      </c>
      <c r="U52" s="10">
        <f t="shared" si="33"/>
        <v>0</v>
      </c>
    </row>
    <row r="53" spans="1:22" x14ac:dyDescent="0.15">
      <c r="A53" s="23" t="s">
        <v>20</v>
      </c>
      <c r="B53" s="7"/>
      <c r="C53" s="8"/>
      <c r="D53" s="46"/>
      <c r="E53" s="10">
        <f t="shared" si="34"/>
        <v>0</v>
      </c>
      <c r="F53" s="11"/>
      <c r="G53" s="8"/>
      <c r="H53" s="9"/>
      <c r="I53" s="10">
        <f t="shared" si="35"/>
        <v>0</v>
      </c>
      <c r="J53" s="10">
        <f t="shared" si="36"/>
        <v>0</v>
      </c>
      <c r="K53" s="56"/>
      <c r="L53" s="23" t="s">
        <v>12</v>
      </c>
      <c r="M53" s="7"/>
      <c r="N53" s="8"/>
      <c r="O53" s="46"/>
      <c r="P53" s="10">
        <f t="shared" si="31"/>
        <v>0</v>
      </c>
      <c r="Q53" s="11"/>
      <c r="R53" s="8"/>
      <c r="S53" s="9"/>
      <c r="T53" s="10">
        <f t="shared" si="32"/>
        <v>0</v>
      </c>
      <c r="U53" s="10">
        <f t="shared" si="33"/>
        <v>0</v>
      </c>
    </row>
    <row r="54" spans="1:22" x14ac:dyDescent="0.15">
      <c r="A54" s="23" t="s">
        <v>20</v>
      </c>
      <c r="B54" s="12"/>
      <c r="C54" s="13"/>
      <c r="D54" s="47"/>
      <c r="E54" s="10">
        <f t="shared" si="34"/>
        <v>0</v>
      </c>
      <c r="F54" s="15"/>
      <c r="G54" s="13"/>
      <c r="H54" s="14"/>
      <c r="I54" s="10">
        <f t="shared" si="35"/>
        <v>0</v>
      </c>
      <c r="J54" s="10">
        <f t="shared" si="36"/>
        <v>0</v>
      </c>
      <c r="K54" s="56"/>
      <c r="L54" s="23" t="s">
        <v>13</v>
      </c>
      <c r="M54" s="12"/>
      <c r="N54" s="13"/>
      <c r="O54" s="47"/>
      <c r="P54" s="10">
        <f t="shared" si="31"/>
        <v>0</v>
      </c>
      <c r="Q54" s="15"/>
      <c r="R54" s="13"/>
      <c r="S54" s="14"/>
      <c r="T54" s="10">
        <f t="shared" si="32"/>
        <v>0</v>
      </c>
      <c r="U54" s="10">
        <f t="shared" si="33"/>
        <v>0</v>
      </c>
    </row>
    <row r="55" spans="1:22" ht="14.25" thickBot="1" x14ac:dyDescent="0.2">
      <c r="A55" s="23" t="s">
        <v>20</v>
      </c>
      <c r="B55" s="29"/>
      <c r="C55" s="30"/>
      <c r="D55" s="48"/>
      <c r="E55" s="55">
        <f t="shared" si="34"/>
        <v>0</v>
      </c>
      <c r="F55" s="31"/>
      <c r="G55" s="31"/>
      <c r="H55" s="33"/>
      <c r="I55" s="55">
        <f t="shared" si="35"/>
        <v>0</v>
      </c>
      <c r="J55" s="20">
        <f t="shared" si="36"/>
        <v>0</v>
      </c>
      <c r="K55" s="56"/>
      <c r="L55" s="23" t="s">
        <v>14</v>
      </c>
      <c r="M55" s="29"/>
      <c r="N55" s="30"/>
      <c r="O55" s="48"/>
      <c r="P55" s="55">
        <f t="shared" si="31"/>
        <v>0</v>
      </c>
      <c r="Q55" s="31"/>
      <c r="R55" s="31"/>
      <c r="S55" s="33"/>
      <c r="T55" s="55">
        <f t="shared" si="32"/>
        <v>0</v>
      </c>
      <c r="U55" s="20">
        <f t="shared" si="33"/>
        <v>0</v>
      </c>
    </row>
    <row r="56" spans="1:22" ht="14.25" thickBot="1" x14ac:dyDescent="0.2">
      <c r="A56" s="32" t="s">
        <v>15</v>
      </c>
      <c r="B56" s="25">
        <f>SUM(B47:B55)</f>
        <v>7</v>
      </c>
      <c r="C56" s="26">
        <f>SUM(C47:C55)</f>
        <v>10</v>
      </c>
      <c r="D56" s="27">
        <f>SUM(D47:D55)</f>
        <v>3</v>
      </c>
      <c r="E56" s="28">
        <f>SUM(B56:D56)</f>
        <v>20</v>
      </c>
      <c r="F56" s="25">
        <f>SUM(F47:F55)</f>
        <v>7</v>
      </c>
      <c r="G56" s="26">
        <f>SUM(G47:G55)</f>
        <v>10</v>
      </c>
      <c r="H56" s="27">
        <f>SUM(H47:H55)</f>
        <v>3</v>
      </c>
      <c r="I56" s="28">
        <f>SUM(F56:H56)</f>
        <v>20</v>
      </c>
      <c r="J56" s="28">
        <f>E56+I56</f>
        <v>40</v>
      </c>
      <c r="L56" s="32" t="s">
        <v>15</v>
      </c>
      <c r="M56" s="25">
        <f>SUM(M47:M55)</f>
        <v>97</v>
      </c>
      <c r="N56" s="26">
        <f>SUM(N47:N55)</f>
        <v>96</v>
      </c>
      <c r="O56" s="27">
        <f>SUM(O47:O55)</f>
        <v>44</v>
      </c>
      <c r="P56" s="28">
        <f>SUM(M56:O56)</f>
        <v>237</v>
      </c>
      <c r="Q56" s="25">
        <f>SUM(Q47:Q55)</f>
        <v>97</v>
      </c>
      <c r="R56" s="26">
        <f>SUM(R47:R55)</f>
        <v>96</v>
      </c>
      <c r="S56" s="27">
        <f>SUM(S47:S55)</f>
        <v>44</v>
      </c>
      <c r="T56" s="28">
        <f>SUM(Q56:S56)</f>
        <v>237</v>
      </c>
      <c r="U56" s="28">
        <f>P56+T56</f>
        <v>474</v>
      </c>
    </row>
    <row r="57" spans="1:22" x14ac:dyDescent="0.15">
      <c r="A57" s="22" t="s">
        <v>106</v>
      </c>
      <c r="B57" s="12"/>
      <c r="C57" s="13">
        <v>1</v>
      </c>
      <c r="D57" s="14"/>
      <c r="E57" s="43">
        <f>SUM(B57:D57)</f>
        <v>1</v>
      </c>
      <c r="F57" s="15"/>
      <c r="G57" s="13">
        <v>1</v>
      </c>
      <c r="H57" s="14"/>
      <c r="I57" s="43">
        <f>SUM(F57:H57)</f>
        <v>1</v>
      </c>
      <c r="J57" s="10">
        <f>E57+I57</f>
        <v>2</v>
      </c>
      <c r="K57" s="56">
        <v>44959</v>
      </c>
      <c r="L57" s="22" t="s">
        <v>83</v>
      </c>
      <c r="M57" s="12">
        <v>5</v>
      </c>
      <c r="N57" s="13"/>
      <c r="O57" s="14"/>
      <c r="P57" s="43">
        <f>SUM(M57:O57)</f>
        <v>5</v>
      </c>
      <c r="Q57" s="15">
        <v>5</v>
      </c>
      <c r="R57" s="13"/>
      <c r="S57" s="14"/>
      <c r="T57" s="43">
        <f>SUM(Q57:S57)</f>
        <v>5</v>
      </c>
      <c r="U57" s="10">
        <f>P57+T57</f>
        <v>10</v>
      </c>
      <c r="V57" s="56">
        <v>44937</v>
      </c>
    </row>
    <row r="58" spans="1:22" x14ac:dyDescent="0.15">
      <c r="A58" s="22" t="s">
        <v>97</v>
      </c>
      <c r="B58" s="7">
        <v>1</v>
      </c>
      <c r="C58" s="8">
        <v>5</v>
      </c>
      <c r="D58" s="9"/>
      <c r="E58" s="43">
        <f t="shared" ref="E58:E81" si="37">SUM(B58:D58)</f>
        <v>6</v>
      </c>
      <c r="F58" s="7">
        <v>1</v>
      </c>
      <c r="G58" s="8">
        <v>5</v>
      </c>
      <c r="H58" s="9"/>
      <c r="I58" s="43">
        <f t="shared" ref="I58:I81" si="38">SUM(F58:H58)</f>
        <v>6</v>
      </c>
      <c r="J58" s="10">
        <f t="shared" ref="J58:J81" si="39">E58+I58</f>
        <v>12</v>
      </c>
      <c r="K58" s="56">
        <v>44961</v>
      </c>
      <c r="L58" s="22" t="s">
        <v>84</v>
      </c>
      <c r="M58" s="7">
        <v>2</v>
      </c>
      <c r="N58" s="8"/>
      <c r="O58" s="9">
        <v>2</v>
      </c>
      <c r="P58" s="43">
        <f t="shared" ref="P58:P83" si="40">SUM(M58:O58)</f>
        <v>4</v>
      </c>
      <c r="Q58" s="11">
        <v>2</v>
      </c>
      <c r="R58" s="8"/>
      <c r="S58" s="9">
        <v>2</v>
      </c>
      <c r="T58" s="43">
        <f t="shared" ref="T58:T83" si="41">SUM(Q58:S58)</f>
        <v>4</v>
      </c>
      <c r="U58" s="10">
        <f t="shared" ref="U58:U82" si="42">P58+T58</f>
        <v>8</v>
      </c>
      <c r="V58" s="56">
        <v>44938</v>
      </c>
    </row>
    <row r="59" spans="1:22" x14ac:dyDescent="0.15">
      <c r="A59" s="22" t="s">
        <v>110</v>
      </c>
      <c r="B59" s="7">
        <v>1</v>
      </c>
      <c r="C59" s="8">
        <v>2</v>
      </c>
      <c r="D59" s="9"/>
      <c r="E59" s="43">
        <f t="shared" si="37"/>
        <v>3</v>
      </c>
      <c r="F59" s="11">
        <v>1</v>
      </c>
      <c r="G59" s="8">
        <v>2</v>
      </c>
      <c r="H59" s="9"/>
      <c r="I59" s="43">
        <f t="shared" si="38"/>
        <v>3</v>
      </c>
      <c r="J59" s="10">
        <f t="shared" si="39"/>
        <v>6</v>
      </c>
      <c r="K59" s="56">
        <v>44965</v>
      </c>
      <c r="L59" s="22" t="s">
        <v>85</v>
      </c>
      <c r="M59" s="7">
        <v>1</v>
      </c>
      <c r="N59" s="8">
        <v>1</v>
      </c>
      <c r="O59" s="9">
        <v>1</v>
      </c>
      <c r="P59" s="43">
        <f t="shared" si="40"/>
        <v>3</v>
      </c>
      <c r="Q59" s="11">
        <v>1</v>
      </c>
      <c r="R59" s="8">
        <v>1</v>
      </c>
      <c r="S59" s="9">
        <v>1</v>
      </c>
      <c r="T59" s="43">
        <f t="shared" si="41"/>
        <v>3</v>
      </c>
      <c r="U59" s="10">
        <f t="shared" si="42"/>
        <v>6</v>
      </c>
      <c r="V59" s="56">
        <v>44939</v>
      </c>
    </row>
    <row r="60" spans="1:22" x14ac:dyDescent="0.15">
      <c r="A60" s="22" t="s">
        <v>122</v>
      </c>
      <c r="B60" s="7"/>
      <c r="C60" s="8">
        <v>1</v>
      </c>
      <c r="D60" s="9"/>
      <c r="E60" s="43">
        <f t="shared" si="37"/>
        <v>1</v>
      </c>
      <c r="F60" s="11"/>
      <c r="G60" s="8">
        <v>1</v>
      </c>
      <c r="H60" s="9"/>
      <c r="I60" s="43">
        <f t="shared" si="38"/>
        <v>1</v>
      </c>
      <c r="J60" s="10">
        <f t="shared" si="39"/>
        <v>2</v>
      </c>
      <c r="K60" s="56">
        <v>44973</v>
      </c>
      <c r="L60" s="22" t="s">
        <v>86</v>
      </c>
      <c r="M60" s="7"/>
      <c r="N60" s="8">
        <v>2</v>
      </c>
      <c r="O60" s="9">
        <v>1</v>
      </c>
      <c r="P60" s="43">
        <f t="shared" si="40"/>
        <v>3</v>
      </c>
      <c r="Q60" s="11"/>
      <c r="R60" s="8">
        <v>2</v>
      </c>
      <c r="S60" s="9">
        <v>1</v>
      </c>
      <c r="T60" s="43">
        <f t="shared" si="41"/>
        <v>3</v>
      </c>
      <c r="U60" s="10">
        <f t="shared" si="42"/>
        <v>6</v>
      </c>
      <c r="V60" s="56">
        <v>44943</v>
      </c>
    </row>
    <row r="61" spans="1:22" x14ac:dyDescent="0.15">
      <c r="A61" s="22" t="s">
        <v>131</v>
      </c>
      <c r="B61" s="7">
        <v>3</v>
      </c>
      <c r="C61" s="8"/>
      <c r="D61" s="9">
        <v>1</v>
      </c>
      <c r="E61" s="43">
        <f t="shared" si="37"/>
        <v>4</v>
      </c>
      <c r="F61" s="11">
        <v>3</v>
      </c>
      <c r="G61" s="8"/>
      <c r="H61" s="9">
        <v>1</v>
      </c>
      <c r="I61" s="43">
        <f t="shared" si="38"/>
        <v>4</v>
      </c>
      <c r="J61" s="10">
        <f t="shared" si="39"/>
        <v>8</v>
      </c>
      <c r="K61" s="56">
        <v>44987</v>
      </c>
      <c r="L61" s="78" t="s">
        <v>88</v>
      </c>
      <c r="M61" s="7">
        <v>1</v>
      </c>
      <c r="N61" s="8">
        <v>5</v>
      </c>
      <c r="O61" s="9">
        <v>2</v>
      </c>
      <c r="P61" s="43">
        <f t="shared" si="40"/>
        <v>8</v>
      </c>
      <c r="Q61" s="11">
        <v>1</v>
      </c>
      <c r="R61" s="8">
        <v>5</v>
      </c>
      <c r="S61" s="9">
        <v>2</v>
      </c>
      <c r="T61" s="43">
        <f t="shared" si="41"/>
        <v>8</v>
      </c>
      <c r="U61" s="10">
        <f t="shared" si="42"/>
        <v>16</v>
      </c>
      <c r="V61" s="56">
        <v>44943</v>
      </c>
    </row>
    <row r="62" spans="1:22" x14ac:dyDescent="0.15">
      <c r="A62" s="22"/>
      <c r="B62" s="7"/>
      <c r="C62" s="8"/>
      <c r="D62" s="9"/>
      <c r="E62" s="43">
        <f t="shared" si="37"/>
        <v>0</v>
      </c>
      <c r="F62" s="11"/>
      <c r="G62" s="8"/>
      <c r="H62" s="9"/>
      <c r="I62" s="43">
        <f t="shared" si="38"/>
        <v>0</v>
      </c>
      <c r="J62" s="10">
        <f t="shared" si="39"/>
        <v>0</v>
      </c>
      <c r="K62" s="56"/>
      <c r="L62" s="22" t="s">
        <v>89</v>
      </c>
      <c r="M62" s="7"/>
      <c r="N62" s="8">
        <v>1</v>
      </c>
      <c r="O62" s="9"/>
      <c r="P62" s="43">
        <f t="shared" si="40"/>
        <v>1</v>
      </c>
      <c r="Q62" s="11"/>
      <c r="R62" s="8">
        <v>1</v>
      </c>
      <c r="S62" s="9"/>
      <c r="T62" s="43">
        <f t="shared" si="41"/>
        <v>1</v>
      </c>
      <c r="U62" s="10">
        <f t="shared" si="42"/>
        <v>2</v>
      </c>
      <c r="V62" s="56">
        <v>44944</v>
      </c>
    </row>
    <row r="63" spans="1:22" x14ac:dyDescent="0.15">
      <c r="A63" s="22"/>
      <c r="B63" s="7"/>
      <c r="C63" s="8"/>
      <c r="D63" s="9"/>
      <c r="E63" s="43">
        <f t="shared" si="37"/>
        <v>0</v>
      </c>
      <c r="F63" s="11"/>
      <c r="G63" s="8"/>
      <c r="H63" s="9"/>
      <c r="I63" s="43">
        <f t="shared" si="38"/>
        <v>0</v>
      </c>
      <c r="J63" s="10">
        <f t="shared" si="39"/>
        <v>0</v>
      </c>
      <c r="K63" s="56"/>
      <c r="L63" s="22" t="s">
        <v>93</v>
      </c>
      <c r="M63" s="7"/>
      <c r="N63" s="8"/>
      <c r="O63" s="9">
        <v>1</v>
      </c>
      <c r="P63" s="43">
        <f t="shared" si="40"/>
        <v>1</v>
      </c>
      <c r="Q63" s="11"/>
      <c r="R63" s="8"/>
      <c r="S63" s="9">
        <v>1</v>
      </c>
      <c r="T63" s="43">
        <f t="shared" si="41"/>
        <v>1</v>
      </c>
      <c r="U63" s="10">
        <f t="shared" si="42"/>
        <v>2</v>
      </c>
      <c r="V63" s="56">
        <v>44949</v>
      </c>
    </row>
    <row r="64" spans="1:22" x14ac:dyDescent="0.15">
      <c r="A64" s="22"/>
      <c r="B64" s="7"/>
      <c r="C64" s="8"/>
      <c r="D64" s="9"/>
      <c r="E64" s="43">
        <f t="shared" si="37"/>
        <v>0</v>
      </c>
      <c r="F64" s="11"/>
      <c r="G64" s="8"/>
      <c r="H64" s="9"/>
      <c r="I64" s="43">
        <f t="shared" si="38"/>
        <v>0</v>
      </c>
      <c r="J64" s="10">
        <f t="shared" si="39"/>
        <v>0</v>
      </c>
      <c r="K64" s="56"/>
      <c r="L64" s="79" t="s">
        <v>96</v>
      </c>
      <c r="M64" s="7">
        <v>7</v>
      </c>
      <c r="N64" s="8">
        <v>5</v>
      </c>
      <c r="O64" s="9">
        <v>2</v>
      </c>
      <c r="P64" s="43">
        <f t="shared" si="40"/>
        <v>14</v>
      </c>
      <c r="Q64" s="11">
        <v>7</v>
      </c>
      <c r="R64" s="8">
        <v>5</v>
      </c>
      <c r="S64" s="9">
        <v>2</v>
      </c>
      <c r="T64" s="43">
        <f t="shared" si="41"/>
        <v>14</v>
      </c>
      <c r="U64" s="10">
        <f t="shared" si="42"/>
        <v>28</v>
      </c>
      <c r="V64" s="56">
        <v>44946</v>
      </c>
    </row>
    <row r="65" spans="1:23" x14ac:dyDescent="0.15">
      <c r="A65" s="22"/>
      <c r="B65" s="7"/>
      <c r="C65" s="8"/>
      <c r="D65" s="9"/>
      <c r="E65" s="43">
        <f t="shared" si="37"/>
        <v>0</v>
      </c>
      <c r="F65" s="11"/>
      <c r="G65" s="8"/>
      <c r="H65" s="9"/>
      <c r="I65" s="43">
        <f t="shared" si="38"/>
        <v>0</v>
      </c>
      <c r="J65" s="10">
        <f t="shared" si="39"/>
        <v>0</v>
      </c>
      <c r="K65" s="56"/>
      <c r="L65" s="22" t="s">
        <v>98</v>
      </c>
      <c r="M65" s="7"/>
      <c r="N65" s="8">
        <v>1</v>
      </c>
      <c r="O65" s="9"/>
      <c r="P65" s="43">
        <f t="shared" si="40"/>
        <v>1</v>
      </c>
      <c r="Q65" s="11"/>
      <c r="R65" s="8">
        <v>1</v>
      </c>
      <c r="S65" s="9"/>
      <c r="T65" s="43">
        <f t="shared" si="41"/>
        <v>1</v>
      </c>
      <c r="U65" s="10">
        <f t="shared" si="42"/>
        <v>2</v>
      </c>
      <c r="V65" s="56">
        <v>44950</v>
      </c>
    </row>
    <row r="66" spans="1:23" x14ac:dyDescent="0.15">
      <c r="A66" s="22"/>
      <c r="B66" s="12"/>
      <c r="C66" s="13"/>
      <c r="D66" s="14"/>
      <c r="E66" s="43">
        <f t="shared" si="37"/>
        <v>0</v>
      </c>
      <c r="F66" s="15"/>
      <c r="G66" s="13"/>
      <c r="H66" s="14"/>
      <c r="I66" s="43">
        <f t="shared" si="38"/>
        <v>0</v>
      </c>
      <c r="J66" s="10">
        <f t="shared" si="39"/>
        <v>0</v>
      </c>
      <c r="K66" s="56"/>
      <c r="L66" s="22" t="s">
        <v>101</v>
      </c>
      <c r="M66" s="12">
        <v>2</v>
      </c>
      <c r="N66" s="13"/>
      <c r="O66" s="14"/>
      <c r="P66" s="43">
        <f t="shared" si="40"/>
        <v>2</v>
      </c>
      <c r="Q66" s="15">
        <v>2</v>
      </c>
      <c r="R66" s="13"/>
      <c r="S66" s="14"/>
      <c r="T66" s="43">
        <f t="shared" si="41"/>
        <v>2</v>
      </c>
      <c r="U66" s="10">
        <f t="shared" si="42"/>
        <v>4</v>
      </c>
      <c r="V66" s="56">
        <v>44952</v>
      </c>
    </row>
    <row r="67" spans="1:23" x14ac:dyDescent="0.15">
      <c r="A67" s="22"/>
      <c r="B67" s="7"/>
      <c r="C67" s="8"/>
      <c r="D67" s="9"/>
      <c r="E67" s="43">
        <f t="shared" si="37"/>
        <v>0</v>
      </c>
      <c r="F67" s="11"/>
      <c r="G67" s="8"/>
      <c r="H67" s="9"/>
      <c r="I67" s="43">
        <f t="shared" si="38"/>
        <v>0</v>
      </c>
      <c r="J67" s="10">
        <f t="shared" si="39"/>
        <v>0</v>
      </c>
      <c r="K67" s="56"/>
      <c r="L67" s="22" t="s">
        <v>103</v>
      </c>
      <c r="M67" s="7">
        <v>1</v>
      </c>
      <c r="N67" s="8">
        <v>1</v>
      </c>
      <c r="O67" s="9"/>
      <c r="P67" s="43">
        <f t="shared" si="40"/>
        <v>2</v>
      </c>
      <c r="Q67" s="11">
        <v>1</v>
      </c>
      <c r="R67" s="8">
        <v>1</v>
      </c>
      <c r="S67" s="9"/>
      <c r="T67" s="43">
        <f t="shared" si="41"/>
        <v>2</v>
      </c>
      <c r="U67" s="10">
        <f t="shared" si="42"/>
        <v>4</v>
      </c>
      <c r="V67" s="56">
        <v>44957</v>
      </c>
    </row>
    <row r="68" spans="1:23" x14ac:dyDescent="0.15">
      <c r="A68" s="22"/>
      <c r="B68" s="7"/>
      <c r="C68" s="8"/>
      <c r="D68" s="9"/>
      <c r="E68" s="43">
        <f t="shared" si="37"/>
        <v>0</v>
      </c>
      <c r="F68" s="11"/>
      <c r="G68" s="8"/>
      <c r="H68" s="9"/>
      <c r="I68" s="43">
        <f t="shared" si="38"/>
        <v>0</v>
      </c>
      <c r="J68" s="10">
        <f t="shared" si="39"/>
        <v>0</v>
      </c>
      <c r="K68" s="56"/>
      <c r="L68" s="22" t="s">
        <v>104</v>
      </c>
      <c r="M68" s="7">
        <v>1</v>
      </c>
      <c r="N68" s="8">
        <v>1</v>
      </c>
      <c r="O68" s="9"/>
      <c r="P68" s="43">
        <f t="shared" si="40"/>
        <v>2</v>
      </c>
      <c r="Q68" s="11">
        <v>1</v>
      </c>
      <c r="R68" s="8">
        <v>1</v>
      </c>
      <c r="S68" s="9"/>
      <c r="T68" s="43">
        <f t="shared" si="41"/>
        <v>2</v>
      </c>
      <c r="U68" s="10">
        <f t="shared" si="42"/>
        <v>4</v>
      </c>
      <c r="V68" s="56">
        <v>44958</v>
      </c>
      <c r="W68" s="61"/>
    </row>
    <row r="69" spans="1:23" x14ac:dyDescent="0.15">
      <c r="A69" s="22"/>
      <c r="B69" s="7"/>
      <c r="C69" s="8"/>
      <c r="D69" s="9"/>
      <c r="E69" s="43">
        <f t="shared" si="37"/>
        <v>0</v>
      </c>
      <c r="F69" s="11"/>
      <c r="G69" s="8"/>
      <c r="H69" s="9"/>
      <c r="I69" s="43">
        <f t="shared" si="38"/>
        <v>0</v>
      </c>
      <c r="J69" s="10">
        <f t="shared" si="39"/>
        <v>0</v>
      </c>
      <c r="K69" s="56"/>
      <c r="L69" s="22" t="s">
        <v>112</v>
      </c>
      <c r="M69" s="7">
        <v>1</v>
      </c>
      <c r="N69" s="8">
        <v>3</v>
      </c>
      <c r="O69" s="9"/>
      <c r="P69" s="43">
        <f t="shared" si="40"/>
        <v>4</v>
      </c>
      <c r="Q69" s="11">
        <v>1</v>
      </c>
      <c r="R69" s="8">
        <v>3</v>
      </c>
      <c r="S69" s="9"/>
      <c r="T69" s="43">
        <f t="shared" si="41"/>
        <v>4</v>
      </c>
      <c r="U69" s="10">
        <f t="shared" si="42"/>
        <v>8</v>
      </c>
      <c r="V69" s="56">
        <v>44966</v>
      </c>
      <c r="W69" s="61"/>
    </row>
    <row r="70" spans="1:23" x14ac:dyDescent="0.15">
      <c r="A70" s="22"/>
      <c r="B70" s="7"/>
      <c r="C70" s="8"/>
      <c r="D70" s="9"/>
      <c r="E70" s="43">
        <f t="shared" si="37"/>
        <v>0</v>
      </c>
      <c r="F70" s="11"/>
      <c r="G70" s="8"/>
      <c r="H70" s="9"/>
      <c r="I70" s="43">
        <f t="shared" si="38"/>
        <v>0</v>
      </c>
      <c r="J70" s="10">
        <f t="shared" si="39"/>
        <v>0</v>
      </c>
      <c r="K70" s="56"/>
      <c r="L70" s="22" t="s">
        <v>114</v>
      </c>
      <c r="M70" s="7">
        <v>8</v>
      </c>
      <c r="N70" s="8">
        <v>3</v>
      </c>
      <c r="O70" s="9">
        <v>1</v>
      </c>
      <c r="P70" s="43">
        <f t="shared" si="40"/>
        <v>12</v>
      </c>
      <c r="Q70" s="11">
        <v>8</v>
      </c>
      <c r="R70" s="8">
        <v>3</v>
      </c>
      <c r="S70" s="9">
        <v>1</v>
      </c>
      <c r="T70" s="43">
        <f t="shared" si="41"/>
        <v>12</v>
      </c>
      <c r="U70" s="10">
        <f t="shared" si="42"/>
        <v>24</v>
      </c>
      <c r="V70" s="56">
        <v>44967</v>
      </c>
    </row>
    <row r="71" spans="1:23" x14ac:dyDescent="0.15">
      <c r="A71" s="22"/>
      <c r="B71" s="7"/>
      <c r="C71" s="8"/>
      <c r="D71" s="9"/>
      <c r="E71" s="43">
        <f t="shared" si="37"/>
        <v>0</v>
      </c>
      <c r="F71" s="11"/>
      <c r="G71" s="8"/>
      <c r="H71" s="9"/>
      <c r="I71" s="43">
        <f t="shared" si="38"/>
        <v>0</v>
      </c>
      <c r="J71" s="10">
        <f t="shared" si="39"/>
        <v>0</v>
      </c>
      <c r="K71" s="56"/>
      <c r="L71" s="22" t="s">
        <v>116</v>
      </c>
      <c r="M71" s="7">
        <v>7</v>
      </c>
      <c r="N71" s="8">
        <v>7</v>
      </c>
      <c r="O71" s="9">
        <v>5</v>
      </c>
      <c r="P71" s="43">
        <f>SUM(M71:O71)</f>
        <v>19</v>
      </c>
      <c r="Q71" s="11">
        <v>7</v>
      </c>
      <c r="R71" s="8">
        <v>7</v>
      </c>
      <c r="S71" s="9">
        <v>5</v>
      </c>
      <c r="T71" s="43">
        <f>SUM(Q71:S71)</f>
        <v>19</v>
      </c>
      <c r="U71" s="10">
        <f>P71+T71</f>
        <v>38</v>
      </c>
      <c r="V71" s="56">
        <v>44970</v>
      </c>
    </row>
    <row r="72" spans="1:23" x14ac:dyDescent="0.15">
      <c r="A72" s="22"/>
      <c r="B72" s="7"/>
      <c r="C72" s="8"/>
      <c r="D72" s="9"/>
      <c r="E72" s="43">
        <f t="shared" si="37"/>
        <v>0</v>
      </c>
      <c r="F72" s="11"/>
      <c r="G72" s="8"/>
      <c r="H72" s="9"/>
      <c r="I72" s="43">
        <f t="shared" si="38"/>
        <v>0</v>
      </c>
      <c r="J72" s="10">
        <f t="shared" si="39"/>
        <v>0</v>
      </c>
      <c r="K72" s="56"/>
      <c r="L72" s="22" t="s">
        <v>118</v>
      </c>
      <c r="M72" s="7"/>
      <c r="N72" s="8">
        <v>4</v>
      </c>
      <c r="O72" s="9"/>
      <c r="P72" s="43">
        <f t="shared" si="40"/>
        <v>4</v>
      </c>
      <c r="Q72" s="11"/>
      <c r="R72" s="8">
        <v>4</v>
      </c>
      <c r="S72" s="9"/>
      <c r="T72" s="43">
        <f t="shared" si="41"/>
        <v>4</v>
      </c>
      <c r="U72" s="10">
        <f t="shared" si="42"/>
        <v>8</v>
      </c>
      <c r="V72" s="56">
        <v>44971</v>
      </c>
      <c r="W72" s="61"/>
    </row>
    <row r="73" spans="1:23" x14ac:dyDescent="0.15">
      <c r="A73" s="24"/>
      <c r="B73" s="7"/>
      <c r="C73" s="8"/>
      <c r="D73" s="9"/>
      <c r="E73" s="43">
        <f t="shared" si="37"/>
        <v>0</v>
      </c>
      <c r="F73" s="11"/>
      <c r="G73" s="8"/>
      <c r="H73" s="9"/>
      <c r="I73" s="43">
        <f t="shared" si="38"/>
        <v>0</v>
      </c>
      <c r="J73" s="10">
        <f t="shared" si="39"/>
        <v>0</v>
      </c>
      <c r="K73" s="56"/>
      <c r="L73" s="22" t="s">
        <v>120</v>
      </c>
      <c r="M73" s="7">
        <v>1</v>
      </c>
      <c r="N73" s="8"/>
      <c r="O73" s="9">
        <v>3</v>
      </c>
      <c r="P73" s="43">
        <f t="shared" si="40"/>
        <v>4</v>
      </c>
      <c r="Q73" s="11">
        <v>1</v>
      </c>
      <c r="R73" s="8"/>
      <c r="S73" s="9">
        <v>3</v>
      </c>
      <c r="T73" s="43">
        <f t="shared" si="41"/>
        <v>4</v>
      </c>
      <c r="U73" s="10">
        <f t="shared" si="42"/>
        <v>8</v>
      </c>
      <c r="V73" s="56">
        <v>44972</v>
      </c>
    </row>
    <row r="74" spans="1:23" x14ac:dyDescent="0.15">
      <c r="A74" s="22"/>
      <c r="B74" s="7"/>
      <c r="C74" s="8"/>
      <c r="D74" s="9"/>
      <c r="E74" s="43">
        <f t="shared" si="37"/>
        <v>0</v>
      </c>
      <c r="F74" s="11"/>
      <c r="G74" s="8"/>
      <c r="H74" s="9"/>
      <c r="I74" s="43">
        <f t="shared" si="38"/>
        <v>0</v>
      </c>
      <c r="J74" s="10">
        <f t="shared" si="39"/>
        <v>0</v>
      </c>
      <c r="K74" s="56"/>
      <c r="L74" s="22" t="s">
        <v>123</v>
      </c>
      <c r="M74" s="7">
        <v>2</v>
      </c>
      <c r="N74" s="8"/>
      <c r="O74" s="9">
        <v>1</v>
      </c>
      <c r="P74" s="43">
        <f t="shared" si="40"/>
        <v>3</v>
      </c>
      <c r="Q74" s="11">
        <v>2</v>
      </c>
      <c r="R74" s="8"/>
      <c r="S74" s="9">
        <v>1</v>
      </c>
      <c r="T74" s="43">
        <f t="shared" si="41"/>
        <v>3</v>
      </c>
      <c r="U74" s="10">
        <f t="shared" si="42"/>
        <v>6</v>
      </c>
      <c r="V74" s="56">
        <v>44974</v>
      </c>
    </row>
    <row r="75" spans="1:23" x14ac:dyDescent="0.15">
      <c r="A75" s="22"/>
      <c r="B75" s="7"/>
      <c r="C75" s="8"/>
      <c r="D75" s="9"/>
      <c r="E75" s="43">
        <f t="shared" si="37"/>
        <v>0</v>
      </c>
      <c r="F75" s="11"/>
      <c r="G75" s="8"/>
      <c r="H75" s="9"/>
      <c r="I75" s="43">
        <f t="shared" si="38"/>
        <v>0</v>
      </c>
      <c r="J75" s="10">
        <f t="shared" si="39"/>
        <v>0</v>
      </c>
      <c r="K75" s="56"/>
      <c r="L75" s="22" t="s">
        <v>125</v>
      </c>
      <c r="M75" s="7"/>
      <c r="N75" s="8">
        <v>2</v>
      </c>
      <c r="O75" s="9">
        <v>1</v>
      </c>
      <c r="P75" s="43">
        <f t="shared" si="40"/>
        <v>3</v>
      </c>
      <c r="Q75" s="11"/>
      <c r="R75" s="8">
        <v>2</v>
      </c>
      <c r="S75" s="9">
        <v>1</v>
      </c>
      <c r="T75" s="43">
        <f t="shared" si="41"/>
        <v>3</v>
      </c>
      <c r="U75" s="10">
        <f t="shared" si="42"/>
        <v>6</v>
      </c>
      <c r="V75" s="56">
        <v>44977</v>
      </c>
    </row>
    <row r="76" spans="1:23" x14ac:dyDescent="0.15">
      <c r="A76" s="22"/>
      <c r="B76" s="7"/>
      <c r="C76" s="8"/>
      <c r="D76" s="9"/>
      <c r="E76" s="43">
        <f t="shared" si="37"/>
        <v>0</v>
      </c>
      <c r="F76" s="11"/>
      <c r="G76" s="8"/>
      <c r="H76" s="9"/>
      <c r="I76" s="43">
        <f t="shared" si="38"/>
        <v>0</v>
      </c>
      <c r="J76" s="10">
        <f t="shared" si="39"/>
        <v>0</v>
      </c>
      <c r="K76" s="56"/>
      <c r="L76" s="22" t="s">
        <v>126</v>
      </c>
      <c r="M76" s="7">
        <v>2</v>
      </c>
      <c r="N76" s="8">
        <v>4</v>
      </c>
      <c r="O76" s="9">
        <v>2</v>
      </c>
      <c r="P76" s="43">
        <f t="shared" si="40"/>
        <v>8</v>
      </c>
      <c r="Q76" s="11">
        <v>2</v>
      </c>
      <c r="R76" s="8">
        <v>4</v>
      </c>
      <c r="S76" s="9">
        <v>2</v>
      </c>
      <c r="T76" s="43">
        <f t="shared" si="41"/>
        <v>8</v>
      </c>
      <c r="U76" s="10">
        <f t="shared" si="42"/>
        <v>16</v>
      </c>
      <c r="V76" s="56">
        <v>44978</v>
      </c>
    </row>
    <row r="77" spans="1:23" x14ac:dyDescent="0.15">
      <c r="A77" s="22"/>
      <c r="B77" s="7"/>
      <c r="C77" s="8"/>
      <c r="D77" s="9"/>
      <c r="E77" s="43">
        <f t="shared" si="37"/>
        <v>0</v>
      </c>
      <c r="F77" s="11"/>
      <c r="G77" s="8"/>
      <c r="H77" s="9"/>
      <c r="I77" s="43">
        <f t="shared" si="38"/>
        <v>0</v>
      </c>
      <c r="J77" s="10">
        <f t="shared" si="39"/>
        <v>0</v>
      </c>
      <c r="K77" s="56"/>
      <c r="L77" s="22" t="s">
        <v>128</v>
      </c>
      <c r="M77" s="7"/>
      <c r="N77" s="8"/>
      <c r="O77" s="9">
        <v>6</v>
      </c>
      <c r="P77" s="43">
        <f t="shared" si="40"/>
        <v>6</v>
      </c>
      <c r="Q77" s="11"/>
      <c r="R77" s="8"/>
      <c r="S77" s="9">
        <v>6</v>
      </c>
      <c r="T77" s="43">
        <f t="shared" si="41"/>
        <v>6</v>
      </c>
      <c r="U77" s="10">
        <f t="shared" si="42"/>
        <v>12</v>
      </c>
      <c r="V77" s="56">
        <v>44985</v>
      </c>
    </row>
    <row r="78" spans="1:23" x14ac:dyDescent="0.15">
      <c r="A78" s="63"/>
      <c r="B78" s="12"/>
      <c r="C78" s="13"/>
      <c r="D78" s="14"/>
      <c r="E78" s="43">
        <f t="shared" si="37"/>
        <v>0</v>
      </c>
      <c r="F78" s="15"/>
      <c r="G78" s="13"/>
      <c r="H78" s="14"/>
      <c r="I78" s="43">
        <f t="shared" si="38"/>
        <v>0</v>
      </c>
      <c r="J78" s="10">
        <f t="shared" si="39"/>
        <v>0</v>
      </c>
      <c r="K78" s="59"/>
      <c r="L78" s="24"/>
      <c r="M78" s="7"/>
      <c r="N78" s="8"/>
      <c r="O78" s="9"/>
      <c r="P78" s="43">
        <f t="shared" si="40"/>
        <v>0</v>
      </c>
      <c r="Q78" s="11"/>
      <c r="R78" s="8"/>
      <c r="S78" s="9"/>
      <c r="T78" s="43">
        <f t="shared" si="41"/>
        <v>0</v>
      </c>
      <c r="U78" s="10">
        <f t="shared" si="42"/>
        <v>0</v>
      </c>
      <c r="V78" s="56"/>
    </row>
    <row r="79" spans="1:23" x14ac:dyDescent="0.15">
      <c r="A79" s="22"/>
      <c r="B79" s="7"/>
      <c r="C79" s="8"/>
      <c r="D79" s="9"/>
      <c r="E79" s="43">
        <f t="shared" si="37"/>
        <v>0</v>
      </c>
      <c r="F79" s="11"/>
      <c r="G79" s="8"/>
      <c r="H79" s="9"/>
      <c r="I79" s="43">
        <f t="shared" si="38"/>
        <v>0</v>
      </c>
      <c r="J79" s="10">
        <f t="shared" si="39"/>
        <v>0</v>
      </c>
      <c r="K79" s="56"/>
      <c r="L79" s="24" t="s">
        <v>34</v>
      </c>
      <c r="M79" s="7"/>
      <c r="N79" s="8"/>
      <c r="O79" s="9"/>
      <c r="P79" s="43">
        <f t="shared" ref="P79:P81" si="43">SUM(M79:O79)</f>
        <v>0</v>
      </c>
      <c r="Q79" s="11"/>
      <c r="R79" s="8"/>
      <c r="S79" s="9"/>
      <c r="T79" s="43">
        <f t="shared" ref="T79:T81" si="44">SUM(Q79:S79)</f>
        <v>0</v>
      </c>
      <c r="U79" s="10">
        <f t="shared" ref="U79:U81" si="45">P79+T79</f>
        <v>0</v>
      </c>
      <c r="V79" s="56" t="s">
        <v>35</v>
      </c>
    </row>
    <row r="80" spans="1:23" x14ac:dyDescent="0.15">
      <c r="A80" s="63"/>
      <c r="B80" s="7"/>
      <c r="C80" s="8"/>
      <c r="D80" s="9"/>
      <c r="E80" s="43">
        <f t="shared" si="37"/>
        <v>0</v>
      </c>
      <c r="F80" s="11"/>
      <c r="G80" s="8"/>
      <c r="H80" s="9"/>
      <c r="I80" s="43">
        <f t="shared" si="38"/>
        <v>0</v>
      </c>
      <c r="J80" s="10">
        <f t="shared" si="39"/>
        <v>0</v>
      </c>
      <c r="K80" s="56"/>
      <c r="L80" s="78" t="s">
        <v>100</v>
      </c>
      <c r="M80" s="7"/>
      <c r="N80" s="8"/>
      <c r="O80" s="9"/>
      <c r="P80" s="43">
        <f t="shared" si="43"/>
        <v>0</v>
      </c>
      <c r="Q80" s="7"/>
      <c r="R80" s="8"/>
      <c r="S80" s="9"/>
      <c r="T80" s="43">
        <f t="shared" si="44"/>
        <v>0</v>
      </c>
      <c r="U80" s="10">
        <f t="shared" si="45"/>
        <v>0</v>
      </c>
      <c r="V80" s="56">
        <v>44578</v>
      </c>
    </row>
    <row r="81" spans="1:23" x14ac:dyDescent="0.15">
      <c r="A81" s="22"/>
      <c r="B81" s="7"/>
      <c r="C81" s="8"/>
      <c r="D81" s="9"/>
      <c r="E81" s="43">
        <f t="shared" si="37"/>
        <v>0</v>
      </c>
      <c r="F81" s="11"/>
      <c r="G81" s="8"/>
      <c r="H81" s="9"/>
      <c r="I81" s="43">
        <f t="shared" si="38"/>
        <v>0</v>
      </c>
      <c r="J81" s="10">
        <f t="shared" si="39"/>
        <v>0</v>
      </c>
      <c r="K81" s="56"/>
      <c r="L81" s="24" t="s">
        <v>81</v>
      </c>
      <c r="M81" s="7"/>
      <c r="N81" s="8"/>
      <c r="O81" s="9"/>
      <c r="P81" s="43">
        <f t="shared" si="43"/>
        <v>0</v>
      </c>
      <c r="Q81" s="11"/>
      <c r="R81" s="8"/>
      <c r="S81" s="9"/>
      <c r="T81" s="43">
        <f t="shared" si="44"/>
        <v>0</v>
      </c>
      <c r="U81" s="10">
        <f t="shared" si="45"/>
        <v>0</v>
      </c>
      <c r="V81" s="56" t="s">
        <v>82</v>
      </c>
    </row>
    <row r="82" spans="1:23" ht="14.25" thickBot="1" x14ac:dyDescent="0.2">
      <c r="A82" s="60"/>
      <c r="B82" s="12"/>
      <c r="C82" s="13"/>
      <c r="D82" s="14"/>
      <c r="E82" s="43">
        <f>SUM(B82:D82)</f>
        <v>0</v>
      </c>
      <c r="F82" s="15"/>
      <c r="G82" s="13"/>
      <c r="H82" s="14"/>
      <c r="I82" s="43">
        <f>SUM(F82:H82)</f>
        <v>0</v>
      </c>
      <c r="J82" s="10">
        <f>E82+I82</f>
        <v>0</v>
      </c>
      <c r="K82" s="56"/>
      <c r="L82" s="24" t="s">
        <v>73</v>
      </c>
      <c r="M82" s="7"/>
      <c r="N82" s="8"/>
      <c r="O82" s="9"/>
      <c r="P82" s="43">
        <f t="shared" si="40"/>
        <v>0</v>
      </c>
      <c r="Q82" s="11"/>
      <c r="R82" s="8"/>
      <c r="S82" s="9"/>
      <c r="T82" s="43">
        <f t="shared" si="41"/>
        <v>0</v>
      </c>
      <c r="U82" s="10">
        <f t="shared" si="42"/>
        <v>0</v>
      </c>
      <c r="V82" s="56" t="s">
        <v>74</v>
      </c>
      <c r="W82" s="61"/>
    </row>
    <row r="83" spans="1:23" ht="14.25" thickBot="1" x14ac:dyDescent="0.2">
      <c r="A83" s="35" t="s">
        <v>17</v>
      </c>
      <c r="B83" s="40">
        <f>SUM(B57:B82)</f>
        <v>5</v>
      </c>
      <c r="C83" s="41">
        <f t="shared" ref="C83:D83" si="46">SUM(C57:C82)</f>
        <v>9</v>
      </c>
      <c r="D83" s="52">
        <f t="shared" si="46"/>
        <v>1</v>
      </c>
      <c r="E83" s="39">
        <f t="shared" ref="E83" si="47">SUM(B83:D83)</f>
        <v>15</v>
      </c>
      <c r="F83" s="40">
        <f>SUM(F57:F82)</f>
        <v>5</v>
      </c>
      <c r="G83" s="41">
        <f t="shared" ref="G83:H83" si="48">SUM(G57:G82)</f>
        <v>9</v>
      </c>
      <c r="H83" s="52">
        <f t="shared" si="48"/>
        <v>1</v>
      </c>
      <c r="I83" s="39">
        <f t="shared" ref="I83" si="49">SUM(F83:H83)</f>
        <v>15</v>
      </c>
      <c r="J83" s="39">
        <f>E83+I83</f>
        <v>30</v>
      </c>
      <c r="K83" s="34"/>
      <c r="L83" s="35" t="s">
        <v>17</v>
      </c>
      <c r="M83" s="40">
        <f>SUM(M57:M82)</f>
        <v>41</v>
      </c>
      <c r="N83" s="41">
        <f t="shared" ref="N83:O83" si="50">SUM(N57:N82)</f>
        <v>40</v>
      </c>
      <c r="O83" s="52">
        <f t="shared" si="50"/>
        <v>28</v>
      </c>
      <c r="P83" s="39">
        <f t="shared" si="40"/>
        <v>109</v>
      </c>
      <c r="Q83" s="40">
        <f>SUM(Q57:Q82)</f>
        <v>41</v>
      </c>
      <c r="R83" s="41">
        <f t="shared" ref="R83:S83" si="51">SUM(R57:R82)</f>
        <v>40</v>
      </c>
      <c r="S83" s="52">
        <f t="shared" si="51"/>
        <v>28</v>
      </c>
      <c r="T83" s="39">
        <f t="shared" si="41"/>
        <v>109</v>
      </c>
      <c r="U83" s="39">
        <f>P83+T83</f>
        <v>218</v>
      </c>
    </row>
    <row r="84" spans="1:23" ht="14.25" thickBot="1" x14ac:dyDescent="0.2">
      <c r="A84" s="21" t="s">
        <v>16</v>
      </c>
      <c r="B84" s="44">
        <f>B56-B83</f>
        <v>2</v>
      </c>
      <c r="C84" s="50">
        <f t="shared" ref="C84:D84" si="52">C56-C83</f>
        <v>1</v>
      </c>
      <c r="D84" s="51">
        <f t="shared" si="52"/>
        <v>2</v>
      </c>
      <c r="E84" s="49">
        <f>SUM(B84:D84)</f>
        <v>5</v>
      </c>
      <c r="F84" s="44">
        <f>F56-F83</f>
        <v>2</v>
      </c>
      <c r="G84" s="50">
        <f t="shared" ref="G84:H84" si="53">G56-G83</f>
        <v>1</v>
      </c>
      <c r="H84" s="51">
        <f t="shared" si="53"/>
        <v>2</v>
      </c>
      <c r="I84" s="49">
        <f>SUM(F84:H84)</f>
        <v>5</v>
      </c>
      <c r="J84" s="28">
        <f>E84+I84</f>
        <v>10</v>
      </c>
      <c r="L84" s="21" t="s">
        <v>16</v>
      </c>
      <c r="M84" s="44">
        <f>M56-M83</f>
        <v>56</v>
      </c>
      <c r="N84" s="50">
        <f t="shared" ref="N84:O84" si="54">N56-N83</f>
        <v>56</v>
      </c>
      <c r="O84" s="51">
        <f t="shared" si="54"/>
        <v>16</v>
      </c>
      <c r="P84" s="49">
        <f>SUM(M84:O84)</f>
        <v>128</v>
      </c>
      <c r="Q84" s="44">
        <f>Q56-Q83</f>
        <v>56</v>
      </c>
      <c r="R84" s="50">
        <f t="shared" ref="R84:S84" si="55">R56-R83</f>
        <v>56</v>
      </c>
      <c r="S84" s="51">
        <f t="shared" si="55"/>
        <v>16</v>
      </c>
      <c r="T84" s="49">
        <f>SUM(Q84:S84)</f>
        <v>128</v>
      </c>
      <c r="U84" s="28">
        <f>P84+T84</f>
        <v>256</v>
      </c>
    </row>
    <row r="85" spans="1:23" x14ac:dyDescent="0.15">
      <c r="B85" s="64"/>
      <c r="C85" s="64"/>
      <c r="D85" s="64"/>
      <c r="E85" s="64"/>
    </row>
    <row r="86" spans="1:23" x14ac:dyDescent="0.15">
      <c r="M86" s="64"/>
      <c r="N86" s="64"/>
      <c r="O86" s="64"/>
      <c r="P86" s="64"/>
    </row>
    <row r="87" spans="1:23" ht="19.5" thickBot="1" x14ac:dyDescent="0.25">
      <c r="A87" s="2" t="s">
        <v>29</v>
      </c>
      <c r="B87" s="1"/>
      <c r="C87" s="1"/>
      <c r="D87" s="1"/>
      <c r="E87" s="1"/>
      <c r="F87" s="1"/>
      <c r="G87" s="1"/>
      <c r="H87" s="1"/>
      <c r="I87" s="1"/>
      <c r="J87" s="1"/>
      <c r="L87" s="2" t="s">
        <v>30</v>
      </c>
      <c r="M87" s="1"/>
      <c r="N87" s="1"/>
      <c r="O87" s="1"/>
      <c r="P87" s="1"/>
      <c r="Q87" s="1"/>
      <c r="R87" s="1"/>
      <c r="S87" s="1"/>
      <c r="T87" s="1"/>
      <c r="U87" s="1">
        <v>480</v>
      </c>
    </row>
    <row r="88" spans="1:23" ht="14.25" thickBot="1" x14ac:dyDescent="0.2">
      <c r="A88" s="6"/>
      <c r="B88" s="159" t="s">
        <v>18</v>
      </c>
      <c r="C88" s="160"/>
      <c r="D88" s="160"/>
      <c r="E88" s="161"/>
      <c r="F88" s="159" t="s">
        <v>22</v>
      </c>
      <c r="G88" s="160"/>
      <c r="H88" s="160"/>
      <c r="I88" s="162"/>
      <c r="J88" s="157" t="s">
        <v>0</v>
      </c>
      <c r="L88" s="6"/>
      <c r="M88" s="146" t="s">
        <v>18</v>
      </c>
      <c r="N88" s="147"/>
      <c r="O88" s="147"/>
      <c r="P88" s="148"/>
      <c r="Q88" s="146" t="s">
        <v>22</v>
      </c>
      <c r="R88" s="147"/>
      <c r="S88" s="147"/>
      <c r="T88" s="148"/>
      <c r="U88" s="157" t="s">
        <v>0</v>
      </c>
    </row>
    <row r="89" spans="1:23" ht="14.25" thickBot="1" x14ac:dyDescent="0.2">
      <c r="A89" s="6" t="s">
        <v>1</v>
      </c>
      <c r="B89" s="3" t="s">
        <v>2</v>
      </c>
      <c r="C89" s="4" t="s">
        <v>3</v>
      </c>
      <c r="D89" s="5" t="s">
        <v>4</v>
      </c>
      <c r="E89" s="6" t="s">
        <v>5</v>
      </c>
      <c r="F89" s="3" t="s">
        <v>2</v>
      </c>
      <c r="G89" s="4" t="s">
        <v>3</v>
      </c>
      <c r="H89" s="5" t="s">
        <v>4</v>
      </c>
      <c r="I89" s="6" t="s">
        <v>5</v>
      </c>
      <c r="J89" s="158"/>
      <c r="L89" s="6" t="s">
        <v>1</v>
      </c>
      <c r="M89" s="3" t="s">
        <v>2</v>
      </c>
      <c r="N89" s="4" t="s">
        <v>3</v>
      </c>
      <c r="O89" s="5" t="s">
        <v>4</v>
      </c>
      <c r="P89" s="6" t="s">
        <v>5</v>
      </c>
      <c r="Q89" s="3" t="s">
        <v>2</v>
      </c>
      <c r="R89" s="4" t="s">
        <v>3</v>
      </c>
      <c r="S89" s="5" t="s">
        <v>4</v>
      </c>
      <c r="T89" s="6" t="s">
        <v>5</v>
      </c>
      <c r="U89" s="158"/>
    </row>
    <row r="90" spans="1:23" ht="14.25" thickBot="1" x14ac:dyDescent="0.2">
      <c r="A90" s="62" t="s">
        <v>16</v>
      </c>
      <c r="B90" s="40">
        <f>B84</f>
        <v>2</v>
      </c>
      <c r="C90" s="41">
        <f>C84</f>
        <v>1</v>
      </c>
      <c r="D90" s="81">
        <f>D84</f>
        <v>2</v>
      </c>
      <c r="E90" s="39">
        <f>SUM(B90:D90)</f>
        <v>5</v>
      </c>
      <c r="F90" s="40">
        <f>F84</f>
        <v>2</v>
      </c>
      <c r="G90" s="41">
        <f>G84</f>
        <v>1</v>
      </c>
      <c r="H90" s="81">
        <f>H84</f>
        <v>2</v>
      </c>
      <c r="I90" s="39">
        <f>SUM(F90:H90)</f>
        <v>5</v>
      </c>
      <c r="J90" s="39">
        <f>E90+I90</f>
        <v>10</v>
      </c>
      <c r="K90" s="56"/>
      <c r="L90" s="66" t="s">
        <v>6</v>
      </c>
      <c r="M90" s="25">
        <f>M84</f>
        <v>56</v>
      </c>
      <c r="N90" s="26">
        <f>N84</f>
        <v>56</v>
      </c>
      <c r="O90" s="27">
        <f>O84</f>
        <v>16</v>
      </c>
      <c r="P90" s="28">
        <f>SUM(M90:O90)</f>
        <v>128</v>
      </c>
      <c r="Q90" s="25">
        <f>Q84</f>
        <v>56</v>
      </c>
      <c r="R90" s="26">
        <f>R84</f>
        <v>56</v>
      </c>
      <c r="S90" s="27">
        <f>S84</f>
        <v>16</v>
      </c>
      <c r="T90" s="28">
        <f>SUM(Q90:S90)</f>
        <v>128</v>
      </c>
      <c r="U90" s="28">
        <f>P90+T90</f>
        <v>256</v>
      </c>
    </row>
    <row r="91" spans="1:23" x14ac:dyDescent="0.15">
      <c r="A91" s="23" t="s">
        <v>77</v>
      </c>
      <c r="B91" s="16"/>
      <c r="C91" s="17"/>
      <c r="D91" s="45">
        <v>1</v>
      </c>
      <c r="E91" s="43">
        <f>SUM(B91:D91)</f>
        <v>1</v>
      </c>
      <c r="F91" s="19"/>
      <c r="G91" s="17"/>
      <c r="H91" s="18">
        <v>1</v>
      </c>
      <c r="I91" s="43">
        <f>SUM(F91:H91)</f>
        <v>1</v>
      </c>
      <c r="J91" s="43">
        <f>E91+I91</f>
        <v>2</v>
      </c>
      <c r="K91" s="56">
        <v>44994</v>
      </c>
      <c r="L91" s="23" t="s">
        <v>7</v>
      </c>
      <c r="M91" s="16"/>
      <c r="N91" s="17"/>
      <c r="O91" s="45"/>
      <c r="P91" s="43">
        <f t="shared" ref="P91:P92" si="56">SUM(M91:O91)</f>
        <v>0</v>
      </c>
      <c r="Q91" s="19"/>
      <c r="R91" s="17"/>
      <c r="S91" s="18"/>
      <c r="T91" s="43">
        <f t="shared" ref="T91:T92" si="57">SUM(Q91:S91)</f>
        <v>0</v>
      </c>
      <c r="U91" s="43">
        <f t="shared" ref="U91:U92" si="58">P91+T91</f>
        <v>0</v>
      </c>
    </row>
    <row r="92" spans="1:23" x14ac:dyDescent="0.15">
      <c r="A92" s="23" t="s">
        <v>77</v>
      </c>
      <c r="B92" s="7">
        <v>1</v>
      </c>
      <c r="C92" s="8">
        <v>1</v>
      </c>
      <c r="D92" s="46">
        <v>1</v>
      </c>
      <c r="E92" s="10">
        <f t="shared" ref="E92:E93" si="59">SUM(B92:D92)</f>
        <v>3</v>
      </c>
      <c r="F92" s="11">
        <v>1</v>
      </c>
      <c r="G92" s="8">
        <v>1</v>
      </c>
      <c r="H92" s="9">
        <v>1</v>
      </c>
      <c r="I92" s="10">
        <f t="shared" ref="I92:I93" si="60">SUM(F92:H92)</f>
        <v>3</v>
      </c>
      <c r="J92" s="10">
        <f t="shared" ref="J92:J93" si="61">E92+I92</f>
        <v>6</v>
      </c>
      <c r="K92" s="56">
        <v>45055</v>
      </c>
      <c r="L92" s="23" t="s">
        <v>8</v>
      </c>
      <c r="M92" s="16"/>
      <c r="N92" s="17"/>
      <c r="O92" s="45"/>
      <c r="P92" s="10">
        <f t="shared" si="56"/>
        <v>0</v>
      </c>
      <c r="Q92" s="19"/>
      <c r="R92" s="17"/>
      <c r="S92" s="18"/>
      <c r="T92" s="10">
        <f t="shared" si="57"/>
        <v>0</v>
      </c>
      <c r="U92" s="10">
        <f t="shared" si="58"/>
        <v>0</v>
      </c>
    </row>
    <row r="93" spans="1:23" x14ac:dyDescent="0.15">
      <c r="A93" s="23" t="s">
        <v>77</v>
      </c>
      <c r="B93" s="7"/>
      <c r="C93" s="8">
        <v>2</v>
      </c>
      <c r="D93" s="46"/>
      <c r="E93" s="10">
        <f t="shared" si="59"/>
        <v>2</v>
      </c>
      <c r="F93" s="11"/>
      <c r="G93" s="8">
        <v>2</v>
      </c>
      <c r="H93" s="9"/>
      <c r="I93" s="10">
        <f t="shared" si="60"/>
        <v>2</v>
      </c>
      <c r="J93" s="10">
        <f t="shared" si="61"/>
        <v>4</v>
      </c>
      <c r="K93" s="56">
        <v>45086</v>
      </c>
      <c r="L93" s="23" t="s">
        <v>9</v>
      </c>
      <c r="M93" s="16"/>
      <c r="N93" s="17"/>
      <c r="O93" s="45"/>
      <c r="P93" s="10">
        <f t="shared" ref="P93:P98" si="62">SUM(M93:O93)</f>
        <v>0</v>
      </c>
      <c r="Q93" s="19"/>
      <c r="R93" s="17"/>
      <c r="S93" s="18"/>
      <c r="T93" s="10">
        <f t="shared" ref="T93:T98" si="63">SUM(Q93:S93)</f>
        <v>0</v>
      </c>
      <c r="U93" s="10">
        <f t="shared" ref="U93:U98" si="64">P93+T93</f>
        <v>0</v>
      </c>
    </row>
    <row r="94" spans="1:23" x14ac:dyDescent="0.15">
      <c r="A94" s="23" t="s">
        <v>160</v>
      </c>
      <c r="B94" s="7">
        <v>0</v>
      </c>
      <c r="C94" s="8">
        <v>0</v>
      </c>
      <c r="D94" s="46">
        <v>0</v>
      </c>
      <c r="E94" s="10">
        <f t="shared" ref="E94:E98" si="65">SUM(B94:D94)</f>
        <v>0</v>
      </c>
      <c r="F94" s="11">
        <v>0</v>
      </c>
      <c r="G94" s="8">
        <v>0</v>
      </c>
      <c r="H94" s="9">
        <v>0</v>
      </c>
      <c r="I94" s="10">
        <f t="shared" ref="I94:I98" si="66">SUM(F94:H94)</f>
        <v>0</v>
      </c>
      <c r="J94" s="10">
        <f t="shared" ref="J94:J98" si="67">E94+I94</f>
        <v>0</v>
      </c>
      <c r="K94" s="56">
        <v>45163</v>
      </c>
      <c r="L94" s="23" t="s">
        <v>10</v>
      </c>
      <c r="M94" s="7"/>
      <c r="N94" s="8"/>
      <c r="O94" s="46"/>
      <c r="P94" s="10">
        <f t="shared" si="62"/>
        <v>0</v>
      </c>
      <c r="Q94" s="11"/>
      <c r="R94" s="8"/>
      <c r="S94" s="9"/>
      <c r="T94" s="10">
        <f t="shared" si="63"/>
        <v>0</v>
      </c>
      <c r="U94" s="10">
        <f t="shared" si="64"/>
        <v>0</v>
      </c>
    </row>
    <row r="95" spans="1:23" x14ac:dyDescent="0.15">
      <c r="A95" s="23" t="s">
        <v>20</v>
      </c>
      <c r="B95" s="7">
        <v>2</v>
      </c>
      <c r="C95" s="8"/>
      <c r="D95" s="46"/>
      <c r="E95" s="10">
        <f t="shared" si="65"/>
        <v>2</v>
      </c>
      <c r="F95" s="11">
        <v>2</v>
      </c>
      <c r="G95" s="8"/>
      <c r="H95" s="9"/>
      <c r="I95" s="10">
        <f t="shared" si="66"/>
        <v>2</v>
      </c>
      <c r="J95" s="10">
        <f t="shared" si="67"/>
        <v>4</v>
      </c>
      <c r="K95" s="56">
        <v>45169</v>
      </c>
      <c r="L95" s="23" t="s">
        <v>11</v>
      </c>
      <c r="M95" s="7"/>
      <c r="N95" s="8"/>
      <c r="O95" s="46"/>
      <c r="P95" s="10">
        <f t="shared" si="62"/>
        <v>0</v>
      </c>
      <c r="Q95" s="11"/>
      <c r="R95" s="8"/>
      <c r="S95" s="9"/>
      <c r="T95" s="10">
        <f t="shared" si="63"/>
        <v>0</v>
      </c>
      <c r="U95" s="10">
        <f t="shared" si="64"/>
        <v>0</v>
      </c>
    </row>
    <row r="96" spans="1:23" x14ac:dyDescent="0.15">
      <c r="A96" s="23" t="s">
        <v>20</v>
      </c>
      <c r="B96" s="7"/>
      <c r="C96" s="8"/>
      <c r="D96" s="46"/>
      <c r="E96" s="10">
        <f t="shared" si="65"/>
        <v>0</v>
      </c>
      <c r="F96" s="11"/>
      <c r="G96" s="8"/>
      <c r="H96" s="9"/>
      <c r="I96" s="10">
        <f t="shared" si="66"/>
        <v>0</v>
      </c>
      <c r="J96" s="10">
        <f t="shared" si="67"/>
        <v>0</v>
      </c>
      <c r="K96" s="56"/>
      <c r="L96" s="23" t="s">
        <v>12</v>
      </c>
      <c r="M96" s="7"/>
      <c r="N96" s="8"/>
      <c r="O96" s="46"/>
      <c r="P96" s="10">
        <f t="shared" si="62"/>
        <v>0</v>
      </c>
      <c r="Q96" s="11"/>
      <c r="R96" s="8"/>
      <c r="S96" s="9"/>
      <c r="T96" s="10">
        <f t="shared" si="63"/>
        <v>0</v>
      </c>
      <c r="U96" s="10">
        <f t="shared" si="64"/>
        <v>0</v>
      </c>
    </row>
    <row r="97" spans="1:22" x14ac:dyDescent="0.15">
      <c r="A97" s="23" t="s">
        <v>20</v>
      </c>
      <c r="B97" s="12"/>
      <c r="C97" s="13"/>
      <c r="D97" s="47"/>
      <c r="E97" s="10">
        <f t="shared" si="65"/>
        <v>0</v>
      </c>
      <c r="F97" s="15"/>
      <c r="G97" s="13"/>
      <c r="H97" s="14"/>
      <c r="I97" s="10">
        <f t="shared" si="66"/>
        <v>0</v>
      </c>
      <c r="J97" s="10">
        <f t="shared" si="67"/>
        <v>0</v>
      </c>
      <c r="K97" s="56"/>
      <c r="L97" s="23" t="s">
        <v>13</v>
      </c>
      <c r="M97" s="12"/>
      <c r="N97" s="13"/>
      <c r="O97" s="47"/>
      <c r="P97" s="10">
        <f t="shared" si="62"/>
        <v>0</v>
      </c>
      <c r="Q97" s="15"/>
      <c r="R97" s="13"/>
      <c r="S97" s="14"/>
      <c r="T97" s="10">
        <f t="shared" si="63"/>
        <v>0</v>
      </c>
      <c r="U97" s="10">
        <f t="shared" si="64"/>
        <v>0</v>
      </c>
    </row>
    <row r="98" spans="1:22" ht="14.25" thickBot="1" x14ac:dyDescent="0.2">
      <c r="A98" s="23" t="s">
        <v>20</v>
      </c>
      <c r="B98" s="29"/>
      <c r="C98" s="30"/>
      <c r="D98" s="48"/>
      <c r="E98" s="55">
        <f t="shared" si="65"/>
        <v>0</v>
      </c>
      <c r="F98" s="31"/>
      <c r="G98" s="31"/>
      <c r="H98" s="33"/>
      <c r="I98" s="55">
        <f t="shared" si="66"/>
        <v>0</v>
      </c>
      <c r="J98" s="20">
        <f t="shared" si="67"/>
        <v>0</v>
      </c>
      <c r="K98" s="56"/>
      <c r="L98" s="23" t="s">
        <v>14</v>
      </c>
      <c r="M98" s="29"/>
      <c r="N98" s="30"/>
      <c r="O98" s="48"/>
      <c r="P98" s="55">
        <f t="shared" si="62"/>
        <v>0</v>
      </c>
      <c r="Q98" s="31"/>
      <c r="R98" s="31"/>
      <c r="S98" s="33"/>
      <c r="T98" s="55">
        <f t="shared" si="63"/>
        <v>0</v>
      </c>
      <c r="U98" s="20">
        <f t="shared" si="64"/>
        <v>0</v>
      </c>
    </row>
    <row r="99" spans="1:22" ht="14.25" thickBot="1" x14ac:dyDescent="0.2">
      <c r="A99" s="32" t="s">
        <v>15</v>
      </c>
      <c r="B99" s="25">
        <f>SUM(B90:B98)</f>
        <v>5</v>
      </c>
      <c r="C99" s="26">
        <f>SUM(C90:C98)</f>
        <v>4</v>
      </c>
      <c r="D99" s="27">
        <f>SUM(D90:D98)</f>
        <v>4</v>
      </c>
      <c r="E99" s="28">
        <f>SUM(B99:D99)</f>
        <v>13</v>
      </c>
      <c r="F99" s="25">
        <f>SUM(F90:F98)</f>
        <v>5</v>
      </c>
      <c r="G99" s="26">
        <f>SUM(G90:G98)</f>
        <v>4</v>
      </c>
      <c r="H99" s="27">
        <f>SUM(H90:H98)</f>
        <v>4</v>
      </c>
      <c r="I99" s="28">
        <f>SUM(F99:H99)</f>
        <v>13</v>
      </c>
      <c r="J99" s="28">
        <f>E99+I99</f>
        <v>26</v>
      </c>
      <c r="L99" s="32" t="s">
        <v>15</v>
      </c>
      <c r="M99" s="25">
        <f>SUM(M90:M98)</f>
        <v>56</v>
      </c>
      <c r="N99" s="26">
        <f>SUM(N90:N98)</f>
        <v>56</v>
      </c>
      <c r="O99" s="27">
        <f>SUM(O90:O98)</f>
        <v>16</v>
      </c>
      <c r="P99" s="28">
        <f>SUM(M99:O99)</f>
        <v>128</v>
      </c>
      <c r="Q99" s="25">
        <f>SUM(Q90:Q98)</f>
        <v>56</v>
      </c>
      <c r="R99" s="26">
        <f>SUM(R90:R98)</f>
        <v>56</v>
      </c>
      <c r="S99" s="27">
        <f>SUM(S90:S98)</f>
        <v>16</v>
      </c>
      <c r="T99" s="28">
        <f>SUM(Q99:S99)</f>
        <v>128</v>
      </c>
      <c r="U99" s="28">
        <f>P99+T99</f>
        <v>256</v>
      </c>
    </row>
    <row r="100" spans="1:22" x14ac:dyDescent="0.15">
      <c r="A100" s="22" t="s">
        <v>135</v>
      </c>
      <c r="B100" s="7"/>
      <c r="C100" s="8">
        <v>1</v>
      </c>
      <c r="D100" s="9"/>
      <c r="E100" s="43">
        <f t="shared" ref="E100:E104" si="68">SUM(B100:D100)</f>
        <v>1</v>
      </c>
      <c r="F100" s="11"/>
      <c r="G100" s="8">
        <v>1</v>
      </c>
      <c r="H100" s="9"/>
      <c r="I100" s="43">
        <f t="shared" ref="I100:I104" si="69">SUM(F100:H100)</f>
        <v>1</v>
      </c>
      <c r="J100" s="10">
        <f t="shared" ref="J100:J104" si="70">E100+I100</f>
        <v>2</v>
      </c>
      <c r="K100" s="56">
        <v>44991</v>
      </c>
      <c r="L100" s="22" t="s">
        <v>133</v>
      </c>
      <c r="M100" s="7"/>
      <c r="N100" s="8">
        <v>2</v>
      </c>
      <c r="O100" s="9">
        <v>3</v>
      </c>
      <c r="P100" s="43">
        <f t="shared" ref="P100:P120" si="71">SUM(M100:O100)</f>
        <v>5</v>
      </c>
      <c r="Q100" s="11"/>
      <c r="R100" s="8">
        <v>2</v>
      </c>
      <c r="S100" s="9">
        <v>3</v>
      </c>
      <c r="T100" s="43">
        <f t="shared" ref="T100:T120" si="72">SUM(Q100:S100)</f>
        <v>5</v>
      </c>
      <c r="U100" s="10">
        <f t="shared" ref="U100:U120" si="73">P100+T100</f>
        <v>10</v>
      </c>
      <c r="V100" s="56">
        <v>44988</v>
      </c>
    </row>
    <row r="101" spans="1:22" x14ac:dyDescent="0.15">
      <c r="A101" s="22" t="s">
        <v>143</v>
      </c>
      <c r="B101" s="7">
        <v>1</v>
      </c>
      <c r="C101" s="8"/>
      <c r="D101" s="9"/>
      <c r="E101" s="43">
        <f t="shared" si="68"/>
        <v>1</v>
      </c>
      <c r="F101" s="11">
        <v>1</v>
      </c>
      <c r="G101" s="8"/>
      <c r="H101" s="9"/>
      <c r="I101" s="43">
        <f t="shared" si="69"/>
        <v>1</v>
      </c>
      <c r="J101" s="10">
        <f t="shared" si="70"/>
        <v>2</v>
      </c>
      <c r="K101" s="56">
        <v>45008</v>
      </c>
      <c r="L101" s="22" t="s">
        <v>137</v>
      </c>
      <c r="M101" s="7"/>
      <c r="N101" s="8">
        <v>2</v>
      </c>
      <c r="O101" s="9"/>
      <c r="P101" s="43">
        <f t="shared" si="71"/>
        <v>2</v>
      </c>
      <c r="Q101" s="11"/>
      <c r="R101" s="8">
        <v>2</v>
      </c>
      <c r="S101" s="9"/>
      <c r="T101" s="43">
        <f t="shared" si="72"/>
        <v>2</v>
      </c>
      <c r="U101" s="10">
        <f t="shared" si="73"/>
        <v>4</v>
      </c>
      <c r="V101" s="56">
        <v>44993</v>
      </c>
    </row>
    <row r="102" spans="1:22" x14ac:dyDescent="0.15">
      <c r="A102" s="22" t="s">
        <v>155</v>
      </c>
      <c r="B102" s="7">
        <v>1</v>
      </c>
      <c r="C102" s="8"/>
      <c r="D102" s="9"/>
      <c r="E102" s="43">
        <f t="shared" si="68"/>
        <v>1</v>
      </c>
      <c r="F102" s="11">
        <v>1</v>
      </c>
      <c r="G102" s="8"/>
      <c r="H102" s="9"/>
      <c r="I102" s="43">
        <f t="shared" si="69"/>
        <v>1</v>
      </c>
      <c r="J102" s="10">
        <f t="shared" si="70"/>
        <v>2</v>
      </c>
      <c r="K102" s="56">
        <v>45057</v>
      </c>
      <c r="L102" s="22" t="s">
        <v>138</v>
      </c>
      <c r="M102" s="7"/>
      <c r="N102" s="8">
        <v>1</v>
      </c>
      <c r="O102" s="9"/>
      <c r="P102" s="43">
        <f t="shared" si="71"/>
        <v>1</v>
      </c>
      <c r="Q102" s="11"/>
      <c r="R102" s="8">
        <v>1</v>
      </c>
      <c r="S102" s="9"/>
      <c r="T102" s="43">
        <f t="shared" si="72"/>
        <v>1</v>
      </c>
      <c r="U102" s="10">
        <f t="shared" si="73"/>
        <v>2</v>
      </c>
      <c r="V102" s="56">
        <v>44995</v>
      </c>
    </row>
    <row r="103" spans="1:22" x14ac:dyDescent="0.15">
      <c r="A103" s="22" t="s">
        <v>159</v>
      </c>
      <c r="B103" s="7"/>
      <c r="C103" s="8">
        <v>1</v>
      </c>
      <c r="D103" s="9"/>
      <c r="E103" s="43">
        <f t="shared" si="68"/>
        <v>1</v>
      </c>
      <c r="F103" s="11"/>
      <c r="G103" s="8">
        <v>1</v>
      </c>
      <c r="H103" s="9"/>
      <c r="I103" s="43">
        <f t="shared" si="69"/>
        <v>1</v>
      </c>
      <c r="J103" s="10">
        <f t="shared" si="70"/>
        <v>2</v>
      </c>
      <c r="K103" s="56">
        <v>45139</v>
      </c>
      <c r="L103" s="22" t="s">
        <v>142</v>
      </c>
      <c r="M103" s="7">
        <v>1</v>
      </c>
      <c r="N103" s="8"/>
      <c r="O103" s="9"/>
      <c r="P103" s="43">
        <f t="shared" si="71"/>
        <v>1</v>
      </c>
      <c r="Q103" s="11">
        <v>1</v>
      </c>
      <c r="R103" s="8"/>
      <c r="S103" s="9"/>
      <c r="T103" s="43">
        <f t="shared" si="72"/>
        <v>1</v>
      </c>
      <c r="U103" s="10">
        <f t="shared" si="73"/>
        <v>2</v>
      </c>
      <c r="V103" s="56">
        <v>45002</v>
      </c>
    </row>
    <row r="104" spans="1:22" x14ac:dyDescent="0.15">
      <c r="A104" s="22" t="s">
        <v>163</v>
      </c>
      <c r="B104" s="7">
        <v>2</v>
      </c>
      <c r="C104" s="8"/>
      <c r="D104" s="9"/>
      <c r="E104" s="43">
        <f t="shared" si="68"/>
        <v>2</v>
      </c>
      <c r="F104" s="11">
        <v>2</v>
      </c>
      <c r="G104" s="8"/>
      <c r="H104" s="9"/>
      <c r="I104" s="43">
        <f t="shared" si="69"/>
        <v>2</v>
      </c>
      <c r="J104" s="10">
        <f t="shared" si="70"/>
        <v>4</v>
      </c>
      <c r="K104" s="56">
        <v>45171</v>
      </c>
      <c r="L104" s="22" t="s">
        <v>147</v>
      </c>
      <c r="M104" s="7">
        <v>1</v>
      </c>
      <c r="N104" s="8"/>
      <c r="O104" s="9"/>
      <c r="P104" s="43">
        <f t="shared" si="71"/>
        <v>1</v>
      </c>
      <c r="Q104" s="11">
        <v>1</v>
      </c>
      <c r="R104" s="8"/>
      <c r="S104" s="9"/>
      <c r="T104" s="43">
        <f t="shared" si="72"/>
        <v>1</v>
      </c>
      <c r="U104" s="10">
        <f t="shared" si="73"/>
        <v>2</v>
      </c>
      <c r="V104" s="56">
        <v>45015</v>
      </c>
    </row>
    <row r="105" spans="1:22" x14ac:dyDescent="0.15">
      <c r="A105" s="22"/>
      <c r="B105" s="7"/>
      <c r="C105" s="8"/>
      <c r="D105" s="9"/>
      <c r="E105" s="43">
        <f t="shared" ref="E105:E124" si="74">SUM(B105:D105)</f>
        <v>0</v>
      </c>
      <c r="F105" s="11"/>
      <c r="G105" s="8"/>
      <c r="H105" s="9"/>
      <c r="I105" s="43">
        <f t="shared" ref="I105:I124" si="75">SUM(F105:H105)</f>
        <v>0</v>
      </c>
      <c r="J105" s="10">
        <f t="shared" ref="J105:J124" si="76">E105+I105</f>
        <v>0</v>
      </c>
      <c r="K105" s="56"/>
      <c r="L105" s="22" t="s">
        <v>149</v>
      </c>
      <c r="M105" s="7"/>
      <c r="N105" s="8">
        <v>1</v>
      </c>
      <c r="O105" s="9"/>
      <c r="P105" s="43">
        <f t="shared" si="71"/>
        <v>1</v>
      </c>
      <c r="Q105" s="11"/>
      <c r="R105" s="8">
        <v>1</v>
      </c>
      <c r="S105" s="9"/>
      <c r="T105" s="43">
        <f t="shared" si="72"/>
        <v>1</v>
      </c>
      <c r="U105" s="10">
        <f t="shared" si="73"/>
        <v>2</v>
      </c>
      <c r="V105" s="56">
        <v>45016</v>
      </c>
    </row>
    <row r="106" spans="1:22" x14ac:dyDescent="0.15">
      <c r="A106" s="22"/>
      <c r="B106" s="7"/>
      <c r="C106" s="8"/>
      <c r="D106" s="9"/>
      <c r="E106" s="43">
        <f t="shared" si="74"/>
        <v>0</v>
      </c>
      <c r="F106" s="11"/>
      <c r="G106" s="8"/>
      <c r="H106" s="9"/>
      <c r="I106" s="43">
        <f t="shared" si="75"/>
        <v>0</v>
      </c>
      <c r="J106" s="10">
        <f t="shared" si="76"/>
        <v>0</v>
      </c>
      <c r="K106" s="56"/>
      <c r="L106" s="22" t="s">
        <v>156</v>
      </c>
      <c r="M106" s="7"/>
      <c r="N106" s="8">
        <v>1</v>
      </c>
      <c r="O106" s="9"/>
      <c r="P106" s="43">
        <f t="shared" si="71"/>
        <v>1</v>
      </c>
      <c r="Q106" s="11"/>
      <c r="R106" s="8">
        <v>1</v>
      </c>
      <c r="S106" s="9"/>
      <c r="T106" s="43">
        <f t="shared" si="72"/>
        <v>1</v>
      </c>
      <c r="U106" s="10">
        <f t="shared" si="73"/>
        <v>2</v>
      </c>
      <c r="V106" s="56">
        <v>45063</v>
      </c>
    </row>
    <row r="107" spans="1:22" x14ac:dyDescent="0.15">
      <c r="A107" s="22"/>
      <c r="B107" s="7"/>
      <c r="C107" s="8"/>
      <c r="D107" s="9"/>
      <c r="E107" s="43">
        <f t="shared" si="74"/>
        <v>0</v>
      </c>
      <c r="F107" s="11"/>
      <c r="G107" s="8"/>
      <c r="H107" s="9"/>
      <c r="I107" s="43">
        <f t="shared" si="75"/>
        <v>0</v>
      </c>
      <c r="J107" s="10">
        <f t="shared" si="76"/>
        <v>0</v>
      </c>
      <c r="K107" s="56"/>
      <c r="L107" s="24" t="s">
        <v>164</v>
      </c>
      <c r="M107" s="7">
        <v>2</v>
      </c>
      <c r="N107" s="8"/>
      <c r="O107" s="9"/>
      <c r="P107" s="43">
        <f t="shared" si="71"/>
        <v>2</v>
      </c>
      <c r="Q107" s="11">
        <v>2</v>
      </c>
      <c r="R107" s="8"/>
      <c r="S107" s="9"/>
      <c r="T107" s="43">
        <f t="shared" si="72"/>
        <v>2</v>
      </c>
      <c r="U107" s="10">
        <f t="shared" si="73"/>
        <v>4</v>
      </c>
      <c r="V107" s="56">
        <v>45169</v>
      </c>
    </row>
    <row r="108" spans="1:22" x14ac:dyDescent="0.15">
      <c r="A108" s="22"/>
      <c r="B108" s="7"/>
      <c r="C108" s="8"/>
      <c r="D108" s="9"/>
      <c r="E108" s="43">
        <f t="shared" si="74"/>
        <v>0</v>
      </c>
      <c r="F108" s="11"/>
      <c r="G108" s="8"/>
      <c r="H108" s="9"/>
      <c r="I108" s="43">
        <f t="shared" si="75"/>
        <v>0</v>
      </c>
      <c r="J108" s="10">
        <f t="shared" si="76"/>
        <v>0</v>
      </c>
      <c r="K108" s="56"/>
      <c r="L108" s="24"/>
      <c r="M108" s="7"/>
      <c r="N108" s="8"/>
      <c r="O108" s="9"/>
      <c r="P108" s="43">
        <f t="shared" si="71"/>
        <v>0</v>
      </c>
      <c r="Q108" s="11"/>
      <c r="R108" s="8"/>
      <c r="S108" s="9"/>
      <c r="T108" s="43">
        <f t="shared" si="72"/>
        <v>0</v>
      </c>
      <c r="U108" s="10">
        <f t="shared" si="73"/>
        <v>0</v>
      </c>
      <c r="V108" s="61"/>
    </row>
    <row r="109" spans="1:22" x14ac:dyDescent="0.15">
      <c r="A109" s="22"/>
      <c r="B109" s="12"/>
      <c r="C109" s="13"/>
      <c r="D109" s="14"/>
      <c r="E109" s="43">
        <f t="shared" si="74"/>
        <v>0</v>
      </c>
      <c r="F109" s="15"/>
      <c r="G109" s="13"/>
      <c r="H109" s="14"/>
      <c r="I109" s="43">
        <f t="shared" si="75"/>
        <v>0</v>
      </c>
      <c r="J109" s="10">
        <f t="shared" si="76"/>
        <v>0</v>
      </c>
      <c r="K109" s="56"/>
      <c r="L109" s="24"/>
      <c r="M109" s="7"/>
      <c r="N109" s="8"/>
      <c r="O109" s="9"/>
      <c r="P109" s="43">
        <f t="shared" si="71"/>
        <v>0</v>
      </c>
      <c r="Q109" s="11"/>
      <c r="R109" s="8"/>
      <c r="S109" s="9"/>
      <c r="T109" s="43">
        <f t="shared" si="72"/>
        <v>0</v>
      </c>
      <c r="U109" s="10">
        <f t="shared" si="73"/>
        <v>0</v>
      </c>
    </row>
    <row r="110" spans="1:22" x14ac:dyDescent="0.15">
      <c r="A110" s="22"/>
      <c r="B110" s="7"/>
      <c r="C110" s="8"/>
      <c r="D110" s="9"/>
      <c r="E110" s="43">
        <f t="shared" si="74"/>
        <v>0</v>
      </c>
      <c r="F110" s="11"/>
      <c r="G110" s="8"/>
      <c r="H110" s="9"/>
      <c r="I110" s="43">
        <f t="shared" si="75"/>
        <v>0</v>
      </c>
      <c r="J110" s="10">
        <f t="shared" si="76"/>
        <v>0</v>
      </c>
      <c r="K110" s="56"/>
      <c r="L110" s="24"/>
      <c r="M110" s="7"/>
      <c r="N110" s="8"/>
      <c r="O110" s="9"/>
      <c r="P110" s="43">
        <f t="shared" si="71"/>
        <v>0</v>
      </c>
      <c r="Q110" s="11"/>
      <c r="R110" s="8"/>
      <c r="S110" s="9"/>
      <c r="T110" s="43">
        <f t="shared" si="72"/>
        <v>0</v>
      </c>
      <c r="U110" s="10">
        <f t="shared" si="73"/>
        <v>0</v>
      </c>
    </row>
    <row r="111" spans="1:22" x14ac:dyDescent="0.15">
      <c r="A111" s="22"/>
      <c r="B111" s="7"/>
      <c r="C111" s="8"/>
      <c r="D111" s="9"/>
      <c r="E111" s="43">
        <f t="shared" si="74"/>
        <v>0</v>
      </c>
      <c r="F111" s="11"/>
      <c r="G111" s="8"/>
      <c r="H111" s="9"/>
      <c r="I111" s="43">
        <f t="shared" si="75"/>
        <v>0</v>
      </c>
      <c r="J111" s="10">
        <f t="shared" si="76"/>
        <v>0</v>
      </c>
      <c r="K111" s="56"/>
      <c r="L111" s="24"/>
      <c r="M111" s="7"/>
      <c r="N111" s="8"/>
      <c r="O111" s="9"/>
      <c r="P111" s="43">
        <f t="shared" si="71"/>
        <v>0</v>
      </c>
      <c r="Q111" s="11"/>
      <c r="R111" s="8"/>
      <c r="S111" s="9"/>
      <c r="T111" s="43">
        <f t="shared" si="72"/>
        <v>0</v>
      </c>
      <c r="U111" s="10">
        <f t="shared" si="73"/>
        <v>0</v>
      </c>
    </row>
    <row r="112" spans="1:22" x14ac:dyDescent="0.15">
      <c r="A112" s="22"/>
      <c r="B112" s="7"/>
      <c r="C112" s="8"/>
      <c r="D112" s="9"/>
      <c r="E112" s="43">
        <f t="shared" si="74"/>
        <v>0</v>
      </c>
      <c r="F112" s="11"/>
      <c r="G112" s="8"/>
      <c r="H112" s="9"/>
      <c r="I112" s="43">
        <f t="shared" si="75"/>
        <v>0</v>
      </c>
      <c r="J112" s="10">
        <f t="shared" si="76"/>
        <v>0</v>
      </c>
      <c r="K112" s="56"/>
      <c r="L112" s="24"/>
      <c r="M112" s="7"/>
      <c r="N112" s="8"/>
      <c r="O112" s="9"/>
      <c r="P112" s="43">
        <f t="shared" si="71"/>
        <v>0</v>
      </c>
      <c r="Q112" s="11"/>
      <c r="R112" s="8"/>
      <c r="S112" s="9"/>
      <c r="T112" s="43">
        <f t="shared" si="72"/>
        <v>0</v>
      </c>
      <c r="U112" s="10">
        <f t="shared" si="73"/>
        <v>0</v>
      </c>
    </row>
    <row r="113" spans="1:21" x14ac:dyDescent="0.15">
      <c r="A113" s="22"/>
      <c r="B113" s="7"/>
      <c r="C113" s="8"/>
      <c r="D113" s="9"/>
      <c r="E113" s="43">
        <f t="shared" si="74"/>
        <v>0</v>
      </c>
      <c r="F113" s="11"/>
      <c r="G113" s="8"/>
      <c r="H113" s="9"/>
      <c r="I113" s="43">
        <f t="shared" si="75"/>
        <v>0</v>
      </c>
      <c r="J113" s="10">
        <f t="shared" si="76"/>
        <v>0</v>
      </c>
      <c r="K113" s="56"/>
      <c r="L113" s="24"/>
      <c r="M113" s="7"/>
      <c r="N113" s="8"/>
      <c r="O113" s="9"/>
      <c r="P113" s="43">
        <f t="shared" si="71"/>
        <v>0</v>
      </c>
      <c r="Q113" s="11"/>
      <c r="R113" s="8"/>
      <c r="S113" s="9"/>
      <c r="T113" s="43">
        <f t="shared" si="72"/>
        <v>0</v>
      </c>
      <c r="U113" s="10">
        <f t="shared" si="73"/>
        <v>0</v>
      </c>
    </row>
    <row r="114" spans="1:21" x14ac:dyDescent="0.15">
      <c r="A114" s="22"/>
      <c r="B114" s="7"/>
      <c r="C114" s="8"/>
      <c r="D114" s="9"/>
      <c r="E114" s="43">
        <f t="shared" si="74"/>
        <v>0</v>
      </c>
      <c r="F114" s="11"/>
      <c r="G114" s="8"/>
      <c r="H114" s="9"/>
      <c r="I114" s="43">
        <f t="shared" si="75"/>
        <v>0</v>
      </c>
      <c r="J114" s="10">
        <f t="shared" si="76"/>
        <v>0</v>
      </c>
      <c r="K114" s="56"/>
      <c r="L114" s="24"/>
      <c r="M114" s="7"/>
      <c r="N114" s="8"/>
      <c r="O114" s="9"/>
      <c r="P114" s="43">
        <f t="shared" si="71"/>
        <v>0</v>
      </c>
      <c r="Q114" s="11"/>
      <c r="R114" s="8"/>
      <c r="S114" s="9"/>
      <c r="T114" s="43">
        <f t="shared" si="72"/>
        <v>0</v>
      </c>
      <c r="U114" s="10">
        <f t="shared" si="73"/>
        <v>0</v>
      </c>
    </row>
    <row r="115" spans="1:21" x14ac:dyDescent="0.15">
      <c r="A115" s="22"/>
      <c r="B115" s="7"/>
      <c r="C115" s="8"/>
      <c r="D115" s="9"/>
      <c r="E115" s="43">
        <f t="shared" si="74"/>
        <v>0</v>
      </c>
      <c r="F115" s="11"/>
      <c r="G115" s="8"/>
      <c r="H115" s="9"/>
      <c r="I115" s="43">
        <f t="shared" si="75"/>
        <v>0</v>
      </c>
      <c r="J115" s="10">
        <f t="shared" si="76"/>
        <v>0</v>
      </c>
      <c r="K115" s="56"/>
      <c r="L115" s="24"/>
      <c r="M115" s="7"/>
      <c r="N115" s="8"/>
      <c r="O115" s="9"/>
      <c r="P115" s="43">
        <f t="shared" si="71"/>
        <v>0</v>
      </c>
      <c r="Q115" s="11"/>
      <c r="R115" s="8"/>
      <c r="S115" s="9"/>
      <c r="T115" s="43">
        <f t="shared" si="72"/>
        <v>0</v>
      </c>
      <c r="U115" s="10">
        <f t="shared" si="73"/>
        <v>0</v>
      </c>
    </row>
    <row r="116" spans="1:21" x14ac:dyDescent="0.15">
      <c r="A116" s="24"/>
      <c r="B116" s="7"/>
      <c r="C116" s="8"/>
      <c r="D116" s="9"/>
      <c r="E116" s="43">
        <f t="shared" si="74"/>
        <v>0</v>
      </c>
      <c r="F116" s="11"/>
      <c r="G116" s="8"/>
      <c r="H116" s="9"/>
      <c r="I116" s="43">
        <f t="shared" si="75"/>
        <v>0</v>
      </c>
      <c r="J116" s="10">
        <f t="shared" si="76"/>
        <v>0</v>
      </c>
      <c r="K116" s="56"/>
      <c r="L116" s="24"/>
      <c r="M116" s="7"/>
      <c r="N116" s="8"/>
      <c r="O116" s="9"/>
      <c r="P116" s="43">
        <f t="shared" si="71"/>
        <v>0</v>
      </c>
      <c r="Q116" s="11"/>
      <c r="R116" s="8"/>
      <c r="S116" s="9"/>
      <c r="T116" s="43">
        <f t="shared" si="72"/>
        <v>0</v>
      </c>
      <c r="U116" s="10">
        <f t="shared" si="73"/>
        <v>0</v>
      </c>
    </row>
    <row r="117" spans="1:21" x14ac:dyDescent="0.15">
      <c r="A117" s="22"/>
      <c r="B117" s="7"/>
      <c r="C117" s="8"/>
      <c r="D117" s="9"/>
      <c r="E117" s="43">
        <f t="shared" si="74"/>
        <v>0</v>
      </c>
      <c r="F117" s="11"/>
      <c r="G117" s="8"/>
      <c r="H117" s="9"/>
      <c r="I117" s="43">
        <f t="shared" si="75"/>
        <v>0</v>
      </c>
      <c r="J117" s="10">
        <f t="shared" si="76"/>
        <v>0</v>
      </c>
      <c r="K117" s="56"/>
      <c r="L117" s="24"/>
      <c r="M117" s="7"/>
      <c r="N117" s="8"/>
      <c r="O117" s="9"/>
      <c r="P117" s="43">
        <f t="shared" si="71"/>
        <v>0</v>
      </c>
      <c r="Q117" s="11"/>
      <c r="R117" s="8"/>
      <c r="S117" s="9"/>
      <c r="T117" s="43">
        <f t="shared" si="72"/>
        <v>0</v>
      </c>
      <c r="U117" s="10">
        <f t="shared" si="73"/>
        <v>0</v>
      </c>
    </row>
    <row r="118" spans="1:21" x14ac:dyDescent="0.15">
      <c r="A118" s="22"/>
      <c r="B118" s="7"/>
      <c r="C118" s="8"/>
      <c r="D118" s="9"/>
      <c r="E118" s="43">
        <f t="shared" si="74"/>
        <v>0</v>
      </c>
      <c r="F118" s="11"/>
      <c r="G118" s="8"/>
      <c r="H118" s="9"/>
      <c r="I118" s="43">
        <f t="shared" si="75"/>
        <v>0</v>
      </c>
      <c r="J118" s="10">
        <f t="shared" si="76"/>
        <v>0</v>
      </c>
      <c r="K118" s="56"/>
      <c r="L118" s="24"/>
      <c r="M118" s="7"/>
      <c r="N118" s="8"/>
      <c r="O118" s="9"/>
      <c r="P118" s="43">
        <f t="shared" si="71"/>
        <v>0</v>
      </c>
      <c r="Q118" s="11"/>
      <c r="R118" s="8"/>
      <c r="S118" s="9"/>
      <c r="T118" s="43">
        <f t="shared" si="72"/>
        <v>0</v>
      </c>
      <c r="U118" s="10">
        <f t="shared" si="73"/>
        <v>0</v>
      </c>
    </row>
    <row r="119" spans="1:21" x14ac:dyDescent="0.15">
      <c r="A119" s="22"/>
      <c r="B119" s="7"/>
      <c r="C119" s="8"/>
      <c r="D119" s="9"/>
      <c r="E119" s="43">
        <f t="shared" si="74"/>
        <v>0</v>
      </c>
      <c r="F119" s="11"/>
      <c r="G119" s="8"/>
      <c r="H119" s="9"/>
      <c r="I119" s="43">
        <f t="shared" si="75"/>
        <v>0</v>
      </c>
      <c r="J119" s="10">
        <f t="shared" si="76"/>
        <v>0</v>
      </c>
      <c r="K119" s="56"/>
      <c r="L119" s="24"/>
      <c r="M119" s="7"/>
      <c r="N119" s="8"/>
      <c r="O119" s="9"/>
      <c r="P119" s="43">
        <f t="shared" si="71"/>
        <v>0</v>
      </c>
      <c r="Q119" s="11"/>
      <c r="R119" s="8"/>
      <c r="S119" s="9"/>
      <c r="T119" s="43">
        <f t="shared" si="72"/>
        <v>0</v>
      </c>
      <c r="U119" s="10">
        <f t="shared" si="73"/>
        <v>0</v>
      </c>
    </row>
    <row r="120" spans="1:21" x14ac:dyDescent="0.15">
      <c r="A120" s="22"/>
      <c r="B120" s="7"/>
      <c r="C120" s="8"/>
      <c r="D120" s="9"/>
      <c r="E120" s="43">
        <f t="shared" si="74"/>
        <v>0</v>
      </c>
      <c r="F120" s="11"/>
      <c r="G120" s="8"/>
      <c r="H120" s="9"/>
      <c r="I120" s="43">
        <f t="shared" si="75"/>
        <v>0</v>
      </c>
      <c r="J120" s="10">
        <f t="shared" si="76"/>
        <v>0</v>
      </c>
      <c r="K120" s="56"/>
      <c r="L120" s="24"/>
      <c r="M120" s="7"/>
      <c r="N120" s="8"/>
      <c r="O120" s="9"/>
      <c r="P120" s="43">
        <f t="shared" si="71"/>
        <v>0</v>
      </c>
      <c r="Q120" s="11"/>
      <c r="R120" s="8"/>
      <c r="S120" s="9"/>
      <c r="T120" s="43">
        <f t="shared" si="72"/>
        <v>0</v>
      </c>
      <c r="U120" s="10">
        <f t="shared" si="73"/>
        <v>0</v>
      </c>
    </row>
    <row r="121" spans="1:21" x14ac:dyDescent="0.15">
      <c r="A121" s="63"/>
      <c r="B121" s="12"/>
      <c r="C121" s="13"/>
      <c r="D121" s="14"/>
      <c r="E121" s="43">
        <f t="shared" si="74"/>
        <v>0</v>
      </c>
      <c r="F121" s="15"/>
      <c r="G121" s="13"/>
      <c r="H121" s="14"/>
      <c r="I121" s="43">
        <f t="shared" si="75"/>
        <v>0</v>
      </c>
      <c r="J121" s="10">
        <f t="shared" si="76"/>
        <v>0</v>
      </c>
      <c r="K121" s="59"/>
      <c r="L121" s="24"/>
      <c r="M121" s="7"/>
      <c r="N121" s="8"/>
      <c r="O121" s="9"/>
      <c r="P121" s="43">
        <f t="shared" ref="P121:P126" si="77">SUM(M121:O121)</f>
        <v>0</v>
      </c>
      <c r="Q121" s="11"/>
      <c r="R121" s="8"/>
      <c r="S121" s="9"/>
      <c r="T121" s="43">
        <f t="shared" ref="T121:T126" si="78">SUM(Q121:S121)</f>
        <v>0</v>
      </c>
      <c r="U121" s="10">
        <f t="shared" ref="U121" si="79">P121+T121</f>
        <v>0</v>
      </c>
    </row>
    <row r="122" spans="1:21" x14ac:dyDescent="0.15">
      <c r="A122" s="22"/>
      <c r="B122" s="7"/>
      <c r="C122" s="8"/>
      <c r="D122" s="9"/>
      <c r="E122" s="43">
        <f t="shared" si="74"/>
        <v>0</v>
      </c>
      <c r="F122" s="11"/>
      <c r="G122" s="8"/>
      <c r="H122" s="9"/>
      <c r="I122" s="43">
        <f t="shared" si="75"/>
        <v>0</v>
      </c>
      <c r="J122" s="10">
        <f t="shared" si="76"/>
        <v>0</v>
      </c>
      <c r="K122" s="56"/>
      <c r="L122" s="24"/>
      <c r="M122" s="7"/>
      <c r="N122" s="8"/>
      <c r="O122" s="9"/>
      <c r="P122" s="43">
        <f t="shared" ref="P122:P125" si="80">SUM(M122:O122)</f>
        <v>0</v>
      </c>
      <c r="Q122" s="11"/>
      <c r="R122" s="8"/>
      <c r="S122" s="9"/>
      <c r="T122" s="43">
        <f t="shared" ref="T122:T125" si="81">SUM(Q122:S122)</f>
        <v>0</v>
      </c>
      <c r="U122" s="10">
        <f t="shared" ref="U122:U125" si="82">P122+T122</f>
        <v>0</v>
      </c>
    </row>
    <row r="123" spans="1:21" x14ac:dyDescent="0.15">
      <c r="A123" s="63"/>
      <c r="B123" s="7"/>
      <c r="C123" s="8"/>
      <c r="D123" s="9"/>
      <c r="E123" s="43">
        <f t="shared" si="74"/>
        <v>0</v>
      </c>
      <c r="F123" s="11"/>
      <c r="G123" s="8"/>
      <c r="H123" s="9"/>
      <c r="I123" s="43">
        <f t="shared" si="75"/>
        <v>0</v>
      </c>
      <c r="J123" s="10">
        <f t="shared" si="76"/>
        <v>0</v>
      </c>
      <c r="K123" s="56"/>
      <c r="L123" s="24"/>
      <c r="M123" s="7"/>
      <c r="N123" s="8"/>
      <c r="O123" s="9"/>
      <c r="P123" s="43">
        <f t="shared" si="80"/>
        <v>0</v>
      </c>
      <c r="Q123" s="11"/>
      <c r="R123" s="8"/>
      <c r="S123" s="9"/>
      <c r="T123" s="43">
        <f t="shared" si="81"/>
        <v>0</v>
      </c>
      <c r="U123" s="10">
        <f t="shared" si="82"/>
        <v>0</v>
      </c>
    </row>
    <row r="124" spans="1:21" x14ac:dyDescent="0.15">
      <c r="A124" s="22"/>
      <c r="B124" s="7"/>
      <c r="C124" s="8"/>
      <c r="D124" s="9"/>
      <c r="E124" s="43">
        <f t="shared" si="74"/>
        <v>0</v>
      </c>
      <c r="F124" s="11"/>
      <c r="G124" s="8"/>
      <c r="H124" s="9"/>
      <c r="I124" s="43">
        <f t="shared" si="75"/>
        <v>0</v>
      </c>
      <c r="J124" s="10">
        <f t="shared" si="76"/>
        <v>0</v>
      </c>
      <c r="K124" s="56"/>
      <c r="L124" s="24"/>
      <c r="M124" s="7"/>
      <c r="N124" s="8"/>
      <c r="O124" s="9"/>
      <c r="P124" s="43">
        <f t="shared" si="80"/>
        <v>0</v>
      </c>
      <c r="Q124" s="11"/>
      <c r="R124" s="8"/>
      <c r="S124" s="9"/>
      <c r="T124" s="43">
        <f t="shared" si="81"/>
        <v>0</v>
      </c>
      <c r="U124" s="10">
        <f t="shared" si="82"/>
        <v>0</v>
      </c>
    </row>
    <row r="125" spans="1:21" ht="14.25" thickBot="1" x14ac:dyDescent="0.2">
      <c r="A125" s="60"/>
      <c r="B125" s="12"/>
      <c r="C125" s="13"/>
      <c r="D125" s="14"/>
      <c r="E125" s="43">
        <f>SUM(B125:D125)</f>
        <v>0</v>
      </c>
      <c r="F125" s="15"/>
      <c r="G125" s="13"/>
      <c r="H125" s="14"/>
      <c r="I125" s="43">
        <f>SUM(F125:H125)</f>
        <v>0</v>
      </c>
      <c r="J125" s="10">
        <f>E125+I125</f>
        <v>0</v>
      </c>
      <c r="K125" s="56"/>
      <c r="L125" s="24"/>
      <c r="M125" s="7"/>
      <c r="N125" s="8"/>
      <c r="O125" s="9"/>
      <c r="P125" s="43">
        <f t="shared" si="80"/>
        <v>0</v>
      </c>
      <c r="Q125" s="11"/>
      <c r="R125" s="8"/>
      <c r="S125" s="9"/>
      <c r="T125" s="43">
        <f t="shared" si="81"/>
        <v>0</v>
      </c>
      <c r="U125" s="10">
        <f t="shared" si="82"/>
        <v>0</v>
      </c>
    </row>
    <row r="126" spans="1:21" ht="14.25" thickBot="1" x14ac:dyDescent="0.2">
      <c r="A126" s="35" t="s">
        <v>17</v>
      </c>
      <c r="B126" s="40">
        <f>SUM(B100:B125)</f>
        <v>4</v>
      </c>
      <c r="C126" s="41">
        <f t="shared" ref="C126:D126" si="83">SUM(C100:C125)</f>
        <v>2</v>
      </c>
      <c r="D126" s="52">
        <f t="shared" si="83"/>
        <v>0</v>
      </c>
      <c r="E126" s="39">
        <f t="shared" ref="E126" si="84">SUM(B126:D126)</f>
        <v>6</v>
      </c>
      <c r="F126" s="40">
        <f>SUM(F100:F125)</f>
        <v>4</v>
      </c>
      <c r="G126" s="41">
        <f t="shared" ref="G126:H126" si="85">SUM(G100:G125)</f>
        <v>2</v>
      </c>
      <c r="H126" s="52">
        <f t="shared" si="85"/>
        <v>0</v>
      </c>
      <c r="I126" s="39">
        <f t="shared" ref="I126" si="86">SUM(F126:H126)</f>
        <v>6</v>
      </c>
      <c r="J126" s="39">
        <f>E126+I126</f>
        <v>12</v>
      </c>
      <c r="K126" s="34"/>
      <c r="L126" s="35" t="s">
        <v>17</v>
      </c>
      <c r="M126" s="40">
        <f>SUM(M100:M125)</f>
        <v>4</v>
      </c>
      <c r="N126" s="41">
        <f t="shared" ref="N126:O126" si="87">SUM(N100:N125)</f>
        <v>7</v>
      </c>
      <c r="O126" s="52">
        <f t="shared" si="87"/>
        <v>3</v>
      </c>
      <c r="P126" s="39">
        <f t="shared" si="77"/>
        <v>14</v>
      </c>
      <c r="Q126" s="40">
        <f>SUM(Q100:Q125)</f>
        <v>4</v>
      </c>
      <c r="R126" s="41">
        <f t="shared" ref="R126:S126" si="88">SUM(R100:R125)</f>
        <v>7</v>
      </c>
      <c r="S126" s="52">
        <f t="shared" si="88"/>
        <v>3</v>
      </c>
      <c r="T126" s="39">
        <f t="shared" si="78"/>
        <v>14</v>
      </c>
      <c r="U126" s="39">
        <f>P126+T126</f>
        <v>28</v>
      </c>
    </row>
    <row r="127" spans="1:21" ht="14.25" thickBot="1" x14ac:dyDescent="0.2">
      <c r="A127" s="21" t="s">
        <v>16</v>
      </c>
      <c r="B127" s="44">
        <f>B99-B126</f>
        <v>1</v>
      </c>
      <c r="C127" s="50">
        <f t="shared" ref="C127:D127" si="89">C99-C126</f>
        <v>2</v>
      </c>
      <c r="D127" s="51">
        <f t="shared" si="89"/>
        <v>4</v>
      </c>
      <c r="E127" s="49">
        <f>SUM(B127:D127)</f>
        <v>7</v>
      </c>
      <c r="F127" s="44">
        <f>F99-F126</f>
        <v>1</v>
      </c>
      <c r="G127" s="50">
        <f t="shared" ref="G127:H127" si="90">G99-G126</f>
        <v>2</v>
      </c>
      <c r="H127" s="51">
        <f t="shared" si="90"/>
        <v>4</v>
      </c>
      <c r="I127" s="49">
        <f>SUM(F127:H127)</f>
        <v>7</v>
      </c>
      <c r="J127" s="28">
        <f>E127+I127</f>
        <v>14</v>
      </c>
      <c r="L127" s="21" t="s">
        <v>16</v>
      </c>
      <c r="M127" s="44">
        <f>M99-M126</f>
        <v>52</v>
      </c>
      <c r="N127" s="50">
        <f t="shared" ref="N127:O127" si="91">N99-N126</f>
        <v>49</v>
      </c>
      <c r="O127" s="51">
        <f t="shared" si="91"/>
        <v>13</v>
      </c>
      <c r="P127" s="49">
        <f>SUM(M127:O127)</f>
        <v>114</v>
      </c>
      <c r="Q127" s="44">
        <f>Q99-Q126</f>
        <v>52</v>
      </c>
      <c r="R127" s="50">
        <f t="shared" ref="R127:S127" si="92">R99-R126</f>
        <v>49</v>
      </c>
      <c r="S127" s="51">
        <f t="shared" si="92"/>
        <v>13</v>
      </c>
      <c r="T127" s="49">
        <f>SUM(Q127:S127)</f>
        <v>114</v>
      </c>
      <c r="U127" s="28">
        <f>P127+T127</f>
        <v>228</v>
      </c>
    </row>
    <row r="128" spans="1:21" x14ac:dyDescent="0.15">
      <c r="L128" s="96" t="s">
        <v>140</v>
      </c>
      <c r="M128" s="95">
        <v>300</v>
      </c>
      <c r="N128" s="95">
        <v>325</v>
      </c>
      <c r="O128" s="95">
        <v>207</v>
      </c>
      <c r="P128" s="95">
        <f>SUM(M128:O128)</f>
        <v>832</v>
      </c>
      <c r="Q128" s="95">
        <v>300</v>
      </c>
      <c r="R128" s="95">
        <v>325</v>
      </c>
      <c r="S128" s="95">
        <v>207</v>
      </c>
      <c r="T128" s="95">
        <v>832</v>
      </c>
      <c r="U128" s="95">
        <f>P128+T128</f>
        <v>1664</v>
      </c>
    </row>
    <row r="129" spans="1:22" x14ac:dyDescent="0.15">
      <c r="M129" s="89">
        <f>M128/$P$128*100</f>
        <v>36.057692307692307</v>
      </c>
      <c r="N129" s="89">
        <f t="shared" ref="N129:P129" si="93">N128/$P$128*100</f>
        <v>39.0625</v>
      </c>
      <c r="O129" s="89">
        <f t="shared" si="93"/>
        <v>24.879807692307693</v>
      </c>
      <c r="P129" s="89">
        <f t="shared" si="93"/>
        <v>100</v>
      </c>
      <c r="Q129" s="89"/>
      <c r="R129" s="89"/>
      <c r="S129" s="89"/>
      <c r="T129" s="89"/>
    </row>
    <row r="130" spans="1:22" ht="19.5" thickBot="1" x14ac:dyDescent="0.25">
      <c r="A130" s="84" t="s">
        <v>29</v>
      </c>
      <c r="B130" s="85"/>
      <c r="C130" s="85"/>
      <c r="D130" s="85"/>
      <c r="E130" s="85"/>
      <c r="F130" s="85"/>
      <c r="G130" s="85"/>
      <c r="H130" s="85"/>
      <c r="I130" s="85"/>
      <c r="J130" s="85"/>
      <c r="L130" s="86" t="s">
        <v>30</v>
      </c>
      <c r="M130" s="87"/>
      <c r="N130" s="87"/>
      <c r="O130" s="87"/>
      <c r="P130" s="87"/>
      <c r="Q130" s="87"/>
      <c r="R130" s="87"/>
      <c r="S130" s="87"/>
      <c r="T130" s="87"/>
      <c r="U130" s="87">
        <v>480</v>
      </c>
    </row>
    <row r="131" spans="1:22" ht="14.25" thickBot="1" x14ac:dyDescent="0.2">
      <c r="A131" s="6"/>
      <c r="B131" s="159" t="s">
        <v>18</v>
      </c>
      <c r="C131" s="160"/>
      <c r="D131" s="160"/>
      <c r="E131" s="161"/>
      <c r="F131" s="159" t="s">
        <v>22</v>
      </c>
      <c r="G131" s="160"/>
      <c r="H131" s="160"/>
      <c r="I131" s="162"/>
      <c r="J131" s="157" t="s">
        <v>0</v>
      </c>
      <c r="L131" s="6"/>
      <c r="M131" s="146" t="s">
        <v>18</v>
      </c>
      <c r="N131" s="147"/>
      <c r="O131" s="147"/>
      <c r="P131" s="148"/>
      <c r="Q131" s="146" t="s">
        <v>22</v>
      </c>
      <c r="R131" s="147"/>
      <c r="S131" s="147"/>
      <c r="T131" s="148"/>
      <c r="U131" s="157" t="s">
        <v>0</v>
      </c>
    </row>
    <row r="132" spans="1:22" ht="14.25" thickBot="1" x14ac:dyDescent="0.2">
      <c r="A132" s="6" t="s">
        <v>1</v>
      </c>
      <c r="B132" s="3" t="s">
        <v>2</v>
      </c>
      <c r="C132" s="4" t="s">
        <v>3</v>
      </c>
      <c r="D132" s="5" t="s">
        <v>4</v>
      </c>
      <c r="E132" s="6" t="s">
        <v>5</v>
      </c>
      <c r="F132" s="3" t="s">
        <v>2</v>
      </c>
      <c r="G132" s="4" t="s">
        <v>3</v>
      </c>
      <c r="H132" s="5" t="s">
        <v>4</v>
      </c>
      <c r="I132" s="6" t="s">
        <v>5</v>
      </c>
      <c r="J132" s="158"/>
      <c r="L132" s="6" t="s">
        <v>1</v>
      </c>
      <c r="M132" s="3" t="s">
        <v>2</v>
      </c>
      <c r="N132" s="4" t="s">
        <v>3</v>
      </c>
      <c r="O132" s="5" t="s">
        <v>4</v>
      </c>
      <c r="P132" s="6" t="s">
        <v>5</v>
      </c>
      <c r="Q132" s="3" t="s">
        <v>2</v>
      </c>
      <c r="R132" s="4" t="s">
        <v>3</v>
      </c>
      <c r="S132" s="5" t="s">
        <v>4</v>
      </c>
      <c r="T132" s="6" t="s">
        <v>5</v>
      </c>
      <c r="U132" s="158"/>
    </row>
    <row r="133" spans="1:22" ht="14.25" thickBot="1" x14ac:dyDescent="0.2">
      <c r="A133" s="62" t="s">
        <v>16</v>
      </c>
      <c r="B133" s="40">
        <f>B127</f>
        <v>1</v>
      </c>
      <c r="C133" s="41">
        <f>C127</f>
        <v>2</v>
      </c>
      <c r="D133" s="81">
        <f>D127</f>
        <v>4</v>
      </c>
      <c r="E133" s="39">
        <f>SUM(B133:D133)</f>
        <v>7</v>
      </c>
      <c r="F133" s="40">
        <f>F127</f>
        <v>1</v>
      </c>
      <c r="G133" s="41">
        <f>G127</f>
        <v>2</v>
      </c>
      <c r="H133" s="81">
        <f>H127</f>
        <v>4</v>
      </c>
      <c r="I133" s="39">
        <f>SUM(F133:H133)</f>
        <v>7</v>
      </c>
      <c r="J133" s="39">
        <f>E133+I133</f>
        <v>14</v>
      </c>
      <c r="L133" s="66" t="s">
        <v>6</v>
      </c>
      <c r="M133" s="25">
        <f>M127</f>
        <v>52</v>
      </c>
      <c r="N133" s="26">
        <f>N127</f>
        <v>49</v>
      </c>
      <c r="O133" s="27">
        <f>O127</f>
        <v>13</v>
      </c>
      <c r="P133" s="28">
        <f>SUM(M133:O133)</f>
        <v>114</v>
      </c>
      <c r="Q133" s="25">
        <f>Q127</f>
        <v>52</v>
      </c>
      <c r="R133" s="26">
        <f>R127</f>
        <v>49</v>
      </c>
      <c r="S133" s="27">
        <f>S127</f>
        <v>13</v>
      </c>
      <c r="T133" s="28">
        <f>SUM(Q133:S133)</f>
        <v>114</v>
      </c>
      <c r="U133" s="28">
        <f>P133+T133</f>
        <v>228</v>
      </c>
    </row>
    <row r="134" spans="1:22" x14ac:dyDescent="0.15">
      <c r="A134" s="23" t="s">
        <v>7</v>
      </c>
      <c r="B134" s="16"/>
      <c r="C134" s="17"/>
      <c r="D134" s="45"/>
      <c r="E134" s="43">
        <f>SUM(B134:D134)</f>
        <v>0</v>
      </c>
      <c r="F134" s="19"/>
      <c r="G134" s="17"/>
      <c r="H134" s="18"/>
      <c r="I134" s="43">
        <f>SUM(F134:H134)</f>
        <v>0</v>
      </c>
      <c r="J134" s="43">
        <f>E134+I134</f>
        <v>0</v>
      </c>
      <c r="L134" s="23" t="s">
        <v>7</v>
      </c>
      <c r="M134" s="16"/>
      <c r="N134" s="17"/>
      <c r="O134" s="45"/>
      <c r="P134" s="43">
        <f t="shared" ref="P134:P141" si="94">SUM(M134:O134)</f>
        <v>0</v>
      </c>
      <c r="Q134" s="19"/>
      <c r="R134" s="17"/>
      <c r="S134" s="18"/>
      <c r="T134" s="43">
        <f t="shared" ref="T134:T141" si="95">SUM(Q134:S134)</f>
        <v>0</v>
      </c>
      <c r="U134" s="43">
        <f t="shared" ref="U134:U141" si="96">P134+T134</f>
        <v>0</v>
      </c>
    </row>
    <row r="135" spans="1:22" x14ac:dyDescent="0.15">
      <c r="A135" s="23" t="s">
        <v>8</v>
      </c>
      <c r="B135" s="7"/>
      <c r="C135" s="8"/>
      <c r="D135" s="46"/>
      <c r="E135" s="10">
        <f t="shared" ref="E135:E141" si="97">SUM(B135:D135)</f>
        <v>0</v>
      </c>
      <c r="F135" s="11"/>
      <c r="G135" s="8"/>
      <c r="H135" s="9"/>
      <c r="I135" s="10">
        <f t="shared" ref="I135:I141" si="98">SUM(F135:H135)</f>
        <v>0</v>
      </c>
      <c r="J135" s="10">
        <f t="shared" ref="J135:J141" si="99">E135+I135</f>
        <v>0</v>
      </c>
      <c r="L135" s="23" t="s">
        <v>8</v>
      </c>
      <c r="M135" s="7"/>
      <c r="N135" s="8"/>
      <c r="O135" s="46"/>
      <c r="P135" s="10">
        <f t="shared" si="94"/>
        <v>0</v>
      </c>
      <c r="Q135" s="11"/>
      <c r="R135" s="8"/>
      <c r="S135" s="9"/>
      <c r="T135" s="10">
        <f t="shared" si="95"/>
        <v>0</v>
      </c>
      <c r="U135" s="10">
        <f t="shared" si="96"/>
        <v>0</v>
      </c>
      <c r="V135" s="56"/>
    </row>
    <row r="136" spans="1:22" x14ac:dyDescent="0.15">
      <c r="A136" s="23" t="s">
        <v>9</v>
      </c>
      <c r="B136" s="7"/>
      <c r="C136" s="8"/>
      <c r="D136" s="46"/>
      <c r="E136" s="10">
        <f t="shared" si="97"/>
        <v>0</v>
      </c>
      <c r="F136" s="11"/>
      <c r="G136" s="8"/>
      <c r="H136" s="9"/>
      <c r="I136" s="10">
        <f t="shared" si="98"/>
        <v>0</v>
      </c>
      <c r="J136" s="10">
        <f t="shared" si="99"/>
        <v>0</v>
      </c>
      <c r="L136" s="23" t="s">
        <v>9</v>
      </c>
      <c r="M136" s="7"/>
      <c r="N136" s="8"/>
      <c r="O136" s="46"/>
      <c r="P136" s="10">
        <f t="shared" ref="P136" si="100">SUM(M136:O136)</f>
        <v>0</v>
      </c>
      <c r="Q136" s="11"/>
      <c r="R136" s="8"/>
      <c r="S136" s="9"/>
      <c r="T136" s="10">
        <f t="shared" ref="T136" si="101">SUM(Q136:S136)</f>
        <v>0</v>
      </c>
      <c r="U136" s="10">
        <f t="shared" ref="U136" si="102">P136+T136</f>
        <v>0</v>
      </c>
      <c r="V136" s="56"/>
    </row>
    <row r="137" spans="1:22" x14ac:dyDescent="0.15">
      <c r="A137" s="23" t="s">
        <v>10</v>
      </c>
      <c r="B137" s="7"/>
      <c r="C137" s="8"/>
      <c r="D137" s="46"/>
      <c r="E137" s="10">
        <f t="shared" si="97"/>
        <v>0</v>
      </c>
      <c r="F137" s="11"/>
      <c r="G137" s="8"/>
      <c r="H137" s="9"/>
      <c r="I137" s="10">
        <f t="shared" si="98"/>
        <v>0</v>
      </c>
      <c r="J137" s="10">
        <f t="shared" si="99"/>
        <v>0</v>
      </c>
      <c r="L137" s="23" t="s">
        <v>10</v>
      </c>
      <c r="M137" s="7"/>
      <c r="N137" s="8"/>
      <c r="O137" s="46"/>
      <c r="P137" s="10">
        <f t="shared" si="94"/>
        <v>0</v>
      </c>
      <c r="Q137" s="11"/>
      <c r="R137" s="8"/>
      <c r="S137" s="9"/>
      <c r="T137" s="10">
        <f t="shared" si="95"/>
        <v>0</v>
      </c>
      <c r="U137" s="10">
        <f t="shared" si="96"/>
        <v>0</v>
      </c>
      <c r="V137" s="56"/>
    </row>
    <row r="138" spans="1:22" x14ac:dyDescent="0.15">
      <c r="A138" s="23" t="s">
        <v>11</v>
      </c>
      <c r="B138" s="7"/>
      <c r="C138" s="8"/>
      <c r="D138" s="46"/>
      <c r="E138" s="10">
        <f t="shared" si="97"/>
        <v>0</v>
      </c>
      <c r="F138" s="11"/>
      <c r="G138" s="8"/>
      <c r="H138" s="9"/>
      <c r="I138" s="10">
        <f t="shared" si="98"/>
        <v>0</v>
      </c>
      <c r="J138" s="10">
        <f t="shared" si="99"/>
        <v>0</v>
      </c>
      <c r="L138" s="23" t="s">
        <v>11</v>
      </c>
      <c r="M138" s="7"/>
      <c r="N138" s="8"/>
      <c r="O138" s="46"/>
      <c r="P138" s="10">
        <f t="shared" si="94"/>
        <v>0</v>
      </c>
      <c r="Q138" s="11"/>
      <c r="R138" s="8"/>
      <c r="S138" s="9"/>
      <c r="T138" s="10">
        <f t="shared" si="95"/>
        <v>0</v>
      </c>
      <c r="U138" s="10">
        <f t="shared" si="96"/>
        <v>0</v>
      </c>
      <c r="V138" s="61"/>
    </row>
    <row r="139" spans="1:22" x14ac:dyDescent="0.15">
      <c r="A139" s="23" t="s">
        <v>12</v>
      </c>
      <c r="B139" s="7"/>
      <c r="C139" s="8"/>
      <c r="D139" s="46"/>
      <c r="E139" s="10">
        <f t="shared" si="97"/>
        <v>0</v>
      </c>
      <c r="F139" s="11"/>
      <c r="G139" s="8"/>
      <c r="H139" s="9"/>
      <c r="I139" s="10">
        <f t="shared" si="98"/>
        <v>0</v>
      </c>
      <c r="J139" s="10">
        <f t="shared" si="99"/>
        <v>0</v>
      </c>
      <c r="L139" s="23" t="s">
        <v>12</v>
      </c>
      <c r="M139" s="7"/>
      <c r="N139" s="8"/>
      <c r="O139" s="46"/>
      <c r="P139" s="10">
        <f t="shared" si="94"/>
        <v>0</v>
      </c>
      <c r="Q139" s="11"/>
      <c r="R139" s="8"/>
      <c r="S139" s="9"/>
      <c r="T139" s="10">
        <f t="shared" si="95"/>
        <v>0</v>
      </c>
      <c r="U139" s="10">
        <f t="shared" si="96"/>
        <v>0</v>
      </c>
    </row>
    <row r="140" spans="1:22" x14ac:dyDescent="0.15">
      <c r="A140" s="23" t="s">
        <v>13</v>
      </c>
      <c r="B140" s="12"/>
      <c r="C140" s="13"/>
      <c r="D140" s="47"/>
      <c r="E140" s="10">
        <f t="shared" si="97"/>
        <v>0</v>
      </c>
      <c r="F140" s="15"/>
      <c r="G140" s="13"/>
      <c r="H140" s="14"/>
      <c r="I140" s="10">
        <f t="shared" si="98"/>
        <v>0</v>
      </c>
      <c r="J140" s="10">
        <f t="shared" si="99"/>
        <v>0</v>
      </c>
      <c r="L140" s="23" t="s">
        <v>13</v>
      </c>
      <c r="M140" s="12"/>
      <c r="N140" s="13"/>
      <c r="O140" s="47"/>
      <c r="P140" s="10">
        <f t="shared" si="94"/>
        <v>0</v>
      </c>
      <c r="Q140" s="15"/>
      <c r="R140" s="13"/>
      <c r="S140" s="14"/>
      <c r="T140" s="10">
        <f t="shared" si="95"/>
        <v>0</v>
      </c>
      <c r="U140" s="10">
        <f t="shared" si="96"/>
        <v>0</v>
      </c>
    </row>
    <row r="141" spans="1:22" ht="14.25" thickBot="1" x14ac:dyDescent="0.2">
      <c r="A141" s="23" t="s">
        <v>14</v>
      </c>
      <c r="B141" s="29"/>
      <c r="C141" s="30"/>
      <c r="D141" s="48"/>
      <c r="E141" s="55">
        <f t="shared" si="97"/>
        <v>0</v>
      </c>
      <c r="F141" s="31"/>
      <c r="G141" s="31"/>
      <c r="H141" s="33"/>
      <c r="I141" s="55">
        <f t="shared" si="98"/>
        <v>0</v>
      </c>
      <c r="J141" s="20">
        <f t="shared" si="99"/>
        <v>0</v>
      </c>
      <c r="L141" s="23" t="s">
        <v>14</v>
      </c>
      <c r="M141" s="29"/>
      <c r="N141" s="30"/>
      <c r="O141" s="48"/>
      <c r="P141" s="55">
        <f t="shared" si="94"/>
        <v>0</v>
      </c>
      <c r="Q141" s="31"/>
      <c r="R141" s="31"/>
      <c r="S141" s="33"/>
      <c r="T141" s="55">
        <f t="shared" si="95"/>
        <v>0</v>
      </c>
      <c r="U141" s="20">
        <f t="shared" si="96"/>
        <v>0</v>
      </c>
    </row>
    <row r="142" spans="1:22" ht="14.25" thickBot="1" x14ac:dyDescent="0.2">
      <c r="A142" s="32" t="s">
        <v>15</v>
      </c>
      <c r="B142" s="25">
        <f>SUM(B133:B141)</f>
        <v>1</v>
      </c>
      <c r="C142" s="26">
        <f>SUM(C133:C141)</f>
        <v>2</v>
      </c>
      <c r="D142" s="27">
        <f>SUM(D133:D141)</f>
        <v>4</v>
      </c>
      <c r="E142" s="28">
        <f>SUM(B142:D142)</f>
        <v>7</v>
      </c>
      <c r="F142" s="25">
        <f>SUM(F133:F141)</f>
        <v>1</v>
      </c>
      <c r="G142" s="26">
        <f>SUM(G133:G141)</f>
        <v>2</v>
      </c>
      <c r="H142" s="27">
        <f>SUM(H133:H141)</f>
        <v>4</v>
      </c>
      <c r="I142" s="28">
        <f>SUM(F142:H142)</f>
        <v>7</v>
      </c>
      <c r="J142" s="28">
        <f>E142+I142</f>
        <v>14</v>
      </c>
      <c r="L142" s="32" t="s">
        <v>15</v>
      </c>
      <c r="M142" s="25">
        <f>SUM(M133:M141)</f>
        <v>52</v>
      </c>
      <c r="N142" s="26">
        <f>SUM(N133:N141)</f>
        <v>49</v>
      </c>
      <c r="O142" s="27">
        <f>SUM(O133:O141)</f>
        <v>13</v>
      </c>
      <c r="P142" s="28">
        <f>SUM(M142:O142)</f>
        <v>114</v>
      </c>
      <c r="Q142" s="25">
        <f>SUM(Q133:Q141)</f>
        <v>52</v>
      </c>
      <c r="R142" s="26">
        <f>SUM(R133:R141)</f>
        <v>49</v>
      </c>
      <c r="S142" s="27">
        <f>SUM(S133:S141)</f>
        <v>13</v>
      </c>
      <c r="T142" s="28">
        <f>SUM(Q142:S142)</f>
        <v>114</v>
      </c>
      <c r="U142" s="28">
        <f>P142+T142</f>
        <v>228</v>
      </c>
    </row>
    <row r="143" spans="1:22" x14ac:dyDescent="0.15">
      <c r="A143" s="22"/>
      <c r="B143" s="7"/>
      <c r="C143" s="8"/>
      <c r="D143" s="9"/>
      <c r="E143" s="43">
        <f t="shared" ref="E143:E167" si="103">SUM(B143:D143)</f>
        <v>0</v>
      </c>
      <c r="F143" s="11"/>
      <c r="G143" s="8"/>
      <c r="H143" s="9"/>
      <c r="I143" s="43">
        <f t="shared" ref="I143:I167" si="104">SUM(F143:H143)</f>
        <v>0</v>
      </c>
      <c r="J143" s="10">
        <f t="shared" ref="J143:J167" si="105">E143+I143</f>
        <v>0</v>
      </c>
      <c r="L143" s="22"/>
      <c r="M143" s="7"/>
      <c r="N143" s="8"/>
      <c r="O143" s="9"/>
      <c r="P143" s="43">
        <f t="shared" ref="P143" si="106">SUM(M143:O143)</f>
        <v>0</v>
      </c>
      <c r="Q143" s="11"/>
      <c r="R143" s="8"/>
      <c r="S143" s="9"/>
      <c r="T143" s="43">
        <f t="shared" ref="T143" si="107">SUM(Q143:S143)</f>
        <v>0</v>
      </c>
      <c r="U143" s="10">
        <f t="shared" ref="U143" si="108">P143+T143</f>
        <v>0</v>
      </c>
    </row>
    <row r="144" spans="1:22" x14ac:dyDescent="0.15">
      <c r="A144" s="22"/>
      <c r="B144" s="7"/>
      <c r="C144" s="8"/>
      <c r="D144" s="9"/>
      <c r="E144" s="43">
        <f t="shared" si="103"/>
        <v>0</v>
      </c>
      <c r="F144" s="11"/>
      <c r="G144" s="8"/>
      <c r="H144" s="9"/>
      <c r="I144" s="43">
        <f t="shared" si="104"/>
        <v>0</v>
      </c>
      <c r="J144" s="10">
        <f t="shared" si="105"/>
        <v>0</v>
      </c>
      <c r="L144" s="22"/>
      <c r="M144" s="7"/>
      <c r="N144" s="8"/>
      <c r="O144" s="9"/>
      <c r="P144" s="43">
        <f t="shared" ref="P144:P169" si="109">SUM(M144:O144)</f>
        <v>0</v>
      </c>
      <c r="Q144" s="11"/>
      <c r="R144" s="8"/>
      <c r="S144" s="9"/>
      <c r="T144" s="43">
        <f t="shared" ref="T144:T169" si="110">SUM(Q144:S144)</f>
        <v>0</v>
      </c>
      <c r="U144" s="10">
        <f t="shared" ref="U144:U168" si="111">P144+T144</f>
        <v>0</v>
      </c>
    </row>
    <row r="145" spans="1:21" x14ac:dyDescent="0.15">
      <c r="A145" s="22"/>
      <c r="B145" s="7"/>
      <c r="C145" s="8"/>
      <c r="D145" s="9"/>
      <c r="E145" s="43">
        <f t="shared" si="103"/>
        <v>0</v>
      </c>
      <c r="F145" s="11"/>
      <c r="G145" s="8"/>
      <c r="H145" s="9"/>
      <c r="I145" s="43">
        <f t="shared" si="104"/>
        <v>0</v>
      </c>
      <c r="J145" s="10">
        <f t="shared" si="105"/>
        <v>0</v>
      </c>
      <c r="L145" s="22"/>
      <c r="M145" s="7"/>
      <c r="N145" s="8"/>
      <c r="O145" s="9"/>
      <c r="P145" s="43">
        <f t="shared" si="109"/>
        <v>0</v>
      </c>
      <c r="Q145" s="11"/>
      <c r="R145" s="8"/>
      <c r="S145" s="9"/>
      <c r="T145" s="43">
        <f t="shared" si="110"/>
        <v>0</v>
      </c>
      <c r="U145" s="10">
        <f t="shared" si="111"/>
        <v>0</v>
      </c>
    </row>
    <row r="146" spans="1:21" x14ac:dyDescent="0.15">
      <c r="A146" s="22"/>
      <c r="B146" s="7"/>
      <c r="C146" s="8"/>
      <c r="D146" s="9"/>
      <c r="E146" s="43">
        <f t="shared" si="103"/>
        <v>0</v>
      </c>
      <c r="F146" s="11"/>
      <c r="G146" s="8"/>
      <c r="H146" s="9"/>
      <c r="I146" s="43">
        <f t="shared" si="104"/>
        <v>0</v>
      </c>
      <c r="J146" s="10">
        <f t="shared" si="105"/>
        <v>0</v>
      </c>
      <c r="L146" s="24"/>
      <c r="M146" s="7"/>
      <c r="N146" s="8"/>
      <c r="O146" s="9"/>
      <c r="P146" s="43">
        <f t="shared" si="109"/>
        <v>0</v>
      </c>
      <c r="Q146" s="11"/>
      <c r="R146" s="8"/>
      <c r="S146" s="9"/>
      <c r="T146" s="43">
        <f t="shared" si="110"/>
        <v>0</v>
      </c>
      <c r="U146" s="10">
        <f t="shared" si="111"/>
        <v>0</v>
      </c>
    </row>
    <row r="147" spans="1:21" x14ac:dyDescent="0.15">
      <c r="A147" s="22"/>
      <c r="B147" s="7"/>
      <c r="C147" s="8"/>
      <c r="D147" s="9"/>
      <c r="E147" s="43">
        <f t="shared" si="103"/>
        <v>0</v>
      </c>
      <c r="F147" s="11"/>
      <c r="G147" s="8"/>
      <c r="H147" s="9"/>
      <c r="I147" s="43">
        <f t="shared" si="104"/>
        <v>0</v>
      </c>
      <c r="J147" s="10">
        <f t="shared" si="105"/>
        <v>0</v>
      </c>
      <c r="L147" s="24"/>
      <c r="M147" s="7"/>
      <c r="N147" s="8"/>
      <c r="O147" s="9"/>
      <c r="P147" s="43">
        <f t="shared" si="109"/>
        <v>0</v>
      </c>
      <c r="Q147" s="11"/>
      <c r="R147" s="8"/>
      <c r="S147" s="9"/>
      <c r="T147" s="43">
        <f t="shared" si="110"/>
        <v>0</v>
      </c>
      <c r="U147" s="10">
        <f t="shared" si="111"/>
        <v>0</v>
      </c>
    </row>
    <row r="148" spans="1:21" x14ac:dyDescent="0.15">
      <c r="A148" s="22"/>
      <c r="B148" s="7"/>
      <c r="C148" s="8"/>
      <c r="D148" s="9"/>
      <c r="E148" s="43">
        <f t="shared" si="103"/>
        <v>0</v>
      </c>
      <c r="F148" s="11"/>
      <c r="G148" s="8"/>
      <c r="H148" s="9"/>
      <c r="I148" s="43">
        <f t="shared" si="104"/>
        <v>0</v>
      </c>
      <c r="J148" s="10">
        <f t="shared" si="105"/>
        <v>0</v>
      </c>
      <c r="L148" s="24"/>
      <c r="M148" s="7"/>
      <c r="N148" s="8"/>
      <c r="O148" s="9"/>
      <c r="P148" s="43">
        <f t="shared" si="109"/>
        <v>0</v>
      </c>
      <c r="Q148" s="11"/>
      <c r="R148" s="8"/>
      <c r="S148" s="9"/>
      <c r="T148" s="43">
        <f t="shared" si="110"/>
        <v>0</v>
      </c>
      <c r="U148" s="10">
        <f t="shared" si="111"/>
        <v>0</v>
      </c>
    </row>
    <row r="149" spans="1:21" x14ac:dyDescent="0.15">
      <c r="A149" s="22"/>
      <c r="B149" s="7"/>
      <c r="C149" s="8"/>
      <c r="D149" s="9"/>
      <c r="E149" s="43">
        <f t="shared" si="103"/>
        <v>0</v>
      </c>
      <c r="F149" s="11"/>
      <c r="G149" s="8"/>
      <c r="H149" s="9"/>
      <c r="I149" s="43">
        <f t="shared" si="104"/>
        <v>0</v>
      </c>
      <c r="J149" s="10">
        <f t="shared" si="105"/>
        <v>0</v>
      </c>
      <c r="L149" s="24"/>
      <c r="M149" s="7"/>
      <c r="N149" s="8"/>
      <c r="O149" s="9"/>
      <c r="P149" s="43">
        <f t="shared" si="109"/>
        <v>0</v>
      </c>
      <c r="Q149" s="11"/>
      <c r="R149" s="8"/>
      <c r="S149" s="9"/>
      <c r="T149" s="43">
        <f t="shared" si="110"/>
        <v>0</v>
      </c>
      <c r="U149" s="10">
        <f t="shared" si="111"/>
        <v>0</v>
      </c>
    </row>
    <row r="150" spans="1:21" x14ac:dyDescent="0.15">
      <c r="A150" s="22"/>
      <c r="B150" s="7"/>
      <c r="C150" s="8"/>
      <c r="D150" s="9"/>
      <c r="E150" s="43">
        <f t="shared" si="103"/>
        <v>0</v>
      </c>
      <c r="F150" s="11"/>
      <c r="G150" s="8"/>
      <c r="H150" s="9"/>
      <c r="I150" s="43">
        <f t="shared" si="104"/>
        <v>0</v>
      </c>
      <c r="J150" s="10">
        <f t="shared" si="105"/>
        <v>0</v>
      </c>
      <c r="L150" s="24"/>
      <c r="M150" s="7"/>
      <c r="N150" s="8"/>
      <c r="O150" s="9"/>
      <c r="P150" s="43">
        <f t="shared" si="109"/>
        <v>0</v>
      </c>
      <c r="Q150" s="11"/>
      <c r="R150" s="8"/>
      <c r="S150" s="9"/>
      <c r="T150" s="43">
        <f t="shared" si="110"/>
        <v>0</v>
      </c>
      <c r="U150" s="10">
        <f t="shared" si="111"/>
        <v>0</v>
      </c>
    </row>
    <row r="151" spans="1:21" x14ac:dyDescent="0.15">
      <c r="A151" s="22"/>
      <c r="B151" s="7"/>
      <c r="C151" s="8"/>
      <c r="D151" s="9"/>
      <c r="E151" s="43">
        <f t="shared" si="103"/>
        <v>0</v>
      </c>
      <c r="F151" s="11"/>
      <c r="G151" s="8"/>
      <c r="H151" s="9"/>
      <c r="I151" s="43">
        <f t="shared" si="104"/>
        <v>0</v>
      </c>
      <c r="J151" s="10">
        <f t="shared" si="105"/>
        <v>0</v>
      </c>
      <c r="L151" s="24"/>
      <c r="M151" s="7"/>
      <c r="N151" s="8"/>
      <c r="O151" s="9"/>
      <c r="P151" s="43">
        <f t="shared" si="109"/>
        <v>0</v>
      </c>
      <c r="Q151" s="11"/>
      <c r="R151" s="8"/>
      <c r="S151" s="9"/>
      <c r="T151" s="43">
        <f t="shared" si="110"/>
        <v>0</v>
      </c>
      <c r="U151" s="10">
        <f t="shared" si="111"/>
        <v>0</v>
      </c>
    </row>
    <row r="152" spans="1:21" x14ac:dyDescent="0.15">
      <c r="A152" s="22"/>
      <c r="B152" s="12"/>
      <c r="C152" s="13"/>
      <c r="D152" s="14"/>
      <c r="E152" s="43">
        <f t="shared" si="103"/>
        <v>0</v>
      </c>
      <c r="F152" s="15"/>
      <c r="G152" s="13"/>
      <c r="H152" s="14"/>
      <c r="I152" s="43">
        <f t="shared" si="104"/>
        <v>0</v>
      </c>
      <c r="J152" s="10">
        <f t="shared" si="105"/>
        <v>0</v>
      </c>
      <c r="L152" s="24"/>
      <c r="M152" s="7"/>
      <c r="N152" s="8"/>
      <c r="O152" s="9"/>
      <c r="P152" s="43">
        <f t="shared" si="109"/>
        <v>0</v>
      </c>
      <c r="Q152" s="11"/>
      <c r="R152" s="8"/>
      <c r="S152" s="9"/>
      <c r="T152" s="43">
        <f t="shared" si="110"/>
        <v>0</v>
      </c>
      <c r="U152" s="10">
        <f t="shared" si="111"/>
        <v>0</v>
      </c>
    </row>
    <row r="153" spans="1:21" x14ac:dyDescent="0.15">
      <c r="A153" s="22"/>
      <c r="B153" s="7"/>
      <c r="C153" s="8"/>
      <c r="D153" s="9"/>
      <c r="E153" s="43">
        <f t="shared" si="103"/>
        <v>0</v>
      </c>
      <c r="F153" s="11"/>
      <c r="G153" s="8"/>
      <c r="H153" s="9"/>
      <c r="I153" s="43">
        <f t="shared" si="104"/>
        <v>0</v>
      </c>
      <c r="J153" s="10">
        <f t="shared" si="105"/>
        <v>0</v>
      </c>
      <c r="L153" s="24"/>
      <c r="M153" s="7"/>
      <c r="N153" s="8"/>
      <c r="O153" s="9"/>
      <c r="P153" s="43">
        <f t="shared" si="109"/>
        <v>0</v>
      </c>
      <c r="Q153" s="11"/>
      <c r="R153" s="8"/>
      <c r="S153" s="9"/>
      <c r="T153" s="43">
        <f t="shared" si="110"/>
        <v>0</v>
      </c>
      <c r="U153" s="10">
        <f t="shared" si="111"/>
        <v>0</v>
      </c>
    </row>
    <row r="154" spans="1:21" x14ac:dyDescent="0.15">
      <c r="A154" s="22"/>
      <c r="B154" s="7"/>
      <c r="C154" s="8"/>
      <c r="D154" s="9"/>
      <c r="E154" s="43">
        <f t="shared" si="103"/>
        <v>0</v>
      </c>
      <c r="F154" s="11"/>
      <c r="G154" s="8"/>
      <c r="H154" s="9"/>
      <c r="I154" s="43">
        <f t="shared" si="104"/>
        <v>0</v>
      </c>
      <c r="J154" s="10">
        <f t="shared" si="105"/>
        <v>0</v>
      </c>
      <c r="L154" s="24"/>
      <c r="M154" s="7"/>
      <c r="N154" s="8"/>
      <c r="O154" s="9"/>
      <c r="P154" s="43">
        <f t="shared" si="109"/>
        <v>0</v>
      </c>
      <c r="Q154" s="11"/>
      <c r="R154" s="8"/>
      <c r="S154" s="9"/>
      <c r="T154" s="43">
        <f t="shared" si="110"/>
        <v>0</v>
      </c>
      <c r="U154" s="10">
        <f t="shared" si="111"/>
        <v>0</v>
      </c>
    </row>
    <row r="155" spans="1:21" x14ac:dyDescent="0.15">
      <c r="A155" s="22"/>
      <c r="B155" s="7"/>
      <c r="C155" s="8"/>
      <c r="D155" s="9"/>
      <c r="E155" s="43">
        <f t="shared" si="103"/>
        <v>0</v>
      </c>
      <c r="F155" s="11"/>
      <c r="G155" s="8"/>
      <c r="H155" s="9"/>
      <c r="I155" s="43">
        <f t="shared" si="104"/>
        <v>0</v>
      </c>
      <c r="J155" s="10">
        <f t="shared" si="105"/>
        <v>0</v>
      </c>
      <c r="L155" s="24"/>
      <c r="M155" s="7"/>
      <c r="N155" s="8"/>
      <c r="O155" s="9"/>
      <c r="P155" s="43">
        <f t="shared" si="109"/>
        <v>0</v>
      </c>
      <c r="Q155" s="11"/>
      <c r="R155" s="8"/>
      <c r="S155" s="9"/>
      <c r="T155" s="43">
        <f t="shared" si="110"/>
        <v>0</v>
      </c>
      <c r="U155" s="10">
        <f t="shared" si="111"/>
        <v>0</v>
      </c>
    </row>
    <row r="156" spans="1:21" x14ac:dyDescent="0.15">
      <c r="A156" s="22"/>
      <c r="B156" s="7"/>
      <c r="C156" s="8"/>
      <c r="D156" s="9"/>
      <c r="E156" s="43">
        <f t="shared" si="103"/>
        <v>0</v>
      </c>
      <c r="F156" s="11"/>
      <c r="G156" s="8"/>
      <c r="H156" s="9"/>
      <c r="I156" s="43">
        <f t="shared" si="104"/>
        <v>0</v>
      </c>
      <c r="J156" s="10">
        <f t="shared" si="105"/>
        <v>0</v>
      </c>
      <c r="L156" s="24"/>
      <c r="M156" s="7"/>
      <c r="N156" s="8"/>
      <c r="O156" s="9"/>
      <c r="P156" s="43">
        <f t="shared" si="109"/>
        <v>0</v>
      </c>
      <c r="Q156" s="11"/>
      <c r="R156" s="8"/>
      <c r="S156" s="9"/>
      <c r="T156" s="43">
        <f t="shared" si="110"/>
        <v>0</v>
      </c>
      <c r="U156" s="10">
        <f t="shared" si="111"/>
        <v>0</v>
      </c>
    </row>
    <row r="157" spans="1:21" x14ac:dyDescent="0.15">
      <c r="A157" s="22"/>
      <c r="B157" s="7"/>
      <c r="C157" s="8"/>
      <c r="D157" s="9"/>
      <c r="E157" s="43">
        <f t="shared" si="103"/>
        <v>0</v>
      </c>
      <c r="F157" s="11"/>
      <c r="G157" s="8"/>
      <c r="H157" s="9"/>
      <c r="I157" s="43">
        <f t="shared" si="104"/>
        <v>0</v>
      </c>
      <c r="J157" s="10">
        <f t="shared" si="105"/>
        <v>0</v>
      </c>
      <c r="L157" s="24"/>
      <c r="M157" s="7"/>
      <c r="N157" s="8"/>
      <c r="O157" s="9"/>
      <c r="P157" s="43">
        <f t="shared" si="109"/>
        <v>0</v>
      </c>
      <c r="Q157" s="11"/>
      <c r="R157" s="8"/>
      <c r="S157" s="9"/>
      <c r="T157" s="43">
        <f t="shared" si="110"/>
        <v>0</v>
      </c>
      <c r="U157" s="10">
        <f t="shared" si="111"/>
        <v>0</v>
      </c>
    </row>
    <row r="158" spans="1:21" x14ac:dyDescent="0.15">
      <c r="A158" s="22"/>
      <c r="B158" s="7"/>
      <c r="C158" s="8"/>
      <c r="D158" s="9"/>
      <c r="E158" s="43">
        <f t="shared" si="103"/>
        <v>0</v>
      </c>
      <c r="F158" s="11"/>
      <c r="G158" s="8"/>
      <c r="H158" s="9"/>
      <c r="I158" s="43">
        <f t="shared" si="104"/>
        <v>0</v>
      </c>
      <c r="J158" s="10">
        <f t="shared" si="105"/>
        <v>0</v>
      </c>
      <c r="L158" s="24"/>
      <c r="M158" s="7"/>
      <c r="N158" s="8"/>
      <c r="O158" s="9"/>
      <c r="P158" s="43">
        <f t="shared" si="109"/>
        <v>0</v>
      </c>
      <c r="Q158" s="11"/>
      <c r="R158" s="8"/>
      <c r="S158" s="9"/>
      <c r="T158" s="43">
        <f t="shared" si="110"/>
        <v>0</v>
      </c>
      <c r="U158" s="10">
        <f t="shared" si="111"/>
        <v>0</v>
      </c>
    </row>
    <row r="159" spans="1:21" x14ac:dyDescent="0.15">
      <c r="A159" s="24"/>
      <c r="B159" s="7"/>
      <c r="C159" s="8"/>
      <c r="D159" s="9"/>
      <c r="E159" s="43">
        <f t="shared" si="103"/>
        <v>0</v>
      </c>
      <c r="F159" s="11"/>
      <c r="G159" s="8"/>
      <c r="H159" s="9"/>
      <c r="I159" s="43">
        <f t="shared" si="104"/>
        <v>0</v>
      </c>
      <c r="J159" s="10">
        <f t="shared" si="105"/>
        <v>0</v>
      </c>
      <c r="L159" s="24"/>
      <c r="M159" s="7"/>
      <c r="N159" s="8"/>
      <c r="O159" s="9"/>
      <c r="P159" s="43">
        <f t="shared" si="109"/>
        <v>0</v>
      </c>
      <c r="Q159" s="11"/>
      <c r="R159" s="8"/>
      <c r="S159" s="9"/>
      <c r="T159" s="43">
        <f t="shared" si="110"/>
        <v>0</v>
      </c>
      <c r="U159" s="10">
        <f t="shared" si="111"/>
        <v>0</v>
      </c>
    </row>
    <row r="160" spans="1:21" x14ac:dyDescent="0.15">
      <c r="A160" s="22"/>
      <c r="B160" s="7"/>
      <c r="C160" s="8"/>
      <c r="D160" s="9"/>
      <c r="E160" s="43">
        <f t="shared" si="103"/>
        <v>0</v>
      </c>
      <c r="F160" s="11"/>
      <c r="G160" s="8"/>
      <c r="H160" s="9"/>
      <c r="I160" s="43">
        <f t="shared" si="104"/>
        <v>0</v>
      </c>
      <c r="J160" s="10">
        <f t="shared" si="105"/>
        <v>0</v>
      </c>
      <c r="L160" s="24"/>
      <c r="M160" s="7"/>
      <c r="N160" s="8"/>
      <c r="O160" s="9"/>
      <c r="P160" s="43">
        <f t="shared" si="109"/>
        <v>0</v>
      </c>
      <c r="Q160" s="11"/>
      <c r="R160" s="8"/>
      <c r="S160" s="9"/>
      <c r="T160" s="43">
        <f t="shared" si="110"/>
        <v>0</v>
      </c>
      <c r="U160" s="10">
        <f t="shared" si="111"/>
        <v>0</v>
      </c>
    </row>
    <row r="161" spans="1:21" x14ac:dyDescent="0.15">
      <c r="A161" s="22"/>
      <c r="B161" s="7"/>
      <c r="C161" s="8"/>
      <c r="D161" s="9"/>
      <c r="E161" s="43">
        <f t="shared" si="103"/>
        <v>0</v>
      </c>
      <c r="F161" s="11"/>
      <c r="G161" s="8"/>
      <c r="H161" s="9"/>
      <c r="I161" s="43">
        <f t="shared" si="104"/>
        <v>0</v>
      </c>
      <c r="J161" s="10">
        <f t="shared" si="105"/>
        <v>0</v>
      </c>
      <c r="L161" s="24"/>
      <c r="M161" s="7"/>
      <c r="N161" s="8"/>
      <c r="O161" s="9"/>
      <c r="P161" s="43">
        <f t="shared" si="109"/>
        <v>0</v>
      </c>
      <c r="Q161" s="11"/>
      <c r="R161" s="8"/>
      <c r="S161" s="9"/>
      <c r="T161" s="43">
        <f t="shared" si="110"/>
        <v>0</v>
      </c>
      <c r="U161" s="10">
        <f t="shared" si="111"/>
        <v>0</v>
      </c>
    </row>
    <row r="162" spans="1:21" x14ac:dyDescent="0.15">
      <c r="A162" s="22"/>
      <c r="B162" s="7"/>
      <c r="C162" s="8"/>
      <c r="D162" s="9"/>
      <c r="E162" s="43">
        <f t="shared" si="103"/>
        <v>0</v>
      </c>
      <c r="F162" s="11"/>
      <c r="G162" s="8"/>
      <c r="H162" s="9"/>
      <c r="I162" s="43">
        <f t="shared" si="104"/>
        <v>0</v>
      </c>
      <c r="J162" s="10">
        <f t="shared" si="105"/>
        <v>0</v>
      </c>
      <c r="L162" s="24"/>
      <c r="M162" s="7"/>
      <c r="N162" s="8"/>
      <c r="O162" s="9"/>
      <c r="P162" s="43">
        <f t="shared" si="109"/>
        <v>0</v>
      </c>
      <c r="Q162" s="11"/>
      <c r="R162" s="8"/>
      <c r="S162" s="9"/>
      <c r="T162" s="43">
        <f t="shared" si="110"/>
        <v>0</v>
      </c>
      <c r="U162" s="10">
        <f t="shared" si="111"/>
        <v>0</v>
      </c>
    </row>
    <row r="163" spans="1:21" x14ac:dyDescent="0.15">
      <c r="A163" s="22"/>
      <c r="B163" s="7"/>
      <c r="C163" s="8"/>
      <c r="D163" s="9"/>
      <c r="E163" s="43">
        <f t="shared" si="103"/>
        <v>0</v>
      </c>
      <c r="F163" s="11"/>
      <c r="G163" s="8"/>
      <c r="H163" s="9"/>
      <c r="I163" s="43">
        <f t="shared" si="104"/>
        <v>0</v>
      </c>
      <c r="J163" s="10">
        <f t="shared" si="105"/>
        <v>0</v>
      </c>
      <c r="L163" s="24"/>
      <c r="M163" s="7"/>
      <c r="N163" s="8"/>
      <c r="O163" s="9"/>
      <c r="P163" s="43">
        <f t="shared" si="109"/>
        <v>0</v>
      </c>
      <c r="Q163" s="11"/>
      <c r="R163" s="8"/>
      <c r="S163" s="9"/>
      <c r="T163" s="43">
        <f t="shared" si="110"/>
        <v>0</v>
      </c>
      <c r="U163" s="10">
        <f t="shared" si="111"/>
        <v>0</v>
      </c>
    </row>
    <row r="164" spans="1:21" x14ac:dyDescent="0.15">
      <c r="A164" s="63"/>
      <c r="B164" s="12"/>
      <c r="C164" s="13"/>
      <c r="D164" s="14"/>
      <c r="E164" s="43">
        <f t="shared" si="103"/>
        <v>0</v>
      </c>
      <c r="F164" s="15"/>
      <c r="G164" s="13"/>
      <c r="H164" s="14"/>
      <c r="I164" s="43">
        <f t="shared" si="104"/>
        <v>0</v>
      </c>
      <c r="J164" s="10">
        <f t="shared" si="105"/>
        <v>0</v>
      </c>
      <c r="L164" s="24"/>
      <c r="M164" s="7"/>
      <c r="N164" s="8"/>
      <c r="O164" s="9"/>
      <c r="P164" s="43">
        <f t="shared" si="109"/>
        <v>0</v>
      </c>
      <c r="Q164" s="11"/>
      <c r="R164" s="8"/>
      <c r="S164" s="9"/>
      <c r="T164" s="43">
        <f t="shared" si="110"/>
        <v>0</v>
      </c>
      <c r="U164" s="10">
        <f t="shared" si="111"/>
        <v>0</v>
      </c>
    </row>
    <row r="165" spans="1:21" x14ac:dyDescent="0.15">
      <c r="A165" s="22"/>
      <c r="B165" s="7"/>
      <c r="C165" s="8"/>
      <c r="D165" s="9"/>
      <c r="E165" s="43">
        <f t="shared" si="103"/>
        <v>0</v>
      </c>
      <c r="F165" s="11"/>
      <c r="G165" s="8"/>
      <c r="H165" s="9"/>
      <c r="I165" s="43">
        <f t="shared" si="104"/>
        <v>0</v>
      </c>
      <c r="J165" s="10">
        <f t="shared" si="105"/>
        <v>0</v>
      </c>
      <c r="L165" s="24"/>
      <c r="M165" s="7"/>
      <c r="N165" s="8"/>
      <c r="O165" s="9"/>
      <c r="P165" s="43">
        <f t="shared" si="109"/>
        <v>0</v>
      </c>
      <c r="Q165" s="11"/>
      <c r="R165" s="8"/>
      <c r="S165" s="9"/>
      <c r="T165" s="43">
        <f t="shared" si="110"/>
        <v>0</v>
      </c>
      <c r="U165" s="10">
        <f t="shared" si="111"/>
        <v>0</v>
      </c>
    </row>
    <row r="166" spans="1:21" x14ac:dyDescent="0.15">
      <c r="A166" s="63"/>
      <c r="B166" s="7"/>
      <c r="C166" s="8"/>
      <c r="D166" s="9"/>
      <c r="E166" s="43">
        <f t="shared" si="103"/>
        <v>0</v>
      </c>
      <c r="F166" s="11"/>
      <c r="G166" s="8"/>
      <c r="H166" s="9"/>
      <c r="I166" s="43">
        <f t="shared" si="104"/>
        <v>0</v>
      </c>
      <c r="J166" s="10">
        <f t="shared" si="105"/>
        <v>0</v>
      </c>
      <c r="L166" s="24"/>
      <c r="M166" s="7"/>
      <c r="N166" s="8"/>
      <c r="O166" s="9"/>
      <c r="P166" s="43">
        <f t="shared" si="109"/>
        <v>0</v>
      </c>
      <c r="Q166" s="11"/>
      <c r="R166" s="8"/>
      <c r="S166" s="9"/>
      <c r="T166" s="43">
        <f t="shared" si="110"/>
        <v>0</v>
      </c>
      <c r="U166" s="10">
        <f t="shared" si="111"/>
        <v>0</v>
      </c>
    </row>
    <row r="167" spans="1:21" x14ac:dyDescent="0.15">
      <c r="A167" s="22"/>
      <c r="B167" s="7"/>
      <c r="C167" s="8"/>
      <c r="D167" s="9"/>
      <c r="E167" s="43">
        <f t="shared" si="103"/>
        <v>0</v>
      </c>
      <c r="F167" s="11"/>
      <c r="G167" s="8"/>
      <c r="H167" s="9"/>
      <c r="I167" s="43">
        <f t="shared" si="104"/>
        <v>0</v>
      </c>
      <c r="J167" s="10">
        <f t="shared" si="105"/>
        <v>0</v>
      </c>
      <c r="L167" s="24"/>
      <c r="M167" s="7"/>
      <c r="N167" s="8"/>
      <c r="O167" s="9"/>
      <c r="P167" s="43">
        <f t="shared" si="109"/>
        <v>0</v>
      </c>
      <c r="Q167" s="11"/>
      <c r="R167" s="8"/>
      <c r="S167" s="9"/>
      <c r="T167" s="43">
        <f t="shared" si="110"/>
        <v>0</v>
      </c>
      <c r="U167" s="10">
        <f t="shared" si="111"/>
        <v>0</v>
      </c>
    </row>
    <row r="168" spans="1:21" ht="14.25" thickBot="1" x14ac:dyDescent="0.2">
      <c r="A168" s="60"/>
      <c r="B168" s="12"/>
      <c r="C168" s="13"/>
      <c r="D168" s="14"/>
      <c r="E168" s="43">
        <f>SUM(B168:D168)</f>
        <v>0</v>
      </c>
      <c r="F168" s="15"/>
      <c r="G168" s="13"/>
      <c r="H168" s="14"/>
      <c r="I168" s="43">
        <f>SUM(F168:H168)</f>
        <v>0</v>
      </c>
      <c r="J168" s="10">
        <f>E168+I168</f>
        <v>0</v>
      </c>
      <c r="L168" s="24"/>
      <c r="M168" s="7"/>
      <c r="N168" s="8"/>
      <c r="O168" s="9"/>
      <c r="P168" s="43">
        <f t="shared" si="109"/>
        <v>0</v>
      </c>
      <c r="Q168" s="11"/>
      <c r="R168" s="8"/>
      <c r="S168" s="9"/>
      <c r="T168" s="43">
        <f t="shared" si="110"/>
        <v>0</v>
      </c>
      <c r="U168" s="10">
        <f t="shared" si="111"/>
        <v>0</v>
      </c>
    </row>
    <row r="169" spans="1:21" ht="14.25" thickBot="1" x14ac:dyDescent="0.2">
      <c r="A169" s="35" t="s">
        <v>17</v>
      </c>
      <c r="B169" s="40">
        <f>SUM(B143:B168)</f>
        <v>0</v>
      </c>
      <c r="C169" s="41">
        <f t="shared" ref="C169:D169" si="112">SUM(C143:C168)</f>
        <v>0</v>
      </c>
      <c r="D169" s="52">
        <f t="shared" si="112"/>
        <v>0</v>
      </c>
      <c r="E169" s="39">
        <f t="shared" ref="E169" si="113">SUM(B169:D169)</f>
        <v>0</v>
      </c>
      <c r="F169" s="40">
        <f>SUM(F143:F168)</f>
        <v>0</v>
      </c>
      <c r="G169" s="41">
        <f t="shared" ref="G169:H169" si="114">SUM(G143:G168)</f>
        <v>0</v>
      </c>
      <c r="H169" s="52">
        <f t="shared" si="114"/>
        <v>0</v>
      </c>
      <c r="I169" s="39">
        <f t="shared" ref="I169" si="115">SUM(F169:H169)</f>
        <v>0</v>
      </c>
      <c r="J169" s="39">
        <f>E169+I169</f>
        <v>0</v>
      </c>
      <c r="L169" s="35" t="s">
        <v>17</v>
      </c>
      <c r="M169" s="40">
        <f>SUM(M143:M168)</f>
        <v>0</v>
      </c>
      <c r="N169" s="41">
        <f t="shared" ref="N169:O169" si="116">SUM(N143:N168)</f>
        <v>0</v>
      </c>
      <c r="O169" s="52">
        <f t="shared" si="116"/>
        <v>0</v>
      </c>
      <c r="P169" s="39">
        <f t="shared" si="109"/>
        <v>0</v>
      </c>
      <c r="Q169" s="40">
        <f>SUM(Q143:Q168)</f>
        <v>0</v>
      </c>
      <c r="R169" s="41">
        <f t="shared" ref="R169:S169" si="117">SUM(R143:R168)</f>
        <v>0</v>
      </c>
      <c r="S169" s="52">
        <f t="shared" si="117"/>
        <v>0</v>
      </c>
      <c r="T169" s="39">
        <f t="shared" si="110"/>
        <v>0</v>
      </c>
      <c r="U169" s="39">
        <f>P169+T169</f>
        <v>0</v>
      </c>
    </row>
    <row r="170" spans="1:21" ht="14.25" thickBot="1" x14ac:dyDescent="0.2">
      <c r="A170" s="21" t="s">
        <v>16</v>
      </c>
      <c r="B170" s="44">
        <f>B142-B169</f>
        <v>1</v>
      </c>
      <c r="C170" s="50">
        <f t="shared" ref="C170:D170" si="118">C142-C169</f>
        <v>2</v>
      </c>
      <c r="D170" s="51">
        <f t="shared" si="118"/>
        <v>4</v>
      </c>
      <c r="E170" s="49">
        <f>SUM(B170:D170)</f>
        <v>7</v>
      </c>
      <c r="F170" s="44">
        <f>F142-F169</f>
        <v>1</v>
      </c>
      <c r="G170" s="50">
        <f t="shared" ref="G170:H170" si="119">G142-G169</f>
        <v>2</v>
      </c>
      <c r="H170" s="51">
        <f t="shared" si="119"/>
        <v>4</v>
      </c>
      <c r="I170" s="49">
        <f>SUM(F170:H170)</f>
        <v>7</v>
      </c>
      <c r="J170" s="28">
        <f>E170+I170</f>
        <v>14</v>
      </c>
      <c r="L170" s="21" t="s">
        <v>16</v>
      </c>
      <c r="M170" s="44">
        <f>M142-M169</f>
        <v>52</v>
      </c>
      <c r="N170" s="50">
        <f t="shared" ref="N170:O170" si="120">N142-N169</f>
        <v>49</v>
      </c>
      <c r="O170" s="51">
        <f t="shared" si="120"/>
        <v>13</v>
      </c>
      <c r="P170" s="49">
        <f>SUM(M170:O170)</f>
        <v>114</v>
      </c>
      <c r="Q170" s="44">
        <f>Q142-Q169</f>
        <v>52</v>
      </c>
      <c r="R170" s="50">
        <f t="shared" ref="R170:S170" si="121">R142-R169</f>
        <v>49</v>
      </c>
      <c r="S170" s="51">
        <f t="shared" si="121"/>
        <v>13</v>
      </c>
      <c r="T170" s="49">
        <f>SUM(Q170:S170)</f>
        <v>114</v>
      </c>
      <c r="U170" s="28">
        <f>P170+T170</f>
        <v>228</v>
      </c>
    </row>
    <row r="171" spans="1:21" x14ac:dyDescent="0.15">
      <c r="M171" s="88"/>
      <c r="N171" s="88"/>
      <c r="O171" s="88"/>
      <c r="P171" s="88"/>
    </row>
    <row r="172" spans="1:21" ht="42" customHeight="1" x14ac:dyDescent="0.15">
      <c r="A172" s="155" t="s">
        <v>167</v>
      </c>
      <c r="B172" s="156"/>
      <c r="C172" s="156"/>
      <c r="D172" s="156"/>
      <c r="E172" s="156"/>
      <c r="F172" s="156"/>
      <c r="G172" s="156"/>
      <c r="H172" s="156"/>
      <c r="I172" s="156"/>
      <c r="J172" s="156"/>
      <c r="L172" s="155" t="s">
        <v>167</v>
      </c>
      <c r="M172" s="156"/>
      <c r="N172" s="156"/>
      <c r="O172" s="156"/>
      <c r="P172" s="156"/>
      <c r="Q172" s="156"/>
      <c r="R172" s="156"/>
      <c r="S172" s="156"/>
      <c r="T172" s="156"/>
      <c r="U172" s="156"/>
    </row>
    <row r="173" spans="1:21" ht="19.5" thickBot="1" x14ac:dyDescent="0.25">
      <c r="A173" s="84" t="s">
        <v>29</v>
      </c>
      <c r="B173" s="85"/>
      <c r="C173" s="85"/>
      <c r="D173" s="85"/>
      <c r="E173" s="85"/>
      <c r="F173" s="85"/>
      <c r="G173" s="85"/>
      <c r="H173" s="85"/>
      <c r="I173" s="85"/>
      <c r="J173" s="85"/>
      <c r="L173" s="86" t="s">
        <v>30</v>
      </c>
      <c r="M173" s="87"/>
      <c r="N173" s="87"/>
      <c r="O173" s="87"/>
      <c r="P173" s="87"/>
      <c r="Q173" s="87"/>
      <c r="R173" s="87"/>
      <c r="S173" s="87"/>
      <c r="T173" s="87"/>
      <c r="U173" s="87"/>
    </row>
    <row r="174" spans="1:21" ht="14.25" thickBot="1" x14ac:dyDescent="0.2">
      <c r="A174" s="6"/>
      <c r="B174" s="159" t="s">
        <v>18</v>
      </c>
      <c r="C174" s="160"/>
      <c r="D174" s="160"/>
      <c r="E174" s="161"/>
      <c r="F174" s="159" t="s">
        <v>22</v>
      </c>
      <c r="G174" s="160"/>
      <c r="H174" s="160"/>
      <c r="I174" s="162"/>
      <c r="J174" s="157" t="s">
        <v>0</v>
      </c>
      <c r="L174" s="6"/>
      <c r="M174" s="146" t="s">
        <v>18</v>
      </c>
      <c r="N174" s="147"/>
      <c r="O174" s="147"/>
      <c r="P174" s="148"/>
      <c r="Q174" s="146" t="s">
        <v>22</v>
      </c>
      <c r="R174" s="147"/>
      <c r="S174" s="147"/>
      <c r="T174" s="148"/>
      <c r="U174" s="157" t="s">
        <v>0</v>
      </c>
    </row>
    <row r="175" spans="1:21" ht="14.25" thickBot="1" x14ac:dyDescent="0.2">
      <c r="A175" s="6" t="s">
        <v>1</v>
      </c>
      <c r="B175" s="3" t="s">
        <v>2</v>
      </c>
      <c r="C175" s="4" t="s">
        <v>3</v>
      </c>
      <c r="D175" s="5" t="s">
        <v>4</v>
      </c>
      <c r="E175" s="6" t="s">
        <v>5</v>
      </c>
      <c r="F175" s="3" t="s">
        <v>2</v>
      </c>
      <c r="G175" s="4" t="s">
        <v>3</v>
      </c>
      <c r="H175" s="5" t="s">
        <v>4</v>
      </c>
      <c r="I175" s="6" t="s">
        <v>5</v>
      </c>
      <c r="J175" s="158"/>
      <c r="L175" s="6" t="s">
        <v>1</v>
      </c>
      <c r="M175" s="3" t="s">
        <v>2</v>
      </c>
      <c r="N175" s="4" t="s">
        <v>3</v>
      </c>
      <c r="O175" s="5" t="s">
        <v>4</v>
      </c>
      <c r="P175" s="6" t="s">
        <v>5</v>
      </c>
      <c r="Q175" s="3" t="s">
        <v>2</v>
      </c>
      <c r="R175" s="4" t="s">
        <v>3</v>
      </c>
      <c r="S175" s="5" t="s">
        <v>4</v>
      </c>
      <c r="T175" s="6" t="s">
        <v>5</v>
      </c>
      <c r="U175" s="158"/>
    </row>
    <row r="176" spans="1:21" ht="14.25" thickBot="1" x14ac:dyDescent="0.2">
      <c r="A176" s="62" t="s">
        <v>16</v>
      </c>
      <c r="B176" s="40">
        <f>B170</f>
        <v>1</v>
      </c>
      <c r="C176" s="41">
        <f>C170</f>
        <v>2</v>
      </c>
      <c r="D176" s="81">
        <f>D170</f>
        <v>4</v>
      </c>
      <c r="E176" s="39">
        <f>SUM(B176:D176)</f>
        <v>7</v>
      </c>
      <c r="F176" s="40">
        <f>F170</f>
        <v>1</v>
      </c>
      <c r="G176" s="41">
        <f>G170</f>
        <v>2</v>
      </c>
      <c r="H176" s="81">
        <f>H170</f>
        <v>4</v>
      </c>
      <c r="I176" s="39">
        <f>SUM(F176:H176)</f>
        <v>7</v>
      </c>
      <c r="J176" s="39">
        <f>E176+I176</f>
        <v>14</v>
      </c>
      <c r="L176" s="66" t="s">
        <v>6</v>
      </c>
      <c r="M176" s="25">
        <f>M170</f>
        <v>52</v>
      </c>
      <c r="N176" s="26">
        <f>N170</f>
        <v>49</v>
      </c>
      <c r="O176" s="27">
        <f>O170</f>
        <v>13</v>
      </c>
      <c r="P176" s="28">
        <f>SUM(M176:O176)</f>
        <v>114</v>
      </c>
      <c r="Q176" s="25">
        <f>Q170</f>
        <v>52</v>
      </c>
      <c r="R176" s="26">
        <f>R170</f>
        <v>49</v>
      </c>
      <c r="S176" s="27">
        <f>S170</f>
        <v>13</v>
      </c>
      <c r="T176" s="28">
        <f>SUM(Q176:S176)</f>
        <v>114</v>
      </c>
      <c r="U176" s="28">
        <f>P176+T176</f>
        <v>228</v>
      </c>
    </row>
    <row r="177" spans="1:22" x14ac:dyDescent="0.15">
      <c r="A177" s="23" t="s">
        <v>7</v>
      </c>
      <c r="B177" s="16">
        <v>5</v>
      </c>
      <c r="C177" s="17">
        <v>5</v>
      </c>
      <c r="D177" s="45"/>
      <c r="E177" s="43">
        <f>SUM(B177:D177)</f>
        <v>10</v>
      </c>
      <c r="F177" s="19">
        <v>5</v>
      </c>
      <c r="G177" s="17">
        <v>5</v>
      </c>
      <c r="H177" s="18"/>
      <c r="I177" s="43">
        <f>SUM(F177:H177)</f>
        <v>10</v>
      </c>
      <c r="J177" s="43">
        <f>E177+I177</f>
        <v>20</v>
      </c>
      <c r="K177" s="56">
        <v>45199</v>
      </c>
      <c r="L177" s="23" t="s">
        <v>7</v>
      </c>
      <c r="M177" s="16"/>
      <c r="N177" s="17"/>
      <c r="O177" s="45"/>
      <c r="P177" s="43">
        <f t="shared" ref="P177:P184" si="122">SUM(M177:O177)</f>
        <v>0</v>
      </c>
      <c r="Q177" s="19"/>
      <c r="R177" s="17"/>
      <c r="S177" s="18"/>
      <c r="T177" s="43">
        <f t="shared" ref="T177:T184" si="123">SUM(Q177:S177)</f>
        <v>0</v>
      </c>
      <c r="U177" s="43">
        <f t="shared" ref="U177:U184" si="124">P177+T177</f>
        <v>0</v>
      </c>
    </row>
    <row r="178" spans="1:22" x14ac:dyDescent="0.15">
      <c r="A178" s="23" t="s">
        <v>8</v>
      </c>
      <c r="B178" s="7"/>
      <c r="C178" s="8"/>
      <c r="D178" s="46"/>
      <c r="E178" s="10">
        <f t="shared" ref="E178:E184" si="125">SUM(B178:D178)</f>
        <v>0</v>
      </c>
      <c r="F178" s="11"/>
      <c r="G178" s="8"/>
      <c r="H178" s="9"/>
      <c r="I178" s="10">
        <f t="shared" ref="I178:I184" si="126">SUM(F178:H178)</f>
        <v>0</v>
      </c>
      <c r="J178" s="10">
        <f t="shared" ref="J178:J184" si="127">E178+I178</f>
        <v>0</v>
      </c>
      <c r="L178" s="23" t="s">
        <v>146</v>
      </c>
      <c r="M178" s="16">
        <v>100</v>
      </c>
      <c r="N178" s="17">
        <v>100</v>
      </c>
      <c r="O178" s="45">
        <v>80</v>
      </c>
      <c r="P178" s="10">
        <f t="shared" si="122"/>
        <v>280</v>
      </c>
      <c r="Q178" s="16">
        <v>100</v>
      </c>
      <c r="R178" s="17">
        <v>100</v>
      </c>
      <c r="S178" s="45">
        <v>80</v>
      </c>
      <c r="T178" s="10">
        <f t="shared" si="123"/>
        <v>280</v>
      </c>
      <c r="U178" s="10">
        <f t="shared" si="124"/>
        <v>560</v>
      </c>
      <c r="V178" s="56" t="s">
        <v>178</v>
      </c>
    </row>
    <row r="179" spans="1:22" x14ac:dyDescent="0.15">
      <c r="A179" s="23" t="s">
        <v>9</v>
      </c>
      <c r="B179" s="7"/>
      <c r="C179" s="8"/>
      <c r="D179" s="46"/>
      <c r="E179" s="10">
        <f t="shared" si="125"/>
        <v>0</v>
      </c>
      <c r="F179" s="11"/>
      <c r="G179" s="8"/>
      <c r="H179" s="9"/>
      <c r="I179" s="10">
        <f t="shared" si="126"/>
        <v>0</v>
      </c>
      <c r="J179" s="10">
        <f t="shared" si="127"/>
        <v>0</v>
      </c>
      <c r="L179" s="23" t="s">
        <v>9</v>
      </c>
      <c r="M179" s="7"/>
      <c r="N179" s="8"/>
      <c r="O179" s="46"/>
      <c r="P179" s="10">
        <f t="shared" si="122"/>
        <v>0</v>
      </c>
      <c r="Q179" s="11"/>
      <c r="R179" s="8"/>
      <c r="S179" s="9"/>
      <c r="T179" s="10">
        <f t="shared" si="123"/>
        <v>0</v>
      </c>
      <c r="U179" s="10">
        <f t="shared" si="124"/>
        <v>0</v>
      </c>
      <c r="V179" s="56"/>
    </row>
    <row r="180" spans="1:22" x14ac:dyDescent="0.15">
      <c r="A180" s="23" t="s">
        <v>10</v>
      </c>
      <c r="B180" s="7"/>
      <c r="C180" s="8"/>
      <c r="D180" s="46"/>
      <c r="E180" s="10">
        <f t="shared" si="125"/>
        <v>0</v>
      </c>
      <c r="F180" s="11"/>
      <c r="G180" s="8"/>
      <c r="H180" s="9"/>
      <c r="I180" s="10">
        <f t="shared" si="126"/>
        <v>0</v>
      </c>
      <c r="J180" s="10">
        <f t="shared" si="127"/>
        <v>0</v>
      </c>
      <c r="L180" s="23" t="s">
        <v>10</v>
      </c>
      <c r="M180" s="7"/>
      <c r="N180" s="8"/>
      <c r="O180" s="46"/>
      <c r="P180" s="10">
        <f t="shared" si="122"/>
        <v>0</v>
      </c>
      <c r="Q180" s="11"/>
      <c r="R180" s="8"/>
      <c r="S180" s="9"/>
      <c r="T180" s="10">
        <f t="shared" si="123"/>
        <v>0</v>
      </c>
      <c r="U180" s="10">
        <f t="shared" si="124"/>
        <v>0</v>
      </c>
      <c r="V180" s="56"/>
    </row>
    <row r="181" spans="1:22" x14ac:dyDescent="0.15">
      <c r="A181" s="23" t="s">
        <v>11</v>
      </c>
      <c r="B181" s="7"/>
      <c r="C181" s="8"/>
      <c r="D181" s="46"/>
      <c r="E181" s="10">
        <f t="shared" si="125"/>
        <v>0</v>
      </c>
      <c r="F181" s="11"/>
      <c r="G181" s="8"/>
      <c r="H181" s="9"/>
      <c r="I181" s="10">
        <f t="shared" si="126"/>
        <v>0</v>
      </c>
      <c r="J181" s="10">
        <f t="shared" si="127"/>
        <v>0</v>
      </c>
      <c r="L181" s="23" t="s">
        <v>11</v>
      </c>
      <c r="M181" s="7"/>
      <c r="N181" s="8"/>
      <c r="O181" s="46"/>
      <c r="P181" s="10">
        <f t="shared" si="122"/>
        <v>0</v>
      </c>
      <c r="Q181" s="11"/>
      <c r="R181" s="8"/>
      <c r="S181" s="9"/>
      <c r="T181" s="10">
        <f t="shared" si="123"/>
        <v>0</v>
      </c>
      <c r="U181" s="10">
        <f t="shared" si="124"/>
        <v>0</v>
      </c>
      <c r="V181" s="61"/>
    </row>
    <row r="182" spans="1:22" x14ac:dyDescent="0.15">
      <c r="A182" s="23" t="s">
        <v>12</v>
      </c>
      <c r="B182" s="7"/>
      <c r="C182" s="8"/>
      <c r="D182" s="46"/>
      <c r="E182" s="10">
        <f t="shared" si="125"/>
        <v>0</v>
      </c>
      <c r="F182" s="11"/>
      <c r="G182" s="8"/>
      <c r="H182" s="9"/>
      <c r="I182" s="10">
        <f t="shared" si="126"/>
        <v>0</v>
      </c>
      <c r="J182" s="10">
        <f t="shared" si="127"/>
        <v>0</v>
      </c>
      <c r="L182" s="23" t="s">
        <v>26</v>
      </c>
      <c r="M182" s="16">
        <v>150</v>
      </c>
      <c r="N182" s="17">
        <v>170</v>
      </c>
      <c r="O182" s="45">
        <v>100</v>
      </c>
      <c r="P182" s="10">
        <f t="shared" si="122"/>
        <v>420</v>
      </c>
      <c r="Q182" s="16">
        <v>150</v>
      </c>
      <c r="R182" s="17">
        <v>170</v>
      </c>
      <c r="S182" s="45">
        <v>100</v>
      </c>
      <c r="T182" s="10">
        <f t="shared" si="123"/>
        <v>420</v>
      </c>
      <c r="U182" s="10">
        <f t="shared" si="124"/>
        <v>840</v>
      </c>
      <c r="V182" s="56" t="s">
        <v>198</v>
      </c>
    </row>
    <row r="183" spans="1:22" x14ac:dyDescent="0.15">
      <c r="A183" s="23" t="s">
        <v>13</v>
      </c>
      <c r="B183" s="12"/>
      <c r="C183" s="13"/>
      <c r="D183" s="47"/>
      <c r="E183" s="10">
        <f t="shared" si="125"/>
        <v>0</v>
      </c>
      <c r="F183" s="15"/>
      <c r="G183" s="13"/>
      <c r="H183" s="14"/>
      <c r="I183" s="10">
        <f t="shared" si="126"/>
        <v>0</v>
      </c>
      <c r="J183" s="10">
        <f t="shared" si="127"/>
        <v>0</v>
      </c>
      <c r="L183" s="23" t="s">
        <v>13</v>
      </c>
      <c r="M183" s="12"/>
      <c r="N183" s="13"/>
      <c r="O183" s="47"/>
      <c r="P183" s="10">
        <f t="shared" si="122"/>
        <v>0</v>
      </c>
      <c r="Q183" s="15"/>
      <c r="R183" s="13"/>
      <c r="S183" s="14"/>
      <c r="T183" s="10">
        <f t="shared" si="123"/>
        <v>0</v>
      </c>
      <c r="U183" s="10">
        <f t="shared" si="124"/>
        <v>0</v>
      </c>
    </row>
    <row r="184" spans="1:22" ht="14.25" thickBot="1" x14ac:dyDescent="0.2">
      <c r="A184" s="23" t="s">
        <v>14</v>
      </c>
      <c r="B184" s="29"/>
      <c r="C184" s="30"/>
      <c r="D184" s="48"/>
      <c r="E184" s="55">
        <f t="shared" si="125"/>
        <v>0</v>
      </c>
      <c r="F184" s="31"/>
      <c r="G184" s="31"/>
      <c r="H184" s="33"/>
      <c r="I184" s="55">
        <f t="shared" si="126"/>
        <v>0</v>
      </c>
      <c r="J184" s="20">
        <f t="shared" si="127"/>
        <v>0</v>
      </c>
      <c r="L184" s="23" t="s">
        <v>14</v>
      </c>
      <c r="M184" s="29"/>
      <c r="N184" s="30"/>
      <c r="O184" s="48"/>
      <c r="P184" s="55">
        <f t="shared" si="122"/>
        <v>0</v>
      </c>
      <c r="Q184" s="31"/>
      <c r="R184" s="31"/>
      <c r="S184" s="33"/>
      <c r="T184" s="55">
        <f t="shared" si="123"/>
        <v>0</v>
      </c>
      <c r="U184" s="20">
        <f t="shared" si="124"/>
        <v>0</v>
      </c>
    </row>
    <row r="185" spans="1:22" ht="14.25" thickBot="1" x14ac:dyDescent="0.2">
      <c r="A185" s="32" t="s">
        <v>15</v>
      </c>
      <c r="B185" s="25">
        <f>SUM(B176:B184)</f>
        <v>6</v>
      </c>
      <c r="C185" s="26">
        <f>SUM(C176:C184)</f>
        <v>7</v>
      </c>
      <c r="D185" s="27">
        <f>SUM(D176:D184)</f>
        <v>4</v>
      </c>
      <c r="E185" s="28">
        <f>SUM(B185:D185)</f>
        <v>17</v>
      </c>
      <c r="F185" s="25">
        <f>SUM(F176:F184)</f>
        <v>6</v>
      </c>
      <c r="G185" s="26">
        <f>SUM(G176:G184)</f>
        <v>7</v>
      </c>
      <c r="H185" s="27">
        <f>SUM(H176:H184)</f>
        <v>4</v>
      </c>
      <c r="I185" s="28">
        <f>SUM(F185:H185)</f>
        <v>17</v>
      </c>
      <c r="J185" s="28">
        <f>E185+I185</f>
        <v>34</v>
      </c>
      <c r="L185" s="32" t="s">
        <v>15</v>
      </c>
      <c r="M185" s="25">
        <f>SUM(M176:M184)</f>
        <v>302</v>
      </c>
      <c r="N185" s="26">
        <f>SUM(N176:N184)</f>
        <v>319</v>
      </c>
      <c r="O185" s="27">
        <f>SUM(O176:O184)</f>
        <v>193</v>
      </c>
      <c r="P185" s="28">
        <f>SUM(M185:O185)</f>
        <v>814</v>
      </c>
      <c r="Q185" s="25">
        <f>SUM(Q176:Q184)</f>
        <v>302</v>
      </c>
      <c r="R185" s="26">
        <f>SUM(R176:R184)</f>
        <v>319</v>
      </c>
      <c r="S185" s="27">
        <f>SUM(S176:S184)</f>
        <v>193</v>
      </c>
      <c r="T185" s="28">
        <f>SUM(Q185:S185)</f>
        <v>814</v>
      </c>
      <c r="U185" s="28">
        <f>P185+T185</f>
        <v>1628</v>
      </c>
    </row>
    <row r="186" spans="1:22" x14ac:dyDescent="0.15">
      <c r="A186" s="22" t="s">
        <v>187</v>
      </c>
      <c r="B186" s="7"/>
      <c r="C186" s="8"/>
      <c r="D186" s="9">
        <v>1</v>
      </c>
      <c r="E186" s="43">
        <f t="shared" ref="E186" si="128">SUM(B186:D186)</f>
        <v>1</v>
      </c>
      <c r="F186" s="11"/>
      <c r="G186" s="8"/>
      <c r="H186" s="9">
        <v>1</v>
      </c>
      <c r="I186" s="43">
        <f t="shared" ref="I186" si="129">SUM(F186:H186)</f>
        <v>1</v>
      </c>
      <c r="J186" s="10">
        <f t="shared" ref="J186" si="130">E186+I186</f>
        <v>2</v>
      </c>
      <c r="K186" s="58">
        <v>45224</v>
      </c>
      <c r="L186" s="24" t="s">
        <v>165</v>
      </c>
      <c r="M186" s="7">
        <v>40</v>
      </c>
      <c r="N186" s="8">
        <v>40</v>
      </c>
      <c r="O186" s="9">
        <v>30</v>
      </c>
      <c r="P186" s="43">
        <f t="shared" ref="P186:P212" si="131">SUM(M186:O186)</f>
        <v>110</v>
      </c>
      <c r="Q186" s="11">
        <v>40</v>
      </c>
      <c r="R186" s="8">
        <v>40</v>
      </c>
      <c r="S186" s="9">
        <v>30</v>
      </c>
      <c r="T186" s="43">
        <f t="shared" ref="T186:T212" si="132">SUM(Q186:S186)</f>
        <v>110</v>
      </c>
      <c r="U186" s="10">
        <f t="shared" ref="U186:U211" si="133">P186+T186</f>
        <v>220</v>
      </c>
      <c r="V186" s="56">
        <v>45224</v>
      </c>
    </row>
    <row r="187" spans="1:22" x14ac:dyDescent="0.15">
      <c r="A187" s="22"/>
      <c r="B187" s="7"/>
      <c r="C187" s="8"/>
      <c r="D187" s="9"/>
      <c r="E187" s="43">
        <f t="shared" ref="E187:E210" si="134">SUM(B187:D187)</f>
        <v>0</v>
      </c>
      <c r="F187" s="11"/>
      <c r="G187" s="8"/>
      <c r="H187" s="9"/>
      <c r="I187" s="43">
        <f t="shared" ref="I187:I210" si="135">SUM(F187:H187)</f>
        <v>0</v>
      </c>
      <c r="J187" s="10">
        <f t="shared" ref="J187:J210" si="136">E187+I187</f>
        <v>0</v>
      </c>
      <c r="L187" s="104" t="s">
        <v>176</v>
      </c>
      <c r="M187" s="7">
        <v>5</v>
      </c>
      <c r="N187" s="8">
        <v>5</v>
      </c>
      <c r="O187" s="9"/>
      <c r="P187" s="43">
        <f>SUM(M187:O187)</f>
        <v>10</v>
      </c>
      <c r="Q187" s="11">
        <v>5</v>
      </c>
      <c r="R187" s="8">
        <v>5</v>
      </c>
      <c r="S187" s="9"/>
      <c r="T187" s="43">
        <f>SUM(Q187:S187)</f>
        <v>10</v>
      </c>
      <c r="U187" s="10">
        <f>P187+T187</f>
        <v>20</v>
      </c>
      <c r="V187" s="56">
        <v>45199</v>
      </c>
    </row>
    <row r="188" spans="1:22" x14ac:dyDescent="0.15">
      <c r="A188" s="22"/>
      <c r="B188" s="7"/>
      <c r="C188" s="8"/>
      <c r="D188" s="9"/>
      <c r="E188" s="43">
        <f t="shared" si="134"/>
        <v>0</v>
      </c>
      <c r="F188" s="11"/>
      <c r="G188" s="8"/>
      <c r="H188" s="9"/>
      <c r="I188" s="43">
        <f t="shared" si="135"/>
        <v>0</v>
      </c>
      <c r="J188" s="10">
        <f t="shared" si="136"/>
        <v>0</v>
      </c>
      <c r="L188" s="24" t="s">
        <v>177</v>
      </c>
      <c r="M188" s="7">
        <v>5</v>
      </c>
      <c r="N188" s="8">
        <v>10</v>
      </c>
      <c r="O188" s="9">
        <v>5</v>
      </c>
      <c r="P188" s="43">
        <f t="shared" si="131"/>
        <v>20</v>
      </c>
      <c r="Q188" s="11">
        <v>5</v>
      </c>
      <c r="R188" s="8">
        <v>10</v>
      </c>
      <c r="S188" s="9">
        <v>5</v>
      </c>
      <c r="T188" s="43">
        <f t="shared" si="132"/>
        <v>20</v>
      </c>
      <c r="U188" s="10">
        <f t="shared" si="133"/>
        <v>40</v>
      </c>
      <c r="V188" s="56">
        <v>45205</v>
      </c>
    </row>
    <row r="189" spans="1:22" x14ac:dyDescent="0.15">
      <c r="A189" s="22"/>
      <c r="B189" s="7"/>
      <c r="C189" s="8"/>
      <c r="D189" s="9"/>
      <c r="E189" s="43">
        <f t="shared" si="134"/>
        <v>0</v>
      </c>
      <c r="F189" s="11"/>
      <c r="G189" s="8"/>
      <c r="H189" s="9"/>
      <c r="I189" s="43">
        <f t="shared" si="135"/>
        <v>0</v>
      </c>
      <c r="J189" s="10">
        <f t="shared" si="136"/>
        <v>0</v>
      </c>
      <c r="L189" s="24" t="s">
        <v>179</v>
      </c>
      <c r="M189" s="7">
        <v>5</v>
      </c>
      <c r="N189" s="8">
        <v>10</v>
      </c>
      <c r="O189" s="9"/>
      <c r="P189" s="43">
        <f t="shared" si="131"/>
        <v>15</v>
      </c>
      <c r="Q189" s="11">
        <v>5</v>
      </c>
      <c r="R189" s="8">
        <v>10</v>
      </c>
      <c r="S189" s="9"/>
      <c r="T189" s="43">
        <f t="shared" si="132"/>
        <v>15</v>
      </c>
      <c r="U189" s="10">
        <f t="shared" si="133"/>
        <v>30</v>
      </c>
      <c r="V189" s="56">
        <v>45211</v>
      </c>
    </row>
    <row r="190" spans="1:22" x14ac:dyDescent="0.15">
      <c r="A190" s="22"/>
      <c r="B190" s="7"/>
      <c r="C190" s="8"/>
      <c r="D190" s="9"/>
      <c r="E190" s="43">
        <f t="shared" si="134"/>
        <v>0</v>
      </c>
      <c r="F190" s="11"/>
      <c r="G190" s="8"/>
      <c r="H190" s="9"/>
      <c r="I190" s="43">
        <f t="shared" si="135"/>
        <v>0</v>
      </c>
      <c r="J190" s="10">
        <f t="shared" si="136"/>
        <v>0</v>
      </c>
      <c r="L190" s="22" t="s">
        <v>38</v>
      </c>
      <c r="M190" s="7">
        <v>1</v>
      </c>
      <c r="N190" s="8"/>
      <c r="O190" s="9"/>
      <c r="P190" s="43">
        <f t="shared" si="131"/>
        <v>1</v>
      </c>
      <c r="Q190" s="11">
        <v>1</v>
      </c>
      <c r="R190" s="8"/>
      <c r="S190" s="9"/>
      <c r="T190" s="43">
        <f t="shared" si="132"/>
        <v>1</v>
      </c>
      <c r="U190" s="10">
        <f t="shared" si="133"/>
        <v>2</v>
      </c>
      <c r="V190" s="56">
        <v>45224</v>
      </c>
    </row>
    <row r="191" spans="1:22" x14ac:dyDescent="0.15">
      <c r="A191" s="22"/>
      <c r="B191" s="7"/>
      <c r="C191" s="8"/>
      <c r="D191" s="9"/>
      <c r="E191" s="43">
        <f t="shared" si="134"/>
        <v>0</v>
      </c>
      <c r="F191" s="11"/>
      <c r="G191" s="8"/>
      <c r="H191" s="9"/>
      <c r="I191" s="43">
        <f t="shared" si="135"/>
        <v>0</v>
      </c>
      <c r="J191" s="10">
        <f t="shared" si="136"/>
        <v>0</v>
      </c>
      <c r="L191" s="22" t="s">
        <v>40</v>
      </c>
      <c r="M191" s="7"/>
      <c r="N191" s="8"/>
      <c r="O191" s="9">
        <v>1</v>
      </c>
      <c r="P191" s="43">
        <f t="shared" si="131"/>
        <v>1</v>
      </c>
      <c r="Q191" s="11"/>
      <c r="R191" s="8"/>
      <c r="S191" s="9">
        <v>1</v>
      </c>
      <c r="T191" s="43">
        <f t="shared" si="132"/>
        <v>1</v>
      </c>
      <c r="U191" s="10">
        <f t="shared" si="133"/>
        <v>2</v>
      </c>
      <c r="V191" s="56">
        <v>45225</v>
      </c>
    </row>
    <row r="192" spans="1:22" x14ac:dyDescent="0.15">
      <c r="A192" s="22"/>
      <c r="B192" s="7"/>
      <c r="C192" s="8"/>
      <c r="D192" s="9"/>
      <c r="E192" s="43">
        <f t="shared" si="134"/>
        <v>0</v>
      </c>
      <c r="F192" s="11"/>
      <c r="G192" s="8"/>
      <c r="H192" s="9"/>
      <c r="I192" s="43">
        <f t="shared" si="135"/>
        <v>0</v>
      </c>
      <c r="J192" s="10">
        <f t="shared" si="136"/>
        <v>0</v>
      </c>
      <c r="L192" s="22" t="s">
        <v>188</v>
      </c>
      <c r="M192" s="7">
        <v>1</v>
      </c>
      <c r="N192" s="8">
        <v>1</v>
      </c>
      <c r="O192" s="9"/>
      <c r="P192" s="43">
        <f t="shared" si="131"/>
        <v>2</v>
      </c>
      <c r="Q192" s="11">
        <v>1</v>
      </c>
      <c r="R192" s="8">
        <v>1</v>
      </c>
      <c r="S192" s="9"/>
      <c r="T192" s="43">
        <f t="shared" si="132"/>
        <v>2</v>
      </c>
      <c r="U192" s="10">
        <f t="shared" si="133"/>
        <v>4</v>
      </c>
      <c r="V192" s="56">
        <v>45226</v>
      </c>
    </row>
    <row r="193" spans="1:23" x14ac:dyDescent="0.15">
      <c r="A193" s="22"/>
      <c r="B193" s="7"/>
      <c r="C193" s="8"/>
      <c r="D193" s="9"/>
      <c r="E193" s="43">
        <f t="shared" si="134"/>
        <v>0</v>
      </c>
      <c r="F193" s="11"/>
      <c r="G193" s="8"/>
      <c r="H193" s="9"/>
      <c r="I193" s="43">
        <f t="shared" si="135"/>
        <v>0</v>
      </c>
      <c r="J193" s="10">
        <f t="shared" si="136"/>
        <v>0</v>
      </c>
      <c r="L193" s="22" t="s">
        <v>190</v>
      </c>
      <c r="M193" s="7">
        <v>8</v>
      </c>
      <c r="N193" s="8">
        <v>11</v>
      </c>
      <c r="O193" s="9">
        <v>7</v>
      </c>
      <c r="P193" s="43">
        <f t="shared" si="131"/>
        <v>26</v>
      </c>
      <c r="Q193" s="11">
        <v>8</v>
      </c>
      <c r="R193" s="8">
        <v>11</v>
      </c>
      <c r="S193" s="9">
        <v>7</v>
      </c>
      <c r="T193" s="43">
        <f t="shared" si="132"/>
        <v>26</v>
      </c>
      <c r="U193" s="10">
        <f t="shared" si="133"/>
        <v>52</v>
      </c>
      <c r="V193" s="56">
        <v>45229</v>
      </c>
    </row>
    <row r="194" spans="1:23" x14ac:dyDescent="0.15">
      <c r="A194" s="22"/>
      <c r="B194" s="7"/>
      <c r="C194" s="8"/>
      <c r="D194" s="9"/>
      <c r="E194" s="43">
        <f t="shared" si="134"/>
        <v>0</v>
      </c>
      <c r="F194" s="11"/>
      <c r="G194" s="8"/>
      <c r="H194" s="9"/>
      <c r="I194" s="43">
        <f t="shared" si="135"/>
        <v>0</v>
      </c>
      <c r="J194" s="10">
        <f t="shared" si="136"/>
        <v>0</v>
      </c>
      <c r="L194" s="22" t="s">
        <v>192</v>
      </c>
      <c r="M194" s="7">
        <v>5</v>
      </c>
      <c r="N194" s="8">
        <v>7</v>
      </c>
      <c r="O194" s="9">
        <v>1</v>
      </c>
      <c r="P194" s="43">
        <f t="shared" si="131"/>
        <v>13</v>
      </c>
      <c r="Q194" s="11">
        <v>5</v>
      </c>
      <c r="R194" s="8">
        <v>7</v>
      </c>
      <c r="S194" s="9">
        <v>1</v>
      </c>
      <c r="T194" s="43">
        <f t="shared" si="132"/>
        <v>13</v>
      </c>
      <c r="U194" s="10">
        <f t="shared" si="133"/>
        <v>26</v>
      </c>
      <c r="V194" s="56">
        <v>45230</v>
      </c>
    </row>
    <row r="195" spans="1:23" x14ac:dyDescent="0.15">
      <c r="A195" s="22"/>
      <c r="B195" s="12"/>
      <c r="C195" s="13"/>
      <c r="D195" s="14"/>
      <c r="E195" s="43">
        <f t="shared" si="134"/>
        <v>0</v>
      </c>
      <c r="F195" s="15"/>
      <c r="G195" s="13"/>
      <c r="H195" s="14"/>
      <c r="I195" s="43">
        <f t="shared" si="135"/>
        <v>0</v>
      </c>
      <c r="J195" s="10">
        <f t="shared" si="136"/>
        <v>0</v>
      </c>
      <c r="L195" s="22" t="s">
        <v>194</v>
      </c>
      <c r="M195" s="7">
        <v>8</v>
      </c>
      <c r="N195" s="8">
        <v>7</v>
      </c>
      <c r="O195" s="9">
        <v>4</v>
      </c>
      <c r="P195" s="43">
        <f t="shared" si="131"/>
        <v>19</v>
      </c>
      <c r="Q195" s="11">
        <v>8</v>
      </c>
      <c r="R195" s="8">
        <v>7</v>
      </c>
      <c r="S195" s="9">
        <v>4</v>
      </c>
      <c r="T195" s="43">
        <f t="shared" si="132"/>
        <v>19</v>
      </c>
      <c r="U195" s="10">
        <f t="shared" si="133"/>
        <v>38</v>
      </c>
      <c r="V195" s="56">
        <v>45231</v>
      </c>
    </row>
    <row r="196" spans="1:23" x14ac:dyDescent="0.15">
      <c r="A196" s="22"/>
      <c r="B196" s="7"/>
      <c r="C196" s="8"/>
      <c r="D196" s="9"/>
      <c r="E196" s="43">
        <f t="shared" si="134"/>
        <v>0</v>
      </c>
      <c r="F196" s="11"/>
      <c r="G196" s="8"/>
      <c r="H196" s="9"/>
      <c r="I196" s="43">
        <f t="shared" si="135"/>
        <v>0</v>
      </c>
      <c r="J196" s="10">
        <f t="shared" si="136"/>
        <v>0</v>
      </c>
      <c r="L196" s="22" t="s">
        <v>196</v>
      </c>
      <c r="M196" s="7">
        <v>1</v>
      </c>
      <c r="N196" s="8">
        <v>1</v>
      </c>
      <c r="O196" s="9">
        <v>2</v>
      </c>
      <c r="P196" s="43">
        <f t="shared" si="131"/>
        <v>4</v>
      </c>
      <c r="Q196" s="11">
        <v>1</v>
      </c>
      <c r="R196" s="8">
        <v>1</v>
      </c>
      <c r="S196" s="9">
        <v>2</v>
      </c>
      <c r="T196" s="43">
        <f t="shared" si="132"/>
        <v>4</v>
      </c>
      <c r="U196" s="10">
        <f t="shared" si="133"/>
        <v>8</v>
      </c>
      <c r="V196" s="56">
        <v>45232</v>
      </c>
    </row>
    <row r="197" spans="1:23" x14ac:dyDescent="0.15">
      <c r="A197" s="22"/>
      <c r="B197" s="7"/>
      <c r="C197" s="8"/>
      <c r="D197" s="9"/>
      <c r="E197" s="43">
        <f t="shared" si="134"/>
        <v>0</v>
      </c>
      <c r="F197" s="11"/>
      <c r="G197" s="8"/>
      <c r="H197" s="9"/>
      <c r="I197" s="43">
        <f t="shared" si="135"/>
        <v>0</v>
      </c>
      <c r="J197" s="10">
        <f t="shared" si="136"/>
        <v>0</v>
      </c>
      <c r="L197" s="22" t="s">
        <v>199</v>
      </c>
      <c r="M197" s="7">
        <v>4</v>
      </c>
      <c r="N197" s="8"/>
      <c r="O197" s="9">
        <v>2</v>
      </c>
      <c r="P197" s="43">
        <f t="shared" si="131"/>
        <v>6</v>
      </c>
      <c r="Q197" s="11">
        <v>4</v>
      </c>
      <c r="R197" s="8"/>
      <c r="S197" s="9">
        <v>2</v>
      </c>
      <c r="T197" s="43">
        <f t="shared" si="132"/>
        <v>6</v>
      </c>
      <c r="U197" s="10">
        <f t="shared" si="133"/>
        <v>12</v>
      </c>
      <c r="V197" s="56">
        <v>45236</v>
      </c>
    </row>
    <row r="198" spans="1:23" x14ac:dyDescent="0.15">
      <c r="A198" s="22"/>
      <c r="B198" s="7"/>
      <c r="C198" s="8"/>
      <c r="D198" s="9"/>
      <c r="E198" s="43">
        <f t="shared" si="134"/>
        <v>0</v>
      </c>
      <c r="F198" s="11"/>
      <c r="G198" s="8"/>
      <c r="H198" s="9"/>
      <c r="I198" s="43">
        <f t="shared" si="135"/>
        <v>0</v>
      </c>
      <c r="J198" s="10">
        <f t="shared" si="136"/>
        <v>0</v>
      </c>
      <c r="L198" s="22" t="s">
        <v>201</v>
      </c>
      <c r="M198" s="7"/>
      <c r="N198" s="8">
        <v>1</v>
      </c>
      <c r="O198" s="9"/>
      <c r="P198" s="43">
        <f t="shared" si="131"/>
        <v>1</v>
      </c>
      <c r="Q198" s="11"/>
      <c r="R198" s="8">
        <v>1</v>
      </c>
      <c r="S198" s="9"/>
      <c r="T198" s="43">
        <f t="shared" si="132"/>
        <v>1</v>
      </c>
      <c r="U198" s="10">
        <f t="shared" si="133"/>
        <v>2</v>
      </c>
      <c r="V198" s="56">
        <v>45237</v>
      </c>
      <c r="W198" s="61"/>
    </row>
    <row r="199" spans="1:23" x14ac:dyDescent="0.15">
      <c r="A199" s="22"/>
      <c r="B199" s="7"/>
      <c r="C199" s="8"/>
      <c r="D199" s="9"/>
      <c r="E199" s="43">
        <f t="shared" si="134"/>
        <v>0</v>
      </c>
      <c r="F199" s="11"/>
      <c r="G199" s="8"/>
      <c r="H199" s="9"/>
      <c r="I199" s="43">
        <f t="shared" si="135"/>
        <v>0</v>
      </c>
      <c r="J199" s="10">
        <f t="shared" si="136"/>
        <v>0</v>
      </c>
      <c r="L199" s="22" t="s">
        <v>203</v>
      </c>
      <c r="M199" s="7"/>
      <c r="N199" s="8">
        <v>3</v>
      </c>
      <c r="O199" s="9"/>
      <c r="P199" s="43">
        <f t="shared" si="131"/>
        <v>3</v>
      </c>
      <c r="Q199" s="11"/>
      <c r="R199" s="8">
        <v>3</v>
      </c>
      <c r="S199" s="9"/>
      <c r="T199" s="43">
        <f t="shared" si="132"/>
        <v>3</v>
      </c>
      <c r="U199" s="10">
        <f t="shared" si="133"/>
        <v>6</v>
      </c>
      <c r="V199" s="56">
        <v>45238</v>
      </c>
    </row>
    <row r="200" spans="1:23" x14ac:dyDescent="0.15">
      <c r="A200" s="22"/>
      <c r="B200" s="7"/>
      <c r="C200" s="8"/>
      <c r="D200" s="9"/>
      <c r="E200" s="43">
        <f t="shared" si="134"/>
        <v>0</v>
      </c>
      <c r="F200" s="11"/>
      <c r="G200" s="8"/>
      <c r="H200" s="9"/>
      <c r="I200" s="43">
        <f t="shared" si="135"/>
        <v>0</v>
      </c>
      <c r="J200" s="10">
        <f t="shared" si="136"/>
        <v>0</v>
      </c>
      <c r="L200" s="22" t="s">
        <v>205</v>
      </c>
      <c r="M200" s="7"/>
      <c r="N200" s="8"/>
      <c r="O200" s="9">
        <v>2</v>
      </c>
      <c r="P200" s="43">
        <f t="shared" si="131"/>
        <v>2</v>
      </c>
      <c r="Q200" s="11"/>
      <c r="R200" s="8"/>
      <c r="S200" s="9">
        <v>2</v>
      </c>
      <c r="T200" s="43">
        <f t="shared" si="132"/>
        <v>2</v>
      </c>
      <c r="U200" s="10">
        <f t="shared" si="133"/>
        <v>4</v>
      </c>
      <c r="V200" s="56">
        <v>45239</v>
      </c>
    </row>
    <row r="201" spans="1:23" x14ac:dyDescent="0.15">
      <c r="A201" s="22"/>
      <c r="B201" s="7"/>
      <c r="C201" s="8"/>
      <c r="D201" s="9"/>
      <c r="E201" s="43">
        <f t="shared" si="134"/>
        <v>0</v>
      </c>
      <c r="F201" s="11"/>
      <c r="G201" s="8"/>
      <c r="H201" s="9"/>
      <c r="I201" s="43">
        <f t="shared" si="135"/>
        <v>0</v>
      </c>
      <c r="J201" s="10">
        <f t="shared" si="136"/>
        <v>0</v>
      </c>
      <c r="L201" s="22" t="s">
        <v>207</v>
      </c>
      <c r="M201" s="7"/>
      <c r="N201" s="8">
        <v>1</v>
      </c>
      <c r="O201" s="9">
        <v>1</v>
      </c>
      <c r="P201" s="43">
        <f t="shared" si="131"/>
        <v>2</v>
      </c>
      <c r="Q201" s="11"/>
      <c r="R201" s="8">
        <v>1</v>
      </c>
      <c r="S201" s="9">
        <v>1</v>
      </c>
      <c r="T201" s="43">
        <f t="shared" si="132"/>
        <v>2</v>
      </c>
      <c r="U201" s="10">
        <f t="shared" si="133"/>
        <v>4</v>
      </c>
      <c r="V201" s="56">
        <v>45240</v>
      </c>
    </row>
    <row r="202" spans="1:23" x14ac:dyDescent="0.15">
      <c r="A202" s="24"/>
      <c r="B202" s="7"/>
      <c r="C202" s="8"/>
      <c r="D202" s="9"/>
      <c r="E202" s="43">
        <f t="shared" si="134"/>
        <v>0</v>
      </c>
      <c r="F202" s="11"/>
      <c r="G202" s="8"/>
      <c r="H202" s="9"/>
      <c r="I202" s="43">
        <f t="shared" si="135"/>
        <v>0</v>
      </c>
      <c r="J202" s="10">
        <f t="shared" si="136"/>
        <v>0</v>
      </c>
      <c r="L202" s="22" t="s">
        <v>209</v>
      </c>
      <c r="M202" s="7">
        <v>7</v>
      </c>
      <c r="N202" s="8">
        <v>9</v>
      </c>
      <c r="O202" s="9"/>
      <c r="P202" s="43">
        <f t="shared" si="131"/>
        <v>16</v>
      </c>
      <c r="Q202" s="11">
        <v>7</v>
      </c>
      <c r="R202" s="8">
        <v>9</v>
      </c>
      <c r="S202" s="9"/>
      <c r="T202" s="43">
        <f t="shared" si="132"/>
        <v>16</v>
      </c>
      <c r="U202" s="10">
        <f t="shared" si="133"/>
        <v>32</v>
      </c>
      <c r="V202" s="56">
        <v>45244</v>
      </c>
    </row>
    <row r="203" spans="1:23" x14ac:dyDescent="0.15">
      <c r="A203" s="22"/>
      <c r="B203" s="7"/>
      <c r="C203" s="8"/>
      <c r="D203" s="9"/>
      <c r="E203" s="43">
        <f t="shared" si="134"/>
        <v>0</v>
      </c>
      <c r="F203" s="11"/>
      <c r="G203" s="8"/>
      <c r="H203" s="9"/>
      <c r="I203" s="43">
        <f t="shared" si="135"/>
        <v>0</v>
      </c>
      <c r="J203" s="10">
        <f t="shared" si="136"/>
        <v>0</v>
      </c>
      <c r="L203" s="24" t="s">
        <v>211</v>
      </c>
      <c r="M203" s="7">
        <v>10</v>
      </c>
      <c r="N203" s="8">
        <v>15</v>
      </c>
      <c r="O203" s="9"/>
      <c r="P203" s="43">
        <f t="shared" si="131"/>
        <v>25</v>
      </c>
      <c r="Q203" s="11">
        <v>10</v>
      </c>
      <c r="R203" s="8">
        <v>15</v>
      </c>
      <c r="S203" s="9"/>
      <c r="T203" s="43">
        <f t="shared" si="132"/>
        <v>25</v>
      </c>
      <c r="U203" s="10">
        <f t="shared" si="133"/>
        <v>50</v>
      </c>
      <c r="V203" s="56">
        <v>45244</v>
      </c>
      <c r="W203" s="61"/>
    </row>
    <row r="204" spans="1:23" x14ac:dyDescent="0.15">
      <c r="A204" s="22"/>
      <c r="B204" s="7"/>
      <c r="C204" s="8"/>
      <c r="D204" s="9"/>
      <c r="E204" s="43">
        <f t="shared" si="134"/>
        <v>0</v>
      </c>
      <c r="F204" s="11"/>
      <c r="G204" s="8"/>
      <c r="H204" s="9"/>
      <c r="I204" s="43">
        <f t="shared" si="135"/>
        <v>0</v>
      </c>
      <c r="J204" s="10">
        <f t="shared" si="136"/>
        <v>0</v>
      </c>
      <c r="L204" s="22" t="s">
        <v>212</v>
      </c>
      <c r="M204" s="7"/>
      <c r="N204" s="8"/>
      <c r="O204" s="9">
        <v>14</v>
      </c>
      <c r="P204" s="43">
        <f t="shared" si="131"/>
        <v>14</v>
      </c>
      <c r="Q204" s="11"/>
      <c r="R204" s="8"/>
      <c r="S204" s="9">
        <v>14</v>
      </c>
      <c r="T204" s="43">
        <f t="shared" si="132"/>
        <v>14</v>
      </c>
      <c r="U204" s="10">
        <f t="shared" si="133"/>
        <v>28</v>
      </c>
      <c r="V204" s="56">
        <v>45245</v>
      </c>
    </row>
    <row r="205" spans="1:23" x14ac:dyDescent="0.15">
      <c r="A205" s="22"/>
      <c r="B205" s="7"/>
      <c r="C205" s="8"/>
      <c r="D205" s="9"/>
      <c r="E205" s="43">
        <f t="shared" si="134"/>
        <v>0</v>
      </c>
      <c r="F205" s="11"/>
      <c r="G205" s="8"/>
      <c r="H205" s="9"/>
      <c r="I205" s="43">
        <f t="shared" si="135"/>
        <v>0</v>
      </c>
      <c r="J205" s="10">
        <f t="shared" si="136"/>
        <v>0</v>
      </c>
      <c r="L205" s="24" t="s">
        <v>214</v>
      </c>
      <c r="M205" s="7">
        <v>10</v>
      </c>
      <c r="N205" s="8">
        <v>10</v>
      </c>
      <c r="O205" s="9">
        <v>7</v>
      </c>
      <c r="P205" s="43">
        <f t="shared" si="131"/>
        <v>27</v>
      </c>
      <c r="Q205" s="11">
        <v>10</v>
      </c>
      <c r="R205" s="8">
        <v>10</v>
      </c>
      <c r="S205" s="9">
        <v>7</v>
      </c>
      <c r="T205" s="43">
        <f t="shared" si="132"/>
        <v>27</v>
      </c>
      <c r="U205" s="10">
        <f t="shared" si="133"/>
        <v>54</v>
      </c>
      <c r="V205" s="56">
        <v>45246</v>
      </c>
      <c r="W205" s="61"/>
    </row>
    <row r="206" spans="1:23" x14ac:dyDescent="0.15">
      <c r="A206" s="22"/>
      <c r="B206" s="7"/>
      <c r="C206" s="8"/>
      <c r="D206" s="9"/>
      <c r="E206" s="43">
        <f t="shared" si="134"/>
        <v>0</v>
      </c>
      <c r="F206" s="11"/>
      <c r="G206" s="8"/>
      <c r="H206" s="9"/>
      <c r="I206" s="43">
        <f t="shared" si="135"/>
        <v>0</v>
      </c>
      <c r="J206" s="10">
        <f t="shared" si="136"/>
        <v>0</v>
      </c>
      <c r="L206" s="22" t="s">
        <v>215</v>
      </c>
      <c r="M206" s="7">
        <v>3</v>
      </c>
      <c r="N206" s="8">
        <v>1</v>
      </c>
      <c r="O206" s="9">
        <v>3</v>
      </c>
      <c r="P206" s="43">
        <f t="shared" si="131"/>
        <v>7</v>
      </c>
      <c r="Q206" s="11">
        <v>3</v>
      </c>
      <c r="R206" s="8">
        <v>1</v>
      </c>
      <c r="S206" s="9">
        <v>3</v>
      </c>
      <c r="T206" s="43">
        <f t="shared" si="132"/>
        <v>7</v>
      </c>
      <c r="U206" s="10">
        <f t="shared" si="133"/>
        <v>14</v>
      </c>
      <c r="V206" s="56">
        <v>45247</v>
      </c>
    </row>
    <row r="207" spans="1:23" x14ac:dyDescent="0.15">
      <c r="A207" s="63"/>
      <c r="B207" s="12"/>
      <c r="C207" s="13"/>
      <c r="D207" s="14"/>
      <c r="E207" s="43">
        <f t="shared" si="134"/>
        <v>0</v>
      </c>
      <c r="F207" s="15"/>
      <c r="G207" s="13"/>
      <c r="H207" s="14"/>
      <c r="I207" s="43">
        <f t="shared" si="135"/>
        <v>0</v>
      </c>
      <c r="J207" s="10">
        <f t="shared" si="136"/>
        <v>0</v>
      </c>
      <c r="L207" s="22" t="s">
        <v>216</v>
      </c>
      <c r="M207" s="7">
        <v>8</v>
      </c>
      <c r="N207" s="8">
        <v>5</v>
      </c>
      <c r="O207" s="9">
        <v>5</v>
      </c>
      <c r="P207" s="43">
        <f t="shared" si="131"/>
        <v>18</v>
      </c>
      <c r="Q207" s="11">
        <v>8</v>
      </c>
      <c r="R207" s="8">
        <v>5</v>
      </c>
      <c r="S207" s="9">
        <v>5</v>
      </c>
      <c r="T207" s="43">
        <f t="shared" si="132"/>
        <v>18</v>
      </c>
      <c r="U207" s="10">
        <f t="shared" si="133"/>
        <v>36</v>
      </c>
      <c r="V207" s="56">
        <v>45250</v>
      </c>
    </row>
    <row r="208" spans="1:23" x14ac:dyDescent="0.15">
      <c r="A208" s="22"/>
      <c r="B208" s="7"/>
      <c r="C208" s="8"/>
      <c r="D208" s="9"/>
      <c r="E208" s="43">
        <f t="shared" si="134"/>
        <v>0</v>
      </c>
      <c r="F208" s="11"/>
      <c r="G208" s="8"/>
      <c r="H208" s="9"/>
      <c r="I208" s="43">
        <f t="shared" si="135"/>
        <v>0</v>
      </c>
      <c r="J208" s="10">
        <f t="shared" si="136"/>
        <v>0</v>
      </c>
      <c r="L208" s="24"/>
      <c r="M208" s="7"/>
      <c r="N208" s="8"/>
      <c r="O208" s="9"/>
      <c r="P208" s="43">
        <f t="shared" si="131"/>
        <v>0</v>
      </c>
      <c r="Q208" s="11"/>
      <c r="R208" s="8"/>
      <c r="S208" s="9"/>
      <c r="T208" s="43">
        <f t="shared" si="132"/>
        <v>0</v>
      </c>
      <c r="U208" s="10">
        <f t="shared" si="133"/>
        <v>0</v>
      </c>
      <c r="V208" s="61"/>
    </row>
    <row r="209" spans="1:22" x14ac:dyDescent="0.15">
      <c r="A209" s="63"/>
      <c r="B209" s="7"/>
      <c r="C209" s="8"/>
      <c r="D209" s="9"/>
      <c r="E209" s="43">
        <f t="shared" si="134"/>
        <v>0</v>
      </c>
      <c r="F209" s="11"/>
      <c r="G209" s="8"/>
      <c r="H209" s="9"/>
      <c r="I209" s="43">
        <f t="shared" si="135"/>
        <v>0</v>
      </c>
      <c r="J209" s="10">
        <f t="shared" si="136"/>
        <v>0</v>
      </c>
      <c r="L209" s="24" t="s">
        <v>169</v>
      </c>
      <c r="M209" s="7"/>
      <c r="N209" s="8"/>
      <c r="O209" s="9"/>
      <c r="P209" s="43">
        <f t="shared" si="131"/>
        <v>0</v>
      </c>
      <c r="Q209" s="11"/>
      <c r="R209" s="8"/>
      <c r="S209" s="9"/>
      <c r="T209" s="43">
        <f t="shared" si="132"/>
        <v>0</v>
      </c>
      <c r="U209" s="10">
        <f t="shared" si="133"/>
        <v>0</v>
      </c>
      <c r="V209" s="61" t="s">
        <v>168</v>
      </c>
    </row>
    <row r="210" spans="1:22" x14ac:dyDescent="0.15">
      <c r="A210" s="22"/>
      <c r="B210" s="7"/>
      <c r="C210" s="8"/>
      <c r="D210" s="9"/>
      <c r="E210" s="43">
        <f t="shared" si="134"/>
        <v>0</v>
      </c>
      <c r="F210" s="11"/>
      <c r="G210" s="8"/>
      <c r="H210" s="9"/>
      <c r="I210" s="43">
        <f t="shared" si="135"/>
        <v>0</v>
      </c>
      <c r="J210" s="10">
        <f t="shared" si="136"/>
        <v>0</v>
      </c>
      <c r="L210" s="24" t="s">
        <v>174</v>
      </c>
      <c r="M210" s="7"/>
      <c r="N210" s="8"/>
      <c r="O210" s="9"/>
      <c r="P210" s="43">
        <f t="shared" si="131"/>
        <v>0</v>
      </c>
      <c r="Q210" s="11"/>
      <c r="R210" s="8"/>
      <c r="S210" s="9"/>
      <c r="T210" s="43">
        <f t="shared" si="132"/>
        <v>0</v>
      </c>
      <c r="U210" s="10">
        <f t="shared" si="133"/>
        <v>0</v>
      </c>
      <c r="V210" s="61" t="s">
        <v>175</v>
      </c>
    </row>
    <row r="211" spans="1:22" ht="14.25" thickBot="1" x14ac:dyDescent="0.2">
      <c r="A211" s="60"/>
      <c r="B211" s="12"/>
      <c r="C211" s="13"/>
      <c r="D211" s="14"/>
      <c r="E211" s="43">
        <f>SUM(B211:D211)</f>
        <v>0</v>
      </c>
      <c r="F211" s="15"/>
      <c r="G211" s="13"/>
      <c r="H211" s="14"/>
      <c r="I211" s="43">
        <f>SUM(F211:H211)</f>
        <v>0</v>
      </c>
      <c r="J211" s="10">
        <f>E211+I211</f>
        <v>0</v>
      </c>
      <c r="L211" s="24" t="s">
        <v>170</v>
      </c>
      <c r="M211" s="7"/>
      <c r="N211" s="8"/>
      <c r="O211" s="9"/>
      <c r="P211" s="43">
        <f t="shared" si="131"/>
        <v>0</v>
      </c>
      <c r="Q211" s="11"/>
      <c r="R211" s="8"/>
      <c r="S211" s="9"/>
      <c r="T211" s="43">
        <f t="shared" si="132"/>
        <v>0</v>
      </c>
      <c r="U211" s="10">
        <f t="shared" si="133"/>
        <v>0</v>
      </c>
      <c r="V211" s="61" t="s">
        <v>171</v>
      </c>
    </row>
    <row r="212" spans="1:22" ht="14.25" thickBot="1" x14ac:dyDescent="0.2">
      <c r="A212" s="35" t="s">
        <v>17</v>
      </c>
      <c r="B212" s="40">
        <f>SUM(B186:B211)</f>
        <v>0</v>
      </c>
      <c r="C212" s="41">
        <f t="shared" ref="C212:D212" si="137">SUM(C186:C211)</f>
        <v>0</v>
      </c>
      <c r="D212" s="52">
        <f t="shared" si="137"/>
        <v>1</v>
      </c>
      <c r="E212" s="39">
        <f t="shared" ref="E212" si="138">SUM(B212:D212)</f>
        <v>1</v>
      </c>
      <c r="F212" s="40">
        <f>SUM(F186:F211)</f>
        <v>0</v>
      </c>
      <c r="G212" s="41">
        <f t="shared" ref="G212:H212" si="139">SUM(G186:G211)</f>
        <v>0</v>
      </c>
      <c r="H212" s="52">
        <f t="shared" si="139"/>
        <v>1</v>
      </c>
      <c r="I212" s="39">
        <f t="shared" ref="I212" si="140">SUM(F212:H212)</f>
        <v>1</v>
      </c>
      <c r="J212" s="39">
        <f>E212+I212</f>
        <v>2</v>
      </c>
      <c r="L212" s="35" t="s">
        <v>17</v>
      </c>
      <c r="M212" s="40">
        <f>SUM(M186:M211)</f>
        <v>121</v>
      </c>
      <c r="N212" s="41">
        <f t="shared" ref="N212:O212" si="141">SUM(N186:N211)</f>
        <v>137</v>
      </c>
      <c r="O212" s="52">
        <f t="shared" si="141"/>
        <v>84</v>
      </c>
      <c r="P212" s="39">
        <f t="shared" si="131"/>
        <v>342</v>
      </c>
      <c r="Q212" s="40">
        <f>SUM(Q186:Q211)</f>
        <v>121</v>
      </c>
      <c r="R212" s="41">
        <f t="shared" ref="R212:S212" si="142">SUM(R186:R211)</f>
        <v>137</v>
      </c>
      <c r="S212" s="52">
        <f t="shared" si="142"/>
        <v>84</v>
      </c>
      <c r="T212" s="39">
        <f t="shared" si="132"/>
        <v>342</v>
      </c>
      <c r="U212" s="39">
        <f>P212+T212</f>
        <v>684</v>
      </c>
    </row>
    <row r="213" spans="1:22" ht="14.25" thickBot="1" x14ac:dyDescent="0.2">
      <c r="A213" s="21" t="s">
        <v>16</v>
      </c>
      <c r="B213" s="44">
        <f>B185-B212</f>
        <v>6</v>
      </c>
      <c r="C213" s="50">
        <f t="shared" ref="C213:D213" si="143">C185-C212</f>
        <v>7</v>
      </c>
      <c r="D213" s="51">
        <f t="shared" si="143"/>
        <v>3</v>
      </c>
      <c r="E213" s="49">
        <f>SUM(B213:D213)</f>
        <v>16</v>
      </c>
      <c r="F213" s="44">
        <f>F185-F212</f>
        <v>6</v>
      </c>
      <c r="G213" s="50">
        <f t="shared" ref="G213:H213" si="144">G185-G212</f>
        <v>7</v>
      </c>
      <c r="H213" s="51">
        <f t="shared" si="144"/>
        <v>3</v>
      </c>
      <c r="I213" s="49">
        <f>SUM(F213:H213)</f>
        <v>16</v>
      </c>
      <c r="J213" s="28">
        <f>E213+I213</f>
        <v>32</v>
      </c>
      <c r="L213" s="21" t="s">
        <v>16</v>
      </c>
      <c r="M213" s="44">
        <f>M185-M212</f>
        <v>181</v>
      </c>
      <c r="N213" s="50">
        <f t="shared" ref="N213:O213" si="145">N185-N212</f>
        <v>182</v>
      </c>
      <c r="O213" s="51">
        <f t="shared" si="145"/>
        <v>109</v>
      </c>
      <c r="P213" s="49">
        <f>SUM(M213:O213)</f>
        <v>472</v>
      </c>
      <c r="Q213" s="44">
        <f>Q185-Q212</f>
        <v>181</v>
      </c>
      <c r="R213" s="50">
        <f t="shared" ref="R213:S213" si="146">R185-R212</f>
        <v>182</v>
      </c>
      <c r="S213" s="51">
        <f t="shared" si="146"/>
        <v>109</v>
      </c>
      <c r="T213" s="49">
        <f>SUM(Q213:S213)</f>
        <v>472</v>
      </c>
      <c r="U213" s="28">
        <f>P213+T213</f>
        <v>944</v>
      </c>
    </row>
    <row r="214" spans="1:22" x14ac:dyDescent="0.15">
      <c r="M214" s="88"/>
      <c r="N214" s="88"/>
      <c r="O214" s="88"/>
      <c r="P214" s="88"/>
    </row>
    <row r="215" spans="1:22" x14ac:dyDescent="0.15">
      <c r="M215" s="97"/>
      <c r="N215" s="97"/>
      <c r="O215" s="97"/>
      <c r="P215" s="98"/>
    </row>
    <row r="216" spans="1:22" ht="19.5" thickBot="1" x14ac:dyDescent="0.25">
      <c r="A216" s="84" t="s">
        <v>29</v>
      </c>
      <c r="B216" s="85"/>
      <c r="C216" s="85"/>
      <c r="D216" s="85"/>
      <c r="E216" s="85"/>
      <c r="F216" s="85"/>
      <c r="G216" s="85"/>
      <c r="H216" s="85"/>
      <c r="I216" s="85"/>
      <c r="J216" s="85"/>
      <c r="L216" s="86" t="s">
        <v>30</v>
      </c>
      <c r="M216" s="87"/>
      <c r="N216" s="87"/>
      <c r="O216" s="87"/>
      <c r="P216" s="87"/>
      <c r="Q216" s="87"/>
      <c r="R216" s="87"/>
      <c r="S216" s="87"/>
      <c r="T216" s="87"/>
      <c r="U216" s="87"/>
    </row>
    <row r="217" spans="1:22" ht="14.25" thickBot="1" x14ac:dyDescent="0.2">
      <c r="A217" s="6"/>
      <c r="B217" s="146" t="s">
        <v>18</v>
      </c>
      <c r="C217" s="147"/>
      <c r="D217" s="147"/>
      <c r="E217" s="148"/>
      <c r="F217" s="146" t="s">
        <v>22</v>
      </c>
      <c r="G217" s="147"/>
      <c r="H217" s="147"/>
      <c r="I217" s="148"/>
      <c r="J217" s="101" t="s">
        <v>0</v>
      </c>
      <c r="L217" s="6"/>
      <c r="M217" s="146" t="s">
        <v>18</v>
      </c>
      <c r="N217" s="147"/>
      <c r="O217" s="147"/>
      <c r="P217" s="148"/>
      <c r="Q217" s="146" t="s">
        <v>22</v>
      </c>
      <c r="R217" s="147"/>
      <c r="S217" s="147"/>
      <c r="T217" s="148"/>
      <c r="U217" s="101" t="s">
        <v>0</v>
      </c>
    </row>
    <row r="218" spans="1:22" ht="14.25" thickBot="1" x14ac:dyDescent="0.2">
      <c r="A218" s="6" t="s">
        <v>1</v>
      </c>
      <c r="B218" s="3" t="s">
        <v>2</v>
      </c>
      <c r="C218" s="4" t="s">
        <v>3</v>
      </c>
      <c r="D218" s="5" t="s">
        <v>4</v>
      </c>
      <c r="E218" s="6" t="s">
        <v>5</v>
      </c>
      <c r="F218" s="3" t="s">
        <v>2</v>
      </c>
      <c r="G218" s="4" t="s">
        <v>3</v>
      </c>
      <c r="H218" s="5" t="s">
        <v>4</v>
      </c>
      <c r="I218" s="6" t="s">
        <v>5</v>
      </c>
      <c r="J218" s="102"/>
      <c r="L218" s="6" t="s">
        <v>1</v>
      </c>
      <c r="M218" s="3" t="s">
        <v>2</v>
      </c>
      <c r="N218" s="4" t="s">
        <v>3</v>
      </c>
      <c r="O218" s="5" t="s">
        <v>4</v>
      </c>
      <c r="P218" s="6" t="s">
        <v>5</v>
      </c>
      <c r="Q218" s="3" t="s">
        <v>2</v>
      </c>
      <c r="R218" s="4" t="s">
        <v>3</v>
      </c>
      <c r="S218" s="5" t="s">
        <v>4</v>
      </c>
      <c r="T218" s="6" t="s">
        <v>5</v>
      </c>
      <c r="U218" s="102"/>
    </row>
    <row r="219" spans="1:22" ht="14.25" thickBot="1" x14ac:dyDescent="0.2">
      <c r="A219" s="62" t="s">
        <v>16</v>
      </c>
      <c r="B219" s="40">
        <f>B213</f>
        <v>6</v>
      </c>
      <c r="C219" s="41">
        <f>C213</f>
        <v>7</v>
      </c>
      <c r="D219" s="81">
        <f>D213</f>
        <v>3</v>
      </c>
      <c r="E219" s="39">
        <f>SUM(B219:D219)</f>
        <v>16</v>
      </c>
      <c r="F219" s="40">
        <f>F213</f>
        <v>6</v>
      </c>
      <c r="G219" s="41">
        <f>G213</f>
        <v>7</v>
      </c>
      <c r="H219" s="81">
        <f>H213</f>
        <v>3</v>
      </c>
      <c r="I219" s="39">
        <f>SUM(F219:H219)</f>
        <v>16</v>
      </c>
      <c r="J219" s="39">
        <f>E219+I219</f>
        <v>32</v>
      </c>
      <c r="L219" s="66" t="s">
        <v>6</v>
      </c>
      <c r="M219" s="25">
        <f>M213</f>
        <v>181</v>
      </c>
      <c r="N219" s="26">
        <f>N213</f>
        <v>182</v>
      </c>
      <c r="O219" s="27">
        <f>O213</f>
        <v>109</v>
      </c>
      <c r="P219" s="28">
        <f>SUM(M219:O219)</f>
        <v>472</v>
      </c>
      <c r="Q219" s="25">
        <f>Q213</f>
        <v>181</v>
      </c>
      <c r="R219" s="26">
        <f>R213</f>
        <v>182</v>
      </c>
      <c r="S219" s="27">
        <f>S213</f>
        <v>109</v>
      </c>
      <c r="T219" s="28">
        <f>SUM(Q219:S219)</f>
        <v>472</v>
      </c>
      <c r="U219" s="28">
        <f>P219+T219</f>
        <v>944</v>
      </c>
    </row>
    <row r="220" spans="1:22" x14ac:dyDescent="0.15">
      <c r="A220" s="23" t="s">
        <v>7</v>
      </c>
      <c r="B220" s="16"/>
      <c r="C220" s="17"/>
      <c r="D220" s="45"/>
      <c r="E220" s="43">
        <f>SUM(B220:D220)</f>
        <v>0</v>
      </c>
      <c r="F220" s="19"/>
      <c r="G220" s="17"/>
      <c r="H220" s="18"/>
      <c r="I220" s="43">
        <f>SUM(F220:H220)</f>
        <v>0</v>
      </c>
      <c r="J220" s="43">
        <f>E220+I220</f>
        <v>0</v>
      </c>
      <c r="L220" s="23" t="s">
        <v>7</v>
      </c>
      <c r="M220" s="16"/>
      <c r="N220" s="17"/>
      <c r="O220" s="45"/>
      <c r="P220" s="43">
        <f t="shared" ref="P220:P227" si="147">SUM(M220:O220)</f>
        <v>0</v>
      </c>
      <c r="Q220" s="19"/>
      <c r="R220" s="17"/>
      <c r="S220" s="18"/>
      <c r="T220" s="43">
        <f t="shared" ref="T220:T227" si="148">SUM(Q220:S220)</f>
        <v>0</v>
      </c>
      <c r="U220" s="43">
        <f t="shared" ref="U220:U227" si="149">P220+T220</f>
        <v>0</v>
      </c>
    </row>
    <row r="221" spans="1:22" x14ac:dyDescent="0.15">
      <c r="A221" s="23" t="s">
        <v>8</v>
      </c>
      <c r="B221" s="7"/>
      <c r="C221" s="8"/>
      <c r="D221" s="46"/>
      <c r="E221" s="10">
        <f t="shared" ref="E221:E227" si="150">SUM(B221:D221)</f>
        <v>0</v>
      </c>
      <c r="F221" s="11"/>
      <c r="G221" s="8"/>
      <c r="H221" s="9"/>
      <c r="I221" s="10">
        <f t="shared" ref="I221:I227" si="151">SUM(F221:H221)</f>
        <v>0</v>
      </c>
      <c r="J221" s="10">
        <f t="shared" ref="J221:J227" si="152">E221+I221</f>
        <v>0</v>
      </c>
      <c r="L221" s="23" t="s">
        <v>8</v>
      </c>
      <c r="M221" s="16"/>
      <c r="N221" s="17"/>
      <c r="O221" s="45"/>
      <c r="P221" s="10">
        <f t="shared" si="147"/>
        <v>0</v>
      </c>
      <c r="Q221" s="19"/>
      <c r="R221" s="17"/>
      <c r="S221" s="18"/>
      <c r="T221" s="10">
        <f t="shared" si="148"/>
        <v>0</v>
      </c>
      <c r="U221" s="10">
        <f t="shared" si="149"/>
        <v>0</v>
      </c>
    </row>
    <row r="222" spans="1:22" x14ac:dyDescent="0.15">
      <c r="A222" s="23" t="s">
        <v>9</v>
      </c>
      <c r="B222" s="7"/>
      <c r="C222" s="8"/>
      <c r="D222" s="46"/>
      <c r="E222" s="10">
        <f t="shared" si="150"/>
        <v>0</v>
      </c>
      <c r="F222" s="11"/>
      <c r="G222" s="8"/>
      <c r="H222" s="9"/>
      <c r="I222" s="10">
        <f t="shared" si="151"/>
        <v>0</v>
      </c>
      <c r="J222" s="10">
        <f t="shared" si="152"/>
        <v>0</v>
      </c>
      <c r="L222" s="23" t="s">
        <v>9</v>
      </c>
      <c r="M222" s="7"/>
      <c r="N222" s="8"/>
      <c r="O222" s="46"/>
      <c r="P222" s="10">
        <f t="shared" ref="P222" si="153">SUM(M222:O222)</f>
        <v>0</v>
      </c>
      <c r="Q222" s="11"/>
      <c r="R222" s="8"/>
      <c r="S222" s="9"/>
      <c r="T222" s="10">
        <f t="shared" ref="T222" si="154">SUM(Q222:S222)</f>
        <v>0</v>
      </c>
      <c r="U222" s="10">
        <f t="shared" ref="U222" si="155">P222+T222</f>
        <v>0</v>
      </c>
    </row>
    <row r="223" spans="1:22" x14ac:dyDescent="0.15">
      <c r="A223" s="23" t="s">
        <v>10</v>
      </c>
      <c r="B223" s="7"/>
      <c r="C223" s="8"/>
      <c r="D223" s="46"/>
      <c r="E223" s="10">
        <f t="shared" si="150"/>
        <v>0</v>
      </c>
      <c r="F223" s="11"/>
      <c r="G223" s="8"/>
      <c r="H223" s="9"/>
      <c r="I223" s="10">
        <f t="shared" si="151"/>
        <v>0</v>
      </c>
      <c r="J223" s="10">
        <f t="shared" si="152"/>
        <v>0</v>
      </c>
      <c r="L223" s="23" t="s">
        <v>10</v>
      </c>
      <c r="M223" s="7"/>
      <c r="N223" s="8"/>
      <c r="O223" s="46"/>
      <c r="P223" s="10">
        <f t="shared" si="147"/>
        <v>0</v>
      </c>
      <c r="Q223" s="11"/>
      <c r="R223" s="8"/>
      <c r="S223" s="9"/>
      <c r="T223" s="10">
        <f t="shared" si="148"/>
        <v>0</v>
      </c>
      <c r="U223" s="10">
        <f t="shared" si="149"/>
        <v>0</v>
      </c>
    </row>
    <row r="224" spans="1:22" x14ac:dyDescent="0.15">
      <c r="A224" s="23" t="s">
        <v>11</v>
      </c>
      <c r="B224" s="7"/>
      <c r="C224" s="8"/>
      <c r="D224" s="46"/>
      <c r="E224" s="10">
        <f t="shared" si="150"/>
        <v>0</v>
      </c>
      <c r="F224" s="11"/>
      <c r="G224" s="8"/>
      <c r="H224" s="9"/>
      <c r="I224" s="10">
        <f t="shared" si="151"/>
        <v>0</v>
      </c>
      <c r="J224" s="10">
        <f t="shared" si="152"/>
        <v>0</v>
      </c>
      <c r="L224" s="23" t="s">
        <v>11</v>
      </c>
      <c r="M224" s="7"/>
      <c r="N224" s="8"/>
      <c r="O224" s="46"/>
      <c r="P224" s="10">
        <f t="shared" si="147"/>
        <v>0</v>
      </c>
      <c r="Q224" s="11"/>
      <c r="R224" s="8"/>
      <c r="S224" s="9"/>
      <c r="T224" s="10">
        <f t="shared" si="148"/>
        <v>0</v>
      </c>
      <c r="U224" s="10">
        <f t="shared" si="149"/>
        <v>0</v>
      </c>
    </row>
    <row r="225" spans="1:23" x14ac:dyDescent="0.15">
      <c r="A225" s="23" t="s">
        <v>12</v>
      </c>
      <c r="B225" s="7"/>
      <c r="C225" s="8"/>
      <c r="D225" s="46"/>
      <c r="E225" s="10">
        <f t="shared" si="150"/>
        <v>0</v>
      </c>
      <c r="F225" s="11"/>
      <c r="G225" s="8"/>
      <c r="H225" s="9"/>
      <c r="I225" s="10">
        <f t="shared" si="151"/>
        <v>0</v>
      </c>
      <c r="J225" s="10">
        <f t="shared" si="152"/>
        <v>0</v>
      </c>
      <c r="L225" s="23" t="s">
        <v>12</v>
      </c>
      <c r="M225" s="7"/>
      <c r="N225" s="8"/>
      <c r="O225" s="46"/>
      <c r="P225" s="10">
        <f t="shared" ref="P225:P226" si="156">SUM(M225:O225)</f>
        <v>0</v>
      </c>
      <c r="Q225" s="11"/>
      <c r="R225" s="8"/>
      <c r="S225" s="9"/>
      <c r="T225" s="10">
        <f t="shared" ref="T225:T226" si="157">SUM(Q225:S225)</f>
        <v>0</v>
      </c>
      <c r="U225" s="10">
        <f t="shared" ref="U225:U226" si="158">P225+T225</f>
        <v>0</v>
      </c>
    </row>
    <row r="226" spans="1:23" x14ac:dyDescent="0.15">
      <c r="A226" s="23" t="s">
        <v>13</v>
      </c>
      <c r="B226" s="12"/>
      <c r="C226" s="13"/>
      <c r="D226" s="47"/>
      <c r="E226" s="10">
        <f t="shared" si="150"/>
        <v>0</v>
      </c>
      <c r="F226" s="15"/>
      <c r="G226" s="13"/>
      <c r="H226" s="14"/>
      <c r="I226" s="10">
        <f t="shared" si="151"/>
        <v>0</v>
      </c>
      <c r="J226" s="10">
        <f t="shared" si="152"/>
        <v>0</v>
      </c>
      <c r="L226" s="23" t="s">
        <v>13</v>
      </c>
      <c r="M226" s="7"/>
      <c r="N226" s="8"/>
      <c r="O226" s="46"/>
      <c r="P226" s="10">
        <f t="shared" si="156"/>
        <v>0</v>
      </c>
      <c r="Q226" s="11"/>
      <c r="R226" s="8"/>
      <c r="S226" s="9"/>
      <c r="T226" s="10">
        <f t="shared" si="157"/>
        <v>0</v>
      </c>
      <c r="U226" s="10">
        <f t="shared" si="158"/>
        <v>0</v>
      </c>
    </row>
    <row r="227" spans="1:23" ht="14.25" thickBot="1" x14ac:dyDescent="0.2">
      <c r="A227" s="23" t="s">
        <v>14</v>
      </c>
      <c r="B227" s="29"/>
      <c r="C227" s="30"/>
      <c r="D227" s="48"/>
      <c r="E227" s="55">
        <f t="shared" si="150"/>
        <v>0</v>
      </c>
      <c r="F227" s="31"/>
      <c r="G227" s="31"/>
      <c r="H227" s="33"/>
      <c r="I227" s="55">
        <f t="shared" si="151"/>
        <v>0</v>
      </c>
      <c r="J227" s="20">
        <f t="shared" si="152"/>
        <v>0</v>
      </c>
      <c r="L227" s="23" t="s">
        <v>14</v>
      </c>
      <c r="M227" s="29"/>
      <c r="N227" s="30"/>
      <c r="O227" s="48"/>
      <c r="P227" s="55">
        <f t="shared" si="147"/>
        <v>0</v>
      </c>
      <c r="Q227" s="31"/>
      <c r="R227" s="31"/>
      <c r="S227" s="33"/>
      <c r="T227" s="55">
        <f t="shared" si="148"/>
        <v>0</v>
      </c>
      <c r="U227" s="20">
        <f t="shared" si="149"/>
        <v>0</v>
      </c>
    </row>
    <row r="228" spans="1:23" ht="14.25" thickBot="1" x14ac:dyDescent="0.2">
      <c r="A228" s="32" t="s">
        <v>15</v>
      </c>
      <c r="B228" s="25">
        <f>SUM(B219:B227)</f>
        <v>6</v>
      </c>
      <c r="C228" s="26">
        <f>SUM(C219:C227)</f>
        <v>7</v>
      </c>
      <c r="D228" s="27">
        <f>SUM(D219:D227)</f>
        <v>3</v>
      </c>
      <c r="E228" s="28">
        <f>SUM(B228:D228)</f>
        <v>16</v>
      </c>
      <c r="F228" s="25">
        <f>SUM(F219:F227)</f>
        <v>6</v>
      </c>
      <c r="G228" s="26">
        <f>SUM(G219:G227)</f>
        <v>7</v>
      </c>
      <c r="H228" s="27">
        <f>SUM(H219:H227)</f>
        <v>3</v>
      </c>
      <c r="I228" s="28">
        <f>SUM(F228:H228)</f>
        <v>16</v>
      </c>
      <c r="J228" s="28">
        <f>E228+I228</f>
        <v>32</v>
      </c>
      <c r="L228" s="32" t="s">
        <v>15</v>
      </c>
      <c r="M228" s="25">
        <f>SUM(M219:M227)</f>
        <v>181</v>
      </c>
      <c r="N228" s="26">
        <f>SUM(N219:N227)</f>
        <v>182</v>
      </c>
      <c r="O228" s="27">
        <f>SUM(O219:O227)</f>
        <v>109</v>
      </c>
      <c r="P228" s="28">
        <f>SUM(M228:O228)</f>
        <v>472</v>
      </c>
      <c r="Q228" s="25">
        <f>SUM(Q219:Q227)</f>
        <v>181</v>
      </c>
      <c r="R228" s="26">
        <f>SUM(R219:R227)</f>
        <v>182</v>
      </c>
      <c r="S228" s="27">
        <f>SUM(S219:S227)</f>
        <v>109</v>
      </c>
      <c r="T228" s="28">
        <f>SUM(Q228:S228)</f>
        <v>472</v>
      </c>
      <c r="U228" s="28">
        <f>P228+T228</f>
        <v>944</v>
      </c>
    </row>
    <row r="229" spans="1:23" x14ac:dyDescent="0.15">
      <c r="A229" s="22"/>
      <c r="B229" s="7"/>
      <c r="C229" s="8"/>
      <c r="D229" s="9"/>
      <c r="E229" s="43">
        <f t="shared" ref="E229" si="159">SUM(B229:D229)</f>
        <v>0</v>
      </c>
      <c r="F229" s="11"/>
      <c r="G229" s="8"/>
      <c r="H229" s="9"/>
      <c r="I229" s="43">
        <f t="shared" ref="I229" si="160">SUM(F229:H229)</f>
        <v>0</v>
      </c>
      <c r="J229" s="10">
        <f t="shared" ref="J229" si="161">E229+I229</f>
        <v>0</v>
      </c>
      <c r="L229" s="22" t="s">
        <v>218</v>
      </c>
      <c r="M229" s="7">
        <v>2</v>
      </c>
      <c r="N229" s="8"/>
      <c r="O229" s="9">
        <v>2</v>
      </c>
      <c r="P229" s="43">
        <f t="shared" ref="P229:P230" si="162">SUM(M229:O229)</f>
        <v>4</v>
      </c>
      <c r="Q229" s="11">
        <v>2</v>
      </c>
      <c r="R229" s="8"/>
      <c r="S229" s="9">
        <v>2</v>
      </c>
      <c r="T229" s="43">
        <f t="shared" ref="T229:T230" si="163">SUM(Q229:S229)</f>
        <v>4</v>
      </c>
      <c r="U229" s="10">
        <f t="shared" ref="U229:U230" si="164">P229+T229</f>
        <v>8</v>
      </c>
      <c r="V229" s="56">
        <v>45250</v>
      </c>
    </row>
    <row r="230" spans="1:23" x14ac:dyDescent="0.15">
      <c r="A230" s="22"/>
      <c r="B230" s="7"/>
      <c r="C230" s="8"/>
      <c r="D230" s="9"/>
      <c r="E230" s="43">
        <f t="shared" ref="E230:E253" si="165">SUM(B230:D230)</f>
        <v>0</v>
      </c>
      <c r="F230" s="11"/>
      <c r="G230" s="8"/>
      <c r="H230" s="9"/>
      <c r="I230" s="43">
        <f t="shared" ref="I230:I253" si="166">SUM(F230:H230)</f>
        <v>0</v>
      </c>
      <c r="J230" s="10">
        <f t="shared" ref="J230:J253" si="167">E230+I230</f>
        <v>0</v>
      </c>
      <c r="L230" s="22" t="s">
        <v>221</v>
      </c>
      <c r="M230" s="7">
        <v>5</v>
      </c>
      <c r="N230" s="8">
        <v>11</v>
      </c>
      <c r="O230" s="9"/>
      <c r="P230" s="43">
        <f t="shared" si="162"/>
        <v>16</v>
      </c>
      <c r="Q230" s="11">
        <v>5</v>
      </c>
      <c r="R230" s="8">
        <v>11</v>
      </c>
      <c r="S230" s="9"/>
      <c r="T230" s="43">
        <f t="shared" si="163"/>
        <v>16</v>
      </c>
      <c r="U230" s="10">
        <f t="shared" si="164"/>
        <v>32</v>
      </c>
      <c r="V230" s="56">
        <v>45252</v>
      </c>
    </row>
    <row r="231" spans="1:23" x14ac:dyDescent="0.15">
      <c r="A231" s="22"/>
      <c r="B231" s="7"/>
      <c r="C231" s="8"/>
      <c r="D231" s="9"/>
      <c r="E231" s="43">
        <f t="shared" si="165"/>
        <v>0</v>
      </c>
      <c r="F231" s="11"/>
      <c r="G231" s="8"/>
      <c r="H231" s="9"/>
      <c r="I231" s="43">
        <f t="shared" si="166"/>
        <v>0</v>
      </c>
      <c r="J231" s="10">
        <f t="shared" si="167"/>
        <v>0</v>
      </c>
      <c r="L231" s="24" t="s">
        <v>223</v>
      </c>
      <c r="M231" s="7">
        <v>7</v>
      </c>
      <c r="N231" s="8">
        <v>8</v>
      </c>
      <c r="O231" s="9">
        <v>5</v>
      </c>
      <c r="P231" s="43">
        <f t="shared" ref="P231:P255" si="168">SUM(M231:O231)</f>
        <v>20</v>
      </c>
      <c r="Q231" s="11">
        <v>7</v>
      </c>
      <c r="R231" s="8">
        <v>8</v>
      </c>
      <c r="S231" s="9">
        <v>5</v>
      </c>
      <c r="T231" s="43">
        <f t="shared" ref="T231:T255" si="169">SUM(Q231:S231)</f>
        <v>20</v>
      </c>
      <c r="U231" s="10">
        <f t="shared" ref="U231:U254" si="170">P231+T231</f>
        <v>40</v>
      </c>
      <c r="V231" s="56">
        <v>45251</v>
      </c>
      <c r="W231" s="61"/>
    </row>
    <row r="232" spans="1:23" x14ac:dyDescent="0.15">
      <c r="A232" s="22"/>
      <c r="B232" s="7"/>
      <c r="C232" s="8"/>
      <c r="D232" s="9"/>
      <c r="E232" s="43">
        <f t="shared" si="165"/>
        <v>0</v>
      </c>
      <c r="F232" s="11"/>
      <c r="G232" s="8"/>
      <c r="H232" s="9"/>
      <c r="I232" s="43">
        <f t="shared" si="166"/>
        <v>0</v>
      </c>
      <c r="J232" s="10">
        <f t="shared" si="167"/>
        <v>0</v>
      </c>
      <c r="L232" s="22" t="s">
        <v>224</v>
      </c>
      <c r="M232" s="7"/>
      <c r="N232" s="8">
        <v>4</v>
      </c>
      <c r="O232" s="9">
        <v>5</v>
      </c>
      <c r="P232" s="43">
        <f t="shared" si="168"/>
        <v>9</v>
      </c>
      <c r="Q232" s="11"/>
      <c r="R232" s="8">
        <v>4</v>
      </c>
      <c r="S232" s="9">
        <v>5</v>
      </c>
      <c r="T232" s="43">
        <f t="shared" si="169"/>
        <v>9</v>
      </c>
      <c r="U232" s="10">
        <f t="shared" si="170"/>
        <v>18</v>
      </c>
      <c r="V232" s="56">
        <v>45254</v>
      </c>
    </row>
    <row r="233" spans="1:23" x14ac:dyDescent="0.15">
      <c r="A233" s="22"/>
      <c r="B233" s="7"/>
      <c r="C233" s="8"/>
      <c r="D233" s="9"/>
      <c r="E233" s="43">
        <f t="shared" si="165"/>
        <v>0</v>
      </c>
      <c r="F233" s="11"/>
      <c r="G233" s="8"/>
      <c r="H233" s="9"/>
      <c r="I233" s="43">
        <f t="shared" si="166"/>
        <v>0</v>
      </c>
      <c r="J233" s="10">
        <f t="shared" si="167"/>
        <v>0</v>
      </c>
      <c r="L233" s="24" t="s">
        <v>226</v>
      </c>
      <c r="M233" s="7">
        <v>10</v>
      </c>
      <c r="N233" s="8">
        <v>8</v>
      </c>
      <c r="O233" s="9"/>
      <c r="P233" s="43">
        <f t="shared" si="168"/>
        <v>18</v>
      </c>
      <c r="Q233" s="11">
        <v>10</v>
      </c>
      <c r="R233" s="8">
        <v>8</v>
      </c>
      <c r="S233" s="9"/>
      <c r="T233" s="43">
        <f t="shared" si="169"/>
        <v>18</v>
      </c>
      <c r="U233" s="10">
        <f t="shared" si="170"/>
        <v>36</v>
      </c>
      <c r="V233" s="56">
        <v>45254</v>
      </c>
    </row>
    <row r="234" spans="1:23" x14ac:dyDescent="0.15">
      <c r="A234" s="22"/>
      <c r="B234" s="7"/>
      <c r="C234" s="8"/>
      <c r="D234" s="9"/>
      <c r="E234" s="43">
        <f t="shared" si="165"/>
        <v>0</v>
      </c>
      <c r="F234" s="11"/>
      <c r="G234" s="8"/>
      <c r="H234" s="9"/>
      <c r="I234" s="43">
        <f t="shared" si="166"/>
        <v>0</v>
      </c>
      <c r="J234" s="10">
        <f t="shared" si="167"/>
        <v>0</v>
      </c>
      <c r="L234" s="22" t="s">
        <v>227</v>
      </c>
      <c r="M234" s="7">
        <v>2</v>
      </c>
      <c r="N234" s="8"/>
      <c r="O234" s="9"/>
      <c r="P234" s="43">
        <f t="shared" si="168"/>
        <v>2</v>
      </c>
      <c r="Q234" s="11">
        <v>2</v>
      </c>
      <c r="R234" s="8"/>
      <c r="S234" s="9"/>
      <c r="T234" s="43">
        <f t="shared" si="169"/>
        <v>2</v>
      </c>
      <c r="U234" s="10">
        <f t="shared" si="170"/>
        <v>4</v>
      </c>
      <c r="V234" s="56">
        <v>45254</v>
      </c>
    </row>
    <row r="235" spans="1:23" x14ac:dyDescent="0.15">
      <c r="A235" s="22"/>
      <c r="B235" s="7"/>
      <c r="C235" s="8"/>
      <c r="D235" s="9"/>
      <c r="E235" s="43">
        <f t="shared" si="165"/>
        <v>0</v>
      </c>
      <c r="F235" s="11"/>
      <c r="G235" s="8"/>
      <c r="H235" s="9"/>
      <c r="I235" s="43">
        <f t="shared" si="166"/>
        <v>0</v>
      </c>
      <c r="J235" s="10">
        <f t="shared" si="167"/>
        <v>0</v>
      </c>
      <c r="L235" s="22" t="s">
        <v>229</v>
      </c>
      <c r="M235" s="7">
        <v>1</v>
      </c>
      <c r="N235" s="8">
        <v>4</v>
      </c>
      <c r="O235" s="9">
        <v>1</v>
      </c>
      <c r="P235" s="43">
        <f t="shared" si="168"/>
        <v>6</v>
      </c>
      <c r="Q235" s="11">
        <v>1</v>
      </c>
      <c r="R235" s="8">
        <v>4</v>
      </c>
      <c r="S235" s="9">
        <v>1</v>
      </c>
      <c r="T235" s="43">
        <f t="shared" si="169"/>
        <v>6</v>
      </c>
      <c r="U235" s="10">
        <f t="shared" si="170"/>
        <v>12</v>
      </c>
      <c r="V235" s="56">
        <v>45257</v>
      </c>
    </row>
    <row r="236" spans="1:23" x14ac:dyDescent="0.15">
      <c r="A236" s="22"/>
      <c r="B236" s="7"/>
      <c r="C236" s="8"/>
      <c r="D236" s="9"/>
      <c r="E236" s="43">
        <f t="shared" si="165"/>
        <v>0</v>
      </c>
      <c r="F236" s="11"/>
      <c r="G236" s="8"/>
      <c r="H236" s="9"/>
      <c r="I236" s="43">
        <f t="shared" si="166"/>
        <v>0</v>
      </c>
      <c r="J236" s="10">
        <f t="shared" si="167"/>
        <v>0</v>
      </c>
      <c r="L236" s="24" t="s">
        <v>230</v>
      </c>
      <c r="M236" s="7">
        <v>8</v>
      </c>
      <c r="N236" s="8">
        <v>10</v>
      </c>
      <c r="O236" s="9">
        <v>5</v>
      </c>
      <c r="P236" s="43">
        <f t="shared" si="168"/>
        <v>23</v>
      </c>
      <c r="Q236" s="11">
        <v>8</v>
      </c>
      <c r="R236" s="8">
        <v>10</v>
      </c>
      <c r="S236" s="9">
        <v>5</v>
      </c>
      <c r="T236" s="43">
        <f t="shared" si="169"/>
        <v>23</v>
      </c>
      <c r="U236" s="10">
        <f t="shared" si="170"/>
        <v>46</v>
      </c>
      <c r="V236" s="56">
        <v>45258</v>
      </c>
    </row>
    <row r="237" spans="1:23" x14ac:dyDescent="0.15">
      <c r="A237" s="22"/>
      <c r="B237" s="7"/>
      <c r="C237" s="8"/>
      <c r="D237" s="9"/>
      <c r="E237" s="43">
        <f t="shared" si="165"/>
        <v>0</v>
      </c>
      <c r="F237" s="11"/>
      <c r="G237" s="8"/>
      <c r="H237" s="9"/>
      <c r="I237" s="43">
        <f t="shared" si="166"/>
        <v>0</v>
      </c>
      <c r="J237" s="10">
        <f t="shared" si="167"/>
        <v>0</v>
      </c>
      <c r="L237" s="22" t="s">
        <v>80</v>
      </c>
      <c r="M237" s="7"/>
      <c r="N237" s="8"/>
      <c r="O237" s="9">
        <v>1</v>
      </c>
      <c r="P237" s="43">
        <f t="shared" si="168"/>
        <v>1</v>
      </c>
      <c r="Q237" s="11"/>
      <c r="R237" s="8"/>
      <c r="S237" s="9">
        <v>1</v>
      </c>
      <c r="T237" s="43">
        <f t="shared" si="169"/>
        <v>1</v>
      </c>
      <c r="U237" s="10">
        <f t="shared" si="170"/>
        <v>2</v>
      </c>
      <c r="V237" s="56">
        <v>45259</v>
      </c>
    </row>
    <row r="238" spans="1:23" x14ac:dyDescent="0.15">
      <c r="A238" s="22"/>
      <c r="B238" s="12"/>
      <c r="C238" s="13"/>
      <c r="D238" s="14"/>
      <c r="E238" s="43">
        <f t="shared" si="165"/>
        <v>0</v>
      </c>
      <c r="F238" s="15"/>
      <c r="G238" s="13"/>
      <c r="H238" s="14"/>
      <c r="I238" s="43">
        <f t="shared" si="166"/>
        <v>0</v>
      </c>
      <c r="J238" s="10">
        <f t="shared" si="167"/>
        <v>0</v>
      </c>
      <c r="L238" s="22" t="s">
        <v>234</v>
      </c>
      <c r="M238" s="7"/>
      <c r="N238" s="8">
        <v>2</v>
      </c>
      <c r="O238" s="9"/>
      <c r="P238" s="43">
        <f t="shared" si="168"/>
        <v>2</v>
      </c>
      <c r="Q238" s="11"/>
      <c r="R238" s="8">
        <v>2</v>
      </c>
      <c r="S238" s="9"/>
      <c r="T238" s="43">
        <f t="shared" si="169"/>
        <v>2</v>
      </c>
      <c r="U238" s="10">
        <f t="shared" si="170"/>
        <v>4</v>
      </c>
      <c r="V238" s="56">
        <v>45260</v>
      </c>
    </row>
    <row r="239" spans="1:23" x14ac:dyDescent="0.15">
      <c r="A239" s="22"/>
      <c r="B239" s="7"/>
      <c r="C239" s="8"/>
      <c r="D239" s="9"/>
      <c r="E239" s="43">
        <f t="shared" si="165"/>
        <v>0</v>
      </c>
      <c r="F239" s="11"/>
      <c r="G239" s="8"/>
      <c r="H239" s="9"/>
      <c r="I239" s="43">
        <f t="shared" si="166"/>
        <v>0</v>
      </c>
      <c r="J239" s="10">
        <f t="shared" si="167"/>
        <v>0</v>
      </c>
      <c r="L239" s="22" t="s">
        <v>236</v>
      </c>
      <c r="M239" s="7"/>
      <c r="N239" s="8">
        <v>1</v>
      </c>
      <c r="O239" s="9"/>
      <c r="P239" s="43">
        <f t="shared" si="168"/>
        <v>1</v>
      </c>
      <c r="Q239" s="11"/>
      <c r="R239" s="8">
        <v>1</v>
      </c>
      <c r="S239" s="9"/>
      <c r="T239" s="43">
        <f t="shared" si="169"/>
        <v>1</v>
      </c>
      <c r="U239" s="10">
        <f t="shared" si="170"/>
        <v>2</v>
      </c>
      <c r="V239" s="56">
        <v>45261</v>
      </c>
    </row>
    <row r="240" spans="1:23" x14ac:dyDescent="0.15">
      <c r="A240" s="22"/>
      <c r="B240" s="7"/>
      <c r="C240" s="8"/>
      <c r="D240" s="9"/>
      <c r="E240" s="43">
        <f t="shared" si="165"/>
        <v>0</v>
      </c>
      <c r="F240" s="11"/>
      <c r="G240" s="8"/>
      <c r="H240" s="9"/>
      <c r="I240" s="43">
        <f t="shared" si="166"/>
        <v>0</v>
      </c>
      <c r="J240" s="10">
        <f t="shared" si="167"/>
        <v>0</v>
      </c>
      <c r="L240" s="22" t="s">
        <v>237</v>
      </c>
      <c r="M240" s="7">
        <v>1</v>
      </c>
      <c r="N240" s="8"/>
      <c r="O240" s="9"/>
      <c r="P240" s="43">
        <f t="shared" si="168"/>
        <v>1</v>
      </c>
      <c r="Q240" s="11">
        <v>1</v>
      </c>
      <c r="R240" s="8"/>
      <c r="S240" s="9"/>
      <c r="T240" s="43">
        <f t="shared" si="169"/>
        <v>1</v>
      </c>
      <c r="U240" s="10">
        <f t="shared" si="170"/>
        <v>2</v>
      </c>
      <c r="V240" s="56">
        <v>45264</v>
      </c>
    </row>
    <row r="241" spans="1:23" x14ac:dyDescent="0.15">
      <c r="A241" s="22"/>
      <c r="B241" s="7"/>
      <c r="C241" s="8"/>
      <c r="D241" s="9"/>
      <c r="E241" s="43">
        <f t="shared" si="165"/>
        <v>0</v>
      </c>
      <c r="F241" s="11"/>
      <c r="G241" s="8"/>
      <c r="H241" s="9"/>
      <c r="I241" s="43">
        <f t="shared" si="166"/>
        <v>0</v>
      </c>
      <c r="J241" s="10">
        <f t="shared" si="167"/>
        <v>0</v>
      </c>
      <c r="L241" s="22" t="s">
        <v>238</v>
      </c>
      <c r="M241" s="7">
        <v>2</v>
      </c>
      <c r="N241" s="8"/>
      <c r="O241" s="9"/>
      <c r="P241" s="43">
        <f t="shared" si="168"/>
        <v>2</v>
      </c>
      <c r="Q241" s="11">
        <v>2</v>
      </c>
      <c r="R241" s="8"/>
      <c r="S241" s="9"/>
      <c r="T241" s="43">
        <f t="shared" si="169"/>
        <v>2</v>
      </c>
      <c r="U241" s="10">
        <f t="shared" si="170"/>
        <v>4</v>
      </c>
      <c r="V241" s="56">
        <v>45264</v>
      </c>
    </row>
    <row r="242" spans="1:23" x14ac:dyDescent="0.15">
      <c r="A242" s="22"/>
      <c r="B242" s="7"/>
      <c r="C242" s="8"/>
      <c r="D242" s="9"/>
      <c r="E242" s="43">
        <f t="shared" si="165"/>
        <v>0</v>
      </c>
      <c r="F242" s="11"/>
      <c r="G242" s="8"/>
      <c r="H242" s="9"/>
      <c r="I242" s="43">
        <f t="shared" si="166"/>
        <v>0</v>
      </c>
      <c r="J242" s="10">
        <f t="shared" si="167"/>
        <v>0</v>
      </c>
      <c r="L242" s="22" t="s">
        <v>239</v>
      </c>
      <c r="M242" s="7">
        <v>11</v>
      </c>
      <c r="N242" s="8">
        <v>18</v>
      </c>
      <c r="O242" s="9">
        <v>10</v>
      </c>
      <c r="P242" s="43">
        <f t="shared" si="168"/>
        <v>39</v>
      </c>
      <c r="Q242" s="11">
        <v>11</v>
      </c>
      <c r="R242" s="8">
        <v>18</v>
      </c>
      <c r="S242" s="9">
        <v>10</v>
      </c>
      <c r="T242" s="43">
        <f t="shared" si="169"/>
        <v>39</v>
      </c>
      <c r="U242" s="10">
        <f t="shared" si="170"/>
        <v>78</v>
      </c>
      <c r="V242" s="56">
        <v>45266</v>
      </c>
    </row>
    <row r="243" spans="1:23" x14ac:dyDescent="0.15">
      <c r="A243" s="22"/>
      <c r="B243" s="7"/>
      <c r="C243" s="8"/>
      <c r="D243" s="9"/>
      <c r="E243" s="43">
        <f t="shared" si="165"/>
        <v>0</v>
      </c>
      <c r="F243" s="11"/>
      <c r="G243" s="8"/>
      <c r="H243" s="9"/>
      <c r="I243" s="43">
        <f t="shared" si="166"/>
        <v>0</v>
      </c>
      <c r="J243" s="10">
        <f t="shared" si="167"/>
        <v>0</v>
      </c>
      <c r="L243" s="22" t="s">
        <v>241</v>
      </c>
      <c r="M243" s="7">
        <v>2</v>
      </c>
      <c r="N243" s="8">
        <v>6</v>
      </c>
      <c r="O243" s="9">
        <v>7</v>
      </c>
      <c r="P243" s="43">
        <f t="shared" si="168"/>
        <v>15</v>
      </c>
      <c r="Q243" s="11">
        <v>2</v>
      </c>
      <c r="R243" s="8">
        <v>6</v>
      </c>
      <c r="S243" s="9">
        <v>7</v>
      </c>
      <c r="T243" s="43">
        <f t="shared" si="169"/>
        <v>15</v>
      </c>
      <c r="U243" s="10">
        <f t="shared" si="170"/>
        <v>30</v>
      </c>
      <c r="V243" s="56">
        <v>45267</v>
      </c>
    </row>
    <row r="244" spans="1:23" x14ac:dyDescent="0.15">
      <c r="A244" s="22"/>
      <c r="B244" s="7"/>
      <c r="C244" s="8"/>
      <c r="D244" s="9"/>
      <c r="E244" s="43">
        <f t="shared" si="165"/>
        <v>0</v>
      </c>
      <c r="F244" s="11"/>
      <c r="G244" s="8"/>
      <c r="H244" s="9"/>
      <c r="I244" s="43">
        <f t="shared" si="166"/>
        <v>0</v>
      </c>
      <c r="J244" s="10">
        <f t="shared" si="167"/>
        <v>0</v>
      </c>
      <c r="L244" s="22" t="s">
        <v>243</v>
      </c>
      <c r="M244" s="7">
        <v>4</v>
      </c>
      <c r="N244" s="8">
        <v>5</v>
      </c>
      <c r="O244" s="9">
        <v>4</v>
      </c>
      <c r="P244" s="43">
        <f t="shared" si="168"/>
        <v>13</v>
      </c>
      <c r="Q244" s="11">
        <v>4</v>
      </c>
      <c r="R244" s="8">
        <v>5</v>
      </c>
      <c r="S244" s="9">
        <v>4</v>
      </c>
      <c r="T244" s="43">
        <f t="shared" si="169"/>
        <v>13</v>
      </c>
      <c r="U244" s="10">
        <f t="shared" si="170"/>
        <v>26</v>
      </c>
      <c r="V244" s="56">
        <v>45268</v>
      </c>
      <c r="W244" s="61"/>
    </row>
    <row r="245" spans="1:23" x14ac:dyDescent="0.15">
      <c r="A245" s="24"/>
      <c r="B245" s="7"/>
      <c r="C245" s="8"/>
      <c r="D245" s="9"/>
      <c r="E245" s="43">
        <f t="shared" si="165"/>
        <v>0</v>
      </c>
      <c r="F245" s="11"/>
      <c r="G245" s="8"/>
      <c r="H245" s="9"/>
      <c r="I245" s="43">
        <f t="shared" si="166"/>
        <v>0</v>
      </c>
      <c r="J245" s="10">
        <f t="shared" si="167"/>
        <v>0</v>
      </c>
      <c r="L245" s="24" t="s">
        <v>231</v>
      </c>
      <c r="M245" s="7">
        <v>3</v>
      </c>
      <c r="N245" s="8">
        <v>2</v>
      </c>
      <c r="O245" s="9">
        <v>2</v>
      </c>
      <c r="P245" s="43">
        <f t="shared" si="168"/>
        <v>7</v>
      </c>
      <c r="Q245" s="11">
        <v>3</v>
      </c>
      <c r="R245" s="8">
        <v>2</v>
      </c>
      <c r="S245" s="9">
        <v>2</v>
      </c>
      <c r="T245" s="43">
        <f t="shared" si="169"/>
        <v>7</v>
      </c>
      <c r="U245" s="10">
        <f t="shared" si="170"/>
        <v>14</v>
      </c>
      <c r="V245" s="56">
        <v>45267</v>
      </c>
      <c r="W245" s="61"/>
    </row>
    <row r="246" spans="1:23" x14ac:dyDescent="0.15">
      <c r="A246" s="22"/>
      <c r="B246" s="7"/>
      <c r="C246" s="8"/>
      <c r="D246" s="9"/>
      <c r="E246" s="43">
        <f t="shared" si="165"/>
        <v>0</v>
      </c>
      <c r="F246" s="11"/>
      <c r="G246" s="8"/>
      <c r="H246" s="9"/>
      <c r="I246" s="43">
        <f t="shared" si="166"/>
        <v>0</v>
      </c>
      <c r="J246" s="10">
        <f t="shared" si="167"/>
        <v>0</v>
      </c>
      <c r="L246" s="22" t="s">
        <v>247</v>
      </c>
      <c r="M246" s="7">
        <v>9</v>
      </c>
      <c r="N246" s="8">
        <v>20</v>
      </c>
      <c r="O246" s="9">
        <v>6</v>
      </c>
      <c r="P246" s="43">
        <f t="shared" ref="P246" si="171">SUM(M246:O246)</f>
        <v>35</v>
      </c>
      <c r="Q246" s="11">
        <v>9</v>
      </c>
      <c r="R246" s="8">
        <v>20</v>
      </c>
      <c r="S246" s="9">
        <v>6</v>
      </c>
      <c r="T246" s="43">
        <f t="shared" ref="T246" si="172">SUM(Q246:S246)</f>
        <v>35</v>
      </c>
      <c r="U246" s="10">
        <f t="shared" ref="U246" si="173">P246+T246</f>
        <v>70</v>
      </c>
      <c r="V246" s="56">
        <v>45268</v>
      </c>
    </row>
    <row r="247" spans="1:23" x14ac:dyDescent="0.15">
      <c r="A247" s="22"/>
      <c r="B247" s="7"/>
      <c r="C247" s="8"/>
      <c r="D247" s="9"/>
      <c r="E247" s="43">
        <f t="shared" si="165"/>
        <v>0</v>
      </c>
      <c r="F247" s="11"/>
      <c r="G247" s="8"/>
      <c r="H247" s="9"/>
      <c r="I247" s="43">
        <f t="shared" si="166"/>
        <v>0</v>
      </c>
      <c r="J247" s="10">
        <f t="shared" si="167"/>
        <v>0</v>
      </c>
      <c r="L247" s="22" t="s">
        <v>251</v>
      </c>
      <c r="M247" s="7">
        <v>17</v>
      </c>
      <c r="N247" s="8">
        <v>9</v>
      </c>
      <c r="O247" s="9">
        <v>7</v>
      </c>
      <c r="P247" s="43">
        <f t="shared" ref="P247" si="174">SUM(M247:O247)</f>
        <v>33</v>
      </c>
      <c r="Q247" s="11">
        <v>17</v>
      </c>
      <c r="R247" s="8">
        <v>9</v>
      </c>
      <c r="S247" s="9">
        <v>7</v>
      </c>
      <c r="T247" s="43">
        <f t="shared" ref="T247" si="175">SUM(Q247:S247)</f>
        <v>33</v>
      </c>
      <c r="U247" s="10">
        <f t="shared" ref="U247" si="176">P247+T247</f>
        <v>66</v>
      </c>
      <c r="V247" s="56">
        <v>45271</v>
      </c>
    </row>
    <row r="248" spans="1:23" x14ac:dyDescent="0.15">
      <c r="A248" s="22"/>
      <c r="B248" s="7"/>
      <c r="C248" s="8"/>
      <c r="D248" s="9"/>
      <c r="E248" s="43">
        <f t="shared" si="165"/>
        <v>0</v>
      </c>
      <c r="F248" s="11"/>
      <c r="G248" s="8"/>
      <c r="H248" s="9"/>
      <c r="I248" s="43">
        <f t="shared" si="166"/>
        <v>0</v>
      </c>
      <c r="J248" s="10">
        <f t="shared" si="167"/>
        <v>0</v>
      </c>
      <c r="L248" s="22" t="s">
        <v>253</v>
      </c>
      <c r="M248" s="7">
        <v>1</v>
      </c>
      <c r="N248" s="8">
        <v>10</v>
      </c>
      <c r="O248" s="9">
        <v>5</v>
      </c>
      <c r="P248" s="43">
        <f t="shared" ref="P248:P252" si="177">SUM(M248:O248)</f>
        <v>16</v>
      </c>
      <c r="Q248" s="11">
        <v>1</v>
      </c>
      <c r="R248" s="8">
        <v>10</v>
      </c>
      <c r="S248" s="9">
        <v>5</v>
      </c>
      <c r="T248" s="43">
        <f t="shared" ref="T248:T252" si="178">SUM(Q248:S248)</f>
        <v>16</v>
      </c>
      <c r="U248" s="10">
        <f t="shared" ref="U248:U252" si="179">P248+T248</f>
        <v>32</v>
      </c>
      <c r="V248" s="56">
        <v>45273</v>
      </c>
    </row>
    <row r="249" spans="1:23" x14ac:dyDescent="0.15">
      <c r="A249" s="22"/>
      <c r="B249" s="7"/>
      <c r="C249" s="8"/>
      <c r="D249" s="9"/>
      <c r="E249" s="43">
        <f t="shared" si="165"/>
        <v>0</v>
      </c>
      <c r="F249" s="11"/>
      <c r="G249" s="8"/>
      <c r="H249" s="9"/>
      <c r="I249" s="43">
        <f t="shared" si="166"/>
        <v>0</v>
      </c>
      <c r="J249" s="10">
        <f t="shared" si="167"/>
        <v>0</v>
      </c>
      <c r="L249" s="24"/>
      <c r="M249" s="7"/>
      <c r="N249" s="8"/>
      <c r="O249" s="9"/>
      <c r="P249" s="43">
        <f t="shared" ref="P249" si="180">SUM(M249:O249)</f>
        <v>0</v>
      </c>
      <c r="Q249" s="11"/>
      <c r="R249" s="8"/>
      <c r="S249" s="9"/>
      <c r="T249" s="43">
        <f t="shared" ref="T249" si="181">SUM(Q249:S249)</f>
        <v>0</v>
      </c>
      <c r="U249" s="10">
        <f t="shared" ref="U249" si="182">P249+T249</f>
        <v>0</v>
      </c>
    </row>
    <row r="250" spans="1:23" x14ac:dyDescent="0.15">
      <c r="A250" s="63"/>
      <c r="B250" s="12"/>
      <c r="C250" s="13"/>
      <c r="D250" s="14"/>
      <c r="E250" s="43">
        <f t="shared" si="165"/>
        <v>0</v>
      </c>
      <c r="F250" s="15"/>
      <c r="G250" s="13"/>
      <c r="H250" s="14"/>
      <c r="I250" s="43">
        <f t="shared" si="166"/>
        <v>0</v>
      </c>
      <c r="J250" s="10">
        <f t="shared" si="167"/>
        <v>0</v>
      </c>
      <c r="L250" s="24" t="s">
        <v>182</v>
      </c>
      <c r="M250" s="7"/>
      <c r="N250" s="8"/>
      <c r="O250" s="9"/>
      <c r="P250" s="43">
        <f t="shared" si="177"/>
        <v>0</v>
      </c>
      <c r="Q250" s="11"/>
      <c r="R250" s="8"/>
      <c r="S250" s="9"/>
      <c r="T250" s="43">
        <f t="shared" si="178"/>
        <v>0</v>
      </c>
      <c r="U250" s="10">
        <f t="shared" si="179"/>
        <v>0</v>
      </c>
      <c r="V250" s="61" t="s">
        <v>183</v>
      </c>
    </row>
    <row r="251" spans="1:23" x14ac:dyDescent="0.15">
      <c r="A251" s="22"/>
      <c r="B251" s="7"/>
      <c r="C251" s="8"/>
      <c r="D251" s="9"/>
      <c r="E251" s="43">
        <f t="shared" si="165"/>
        <v>0</v>
      </c>
      <c r="F251" s="11"/>
      <c r="G251" s="8"/>
      <c r="H251" s="9"/>
      <c r="I251" s="43">
        <f t="shared" si="166"/>
        <v>0</v>
      </c>
      <c r="J251" s="10">
        <f t="shared" si="167"/>
        <v>0</v>
      </c>
      <c r="L251" s="24" t="s">
        <v>180</v>
      </c>
      <c r="M251" s="7"/>
      <c r="N251" s="8"/>
      <c r="O251" s="9"/>
      <c r="P251" s="43">
        <f t="shared" si="177"/>
        <v>0</v>
      </c>
      <c r="Q251" s="11"/>
      <c r="R251" s="8"/>
      <c r="S251" s="9"/>
      <c r="T251" s="43">
        <f t="shared" si="178"/>
        <v>0</v>
      </c>
      <c r="U251" s="10">
        <f t="shared" si="179"/>
        <v>0</v>
      </c>
      <c r="V251" s="61" t="s">
        <v>181</v>
      </c>
    </row>
    <row r="252" spans="1:23" x14ac:dyDescent="0.15">
      <c r="A252" s="63"/>
      <c r="B252" s="7"/>
      <c r="C252" s="8"/>
      <c r="D252" s="9"/>
      <c r="E252" s="43">
        <f t="shared" si="165"/>
        <v>0</v>
      </c>
      <c r="F252" s="11"/>
      <c r="G252" s="8"/>
      <c r="H252" s="9"/>
      <c r="I252" s="43">
        <f t="shared" si="166"/>
        <v>0</v>
      </c>
      <c r="J252" s="10">
        <f t="shared" si="167"/>
        <v>0</v>
      </c>
      <c r="L252" s="24" t="s">
        <v>173</v>
      </c>
      <c r="M252" s="7"/>
      <c r="N252" s="8"/>
      <c r="O252" s="9"/>
      <c r="P252" s="43">
        <f t="shared" si="177"/>
        <v>0</v>
      </c>
      <c r="Q252" s="11"/>
      <c r="R252" s="8"/>
      <c r="S252" s="9"/>
      <c r="T252" s="43">
        <f t="shared" si="178"/>
        <v>0</v>
      </c>
      <c r="U252" s="10">
        <f t="shared" si="179"/>
        <v>0</v>
      </c>
      <c r="V252" s="105">
        <v>45257</v>
      </c>
    </row>
    <row r="253" spans="1:23" x14ac:dyDescent="0.15">
      <c r="A253" s="22"/>
      <c r="B253" s="7"/>
      <c r="C253" s="8"/>
      <c r="D253" s="9"/>
      <c r="E253" s="43">
        <f t="shared" si="165"/>
        <v>0</v>
      </c>
      <c r="F253" s="11"/>
      <c r="G253" s="8"/>
      <c r="H253" s="9"/>
      <c r="I253" s="43">
        <f t="shared" si="166"/>
        <v>0</v>
      </c>
      <c r="J253" s="10">
        <f t="shared" si="167"/>
        <v>0</v>
      </c>
      <c r="L253" s="106" t="s">
        <v>246</v>
      </c>
      <c r="M253" s="107"/>
      <c r="N253" s="108"/>
      <c r="O253" s="109"/>
      <c r="P253" s="110">
        <f t="shared" si="168"/>
        <v>0</v>
      </c>
      <c r="Q253" s="111"/>
      <c r="R253" s="108"/>
      <c r="S253" s="109"/>
      <c r="T253" s="110">
        <f t="shared" si="169"/>
        <v>0</v>
      </c>
      <c r="U253" s="112">
        <f t="shared" si="170"/>
        <v>0</v>
      </c>
      <c r="V253" s="114"/>
    </row>
    <row r="254" spans="1:23" ht="14.25" thickBot="1" x14ac:dyDescent="0.2">
      <c r="A254" s="60"/>
      <c r="B254" s="12"/>
      <c r="C254" s="13"/>
      <c r="D254" s="14"/>
      <c r="E254" s="43">
        <f>SUM(B254:D254)</f>
        <v>0</v>
      </c>
      <c r="F254" s="15"/>
      <c r="G254" s="13"/>
      <c r="H254" s="14"/>
      <c r="I254" s="43">
        <f>SUM(F254:H254)</f>
        <v>0</v>
      </c>
      <c r="J254" s="10">
        <f>E254+I254</f>
        <v>0</v>
      </c>
      <c r="L254" s="24" t="s">
        <v>161</v>
      </c>
      <c r="M254" s="7"/>
      <c r="N254" s="8"/>
      <c r="O254" s="9"/>
      <c r="P254" s="43">
        <f t="shared" si="168"/>
        <v>0</v>
      </c>
      <c r="Q254" s="7"/>
      <c r="R254" s="8"/>
      <c r="S254" s="9"/>
      <c r="T254" s="43">
        <f t="shared" si="169"/>
        <v>0</v>
      </c>
      <c r="U254" s="10">
        <f t="shared" si="170"/>
        <v>0</v>
      </c>
      <c r="V254" s="61" t="s">
        <v>162</v>
      </c>
    </row>
    <row r="255" spans="1:23" ht="14.25" thickBot="1" x14ac:dyDescent="0.2">
      <c r="A255" s="35" t="s">
        <v>17</v>
      </c>
      <c r="B255" s="40">
        <f>SUM(B229:B254)</f>
        <v>0</v>
      </c>
      <c r="C255" s="41">
        <f t="shared" ref="C255:D255" si="183">SUM(C229:C254)</f>
        <v>0</v>
      </c>
      <c r="D255" s="52">
        <f t="shared" si="183"/>
        <v>0</v>
      </c>
      <c r="E255" s="39">
        <f t="shared" ref="E255" si="184">SUM(B255:D255)</f>
        <v>0</v>
      </c>
      <c r="F255" s="40">
        <f>SUM(F229:F254)</f>
        <v>0</v>
      </c>
      <c r="G255" s="41">
        <f t="shared" ref="G255:H255" si="185">SUM(G229:G254)</f>
        <v>0</v>
      </c>
      <c r="H255" s="52">
        <f t="shared" si="185"/>
        <v>0</v>
      </c>
      <c r="I255" s="39">
        <f t="shared" ref="I255" si="186">SUM(F255:H255)</f>
        <v>0</v>
      </c>
      <c r="J255" s="39">
        <f>E255+I255</f>
        <v>0</v>
      </c>
      <c r="L255" s="35" t="s">
        <v>17</v>
      </c>
      <c r="M255" s="40">
        <f>SUM(M229:M254)</f>
        <v>85</v>
      </c>
      <c r="N255" s="41">
        <f t="shared" ref="N255:O255" si="187">SUM(N229:N254)</f>
        <v>118</v>
      </c>
      <c r="O255" s="52">
        <f t="shared" si="187"/>
        <v>60</v>
      </c>
      <c r="P255" s="39">
        <f t="shared" si="168"/>
        <v>263</v>
      </c>
      <c r="Q255" s="40">
        <f>SUM(Q229:Q254)</f>
        <v>85</v>
      </c>
      <c r="R255" s="41">
        <f t="shared" ref="R255:S255" si="188">SUM(R229:R254)</f>
        <v>118</v>
      </c>
      <c r="S255" s="52">
        <f t="shared" si="188"/>
        <v>60</v>
      </c>
      <c r="T255" s="39">
        <f t="shared" si="169"/>
        <v>263</v>
      </c>
      <c r="U255" s="39">
        <f>P255+T255</f>
        <v>526</v>
      </c>
    </row>
    <row r="256" spans="1:23" ht="14.25" thickBot="1" x14ac:dyDescent="0.2">
      <c r="A256" s="21" t="s">
        <v>16</v>
      </c>
      <c r="B256" s="44">
        <f>B228-B255</f>
        <v>6</v>
      </c>
      <c r="C256" s="50">
        <f t="shared" ref="C256:D256" si="189">C228-C255</f>
        <v>7</v>
      </c>
      <c r="D256" s="51">
        <f t="shared" si="189"/>
        <v>3</v>
      </c>
      <c r="E256" s="49">
        <f>SUM(B256:D256)</f>
        <v>16</v>
      </c>
      <c r="F256" s="44">
        <f>F228-F255</f>
        <v>6</v>
      </c>
      <c r="G256" s="50">
        <f t="shared" ref="G256:H256" si="190">G228-G255</f>
        <v>7</v>
      </c>
      <c r="H256" s="51">
        <f t="shared" si="190"/>
        <v>3</v>
      </c>
      <c r="I256" s="49">
        <f>SUM(F256:H256)</f>
        <v>16</v>
      </c>
      <c r="J256" s="28">
        <f>E256+I256</f>
        <v>32</v>
      </c>
      <c r="L256" s="21" t="s">
        <v>16</v>
      </c>
      <c r="M256" s="44">
        <f>M228-M255</f>
        <v>96</v>
      </c>
      <c r="N256" s="50">
        <f t="shared" ref="N256:O256" si="191">N228-N255</f>
        <v>64</v>
      </c>
      <c r="O256" s="51">
        <f t="shared" si="191"/>
        <v>49</v>
      </c>
      <c r="P256" s="49">
        <f>SUM(M256:O256)</f>
        <v>209</v>
      </c>
      <c r="Q256" s="44">
        <f>Q228-Q255</f>
        <v>96</v>
      </c>
      <c r="R256" s="50">
        <f t="shared" ref="R256:S256" si="192">R228-R255</f>
        <v>64</v>
      </c>
      <c r="S256" s="51">
        <f t="shared" si="192"/>
        <v>49</v>
      </c>
      <c r="T256" s="49">
        <f>SUM(Q256:S256)</f>
        <v>209</v>
      </c>
      <c r="U256" s="28">
        <f>P256+T256</f>
        <v>418</v>
      </c>
    </row>
    <row r="257" spans="1:27" x14ac:dyDescent="0.15">
      <c r="P257" s="1"/>
      <c r="W257" t="s">
        <v>153</v>
      </c>
      <c r="X257">
        <v>100</v>
      </c>
      <c r="Y257">
        <v>120</v>
      </c>
      <c r="Z257">
        <v>80</v>
      </c>
      <c r="AA257" s="1">
        <f>SUM(X257:Z257)</f>
        <v>300</v>
      </c>
    </row>
    <row r="258" spans="1:27" x14ac:dyDescent="0.15">
      <c r="P258" s="1"/>
      <c r="W258" t="s">
        <v>154</v>
      </c>
      <c r="X258">
        <v>110</v>
      </c>
      <c r="Y258">
        <v>120</v>
      </c>
      <c r="Z258">
        <v>70</v>
      </c>
      <c r="AA258" s="1">
        <f>SUM(X258:Z258)</f>
        <v>300</v>
      </c>
    </row>
    <row r="259" spans="1:27" ht="19.5" thickBot="1" x14ac:dyDescent="0.25">
      <c r="A259" s="84" t="s">
        <v>29</v>
      </c>
      <c r="B259" s="85"/>
      <c r="C259" s="85"/>
      <c r="D259" s="85"/>
      <c r="E259" s="85"/>
      <c r="F259" s="85"/>
      <c r="G259" s="85"/>
      <c r="H259" s="85"/>
      <c r="I259" s="85"/>
      <c r="J259" s="85"/>
      <c r="L259" s="86" t="s">
        <v>30</v>
      </c>
      <c r="M259" s="87"/>
      <c r="N259" s="87"/>
      <c r="O259" s="87"/>
      <c r="P259" s="87"/>
      <c r="Q259" s="87"/>
      <c r="R259" s="87"/>
      <c r="S259" s="87"/>
      <c r="T259" s="87"/>
      <c r="U259" s="87"/>
      <c r="W259" t="s">
        <v>250</v>
      </c>
      <c r="X259">
        <f>121+67</f>
        <v>188</v>
      </c>
      <c r="Y259">
        <f>137+99</f>
        <v>236</v>
      </c>
      <c r="Z259">
        <f>84+48</f>
        <v>132</v>
      </c>
      <c r="AA259" s="1">
        <f>SUM(X259:Z259)</f>
        <v>556</v>
      </c>
    </row>
    <row r="260" spans="1:27" ht="14.25" thickBot="1" x14ac:dyDescent="0.2">
      <c r="A260" s="6"/>
      <c r="B260" s="146" t="s">
        <v>18</v>
      </c>
      <c r="C260" s="147"/>
      <c r="D260" s="147"/>
      <c r="E260" s="148"/>
      <c r="F260" s="146" t="s">
        <v>22</v>
      </c>
      <c r="G260" s="147"/>
      <c r="H260" s="147"/>
      <c r="I260" s="148"/>
      <c r="J260" s="101" t="s">
        <v>0</v>
      </c>
      <c r="L260" s="6"/>
      <c r="M260" s="146" t="s">
        <v>18</v>
      </c>
      <c r="N260" s="147"/>
      <c r="O260" s="147"/>
      <c r="P260" s="148"/>
      <c r="Q260" s="146" t="s">
        <v>22</v>
      </c>
      <c r="R260" s="147"/>
      <c r="S260" s="147"/>
      <c r="T260" s="148"/>
      <c r="U260" s="101" t="s">
        <v>0</v>
      </c>
      <c r="X260" s="65" t="e">
        <f>X259/$P$259*100</f>
        <v>#DIV/0!</v>
      </c>
      <c r="Y260" s="65" t="e">
        <f t="shared" ref="Y260:AA260" si="193">Y259/$P$259*100</f>
        <v>#DIV/0!</v>
      </c>
      <c r="Z260" s="65" t="e">
        <f t="shared" si="193"/>
        <v>#DIV/0!</v>
      </c>
      <c r="AA260" s="65" t="e">
        <f t="shared" si="193"/>
        <v>#DIV/0!</v>
      </c>
    </row>
    <row r="261" spans="1:27" ht="14.25" thickBot="1" x14ac:dyDescent="0.2">
      <c r="A261" s="6" t="s">
        <v>1</v>
      </c>
      <c r="B261" s="3" t="s">
        <v>2</v>
      </c>
      <c r="C261" s="4" t="s">
        <v>3</v>
      </c>
      <c r="D261" s="5" t="s">
        <v>4</v>
      </c>
      <c r="E261" s="6" t="s">
        <v>5</v>
      </c>
      <c r="F261" s="3" t="s">
        <v>2</v>
      </c>
      <c r="G261" s="4" t="s">
        <v>3</v>
      </c>
      <c r="H261" s="5" t="s">
        <v>4</v>
      </c>
      <c r="I261" s="6" t="s">
        <v>5</v>
      </c>
      <c r="J261" s="102"/>
      <c r="L261" s="6" t="s">
        <v>1</v>
      </c>
      <c r="M261" s="3" t="s">
        <v>2</v>
      </c>
      <c r="N261" s="4" t="s">
        <v>3</v>
      </c>
      <c r="O261" s="5" t="s">
        <v>4</v>
      </c>
      <c r="P261" s="6" t="s">
        <v>5</v>
      </c>
      <c r="Q261" s="3" t="s">
        <v>2</v>
      </c>
      <c r="R261" s="4" t="s">
        <v>3</v>
      </c>
      <c r="S261" s="5" t="s">
        <v>4</v>
      </c>
      <c r="T261" s="6" t="s">
        <v>5</v>
      </c>
      <c r="U261" s="102"/>
    </row>
    <row r="262" spans="1:27" ht="14.25" thickBot="1" x14ac:dyDescent="0.2">
      <c r="A262" s="62" t="s">
        <v>16</v>
      </c>
      <c r="B262" s="40">
        <f>B256</f>
        <v>6</v>
      </c>
      <c r="C262" s="41">
        <f>C256</f>
        <v>7</v>
      </c>
      <c r="D262" s="81">
        <f>D256</f>
        <v>3</v>
      </c>
      <c r="E262" s="39">
        <f>SUM(B262:D262)</f>
        <v>16</v>
      </c>
      <c r="F262" s="40">
        <f>F256</f>
        <v>6</v>
      </c>
      <c r="G262" s="41">
        <f>G256</f>
        <v>7</v>
      </c>
      <c r="H262" s="81">
        <f>H256</f>
        <v>3</v>
      </c>
      <c r="I262" s="39">
        <f>SUM(F262:H262)</f>
        <v>16</v>
      </c>
      <c r="J262" s="39">
        <f>E262+I262</f>
        <v>32</v>
      </c>
      <c r="L262" s="66" t="s">
        <v>6</v>
      </c>
      <c r="M262" s="25">
        <f>M256</f>
        <v>96</v>
      </c>
      <c r="N262" s="26">
        <f>N256</f>
        <v>64</v>
      </c>
      <c r="O262" s="27">
        <f>O256</f>
        <v>49</v>
      </c>
      <c r="P262" s="28">
        <f>SUM(M262:O262)</f>
        <v>209</v>
      </c>
      <c r="Q262" s="25">
        <f>Q256</f>
        <v>96</v>
      </c>
      <c r="R262" s="26">
        <f>R256</f>
        <v>64</v>
      </c>
      <c r="S262" s="27">
        <f>S256</f>
        <v>49</v>
      </c>
      <c r="T262" s="28">
        <f>SUM(Q262:S262)</f>
        <v>209</v>
      </c>
      <c r="U262" s="28">
        <f>P262+T262</f>
        <v>418</v>
      </c>
    </row>
    <row r="263" spans="1:27" x14ac:dyDescent="0.15">
      <c r="A263" s="23" t="s">
        <v>260</v>
      </c>
      <c r="B263" s="7">
        <v>1</v>
      </c>
      <c r="C263" s="8"/>
      <c r="D263" s="46">
        <v>2</v>
      </c>
      <c r="E263" s="10">
        <f t="shared" ref="E263" si="194">SUM(B263:D263)</f>
        <v>3</v>
      </c>
      <c r="F263" s="11">
        <v>1</v>
      </c>
      <c r="G263" s="8"/>
      <c r="H263" s="9">
        <v>2</v>
      </c>
      <c r="I263" s="10">
        <f t="shared" ref="I263" si="195">SUM(F263:H263)</f>
        <v>3</v>
      </c>
      <c r="J263" s="10">
        <f t="shared" ref="J263" si="196">E263+I263</f>
        <v>6</v>
      </c>
      <c r="K263" s="58">
        <v>45286</v>
      </c>
      <c r="L263" s="23" t="s">
        <v>260</v>
      </c>
      <c r="M263" s="16"/>
      <c r="N263" s="17"/>
      <c r="O263" s="45">
        <v>1</v>
      </c>
      <c r="P263" s="43">
        <f t="shared" ref="P263:P270" si="197">SUM(M263:O263)</f>
        <v>1</v>
      </c>
      <c r="Q263" s="19"/>
      <c r="R263" s="17"/>
      <c r="S263" s="18">
        <v>1</v>
      </c>
      <c r="T263" s="43">
        <f t="shared" ref="T263:T270" si="198">SUM(Q263:S263)</f>
        <v>1</v>
      </c>
      <c r="U263" s="43">
        <f t="shared" ref="U263:U270" si="199">P263+T263</f>
        <v>2</v>
      </c>
      <c r="V263" s="58">
        <v>45276</v>
      </c>
    </row>
    <row r="264" spans="1:27" x14ac:dyDescent="0.15">
      <c r="A264" s="23" t="s">
        <v>260</v>
      </c>
      <c r="B264" s="7"/>
      <c r="C264" s="8">
        <v>3</v>
      </c>
      <c r="D264" s="46">
        <v>1</v>
      </c>
      <c r="E264" s="10">
        <f t="shared" ref="E264:E270" si="200">SUM(B264:D264)</f>
        <v>4</v>
      </c>
      <c r="F264" s="11"/>
      <c r="G264" s="8">
        <v>3</v>
      </c>
      <c r="H264" s="9">
        <v>1</v>
      </c>
      <c r="I264" s="10">
        <f t="shared" ref="I264:I270" si="201">SUM(F264:H264)</f>
        <v>4</v>
      </c>
      <c r="J264" s="10">
        <f t="shared" ref="J264:J270" si="202">E264+I264</f>
        <v>8</v>
      </c>
      <c r="K264" s="58">
        <v>45306</v>
      </c>
      <c r="L264" s="23" t="s">
        <v>8</v>
      </c>
      <c r="M264" s="16"/>
      <c r="N264" s="17"/>
      <c r="O264" s="45">
        <v>2</v>
      </c>
      <c r="P264" s="10">
        <f t="shared" si="197"/>
        <v>2</v>
      </c>
      <c r="Q264" s="19"/>
      <c r="R264" s="17"/>
      <c r="S264" s="18">
        <v>2</v>
      </c>
      <c r="T264" s="10">
        <f t="shared" si="198"/>
        <v>2</v>
      </c>
      <c r="U264" s="10">
        <f t="shared" si="199"/>
        <v>4</v>
      </c>
      <c r="V264" s="58">
        <v>45297</v>
      </c>
    </row>
    <row r="265" spans="1:27" x14ac:dyDescent="0.15">
      <c r="A265" s="23" t="s">
        <v>260</v>
      </c>
      <c r="B265" s="7">
        <v>1</v>
      </c>
      <c r="C265" s="8"/>
      <c r="D265" s="46">
        <v>1</v>
      </c>
      <c r="E265" s="10">
        <f t="shared" si="200"/>
        <v>2</v>
      </c>
      <c r="F265" s="11">
        <v>1</v>
      </c>
      <c r="G265" s="8"/>
      <c r="H265" s="9">
        <v>1</v>
      </c>
      <c r="I265" s="10">
        <f t="shared" si="201"/>
        <v>2</v>
      </c>
      <c r="J265" s="10">
        <f t="shared" si="202"/>
        <v>4</v>
      </c>
      <c r="K265" s="58">
        <v>45320</v>
      </c>
      <c r="L265" s="23" t="s">
        <v>9</v>
      </c>
      <c r="M265" s="7"/>
      <c r="N265" s="8"/>
      <c r="O265" s="46">
        <v>4</v>
      </c>
      <c r="P265" s="10">
        <f t="shared" si="197"/>
        <v>4</v>
      </c>
      <c r="Q265" s="11"/>
      <c r="R265" s="8"/>
      <c r="S265" s="9">
        <v>4</v>
      </c>
      <c r="T265" s="10">
        <f t="shared" si="198"/>
        <v>4</v>
      </c>
      <c r="U265" s="10">
        <f t="shared" si="199"/>
        <v>8</v>
      </c>
      <c r="V265" s="58">
        <v>45325</v>
      </c>
    </row>
    <row r="266" spans="1:27" x14ac:dyDescent="0.15">
      <c r="A266" s="23" t="s">
        <v>287</v>
      </c>
      <c r="B266" s="7"/>
      <c r="C266" s="8"/>
      <c r="D266" s="46">
        <v>6</v>
      </c>
      <c r="E266" s="10">
        <f t="shared" si="200"/>
        <v>6</v>
      </c>
      <c r="F266" s="11"/>
      <c r="G266" s="8"/>
      <c r="H266" s="9">
        <v>6</v>
      </c>
      <c r="I266" s="10">
        <f t="shared" si="201"/>
        <v>6</v>
      </c>
      <c r="J266" s="10">
        <f t="shared" si="202"/>
        <v>12</v>
      </c>
      <c r="K266" s="58">
        <v>45317</v>
      </c>
      <c r="L266" s="23" t="s">
        <v>10</v>
      </c>
      <c r="M266" s="7"/>
      <c r="N266" s="8"/>
      <c r="O266" s="46"/>
      <c r="P266" s="10">
        <f t="shared" si="197"/>
        <v>0</v>
      </c>
      <c r="Q266" s="11"/>
      <c r="R266" s="8"/>
      <c r="S266" s="9"/>
      <c r="T266" s="10">
        <f t="shared" si="198"/>
        <v>0</v>
      </c>
      <c r="U266" s="10">
        <f t="shared" si="199"/>
        <v>0</v>
      </c>
    </row>
    <row r="267" spans="1:27" x14ac:dyDescent="0.15">
      <c r="A267" s="23" t="s">
        <v>11</v>
      </c>
      <c r="B267" s="7"/>
      <c r="C267" s="8"/>
      <c r="D267" s="46"/>
      <c r="E267" s="10">
        <f t="shared" si="200"/>
        <v>0</v>
      </c>
      <c r="F267" s="11"/>
      <c r="G267" s="8"/>
      <c r="H267" s="9"/>
      <c r="I267" s="10">
        <f t="shared" si="201"/>
        <v>0</v>
      </c>
      <c r="J267" s="10">
        <f t="shared" si="202"/>
        <v>0</v>
      </c>
      <c r="L267" s="23" t="s">
        <v>11</v>
      </c>
      <c r="M267" s="7"/>
      <c r="N267" s="8"/>
      <c r="O267" s="46"/>
      <c r="P267" s="10">
        <f t="shared" si="197"/>
        <v>0</v>
      </c>
      <c r="Q267" s="11"/>
      <c r="R267" s="8"/>
      <c r="S267" s="9"/>
      <c r="T267" s="10">
        <f t="shared" si="198"/>
        <v>0</v>
      </c>
      <c r="U267" s="10">
        <f t="shared" si="199"/>
        <v>0</v>
      </c>
    </row>
    <row r="268" spans="1:27" x14ac:dyDescent="0.15">
      <c r="A268" s="23" t="s">
        <v>12</v>
      </c>
      <c r="B268" s="7"/>
      <c r="C268" s="8"/>
      <c r="D268" s="46"/>
      <c r="E268" s="10">
        <f t="shared" si="200"/>
        <v>0</v>
      </c>
      <c r="F268" s="11"/>
      <c r="G268" s="8"/>
      <c r="H268" s="9"/>
      <c r="I268" s="10">
        <f t="shared" si="201"/>
        <v>0</v>
      </c>
      <c r="J268" s="10">
        <f t="shared" si="202"/>
        <v>0</v>
      </c>
      <c r="L268" s="23" t="s">
        <v>12</v>
      </c>
      <c r="M268" s="7">
        <v>20</v>
      </c>
      <c r="N268" s="8">
        <v>60</v>
      </c>
      <c r="O268" s="46">
        <v>40</v>
      </c>
      <c r="P268" s="10">
        <f t="shared" si="197"/>
        <v>120</v>
      </c>
      <c r="Q268" s="11">
        <v>20</v>
      </c>
      <c r="R268" s="8">
        <v>60</v>
      </c>
      <c r="S268" s="9">
        <v>40</v>
      </c>
      <c r="T268" s="10">
        <f t="shared" si="198"/>
        <v>120</v>
      </c>
      <c r="U268" s="10">
        <f t="shared" si="199"/>
        <v>240</v>
      </c>
      <c r="V268" s="56" t="s">
        <v>275</v>
      </c>
      <c r="W268" s="61"/>
    </row>
    <row r="269" spans="1:27" x14ac:dyDescent="0.15">
      <c r="A269" s="23" t="s">
        <v>13</v>
      </c>
      <c r="B269" s="12"/>
      <c r="C269" s="13"/>
      <c r="D269" s="47"/>
      <c r="E269" s="10">
        <f t="shared" si="200"/>
        <v>0</v>
      </c>
      <c r="F269" s="15"/>
      <c r="G269" s="13"/>
      <c r="H269" s="14"/>
      <c r="I269" s="10">
        <f t="shared" si="201"/>
        <v>0</v>
      </c>
      <c r="J269" s="10">
        <f t="shared" si="202"/>
        <v>0</v>
      </c>
      <c r="L269" s="23" t="s">
        <v>13</v>
      </c>
      <c r="M269" s="12"/>
      <c r="N269" s="13"/>
      <c r="O269" s="47"/>
      <c r="P269" s="10">
        <f t="shared" si="197"/>
        <v>0</v>
      </c>
      <c r="Q269" s="15"/>
      <c r="R269" s="13"/>
      <c r="S269" s="14"/>
      <c r="T269" s="10">
        <f t="shared" si="198"/>
        <v>0</v>
      </c>
      <c r="U269" s="10">
        <f t="shared" si="199"/>
        <v>0</v>
      </c>
      <c r="V269" s="61" t="s">
        <v>249</v>
      </c>
      <c r="W269" s="61"/>
    </row>
    <row r="270" spans="1:27" ht="14.25" thickBot="1" x14ac:dyDescent="0.2">
      <c r="A270" s="23" t="s">
        <v>14</v>
      </c>
      <c r="B270" s="29"/>
      <c r="C270" s="30"/>
      <c r="D270" s="48"/>
      <c r="E270" s="55">
        <f t="shared" si="200"/>
        <v>0</v>
      </c>
      <c r="F270" s="31"/>
      <c r="G270" s="31"/>
      <c r="H270" s="33"/>
      <c r="I270" s="55">
        <f t="shared" si="201"/>
        <v>0</v>
      </c>
      <c r="J270" s="20">
        <f t="shared" si="202"/>
        <v>0</v>
      </c>
      <c r="L270" s="23" t="s">
        <v>14</v>
      </c>
      <c r="M270" s="29"/>
      <c r="N270" s="30"/>
      <c r="O270" s="48"/>
      <c r="P270" s="55">
        <f t="shared" si="197"/>
        <v>0</v>
      </c>
      <c r="Q270" s="31"/>
      <c r="R270" s="31"/>
      <c r="S270" s="33"/>
      <c r="T270" s="55">
        <f t="shared" si="198"/>
        <v>0</v>
      </c>
      <c r="U270" s="20">
        <f t="shared" si="199"/>
        <v>0</v>
      </c>
    </row>
    <row r="271" spans="1:27" ht="14.25" thickBot="1" x14ac:dyDescent="0.2">
      <c r="A271" s="32" t="s">
        <v>15</v>
      </c>
      <c r="B271" s="25">
        <f>SUM(B262:B270)</f>
        <v>8</v>
      </c>
      <c r="C271" s="26">
        <f>SUM(C262:C270)</f>
        <v>10</v>
      </c>
      <c r="D271" s="27">
        <f>SUM(D262:D270)</f>
        <v>13</v>
      </c>
      <c r="E271" s="28">
        <f>SUM(B271:D271)</f>
        <v>31</v>
      </c>
      <c r="F271" s="25">
        <f>SUM(F262:F270)</f>
        <v>8</v>
      </c>
      <c r="G271" s="26">
        <f>SUM(G262:G270)</f>
        <v>10</v>
      </c>
      <c r="H271" s="27">
        <f>SUM(H262:H270)</f>
        <v>13</v>
      </c>
      <c r="I271" s="28">
        <f>SUM(F271:H271)</f>
        <v>31</v>
      </c>
      <c r="J271" s="28">
        <f>E271+I271</f>
        <v>62</v>
      </c>
      <c r="L271" s="32" t="s">
        <v>15</v>
      </c>
      <c r="M271" s="25">
        <f>SUM(M262:M270)</f>
        <v>116</v>
      </c>
      <c r="N271" s="26">
        <f>SUM(N262:N270)</f>
        <v>124</v>
      </c>
      <c r="O271" s="27">
        <f>SUM(O262:O270)</f>
        <v>96</v>
      </c>
      <c r="P271" s="28">
        <f>SUM(M271:O271)</f>
        <v>336</v>
      </c>
      <c r="Q271" s="25">
        <f>SUM(Q262:Q270)</f>
        <v>116</v>
      </c>
      <c r="R271" s="26">
        <f>SUM(R262:R270)</f>
        <v>124</v>
      </c>
      <c r="S271" s="27">
        <f>SUM(S262:S270)</f>
        <v>96</v>
      </c>
      <c r="T271" s="28">
        <f>SUM(Q271:S271)</f>
        <v>336</v>
      </c>
      <c r="U271" s="28">
        <f>P271+T271</f>
        <v>672</v>
      </c>
    </row>
    <row r="272" spans="1:27" x14ac:dyDescent="0.15">
      <c r="A272" s="22" t="s">
        <v>280</v>
      </c>
      <c r="B272" s="7">
        <v>1</v>
      </c>
      <c r="C272" s="8"/>
      <c r="D272" s="9"/>
      <c r="E272" s="43">
        <f t="shared" ref="E272:E296" si="203">SUM(B272:D272)</f>
        <v>1</v>
      </c>
      <c r="F272" s="11">
        <v>1</v>
      </c>
      <c r="G272" s="8"/>
      <c r="H272" s="9"/>
      <c r="I272" s="43">
        <f t="shared" ref="I272:I296" si="204">SUM(F272:H272)</f>
        <v>1</v>
      </c>
      <c r="J272" s="10">
        <f t="shared" ref="J272:J296" si="205">E272+I272</f>
        <v>2</v>
      </c>
      <c r="K272" s="56">
        <v>44931</v>
      </c>
      <c r="L272" s="22" t="s">
        <v>255</v>
      </c>
      <c r="M272" s="7">
        <v>8</v>
      </c>
      <c r="N272" s="8"/>
      <c r="O272" s="9"/>
      <c r="P272" s="43">
        <f t="shared" ref="P272:P291" si="206">SUM(M272:O272)</f>
        <v>8</v>
      </c>
      <c r="Q272" s="11">
        <v>8</v>
      </c>
      <c r="R272" s="8"/>
      <c r="S272" s="9"/>
      <c r="T272" s="43">
        <f t="shared" ref="T272:T291" si="207">SUM(Q272:S272)</f>
        <v>8</v>
      </c>
      <c r="U272" s="10">
        <f t="shared" ref="U272:U291" si="208">P272+T272</f>
        <v>16</v>
      </c>
      <c r="V272" s="56">
        <v>45274</v>
      </c>
      <c r="W272" s="61"/>
    </row>
    <row r="273" spans="1:23" x14ac:dyDescent="0.15">
      <c r="A273" s="22" t="s">
        <v>283</v>
      </c>
      <c r="B273" s="7"/>
      <c r="C273" s="8"/>
      <c r="D273" s="9">
        <v>2</v>
      </c>
      <c r="E273" s="43">
        <f t="shared" si="203"/>
        <v>2</v>
      </c>
      <c r="F273" s="11"/>
      <c r="G273" s="8"/>
      <c r="H273" s="9">
        <v>2</v>
      </c>
      <c r="I273" s="43">
        <f t="shared" si="204"/>
        <v>2</v>
      </c>
      <c r="J273" s="10">
        <f t="shared" si="205"/>
        <v>4</v>
      </c>
      <c r="K273" s="56">
        <v>45297</v>
      </c>
      <c r="L273" s="22" t="s">
        <v>257</v>
      </c>
      <c r="M273" s="7">
        <v>3</v>
      </c>
      <c r="N273" s="8"/>
      <c r="O273" s="9"/>
      <c r="P273" s="43">
        <f t="shared" si="206"/>
        <v>3</v>
      </c>
      <c r="Q273" s="11">
        <v>3</v>
      </c>
      <c r="R273" s="8"/>
      <c r="S273" s="9"/>
      <c r="T273" s="43">
        <f t="shared" si="207"/>
        <v>3</v>
      </c>
      <c r="U273" s="10">
        <f t="shared" si="208"/>
        <v>6</v>
      </c>
      <c r="V273" s="56">
        <v>45275</v>
      </c>
      <c r="W273" s="61"/>
    </row>
    <row r="274" spans="1:23" x14ac:dyDescent="0.15">
      <c r="A274" s="22" t="s">
        <v>284</v>
      </c>
      <c r="B274" s="7"/>
      <c r="C274" s="8">
        <v>1</v>
      </c>
      <c r="D274" s="9"/>
      <c r="E274" s="43">
        <f t="shared" si="203"/>
        <v>1</v>
      </c>
      <c r="F274" s="11"/>
      <c r="G274" s="8">
        <v>1</v>
      </c>
      <c r="H274" s="9"/>
      <c r="I274" s="43">
        <f t="shared" si="204"/>
        <v>1</v>
      </c>
      <c r="J274" s="10">
        <f t="shared" si="205"/>
        <v>2</v>
      </c>
      <c r="K274" s="58">
        <v>45300</v>
      </c>
      <c r="L274" s="22" t="s">
        <v>258</v>
      </c>
      <c r="M274" s="7">
        <v>4</v>
      </c>
      <c r="N274" s="8"/>
      <c r="O274" s="9">
        <v>1</v>
      </c>
      <c r="P274" s="43">
        <f t="shared" si="206"/>
        <v>5</v>
      </c>
      <c r="Q274" s="11">
        <v>4</v>
      </c>
      <c r="R274" s="8"/>
      <c r="S274" s="9">
        <v>1</v>
      </c>
      <c r="T274" s="43">
        <f t="shared" si="207"/>
        <v>5</v>
      </c>
      <c r="U274" s="10">
        <f t="shared" si="208"/>
        <v>10</v>
      </c>
      <c r="V274" s="56">
        <v>45275</v>
      </c>
      <c r="W274" s="61"/>
    </row>
    <row r="275" spans="1:23" x14ac:dyDescent="0.15">
      <c r="A275" s="22" t="s">
        <v>187</v>
      </c>
      <c r="B275" s="7"/>
      <c r="C275" s="8">
        <v>1</v>
      </c>
      <c r="D275" s="9"/>
      <c r="E275" s="43">
        <f t="shared" si="203"/>
        <v>1</v>
      </c>
      <c r="F275" s="11"/>
      <c r="G275" s="8">
        <v>1</v>
      </c>
      <c r="H275" s="9"/>
      <c r="I275" s="43">
        <f t="shared" si="204"/>
        <v>1</v>
      </c>
      <c r="J275" s="10">
        <f t="shared" si="205"/>
        <v>2</v>
      </c>
      <c r="K275" s="58">
        <v>45303</v>
      </c>
      <c r="L275" s="22" t="s">
        <v>261</v>
      </c>
      <c r="M275" s="7">
        <v>1</v>
      </c>
      <c r="N275" s="8"/>
      <c r="O275" s="9">
        <v>5</v>
      </c>
      <c r="P275" s="43">
        <f t="shared" si="206"/>
        <v>6</v>
      </c>
      <c r="Q275" s="11">
        <v>1</v>
      </c>
      <c r="R275" s="8"/>
      <c r="S275" s="9">
        <v>5</v>
      </c>
      <c r="T275" s="43">
        <f t="shared" si="207"/>
        <v>6</v>
      </c>
      <c r="U275" s="10">
        <f t="shared" si="208"/>
        <v>12</v>
      </c>
      <c r="V275" s="56">
        <v>45278</v>
      </c>
    </row>
    <row r="276" spans="1:23" x14ac:dyDescent="0.15">
      <c r="A276" s="22" t="s">
        <v>138</v>
      </c>
      <c r="B276" s="7">
        <v>1</v>
      </c>
      <c r="C276" s="8">
        <v>1</v>
      </c>
      <c r="D276" s="9">
        <v>1</v>
      </c>
      <c r="E276" s="43">
        <f t="shared" si="203"/>
        <v>3</v>
      </c>
      <c r="F276" s="11">
        <v>1</v>
      </c>
      <c r="G276" s="8">
        <v>1</v>
      </c>
      <c r="H276" s="9">
        <v>1</v>
      </c>
      <c r="I276" s="43">
        <f t="shared" si="204"/>
        <v>3</v>
      </c>
      <c r="J276" s="10">
        <f t="shared" si="205"/>
        <v>6</v>
      </c>
      <c r="K276" s="56">
        <v>45313</v>
      </c>
      <c r="L276" s="22" t="s">
        <v>263</v>
      </c>
      <c r="M276" s="7">
        <v>8</v>
      </c>
      <c r="N276" s="8">
        <v>8</v>
      </c>
      <c r="O276" s="9">
        <v>3</v>
      </c>
      <c r="P276" s="43">
        <f t="shared" si="206"/>
        <v>19</v>
      </c>
      <c r="Q276" s="11">
        <v>8</v>
      </c>
      <c r="R276" s="8">
        <v>8</v>
      </c>
      <c r="S276" s="9">
        <v>3</v>
      </c>
      <c r="T276" s="43">
        <f t="shared" si="207"/>
        <v>19</v>
      </c>
      <c r="U276" s="10">
        <f t="shared" si="208"/>
        <v>38</v>
      </c>
      <c r="V276" s="56">
        <v>45280</v>
      </c>
    </row>
    <row r="277" spans="1:23" x14ac:dyDescent="0.15">
      <c r="A277" s="22" t="s">
        <v>187</v>
      </c>
      <c r="B277" s="7"/>
      <c r="C277" s="8"/>
      <c r="D277" s="9">
        <v>1</v>
      </c>
      <c r="E277" s="43">
        <f t="shared" si="203"/>
        <v>1</v>
      </c>
      <c r="F277" s="11"/>
      <c r="G277" s="8"/>
      <c r="H277" s="9">
        <v>1</v>
      </c>
      <c r="I277" s="43">
        <f t="shared" si="204"/>
        <v>1</v>
      </c>
      <c r="J277" s="10">
        <f t="shared" si="205"/>
        <v>2</v>
      </c>
      <c r="K277" s="56">
        <v>45311</v>
      </c>
      <c r="L277" s="22" t="s">
        <v>265</v>
      </c>
      <c r="M277" s="7">
        <v>1</v>
      </c>
      <c r="N277" s="8">
        <v>2</v>
      </c>
      <c r="O277" s="9">
        <v>8</v>
      </c>
      <c r="P277" s="43">
        <f t="shared" si="206"/>
        <v>11</v>
      </c>
      <c r="Q277" s="11">
        <v>1</v>
      </c>
      <c r="R277" s="8">
        <v>2</v>
      </c>
      <c r="S277" s="9">
        <v>8</v>
      </c>
      <c r="T277" s="43">
        <f t="shared" si="207"/>
        <v>11</v>
      </c>
      <c r="U277" s="10">
        <f t="shared" si="208"/>
        <v>22</v>
      </c>
      <c r="V277" s="56">
        <v>45281</v>
      </c>
    </row>
    <row r="278" spans="1:23" x14ac:dyDescent="0.15">
      <c r="A278" s="22" t="s">
        <v>147</v>
      </c>
      <c r="B278" s="7"/>
      <c r="C278" s="8">
        <v>1</v>
      </c>
      <c r="D278" s="9">
        <v>2</v>
      </c>
      <c r="E278" s="43">
        <f t="shared" si="203"/>
        <v>3</v>
      </c>
      <c r="F278" s="11"/>
      <c r="G278" s="8">
        <v>1</v>
      </c>
      <c r="H278" s="9">
        <v>2</v>
      </c>
      <c r="I278" s="43">
        <f t="shared" si="204"/>
        <v>3</v>
      </c>
      <c r="J278" s="10">
        <f t="shared" si="205"/>
        <v>6</v>
      </c>
      <c r="K278" s="56">
        <v>45317</v>
      </c>
      <c r="L278" s="22" t="s">
        <v>267</v>
      </c>
      <c r="M278" s="7">
        <v>1</v>
      </c>
      <c r="N278" s="8">
        <v>4</v>
      </c>
      <c r="O278" s="9"/>
      <c r="P278" s="43">
        <f t="shared" si="206"/>
        <v>5</v>
      </c>
      <c r="Q278" s="11">
        <v>1</v>
      </c>
      <c r="R278" s="8">
        <v>4</v>
      </c>
      <c r="S278" s="9"/>
      <c r="T278" s="43">
        <f t="shared" si="207"/>
        <v>5</v>
      </c>
      <c r="U278" s="10">
        <f t="shared" si="208"/>
        <v>10</v>
      </c>
      <c r="V278" s="56">
        <v>45282</v>
      </c>
    </row>
    <row r="279" spans="1:23" x14ac:dyDescent="0.15">
      <c r="A279" s="22" t="s">
        <v>292</v>
      </c>
      <c r="B279" s="7"/>
      <c r="C279" s="8">
        <v>1</v>
      </c>
      <c r="D279" s="9"/>
      <c r="E279" s="43">
        <f t="shared" si="203"/>
        <v>1</v>
      </c>
      <c r="F279" s="11"/>
      <c r="G279" s="8">
        <v>1</v>
      </c>
      <c r="H279" s="9"/>
      <c r="I279" s="43">
        <f t="shared" si="204"/>
        <v>1</v>
      </c>
      <c r="J279" s="10">
        <f t="shared" si="205"/>
        <v>2</v>
      </c>
      <c r="K279" s="56">
        <v>45327</v>
      </c>
      <c r="L279" s="22" t="s">
        <v>269</v>
      </c>
      <c r="M279" s="7">
        <v>3</v>
      </c>
      <c r="N279" s="8">
        <v>1</v>
      </c>
      <c r="O279" s="9"/>
      <c r="P279" s="43">
        <f t="shared" si="206"/>
        <v>4</v>
      </c>
      <c r="Q279" s="11">
        <v>3</v>
      </c>
      <c r="R279" s="8">
        <v>1</v>
      </c>
      <c r="S279" s="9"/>
      <c r="T279" s="43">
        <f t="shared" si="207"/>
        <v>4</v>
      </c>
      <c r="U279" s="10">
        <f t="shared" si="208"/>
        <v>8</v>
      </c>
      <c r="V279" s="56">
        <v>45282</v>
      </c>
      <c r="W279" s="61"/>
    </row>
    <row r="280" spans="1:23" x14ac:dyDescent="0.15">
      <c r="A280" s="22" t="s">
        <v>97</v>
      </c>
      <c r="B280" s="7"/>
      <c r="C280" s="8"/>
      <c r="D280" s="9">
        <v>4</v>
      </c>
      <c r="E280" s="43">
        <f t="shared" si="203"/>
        <v>4</v>
      </c>
      <c r="F280" s="11"/>
      <c r="G280" s="8"/>
      <c r="H280" s="9">
        <v>4</v>
      </c>
      <c r="I280" s="43">
        <f t="shared" si="204"/>
        <v>4</v>
      </c>
      <c r="J280" s="10">
        <f t="shared" si="205"/>
        <v>8</v>
      </c>
      <c r="K280" s="56">
        <v>45325</v>
      </c>
      <c r="L280" s="22" t="s">
        <v>271</v>
      </c>
      <c r="M280" s="7"/>
      <c r="N280" s="8">
        <v>1</v>
      </c>
      <c r="O280" s="9">
        <v>3</v>
      </c>
      <c r="P280" s="43">
        <f t="shared" si="206"/>
        <v>4</v>
      </c>
      <c r="Q280" s="11"/>
      <c r="R280" s="8">
        <v>1</v>
      </c>
      <c r="S280" s="9">
        <v>3</v>
      </c>
      <c r="T280" s="43">
        <f t="shared" si="207"/>
        <v>4</v>
      </c>
      <c r="U280" s="10">
        <f t="shared" si="208"/>
        <v>8</v>
      </c>
      <c r="V280" s="56">
        <v>45285</v>
      </c>
    </row>
    <row r="281" spans="1:23" x14ac:dyDescent="0.15">
      <c r="A281" s="22" t="s">
        <v>187</v>
      </c>
      <c r="B281" s="12"/>
      <c r="C281" s="13">
        <v>1</v>
      </c>
      <c r="D281" s="14"/>
      <c r="E281" s="43">
        <f t="shared" si="203"/>
        <v>1</v>
      </c>
      <c r="F281" s="15"/>
      <c r="G281" s="13">
        <v>1</v>
      </c>
      <c r="H281" s="14"/>
      <c r="I281" s="43">
        <f t="shared" si="204"/>
        <v>1</v>
      </c>
      <c r="J281" s="10">
        <f t="shared" si="205"/>
        <v>2</v>
      </c>
      <c r="K281" s="56">
        <v>45327</v>
      </c>
      <c r="L281" s="22" t="s">
        <v>273</v>
      </c>
      <c r="M281" s="7">
        <v>5</v>
      </c>
      <c r="N281" s="8">
        <v>3</v>
      </c>
      <c r="O281" s="9">
        <v>3</v>
      </c>
      <c r="P281" s="43">
        <f t="shared" si="206"/>
        <v>11</v>
      </c>
      <c r="Q281" s="11">
        <v>5</v>
      </c>
      <c r="R281" s="8">
        <v>3</v>
      </c>
      <c r="S281" s="9">
        <v>3</v>
      </c>
      <c r="T281" s="43">
        <f t="shared" si="207"/>
        <v>11</v>
      </c>
      <c r="U281" s="10">
        <f t="shared" si="208"/>
        <v>22</v>
      </c>
      <c r="V281" s="56">
        <v>45287</v>
      </c>
    </row>
    <row r="282" spans="1:23" x14ac:dyDescent="0.15">
      <c r="A282" s="22" t="s">
        <v>299</v>
      </c>
      <c r="B282" s="7">
        <v>1</v>
      </c>
      <c r="C282" s="8"/>
      <c r="D282" s="9"/>
      <c r="E282" s="43">
        <f t="shared" si="203"/>
        <v>1</v>
      </c>
      <c r="F282" s="11">
        <v>1</v>
      </c>
      <c r="G282" s="8"/>
      <c r="H282" s="9"/>
      <c r="I282" s="43">
        <f t="shared" si="204"/>
        <v>1</v>
      </c>
      <c r="J282" s="10">
        <f t="shared" si="205"/>
        <v>2</v>
      </c>
      <c r="K282" s="56">
        <v>45350</v>
      </c>
      <c r="L282" s="22" t="s">
        <v>276</v>
      </c>
      <c r="M282" s="7"/>
      <c r="N282" s="8">
        <v>1</v>
      </c>
      <c r="O282" s="9">
        <v>1</v>
      </c>
      <c r="P282" s="43">
        <f t="shared" si="206"/>
        <v>2</v>
      </c>
      <c r="Q282" s="11"/>
      <c r="R282" s="8">
        <v>1</v>
      </c>
      <c r="S282" s="9">
        <v>1</v>
      </c>
      <c r="T282" s="43">
        <f t="shared" si="207"/>
        <v>2</v>
      </c>
      <c r="U282" s="10">
        <f t="shared" si="208"/>
        <v>4</v>
      </c>
      <c r="V282" s="56">
        <v>45288</v>
      </c>
    </row>
    <row r="283" spans="1:23" x14ac:dyDescent="0.15">
      <c r="A283" s="22"/>
      <c r="B283" s="7"/>
      <c r="C283" s="8"/>
      <c r="D283" s="9"/>
      <c r="E283" s="43">
        <f t="shared" si="203"/>
        <v>0</v>
      </c>
      <c r="F283" s="11"/>
      <c r="G283" s="8"/>
      <c r="H283" s="9"/>
      <c r="I283" s="43">
        <f t="shared" si="204"/>
        <v>0</v>
      </c>
      <c r="J283" s="10">
        <f t="shared" si="205"/>
        <v>0</v>
      </c>
      <c r="K283" s="61"/>
      <c r="L283" s="22" t="s">
        <v>278</v>
      </c>
      <c r="M283" s="7">
        <v>1</v>
      </c>
      <c r="N283" s="8"/>
      <c r="O283" s="9"/>
      <c r="P283" s="43">
        <f t="shared" si="206"/>
        <v>1</v>
      </c>
      <c r="Q283" s="11">
        <v>1</v>
      </c>
      <c r="R283" s="8"/>
      <c r="S283" s="9"/>
      <c r="T283" s="43">
        <f t="shared" si="207"/>
        <v>1</v>
      </c>
      <c r="U283" s="10">
        <f t="shared" si="208"/>
        <v>2</v>
      </c>
      <c r="V283" s="56">
        <v>45288</v>
      </c>
    </row>
    <row r="284" spans="1:23" x14ac:dyDescent="0.15">
      <c r="A284" s="22"/>
      <c r="B284" s="7"/>
      <c r="C284" s="8"/>
      <c r="D284" s="9"/>
      <c r="E284" s="43">
        <f t="shared" si="203"/>
        <v>0</v>
      </c>
      <c r="F284" s="11"/>
      <c r="G284" s="8"/>
      <c r="H284" s="9"/>
      <c r="I284" s="43">
        <f t="shared" si="204"/>
        <v>0</v>
      </c>
      <c r="J284" s="10">
        <f t="shared" si="205"/>
        <v>0</v>
      </c>
      <c r="L284" s="22" t="s">
        <v>133</v>
      </c>
      <c r="M284" s="7"/>
      <c r="N284" s="8">
        <v>2</v>
      </c>
      <c r="O284" s="9">
        <v>1</v>
      </c>
      <c r="P284" s="43">
        <f t="shared" si="206"/>
        <v>3</v>
      </c>
      <c r="Q284" s="11"/>
      <c r="R284" s="8">
        <v>2</v>
      </c>
      <c r="S284" s="9">
        <v>1</v>
      </c>
      <c r="T284" s="43">
        <f t="shared" si="207"/>
        <v>3</v>
      </c>
      <c r="U284" s="10">
        <f t="shared" si="208"/>
        <v>6</v>
      </c>
      <c r="V284" s="56">
        <v>45302</v>
      </c>
    </row>
    <row r="285" spans="1:23" x14ac:dyDescent="0.15">
      <c r="A285" s="22"/>
      <c r="B285" s="7"/>
      <c r="C285" s="8"/>
      <c r="D285" s="9"/>
      <c r="E285" s="43">
        <f t="shared" si="203"/>
        <v>0</v>
      </c>
      <c r="F285" s="11"/>
      <c r="G285" s="8"/>
      <c r="H285" s="9"/>
      <c r="I285" s="43">
        <f t="shared" si="204"/>
        <v>0</v>
      </c>
      <c r="J285" s="10">
        <f t="shared" si="205"/>
        <v>0</v>
      </c>
      <c r="L285" s="22" t="s">
        <v>135</v>
      </c>
      <c r="M285" s="7"/>
      <c r="N285" s="8">
        <v>3</v>
      </c>
      <c r="O285" s="9">
        <v>1</v>
      </c>
      <c r="P285" s="43">
        <f t="shared" si="206"/>
        <v>4</v>
      </c>
      <c r="Q285" s="11"/>
      <c r="R285" s="8">
        <v>3</v>
      </c>
      <c r="S285" s="9">
        <v>1</v>
      </c>
      <c r="T285" s="43">
        <f t="shared" si="207"/>
        <v>4</v>
      </c>
      <c r="U285" s="10">
        <f t="shared" si="208"/>
        <v>8</v>
      </c>
      <c r="V285" s="56">
        <v>45303</v>
      </c>
    </row>
    <row r="286" spans="1:23" x14ac:dyDescent="0.15">
      <c r="A286" s="22"/>
      <c r="B286" s="7"/>
      <c r="C286" s="8"/>
      <c r="D286" s="9"/>
      <c r="E286" s="43">
        <f t="shared" si="203"/>
        <v>0</v>
      </c>
      <c r="F286" s="11"/>
      <c r="G286" s="8"/>
      <c r="H286" s="9"/>
      <c r="I286" s="43">
        <f t="shared" si="204"/>
        <v>0</v>
      </c>
      <c r="J286" s="10">
        <f t="shared" si="205"/>
        <v>0</v>
      </c>
      <c r="L286" s="22" t="s">
        <v>137</v>
      </c>
      <c r="M286" s="7"/>
      <c r="N286" s="8">
        <v>1</v>
      </c>
      <c r="O286" s="9"/>
      <c r="P286" s="43">
        <f t="shared" si="206"/>
        <v>1</v>
      </c>
      <c r="Q286" s="11"/>
      <c r="R286" s="8">
        <v>1</v>
      </c>
      <c r="S286" s="9"/>
      <c r="T286" s="43">
        <f t="shared" si="207"/>
        <v>1</v>
      </c>
      <c r="U286" s="10">
        <f t="shared" si="208"/>
        <v>2</v>
      </c>
      <c r="V286" s="56">
        <v>45308</v>
      </c>
    </row>
    <row r="287" spans="1:23" x14ac:dyDescent="0.15">
      <c r="A287" s="22"/>
      <c r="B287" s="7"/>
      <c r="C287" s="8"/>
      <c r="D287" s="9"/>
      <c r="E287" s="43">
        <f t="shared" si="203"/>
        <v>0</v>
      </c>
      <c r="F287" s="11"/>
      <c r="G287" s="8"/>
      <c r="H287" s="9"/>
      <c r="I287" s="43">
        <f t="shared" si="204"/>
        <v>0</v>
      </c>
      <c r="J287" s="10">
        <f t="shared" si="205"/>
        <v>0</v>
      </c>
      <c r="L287" s="22" t="s">
        <v>142</v>
      </c>
      <c r="M287" s="7"/>
      <c r="N287" s="8">
        <v>1</v>
      </c>
      <c r="O287" s="9"/>
      <c r="P287" s="43">
        <f t="shared" si="206"/>
        <v>1</v>
      </c>
      <c r="Q287" s="11"/>
      <c r="R287" s="8">
        <v>1</v>
      </c>
      <c r="S287" s="9"/>
      <c r="T287" s="43">
        <f t="shared" si="207"/>
        <v>1</v>
      </c>
      <c r="U287" s="10">
        <f t="shared" si="208"/>
        <v>2</v>
      </c>
      <c r="V287" s="56">
        <v>45315</v>
      </c>
    </row>
    <row r="288" spans="1:23" x14ac:dyDescent="0.15">
      <c r="A288" s="24"/>
      <c r="B288" s="7"/>
      <c r="C288" s="8"/>
      <c r="D288" s="9"/>
      <c r="E288" s="43">
        <f t="shared" si="203"/>
        <v>0</v>
      </c>
      <c r="F288" s="11"/>
      <c r="G288" s="8"/>
      <c r="H288" s="9"/>
      <c r="I288" s="43">
        <f t="shared" si="204"/>
        <v>0</v>
      </c>
      <c r="J288" s="10">
        <f t="shared" si="205"/>
        <v>0</v>
      </c>
      <c r="L288" s="22" t="s">
        <v>143</v>
      </c>
      <c r="M288" s="7">
        <v>1</v>
      </c>
      <c r="N288" s="8">
        <v>2</v>
      </c>
      <c r="O288" s="9"/>
      <c r="P288" s="43">
        <f t="shared" si="206"/>
        <v>3</v>
      </c>
      <c r="Q288" s="11">
        <v>1</v>
      </c>
      <c r="R288" s="8">
        <v>2</v>
      </c>
      <c r="S288" s="9"/>
      <c r="T288" s="43">
        <f t="shared" si="207"/>
        <v>3</v>
      </c>
      <c r="U288" s="10">
        <f t="shared" si="208"/>
        <v>6</v>
      </c>
      <c r="V288" s="56">
        <v>45316</v>
      </c>
    </row>
    <row r="289" spans="1:22" x14ac:dyDescent="0.15">
      <c r="A289" s="22"/>
      <c r="B289" s="7"/>
      <c r="C289" s="8"/>
      <c r="D289" s="9"/>
      <c r="E289" s="43">
        <f t="shared" si="203"/>
        <v>0</v>
      </c>
      <c r="F289" s="11"/>
      <c r="G289" s="8"/>
      <c r="H289" s="9"/>
      <c r="I289" s="43">
        <f t="shared" si="204"/>
        <v>0</v>
      </c>
      <c r="J289" s="10">
        <f t="shared" si="205"/>
        <v>0</v>
      </c>
      <c r="L289" s="22" t="s">
        <v>286</v>
      </c>
      <c r="M289" s="7">
        <v>1</v>
      </c>
      <c r="N289" s="8"/>
      <c r="O289" s="9"/>
      <c r="P289" s="43">
        <f t="shared" si="206"/>
        <v>1</v>
      </c>
      <c r="Q289" s="11">
        <v>1</v>
      </c>
      <c r="R289" s="8"/>
      <c r="S289" s="9"/>
      <c r="T289" s="43">
        <f t="shared" si="207"/>
        <v>1</v>
      </c>
      <c r="U289" s="10">
        <f t="shared" si="208"/>
        <v>2</v>
      </c>
      <c r="V289" s="56">
        <v>45317</v>
      </c>
    </row>
    <row r="290" spans="1:22" x14ac:dyDescent="0.15">
      <c r="A290" s="22"/>
      <c r="B290" s="7"/>
      <c r="C290" s="8"/>
      <c r="D290" s="9"/>
      <c r="E290" s="43">
        <f t="shared" si="203"/>
        <v>0</v>
      </c>
      <c r="F290" s="11"/>
      <c r="G290" s="8"/>
      <c r="H290" s="9"/>
      <c r="I290" s="43">
        <f t="shared" si="204"/>
        <v>0</v>
      </c>
      <c r="J290" s="10">
        <f t="shared" si="205"/>
        <v>0</v>
      </c>
      <c r="L290" s="22" t="s">
        <v>156</v>
      </c>
      <c r="M290" s="7">
        <v>1</v>
      </c>
      <c r="N290" s="8"/>
      <c r="O290" s="9"/>
      <c r="P290" s="43">
        <f t="shared" si="206"/>
        <v>1</v>
      </c>
      <c r="Q290" s="11">
        <v>1</v>
      </c>
      <c r="R290" s="8"/>
      <c r="S290" s="9"/>
      <c r="T290" s="43">
        <f t="shared" si="207"/>
        <v>1</v>
      </c>
      <c r="U290" s="10">
        <f t="shared" si="208"/>
        <v>2</v>
      </c>
      <c r="V290" s="56">
        <v>45322</v>
      </c>
    </row>
    <row r="291" spans="1:22" x14ac:dyDescent="0.15">
      <c r="A291" s="22"/>
      <c r="B291" s="7"/>
      <c r="C291" s="8"/>
      <c r="D291" s="9"/>
      <c r="E291" s="43">
        <f t="shared" si="203"/>
        <v>0</v>
      </c>
      <c r="F291" s="11"/>
      <c r="G291" s="8"/>
      <c r="H291" s="9"/>
      <c r="I291" s="43">
        <f t="shared" si="204"/>
        <v>0</v>
      </c>
      <c r="J291" s="10">
        <f t="shared" si="205"/>
        <v>0</v>
      </c>
      <c r="L291" s="22" t="s">
        <v>289</v>
      </c>
      <c r="M291" s="7"/>
      <c r="N291" s="8"/>
      <c r="O291" s="9">
        <v>1</v>
      </c>
      <c r="P291" s="43">
        <f t="shared" si="206"/>
        <v>1</v>
      </c>
      <c r="Q291" s="11"/>
      <c r="R291" s="8"/>
      <c r="S291" s="9">
        <v>1</v>
      </c>
      <c r="T291" s="43">
        <f t="shared" si="207"/>
        <v>1</v>
      </c>
      <c r="U291" s="10">
        <f t="shared" si="208"/>
        <v>2</v>
      </c>
      <c r="V291" s="56">
        <v>45324</v>
      </c>
    </row>
    <row r="292" spans="1:22" x14ac:dyDescent="0.15">
      <c r="A292" s="22"/>
      <c r="B292" s="7"/>
      <c r="C292" s="8"/>
      <c r="D292" s="9"/>
      <c r="E292" s="43">
        <f t="shared" si="203"/>
        <v>0</v>
      </c>
      <c r="F292" s="11"/>
      <c r="G292" s="8"/>
      <c r="H292" s="9"/>
      <c r="I292" s="43">
        <f t="shared" si="204"/>
        <v>0</v>
      </c>
      <c r="J292" s="10">
        <f t="shared" si="205"/>
        <v>0</v>
      </c>
      <c r="L292" s="22" t="s">
        <v>293</v>
      </c>
      <c r="M292" s="7">
        <v>1</v>
      </c>
      <c r="N292" s="8">
        <v>1</v>
      </c>
      <c r="O292" s="9"/>
      <c r="P292" s="43">
        <f t="shared" ref="P292:P298" si="209">SUM(M292:O292)</f>
        <v>2</v>
      </c>
      <c r="Q292" s="11">
        <v>1</v>
      </c>
      <c r="R292" s="8">
        <v>1</v>
      </c>
      <c r="S292" s="9"/>
      <c r="T292" s="43">
        <f t="shared" ref="T292:T298" si="210">SUM(Q292:S292)</f>
        <v>2</v>
      </c>
      <c r="U292" s="10">
        <f t="shared" ref="U292" si="211">P292+T292</f>
        <v>4</v>
      </c>
      <c r="V292" s="56">
        <v>45329</v>
      </c>
    </row>
    <row r="293" spans="1:22" x14ac:dyDescent="0.15">
      <c r="A293" s="63"/>
      <c r="B293" s="12"/>
      <c r="C293" s="13"/>
      <c r="D293" s="14"/>
      <c r="E293" s="43">
        <f t="shared" si="203"/>
        <v>0</v>
      </c>
      <c r="F293" s="15"/>
      <c r="G293" s="13"/>
      <c r="H293" s="14"/>
      <c r="I293" s="43">
        <f t="shared" si="204"/>
        <v>0</v>
      </c>
      <c r="J293" s="10">
        <f t="shared" si="205"/>
        <v>0</v>
      </c>
      <c r="L293" s="22" t="s">
        <v>296</v>
      </c>
      <c r="M293" s="7"/>
      <c r="N293" s="8"/>
      <c r="O293" s="9">
        <v>1</v>
      </c>
      <c r="P293" s="43">
        <f t="shared" ref="P293:P296" si="212">SUM(M293:O293)</f>
        <v>1</v>
      </c>
      <c r="Q293" s="11"/>
      <c r="R293" s="8"/>
      <c r="S293" s="9">
        <v>1</v>
      </c>
      <c r="T293" s="43">
        <f t="shared" ref="T293:T296" si="213">SUM(Q293:S293)</f>
        <v>1</v>
      </c>
      <c r="U293" s="10">
        <f t="shared" ref="U293:U296" si="214">P293+T293</f>
        <v>2</v>
      </c>
      <c r="V293" s="56">
        <v>45331</v>
      </c>
    </row>
    <row r="294" spans="1:22" x14ac:dyDescent="0.15">
      <c r="A294" s="22"/>
      <c r="B294" s="7"/>
      <c r="C294" s="8"/>
      <c r="D294" s="9"/>
      <c r="E294" s="43">
        <f t="shared" si="203"/>
        <v>0</v>
      </c>
      <c r="F294" s="11"/>
      <c r="G294" s="8"/>
      <c r="H294" s="9"/>
      <c r="I294" s="43">
        <f t="shared" si="204"/>
        <v>0</v>
      </c>
      <c r="J294" s="10">
        <f t="shared" si="205"/>
        <v>0</v>
      </c>
      <c r="L294" s="22" t="s">
        <v>297</v>
      </c>
      <c r="M294" s="7">
        <v>1</v>
      </c>
      <c r="N294" s="8">
        <v>2</v>
      </c>
      <c r="O294" s="9">
        <v>1</v>
      </c>
      <c r="P294" s="43">
        <f t="shared" si="212"/>
        <v>4</v>
      </c>
      <c r="Q294" s="11">
        <v>1</v>
      </c>
      <c r="R294" s="8">
        <v>2</v>
      </c>
      <c r="S294" s="9">
        <v>1</v>
      </c>
      <c r="T294" s="43">
        <f t="shared" si="213"/>
        <v>4</v>
      </c>
      <c r="U294" s="10">
        <f t="shared" si="214"/>
        <v>8</v>
      </c>
      <c r="V294" s="56">
        <v>45343</v>
      </c>
    </row>
    <row r="295" spans="1:22" x14ac:dyDescent="0.15">
      <c r="A295" s="63"/>
      <c r="B295" s="7"/>
      <c r="C295" s="8"/>
      <c r="D295" s="9"/>
      <c r="E295" s="43">
        <f t="shared" si="203"/>
        <v>0</v>
      </c>
      <c r="F295" s="11"/>
      <c r="G295" s="8"/>
      <c r="H295" s="9"/>
      <c r="I295" s="43">
        <f t="shared" si="204"/>
        <v>0</v>
      </c>
      <c r="J295" s="10">
        <f t="shared" si="205"/>
        <v>0</v>
      </c>
      <c r="L295" s="22" t="s">
        <v>298</v>
      </c>
      <c r="M295" s="7">
        <v>1</v>
      </c>
      <c r="N295" s="8"/>
      <c r="O295" s="9"/>
      <c r="P295" s="43">
        <f t="shared" si="212"/>
        <v>1</v>
      </c>
      <c r="Q295" s="11">
        <v>1</v>
      </c>
      <c r="R295" s="8"/>
      <c r="S295" s="9"/>
      <c r="T295" s="43">
        <f t="shared" si="213"/>
        <v>1</v>
      </c>
      <c r="U295" s="10">
        <f t="shared" si="214"/>
        <v>2</v>
      </c>
      <c r="V295" s="56">
        <v>45344</v>
      </c>
    </row>
    <row r="296" spans="1:22" x14ac:dyDescent="0.15">
      <c r="A296" s="22"/>
      <c r="B296" s="7"/>
      <c r="C296" s="8"/>
      <c r="D296" s="9"/>
      <c r="E296" s="43">
        <f t="shared" si="203"/>
        <v>0</v>
      </c>
      <c r="F296" s="11"/>
      <c r="G296" s="8"/>
      <c r="H296" s="9"/>
      <c r="I296" s="43">
        <f t="shared" si="204"/>
        <v>0</v>
      </c>
      <c r="J296" s="10">
        <f t="shared" si="205"/>
        <v>0</v>
      </c>
      <c r="L296" s="24" t="s">
        <v>300</v>
      </c>
      <c r="M296" s="7">
        <v>1</v>
      </c>
      <c r="N296" s="8">
        <v>1</v>
      </c>
      <c r="O296" s="9"/>
      <c r="P296" s="43">
        <f t="shared" si="212"/>
        <v>2</v>
      </c>
      <c r="Q296" s="11">
        <v>1</v>
      </c>
      <c r="R296" s="8">
        <v>1</v>
      </c>
      <c r="S296" s="9"/>
      <c r="T296" s="43">
        <f t="shared" si="213"/>
        <v>2</v>
      </c>
      <c r="U296" s="10">
        <f t="shared" si="214"/>
        <v>4</v>
      </c>
      <c r="V296" s="56">
        <v>45351</v>
      </c>
    </row>
    <row r="297" spans="1:22" ht="14.25" thickBot="1" x14ac:dyDescent="0.2">
      <c r="A297" s="60"/>
      <c r="B297" s="12"/>
      <c r="C297" s="13"/>
      <c r="D297" s="14"/>
      <c r="E297" s="43">
        <f>SUM(B297:D297)</f>
        <v>0</v>
      </c>
      <c r="F297" s="15"/>
      <c r="G297" s="13"/>
      <c r="H297" s="14"/>
      <c r="I297" s="43">
        <f>SUM(F297:H297)</f>
        <v>0</v>
      </c>
      <c r="J297" s="10">
        <f>E297+I297</f>
        <v>0</v>
      </c>
      <c r="L297" s="24" t="s">
        <v>301</v>
      </c>
      <c r="M297" s="7"/>
      <c r="N297" s="8">
        <v>6</v>
      </c>
      <c r="O297" s="9"/>
      <c r="P297" s="43">
        <f t="shared" ref="P297" si="215">SUM(M297:O297)</f>
        <v>6</v>
      </c>
      <c r="Q297" s="11"/>
      <c r="R297" s="8">
        <v>6</v>
      </c>
      <c r="S297" s="9"/>
      <c r="T297" s="43">
        <f t="shared" ref="T297" si="216">SUM(Q297:S297)</f>
        <v>6</v>
      </c>
      <c r="U297" s="10">
        <f t="shared" ref="U297" si="217">P297+T297</f>
        <v>12</v>
      </c>
      <c r="V297" s="56">
        <v>45352</v>
      </c>
    </row>
    <row r="298" spans="1:22" ht="14.25" thickBot="1" x14ac:dyDescent="0.2">
      <c r="A298" s="35" t="s">
        <v>17</v>
      </c>
      <c r="B298" s="40">
        <f>SUM(B272:B297)</f>
        <v>3</v>
      </c>
      <c r="C298" s="41">
        <f t="shared" ref="C298:D298" si="218">SUM(C272:C297)</f>
        <v>6</v>
      </c>
      <c r="D298" s="52">
        <f t="shared" si="218"/>
        <v>10</v>
      </c>
      <c r="E298" s="39">
        <f t="shared" ref="E298" si="219">SUM(B298:D298)</f>
        <v>19</v>
      </c>
      <c r="F298" s="40">
        <f>SUM(F272:F297)</f>
        <v>3</v>
      </c>
      <c r="G298" s="41">
        <f t="shared" ref="G298:H298" si="220">SUM(G272:G297)</f>
        <v>6</v>
      </c>
      <c r="H298" s="52">
        <f t="shared" si="220"/>
        <v>10</v>
      </c>
      <c r="I298" s="39">
        <f t="shared" ref="I298" si="221">SUM(F298:H298)</f>
        <v>19</v>
      </c>
      <c r="J298" s="39">
        <f>E298+I298</f>
        <v>38</v>
      </c>
      <c r="L298" s="35" t="s">
        <v>17</v>
      </c>
      <c r="M298" s="40">
        <f>SUM(M272:M297)</f>
        <v>42</v>
      </c>
      <c r="N298" s="41">
        <f t="shared" ref="N298:O298" si="222">SUM(N272:N297)</f>
        <v>39</v>
      </c>
      <c r="O298" s="52">
        <f t="shared" si="222"/>
        <v>29</v>
      </c>
      <c r="P298" s="39">
        <f t="shared" si="209"/>
        <v>110</v>
      </c>
      <c r="Q298" s="40">
        <f>SUM(Q272:Q297)</f>
        <v>42</v>
      </c>
      <c r="R298" s="41">
        <f t="shared" ref="R298:S298" si="223">SUM(R272:R297)</f>
        <v>39</v>
      </c>
      <c r="S298" s="52">
        <f t="shared" si="223"/>
        <v>29</v>
      </c>
      <c r="T298" s="39">
        <f t="shared" si="210"/>
        <v>110</v>
      </c>
      <c r="U298" s="39">
        <f>P298+T298</f>
        <v>220</v>
      </c>
    </row>
    <row r="299" spans="1:22" ht="14.25" thickBot="1" x14ac:dyDescent="0.2">
      <c r="A299" s="21" t="s">
        <v>16</v>
      </c>
      <c r="B299" s="44">
        <f>B271-B298</f>
        <v>5</v>
      </c>
      <c r="C299" s="50">
        <f t="shared" ref="C299:D299" si="224">C271-C298</f>
        <v>4</v>
      </c>
      <c r="D299" s="51">
        <f t="shared" si="224"/>
        <v>3</v>
      </c>
      <c r="E299" s="49">
        <f>SUM(B299:D299)</f>
        <v>12</v>
      </c>
      <c r="F299" s="44">
        <f>F271-F298</f>
        <v>5</v>
      </c>
      <c r="G299" s="50">
        <f t="shared" ref="G299:H299" si="225">G271-G298</f>
        <v>4</v>
      </c>
      <c r="H299" s="51">
        <f t="shared" si="225"/>
        <v>3</v>
      </c>
      <c r="I299" s="49">
        <f>SUM(F299:H299)</f>
        <v>12</v>
      </c>
      <c r="J299" s="28">
        <f>E299+I299</f>
        <v>24</v>
      </c>
      <c r="L299" s="21" t="s">
        <v>16</v>
      </c>
      <c r="M299" s="44">
        <f>M271-M298</f>
        <v>74</v>
      </c>
      <c r="N299" s="50">
        <f t="shared" ref="N299:O299" si="226">N271-N298</f>
        <v>85</v>
      </c>
      <c r="O299" s="51">
        <f t="shared" si="226"/>
        <v>67</v>
      </c>
      <c r="P299" s="49">
        <f>SUM(M299:O299)</f>
        <v>226</v>
      </c>
      <c r="Q299" s="44">
        <f>Q271-Q298</f>
        <v>74</v>
      </c>
      <c r="R299" s="50">
        <f t="shared" ref="R299:S299" si="227">R271-R298</f>
        <v>85</v>
      </c>
      <c r="S299" s="51">
        <f t="shared" si="227"/>
        <v>67</v>
      </c>
      <c r="T299" s="49">
        <f>SUM(Q299:S299)</f>
        <v>226</v>
      </c>
      <c r="U299" s="28">
        <f>P299+T299</f>
        <v>452</v>
      </c>
    </row>
    <row r="300" spans="1:22" x14ac:dyDescent="0.15">
      <c r="M300" s="34">
        <f>M298+M255+M212</f>
        <v>248</v>
      </c>
      <c r="N300" s="34">
        <f t="shared" ref="N300:P300" si="228">N298+N255+N212</f>
        <v>294</v>
      </c>
      <c r="O300" s="34">
        <f t="shared" si="228"/>
        <v>173</v>
      </c>
      <c r="P300" s="34">
        <f t="shared" si="228"/>
        <v>715</v>
      </c>
    </row>
    <row r="301" spans="1:22" x14ac:dyDescent="0.15">
      <c r="M301" s="89">
        <f>M300/$P$300*100</f>
        <v>34.68531468531468</v>
      </c>
      <c r="N301" s="89">
        <f t="shared" ref="N301:P301" si="229">N300/$P$300*100</f>
        <v>41.11888111888112</v>
      </c>
      <c r="O301" s="89">
        <f t="shared" si="229"/>
        <v>24.195804195804197</v>
      </c>
      <c r="P301" s="89">
        <f t="shared" si="229"/>
        <v>100</v>
      </c>
    </row>
    <row r="302" spans="1:22" ht="19.5" thickBot="1" x14ac:dyDescent="0.25">
      <c r="A302" s="84" t="s">
        <v>29</v>
      </c>
      <c r="B302" s="85"/>
      <c r="C302" s="85"/>
      <c r="D302" s="85"/>
      <c r="E302" s="85"/>
      <c r="F302" s="85"/>
      <c r="G302" s="85"/>
      <c r="H302" s="85"/>
      <c r="I302" s="85"/>
      <c r="J302" s="85"/>
      <c r="L302" s="86" t="s">
        <v>30</v>
      </c>
      <c r="M302" s="87"/>
      <c r="N302" s="87"/>
      <c r="O302" s="87"/>
      <c r="P302" s="87"/>
      <c r="Q302" s="87"/>
      <c r="R302" s="87"/>
      <c r="S302" s="87"/>
      <c r="T302" s="87"/>
      <c r="U302" s="87"/>
    </row>
    <row r="303" spans="1:22" ht="14.25" thickBot="1" x14ac:dyDescent="0.2">
      <c r="A303" s="6"/>
      <c r="B303" s="146" t="s">
        <v>18</v>
      </c>
      <c r="C303" s="147"/>
      <c r="D303" s="147"/>
      <c r="E303" s="148"/>
      <c r="F303" s="146" t="s">
        <v>22</v>
      </c>
      <c r="G303" s="147"/>
      <c r="H303" s="147"/>
      <c r="I303" s="148"/>
      <c r="J303" s="101" t="s">
        <v>0</v>
      </c>
      <c r="L303" s="6"/>
      <c r="M303" s="146" t="s">
        <v>18</v>
      </c>
      <c r="N303" s="147"/>
      <c r="O303" s="147"/>
      <c r="P303" s="148"/>
      <c r="Q303" s="146" t="s">
        <v>22</v>
      </c>
      <c r="R303" s="147"/>
      <c r="S303" s="147"/>
      <c r="T303" s="148"/>
      <c r="U303" s="101" t="s">
        <v>0</v>
      </c>
    </row>
    <row r="304" spans="1:22" ht="14.25" thickBot="1" x14ac:dyDescent="0.2">
      <c r="A304" s="6" t="s">
        <v>1</v>
      </c>
      <c r="B304" s="3" t="s">
        <v>2</v>
      </c>
      <c r="C304" s="4" t="s">
        <v>3</v>
      </c>
      <c r="D304" s="5" t="s">
        <v>4</v>
      </c>
      <c r="E304" s="6" t="s">
        <v>5</v>
      </c>
      <c r="F304" s="3" t="s">
        <v>2</v>
      </c>
      <c r="G304" s="4" t="s">
        <v>3</v>
      </c>
      <c r="H304" s="5" t="s">
        <v>4</v>
      </c>
      <c r="I304" s="6" t="s">
        <v>5</v>
      </c>
      <c r="J304" s="102"/>
      <c r="L304" s="6" t="s">
        <v>1</v>
      </c>
      <c r="M304" s="3" t="s">
        <v>2</v>
      </c>
      <c r="N304" s="4" t="s">
        <v>3</v>
      </c>
      <c r="O304" s="5" t="s">
        <v>4</v>
      </c>
      <c r="P304" s="6" t="s">
        <v>5</v>
      </c>
      <c r="Q304" s="3" t="s">
        <v>2</v>
      </c>
      <c r="R304" s="4" t="s">
        <v>3</v>
      </c>
      <c r="S304" s="5" t="s">
        <v>4</v>
      </c>
      <c r="T304" s="6" t="s">
        <v>5</v>
      </c>
      <c r="U304" s="102"/>
    </row>
    <row r="305" spans="1:23" ht="14.25" thickBot="1" x14ac:dyDescent="0.2">
      <c r="A305" s="62" t="s">
        <v>16</v>
      </c>
      <c r="B305" s="40">
        <f>B299</f>
        <v>5</v>
      </c>
      <c r="C305" s="41">
        <f>C299</f>
        <v>4</v>
      </c>
      <c r="D305" s="81">
        <f>D299</f>
        <v>3</v>
      </c>
      <c r="E305" s="39">
        <f>SUM(B305:D305)</f>
        <v>12</v>
      </c>
      <c r="F305" s="40">
        <f>F299</f>
        <v>5</v>
      </c>
      <c r="G305" s="41">
        <f>G299</f>
        <v>4</v>
      </c>
      <c r="H305" s="81">
        <f>H299</f>
        <v>3</v>
      </c>
      <c r="I305" s="39">
        <f>SUM(F305:H305)</f>
        <v>12</v>
      </c>
      <c r="J305" s="39">
        <f>E305+I305</f>
        <v>24</v>
      </c>
      <c r="L305" s="66" t="s">
        <v>6</v>
      </c>
      <c r="M305" s="25">
        <f>M299</f>
        <v>74</v>
      </c>
      <c r="N305" s="26">
        <f>N299</f>
        <v>85</v>
      </c>
      <c r="O305" s="27">
        <f>O299</f>
        <v>67</v>
      </c>
      <c r="P305" s="28">
        <f>SUM(M305:O305)</f>
        <v>226</v>
      </c>
      <c r="Q305" s="25">
        <f>Q299</f>
        <v>74</v>
      </c>
      <c r="R305" s="26">
        <f>R299</f>
        <v>85</v>
      </c>
      <c r="S305" s="27">
        <f>S299</f>
        <v>67</v>
      </c>
      <c r="T305" s="28">
        <f>SUM(Q305:S305)</f>
        <v>226</v>
      </c>
      <c r="U305" s="28">
        <f>P305+T305</f>
        <v>452</v>
      </c>
    </row>
    <row r="306" spans="1:23" x14ac:dyDescent="0.15">
      <c r="A306" s="23" t="s">
        <v>108</v>
      </c>
      <c r="B306" s="7">
        <v>3</v>
      </c>
      <c r="C306" s="8">
        <v>13</v>
      </c>
      <c r="D306" s="46">
        <v>2</v>
      </c>
      <c r="E306" s="10">
        <f t="shared" ref="E306:E309" si="230">SUM(B306:D306)</f>
        <v>18</v>
      </c>
      <c r="F306" s="11">
        <v>3</v>
      </c>
      <c r="G306" s="8">
        <v>13</v>
      </c>
      <c r="H306" s="9">
        <v>2</v>
      </c>
      <c r="I306" s="10">
        <f t="shared" ref="I306:I309" si="231">SUM(F306:H306)</f>
        <v>18</v>
      </c>
      <c r="J306" s="10">
        <f t="shared" ref="J306:J309" si="232">E306+I306</f>
        <v>36</v>
      </c>
      <c r="K306" s="58">
        <v>45378</v>
      </c>
      <c r="L306" s="23" t="s">
        <v>315</v>
      </c>
      <c r="M306" s="12">
        <v>2</v>
      </c>
      <c r="N306" s="13">
        <v>12</v>
      </c>
      <c r="O306" s="47">
        <v>2</v>
      </c>
      <c r="P306" s="10">
        <f t="shared" ref="P306:P311" si="233">SUM(M306:O306)</f>
        <v>16</v>
      </c>
      <c r="Q306" s="15">
        <v>2</v>
      </c>
      <c r="R306" s="13">
        <v>12</v>
      </c>
      <c r="S306" s="14">
        <v>2</v>
      </c>
      <c r="T306" s="10">
        <f t="shared" ref="T306:T311" si="234">SUM(Q306:S306)</f>
        <v>16</v>
      </c>
      <c r="U306" s="10">
        <f t="shared" ref="U306:U311" si="235">P306+T306</f>
        <v>32</v>
      </c>
      <c r="V306" s="58">
        <v>45381</v>
      </c>
    </row>
    <row r="307" spans="1:23" x14ac:dyDescent="0.15">
      <c r="A307" s="23" t="s">
        <v>260</v>
      </c>
      <c r="B307" s="7"/>
      <c r="C307" s="8"/>
      <c r="D307" s="46">
        <v>1</v>
      </c>
      <c r="E307" s="10">
        <f t="shared" si="230"/>
        <v>1</v>
      </c>
      <c r="F307" s="11"/>
      <c r="G307" s="8"/>
      <c r="H307" s="9">
        <v>1</v>
      </c>
      <c r="I307" s="10">
        <f t="shared" si="231"/>
        <v>1</v>
      </c>
      <c r="J307" s="10">
        <f t="shared" si="232"/>
        <v>2</v>
      </c>
      <c r="K307" s="58">
        <v>45379</v>
      </c>
      <c r="L307" s="23" t="s">
        <v>8</v>
      </c>
      <c r="M307" s="12"/>
      <c r="N307" s="13"/>
      <c r="O307" s="47"/>
      <c r="P307" s="10">
        <f t="shared" si="233"/>
        <v>0</v>
      </c>
      <c r="Q307" s="15"/>
      <c r="R307" s="13"/>
      <c r="S307" s="14"/>
      <c r="T307" s="10">
        <f t="shared" si="234"/>
        <v>0</v>
      </c>
      <c r="U307" s="10">
        <f t="shared" si="235"/>
        <v>0</v>
      </c>
    </row>
    <row r="308" spans="1:23" x14ac:dyDescent="0.15">
      <c r="A308" s="23" t="s">
        <v>260</v>
      </c>
      <c r="B308" s="7">
        <v>1</v>
      </c>
      <c r="C308" s="8"/>
      <c r="D308" s="46"/>
      <c r="E308" s="10">
        <f t="shared" si="230"/>
        <v>1</v>
      </c>
      <c r="F308" s="11">
        <v>1</v>
      </c>
      <c r="G308" s="8"/>
      <c r="H308" s="9"/>
      <c r="I308" s="10">
        <f t="shared" si="231"/>
        <v>1</v>
      </c>
      <c r="J308" s="10">
        <f t="shared" si="232"/>
        <v>2</v>
      </c>
      <c r="K308" s="58">
        <v>45420</v>
      </c>
      <c r="L308" s="23" t="s">
        <v>9</v>
      </c>
      <c r="M308" s="12"/>
      <c r="N308" s="13"/>
      <c r="O308" s="47"/>
      <c r="P308" s="10">
        <f t="shared" si="233"/>
        <v>0</v>
      </c>
      <c r="Q308" s="15"/>
      <c r="R308" s="13"/>
      <c r="S308" s="14"/>
      <c r="T308" s="10">
        <f t="shared" si="234"/>
        <v>0</v>
      </c>
      <c r="U308" s="10">
        <f t="shared" si="235"/>
        <v>0</v>
      </c>
    </row>
    <row r="309" spans="1:23" x14ac:dyDescent="0.15">
      <c r="A309" s="22" t="s">
        <v>321</v>
      </c>
      <c r="B309" s="7">
        <v>1</v>
      </c>
      <c r="C309" s="8"/>
      <c r="D309" s="9"/>
      <c r="E309" s="43">
        <f t="shared" si="230"/>
        <v>1</v>
      </c>
      <c r="F309" s="11">
        <v>1</v>
      </c>
      <c r="G309" s="8"/>
      <c r="H309" s="9"/>
      <c r="I309" s="43">
        <f t="shared" si="231"/>
        <v>1</v>
      </c>
      <c r="J309" s="10">
        <f t="shared" si="232"/>
        <v>2</v>
      </c>
      <c r="K309" s="56">
        <v>45444</v>
      </c>
      <c r="L309" s="23" t="s">
        <v>10</v>
      </c>
      <c r="M309" s="12"/>
      <c r="N309" s="13"/>
      <c r="O309" s="47"/>
      <c r="P309" s="10">
        <f t="shared" si="233"/>
        <v>0</v>
      </c>
      <c r="Q309" s="15"/>
      <c r="R309" s="13"/>
      <c r="S309" s="14"/>
      <c r="T309" s="10">
        <f t="shared" si="234"/>
        <v>0</v>
      </c>
      <c r="U309" s="10">
        <f t="shared" si="235"/>
        <v>0</v>
      </c>
    </row>
    <row r="310" spans="1:23" x14ac:dyDescent="0.15">
      <c r="A310" s="23" t="s">
        <v>287</v>
      </c>
      <c r="B310" s="7">
        <v>2</v>
      </c>
      <c r="C310" s="8"/>
      <c r="D310" s="46"/>
      <c r="E310" s="10">
        <f t="shared" ref="E310:E313" si="236">SUM(B310:D310)</f>
        <v>2</v>
      </c>
      <c r="F310" s="11">
        <v>2</v>
      </c>
      <c r="G310" s="8"/>
      <c r="H310" s="9"/>
      <c r="I310" s="10">
        <f t="shared" ref="I310:I313" si="237">SUM(F310:H310)</f>
        <v>2</v>
      </c>
      <c r="J310" s="10">
        <f t="shared" ref="J310:J313" si="238">E310+I310</f>
        <v>4</v>
      </c>
      <c r="K310" s="58">
        <v>45476</v>
      </c>
      <c r="L310" s="23" t="s">
        <v>11</v>
      </c>
      <c r="M310" s="12"/>
      <c r="N310" s="13"/>
      <c r="O310" s="47"/>
      <c r="P310" s="10">
        <f t="shared" si="233"/>
        <v>0</v>
      </c>
      <c r="Q310" s="15"/>
      <c r="R310" s="13"/>
      <c r="S310" s="14"/>
      <c r="T310" s="10">
        <f t="shared" si="234"/>
        <v>0</v>
      </c>
      <c r="U310" s="10">
        <f t="shared" si="235"/>
        <v>0</v>
      </c>
    </row>
    <row r="311" spans="1:23" x14ac:dyDescent="0.15">
      <c r="A311" s="23" t="s">
        <v>328</v>
      </c>
      <c r="B311" s="7">
        <v>0</v>
      </c>
      <c r="C311" s="8">
        <v>0</v>
      </c>
      <c r="D311" s="46">
        <v>0</v>
      </c>
      <c r="E311" s="10">
        <f t="shared" si="236"/>
        <v>0</v>
      </c>
      <c r="F311" s="11">
        <v>0</v>
      </c>
      <c r="G311" s="8">
        <v>0</v>
      </c>
      <c r="H311" s="9">
        <v>0</v>
      </c>
      <c r="I311" s="10">
        <f t="shared" si="237"/>
        <v>0</v>
      </c>
      <c r="J311" s="10">
        <f t="shared" si="238"/>
        <v>0</v>
      </c>
      <c r="K311" s="58">
        <v>45531</v>
      </c>
      <c r="L311" s="23" t="s">
        <v>12</v>
      </c>
      <c r="M311" s="12"/>
      <c r="N311" s="13"/>
      <c r="O311" s="47"/>
      <c r="P311" s="10">
        <f t="shared" si="233"/>
        <v>0</v>
      </c>
      <c r="Q311" s="15"/>
      <c r="R311" s="13"/>
      <c r="S311" s="14"/>
      <c r="T311" s="10">
        <f t="shared" si="234"/>
        <v>0</v>
      </c>
      <c r="U311" s="10">
        <f t="shared" si="235"/>
        <v>0</v>
      </c>
    </row>
    <row r="312" spans="1:23" x14ac:dyDescent="0.15">
      <c r="A312" s="23" t="s">
        <v>13</v>
      </c>
      <c r="B312" s="12"/>
      <c r="C312" s="13"/>
      <c r="D312" s="47"/>
      <c r="E312" s="10">
        <f t="shared" si="236"/>
        <v>0</v>
      </c>
      <c r="F312" s="15"/>
      <c r="G312" s="13"/>
      <c r="H312" s="14"/>
      <c r="I312" s="10">
        <f t="shared" si="237"/>
        <v>0</v>
      </c>
      <c r="J312" s="10">
        <f t="shared" si="238"/>
        <v>0</v>
      </c>
      <c r="L312" s="23" t="s">
        <v>13</v>
      </c>
      <c r="M312" s="12"/>
      <c r="N312" s="13"/>
      <c r="O312" s="47"/>
      <c r="P312" s="10">
        <f t="shared" ref="P312:P313" si="239">SUM(M312:O312)</f>
        <v>0</v>
      </c>
      <c r="Q312" s="15"/>
      <c r="R312" s="13"/>
      <c r="S312" s="14"/>
      <c r="T312" s="10">
        <f t="shared" ref="T312:T313" si="240">SUM(Q312:S312)</f>
        <v>0</v>
      </c>
      <c r="U312" s="10">
        <f t="shared" ref="U312:U313" si="241">P312+T312</f>
        <v>0</v>
      </c>
    </row>
    <row r="313" spans="1:23" ht="14.25" thickBot="1" x14ac:dyDescent="0.2">
      <c r="A313" s="23" t="s">
        <v>14</v>
      </c>
      <c r="B313" s="29"/>
      <c r="C313" s="30"/>
      <c r="D313" s="48"/>
      <c r="E313" s="55">
        <f t="shared" si="236"/>
        <v>0</v>
      </c>
      <c r="F313" s="31"/>
      <c r="G313" s="31"/>
      <c r="H313" s="33"/>
      <c r="I313" s="55">
        <f t="shared" si="237"/>
        <v>0</v>
      </c>
      <c r="J313" s="20">
        <f t="shared" si="238"/>
        <v>0</v>
      </c>
      <c r="L313" s="23" t="s">
        <v>14</v>
      </c>
      <c r="M313" s="29"/>
      <c r="N313" s="30"/>
      <c r="O313" s="48"/>
      <c r="P313" s="55">
        <f t="shared" si="239"/>
        <v>0</v>
      </c>
      <c r="Q313" s="31"/>
      <c r="R313" s="31"/>
      <c r="S313" s="33"/>
      <c r="T313" s="55">
        <f t="shared" si="240"/>
        <v>0</v>
      </c>
      <c r="U313" s="20">
        <f t="shared" si="241"/>
        <v>0</v>
      </c>
    </row>
    <row r="314" spans="1:23" ht="14.25" thickBot="1" x14ac:dyDescent="0.2">
      <c r="A314" s="32" t="s">
        <v>15</v>
      </c>
      <c r="B314" s="25">
        <f>SUM(B305:B313)</f>
        <v>12</v>
      </c>
      <c r="C314" s="26">
        <f>SUM(C305:C313)</f>
        <v>17</v>
      </c>
      <c r="D314" s="27">
        <f>SUM(D305:D313)</f>
        <v>6</v>
      </c>
      <c r="E314" s="28">
        <f>SUM(B314:D314)</f>
        <v>35</v>
      </c>
      <c r="F314" s="25">
        <f>SUM(F305:F313)</f>
        <v>12</v>
      </c>
      <c r="G314" s="26">
        <f>SUM(G305:G313)</f>
        <v>17</v>
      </c>
      <c r="H314" s="27">
        <f>SUM(H305:H313)</f>
        <v>6</v>
      </c>
      <c r="I314" s="28">
        <f>SUM(F314:H314)</f>
        <v>35</v>
      </c>
      <c r="J314" s="28">
        <f>E314+I314</f>
        <v>70</v>
      </c>
      <c r="L314" s="32" t="s">
        <v>15</v>
      </c>
      <c r="M314" s="25">
        <f>SUM(M305:M313)</f>
        <v>76</v>
      </c>
      <c r="N314" s="26">
        <f>SUM(N305:N313)</f>
        <v>97</v>
      </c>
      <c r="O314" s="27">
        <f>SUM(O305:O313)</f>
        <v>69</v>
      </c>
      <c r="P314" s="28">
        <f>SUM(M314:O314)</f>
        <v>242</v>
      </c>
      <c r="Q314" s="25">
        <f>SUM(Q305:Q313)</f>
        <v>76</v>
      </c>
      <c r="R314" s="26">
        <f>SUM(R305:R313)</f>
        <v>97</v>
      </c>
      <c r="S314" s="27">
        <f>SUM(S305:S313)</f>
        <v>69</v>
      </c>
      <c r="T314" s="28">
        <f>SUM(Q314:S314)</f>
        <v>242</v>
      </c>
      <c r="U314" s="28">
        <f>P314+T314</f>
        <v>484</v>
      </c>
    </row>
    <row r="315" spans="1:23" x14ac:dyDescent="0.15">
      <c r="A315" s="24" t="s">
        <v>311</v>
      </c>
      <c r="B315" s="7"/>
      <c r="C315" s="8"/>
      <c r="D315" s="9">
        <v>2</v>
      </c>
      <c r="E315" s="43">
        <f t="shared" ref="E315:E321" si="242">SUM(B315:D315)</f>
        <v>2</v>
      </c>
      <c r="F315" s="11"/>
      <c r="G315" s="8"/>
      <c r="H315" s="9">
        <v>2</v>
      </c>
      <c r="I315" s="43">
        <f t="shared" ref="I315:I321" si="243">SUM(F315:H315)</f>
        <v>2</v>
      </c>
      <c r="J315" s="10">
        <f t="shared" ref="J315:J321" si="244">E315+I315</f>
        <v>4</v>
      </c>
      <c r="K315" s="56">
        <v>45365</v>
      </c>
      <c r="L315" s="24" t="s">
        <v>303</v>
      </c>
      <c r="M315" s="7">
        <v>4</v>
      </c>
      <c r="N315" s="8">
        <v>1</v>
      </c>
      <c r="O315" s="9"/>
      <c r="P315" s="43">
        <f t="shared" ref="P315:P335" si="245">SUM(M315:O315)</f>
        <v>5</v>
      </c>
      <c r="Q315" s="11">
        <v>4</v>
      </c>
      <c r="R315" s="8">
        <v>1</v>
      </c>
      <c r="S315" s="9"/>
      <c r="T315" s="43">
        <f t="shared" ref="T315:T335" si="246">SUM(Q315:S315)</f>
        <v>5</v>
      </c>
      <c r="U315" s="10">
        <f t="shared" ref="U315:U335" si="247">P315+T315</f>
        <v>10</v>
      </c>
      <c r="V315" s="56">
        <v>45352</v>
      </c>
    </row>
    <row r="316" spans="1:23" x14ac:dyDescent="0.15">
      <c r="A316" s="24" t="s">
        <v>313</v>
      </c>
      <c r="B316" s="7">
        <v>1</v>
      </c>
      <c r="C316" s="8"/>
      <c r="D316" s="9"/>
      <c r="E316" s="43">
        <f t="shared" si="242"/>
        <v>1</v>
      </c>
      <c r="F316" s="11">
        <v>1</v>
      </c>
      <c r="G316" s="8"/>
      <c r="H316" s="9"/>
      <c r="I316" s="43">
        <f t="shared" si="243"/>
        <v>1</v>
      </c>
      <c r="J316" s="10">
        <f t="shared" si="244"/>
        <v>2</v>
      </c>
      <c r="K316" s="56">
        <v>45380</v>
      </c>
      <c r="L316" s="24" t="s">
        <v>304</v>
      </c>
      <c r="M316" s="7"/>
      <c r="N316" s="8">
        <v>3</v>
      </c>
      <c r="O316" s="9">
        <v>1</v>
      </c>
      <c r="P316" s="43">
        <f t="shared" si="245"/>
        <v>4</v>
      </c>
      <c r="Q316" s="11"/>
      <c r="R316" s="8">
        <v>3</v>
      </c>
      <c r="S316" s="9">
        <v>1</v>
      </c>
      <c r="T316" s="43">
        <f t="shared" si="246"/>
        <v>4</v>
      </c>
      <c r="U316" s="10">
        <f t="shared" si="247"/>
        <v>8</v>
      </c>
      <c r="V316" s="56">
        <v>45355</v>
      </c>
    </row>
    <row r="317" spans="1:23" x14ac:dyDescent="0.15">
      <c r="A317" s="22" t="s">
        <v>314</v>
      </c>
      <c r="B317" s="7">
        <v>2</v>
      </c>
      <c r="C317" s="8">
        <v>12</v>
      </c>
      <c r="D317" s="9">
        <v>2</v>
      </c>
      <c r="E317" s="43">
        <f t="shared" si="242"/>
        <v>16</v>
      </c>
      <c r="F317" s="11">
        <v>2</v>
      </c>
      <c r="G317" s="8">
        <v>12</v>
      </c>
      <c r="H317" s="9">
        <v>2</v>
      </c>
      <c r="I317" s="43">
        <f t="shared" si="243"/>
        <v>16</v>
      </c>
      <c r="J317" s="10">
        <f t="shared" si="244"/>
        <v>32</v>
      </c>
      <c r="K317" s="56">
        <v>45381</v>
      </c>
      <c r="L317" s="24" t="s">
        <v>305</v>
      </c>
      <c r="M317" s="7">
        <v>2</v>
      </c>
      <c r="N317" s="8">
        <v>1</v>
      </c>
      <c r="O317" s="9">
        <v>2</v>
      </c>
      <c r="P317" s="43">
        <f t="shared" si="245"/>
        <v>5</v>
      </c>
      <c r="Q317" s="11">
        <v>2</v>
      </c>
      <c r="R317" s="8">
        <v>1</v>
      </c>
      <c r="S317" s="9">
        <v>2</v>
      </c>
      <c r="T317" s="43">
        <f t="shared" si="246"/>
        <v>5</v>
      </c>
      <c r="U317" s="10">
        <f t="shared" si="247"/>
        <v>10</v>
      </c>
      <c r="V317" s="56">
        <v>45357</v>
      </c>
      <c r="W317" s="61"/>
    </row>
    <row r="318" spans="1:23" x14ac:dyDescent="0.15">
      <c r="A318" s="24" t="s">
        <v>317</v>
      </c>
      <c r="B318" s="7"/>
      <c r="C318" s="8">
        <v>1</v>
      </c>
      <c r="D318" s="9"/>
      <c r="E318" s="43">
        <f t="shared" si="242"/>
        <v>1</v>
      </c>
      <c r="F318" s="11"/>
      <c r="G318" s="8">
        <v>1</v>
      </c>
      <c r="H318" s="9"/>
      <c r="I318" s="43">
        <f t="shared" si="243"/>
        <v>1</v>
      </c>
      <c r="J318" s="10">
        <f t="shared" si="244"/>
        <v>2</v>
      </c>
      <c r="K318" s="56">
        <v>45385</v>
      </c>
      <c r="L318" s="24" t="s">
        <v>308</v>
      </c>
      <c r="M318" s="7">
        <v>1</v>
      </c>
      <c r="N318" s="8"/>
      <c r="O318" s="9"/>
      <c r="P318" s="43">
        <f t="shared" si="245"/>
        <v>1</v>
      </c>
      <c r="Q318" s="11">
        <v>1</v>
      </c>
      <c r="R318" s="8"/>
      <c r="S318" s="9"/>
      <c r="T318" s="43">
        <f t="shared" si="246"/>
        <v>1</v>
      </c>
      <c r="U318" s="10">
        <f t="shared" si="247"/>
        <v>2</v>
      </c>
      <c r="V318" s="56">
        <v>45359</v>
      </c>
      <c r="W318" s="61"/>
    </row>
    <row r="319" spans="1:23" x14ac:dyDescent="0.15">
      <c r="A319" s="22" t="s">
        <v>319</v>
      </c>
      <c r="B319" s="7">
        <v>1</v>
      </c>
      <c r="C319" s="8"/>
      <c r="D319" s="9"/>
      <c r="E319" s="43">
        <f t="shared" si="242"/>
        <v>1</v>
      </c>
      <c r="F319" s="11">
        <v>1</v>
      </c>
      <c r="G319" s="8"/>
      <c r="H319" s="9"/>
      <c r="I319" s="43">
        <f t="shared" si="243"/>
        <v>1</v>
      </c>
      <c r="J319" s="10">
        <f t="shared" si="244"/>
        <v>2</v>
      </c>
      <c r="K319" s="56">
        <v>45397</v>
      </c>
      <c r="L319" s="24" t="s">
        <v>309</v>
      </c>
      <c r="M319" s="7"/>
      <c r="N319" s="8">
        <v>1</v>
      </c>
      <c r="O319" s="9"/>
      <c r="P319" s="43">
        <f t="shared" si="245"/>
        <v>1</v>
      </c>
      <c r="Q319" s="11"/>
      <c r="R319" s="8">
        <v>1</v>
      </c>
      <c r="S319" s="9"/>
      <c r="T319" s="43">
        <f t="shared" si="246"/>
        <v>1</v>
      </c>
      <c r="U319" s="10">
        <f t="shared" si="247"/>
        <v>2</v>
      </c>
      <c r="V319" s="56">
        <v>45362</v>
      </c>
      <c r="W319" s="61"/>
    </row>
    <row r="320" spans="1:23" x14ac:dyDescent="0.15">
      <c r="A320" s="24" t="s">
        <v>320</v>
      </c>
      <c r="B320" s="7">
        <v>1</v>
      </c>
      <c r="C320" s="8"/>
      <c r="D320" s="9"/>
      <c r="E320" s="43">
        <f t="shared" si="242"/>
        <v>1</v>
      </c>
      <c r="F320" s="11">
        <v>1</v>
      </c>
      <c r="G320" s="8"/>
      <c r="H320" s="9"/>
      <c r="I320" s="43">
        <f t="shared" si="243"/>
        <v>1</v>
      </c>
      <c r="J320" s="10">
        <f t="shared" si="244"/>
        <v>2</v>
      </c>
      <c r="K320" s="56">
        <v>45428</v>
      </c>
      <c r="L320" s="24" t="s">
        <v>310</v>
      </c>
      <c r="M320" s="7"/>
      <c r="N320" s="8">
        <v>1</v>
      </c>
      <c r="O320" s="9"/>
      <c r="P320" s="43">
        <f t="shared" si="245"/>
        <v>1</v>
      </c>
      <c r="Q320" s="11"/>
      <c r="R320" s="8">
        <v>1</v>
      </c>
      <c r="S320" s="9"/>
      <c r="T320" s="43">
        <f t="shared" si="246"/>
        <v>1</v>
      </c>
      <c r="U320" s="10">
        <f t="shared" si="247"/>
        <v>2</v>
      </c>
      <c r="V320" s="56">
        <v>45364</v>
      </c>
      <c r="W320" s="61"/>
    </row>
    <row r="321" spans="1:23" x14ac:dyDescent="0.15">
      <c r="A321" s="22"/>
      <c r="B321" s="7"/>
      <c r="C321" s="8"/>
      <c r="D321" s="9"/>
      <c r="E321" s="43">
        <f t="shared" si="242"/>
        <v>0</v>
      </c>
      <c r="F321" s="11"/>
      <c r="G321" s="8"/>
      <c r="H321" s="9"/>
      <c r="I321" s="43">
        <f t="shared" si="243"/>
        <v>0</v>
      </c>
      <c r="J321" s="10">
        <f t="shared" si="244"/>
        <v>0</v>
      </c>
      <c r="K321" s="61"/>
      <c r="L321" s="24" t="s">
        <v>318</v>
      </c>
      <c r="M321" s="7">
        <v>3</v>
      </c>
      <c r="N321" s="8"/>
      <c r="O321" s="9"/>
      <c r="P321" s="43">
        <f t="shared" si="245"/>
        <v>3</v>
      </c>
      <c r="Q321" s="11">
        <v>3</v>
      </c>
      <c r="R321" s="8"/>
      <c r="S321" s="9"/>
      <c r="T321" s="43">
        <f t="shared" si="246"/>
        <v>3</v>
      </c>
      <c r="U321" s="10">
        <f t="shared" si="247"/>
        <v>6</v>
      </c>
      <c r="V321" s="56">
        <v>45390</v>
      </c>
      <c r="W321" s="61"/>
    </row>
    <row r="322" spans="1:23" x14ac:dyDescent="0.15">
      <c r="A322" s="22"/>
      <c r="B322" s="7"/>
      <c r="C322" s="8"/>
      <c r="D322" s="9"/>
      <c r="E322" s="43">
        <f t="shared" ref="E322:E339" si="248">SUM(B322:D322)</f>
        <v>0</v>
      </c>
      <c r="F322" s="11"/>
      <c r="G322" s="8"/>
      <c r="H322" s="9"/>
      <c r="I322" s="43">
        <f t="shared" ref="I322:I339" si="249">SUM(F322:H322)</f>
        <v>0</v>
      </c>
      <c r="J322" s="10">
        <f t="shared" ref="J322:J339" si="250">E322+I322</f>
        <v>0</v>
      </c>
      <c r="K322" s="61"/>
      <c r="L322" s="24"/>
      <c r="M322" s="7"/>
      <c r="N322" s="8"/>
      <c r="O322" s="9"/>
      <c r="P322" s="43">
        <f t="shared" si="245"/>
        <v>0</v>
      </c>
      <c r="Q322" s="11"/>
      <c r="R322" s="8"/>
      <c r="S322" s="9"/>
      <c r="T322" s="43">
        <f t="shared" si="246"/>
        <v>0</v>
      </c>
      <c r="U322" s="10">
        <f t="shared" si="247"/>
        <v>0</v>
      </c>
      <c r="V322" s="61"/>
    </row>
    <row r="323" spans="1:23" x14ac:dyDescent="0.15">
      <c r="A323" s="22"/>
      <c r="B323" s="7"/>
      <c r="C323" s="8"/>
      <c r="D323" s="9"/>
      <c r="E323" s="43">
        <f t="shared" si="248"/>
        <v>0</v>
      </c>
      <c r="F323" s="11"/>
      <c r="G323" s="8"/>
      <c r="H323" s="9"/>
      <c r="I323" s="43">
        <f t="shared" si="249"/>
        <v>0</v>
      </c>
      <c r="J323" s="10">
        <f t="shared" si="250"/>
        <v>0</v>
      </c>
      <c r="L323" s="24"/>
      <c r="M323" s="7"/>
      <c r="N323" s="8"/>
      <c r="O323" s="9"/>
      <c r="P323" s="43">
        <f t="shared" si="245"/>
        <v>0</v>
      </c>
      <c r="Q323" s="11"/>
      <c r="R323" s="8"/>
      <c r="S323" s="9"/>
      <c r="T323" s="43">
        <f t="shared" si="246"/>
        <v>0</v>
      </c>
      <c r="U323" s="10">
        <f t="shared" si="247"/>
        <v>0</v>
      </c>
      <c r="V323" s="61"/>
    </row>
    <row r="324" spans="1:23" x14ac:dyDescent="0.15">
      <c r="A324" s="22"/>
      <c r="B324" s="12"/>
      <c r="C324" s="13"/>
      <c r="D324" s="14"/>
      <c r="E324" s="43">
        <f t="shared" si="248"/>
        <v>0</v>
      </c>
      <c r="F324" s="15"/>
      <c r="G324" s="13"/>
      <c r="H324" s="14"/>
      <c r="I324" s="43">
        <f t="shared" si="249"/>
        <v>0</v>
      </c>
      <c r="J324" s="10">
        <f t="shared" si="250"/>
        <v>0</v>
      </c>
      <c r="L324" s="24"/>
      <c r="M324" s="7"/>
      <c r="N324" s="8"/>
      <c r="O324" s="9"/>
      <c r="P324" s="43">
        <f t="shared" si="245"/>
        <v>0</v>
      </c>
      <c r="Q324" s="11"/>
      <c r="R324" s="8"/>
      <c r="S324" s="9"/>
      <c r="T324" s="43">
        <f t="shared" si="246"/>
        <v>0</v>
      </c>
      <c r="U324" s="10">
        <f t="shared" si="247"/>
        <v>0</v>
      </c>
      <c r="V324" s="61"/>
    </row>
    <row r="325" spans="1:23" x14ac:dyDescent="0.15">
      <c r="A325" s="22"/>
      <c r="B325" s="7"/>
      <c r="C325" s="8"/>
      <c r="D325" s="9"/>
      <c r="E325" s="43">
        <f t="shared" si="248"/>
        <v>0</v>
      </c>
      <c r="F325" s="11"/>
      <c r="G325" s="8"/>
      <c r="H325" s="9"/>
      <c r="I325" s="43">
        <f t="shared" si="249"/>
        <v>0</v>
      </c>
      <c r="J325" s="10">
        <f t="shared" si="250"/>
        <v>0</v>
      </c>
      <c r="L325" s="24"/>
      <c r="M325" s="7"/>
      <c r="N325" s="8"/>
      <c r="O325" s="9"/>
      <c r="P325" s="43">
        <f t="shared" si="245"/>
        <v>0</v>
      </c>
      <c r="Q325" s="11"/>
      <c r="R325" s="8"/>
      <c r="S325" s="9"/>
      <c r="T325" s="43">
        <f t="shared" si="246"/>
        <v>0</v>
      </c>
      <c r="U325" s="10">
        <f t="shared" si="247"/>
        <v>0</v>
      </c>
      <c r="V325" s="61"/>
    </row>
    <row r="326" spans="1:23" x14ac:dyDescent="0.15">
      <c r="A326" s="22"/>
      <c r="B326" s="7"/>
      <c r="C326" s="8"/>
      <c r="D326" s="9"/>
      <c r="E326" s="43">
        <f t="shared" si="248"/>
        <v>0</v>
      </c>
      <c r="F326" s="11"/>
      <c r="G326" s="8"/>
      <c r="H326" s="9"/>
      <c r="I326" s="43">
        <f t="shared" si="249"/>
        <v>0</v>
      </c>
      <c r="J326" s="10">
        <f t="shared" si="250"/>
        <v>0</v>
      </c>
      <c r="L326" s="24"/>
      <c r="M326" s="7"/>
      <c r="N326" s="8"/>
      <c r="O326" s="9"/>
      <c r="P326" s="43">
        <f t="shared" si="245"/>
        <v>0</v>
      </c>
      <c r="Q326" s="11"/>
      <c r="R326" s="8"/>
      <c r="S326" s="9"/>
      <c r="T326" s="43">
        <f t="shared" si="246"/>
        <v>0</v>
      </c>
      <c r="U326" s="10">
        <f t="shared" si="247"/>
        <v>0</v>
      </c>
    </row>
    <row r="327" spans="1:23" x14ac:dyDescent="0.15">
      <c r="A327" s="22"/>
      <c r="B327" s="7"/>
      <c r="C327" s="8"/>
      <c r="D327" s="9"/>
      <c r="E327" s="43">
        <f t="shared" si="248"/>
        <v>0</v>
      </c>
      <c r="F327" s="11"/>
      <c r="G327" s="8"/>
      <c r="H327" s="9"/>
      <c r="I327" s="43">
        <f t="shared" si="249"/>
        <v>0</v>
      </c>
      <c r="J327" s="10">
        <f t="shared" si="250"/>
        <v>0</v>
      </c>
      <c r="L327" s="24"/>
      <c r="M327" s="7"/>
      <c r="N327" s="8"/>
      <c r="O327" s="9"/>
      <c r="P327" s="43">
        <f t="shared" si="245"/>
        <v>0</v>
      </c>
      <c r="Q327" s="11"/>
      <c r="R327" s="8"/>
      <c r="S327" s="9"/>
      <c r="T327" s="43">
        <f t="shared" si="246"/>
        <v>0</v>
      </c>
      <c r="U327" s="10">
        <f t="shared" si="247"/>
        <v>0</v>
      </c>
    </row>
    <row r="328" spans="1:23" x14ac:dyDescent="0.15">
      <c r="A328" s="22"/>
      <c r="B328" s="7"/>
      <c r="C328" s="8"/>
      <c r="D328" s="9"/>
      <c r="E328" s="43">
        <f t="shared" si="248"/>
        <v>0</v>
      </c>
      <c r="F328" s="11"/>
      <c r="G328" s="8"/>
      <c r="H328" s="9"/>
      <c r="I328" s="43">
        <f t="shared" si="249"/>
        <v>0</v>
      </c>
      <c r="J328" s="10">
        <f t="shared" si="250"/>
        <v>0</v>
      </c>
      <c r="L328" s="24"/>
      <c r="M328" s="7"/>
      <c r="N328" s="8"/>
      <c r="O328" s="9"/>
      <c r="P328" s="43">
        <f t="shared" si="245"/>
        <v>0</v>
      </c>
      <c r="Q328" s="11"/>
      <c r="R328" s="8"/>
      <c r="S328" s="9"/>
      <c r="T328" s="43">
        <f t="shared" si="246"/>
        <v>0</v>
      </c>
      <c r="U328" s="10">
        <f t="shared" si="247"/>
        <v>0</v>
      </c>
    </row>
    <row r="329" spans="1:23" x14ac:dyDescent="0.15">
      <c r="A329" s="22"/>
      <c r="B329" s="7"/>
      <c r="C329" s="8"/>
      <c r="D329" s="9"/>
      <c r="E329" s="43">
        <f t="shared" si="248"/>
        <v>0</v>
      </c>
      <c r="F329" s="11"/>
      <c r="G329" s="8"/>
      <c r="H329" s="9"/>
      <c r="I329" s="43">
        <f t="shared" si="249"/>
        <v>0</v>
      </c>
      <c r="J329" s="10">
        <f t="shared" si="250"/>
        <v>0</v>
      </c>
      <c r="L329" s="24"/>
      <c r="M329" s="7"/>
      <c r="N329" s="8"/>
      <c r="O329" s="9"/>
      <c r="P329" s="43">
        <f t="shared" si="245"/>
        <v>0</v>
      </c>
      <c r="Q329" s="11"/>
      <c r="R329" s="8"/>
      <c r="S329" s="9"/>
      <c r="T329" s="43">
        <f t="shared" si="246"/>
        <v>0</v>
      </c>
      <c r="U329" s="10">
        <f t="shared" si="247"/>
        <v>0</v>
      </c>
    </row>
    <row r="330" spans="1:23" x14ac:dyDescent="0.15">
      <c r="A330" s="22"/>
      <c r="B330" s="7"/>
      <c r="C330" s="8"/>
      <c r="D330" s="9"/>
      <c r="E330" s="43">
        <f t="shared" si="248"/>
        <v>0</v>
      </c>
      <c r="F330" s="11"/>
      <c r="G330" s="8"/>
      <c r="H330" s="9"/>
      <c r="I330" s="43">
        <f t="shared" si="249"/>
        <v>0</v>
      </c>
      <c r="J330" s="10">
        <f t="shared" si="250"/>
        <v>0</v>
      </c>
      <c r="L330" s="24"/>
      <c r="M330" s="7"/>
      <c r="N330" s="8"/>
      <c r="O330" s="9"/>
      <c r="P330" s="43">
        <f t="shared" si="245"/>
        <v>0</v>
      </c>
      <c r="Q330" s="11"/>
      <c r="R330" s="8"/>
      <c r="S330" s="9"/>
      <c r="T330" s="43">
        <f t="shared" si="246"/>
        <v>0</v>
      </c>
      <c r="U330" s="10">
        <f t="shared" si="247"/>
        <v>0</v>
      </c>
    </row>
    <row r="331" spans="1:23" x14ac:dyDescent="0.15">
      <c r="A331" s="24"/>
      <c r="B331" s="7"/>
      <c r="C331" s="8"/>
      <c r="D331" s="9"/>
      <c r="E331" s="43">
        <f t="shared" si="248"/>
        <v>0</v>
      </c>
      <c r="F331" s="11"/>
      <c r="G331" s="8"/>
      <c r="H331" s="9"/>
      <c r="I331" s="43">
        <f t="shared" si="249"/>
        <v>0</v>
      </c>
      <c r="J331" s="10">
        <f t="shared" si="250"/>
        <v>0</v>
      </c>
      <c r="L331" s="24"/>
      <c r="M331" s="7"/>
      <c r="N331" s="8"/>
      <c r="O331" s="9"/>
      <c r="P331" s="43">
        <f t="shared" si="245"/>
        <v>0</v>
      </c>
      <c r="Q331" s="11"/>
      <c r="R331" s="8"/>
      <c r="S331" s="9"/>
      <c r="T331" s="43">
        <f t="shared" si="246"/>
        <v>0</v>
      </c>
      <c r="U331" s="10">
        <f t="shared" si="247"/>
        <v>0</v>
      </c>
    </row>
    <row r="332" spans="1:23" x14ac:dyDescent="0.15">
      <c r="A332" s="22"/>
      <c r="B332" s="7"/>
      <c r="C332" s="8"/>
      <c r="D332" s="9"/>
      <c r="E332" s="43">
        <f t="shared" si="248"/>
        <v>0</v>
      </c>
      <c r="F332" s="11"/>
      <c r="G332" s="8"/>
      <c r="H332" s="9"/>
      <c r="I332" s="43">
        <f t="shared" si="249"/>
        <v>0</v>
      </c>
      <c r="J332" s="10">
        <f t="shared" si="250"/>
        <v>0</v>
      </c>
      <c r="L332" s="24"/>
      <c r="M332" s="7"/>
      <c r="N332" s="8"/>
      <c r="O332" s="9"/>
      <c r="P332" s="43">
        <f t="shared" si="245"/>
        <v>0</v>
      </c>
      <c r="Q332" s="11"/>
      <c r="R332" s="8"/>
      <c r="S332" s="9"/>
      <c r="T332" s="43">
        <f t="shared" si="246"/>
        <v>0</v>
      </c>
      <c r="U332" s="10">
        <f t="shared" si="247"/>
        <v>0</v>
      </c>
    </row>
    <row r="333" spans="1:23" x14ac:dyDescent="0.15">
      <c r="A333" s="22"/>
      <c r="B333" s="7"/>
      <c r="C333" s="8"/>
      <c r="D333" s="9"/>
      <c r="E333" s="43">
        <f t="shared" si="248"/>
        <v>0</v>
      </c>
      <c r="F333" s="11"/>
      <c r="G333" s="8"/>
      <c r="H333" s="9"/>
      <c r="I333" s="43">
        <f t="shared" si="249"/>
        <v>0</v>
      </c>
      <c r="J333" s="10">
        <f t="shared" si="250"/>
        <v>0</v>
      </c>
      <c r="L333" s="24"/>
      <c r="M333" s="7"/>
      <c r="N333" s="8"/>
      <c r="O333" s="9"/>
      <c r="P333" s="43">
        <f t="shared" si="245"/>
        <v>0</v>
      </c>
      <c r="Q333" s="11"/>
      <c r="R333" s="8"/>
      <c r="S333" s="9"/>
      <c r="T333" s="43">
        <f t="shared" si="246"/>
        <v>0</v>
      </c>
      <c r="U333" s="10">
        <f t="shared" si="247"/>
        <v>0</v>
      </c>
    </row>
    <row r="334" spans="1:23" x14ac:dyDescent="0.15">
      <c r="A334" s="22"/>
      <c r="B334" s="7"/>
      <c r="C334" s="8"/>
      <c r="D334" s="9"/>
      <c r="E334" s="43">
        <f t="shared" si="248"/>
        <v>0</v>
      </c>
      <c r="F334" s="11"/>
      <c r="G334" s="8"/>
      <c r="H334" s="9"/>
      <c r="I334" s="43">
        <f t="shared" si="249"/>
        <v>0</v>
      </c>
      <c r="J334" s="10">
        <f t="shared" si="250"/>
        <v>0</v>
      </c>
      <c r="L334" s="24"/>
      <c r="M334" s="7"/>
      <c r="N334" s="8"/>
      <c r="O334" s="9"/>
      <c r="P334" s="43">
        <f t="shared" si="245"/>
        <v>0</v>
      </c>
      <c r="Q334" s="11"/>
      <c r="R334" s="8"/>
      <c r="S334" s="9"/>
      <c r="T334" s="43">
        <f t="shared" si="246"/>
        <v>0</v>
      </c>
      <c r="U334" s="10">
        <f t="shared" si="247"/>
        <v>0</v>
      </c>
    </row>
    <row r="335" spans="1:23" x14ac:dyDescent="0.15">
      <c r="A335" s="22"/>
      <c r="B335" s="7"/>
      <c r="C335" s="8"/>
      <c r="D335" s="9"/>
      <c r="E335" s="43">
        <f t="shared" si="248"/>
        <v>0</v>
      </c>
      <c r="F335" s="11"/>
      <c r="G335" s="8"/>
      <c r="H335" s="9"/>
      <c r="I335" s="43">
        <f t="shared" si="249"/>
        <v>0</v>
      </c>
      <c r="J335" s="10">
        <f t="shared" si="250"/>
        <v>0</v>
      </c>
      <c r="L335" s="24"/>
      <c r="M335" s="7"/>
      <c r="N335" s="8"/>
      <c r="O335" s="9"/>
      <c r="P335" s="43">
        <f t="shared" si="245"/>
        <v>0</v>
      </c>
      <c r="Q335" s="11"/>
      <c r="R335" s="8"/>
      <c r="S335" s="9"/>
      <c r="T335" s="43">
        <f t="shared" si="246"/>
        <v>0</v>
      </c>
      <c r="U335" s="10">
        <f t="shared" si="247"/>
        <v>0</v>
      </c>
    </row>
    <row r="336" spans="1:23" x14ac:dyDescent="0.15">
      <c r="A336" s="63"/>
      <c r="B336" s="12"/>
      <c r="C336" s="13"/>
      <c r="D336" s="14"/>
      <c r="E336" s="43">
        <f t="shared" si="248"/>
        <v>0</v>
      </c>
      <c r="F336" s="15"/>
      <c r="G336" s="13"/>
      <c r="H336" s="14"/>
      <c r="I336" s="43">
        <f t="shared" si="249"/>
        <v>0</v>
      </c>
      <c r="J336" s="10">
        <f t="shared" si="250"/>
        <v>0</v>
      </c>
      <c r="L336" s="24"/>
      <c r="M336" s="7"/>
      <c r="N336" s="8"/>
      <c r="O336" s="9"/>
      <c r="P336" s="43">
        <f t="shared" ref="P336:P341" si="251">SUM(M336:O336)</f>
        <v>0</v>
      </c>
      <c r="Q336" s="11"/>
      <c r="R336" s="8"/>
      <c r="S336" s="9"/>
      <c r="T336" s="43">
        <f t="shared" ref="T336:T341" si="252">SUM(Q336:S336)</f>
        <v>0</v>
      </c>
      <c r="U336" s="10">
        <f t="shared" ref="U336:U340" si="253">P336+T336</f>
        <v>0</v>
      </c>
    </row>
    <row r="337" spans="1:22" x14ac:dyDescent="0.15">
      <c r="A337" s="22"/>
      <c r="B337" s="7"/>
      <c r="C337" s="8"/>
      <c r="D337" s="9"/>
      <c r="E337" s="43">
        <f t="shared" si="248"/>
        <v>0</v>
      </c>
      <c r="F337" s="11"/>
      <c r="G337" s="8"/>
      <c r="H337" s="9"/>
      <c r="I337" s="43">
        <f t="shared" si="249"/>
        <v>0</v>
      </c>
      <c r="J337" s="10">
        <f t="shared" si="250"/>
        <v>0</v>
      </c>
      <c r="L337" s="24"/>
      <c r="M337" s="7"/>
      <c r="N337" s="8"/>
      <c r="O337" s="9"/>
      <c r="P337" s="43">
        <f t="shared" si="251"/>
        <v>0</v>
      </c>
      <c r="Q337" s="11"/>
      <c r="R337" s="8"/>
      <c r="S337" s="9"/>
      <c r="T337" s="43">
        <f t="shared" si="252"/>
        <v>0</v>
      </c>
      <c r="U337" s="10">
        <f t="shared" si="253"/>
        <v>0</v>
      </c>
    </row>
    <row r="338" spans="1:22" x14ac:dyDescent="0.15">
      <c r="A338" s="63"/>
      <c r="B338" s="7"/>
      <c r="C338" s="8"/>
      <c r="D338" s="9"/>
      <c r="E338" s="43">
        <f t="shared" si="248"/>
        <v>0</v>
      </c>
      <c r="F338" s="11"/>
      <c r="G338" s="8"/>
      <c r="H338" s="9"/>
      <c r="I338" s="43">
        <f t="shared" si="249"/>
        <v>0</v>
      </c>
      <c r="J338" s="10">
        <f t="shared" si="250"/>
        <v>0</v>
      </c>
      <c r="L338" s="24"/>
      <c r="M338" s="7"/>
      <c r="N338" s="8"/>
      <c r="O338" s="9"/>
      <c r="P338" s="43">
        <f t="shared" si="251"/>
        <v>0</v>
      </c>
      <c r="Q338" s="11"/>
      <c r="R338" s="8"/>
      <c r="S338" s="9"/>
      <c r="T338" s="43">
        <f t="shared" si="252"/>
        <v>0</v>
      </c>
      <c r="U338" s="10">
        <f t="shared" si="253"/>
        <v>0</v>
      </c>
    </row>
    <row r="339" spans="1:22" x14ac:dyDescent="0.15">
      <c r="A339" s="22"/>
      <c r="B339" s="7"/>
      <c r="C339" s="8"/>
      <c r="D339" s="9"/>
      <c r="E339" s="43">
        <f t="shared" si="248"/>
        <v>0</v>
      </c>
      <c r="F339" s="11"/>
      <c r="G339" s="8"/>
      <c r="H339" s="9"/>
      <c r="I339" s="43">
        <f t="shared" si="249"/>
        <v>0</v>
      </c>
      <c r="J339" s="10">
        <f t="shared" si="250"/>
        <v>0</v>
      </c>
      <c r="L339" s="24"/>
      <c r="M339" s="7"/>
      <c r="N339" s="8"/>
      <c r="O339" s="9"/>
      <c r="P339" s="43">
        <f t="shared" si="251"/>
        <v>0</v>
      </c>
      <c r="Q339" s="11"/>
      <c r="R339" s="8"/>
      <c r="S339" s="9"/>
      <c r="T339" s="43">
        <f t="shared" si="252"/>
        <v>0</v>
      </c>
      <c r="U339" s="10">
        <f t="shared" si="253"/>
        <v>0</v>
      </c>
    </row>
    <row r="340" spans="1:22" ht="14.25" thickBot="1" x14ac:dyDescent="0.2">
      <c r="A340" s="60"/>
      <c r="B340" s="12"/>
      <c r="C340" s="13"/>
      <c r="D340" s="14"/>
      <c r="E340" s="43">
        <f>SUM(B340:D340)</f>
        <v>0</v>
      </c>
      <c r="F340" s="15"/>
      <c r="G340" s="13"/>
      <c r="H340" s="14"/>
      <c r="I340" s="43">
        <f>SUM(F340:H340)</f>
        <v>0</v>
      </c>
      <c r="J340" s="10">
        <f>E340+I340</f>
        <v>0</v>
      </c>
      <c r="L340" s="24" t="s">
        <v>282</v>
      </c>
      <c r="M340" s="7"/>
      <c r="N340" s="8"/>
      <c r="O340" s="9"/>
      <c r="P340" s="43">
        <f t="shared" si="251"/>
        <v>0</v>
      </c>
      <c r="Q340" s="11"/>
      <c r="R340" s="8"/>
      <c r="S340" s="9"/>
      <c r="T340" s="43">
        <f t="shared" si="252"/>
        <v>0</v>
      </c>
      <c r="U340" s="10">
        <f t="shared" si="253"/>
        <v>0</v>
      </c>
      <c r="V340" t="s">
        <v>325</v>
      </c>
    </row>
    <row r="341" spans="1:22" ht="14.25" thickBot="1" x14ac:dyDescent="0.2">
      <c r="A341" s="35" t="s">
        <v>17</v>
      </c>
      <c r="B341" s="40">
        <f>SUM(B315:B340)</f>
        <v>5</v>
      </c>
      <c r="C341" s="41">
        <f t="shared" ref="C341:D341" si="254">SUM(C315:C340)</f>
        <v>13</v>
      </c>
      <c r="D341" s="52">
        <f t="shared" si="254"/>
        <v>4</v>
      </c>
      <c r="E341" s="39">
        <f t="shared" ref="E341" si="255">SUM(B341:D341)</f>
        <v>22</v>
      </c>
      <c r="F341" s="40">
        <f>SUM(F315:F340)</f>
        <v>5</v>
      </c>
      <c r="G341" s="41">
        <f t="shared" ref="G341:H341" si="256">SUM(G315:G340)</f>
        <v>13</v>
      </c>
      <c r="H341" s="52">
        <f t="shared" si="256"/>
        <v>4</v>
      </c>
      <c r="I341" s="39">
        <f t="shared" ref="I341" si="257">SUM(F341:H341)</f>
        <v>22</v>
      </c>
      <c r="J341" s="39">
        <f>E341+I341</f>
        <v>44</v>
      </c>
      <c r="L341" s="35" t="s">
        <v>17</v>
      </c>
      <c r="M341" s="40">
        <f>SUM(M315:M340)</f>
        <v>10</v>
      </c>
      <c r="N341" s="41">
        <f t="shared" ref="N341:O341" si="258">SUM(N315:N340)</f>
        <v>7</v>
      </c>
      <c r="O341" s="52">
        <f t="shared" si="258"/>
        <v>3</v>
      </c>
      <c r="P341" s="39">
        <f t="shared" si="251"/>
        <v>20</v>
      </c>
      <c r="Q341" s="40">
        <f>SUM(Q315:Q340)</f>
        <v>10</v>
      </c>
      <c r="R341" s="41">
        <f t="shared" ref="R341:S341" si="259">SUM(R315:R340)</f>
        <v>7</v>
      </c>
      <c r="S341" s="52">
        <f t="shared" si="259"/>
        <v>3</v>
      </c>
      <c r="T341" s="39">
        <f t="shared" si="252"/>
        <v>20</v>
      </c>
      <c r="U341" s="39">
        <f>P341+T341</f>
        <v>40</v>
      </c>
    </row>
    <row r="342" spans="1:22" ht="14.25" thickBot="1" x14ac:dyDescent="0.2">
      <c r="A342" s="21" t="s">
        <v>16</v>
      </c>
      <c r="B342" s="44">
        <f>B314-B341</f>
        <v>7</v>
      </c>
      <c r="C342" s="50">
        <f t="shared" ref="C342:D342" si="260">C314-C341</f>
        <v>4</v>
      </c>
      <c r="D342" s="51">
        <f t="shared" si="260"/>
        <v>2</v>
      </c>
      <c r="E342" s="49">
        <f>SUM(B342:D342)</f>
        <v>13</v>
      </c>
      <c r="F342" s="44">
        <f>F314-F341</f>
        <v>7</v>
      </c>
      <c r="G342" s="50">
        <f t="shared" ref="G342:H342" si="261">G314-G341</f>
        <v>4</v>
      </c>
      <c r="H342" s="51">
        <f t="shared" si="261"/>
        <v>2</v>
      </c>
      <c r="I342" s="49">
        <f>SUM(F342:H342)</f>
        <v>13</v>
      </c>
      <c r="J342" s="28">
        <f>E342+I342</f>
        <v>26</v>
      </c>
      <c r="L342" s="21" t="s">
        <v>16</v>
      </c>
      <c r="M342" s="44">
        <f>M314-M341</f>
        <v>66</v>
      </c>
      <c r="N342" s="50">
        <f t="shared" ref="N342:O342" si="262">N314-N341</f>
        <v>90</v>
      </c>
      <c r="O342" s="51">
        <f t="shared" si="262"/>
        <v>66</v>
      </c>
      <c r="P342" s="49">
        <f>SUM(M342:O342)</f>
        <v>222</v>
      </c>
      <c r="Q342" s="44">
        <f>Q314-Q341</f>
        <v>66</v>
      </c>
      <c r="R342" s="50">
        <f t="shared" ref="R342:S342" si="263">R314-R341</f>
        <v>90</v>
      </c>
      <c r="S342" s="51">
        <f t="shared" si="263"/>
        <v>66</v>
      </c>
      <c r="T342" s="49">
        <f>SUM(Q342:S342)</f>
        <v>222</v>
      </c>
      <c r="U342" s="28">
        <f>P342+T342</f>
        <v>444</v>
      </c>
    </row>
    <row r="343" spans="1:22" ht="31.5" customHeight="1" x14ac:dyDescent="0.15">
      <c r="H343" s="163" t="s">
        <v>291</v>
      </c>
      <c r="I343" s="163"/>
      <c r="J343" s="163"/>
      <c r="K343" s="163"/>
      <c r="L343" s="163"/>
      <c r="M343" s="163"/>
    </row>
    <row r="345" spans="1:22" ht="19.5" thickBot="1" x14ac:dyDescent="0.25">
      <c r="A345" s="84" t="s">
        <v>29</v>
      </c>
      <c r="B345" s="85"/>
      <c r="C345" s="85"/>
      <c r="D345" s="85"/>
      <c r="E345" s="85"/>
      <c r="F345" s="85"/>
      <c r="G345" s="85"/>
      <c r="H345" s="85"/>
      <c r="I345" s="85"/>
      <c r="J345" s="85"/>
      <c r="L345" s="86" t="s">
        <v>30</v>
      </c>
      <c r="M345" s="87"/>
      <c r="N345" s="87"/>
      <c r="O345" s="87"/>
      <c r="P345" s="87"/>
      <c r="Q345" s="87"/>
      <c r="R345" s="87"/>
      <c r="S345" s="87"/>
      <c r="T345" s="87"/>
      <c r="U345" s="87">
        <v>1040</v>
      </c>
    </row>
    <row r="346" spans="1:22" ht="14.25" thickBot="1" x14ac:dyDescent="0.2">
      <c r="A346" s="6"/>
      <c r="B346" s="146" t="s">
        <v>18</v>
      </c>
      <c r="C346" s="147"/>
      <c r="D346" s="147"/>
      <c r="E346" s="148"/>
      <c r="F346" s="146" t="s">
        <v>22</v>
      </c>
      <c r="G346" s="147"/>
      <c r="H346" s="147"/>
      <c r="I346" s="148"/>
      <c r="J346" s="101" t="s">
        <v>0</v>
      </c>
      <c r="L346" s="6"/>
      <c r="M346" s="146" t="s">
        <v>18</v>
      </c>
      <c r="N346" s="147"/>
      <c r="O346" s="147"/>
      <c r="P346" s="148"/>
      <c r="Q346" s="146" t="s">
        <v>22</v>
      </c>
      <c r="R346" s="147"/>
      <c r="S346" s="147"/>
      <c r="T346" s="148"/>
      <c r="U346" s="101" t="s">
        <v>0</v>
      </c>
    </row>
    <row r="347" spans="1:22" ht="14.25" thickBot="1" x14ac:dyDescent="0.2">
      <c r="A347" s="6" t="s">
        <v>1</v>
      </c>
      <c r="B347" s="3" t="s">
        <v>2</v>
      </c>
      <c r="C347" s="4" t="s">
        <v>3</v>
      </c>
      <c r="D347" s="5" t="s">
        <v>4</v>
      </c>
      <c r="E347" s="6" t="s">
        <v>5</v>
      </c>
      <c r="F347" s="3" t="s">
        <v>2</v>
      </c>
      <c r="G347" s="4" t="s">
        <v>3</v>
      </c>
      <c r="H347" s="5" t="s">
        <v>4</v>
      </c>
      <c r="I347" s="6" t="s">
        <v>5</v>
      </c>
      <c r="J347" s="102"/>
      <c r="L347" s="6" t="s">
        <v>1</v>
      </c>
      <c r="M347" s="3" t="s">
        <v>2</v>
      </c>
      <c r="N347" s="4" t="s">
        <v>3</v>
      </c>
      <c r="O347" s="5" t="s">
        <v>4</v>
      </c>
      <c r="P347" s="6" t="s">
        <v>5</v>
      </c>
      <c r="Q347" s="3" t="s">
        <v>2</v>
      </c>
      <c r="R347" s="4" t="s">
        <v>3</v>
      </c>
      <c r="S347" s="5" t="s">
        <v>4</v>
      </c>
      <c r="T347" s="6" t="s">
        <v>5</v>
      </c>
      <c r="U347" s="102"/>
    </row>
    <row r="348" spans="1:22" ht="14.25" thickBot="1" x14ac:dyDescent="0.2">
      <c r="A348" s="62" t="s">
        <v>16</v>
      </c>
      <c r="B348" s="40">
        <f>B342</f>
        <v>7</v>
      </c>
      <c r="C348" s="41">
        <f>C342</f>
        <v>4</v>
      </c>
      <c r="D348" s="81">
        <f>D342</f>
        <v>2</v>
      </c>
      <c r="E348" s="39">
        <f>SUM(B348:D348)</f>
        <v>13</v>
      </c>
      <c r="F348" s="40">
        <f>F342</f>
        <v>7</v>
      </c>
      <c r="G348" s="41">
        <f>G342</f>
        <v>4</v>
      </c>
      <c r="H348" s="81">
        <f>H342</f>
        <v>2</v>
      </c>
      <c r="I348" s="39">
        <f>SUM(F348:H348)</f>
        <v>13</v>
      </c>
      <c r="J348" s="39">
        <f>E348+I348</f>
        <v>26</v>
      </c>
      <c r="L348" s="66" t="s">
        <v>6</v>
      </c>
      <c r="M348" s="25">
        <f>M342</f>
        <v>66</v>
      </c>
      <c r="N348" s="26">
        <f>N342</f>
        <v>90</v>
      </c>
      <c r="O348" s="115">
        <f>O342</f>
        <v>66</v>
      </c>
      <c r="P348" s="28">
        <f>SUM(M348:O348)</f>
        <v>222</v>
      </c>
      <c r="Q348" s="25">
        <f>Q342</f>
        <v>66</v>
      </c>
      <c r="R348" s="26">
        <f>R342</f>
        <v>90</v>
      </c>
      <c r="S348" s="27">
        <f>S342</f>
        <v>66</v>
      </c>
      <c r="T348" s="28">
        <f>SUM(Q348:S348)</f>
        <v>222</v>
      </c>
      <c r="U348" s="28">
        <f>P348+T348</f>
        <v>444</v>
      </c>
    </row>
    <row r="349" spans="1:22" x14ac:dyDescent="0.15">
      <c r="A349" s="23" t="s">
        <v>7</v>
      </c>
      <c r="B349" s="7"/>
      <c r="C349" s="8"/>
      <c r="D349" s="46"/>
      <c r="E349" s="10">
        <f t="shared" ref="E349" si="264">SUM(B349:D349)</f>
        <v>0</v>
      </c>
      <c r="F349" s="11"/>
      <c r="G349" s="8"/>
      <c r="H349" s="9"/>
      <c r="I349" s="10">
        <f t="shared" ref="I349" si="265">SUM(F349:H349)</f>
        <v>0</v>
      </c>
      <c r="J349" s="10">
        <f t="shared" ref="J349" si="266">E349+I349</f>
        <v>0</v>
      </c>
      <c r="L349" s="23" t="s">
        <v>7</v>
      </c>
      <c r="M349" s="12"/>
      <c r="N349" s="13"/>
      <c r="O349" s="47"/>
      <c r="P349" s="10">
        <f t="shared" ref="P349:P356" si="267">SUM(M349:O349)</f>
        <v>0</v>
      </c>
      <c r="Q349" s="15"/>
      <c r="R349" s="13"/>
      <c r="S349" s="14"/>
      <c r="T349" s="10">
        <f t="shared" ref="T349:T356" si="268">SUM(Q349:S349)</f>
        <v>0</v>
      </c>
      <c r="U349" s="10">
        <f t="shared" ref="U349:U356" si="269">P349+T349</f>
        <v>0</v>
      </c>
    </row>
    <row r="350" spans="1:22" x14ac:dyDescent="0.15">
      <c r="A350" s="23" t="s">
        <v>8</v>
      </c>
      <c r="B350" s="7"/>
      <c r="C350" s="8"/>
      <c r="D350" s="46"/>
      <c r="E350" s="10">
        <f t="shared" ref="E350:E356" si="270">SUM(B350:D350)</f>
        <v>0</v>
      </c>
      <c r="F350" s="11"/>
      <c r="G350" s="8"/>
      <c r="H350" s="9"/>
      <c r="I350" s="10">
        <f t="shared" ref="I350:I356" si="271">SUM(F350:H350)</f>
        <v>0</v>
      </c>
      <c r="J350" s="10">
        <f t="shared" ref="J350:J356" si="272">E350+I350</f>
        <v>0</v>
      </c>
      <c r="L350" s="23" t="s">
        <v>8</v>
      </c>
      <c r="M350" s="12"/>
      <c r="N350" s="13"/>
      <c r="O350" s="47"/>
      <c r="P350" s="10">
        <f t="shared" si="267"/>
        <v>0</v>
      </c>
      <c r="Q350" s="15"/>
      <c r="R350" s="13"/>
      <c r="S350" s="14"/>
      <c r="T350" s="10">
        <f t="shared" si="268"/>
        <v>0</v>
      </c>
      <c r="U350" s="10">
        <f t="shared" si="269"/>
        <v>0</v>
      </c>
    </row>
    <row r="351" spans="1:22" x14ac:dyDescent="0.15">
      <c r="A351" s="23" t="s">
        <v>9</v>
      </c>
      <c r="B351" s="7"/>
      <c r="C351" s="8"/>
      <c r="D351" s="46"/>
      <c r="E351" s="10">
        <f t="shared" si="270"/>
        <v>0</v>
      </c>
      <c r="F351" s="11"/>
      <c r="G351" s="8"/>
      <c r="H351" s="9"/>
      <c r="I351" s="10">
        <f t="shared" si="271"/>
        <v>0</v>
      </c>
      <c r="J351" s="10">
        <f t="shared" si="272"/>
        <v>0</v>
      </c>
      <c r="L351" s="23" t="s">
        <v>9</v>
      </c>
      <c r="M351" s="12">
        <v>200</v>
      </c>
      <c r="N351" s="13">
        <v>230</v>
      </c>
      <c r="O351" s="47">
        <v>120</v>
      </c>
      <c r="P351" s="10">
        <f t="shared" si="267"/>
        <v>550</v>
      </c>
      <c r="Q351" s="12">
        <v>200</v>
      </c>
      <c r="R351" s="13">
        <v>230</v>
      </c>
      <c r="S351" s="47">
        <v>120</v>
      </c>
      <c r="T351" s="10">
        <f t="shared" si="268"/>
        <v>550</v>
      </c>
      <c r="U351" s="10">
        <f t="shared" si="269"/>
        <v>1100</v>
      </c>
      <c r="V351" s="56" t="s">
        <v>334</v>
      </c>
    </row>
    <row r="352" spans="1:22" x14ac:dyDescent="0.15">
      <c r="A352" s="23" t="s">
        <v>10</v>
      </c>
      <c r="B352" s="7"/>
      <c r="C352" s="8"/>
      <c r="D352" s="46"/>
      <c r="E352" s="10">
        <f t="shared" si="270"/>
        <v>0</v>
      </c>
      <c r="F352" s="11"/>
      <c r="G352" s="8"/>
      <c r="H352" s="9"/>
      <c r="I352" s="10">
        <f t="shared" si="271"/>
        <v>0</v>
      </c>
      <c r="J352" s="10">
        <f t="shared" si="272"/>
        <v>0</v>
      </c>
      <c r="L352" s="23" t="s">
        <v>10</v>
      </c>
      <c r="M352" s="12"/>
      <c r="N352" s="13"/>
      <c r="O352" s="47"/>
      <c r="P352" s="10">
        <f t="shared" si="267"/>
        <v>0</v>
      </c>
      <c r="Q352" s="15"/>
      <c r="R352" s="13"/>
      <c r="S352" s="14"/>
      <c r="T352" s="10">
        <f t="shared" si="268"/>
        <v>0</v>
      </c>
      <c r="U352" s="10">
        <f t="shared" si="269"/>
        <v>0</v>
      </c>
      <c r="V352" s="61"/>
    </row>
    <row r="353" spans="1:24" x14ac:dyDescent="0.15">
      <c r="A353" s="23" t="s">
        <v>11</v>
      </c>
      <c r="B353" s="7"/>
      <c r="C353" s="8"/>
      <c r="D353" s="46"/>
      <c r="E353" s="10">
        <f t="shared" si="270"/>
        <v>0</v>
      </c>
      <c r="F353" s="11"/>
      <c r="G353" s="8"/>
      <c r="H353" s="9"/>
      <c r="I353" s="10">
        <f t="shared" si="271"/>
        <v>0</v>
      </c>
      <c r="J353" s="10">
        <f t="shared" si="272"/>
        <v>0</v>
      </c>
      <c r="L353" s="23" t="s">
        <v>11</v>
      </c>
      <c r="M353" s="12"/>
      <c r="N353" s="13"/>
      <c r="O353" s="47"/>
      <c r="P353" s="10">
        <f t="shared" si="267"/>
        <v>0</v>
      </c>
      <c r="Q353" s="15"/>
      <c r="R353" s="13"/>
      <c r="S353" s="14"/>
      <c r="T353" s="10">
        <f t="shared" si="268"/>
        <v>0</v>
      </c>
      <c r="U353" s="10">
        <f t="shared" si="269"/>
        <v>0</v>
      </c>
    </row>
    <row r="354" spans="1:24" x14ac:dyDescent="0.15">
      <c r="A354" s="23" t="s">
        <v>12</v>
      </c>
      <c r="B354" s="7"/>
      <c r="C354" s="8"/>
      <c r="D354" s="46"/>
      <c r="E354" s="10">
        <f t="shared" si="270"/>
        <v>0</v>
      </c>
      <c r="F354" s="11"/>
      <c r="G354" s="8"/>
      <c r="H354" s="9"/>
      <c r="I354" s="10">
        <f t="shared" si="271"/>
        <v>0</v>
      </c>
      <c r="J354" s="10">
        <f t="shared" si="272"/>
        <v>0</v>
      </c>
      <c r="L354" s="23" t="s">
        <v>12</v>
      </c>
      <c r="M354" s="12"/>
      <c r="N354" s="13"/>
      <c r="O354" s="47"/>
      <c r="P354" s="10">
        <f t="shared" si="267"/>
        <v>0</v>
      </c>
      <c r="Q354" s="15"/>
      <c r="R354" s="13"/>
      <c r="S354" s="14"/>
      <c r="T354" s="10">
        <f t="shared" si="268"/>
        <v>0</v>
      </c>
      <c r="U354" s="10">
        <f t="shared" si="269"/>
        <v>0</v>
      </c>
    </row>
    <row r="355" spans="1:24" x14ac:dyDescent="0.15">
      <c r="A355" s="23" t="s">
        <v>13</v>
      </c>
      <c r="B355" s="12"/>
      <c r="C355" s="13"/>
      <c r="D355" s="47"/>
      <c r="E355" s="10">
        <f t="shared" si="270"/>
        <v>0</v>
      </c>
      <c r="F355" s="15"/>
      <c r="G355" s="13"/>
      <c r="H355" s="14"/>
      <c r="I355" s="10">
        <f t="shared" si="271"/>
        <v>0</v>
      </c>
      <c r="J355" s="10">
        <f t="shared" si="272"/>
        <v>0</v>
      </c>
      <c r="L355" s="23" t="s">
        <v>13</v>
      </c>
      <c r="M355" s="12"/>
      <c r="N355" s="13"/>
      <c r="O355" s="47"/>
      <c r="P355" s="10">
        <f t="shared" si="267"/>
        <v>0</v>
      </c>
      <c r="Q355" s="15"/>
      <c r="R355" s="13"/>
      <c r="S355" s="14"/>
      <c r="T355" s="10">
        <f t="shared" si="268"/>
        <v>0</v>
      </c>
      <c r="U355" s="10">
        <f t="shared" si="269"/>
        <v>0</v>
      </c>
    </row>
    <row r="356" spans="1:24" ht="14.25" thickBot="1" x14ac:dyDescent="0.2">
      <c r="A356" s="23" t="s">
        <v>14</v>
      </c>
      <c r="B356" s="29"/>
      <c r="C356" s="30"/>
      <c r="D356" s="48"/>
      <c r="E356" s="55">
        <f t="shared" si="270"/>
        <v>0</v>
      </c>
      <c r="F356" s="31"/>
      <c r="G356" s="31"/>
      <c r="H356" s="33"/>
      <c r="I356" s="55">
        <f t="shared" si="271"/>
        <v>0</v>
      </c>
      <c r="J356" s="20">
        <f t="shared" si="272"/>
        <v>0</v>
      </c>
      <c r="L356" s="23" t="s">
        <v>14</v>
      </c>
      <c r="M356" s="29"/>
      <c r="N356" s="30"/>
      <c r="O356" s="48"/>
      <c r="P356" s="55">
        <f t="shared" si="267"/>
        <v>0</v>
      </c>
      <c r="Q356" s="31"/>
      <c r="R356" s="31"/>
      <c r="S356" s="33"/>
      <c r="T356" s="55">
        <f t="shared" si="268"/>
        <v>0</v>
      </c>
      <c r="U356" s="20">
        <f t="shared" si="269"/>
        <v>0</v>
      </c>
    </row>
    <row r="357" spans="1:24" ht="14.25" thickBot="1" x14ac:dyDescent="0.2">
      <c r="A357" s="32" t="s">
        <v>15</v>
      </c>
      <c r="B357" s="25">
        <f>SUM(B348:B356)</f>
        <v>7</v>
      </c>
      <c r="C357" s="26">
        <f>SUM(C348:C356)</f>
        <v>4</v>
      </c>
      <c r="D357" s="27">
        <f>SUM(D348:D356)</f>
        <v>2</v>
      </c>
      <c r="E357" s="28">
        <f>SUM(B357:D357)</f>
        <v>13</v>
      </c>
      <c r="F357" s="25">
        <f>SUM(F348:F356)</f>
        <v>7</v>
      </c>
      <c r="G357" s="26">
        <f>SUM(G348:G356)</f>
        <v>4</v>
      </c>
      <c r="H357" s="27">
        <f>SUM(H348:H356)</f>
        <v>2</v>
      </c>
      <c r="I357" s="28">
        <f>SUM(F357:H357)</f>
        <v>13</v>
      </c>
      <c r="J357" s="28">
        <f>E357+I357</f>
        <v>26</v>
      </c>
      <c r="L357" s="32" t="s">
        <v>15</v>
      </c>
      <c r="M357" s="25">
        <f>SUM(M348:M356)</f>
        <v>266</v>
      </c>
      <c r="N357" s="26">
        <f>SUM(N348:N356)</f>
        <v>320</v>
      </c>
      <c r="O357" s="27">
        <f>SUM(O348:O356)</f>
        <v>186</v>
      </c>
      <c r="P357" s="28">
        <f>SUM(M357:O357)</f>
        <v>772</v>
      </c>
      <c r="Q357" s="25">
        <f>SUM(Q348:Q356)</f>
        <v>266</v>
      </c>
      <c r="R357" s="26">
        <f>SUM(R348:R356)</f>
        <v>320</v>
      </c>
      <c r="S357" s="27">
        <f>SUM(S348:S356)</f>
        <v>186</v>
      </c>
      <c r="T357" s="28">
        <f>SUM(Q357:S357)</f>
        <v>772</v>
      </c>
      <c r="U357" s="28">
        <f>P357+T357</f>
        <v>1544</v>
      </c>
    </row>
    <row r="358" spans="1:24" x14ac:dyDescent="0.15">
      <c r="A358" s="22" t="s">
        <v>329</v>
      </c>
      <c r="B358" s="7">
        <v>2</v>
      </c>
      <c r="C358" s="8"/>
      <c r="D358" s="9"/>
      <c r="E358" s="43">
        <f t="shared" ref="E358" si="273">SUM(B358:D358)</f>
        <v>2</v>
      </c>
      <c r="F358" s="11">
        <v>2</v>
      </c>
      <c r="G358" s="8"/>
      <c r="H358" s="9"/>
      <c r="I358" s="43">
        <f t="shared" ref="I358" si="274">SUM(F358:H358)</f>
        <v>2</v>
      </c>
      <c r="J358" s="10">
        <f t="shared" ref="J358" si="275">E358+I358</f>
        <v>4</v>
      </c>
      <c r="K358" s="56">
        <v>45537</v>
      </c>
      <c r="L358" s="24" t="s">
        <v>165</v>
      </c>
      <c r="M358" s="7">
        <v>30</v>
      </c>
      <c r="N358" s="8">
        <v>30</v>
      </c>
      <c r="O358" s="9">
        <v>20</v>
      </c>
      <c r="P358" s="43">
        <f t="shared" ref="P358:P384" si="276">SUM(M358:O358)</f>
        <v>80</v>
      </c>
      <c r="Q358" s="11">
        <v>30</v>
      </c>
      <c r="R358" s="8">
        <v>30</v>
      </c>
      <c r="S358" s="9">
        <v>20</v>
      </c>
      <c r="T358" s="43">
        <f t="shared" ref="T358:T384" si="277">SUM(Q358:S358)</f>
        <v>80</v>
      </c>
      <c r="U358" s="10">
        <f t="shared" ref="U358:U377" si="278">P358+T358</f>
        <v>160</v>
      </c>
      <c r="V358" s="56">
        <v>45593</v>
      </c>
      <c r="W358" s="61"/>
    </row>
    <row r="359" spans="1:24" x14ac:dyDescent="0.15">
      <c r="A359" s="22"/>
      <c r="B359" s="7"/>
      <c r="C359" s="8"/>
      <c r="D359" s="9"/>
      <c r="E359" s="43">
        <f t="shared" ref="E359:E382" si="279">SUM(B359:D359)</f>
        <v>0</v>
      </c>
      <c r="F359" s="11"/>
      <c r="G359" s="8"/>
      <c r="H359" s="9"/>
      <c r="I359" s="43">
        <f t="shared" ref="I359:I382" si="280">SUM(F359:H359)</f>
        <v>0</v>
      </c>
      <c r="J359" s="10">
        <f t="shared" ref="J359:J382" si="281">E359+I359</f>
        <v>0</v>
      </c>
      <c r="K359" s="61"/>
      <c r="L359" s="24" t="s">
        <v>333</v>
      </c>
      <c r="M359" s="7">
        <v>3</v>
      </c>
      <c r="N359" s="8">
        <v>3</v>
      </c>
      <c r="O359" s="9">
        <v>3</v>
      </c>
      <c r="P359" s="43">
        <f t="shared" si="276"/>
        <v>9</v>
      </c>
      <c r="Q359" s="11">
        <v>3</v>
      </c>
      <c r="R359" s="8">
        <v>3</v>
      </c>
      <c r="S359" s="9">
        <v>3</v>
      </c>
      <c r="T359" s="43">
        <f t="shared" si="277"/>
        <v>9</v>
      </c>
      <c r="U359" s="10">
        <f t="shared" si="278"/>
        <v>18</v>
      </c>
      <c r="V359" s="56">
        <v>45572</v>
      </c>
      <c r="W359" s="61"/>
    </row>
    <row r="360" spans="1:24" x14ac:dyDescent="0.15">
      <c r="A360" s="22"/>
      <c r="B360" s="7"/>
      <c r="C360" s="8"/>
      <c r="D360" s="9"/>
      <c r="E360" s="43">
        <f t="shared" si="279"/>
        <v>0</v>
      </c>
      <c r="F360" s="11"/>
      <c r="G360" s="8"/>
      <c r="H360" s="9"/>
      <c r="I360" s="43">
        <f t="shared" si="280"/>
        <v>0</v>
      </c>
      <c r="J360" s="10">
        <f t="shared" si="281"/>
        <v>0</v>
      </c>
      <c r="K360" s="61"/>
      <c r="L360" s="24" t="s">
        <v>40</v>
      </c>
      <c r="M360" s="7">
        <v>4</v>
      </c>
      <c r="N360" s="8">
        <v>2</v>
      </c>
      <c r="O360" s="9"/>
      <c r="P360" s="43">
        <f t="shared" si="276"/>
        <v>6</v>
      </c>
      <c r="Q360" s="11">
        <v>4</v>
      </c>
      <c r="R360" s="8">
        <v>2</v>
      </c>
      <c r="S360" s="9"/>
      <c r="T360" s="43">
        <f t="shared" si="277"/>
        <v>6</v>
      </c>
      <c r="U360" s="10">
        <f t="shared" si="278"/>
        <v>12</v>
      </c>
      <c r="V360" s="56">
        <v>45576</v>
      </c>
      <c r="W360" s="61"/>
    </row>
    <row r="361" spans="1:24" x14ac:dyDescent="0.15">
      <c r="A361" s="22"/>
      <c r="B361" s="7"/>
      <c r="C361" s="8"/>
      <c r="D361" s="9"/>
      <c r="E361" s="43">
        <f t="shared" si="279"/>
        <v>0</v>
      </c>
      <c r="F361" s="11"/>
      <c r="G361" s="8"/>
      <c r="H361" s="9"/>
      <c r="I361" s="43">
        <f t="shared" si="280"/>
        <v>0</v>
      </c>
      <c r="J361" s="10">
        <f t="shared" si="281"/>
        <v>0</v>
      </c>
      <c r="K361" s="61"/>
      <c r="L361" s="24" t="s">
        <v>41</v>
      </c>
      <c r="M361" s="7">
        <v>2</v>
      </c>
      <c r="N361" s="8">
        <v>5</v>
      </c>
      <c r="O361" s="9">
        <v>2</v>
      </c>
      <c r="P361" s="43">
        <f t="shared" si="276"/>
        <v>9</v>
      </c>
      <c r="Q361" s="11">
        <v>2</v>
      </c>
      <c r="R361" s="8">
        <v>5</v>
      </c>
      <c r="S361" s="9">
        <v>2</v>
      </c>
      <c r="T361" s="43">
        <f t="shared" si="277"/>
        <v>9</v>
      </c>
      <c r="U361" s="10">
        <f t="shared" si="278"/>
        <v>18</v>
      </c>
      <c r="V361" s="56">
        <v>45580</v>
      </c>
      <c r="W361" s="61"/>
    </row>
    <row r="362" spans="1:24" x14ac:dyDescent="0.15">
      <c r="A362" s="22"/>
      <c r="B362" s="7"/>
      <c r="C362" s="8"/>
      <c r="D362" s="9"/>
      <c r="E362" s="43">
        <f t="shared" si="279"/>
        <v>0</v>
      </c>
      <c r="F362" s="11"/>
      <c r="G362" s="8"/>
      <c r="H362" s="9"/>
      <c r="I362" s="43">
        <f t="shared" si="280"/>
        <v>0</v>
      </c>
      <c r="J362" s="10">
        <f t="shared" si="281"/>
        <v>0</v>
      </c>
      <c r="K362" s="61"/>
      <c r="L362" s="24" t="s">
        <v>42</v>
      </c>
      <c r="M362" s="7">
        <v>1</v>
      </c>
      <c r="N362" s="8">
        <v>1</v>
      </c>
      <c r="O362" s="9">
        <v>2</v>
      </c>
      <c r="P362" s="43">
        <f t="shared" si="276"/>
        <v>4</v>
      </c>
      <c r="Q362" s="11">
        <v>1</v>
      </c>
      <c r="R362" s="8">
        <v>1</v>
      </c>
      <c r="S362" s="9">
        <v>2</v>
      </c>
      <c r="T362" s="43">
        <f t="shared" si="277"/>
        <v>4</v>
      </c>
      <c r="U362" s="10">
        <f t="shared" si="278"/>
        <v>8</v>
      </c>
      <c r="V362" s="56">
        <v>45582</v>
      </c>
      <c r="W362" s="61"/>
      <c r="X362" s="61"/>
    </row>
    <row r="363" spans="1:24" x14ac:dyDescent="0.15">
      <c r="A363" s="22"/>
      <c r="B363" s="7"/>
      <c r="C363" s="8"/>
      <c r="D363" s="9"/>
      <c r="E363" s="43">
        <f t="shared" si="279"/>
        <v>0</v>
      </c>
      <c r="F363" s="11"/>
      <c r="G363" s="8"/>
      <c r="H363" s="9"/>
      <c r="I363" s="43">
        <f t="shared" si="280"/>
        <v>0</v>
      </c>
      <c r="J363" s="10">
        <f t="shared" si="281"/>
        <v>0</v>
      </c>
      <c r="K363" s="61"/>
      <c r="L363" s="24" t="s">
        <v>43</v>
      </c>
      <c r="M363" s="7">
        <v>2</v>
      </c>
      <c r="N363" s="8">
        <v>6</v>
      </c>
      <c r="O363" s="9"/>
      <c r="P363" s="43">
        <f t="shared" si="276"/>
        <v>8</v>
      </c>
      <c r="Q363" s="11">
        <v>2</v>
      </c>
      <c r="R363" s="8">
        <v>6</v>
      </c>
      <c r="S363" s="9"/>
      <c r="T363" s="43">
        <f t="shared" si="277"/>
        <v>8</v>
      </c>
      <c r="U363" s="10">
        <f t="shared" si="278"/>
        <v>16</v>
      </c>
      <c r="V363" s="56">
        <v>45583</v>
      </c>
      <c r="W363" s="61"/>
      <c r="X363" s="61"/>
    </row>
    <row r="364" spans="1:24" x14ac:dyDescent="0.15">
      <c r="A364" s="22"/>
      <c r="B364" s="7"/>
      <c r="C364" s="8"/>
      <c r="D364" s="9"/>
      <c r="E364" s="43">
        <f t="shared" si="279"/>
        <v>0</v>
      </c>
      <c r="F364" s="11"/>
      <c r="G364" s="8"/>
      <c r="H364" s="9"/>
      <c r="I364" s="43">
        <f t="shared" si="280"/>
        <v>0</v>
      </c>
      <c r="J364" s="10">
        <f t="shared" si="281"/>
        <v>0</v>
      </c>
      <c r="K364" s="61"/>
      <c r="L364" s="24" t="s">
        <v>44</v>
      </c>
      <c r="M364" s="7">
        <v>4</v>
      </c>
      <c r="N364" s="8">
        <v>2</v>
      </c>
      <c r="O364" s="9">
        <v>1</v>
      </c>
      <c r="P364" s="43">
        <f t="shared" si="276"/>
        <v>7</v>
      </c>
      <c r="Q364" s="11">
        <v>4</v>
      </c>
      <c r="R364" s="8">
        <v>2</v>
      </c>
      <c r="S364" s="9">
        <v>1</v>
      </c>
      <c r="T364" s="43">
        <f t="shared" si="277"/>
        <v>7</v>
      </c>
      <c r="U364" s="10">
        <f t="shared" si="278"/>
        <v>14</v>
      </c>
      <c r="V364" s="56">
        <v>45583</v>
      </c>
      <c r="W364" s="61"/>
      <c r="X364" s="61"/>
    </row>
    <row r="365" spans="1:24" x14ac:dyDescent="0.15">
      <c r="A365" s="22"/>
      <c r="B365" s="7"/>
      <c r="C365" s="8"/>
      <c r="D365" s="9"/>
      <c r="E365" s="43">
        <f t="shared" si="279"/>
        <v>0</v>
      </c>
      <c r="F365" s="11"/>
      <c r="G365" s="8"/>
      <c r="H365" s="9"/>
      <c r="I365" s="43">
        <f t="shared" si="280"/>
        <v>0</v>
      </c>
      <c r="J365" s="10">
        <f t="shared" si="281"/>
        <v>0</v>
      </c>
      <c r="K365" s="61"/>
      <c r="L365" s="24" t="s">
        <v>45</v>
      </c>
      <c r="M365" s="7">
        <v>1</v>
      </c>
      <c r="N365" s="8">
        <v>7</v>
      </c>
      <c r="O365" s="9">
        <v>1</v>
      </c>
      <c r="P365" s="43">
        <f t="shared" si="276"/>
        <v>9</v>
      </c>
      <c r="Q365" s="11">
        <v>1</v>
      </c>
      <c r="R365" s="8">
        <v>7</v>
      </c>
      <c r="S365" s="9">
        <v>1</v>
      </c>
      <c r="T365" s="43">
        <f t="shared" si="277"/>
        <v>9</v>
      </c>
      <c r="U365" s="10">
        <f t="shared" si="278"/>
        <v>18</v>
      </c>
      <c r="V365" s="56">
        <v>45586</v>
      </c>
      <c r="W365" s="61"/>
      <c r="X365" s="61"/>
    </row>
    <row r="366" spans="1:24" x14ac:dyDescent="0.15">
      <c r="A366" s="22"/>
      <c r="B366" s="7"/>
      <c r="C366" s="8"/>
      <c r="D366" s="9"/>
      <c r="E366" s="43">
        <f t="shared" si="279"/>
        <v>0</v>
      </c>
      <c r="F366" s="11"/>
      <c r="G366" s="8"/>
      <c r="H366" s="9"/>
      <c r="I366" s="43">
        <f t="shared" si="280"/>
        <v>0</v>
      </c>
      <c r="J366" s="10">
        <f t="shared" si="281"/>
        <v>0</v>
      </c>
      <c r="L366" s="24" t="s">
        <v>47</v>
      </c>
      <c r="M366" s="7">
        <v>3</v>
      </c>
      <c r="N366" s="8"/>
      <c r="O366" s="9">
        <v>7</v>
      </c>
      <c r="P366" s="43">
        <f t="shared" si="276"/>
        <v>10</v>
      </c>
      <c r="Q366" s="11">
        <v>3</v>
      </c>
      <c r="R366" s="8"/>
      <c r="S366" s="9">
        <v>7</v>
      </c>
      <c r="T366" s="43">
        <f t="shared" si="277"/>
        <v>10</v>
      </c>
      <c r="U366" s="10">
        <f t="shared" si="278"/>
        <v>20</v>
      </c>
      <c r="V366" s="56">
        <v>45588</v>
      </c>
      <c r="W366" s="61"/>
      <c r="X366" s="61"/>
    </row>
    <row r="367" spans="1:24" x14ac:dyDescent="0.15">
      <c r="A367" s="22"/>
      <c r="B367" s="12"/>
      <c r="C367" s="13"/>
      <c r="D367" s="14"/>
      <c r="E367" s="43">
        <f t="shared" si="279"/>
        <v>0</v>
      </c>
      <c r="F367" s="15"/>
      <c r="G367" s="13"/>
      <c r="H367" s="14"/>
      <c r="I367" s="43">
        <f t="shared" si="280"/>
        <v>0</v>
      </c>
      <c r="J367" s="10">
        <f t="shared" si="281"/>
        <v>0</v>
      </c>
      <c r="L367" s="24" t="s">
        <v>49</v>
      </c>
      <c r="M367" s="7">
        <v>5</v>
      </c>
      <c r="N367" s="8">
        <v>1</v>
      </c>
      <c r="O367" s="9"/>
      <c r="P367" s="43">
        <f t="shared" si="276"/>
        <v>6</v>
      </c>
      <c r="Q367" s="11">
        <v>5</v>
      </c>
      <c r="R367" s="8">
        <v>1</v>
      </c>
      <c r="S367" s="9"/>
      <c r="T367" s="43">
        <f t="shared" si="277"/>
        <v>6</v>
      </c>
      <c r="U367" s="10">
        <f t="shared" si="278"/>
        <v>12</v>
      </c>
      <c r="V367" s="56">
        <v>45589</v>
      </c>
      <c r="W367" s="61"/>
      <c r="X367" s="61"/>
    </row>
    <row r="368" spans="1:24" x14ac:dyDescent="0.15">
      <c r="A368" s="22"/>
      <c r="B368" s="7"/>
      <c r="C368" s="8"/>
      <c r="D368" s="9"/>
      <c r="E368" s="43">
        <f t="shared" si="279"/>
        <v>0</v>
      </c>
      <c r="F368" s="11"/>
      <c r="G368" s="8"/>
      <c r="H368" s="9"/>
      <c r="I368" s="43">
        <f t="shared" si="280"/>
        <v>0</v>
      </c>
      <c r="J368" s="10">
        <f t="shared" si="281"/>
        <v>0</v>
      </c>
      <c r="L368" s="24" t="s">
        <v>52</v>
      </c>
      <c r="M368" s="7">
        <v>2</v>
      </c>
      <c r="N368" s="8"/>
      <c r="O368" s="9"/>
      <c r="P368" s="43">
        <f t="shared" si="276"/>
        <v>2</v>
      </c>
      <c r="Q368" s="11">
        <v>2</v>
      </c>
      <c r="R368" s="8"/>
      <c r="S368" s="9"/>
      <c r="T368" s="43">
        <f t="shared" si="277"/>
        <v>2</v>
      </c>
      <c r="U368" s="10">
        <f t="shared" si="278"/>
        <v>4</v>
      </c>
      <c r="V368" s="56">
        <v>45590</v>
      </c>
      <c r="W368" s="61"/>
      <c r="X368" s="61"/>
    </row>
    <row r="369" spans="1:24" x14ac:dyDescent="0.15">
      <c r="A369" s="22"/>
      <c r="B369" s="7"/>
      <c r="C369" s="8"/>
      <c r="D369" s="9"/>
      <c r="E369" s="43">
        <f t="shared" si="279"/>
        <v>0</v>
      </c>
      <c r="F369" s="11"/>
      <c r="G369" s="8"/>
      <c r="H369" s="9"/>
      <c r="I369" s="43">
        <f t="shared" si="280"/>
        <v>0</v>
      </c>
      <c r="J369" s="10">
        <f t="shared" si="281"/>
        <v>0</v>
      </c>
      <c r="L369" s="24" t="s">
        <v>53</v>
      </c>
      <c r="M369" s="7"/>
      <c r="N369" s="8"/>
      <c r="O369" s="9">
        <v>1</v>
      </c>
      <c r="P369" s="43">
        <f t="shared" si="276"/>
        <v>1</v>
      </c>
      <c r="Q369" s="11"/>
      <c r="R369" s="8"/>
      <c r="S369" s="9">
        <v>1</v>
      </c>
      <c r="T369" s="43">
        <f t="shared" si="277"/>
        <v>1</v>
      </c>
      <c r="U369" s="10">
        <f t="shared" si="278"/>
        <v>2</v>
      </c>
      <c r="V369" s="56">
        <v>45590</v>
      </c>
      <c r="W369" s="61"/>
      <c r="X369" s="61"/>
    </row>
    <row r="370" spans="1:24" x14ac:dyDescent="0.15">
      <c r="A370" s="22"/>
      <c r="B370" s="7"/>
      <c r="C370" s="8"/>
      <c r="D370" s="9"/>
      <c r="E370" s="43">
        <f t="shared" si="279"/>
        <v>0</v>
      </c>
      <c r="F370" s="11"/>
      <c r="G370" s="8"/>
      <c r="H370" s="9"/>
      <c r="I370" s="43">
        <f t="shared" si="280"/>
        <v>0</v>
      </c>
      <c r="J370" s="10">
        <f t="shared" si="281"/>
        <v>0</v>
      </c>
      <c r="L370" s="24" t="s">
        <v>55</v>
      </c>
      <c r="M370" s="7"/>
      <c r="N370" s="8">
        <v>1</v>
      </c>
      <c r="O370" s="9">
        <v>2</v>
      </c>
      <c r="P370" s="43">
        <f t="shared" si="276"/>
        <v>3</v>
      </c>
      <c r="Q370" s="11"/>
      <c r="R370" s="8">
        <v>1</v>
      </c>
      <c r="S370" s="9">
        <v>2</v>
      </c>
      <c r="T370" s="43">
        <f t="shared" si="277"/>
        <v>3</v>
      </c>
      <c r="U370" s="10">
        <f t="shared" si="278"/>
        <v>6</v>
      </c>
      <c r="V370" s="56">
        <v>45593</v>
      </c>
    </row>
    <row r="371" spans="1:24" x14ac:dyDescent="0.15">
      <c r="A371" s="22"/>
      <c r="B371" s="7"/>
      <c r="C371" s="8"/>
      <c r="D371" s="9"/>
      <c r="E371" s="43">
        <f t="shared" si="279"/>
        <v>0</v>
      </c>
      <c r="F371" s="11"/>
      <c r="G371" s="8"/>
      <c r="H371" s="9"/>
      <c r="I371" s="43">
        <f t="shared" si="280"/>
        <v>0</v>
      </c>
      <c r="J371" s="10">
        <f t="shared" si="281"/>
        <v>0</v>
      </c>
      <c r="L371" s="24" t="s">
        <v>56</v>
      </c>
      <c r="M371" s="7">
        <v>1</v>
      </c>
      <c r="N371" s="8">
        <v>6</v>
      </c>
      <c r="O371" s="9"/>
      <c r="P371" s="43">
        <f t="shared" si="276"/>
        <v>7</v>
      </c>
      <c r="Q371" s="11">
        <v>1</v>
      </c>
      <c r="R371" s="8">
        <v>6</v>
      </c>
      <c r="S371" s="9"/>
      <c r="T371" s="43">
        <f t="shared" si="277"/>
        <v>7</v>
      </c>
      <c r="U371" s="10">
        <f t="shared" si="278"/>
        <v>14</v>
      </c>
      <c r="V371" s="56">
        <v>45595</v>
      </c>
    </row>
    <row r="372" spans="1:24" x14ac:dyDescent="0.15">
      <c r="A372" s="22"/>
      <c r="B372" s="7"/>
      <c r="C372" s="8"/>
      <c r="D372" s="9"/>
      <c r="E372" s="43">
        <f t="shared" si="279"/>
        <v>0</v>
      </c>
      <c r="F372" s="11"/>
      <c r="G372" s="8"/>
      <c r="H372" s="9"/>
      <c r="I372" s="43">
        <f t="shared" si="280"/>
        <v>0</v>
      </c>
      <c r="J372" s="10">
        <f t="shared" si="281"/>
        <v>0</v>
      </c>
      <c r="L372" s="24" t="s">
        <v>58</v>
      </c>
      <c r="M372" s="7">
        <v>1</v>
      </c>
      <c r="N372" s="8">
        <v>6</v>
      </c>
      <c r="O372" s="9">
        <v>1</v>
      </c>
      <c r="P372" s="43">
        <f t="shared" si="276"/>
        <v>8</v>
      </c>
      <c r="Q372" s="11">
        <v>1</v>
      </c>
      <c r="R372" s="8">
        <v>6</v>
      </c>
      <c r="S372" s="9">
        <v>1</v>
      </c>
      <c r="T372" s="43">
        <f t="shared" si="277"/>
        <v>8</v>
      </c>
      <c r="U372" s="10">
        <f t="shared" si="278"/>
        <v>16</v>
      </c>
      <c r="V372" s="56">
        <v>45596</v>
      </c>
    </row>
    <row r="373" spans="1:24" x14ac:dyDescent="0.15">
      <c r="A373" s="22"/>
      <c r="B373" s="7"/>
      <c r="C373" s="8"/>
      <c r="D373" s="9"/>
      <c r="E373" s="43">
        <f t="shared" si="279"/>
        <v>0</v>
      </c>
      <c r="F373" s="11"/>
      <c r="G373" s="8"/>
      <c r="H373" s="9"/>
      <c r="I373" s="43">
        <f t="shared" si="280"/>
        <v>0</v>
      </c>
      <c r="J373" s="10">
        <f t="shared" si="281"/>
        <v>0</v>
      </c>
      <c r="L373" s="24" t="s">
        <v>61</v>
      </c>
      <c r="M373" s="7">
        <v>3</v>
      </c>
      <c r="N373" s="8"/>
      <c r="O373" s="9"/>
      <c r="P373" s="43">
        <f t="shared" si="276"/>
        <v>3</v>
      </c>
      <c r="Q373" s="11">
        <v>3</v>
      </c>
      <c r="R373" s="8"/>
      <c r="S373" s="9"/>
      <c r="T373" s="43">
        <f t="shared" si="277"/>
        <v>3</v>
      </c>
      <c r="U373" s="10">
        <f t="shared" si="278"/>
        <v>6</v>
      </c>
      <c r="V373" s="56">
        <v>45597</v>
      </c>
    </row>
    <row r="374" spans="1:24" x14ac:dyDescent="0.15">
      <c r="A374" s="24"/>
      <c r="B374" s="7"/>
      <c r="C374" s="8"/>
      <c r="D374" s="9"/>
      <c r="E374" s="43">
        <f t="shared" si="279"/>
        <v>0</v>
      </c>
      <c r="F374" s="11"/>
      <c r="G374" s="8"/>
      <c r="H374" s="9"/>
      <c r="I374" s="43">
        <f t="shared" si="280"/>
        <v>0</v>
      </c>
      <c r="J374" s="10">
        <f t="shared" si="281"/>
        <v>0</v>
      </c>
      <c r="L374" s="24"/>
      <c r="M374" s="7"/>
      <c r="N374" s="8"/>
      <c r="O374" s="9"/>
      <c r="P374" s="43">
        <f t="shared" ref="P374" si="282">SUM(M374:O374)</f>
        <v>0</v>
      </c>
      <c r="Q374" s="11"/>
      <c r="R374" s="8"/>
      <c r="S374" s="9"/>
      <c r="T374" s="43">
        <f t="shared" ref="T374" si="283">SUM(Q374:S374)</f>
        <v>0</v>
      </c>
      <c r="U374" s="10">
        <f t="shared" ref="U374" si="284">P374+T374</f>
        <v>0</v>
      </c>
    </row>
    <row r="375" spans="1:24" x14ac:dyDescent="0.15">
      <c r="A375" s="22"/>
      <c r="B375" s="7"/>
      <c r="C375" s="8"/>
      <c r="D375" s="9"/>
      <c r="E375" s="43">
        <f t="shared" si="279"/>
        <v>0</v>
      </c>
      <c r="F375" s="11"/>
      <c r="G375" s="8"/>
      <c r="H375" s="9"/>
      <c r="I375" s="43">
        <f t="shared" si="280"/>
        <v>0</v>
      </c>
      <c r="J375" s="10">
        <f t="shared" si="281"/>
        <v>0</v>
      </c>
      <c r="L375" s="24"/>
      <c r="M375" s="7"/>
      <c r="N375" s="8"/>
      <c r="O375" s="9"/>
      <c r="P375" s="43">
        <f t="shared" si="276"/>
        <v>0</v>
      </c>
      <c r="Q375" s="11"/>
      <c r="R375" s="8"/>
      <c r="S375" s="9"/>
      <c r="T375" s="43">
        <f t="shared" si="277"/>
        <v>0</v>
      </c>
      <c r="U375" s="10">
        <f t="shared" si="278"/>
        <v>0</v>
      </c>
    </row>
    <row r="376" spans="1:24" x14ac:dyDescent="0.15">
      <c r="A376" s="22"/>
      <c r="B376" s="7"/>
      <c r="C376" s="8"/>
      <c r="D376" s="9"/>
      <c r="E376" s="43">
        <f t="shared" si="279"/>
        <v>0</v>
      </c>
      <c r="F376" s="11"/>
      <c r="G376" s="8"/>
      <c r="H376" s="9"/>
      <c r="I376" s="43">
        <f t="shared" si="280"/>
        <v>0</v>
      </c>
      <c r="J376" s="10">
        <f t="shared" si="281"/>
        <v>0</v>
      </c>
      <c r="L376" s="24"/>
      <c r="M376" s="7"/>
      <c r="N376" s="8"/>
      <c r="O376" s="9"/>
      <c r="P376" s="43">
        <f t="shared" si="276"/>
        <v>0</v>
      </c>
      <c r="Q376" s="11"/>
      <c r="R376" s="8"/>
      <c r="S376" s="9"/>
      <c r="T376" s="43">
        <f t="shared" si="277"/>
        <v>0</v>
      </c>
      <c r="U376" s="10">
        <f t="shared" si="278"/>
        <v>0</v>
      </c>
    </row>
    <row r="377" spans="1:24" x14ac:dyDescent="0.15">
      <c r="A377" s="22"/>
      <c r="B377" s="7"/>
      <c r="C377" s="8"/>
      <c r="D377" s="9"/>
      <c r="E377" s="43">
        <f t="shared" si="279"/>
        <v>0</v>
      </c>
      <c r="F377" s="11"/>
      <c r="G377" s="8"/>
      <c r="H377" s="9"/>
      <c r="I377" s="43">
        <f t="shared" si="280"/>
        <v>0</v>
      </c>
      <c r="J377" s="10">
        <f t="shared" si="281"/>
        <v>0</v>
      </c>
      <c r="L377" s="24"/>
      <c r="M377" s="7"/>
      <c r="N377" s="8"/>
      <c r="O377" s="9"/>
      <c r="P377" s="43">
        <f t="shared" si="276"/>
        <v>0</v>
      </c>
      <c r="Q377" s="11"/>
      <c r="R377" s="8"/>
      <c r="S377" s="9"/>
      <c r="T377" s="43">
        <f t="shared" si="277"/>
        <v>0</v>
      </c>
      <c r="U377" s="10">
        <f t="shared" si="278"/>
        <v>0</v>
      </c>
    </row>
    <row r="378" spans="1:24" x14ac:dyDescent="0.15">
      <c r="A378" s="22"/>
      <c r="B378" s="7"/>
      <c r="C378" s="8"/>
      <c r="D378" s="9"/>
      <c r="E378" s="43">
        <f t="shared" si="279"/>
        <v>0</v>
      </c>
      <c r="F378" s="11"/>
      <c r="G378" s="8"/>
      <c r="H378" s="9"/>
      <c r="I378" s="43">
        <f t="shared" si="280"/>
        <v>0</v>
      </c>
      <c r="J378" s="10">
        <f t="shared" si="281"/>
        <v>0</v>
      </c>
      <c r="L378" s="24"/>
      <c r="M378" s="7"/>
      <c r="N378" s="8"/>
      <c r="O378" s="9"/>
      <c r="P378" s="43">
        <f t="shared" ref="P378:P381" si="285">SUM(M378:O378)</f>
        <v>0</v>
      </c>
      <c r="Q378" s="11"/>
      <c r="R378" s="8"/>
      <c r="S378" s="9"/>
      <c r="T378" s="43">
        <f t="shared" ref="T378:T381" si="286">SUM(Q378:S378)</f>
        <v>0</v>
      </c>
      <c r="U378" s="10">
        <f t="shared" ref="U378:U381" si="287">P378+T378</f>
        <v>0</v>
      </c>
    </row>
    <row r="379" spans="1:24" x14ac:dyDescent="0.15">
      <c r="A379" s="63"/>
      <c r="B379" s="12"/>
      <c r="C379" s="13"/>
      <c r="D379" s="14"/>
      <c r="E379" s="43">
        <f t="shared" si="279"/>
        <v>0</v>
      </c>
      <c r="F379" s="15"/>
      <c r="G379" s="13"/>
      <c r="H379" s="14"/>
      <c r="I379" s="43">
        <f t="shared" si="280"/>
        <v>0</v>
      </c>
      <c r="J379" s="10">
        <f t="shared" si="281"/>
        <v>0</v>
      </c>
      <c r="L379" s="24"/>
      <c r="M379" s="7"/>
      <c r="N379" s="8"/>
      <c r="O379" s="9"/>
      <c r="P379" s="43">
        <f t="shared" si="285"/>
        <v>0</v>
      </c>
      <c r="Q379" s="11"/>
      <c r="R379" s="8"/>
      <c r="S379" s="9"/>
      <c r="T379" s="43">
        <f t="shared" si="286"/>
        <v>0</v>
      </c>
      <c r="U379" s="10">
        <f t="shared" si="287"/>
        <v>0</v>
      </c>
    </row>
    <row r="380" spans="1:24" x14ac:dyDescent="0.15">
      <c r="A380" s="22"/>
      <c r="B380" s="7"/>
      <c r="C380" s="8"/>
      <c r="D380" s="9"/>
      <c r="E380" s="43">
        <f t="shared" si="279"/>
        <v>0</v>
      </c>
      <c r="F380" s="11"/>
      <c r="G380" s="8"/>
      <c r="H380" s="9"/>
      <c r="I380" s="43">
        <f t="shared" si="280"/>
        <v>0</v>
      </c>
      <c r="J380" s="10">
        <f t="shared" si="281"/>
        <v>0</v>
      </c>
      <c r="L380" s="24"/>
      <c r="M380" s="7"/>
      <c r="N380" s="8"/>
      <c r="O380" s="9"/>
      <c r="P380" s="43">
        <f t="shared" si="285"/>
        <v>0</v>
      </c>
      <c r="Q380" s="11"/>
      <c r="R380" s="8"/>
      <c r="S380" s="9"/>
      <c r="T380" s="43">
        <f t="shared" si="286"/>
        <v>0</v>
      </c>
      <c r="U380" s="10">
        <f t="shared" si="287"/>
        <v>0</v>
      </c>
    </row>
    <row r="381" spans="1:24" x14ac:dyDescent="0.15">
      <c r="A381" s="63"/>
      <c r="B381" s="7"/>
      <c r="C381" s="8"/>
      <c r="D381" s="9"/>
      <c r="E381" s="43">
        <f t="shared" si="279"/>
        <v>0</v>
      </c>
      <c r="F381" s="11"/>
      <c r="G381" s="8"/>
      <c r="H381" s="9"/>
      <c r="I381" s="43">
        <f t="shared" si="280"/>
        <v>0</v>
      </c>
      <c r="J381" s="10">
        <f t="shared" si="281"/>
        <v>0</v>
      </c>
      <c r="L381" s="24"/>
      <c r="M381" s="7"/>
      <c r="N381" s="8"/>
      <c r="O381" s="9"/>
      <c r="P381" s="43">
        <f t="shared" si="285"/>
        <v>0</v>
      </c>
      <c r="Q381" s="11"/>
      <c r="R381" s="8"/>
      <c r="S381" s="9"/>
      <c r="T381" s="43">
        <f t="shared" si="286"/>
        <v>0</v>
      </c>
      <c r="U381" s="10">
        <f t="shared" si="287"/>
        <v>0</v>
      </c>
    </row>
    <row r="382" spans="1:24" x14ac:dyDescent="0.15">
      <c r="A382" s="22"/>
      <c r="B382" s="7"/>
      <c r="C382" s="8"/>
      <c r="D382" s="9"/>
      <c r="E382" s="43">
        <f t="shared" si="279"/>
        <v>0</v>
      </c>
      <c r="F382" s="11"/>
      <c r="G382" s="8"/>
      <c r="H382" s="9"/>
      <c r="I382" s="43">
        <f t="shared" si="280"/>
        <v>0</v>
      </c>
      <c r="J382" s="10">
        <f t="shared" si="281"/>
        <v>0</v>
      </c>
      <c r="L382" s="24" t="s">
        <v>326</v>
      </c>
      <c r="M382" s="7"/>
      <c r="N382" s="8"/>
      <c r="O382" s="9"/>
      <c r="P382" s="43">
        <f t="shared" ref="P382:P383" si="288">SUM(M382:O382)</f>
        <v>0</v>
      </c>
      <c r="Q382" s="11"/>
      <c r="R382" s="8"/>
      <c r="S382" s="9"/>
      <c r="T382" s="43">
        <f t="shared" ref="T382:T383" si="289">SUM(Q382:S382)</f>
        <v>0</v>
      </c>
      <c r="U382" s="10">
        <f t="shared" ref="U382:U383" si="290">P382+T382</f>
        <v>0</v>
      </c>
      <c r="V382" s="61" t="s">
        <v>327</v>
      </c>
    </row>
    <row r="383" spans="1:24" ht="14.25" thickBot="1" x14ac:dyDescent="0.2">
      <c r="A383" s="60"/>
      <c r="B383" s="12"/>
      <c r="C383" s="13"/>
      <c r="D383" s="14"/>
      <c r="E383" s="43">
        <f>SUM(B383:D383)</f>
        <v>0</v>
      </c>
      <c r="F383" s="15"/>
      <c r="G383" s="13"/>
      <c r="H383" s="14"/>
      <c r="I383" s="43">
        <f>SUM(F383:H383)</f>
        <v>0</v>
      </c>
      <c r="J383" s="10">
        <f>E383+I383</f>
        <v>0</v>
      </c>
      <c r="L383" s="24" t="s">
        <v>323</v>
      </c>
      <c r="M383" s="7"/>
      <c r="N383" s="8"/>
      <c r="O383" s="9"/>
      <c r="P383" s="43">
        <f t="shared" si="288"/>
        <v>0</v>
      </c>
      <c r="Q383" s="11"/>
      <c r="R383" s="8"/>
      <c r="S383" s="9"/>
      <c r="T383" s="43">
        <f t="shared" si="289"/>
        <v>0</v>
      </c>
      <c r="U383" s="10">
        <f t="shared" si="290"/>
        <v>0</v>
      </c>
      <c r="V383" s="61" t="s">
        <v>324</v>
      </c>
    </row>
    <row r="384" spans="1:24" ht="14.25" thickBot="1" x14ac:dyDescent="0.2">
      <c r="A384" s="35" t="s">
        <v>17</v>
      </c>
      <c r="B384" s="40">
        <f>SUM(B358:B383)</f>
        <v>2</v>
      </c>
      <c r="C384" s="41">
        <f t="shared" ref="C384:D384" si="291">SUM(C358:C383)</f>
        <v>0</v>
      </c>
      <c r="D384" s="52">
        <f t="shared" si="291"/>
        <v>0</v>
      </c>
      <c r="E384" s="39">
        <f t="shared" ref="E384" si="292">SUM(B384:D384)</f>
        <v>2</v>
      </c>
      <c r="F384" s="40">
        <f>SUM(F358:F383)</f>
        <v>2</v>
      </c>
      <c r="G384" s="41">
        <f t="shared" ref="G384:H384" si="293">SUM(G358:G383)</f>
        <v>0</v>
      </c>
      <c r="H384" s="52">
        <f t="shared" si="293"/>
        <v>0</v>
      </c>
      <c r="I384" s="39">
        <f t="shared" ref="I384" si="294">SUM(F384:H384)</f>
        <v>2</v>
      </c>
      <c r="J384" s="39">
        <f>E384+I384</f>
        <v>4</v>
      </c>
      <c r="L384" s="35" t="s">
        <v>17</v>
      </c>
      <c r="M384" s="40">
        <f>SUM(M358:M383)</f>
        <v>62</v>
      </c>
      <c r="N384" s="41">
        <f t="shared" ref="N384:O384" si="295">SUM(N358:N383)</f>
        <v>70</v>
      </c>
      <c r="O384" s="52">
        <f t="shared" si="295"/>
        <v>40</v>
      </c>
      <c r="P384" s="39">
        <f t="shared" si="276"/>
        <v>172</v>
      </c>
      <c r="Q384" s="40">
        <f>SUM(Q358:Q383)</f>
        <v>62</v>
      </c>
      <c r="R384" s="41">
        <f t="shared" ref="R384:S384" si="296">SUM(R358:R383)</f>
        <v>70</v>
      </c>
      <c r="S384" s="52">
        <f t="shared" si="296"/>
        <v>40</v>
      </c>
      <c r="T384" s="39">
        <f t="shared" si="277"/>
        <v>172</v>
      </c>
      <c r="U384" s="39">
        <f>P384+T384</f>
        <v>344</v>
      </c>
    </row>
    <row r="385" spans="1:22" ht="14.25" thickBot="1" x14ac:dyDescent="0.2">
      <c r="A385" s="21" t="s">
        <v>16</v>
      </c>
      <c r="B385" s="44">
        <f>B357-B384</f>
        <v>5</v>
      </c>
      <c r="C385" s="50">
        <f t="shared" ref="C385:D385" si="297">C357-C384</f>
        <v>4</v>
      </c>
      <c r="D385" s="51">
        <f t="shared" si="297"/>
        <v>2</v>
      </c>
      <c r="E385" s="49">
        <f>SUM(B385:D385)</f>
        <v>11</v>
      </c>
      <c r="F385" s="44">
        <f>F357-F384</f>
        <v>5</v>
      </c>
      <c r="G385" s="50">
        <f t="shared" ref="G385:H385" si="298">G357-G384</f>
        <v>4</v>
      </c>
      <c r="H385" s="51">
        <f t="shared" si="298"/>
        <v>2</v>
      </c>
      <c r="I385" s="49">
        <f>SUM(F385:H385)</f>
        <v>11</v>
      </c>
      <c r="J385" s="28">
        <f>E385+I385</f>
        <v>22</v>
      </c>
      <c r="L385" s="21" t="s">
        <v>16</v>
      </c>
      <c r="M385" s="44">
        <f>M357-M384</f>
        <v>204</v>
      </c>
      <c r="N385" s="50">
        <f t="shared" ref="N385:O385" si="299">N357-N384</f>
        <v>250</v>
      </c>
      <c r="O385" s="51">
        <f t="shared" si="299"/>
        <v>146</v>
      </c>
      <c r="P385" s="49">
        <f>SUM(M385:O385)</f>
        <v>600</v>
      </c>
      <c r="Q385" s="44">
        <f>Q357-Q384</f>
        <v>204</v>
      </c>
      <c r="R385" s="50">
        <f t="shared" ref="R385:S385" si="300">R357-R384</f>
        <v>250</v>
      </c>
      <c r="S385" s="51">
        <f t="shared" si="300"/>
        <v>146</v>
      </c>
      <c r="T385" s="49">
        <f>SUM(Q385:S385)</f>
        <v>600</v>
      </c>
      <c r="U385" s="28">
        <f>P385+T385</f>
        <v>1200</v>
      </c>
    </row>
    <row r="386" spans="1:22" x14ac:dyDescent="0.15">
      <c r="M386" s="88">
        <f>M385/$P$385*100</f>
        <v>34</v>
      </c>
      <c r="N386" s="88">
        <f t="shared" ref="N386:P386" si="301">N385/$P$385*100</f>
        <v>41.666666666666671</v>
      </c>
      <c r="O386" s="88">
        <f t="shared" si="301"/>
        <v>24.333333333333336</v>
      </c>
      <c r="P386" s="88">
        <f t="shared" si="301"/>
        <v>100</v>
      </c>
    </row>
    <row r="387" spans="1:22" x14ac:dyDescent="0.15">
      <c r="M387" s="97">
        <v>34.9</v>
      </c>
      <c r="N387" s="97">
        <v>40.6</v>
      </c>
      <c r="O387" s="97">
        <v>24.5</v>
      </c>
      <c r="P387" s="89">
        <v>100</v>
      </c>
    </row>
    <row r="388" spans="1:22" ht="19.5" thickBot="1" x14ac:dyDescent="0.25">
      <c r="A388" s="84" t="s">
        <v>29</v>
      </c>
      <c r="B388" s="85"/>
      <c r="C388" s="85"/>
      <c r="D388" s="85"/>
      <c r="E388" s="85"/>
      <c r="F388" s="85"/>
      <c r="G388" s="85"/>
      <c r="H388" s="85"/>
      <c r="I388" s="85"/>
      <c r="J388" s="85"/>
      <c r="L388" s="86" t="s">
        <v>337</v>
      </c>
      <c r="M388" s="117"/>
      <c r="N388" s="117"/>
      <c r="O388" s="117"/>
      <c r="P388" s="117"/>
      <c r="Q388" s="117"/>
      <c r="R388" s="117"/>
      <c r="S388" s="117"/>
      <c r="T388" s="87"/>
      <c r="U388" s="87">
        <v>1040</v>
      </c>
      <c r="V388" s="116"/>
    </row>
    <row r="389" spans="1:22" ht="14.25" thickBot="1" x14ac:dyDescent="0.2">
      <c r="A389" s="6"/>
      <c r="B389" s="146" t="s">
        <v>18</v>
      </c>
      <c r="C389" s="147"/>
      <c r="D389" s="147"/>
      <c r="E389" s="148"/>
      <c r="F389" s="146" t="s">
        <v>22</v>
      </c>
      <c r="G389" s="147"/>
      <c r="H389" s="147"/>
      <c r="I389" s="148"/>
      <c r="J389" s="101" t="s">
        <v>0</v>
      </c>
      <c r="L389" s="6"/>
      <c r="M389" s="149" t="s">
        <v>18</v>
      </c>
      <c r="N389" s="150"/>
      <c r="O389" s="150"/>
      <c r="P389" s="151"/>
      <c r="Q389" s="149" t="s">
        <v>22</v>
      </c>
      <c r="R389" s="150"/>
      <c r="S389" s="150"/>
      <c r="T389" s="151"/>
      <c r="U389" s="101" t="s">
        <v>0</v>
      </c>
      <c r="V389" s="116"/>
    </row>
    <row r="390" spans="1:22" ht="14.25" thickBot="1" x14ac:dyDescent="0.2">
      <c r="A390" s="6" t="s">
        <v>1</v>
      </c>
      <c r="B390" s="3" t="s">
        <v>2</v>
      </c>
      <c r="C390" s="4" t="s">
        <v>3</v>
      </c>
      <c r="D390" s="5" t="s">
        <v>4</v>
      </c>
      <c r="E390" s="6" t="s">
        <v>5</v>
      </c>
      <c r="F390" s="3" t="s">
        <v>2</v>
      </c>
      <c r="G390" s="4" t="s">
        <v>3</v>
      </c>
      <c r="H390" s="5" t="s">
        <v>4</v>
      </c>
      <c r="I390" s="6" t="s">
        <v>5</v>
      </c>
      <c r="J390" s="102"/>
      <c r="L390" s="6" t="s">
        <v>1</v>
      </c>
      <c r="M390" s="3" t="s">
        <v>2</v>
      </c>
      <c r="N390" s="4" t="s">
        <v>3</v>
      </c>
      <c r="O390" s="5" t="s">
        <v>4</v>
      </c>
      <c r="P390" s="6" t="s">
        <v>5</v>
      </c>
      <c r="Q390" s="3" t="s">
        <v>2</v>
      </c>
      <c r="R390" s="4" t="s">
        <v>3</v>
      </c>
      <c r="S390" s="5" t="s">
        <v>4</v>
      </c>
      <c r="T390" s="6" t="s">
        <v>5</v>
      </c>
      <c r="U390" s="102"/>
      <c r="V390" s="116"/>
    </row>
    <row r="391" spans="1:22" ht="14.25" thickBot="1" x14ac:dyDescent="0.2">
      <c r="A391" s="62" t="s">
        <v>16</v>
      </c>
      <c r="B391" s="40">
        <f>B385</f>
        <v>5</v>
      </c>
      <c r="C391" s="41">
        <f>C385</f>
        <v>4</v>
      </c>
      <c r="D391" s="81">
        <f>D385</f>
        <v>2</v>
      </c>
      <c r="E391" s="39">
        <f>SUM(B391:D391)</f>
        <v>11</v>
      </c>
      <c r="F391" s="40">
        <f>F385</f>
        <v>5</v>
      </c>
      <c r="G391" s="41">
        <f>G385</f>
        <v>4</v>
      </c>
      <c r="H391" s="81">
        <f>H385</f>
        <v>2</v>
      </c>
      <c r="I391" s="39">
        <f>SUM(F391:H391)</f>
        <v>11</v>
      </c>
      <c r="J391" s="39">
        <f>E391+I391</f>
        <v>22</v>
      </c>
      <c r="L391" s="66" t="s">
        <v>6</v>
      </c>
      <c r="M391" s="25">
        <f>M385</f>
        <v>204</v>
      </c>
      <c r="N391" s="26">
        <f>N385</f>
        <v>250</v>
      </c>
      <c r="O391" s="115">
        <f>O385</f>
        <v>146</v>
      </c>
      <c r="P391" s="28">
        <f>SUM(M391:O391)</f>
        <v>600</v>
      </c>
      <c r="Q391" s="25">
        <f>Q385</f>
        <v>204</v>
      </c>
      <c r="R391" s="26">
        <f>R385</f>
        <v>250</v>
      </c>
      <c r="S391" s="27">
        <f>S385</f>
        <v>146</v>
      </c>
      <c r="T391" s="28">
        <f>SUM(Q391:S391)</f>
        <v>600</v>
      </c>
      <c r="U391" s="28">
        <f>P391+T391</f>
        <v>1200</v>
      </c>
      <c r="V391" s="116"/>
    </row>
    <row r="392" spans="1:22" x14ac:dyDescent="0.15">
      <c r="A392" s="23" t="s">
        <v>260</v>
      </c>
      <c r="B392" s="7">
        <v>1</v>
      </c>
      <c r="C392" s="8">
        <v>2</v>
      </c>
      <c r="D392" s="46"/>
      <c r="E392" s="10">
        <f t="shared" ref="E392:E399" si="302">SUM(B392:D392)</f>
        <v>3</v>
      </c>
      <c r="F392" s="11">
        <v>1</v>
      </c>
      <c r="G392" s="8">
        <v>2</v>
      </c>
      <c r="H392" s="9"/>
      <c r="I392" s="10">
        <f t="shared" ref="I392:I399" si="303">SUM(F392:H392)</f>
        <v>3</v>
      </c>
      <c r="J392" s="10">
        <f t="shared" ref="J392:J399" si="304">E392+I392</f>
        <v>6</v>
      </c>
      <c r="K392" s="58">
        <v>45610</v>
      </c>
      <c r="L392" s="23" t="s">
        <v>7</v>
      </c>
      <c r="M392" s="12"/>
      <c r="N392" s="13"/>
      <c r="O392" s="47"/>
      <c r="P392" s="10">
        <f t="shared" ref="P392:P399" si="305">SUM(M392:O392)</f>
        <v>0</v>
      </c>
      <c r="Q392" s="15"/>
      <c r="R392" s="13"/>
      <c r="S392" s="14"/>
      <c r="T392" s="10">
        <f t="shared" ref="T392:T399" si="306">SUM(Q392:S392)</f>
        <v>0</v>
      </c>
      <c r="U392" s="10">
        <f t="shared" ref="U392:U399" si="307">P392+T392</f>
        <v>0</v>
      </c>
      <c r="V392" s="116"/>
    </row>
    <row r="393" spans="1:22" x14ac:dyDescent="0.15">
      <c r="A393" s="23" t="s">
        <v>260</v>
      </c>
      <c r="B393" s="7">
        <v>1</v>
      </c>
      <c r="C393" s="8"/>
      <c r="D393" s="46"/>
      <c r="E393" s="10">
        <f t="shared" si="302"/>
        <v>1</v>
      </c>
      <c r="F393" s="11">
        <v>1</v>
      </c>
      <c r="G393" s="8"/>
      <c r="H393" s="9"/>
      <c r="I393" s="10">
        <f t="shared" si="303"/>
        <v>1</v>
      </c>
      <c r="J393" s="10">
        <f t="shared" si="304"/>
        <v>2</v>
      </c>
      <c r="K393" s="58">
        <v>45624</v>
      </c>
      <c r="L393" s="23" t="s">
        <v>8</v>
      </c>
      <c r="M393" s="12"/>
      <c r="N393" s="13"/>
      <c r="O393" s="47"/>
      <c r="P393" s="10">
        <f t="shared" si="305"/>
        <v>0</v>
      </c>
      <c r="Q393" s="15"/>
      <c r="R393" s="13"/>
      <c r="S393" s="14"/>
      <c r="T393" s="10">
        <f t="shared" si="306"/>
        <v>0</v>
      </c>
      <c r="U393" s="10">
        <f t="shared" si="307"/>
        <v>0</v>
      </c>
      <c r="V393" s="116"/>
    </row>
    <row r="394" spans="1:22" x14ac:dyDescent="0.15">
      <c r="A394" s="23" t="s">
        <v>9</v>
      </c>
      <c r="B394" s="7"/>
      <c r="C394" s="8"/>
      <c r="D394" s="46"/>
      <c r="E394" s="10">
        <f t="shared" si="302"/>
        <v>0</v>
      </c>
      <c r="F394" s="11"/>
      <c r="G394" s="8"/>
      <c r="H394" s="9"/>
      <c r="I394" s="10">
        <f t="shared" si="303"/>
        <v>0</v>
      </c>
      <c r="J394" s="10">
        <f t="shared" si="304"/>
        <v>0</v>
      </c>
      <c r="L394" s="23" t="s">
        <v>9</v>
      </c>
      <c r="M394" s="12"/>
      <c r="N394" s="13"/>
      <c r="O394" s="47"/>
      <c r="P394" s="10">
        <f t="shared" ref="P394:P395" si="308">SUM(M394:O394)</f>
        <v>0</v>
      </c>
      <c r="Q394" s="15"/>
      <c r="R394" s="13"/>
      <c r="S394" s="14"/>
      <c r="T394" s="10">
        <f t="shared" ref="T394:T395" si="309">SUM(Q394:S394)</f>
        <v>0</v>
      </c>
      <c r="U394" s="10">
        <f t="shared" ref="U394:U395" si="310">P394+T394</f>
        <v>0</v>
      </c>
      <c r="V394" s="116"/>
    </row>
    <row r="395" spans="1:22" x14ac:dyDescent="0.15">
      <c r="A395" s="23" t="s">
        <v>10</v>
      </c>
      <c r="B395" s="7"/>
      <c r="C395" s="8"/>
      <c r="D395" s="46"/>
      <c r="E395" s="10">
        <f t="shared" si="302"/>
        <v>0</v>
      </c>
      <c r="F395" s="11"/>
      <c r="G395" s="8"/>
      <c r="H395" s="9"/>
      <c r="I395" s="10">
        <f t="shared" si="303"/>
        <v>0</v>
      </c>
      <c r="J395" s="10">
        <f t="shared" si="304"/>
        <v>0</v>
      </c>
      <c r="L395" s="23" t="s">
        <v>10</v>
      </c>
      <c r="M395" s="12"/>
      <c r="N395" s="13"/>
      <c r="O395" s="47"/>
      <c r="P395" s="10">
        <f t="shared" si="308"/>
        <v>0</v>
      </c>
      <c r="Q395" s="15"/>
      <c r="R395" s="13"/>
      <c r="S395" s="14"/>
      <c r="T395" s="10">
        <f t="shared" si="309"/>
        <v>0</v>
      </c>
      <c r="U395" s="10">
        <f t="shared" si="310"/>
        <v>0</v>
      </c>
      <c r="V395" s="116"/>
    </row>
    <row r="396" spans="1:22" x14ac:dyDescent="0.15">
      <c r="A396" s="23" t="s">
        <v>11</v>
      </c>
      <c r="B396" s="7"/>
      <c r="C396" s="8"/>
      <c r="D396" s="46"/>
      <c r="E396" s="10">
        <f t="shared" si="302"/>
        <v>0</v>
      </c>
      <c r="F396" s="11"/>
      <c r="G396" s="8"/>
      <c r="H396" s="9"/>
      <c r="I396" s="10">
        <f t="shared" si="303"/>
        <v>0</v>
      </c>
      <c r="J396" s="10">
        <f t="shared" si="304"/>
        <v>0</v>
      </c>
      <c r="L396" s="23" t="s">
        <v>11</v>
      </c>
      <c r="M396" s="12"/>
      <c r="N396" s="13"/>
      <c r="O396" s="47"/>
      <c r="P396" s="10">
        <f t="shared" si="305"/>
        <v>0</v>
      </c>
      <c r="Q396" s="15"/>
      <c r="R396" s="13"/>
      <c r="S396" s="14"/>
      <c r="T396" s="10">
        <f t="shared" si="306"/>
        <v>0</v>
      </c>
      <c r="U396" s="10">
        <f t="shared" si="307"/>
        <v>0</v>
      </c>
      <c r="V396" s="116"/>
    </row>
    <row r="397" spans="1:22" x14ac:dyDescent="0.15">
      <c r="A397" s="23" t="s">
        <v>12</v>
      </c>
      <c r="B397" s="7"/>
      <c r="C397" s="8"/>
      <c r="D397" s="46"/>
      <c r="E397" s="10">
        <f t="shared" si="302"/>
        <v>0</v>
      </c>
      <c r="F397" s="11"/>
      <c r="G397" s="8"/>
      <c r="H397" s="9"/>
      <c r="I397" s="10">
        <f t="shared" si="303"/>
        <v>0</v>
      </c>
      <c r="J397" s="10">
        <f t="shared" si="304"/>
        <v>0</v>
      </c>
      <c r="L397" s="23" t="s">
        <v>12</v>
      </c>
      <c r="M397" s="12"/>
      <c r="N397" s="13"/>
      <c r="O397" s="47"/>
      <c r="P397" s="10">
        <f t="shared" si="305"/>
        <v>0</v>
      </c>
      <c r="Q397" s="15"/>
      <c r="R397" s="13"/>
      <c r="S397" s="14"/>
      <c r="T397" s="10">
        <f t="shared" si="306"/>
        <v>0</v>
      </c>
      <c r="U397" s="10">
        <f t="shared" si="307"/>
        <v>0</v>
      </c>
      <c r="V397" s="116"/>
    </row>
    <row r="398" spans="1:22" x14ac:dyDescent="0.15">
      <c r="A398" s="23" t="s">
        <v>13</v>
      </c>
      <c r="B398" s="12"/>
      <c r="C398" s="13"/>
      <c r="D398" s="47"/>
      <c r="E398" s="10">
        <f t="shared" si="302"/>
        <v>0</v>
      </c>
      <c r="F398" s="15"/>
      <c r="G398" s="13"/>
      <c r="H398" s="14"/>
      <c r="I398" s="10">
        <f t="shared" si="303"/>
        <v>0</v>
      </c>
      <c r="J398" s="10">
        <f t="shared" si="304"/>
        <v>0</v>
      </c>
      <c r="L398" s="23" t="s">
        <v>13</v>
      </c>
      <c r="M398" s="12"/>
      <c r="N398" s="13"/>
      <c r="O398" s="47"/>
      <c r="P398" s="10">
        <f t="shared" si="305"/>
        <v>0</v>
      </c>
      <c r="Q398" s="15"/>
      <c r="R398" s="13"/>
      <c r="S398" s="14"/>
      <c r="T398" s="10">
        <f t="shared" si="306"/>
        <v>0</v>
      </c>
      <c r="U398" s="10">
        <f t="shared" si="307"/>
        <v>0</v>
      </c>
      <c r="V398" s="116"/>
    </row>
    <row r="399" spans="1:22" ht="14.25" thickBot="1" x14ac:dyDescent="0.2">
      <c r="A399" s="23" t="s">
        <v>14</v>
      </c>
      <c r="B399" s="29"/>
      <c r="C399" s="30"/>
      <c r="D399" s="48"/>
      <c r="E399" s="55">
        <f t="shared" si="302"/>
        <v>0</v>
      </c>
      <c r="F399" s="31"/>
      <c r="G399" s="31"/>
      <c r="H399" s="33"/>
      <c r="I399" s="55">
        <f t="shared" si="303"/>
        <v>0</v>
      </c>
      <c r="J399" s="20">
        <f t="shared" si="304"/>
        <v>0</v>
      </c>
      <c r="L399" s="23" t="s">
        <v>14</v>
      </c>
      <c r="M399" s="29"/>
      <c r="N399" s="30"/>
      <c r="O399" s="48"/>
      <c r="P399" s="55">
        <f t="shared" si="305"/>
        <v>0</v>
      </c>
      <c r="Q399" s="31"/>
      <c r="R399" s="31"/>
      <c r="S399" s="33"/>
      <c r="T399" s="55">
        <f t="shared" si="306"/>
        <v>0</v>
      </c>
      <c r="U399" s="20">
        <f t="shared" si="307"/>
        <v>0</v>
      </c>
      <c r="V399" s="116"/>
    </row>
    <row r="400" spans="1:22" ht="14.25" thickBot="1" x14ac:dyDescent="0.2">
      <c r="A400" s="32" t="s">
        <v>15</v>
      </c>
      <c r="B400" s="25">
        <f>SUM(B391:B399)</f>
        <v>7</v>
      </c>
      <c r="C400" s="26">
        <f>SUM(C391:C399)</f>
        <v>6</v>
      </c>
      <c r="D400" s="27">
        <f>SUM(D391:D399)</f>
        <v>2</v>
      </c>
      <c r="E400" s="28">
        <f>SUM(B400:D400)</f>
        <v>15</v>
      </c>
      <c r="F400" s="25">
        <f>SUM(F391:F399)</f>
        <v>7</v>
      </c>
      <c r="G400" s="26">
        <f>SUM(G391:G399)</f>
        <v>6</v>
      </c>
      <c r="H400" s="27">
        <f>SUM(H391:H399)</f>
        <v>2</v>
      </c>
      <c r="I400" s="28">
        <f>SUM(F400:H400)</f>
        <v>15</v>
      </c>
      <c r="J400" s="28">
        <f>E400+I400</f>
        <v>30</v>
      </c>
      <c r="L400" s="32" t="s">
        <v>15</v>
      </c>
      <c r="M400" s="25">
        <f>SUM(M391:M399)</f>
        <v>204</v>
      </c>
      <c r="N400" s="26">
        <f>SUM(N391:N399)</f>
        <v>250</v>
      </c>
      <c r="O400" s="27">
        <f>SUM(O391:O399)</f>
        <v>146</v>
      </c>
      <c r="P400" s="28">
        <f>SUM(M400:O400)</f>
        <v>600</v>
      </c>
      <c r="Q400" s="25">
        <f>SUM(Q391:Q399)</f>
        <v>204</v>
      </c>
      <c r="R400" s="26">
        <f>SUM(R391:R399)</f>
        <v>250</v>
      </c>
      <c r="S400" s="27">
        <f>SUM(S391:S399)</f>
        <v>146</v>
      </c>
      <c r="T400" s="28">
        <f>SUM(Q400:S400)</f>
        <v>600</v>
      </c>
      <c r="U400" s="28">
        <f>P400+T400</f>
        <v>1200</v>
      </c>
      <c r="V400" s="116"/>
    </row>
    <row r="401" spans="1:25" x14ac:dyDescent="0.15">
      <c r="A401" s="22"/>
      <c r="B401" s="7"/>
      <c r="C401" s="8"/>
      <c r="D401" s="9"/>
      <c r="E401" s="43">
        <f t="shared" ref="E401:E425" si="311">SUM(B401:D401)</f>
        <v>0</v>
      </c>
      <c r="F401" s="11"/>
      <c r="G401" s="8"/>
      <c r="H401" s="9"/>
      <c r="I401" s="43">
        <f t="shared" ref="I401:I425" si="312">SUM(F401:H401)</f>
        <v>0</v>
      </c>
      <c r="J401" s="10">
        <f t="shared" ref="J401:J425" si="313">E401+I401</f>
        <v>0</v>
      </c>
      <c r="L401" s="24" t="s">
        <v>211</v>
      </c>
      <c r="M401" s="7"/>
      <c r="N401" s="8">
        <v>10</v>
      </c>
      <c r="O401" s="9"/>
      <c r="P401" s="43">
        <f t="shared" ref="P401" si="314">SUM(M401:O401)</f>
        <v>10</v>
      </c>
      <c r="Q401" s="11"/>
      <c r="R401" s="8">
        <v>10</v>
      </c>
      <c r="S401" s="9"/>
      <c r="T401" s="43">
        <f t="shared" ref="T401" si="315">SUM(Q401:S401)</f>
        <v>10</v>
      </c>
      <c r="U401" s="10">
        <f t="shared" ref="U401" si="316">P401+T401</f>
        <v>20</v>
      </c>
      <c r="V401" s="56">
        <v>45597</v>
      </c>
    </row>
    <row r="402" spans="1:25" x14ac:dyDescent="0.15">
      <c r="A402" s="22"/>
      <c r="B402" s="7"/>
      <c r="C402" s="8"/>
      <c r="D402" s="9"/>
      <c r="E402" s="43">
        <f t="shared" si="311"/>
        <v>0</v>
      </c>
      <c r="F402" s="11"/>
      <c r="G402" s="8"/>
      <c r="H402" s="9"/>
      <c r="I402" s="43">
        <f t="shared" si="312"/>
        <v>0</v>
      </c>
      <c r="J402" s="10">
        <f t="shared" si="313"/>
        <v>0</v>
      </c>
      <c r="L402" s="24" t="s">
        <v>63</v>
      </c>
      <c r="M402" s="7">
        <v>1</v>
      </c>
      <c r="N402" s="8"/>
      <c r="O402" s="9"/>
      <c r="P402" s="43">
        <f t="shared" ref="P402:P412" si="317">SUM(M402:O402)</f>
        <v>1</v>
      </c>
      <c r="Q402" s="11">
        <v>1</v>
      </c>
      <c r="R402" s="8"/>
      <c r="S402" s="9"/>
      <c r="T402" s="43">
        <f t="shared" ref="T402:T412" si="318">SUM(Q402:S402)</f>
        <v>1</v>
      </c>
      <c r="U402" s="10">
        <f t="shared" ref="U402:U412" si="319">P402+T402</f>
        <v>2</v>
      </c>
      <c r="V402" s="56">
        <v>45601</v>
      </c>
    </row>
    <row r="403" spans="1:25" x14ac:dyDescent="0.15">
      <c r="A403" s="22"/>
      <c r="B403" s="7"/>
      <c r="C403" s="8"/>
      <c r="D403" s="9"/>
      <c r="E403" s="43">
        <f t="shared" si="311"/>
        <v>0</v>
      </c>
      <c r="F403" s="11"/>
      <c r="G403" s="8"/>
      <c r="H403" s="9"/>
      <c r="I403" s="43">
        <f t="shared" si="312"/>
        <v>0</v>
      </c>
      <c r="J403" s="10">
        <f t="shared" si="313"/>
        <v>0</v>
      </c>
      <c r="L403" s="24" t="s">
        <v>65</v>
      </c>
      <c r="M403" s="7">
        <v>3</v>
      </c>
      <c r="N403" s="8"/>
      <c r="O403" s="9"/>
      <c r="P403" s="43">
        <f t="shared" si="317"/>
        <v>3</v>
      </c>
      <c r="Q403" s="11">
        <v>3</v>
      </c>
      <c r="R403" s="8"/>
      <c r="S403" s="9"/>
      <c r="T403" s="43">
        <f t="shared" si="318"/>
        <v>3</v>
      </c>
      <c r="U403" s="10">
        <f t="shared" si="319"/>
        <v>6</v>
      </c>
      <c r="V403" s="56">
        <v>45603</v>
      </c>
      <c r="W403" s="61"/>
    </row>
    <row r="404" spans="1:25" x14ac:dyDescent="0.15">
      <c r="A404" s="22"/>
      <c r="B404" s="7"/>
      <c r="C404" s="8"/>
      <c r="D404" s="9"/>
      <c r="E404" s="43">
        <f t="shared" si="311"/>
        <v>0</v>
      </c>
      <c r="F404" s="11"/>
      <c r="G404" s="8"/>
      <c r="H404" s="9"/>
      <c r="I404" s="43">
        <f t="shared" si="312"/>
        <v>0</v>
      </c>
      <c r="J404" s="10">
        <f t="shared" si="313"/>
        <v>0</v>
      </c>
      <c r="L404" s="24" t="s">
        <v>67</v>
      </c>
      <c r="M404" s="7">
        <v>2</v>
      </c>
      <c r="N404" s="8"/>
      <c r="O404" s="9"/>
      <c r="P404" s="43">
        <f t="shared" si="317"/>
        <v>2</v>
      </c>
      <c r="Q404" s="11">
        <v>2</v>
      </c>
      <c r="R404" s="8"/>
      <c r="S404" s="9"/>
      <c r="T404" s="43">
        <f t="shared" si="318"/>
        <v>2</v>
      </c>
      <c r="U404" s="10">
        <f t="shared" si="319"/>
        <v>4</v>
      </c>
      <c r="V404" s="56">
        <v>45604</v>
      </c>
      <c r="W404" s="61"/>
    </row>
    <row r="405" spans="1:25" x14ac:dyDescent="0.15">
      <c r="A405" s="22"/>
      <c r="B405" s="7"/>
      <c r="C405" s="8"/>
      <c r="D405" s="9"/>
      <c r="E405" s="43">
        <f t="shared" si="311"/>
        <v>0</v>
      </c>
      <c r="F405" s="11"/>
      <c r="G405" s="8"/>
      <c r="H405" s="9"/>
      <c r="I405" s="43">
        <f t="shared" si="312"/>
        <v>0</v>
      </c>
      <c r="J405" s="10">
        <f t="shared" si="313"/>
        <v>0</v>
      </c>
      <c r="L405" s="24" t="s">
        <v>69</v>
      </c>
      <c r="M405" s="7">
        <v>2</v>
      </c>
      <c r="N405" s="8"/>
      <c r="O405" s="9">
        <v>1</v>
      </c>
      <c r="P405" s="43">
        <f t="shared" si="317"/>
        <v>3</v>
      </c>
      <c r="Q405" s="11">
        <v>2</v>
      </c>
      <c r="R405" s="8"/>
      <c r="S405" s="9">
        <v>1</v>
      </c>
      <c r="T405" s="43">
        <f t="shared" si="318"/>
        <v>3</v>
      </c>
      <c r="U405" s="10">
        <f t="shared" si="319"/>
        <v>6</v>
      </c>
      <c r="V405" s="56">
        <v>45604</v>
      </c>
      <c r="W405" s="61"/>
    </row>
    <row r="406" spans="1:25" x14ac:dyDescent="0.15">
      <c r="A406" s="22"/>
      <c r="B406" s="7"/>
      <c r="C406" s="8"/>
      <c r="D406" s="9"/>
      <c r="E406" s="43">
        <f t="shared" si="311"/>
        <v>0</v>
      </c>
      <c r="F406" s="11"/>
      <c r="G406" s="8"/>
      <c r="H406" s="9"/>
      <c r="I406" s="43">
        <f t="shared" si="312"/>
        <v>0</v>
      </c>
      <c r="J406" s="10">
        <f t="shared" si="313"/>
        <v>0</v>
      </c>
      <c r="L406" s="24" t="s">
        <v>72</v>
      </c>
      <c r="M406" s="7"/>
      <c r="N406" s="8">
        <v>2</v>
      </c>
      <c r="O406" s="9"/>
      <c r="P406" s="43">
        <f t="shared" si="317"/>
        <v>2</v>
      </c>
      <c r="Q406" s="11"/>
      <c r="R406" s="8">
        <v>2</v>
      </c>
      <c r="S406" s="9"/>
      <c r="T406" s="43">
        <f t="shared" si="318"/>
        <v>2</v>
      </c>
      <c r="U406" s="10">
        <f t="shared" si="319"/>
        <v>4</v>
      </c>
      <c r="V406" s="56">
        <v>45607</v>
      </c>
      <c r="W406" s="61"/>
    </row>
    <row r="407" spans="1:25" x14ac:dyDescent="0.15">
      <c r="A407" s="22"/>
      <c r="B407" s="7"/>
      <c r="C407" s="8"/>
      <c r="D407" s="9"/>
      <c r="E407" s="43">
        <f t="shared" si="311"/>
        <v>0</v>
      </c>
      <c r="F407" s="11"/>
      <c r="G407" s="8"/>
      <c r="H407" s="9"/>
      <c r="I407" s="43">
        <f t="shared" si="312"/>
        <v>0</v>
      </c>
      <c r="J407" s="10">
        <f t="shared" si="313"/>
        <v>0</v>
      </c>
      <c r="L407" s="24" t="s">
        <v>214</v>
      </c>
      <c r="M407" s="7">
        <v>10</v>
      </c>
      <c r="N407" s="8">
        <v>5</v>
      </c>
      <c r="O407" s="9">
        <v>5</v>
      </c>
      <c r="P407" s="43">
        <f t="shared" si="317"/>
        <v>20</v>
      </c>
      <c r="Q407" s="11">
        <v>10</v>
      </c>
      <c r="R407" s="8">
        <v>5</v>
      </c>
      <c r="S407" s="9">
        <v>5</v>
      </c>
      <c r="T407" s="43">
        <f t="shared" si="318"/>
        <v>20</v>
      </c>
      <c r="U407" s="10">
        <f t="shared" si="319"/>
        <v>40</v>
      </c>
      <c r="V407" s="56">
        <v>45605</v>
      </c>
      <c r="W407" s="61"/>
    </row>
    <row r="408" spans="1:25" x14ac:dyDescent="0.15">
      <c r="A408" s="22"/>
      <c r="B408" s="7"/>
      <c r="C408" s="8"/>
      <c r="D408" s="9"/>
      <c r="E408" s="43">
        <f t="shared" si="311"/>
        <v>0</v>
      </c>
      <c r="F408" s="11"/>
      <c r="G408" s="8"/>
      <c r="H408" s="9"/>
      <c r="I408" s="43">
        <f t="shared" si="312"/>
        <v>0</v>
      </c>
      <c r="J408" s="10">
        <f t="shared" si="313"/>
        <v>0</v>
      </c>
      <c r="L408" s="24" t="s">
        <v>76</v>
      </c>
      <c r="M408" s="7"/>
      <c r="N408" s="8">
        <v>1</v>
      </c>
      <c r="O408" s="9">
        <v>1</v>
      </c>
      <c r="P408" s="43">
        <f t="shared" si="317"/>
        <v>2</v>
      </c>
      <c r="Q408" s="11"/>
      <c r="R408" s="8">
        <v>1</v>
      </c>
      <c r="S408" s="9">
        <v>1</v>
      </c>
      <c r="T408" s="43">
        <f t="shared" si="318"/>
        <v>2</v>
      </c>
      <c r="U408" s="10">
        <f t="shared" si="319"/>
        <v>4</v>
      </c>
      <c r="V408" s="56">
        <v>45609</v>
      </c>
      <c r="W408" s="61"/>
    </row>
    <row r="409" spans="1:25" x14ac:dyDescent="0.15">
      <c r="A409" s="22"/>
      <c r="B409" s="7"/>
      <c r="C409" s="8"/>
      <c r="D409" s="9"/>
      <c r="E409" s="43">
        <f t="shared" si="311"/>
        <v>0</v>
      </c>
      <c r="F409" s="11"/>
      <c r="G409" s="8"/>
      <c r="H409" s="9"/>
      <c r="I409" s="43">
        <f t="shared" si="312"/>
        <v>0</v>
      </c>
      <c r="J409" s="10">
        <f t="shared" si="313"/>
        <v>0</v>
      </c>
      <c r="L409" s="24" t="s">
        <v>80</v>
      </c>
      <c r="M409" s="7"/>
      <c r="N409" s="8">
        <v>1</v>
      </c>
      <c r="O409" s="9">
        <v>2</v>
      </c>
      <c r="P409" s="43">
        <f t="shared" si="317"/>
        <v>3</v>
      </c>
      <c r="Q409" s="11"/>
      <c r="R409" s="8">
        <v>1</v>
      </c>
      <c r="S409" s="9">
        <v>2</v>
      </c>
      <c r="T409" s="43">
        <f t="shared" si="318"/>
        <v>3</v>
      </c>
      <c r="U409" s="10">
        <f t="shared" si="319"/>
        <v>6</v>
      </c>
      <c r="V409" s="56">
        <v>45610</v>
      </c>
      <c r="W409" s="61"/>
    </row>
    <row r="410" spans="1:25" x14ac:dyDescent="0.15">
      <c r="A410" s="22"/>
      <c r="B410" s="12"/>
      <c r="C410" s="13"/>
      <c r="D410" s="14"/>
      <c r="E410" s="43">
        <f t="shared" si="311"/>
        <v>0</v>
      </c>
      <c r="F410" s="15"/>
      <c r="G410" s="13"/>
      <c r="H410" s="14"/>
      <c r="I410" s="43">
        <f t="shared" si="312"/>
        <v>0</v>
      </c>
      <c r="J410" s="10">
        <f t="shared" si="313"/>
        <v>0</v>
      </c>
      <c r="L410" s="24" t="s">
        <v>223</v>
      </c>
      <c r="M410" s="7">
        <v>10</v>
      </c>
      <c r="N410" s="8">
        <v>10</v>
      </c>
      <c r="O410" s="9">
        <v>5</v>
      </c>
      <c r="P410" s="43">
        <f t="shared" si="317"/>
        <v>25</v>
      </c>
      <c r="Q410" s="11">
        <v>10</v>
      </c>
      <c r="R410" s="8">
        <v>10</v>
      </c>
      <c r="S410" s="9">
        <v>5</v>
      </c>
      <c r="T410" s="43">
        <f t="shared" si="318"/>
        <v>25</v>
      </c>
      <c r="U410" s="10">
        <f t="shared" si="319"/>
        <v>50</v>
      </c>
      <c r="V410" s="56">
        <v>45609</v>
      </c>
      <c r="W410" s="61"/>
    </row>
    <row r="411" spans="1:25" x14ac:dyDescent="0.15">
      <c r="A411" s="22"/>
      <c r="B411" s="7"/>
      <c r="C411" s="8"/>
      <c r="D411" s="9"/>
      <c r="E411" s="43">
        <f t="shared" si="311"/>
        <v>0</v>
      </c>
      <c r="F411" s="11"/>
      <c r="G411" s="8"/>
      <c r="H411" s="9"/>
      <c r="I411" s="43">
        <f t="shared" si="312"/>
        <v>0</v>
      </c>
      <c r="J411" s="10">
        <f t="shared" si="313"/>
        <v>0</v>
      </c>
      <c r="L411" s="24" t="s">
        <v>84</v>
      </c>
      <c r="M411" s="7">
        <v>7</v>
      </c>
      <c r="N411" s="8">
        <v>3</v>
      </c>
      <c r="O411" s="9">
        <v>8</v>
      </c>
      <c r="P411" s="43">
        <f t="shared" si="317"/>
        <v>18</v>
      </c>
      <c r="Q411" s="11">
        <v>7</v>
      </c>
      <c r="R411" s="8">
        <v>3</v>
      </c>
      <c r="S411" s="9">
        <v>8</v>
      </c>
      <c r="T411" s="43">
        <f t="shared" si="318"/>
        <v>18</v>
      </c>
      <c r="U411" s="10">
        <f t="shared" si="319"/>
        <v>36</v>
      </c>
      <c r="V411" s="56">
        <v>45611</v>
      </c>
      <c r="W411" s="61"/>
    </row>
    <row r="412" spans="1:25" x14ac:dyDescent="0.15">
      <c r="A412" s="22"/>
      <c r="B412" s="7"/>
      <c r="C412" s="8"/>
      <c r="D412" s="9"/>
      <c r="E412" s="43">
        <f t="shared" si="311"/>
        <v>0</v>
      </c>
      <c r="F412" s="11"/>
      <c r="G412" s="8"/>
      <c r="H412" s="9"/>
      <c r="I412" s="43">
        <f t="shared" si="312"/>
        <v>0</v>
      </c>
      <c r="J412" s="10">
        <f t="shared" si="313"/>
        <v>0</v>
      </c>
      <c r="L412" s="24" t="s">
        <v>85</v>
      </c>
      <c r="M412" s="7">
        <v>3</v>
      </c>
      <c r="N412" s="8">
        <v>2</v>
      </c>
      <c r="O412" s="9">
        <v>2</v>
      </c>
      <c r="P412" s="43">
        <f t="shared" si="317"/>
        <v>7</v>
      </c>
      <c r="Q412" s="11">
        <v>3</v>
      </c>
      <c r="R412" s="8">
        <v>2</v>
      </c>
      <c r="S412" s="9">
        <v>2</v>
      </c>
      <c r="T412" s="43">
        <f t="shared" si="318"/>
        <v>7</v>
      </c>
      <c r="U412" s="10">
        <f t="shared" si="319"/>
        <v>14</v>
      </c>
      <c r="V412" s="56">
        <v>45611</v>
      </c>
      <c r="W412" s="61"/>
    </row>
    <row r="413" spans="1:25" x14ac:dyDescent="0.15">
      <c r="A413" s="22"/>
      <c r="B413" s="7"/>
      <c r="C413" s="8"/>
      <c r="D413" s="9"/>
      <c r="E413" s="43">
        <f t="shared" si="311"/>
        <v>0</v>
      </c>
      <c r="F413" s="11"/>
      <c r="G413" s="8"/>
      <c r="H413" s="9"/>
      <c r="I413" s="43">
        <f t="shared" si="312"/>
        <v>0</v>
      </c>
      <c r="J413" s="10">
        <f t="shared" si="313"/>
        <v>0</v>
      </c>
      <c r="L413" s="24" t="s">
        <v>86</v>
      </c>
      <c r="M413" s="7">
        <v>2</v>
      </c>
      <c r="N413" s="8">
        <v>8</v>
      </c>
      <c r="O413" s="9">
        <v>1</v>
      </c>
      <c r="P413" s="43">
        <f t="shared" ref="P413:P427" si="320">SUM(M413:O413)</f>
        <v>11</v>
      </c>
      <c r="Q413" s="11">
        <v>2</v>
      </c>
      <c r="R413" s="8">
        <v>8</v>
      </c>
      <c r="S413" s="9">
        <v>1</v>
      </c>
      <c r="T413" s="43">
        <f t="shared" ref="T413:T427" si="321">SUM(Q413:S413)</f>
        <v>11</v>
      </c>
      <c r="U413" s="10">
        <f t="shared" ref="U413:U417" si="322">P413+T413</f>
        <v>22</v>
      </c>
      <c r="V413" s="56">
        <v>45614</v>
      </c>
      <c r="W413" s="61"/>
    </row>
    <row r="414" spans="1:25" x14ac:dyDescent="0.15">
      <c r="A414" s="22"/>
      <c r="B414" s="7"/>
      <c r="C414" s="8"/>
      <c r="D414" s="9"/>
      <c r="E414" s="43">
        <f t="shared" si="311"/>
        <v>0</v>
      </c>
      <c r="F414" s="11"/>
      <c r="G414" s="8"/>
      <c r="H414" s="9"/>
      <c r="I414" s="43">
        <f t="shared" si="312"/>
        <v>0</v>
      </c>
      <c r="J414" s="10">
        <f t="shared" si="313"/>
        <v>0</v>
      </c>
      <c r="L414" s="24" t="s">
        <v>226</v>
      </c>
      <c r="M414" s="7">
        <v>5</v>
      </c>
      <c r="N414" s="8">
        <v>10</v>
      </c>
      <c r="O414" s="9">
        <v>5</v>
      </c>
      <c r="P414" s="43">
        <f t="shared" si="320"/>
        <v>20</v>
      </c>
      <c r="Q414" s="11">
        <v>5</v>
      </c>
      <c r="R414" s="8">
        <v>10</v>
      </c>
      <c r="S414" s="9">
        <v>5</v>
      </c>
      <c r="T414" s="43">
        <f t="shared" si="321"/>
        <v>20</v>
      </c>
      <c r="U414" s="10">
        <f t="shared" si="322"/>
        <v>40</v>
      </c>
      <c r="V414" s="56">
        <v>45614</v>
      </c>
      <c r="W414" s="61"/>
    </row>
    <row r="415" spans="1:25" x14ac:dyDescent="0.15">
      <c r="A415" s="22"/>
      <c r="B415" s="7"/>
      <c r="C415" s="8"/>
      <c r="D415" s="9"/>
      <c r="E415" s="43">
        <f t="shared" si="311"/>
        <v>0</v>
      </c>
      <c r="F415" s="11"/>
      <c r="G415" s="8"/>
      <c r="H415" s="9"/>
      <c r="I415" s="43">
        <f t="shared" si="312"/>
        <v>0</v>
      </c>
      <c r="J415" s="10">
        <f t="shared" si="313"/>
        <v>0</v>
      </c>
      <c r="L415" s="24" t="s">
        <v>89</v>
      </c>
      <c r="M415" s="7">
        <v>5</v>
      </c>
      <c r="N415" s="8">
        <v>4</v>
      </c>
      <c r="O415" s="9"/>
      <c r="P415" s="43">
        <f t="shared" si="320"/>
        <v>9</v>
      </c>
      <c r="Q415" s="11">
        <v>5</v>
      </c>
      <c r="R415" s="8">
        <v>4</v>
      </c>
      <c r="S415" s="9"/>
      <c r="T415" s="43">
        <f t="shared" si="321"/>
        <v>9</v>
      </c>
      <c r="U415" s="10">
        <f t="shared" si="322"/>
        <v>18</v>
      </c>
      <c r="V415" s="56">
        <v>45616</v>
      </c>
      <c r="W415" s="61"/>
    </row>
    <row r="416" spans="1:25" x14ac:dyDescent="0.15">
      <c r="A416" s="22"/>
      <c r="B416" s="7"/>
      <c r="C416" s="8"/>
      <c r="D416" s="9"/>
      <c r="E416" s="43">
        <f t="shared" si="311"/>
        <v>0</v>
      </c>
      <c r="F416" s="11"/>
      <c r="G416" s="8"/>
      <c r="H416" s="9"/>
      <c r="I416" s="43">
        <f t="shared" si="312"/>
        <v>0</v>
      </c>
      <c r="J416" s="10">
        <f t="shared" si="313"/>
        <v>0</v>
      </c>
      <c r="L416" s="24" t="s">
        <v>93</v>
      </c>
      <c r="M416" s="7">
        <v>1</v>
      </c>
      <c r="N416" s="8">
        <v>6</v>
      </c>
      <c r="O416" s="9"/>
      <c r="P416" s="43">
        <f t="shared" si="320"/>
        <v>7</v>
      </c>
      <c r="Q416" s="11">
        <v>1</v>
      </c>
      <c r="R416" s="8">
        <v>6</v>
      </c>
      <c r="S416" s="9"/>
      <c r="T416" s="43">
        <f t="shared" si="321"/>
        <v>7</v>
      </c>
      <c r="U416" s="10">
        <f t="shared" si="322"/>
        <v>14</v>
      </c>
      <c r="V416" s="56">
        <v>45617</v>
      </c>
      <c r="W416" s="61"/>
      <c r="X416" s="61"/>
      <c r="Y416" s="61"/>
    </row>
    <row r="417" spans="1:25" x14ac:dyDescent="0.15">
      <c r="A417" s="24"/>
      <c r="B417" s="7"/>
      <c r="C417" s="8"/>
      <c r="D417" s="9"/>
      <c r="E417" s="43">
        <f t="shared" si="311"/>
        <v>0</v>
      </c>
      <c r="F417" s="11"/>
      <c r="G417" s="8"/>
      <c r="H417" s="9"/>
      <c r="I417" s="43">
        <f t="shared" si="312"/>
        <v>0</v>
      </c>
      <c r="J417" s="10">
        <f t="shared" si="313"/>
        <v>0</v>
      </c>
      <c r="L417" s="24" t="s">
        <v>230</v>
      </c>
      <c r="M417" s="7">
        <v>10</v>
      </c>
      <c r="N417" s="8">
        <v>5</v>
      </c>
      <c r="O417" s="9">
        <v>5</v>
      </c>
      <c r="P417" s="43">
        <f t="shared" si="320"/>
        <v>20</v>
      </c>
      <c r="Q417" s="11">
        <v>10</v>
      </c>
      <c r="R417" s="8">
        <v>5</v>
      </c>
      <c r="S417" s="9">
        <v>5</v>
      </c>
      <c r="T417" s="43">
        <f t="shared" si="321"/>
        <v>20</v>
      </c>
      <c r="U417" s="10">
        <f t="shared" si="322"/>
        <v>40</v>
      </c>
      <c r="V417" s="56">
        <v>45617</v>
      </c>
      <c r="W417" s="61"/>
      <c r="X417" s="61"/>
      <c r="Y417" s="61"/>
    </row>
    <row r="418" spans="1:25" x14ac:dyDescent="0.15">
      <c r="A418" s="22"/>
      <c r="B418" s="7"/>
      <c r="C418" s="8"/>
      <c r="D418" s="9"/>
      <c r="E418" s="43">
        <f t="shared" si="311"/>
        <v>0</v>
      </c>
      <c r="F418" s="11"/>
      <c r="G418" s="8"/>
      <c r="H418" s="9"/>
      <c r="I418" s="43">
        <f t="shared" si="312"/>
        <v>0</v>
      </c>
      <c r="J418" s="10">
        <f t="shared" si="313"/>
        <v>0</v>
      </c>
      <c r="L418" s="24" t="s">
        <v>98</v>
      </c>
      <c r="M418" s="7">
        <v>5</v>
      </c>
      <c r="N418" s="8">
        <v>5</v>
      </c>
      <c r="O418" s="9">
        <v>1</v>
      </c>
      <c r="P418" s="43">
        <f t="shared" ref="P418:P421" si="323">SUM(M418:O418)</f>
        <v>11</v>
      </c>
      <c r="Q418" s="11">
        <v>5</v>
      </c>
      <c r="R418" s="8">
        <v>5</v>
      </c>
      <c r="S418" s="9">
        <v>1</v>
      </c>
      <c r="T418" s="43">
        <f t="shared" ref="T418:T421" si="324">SUM(Q418:S418)</f>
        <v>11</v>
      </c>
      <c r="U418" s="10">
        <f t="shared" ref="U418:U421" si="325">P418+T418</f>
        <v>22</v>
      </c>
      <c r="V418" s="56">
        <v>45618</v>
      </c>
      <c r="W418" s="61"/>
      <c r="X418" s="61"/>
      <c r="Y418" s="61"/>
    </row>
    <row r="419" spans="1:25" x14ac:dyDescent="0.15">
      <c r="A419" s="22"/>
      <c r="B419" s="7"/>
      <c r="C419" s="8"/>
      <c r="D419" s="9"/>
      <c r="E419" s="43">
        <f t="shared" si="311"/>
        <v>0</v>
      </c>
      <c r="F419" s="11"/>
      <c r="G419" s="8"/>
      <c r="H419" s="9"/>
      <c r="I419" s="43">
        <f t="shared" si="312"/>
        <v>0</v>
      </c>
      <c r="J419" s="10">
        <f t="shared" si="313"/>
        <v>0</v>
      </c>
      <c r="L419" s="24" t="s">
        <v>101</v>
      </c>
      <c r="M419" s="7">
        <v>3</v>
      </c>
      <c r="N419" s="8">
        <v>2</v>
      </c>
      <c r="O419" s="9">
        <v>1</v>
      </c>
      <c r="P419" s="43">
        <f t="shared" si="323"/>
        <v>6</v>
      </c>
      <c r="Q419" s="11">
        <v>3</v>
      </c>
      <c r="R419" s="8">
        <v>2</v>
      </c>
      <c r="S419" s="9">
        <v>1</v>
      </c>
      <c r="T419" s="43">
        <f t="shared" si="324"/>
        <v>6</v>
      </c>
      <c r="U419" s="10">
        <f t="shared" si="325"/>
        <v>12</v>
      </c>
      <c r="V419" s="56">
        <v>45618</v>
      </c>
      <c r="W419" s="61"/>
      <c r="X419" s="61"/>
      <c r="Y419" s="61"/>
    </row>
    <row r="420" spans="1:25" x14ac:dyDescent="0.15">
      <c r="A420" s="22"/>
      <c r="B420" s="7"/>
      <c r="C420" s="8"/>
      <c r="D420" s="9"/>
      <c r="E420" s="43">
        <f t="shared" si="311"/>
        <v>0</v>
      </c>
      <c r="F420" s="11"/>
      <c r="G420" s="8"/>
      <c r="H420" s="9"/>
      <c r="I420" s="43">
        <f t="shared" si="312"/>
        <v>0</v>
      </c>
      <c r="J420" s="10">
        <f t="shared" si="313"/>
        <v>0</v>
      </c>
      <c r="L420" s="24" t="s">
        <v>103</v>
      </c>
      <c r="M420" s="7"/>
      <c r="N420" s="8">
        <v>7</v>
      </c>
      <c r="O420" s="9">
        <v>2</v>
      </c>
      <c r="P420" s="43">
        <f t="shared" si="323"/>
        <v>9</v>
      </c>
      <c r="Q420" s="11"/>
      <c r="R420" s="8">
        <v>7</v>
      </c>
      <c r="S420" s="9">
        <v>2</v>
      </c>
      <c r="T420" s="43">
        <f t="shared" si="324"/>
        <v>9</v>
      </c>
      <c r="U420" s="10">
        <f t="shared" si="325"/>
        <v>18</v>
      </c>
      <c r="V420" s="56">
        <v>45621</v>
      </c>
      <c r="W420" s="61"/>
      <c r="X420" s="61"/>
      <c r="Y420" s="61"/>
    </row>
    <row r="421" spans="1:25" x14ac:dyDescent="0.15">
      <c r="A421" s="22"/>
      <c r="B421" s="7"/>
      <c r="C421" s="8"/>
      <c r="D421" s="9"/>
      <c r="E421" s="43">
        <f t="shared" si="311"/>
        <v>0</v>
      </c>
      <c r="F421" s="11"/>
      <c r="G421" s="8"/>
      <c r="H421" s="9"/>
      <c r="I421" s="43">
        <f t="shared" si="312"/>
        <v>0</v>
      </c>
      <c r="J421" s="10">
        <f t="shared" si="313"/>
        <v>0</v>
      </c>
      <c r="L421" s="24" t="s">
        <v>104</v>
      </c>
      <c r="M421" s="7">
        <v>2</v>
      </c>
      <c r="N421" s="8"/>
      <c r="O421" s="9">
        <v>1</v>
      </c>
      <c r="P421" s="43">
        <f t="shared" si="323"/>
        <v>3</v>
      </c>
      <c r="Q421" s="11">
        <v>2</v>
      </c>
      <c r="R421" s="8"/>
      <c r="S421" s="9">
        <v>1</v>
      </c>
      <c r="T421" s="43">
        <f t="shared" si="324"/>
        <v>3</v>
      </c>
      <c r="U421" s="10">
        <f t="shared" si="325"/>
        <v>6</v>
      </c>
      <c r="V421" s="56">
        <v>45623</v>
      </c>
      <c r="W421" s="61"/>
    </row>
    <row r="422" spans="1:25" x14ac:dyDescent="0.15">
      <c r="A422" s="63"/>
      <c r="B422" s="12"/>
      <c r="C422" s="13"/>
      <c r="D422" s="14"/>
      <c r="E422" s="43">
        <f t="shared" si="311"/>
        <v>0</v>
      </c>
      <c r="F422" s="15"/>
      <c r="G422" s="13"/>
      <c r="H422" s="14"/>
      <c r="I422" s="43">
        <f t="shared" si="312"/>
        <v>0</v>
      </c>
      <c r="J422" s="10">
        <f t="shared" si="313"/>
        <v>0</v>
      </c>
      <c r="L422" s="24"/>
      <c r="M422" s="7"/>
      <c r="N422" s="8"/>
      <c r="O422" s="9"/>
      <c r="P422" s="43">
        <f t="shared" ref="P422" si="326">SUM(M422:O422)</f>
        <v>0</v>
      </c>
      <c r="Q422" s="11"/>
      <c r="R422" s="8"/>
      <c r="S422" s="9"/>
      <c r="T422" s="43">
        <f t="shared" ref="T422" si="327">SUM(Q422:S422)</f>
        <v>0</v>
      </c>
      <c r="U422" s="10">
        <f t="shared" ref="U422" si="328">P422+T422</f>
        <v>0</v>
      </c>
      <c r="V422" s="61"/>
    </row>
    <row r="423" spans="1:25" x14ac:dyDescent="0.15">
      <c r="A423" s="22"/>
      <c r="B423" s="7"/>
      <c r="C423" s="8"/>
      <c r="D423" s="9"/>
      <c r="E423" s="43">
        <f t="shared" si="311"/>
        <v>0</v>
      </c>
      <c r="F423" s="11"/>
      <c r="G423" s="8"/>
      <c r="H423" s="9"/>
      <c r="I423" s="43">
        <f t="shared" si="312"/>
        <v>0</v>
      </c>
      <c r="J423" s="10">
        <f t="shared" si="313"/>
        <v>0</v>
      </c>
      <c r="L423" s="24"/>
      <c r="M423" s="7"/>
      <c r="N423" s="8"/>
      <c r="O423" s="9"/>
      <c r="P423" s="43">
        <f t="shared" si="320"/>
        <v>0</v>
      </c>
      <c r="Q423" s="11"/>
      <c r="R423" s="8"/>
      <c r="S423" s="9"/>
      <c r="T423" s="43">
        <f t="shared" si="321"/>
        <v>0</v>
      </c>
      <c r="U423" s="10">
        <f t="shared" ref="U423" si="329">P423+T423</f>
        <v>0</v>
      </c>
      <c r="V423" s="61"/>
    </row>
    <row r="424" spans="1:25" x14ac:dyDescent="0.15">
      <c r="A424" s="63"/>
      <c r="B424" s="7"/>
      <c r="C424" s="8"/>
      <c r="D424" s="9"/>
      <c r="E424" s="43">
        <f t="shared" si="311"/>
        <v>0</v>
      </c>
      <c r="F424" s="11"/>
      <c r="G424" s="8"/>
      <c r="H424" s="9"/>
      <c r="I424" s="43">
        <f t="shared" si="312"/>
        <v>0</v>
      </c>
      <c r="J424" s="10">
        <f t="shared" si="313"/>
        <v>0</v>
      </c>
      <c r="L424" s="24" t="s">
        <v>331</v>
      </c>
      <c r="M424" s="7"/>
      <c r="N424" s="8"/>
      <c r="O424" s="9"/>
      <c r="P424" s="43">
        <f t="shared" ref="P424:P426" si="330">SUM(M424:O424)</f>
        <v>0</v>
      </c>
      <c r="Q424" s="11"/>
      <c r="R424" s="8"/>
      <c r="S424" s="9"/>
      <c r="T424" s="43">
        <f t="shared" ref="T424:T426" si="331">SUM(Q424:S424)</f>
        <v>0</v>
      </c>
      <c r="U424" s="10">
        <f t="shared" ref="U424:U426" si="332">P424+T424</f>
        <v>0</v>
      </c>
      <c r="V424" s="61" t="s">
        <v>24</v>
      </c>
    </row>
    <row r="425" spans="1:25" x14ac:dyDescent="0.15">
      <c r="A425" s="22"/>
      <c r="B425" s="7"/>
      <c r="C425" s="8"/>
      <c r="D425" s="9"/>
      <c r="E425" s="43">
        <f t="shared" si="311"/>
        <v>0</v>
      </c>
      <c r="F425" s="11"/>
      <c r="G425" s="8"/>
      <c r="H425" s="9"/>
      <c r="I425" s="43">
        <f t="shared" si="312"/>
        <v>0</v>
      </c>
      <c r="J425" s="10">
        <f t="shared" si="313"/>
        <v>0</v>
      </c>
      <c r="L425" s="24" t="s">
        <v>332</v>
      </c>
      <c r="M425" s="7"/>
      <c r="N425" s="8"/>
      <c r="O425" s="9"/>
      <c r="P425" s="43">
        <f t="shared" si="330"/>
        <v>0</v>
      </c>
      <c r="Q425" s="11"/>
      <c r="R425" s="8"/>
      <c r="S425" s="9"/>
      <c r="T425" s="43">
        <f t="shared" si="331"/>
        <v>0</v>
      </c>
      <c r="U425" s="10">
        <f t="shared" si="332"/>
        <v>0</v>
      </c>
      <c r="V425" s="61" t="s">
        <v>181</v>
      </c>
    </row>
    <row r="426" spans="1:25" ht="14.25" thickBot="1" x14ac:dyDescent="0.2">
      <c r="A426" s="60"/>
      <c r="B426" s="12"/>
      <c r="C426" s="13"/>
      <c r="D426" s="14"/>
      <c r="E426" s="43">
        <f>SUM(B426:D426)</f>
        <v>0</v>
      </c>
      <c r="F426" s="15"/>
      <c r="G426" s="13"/>
      <c r="H426" s="14"/>
      <c r="I426" s="43">
        <f>SUM(F426:H426)</f>
        <v>0</v>
      </c>
      <c r="J426" s="10">
        <f>E426+I426</f>
        <v>0</v>
      </c>
      <c r="L426" s="24" t="s">
        <v>335</v>
      </c>
      <c r="M426" s="7"/>
      <c r="N426" s="8"/>
      <c r="O426" s="9"/>
      <c r="P426" s="43">
        <f t="shared" si="330"/>
        <v>0</v>
      </c>
      <c r="Q426" s="11"/>
      <c r="R426" s="8"/>
      <c r="S426" s="9"/>
      <c r="T426" s="43">
        <f t="shared" si="331"/>
        <v>0</v>
      </c>
      <c r="U426" s="10">
        <f t="shared" si="332"/>
        <v>0</v>
      </c>
      <c r="V426" s="61" t="s">
        <v>336</v>
      </c>
    </row>
    <row r="427" spans="1:25" ht="14.25" thickBot="1" x14ac:dyDescent="0.2">
      <c r="A427" s="35" t="s">
        <v>17</v>
      </c>
      <c r="B427" s="40">
        <f>SUM(B401:B426)</f>
        <v>0</v>
      </c>
      <c r="C427" s="41">
        <f t="shared" ref="C427:D427" si="333">SUM(C401:C426)</f>
        <v>0</v>
      </c>
      <c r="D427" s="52">
        <f t="shared" si="333"/>
        <v>0</v>
      </c>
      <c r="E427" s="39">
        <f t="shared" ref="E427" si="334">SUM(B427:D427)</f>
        <v>0</v>
      </c>
      <c r="F427" s="40">
        <f>SUM(F401:F426)</f>
        <v>0</v>
      </c>
      <c r="G427" s="41">
        <f t="shared" ref="G427:H427" si="335">SUM(G401:G426)</f>
        <v>0</v>
      </c>
      <c r="H427" s="52">
        <f t="shared" si="335"/>
        <v>0</v>
      </c>
      <c r="I427" s="39">
        <f t="shared" ref="I427" si="336">SUM(F427:H427)</f>
        <v>0</v>
      </c>
      <c r="J427" s="39">
        <f>E427+I427</f>
        <v>0</v>
      </c>
      <c r="L427" s="35" t="s">
        <v>17</v>
      </c>
      <c r="M427" s="40">
        <f>SUM(M401:M426)</f>
        <v>71</v>
      </c>
      <c r="N427" s="41">
        <f t="shared" ref="N427:O427" si="337">SUM(N401:N426)</f>
        <v>81</v>
      </c>
      <c r="O427" s="52">
        <f t="shared" si="337"/>
        <v>40</v>
      </c>
      <c r="P427" s="39">
        <f t="shared" si="320"/>
        <v>192</v>
      </c>
      <c r="Q427" s="40">
        <f>SUM(Q401:Q426)</f>
        <v>71</v>
      </c>
      <c r="R427" s="41">
        <f t="shared" ref="R427:S427" si="338">SUM(R401:R426)</f>
        <v>81</v>
      </c>
      <c r="S427" s="52">
        <f t="shared" si="338"/>
        <v>40</v>
      </c>
      <c r="T427" s="39">
        <f t="shared" si="321"/>
        <v>192</v>
      </c>
      <c r="U427" s="39">
        <f>P427+T427</f>
        <v>384</v>
      </c>
      <c r="V427" s="116"/>
    </row>
    <row r="428" spans="1:25" ht="14.25" thickBot="1" x14ac:dyDescent="0.2">
      <c r="A428" s="21" t="s">
        <v>16</v>
      </c>
      <c r="B428" s="44">
        <f>B400-B427</f>
        <v>7</v>
      </c>
      <c r="C428" s="50">
        <f t="shared" ref="C428:D428" si="339">C400-C427</f>
        <v>6</v>
      </c>
      <c r="D428" s="51">
        <f t="shared" si="339"/>
        <v>2</v>
      </c>
      <c r="E428" s="49">
        <f>SUM(B428:D428)</f>
        <v>15</v>
      </c>
      <c r="F428" s="44">
        <f>F400-F427</f>
        <v>7</v>
      </c>
      <c r="G428" s="50">
        <f t="shared" ref="G428:H428" si="340">G400-G427</f>
        <v>6</v>
      </c>
      <c r="H428" s="51">
        <f t="shared" si="340"/>
        <v>2</v>
      </c>
      <c r="I428" s="49">
        <f>SUM(F428:H428)</f>
        <v>15</v>
      </c>
      <c r="J428" s="28">
        <f>E428+I428</f>
        <v>30</v>
      </c>
      <c r="L428" s="21" t="s">
        <v>16</v>
      </c>
      <c r="M428" s="44">
        <f>M400-M427</f>
        <v>133</v>
      </c>
      <c r="N428" s="50">
        <f t="shared" ref="N428:O428" si="341">N400-N427</f>
        <v>169</v>
      </c>
      <c r="O428" s="51">
        <f t="shared" si="341"/>
        <v>106</v>
      </c>
      <c r="P428" s="49">
        <f>SUM(M428:O428)</f>
        <v>408</v>
      </c>
      <c r="Q428" s="44">
        <f>Q400-Q427</f>
        <v>133</v>
      </c>
      <c r="R428" s="50">
        <f t="shared" ref="R428:S428" si="342">R400-R427</f>
        <v>169</v>
      </c>
      <c r="S428" s="51">
        <f t="shared" si="342"/>
        <v>106</v>
      </c>
      <c r="T428" s="49">
        <f>SUM(Q428:S428)</f>
        <v>408</v>
      </c>
      <c r="U428" s="28">
        <f>P428+T428</f>
        <v>816</v>
      </c>
      <c r="V428" s="116"/>
    </row>
    <row r="429" spans="1:25" x14ac:dyDescent="0.15">
      <c r="M429" s="88">
        <f>M428/$P$385*100</f>
        <v>22.166666666666668</v>
      </c>
      <c r="N429" s="88">
        <f t="shared" ref="N429:P429" si="343">N428/$P$385*100</f>
        <v>28.166666666666668</v>
      </c>
      <c r="O429" s="88">
        <f t="shared" si="343"/>
        <v>17.666666666666668</v>
      </c>
      <c r="P429" s="88">
        <f t="shared" si="343"/>
        <v>68</v>
      </c>
    </row>
    <row r="430" spans="1:25" x14ac:dyDescent="0.15">
      <c r="M430" s="97">
        <v>34.9</v>
      </c>
      <c r="N430" s="97">
        <v>40.6</v>
      </c>
      <c r="O430" s="97">
        <v>24.5</v>
      </c>
      <c r="P430" s="89">
        <v>100</v>
      </c>
    </row>
    <row r="431" spans="1:25" ht="19.5" thickBot="1" x14ac:dyDescent="0.25">
      <c r="A431" s="84" t="s">
        <v>29</v>
      </c>
      <c r="B431" s="85"/>
      <c r="C431" s="85"/>
      <c r="D431" s="85"/>
      <c r="E431" s="85"/>
      <c r="F431" s="85"/>
      <c r="G431" s="85"/>
      <c r="H431" s="85"/>
      <c r="I431" s="85"/>
      <c r="J431" s="85"/>
      <c r="L431" s="86" t="s">
        <v>337</v>
      </c>
      <c r="M431" s="117"/>
      <c r="N431" s="117"/>
      <c r="O431" s="117"/>
      <c r="P431" s="117"/>
      <c r="Q431" s="117"/>
      <c r="R431" s="117"/>
      <c r="S431" s="117"/>
      <c r="T431" s="87"/>
      <c r="U431" s="87">
        <v>1040</v>
      </c>
      <c r="V431" s="116"/>
    </row>
    <row r="432" spans="1:25" ht="14.25" thickBot="1" x14ac:dyDescent="0.2">
      <c r="A432" s="6"/>
      <c r="B432" s="146" t="s">
        <v>18</v>
      </c>
      <c r="C432" s="147"/>
      <c r="D432" s="147"/>
      <c r="E432" s="148"/>
      <c r="F432" s="146" t="s">
        <v>22</v>
      </c>
      <c r="G432" s="147"/>
      <c r="H432" s="147"/>
      <c r="I432" s="148"/>
      <c r="J432" s="101" t="s">
        <v>0</v>
      </c>
      <c r="L432" s="6"/>
      <c r="M432" s="149" t="s">
        <v>18</v>
      </c>
      <c r="N432" s="150"/>
      <c r="O432" s="150"/>
      <c r="P432" s="151"/>
      <c r="Q432" s="149" t="s">
        <v>22</v>
      </c>
      <c r="R432" s="150"/>
      <c r="S432" s="150"/>
      <c r="T432" s="151"/>
      <c r="U432" s="101" t="s">
        <v>0</v>
      </c>
      <c r="V432" s="116"/>
    </row>
    <row r="433" spans="1:23" ht="14.25" thickBot="1" x14ac:dyDescent="0.2">
      <c r="A433" s="6" t="s">
        <v>1</v>
      </c>
      <c r="B433" s="3" t="s">
        <v>2</v>
      </c>
      <c r="C433" s="4" t="s">
        <v>3</v>
      </c>
      <c r="D433" s="5" t="s">
        <v>4</v>
      </c>
      <c r="E433" s="6" t="s">
        <v>5</v>
      </c>
      <c r="F433" s="3" t="s">
        <v>2</v>
      </c>
      <c r="G433" s="4" t="s">
        <v>3</v>
      </c>
      <c r="H433" s="5" t="s">
        <v>4</v>
      </c>
      <c r="I433" s="6" t="s">
        <v>5</v>
      </c>
      <c r="J433" s="102"/>
      <c r="L433" s="6" t="s">
        <v>1</v>
      </c>
      <c r="M433" s="3" t="s">
        <v>2</v>
      </c>
      <c r="N433" s="4" t="s">
        <v>3</v>
      </c>
      <c r="O433" s="5" t="s">
        <v>4</v>
      </c>
      <c r="P433" s="6" t="s">
        <v>5</v>
      </c>
      <c r="Q433" s="3" t="s">
        <v>2</v>
      </c>
      <c r="R433" s="4" t="s">
        <v>3</v>
      </c>
      <c r="S433" s="5" t="s">
        <v>4</v>
      </c>
      <c r="T433" s="6" t="s">
        <v>5</v>
      </c>
      <c r="U433" s="102"/>
      <c r="V433" s="116"/>
    </row>
    <row r="434" spans="1:23" ht="14.25" thickBot="1" x14ac:dyDescent="0.2">
      <c r="A434" s="62" t="s">
        <v>16</v>
      </c>
      <c r="B434" s="40">
        <f>B428</f>
        <v>7</v>
      </c>
      <c r="C434" s="41">
        <f>C428</f>
        <v>6</v>
      </c>
      <c r="D434" s="81">
        <f>D428</f>
        <v>2</v>
      </c>
      <c r="E434" s="39">
        <f>SUM(B434:D434)</f>
        <v>15</v>
      </c>
      <c r="F434" s="40">
        <f>F428</f>
        <v>7</v>
      </c>
      <c r="G434" s="41">
        <f>G428</f>
        <v>6</v>
      </c>
      <c r="H434" s="81">
        <f>H428</f>
        <v>2</v>
      </c>
      <c r="I434" s="39">
        <f>SUM(F434:H434)</f>
        <v>15</v>
      </c>
      <c r="J434" s="39">
        <f>E434+I434</f>
        <v>30</v>
      </c>
      <c r="L434" s="66" t="s">
        <v>6</v>
      </c>
      <c r="M434" s="25">
        <f>M428</f>
        <v>133</v>
      </c>
      <c r="N434" s="26">
        <f>N428</f>
        <v>169</v>
      </c>
      <c r="O434" s="115">
        <f>O428</f>
        <v>106</v>
      </c>
      <c r="P434" s="28">
        <f>SUM(M434:O434)</f>
        <v>408</v>
      </c>
      <c r="Q434" s="25">
        <f>Q428</f>
        <v>133</v>
      </c>
      <c r="R434" s="26">
        <f>R428</f>
        <v>169</v>
      </c>
      <c r="S434" s="27">
        <f>S428</f>
        <v>106</v>
      </c>
      <c r="T434" s="28">
        <f>SUM(Q434:S434)</f>
        <v>408</v>
      </c>
      <c r="U434" s="28">
        <f>P434+T434</f>
        <v>816</v>
      </c>
      <c r="V434" s="116"/>
    </row>
    <row r="435" spans="1:23" x14ac:dyDescent="0.15">
      <c r="A435" s="23" t="s">
        <v>260</v>
      </c>
      <c r="B435" s="7">
        <v>1</v>
      </c>
      <c r="C435" s="8"/>
      <c r="D435" s="46">
        <v>2</v>
      </c>
      <c r="E435" s="10">
        <f t="shared" ref="E435" si="344">SUM(B435:D435)</f>
        <v>3</v>
      </c>
      <c r="F435" s="11">
        <v>1</v>
      </c>
      <c r="G435" s="8"/>
      <c r="H435" s="9">
        <v>2</v>
      </c>
      <c r="I435" s="10">
        <f t="shared" ref="I435" si="345">SUM(F435:H435)</f>
        <v>3</v>
      </c>
      <c r="J435" s="10">
        <f t="shared" ref="J435" si="346">E435+I435</f>
        <v>6</v>
      </c>
      <c r="K435" s="58">
        <v>45637</v>
      </c>
      <c r="L435" s="23" t="s">
        <v>347</v>
      </c>
      <c r="M435" s="12">
        <v>1</v>
      </c>
      <c r="N435" s="13"/>
      <c r="O435" s="47">
        <v>1</v>
      </c>
      <c r="P435" s="10">
        <f t="shared" ref="P435" si="347">SUM(M435:O435)</f>
        <v>2</v>
      </c>
      <c r="Q435" s="15">
        <v>1</v>
      </c>
      <c r="R435" s="13"/>
      <c r="S435" s="14">
        <v>1</v>
      </c>
      <c r="T435" s="10">
        <f t="shared" ref="T435" si="348">SUM(Q435:S435)</f>
        <v>2</v>
      </c>
      <c r="U435" s="10">
        <f t="shared" ref="U435" si="349">P435+T435</f>
        <v>4</v>
      </c>
      <c r="V435" s="118">
        <v>45647</v>
      </c>
    </row>
    <row r="436" spans="1:23" x14ac:dyDescent="0.15">
      <c r="A436" s="23" t="s">
        <v>260</v>
      </c>
      <c r="B436" s="7">
        <v>1</v>
      </c>
      <c r="C436" s="8"/>
      <c r="D436" s="46">
        <v>1</v>
      </c>
      <c r="E436" s="10">
        <f t="shared" ref="E436:E442" si="350">SUM(B436:D436)</f>
        <v>2</v>
      </c>
      <c r="F436" s="11">
        <v>1</v>
      </c>
      <c r="G436" s="8"/>
      <c r="H436" s="9">
        <v>1</v>
      </c>
      <c r="I436" s="10">
        <f t="shared" ref="I436:I442" si="351">SUM(F436:H436)</f>
        <v>2</v>
      </c>
      <c r="J436" s="10">
        <f t="shared" ref="J436:J442" si="352">E436+I436</f>
        <v>4</v>
      </c>
      <c r="K436" s="58">
        <v>45651</v>
      </c>
      <c r="L436" s="23" t="s">
        <v>8</v>
      </c>
      <c r="M436" s="12"/>
      <c r="N436" s="13"/>
      <c r="O436" s="47"/>
      <c r="P436" s="10">
        <f t="shared" ref="P436:P442" si="353">SUM(M436:O436)</f>
        <v>0</v>
      </c>
      <c r="Q436" s="15"/>
      <c r="R436" s="13"/>
      <c r="S436" s="14"/>
      <c r="T436" s="10">
        <f t="shared" ref="T436:T442" si="354">SUM(Q436:S436)</f>
        <v>0</v>
      </c>
      <c r="U436" s="10">
        <f t="shared" ref="U436:U442" si="355">P436+T436</f>
        <v>0</v>
      </c>
      <c r="V436" s="116"/>
    </row>
    <row r="437" spans="1:23" x14ac:dyDescent="0.15">
      <c r="A437" s="23" t="s">
        <v>9</v>
      </c>
      <c r="B437" s="7"/>
      <c r="C437" s="8"/>
      <c r="D437" s="46"/>
      <c r="E437" s="10">
        <f t="shared" si="350"/>
        <v>0</v>
      </c>
      <c r="F437" s="11"/>
      <c r="G437" s="8"/>
      <c r="H437" s="9"/>
      <c r="I437" s="10">
        <f t="shared" si="351"/>
        <v>0</v>
      </c>
      <c r="J437" s="10">
        <f t="shared" si="352"/>
        <v>0</v>
      </c>
      <c r="L437" s="23" t="s">
        <v>9</v>
      </c>
      <c r="M437" s="12"/>
      <c r="N437" s="13"/>
      <c r="O437" s="47"/>
      <c r="P437" s="10">
        <f t="shared" si="353"/>
        <v>0</v>
      </c>
      <c r="Q437" s="15"/>
      <c r="R437" s="13"/>
      <c r="S437" s="14"/>
      <c r="T437" s="10">
        <f t="shared" si="354"/>
        <v>0</v>
      </c>
      <c r="U437" s="10">
        <f t="shared" si="355"/>
        <v>0</v>
      </c>
      <c r="V437" s="116"/>
    </row>
    <row r="438" spans="1:23" x14ac:dyDescent="0.15">
      <c r="A438" s="23" t="s">
        <v>10</v>
      </c>
      <c r="B438" s="7"/>
      <c r="C438" s="8"/>
      <c r="D438" s="46"/>
      <c r="E438" s="10">
        <f t="shared" si="350"/>
        <v>0</v>
      </c>
      <c r="F438" s="11"/>
      <c r="G438" s="8"/>
      <c r="H438" s="9"/>
      <c r="I438" s="10">
        <f t="shared" si="351"/>
        <v>0</v>
      </c>
      <c r="J438" s="10">
        <f t="shared" si="352"/>
        <v>0</v>
      </c>
      <c r="L438" s="23" t="s">
        <v>10</v>
      </c>
      <c r="M438" s="12"/>
      <c r="N438" s="13"/>
      <c r="O438" s="47"/>
      <c r="P438" s="10">
        <f t="shared" si="353"/>
        <v>0</v>
      </c>
      <c r="Q438" s="15"/>
      <c r="R438" s="13"/>
      <c r="S438" s="14"/>
      <c r="T438" s="10">
        <f t="shared" si="354"/>
        <v>0</v>
      </c>
      <c r="U438" s="10">
        <f t="shared" si="355"/>
        <v>0</v>
      </c>
      <c r="V438" s="116"/>
    </row>
    <row r="439" spans="1:23" x14ac:dyDescent="0.15">
      <c r="A439" s="23" t="s">
        <v>11</v>
      </c>
      <c r="B439" s="7"/>
      <c r="C439" s="8"/>
      <c r="D439" s="46"/>
      <c r="E439" s="10">
        <f t="shared" si="350"/>
        <v>0</v>
      </c>
      <c r="F439" s="11"/>
      <c r="G439" s="8"/>
      <c r="H439" s="9"/>
      <c r="I439" s="10">
        <f t="shared" si="351"/>
        <v>0</v>
      </c>
      <c r="J439" s="10">
        <f t="shared" si="352"/>
        <v>0</v>
      </c>
      <c r="L439" s="23" t="s">
        <v>11</v>
      </c>
      <c r="M439" s="12"/>
      <c r="N439" s="13"/>
      <c r="O439" s="47"/>
      <c r="P439" s="10">
        <f t="shared" si="353"/>
        <v>0</v>
      </c>
      <c r="Q439" s="15"/>
      <c r="R439" s="13"/>
      <c r="S439" s="14"/>
      <c r="T439" s="10">
        <f t="shared" si="354"/>
        <v>0</v>
      </c>
      <c r="U439" s="10">
        <f t="shared" si="355"/>
        <v>0</v>
      </c>
      <c r="V439" s="116"/>
    </row>
    <row r="440" spans="1:23" x14ac:dyDescent="0.15">
      <c r="A440" s="23" t="s">
        <v>12</v>
      </c>
      <c r="B440" s="7"/>
      <c r="C440" s="8"/>
      <c r="D440" s="46"/>
      <c r="E440" s="10">
        <f t="shared" si="350"/>
        <v>0</v>
      </c>
      <c r="F440" s="11"/>
      <c r="G440" s="8"/>
      <c r="H440" s="9"/>
      <c r="I440" s="10">
        <f t="shared" si="351"/>
        <v>0</v>
      </c>
      <c r="J440" s="10">
        <f t="shared" si="352"/>
        <v>0</v>
      </c>
      <c r="L440" s="23" t="s">
        <v>12</v>
      </c>
      <c r="M440" s="12"/>
      <c r="N440" s="13"/>
      <c r="O440" s="47"/>
      <c r="P440" s="10">
        <f t="shared" si="353"/>
        <v>0</v>
      </c>
      <c r="Q440" s="15"/>
      <c r="R440" s="13"/>
      <c r="S440" s="14"/>
      <c r="T440" s="10">
        <f t="shared" si="354"/>
        <v>0</v>
      </c>
      <c r="U440" s="10">
        <f t="shared" si="355"/>
        <v>0</v>
      </c>
      <c r="V440" s="116"/>
    </row>
    <row r="441" spans="1:23" x14ac:dyDescent="0.15">
      <c r="A441" s="23" t="s">
        <v>13</v>
      </c>
      <c r="B441" s="12"/>
      <c r="C441" s="13"/>
      <c r="D441" s="47"/>
      <c r="E441" s="10">
        <f t="shared" si="350"/>
        <v>0</v>
      </c>
      <c r="F441" s="15"/>
      <c r="G441" s="13"/>
      <c r="H441" s="14"/>
      <c r="I441" s="10">
        <f t="shared" si="351"/>
        <v>0</v>
      </c>
      <c r="J441" s="10">
        <f t="shared" si="352"/>
        <v>0</v>
      </c>
      <c r="L441" s="23" t="s">
        <v>13</v>
      </c>
      <c r="M441" s="12">
        <v>57</v>
      </c>
      <c r="N441" s="13">
        <v>20</v>
      </c>
      <c r="O441" s="47">
        <v>30</v>
      </c>
      <c r="P441" s="10">
        <f t="shared" si="353"/>
        <v>107</v>
      </c>
      <c r="Q441" s="15">
        <v>57</v>
      </c>
      <c r="R441" s="13">
        <v>20</v>
      </c>
      <c r="S441" s="14">
        <v>30</v>
      </c>
      <c r="T441" s="10">
        <f t="shared" si="354"/>
        <v>107</v>
      </c>
      <c r="U441" s="10">
        <f t="shared" si="355"/>
        <v>214</v>
      </c>
      <c r="V441" s="56" t="s">
        <v>354</v>
      </c>
    </row>
    <row r="442" spans="1:23" ht="14.25" thickBot="1" x14ac:dyDescent="0.2">
      <c r="A442" s="23" t="s">
        <v>14</v>
      </c>
      <c r="B442" s="29"/>
      <c r="C442" s="30"/>
      <c r="D442" s="48"/>
      <c r="E442" s="55">
        <f t="shared" si="350"/>
        <v>0</v>
      </c>
      <c r="F442" s="31"/>
      <c r="G442" s="31"/>
      <c r="H442" s="33"/>
      <c r="I442" s="55">
        <f t="shared" si="351"/>
        <v>0</v>
      </c>
      <c r="J442" s="20">
        <f t="shared" si="352"/>
        <v>0</v>
      </c>
      <c r="L442" s="23" t="s">
        <v>14</v>
      </c>
      <c r="M442" s="29"/>
      <c r="N442" s="30"/>
      <c r="O442" s="48"/>
      <c r="P442" s="55">
        <f t="shared" si="353"/>
        <v>0</v>
      </c>
      <c r="Q442" s="31"/>
      <c r="R442" s="31"/>
      <c r="S442" s="33"/>
      <c r="T442" s="55">
        <f t="shared" si="354"/>
        <v>0</v>
      </c>
      <c r="U442" s="20">
        <f t="shared" si="355"/>
        <v>0</v>
      </c>
      <c r="V442" s="116"/>
    </row>
    <row r="443" spans="1:23" ht="14.25" thickBot="1" x14ac:dyDescent="0.2">
      <c r="A443" s="32" t="s">
        <v>15</v>
      </c>
      <c r="B443" s="25">
        <f>SUM(B434:B442)</f>
        <v>9</v>
      </c>
      <c r="C443" s="26">
        <f>SUM(C434:C442)</f>
        <v>6</v>
      </c>
      <c r="D443" s="27">
        <f>SUM(D434:D442)</f>
        <v>5</v>
      </c>
      <c r="E443" s="28">
        <f>SUM(B443:D443)</f>
        <v>20</v>
      </c>
      <c r="F443" s="25">
        <f>SUM(F434:F442)</f>
        <v>9</v>
      </c>
      <c r="G443" s="26">
        <f>SUM(G434:G442)</f>
        <v>6</v>
      </c>
      <c r="H443" s="27">
        <f>SUM(H434:H442)</f>
        <v>5</v>
      </c>
      <c r="I443" s="28">
        <f>SUM(F443:H443)</f>
        <v>20</v>
      </c>
      <c r="J443" s="28">
        <f>E443+I443</f>
        <v>40</v>
      </c>
      <c r="L443" s="32" t="s">
        <v>15</v>
      </c>
      <c r="M443" s="25">
        <f>SUM(M434:M442)</f>
        <v>191</v>
      </c>
      <c r="N443" s="26">
        <f>SUM(N434:N442)</f>
        <v>189</v>
      </c>
      <c r="O443" s="27">
        <f>SUM(O434:O442)</f>
        <v>137</v>
      </c>
      <c r="P443" s="28">
        <f>SUM(M443:O443)</f>
        <v>517</v>
      </c>
      <c r="Q443" s="25">
        <f>SUM(Q434:Q442)</f>
        <v>191</v>
      </c>
      <c r="R443" s="26">
        <f>SUM(R434:R442)</f>
        <v>189</v>
      </c>
      <c r="S443" s="27">
        <f>SUM(S434:S442)</f>
        <v>137</v>
      </c>
      <c r="T443" s="28">
        <f>SUM(Q443:S443)</f>
        <v>517</v>
      </c>
      <c r="U443" s="28">
        <f>P443+T443</f>
        <v>1034</v>
      </c>
      <c r="V443" s="116"/>
    </row>
    <row r="444" spans="1:23" x14ac:dyDescent="0.15">
      <c r="A444" s="24" t="s">
        <v>137</v>
      </c>
      <c r="B444" s="7">
        <v>2</v>
      </c>
      <c r="C444" s="8"/>
      <c r="D444" s="9"/>
      <c r="E444" s="43">
        <f t="shared" ref="E444:E468" si="356">SUM(B444:D444)</f>
        <v>2</v>
      </c>
      <c r="F444" s="11">
        <v>2</v>
      </c>
      <c r="G444" s="8"/>
      <c r="H444" s="9"/>
      <c r="I444" s="43">
        <f t="shared" ref="I444:I468" si="357">SUM(F444:H444)</f>
        <v>2</v>
      </c>
      <c r="J444" s="10">
        <f t="shared" ref="J444:J468" si="358">E444+I444</f>
        <v>4</v>
      </c>
      <c r="K444" s="56">
        <v>45646</v>
      </c>
      <c r="L444" s="24" t="s">
        <v>231</v>
      </c>
      <c r="M444" s="7">
        <v>5</v>
      </c>
      <c r="N444" s="8">
        <v>3</v>
      </c>
      <c r="O444" s="9">
        <v>2</v>
      </c>
      <c r="P444" s="43">
        <f t="shared" ref="P444:P463" si="359">SUM(M444:O444)</f>
        <v>10</v>
      </c>
      <c r="Q444" s="11">
        <v>5</v>
      </c>
      <c r="R444" s="8">
        <v>3</v>
      </c>
      <c r="S444" s="9">
        <v>2</v>
      </c>
      <c r="T444" s="43">
        <f t="shared" ref="T444:T463" si="360">SUM(Q444:S444)</f>
        <v>10</v>
      </c>
      <c r="U444" s="10">
        <f t="shared" ref="U444:U463" si="361">P444+T444</f>
        <v>20</v>
      </c>
      <c r="V444" s="56">
        <v>45623</v>
      </c>
    </row>
    <row r="445" spans="1:23" x14ac:dyDescent="0.15">
      <c r="A445" s="24" t="s">
        <v>138</v>
      </c>
      <c r="B445" s="7">
        <v>1</v>
      </c>
      <c r="C445" s="8"/>
      <c r="D445" s="9">
        <v>1</v>
      </c>
      <c r="E445" s="43">
        <f t="shared" si="356"/>
        <v>2</v>
      </c>
      <c r="F445" s="11">
        <v>1</v>
      </c>
      <c r="G445" s="8"/>
      <c r="H445" s="9">
        <v>1</v>
      </c>
      <c r="I445" s="43">
        <f t="shared" si="357"/>
        <v>2</v>
      </c>
      <c r="J445" s="10">
        <f t="shared" si="358"/>
        <v>4</v>
      </c>
      <c r="K445" s="56">
        <v>45646</v>
      </c>
      <c r="L445" s="24" t="s">
        <v>106</v>
      </c>
      <c r="M445" s="7">
        <v>13</v>
      </c>
      <c r="N445" s="8">
        <v>5</v>
      </c>
      <c r="O445" s="9">
        <v>6</v>
      </c>
      <c r="P445" s="43">
        <f t="shared" si="359"/>
        <v>24</v>
      </c>
      <c r="Q445" s="11">
        <v>13</v>
      </c>
      <c r="R445" s="8">
        <v>5</v>
      </c>
      <c r="S445" s="9">
        <v>6</v>
      </c>
      <c r="T445" s="43">
        <f t="shared" si="360"/>
        <v>24</v>
      </c>
      <c r="U445" s="10">
        <f t="shared" si="361"/>
        <v>48</v>
      </c>
      <c r="V445" s="56">
        <v>45624</v>
      </c>
    </row>
    <row r="446" spans="1:23" x14ac:dyDescent="0.15">
      <c r="A446" s="24" t="s">
        <v>142</v>
      </c>
      <c r="B446" s="7">
        <v>3</v>
      </c>
      <c r="C446" s="8"/>
      <c r="D446" s="9">
        <v>2</v>
      </c>
      <c r="E446" s="43">
        <f t="shared" si="356"/>
        <v>5</v>
      </c>
      <c r="F446" s="11">
        <v>3</v>
      </c>
      <c r="G446" s="8"/>
      <c r="H446" s="9">
        <v>2</v>
      </c>
      <c r="I446" s="43">
        <f t="shared" si="357"/>
        <v>5</v>
      </c>
      <c r="J446" s="10">
        <f t="shared" si="358"/>
        <v>10</v>
      </c>
      <c r="K446" s="56">
        <v>45649</v>
      </c>
      <c r="L446" s="24" t="s">
        <v>110</v>
      </c>
      <c r="M446" s="7">
        <v>21</v>
      </c>
      <c r="N446" s="8">
        <v>7</v>
      </c>
      <c r="O446" s="9">
        <v>5</v>
      </c>
      <c r="P446" s="43">
        <f t="shared" si="359"/>
        <v>33</v>
      </c>
      <c r="Q446" s="11">
        <v>21</v>
      </c>
      <c r="R446" s="8">
        <v>7</v>
      </c>
      <c r="S446" s="9">
        <v>5</v>
      </c>
      <c r="T446" s="43">
        <f t="shared" si="360"/>
        <v>33</v>
      </c>
      <c r="U446" s="10">
        <f t="shared" si="361"/>
        <v>66</v>
      </c>
      <c r="V446" s="56">
        <v>45625</v>
      </c>
      <c r="W446" s="61"/>
    </row>
    <row r="447" spans="1:23" x14ac:dyDescent="0.15">
      <c r="A447" s="22" t="s">
        <v>346</v>
      </c>
      <c r="B447" s="7">
        <v>1</v>
      </c>
      <c r="C447" s="8"/>
      <c r="D447" s="9">
        <v>1</v>
      </c>
      <c r="E447" s="43">
        <f t="shared" si="356"/>
        <v>2</v>
      </c>
      <c r="F447" s="11">
        <v>1</v>
      </c>
      <c r="G447" s="8"/>
      <c r="H447" s="9">
        <v>1</v>
      </c>
      <c r="I447" s="43">
        <f t="shared" si="357"/>
        <v>2</v>
      </c>
      <c r="J447" s="10">
        <f t="shared" si="358"/>
        <v>4</v>
      </c>
      <c r="K447" s="56">
        <v>45647</v>
      </c>
      <c r="L447" s="24" t="s">
        <v>112</v>
      </c>
      <c r="M447" s="7"/>
      <c r="N447" s="8">
        <v>8</v>
      </c>
      <c r="O447" s="9"/>
      <c r="P447" s="43">
        <f t="shared" si="359"/>
        <v>8</v>
      </c>
      <c r="Q447" s="11"/>
      <c r="R447" s="8">
        <v>8</v>
      </c>
      <c r="S447" s="9"/>
      <c r="T447" s="43">
        <f t="shared" si="360"/>
        <v>8</v>
      </c>
      <c r="U447" s="10">
        <f t="shared" si="361"/>
        <v>16</v>
      </c>
      <c r="V447" s="56">
        <v>45625</v>
      </c>
      <c r="W447" s="61"/>
    </row>
    <row r="448" spans="1:23" x14ac:dyDescent="0.15">
      <c r="A448" s="24" t="s">
        <v>350</v>
      </c>
      <c r="B448" s="7">
        <v>1</v>
      </c>
      <c r="C448" s="8"/>
      <c r="D448" s="9"/>
      <c r="E448" s="43">
        <f t="shared" si="356"/>
        <v>1</v>
      </c>
      <c r="F448" s="11">
        <v>1</v>
      </c>
      <c r="G448" s="8"/>
      <c r="H448" s="9"/>
      <c r="I448" s="43">
        <f t="shared" si="357"/>
        <v>1</v>
      </c>
      <c r="J448" s="10">
        <f t="shared" si="358"/>
        <v>2</v>
      </c>
      <c r="K448" s="56">
        <v>45653</v>
      </c>
      <c r="L448" s="24" t="s">
        <v>114</v>
      </c>
      <c r="M448" s="7"/>
      <c r="N448" s="8">
        <v>9</v>
      </c>
      <c r="O448" s="9">
        <v>8</v>
      </c>
      <c r="P448" s="43">
        <f t="shared" si="359"/>
        <v>17</v>
      </c>
      <c r="Q448" s="11"/>
      <c r="R448" s="8">
        <v>9</v>
      </c>
      <c r="S448" s="9">
        <v>8</v>
      </c>
      <c r="T448" s="43">
        <f t="shared" si="360"/>
        <v>17</v>
      </c>
      <c r="U448" s="10">
        <f t="shared" si="361"/>
        <v>34</v>
      </c>
      <c r="V448" s="56">
        <v>45628</v>
      </c>
      <c r="W448" s="61"/>
    </row>
    <row r="449" spans="1:23" x14ac:dyDescent="0.15">
      <c r="A449" s="22" t="s">
        <v>351</v>
      </c>
      <c r="B449" s="7">
        <v>1</v>
      </c>
      <c r="C449" s="8"/>
      <c r="D449" s="9"/>
      <c r="E449" s="43">
        <f t="shared" si="356"/>
        <v>1</v>
      </c>
      <c r="F449" s="11">
        <v>1</v>
      </c>
      <c r="G449" s="8"/>
      <c r="H449" s="9"/>
      <c r="I449" s="43">
        <f t="shared" si="357"/>
        <v>1</v>
      </c>
      <c r="J449" s="10">
        <f t="shared" si="358"/>
        <v>2</v>
      </c>
      <c r="K449" s="56">
        <v>45653</v>
      </c>
      <c r="L449" s="24" t="s">
        <v>245</v>
      </c>
      <c r="M449" s="7">
        <v>8</v>
      </c>
      <c r="N449" s="8">
        <v>3</v>
      </c>
      <c r="O449" s="9"/>
      <c r="P449" s="43">
        <f t="shared" si="359"/>
        <v>11</v>
      </c>
      <c r="Q449" s="11">
        <v>8</v>
      </c>
      <c r="R449" s="8">
        <v>3</v>
      </c>
      <c r="S449" s="9"/>
      <c r="T449" s="43">
        <f t="shared" si="360"/>
        <v>11</v>
      </c>
      <c r="U449" s="10">
        <f t="shared" si="361"/>
        <v>22</v>
      </c>
      <c r="V449" s="56">
        <v>45629</v>
      </c>
      <c r="W449" s="61"/>
    </row>
    <row r="450" spans="1:23" x14ac:dyDescent="0.15">
      <c r="A450" s="22"/>
      <c r="B450" s="7"/>
      <c r="C450" s="8"/>
      <c r="D450" s="9"/>
      <c r="E450" s="43">
        <f t="shared" si="356"/>
        <v>0</v>
      </c>
      <c r="F450" s="11"/>
      <c r="G450" s="8"/>
      <c r="H450" s="9"/>
      <c r="I450" s="43">
        <f t="shared" si="357"/>
        <v>0</v>
      </c>
      <c r="J450" s="10">
        <f t="shared" si="358"/>
        <v>0</v>
      </c>
      <c r="K450" s="61"/>
      <c r="L450" s="24" t="s">
        <v>116</v>
      </c>
      <c r="M450" s="7">
        <v>5</v>
      </c>
      <c r="N450" s="8">
        <v>4</v>
      </c>
      <c r="O450" s="9">
        <v>5</v>
      </c>
      <c r="P450" s="43">
        <f t="shared" si="359"/>
        <v>14</v>
      </c>
      <c r="Q450" s="11">
        <v>5</v>
      </c>
      <c r="R450" s="8">
        <v>4</v>
      </c>
      <c r="S450" s="9">
        <v>5</v>
      </c>
      <c r="T450" s="43">
        <f t="shared" si="360"/>
        <v>14</v>
      </c>
      <c r="U450" s="10">
        <f t="shared" si="361"/>
        <v>28</v>
      </c>
      <c r="V450" s="56">
        <v>45630</v>
      </c>
      <c r="W450" s="61"/>
    </row>
    <row r="451" spans="1:23" x14ac:dyDescent="0.15">
      <c r="A451" s="22"/>
      <c r="B451" s="7"/>
      <c r="C451" s="8"/>
      <c r="D451" s="9"/>
      <c r="E451" s="43">
        <f t="shared" si="356"/>
        <v>0</v>
      </c>
      <c r="F451" s="11"/>
      <c r="G451" s="8"/>
      <c r="H451" s="9"/>
      <c r="I451" s="43">
        <f t="shared" si="357"/>
        <v>0</v>
      </c>
      <c r="J451" s="10">
        <f t="shared" si="358"/>
        <v>0</v>
      </c>
      <c r="L451" s="24" t="s">
        <v>118</v>
      </c>
      <c r="M451" s="7"/>
      <c r="N451" s="8">
        <v>2</v>
      </c>
      <c r="O451" s="9"/>
      <c r="P451" s="43">
        <f t="shared" si="359"/>
        <v>2</v>
      </c>
      <c r="Q451" s="11"/>
      <c r="R451" s="8">
        <v>2</v>
      </c>
      <c r="S451" s="9"/>
      <c r="T451" s="43">
        <f t="shared" si="360"/>
        <v>2</v>
      </c>
      <c r="U451" s="10">
        <f t="shared" si="361"/>
        <v>4</v>
      </c>
      <c r="V451" s="56">
        <v>45631</v>
      </c>
      <c r="W451" s="61"/>
    </row>
    <row r="452" spans="1:23" x14ac:dyDescent="0.15">
      <c r="A452" s="22"/>
      <c r="B452" s="7"/>
      <c r="C452" s="8"/>
      <c r="D452" s="9"/>
      <c r="E452" s="43">
        <f t="shared" si="356"/>
        <v>0</v>
      </c>
      <c r="F452" s="11"/>
      <c r="G452" s="8"/>
      <c r="H452" s="9"/>
      <c r="I452" s="43">
        <f t="shared" si="357"/>
        <v>0</v>
      </c>
      <c r="J452" s="10">
        <f t="shared" si="358"/>
        <v>0</v>
      </c>
      <c r="L452" s="24" t="s">
        <v>120</v>
      </c>
      <c r="M452" s="7">
        <v>10</v>
      </c>
      <c r="N452" s="8">
        <v>2</v>
      </c>
      <c r="O452" s="9">
        <v>5</v>
      </c>
      <c r="P452" s="43">
        <f t="shared" si="359"/>
        <v>17</v>
      </c>
      <c r="Q452" s="11">
        <v>10</v>
      </c>
      <c r="R452" s="8">
        <v>2</v>
      </c>
      <c r="S452" s="9">
        <v>5</v>
      </c>
      <c r="T452" s="43">
        <f t="shared" si="360"/>
        <v>17</v>
      </c>
      <c r="U452" s="10">
        <f t="shared" si="361"/>
        <v>34</v>
      </c>
      <c r="V452" s="56">
        <v>45632</v>
      </c>
      <c r="W452" s="61"/>
    </row>
    <row r="453" spans="1:23" x14ac:dyDescent="0.15">
      <c r="A453" s="22"/>
      <c r="B453" s="12"/>
      <c r="C453" s="13"/>
      <c r="D453" s="14"/>
      <c r="E453" s="43">
        <f t="shared" si="356"/>
        <v>0</v>
      </c>
      <c r="F453" s="15"/>
      <c r="G453" s="13"/>
      <c r="H453" s="14"/>
      <c r="I453" s="43">
        <f t="shared" si="357"/>
        <v>0</v>
      </c>
      <c r="J453" s="10">
        <f t="shared" si="358"/>
        <v>0</v>
      </c>
      <c r="L453" s="24" t="s">
        <v>122</v>
      </c>
      <c r="M453" s="7">
        <v>7</v>
      </c>
      <c r="N453" s="8">
        <v>3</v>
      </c>
      <c r="O453" s="9">
        <v>5</v>
      </c>
      <c r="P453" s="43">
        <f t="shared" si="359"/>
        <v>15</v>
      </c>
      <c r="Q453" s="11">
        <v>7</v>
      </c>
      <c r="R453" s="8">
        <v>3</v>
      </c>
      <c r="S453" s="9">
        <v>5</v>
      </c>
      <c r="T453" s="43">
        <f t="shared" si="360"/>
        <v>15</v>
      </c>
      <c r="U453" s="10">
        <f t="shared" si="361"/>
        <v>30</v>
      </c>
      <c r="V453" s="56">
        <v>45632</v>
      </c>
      <c r="W453" s="61"/>
    </row>
    <row r="454" spans="1:23" x14ac:dyDescent="0.15">
      <c r="A454" s="22"/>
      <c r="B454" s="7"/>
      <c r="C454" s="8"/>
      <c r="D454" s="9"/>
      <c r="E454" s="43">
        <f t="shared" si="356"/>
        <v>0</v>
      </c>
      <c r="F454" s="11"/>
      <c r="G454" s="8"/>
      <c r="H454" s="9"/>
      <c r="I454" s="43">
        <f t="shared" si="357"/>
        <v>0</v>
      </c>
      <c r="J454" s="10">
        <f t="shared" si="358"/>
        <v>0</v>
      </c>
      <c r="L454" s="24" t="s">
        <v>123</v>
      </c>
      <c r="M454" s="7">
        <v>1</v>
      </c>
      <c r="N454" s="8">
        <v>3</v>
      </c>
      <c r="O454" s="9">
        <v>2</v>
      </c>
      <c r="P454" s="43">
        <f t="shared" si="359"/>
        <v>6</v>
      </c>
      <c r="Q454" s="11">
        <v>1</v>
      </c>
      <c r="R454" s="8">
        <v>3</v>
      </c>
      <c r="S454" s="9">
        <v>2</v>
      </c>
      <c r="T454" s="43">
        <f t="shared" si="360"/>
        <v>6</v>
      </c>
      <c r="U454" s="10">
        <f t="shared" si="361"/>
        <v>12</v>
      </c>
      <c r="V454" s="56">
        <v>45637</v>
      </c>
      <c r="W454" s="61"/>
    </row>
    <row r="455" spans="1:23" x14ac:dyDescent="0.15">
      <c r="A455" s="22"/>
      <c r="B455" s="7"/>
      <c r="C455" s="8"/>
      <c r="D455" s="9"/>
      <c r="E455" s="43">
        <f t="shared" si="356"/>
        <v>0</v>
      </c>
      <c r="F455" s="11"/>
      <c r="G455" s="8"/>
      <c r="H455" s="9"/>
      <c r="I455" s="43">
        <f t="shared" si="357"/>
        <v>0</v>
      </c>
      <c r="J455" s="10">
        <f t="shared" si="358"/>
        <v>0</v>
      </c>
      <c r="L455" s="24" t="s">
        <v>125</v>
      </c>
      <c r="M455" s="7">
        <v>5</v>
      </c>
      <c r="N455" s="8">
        <v>1</v>
      </c>
      <c r="O455" s="9"/>
      <c r="P455" s="43">
        <f t="shared" si="359"/>
        <v>6</v>
      </c>
      <c r="Q455" s="11">
        <v>5</v>
      </c>
      <c r="R455" s="8">
        <v>1</v>
      </c>
      <c r="S455" s="9"/>
      <c r="T455" s="43">
        <f t="shared" si="360"/>
        <v>6</v>
      </c>
      <c r="U455" s="10">
        <f t="shared" si="361"/>
        <v>12</v>
      </c>
      <c r="V455" s="56">
        <v>45638</v>
      </c>
      <c r="W455" s="61"/>
    </row>
    <row r="456" spans="1:23" x14ac:dyDescent="0.15">
      <c r="A456" s="22"/>
      <c r="B456" s="7"/>
      <c r="C456" s="8"/>
      <c r="D456" s="9"/>
      <c r="E456" s="43">
        <f t="shared" si="356"/>
        <v>0</v>
      </c>
      <c r="F456" s="11"/>
      <c r="G456" s="8"/>
      <c r="H456" s="9"/>
      <c r="I456" s="43">
        <f t="shared" si="357"/>
        <v>0</v>
      </c>
      <c r="J456" s="10">
        <f t="shared" si="358"/>
        <v>0</v>
      </c>
      <c r="L456" s="24" t="s">
        <v>344</v>
      </c>
      <c r="M456" s="7"/>
      <c r="N456" s="8">
        <v>2</v>
      </c>
      <c r="O456" s="9">
        <v>3</v>
      </c>
      <c r="P456" s="43">
        <f t="shared" si="359"/>
        <v>5</v>
      </c>
      <c r="Q456" s="11"/>
      <c r="R456" s="8">
        <v>2</v>
      </c>
      <c r="S456" s="9">
        <v>3</v>
      </c>
      <c r="T456" s="43">
        <f t="shared" si="360"/>
        <v>5</v>
      </c>
      <c r="U456" s="10">
        <f t="shared" si="361"/>
        <v>10</v>
      </c>
      <c r="V456" s="56">
        <v>45638</v>
      </c>
      <c r="W456" s="61"/>
    </row>
    <row r="457" spans="1:23" x14ac:dyDescent="0.15">
      <c r="A457" s="22"/>
      <c r="B457" s="7"/>
      <c r="C457" s="8"/>
      <c r="D457" s="9"/>
      <c r="E457" s="43">
        <f t="shared" si="356"/>
        <v>0</v>
      </c>
      <c r="F457" s="11"/>
      <c r="G457" s="8"/>
      <c r="H457" s="9"/>
      <c r="I457" s="43">
        <f t="shared" si="357"/>
        <v>0</v>
      </c>
      <c r="J457" s="10">
        <f t="shared" si="358"/>
        <v>0</v>
      </c>
      <c r="L457" s="24" t="s">
        <v>126</v>
      </c>
      <c r="M457" s="7">
        <v>1</v>
      </c>
      <c r="N457" s="8"/>
      <c r="O457" s="9">
        <v>2</v>
      </c>
      <c r="P457" s="43">
        <f t="shared" si="359"/>
        <v>3</v>
      </c>
      <c r="Q457" s="11">
        <v>1</v>
      </c>
      <c r="R457" s="8"/>
      <c r="S457" s="9">
        <v>2</v>
      </c>
      <c r="T457" s="43">
        <f t="shared" si="360"/>
        <v>3</v>
      </c>
      <c r="U457" s="10">
        <f t="shared" si="361"/>
        <v>6</v>
      </c>
      <c r="V457" s="56">
        <v>45639</v>
      </c>
      <c r="W457" s="61"/>
    </row>
    <row r="458" spans="1:23" x14ac:dyDescent="0.15">
      <c r="A458" s="22"/>
      <c r="B458" s="7"/>
      <c r="C458" s="8"/>
      <c r="D458" s="9"/>
      <c r="E458" s="43">
        <f t="shared" si="356"/>
        <v>0</v>
      </c>
      <c r="F458" s="11"/>
      <c r="G458" s="8"/>
      <c r="H458" s="9"/>
      <c r="I458" s="43">
        <f t="shared" si="357"/>
        <v>0</v>
      </c>
      <c r="J458" s="10">
        <f t="shared" si="358"/>
        <v>0</v>
      </c>
      <c r="L458" s="24" t="s">
        <v>128</v>
      </c>
      <c r="M458" s="7"/>
      <c r="N458" s="8">
        <v>2</v>
      </c>
      <c r="O458" s="9"/>
      <c r="P458" s="43">
        <f t="shared" si="359"/>
        <v>2</v>
      </c>
      <c r="Q458" s="11"/>
      <c r="R458" s="8">
        <v>2</v>
      </c>
      <c r="S458" s="9"/>
      <c r="T458" s="43">
        <f t="shared" si="360"/>
        <v>2</v>
      </c>
      <c r="U458" s="10">
        <f t="shared" si="361"/>
        <v>4</v>
      </c>
      <c r="V458" s="56">
        <v>45639</v>
      </c>
      <c r="W458" s="61"/>
    </row>
    <row r="459" spans="1:23" x14ac:dyDescent="0.15">
      <c r="A459" s="22"/>
      <c r="B459" s="7"/>
      <c r="C459" s="8"/>
      <c r="D459" s="9"/>
      <c r="E459" s="43">
        <f t="shared" si="356"/>
        <v>0</v>
      </c>
      <c r="F459" s="11"/>
      <c r="G459" s="8"/>
      <c r="H459" s="9"/>
      <c r="I459" s="43">
        <f t="shared" si="357"/>
        <v>0</v>
      </c>
      <c r="J459" s="10">
        <f t="shared" si="358"/>
        <v>0</v>
      </c>
      <c r="L459" s="24" t="s">
        <v>131</v>
      </c>
      <c r="M459" s="7">
        <v>1</v>
      </c>
      <c r="N459" s="8">
        <v>1</v>
      </c>
      <c r="O459" s="9"/>
      <c r="P459" s="43">
        <f t="shared" si="359"/>
        <v>2</v>
      </c>
      <c r="Q459" s="11">
        <v>1</v>
      </c>
      <c r="R459" s="8">
        <v>1</v>
      </c>
      <c r="S459" s="9"/>
      <c r="T459" s="43">
        <f t="shared" si="360"/>
        <v>2</v>
      </c>
      <c r="U459" s="10">
        <f t="shared" si="361"/>
        <v>4</v>
      </c>
      <c r="V459" s="56">
        <v>45642</v>
      </c>
    </row>
    <row r="460" spans="1:23" x14ac:dyDescent="0.15">
      <c r="A460" s="24"/>
      <c r="B460" s="7"/>
      <c r="C460" s="8"/>
      <c r="D460" s="9"/>
      <c r="E460" s="43">
        <f t="shared" si="356"/>
        <v>0</v>
      </c>
      <c r="F460" s="11"/>
      <c r="G460" s="8"/>
      <c r="H460" s="9"/>
      <c r="I460" s="43">
        <f t="shared" si="357"/>
        <v>0</v>
      </c>
      <c r="J460" s="10">
        <f t="shared" si="358"/>
        <v>0</v>
      </c>
      <c r="L460" s="24" t="s">
        <v>133</v>
      </c>
      <c r="M460" s="7"/>
      <c r="N460" s="8">
        <v>2</v>
      </c>
      <c r="O460" s="9">
        <v>1</v>
      </c>
      <c r="P460" s="43">
        <f t="shared" si="359"/>
        <v>3</v>
      </c>
      <c r="Q460" s="11"/>
      <c r="R460" s="8">
        <v>2</v>
      </c>
      <c r="S460" s="9">
        <v>1</v>
      </c>
      <c r="T460" s="43">
        <f t="shared" si="360"/>
        <v>3</v>
      </c>
      <c r="U460" s="10">
        <f t="shared" si="361"/>
        <v>6</v>
      </c>
      <c r="V460" s="56">
        <v>45644</v>
      </c>
      <c r="W460" s="61"/>
    </row>
    <row r="461" spans="1:23" x14ac:dyDescent="0.15">
      <c r="A461" s="22"/>
      <c r="B461" s="7"/>
      <c r="C461" s="8"/>
      <c r="D461" s="9"/>
      <c r="E461" s="43">
        <f t="shared" si="356"/>
        <v>0</v>
      </c>
      <c r="F461" s="11"/>
      <c r="G461" s="8"/>
      <c r="H461" s="9"/>
      <c r="I461" s="43">
        <f t="shared" si="357"/>
        <v>0</v>
      </c>
      <c r="J461" s="10">
        <f t="shared" si="358"/>
        <v>0</v>
      </c>
      <c r="L461" s="24" t="s">
        <v>135</v>
      </c>
      <c r="M461" s="7">
        <v>2</v>
      </c>
      <c r="N461" s="8">
        <v>6</v>
      </c>
      <c r="O461" s="9">
        <v>2</v>
      </c>
      <c r="P461" s="43">
        <f t="shared" si="359"/>
        <v>10</v>
      </c>
      <c r="Q461" s="11">
        <v>2</v>
      </c>
      <c r="R461" s="8">
        <v>6</v>
      </c>
      <c r="S461" s="9">
        <v>2</v>
      </c>
      <c r="T461" s="43">
        <f t="shared" si="360"/>
        <v>10</v>
      </c>
      <c r="U461" s="10">
        <f t="shared" si="361"/>
        <v>20</v>
      </c>
      <c r="V461" s="56">
        <v>45645</v>
      </c>
      <c r="W461" s="61"/>
    </row>
    <row r="462" spans="1:23" x14ac:dyDescent="0.15">
      <c r="A462" s="22"/>
      <c r="B462" s="7"/>
      <c r="C462" s="8"/>
      <c r="D462" s="9"/>
      <c r="E462" s="43">
        <f t="shared" si="356"/>
        <v>0</v>
      </c>
      <c r="F462" s="11"/>
      <c r="G462" s="8"/>
      <c r="H462" s="9"/>
      <c r="I462" s="43">
        <f t="shared" si="357"/>
        <v>0</v>
      </c>
      <c r="J462" s="10">
        <f t="shared" si="358"/>
        <v>0</v>
      </c>
      <c r="L462" s="24" t="s">
        <v>348</v>
      </c>
      <c r="M462" s="7">
        <v>3</v>
      </c>
      <c r="N462" s="8">
        <v>2</v>
      </c>
      <c r="O462" s="9"/>
      <c r="P462" s="43">
        <f t="shared" si="359"/>
        <v>5</v>
      </c>
      <c r="Q462" s="11">
        <v>3</v>
      </c>
      <c r="R462" s="8">
        <v>2</v>
      </c>
      <c r="S462" s="9"/>
      <c r="T462" s="43">
        <f t="shared" si="360"/>
        <v>5</v>
      </c>
      <c r="U462" s="10">
        <f t="shared" si="361"/>
        <v>10</v>
      </c>
      <c r="V462" s="56">
        <v>45651</v>
      </c>
      <c r="W462" s="61"/>
    </row>
    <row r="463" spans="1:23" x14ac:dyDescent="0.15">
      <c r="A463" s="22"/>
      <c r="B463" s="7"/>
      <c r="C463" s="8"/>
      <c r="D463" s="9"/>
      <c r="E463" s="43">
        <f t="shared" si="356"/>
        <v>0</v>
      </c>
      <c r="F463" s="11"/>
      <c r="G463" s="8"/>
      <c r="H463" s="9"/>
      <c r="I463" s="43">
        <f t="shared" si="357"/>
        <v>0</v>
      </c>
      <c r="J463" s="10">
        <f t="shared" si="358"/>
        <v>0</v>
      </c>
      <c r="L463" s="24" t="s">
        <v>143</v>
      </c>
      <c r="M463" s="7">
        <v>2</v>
      </c>
      <c r="N463" s="8"/>
      <c r="O463" s="9">
        <v>2</v>
      </c>
      <c r="P463" s="43">
        <f t="shared" si="359"/>
        <v>4</v>
      </c>
      <c r="Q463" s="11">
        <v>2</v>
      </c>
      <c r="R463" s="8"/>
      <c r="S463" s="9">
        <v>2</v>
      </c>
      <c r="T463" s="43">
        <f t="shared" si="360"/>
        <v>4</v>
      </c>
      <c r="U463" s="10">
        <f t="shared" si="361"/>
        <v>8</v>
      </c>
      <c r="V463" s="56">
        <v>45651</v>
      </c>
      <c r="W463" s="61"/>
    </row>
    <row r="464" spans="1:23" x14ac:dyDescent="0.15">
      <c r="A464" s="22"/>
      <c r="B464" s="7"/>
      <c r="C464" s="8"/>
      <c r="D464" s="9"/>
      <c r="E464" s="43">
        <f t="shared" si="356"/>
        <v>0</v>
      </c>
      <c r="F464" s="11"/>
      <c r="G464" s="8"/>
      <c r="H464" s="9"/>
      <c r="I464" s="43">
        <f t="shared" si="357"/>
        <v>0</v>
      </c>
      <c r="J464" s="10">
        <f t="shared" si="358"/>
        <v>0</v>
      </c>
      <c r="L464" s="24" t="s">
        <v>147</v>
      </c>
      <c r="M464" s="7"/>
      <c r="N464" s="8"/>
      <c r="O464" s="9">
        <v>1</v>
      </c>
      <c r="P464" s="43">
        <f t="shared" ref="P464:P470" si="362">SUM(M464:O464)</f>
        <v>1</v>
      </c>
      <c r="Q464" s="11"/>
      <c r="R464" s="8"/>
      <c r="S464" s="9">
        <v>1</v>
      </c>
      <c r="T464" s="43">
        <f t="shared" ref="T464:T470" si="363">SUM(Q464:S464)</f>
        <v>1</v>
      </c>
      <c r="U464" s="10">
        <f t="shared" ref="U464:U465" si="364">P464+T464</f>
        <v>2</v>
      </c>
      <c r="V464" s="56">
        <v>45652</v>
      </c>
      <c r="W464" s="61"/>
    </row>
    <row r="465" spans="1:23" x14ac:dyDescent="0.15">
      <c r="A465" s="63"/>
      <c r="B465" s="12"/>
      <c r="C465" s="13"/>
      <c r="D465" s="14"/>
      <c r="E465" s="43">
        <f t="shared" si="356"/>
        <v>0</v>
      </c>
      <c r="F465" s="15"/>
      <c r="G465" s="13"/>
      <c r="H465" s="14"/>
      <c r="I465" s="43">
        <f t="shared" si="357"/>
        <v>0</v>
      </c>
      <c r="J465" s="10">
        <f t="shared" si="358"/>
        <v>0</v>
      </c>
      <c r="L465" s="24" t="s">
        <v>149</v>
      </c>
      <c r="M465" s="7">
        <v>4</v>
      </c>
      <c r="N465" s="8">
        <v>1</v>
      </c>
      <c r="O465" s="9">
        <v>1</v>
      </c>
      <c r="P465" s="43">
        <f t="shared" si="362"/>
        <v>6</v>
      </c>
      <c r="Q465" s="11">
        <v>4</v>
      </c>
      <c r="R465" s="8">
        <v>1</v>
      </c>
      <c r="S465" s="9">
        <v>1</v>
      </c>
      <c r="T465" s="43">
        <f t="shared" si="363"/>
        <v>6</v>
      </c>
      <c r="U465" s="10">
        <f t="shared" si="364"/>
        <v>12</v>
      </c>
      <c r="V465" s="56">
        <v>45653</v>
      </c>
      <c r="W465" s="61"/>
    </row>
    <row r="466" spans="1:23" x14ac:dyDescent="0.15">
      <c r="A466" s="22"/>
      <c r="B466" s="7"/>
      <c r="C466" s="8"/>
      <c r="D466" s="9"/>
      <c r="E466" s="43">
        <f t="shared" si="356"/>
        <v>0</v>
      </c>
      <c r="F466" s="11"/>
      <c r="G466" s="8"/>
      <c r="H466" s="9"/>
      <c r="I466" s="43">
        <f t="shared" si="357"/>
        <v>0</v>
      </c>
      <c r="J466" s="10">
        <f t="shared" si="358"/>
        <v>0</v>
      </c>
      <c r="L466" s="24" t="s">
        <v>159</v>
      </c>
      <c r="M466" s="7">
        <v>7</v>
      </c>
      <c r="N466" s="8">
        <v>6</v>
      </c>
      <c r="O466" s="9">
        <v>4</v>
      </c>
      <c r="P466" s="43">
        <f t="shared" ref="P466:P467" si="365">SUM(M466:O466)</f>
        <v>17</v>
      </c>
      <c r="Q466" s="11">
        <v>7</v>
      </c>
      <c r="R466" s="8">
        <v>6</v>
      </c>
      <c r="S466" s="9">
        <v>4</v>
      </c>
      <c r="T466" s="43">
        <f t="shared" ref="T466:T467" si="366">SUM(Q466:S466)</f>
        <v>17</v>
      </c>
      <c r="U466" s="10">
        <f t="shared" ref="U466:U467" si="367">P466+T466</f>
        <v>34</v>
      </c>
      <c r="V466" s="56">
        <v>45297</v>
      </c>
      <c r="W466" s="61"/>
    </row>
    <row r="467" spans="1:23" x14ac:dyDescent="0.15">
      <c r="A467" s="63"/>
      <c r="B467" s="7"/>
      <c r="C467" s="8"/>
      <c r="D467" s="9"/>
      <c r="E467" s="43">
        <f t="shared" si="356"/>
        <v>0</v>
      </c>
      <c r="F467" s="11"/>
      <c r="G467" s="8"/>
      <c r="H467" s="9"/>
      <c r="I467" s="43">
        <f t="shared" si="357"/>
        <v>0</v>
      </c>
      <c r="J467" s="10">
        <f t="shared" si="358"/>
        <v>0</v>
      </c>
      <c r="L467" s="24"/>
      <c r="M467" s="7"/>
      <c r="N467" s="8"/>
      <c r="O467" s="9"/>
      <c r="P467" s="43">
        <f t="shared" si="365"/>
        <v>0</v>
      </c>
      <c r="Q467" s="11"/>
      <c r="R467" s="8"/>
      <c r="S467" s="9"/>
      <c r="T467" s="43">
        <f t="shared" si="366"/>
        <v>0</v>
      </c>
      <c r="U467" s="10">
        <f t="shared" si="367"/>
        <v>0</v>
      </c>
      <c r="V467" s="61"/>
    </row>
    <row r="468" spans="1:23" x14ac:dyDescent="0.15">
      <c r="A468" s="22"/>
      <c r="B468" s="7"/>
      <c r="C468" s="8"/>
      <c r="D468" s="9"/>
      <c r="E468" s="43">
        <f t="shared" si="356"/>
        <v>0</v>
      </c>
      <c r="F468" s="11"/>
      <c r="G468" s="8"/>
      <c r="H468" s="9"/>
      <c r="I468" s="43">
        <f t="shared" si="357"/>
        <v>0</v>
      </c>
      <c r="J468" s="10">
        <f t="shared" si="358"/>
        <v>0</v>
      </c>
      <c r="L468" s="24" t="s">
        <v>161</v>
      </c>
      <c r="M468" s="7"/>
      <c r="N468" s="8"/>
      <c r="O468" s="9"/>
      <c r="P468" s="43">
        <f t="shared" ref="P468:P469" si="368">SUM(M468:O468)</f>
        <v>0</v>
      </c>
      <c r="Q468" s="7"/>
      <c r="R468" s="8"/>
      <c r="S468" s="9"/>
      <c r="T468" s="43">
        <f t="shared" ref="T468:T469" si="369">SUM(Q468:S468)</f>
        <v>0</v>
      </c>
      <c r="U468" s="10">
        <f t="shared" ref="U468:U469" si="370">P468+T468</f>
        <v>0</v>
      </c>
      <c r="V468" s="61" t="s">
        <v>162</v>
      </c>
    </row>
    <row r="469" spans="1:23" ht="14.25" thickBot="1" x14ac:dyDescent="0.2">
      <c r="A469" s="60"/>
      <c r="B469" s="12"/>
      <c r="C469" s="13"/>
      <c r="D469" s="14"/>
      <c r="E469" s="43">
        <f>SUM(B469:D469)</f>
        <v>0</v>
      </c>
      <c r="F469" s="15"/>
      <c r="G469" s="13"/>
      <c r="H469" s="14"/>
      <c r="I469" s="43">
        <f>SUM(F469:H469)</f>
        <v>0</v>
      </c>
      <c r="J469" s="10">
        <f>E469+I469</f>
        <v>0</v>
      </c>
      <c r="L469" s="24" t="s">
        <v>338</v>
      </c>
      <c r="M469" s="7"/>
      <c r="N469" s="8"/>
      <c r="O469" s="9"/>
      <c r="P469" s="43">
        <f t="shared" si="368"/>
        <v>0</v>
      </c>
      <c r="Q469" s="11"/>
      <c r="R469" s="8"/>
      <c r="S469" s="9"/>
      <c r="T469" s="43">
        <f t="shared" si="369"/>
        <v>0</v>
      </c>
      <c r="U469" s="10">
        <f t="shared" si="370"/>
        <v>0</v>
      </c>
      <c r="V469" s="61" t="s">
        <v>339</v>
      </c>
    </row>
    <row r="470" spans="1:23" ht="14.25" thickBot="1" x14ac:dyDescent="0.2">
      <c r="A470" s="35" t="s">
        <v>17</v>
      </c>
      <c r="B470" s="40">
        <f>SUM(B444:B469)</f>
        <v>9</v>
      </c>
      <c r="C470" s="41">
        <f t="shared" ref="C470:D470" si="371">SUM(C444:C469)</f>
        <v>0</v>
      </c>
      <c r="D470" s="52">
        <f t="shared" si="371"/>
        <v>4</v>
      </c>
      <c r="E470" s="39">
        <f t="shared" ref="E470" si="372">SUM(B470:D470)</f>
        <v>13</v>
      </c>
      <c r="F470" s="40">
        <f>SUM(F444:F469)</f>
        <v>9</v>
      </c>
      <c r="G470" s="41">
        <f t="shared" ref="G470:H470" si="373">SUM(G444:G469)</f>
        <v>0</v>
      </c>
      <c r="H470" s="52">
        <f t="shared" si="373"/>
        <v>4</v>
      </c>
      <c r="I470" s="39">
        <f t="shared" ref="I470" si="374">SUM(F470:H470)</f>
        <v>13</v>
      </c>
      <c r="J470" s="39">
        <f>E470+I470</f>
        <v>26</v>
      </c>
      <c r="L470" s="35" t="s">
        <v>17</v>
      </c>
      <c r="M470" s="40">
        <f>SUM(M444:M469)</f>
        <v>95</v>
      </c>
      <c r="N470" s="41">
        <f t="shared" ref="N470:O470" si="375">SUM(N444:N469)</f>
        <v>72</v>
      </c>
      <c r="O470" s="52">
        <f t="shared" si="375"/>
        <v>54</v>
      </c>
      <c r="P470" s="39">
        <f t="shared" si="362"/>
        <v>221</v>
      </c>
      <c r="Q470" s="40">
        <f>SUM(Q444:Q469)</f>
        <v>95</v>
      </c>
      <c r="R470" s="41">
        <f t="shared" ref="R470:S470" si="376">SUM(R444:R469)</f>
        <v>72</v>
      </c>
      <c r="S470" s="52">
        <f t="shared" si="376"/>
        <v>54</v>
      </c>
      <c r="T470" s="39">
        <f t="shared" si="363"/>
        <v>221</v>
      </c>
      <c r="U470" s="39">
        <f>P470+T470</f>
        <v>442</v>
      </c>
      <c r="V470" s="116"/>
    </row>
    <row r="471" spans="1:23" ht="14.25" thickBot="1" x14ac:dyDescent="0.2">
      <c r="A471" s="21" t="s">
        <v>16</v>
      </c>
      <c r="B471" s="44">
        <f>B443-B470</f>
        <v>0</v>
      </c>
      <c r="C471" s="50">
        <f t="shared" ref="C471:D471" si="377">C443-C470</f>
        <v>6</v>
      </c>
      <c r="D471" s="51">
        <f t="shared" si="377"/>
        <v>1</v>
      </c>
      <c r="E471" s="49">
        <f>SUM(B471:D471)</f>
        <v>7</v>
      </c>
      <c r="F471" s="44">
        <f>F443-F470</f>
        <v>0</v>
      </c>
      <c r="G471" s="50">
        <f t="shared" ref="G471:H471" si="378">G443-G470</f>
        <v>6</v>
      </c>
      <c r="H471" s="51">
        <f t="shared" si="378"/>
        <v>1</v>
      </c>
      <c r="I471" s="49">
        <f>SUM(F471:H471)</f>
        <v>7</v>
      </c>
      <c r="J471" s="28">
        <f>E471+I471</f>
        <v>14</v>
      </c>
      <c r="L471" s="21" t="s">
        <v>16</v>
      </c>
      <c r="M471" s="44">
        <f>M443-M470</f>
        <v>96</v>
      </c>
      <c r="N471" s="50">
        <f t="shared" ref="N471:O471" si="379">N443-N470</f>
        <v>117</v>
      </c>
      <c r="O471" s="51">
        <f t="shared" si="379"/>
        <v>83</v>
      </c>
      <c r="P471" s="49">
        <f>SUM(M471:O471)</f>
        <v>296</v>
      </c>
      <c r="Q471" s="44">
        <f>Q443-Q470</f>
        <v>96</v>
      </c>
      <c r="R471" s="50">
        <f t="shared" ref="R471:S471" si="380">R443-R470</f>
        <v>117</v>
      </c>
      <c r="S471" s="51">
        <f t="shared" si="380"/>
        <v>83</v>
      </c>
      <c r="T471" s="49">
        <f>SUM(Q471:S471)</f>
        <v>296</v>
      </c>
      <c r="U471" s="28">
        <f>P471+T471</f>
        <v>592</v>
      </c>
      <c r="V471" s="116"/>
    </row>
    <row r="473" spans="1:23" ht="21.75" customHeight="1" x14ac:dyDescent="0.15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</row>
    <row r="474" spans="1:23" ht="19.5" thickBot="1" x14ac:dyDescent="0.25">
      <c r="A474" s="119" t="s">
        <v>29</v>
      </c>
      <c r="B474" s="85"/>
      <c r="C474" s="85"/>
      <c r="D474" s="85"/>
      <c r="E474" s="85"/>
      <c r="F474" s="85"/>
      <c r="G474" s="85"/>
      <c r="H474" s="85"/>
      <c r="I474" s="85"/>
      <c r="J474" s="85"/>
      <c r="L474" s="86" t="s">
        <v>337</v>
      </c>
      <c r="M474" s="117"/>
      <c r="N474" s="117"/>
      <c r="O474" s="117"/>
      <c r="P474" s="117"/>
      <c r="Q474" s="117"/>
      <c r="R474" s="117"/>
      <c r="S474" s="117"/>
      <c r="T474" s="87"/>
      <c r="U474" s="87">
        <v>1040</v>
      </c>
      <c r="V474" s="116"/>
    </row>
    <row r="475" spans="1:23" ht="14.25" thickBot="1" x14ac:dyDescent="0.2">
      <c r="A475" s="6"/>
      <c r="B475" s="146" t="s">
        <v>18</v>
      </c>
      <c r="C475" s="147"/>
      <c r="D475" s="147"/>
      <c r="E475" s="148"/>
      <c r="F475" s="146" t="s">
        <v>22</v>
      </c>
      <c r="G475" s="147"/>
      <c r="H475" s="147"/>
      <c r="I475" s="148"/>
      <c r="J475" s="101" t="s">
        <v>0</v>
      </c>
      <c r="L475" s="6"/>
      <c r="M475" s="149" t="s">
        <v>18</v>
      </c>
      <c r="N475" s="150"/>
      <c r="O475" s="150"/>
      <c r="P475" s="151"/>
      <c r="Q475" s="149" t="s">
        <v>22</v>
      </c>
      <c r="R475" s="150"/>
      <c r="S475" s="150"/>
      <c r="T475" s="151"/>
      <c r="U475" s="101" t="s">
        <v>0</v>
      </c>
      <c r="V475" s="116"/>
    </row>
    <row r="476" spans="1:23" ht="14.25" thickBot="1" x14ac:dyDescent="0.2">
      <c r="A476" s="6" t="s">
        <v>1</v>
      </c>
      <c r="B476" s="3" t="s">
        <v>2</v>
      </c>
      <c r="C476" s="4" t="s">
        <v>3</v>
      </c>
      <c r="D476" s="5" t="s">
        <v>4</v>
      </c>
      <c r="E476" s="6" t="s">
        <v>5</v>
      </c>
      <c r="F476" s="3" t="s">
        <v>2</v>
      </c>
      <c r="G476" s="4" t="s">
        <v>3</v>
      </c>
      <c r="H476" s="5" t="s">
        <v>4</v>
      </c>
      <c r="I476" s="6" t="s">
        <v>5</v>
      </c>
      <c r="J476" s="102"/>
      <c r="L476" s="6" t="s">
        <v>1</v>
      </c>
      <c r="M476" s="3" t="s">
        <v>2</v>
      </c>
      <c r="N476" s="4" t="s">
        <v>3</v>
      </c>
      <c r="O476" s="5" t="s">
        <v>4</v>
      </c>
      <c r="P476" s="6" t="s">
        <v>5</v>
      </c>
      <c r="Q476" s="3" t="s">
        <v>2</v>
      </c>
      <c r="R476" s="4" t="s">
        <v>3</v>
      </c>
      <c r="S476" s="5" t="s">
        <v>4</v>
      </c>
      <c r="T476" s="6" t="s">
        <v>5</v>
      </c>
      <c r="U476" s="102"/>
      <c r="V476" s="116"/>
    </row>
    <row r="477" spans="1:23" ht="14.25" thickBot="1" x14ac:dyDescent="0.2">
      <c r="A477" s="62" t="s">
        <v>16</v>
      </c>
      <c r="B477" s="40">
        <f>B471</f>
        <v>0</v>
      </c>
      <c r="C477" s="41">
        <f>C471</f>
        <v>6</v>
      </c>
      <c r="D477" s="81">
        <f>D471</f>
        <v>1</v>
      </c>
      <c r="E477" s="39">
        <f>SUM(B477:D477)</f>
        <v>7</v>
      </c>
      <c r="F477" s="40">
        <f>F471</f>
        <v>0</v>
      </c>
      <c r="G477" s="41">
        <f>G471</f>
        <v>6</v>
      </c>
      <c r="H477" s="81">
        <f>H471</f>
        <v>1</v>
      </c>
      <c r="I477" s="39">
        <f>SUM(F477:H477)</f>
        <v>7</v>
      </c>
      <c r="J477" s="39">
        <f>E477+I477</f>
        <v>14</v>
      </c>
      <c r="L477" s="66" t="s">
        <v>6</v>
      </c>
      <c r="M477" s="25">
        <f>M471</f>
        <v>96</v>
      </c>
      <c r="N477" s="26">
        <f>N471</f>
        <v>117</v>
      </c>
      <c r="O477" s="115">
        <f>O471</f>
        <v>83</v>
      </c>
      <c r="P477" s="28">
        <f>SUM(M477:O477)</f>
        <v>296</v>
      </c>
      <c r="Q477" s="25">
        <f>Q471</f>
        <v>96</v>
      </c>
      <c r="R477" s="26">
        <f>R471</f>
        <v>117</v>
      </c>
      <c r="S477" s="27">
        <f>S471</f>
        <v>83</v>
      </c>
      <c r="T477" s="28">
        <f>SUM(Q477:S477)</f>
        <v>296</v>
      </c>
      <c r="U477" s="28">
        <f>P477+T477</f>
        <v>592</v>
      </c>
      <c r="V477" s="116"/>
    </row>
    <row r="478" spans="1:23" x14ac:dyDescent="0.15">
      <c r="A478" s="23" t="s">
        <v>7</v>
      </c>
      <c r="B478" s="7">
        <v>3</v>
      </c>
      <c r="C478" s="8"/>
      <c r="D478" s="46"/>
      <c r="E478" s="10">
        <f t="shared" ref="E478" si="381">SUM(B478:D478)</f>
        <v>3</v>
      </c>
      <c r="F478" s="11">
        <v>3</v>
      </c>
      <c r="G478" s="8"/>
      <c r="H478" s="9"/>
      <c r="I478" s="10">
        <f t="shared" ref="I478" si="382">SUM(F478:H478)</f>
        <v>3</v>
      </c>
      <c r="J478" s="10">
        <f t="shared" ref="J478" si="383">E478+I478</f>
        <v>6</v>
      </c>
      <c r="K478" s="56">
        <v>45665</v>
      </c>
      <c r="L478" s="23" t="s">
        <v>7</v>
      </c>
      <c r="M478" s="12">
        <v>1</v>
      </c>
      <c r="N478" s="13">
        <v>1</v>
      </c>
      <c r="O478" s="47">
        <v>1</v>
      </c>
      <c r="P478" s="10">
        <f t="shared" ref="P478:P479" si="384">SUM(M478:O478)</f>
        <v>3</v>
      </c>
      <c r="Q478" s="15">
        <v>1</v>
      </c>
      <c r="R478" s="13">
        <v>1</v>
      </c>
      <c r="S478" s="14">
        <v>1</v>
      </c>
      <c r="T478" s="10">
        <f t="shared" ref="T478:T479" si="385">SUM(Q478:S478)</f>
        <v>3</v>
      </c>
      <c r="U478" s="10">
        <f t="shared" ref="U478:U479" si="386">P478+T478</f>
        <v>6</v>
      </c>
      <c r="V478" s="118">
        <v>45669</v>
      </c>
    </row>
    <row r="479" spans="1:23" x14ac:dyDescent="0.15">
      <c r="A479" s="23" t="s">
        <v>260</v>
      </c>
      <c r="B479" s="7">
        <v>1</v>
      </c>
      <c r="C479" s="8">
        <v>1</v>
      </c>
      <c r="D479" s="46"/>
      <c r="E479" s="10">
        <f t="shared" ref="E479:E485" si="387">SUM(B479:D479)</f>
        <v>2</v>
      </c>
      <c r="F479" s="11">
        <v>1</v>
      </c>
      <c r="G479" s="8">
        <v>1</v>
      </c>
      <c r="H479" s="9"/>
      <c r="I479" s="10">
        <f t="shared" ref="I479:I485" si="388">SUM(F479:H479)</f>
        <v>2</v>
      </c>
      <c r="J479" s="10">
        <f t="shared" ref="J479:J485" si="389">E479+I479</f>
        <v>4</v>
      </c>
      <c r="K479" s="58">
        <v>45667</v>
      </c>
      <c r="L479" s="23" t="s">
        <v>347</v>
      </c>
      <c r="M479" s="12">
        <v>3</v>
      </c>
      <c r="N479" s="13">
        <v>12</v>
      </c>
      <c r="O479" s="47"/>
      <c r="P479" s="10">
        <f t="shared" si="384"/>
        <v>15</v>
      </c>
      <c r="Q479" s="15">
        <v>3</v>
      </c>
      <c r="R479" s="13">
        <v>12</v>
      </c>
      <c r="S479" s="14"/>
      <c r="T479" s="10">
        <f t="shared" si="385"/>
        <v>15</v>
      </c>
      <c r="U479" s="10">
        <f t="shared" si="386"/>
        <v>30</v>
      </c>
      <c r="V479" s="118">
        <v>45689</v>
      </c>
    </row>
    <row r="480" spans="1:23" x14ac:dyDescent="0.15">
      <c r="A480" s="23" t="s">
        <v>260</v>
      </c>
      <c r="B480" s="7"/>
      <c r="C480" s="8">
        <v>2</v>
      </c>
      <c r="D480" s="46">
        <v>2</v>
      </c>
      <c r="E480" s="10">
        <f t="shared" si="387"/>
        <v>4</v>
      </c>
      <c r="F480" s="11"/>
      <c r="G480" s="8">
        <v>2</v>
      </c>
      <c r="H480" s="9">
        <v>2</v>
      </c>
      <c r="I480" s="10">
        <f t="shared" si="388"/>
        <v>4</v>
      </c>
      <c r="J480" s="10">
        <f t="shared" si="389"/>
        <v>8</v>
      </c>
      <c r="K480" s="58">
        <v>45680</v>
      </c>
      <c r="L480" s="23" t="s">
        <v>9</v>
      </c>
      <c r="M480" s="12">
        <v>-1</v>
      </c>
      <c r="N480" s="13"/>
      <c r="O480" s="47"/>
      <c r="P480" s="10">
        <f t="shared" ref="P480:P483" si="390">SUM(M480:O480)</f>
        <v>-1</v>
      </c>
      <c r="Q480" s="15">
        <v>-1</v>
      </c>
      <c r="R480" s="13"/>
      <c r="S480" s="14"/>
      <c r="T480" s="10">
        <f t="shared" ref="T480:T483" si="391">SUM(Q480:S480)</f>
        <v>-1</v>
      </c>
      <c r="U480" s="10">
        <f t="shared" ref="U480:U483" si="392">P480+T480</f>
        <v>-2</v>
      </c>
      <c r="V480" s="116"/>
    </row>
    <row r="481" spans="1:23" x14ac:dyDescent="0.15">
      <c r="A481" s="23" t="s">
        <v>260</v>
      </c>
      <c r="B481" s="7"/>
      <c r="C481" s="8">
        <v>4</v>
      </c>
      <c r="D481" s="46"/>
      <c r="E481" s="10">
        <f t="shared" si="387"/>
        <v>4</v>
      </c>
      <c r="F481" s="11"/>
      <c r="G481" s="8">
        <v>4</v>
      </c>
      <c r="H481" s="9"/>
      <c r="I481" s="10">
        <f t="shared" si="388"/>
        <v>4</v>
      </c>
      <c r="J481" s="10">
        <f t="shared" si="389"/>
        <v>8</v>
      </c>
      <c r="K481" s="56">
        <v>45680</v>
      </c>
      <c r="L481" s="23" t="s">
        <v>10</v>
      </c>
      <c r="M481" s="12"/>
      <c r="N481" s="13"/>
      <c r="O481" s="47"/>
      <c r="P481" s="10">
        <f t="shared" si="390"/>
        <v>0</v>
      </c>
      <c r="Q481" s="15"/>
      <c r="R481" s="13"/>
      <c r="S481" s="14"/>
      <c r="T481" s="10">
        <f t="shared" si="391"/>
        <v>0</v>
      </c>
      <c r="U481" s="10">
        <f t="shared" si="392"/>
        <v>0</v>
      </c>
      <c r="V481" s="116"/>
    </row>
    <row r="482" spans="1:23" x14ac:dyDescent="0.15">
      <c r="A482" s="23" t="s">
        <v>11</v>
      </c>
      <c r="B482" s="7"/>
      <c r="C482" s="8">
        <v>1</v>
      </c>
      <c r="D482" s="46"/>
      <c r="E482" s="10">
        <f t="shared" ref="E482" si="393">SUM(B482:D482)</f>
        <v>1</v>
      </c>
      <c r="F482" s="11"/>
      <c r="G482" s="8">
        <v>1</v>
      </c>
      <c r="H482" s="9"/>
      <c r="I482" s="10">
        <f t="shared" ref="I482" si="394">SUM(F482:H482)</f>
        <v>1</v>
      </c>
      <c r="J482" s="10">
        <f t="shared" ref="J482" si="395">E482+I482</f>
        <v>2</v>
      </c>
      <c r="K482" s="56">
        <v>45692</v>
      </c>
      <c r="L482" s="23" t="s">
        <v>11</v>
      </c>
      <c r="M482" s="12"/>
      <c r="N482" s="13"/>
      <c r="O482" s="47"/>
      <c r="P482" s="10">
        <f t="shared" si="390"/>
        <v>0</v>
      </c>
      <c r="Q482" s="15"/>
      <c r="R482" s="13"/>
      <c r="S482" s="14"/>
      <c r="T482" s="10">
        <f t="shared" si="391"/>
        <v>0</v>
      </c>
      <c r="U482" s="10">
        <f t="shared" si="392"/>
        <v>0</v>
      </c>
      <c r="V482" s="116"/>
    </row>
    <row r="483" spans="1:23" x14ac:dyDescent="0.15">
      <c r="A483" s="23" t="s">
        <v>287</v>
      </c>
      <c r="B483" s="7">
        <v>5</v>
      </c>
      <c r="C483" s="8">
        <v>5</v>
      </c>
      <c r="D483" s="46">
        <v>5</v>
      </c>
      <c r="E483" s="10">
        <f t="shared" si="387"/>
        <v>15</v>
      </c>
      <c r="F483" s="11">
        <v>5</v>
      </c>
      <c r="G483" s="8">
        <v>5</v>
      </c>
      <c r="H483" s="9">
        <v>5</v>
      </c>
      <c r="I483" s="10">
        <f t="shared" si="388"/>
        <v>15</v>
      </c>
      <c r="J483" s="10">
        <f t="shared" si="389"/>
        <v>30</v>
      </c>
      <c r="K483" s="58">
        <v>45693</v>
      </c>
      <c r="L483" s="23" t="s">
        <v>12</v>
      </c>
      <c r="M483" s="12"/>
      <c r="N483" s="13"/>
      <c r="O483" s="47"/>
      <c r="P483" s="10">
        <f t="shared" si="390"/>
        <v>0</v>
      </c>
      <c r="Q483" s="15"/>
      <c r="R483" s="13"/>
      <c r="S483" s="14"/>
      <c r="T483" s="10">
        <f t="shared" si="391"/>
        <v>0</v>
      </c>
      <c r="U483" s="10">
        <f t="shared" si="392"/>
        <v>0</v>
      </c>
      <c r="V483" s="116"/>
    </row>
    <row r="484" spans="1:23" x14ac:dyDescent="0.15">
      <c r="A484" s="23" t="s">
        <v>13</v>
      </c>
      <c r="B484" s="12"/>
      <c r="C484" s="13"/>
      <c r="D484" s="47"/>
      <c r="E484" s="10">
        <f t="shared" si="387"/>
        <v>0</v>
      </c>
      <c r="F484" s="15"/>
      <c r="G484" s="13"/>
      <c r="H484" s="14"/>
      <c r="I484" s="10">
        <f t="shared" si="388"/>
        <v>0</v>
      </c>
      <c r="J484" s="10">
        <f t="shared" si="389"/>
        <v>0</v>
      </c>
      <c r="L484" s="23" t="s">
        <v>13</v>
      </c>
      <c r="M484" s="12"/>
      <c r="N484" s="13"/>
      <c r="O484" s="47"/>
      <c r="P484" s="10">
        <f t="shared" ref="P484" si="396">SUM(M484:O484)</f>
        <v>0</v>
      </c>
      <c r="Q484" s="15"/>
      <c r="R484" s="13"/>
      <c r="S484" s="14"/>
      <c r="T484" s="10">
        <f t="shared" ref="T484" si="397">SUM(Q484:S484)</f>
        <v>0</v>
      </c>
      <c r="U484" s="10">
        <f t="shared" ref="U484" si="398">P484+T484</f>
        <v>0</v>
      </c>
      <c r="V484" s="116"/>
    </row>
    <row r="485" spans="1:23" ht="14.25" thickBot="1" x14ac:dyDescent="0.2">
      <c r="A485" s="23" t="s">
        <v>328</v>
      </c>
      <c r="B485" s="29">
        <v>1</v>
      </c>
      <c r="C485" s="30"/>
      <c r="D485" s="48"/>
      <c r="E485" s="55">
        <f t="shared" si="387"/>
        <v>1</v>
      </c>
      <c r="F485" s="31">
        <v>1</v>
      </c>
      <c r="G485" s="31"/>
      <c r="H485" s="33">
        <v>-1</v>
      </c>
      <c r="I485" s="55">
        <f t="shared" si="388"/>
        <v>0</v>
      </c>
      <c r="J485" s="20">
        <f t="shared" si="389"/>
        <v>1</v>
      </c>
      <c r="K485" s="58">
        <v>45689</v>
      </c>
      <c r="L485" s="23" t="s">
        <v>14</v>
      </c>
      <c r="M485" s="12"/>
      <c r="N485" s="13"/>
      <c r="O485" s="47"/>
      <c r="P485" s="10">
        <f t="shared" ref="P485" si="399">SUM(M485:O485)</f>
        <v>0</v>
      </c>
      <c r="Q485" s="15"/>
      <c r="R485" s="13"/>
      <c r="S485" s="14"/>
      <c r="T485" s="10">
        <f t="shared" ref="T485" si="400">SUM(Q485:S485)</f>
        <v>0</v>
      </c>
      <c r="U485" s="10">
        <f t="shared" ref="U485" si="401">P485+T485</f>
        <v>0</v>
      </c>
      <c r="V485" s="116"/>
    </row>
    <row r="486" spans="1:23" ht="14.25" thickBot="1" x14ac:dyDescent="0.2">
      <c r="A486" s="32" t="s">
        <v>15</v>
      </c>
      <c r="B486" s="25">
        <f>SUM(B477:B485)</f>
        <v>10</v>
      </c>
      <c r="C486" s="26">
        <f>SUM(C477:C485)</f>
        <v>19</v>
      </c>
      <c r="D486" s="27">
        <f>SUM(D477:D485)</f>
        <v>8</v>
      </c>
      <c r="E486" s="28">
        <f>SUM(B486:D486)</f>
        <v>37</v>
      </c>
      <c r="F486" s="25">
        <f>SUM(F477:F485)</f>
        <v>10</v>
      </c>
      <c r="G486" s="26">
        <f>SUM(G477:G485)</f>
        <v>19</v>
      </c>
      <c r="H486" s="27">
        <f>SUM(H477:H485)</f>
        <v>7</v>
      </c>
      <c r="I486" s="28">
        <f>SUM(F486:H486)</f>
        <v>36</v>
      </c>
      <c r="J486" s="28">
        <f>E486+I486</f>
        <v>73</v>
      </c>
      <c r="L486" s="32" t="s">
        <v>15</v>
      </c>
      <c r="M486" s="25">
        <f>SUM(M477:M485)</f>
        <v>99</v>
      </c>
      <c r="N486" s="26">
        <f>SUM(N477:N485)</f>
        <v>130</v>
      </c>
      <c r="O486" s="27">
        <f>SUM(O477:O485)</f>
        <v>84</v>
      </c>
      <c r="P486" s="28">
        <f>SUM(M486:O486)</f>
        <v>313</v>
      </c>
      <c r="Q486" s="25">
        <f>SUM(Q477:Q485)</f>
        <v>99</v>
      </c>
      <c r="R486" s="26">
        <f>SUM(R477:R485)</f>
        <v>130</v>
      </c>
      <c r="S486" s="27">
        <f>SUM(S477:S485)</f>
        <v>84</v>
      </c>
      <c r="T486" s="28">
        <f>SUM(Q486:S486)</f>
        <v>313</v>
      </c>
      <c r="U486" s="28">
        <f>P486+T486</f>
        <v>626</v>
      </c>
      <c r="V486" s="116"/>
    </row>
    <row r="487" spans="1:23" x14ac:dyDescent="0.15">
      <c r="A487" s="22" t="s">
        <v>353</v>
      </c>
      <c r="B487" s="7">
        <v>1</v>
      </c>
      <c r="C487" s="8"/>
      <c r="D487" s="9"/>
      <c r="E487" s="43">
        <f t="shared" ref="E487:E490" si="402">SUM(B487:D487)</f>
        <v>1</v>
      </c>
      <c r="F487" s="11">
        <v>1</v>
      </c>
      <c r="G487" s="8"/>
      <c r="H487" s="9"/>
      <c r="I487" s="43">
        <f t="shared" ref="I487:I490" si="403">SUM(F487:H487)</f>
        <v>1</v>
      </c>
      <c r="J487" s="10">
        <f t="shared" ref="J487:J490" si="404">E487+I487</f>
        <v>2</v>
      </c>
      <c r="K487" s="56">
        <v>45666</v>
      </c>
      <c r="L487" s="24" t="s">
        <v>292</v>
      </c>
      <c r="M487" s="7"/>
      <c r="N487" s="8">
        <v>2</v>
      </c>
      <c r="O487" s="9"/>
      <c r="P487" s="43">
        <f t="shared" ref="P487:P505" si="405">SUM(M487:O487)</f>
        <v>2</v>
      </c>
      <c r="Q487" s="11"/>
      <c r="R487" s="8">
        <v>2</v>
      </c>
      <c r="S487" s="9"/>
      <c r="T487" s="43">
        <f t="shared" ref="T487:T505" si="406">SUM(Q487:S487)</f>
        <v>2</v>
      </c>
      <c r="U487" s="10">
        <f t="shared" ref="U487:U505" si="407">P487+T487</f>
        <v>4</v>
      </c>
      <c r="V487" s="56">
        <v>45666</v>
      </c>
    </row>
    <row r="488" spans="1:23" x14ac:dyDescent="0.15">
      <c r="A488" s="22" t="s">
        <v>360</v>
      </c>
      <c r="B488" s="7">
        <v>1</v>
      </c>
      <c r="C488" s="8">
        <v>1</v>
      </c>
      <c r="D488" s="9">
        <v>1</v>
      </c>
      <c r="E488" s="43">
        <f t="shared" si="402"/>
        <v>3</v>
      </c>
      <c r="F488" s="11">
        <v>1</v>
      </c>
      <c r="G488" s="8">
        <v>1</v>
      </c>
      <c r="H488" s="9">
        <v>1</v>
      </c>
      <c r="I488" s="43">
        <f t="shared" si="403"/>
        <v>3</v>
      </c>
      <c r="J488" s="10">
        <f t="shared" si="404"/>
        <v>6</v>
      </c>
      <c r="K488" s="56">
        <v>45669</v>
      </c>
      <c r="L488" s="24" t="s">
        <v>352</v>
      </c>
      <c r="M488" s="7">
        <v>3</v>
      </c>
      <c r="N488" s="8"/>
      <c r="O488" s="9"/>
      <c r="P488" s="43">
        <f t="shared" si="405"/>
        <v>3</v>
      </c>
      <c r="Q488" s="11">
        <v>3</v>
      </c>
      <c r="R488" s="8"/>
      <c r="S488" s="9"/>
      <c r="T488" s="43">
        <f t="shared" si="406"/>
        <v>3</v>
      </c>
      <c r="U488" s="10">
        <f t="shared" si="407"/>
        <v>6</v>
      </c>
      <c r="V488" s="56">
        <v>45665</v>
      </c>
      <c r="W488" s="61"/>
    </row>
    <row r="489" spans="1:23" x14ac:dyDescent="0.15">
      <c r="A489" s="24" t="s">
        <v>363</v>
      </c>
      <c r="B489" s="7"/>
      <c r="C489" s="8"/>
      <c r="D489" s="9">
        <v>1</v>
      </c>
      <c r="E489" s="43">
        <f t="shared" si="402"/>
        <v>1</v>
      </c>
      <c r="F489" s="11"/>
      <c r="G489" s="8"/>
      <c r="H489" s="9">
        <v>1</v>
      </c>
      <c r="I489" s="43">
        <f t="shared" si="403"/>
        <v>1</v>
      </c>
      <c r="J489" s="10">
        <f t="shared" si="404"/>
        <v>2</v>
      </c>
      <c r="K489" s="56">
        <v>45687</v>
      </c>
      <c r="L489" s="24" t="s">
        <v>293</v>
      </c>
      <c r="M489" s="7"/>
      <c r="N489" s="8">
        <v>18</v>
      </c>
      <c r="O489" s="9">
        <v>4</v>
      </c>
      <c r="P489" s="43">
        <f t="shared" si="405"/>
        <v>22</v>
      </c>
      <c r="Q489" s="11"/>
      <c r="R489" s="8">
        <v>18</v>
      </c>
      <c r="S489" s="9">
        <v>4</v>
      </c>
      <c r="T489" s="43">
        <f t="shared" si="406"/>
        <v>22</v>
      </c>
      <c r="U489" s="10">
        <f t="shared" si="407"/>
        <v>44</v>
      </c>
      <c r="V489" s="56">
        <v>45667</v>
      </c>
    </row>
    <row r="490" spans="1:23" x14ac:dyDescent="0.15">
      <c r="A490" s="22" t="s">
        <v>97</v>
      </c>
      <c r="B490" s="7">
        <v>3</v>
      </c>
      <c r="C490" s="8">
        <v>12</v>
      </c>
      <c r="D490" s="9"/>
      <c r="E490" s="43">
        <f t="shared" si="402"/>
        <v>15</v>
      </c>
      <c r="F490" s="11">
        <v>3</v>
      </c>
      <c r="G490" s="8">
        <v>12</v>
      </c>
      <c r="H490" s="9"/>
      <c r="I490" s="43">
        <f t="shared" si="403"/>
        <v>15</v>
      </c>
      <c r="J490" s="10">
        <f t="shared" si="404"/>
        <v>30</v>
      </c>
      <c r="K490" s="56">
        <v>45689</v>
      </c>
      <c r="L490" s="24" t="s">
        <v>296</v>
      </c>
      <c r="M490" s="7">
        <v>6</v>
      </c>
      <c r="N490" s="8">
        <v>4</v>
      </c>
      <c r="O490" s="9"/>
      <c r="P490" s="43">
        <f t="shared" si="405"/>
        <v>10</v>
      </c>
      <c r="Q490" s="11">
        <v>6</v>
      </c>
      <c r="R490" s="8">
        <v>4</v>
      </c>
      <c r="S490" s="9"/>
      <c r="T490" s="43">
        <f t="shared" si="406"/>
        <v>10</v>
      </c>
      <c r="U490" s="10">
        <f t="shared" si="407"/>
        <v>20</v>
      </c>
      <c r="V490" s="56">
        <v>45667</v>
      </c>
    </row>
    <row r="491" spans="1:23" x14ac:dyDescent="0.15">
      <c r="A491" s="22" t="s">
        <v>187</v>
      </c>
      <c r="B491" s="7"/>
      <c r="C491" s="8">
        <v>1</v>
      </c>
      <c r="D491" s="9"/>
      <c r="E491" s="43">
        <f t="shared" ref="E491:E511" si="408">SUM(B491:D491)</f>
        <v>1</v>
      </c>
      <c r="F491" s="11"/>
      <c r="G491" s="8">
        <v>1</v>
      </c>
      <c r="H491" s="9"/>
      <c r="I491" s="43">
        <f t="shared" ref="I491:I511" si="409">SUM(F491:H491)</f>
        <v>1</v>
      </c>
      <c r="J491" s="10">
        <f t="shared" ref="J491:J511" si="410">E491+I491</f>
        <v>2</v>
      </c>
      <c r="K491" s="56">
        <v>45692</v>
      </c>
      <c r="L491" s="24" t="s">
        <v>355</v>
      </c>
      <c r="M491" s="7">
        <v>7</v>
      </c>
      <c r="N491" s="8">
        <v>7</v>
      </c>
      <c r="O491" s="9">
        <v>7</v>
      </c>
      <c r="P491" s="43">
        <f t="shared" si="405"/>
        <v>21</v>
      </c>
      <c r="Q491" s="11">
        <v>7</v>
      </c>
      <c r="R491" s="8">
        <v>7</v>
      </c>
      <c r="S491" s="9">
        <v>7</v>
      </c>
      <c r="T491" s="43">
        <f t="shared" si="406"/>
        <v>21</v>
      </c>
      <c r="U491" s="10">
        <f t="shared" si="407"/>
        <v>42</v>
      </c>
      <c r="V491" s="56">
        <v>45671</v>
      </c>
    </row>
    <row r="492" spans="1:23" x14ac:dyDescent="0.15">
      <c r="A492" s="24" t="s">
        <v>375</v>
      </c>
      <c r="B492" s="7">
        <v>2</v>
      </c>
      <c r="C492" s="8">
        <v>1</v>
      </c>
      <c r="D492" s="9"/>
      <c r="E492" s="43">
        <f t="shared" si="408"/>
        <v>3</v>
      </c>
      <c r="F492" s="11">
        <v>2</v>
      </c>
      <c r="G492" s="8">
        <v>1</v>
      </c>
      <c r="H492" s="9"/>
      <c r="I492" s="43">
        <f t="shared" si="409"/>
        <v>3</v>
      </c>
      <c r="J492" s="10">
        <f t="shared" si="410"/>
        <v>6</v>
      </c>
      <c r="K492" s="56">
        <v>45698</v>
      </c>
      <c r="L492" s="24" t="s">
        <v>298</v>
      </c>
      <c r="M492" s="7">
        <v>15</v>
      </c>
      <c r="N492" s="8"/>
      <c r="O492" s="9">
        <v>5</v>
      </c>
      <c r="P492" s="43">
        <f t="shared" si="405"/>
        <v>20</v>
      </c>
      <c r="Q492" s="11">
        <v>15</v>
      </c>
      <c r="R492" s="8"/>
      <c r="S492" s="9">
        <v>5</v>
      </c>
      <c r="T492" s="43">
        <f t="shared" si="406"/>
        <v>20</v>
      </c>
      <c r="U492" s="10">
        <f t="shared" si="407"/>
        <v>40</v>
      </c>
      <c r="V492" s="56">
        <v>45673</v>
      </c>
    </row>
    <row r="493" spans="1:23" x14ac:dyDescent="0.15">
      <c r="A493" s="22"/>
      <c r="B493" s="7"/>
      <c r="C493" s="8"/>
      <c r="D493" s="9"/>
      <c r="E493" s="43">
        <f t="shared" si="408"/>
        <v>0</v>
      </c>
      <c r="F493" s="11"/>
      <c r="G493" s="8"/>
      <c r="H493" s="9"/>
      <c r="I493" s="43">
        <f t="shared" si="409"/>
        <v>0</v>
      </c>
      <c r="J493" s="10">
        <f t="shared" si="410"/>
        <v>0</v>
      </c>
      <c r="L493" s="24" t="s">
        <v>356</v>
      </c>
      <c r="M493" s="7">
        <v>12</v>
      </c>
      <c r="N493" s="8">
        <v>2</v>
      </c>
      <c r="O493" s="9">
        <v>2</v>
      </c>
      <c r="P493" s="43">
        <f t="shared" si="405"/>
        <v>16</v>
      </c>
      <c r="Q493" s="11">
        <v>12</v>
      </c>
      <c r="R493" s="8">
        <v>2</v>
      </c>
      <c r="S493" s="9">
        <v>2</v>
      </c>
      <c r="T493" s="43">
        <f t="shared" si="406"/>
        <v>16</v>
      </c>
      <c r="U493" s="10">
        <f t="shared" si="407"/>
        <v>32</v>
      </c>
      <c r="V493" s="56">
        <v>45674</v>
      </c>
    </row>
    <row r="494" spans="1:23" x14ac:dyDescent="0.15">
      <c r="A494" s="22"/>
      <c r="B494" s="7"/>
      <c r="C494" s="8"/>
      <c r="D494" s="9"/>
      <c r="E494" s="43">
        <f t="shared" si="408"/>
        <v>0</v>
      </c>
      <c r="F494" s="11"/>
      <c r="G494" s="8"/>
      <c r="H494" s="9"/>
      <c r="I494" s="43">
        <f t="shared" si="409"/>
        <v>0</v>
      </c>
      <c r="J494" s="10">
        <f t="shared" si="410"/>
        <v>0</v>
      </c>
      <c r="L494" s="24" t="s">
        <v>357</v>
      </c>
      <c r="M494" s="7">
        <v>3</v>
      </c>
      <c r="N494" s="8">
        <v>4</v>
      </c>
      <c r="O494" s="9">
        <v>5</v>
      </c>
      <c r="P494" s="43">
        <f t="shared" si="405"/>
        <v>12</v>
      </c>
      <c r="Q494" s="11">
        <v>3</v>
      </c>
      <c r="R494" s="8">
        <v>4</v>
      </c>
      <c r="S494" s="9">
        <v>5</v>
      </c>
      <c r="T494" s="43">
        <f t="shared" si="406"/>
        <v>12</v>
      </c>
      <c r="U494" s="10">
        <f t="shared" si="407"/>
        <v>24</v>
      </c>
      <c r="V494" s="56">
        <v>45674</v>
      </c>
    </row>
    <row r="495" spans="1:23" x14ac:dyDescent="0.15">
      <c r="A495" s="22"/>
      <c r="B495" s="7"/>
      <c r="C495" s="8"/>
      <c r="D495" s="9"/>
      <c r="E495" s="43">
        <f t="shared" si="408"/>
        <v>0</v>
      </c>
      <c r="F495" s="11"/>
      <c r="G495" s="8"/>
      <c r="H495" s="9"/>
      <c r="I495" s="43">
        <f t="shared" si="409"/>
        <v>0</v>
      </c>
      <c r="J495" s="10">
        <f t="shared" si="410"/>
        <v>0</v>
      </c>
      <c r="L495" s="24" t="s">
        <v>301</v>
      </c>
      <c r="M495" s="7">
        <v>4</v>
      </c>
      <c r="N495" s="8">
        <v>7</v>
      </c>
      <c r="O495" s="9">
        <v>2</v>
      </c>
      <c r="P495" s="43">
        <f t="shared" si="405"/>
        <v>13</v>
      </c>
      <c r="Q495" s="11">
        <v>4</v>
      </c>
      <c r="R495" s="8">
        <v>7</v>
      </c>
      <c r="S495" s="9">
        <v>2</v>
      </c>
      <c r="T495" s="43">
        <f t="shared" si="406"/>
        <v>13</v>
      </c>
      <c r="U495" s="10">
        <f t="shared" si="407"/>
        <v>26</v>
      </c>
      <c r="V495" s="56">
        <v>45677</v>
      </c>
    </row>
    <row r="496" spans="1:23" x14ac:dyDescent="0.15">
      <c r="A496" s="22"/>
      <c r="B496" s="12"/>
      <c r="C496" s="13"/>
      <c r="D496" s="14"/>
      <c r="E496" s="43">
        <f t="shared" si="408"/>
        <v>0</v>
      </c>
      <c r="F496" s="15"/>
      <c r="G496" s="13"/>
      <c r="H496" s="14"/>
      <c r="I496" s="43">
        <f t="shared" si="409"/>
        <v>0</v>
      </c>
      <c r="J496" s="10">
        <f t="shared" si="410"/>
        <v>0</v>
      </c>
      <c r="L496" s="24" t="s">
        <v>361</v>
      </c>
      <c r="M496" s="7">
        <v>4</v>
      </c>
      <c r="N496" s="8">
        <v>8</v>
      </c>
      <c r="O496" s="9">
        <v>2</v>
      </c>
      <c r="P496" s="43">
        <f t="shared" si="405"/>
        <v>14</v>
      </c>
      <c r="Q496" s="11">
        <v>4</v>
      </c>
      <c r="R496" s="8">
        <v>8</v>
      </c>
      <c r="S496" s="9">
        <v>2</v>
      </c>
      <c r="T496" s="43">
        <f t="shared" si="406"/>
        <v>14</v>
      </c>
      <c r="U496" s="10">
        <f t="shared" si="407"/>
        <v>28</v>
      </c>
      <c r="V496" s="56">
        <v>45679</v>
      </c>
    </row>
    <row r="497" spans="1:23" x14ac:dyDescent="0.15">
      <c r="A497" s="22"/>
      <c r="B497" s="7"/>
      <c r="C497" s="8"/>
      <c r="D497" s="9"/>
      <c r="E497" s="43">
        <f t="shared" si="408"/>
        <v>0</v>
      </c>
      <c r="F497" s="11"/>
      <c r="G497" s="8"/>
      <c r="H497" s="9"/>
      <c r="I497" s="43">
        <f t="shared" si="409"/>
        <v>0</v>
      </c>
      <c r="J497" s="10">
        <f t="shared" si="410"/>
        <v>0</v>
      </c>
      <c r="L497" s="24" t="s">
        <v>304</v>
      </c>
      <c r="M497" s="7">
        <v>1</v>
      </c>
      <c r="N497" s="8">
        <v>4</v>
      </c>
      <c r="O497" s="9"/>
      <c r="P497" s="43">
        <f t="shared" si="405"/>
        <v>5</v>
      </c>
      <c r="Q497" s="11">
        <v>1</v>
      </c>
      <c r="R497" s="8">
        <v>4</v>
      </c>
      <c r="S497" s="9"/>
      <c r="T497" s="43">
        <f t="shared" si="406"/>
        <v>5</v>
      </c>
      <c r="U497" s="10">
        <f t="shared" si="407"/>
        <v>10</v>
      </c>
      <c r="V497" s="56">
        <v>45680</v>
      </c>
    </row>
    <row r="498" spans="1:23" x14ac:dyDescent="0.15">
      <c r="A498" s="22"/>
      <c r="B498" s="7"/>
      <c r="C498" s="8"/>
      <c r="D498" s="9"/>
      <c r="E498" s="43">
        <f t="shared" si="408"/>
        <v>0</v>
      </c>
      <c r="F498" s="11"/>
      <c r="G498" s="8"/>
      <c r="H498" s="9"/>
      <c r="I498" s="43">
        <f t="shared" si="409"/>
        <v>0</v>
      </c>
      <c r="J498" s="10">
        <f t="shared" si="410"/>
        <v>0</v>
      </c>
      <c r="L498" s="24" t="s">
        <v>305</v>
      </c>
      <c r="M498" s="7">
        <v>5</v>
      </c>
      <c r="N498" s="8">
        <v>1</v>
      </c>
      <c r="O498" s="9"/>
      <c r="P498" s="43">
        <f t="shared" si="405"/>
        <v>6</v>
      </c>
      <c r="Q498" s="11">
        <v>5</v>
      </c>
      <c r="R498" s="8">
        <v>1</v>
      </c>
      <c r="S498" s="9"/>
      <c r="T498" s="43">
        <f t="shared" si="406"/>
        <v>6</v>
      </c>
      <c r="U498" s="10">
        <f t="shared" si="407"/>
        <v>12</v>
      </c>
      <c r="V498" s="56">
        <v>45681</v>
      </c>
    </row>
    <row r="499" spans="1:23" x14ac:dyDescent="0.15">
      <c r="A499" s="22"/>
      <c r="B499" s="7"/>
      <c r="C499" s="8"/>
      <c r="D499" s="9"/>
      <c r="E499" s="43">
        <f t="shared" si="408"/>
        <v>0</v>
      </c>
      <c r="F499" s="11"/>
      <c r="G499" s="8"/>
      <c r="H499" s="9"/>
      <c r="I499" s="43">
        <f t="shared" si="409"/>
        <v>0</v>
      </c>
      <c r="J499" s="10">
        <f t="shared" si="410"/>
        <v>0</v>
      </c>
      <c r="L499" s="24" t="s">
        <v>308</v>
      </c>
      <c r="M499" s="7"/>
      <c r="N499" s="8">
        <v>2</v>
      </c>
      <c r="O499" s="9">
        <v>1</v>
      </c>
      <c r="P499" s="43">
        <f t="shared" si="405"/>
        <v>3</v>
      </c>
      <c r="Q499" s="11"/>
      <c r="R499" s="8">
        <v>2</v>
      </c>
      <c r="S499" s="9">
        <v>1</v>
      </c>
      <c r="T499" s="43">
        <f t="shared" si="406"/>
        <v>3</v>
      </c>
      <c r="U499" s="10">
        <f t="shared" si="407"/>
        <v>6</v>
      </c>
      <c r="V499" s="56">
        <v>45686</v>
      </c>
      <c r="W499" s="61"/>
    </row>
    <row r="500" spans="1:23" x14ac:dyDescent="0.15">
      <c r="A500" s="22"/>
      <c r="B500" s="7"/>
      <c r="C500" s="8"/>
      <c r="D500" s="9"/>
      <c r="E500" s="43">
        <f t="shared" si="408"/>
        <v>0</v>
      </c>
      <c r="F500" s="11"/>
      <c r="G500" s="8"/>
      <c r="H500" s="9"/>
      <c r="I500" s="43">
        <f t="shared" si="409"/>
        <v>0</v>
      </c>
      <c r="J500" s="10">
        <f t="shared" si="410"/>
        <v>0</v>
      </c>
      <c r="L500" s="24" t="s">
        <v>366</v>
      </c>
      <c r="M500" s="7"/>
      <c r="N500" s="8">
        <v>1</v>
      </c>
      <c r="O500" s="9">
        <v>1</v>
      </c>
      <c r="P500" s="43">
        <f t="shared" si="405"/>
        <v>2</v>
      </c>
      <c r="Q500" s="11"/>
      <c r="R500" s="8">
        <v>1</v>
      </c>
      <c r="S500" s="9">
        <v>1</v>
      </c>
      <c r="T500" s="43">
        <f t="shared" si="406"/>
        <v>2</v>
      </c>
      <c r="U500" s="10">
        <f t="shared" si="407"/>
        <v>4</v>
      </c>
      <c r="V500" s="56">
        <v>45688</v>
      </c>
      <c r="W500" s="61"/>
    </row>
    <row r="501" spans="1:23" x14ac:dyDescent="0.15">
      <c r="A501" s="22"/>
      <c r="B501" s="7"/>
      <c r="C501" s="8"/>
      <c r="D501" s="9"/>
      <c r="E501" s="43">
        <f t="shared" si="408"/>
        <v>0</v>
      </c>
      <c r="F501" s="11"/>
      <c r="G501" s="8"/>
      <c r="H501" s="9"/>
      <c r="I501" s="43">
        <f t="shared" si="409"/>
        <v>0</v>
      </c>
      <c r="J501" s="10">
        <f t="shared" si="410"/>
        <v>0</v>
      </c>
      <c r="L501" s="24" t="s">
        <v>368</v>
      </c>
      <c r="M501" s="7">
        <v>4</v>
      </c>
      <c r="N501" s="8">
        <v>3</v>
      </c>
      <c r="O501" s="9"/>
      <c r="P501" s="43">
        <f t="shared" si="405"/>
        <v>7</v>
      </c>
      <c r="Q501" s="11">
        <v>4</v>
      </c>
      <c r="R501" s="8">
        <v>3</v>
      </c>
      <c r="S501" s="9"/>
      <c r="T501" s="43">
        <f t="shared" si="406"/>
        <v>7</v>
      </c>
      <c r="U501" s="10">
        <f t="shared" si="407"/>
        <v>14</v>
      </c>
      <c r="V501" s="56">
        <v>45693</v>
      </c>
      <c r="W501" s="61"/>
    </row>
    <row r="502" spans="1:23" x14ac:dyDescent="0.15">
      <c r="A502" s="22"/>
      <c r="B502" s="7"/>
      <c r="C502" s="8"/>
      <c r="D502" s="9"/>
      <c r="E502" s="43">
        <f t="shared" si="408"/>
        <v>0</v>
      </c>
      <c r="F502" s="11"/>
      <c r="G502" s="8"/>
      <c r="H502" s="9"/>
      <c r="I502" s="43">
        <f t="shared" si="409"/>
        <v>0</v>
      </c>
      <c r="J502" s="10">
        <f t="shared" si="410"/>
        <v>0</v>
      </c>
      <c r="L502" s="24" t="s">
        <v>370</v>
      </c>
      <c r="M502" s="7"/>
      <c r="N502" s="8">
        <v>1</v>
      </c>
      <c r="O502" s="9"/>
      <c r="P502" s="43">
        <f t="shared" si="405"/>
        <v>1</v>
      </c>
      <c r="Q502" s="11"/>
      <c r="R502" s="8">
        <v>1</v>
      </c>
      <c r="S502" s="9"/>
      <c r="T502" s="43">
        <f t="shared" si="406"/>
        <v>1</v>
      </c>
      <c r="U502" s="10">
        <f t="shared" si="407"/>
        <v>2</v>
      </c>
      <c r="V502" s="56">
        <v>45692</v>
      </c>
      <c r="W502" s="61"/>
    </row>
    <row r="503" spans="1:23" x14ac:dyDescent="0.15">
      <c r="A503" s="24"/>
      <c r="B503" s="7"/>
      <c r="C503" s="8"/>
      <c r="D503" s="9"/>
      <c r="E503" s="43">
        <f t="shared" si="408"/>
        <v>0</v>
      </c>
      <c r="F503" s="11"/>
      <c r="G503" s="8"/>
      <c r="H503" s="9"/>
      <c r="I503" s="43">
        <f t="shared" si="409"/>
        <v>0</v>
      </c>
      <c r="J503" s="10">
        <f t="shared" si="410"/>
        <v>0</v>
      </c>
      <c r="L503" s="24" t="s">
        <v>371</v>
      </c>
      <c r="M503" s="7">
        <v>1</v>
      </c>
      <c r="N503" s="8">
        <v>1</v>
      </c>
      <c r="O503" s="9"/>
      <c r="P503" s="43">
        <f t="shared" si="405"/>
        <v>2</v>
      </c>
      <c r="Q503" s="11">
        <v>1</v>
      </c>
      <c r="R503" s="8">
        <v>1</v>
      </c>
      <c r="S503" s="9"/>
      <c r="T503" s="43">
        <f t="shared" si="406"/>
        <v>2</v>
      </c>
      <c r="U503" s="10">
        <f t="shared" si="407"/>
        <v>4</v>
      </c>
      <c r="V503" s="56">
        <v>45694</v>
      </c>
    </row>
    <row r="504" spans="1:23" x14ac:dyDescent="0.15">
      <c r="A504" s="22"/>
      <c r="B504" s="7"/>
      <c r="C504" s="8"/>
      <c r="D504" s="9"/>
      <c r="E504" s="43">
        <f t="shared" si="408"/>
        <v>0</v>
      </c>
      <c r="F504" s="11"/>
      <c r="G504" s="8"/>
      <c r="H504" s="9"/>
      <c r="I504" s="43">
        <f t="shared" si="409"/>
        <v>0</v>
      </c>
      <c r="J504" s="10">
        <f t="shared" si="410"/>
        <v>0</v>
      </c>
      <c r="L504" s="24" t="s">
        <v>372</v>
      </c>
      <c r="M504" s="7">
        <v>1</v>
      </c>
      <c r="N504" s="8">
        <v>2</v>
      </c>
      <c r="O504" s="9">
        <v>6</v>
      </c>
      <c r="P504" s="43">
        <f t="shared" si="405"/>
        <v>9</v>
      </c>
      <c r="Q504" s="11">
        <v>1</v>
      </c>
      <c r="R504" s="8">
        <v>2</v>
      </c>
      <c r="S504" s="9">
        <v>6</v>
      </c>
      <c r="T504" s="43">
        <f t="shared" si="406"/>
        <v>9</v>
      </c>
      <c r="U504" s="10">
        <f t="shared" si="407"/>
        <v>18</v>
      </c>
      <c r="V504" s="56">
        <v>45695</v>
      </c>
    </row>
    <row r="505" spans="1:23" x14ac:dyDescent="0.15">
      <c r="A505" s="22"/>
      <c r="B505" s="7"/>
      <c r="C505" s="8"/>
      <c r="D505" s="9"/>
      <c r="E505" s="43">
        <f t="shared" si="408"/>
        <v>0</v>
      </c>
      <c r="F505" s="11"/>
      <c r="G505" s="8"/>
      <c r="H505" s="9"/>
      <c r="I505" s="43">
        <f t="shared" si="409"/>
        <v>0</v>
      </c>
      <c r="J505" s="10">
        <f t="shared" si="410"/>
        <v>0</v>
      </c>
      <c r="L505" s="24" t="s">
        <v>374</v>
      </c>
      <c r="M505" s="7"/>
      <c r="N505" s="8">
        <v>5</v>
      </c>
      <c r="O505" s="9">
        <v>3</v>
      </c>
      <c r="P505" s="43">
        <f t="shared" si="405"/>
        <v>8</v>
      </c>
      <c r="Q505" s="11"/>
      <c r="R505" s="8">
        <v>5</v>
      </c>
      <c r="S505" s="9">
        <v>3</v>
      </c>
      <c r="T505" s="43">
        <f t="shared" si="406"/>
        <v>8</v>
      </c>
      <c r="U505" s="10">
        <f t="shared" si="407"/>
        <v>16</v>
      </c>
      <c r="V505" s="56">
        <v>45695</v>
      </c>
    </row>
    <row r="506" spans="1:23" x14ac:dyDescent="0.15">
      <c r="A506" s="22"/>
      <c r="B506" s="7"/>
      <c r="C506" s="8"/>
      <c r="D506" s="9"/>
      <c r="E506" s="43">
        <f t="shared" si="408"/>
        <v>0</v>
      </c>
      <c r="F506" s="11"/>
      <c r="G506" s="8"/>
      <c r="H506" s="9"/>
      <c r="I506" s="43">
        <f t="shared" si="409"/>
        <v>0</v>
      </c>
      <c r="J506" s="10">
        <f t="shared" si="410"/>
        <v>0</v>
      </c>
      <c r="L506" s="24" t="s">
        <v>377</v>
      </c>
      <c r="M506" s="7">
        <v>5</v>
      </c>
      <c r="N506" s="8">
        <v>8</v>
      </c>
      <c r="O506" s="9"/>
      <c r="P506" s="43">
        <f t="shared" ref="P506:P513" si="411">SUM(M506:O506)</f>
        <v>13</v>
      </c>
      <c r="Q506" s="11">
        <v>5</v>
      </c>
      <c r="R506" s="8">
        <v>8</v>
      </c>
      <c r="S506" s="9"/>
      <c r="T506" s="43">
        <f t="shared" ref="T506:T513" si="412">SUM(Q506:S506)</f>
        <v>13</v>
      </c>
      <c r="U506" s="10">
        <f t="shared" ref="U506:U508" si="413">P506+T506</f>
        <v>26</v>
      </c>
      <c r="V506" s="56">
        <v>45700</v>
      </c>
    </row>
    <row r="507" spans="1:23" x14ac:dyDescent="0.15">
      <c r="A507" s="22"/>
      <c r="B507" s="7"/>
      <c r="C507" s="8"/>
      <c r="D507" s="9"/>
      <c r="E507" s="43">
        <f t="shared" si="408"/>
        <v>0</v>
      </c>
      <c r="F507" s="11"/>
      <c r="G507" s="8"/>
      <c r="H507" s="9"/>
      <c r="I507" s="43">
        <f t="shared" si="409"/>
        <v>0</v>
      </c>
      <c r="J507" s="10">
        <f t="shared" si="410"/>
        <v>0</v>
      </c>
      <c r="L507" s="24" t="s">
        <v>378</v>
      </c>
      <c r="M507" s="7">
        <v>1</v>
      </c>
      <c r="N507" s="8"/>
      <c r="O507" s="9"/>
      <c r="P507" s="43">
        <f t="shared" si="411"/>
        <v>1</v>
      </c>
      <c r="Q507" s="11">
        <v>1</v>
      </c>
      <c r="R507" s="8"/>
      <c r="S507" s="9"/>
      <c r="T507" s="43">
        <f t="shared" si="412"/>
        <v>1</v>
      </c>
      <c r="U507" s="10">
        <f t="shared" si="413"/>
        <v>2</v>
      </c>
      <c r="V507" s="56">
        <v>45702</v>
      </c>
    </row>
    <row r="508" spans="1:23" x14ac:dyDescent="0.15">
      <c r="A508" s="63"/>
      <c r="B508" s="12"/>
      <c r="C508" s="13"/>
      <c r="D508" s="14"/>
      <c r="E508" s="43">
        <f t="shared" si="408"/>
        <v>0</v>
      </c>
      <c r="F508" s="15"/>
      <c r="G508" s="13"/>
      <c r="H508" s="14"/>
      <c r="I508" s="43">
        <f t="shared" si="409"/>
        <v>0</v>
      </c>
      <c r="J508" s="10">
        <f t="shared" si="410"/>
        <v>0</v>
      </c>
      <c r="L508" s="24" t="s">
        <v>380</v>
      </c>
      <c r="M508" s="7">
        <v>5</v>
      </c>
      <c r="N508" s="8">
        <v>2</v>
      </c>
      <c r="O508" s="9"/>
      <c r="P508" s="43">
        <f t="shared" si="411"/>
        <v>7</v>
      </c>
      <c r="Q508" s="11">
        <v>5</v>
      </c>
      <c r="R508" s="8">
        <v>2</v>
      </c>
      <c r="S508" s="9"/>
      <c r="T508" s="43">
        <f t="shared" si="412"/>
        <v>7</v>
      </c>
      <c r="U508" s="10">
        <f t="shared" si="413"/>
        <v>14</v>
      </c>
      <c r="V508" s="56">
        <v>45702</v>
      </c>
    </row>
    <row r="509" spans="1:23" x14ac:dyDescent="0.15">
      <c r="A509" s="22"/>
      <c r="B509" s="7"/>
      <c r="C509" s="8"/>
      <c r="D509" s="9"/>
      <c r="E509" s="43">
        <f t="shared" si="408"/>
        <v>0</v>
      </c>
      <c r="F509" s="11"/>
      <c r="G509" s="8"/>
      <c r="H509" s="9"/>
      <c r="I509" s="43">
        <f t="shared" si="409"/>
        <v>0</v>
      </c>
      <c r="J509" s="10">
        <f t="shared" si="410"/>
        <v>0</v>
      </c>
      <c r="L509" s="24"/>
      <c r="M509" s="7"/>
      <c r="N509" s="8"/>
      <c r="O509" s="9"/>
      <c r="P509" s="43">
        <f t="shared" ref="P509" si="414">SUM(M509:O509)</f>
        <v>0</v>
      </c>
      <c r="Q509" s="11"/>
      <c r="R509" s="8"/>
      <c r="S509" s="9"/>
      <c r="T509" s="43">
        <f t="shared" ref="T509" si="415">SUM(Q509:S509)</f>
        <v>0</v>
      </c>
      <c r="U509" s="10">
        <f t="shared" ref="U509" si="416">P509+T509</f>
        <v>0</v>
      </c>
      <c r="V509" s="61"/>
    </row>
    <row r="510" spans="1:23" x14ac:dyDescent="0.15">
      <c r="A510" s="63"/>
      <c r="B510" s="7"/>
      <c r="C510" s="8"/>
      <c r="D510" s="9"/>
      <c r="E510" s="43">
        <f t="shared" si="408"/>
        <v>0</v>
      </c>
      <c r="F510" s="11"/>
      <c r="G510" s="8"/>
      <c r="H510" s="9"/>
      <c r="I510" s="43">
        <f t="shared" si="409"/>
        <v>0</v>
      </c>
      <c r="J510" s="10">
        <f t="shared" si="410"/>
        <v>0</v>
      </c>
      <c r="L510" s="24"/>
      <c r="M510" s="7"/>
      <c r="N510" s="8"/>
      <c r="O510" s="9"/>
      <c r="P510" s="43">
        <f t="shared" ref="P510" si="417">SUM(M510:O510)</f>
        <v>0</v>
      </c>
      <c r="Q510" s="11"/>
      <c r="R510" s="8"/>
      <c r="S510" s="9"/>
      <c r="T510" s="43">
        <f t="shared" ref="T510" si="418">SUM(Q510:S510)</f>
        <v>0</v>
      </c>
      <c r="U510" s="10">
        <f t="shared" ref="U510" si="419">P510+T510</f>
        <v>0</v>
      </c>
      <c r="V510" s="61"/>
    </row>
    <row r="511" spans="1:23" x14ac:dyDescent="0.15">
      <c r="A511" s="22"/>
      <c r="B511" s="7"/>
      <c r="C511" s="8"/>
      <c r="D511" s="9"/>
      <c r="E511" s="43">
        <f t="shared" si="408"/>
        <v>0</v>
      </c>
      <c r="F511" s="11"/>
      <c r="G511" s="8"/>
      <c r="H511" s="9"/>
      <c r="I511" s="43">
        <f t="shared" si="409"/>
        <v>0</v>
      </c>
      <c r="J511" s="10">
        <f t="shared" si="410"/>
        <v>0</v>
      </c>
      <c r="L511" s="24" t="s">
        <v>340</v>
      </c>
      <c r="M511" s="7"/>
      <c r="N511" s="8"/>
      <c r="O511" s="9"/>
      <c r="P511" s="43">
        <f t="shared" si="411"/>
        <v>0</v>
      </c>
      <c r="Q511" s="11"/>
      <c r="R511" s="8"/>
      <c r="S511" s="9"/>
      <c r="T511" s="43">
        <f t="shared" si="412"/>
        <v>0</v>
      </c>
      <c r="U511" s="10">
        <f t="shared" ref="U511:U512" si="420">P511+T511</f>
        <v>0</v>
      </c>
      <c r="V511" s="61" t="s">
        <v>341</v>
      </c>
    </row>
    <row r="512" spans="1:23" ht="14.25" thickBot="1" x14ac:dyDescent="0.2">
      <c r="A512" s="22"/>
      <c r="B512" s="7"/>
      <c r="C512" s="8"/>
      <c r="D512" s="9"/>
      <c r="E512" s="43">
        <f t="shared" ref="E512" si="421">SUM(B512:D512)</f>
        <v>0</v>
      </c>
      <c r="F512" s="11"/>
      <c r="G512" s="8"/>
      <c r="H512" s="9"/>
      <c r="I512" s="43">
        <f t="shared" ref="I512" si="422">SUM(F512:H512)</f>
        <v>0</v>
      </c>
      <c r="J512" s="10">
        <f t="shared" ref="J512" si="423">E512+I512</f>
        <v>0</v>
      </c>
      <c r="L512" s="24" t="s">
        <v>342</v>
      </c>
      <c r="M512" s="7"/>
      <c r="N512" s="8"/>
      <c r="O512" s="9"/>
      <c r="P512" s="43">
        <f t="shared" si="411"/>
        <v>0</v>
      </c>
      <c r="Q512" s="11"/>
      <c r="R512" s="8"/>
      <c r="S512" s="9"/>
      <c r="T512" s="43">
        <f t="shared" si="412"/>
        <v>0</v>
      </c>
      <c r="U512" s="10">
        <f t="shared" si="420"/>
        <v>0</v>
      </c>
      <c r="V512" s="61" t="s">
        <v>343</v>
      </c>
    </row>
    <row r="513" spans="1:22" ht="14.25" thickBot="1" x14ac:dyDescent="0.2">
      <c r="A513" s="35" t="s">
        <v>17</v>
      </c>
      <c r="B513" s="40">
        <f>SUM(B487:B512)</f>
        <v>7</v>
      </c>
      <c r="C513" s="41">
        <f t="shared" ref="C513:D513" si="424">SUM(C487:C512)</f>
        <v>15</v>
      </c>
      <c r="D513" s="52">
        <f t="shared" si="424"/>
        <v>2</v>
      </c>
      <c r="E513" s="39">
        <f t="shared" ref="E513" si="425">SUM(B513:D513)</f>
        <v>24</v>
      </c>
      <c r="F513" s="40">
        <f>SUM(F487:F512)</f>
        <v>7</v>
      </c>
      <c r="G513" s="41">
        <f t="shared" ref="G513:H513" si="426">SUM(G487:G512)</f>
        <v>15</v>
      </c>
      <c r="H513" s="52">
        <f t="shared" si="426"/>
        <v>2</v>
      </c>
      <c r="I513" s="39">
        <f t="shared" ref="I513" si="427">SUM(F513:H513)</f>
        <v>24</v>
      </c>
      <c r="J513" s="39">
        <f>E513+I513</f>
        <v>48</v>
      </c>
      <c r="L513" s="35" t="s">
        <v>17</v>
      </c>
      <c r="M513" s="40">
        <f>SUM(M487:M512)</f>
        <v>77</v>
      </c>
      <c r="N513" s="41">
        <f t="shared" ref="N513:O513" si="428">SUM(N487:N512)</f>
        <v>82</v>
      </c>
      <c r="O513" s="52">
        <f t="shared" si="428"/>
        <v>38</v>
      </c>
      <c r="P513" s="39">
        <f t="shared" si="411"/>
        <v>197</v>
      </c>
      <c r="Q513" s="40">
        <f>SUM(Q487:Q512)</f>
        <v>77</v>
      </c>
      <c r="R513" s="41">
        <f t="shared" ref="R513:S513" si="429">SUM(R487:R512)</f>
        <v>82</v>
      </c>
      <c r="S513" s="52">
        <f t="shared" si="429"/>
        <v>38</v>
      </c>
      <c r="T513" s="39">
        <f t="shared" si="412"/>
        <v>197</v>
      </c>
      <c r="U513" s="39">
        <f>P513+T513</f>
        <v>394</v>
      </c>
      <c r="V513" s="116"/>
    </row>
    <row r="514" spans="1:22" ht="14.25" thickBot="1" x14ac:dyDescent="0.2">
      <c r="A514" s="21" t="s">
        <v>16</v>
      </c>
      <c r="B514" s="44">
        <f>B486-B513</f>
        <v>3</v>
      </c>
      <c r="C514" s="50">
        <f t="shared" ref="C514:D514" si="430">C486-C513</f>
        <v>4</v>
      </c>
      <c r="D514" s="51">
        <f t="shared" si="430"/>
        <v>6</v>
      </c>
      <c r="E514" s="49">
        <f>SUM(B514:D514)</f>
        <v>13</v>
      </c>
      <c r="F514" s="44">
        <f>F486-F513</f>
        <v>3</v>
      </c>
      <c r="G514" s="50">
        <f t="shared" ref="G514:H514" si="431">G486-G513</f>
        <v>4</v>
      </c>
      <c r="H514" s="51">
        <f t="shared" si="431"/>
        <v>5</v>
      </c>
      <c r="I514" s="49">
        <f>SUM(F514:H514)</f>
        <v>12</v>
      </c>
      <c r="J514" s="28">
        <f>E514+I514</f>
        <v>25</v>
      </c>
      <c r="L514" s="21" t="s">
        <v>16</v>
      </c>
      <c r="M514" s="44">
        <f>M486-M513</f>
        <v>22</v>
      </c>
      <c r="N514" s="50">
        <f t="shared" ref="N514:O514" si="432">N486-N513</f>
        <v>48</v>
      </c>
      <c r="O514" s="51">
        <f t="shared" si="432"/>
        <v>46</v>
      </c>
      <c r="P514" s="49">
        <f>SUM(M514:O514)</f>
        <v>116</v>
      </c>
      <c r="Q514" s="44">
        <f>Q486-Q513</f>
        <v>22</v>
      </c>
      <c r="R514" s="50">
        <f t="shared" ref="R514:S514" si="433">R486-R513</f>
        <v>48</v>
      </c>
      <c r="S514" s="51">
        <f t="shared" si="433"/>
        <v>46</v>
      </c>
      <c r="T514" s="49">
        <f>SUM(Q514:S514)</f>
        <v>116</v>
      </c>
      <c r="U514" s="28">
        <f>P514+T514</f>
        <v>232</v>
      </c>
      <c r="V514" s="116"/>
    </row>
    <row r="517" spans="1:22" ht="19.5" thickBot="1" x14ac:dyDescent="0.25">
      <c r="A517" s="84" t="s">
        <v>29</v>
      </c>
      <c r="B517" s="85"/>
      <c r="C517" s="85"/>
      <c r="D517" s="85"/>
      <c r="E517" s="85"/>
      <c r="F517" s="85"/>
      <c r="G517" s="85"/>
      <c r="H517" s="85"/>
      <c r="I517" s="85"/>
      <c r="J517" s="85"/>
      <c r="L517" s="86" t="s">
        <v>337</v>
      </c>
      <c r="M517" s="117"/>
      <c r="N517" s="117"/>
      <c r="O517" s="117"/>
      <c r="P517" s="117"/>
      <c r="Q517" s="117"/>
      <c r="R517" s="117"/>
      <c r="S517" s="117"/>
      <c r="T517" s="87"/>
      <c r="U517" s="87">
        <v>1040</v>
      </c>
    </row>
    <row r="518" spans="1:22" ht="14.25" thickBot="1" x14ac:dyDescent="0.2">
      <c r="A518" s="6"/>
      <c r="B518" s="146" t="s">
        <v>18</v>
      </c>
      <c r="C518" s="147"/>
      <c r="D518" s="147"/>
      <c r="E518" s="148"/>
      <c r="F518" s="146" t="s">
        <v>22</v>
      </c>
      <c r="G518" s="147"/>
      <c r="H518" s="147"/>
      <c r="I518" s="148"/>
      <c r="J518" s="101" t="s">
        <v>0</v>
      </c>
      <c r="L518" s="6"/>
      <c r="M518" s="149" t="s">
        <v>18</v>
      </c>
      <c r="N518" s="150"/>
      <c r="O518" s="150"/>
      <c r="P518" s="151"/>
      <c r="Q518" s="149" t="s">
        <v>22</v>
      </c>
      <c r="R518" s="150"/>
      <c r="S518" s="150"/>
      <c r="T518" s="151"/>
      <c r="U518" s="101" t="s">
        <v>0</v>
      </c>
    </row>
    <row r="519" spans="1:22" ht="14.25" thickBot="1" x14ac:dyDescent="0.2">
      <c r="A519" s="6" t="s">
        <v>1</v>
      </c>
      <c r="B519" s="3" t="s">
        <v>2</v>
      </c>
      <c r="C519" s="4" t="s">
        <v>3</v>
      </c>
      <c r="D519" s="5" t="s">
        <v>4</v>
      </c>
      <c r="E519" s="6" t="s">
        <v>5</v>
      </c>
      <c r="F519" s="3" t="s">
        <v>2</v>
      </c>
      <c r="G519" s="4" t="s">
        <v>3</v>
      </c>
      <c r="H519" s="5" t="s">
        <v>4</v>
      </c>
      <c r="I519" s="6" t="s">
        <v>5</v>
      </c>
      <c r="J519" s="102"/>
      <c r="L519" s="6" t="s">
        <v>1</v>
      </c>
      <c r="M519" s="3" t="s">
        <v>2</v>
      </c>
      <c r="N519" s="4" t="s">
        <v>3</v>
      </c>
      <c r="O519" s="5" t="s">
        <v>4</v>
      </c>
      <c r="P519" s="6" t="s">
        <v>5</v>
      </c>
      <c r="Q519" s="3" t="s">
        <v>2</v>
      </c>
      <c r="R519" s="4" t="s">
        <v>3</v>
      </c>
      <c r="S519" s="5" t="s">
        <v>4</v>
      </c>
      <c r="T519" s="6" t="s">
        <v>5</v>
      </c>
      <c r="U519" s="102"/>
    </row>
    <row r="520" spans="1:22" ht="14.25" thickBot="1" x14ac:dyDescent="0.2">
      <c r="A520" s="62" t="s">
        <v>16</v>
      </c>
      <c r="B520" s="40">
        <f>B514</f>
        <v>3</v>
      </c>
      <c r="C520" s="41">
        <f>C514</f>
        <v>4</v>
      </c>
      <c r="D520" s="81">
        <f>D514</f>
        <v>6</v>
      </c>
      <c r="E520" s="39">
        <f>SUM(B520:D520)</f>
        <v>13</v>
      </c>
      <c r="F520" s="40">
        <f>F514</f>
        <v>3</v>
      </c>
      <c r="G520" s="41">
        <f>G514</f>
        <v>4</v>
      </c>
      <c r="H520" s="81">
        <f>H514</f>
        <v>5</v>
      </c>
      <c r="I520" s="39">
        <f>SUM(F520:H520)</f>
        <v>12</v>
      </c>
      <c r="J520" s="39">
        <f>E520+I520</f>
        <v>25</v>
      </c>
      <c r="L520" s="66" t="s">
        <v>6</v>
      </c>
      <c r="M520" s="25">
        <f>M514</f>
        <v>22</v>
      </c>
      <c r="N520" s="26">
        <f>N514</f>
        <v>48</v>
      </c>
      <c r="O520" s="115">
        <f>O514</f>
        <v>46</v>
      </c>
      <c r="P520" s="28">
        <f>SUM(M520:O520)</f>
        <v>116</v>
      </c>
      <c r="Q520" s="25">
        <f>Q514</f>
        <v>22</v>
      </c>
      <c r="R520" s="26">
        <f>R514</f>
        <v>48</v>
      </c>
      <c r="S520" s="27">
        <f>S514</f>
        <v>46</v>
      </c>
      <c r="T520" s="28">
        <f>SUM(Q520:S520)</f>
        <v>116</v>
      </c>
      <c r="U520" s="28">
        <f>P520+T520</f>
        <v>232</v>
      </c>
    </row>
    <row r="521" spans="1:22" x14ac:dyDescent="0.15">
      <c r="A521" s="23" t="s">
        <v>260</v>
      </c>
      <c r="B521" s="12"/>
      <c r="C521" s="13"/>
      <c r="D521" s="47">
        <v>1</v>
      </c>
      <c r="E521" s="10">
        <f t="shared" ref="E521:E526" si="434">SUM(B521:D521)</f>
        <v>1</v>
      </c>
      <c r="F521" s="15"/>
      <c r="G521" s="13"/>
      <c r="H521" s="14">
        <v>1</v>
      </c>
      <c r="I521" s="10">
        <f t="shared" ref="I521:I526" si="435">SUM(F521:H521)</f>
        <v>1</v>
      </c>
      <c r="J521" s="10">
        <f t="shared" ref="J521:J526" si="436">E521+I521</f>
        <v>2</v>
      </c>
      <c r="K521" s="58">
        <v>45702</v>
      </c>
      <c r="L521" s="23" t="s">
        <v>347</v>
      </c>
      <c r="M521" s="12">
        <v>4</v>
      </c>
      <c r="N521" s="13">
        <v>5</v>
      </c>
      <c r="O521" s="47">
        <v>6</v>
      </c>
      <c r="P521" s="10">
        <f t="shared" ref="P521:P522" si="437">SUM(M521:O521)</f>
        <v>15</v>
      </c>
      <c r="Q521" s="15">
        <v>4</v>
      </c>
      <c r="R521" s="13">
        <v>5</v>
      </c>
      <c r="S521" s="14">
        <v>6</v>
      </c>
      <c r="T521" s="10">
        <f t="shared" ref="T521:T522" si="438">SUM(Q521:S521)</f>
        <v>15</v>
      </c>
      <c r="U521" s="10">
        <f t="shared" ref="U521:U522" si="439">P521+T521</f>
        <v>30</v>
      </c>
      <c r="V521" s="56">
        <v>45703</v>
      </c>
    </row>
    <row r="522" spans="1:22" x14ac:dyDescent="0.15">
      <c r="A522" s="23" t="s">
        <v>260</v>
      </c>
      <c r="B522" s="12">
        <v>1</v>
      </c>
      <c r="C522" s="13">
        <v>1</v>
      </c>
      <c r="D522" s="47"/>
      <c r="E522" s="10">
        <f t="shared" si="434"/>
        <v>2</v>
      </c>
      <c r="F522" s="15">
        <v>1</v>
      </c>
      <c r="G522" s="13">
        <v>1</v>
      </c>
      <c r="H522" s="14"/>
      <c r="I522" s="10">
        <f t="shared" si="435"/>
        <v>2</v>
      </c>
      <c r="J522" s="10">
        <f t="shared" si="436"/>
        <v>4</v>
      </c>
      <c r="K522" s="58">
        <v>45701</v>
      </c>
      <c r="L522" s="23" t="s">
        <v>347</v>
      </c>
      <c r="M522" s="12"/>
      <c r="N522" s="13">
        <v>1</v>
      </c>
      <c r="O522" s="47"/>
      <c r="P522" s="10">
        <f t="shared" si="437"/>
        <v>1</v>
      </c>
      <c r="Q522" s="15"/>
      <c r="R522" s="13">
        <v>1</v>
      </c>
      <c r="S522" s="14"/>
      <c r="T522" s="10">
        <f t="shared" si="438"/>
        <v>1</v>
      </c>
      <c r="U522" s="10">
        <f t="shared" si="439"/>
        <v>2</v>
      </c>
      <c r="V522" s="56">
        <v>45766</v>
      </c>
    </row>
    <row r="523" spans="1:22" x14ac:dyDescent="0.15">
      <c r="A523" s="23" t="s">
        <v>260</v>
      </c>
      <c r="B523" s="12"/>
      <c r="C523" s="13">
        <v>1</v>
      </c>
      <c r="D523" s="47"/>
      <c r="E523" s="10">
        <f t="shared" si="434"/>
        <v>1</v>
      </c>
      <c r="F523" s="15"/>
      <c r="G523" s="13">
        <v>1</v>
      </c>
      <c r="H523" s="14"/>
      <c r="I523" s="10">
        <f t="shared" si="435"/>
        <v>1</v>
      </c>
      <c r="J523" s="10">
        <f t="shared" si="436"/>
        <v>2</v>
      </c>
      <c r="K523" s="58">
        <v>45757</v>
      </c>
      <c r="L523" s="23" t="s">
        <v>9</v>
      </c>
      <c r="M523" s="12"/>
      <c r="N523" s="13"/>
      <c r="O523" s="47"/>
      <c r="P523" s="10">
        <f t="shared" ref="P523:P528" si="440">SUM(M523:O523)</f>
        <v>0</v>
      </c>
      <c r="Q523" s="15"/>
      <c r="R523" s="13"/>
      <c r="S523" s="14"/>
      <c r="T523" s="10">
        <f t="shared" ref="T523:T528" si="441">SUM(Q523:S523)</f>
        <v>0</v>
      </c>
      <c r="U523" s="10">
        <f t="shared" ref="U523:U528" si="442">P523+T523</f>
        <v>0</v>
      </c>
      <c r="V523" s="61"/>
    </row>
    <row r="524" spans="1:22" x14ac:dyDescent="0.15">
      <c r="A524" s="23" t="s">
        <v>260</v>
      </c>
      <c r="B524" s="12"/>
      <c r="C524" s="13"/>
      <c r="D524" s="47">
        <v>1</v>
      </c>
      <c r="E524" s="10">
        <f t="shared" si="434"/>
        <v>1</v>
      </c>
      <c r="F524" s="15"/>
      <c r="G524" s="13"/>
      <c r="H524" s="14">
        <v>1</v>
      </c>
      <c r="I524" s="10">
        <f t="shared" si="435"/>
        <v>1</v>
      </c>
      <c r="J524" s="10">
        <f t="shared" si="436"/>
        <v>2</v>
      </c>
      <c r="K524" s="58">
        <v>45785</v>
      </c>
      <c r="L524" s="23" t="s">
        <v>10</v>
      </c>
      <c r="M524" s="12"/>
      <c r="N524" s="13"/>
      <c r="O524" s="47"/>
      <c r="P524" s="10">
        <f t="shared" si="440"/>
        <v>0</v>
      </c>
      <c r="Q524" s="15"/>
      <c r="R524" s="13"/>
      <c r="S524" s="14"/>
      <c r="T524" s="10">
        <f t="shared" si="441"/>
        <v>0</v>
      </c>
      <c r="U524" s="10">
        <f t="shared" si="442"/>
        <v>0</v>
      </c>
    </row>
    <row r="525" spans="1:22" x14ac:dyDescent="0.15">
      <c r="A525" s="23" t="s">
        <v>11</v>
      </c>
      <c r="B525" s="12"/>
      <c r="C525" s="13">
        <v>1</v>
      </c>
      <c r="D525" s="47"/>
      <c r="E525" s="10">
        <f t="shared" si="434"/>
        <v>1</v>
      </c>
      <c r="F525" s="15"/>
      <c r="G525" s="13">
        <v>1</v>
      </c>
      <c r="H525" s="14"/>
      <c r="I525" s="10">
        <f t="shared" si="435"/>
        <v>1</v>
      </c>
      <c r="J525" s="10">
        <f t="shared" si="436"/>
        <v>2</v>
      </c>
      <c r="K525" s="56">
        <v>45897</v>
      </c>
      <c r="L525" s="23" t="s">
        <v>11</v>
      </c>
      <c r="M525" s="12"/>
      <c r="N525" s="13"/>
      <c r="O525" s="47"/>
      <c r="P525" s="10">
        <f t="shared" si="440"/>
        <v>0</v>
      </c>
      <c r="Q525" s="15"/>
      <c r="R525" s="13"/>
      <c r="S525" s="14"/>
      <c r="T525" s="10">
        <f t="shared" si="441"/>
        <v>0</v>
      </c>
      <c r="U525" s="10">
        <f t="shared" si="442"/>
        <v>0</v>
      </c>
    </row>
    <row r="526" spans="1:22" x14ac:dyDescent="0.15">
      <c r="A526" s="23" t="s">
        <v>12</v>
      </c>
      <c r="B526" s="12"/>
      <c r="C526" s="13"/>
      <c r="D526" s="47"/>
      <c r="E526" s="10">
        <f t="shared" si="434"/>
        <v>0</v>
      </c>
      <c r="F526" s="15"/>
      <c r="G526" s="13"/>
      <c r="H526" s="14"/>
      <c r="I526" s="10">
        <f t="shared" si="435"/>
        <v>0</v>
      </c>
      <c r="J526" s="10">
        <f t="shared" si="436"/>
        <v>0</v>
      </c>
      <c r="K526" s="61"/>
      <c r="L526" s="23" t="s">
        <v>12</v>
      </c>
      <c r="M526" s="12"/>
      <c r="N526" s="13"/>
      <c r="O526" s="47"/>
      <c r="P526" s="10">
        <f t="shared" si="440"/>
        <v>0</v>
      </c>
      <c r="Q526" s="15"/>
      <c r="R526" s="13"/>
      <c r="S526" s="14"/>
      <c r="T526" s="10">
        <f t="shared" si="441"/>
        <v>0</v>
      </c>
      <c r="U526" s="10">
        <f t="shared" si="442"/>
        <v>0</v>
      </c>
    </row>
    <row r="527" spans="1:22" x14ac:dyDescent="0.15">
      <c r="A527" s="23" t="s">
        <v>13</v>
      </c>
      <c r="B527" s="12"/>
      <c r="C527" s="13"/>
      <c r="D527" s="47"/>
      <c r="E527" s="10">
        <f t="shared" ref="E527" si="443">SUM(B527:D527)</f>
        <v>0</v>
      </c>
      <c r="F527" s="15"/>
      <c r="G527" s="13"/>
      <c r="H527" s="14"/>
      <c r="I527" s="10">
        <f t="shared" ref="I527" si="444">SUM(F527:H527)</f>
        <v>0</v>
      </c>
      <c r="J527" s="10">
        <f t="shared" ref="J527" si="445">E527+I527</f>
        <v>0</v>
      </c>
      <c r="L527" s="23" t="s">
        <v>13</v>
      </c>
      <c r="M527" s="12"/>
      <c r="N527" s="13"/>
      <c r="O527" s="47"/>
      <c r="P527" s="10">
        <f t="shared" si="440"/>
        <v>0</v>
      </c>
      <c r="Q527" s="15"/>
      <c r="R527" s="13"/>
      <c r="S527" s="14"/>
      <c r="T527" s="10">
        <f t="shared" si="441"/>
        <v>0</v>
      </c>
      <c r="U527" s="10">
        <f t="shared" si="442"/>
        <v>0</v>
      </c>
    </row>
    <row r="528" spans="1:22" ht="14.25" thickBot="1" x14ac:dyDescent="0.2">
      <c r="A528" s="23" t="s">
        <v>14</v>
      </c>
      <c r="B528" s="12"/>
      <c r="C528" s="13"/>
      <c r="D528" s="47"/>
      <c r="E528" s="10">
        <f t="shared" ref="E528" si="446">SUM(B528:D528)</f>
        <v>0</v>
      </c>
      <c r="F528" s="15"/>
      <c r="G528" s="13"/>
      <c r="H528" s="14"/>
      <c r="I528" s="10">
        <f t="shared" ref="I528" si="447">SUM(F528:H528)</f>
        <v>0</v>
      </c>
      <c r="J528" s="10">
        <f t="shared" ref="J528" si="448">E528+I528</f>
        <v>0</v>
      </c>
      <c r="L528" s="23" t="s">
        <v>14</v>
      </c>
      <c r="M528" s="12"/>
      <c r="N528" s="13"/>
      <c r="O528" s="47"/>
      <c r="P528" s="10">
        <f t="shared" si="440"/>
        <v>0</v>
      </c>
      <c r="Q528" s="15"/>
      <c r="R528" s="13"/>
      <c r="S528" s="14"/>
      <c r="T528" s="10">
        <f t="shared" si="441"/>
        <v>0</v>
      </c>
      <c r="U528" s="10">
        <f t="shared" si="442"/>
        <v>0</v>
      </c>
    </row>
    <row r="529" spans="1:25" ht="14.25" thickBot="1" x14ac:dyDescent="0.2">
      <c r="A529" s="32" t="s">
        <v>15</v>
      </c>
      <c r="B529" s="25">
        <f>SUM(B520:B528)</f>
        <v>4</v>
      </c>
      <c r="C529" s="26">
        <f>SUM(C520:C528)</f>
        <v>7</v>
      </c>
      <c r="D529" s="27">
        <f>SUM(D520:D528)</f>
        <v>8</v>
      </c>
      <c r="E529" s="28">
        <f>SUM(B529:D529)</f>
        <v>19</v>
      </c>
      <c r="F529" s="25">
        <f>SUM(F520:F528)</f>
        <v>4</v>
      </c>
      <c r="G529" s="26">
        <f>SUM(G520:G528)</f>
        <v>7</v>
      </c>
      <c r="H529" s="27">
        <f>SUM(H520:H528)</f>
        <v>7</v>
      </c>
      <c r="I529" s="28">
        <f>SUM(F529:H529)</f>
        <v>18</v>
      </c>
      <c r="J529" s="28">
        <f>E529+I529</f>
        <v>37</v>
      </c>
      <c r="L529" s="32" t="s">
        <v>15</v>
      </c>
      <c r="M529" s="25">
        <f>SUM(M520:M528)</f>
        <v>26</v>
      </c>
      <c r="N529" s="26">
        <f>SUM(N520:N528)</f>
        <v>54</v>
      </c>
      <c r="O529" s="27">
        <f>SUM(O520:O528)</f>
        <v>52</v>
      </c>
      <c r="P529" s="28">
        <f>SUM(M529:O529)</f>
        <v>132</v>
      </c>
      <c r="Q529" s="25">
        <f>SUM(Q520:Q528)</f>
        <v>26</v>
      </c>
      <c r="R529" s="26">
        <f>SUM(R520:R528)</f>
        <v>54</v>
      </c>
      <c r="S529" s="27">
        <f>SUM(S520:S528)</f>
        <v>52</v>
      </c>
      <c r="T529" s="28">
        <f>SUM(Q529:S529)</f>
        <v>132</v>
      </c>
      <c r="U529" s="28">
        <f>P529+T529</f>
        <v>264</v>
      </c>
    </row>
    <row r="530" spans="1:25" x14ac:dyDescent="0.15">
      <c r="A530" s="22" t="s">
        <v>383</v>
      </c>
      <c r="B530" s="7">
        <v>4</v>
      </c>
      <c r="C530" s="8">
        <v>5</v>
      </c>
      <c r="D530" s="9">
        <v>6</v>
      </c>
      <c r="E530" s="43">
        <f t="shared" ref="E530:E535" si="449">SUM(B530:D530)</f>
        <v>15</v>
      </c>
      <c r="F530" s="11">
        <v>4</v>
      </c>
      <c r="G530" s="8">
        <v>5</v>
      </c>
      <c r="H530" s="9">
        <v>6</v>
      </c>
      <c r="I530" s="43">
        <f t="shared" ref="I530:I535" si="450">SUM(F530:H530)</f>
        <v>15</v>
      </c>
      <c r="J530" s="10">
        <f t="shared" ref="J530:J535" si="451">E530+I530</f>
        <v>30</v>
      </c>
      <c r="K530" s="56">
        <v>45703</v>
      </c>
      <c r="L530" s="24" t="s">
        <v>382</v>
      </c>
      <c r="M530" s="7">
        <v>5</v>
      </c>
      <c r="N530" s="8">
        <v>3</v>
      </c>
      <c r="O530" s="9"/>
      <c r="P530" s="43">
        <f t="shared" ref="P530:P550" si="452">SUM(M530:O530)</f>
        <v>8</v>
      </c>
      <c r="Q530" s="11">
        <v>5</v>
      </c>
      <c r="R530" s="8">
        <v>3</v>
      </c>
      <c r="S530" s="9"/>
      <c r="T530" s="43">
        <f t="shared" ref="T530:T550" si="453">SUM(Q530:S530)</f>
        <v>8</v>
      </c>
      <c r="U530" s="10">
        <f t="shared" ref="U530:U550" si="454">P530+T530</f>
        <v>16</v>
      </c>
      <c r="V530" s="56">
        <v>45705</v>
      </c>
    </row>
    <row r="531" spans="1:25" x14ac:dyDescent="0.15">
      <c r="A531" s="22" t="s">
        <v>314</v>
      </c>
      <c r="B531" s="7"/>
      <c r="C531" s="8">
        <v>1</v>
      </c>
      <c r="D531" s="9"/>
      <c r="E531" s="43">
        <f t="shared" si="449"/>
        <v>1</v>
      </c>
      <c r="F531" s="11"/>
      <c r="G531" s="8">
        <v>1</v>
      </c>
      <c r="H531" s="9"/>
      <c r="I531" s="43">
        <f t="shared" si="450"/>
        <v>1</v>
      </c>
      <c r="J531" s="10">
        <f t="shared" si="451"/>
        <v>2</v>
      </c>
      <c r="K531" s="56">
        <v>45766</v>
      </c>
      <c r="L531" s="24" t="s">
        <v>385</v>
      </c>
      <c r="M531" s="7"/>
      <c r="N531" s="8">
        <v>1</v>
      </c>
      <c r="O531" s="9"/>
      <c r="P531" s="43">
        <f t="shared" si="452"/>
        <v>1</v>
      </c>
      <c r="Q531" s="11"/>
      <c r="R531" s="8">
        <v>1</v>
      </c>
      <c r="S531" s="9"/>
      <c r="T531" s="43">
        <f t="shared" si="453"/>
        <v>1</v>
      </c>
      <c r="U531" s="10">
        <f t="shared" si="454"/>
        <v>2</v>
      </c>
      <c r="V531" s="56">
        <v>45709</v>
      </c>
      <c r="W531" s="61"/>
      <c r="X531" s="61"/>
      <c r="Y531" s="61"/>
    </row>
    <row r="532" spans="1:25" x14ac:dyDescent="0.15">
      <c r="A532" s="22" t="s">
        <v>413</v>
      </c>
      <c r="B532" s="7"/>
      <c r="C532" s="8">
        <v>1</v>
      </c>
      <c r="D532" s="9"/>
      <c r="E532" s="43">
        <f t="shared" si="449"/>
        <v>1</v>
      </c>
      <c r="F532" s="11"/>
      <c r="G532" s="8">
        <v>1</v>
      </c>
      <c r="H532" s="9"/>
      <c r="I532" s="43">
        <f t="shared" si="450"/>
        <v>1</v>
      </c>
      <c r="J532" s="10">
        <f t="shared" si="451"/>
        <v>2</v>
      </c>
      <c r="K532" s="58">
        <v>45898</v>
      </c>
      <c r="L532" s="24" t="s">
        <v>386</v>
      </c>
      <c r="M532" s="7">
        <v>5</v>
      </c>
      <c r="N532" s="8">
        <v>8</v>
      </c>
      <c r="O532" s="9">
        <v>3</v>
      </c>
      <c r="P532" s="43">
        <f t="shared" si="452"/>
        <v>16</v>
      </c>
      <c r="Q532" s="11">
        <v>5</v>
      </c>
      <c r="R532" s="8">
        <v>8</v>
      </c>
      <c r="S532" s="9">
        <v>3</v>
      </c>
      <c r="T532" s="43">
        <f t="shared" si="453"/>
        <v>16</v>
      </c>
      <c r="U532" s="10">
        <f t="shared" si="454"/>
        <v>32</v>
      </c>
      <c r="V532" s="56">
        <v>45709</v>
      </c>
      <c r="W532" s="61"/>
      <c r="X532" s="61"/>
      <c r="Y532" s="61"/>
    </row>
    <row r="533" spans="1:25" x14ac:dyDescent="0.15">
      <c r="A533" s="22"/>
      <c r="B533" s="7"/>
      <c r="C533" s="8"/>
      <c r="D533" s="9"/>
      <c r="E533" s="43">
        <f t="shared" si="449"/>
        <v>0</v>
      </c>
      <c r="F533" s="11"/>
      <c r="G533" s="8"/>
      <c r="H533" s="9"/>
      <c r="I533" s="43">
        <f t="shared" si="450"/>
        <v>0</v>
      </c>
      <c r="J533" s="10">
        <f t="shared" si="451"/>
        <v>0</v>
      </c>
      <c r="L533" s="24" t="s">
        <v>388</v>
      </c>
      <c r="M533" s="7">
        <v>5</v>
      </c>
      <c r="N533" s="8">
        <v>3</v>
      </c>
      <c r="O533" s="9"/>
      <c r="P533" s="43">
        <f t="shared" si="452"/>
        <v>8</v>
      </c>
      <c r="Q533" s="11">
        <v>5</v>
      </c>
      <c r="R533" s="8">
        <v>3</v>
      </c>
      <c r="S533" s="9"/>
      <c r="T533" s="43">
        <f t="shared" si="453"/>
        <v>8</v>
      </c>
      <c r="U533" s="10">
        <f t="shared" si="454"/>
        <v>16</v>
      </c>
      <c r="V533" s="56">
        <v>45715</v>
      </c>
      <c r="W533" s="61"/>
      <c r="X533" s="61"/>
      <c r="Y533" s="61"/>
    </row>
    <row r="534" spans="1:25" x14ac:dyDescent="0.15">
      <c r="A534" s="22"/>
      <c r="B534" s="7"/>
      <c r="C534" s="8"/>
      <c r="D534" s="9"/>
      <c r="E534" s="43">
        <f t="shared" si="449"/>
        <v>0</v>
      </c>
      <c r="F534" s="11"/>
      <c r="G534" s="8"/>
      <c r="H534" s="9"/>
      <c r="I534" s="43">
        <f t="shared" si="450"/>
        <v>0</v>
      </c>
      <c r="J534" s="10">
        <f t="shared" si="451"/>
        <v>0</v>
      </c>
      <c r="L534" s="24" t="s">
        <v>389</v>
      </c>
      <c r="M534" s="7">
        <v>11</v>
      </c>
      <c r="N534" s="8"/>
      <c r="O534" s="9"/>
      <c r="P534" s="43">
        <f t="shared" si="452"/>
        <v>11</v>
      </c>
      <c r="Q534" s="11">
        <v>11</v>
      </c>
      <c r="R534" s="8"/>
      <c r="S534" s="9"/>
      <c r="T534" s="43">
        <f t="shared" si="453"/>
        <v>11</v>
      </c>
      <c r="U534" s="10">
        <f t="shared" si="454"/>
        <v>22</v>
      </c>
      <c r="V534" s="56">
        <v>45716</v>
      </c>
      <c r="W534" s="61"/>
      <c r="X534" s="61"/>
      <c r="Y534" s="61"/>
    </row>
    <row r="535" spans="1:25" x14ac:dyDescent="0.15">
      <c r="A535" s="22"/>
      <c r="B535" s="7"/>
      <c r="C535" s="8"/>
      <c r="D535" s="9"/>
      <c r="E535" s="43">
        <f t="shared" si="449"/>
        <v>0</v>
      </c>
      <c r="F535" s="11"/>
      <c r="G535" s="8"/>
      <c r="H535" s="9"/>
      <c r="I535" s="43">
        <f t="shared" si="450"/>
        <v>0</v>
      </c>
      <c r="J535" s="10">
        <f t="shared" si="451"/>
        <v>0</v>
      </c>
      <c r="L535" s="24" t="s">
        <v>390</v>
      </c>
      <c r="M535" s="7"/>
      <c r="N535" s="8"/>
      <c r="O535" s="9">
        <v>3</v>
      </c>
      <c r="P535" s="43">
        <f t="shared" si="452"/>
        <v>3</v>
      </c>
      <c r="Q535" s="11"/>
      <c r="R535" s="8"/>
      <c r="S535" s="9">
        <v>3</v>
      </c>
      <c r="T535" s="43">
        <f t="shared" si="453"/>
        <v>3</v>
      </c>
      <c r="U535" s="10">
        <f t="shared" si="454"/>
        <v>6</v>
      </c>
      <c r="V535" s="56">
        <v>45721</v>
      </c>
      <c r="W535" s="61"/>
      <c r="X535" s="61"/>
      <c r="Y535" s="61"/>
    </row>
    <row r="536" spans="1:25" x14ac:dyDescent="0.15">
      <c r="A536" s="22"/>
      <c r="B536" s="7"/>
      <c r="C536" s="8"/>
      <c r="D536" s="9"/>
      <c r="E536" s="43">
        <f t="shared" ref="E536:E556" si="455">SUM(B536:D536)</f>
        <v>0</v>
      </c>
      <c r="F536" s="11"/>
      <c r="G536" s="8"/>
      <c r="H536" s="9"/>
      <c r="I536" s="43">
        <f t="shared" ref="I536:I556" si="456">SUM(F536:H536)</f>
        <v>0</v>
      </c>
      <c r="J536" s="10">
        <f t="shared" ref="J536:J555" si="457">E536+I536</f>
        <v>0</v>
      </c>
      <c r="L536" s="24" t="s">
        <v>391</v>
      </c>
      <c r="M536" s="7"/>
      <c r="N536" s="8"/>
      <c r="O536" s="9">
        <v>3</v>
      </c>
      <c r="P536" s="43">
        <f t="shared" si="452"/>
        <v>3</v>
      </c>
      <c r="Q536" s="11"/>
      <c r="R536" s="8"/>
      <c r="S536" s="9">
        <v>3</v>
      </c>
      <c r="T536" s="43">
        <f t="shared" si="453"/>
        <v>3</v>
      </c>
      <c r="U536" s="10">
        <f t="shared" si="454"/>
        <v>6</v>
      </c>
      <c r="V536" s="56">
        <v>45722</v>
      </c>
      <c r="W536" s="61"/>
      <c r="X536" s="61"/>
      <c r="Y536" s="61"/>
    </row>
    <row r="537" spans="1:25" x14ac:dyDescent="0.15">
      <c r="A537" s="22"/>
      <c r="B537" s="7"/>
      <c r="C537" s="8"/>
      <c r="D537" s="9"/>
      <c r="E537" s="43">
        <f t="shared" si="455"/>
        <v>0</v>
      </c>
      <c r="F537" s="11"/>
      <c r="G537" s="8"/>
      <c r="H537" s="9"/>
      <c r="I537" s="43">
        <f t="shared" si="456"/>
        <v>0</v>
      </c>
      <c r="J537" s="10">
        <f t="shared" si="457"/>
        <v>0</v>
      </c>
      <c r="L537" s="24" t="s">
        <v>392</v>
      </c>
      <c r="M537" s="7"/>
      <c r="N537" s="8"/>
      <c r="O537" s="9">
        <v>2</v>
      </c>
      <c r="P537" s="43">
        <f t="shared" si="452"/>
        <v>2</v>
      </c>
      <c r="Q537" s="11"/>
      <c r="R537" s="8"/>
      <c r="S537" s="9">
        <v>2</v>
      </c>
      <c r="T537" s="43">
        <f t="shared" si="453"/>
        <v>2</v>
      </c>
      <c r="U537" s="10">
        <f t="shared" si="454"/>
        <v>4</v>
      </c>
      <c r="V537" s="56">
        <v>45728</v>
      </c>
    </row>
    <row r="538" spans="1:25" x14ac:dyDescent="0.15">
      <c r="A538" s="22"/>
      <c r="B538" s="7"/>
      <c r="C538" s="8"/>
      <c r="D538" s="9"/>
      <c r="E538" s="43">
        <f t="shared" si="455"/>
        <v>0</v>
      </c>
      <c r="F538" s="11"/>
      <c r="G538" s="8"/>
      <c r="H538" s="9"/>
      <c r="I538" s="43">
        <f t="shared" si="456"/>
        <v>0</v>
      </c>
      <c r="J538" s="10">
        <f t="shared" si="457"/>
        <v>0</v>
      </c>
      <c r="L538" s="24" t="s">
        <v>397</v>
      </c>
      <c r="M538" s="7"/>
      <c r="N538" s="8">
        <v>1</v>
      </c>
      <c r="O538" s="9">
        <v>2</v>
      </c>
      <c r="P538" s="43">
        <f t="shared" si="452"/>
        <v>3</v>
      </c>
      <c r="Q538" s="11"/>
      <c r="R538" s="8">
        <v>1</v>
      </c>
      <c r="S538" s="9">
        <v>2</v>
      </c>
      <c r="T538" s="43">
        <f t="shared" si="453"/>
        <v>3</v>
      </c>
      <c r="U538" s="10">
        <f t="shared" si="454"/>
        <v>6</v>
      </c>
      <c r="V538" s="56">
        <v>45742</v>
      </c>
      <c r="W538" s="61"/>
      <c r="X538" s="61"/>
    </row>
    <row r="539" spans="1:25" x14ac:dyDescent="0.15">
      <c r="A539" s="22"/>
      <c r="B539" s="12"/>
      <c r="C539" s="13"/>
      <c r="D539" s="14"/>
      <c r="E539" s="43">
        <f t="shared" si="455"/>
        <v>0</v>
      </c>
      <c r="F539" s="15"/>
      <c r="G539" s="13"/>
      <c r="H539" s="14"/>
      <c r="I539" s="43">
        <f t="shared" si="456"/>
        <v>0</v>
      </c>
      <c r="J539" s="10">
        <f t="shared" si="457"/>
        <v>0</v>
      </c>
      <c r="L539" s="24" t="s">
        <v>394</v>
      </c>
      <c r="M539" s="7"/>
      <c r="N539" s="8">
        <v>1</v>
      </c>
      <c r="O539" s="9"/>
      <c r="P539" s="43">
        <f t="shared" si="452"/>
        <v>1</v>
      </c>
      <c r="Q539" s="11"/>
      <c r="R539" s="8">
        <v>1</v>
      </c>
      <c r="S539" s="9"/>
      <c r="T539" s="43">
        <f t="shared" si="453"/>
        <v>1</v>
      </c>
      <c r="U539" s="10">
        <f t="shared" si="454"/>
        <v>2</v>
      </c>
      <c r="V539" s="56">
        <v>45743</v>
      </c>
      <c r="W539" s="61"/>
      <c r="X539" s="61"/>
    </row>
    <row r="540" spans="1:25" x14ac:dyDescent="0.15">
      <c r="A540" s="22"/>
      <c r="B540" s="7"/>
      <c r="C540" s="8"/>
      <c r="D540" s="9"/>
      <c r="E540" s="43">
        <f t="shared" si="455"/>
        <v>0</v>
      </c>
      <c r="F540" s="11"/>
      <c r="G540" s="8"/>
      <c r="H540" s="9"/>
      <c r="I540" s="43">
        <f t="shared" si="456"/>
        <v>0</v>
      </c>
      <c r="J540" s="10">
        <f t="shared" si="457"/>
        <v>0</v>
      </c>
      <c r="L540" s="24" t="s">
        <v>395</v>
      </c>
      <c r="M540" s="7"/>
      <c r="N540" s="8">
        <v>1</v>
      </c>
      <c r="O540" s="9">
        <v>1</v>
      </c>
      <c r="P540" s="43">
        <f t="shared" si="452"/>
        <v>2</v>
      </c>
      <c r="Q540" s="11"/>
      <c r="R540" s="8">
        <v>1</v>
      </c>
      <c r="S540" s="9">
        <v>1</v>
      </c>
      <c r="T540" s="43">
        <f t="shared" si="453"/>
        <v>2</v>
      </c>
      <c r="U540" s="10">
        <f t="shared" si="454"/>
        <v>4</v>
      </c>
      <c r="V540" s="56">
        <v>45744</v>
      </c>
      <c r="W540" s="61"/>
      <c r="X540" s="61"/>
    </row>
    <row r="541" spans="1:25" x14ac:dyDescent="0.15">
      <c r="A541" s="22"/>
      <c r="B541" s="7"/>
      <c r="C541" s="8"/>
      <c r="D541" s="9"/>
      <c r="E541" s="43">
        <f t="shared" si="455"/>
        <v>0</v>
      </c>
      <c r="F541" s="11"/>
      <c r="G541" s="8"/>
      <c r="H541" s="9"/>
      <c r="I541" s="43">
        <f t="shared" si="456"/>
        <v>0</v>
      </c>
      <c r="J541" s="10">
        <f t="shared" si="457"/>
        <v>0</v>
      </c>
      <c r="L541" s="24" t="s">
        <v>396</v>
      </c>
      <c r="M541" s="7"/>
      <c r="N541" s="8">
        <v>1</v>
      </c>
      <c r="O541" s="9"/>
      <c r="P541" s="43">
        <f t="shared" si="452"/>
        <v>1</v>
      </c>
      <c r="Q541" s="11"/>
      <c r="R541" s="8">
        <v>1</v>
      </c>
      <c r="S541" s="9"/>
      <c r="T541" s="43">
        <f t="shared" si="453"/>
        <v>1</v>
      </c>
      <c r="U541" s="10">
        <f t="shared" si="454"/>
        <v>2</v>
      </c>
      <c r="V541" s="56">
        <v>45798</v>
      </c>
      <c r="W541" s="61"/>
      <c r="X541" s="61"/>
    </row>
    <row r="542" spans="1:25" x14ac:dyDescent="0.15">
      <c r="A542" s="22"/>
      <c r="B542" s="7"/>
      <c r="C542" s="8"/>
      <c r="D542" s="9"/>
      <c r="E542" s="43">
        <f t="shared" si="455"/>
        <v>0</v>
      </c>
      <c r="F542" s="11"/>
      <c r="G542" s="8"/>
      <c r="H542" s="9"/>
      <c r="I542" s="43">
        <f t="shared" si="456"/>
        <v>0</v>
      </c>
      <c r="J542" s="10">
        <f t="shared" si="457"/>
        <v>0</v>
      </c>
      <c r="L542" s="24" t="s">
        <v>398</v>
      </c>
      <c r="M542" s="7"/>
      <c r="N542" s="8">
        <v>1</v>
      </c>
      <c r="O542" s="9"/>
      <c r="P542" s="43">
        <f t="shared" si="452"/>
        <v>1</v>
      </c>
      <c r="Q542" s="11"/>
      <c r="R542" s="8">
        <v>1</v>
      </c>
      <c r="S542" s="9"/>
      <c r="T542" s="43">
        <f t="shared" si="453"/>
        <v>1</v>
      </c>
      <c r="U542" s="10">
        <f t="shared" si="454"/>
        <v>2</v>
      </c>
      <c r="V542" s="56">
        <v>45800</v>
      </c>
      <c r="W542" s="61"/>
      <c r="X542" s="61"/>
    </row>
    <row r="543" spans="1:25" x14ac:dyDescent="0.15">
      <c r="A543" s="22"/>
      <c r="B543" s="7"/>
      <c r="C543" s="8"/>
      <c r="D543" s="9"/>
      <c r="E543" s="43">
        <f t="shared" si="455"/>
        <v>0</v>
      </c>
      <c r="F543" s="11"/>
      <c r="G543" s="8"/>
      <c r="H543" s="9"/>
      <c r="I543" s="43">
        <f t="shared" si="456"/>
        <v>0</v>
      </c>
      <c r="J543" s="10">
        <f t="shared" si="457"/>
        <v>0</v>
      </c>
      <c r="L543" s="24" t="s">
        <v>399</v>
      </c>
      <c r="M543" s="7"/>
      <c r="N543" s="8"/>
      <c r="O543" s="9">
        <v>1</v>
      </c>
      <c r="P543" s="43">
        <f t="shared" si="452"/>
        <v>1</v>
      </c>
      <c r="Q543" s="11"/>
      <c r="R543" s="8"/>
      <c r="S543" s="9">
        <v>1</v>
      </c>
      <c r="T543" s="43">
        <f t="shared" si="453"/>
        <v>1</v>
      </c>
      <c r="U543" s="10">
        <f t="shared" si="454"/>
        <v>2</v>
      </c>
      <c r="V543" s="56">
        <v>45812</v>
      </c>
      <c r="W543" s="61"/>
    </row>
    <row r="544" spans="1:25" x14ac:dyDescent="0.15">
      <c r="A544" s="22"/>
      <c r="B544" s="7"/>
      <c r="C544" s="8"/>
      <c r="D544" s="9"/>
      <c r="E544" s="43">
        <f t="shared" si="455"/>
        <v>0</v>
      </c>
      <c r="F544" s="11"/>
      <c r="G544" s="8"/>
      <c r="H544" s="9"/>
      <c r="I544" s="43">
        <f t="shared" si="456"/>
        <v>0</v>
      </c>
      <c r="J544" s="10">
        <f t="shared" si="457"/>
        <v>0</v>
      </c>
      <c r="L544" s="24" t="s">
        <v>412</v>
      </c>
      <c r="M544" s="7"/>
      <c r="N544" s="8">
        <v>1</v>
      </c>
      <c r="O544" s="9"/>
      <c r="P544" s="43">
        <f t="shared" si="452"/>
        <v>1</v>
      </c>
      <c r="Q544" s="11"/>
      <c r="R544" s="8">
        <v>1</v>
      </c>
      <c r="S544" s="9"/>
      <c r="T544" s="43">
        <f t="shared" si="453"/>
        <v>1</v>
      </c>
      <c r="U544" s="10">
        <f t="shared" si="454"/>
        <v>2</v>
      </c>
      <c r="V544" s="56">
        <v>45897</v>
      </c>
      <c r="W544" s="61"/>
    </row>
    <row r="545" spans="1:23" x14ac:dyDescent="0.15">
      <c r="A545" s="22"/>
      <c r="B545" s="7"/>
      <c r="C545" s="8"/>
      <c r="D545" s="9"/>
      <c r="E545" s="43">
        <f t="shared" si="455"/>
        <v>0</v>
      </c>
      <c r="F545" s="11"/>
      <c r="G545" s="8"/>
      <c r="H545" s="9"/>
      <c r="I545" s="43">
        <f t="shared" si="456"/>
        <v>0</v>
      </c>
      <c r="J545" s="10">
        <f t="shared" si="457"/>
        <v>0</v>
      </c>
      <c r="L545" s="24"/>
      <c r="M545" s="7"/>
      <c r="N545" s="8"/>
      <c r="O545" s="9"/>
      <c r="P545" s="43">
        <f t="shared" si="452"/>
        <v>0</v>
      </c>
      <c r="Q545" s="11"/>
      <c r="R545" s="8"/>
      <c r="S545" s="9"/>
      <c r="T545" s="43">
        <f t="shared" si="453"/>
        <v>0</v>
      </c>
      <c r="U545" s="10">
        <f t="shared" si="454"/>
        <v>0</v>
      </c>
      <c r="V545" s="61"/>
      <c r="W545" s="61"/>
    </row>
    <row r="546" spans="1:23" x14ac:dyDescent="0.15">
      <c r="A546" s="24"/>
      <c r="B546" s="7"/>
      <c r="C546" s="8"/>
      <c r="D546" s="9"/>
      <c r="E546" s="43">
        <f t="shared" si="455"/>
        <v>0</v>
      </c>
      <c r="F546" s="11"/>
      <c r="G546" s="8"/>
      <c r="H546" s="9"/>
      <c r="I546" s="43">
        <f t="shared" si="456"/>
        <v>0</v>
      </c>
      <c r="J546" s="10">
        <f t="shared" si="457"/>
        <v>0</v>
      </c>
      <c r="L546" s="24"/>
      <c r="M546" s="7"/>
      <c r="N546" s="8"/>
      <c r="O546" s="9"/>
      <c r="P546" s="43">
        <f t="shared" si="452"/>
        <v>0</v>
      </c>
      <c r="Q546" s="11"/>
      <c r="R546" s="8"/>
      <c r="S546" s="9"/>
      <c r="T546" s="43">
        <f t="shared" si="453"/>
        <v>0</v>
      </c>
      <c r="U546" s="10">
        <f t="shared" si="454"/>
        <v>0</v>
      </c>
      <c r="V546" s="61"/>
      <c r="W546" s="61"/>
    </row>
    <row r="547" spans="1:23" x14ac:dyDescent="0.15">
      <c r="A547" s="22"/>
      <c r="B547" s="7"/>
      <c r="C547" s="8"/>
      <c r="D547" s="9"/>
      <c r="E547" s="43">
        <f t="shared" si="455"/>
        <v>0</v>
      </c>
      <c r="F547" s="11"/>
      <c r="G547" s="8"/>
      <c r="H547" s="9"/>
      <c r="I547" s="43">
        <f t="shared" si="456"/>
        <v>0</v>
      </c>
      <c r="J547" s="10">
        <f t="shared" si="457"/>
        <v>0</v>
      </c>
      <c r="L547" s="24"/>
      <c r="M547" s="7"/>
      <c r="N547" s="8"/>
      <c r="O547" s="9"/>
      <c r="P547" s="43">
        <f t="shared" si="452"/>
        <v>0</v>
      </c>
      <c r="Q547" s="11"/>
      <c r="R547" s="8"/>
      <c r="S547" s="9"/>
      <c r="T547" s="43">
        <f t="shared" si="453"/>
        <v>0</v>
      </c>
      <c r="U547" s="10">
        <f t="shared" si="454"/>
        <v>0</v>
      </c>
    </row>
    <row r="548" spans="1:23" x14ac:dyDescent="0.15">
      <c r="A548" s="22"/>
      <c r="B548" s="7"/>
      <c r="C548" s="8"/>
      <c r="D548" s="9"/>
      <c r="E548" s="43">
        <f t="shared" si="455"/>
        <v>0</v>
      </c>
      <c r="F548" s="11"/>
      <c r="G548" s="8"/>
      <c r="H548" s="9"/>
      <c r="I548" s="43">
        <f t="shared" si="456"/>
        <v>0</v>
      </c>
      <c r="J548" s="10">
        <f t="shared" si="457"/>
        <v>0</v>
      </c>
      <c r="L548" s="24"/>
      <c r="M548" s="7"/>
      <c r="N548" s="8"/>
      <c r="O548" s="9"/>
      <c r="P548" s="43">
        <f t="shared" si="452"/>
        <v>0</v>
      </c>
      <c r="Q548" s="11"/>
      <c r="R548" s="8"/>
      <c r="S548" s="9"/>
      <c r="T548" s="43">
        <f t="shared" si="453"/>
        <v>0</v>
      </c>
      <c r="U548" s="10">
        <f t="shared" si="454"/>
        <v>0</v>
      </c>
    </row>
    <row r="549" spans="1:23" x14ac:dyDescent="0.15">
      <c r="A549" s="22"/>
      <c r="B549" s="7"/>
      <c r="C549" s="8"/>
      <c r="D549" s="9"/>
      <c r="E549" s="43">
        <f t="shared" si="455"/>
        <v>0</v>
      </c>
      <c r="F549" s="11"/>
      <c r="G549" s="8"/>
      <c r="H549" s="9"/>
      <c r="I549" s="43">
        <f t="shared" si="456"/>
        <v>0</v>
      </c>
      <c r="J549" s="10">
        <f t="shared" si="457"/>
        <v>0</v>
      </c>
      <c r="L549" s="24"/>
      <c r="M549" s="7"/>
      <c r="N549" s="8"/>
      <c r="O549" s="9"/>
      <c r="P549" s="43">
        <f t="shared" si="452"/>
        <v>0</v>
      </c>
      <c r="Q549" s="11"/>
      <c r="R549" s="8"/>
      <c r="S549" s="9"/>
      <c r="T549" s="43">
        <f t="shared" si="453"/>
        <v>0</v>
      </c>
      <c r="U549" s="10">
        <f t="shared" si="454"/>
        <v>0</v>
      </c>
    </row>
    <row r="550" spans="1:23" x14ac:dyDescent="0.15">
      <c r="A550" s="22"/>
      <c r="B550" s="7"/>
      <c r="C550" s="8"/>
      <c r="D550" s="9"/>
      <c r="E550" s="43">
        <f t="shared" si="455"/>
        <v>0</v>
      </c>
      <c r="F550" s="11"/>
      <c r="G550" s="8"/>
      <c r="H550" s="9"/>
      <c r="I550" s="43">
        <f t="shared" si="456"/>
        <v>0</v>
      </c>
      <c r="J550" s="10">
        <f t="shared" si="457"/>
        <v>0</v>
      </c>
      <c r="L550" s="24"/>
      <c r="M550" s="7"/>
      <c r="N550" s="8"/>
      <c r="O550" s="9"/>
      <c r="P550" s="43">
        <f t="shared" si="452"/>
        <v>0</v>
      </c>
      <c r="Q550" s="11"/>
      <c r="R550" s="8"/>
      <c r="S550" s="9"/>
      <c r="T550" s="43">
        <f t="shared" si="453"/>
        <v>0</v>
      </c>
      <c r="U550" s="10">
        <f t="shared" si="454"/>
        <v>0</v>
      </c>
    </row>
    <row r="551" spans="1:23" x14ac:dyDescent="0.15">
      <c r="A551" s="63"/>
      <c r="B551" s="12"/>
      <c r="C551" s="13"/>
      <c r="D551" s="14"/>
      <c r="E551" s="43">
        <f t="shared" si="455"/>
        <v>0</v>
      </c>
      <c r="F551" s="15"/>
      <c r="G551" s="13"/>
      <c r="H551" s="14"/>
      <c r="I551" s="43">
        <f t="shared" si="456"/>
        <v>0</v>
      </c>
      <c r="J551" s="10">
        <f t="shared" si="457"/>
        <v>0</v>
      </c>
      <c r="L551" s="24"/>
      <c r="M551" s="7"/>
      <c r="N551" s="8"/>
      <c r="O551" s="9"/>
      <c r="P551" s="43">
        <f t="shared" ref="P551:P556" si="458">SUM(M551:O551)</f>
        <v>0</v>
      </c>
      <c r="Q551" s="11"/>
      <c r="R551" s="8"/>
      <c r="S551" s="9"/>
      <c r="T551" s="43">
        <f t="shared" ref="T551:T556" si="459">SUM(Q551:S551)</f>
        <v>0</v>
      </c>
      <c r="U551" s="10">
        <f t="shared" ref="U551:U552" si="460">P551+T551</f>
        <v>0</v>
      </c>
    </row>
    <row r="552" spans="1:23" x14ac:dyDescent="0.15">
      <c r="A552" s="22"/>
      <c r="B552" s="7"/>
      <c r="C552" s="8"/>
      <c r="D552" s="9"/>
      <c r="E552" s="43">
        <f t="shared" si="455"/>
        <v>0</v>
      </c>
      <c r="F552" s="11"/>
      <c r="G552" s="8"/>
      <c r="H552" s="9"/>
      <c r="I552" s="43">
        <f t="shared" si="456"/>
        <v>0</v>
      </c>
      <c r="J552" s="10">
        <f t="shared" si="457"/>
        <v>0</v>
      </c>
      <c r="L552" s="24"/>
      <c r="M552" s="7"/>
      <c r="N552" s="8"/>
      <c r="O552" s="9"/>
      <c r="P552" s="43">
        <f t="shared" si="458"/>
        <v>0</v>
      </c>
      <c r="Q552" s="11"/>
      <c r="R552" s="8"/>
      <c r="S552" s="9"/>
      <c r="T552" s="43">
        <f t="shared" si="459"/>
        <v>0</v>
      </c>
      <c r="U552" s="10">
        <f t="shared" si="460"/>
        <v>0</v>
      </c>
    </row>
    <row r="553" spans="1:23" x14ac:dyDescent="0.15">
      <c r="A553" s="63"/>
      <c r="B553" s="7"/>
      <c r="C553" s="8"/>
      <c r="D553" s="9"/>
      <c r="E553" s="43">
        <f t="shared" si="455"/>
        <v>0</v>
      </c>
      <c r="F553" s="11"/>
      <c r="G553" s="8"/>
      <c r="H553" s="9"/>
      <c r="I553" s="43">
        <f t="shared" si="456"/>
        <v>0</v>
      </c>
      <c r="J553" s="10">
        <f t="shared" si="457"/>
        <v>0</v>
      </c>
      <c r="L553" s="24"/>
      <c r="M553" s="7"/>
      <c r="N553" s="8"/>
      <c r="O553" s="9"/>
      <c r="P553" s="43">
        <f t="shared" ref="P553:P555" si="461">SUM(M553:O553)</f>
        <v>0</v>
      </c>
      <c r="Q553" s="11"/>
      <c r="R553" s="8"/>
      <c r="S553" s="9"/>
      <c r="T553" s="43">
        <f t="shared" ref="T553:T555" si="462">SUM(Q553:S553)</f>
        <v>0</v>
      </c>
      <c r="U553" s="10">
        <f t="shared" ref="U553:U555" si="463">P553+T553</f>
        <v>0</v>
      </c>
    </row>
    <row r="554" spans="1:23" x14ac:dyDescent="0.15">
      <c r="A554" s="22"/>
      <c r="B554" s="7"/>
      <c r="C554" s="8"/>
      <c r="D554" s="9"/>
      <c r="E554" s="43">
        <f t="shared" si="455"/>
        <v>0</v>
      </c>
      <c r="F554" s="11"/>
      <c r="G554" s="8"/>
      <c r="H554" s="9"/>
      <c r="I554" s="43">
        <f t="shared" si="456"/>
        <v>0</v>
      </c>
      <c r="J554" s="10">
        <f t="shared" si="457"/>
        <v>0</v>
      </c>
      <c r="L554" s="24"/>
      <c r="M554" s="7"/>
      <c r="N554" s="8"/>
      <c r="O554" s="9"/>
      <c r="P554" s="43">
        <f t="shared" si="461"/>
        <v>0</v>
      </c>
      <c r="Q554" s="11"/>
      <c r="R554" s="8"/>
      <c r="S554" s="9"/>
      <c r="T554" s="43">
        <f t="shared" si="462"/>
        <v>0</v>
      </c>
      <c r="U554" s="10">
        <f t="shared" si="463"/>
        <v>0</v>
      </c>
    </row>
    <row r="555" spans="1:23" ht="14.25" thickBot="1" x14ac:dyDescent="0.2">
      <c r="A555" s="22"/>
      <c r="B555" s="7"/>
      <c r="C555" s="8"/>
      <c r="D555" s="9"/>
      <c r="E555" s="43">
        <f t="shared" si="455"/>
        <v>0</v>
      </c>
      <c r="F555" s="11"/>
      <c r="G555" s="8"/>
      <c r="H555" s="9"/>
      <c r="I555" s="43">
        <f t="shared" si="456"/>
        <v>0</v>
      </c>
      <c r="J555" s="10">
        <f t="shared" si="457"/>
        <v>0</v>
      </c>
      <c r="L555" s="24" t="s">
        <v>349</v>
      </c>
      <c r="M555" s="7"/>
      <c r="N555" s="8"/>
      <c r="O555" s="9"/>
      <c r="P555" s="43">
        <f t="shared" si="461"/>
        <v>0</v>
      </c>
      <c r="Q555" s="7"/>
      <c r="R555" s="8"/>
      <c r="S555" s="9"/>
      <c r="T555" s="43">
        <f t="shared" si="462"/>
        <v>0</v>
      </c>
      <c r="U555" s="10">
        <f t="shared" si="463"/>
        <v>0</v>
      </c>
      <c r="V555" s="61" t="s">
        <v>325</v>
      </c>
    </row>
    <row r="556" spans="1:23" ht="14.25" thickBot="1" x14ac:dyDescent="0.2">
      <c r="A556" s="35" t="s">
        <v>17</v>
      </c>
      <c r="B556" s="40">
        <f>SUM(B530:B555)</f>
        <v>4</v>
      </c>
      <c r="C556" s="41">
        <f t="shared" ref="C556:D556" si="464">SUM(C530:C555)</f>
        <v>7</v>
      </c>
      <c r="D556" s="52">
        <f t="shared" si="464"/>
        <v>6</v>
      </c>
      <c r="E556" s="39">
        <f t="shared" si="455"/>
        <v>17</v>
      </c>
      <c r="F556" s="40">
        <f>SUM(F530:F555)</f>
        <v>4</v>
      </c>
      <c r="G556" s="41">
        <f t="shared" ref="G556:H556" si="465">SUM(G530:G555)</f>
        <v>7</v>
      </c>
      <c r="H556" s="52">
        <f t="shared" si="465"/>
        <v>6</v>
      </c>
      <c r="I556" s="39">
        <f t="shared" si="456"/>
        <v>17</v>
      </c>
      <c r="J556" s="39">
        <f>E556+I556</f>
        <v>34</v>
      </c>
      <c r="L556" s="35" t="s">
        <v>17</v>
      </c>
      <c r="M556" s="40">
        <f>SUM(M530:M555)</f>
        <v>26</v>
      </c>
      <c r="N556" s="41">
        <f t="shared" ref="N556:O556" si="466">SUM(N530:N555)</f>
        <v>21</v>
      </c>
      <c r="O556" s="52">
        <f t="shared" si="466"/>
        <v>15</v>
      </c>
      <c r="P556" s="39">
        <f t="shared" si="458"/>
        <v>62</v>
      </c>
      <c r="Q556" s="40">
        <f>SUM(Q530:Q555)</f>
        <v>26</v>
      </c>
      <c r="R556" s="41">
        <f t="shared" ref="R556:S556" si="467">SUM(R530:R555)</f>
        <v>21</v>
      </c>
      <c r="S556" s="52">
        <f t="shared" si="467"/>
        <v>15</v>
      </c>
      <c r="T556" s="39">
        <f t="shared" si="459"/>
        <v>62</v>
      </c>
      <c r="U556" s="39">
        <f>P556+T556</f>
        <v>124</v>
      </c>
    </row>
    <row r="557" spans="1:23" ht="14.25" thickBot="1" x14ac:dyDescent="0.2">
      <c r="A557" s="21" t="s">
        <v>16</v>
      </c>
      <c r="B557" s="44">
        <f>B529-B556</f>
        <v>0</v>
      </c>
      <c r="C557" s="50">
        <f t="shared" ref="C557:D557" si="468">C529-C556</f>
        <v>0</v>
      </c>
      <c r="D557" s="51">
        <f t="shared" si="468"/>
        <v>2</v>
      </c>
      <c r="E557" s="49">
        <f>SUM(B557:D557)</f>
        <v>2</v>
      </c>
      <c r="F557" s="44">
        <f>F529-F556</f>
        <v>0</v>
      </c>
      <c r="G557" s="50">
        <f t="shared" ref="G557:H557" si="469">G529-G556</f>
        <v>0</v>
      </c>
      <c r="H557" s="51">
        <f t="shared" si="469"/>
        <v>1</v>
      </c>
      <c r="I557" s="49">
        <f>SUM(F557:H557)</f>
        <v>1</v>
      </c>
      <c r="J557" s="28">
        <f>E557+I557</f>
        <v>3</v>
      </c>
      <c r="L557" s="21" t="s">
        <v>16</v>
      </c>
      <c r="M557" s="44">
        <f>M529-M556</f>
        <v>0</v>
      </c>
      <c r="N557" s="50">
        <f t="shared" ref="N557:O557" si="470">N529-N556</f>
        <v>33</v>
      </c>
      <c r="O557" s="51">
        <f t="shared" si="470"/>
        <v>37</v>
      </c>
      <c r="P557" s="49">
        <f>SUM(M557:O557)</f>
        <v>70</v>
      </c>
      <c r="Q557" s="44">
        <f>Q529-Q556</f>
        <v>0</v>
      </c>
      <c r="R557" s="50">
        <f t="shared" ref="R557:S557" si="471">R529-R556</f>
        <v>33</v>
      </c>
      <c r="S557" s="51">
        <f t="shared" si="471"/>
        <v>37</v>
      </c>
      <c r="T557" s="49">
        <f>SUM(Q557:S557)</f>
        <v>70</v>
      </c>
      <c r="U557" s="28">
        <f>P557+T557</f>
        <v>140</v>
      </c>
    </row>
    <row r="559" spans="1:23" ht="31.5" customHeight="1" x14ac:dyDescent="0.15">
      <c r="A559" s="152" t="s">
        <v>402</v>
      </c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</row>
    <row r="560" spans="1:23" ht="19.5" thickBot="1" x14ac:dyDescent="0.25">
      <c r="A560" s="84" t="s">
        <v>29</v>
      </c>
      <c r="B560" s="85"/>
      <c r="C560" s="85"/>
      <c r="D560" s="85"/>
      <c r="E560" s="85"/>
      <c r="F560" s="85"/>
      <c r="G560" s="85"/>
      <c r="H560" s="85"/>
      <c r="I560" s="85"/>
      <c r="J560" s="85"/>
      <c r="L560" s="86" t="s">
        <v>337</v>
      </c>
      <c r="M560" s="117"/>
      <c r="N560" s="117"/>
      <c r="O560" s="117"/>
      <c r="P560" s="117"/>
      <c r="Q560" s="117"/>
      <c r="R560" s="117"/>
      <c r="S560" s="117"/>
      <c r="T560" s="87"/>
      <c r="U560" s="87">
        <v>1040</v>
      </c>
    </row>
    <row r="561" spans="1:24" ht="14.25" thickBot="1" x14ac:dyDescent="0.2">
      <c r="A561" s="6"/>
      <c r="B561" s="146" t="s">
        <v>18</v>
      </c>
      <c r="C561" s="147"/>
      <c r="D561" s="147"/>
      <c r="E561" s="148"/>
      <c r="F561" s="146" t="s">
        <v>22</v>
      </c>
      <c r="G561" s="147"/>
      <c r="H561" s="147"/>
      <c r="I561" s="148"/>
      <c r="J561" s="101" t="s">
        <v>0</v>
      </c>
      <c r="L561" s="6"/>
      <c r="M561" s="149" t="s">
        <v>18</v>
      </c>
      <c r="N561" s="150"/>
      <c r="O561" s="150"/>
      <c r="P561" s="151"/>
      <c r="Q561" s="149" t="s">
        <v>22</v>
      </c>
      <c r="R561" s="150"/>
      <c r="S561" s="150"/>
      <c r="T561" s="151"/>
      <c r="U561" s="101" t="s">
        <v>0</v>
      </c>
    </row>
    <row r="562" spans="1:24" ht="14.25" thickBot="1" x14ac:dyDescent="0.2">
      <c r="A562" s="6" t="s">
        <v>1</v>
      </c>
      <c r="B562" s="3" t="s">
        <v>2</v>
      </c>
      <c r="C562" s="4" t="s">
        <v>3</v>
      </c>
      <c r="D562" s="5" t="s">
        <v>4</v>
      </c>
      <c r="E562" s="6" t="s">
        <v>5</v>
      </c>
      <c r="F562" s="3" t="s">
        <v>2</v>
      </c>
      <c r="G562" s="4" t="s">
        <v>3</v>
      </c>
      <c r="H562" s="5" t="s">
        <v>4</v>
      </c>
      <c r="I562" s="6" t="s">
        <v>5</v>
      </c>
      <c r="J562" s="102"/>
      <c r="L562" s="6" t="s">
        <v>1</v>
      </c>
      <c r="M562" s="3" t="s">
        <v>2</v>
      </c>
      <c r="N562" s="4" t="s">
        <v>3</v>
      </c>
      <c r="O562" s="5" t="s">
        <v>4</v>
      </c>
      <c r="P562" s="6" t="s">
        <v>5</v>
      </c>
      <c r="Q562" s="3" t="s">
        <v>2</v>
      </c>
      <c r="R562" s="4" t="s">
        <v>3</v>
      </c>
      <c r="S562" s="5" t="s">
        <v>4</v>
      </c>
      <c r="T562" s="6" t="s">
        <v>5</v>
      </c>
      <c r="U562" s="102"/>
    </row>
    <row r="563" spans="1:24" ht="14.25" thickBot="1" x14ac:dyDescent="0.2">
      <c r="A563" s="62" t="s">
        <v>16</v>
      </c>
      <c r="B563" s="40">
        <f>B557</f>
        <v>0</v>
      </c>
      <c r="C563" s="41">
        <f>C557</f>
        <v>0</v>
      </c>
      <c r="D563" s="81">
        <f>D557</f>
        <v>2</v>
      </c>
      <c r="E563" s="39">
        <f>SUM(B563:D563)</f>
        <v>2</v>
      </c>
      <c r="F563" s="40">
        <f>F557</f>
        <v>0</v>
      </c>
      <c r="G563" s="41">
        <f>G557</f>
        <v>0</v>
      </c>
      <c r="H563" s="81">
        <f>H557</f>
        <v>1</v>
      </c>
      <c r="I563" s="39">
        <f>SUM(F563:H563)</f>
        <v>1</v>
      </c>
      <c r="J563" s="39">
        <f>E563+I563</f>
        <v>3</v>
      </c>
      <c r="L563" s="66" t="s">
        <v>6</v>
      </c>
      <c r="M563" s="25">
        <f>M557</f>
        <v>0</v>
      </c>
      <c r="N563" s="26">
        <f>N557</f>
        <v>33</v>
      </c>
      <c r="O563" s="115">
        <f>O557</f>
        <v>37</v>
      </c>
      <c r="P563" s="28">
        <f>SUM(M563:O563)</f>
        <v>70</v>
      </c>
      <c r="Q563" s="25">
        <f>Q557</f>
        <v>0</v>
      </c>
      <c r="R563" s="26">
        <f>R557</f>
        <v>33</v>
      </c>
      <c r="S563" s="27">
        <f>S557</f>
        <v>37</v>
      </c>
      <c r="T563" s="28">
        <f>SUM(Q563:S563)</f>
        <v>70</v>
      </c>
      <c r="U563" s="28">
        <f>P563+T563</f>
        <v>140</v>
      </c>
    </row>
    <row r="564" spans="1:24" x14ac:dyDescent="0.15">
      <c r="A564" s="23" t="s">
        <v>7</v>
      </c>
      <c r="B564" s="12">
        <v>1</v>
      </c>
      <c r="C564" s="13">
        <v>1</v>
      </c>
      <c r="D564" s="47"/>
      <c r="E564" s="10">
        <f t="shared" ref="E564:E565" si="472">SUM(B564:D564)</f>
        <v>2</v>
      </c>
      <c r="F564" s="15">
        <v>1</v>
      </c>
      <c r="G564" s="13">
        <v>1</v>
      </c>
      <c r="H564" s="14"/>
      <c r="I564" s="10">
        <f t="shared" ref="I564:I565" si="473">SUM(F564:H564)</f>
        <v>2</v>
      </c>
      <c r="J564" s="10">
        <f t="shared" ref="J564:J565" si="474">E564+I564</f>
        <v>4</v>
      </c>
      <c r="K564" s="56">
        <v>45910</v>
      </c>
      <c r="L564" s="23" t="s">
        <v>7</v>
      </c>
      <c r="M564" s="12"/>
      <c r="N564" s="13"/>
      <c r="O564" s="47"/>
      <c r="P564" s="10">
        <f t="shared" ref="P564" si="475">SUM(M564:O564)</f>
        <v>0</v>
      </c>
      <c r="Q564" s="15"/>
      <c r="R564" s="13"/>
      <c r="S564" s="14"/>
      <c r="T564" s="10">
        <f t="shared" ref="T564" si="476">SUM(Q564:S564)</f>
        <v>0</v>
      </c>
      <c r="U564" s="10">
        <f t="shared" ref="U564" si="477">P564+T564</f>
        <v>0</v>
      </c>
    </row>
    <row r="565" spans="1:24" x14ac:dyDescent="0.15">
      <c r="A565" s="23" t="s">
        <v>8</v>
      </c>
      <c r="B565" s="12"/>
      <c r="C565" s="13"/>
      <c r="D565" s="47"/>
      <c r="E565" s="10">
        <f t="shared" si="472"/>
        <v>0</v>
      </c>
      <c r="F565" s="15"/>
      <c r="G565" s="13"/>
      <c r="H565" s="14"/>
      <c r="I565" s="10">
        <f t="shared" si="473"/>
        <v>0</v>
      </c>
      <c r="J565" s="10">
        <f t="shared" si="474"/>
        <v>0</v>
      </c>
      <c r="L565" s="23" t="s">
        <v>407</v>
      </c>
      <c r="M565" s="12">
        <v>120</v>
      </c>
      <c r="N565" s="13">
        <v>120</v>
      </c>
      <c r="O565" s="47">
        <v>60</v>
      </c>
      <c r="P565" s="10">
        <f t="shared" ref="P565:P571" si="478">SUM(M565:O565)</f>
        <v>300</v>
      </c>
      <c r="Q565" s="12">
        <v>120</v>
      </c>
      <c r="R565" s="13">
        <v>120</v>
      </c>
      <c r="S565" s="47">
        <v>60</v>
      </c>
      <c r="T565" s="10">
        <f t="shared" ref="T565:T571" si="479">SUM(Q565:S565)</f>
        <v>300</v>
      </c>
      <c r="U565" s="10">
        <f t="shared" ref="U565:U571" si="480">P565+T565</f>
        <v>600</v>
      </c>
      <c r="V565" s="56" t="s">
        <v>423</v>
      </c>
      <c r="W565" s="61" t="s">
        <v>410</v>
      </c>
      <c r="X565" s="61"/>
    </row>
    <row r="566" spans="1:24" x14ac:dyDescent="0.15">
      <c r="A566" s="23" t="s">
        <v>9</v>
      </c>
      <c r="B566" s="12"/>
      <c r="C566" s="13"/>
      <c r="D566" s="47"/>
      <c r="E566" s="10">
        <f t="shared" ref="E566:E571" si="481">SUM(B566:D566)</f>
        <v>0</v>
      </c>
      <c r="F566" s="15"/>
      <c r="G566" s="13"/>
      <c r="H566" s="14"/>
      <c r="I566" s="10">
        <f t="shared" ref="I566:I571" si="482">SUM(F566:H566)</f>
        <v>0</v>
      </c>
      <c r="J566" s="10">
        <f t="shared" ref="J566:J571" si="483">E566+I566</f>
        <v>0</v>
      </c>
      <c r="L566" s="23" t="s">
        <v>417</v>
      </c>
      <c r="M566" s="12">
        <v>30</v>
      </c>
      <c r="N566" s="13">
        <v>30</v>
      </c>
      <c r="O566" s="47">
        <v>40</v>
      </c>
      <c r="P566" s="10">
        <f t="shared" si="478"/>
        <v>100</v>
      </c>
      <c r="Q566" s="12">
        <v>30</v>
      </c>
      <c r="R566" s="13">
        <v>30</v>
      </c>
      <c r="S566" s="47">
        <v>40</v>
      </c>
      <c r="T566" s="10">
        <f t="shared" si="479"/>
        <v>100</v>
      </c>
      <c r="U566" s="10">
        <f t="shared" si="480"/>
        <v>200</v>
      </c>
      <c r="V566" s="56">
        <v>45909</v>
      </c>
      <c r="W566" s="61"/>
      <c r="X566" s="61"/>
    </row>
    <row r="567" spans="1:24" x14ac:dyDescent="0.15">
      <c r="A567" s="23" t="s">
        <v>10</v>
      </c>
      <c r="B567" s="12"/>
      <c r="C567" s="13"/>
      <c r="D567" s="47"/>
      <c r="E567" s="10">
        <f t="shared" si="481"/>
        <v>0</v>
      </c>
      <c r="F567" s="15"/>
      <c r="G567" s="13"/>
      <c r="H567" s="14"/>
      <c r="I567" s="10">
        <f t="shared" si="482"/>
        <v>0</v>
      </c>
      <c r="J567" s="10">
        <f t="shared" si="483"/>
        <v>0</v>
      </c>
      <c r="L567" s="23" t="s">
        <v>10</v>
      </c>
      <c r="M567" s="12"/>
      <c r="N567" s="13"/>
      <c r="O567" s="47"/>
      <c r="P567" s="10">
        <f t="shared" ref="P567:P569" si="484">SUM(M567:O567)</f>
        <v>0</v>
      </c>
      <c r="Q567" s="15"/>
      <c r="R567" s="13"/>
      <c r="S567" s="14"/>
      <c r="T567" s="10">
        <f t="shared" ref="T567:T569" si="485">SUM(Q567:S567)</f>
        <v>0</v>
      </c>
      <c r="U567" s="10">
        <f t="shared" ref="U567:U569" si="486">P567+T567</f>
        <v>0</v>
      </c>
      <c r="V567" s="61"/>
      <c r="W567" s="61"/>
      <c r="X567" s="61"/>
    </row>
    <row r="568" spans="1:24" x14ac:dyDescent="0.15">
      <c r="A568" s="23" t="s">
        <v>11</v>
      </c>
      <c r="B568" s="12"/>
      <c r="C568" s="13"/>
      <c r="D568" s="47"/>
      <c r="E568" s="10">
        <f t="shared" si="481"/>
        <v>0</v>
      </c>
      <c r="F568" s="15"/>
      <c r="G568" s="13"/>
      <c r="H568" s="14"/>
      <c r="I568" s="10">
        <f t="shared" si="482"/>
        <v>0</v>
      </c>
      <c r="J568" s="10">
        <f t="shared" si="483"/>
        <v>0</v>
      </c>
      <c r="L568" s="23" t="s">
        <v>11</v>
      </c>
      <c r="M568" s="12"/>
      <c r="N568" s="13"/>
      <c r="O568" s="47"/>
      <c r="P568" s="10">
        <f t="shared" si="484"/>
        <v>0</v>
      </c>
      <c r="Q568" s="15"/>
      <c r="R568" s="13"/>
      <c r="S568" s="14"/>
      <c r="T568" s="10">
        <f t="shared" si="485"/>
        <v>0</v>
      </c>
      <c r="U568" s="10">
        <f t="shared" si="486"/>
        <v>0</v>
      </c>
    </row>
    <row r="569" spans="1:24" x14ac:dyDescent="0.15">
      <c r="A569" s="23" t="s">
        <v>12</v>
      </c>
      <c r="B569" s="12"/>
      <c r="C569" s="13"/>
      <c r="D569" s="47"/>
      <c r="E569" s="10">
        <f t="shared" si="481"/>
        <v>0</v>
      </c>
      <c r="F569" s="15"/>
      <c r="G569" s="13"/>
      <c r="H569" s="14"/>
      <c r="I569" s="10">
        <f t="shared" si="482"/>
        <v>0</v>
      </c>
      <c r="J569" s="10">
        <f t="shared" si="483"/>
        <v>0</v>
      </c>
      <c r="L569" s="23" t="s">
        <v>12</v>
      </c>
      <c r="M569" s="12"/>
      <c r="N569" s="13"/>
      <c r="O569" s="47"/>
      <c r="P569" s="10">
        <f t="shared" si="484"/>
        <v>0</v>
      </c>
      <c r="Q569" s="15"/>
      <c r="R569" s="13"/>
      <c r="S569" s="14"/>
      <c r="T569" s="10">
        <f t="shared" si="485"/>
        <v>0</v>
      </c>
      <c r="U569" s="10">
        <f t="shared" si="486"/>
        <v>0</v>
      </c>
    </row>
    <row r="570" spans="1:24" x14ac:dyDescent="0.15">
      <c r="A570" s="23" t="s">
        <v>13</v>
      </c>
      <c r="B570" s="12"/>
      <c r="C570" s="13"/>
      <c r="D570" s="47"/>
      <c r="E570" s="10">
        <f t="shared" si="481"/>
        <v>0</v>
      </c>
      <c r="F570" s="15"/>
      <c r="G570" s="13"/>
      <c r="H570" s="14"/>
      <c r="I570" s="10">
        <f t="shared" si="482"/>
        <v>0</v>
      </c>
      <c r="J570" s="10">
        <f t="shared" si="483"/>
        <v>0</v>
      </c>
      <c r="L570" s="23" t="s">
        <v>13</v>
      </c>
      <c r="M570" s="12"/>
      <c r="N570" s="13"/>
      <c r="O570" s="47"/>
      <c r="P570" s="10">
        <f t="shared" si="478"/>
        <v>0</v>
      </c>
      <c r="Q570" s="15"/>
      <c r="R570" s="13"/>
      <c r="S570" s="14"/>
      <c r="T570" s="10">
        <f t="shared" si="479"/>
        <v>0</v>
      </c>
      <c r="U570" s="10">
        <f t="shared" si="480"/>
        <v>0</v>
      </c>
    </row>
    <row r="571" spans="1:24" ht="14.25" thickBot="1" x14ac:dyDescent="0.2">
      <c r="A571" s="23" t="s">
        <v>14</v>
      </c>
      <c r="B571" s="12"/>
      <c r="C571" s="13"/>
      <c r="D571" s="47"/>
      <c r="E571" s="10">
        <f t="shared" si="481"/>
        <v>0</v>
      </c>
      <c r="F571" s="15"/>
      <c r="G571" s="13"/>
      <c r="H571" s="14"/>
      <c r="I571" s="10">
        <f t="shared" si="482"/>
        <v>0</v>
      </c>
      <c r="J571" s="10">
        <f t="shared" si="483"/>
        <v>0</v>
      </c>
      <c r="L571" s="23" t="s">
        <v>14</v>
      </c>
      <c r="M571" s="12"/>
      <c r="N571" s="13"/>
      <c r="O571" s="47"/>
      <c r="P571" s="10">
        <f t="shared" si="478"/>
        <v>0</v>
      </c>
      <c r="Q571" s="15"/>
      <c r="R571" s="13"/>
      <c r="S571" s="14"/>
      <c r="T571" s="10">
        <f t="shared" si="479"/>
        <v>0</v>
      </c>
      <c r="U571" s="10">
        <f t="shared" si="480"/>
        <v>0</v>
      </c>
    </row>
    <row r="572" spans="1:24" ht="14.25" thickBot="1" x14ac:dyDescent="0.2">
      <c r="A572" s="32" t="s">
        <v>15</v>
      </c>
      <c r="B572" s="25">
        <f>SUM(B563:B571)</f>
        <v>1</v>
      </c>
      <c r="C572" s="26">
        <f>SUM(C563:C571)</f>
        <v>1</v>
      </c>
      <c r="D572" s="27">
        <f>SUM(D563:D571)</f>
        <v>2</v>
      </c>
      <c r="E572" s="28">
        <f>SUM(B572:D572)</f>
        <v>4</v>
      </c>
      <c r="F572" s="25">
        <f>SUM(F563:F571)</f>
        <v>1</v>
      </c>
      <c r="G572" s="26">
        <f>SUM(G563:G571)</f>
        <v>1</v>
      </c>
      <c r="H572" s="27">
        <f>SUM(H563:H571)</f>
        <v>1</v>
      </c>
      <c r="I572" s="28">
        <f>SUM(F572:H572)</f>
        <v>3</v>
      </c>
      <c r="J572" s="28">
        <f>E572+I572</f>
        <v>7</v>
      </c>
      <c r="L572" s="32" t="s">
        <v>15</v>
      </c>
      <c r="M572" s="25">
        <f>SUM(M563:M571)</f>
        <v>150</v>
      </c>
      <c r="N572" s="26">
        <f>SUM(N563:N571)</f>
        <v>183</v>
      </c>
      <c r="O572" s="27">
        <f>SUM(O563:O571)</f>
        <v>137</v>
      </c>
      <c r="P572" s="28">
        <f>SUM(M572:O572)</f>
        <v>470</v>
      </c>
      <c r="Q572" s="25">
        <f>SUM(Q563:Q571)</f>
        <v>150</v>
      </c>
      <c r="R572" s="26">
        <f>SUM(R563:R571)</f>
        <v>183</v>
      </c>
      <c r="S572" s="27">
        <f>SUM(S563:S571)</f>
        <v>137</v>
      </c>
      <c r="T572" s="28">
        <f>SUM(Q572:S572)</f>
        <v>470</v>
      </c>
      <c r="U572" s="28">
        <f>P572+T572</f>
        <v>940</v>
      </c>
    </row>
    <row r="573" spans="1:24" x14ac:dyDescent="0.15">
      <c r="A573" s="22" t="s">
        <v>163</v>
      </c>
      <c r="B573" s="7">
        <v>1</v>
      </c>
      <c r="C573" s="8">
        <v>1</v>
      </c>
      <c r="D573" s="9"/>
      <c r="E573" s="43">
        <f t="shared" ref="E573" si="487">SUM(B573:D573)</f>
        <v>2</v>
      </c>
      <c r="F573" s="11">
        <v>1</v>
      </c>
      <c r="G573" s="8">
        <v>1</v>
      </c>
      <c r="H573" s="9"/>
      <c r="I573" s="43">
        <f t="shared" ref="I573" si="488">SUM(F573:H573)</f>
        <v>2</v>
      </c>
      <c r="J573" s="10">
        <f t="shared" ref="J573" si="489">E573+I573</f>
        <v>4</v>
      </c>
      <c r="K573" s="56">
        <v>45912</v>
      </c>
      <c r="L573" s="24" t="s">
        <v>421</v>
      </c>
      <c r="M573" s="7">
        <v>1</v>
      </c>
      <c r="N573" s="8">
        <v>1</v>
      </c>
      <c r="O573" s="9"/>
      <c r="P573" s="43">
        <f t="shared" ref="P573:P583" si="490">SUM(M573:O573)</f>
        <v>2</v>
      </c>
      <c r="Q573" s="11">
        <v>1</v>
      </c>
      <c r="R573" s="8">
        <v>1</v>
      </c>
      <c r="S573" s="9"/>
      <c r="T573" s="43">
        <f t="shared" ref="T573:T583" si="491">SUM(Q573:S573)</f>
        <v>2</v>
      </c>
      <c r="U573" s="10">
        <f t="shared" ref="U573:U583" si="492">P573+T573</f>
        <v>4</v>
      </c>
      <c r="V573" s="56">
        <v>45910</v>
      </c>
    </row>
    <row r="574" spans="1:24" x14ac:dyDescent="0.15">
      <c r="A574" s="22"/>
      <c r="B574" s="7"/>
      <c r="C574" s="8"/>
      <c r="D574" s="9"/>
      <c r="E574" s="43">
        <f t="shared" ref="E574:E599" si="493">SUM(B574:D574)</f>
        <v>0</v>
      </c>
      <c r="F574" s="11"/>
      <c r="G574" s="8"/>
      <c r="H574" s="9"/>
      <c r="I574" s="43">
        <f t="shared" ref="I574:I599" si="494">SUM(F574:H574)</f>
        <v>0</v>
      </c>
      <c r="J574" s="10">
        <f t="shared" ref="J574:J598" si="495">E574+I574</f>
        <v>0</v>
      </c>
      <c r="K574" s="61"/>
      <c r="L574" s="24" t="s">
        <v>426</v>
      </c>
      <c r="M574" s="7">
        <v>3</v>
      </c>
      <c r="N574" s="8">
        <v>2</v>
      </c>
      <c r="O574" s="9">
        <v>2</v>
      </c>
      <c r="P574" s="43">
        <f t="shared" si="490"/>
        <v>7</v>
      </c>
      <c r="Q574" s="11">
        <v>3</v>
      </c>
      <c r="R574" s="8">
        <v>2</v>
      </c>
      <c r="S574" s="9">
        <v>2</v>
      </c>
      <c r="T574" s="43">
        <f t="shared" si="491"/>
        <v>7</v>
      </c>
      <c r="U574" s="10">
        <f t="shared" si="492"/>
        <v>14</v>
      </c>
      <c r="V574" s="58">
        <v>45933</v>
      </c>
    </row>
    <row r="575" spans="1:24" x14ac:dyDescent="0.15">
      <c r="A575" s="22"/>
      <c r="B575" s="7"/>
      <c r="C575" s="8"/>
      <c r="D575" s="9"/>
      <c r="E575" s="43">
        <f t="shared" si="493"/>
        <v>0</v>
      </c>
      <c r="F575" s="11"/>
      <c r="G575" s="8"/>
      <c r="H575" s="9"/>
      <c r="I575" s="43">
        <f t="shared" si="494"/>
        <v>0</v>
      </c>
      <c r="J575" s="10">
        <f t="shared" si="495"/>
        <v>0</v>
      </c>
      <c r="L575" s="24" t="s">
        <v>40</v>
      </c>
      <c r="M575" s="7"/>
      <c r="N575" s="8">
        <v>1</v>
      </c>
      <c r="O575" s="9"/>
      <c r="P575" s="43">
        <f t="shared" si="490"/>
        <v>1</v>
      </c>
      <c r="Q575" s="11"/>
      <c r="R575" s="8">
        <v>1</v>
      </c>
      <c r="S575" s="9"/>
      <c r="T575" s="43">
        <f t="shared" si="491"/>
        <v>1</v>
      </c>
      <c r="U575" s="10">
        <f t="shared" si="492"/>
        <v>2</v>
      </c>
      <c r="V575" s="56">
        <v>45940</v>
      </c>
      <c r="W575" s="61"/>
    </row>
    <row r="576" spans="1:24" ht="14.25" customHeight="1" x14ac:dyDescent="0.15">
      <c r="A576" s="22"/>
      <c r="B576" s="7"/>
      <c r="C576" s="8"/>
      <c r="D576" s="9"/>
      <c r="E576" s="43">
        <f t="shared" si="493"/>
        <v>0</v>
      </c>
      <c r="F576" s="11"/>
      <c r="G576" s="8"/>
      <c r="H576" s="9"/>
      <c r="I576" s="43">
        <f t="shared" si="494"/>
        <v>0</v>
      </c>
      <c r="J576" s="10">
        <f t="shared" si="495"/>
        <v>0</v>
      </c>
      <c r="L576" s="24" t="s">
        <v>41</v>
      </c>
      <c r="M576" s="7"/>
      <c r="N576" s="8">
        <v>1</v>
      </c>
      <c r="O576" s="9"/>
      <c r="P576" s="43">
        <f t="shared" si="490"/>
        <v>1</v>
      </c>
      <c r="Q576" s="11"/>
      <c r="R576" s="8">
        <v>1</v>
      </c>
      <c r="S576" s="9"/>
      <c r="T576" s="43">
        <f t="shared" si="491"/>
        <v>1</v>
      </c>
      <c r="U576" s="10">
        <f t="shared" si="492"/>
        <v>2</v>
      </c>
      <c r="V576" s="56">
        <v>45946</v>
      </c>
      <c r="W576" s="61"/>
    </row>
    <row r="577" spans="1:23" x14ac:dyDescent="0.15">
      <c r="A577" s="22"/>
      <c r="B577" s="7"/>
      <c r="C577" s="8"/>
      <c r="D577" s="9"/>
      <c r="E577" s="43">
        <f t="shared" si="493"/>
        <v>0</v>
      </c>
      <c r="F577" s="11"/>
      <c r="G577" s="8"/>
      <c r="H577" s="9"/>
      <c r="I577" s="43">
        <f t="shared" si="494"/>
        <v>0</v>
      </c>
      <c r="J577" s="10">
        <f t="shared" si="495"/>
        <v>0</v>
      </c>
      <c r="L577" s="24" t="s">
        <v>42</v>
      </c>
      <c r="M577" s="7"/>
      <c r="N577" s="8">
        <v>4</v>
      </c>
      <c r="O577" s="9"/>
      <c r="P577" s="43">
        <f t="shared" si="490"/>
        <v>4</v>
      </c>
      <c r="Q577" s="11"/>
      <c r="R577" s="8">
        <v>4</v>
      </c>
      <c r="S577" s="9"/>
      <c r="T577" s="43">
        <f t="shared" si="491"/>
        <v>4</v>
      </c>
      <c r="U577" s="10">
        <f t="shared" si="492"/>
        <v>8</v>
      </c>
      <c r="V577" s="56">
        <v>45947</v>
      </c>
      <c r="W577" s="61"/>
    </row>
    <row r="578" spans="1:23" x14ac:dyDescent="0.15">
      <c r="A578" s="22"/>
      <c r="B578" s="7"/>
      <c r="C578" s="8"/>
      <c r="D578" s="9"/>
      <c r="E578" s="43">
        <f t="shared" si="493"/>
        <v>0</v>
      </c>
      <c r="F578" s="11"/>
      <c r="G578" s="8"/>
      <c r="H578" s="9"/>
      <c r="I578" s="43">
        <f t="shared" si="494"/>
        <v>0</v>
      </c>
      <c r="J578" s="10">
        <f t="shared" si="495"/>
        <v>0</v>
      </c>
      <c r="L578" s="24" t="s">
        <v>43</v>
      </c>
      <c r="M578" s="7">
        <v>1</v>
      </c>
      <c r="N578" s="8"/>
      <c r="O578" s="9"/>
      <c r="P578" s="43">
        <f t="shared" si="490"/>
        <v>1</v>
      </c>
      <c r="Q578" s="11">
        <v>1</v>
      </c>
      <c r="R578" s="8"/>
      <c r="S578" s="9"/>
      <c r="T578" s="43">
        <f t="shared" si="491"/>
        <v>1</v>
      </c>
      <c r="U578" s="10">
        <f t="shared" si="492"/>
        <v>2</v>
      </c>
      <c r="V578" s="56">
        <v>45947</v>
      </c>
    </row>
    <row r="579" spans="1:23" x14ac:dyDescent="0.15">
      <c r="A579" s="22"/>
      <c r="B579" s="7"/>
      <c r="C579" s="8"/>
      <c r="D579" s="9"/>
      <c r="E579" s="43">
        <f t="shared" si="493"/>
        <v>0</v>
      </c>
      <c r="F579" s="11"/>
      <c r="G579" s="8"/>
      <c r="H579" s="9"/>
      <c r="I579" s="43">
        <f t="shared" si="494"/>
        <v>0</v>
      </c>
      <c r="J579" s="10">
        <f t="shared" si="495"/>
        <v>0</v>
      </c>
      <c r="L579" s="24" t="s">
        <v>44</v>
      </c>
      <c r="M579" s="7">
        <v>2</v>
      </c>
      <c r="N579" s="8">
        <v>2</v>
      </c>
      <c r="O579" s="9">
        <v>6</v>
      </c>
      <c r="P579" s="43">
        <f t="shared" si="490"/>
        <v>10</v>
      </c>
      <c r="Q579" s="11">
        <v>2</v>
      </c>
      <c r="R579" s="8">
        <v>2</v>
      </c>
      <c r="S579" s="9">
        <v>6</v>
      </c>
      <c r="T579" s="43">
        <f t="shared" si="491"/>
        <v>10</v>
      </c>
      <c r="U579" s="10">
        <f t="shared" si="492"/>
        <v>20</v>
      </c>
      <c r="V579" s="56">
        <v>45952</v>
      </c>
    </row>
    <row r="580" spans="1:23" x14ac:dyDescent="0.15">
      <c r="A580" s="22"/>
      <c r="B580" s="7"/>
      <c r="C580" s="8"/>
      <c r="D580" s="9"/>
      <c r="E580" s="43">
        <f t="shared" si="493"/>
        <v>0</v>
      </c>
      <c r="F580" s="11"/>
      <c r="G580" s="8"/>
      <c r="H580" s="9"/>
      <c r="I580" s="43">
        <f t="shared" si="494"/>
        <v>0</v>
      </c>
      <c r="J580" s="10">
        <f t="shared" si="495"/>
        <v>0</v>
      </c>
      <c r="L580" s="24" t="s">
        <v>45</v>
      </c>
      <c r="M580" s="7">
        <v>2</v>
      </c>
      <c r="N580" s="8">
        <v>2</v>
      </c>
      <c r="O580" s="9"/>
      <c r="P580" s="43">
        <f t="shared" si="490"/>
        <v>4</v>
      </c>
      <c r="Q580" s="11">
        <v>2</v>
      </c>
      <c r="R580" s="8">
        <v>2</v>
      </c>
      <c r="S580" s="9"/>
      <c r="T580" s="43">
        <f t="shared" si="491"/>
        <v>4</v>
      </c>
      <c r="U580" s="10">
        <f t="shared" si="492"/>
        <v>8</v>
      </c>
      <c r="V580" s="56">
        <v>45953</v>
      </c>
    </row>
    <row r="581" spans="1:23" x14ac:dyDescent="0.15">
      <c r="A581" s="22"/>
      <c r="B581" s="7"/>
      <c r="C581" s="8"/>
      <c r="D581" s="9"/>
      <c r="E581" s="43">
        <f t="shared" si="493"/>
        <v>0</v>
      </c>
      <c r="F581" s="11"/>
      <c r="G581" s="8"/>
      <c r="H581" s="9"/>
      <c r="I581" s="43">
        <f t="shared" si="494"/>
        <v>0</v>
      </c>
      <c r="J581" s="10">
        <f t="shared" si="495"/>
        <v>0</v>
      </c>
      <c r="L581" s="24" t="s">
        <v>47</v>
      </c>
      <c r="M581" s="7"/>
      <c r="N581" s="8">
        <v>1</v>
      </c>
      <c r="O581" s="9"/>
      <c r="P581" s="43">
        <f t="shared" si="490"/>
        <v>1</v>
      </c>
      <c r="Q581" s="11"/>
      <c r="R581" s="8">
        <v>1</v>
      </c>
      <c r="S581" s="9"/>
      <c r="T581" s="43">
        <f t="shared" si="491"/>
        <v>1</v>
      </c>
      <c r="U581" s="10">
        <f t="shared" si="492"/>
        <v>2</v>
      </c>
      <c r="V581" s="56">
        <v>45954</v>
      </c>
      <c r="W581" s="61"/>
    </row>
    <row r="582" spans="1:23" x14ac:dyDescent="0.15">
      <c r="A582" s="22"/>
      <c r="B582" s="12"/>
      <c r="C582" s="13"/>
      <c r="D582" s="14"/>
      <c r="E582" s="43">
        <f t="shared" si="493"/>
        <v>0</v>
      </c>
      <c r="F582" s="15"/>
      <c r="G582" s="13"/>
      <c r="H582" s="14"/>
      <c r="I582" s="43">
        <f t="shared" si="494"/>
        <v>0</v>
      </c>
      <c r="J582" s="10">
        <f t="shared" si="495"/>
        <v>0</v>
      </c>
      <c r="L582" s="24" t="s">
        <v>49</v>
      </c>
      <c r="M582" s="7"/>
      <c r="N582" s="8">
        <v>1</v>
      </c>
      <c r="O582" s="9"/>
      <c r="P582" s="43">
        <f t="shared" si="490"/>
        <v>1</v>
      </c>
      <c r="Q582" s="11"/>
      <c r="R582" s="8">
        <v>1</v>
      </c>
      <c r="S582" s="9"/>
      <c r="T582" s="43">
        <f t="shared" si="491"/>
        <v>1</v>
      </c>
      <c r="U582" s="10">
        <f t="shared" si="492"/>
        <v>2</v>
      </c>
      <c r="V582" s="56">
        <v>45954</v>
      </c>
      <c r="W582" s="61"/>
    </row>
    <row r="583" spans="1:23" x14ac:dyDescent="0.15">
      <c r="A583" s="22"/>
      <c r="B583" s="7"/>
      <c r="C583" s="8"/>
      <c r="D583" s="9"/>
      <c r="E583" s="43">
        <f t="shared" si="493"/>
        <v>0</v>
      </c>
      <c r="F583" s="11"/>
      <c r="G583" s="8"/>
      <c r="H583" s="9"/>
      <c r="I583" s="43">
        <f t="shared" si="494"/>
        <v>0</v>
      </c>
      <c r="J583" s="10">
        <f t="shared" si="495"/>
        <v>0</v>
      </c>
      <c r="L583" s="24" t="s">
        <v>165</v>
      </c>
      <c r="M583" s="7">
        <v>30</v>
      </c>
      <c r="N583" s="8">
        <v>30</v>
      </c>
      <c r="O583" s="9">
        <v>20</v>
      </c>
      <c r="P583" s="43">
        <f t="shared" si="490"/>
        <v>80</v>
      </c>
      <c r="Q583" s="11">
        <v>30</v>
      </c>
      <c r="R583" s="8">
        <v>30</v>
      </c>
      <c r="S583" s="9">
        <v>20</v>
      </c>
      <c r="T583" s="43">
        <f t="shared" si="491"/>
        <v>80</v>
      </c>
      <c r="U583" s="10">
        <f t="shared" si="492"/>
        <v>160</v>
      </c>
      <c r="V583" s="56">
        <v>45958</v>
      </c>
      <c r="W583" s="61"/>
    </row>
    <row r="584" spans="1:23" x14ac:dyDescent="0.15">
      <c r="A584" s="22"/>
      <c r="B584" s="7"/>
      <c r="C584" s="8"/>
      <c r="D584" s="9"/>
      <c r="E584" s="43">
        <f t="shared" si="493"/>
        <v>0</v>
      </c>
      <c r="F584" s="11"/>
      <c r="G584" s="8"/>
      <c r="H584" s="9"/>
      <c r="I584" s="43">
        <f t="shared" si="494"/>
        <v>0</v>
      </c>
      <c r="J584" s="10">
        <f t="shared" si="495"/>
        <v>0</v>
      </c>
      <c r="L584" s="24" t="s">
        <v>52</v>
      </c>
      <c r="M584" s="7">
        <v>4</v>
      </c>
      <c r="N584" s="8">
        <v>4</v>
      </c>
      <c r="O584" s="9">
        <v>1</v>
      </c>
      <c r="P584" s="43">
        <f t="shared" ref="P584:P599" si="496">SUM(M584:O584)</f>
        <v>9</v>
      </c>
      <c r="Q584" s="11">
        <v>4</v>
      </c>
      <c r="R584" s="8">
        <v>4</v>
      </c>
      <c r="S584" s="9">
        <v>1</v>
      </c>
      <c r="T584" s="43">
        <f t="shared" ref="T584:T599" si="497">SUM(Q584:S584)</f>
        <v>9</v>
      </c>
      <c r="U584" s="10">
        <f t="shared" ref="U584:U597" si="498">P584+T584</f>
        <v>18</v>
      </c>
      <c r="V584" s="56">
        <v>45960</v>
      </c>
      <c r="W584" s="61"/>
    </row>
    <row r="585" spans="1:23" x14ac:dyDescent="0.15">
      <c r="A585" s="22"/>
      <c r="B585" s="7"/>
      <c r="C585" s="8"/>
      <c r="D585" s="9"/>
      <c r="E585" s="43">
        <f t="shared" si="493"/>
        <v>0</v>
      </c>
      <c r="F585" s="11"/>
      <c r="G585" s="8"/>
      <c r="H585" s="9"/>
      <c r="I585" s="43">
        <f t="shared" si="494"/>
        <v>0</v>
      </c>
      <c r="J585" s="10">
        <f t="shared" si="495"/>
        <v>0</v>
      </c>
      <c r="L585" s="24" t="s">
        <v>53</v>
      </c>
      <c r="M585" s="7"/>
      <c r="N585" s="8">
        <v>6</v>
      </c>
      <c r="O585" s="9"/>
      <c r="P585" s="43">
        <f t="shared" si="496"/>
        <v>6</v>
      </c>
      <c r="Q585" s="11"/>
      <c r="R585" s="8">
        <v>6</v>
      </c>
      <c r="S585" s="9"/>
      <c r="T585" s="43">
        <f t="shared" si="497"/>
        <v>6</v>
      </c>
      <c r="U585" s="10">
        <f t="shared" si="498"/>
        <v>12</v>
      </c>
      <c r="V585" s="56">
        <v>45967</v>
      </c>
      <c r="W585" s="61"/>
    </row>
    <row r="586" spans="1:23" x14ac:dyDescent="0.15">
      <c r="A586" s="22"/>
      <c r="B586" s="7"/>
      <c r="C586" s="8"/>
      <c r="D586" s="9"/>
      <c r="E586" s="43">
        <f t="shared" si="493"/>
        <v>0</v>
      </c>
      <c r="F586" s="11"/>
      <c r="G586" s="8"/>
      <c r="H586" s="9"/>
      <c r="I586" s="43">
        <f t="shared" si="494"/>
        <v>0</v>
      </c>
      <c r="J586" s="10">
        <f t="shared" si="495"/>
        <v>0</v>
      </c>
      <c r="L586" s="24" t="s">
        <v>211</v>
      </c>
      <c r="M586" s="7">
        <v>15</v>
      </c>
      <c r="N586" s="8"/>
      <c r="O586" s="9"/>
      <c r="P586" s="43">
        <f t="shared" si="496"/>
        <v>15</v>
      </c>
      <c r="Q586" s="11">
        <v>15</v>
      </c>
      <c r="R586" s="8"/>
      <c r="S586" s="9"/>
      <c r="T586" s="43">
        <f t="shared" si="497"/>
        <v>15</v>
      </c>
      <c r="U586" s="10">
        <f t="shared" si="498"/>
        <v>30</v>
      </c>
      <c r="V586" s="56">
        <v>45968</v>
      </c>
    </row>
    <row r="587" spans="1:23" x14ac:dyDescent="0.15">
      <c r="A587" s="22"/>
      <c r="B587" s="7"/>
      <c r="C587" s="8"/>
      <c r="D587" s="9"/>
      <c r="E587" s="43">
        <f t="shared" si="493"/>
        <v>0</v>
      </c>
      <c r="F587" s="11"/>
      <c r="G587" s="8"/>
      <c r="H587" s="9"/>
      <c r="I587" s="43">
        <f t="shared" si="494"/>
        <v>0</v>
      </c>
      <c r="J587" s="10">
        <f t="shared" si="495"/>
        <v>0</v>
      </c>
      <c r="L587" s="24" t="s">
        <v>55</v>
      </c>
      <c r="M587" s="7"/>
      <c r="N587" s="8">
        <v>1</v>
      </c>
      <c r="O587" s="9"/>
      <c r="P587" s="43">
        <f t="shared" si="496"/>
        <v>1</v>
      </c>
      <c r="Q587" s="11"/>
      <c r="R587" s="8">
        <v>1</v>
      </c>
      <c r="S587" s="9"/>
      <c r="T587" s="43">
        <f t="shared" si="497"/>
        <v>1</v>
      </c>
      <c r="U587" s="10">
        <f t="shared" si="498"/>
        <v>2</v>
      </c>
      <c r="V587" s="56">
        <v>45968</v>
      </c>
    </row>
    <row r="588" spans="1:23" x14ac:dyDescent="0.15">
      <c r="A588" s="22"/>
      <c r="B588" s="7"/>
      <c r="C588" s="8"/>
      <c r="D588" s="9"/>
      <c r="E588" s="43">
        <f t="shared" si="493"/>
        <v>0</v>
      </c>
      <c r="F588" s="11"/>
      <c r="G588" s="8"/>
      <c r="H588" s="9"/>
      <c r="I588" s="43">
        <f t="shared" si="494"/>
        <v>0</v>
      </c>
      <c r="J588" s="10">
        <f t="shared" si="495"/>
        <v>0</v>
      </c>
      <c r="L588" s="24" t="s">
        <v>56</v>
      </c>
      <c r="M588" s="7">
        <v>9</v>
      </c>
      <c r="N588" s="8">
        <v>3</v>
      </c>
      <c r="O588" s="9">
        <v>6</v>
      </c>
      <c r="P588" s="43">
        <f t="shared" si="496"/>
        <v>18</v>
      </c>
      <c r="Q588" s="11">
        <v>9</v>
      </c>
      <c r="R588" s="8">
        <v>3</v>
      </c>
      <c r="S588" s="9">
        <v>6</v>
      </c>
      <c r="T588" s="43">
        <f t="shared" si="497"/>
        <v>18</v>
      </c>
      <c r="U588" s="10">
        <f t="shared" si="498"/>
        <v>36</v>
      </c>
      <c r="V588" s="56">
        <v>45973</v>
      </c>
    </row>
    <row r="589" spans="1:23" x14ac:dyDescent="0.15">
      <c r="A589" s="24"/>
      <c r="B589" s="7"/>
      <c r="C589" s="8"/>
      <c r="D589" s="9"/>
      <c r="E589" s="43">
        <f t="shared" si="493"/>
        <v>0</v>
      </c>
      <c r="F589" s="11"/>
      <c r="G589" s="8"/>
      <c r="H589" s="9"/>
      <c r="I589" s="43">
        <f t="shared" si="494"/>
        <v>0</v>
      </c>
      <c r="J589" s="10">
        <f t="shared" si="495"/>
        <v>0</v>
      </c>
      <c r="L589" s="24" t="s">
        <v>214</v>
      </c>
      <c r="M589" s="7">
        <v>5</v>
      </c>
      <c r="N589" s="8">
        <v>10</v>
      </c>
      <c r="O589" s="9">
        <v>10</v>
      </c>
      <c r="P589" s="43">
        <f t="shared" si="496"/>
        <v>25</v>
      </c>
      <c r="Q589" s="11">
        <v>5</v>
      </c>
      <c r="R589" s="8">
        <v>10</v>
      </c>
      <c r="S589" s="9">
        <v>10</v>
      </c>
      <c r="T589" s="43">
        <f t="shared" si="497"/>
        <v>25</v>
      </c>
      <c r="U589" s="10">
        <f t="shared" si="498"/>
        <v>50</v>
      </c>
      <c r="V589" s="56">
        <v>45972</v>
      </c>
      <c r="W589" s="61"/>
    </row>
    <row r="590" spans="1:23" x14ac:dyDescent="0.15">
      <c r="A590" s="22"/>
      <c r="B590" s="7"/>
      <c r="C590" s="8"/>
      <c r="D590" s="9"/>
      <c r="E590" s="43">
        <f t="shared" si="493"/>
        <v>0</v>
      </c>
      <c r="F590" s="11"/>
      <c r="G590" s="8"/>
      <c r="H590" s="9"/>
      <c r="I590" s="43">
        <f t="shared" si="494"/>
        <v>0</v>
      </c>
      <c r="J590" s="10">
        <f t="shared" si="495"/>
        <v>0</v>
      </c>
      <c r="L590" s="24" t="s">
        <v>58</v>
      </c>
      <c r="M590" s="7">
        <v>3</v>
      </c>
      <c r="N590" s="8">
        <v>2</v>
      </c>
      <c r="O590" s="9">
        <v>2</v>
      </c>
      <c r="P590" s="43">
        <f t="shared" si="496"/>
        <v>7</v>
      </c>
      <c r="Q590" s="11">
        <v>3</v>
      </c>
      <c r="R590" s="8">
        <v>2</v>
      </c>
      <c r="S590" s="9">
        <v>2</v>
      </c>
      <c r="T590" s="43">
        <f t="shared" si="497"/>
        <v>7</v>
      </c>
      <c r="U590" s="10">
        <f t="shared" si="498"/>
        <v>14</v>
      </c>
      <c r="V590" s="56">
        <v>45974</v>
      </c>
    </row>
    <row r="591" spans="1:23" x14ac:dyDescent="0.15">
      <c r="A591" s="22"/>
      <c r="B591" s="7"/>
      <c r="C591" s="8"/>
      <c r="D591" s="9"/>
      <c r="E591" s="43">
        <f t="shared" si="493"/>
        <v>0</v>
      </c>
      <c r="F591" s="11"/>
      <c r="G591" s="8"/>
      <c r="H591" s="9"/>
      <c r="I591" s="43">
        <f t="shared" si="494"/>
        <v>0</v>
      </c>
      <c r="J591" s="10">
        <f t="shared" si="495"/>
        <v>0</v>
      </c>
      <c r="L591" s="24" t="s">
        <v>61</v>
      </c>
      <c r="M591" s="7"/>
      <c r="N591" s="8">
        <v>3</v>
      </c>
      <c r="O591" s="9">
        <v>2</v>
      </c>
      <c r="P591" s="43">
        <f t="shared" si="496"/>
        <v>5</v>
      </c>
      <c r="Q591" s="11"/>
      <c r="R591" s="8">
        <v>3</v>
      </c>
      <c r="S591" s="9">
        <v>2</v>
      </c>
      <c r="T591" s="43">
        <f t="shared" si="497"/>
        <v>5</v>
      </c>
      <c r="U591" s="10">
        <f t="shared" si="498"/>
        <v>10</v>
      </c>
      <c r="V591" s="56">
        <v>45975</v>
      </c>
    </row>
    <row r="592" spans="1:23" x14ac:dyDescent="0.15">
      <c r="A592" s="22"/>
      <c r="B592" s="7"/>
      <c r="C592" s="8"/>
      <c r="D592" s="9"/>
      <c r="E592" s="43">
        <f t="shared" si="493"/>
        <v>0</v>
      </c>
      <c r="F592" s="11"/>
      <c r="G592" s="8"/>
      <c r="H592" s="9"/>
      <c r="I592" s="43">
        <f t="shared" si="494"/>
        <v>0</v>
      </c>
      <c r="J592" s="10">
        <f t="shared" si="495"/>
        <v>0</v>
      </c>
      <c r="L592" s="24" t="s">
        <v>63</v>
      </c>
      <c r="M592" s="7">
        <v>3</v>
      </c>
      <c r="N592" s="8">
        <v>8</v>
      </c>
      <c r="O592" s="9">
        <v>1</v>
      </c>
      <c r="P592" s="43">
        <f t="shared" si="496"/>
        <v>12</v>
      </c>
      <c r="Q592" s="11">
        <v>3</v>
      </c>
      <c r="R592" s="8">
        <v>8</v>
      </c>
      <c r="S592" s="9">
        <v>1</v>
      </c>
      <c r="T592" s="43">
        <f t="shared" si="497"/>
        <v>12</v>
      </c>
      <c r="U592" s="10">
        <f t="shared" si="498"/>
        <v>24</v>
      </c>
      <c r="V592" s="56">
        <v>45975</v>
      </c>
    </row>
    <row r="593" spans="1:24" x14ac:dyDescent="0.15">
      <c r="A593" s="22"/>
      <c r="B593" s="7"/>
      <c r="C593" s="8"/>
      <c r="D593" s="9"/>
      <c r="E593" s="43">
        <f t="shared" si="493"/>
        <v>0</v>
      </c>
      <c r="F593" s="11"/>
      <c r="G593" s="8"/>
      <c r="H593" s="9"/>
      <c r="I593" s="43">
        <f t="shared" si="494"/>
        <v>0</v>
      </c>
      <c r="J593" s="10">
        <f t="shared" si="495"/>
        <v>0</v>
      </c>
      <c r="L593" s="24" t="s">
        <v>65</v>
      </c>
      <c r="M593" s="7">
        <v>9</v>
      </c>
      <c r="N593" s="8">
        <v>10</v>
      </c>
      <c r="O593" s="9">
        <v>4</v>
      </c>
      <c r="P593" s="43">
        <f t="shared" si="496"/>
        <v>23</v>
      </c>
      <c r="Q593" s="11">
        <v>9</v>
      </c>
      <c r="R593" s="8">
        <v>10</v>
      </c>
      <c r="S593" s="9">
        <v>4</v>
      </c>
      <c r="T593" s="43">
        <f t="shared" si="497"/>
        <v>23</v>
      </c>
      <c r="U593" s="10">
        <f t="shared" si="498"/>
        <v>46</v>
      </c>
      <c r="V593" s="56">
        <v>45980</v>
      </c>
    </row>
    <row r="594" spans="1:24" x14ac:dyDescent="0.15">
      <c r="A594" s="63"/>
      <c r="B594" s="12"/>
      <c r="C594" s="13"/>
      <c r="D594" s="14"/>
      <c r="E594" s="43">
        <f t="shared" si="493"/>
        <v>0</v>
      </c>
      <c r="F594" s="15"/>
      <c r="G594" s="13"/>
      <c r="H594" s="14"/>
      <c r="I594" s="43">
        <f t="shared" si="494"/>
        <v>0</v>
      </c>
      <c r="J594" s="10">
        <f t="shared" si="495"/>
        <v>0</v>
      </c>
      <c r="L594" s="24" t="s">
        <v>223</v>
      </c>
      <c r="M594" s="7">
        <v>15</v>
      </c>
      <c r="N594" s="8">
        <v>20</v>
      </c>
      <c r="O594" s="9"/>
      <c r="P594" s="43">
        <f t="shared" si="496"/>
        <v>35</v>
      </c>
      <c r="Q594" s="11">
        <v>15</v>
      </c>
      <c r="R594" s="8">
        <v>20</v>
      </c>
      <c r="S594" s="9"/>
      <c r="T594" s="43">
        <f t="shared" si="497"/>
        <v>35</v>
      </c>
      <c r="U594" s="10">
        <f t="shared" si="498"/>
        <v>70</v>
      </c>
      <c r="V594" s="56">
        <v>45980</v>
      </c>
    </row>
    <row r="595" spans="1:24" x14ac:dyDescent="0.15">
      <c r="A595" s="22"/>
      <c r="B595" s="7"/>
      <c r="C595" s="8"/>
      <c r="D595" s="9"/>
      <c r="E595" s="43">
        <f t="shared" si="493"/>
        <v>0</v>
      </c>
      <c r="F595" s="11"/>
      <c r="G595" s="8"/>
      <c r="H595" s="9"/>
      <c r="I595" s="43">
        <f t="shared" si="494"/>
        <v>0</v>
      </c>
      <c r="J595" s="10">
        <f t="shared" si="495"/>
        <v>0</v>
      </c>
      <c r="L595" s="24" t="s">
        <v>67</v>
      </c>
      <c r="M595" s="7">
        <v>3</v>
      </c>
      <c r="N595" s="8">
        <v>3</v>
      </c>
      <c r="O595" s="9">
        <v>2</v>
      </c>
      <c r="P595" s="43">
        <f t="shared" si="496"/>
        <v>8</v>
      </c>
      <c r="Q595" s="11">
        <v>3</v>
      </c>
      <c r="R595" s="8">
        <v>3</v>
      </c>
      <c r="S595" s="9">
        <v>2</v>
      </c>
      <c r="T595" s="43">
        <f t="shared" si="497"/>
        <v>8</v>
      </c>
      <c r="U595" s="10">
        <f t="shared" si="498"/>
        <v>16</v>
      </c>
      <c r="V595" s="56">
        <v>45981</v>
      </c>
    </row>
    <row r="596" spans="1:24" x14ac:dyDescent="0.15">
      <c r="A596" s="63"/>
      <c r="B596" s="7"/>
      <c r="C596" s="8"/>
      <c r="D596" s="9"/>
      <c r="E596" s="43">
        <f t="shared" si="493"/>
        <v>0</v>
      </c>
      <c r="F596" s="11"/>
      <c r="G596" s="8"/>
      <c r="H596" s="9"/>
      <c r="I596" s="43">
        <f t="shared" si="494"/>
        <v>0</v>
      </c>
      <c r="J596" s="10">
        <f t="shared" si="495"/>
        <v>0</v>
      </c>
      <c r="L596" s="24" t="s">
        <v>415</v>
      </c>
      <c r="M596" s="7"/>
      <c r="N596" s="8"/>
      <c r="O596" s="9"/>
      <c r="P596" s="43">
        <f t="shared" si="496"/>
        <v>0</v>
      </c>
      <c r="Q596" s="7"/>
      <c r="R596" s="8"/>
      <c r="S596" s="9"/>
      <c r="T596" s="43">
        <f t="shared" si="497"/>
        <v>0</v>
      </c>
      <c r="U596" s="10">
        <f t="shared" si="498"/>
        <v>0</v>
      </c>
      <c r="V596" s="61" t="s">
        <v>416</v>
      </c>
    </row>
    <row r="597" spans="1:24" x14ac:dyDescent="0.15">
      <c r="A597" s="22"/>
      <c r="B597" s="7"/>
      <c r="C597" s="8"/>
      <c r="D597" s="9"/>
      <c r="E597" s="43">
        <f t="shared" si="493"/>
        <v>0</v>
      </c>
      <c r="F597" s="11"/>
      <c r="G597" s="8"/>
      <c r="H597" s="9"/>
      <c r="I597" s="43">
        <f t="shared" si="494"/>
        <v>0</v>
      </c>
      <c r="J597" s="10">
        <f t="shared" si="495"/>
        <v>0</v>
      </c>
      <c r="L597" s="24" t="s">
        <v>411</v>
      </c>
      <c r="M597" s="7"/>
      <c r="N597" s="8"/>
      <c r="O597" s="9"/>
      <c r="P597" s="43">
        <f t="shared" ref="P597" si="499">SUM(M597:O597)</f>
        <v>0</v>
      </c>
      <c r="Q597" s="7"/>
      <c r="R597" s="8"/>
      <c r="S597" s="9"/>
      <c r="T597" s="43">
        <f t="shared" ref="T597" si="500">SUM(Q597:S597)</f>
        <v>0</v>
      </c>
      <c r="U597" s="10">
        <f t="shared" si="498"/>
        <v>0</v>
      </c>
      <c r="V597" s="61" t="s">
        <v>324</v>
      </c>
    </row>
    <row r="598" spans="1:24" ht="14.25" thickBot="1" x14ac:dyDescent="0.2">
      <c r="A598" s="22"/>
      <c r="B598" s="7"/>
      <c r="C598" s="8"/>
      <c r="D598" s="9"/>
      <c r="E598" s="43">
        <f t="shared" si="493"/>
        <v>0</v>
      </c>
      <c r="F598" s="11"/>
      <c r="G598" s="8"/>
      <c r="H598" s="9"/>
      <c r="I598" s="43">
        <f t="shared" si="494"/>
        <v>0</v>
      </c>
      <c r="J598" s="10">
        <f t="shared" si="495"/>
        <v>0</v>
      </c>
      <c r="L598" s="24" t="s">
        <v>424</v>
      </c>
      <c r="M598" s="7"/>
      <c r="N598" s="8"/>
      <c r="O598" s="9"/>
      <c r="P598" s="43">
        <f t="shared" si="496"/>
        <v>0</v>
      </c>
      <c r="Q598" s="7"/>
      <c r="R598" s="8"/>
      <c r="S598" s="9"/>
      <c r="T598" s="43">
        <f t="shared" si="497"/>
        <v>0</v>
      </c>
      <c r="U598" s="10">
        <f t="shared" ref="U598" si="501">P598+T598</f>
        <v>0</v>
      </c>
      <c r="V598" s="61" t="s">
        <v>425</v>
      </c>
      <c r="W598" s="61"/>
      <c r="X598" s="61"/>
    </row>
    <row r="599" spans="1:24" ht="14.25" thickBot="1" x14ac:dyDescent="0.2">
      <c r="A599" s="35" t="s">
        <v>17</v>
      </c>
      <c r="B599" s="40">
        <f>SUM(B573:B598)</f>
        <v>1</v>
      </c>
      <c r="C599" s="41">
        <f t="shared" ref="C599:D599" si="502">SUM(C573:C598)</f>
        <v>1</v>
      </c>
      <c r="D599" s="52">
        <f t="shared" si="502"/>
        <v>0</v>
      </c>
      <c r="E599" s="39">
        <f t="shared" si="493"/>
        <v>2</v>
      </c>
      <c r="F599" s="40">
        <f>SUM(F573:F598)</f>
        <v>1</v>
      </c>
      <c r="G599" s="41">
        <f t="shared" ref="G599:H599" si="503">SUM(G573:G598)</f>
        <v>1</v>
      </c>
      <c r="H599" s="52">
        <f t="shared" si="503"/>
        <v>0</v>
      </c>
      <c r="I599" s="39">
        <f t="shared" si="494"/>
        <v>2</v>
      </c>
      <c r="J599" s="39">
        <f>E599+I599</f>
        <v>4</v>
      </c>
      <c r="L599" s="35" t="s">
        <v>17</v>
      </c>
      <c r="M599" s="40">
        <f>SUM(M573:M598)</f>
        <v>105</v>
      </c>
      <c r="N599" s="41">
        <f t="shared" ref="N599:O599" si="504">SUM(N573:N598)</f>
        <v>115</v>
      </c>
      <c r="O599" s="52">
        <f t="shared" si="504"/>
        <v>56</v>
      </c>
      <c r="P599" s="39">
        <f t="shared" si="496"/>
        <v>276</v>
      </c>
      <c r="Q599" s="40">
        <f>SUM(Q573:Q598)</f>
        <v>105</v>
      </c>
      <c r="R599" s="41">
        <f t="shared" ref="R599:S599" si="505">SUM(R573:R598)</f>
        <v>115</v>
      </c>
      <c r="S599" s="52">
        <f t="shared" si="505"/>
        <v>56</v>
      </c>
      <c r="T599" s="39">
        <f t="shared" si="497"/>
        <v>276</v>
      </c>
      <c r="U599" s="39">
        <f>P599+T599</f>
        <v>552</v>
      </c>
    </row>
    <row r="600" spans="1:24" ht="14.25" thickBot="1" x14ac:dyDescent="0.2">
      <c r="A600" s="21" t="s">
        <v>16</v>
      </c>
      <c r="B600" s="44">
        <f>B572-B599</f>
        <v>0</v>
      </c>
      <c r="C600" s="50">
        <f t="shared" ref="C600:D600" si="506">C572-C599</f>
        <v>0</v>
      </c>
      <c r="D600" s="51">
        <f t="shared" si="506"/>
        <v>2</v>
      </c>
      <c r="E600" s="49">
        <f>SUM(B600:D600)</f>
        <v>2</v>
      </c>
      <c r="F600" s="44">
        <f>F572-F599</f>
        <v>0</v>
      </c>
      <c r="G600" s="50">
        <f t="shared" ref="G600:H600" si="507">G572-G599</f>
        <v>0</v>
      </c>
      <c r="H600" s="51">
        <f t="shared" si="507"/>
        <v>1</v>
      </c>
      <c r="I600" s="49">
        <f>SUM(F600:H600)</f>
        <v>1</v>
      </c>
      <c r="J600" s="28">
        <f>E600+I600</f>
        <v>3</v>
      </c>
      <c r="L600" s="21" t="s">
        <v>16</v>
      </c>
      <c r="M600" s="44">
        <f>M572-M599</f>
        <v>45</v>
      </c>
      <c r="N600" s="50">
        <f t="shared" ref="N600:O600" si="508">N572-N599</f>
        <v>68</v>
      </c>
      <c r="O600" s="51">
        <f t="shared" si="508"/>
        <v>81</v>
      </c>
      <c r="P600" s="49">
        <f>SUM(M600:O600)</f>
        <v>194</v>
      </c>
      <c r="Q600" s="44">
        <f>Q572-Q599</f>
        <v>45</v>
      </c>
      <c r="R600" s="50">
        <f t="shared" ref="R600:S600" si="509">R572-R599</f>
        <v>68</v>
      </c>
      <c r="S600" s="51">
        <f t="shared" si="509"/>
        <v>81</v>
      </c>
      <c r="T600" s="49">
        <f>SUM(Q600:S600)</f>
        <v>194</v>
      </c>
      <c r="U600" s="28">
        <f>P600+T600</f>
        <v>388</v>
      </c>
      <c r="X600" t="s">
        <v>409</v>
      </c>
    </row>
    <row r="601" spans="1:24" x14ac:dyDescent="0.15">
      <c r="L601" s="96" t="s">
        <v>404</v>
      </c>
      <c r="M601" s="95">
        <f>M599+M556+M513+M470+M427+M384</f>
        <v>436</v>
      </c>
      <c r="N601" s="95">
        <f t="shared" ref="N601:U601" si="510">N599+N556+N513+N470+N427+N384</f>
        <v>441</v>
      </c>
      <c r="O601" s="95">
        <f t="shared" si="510"/>
        <v>243</v>
      </c>
      <c r="P601" s="95">
        <f t="shared" si="510"/>
        <v>1120</v>
      </c>
      <c r="Q601" s="95">
        <f t="shared" si="510"/>
        <v>436</v>
      </c>
      <c r="R601" s="95">
        <f t="shared" si="510"/>
        <v>441</v>
      </c>
      <c r="S601" s="95">
        <f t="shared" si="510"/>
        <v>243</v>
      </c>
      <c r="T601" s="95">
        <f t="shared" si="510"/>
        <v>1120</v>
      </c>
      <c r="U601" s="95">
        <f t="shared" si="510"/>
        <v>2240</v>
      </c>
    </row>
    <row r="602" spans="1:24" x14ac:dyDescent="0.15">
      <c r="M602" s="89">
        <f>M601/$P$601*100</f>
        <v>38.928571428571431</v>
      </c>
      <c r="N602" s="89">
        <f t="shared" ref="N602:P602" si="511">N601/$P$601*100</f>
        <v>39.375</v>
      </c>
      <c r="O602" s="89">
        <f t="shared" si="511"/>
        <v>21.696428571428573</v>
      </c>
      <c r="P602" s="89">
        <f t="shared" si="511"/>
        <v>100</v>
      </c>
    </row>
    <row r="603" spans="1:24" ht="19.5" thickBot="1" x14ac:dyDescent="0.25">
      <c r="A603" s="84" t="s">
        <v>29</v>
      </c>
      <c r="B603" s="85"/>
      <c r="C603" s="85"/>
      <c r="D603" s="85"/>
      <c r="E603" s="85"/>
      <c r="F603" s="85"/>
      <c r="G603" s="85"/>
      <c r="H603" s="85"/>
      <c r="I603" s="85"/>
      <c r="J603" s="85"/>
      <c r="L603" s="86" t="s">
        <v>337</v>
      </c>
      <c r="M603" s="117"/>
      <c r="N603" s="117"/>
      <c r="O603" s="117"/>
      <c r="P603" s="117"/>
      <c r="Q603" s="117"/>
      <c r="R603" s="117"/>
      <c r="S603" s="117"/>
      <c r="T603" s="87"/>
      <c r="U603" s="87">
        <v>1040</v>
      </c>
    </row>
    <row r="604" spans="1:24" ht="14.25" thickBot="1" x14ac:dyDescent="0.2">
      <c r="A604" s="6"/>
      <c r="B604" s="146" t="s">
        <v>18</v>
      </c>
      <c r="C604" s="147"/>
      <c r="D604" s="147"/>
      <c r="E604" s="148"/>
      <c r="F604" s="146" t="s">
        <v>22</v>
      </c>
      <c r="G604" s="147"/>
      <c r="H604" s="147"/>
      <c r="I604" s="148"/>
      <c r="J604" s="101" t="s">
        <v>0</v>
      </c>
      <c r="L604" s="6"/>
      <c r="M604" s="149" t="s">
        <v>18</v>
      </c>
      <c r="N604" s="150"/>
      <c r="O604" s="150"/>
      <c r="P604" s="151"/>
      <c r="Q604" s="149" t="s">
        <v>22</v>
      </c>
      <c r="R604" s="150"/>
      <c r="S604" s="150"/>
      <c r="T604" s="151"/>
      <c r="U604" s="101" t="s">
        <v>0</v>
      </c>
    </row>
    <row r="605" spans="1:24" ht="14.25" thickBot="1" x14ac:dyDescent="0.2">
      <c r="A605" s="6" t="s">
        <v>1</v>
      </c>
      <c r="B605" s="3" t="s">
        <v>2</v>
      </c>
      <c r="C605" s="4" t="s">
        <v>3</v>
      </c>
      <c r="D605" s="5" t="s">
        <v>4</v>
      </c>
      <c r="E605" s="6" t="s">
        <v>5</v>
      </c>
      <c r="F605" s="3" t="s">
        <v>2</v>
      </c>
      <c r="G605" s="4" t="s">
        <v>3</v>
      </c>
      <c r="H605" s="5" t="s">
        <v>4</v>
      </c>
      <c r="I605" s="6" t="s">
        <v>5</v>
      </c>
      <c r="J605" s="102"/>
      <c r="L605" s="6" t="s">
        <v>1</v>
      </c>
      <c r="M605" s="3" t="s">
        <v>2</v>
      </c>
      <c r="N605" s="4" t="s">
        <v>3</v>
      </c>
      <c r="O605" s="5" t="s">
        <v>4</v>
      </c>
      <c r="P605" s="6" t="s">
        <v>5</v>
      </c>
      <c r="Q605" s="3" t="s">
        <v>2</v>
      </c>
      <c r="R605" s="4" t="s">
        <v>3</v>
      </c>
      <c r="S605" s="5" t="s">
        <v>4</v>
      </c>
      <c r="T605" s="6" t="s">
        <v>5</v>
      </c>
      <c r="U605" s="102"/>
    </row>
    <row r="606" spans="1:24" ht="14.25" thickBot="1" x14ac:dyDescent="0.2">
      <c r="A606" s="62" t="s">
        <v>16</v>
      </c>
      <c r="B606" s="40">
        <f>B600</f>
        <v>0</v>
      </c>
      <c r="C606" s="41">
        <f>C600</f>
        <v>0</v>
      </c>
      <c r="D606" s="81">
        <f>D600</f>
        <v>2</v>
      </c>
      <c r="E606" s="39">
        <f>SUM(B606:D606)</f>
        <v>2</v>
      </c>
      <c r="F606" s="40">
        <f>F600</f>
        <v>0</v>
      </c>
      <c r="G606" s="41">
        <f>G600</f>
        <v>0</v>
      </c>
      <c r="H606" s="81">
        <f>H600</f>
        <v>1</v>
      </c>
      <c r="I606" s="39">
        <f>SUM(F606:H606)</f>
        <v>1</v>
      </c>
      <c r="J606" s="39">
        <f>E606+I606</f>
        <v>3</v>
      </c>
      <c r="L606" s="66" t="s">
        <v>6</v>
      </c>
      <c r="M606" s="25">
        <f>M600</f>
        <v>45</v>
      </c>
      <c r="N606" s="26">
        <f>N600</f>
        <v>68</v>
      </c>
      <c r="O606" s="115">
        <f>O600</f>
        <v>81</v>
      </c>
      <c r="P606" s="28">
        <f>SUM(M606:O606)</f>
        <v>194</v>
      </c>
      <c r="Q606" s="25">
        <f>Q600</f>
        <v>45</v>
      </c>
      <c r="R606" s="26">
        <f>R600</f>
        <v>68</v>
      </c>
      <c r="S606" s="27">
        <f>S600</f>
        <v>81</v>
      </c>
      <c r="T606" s="28">
        <f>SUM(Q606:S606)</f>
        <v>194</v>
      </c>
      <c r="U606" s="28">
        <f>P606+T606</f>
        <v>388</v>
      </c>
    </row>
    <row r="607" spans="1:24" x14ac:dyDescent="0.15">
      <c r="A607" s="23" t="s">
        <v>260</v>
      </c>
      <c r="B607" s="12">
        <v>1</v>
      </c>
      <c r="C607" s="13">
        <v>1</v>
      </c>
      <c r="D607" s="47"/>
      <c r="E607" s="10">
        <f t="shared" ref="E607:E614" si="512">SUM(B607:D607)</f>
        <v>2</v>
      </c>
      <c r="F607" s="15">
        <v>1</v>
      </c>
      <c r="G607" s="13">
        <v>1</v>
      </c>
      <c r="H607" s="14"/>
      <c r="I607" s="10">
        <f t="shared" ref="I607:I614" si="513">SUM(F607:H607)</f>
        <v>2</v>
      </c>
      <c r="J607" s="10">
        <f t="shared" ref="J607:J614" si="514">E607+I607</f>
        <v>4</v>
      </c>
      <c r="K607" s="58">
        <v>46000</v>
      </c>
      <c r="L607" s="23" t="s">
        <v>7</v>
      </c>
      <c r="M607" s="12"/>
      <c r="N607" s="13"/>
      <c r="O607" s="47"/>
      <c r="P607" s="10">
        <f t="shared" ref="P607:P614" si="515">SUM(M607:O607)</f>
        <v>0</v>
      </c>
      <c r="Q607" s="15"/>
      <c r="R607" s="13"/>
      <c r="S607" s="14"/>
      <c r="T607" s="10">
        <f t="shared" ref="T607:T614" si="516">SUM(Q607:S607)</f>
        <v>0</v>
      </c>
      <c r="U607" s="10">
        <f t="shared" ref="U607:U614" si="517">P607+T607</f>
        <v>0</v>
      </c>
    </row>
    <row r="608" spans="1:24" x14ac:dyDescent="0.15">
      <c r="A608" s="23" t="s">
        <v>328</v>
      </c>
      <c r="B608" s="12"/>
      <c r="C608" s="13"/>
      <c r="D608" s="47">
        <v>-1</v>
      </c>
      <c r="E608" s="10">
        <f t="shared" si="512"/>
        <v>-1</v>
      </c>
      <c r="F608" s="15"/>
      <c r="G608" s="13"/>
      <c r="H608" s="14"/>
      <c r="I608" s="10">
        <f t="shared" si="513"/>
        <v>0</v>
      </c>
      <c r="J608" s="10">
        <f t="shared" si="514"/>
        <v>-1</v>
      </c>
      <c r="L608" s="23" t="s">
        <v>8</v>
      </c>
      <c r="M608" s="12"/>
      <c r="N608" s="13"/>
      <c r="O608" s="47"/>
      <c r="P608" s="10">
        <f t="shared" ref="P608:P610" si="518">SUM(M608:O608)</f>
        <v>0</v>
      </c>
      <c r="Q608" s="15"/>
      <c r="R608" s="13"/>
      <c r="S608" s="14"/>
      <c r="T608" s="10">
        <f t="shared" ref="T608:T610" si="519">SUM(Q608:S608)</f>
        <v>0</v>
      </c>
      <c r="U608" s="10">
        <f t="shared" ref="U608:U610" si="520">P608+T608</f>
        <v>0</v>
      </c>
    </row>
    <row r="609" spans="1:23" x14ac:dyDescent="0.15">
      <c r="A609" s="23" t="s">
        <v>9</v>
      </c>
      <c r="B609" s="12"/>
      <c r="C609" s="13"/>
      <c r="D609" s="47"/>
      <c r="E609" s="10">
        <f t="shared" si="512"/>
        <v>0</v>
      </c>
      <c r="F609" s="15"/>
      <c r="G609" s="13"/>
      <c r="H609" s="14"/>
      <c r="I609" s="10">
        <f t="shared" si="513"/>
        <v>0</v>
      </c>
      <c r="J609" s="10">
        <f t="shared" si="514"/>
        <v>0</v>
      </c>
      <c r="L609" s="23" t="s">
        <v>420</v>
      </c>
      <c r="M609" s="12">
        <v>200</v>
      </c>
      <c r="N609" s="13">
        <v>160</v>
      </c>
      <c r="O609" s="47">
        <v>90</v>
      </c>
      <c r="P609" s="10">
        <f t="shared" si="518"/>
        <v>450</v>
      </c>
      <c r="Q609" s="12">
        <v>200</v>
      </c>
      <c r="R609" s="13">
        <v>160</v>
      </c>
      <c r="S609" s="47">
        <v>90</v>
      </c>
      <c r="T609" s="10">
        <f t="shared" si="519"/>
        <v>450</v>
      </c>
      <c r="U609" s="10">
        <f t="shared" si="520"/>
        <v>900</v>
      </c>
      <c r="V609" s="56" t="s">
        <v>431</v>
      </c>
      <c r="W609" s="95"/>
    </row>
    <row r="610" spans="1:23" x14ac:dyDescent="0.15">
      <c r="A610" s="23" t="s">
        <v>10</v>
      </c>
      <c r="B610" s="12"/>
      <c r="C610" s="13"/>
      <c r="D610" s="47"/>
      <c r="E610" s="10">
        <f t="shared" si="512"/>
        <v>0</v>
      </c>
      <c r="F610" s="15"/>
      <c r="G610" s="13"/>
      <c r="H610" s="14"/>
      <c r="I610" s="10">
        <f t="shared" si="513"/>
        <v>0</v>
      </c>
      <c r="J610" s="10">
        <f t="shared" si="514"/>
        <v>0</v>
      </c>
      <c r="L610" s="23" t="s">
        <v>417</v>
      </c>
      <c r="M610" s="12">
        <v>0</v>
      </c>
      <c r="N610" s="13">
        <v>40</v>
      </c>
      <c r="O610" s="47">
        <v>10</v>
      </c>
      <c r="P610" s="10">
        <f t="shared" si="518"/>
        <v>50</v>
      </c>
      <c r="Q610" s="12">
        <v>0</v>
      </c>
      <c r="R610" s="13">
        <v>40</v>
      </c>
      <c r="S610" s="47">
        <v>10</v>
      </c>
      <c r="T610" s="10">
        <f t="shared" si="519"/>
        <v>50</v>
      </c>
      <c r="U610" s="10">
        <f t="shared" si="520"/>
        <v>100</v>
      </c>
      <c r="V610" s="56"/>
    </row>
    <row r="611" spans="1:23" x14ac:dyDescent="0.15">
      <c r="A611" s="23" t="s">
        <v>11</v>
      </c>
      <c r="B611" s="12"/>
      <c r="C611" s="13"/>
      <c r="D611" s="47"/>
      <c r="E611" s="10">
        <f t="shared" si="512"/>
        <v>0</v>
      </c>
      <c r="F611" s="15"/>
      <c r="G611" s="13"/>
      <c r="H611" s="14"/>
      <c r="I611" s="10">
        <f t="shared" si="513"/>
        <v>0</v>
      </c>
      <c r="J611" s="10">
        <f t="shared" si="514"/>
        <v>0</v>
      </c>
      <c r="L611" s="23" t="s">
        <v>11</v>
      </c>
      <c r="M611" s="12"/>
      <c r="N611" s="13"/>
      <c r="O611" s="47"/>
      <c r="P611" s="10">
        <f t="shared" si="515"/>
        <v>0</v>
      </c>
      <c r="Q611" s="12"/>
      <c r="R611" s="13"/>
      <c r="S611" s="47"/>
      <c r="T611" s="10">
        <f t="shared" si="516"/>
        <v>0</v>
      </c>
      <c r="U611" s="10">
        <f t="shared" si="517"/>
        <v>0</v>
      </c>
    </row>
    <row r="612" spans="1:23" x14ac:dyDescent="0.15">
      <c r="A612" s="23" t="s">
        <v>12</v>
      </c>
      <c r="B612" s="12"/>
      <c r="C612" s="13"/>
      <c r="D612" s="47"/>
      <c r="E612" s="10">
        <f t="shared" si="512"/>
        <v>0</v>
      </c>
      <c r="F612" s="15"/>
      <c r="G612" s="13"/>
      <c r="H612" s="14"/>
      <c r="I612" s="10">
        <f t="shared" si="513"/>
        <v>0</v>
      </c>
      <c r="J612" s="10">
        <f t="shared" si="514"/>
        <v>0</v>
      </c>
      <c r="L612" s="23" t="s">
        <v>12</v>
      </c>
      <c r="M612" s="12"/>
      <c r="N612" s="13"/>
      <c r="O612" s="47"/>
      <c r="P612" s="10">
        <f t="shared" ref="P612" si="521">SUM(M612:O612)</f>
        <v>0</v>
      </c>
      <c r="Q612" s="15"/>
      <c r="R612" s="13"/>
      <c r="S612" s="14"/>
      <c r="T612" s="10">
        <f t="shared" ref="T612" si="522">SUM(Q612:S612)</f>
        <v>0</v>
      </c>
      <c r="U612" s="10">
        <f t="shared" ref="U612" si="523">P612+T612</f>
        <v>0</v>
      </c>
    </row>
    <row r="613" spans="1:23" x14ac:dyDescent="0.15">
      <c r="A613" s="23" t="s">
        <v>13</v>
      </c>
      <c r="B613" s="12"/>
      <c r="C613" s="13"/>
      <c r="D613" s="47"/>
      <c r="E613" s="10">
        <f t="shared" si="512"/>
        <v>0</v>
      </c>
      <c r="F613" s="15"/>
      <c r="G613" s="13"/>
      <c r="H613" s="14"/>
      <c r="I613" s="10">
        <f t="shared" si="513"/>
        <v>0</v>
      </c>
      <c r="J613" s="10">
        <f t="shared" si="514"/>
        <v>0</v>
      </c>
      <c r="L613" s="23" t="s">
        <v>13</v>
      </c>
      <c r="M613" s="12"/>
      <c r="N613" s="13"/>
      <c r="O613" s="47"/>
      <c r="P613" s="10">
        <f t="shared" si="515"/>
        <v>0</v>
      </c>
      <c r="Q613" s="15"/>
      <c r="R613" s="13"/>
      <c r="S613" s="14"/>
      <c r="T613" s="10">
        <f t="shared" si="516"/>
        <v>0</v>
      </c>
      <c r="U613" s="10">
        <f t="shared" si="517"/>
        <v>0</v>
      </c>
    </row>
    <row r="614" spans="1:23" ht="14.25" thickBot="1" x14ac:dyDescent="0.2">
      <c r="A614" s="23" t="s">
        <v>14</v>
      </c>
      <c r="B614" s="12"/>
      <c r="C614" s="13"/>
      <c r="D614" s="47"/>
      <c r="E614" s="10">
        <f t="shared" si="512"/>
        <v>0</v>
      </c>
      <c r="F614" s="15"/>
      <c r="G614" s="13"/>
      <c r="H614" s="14"/>
      <c r="I614" s="10">
        <f t="shared" si="513"/>
        <v>0</v>
      </c>
      <c r="J614" s="10">
        <f t="shared" si="514"/>
        <v>0</v>
      </c>
      <c r="L614" s="23" t="s">
        <v>14</v>
      </c>
      <c r="M614" s="12"/>
      <c r="N614" s="13"/>
      <c r="O614" s="47"/>
      <c r="P614" s="10">
        <f t="shared" si="515"/>
        <v>0</v>
      </c>
      <c r="Q614" s="15"/>
      <c r="R614" s="13"/>
      <c r="S614" s="14"/>
      <c r="T614" s="10">
        <f t="shared" si="516"/>
        <v>0</v>
      </c>
      <c r="U614" s="10">
        <f t="shared" si="517"/>
        <v>0</v>
      </c>
    </row>
    <row r="615" spans="1:23" ht="14.25" thickBot="1" x14ac:dyDescent="0.2">
      <c r="A615" s="32" t="s">
        <v>15</v>
      </c>
      <c r="B615" s="25">
        <f>SUM(B606:B614)</f>
        <v>1</v>
      </c>
      <c r="C615" s="26">
        <f>SUM(C606:C614)</f>
        <v>1</v>
      </c>
      <c r="D615" s="27">
        <f>SUM(D606:D614)</f>
        <v>1</v>
      </c>
      <c r="E615" s="28">
        <f>SUM(B615:D615)</f>
        <v>3</v>
      </c>
      <c r="F615" s="25">
        <f>SUM(F606:F614)</f>
        <v>1</v>
      </c>
      <c r="G615" s="26">
        <f>SUM(G606:G614)</f>
        <v>1</v>
      </c>
      <c r="H615" s="27">
        <f>SUM(H606:H614)</f>
        <v>1</v>
      </c>
      <c r="I615" s="28">
        <f>SUM(F615:H615)</f>
        <v>3</v>
      </c>
      <c r="J615" s="28">
        <f>E615+I615</f>
        <v>6</v>
      </c>
      <c r="L615" s="32" t="s">
        <v>15</v>
      </c>
      <c r="M615" s="25">
        <f>SUM(M606:M614)</f>
        <v>245</v>
      </c>
      <c r="N615" s="26">
        <f>SUM(N606:N614)</f>
        <v>268</v>
      </c>
      <c r="O615" s="27">
        <f>SUM(O606:O614)</f>
        <v>181</v>
      </c>
      <c r="P615" s="28">
        <f>SUM(M615:O615)</f>
        <v>694</v>
      </c>
      <c r="Q615" s="25">
        <f>SUM(Q606:Q614)</f>
        <v>245</v>
      </c>
      <c r="R615" s="26">
        <f>SUM(R606:R614)</f>
        <v>268</v>
      </c>
      <c r="S615" s="27">
        <f>SUM(S606:S614)</f>
        <v>181</v>
      </c>
      <c r="T615" s="28">
        <f>SUM(Q615:S615)</f>
        <v>694</v>
      </c>
      <c r="U615" s="28">
        <f>P615+T615</f>
        <v>1388</v>
      </c>
    </row>
    <row r="616" spans="1:23" x14ac:dyDescent="0.15">
      <c r="A616" s="22"/>
      <c r="B616" s="7"/>
      <c r="C616" s="8"/>
      <c r="D616" s="9"/>
      <c r="E616" s="43">
        <f t="shared" ref="E616" si="524">SUM(B616:D616)</f>
        <v>0</v>
      </c>
      <c r="F616" s="11"/>
      <c r="G616" s="8"/>
      <c r="H616" s="9"/>
      <c r="I616" s="43">
        <f t="shared" ref="I616" si="525">SUM(F616:H616)</f>
        <v>0</v>
      </c>
      <c r="J616" s="10">
        <f t="shared" ref="J616" si="526">E616+I616</f>
        <v>0</v>
      </c>
      <c r="L616" s="24" t="s">
        <v>69</v>
      </c>
      <c r="M616" s="7"/>
      <c r="N616" s="8">
        <v>6</v>
      </c>
      <c r="O616" s="9">
        <v>2</v>
      </c>
      <c r="P616" s="43">
        <f t="shared" ref="P616" si="527">SUM(M616:O616)</f>
        <v>8</v>
      </c>
      <c r="Q616" s="11"/>
      <c r="R616" s="8">
        <v>6</v>
      </c>
      <c r="S616" s="9">
        <v>2</v>
      </c>
      <c r="T616" s="43">
        <f t="shared" ref="T616" si="528">SUM(Q616:S616)</f>
        <v>8</v>
      </c>
      <c r="U616" s="10">
        <f t="shared" ref="U616" si="529">P616+T616</f>
        <v>16</v>
      </c>
      <c r="V616" s="56">
        <v>45982</v>
      </c>
    </row>
    <row r="617" spans="1:23" x14ac:dyDescent="0.15">
      <c r="A617" s="22"/>
      <c r="B617" s="7"/>
      <c r="C617" s="8"/>
      <c r="D617" s="9"/>
      <c r="E617" s="43">
        <f t="shared" ref="E617:E642" si="530">SUM(B617:D617)</f>
        <v>0</v>
      </c>
      <c r="F617" s="11"/>
      <c r="G617" s="8"/>
      <c r="H617" s="9"/>
      <c r="I617" s="43">
        <f t="shared" ref="I617:I642" si="531">SUM(F617:H617)</f>
        <v>0</v>
      </c>
      <c r="J617" s="10">
        <f t="shared" ref="J617:J641" si="532">E617+I617</f>
        <v>0</v>
      </c>
      <c r="L617" s="24" t="s">
        <v>72</v>
      </c>
      <c r="M617" s="7">
        <v>7</v>
      </c>
      <c r="N617" s="8"/>
      <c r="O617" s="9"/>
      <c r="P617" s="43">
        <f t="shared" ref="P617:P642" si="533">SUM(M617:O617)</f>
        <v>7</v>
      </c>
      <c r="Q617" s="11">
        <v>7</v>
      </c>
      <c r="R617" s="8"/>
      <c r="S617" s="9"/>
      <c r="T617" s="43">
        <f t="shared" ref="T617:T642" si="534">SUM(Q617:S617)</f>
        <v>7</v>
      </c>
      <c r="U617" s="10">
        <f t="shared" ref="U617:U641" si="535">P617+T617</f>
        <v>14</v>
      </c>
      <c r="V617" s="56">
        <v>45982</v>
      </c>
      <c r="W617" s="61"/>
    </row>
    <row r="618" spans="1:23" x14ac:dyDescent="0.15">
      <c r="A618" s="22"/>
      <c r="B618" s="7"/>
      <c r="C618" s="8"/>
      <c r="D618" s="9"/>
      <c r="E618" s="43">
        <f t="shared" si="530"/>
        <v>0</v>
      </c>
      <c r="F618" s="11"/>
      <c r="G618" s="8"/>
      <c r="H618" s="9"/>
      <c r="I618" s="43">
        <f t="shared" si="531"/>
        <v>0</v>
      </c>
      <c r="J618" s="10">
        <f t="shared" si="532"/>
        <v>0</v>
      </c>
      <c r="L618" s="24" t="s">
        <v>76</v>
      </c>
      <c r="M618" s="7">
        <v>12</v>
      </c>
      <c r="N618" s="8">
        <v>11</v>
      </c>
      <c r="O618" s="9">
        <v>6</v>
      </c>
      <c r="P618" s="43">
        <f t="shared" si="533"/>
        <v>29</v>
      </c>
      <c r="Q618" s="11">
        <v>12</v>
      </c>
      <c r="R618" s="8">
        <v>11</v>
      </c>
      <c r="S618" s="9">
        <v>6</v>
      </c>
      <c r="T618" s="43">
        <f t="shared" si="534"/>
        <v>29</v>
      </c>
      <c r="U618" s="10">
        <f t="shared" si="535"/>
        <v>58</v>
      </c>
      <c r="V618" s="56">
        <v>45988</v>
      </c>
    </row>
    <row r="619" spans="1:23" x14ac:dyDescent="0.15">
      <c r="A619" s="22"/>
      <c r="B619" s="7"/>
      <c r="C619" s="8"/>
      <c r="D619" s="9"/>
      <c r="E619" s="43">
        <f t="shared" si="530"/>
        <v>0</v>
      </c>
      <c r="F619" s="11"/>
      <c r="G619" s="8"/>
      <c r="H619" s="9"/>
      <c r="I619" s="43">
        <f t="shared" si="531"/>
        <v>0</v>
      </c>
      <c r="J619" s="10">
        <f t="shared" si="532"/>
        <v>0</v>
      </c>
      <c r="L619" s="24" t="s">
        <v>226</v>
      </c>
      <c r="M619" s="7">
        <v>10</v>
      </c>
      <c r="N619" s="8">
        <v>10</v>
      </c>
      <c r="O619" s="9">
        <v>5</v>
      </c>
      <c r="P619" s="43">
        <f t="shared" si="533"/>
        <v>25</v>
      </c>
      <c r="Q619" s="11">
        <v>10</v>
      </c>
      <c r="R619" s="8">
        <v>10</v>
      </c>
      <c r="S619" s="9">
        <v>5</v>
      </c>
      <c r="T619" s="43">
        <f t="shared" si="534"/>
        <v>25</v>
      </c>
      <c r="U619" s="10">
        <f t="shared" si="535"/>
        <v>50</v>
      </c>
      <c r="V619" s="56">
        <v>45987</v>
      </c>
    </row>
    <row r="620" spans="1:23" x14ac:dyDescent="0.15">
      <c r="A620" s="22"/>
      <c r="B620" s="7"/>
      <c r="C620" s="8"/>
      <c r="D620" s="9"/>
      <c r="E620" s="43">
        <f t="shared" si="530"/>
        <v>0</v>
      </c>
      <c r="F620" s="11"/>
      <c r="G620" s="8"/>
      <c r="H620" s="9"/>
      <c r="I620" s="43">
        <f t="shared" si="531"/>
        <v>0</v>
      </c>
      <c r="J620" s="10">
        <f t="shared" si="532"/>
        <v>0</v>
      </c>
      <c r="L620" s="24" t="s">
        <v>80</v>
      </c>
      <c r="M620" s="7">
        <v>1</v>
      </c>
      <c r="N620" s="8">
        <v>7</v>
      </c>
      <c r="O620" s="9"/>
      <c r="P620" s="43">
        <f t="shared" si="533"/>
        <v>8</v>
      </c>
      <c r="Q620" s="11">
        <v>1</v>
      </c>
      <c r="R620" s="8">
        <v>7</v>
      </c>
      <c r="S620" s="9"/>
      <c r="T620" s="43">
        <f t="shared" si="534"/>
        <v>8</v>
      </c>
      <c r="U620" s="10">
        <f t="shared" si="535"/>
        <v>16</v>
      </c>
      <c r="V620" s="56">
        <v>45989</v>
      </c>
    </row>
    <row r="621" spans="1:23" x14ac:dyDescent="0.15">
      <c r="A621" s="22"/>
      <c r="B621" s="7"/>
      <c r="C621" s="8"/>
      <c r="D621" s="9"/>
      <c r="E621" s="43">
        <f t="shared" si="530"/>
        <v>0</v>
      </c>
      <c r="F621" s="11"/>
      <c r="G621" s="8"/>
      <c r="H621" s="9"/>
      <c r="I621" s="43">
        <f t="shared" si="531"/>
        <v>0</v>
      </c>
      <c r="J621" s="10">
        <f t="shared" si="532"/>
        <v>0</v>
      </c>
      <c r="L621" s="24" t="s">
        <v>84</v>
      </c>
      <c r="M621" s="7">
        <v>3</v>
      </c>
      <c r="N621" s="8">
        <v>5</v>
      </c>
      <c r="O621" s="9">
        <v>2</v>
      </c>
      <c r="P621" s="43">
        <f t="shared" si="533"/>
        <v>10</v>
      </c>
      <c r="Q621" s="11">
        <v>3</v>
      </c>
      <c r="R621" s="8">
        <v>5</v>
      </c>
      <c r="S621" s="9">
        <v>2</v>
      </c>
      <c r="T621" s="43">
        <f t="shared" si="534"/>
        <v>10</v>
      </c>
      <c r="U621" s="10">
        <f t="shared" si="535"/>
        <v>20</v>
      </c>
      <c r="V621" s="56">
        <v>45989</v>
      </c>
    </row>
    <row r="622" spans="1:23" x14ac:dyDescent="0.15">
      <c r="A622" s="22"/>
      <c r="B622" s="7"/>
      <c r="C622" s="8"/>
      <c r="D622" s="9"/>
      <c r="E622" s="43">
        <f t="shared" si="530"/>
        <v>0</v>
      </c>
      <c r="F622" s="11"/>
      <c r="G622" s="8"/>
      <c r="H622" s="9"/>
      <c r="I622" s="43">
        <f t="shared" si="531"/>
        <v>0</v>
      </c>
      <c r="J622" s="10">
        <f t="shared" si="532"/>
        <v>0</v>
      </c>
      <c r="L622" s="24" t="s">
        <v>85</v>
      </c>
      <c r="M622" s="7">
        <v>5</v>
      </c>
      <c r="N622" s="8">
        <v>11</v>
      </c>
      <c r="O622" s="9">
        <v>2</v>
      </c>
      <c r="P622" s="43">
        <f t="shared" si="533"/>
        <v>18</v>
      </c>
      <c r="Q622" s="11">
        <v>5</v>
      </c>
      <c r="R622" s="8">
        <v>11</v>
      </c>
      <c r="S622" s="9">
        <v>2</v>
      </c>
      <c r="T622" s="43">
        <f t="shared" si="534"/>
        <v>18</v>
      </c>
      <c r="U622" s="10">
        <f t="shared" si="535"/>
        <v>36</v>
      </c>
      <c r="V622" s="56">
        <v>45992</v>
      </c>
    </row>
    <row r="623" spans="1:23" x14ac:dyDescent="0.15">
      <c r="A623" s="22"/>
      <c r="B623" s="7"/>
      <c r="C623" s="8"/>
      <c r="D623" s="9"/>
      <c r="E623" s="43">
        <f t="shared" si="530"/>
        <v>0</v>
      </c>
      <c r="F623" s="11"/>
      <c r="G623" s="8"/>
      <c r="H623" s="9"/>
      <c r="I623" s="43">
        <f t="shared" si="531"/>
        <v>0</v>
      </c>
      <c r="J623" s="10">
        <f t="shared" si="532"/>
        <v>0</v>
      </c>
      <c r="L623" s="24" t="s">
        <v>230</v>
      </c>
      <c r="M623" s="7"/>
      <c r="N623" s="8">
        <v>10</v>
      </c>
      <c r="O623" s="9"/>
      <c r="P623" s="43">
        <f t="shared" si="533"/>
        <v>10</v>
      </c>
      <c r="Q623" s="11"/>
      <c r="R623" s="8">
        <v>10</v>
      </c>
      <c r="S623" s="9"/>
      <c r="T623" s="43">
        <f t="shared" si="534"/>
        <v>10</v>
      </c>
      <c r="U623" s="10">
        <f t="shared" si="535"/>
        <v>20</v>
      </c>
      <c r="V623" s="56">
        <v>45990</v>
      </c>
    </row>
    <row r="624" spans="1:23" x14ac:dyDescent="0.15">
      <c r="A624" s="22"/>
      <c r="B624" s="7"/>
      <c r="C624" s="8"/>
      <c r="D624" s="9"/>
      <c r="E624" s="43">
        <f t="shared" si="530"/>
        <v>0</v>
      </c>
      <c r="F624" s="11"/>
      <c r="G624" s="8"/>
      <c r="H624" s="9"/>
      <c r="I624" s="43">
        <f t="shared" si="531"/>
        <v>0</v>
      </c>
      <c r="J624" s="10">
        <f t="shared" si="532"/>
        <v>0</v>
      </c>
      <c r="L624" s="24" t="s">
        <v>86</v>
      </c>
      <c r="M624" s="7">
        <v>12</v>
      </c>
      <c r="N624" s="8"/>
      <c r="O624" s="9">
        <v>1</v>
      </c>
      <c r="P624" s="43">
        <f t="shared" si="533"/>
        <v>13</v>
      </c>
      <c r="Q624" s="11">
        <v>12</v>
      </c>
      <c r="R624" s="8"/>
      <c r="S624" s="9">
        <v>1</v>
      </c>
      <c r="T624" s="43">
        <f t="shared" si="534"/>
        <v>13</v>
      </c>
      <c r="U624" s="10">
        <f t="shared" si="535"/>
        <v>26</v>
      </c>
      <c r="V624" s="56">
        <v>45994</v>
      </c>
    </row>
    <row r="625" spans="1:23" x14ac:dyDescent="0.15">
      <c r="A625" s="22"/>
      <c r="B625" s="12"/>
      <c r="C625" s="13"/>
      <c r="D625" s="14"/>
      <c r="E625" s="43">
        <f t="shared" si="530"/>
        <v>0</v>
      </c>
      <c r="F625" s="15"/>
      <c r="G625" s="13"/>
      <c r="H625" s="14"/>
      <c r="I625" s="43">
        <f t="shared" si="531"/>
        <v>0</v>
      </c>
      <c r="J625" s="10">
        <f t="shared" si="532"/>
        <v>0</v>
      </c>
      <c r="L625" s="24" t="s">
        <v>89</v>
      </c>
      <c r="M625" s="7">
        <v>4</v>
      </c>
      <c r="N625" s="8">
        <v>9</v>
      </c>
      <c r="O625" s="9">
        <v>2</v>
      </c>
      <c r="P625" s="43">
        <f t="shared" si="533"/>
        <v>15</v>
      </c>
      <c r="Q625" s="11">
        <v>4</v>
      </c>
      <c r="R625" s="8">
        <v>9</v>
      </c>
      <c r="S625" s="9">
        <v>2</v>
      </c>
      <c r="T625" s="43">
        <f t="shared" si="534"/>
        <v>15</v>
      </c>
      <c r="U625" s="10">
        <f t="shared" si="535"/>
        <v>30</v>
      </c>
      <c r="V625" s="56">
        <v>45995</v>
      </c>
    </row>
    <row r="626" spans="1:23" x14ac:dyDescent="0.15">
      <c r="A626" s="22"/>
      <c r="B626" s="7"/>
      <c r="C626" s="8"/>
      <c r="D626" s="9"/>
      <c r="E626" s="43">
        <f t="shared" si="530"/>
        <v>0</v>
      </c>
      <c r="F626" s="11"/>
      <c r="G626" s="8"/>
      <c r="H626" s="9"/>
      <c r="I626" s="43">
        <f t="shared" si="531"/>
        <v>0</v>
      </c>
      <c r="J626" s="10">
        <f t="shared" si="532"/>
        <v>0</v>
      </c>
      <c r="L626" s="24" t="s">
        <v>93</v>
      </c>
      <c r="M626" s="7">
        <v>4</v>
      </c>
      <c r="N626" s="8">
        <v>3</v>
      </c>
      <c r="O626" s="9">
        <v>1</v>
      </c>
      <c r="P626" s="43">
        <f t="shared" si="533"/>
        <v>8</v>
      </c>
      <c r="Q626" s="11">
        <v>4</v>
      </c>
      <c r="R626" s="8">
        <v>3</v>
      </c>
      <c r="S626" s="9">
        <v>1</v>
      </c>
      <c r="T626" s="43">
        <f t="shared" si="534"/>
        <v>8</v>
      </c>
      <c r="U626" s="10">
        <f t="shared" si="535"/>
        <v>16</v>
      </c>
      <c r="V626" s="56">
        <v>45996</v>
      </c>
    </row>
    <row r="627" spans="1:23" x14ac:dyDescent="0.15">
      <c r="A627" s="22"/>
      <c r="B627" s="7"/>
      <c r="C627" s="8"/>
      <c r="D627" s="9"/>
      <c r="E627" s="43">
        <f t="shared" si="530"/>
        <v>0</v>
      </c>
      <c r="F627" s="11"/>
      <c r="G627" s="8"/>
      <c r="H627" s="9"/>
      <c r="I627" s="43">
        <f t="shared" si="531"/>
        <v>0</v>
      </c>
      <c r="J627" s="10">
        <f t="shared" si="532"/>
        <v>0</v>
      </c>
      <c r="L627" s="24" t="s">
        <v>98</v>
      </c>
      <c r="M627" s="7">
        <v>4</v>
      </c>
      <c r="N627" s="8">
        <v>6</v>
      </c>
      <c r="O627" s="9">
        <v>2</v>
      </c>
      <c r="P627" s="43">
        <f t="shared" si="533"/>
        <v>12</v>
      </c>
      <c r="Q627" s="11">
        <v>4</v>
      </c>
      <c r="R627" s="8">
        <v>6</v>
      </c>
      <c r="S627" s="9">
        <v>2</v>
      </c>
      <c r="T627" s="43">
        <f t="shared" si="534"/>
        <v>12</v>
      </c>
      <c r="U627" s="10">
        <f t="shared" si="535"/>
        <v>24</v>
      </c>
      <c r="V627" s="56">
        <v>45996</v>
      </c>
    </row>
    <row r="628" spans="1:23" x14ac:dyDescent="0.15">
      <c r="A628" s="22"/>
      <c r="B628" s="7"/>
      <c r="C628" s="8"/>
      <c r="D628" s="9"/>
      <c r="E628" s="43">
        <f t="shared" si="530"/>
        <v>0</v>
      </c>
      <c r="F628" s="11"/>
      <c r="G628" s="8"/>
      <c r="H628" s="9"/>
      <c r="I628" s="43">
        <f t="shared" si="531"/>
        <v>0</v>
      </c>
      <c r="J628" s="10">
        <f t="shared" si="532"/>
        <v>0</v>
      </c>
      <c r="L628" s="24" t="s">
        <v>101</v>
      </c>
      <c r="M628" s="7">
        <v>1</v>
      </c>
      <c r="N628" s="8">
        <v>2</v>
      </c>
      <c r="O628" s="9">
        <v>2</v>
      </c>
      <c r="P628" s="43">
        <f t="shared" si="533"/>
        <v>5</v>
      </c>
      <c r="Q628" s="11">
        <v>1</v>
      </c>
      <c r="R628" s="8">
        <v>2</v>
      </c>
      <c r="S628" s="9">
        <v>2</v>
      </c>
      <c r="T628" s="43">
        <f t="shared" si="534"/>
        <v>5</v>
      </c>
      <c r="U628" s="10">
        <f t="shared" si="535"/>
        <v>10</v>
      </c>
      <c r="V628" s="56">
        <v>45999</v>
      </c>
    </row>
    <row r="629" spans="1:23" x14ac:dyDescent="0.15">
      <c r="A629" s="22"/>
      <c r="B629" s="7"/>
      <c r="C629" s="8"/>
      <c r="D629" s="9"/>
      <c r="E629" s="43">
        <f t="shared" si="530"/>
        <v>0</v>
      </c>
      <c r="F629" s="11"/>
      <c r="G629" s="8"/>
      <c r="H629" s="9"/>
      <c r="I629" s="43">
        <f t="shared" si="531"/>
        <v>0</v>
      </c>
      <c r="J629" s="10">
        <f t="shared" si="532"/>
        <v>0</v>
      </c>
      <c r="L629" s="24" t="s">
        <v>231</v>
      </c>
      <c r="M629" s="7"/>
      <c r="N629" s="8">
        <v>3</v>
      </c>
      <c r="O629" s="9">
        <v>3</v>
      </c>
      <c r="P629" s="43">
        <f t="shared" si="533"/>
        <v>6</v>
      </c>
      <c r="Q629" s="11"/>
      <c r="R629" s="8">
        <v>3</v>
      </c>
      <c r="S629" s="9">
        <v>3</v>
      </c>
      <c r="T629" s="43">
        <f t="shared" si="534"/>
        <v>6</v>
      </c>
      <c r="U629" s="10">
        <f t="shared" si="535"/>
        <v>12</v>
      </c>
      <c r="V629" s="56">
        <v>45999</v>
      </c>
    </row>
    <row r="630" spans="1:23" x14ac:dyDescent="0.15">
      <c r="A630" s="22"/>
      <c r="B630" s="7"/>
      <c r="C630" s="8"/>
      <c r="D630" s="9"/>
      <c r="E630" s="43">
        <f t="shared" si="530"/>
        <v>0</v>
      </c>
      <c r="F630" s="11"/>
      <c r="G630" s="8"/>
      <c r="H630" s="9"/>
      <c r="I630" s="43">
        <f t="shared" si="531"/>
        <v>0</v>
      </c>
      <c r="J630" s="10">
        <f t="shared" si="532"/>
        <v>0</v>
      </c>
      <c r="L630" s="24" t="s">
        <v>103</v>
      </c>
      <c r="M630" s="7">
        <v>2</v>
      </c>
      <c r="N630" s="8">
        <v>5</v>
      </c>
      <c r="O630" s="9">
        <v>2</v>
      </c>
      <c r="P630" s="43">
        <f t="shared" si="533"/>
        <v>9</v>
      </c>
      <c r="Q630" s="11">
        <v>2</v>
      </c>
      <c r="R630" s="8">
        <v>5</v>
      </c>
      <c r="S630" s="9">
        <v>2</v>
      </c>
      <c r="T630" s="43">
        <f t="shared" si="534"/>
        <v>9</v>
      </c>
      <c r="U630" s="10">
        <f t="shared" si="535"/>
        <v>18</v>
      </c>
      <c r="V630" s="56">
        <v>46001</v>
      </c>
    </row>
    <row r="631" spans="1:23" x14ac:dyDescent="0.15">
      <c r="A631" s="22"/>
      <c r="B631" s="7"/>
      <c r="C631" s="8"/>
      <c r="D631" s="9"/>
      <c r="E631" s="43">
        <f t="shared" si="530"/>
        <v>0</v>
      </c>
      <c r="F631" s="11"/>
      <c r="G631" s="8"/>
      <c r="H631" s="9"/>
      <c r="I631" s="43">
        <f t="shared" si="531"/>
        <v>0</v>
      </c>
      <c r="J631" s="10">
        <f t="shared" si="532"/>
        <v>0</v>
      </c>
      <c r="L631" s="24" t="s">
        <v>104</v>
      </c>
      <c r="M631" s="7"/>
      <c r="N631" s="8"/>
      <c r="O631" s="9">
        <v>1</v>
      </c>
      <c r="P631" s="43">
        <f t="shared" si="533"/>
        <v>1</v>
      </c>
      <c r="Q631" s="11"/>
      <c r="R631" s="8"/>
      <c r="S631" s="9">
        <v>1</v>
      </c>
      <c r="T631" s="43">
        <f t="shared" si="534"/>
        <v>1</v>
      </c>
      <c r="U631" s="10">
        <f t="shared" si="535"/>
        <v>2</v>
      </c>
      <c r="V631" s="56">
        <v>46002</v>
      </c>
    </row>
    <row r="632" spans="1:23" x14ac:dyDescent="0.15">
      <c r="A632" s="24"/>
      <c r="B632" s="7"/>
      <c r="C632" s="8"/>
      <c r="D632" s="9"/>
      <c r="E632" s="43">
        <f t="shared" si="530"/>
        <v>0</v>
      </c>
      <c r="F632" s="11"/>
      <c r="G632" s="8"/>
      <c r="H632" s="9"/>
      <c r="I632" s="43">
        <f t="shared" si="531"/>
        <v>0</v>
      </c>
      <c r="J632" s="10">
        <f t="shared" si="532"/>
        <v>0</v>
      </c>
      <c r="L632" s="24" t="s">
        <v>106</v>
      </c>
      <c r="M632" s="7">
        <v>1</v>
      </c>
      <c r="N632" s="8"/>
      <c r="O632" s="9">
        <v>2</v>
      </c>
      <c r="P632" s="43">
        <f t="shared" si="533"/>
        <v>3</v>
      </c>
      <c r="Q632" s="11">
        <v>1</v>
      </c>
      <c r="R632" s="8"/>
      <c r="S632" s="9">
        <v>2</v>
      </c>
      <c r="T632" s="43">
        <f t="shared" si="534"/>
        <v>3</v>
      </c>
      <c r="U632" s="10">
        <f t="shared" si="535"/>
        <v>6</v>
      </c>
      <c r="V632" s="56">
        <v>46003</v>
      </c>
    </row>
    <row r="633" spans="1:23" x14ac:dyDescent="0.15">
      <c r="A633" s="22"/>
      <c r="B633" s="7"/>
      <c r="C633" s="8"/>
      <c r="D633" s="9"/>
      <c r="E633" s="43">
        <f t="shared" si="530"/>
        <v>0</v>
      </c>
      <c r="F633" s="11"/>
      <c r="G633" s="8"/>
      <c r="H633" s="9"/>
      <c r="I633" s="43">
        <f t="shared" si="531"/>
        <v>0</v>
      </c>
      <c r="J633" s="10">
        <f t="shared" si="532"/>
        <v>0</v>
      </c>
      <c r="L633" s="24" t="s">
        <v>110</v>
      </c>
      <c r="M633" s="7">
        <v>1</v>
      </c>
      <c r="N633" s="8"/>
      <c r="O633" s="9"/>
      <c r="P633" s="43">
        <f t="shared" si="533"/>
        <v>1</v>
      </c>
      <c r="Q633" s="11">
        <v>1</v>
      </c>
      <c r="R633" s="8"/>
      <c r="S633" s="9"/>
      <c r="T633" s="43">
        <f t="shared" si="534"/>
        <v>1</v>
      </c>
      <c r="U633" s="10">
        <f t="shared" si="535"/>
        <v>2</v>
      </c>
      <c r="V633" s="56">
        <v>46006</v>
      </c>
    </row>
    <row r="634" spans="1:23" x14ac:dyDescent="0.15">
      <c r="A634" s="22"/>
      <c r="B634" s="7"/>
      <c r="C634" s="8"/>
      <c r="D634" s="9"/>
      <c r="E634" s="43">
        <f t="shared" si="530"/>
        <v>0</v>
      </c>
      <c r="F634" s="11"/>
      <c r="G634" s="8"/>
      <c r="H634" s="9"/>
      <c r="I634" s="43">
        <f t="shared" si="531"/>
        <v>0</v>
      </c>
      <c r="J634" s="10">
        <f t="shared" si="532"/>
        <v>0</v>
      </c>
      <c r="L634" s="24" t="s">
        <v>112</v>
      </c>
      <c r="M634" s="7">
        <v>1</v>
      </c>
      <c r="N634" s="8"/>
      <c r="O634" s="9"/>
      <c r="P634" s="43">
        <f t="shared" si="533"/>
        <v>1</v>
      </c>
      <c r="Q634" s="11">
        <v>1</v>
      </c>
      <c r="R634" s="8"/>
      <c r="S634" s="9"/>
      <c r="T634" s="43">
        <f t="shared" si="534"/>
        <v>1</v>
      </c>
      <c r="U634" s="10">
        <f t="shared" si="535"/>
        <v>2</v>
      </c>
      <c r="V634" s="56">
        <v>46008</v>
      </c>
    </row>
    <row r="635" spans="1:23" x14ac:dyDescent="0.15">
      <c r="A635" s="22"/>
      <c r="B635" s="7"/>
      <c r="C635" s="8"/>
      <c r="D635" s="9"/>
      <c r="E635" s="43">
        <f t="shared" si="530"/>
        <v>0</v>
      </c>
      <c r="F635" s="11"/>
      <c r="G635" s="8"/>
      <c r="H635" s="9"/>
      <c r="I635" s="43">
        <f t="shared" si="531"/>
        <v>0</v>
      </c>
      <c r="J635" s="10">
        <f t="shared" si="532"/>
        <v>0</v>
      </c>
      <c r="L635" s="24" t="s">
        <v>114</v>
      </c>
      <c r="M635" s="7">
        <v>4</v>
      </c>
      <c r="N635" s="8"/>
      <c r="O635" s="9">
        <v>2</v>
      </c>
      <c r="P635" s="43">
        <f t="shared" si="533"/>
        <v>6</v>
      </c>
      <c r="Q635" s="11">
        <v>4</v>
      </c>
      <c r="R635" s="8"/>
      <c r="S635" s="9">
        <v>2</v>
      </c>
      <c r="T635" s="43">
        <f t="shared" si="534"/>
        <v>6</v>
      </c>
      <c r="U635" s="10">
        <f t="shared" si="535"/>
        <v>12</v>
      </c>
      <c r="V635" s="56">
        <v>46009</v>
      </c>
    </row>
    <row r="636" spans="1:23" x14ac:dyDescent="0.15">
      <c r="A636" s="22"/>
      <c r="B636" s="7"/>
      <c r="C636" s="8"/>
      <c r="D636" s="9"/>
      <c r="E636" s="43">
        <f t="shared" si="530"/>
        <v>0</v>
      </c>
      <c r="F636" s="11"/>
      <c r="G636" s="8"/>
      <c r="H636" s="9"/>
      <c r="I636" s="43">
        <f t="shared" si="531"/>
        <v>0</v>
      </c>
      <c r="J636" s="10">
        <f t="shared" si="532"/>
        <v>0</v>
      </c>
      <c r="L636" s="24" t="s">
        <v>116</v>
      </c>
      <c r="M636" s="7">
        <v>2</v>
      </c>
      <c r="N636" s="8"/>
      <c r="O636" s="9"/>
      <c r="P636" s="43">
        <f t="shared" si="533"/>
        <v>2</v>
      </c>
      <c r="Q636" s="11">
        <v>2</v>
      </c>
      <c r="R636" s="8"/>
      <c r="S636" s="9"/>
      <c r="T636" s="43">
        <f t="shared" si="534"/>
        <v>2</v>
      </c>
      <c r="U636" s="10">
        <f t="shared" si="535"/>
        <v>4</v>
      </c>
      <c r="V636" s="56">
        <v>46010</v>
      </c>
      <c r="W636" s="61"/>
    </row>
    <row r="637" spans="1:23" x14ac:dyDescent="0.15">
      <c r="A637" s="63"/>
      <c r="B637" s="12"/>
      <c r="C637" s="13"/>
      <c r="D637" s="14"/>
      <c r="E637" s="43">
        <f t="shared" si="530"/>
        <v>0</v>
      </c>
      <c r="F637" s="15"/>
      <c r="G637" s="13"/>
      <c r="H637" s="14"/>
      <c r="I637" s="43">
        <f t="shared" si="531"/>
        <v>0</v>
      </c>
      <c r="J637" s="10">
        <f t="shared" si="532"/>
        <v>0</v>
      </c>
      <c r="L637" s="24"/>
      <c r="M637" s="7"/>
      <c r="N637" s="8"/>
      <c r="O637" s="9"/>
      <c r="P637" s="43">
        <f t="shared" si="533"/>
        <v>0</v>
      </c>
      <c r="Q637" s="11"/>
      <c r="R637" s="8"/>
      <c r="S637" s="9"/>
      <c r="T637" s="43">
        <f t="shared" si="534"/>
        <v>0</v>
      </c>
      <c r="U637" s="10">
        <f t="shared" si="535"/>
        <v>0</v>
      </c>
    </row>
    <row r="638" spans="1:23" x14ac:dyDescent="0.15">
      <c r="A638" s="22"/>
      <c r="B638" s="7"/>
      <c r="C638" s="8"/>
      <c r="D638" s="9"/>
      <c r="E638" s="43">
        <f t="shared" si="530"/>
        <v>0</v>
      </c>
      <c r="F638" s="11"/>
      <c r="G638" s="8"/>
      <c r="H638" s="9"/>
      <c r="I638" s="43">
        <f t="shared" si="531"/>
        <v>0</v>
      </c>
      <c r="J638" s="10">
        <f t="shared" si="532"/>
        <v>0</v>
      </c>
      <c r="L638" s="121" t="s">
        <v>427</v>
      </c>
      <c r="M638" s="122"/>
      <c r="N638" s="123"/>
      <c r="O638" s="124"/>
      <c r="P638" s="125">
        <f t="shared" ref="P638:P639" si="536">SUM(M638:O638)</f>
        <v>0</v>
      </c>
      <c r="Q638" s="127"/>
      <c r="R638" s="123"/>
      <c r="S638" s="124"/>
      <c r="T638" s="125">
        <f t="shared" ref="T638:T639" si="537">SUM(Q638:S638)</f>
        <v>0</v>
      </c>
      <c r="U638" s="126">
        <f t="shared" ref="U638:U639" si="538">P638+T638</f>
        <v>0</v>
      </c>
      <c r="V638" s="116" t="s">
        <v>181</v>
      </c>
    </row>
    <row r="639" spans="1:23" x14ac:dyDescent="0.15">
      <c r="A639" s="63"/>
      <c r="B639" s="7"/>
      <c r="C639" s="8"/>
      <c r="D639" s="9"/>
      <c r="E639" s="43">
        <f t="shared" si="530"/>
        <v>0</v>
      </c>
      <c r="F639" s="11"/>
      <c r="G639" s="8"/>
      <c r="H639" s="9"/>
      <c r="I639" s="43">
        <f t="shared" si="531"/>
        <v>0</v>
      </c>
      <c r="J639" s="10">
        <f t="shared" si="532"/>
        <v>0</v>
      </c>
      <c r="L639" s="24" t="s">
        <v>428</v>
      </c>
      <c r="M639" s="7"/>
      <c r="N639" s="8"/>
      <c r="O639" s="9"/>
      <c r="P639" s="43">
        <f t="shared" si="536"/>
        <v>0</v>
      </c>
      <c r="Q639" s="11"/>
      <c r="R639" s="8"/>
      <c r="S639" s="9"/>
      <c r="T639" s="43">
        <f t="shared" si="537"/>
        <v>0</v>
      </c>
      <c r="U639" s="10">
        <f t="shared" si="538"/>
        <v>0</v>
      </c>
      <c r="V639" s="61" t="s">
        <v>24</v>
      </c>
    </row>
    <row r="640" spans="1:23" x14ac:dyDescent="0.15">
      <c r="A640" s="22"/>
      <c r="B640" s="7"/>
      <c r="C640" s="8"/>
      <c r="D640" s="9"/>
      <c r="E640" s="43">
        <f t="shared" si="530"/>
        <v>0</v>
      </c>
      <c r="F640" s="11"/>
      <c r="G640" s="8"/>
      <c r="H640" s="9"/>
      <c r="I640" s="43">
        <f t="shared" si="531"/>
        <v>0</v>
      </c>
      <c r="J640" s="10">
        <f t="shared" si="532"/>
        <v>0</v>
      </c>
      <c r="L640" s="24" t="s">
        <v>429</v>
      </c>
      <c r="M640" s="7"/>
      <c r="N640" s="8"/>
      <c r="O640" s="9"/>
      <c r="P640" s="43">
        <f t="shared" ref="P640" si="539">SUM(M640:O640)</f>
        <v>0</v>
      </c>
      <c r="Q640" s="11"/>
      <c r="R640" s="8"/>
      <c r="S640" s="9"/>
      <c r="T640" s="43">
        <f t="shared" ref="T640" si="540">SUM(Q640:S640)</f>
        <v>0</v>
      </c>
      <c r="U640" s="10">
        <f t="shared" ref="U640" si="541">P640+T640</f>
        <v>0</v>
      </c>
      <c r="V640" s="61" t="s">
        <v>336</v>
      </c>
    </row>
    <row r="641" spans="1:23" ht="14.25" thickBot="1" x14ac:dyDescent="0.2">
      <c r="A641" s="22"/>
      <c r="B641" s="7"/>
      <c r="C641" s="8"/>
      <c r="D641" s="9"/>
      <c r="E641" s="43">
        <f t="shared" si="530"/>
        <v>0</v>
      </c>
      <c r="F641" s="11"/>
      <c r="G641" s="8"/>
      <c r="H641" s="9"/>
      <c r="I641" s="43">
        <f t="shared" si="531"/>
        <v>0</v>
      </c>
      <c r="J641" s="10">
        <f t="shared" si="532"/>
        <v>0</v>
      </c>
      <c r="L641" s="24" t="s">
        <v>161</v>
      </c>
      <c r="M641" s="7"/>
      <c r="N641" s="8"/>
      <c r="O641" s="9"/>
      <c r="P641" s="43">
        <f t="shared" si="533"/>
        <v>0</v>
      </c>
      <c r="Q641" s="7"/>
      <c r="R641" s="8"/>
      <c r="S641" s="9"/>
      <c r="T641" s="43">
        <f t="shared" si="534"/>
        <v>0</v>
      </c>
      <c r="U641" s="10">
        <f t="shared" si="535"/>
        <v>0</v>
      </c>
      <c r="V641" s="61" t="s">
        <v>414</v>
      </c>
    </row>
    <row r="642" spans="1:23" ht="14.25" thickBot="1" x14ac:dyDescent="0.2">
      <c r="A642" s="35" t="s">
        <v>17</v>
      </c>
      <c r="B642" s="40">
        <f>SUM(B616:B641)</f>
        <v>0</v>
      </c>
      <c r="C642" s="41">
        <f t="shared" ref="C642:D642" si="542">SUM(C616:C641)</f>
        <v>0</v>
      </c>
      <c r="D642" s="52">
        <f t="shared" si="542"/>
        <v>0</v>
      </c>
      <c r="E642" s="39">
        <f t="shared" si="530"/>
        <v>0</v>
      </c>
      <c r="F642" s="40">
        <f>SUM(F616:F641)</f>
        <v>0</v>
      </c>
      <c r="G642" s="41">
        <f t="shared" ref="G642:H642" si="543">SUM(G616:G641)</f>
        <v>0</v>
      </c>
      <c r="H642" s="52">
        <f t="shared" si="543"/>
        <v>0</v>
      </c>
      <c r="I642" s="39">
        <f t="shared" si="531"/>
        <v>0</v>
      </c>
      <c r="J642" s="39">
        <f>E642+I642</f>
        <v>0</v>
      </c>
      <c r="L642" s="35" t="s">
        <v>17</v>
      </c>
      <c r="M642" s="40">
        <f>SUM(M616:M641)</f>
        <v>74</v>
      </c>
      <c r="N642" s="41">
        <f t="shared" ref="N642:O642" si="544">SUM(N616:N641)</f>
        <v>88</v>
      </c>
      <c r="O642" s="52">
        <f t="shared" si="544"/>
        <v>35</v>
      </c>
      <c r="P642" s="39">
        <f t="shared" si="533"/>
        <v>197</v>
      </c>
      <c r="Q642" s="40">
        <f>SUM(Q616:Q641)</f>
        <v>74</v>
      </c>
      <c r="R642" s="41">
        <f t="shared" ref="R642:S642" si="545">SUM(R616:R641)</f>
        <v>88</v>
      </c>
      <c r="S642" s="52">
        <f t="shared" si="545"/>
        <v>35</v>
      </c>
      <c r="T642" s="39">
        <f t="shared" si="534"/>
        <v>197</v>
      </c>
      <c r="U642" s="39">
        <f>P642+T642</f>
        <v>394</v>
      </c>
    </row>
    <row r="643" spans="1:23" ht="14.25" thickBot="1" x14ac:dyDescent="0.2">
      <c r="A643" s="21" t="s">
        <v>16</v>
      </c>
      <c r="B643" s="44">
        <f>B615-B642</f>
        <v>1</v>
      </c>
      <c r="C643" s="50">
        <f t="shared" ref="C643:D643" si="546">C615-C642</f>
        <v>1</v>
      </c>
      <c r="D643" s="51">
        <f t="shared" si="546"/>
        <v>1</v>
      </c>
      <c r="E643" s="49">
        <f>SUM(B643:D643)</f>
        <v>3</v>
      </c>
      <c r="F643" s="44">
        <f>F615-F642</f>
        <v>1</v>
      </c>
      <c r="G643" s="50">
        <f t="shared" ref="G643:H643" si="547">G615-G642</f>
        <v>1</v>
      </c>
      <c r="H643" s="51">
        <f t="shared" si="547"/>
        <v>1</v>
      </c>
      <c r="I643" s="49">
        <f>SUM(F643:H643)</f>
        <v>3</v>
      </c>
      <c r="J643" s="28">
        <f>E643+I643</f>
        <v>6</v>
      </c>
      <c r="L643" s="21" t="s">
        <v>16</v>
      </c>
      <c r="M643" s="44">
        <f>M615-M642</f>
        <v>171</v>
      </c>
      <c r="N643" s="50">
        <f t="shared" ref="N643:O643" si="548">N615-N642</f>
        <v>180</v>
      </c>
      <c r="O643" s="51">
        <f t="shared" si="548"/>
        <v>146</v>
      </c>
      <c r="P643" s="49">
        <f>SUM(M643:O643)</f>
        <v>497</v>
      </c>
      <c r="Q643" s="44">
        <f>Q615-Q642</f>
        <v>171</v>
      </c>
      <c r="R643" s="50">
        <f t="shared" ref="R643:S643" si="549">R615-R642</f>
        <v>180</v>
      </c>
      <c r="S643" s="51">
        <f t="shared" si="549"/>
        <v>146</v>
      </c>
      <c r="T643" s="49">
        <f>SUM(Q643:S643)</f>
        <v>497</v>
      </c>
      <c r="U643" s="28">
        <f>P643+T643</f>
        <v>994</v>
      </c>
    </row>
    <row r="646" spans="1:23" ht="19.5" thickBot="1" x14ac:dyDescent="0.25">
      <c r="A646" s="84" t="s">
        <v>29</v>
      </c>
      <c r="B646" s="85"/>
      <c r="C646" s="85"/>
      <c r="D646" s="85"/>
      <c r="E646" s="85"/>
      <c r="F646" s="85"/>
      <c r="G646" s="85"/>
      <c r="H646" s="85"/>
      <c r="I646" s="85"/>
      <c r="J646" s="85"/>
      <c r="L646" s="86" t="s">
        <v>337</v>
      </c>
      <c r="M646" s="117"/>
      <c r="N646" s="117"/>
      <c r="O646" s="117"/>
      <c r="P646" s="117"/>
      <c r="Q646" s="117"/>
      <c r="R646" s="117"/>
      <c r="S646" s="117"/>
      <c r="T646" s="87"/>
      <c r="U646" s="87">
        <v>1040</v>
      </c>
    </row>
    <row r="647" spans="1:23" ht="14.25" thickBot="1" x14ac:dyDescent="0.2">
      <c r="A647" s="6"/>
      <c r="B647" s="146" t="s">
        <v>18</v>
      </c>
      <c r="C647" s="147"/>
      <c r="D647" s="147"/>
      <c r="E647" s="148"/>
      <c r="F647" s="146" t="s">
        <v>22</v>
      </c>
      <c r="G647" s="147"/>
      <c r="H647" s="147"/>
      <c r="I647" s="148"/>
      <c r="J647" s="101" t="s">
        <v>0</v>
      </c>
      <c r="L647" s="6"/>
      <c r="M647" s="149" t="s">
        <v>18</v>
      </c>
      <c r="N647" s="150"/>
      <c r="O647" s="150"/>
      <c r="P647" s="151"/>
      <c r="Q647" s="149" t="s">
        <v>22</v>
      </c>
      <c r="R647" s="150"/>
      <c r="S647" s="150"/>
      <c r="T647" s="151"/>
      <c r="U647" s="101" t="s">
        <v>0</v>
      </c>
    </row>
    <row r="648" spans="1:23" ht="14.25" thickBot="1" x14ac:dyDescent="0.2">
      <c r="A648" s="6" t="s">
        <v>1</v>
      </c>
      <c r="B648" s="3" t="s">
        <v>2</v>
      </c>
      <c r="C648" s="4" t="s">
        <v>3</v>
      </c>
      <c r="D648" s="5" t="s">
        <v>4</v>
      </c>
      <c r="E648" s="6" t="s">
        <v>5</v>
      </c>
      <c r="F648" s="3" t="s">
        <v>2</v>
      </c>
      <c r="G648" s="4" t="s">
        <v>3</v>
      </c>
      <c r="H648" s="5" t="s">
        <v>4</v>
      </c>
      <c r="I648" s="6" t="s">
        <v>5</v>
      </c>
      <c r="J648" s="102"/>
      <c r="L648" s="6" t="s">
        <v>1</v>
      </c>
      <c r="M648" s="3" t="s">
        <v>2</v>
      </c>
      <c r="N648" s="4" t="s">
        <v>3</v>
      </c>
      <c r="O648" s="5" t="s">
        <v>4</v>
      </c>
      <c r="P648" s="6" t="s">
        <v>5</v>
      </c>
      <c r="Q648" s="3" t="s">
        <v>2</v>
      </c>
      <c r="R648" s="4" t="s">
        <v>3</v>
      </c>
      <c r="S648" s="5" t="s">
        <v>4</v>
      </c>
      <c r="T648" s="6" t="s">
        <v>5</v>
      </c>
      <c r="U648" s="102"/>
    </row>
    <row r="649" spans="1:23" ht="14.25" thickBot="1" x14ac:dyDescent="0.2">
      <c r="A649" s="62" t="s">
        <v>16</v>
      </c>
      <c r="B649" s="40">
        <f>B643</f>
        <v>1</v>
      </c>
      <c r="C649" s="41">
        <f>C643</f>
        <v>1</v>
      </c>
      <c r="D649" s="81">
        <f>D643</f>
        <v>1</v>
      </c>
      <c r="E649" s="39">
        <f>SUM(B649:D649)</f>
        <v>3</v>
      </c>
      <c r="F649" s="40">
        <f>F643</f>
        <v>1</v>
      </c>
      <c r="G649" s="41">
        <f>G643</f>
        <v>1</v>
      </c>
      <c r="H649" s="81">
        <f>H643</f>
        <v>1</v>
      </c>
      <c r="I649" s="39">
        <f>SUM(F649:H649)</f>
        <v>3</v>
      </c>
      <c r="J649" s="39">
        <f>E649+I649</f>
        <v>6</v>
      </c>
      <c r="L649" s="66" t="s">
        <v>6</v>
      </c>
      <c r="M649" s="25">
        <f>M643</f>
        <v>171</v>
      </c>
      <c r="N649" s="26">
        <f>N643</f>
        <v>180</v>
      </c>
      <c r="O649" s="115">
        <f>O643</f>
        <v>146</v>
      </c>
      <c r="P649" s="28">
        <f>SUM(M649:O649)</f>
        <v>497</v>
      </c>
      <c r="Q649" s="25">
        <f>Q643</f>
        <v>171</v>
      </c>
      <c r="R649" s="26">
        <f>R643</f>
        <v>180</v>
      </c>
      <c r="S649" s="27">
        <f>S643</f>
        <v>146</v>
      </c>
      <c r="T649" s="28">
        <f>SUM(Q649:S649)</f>
        <v>497</v>
      </c>
      <c r="U649" s="28">
        <f>P649+T649</f>
        <v>994</v>
      </c>
    </row>
    <row r="650" spans="1:23" x14ac:dyDescent="0.15">
      <c r="A650" s="23" t="s">
        <v>445</v>
      </c>
      <c r="B650" s="12">
        <v>1</v>
      </c>
      <c r="C650" s="13"/>
      <c r="D650" s="47"/>
      <c r="E650" s="10">
        <f t="shared" ref="E650:E657" si="550">SUM(B650:D650)</f>
        <v>1</v>
      </c>
      <c r="F650" s="15">
        <v>1</v>
      </c>
      <c r="G650" s="13"/>
      <c r="H650" s="14"/>
      <c r="I650" s="10">
        <f t="shared" ref="I650:I657" si="551">SUM(F650:H650)</f>
        <v>1</v>
      </c>
      <c r="J650" s="10">
        <f t="shared" ref="J650:J657" si="552">E650+I650</f>
        <v>2</v>
      </c>
      <c r="K650" s="58">
        <v>46015</v>
      </c>
      <c r="L650" s="23" t="s">
        <v>7</v>
      </c>
      <c r="M650" s="12"/>
      <c r="N650" s="13"/>
      <c r="O650" s="47"/>
      <c r="P650" s="10">
        <f t="shared" ref="P650:P657" si="553">SUM(M650:O650)</f>
        <v>0</v>
      </c>
      <c r="Q650" s="15"/>
      <c r="R650" s="13"/>
      <c r="S650" s="14"/>
      <c r="T650" s="10">
        <f t="shared" ref="T650:T657" si="554">SUM(Q650:S650)</f>
        <v>0</v>
      </c>
      <c r="U650" s="10">
        <f t="shared" ref="U650:U657" si="555">P650+T650</f>
        <v>0</v>
      </c>
    </row>
    <row r="651" spans="1:23" x14ac:dyDescent="0.15">
      <c r="A651" s="23" t="s">
        <v>8</v>
      </c>
      <c r="B651" s="12"/>
      <c r="C651" s="13"/>
      <c r="D651" s="47"/>
      <c r="E651" s="10">
        <f t="shared" si="550"/>
        <v>0</v>
      </c>
      <c r="F651" s="15"/>
      <c r="G651" s="13"/>
      <c r="H651" s="14"/>
      <c r="I651" s="10">
        <f t="shared" si="551"/>
        <v>0</v>
      </c>
      <c r="J651" s="10">
        <f t="shared" si="552"/>
        <v>0</v>
      </c>
      <c r="L651" s="23" t="s">
        <v>8</v>
      </c>
      <c r="M651" s="12"/>
      <c r="N651" s="13"/>
      <c r="O651" s="47"/>
      <c r="P651" s="10">
        <f t="shared" ref="P651:P654" si="556">SUM(M651:O651)</f>
        <v>0</v>
      </c>
      <c r="Q651" s="15"/>
      <c r="R651" s="13"/>
      <c r="S651" s="14"/>
      <c r="T651" s="10">
        <f t="shared" ref="T651:T654" si="557">SUM(Q651:S651)</f>
        <v>0</v>
      </c>
      <c r="U651" s="10">
        <f t="shared" ref="U651:U654" si="558">P651+T651</f>
        <v>0</v>
      </c>
    </row>
    <row r="652" spans="1:23" x14ac:dyDescent="0.15">
      <c r="A652" s="23" t="s">
        <v>9</v>
      </c>
      <c r="B652" s="12"/>
      <c r="C652" s="13"/>
      <c r="D652" s="47"/>
      <c r="E652" s="10">
        <f t="shared" si="550"/>
        <v>0</v>
      </c>
      <c r="F652" s="15"/>
      <c r="G652" s="13"/>
      <c r="H652" s="14"/>
      <c r="I652" s="10">
        <f t="shared" si="551"/>
        <v>0</v>
      </c>
      <c r="J652" s="10">
        <f t="shared" si="552"/>
        <v>0</v>
      </c>
      <c r="L652" s="23" t="s">
        <v>418</v>
      </c>
      <c r="M652" s="12">
        <v>120</v>
      </c>
      <c r="N652" s="13">
        <v>110</v>
      </c>
      <c r="O652" s="47">
        <v>50</v>
      </c>
      <c r="P652" s="10">
        <f t="shared" si="556"/>
        <v>280</v>
      </c>
      <c r="Q652" s="12">
        <v>120</v>
      </c>
      <c r="R652" s="13">
        <v>110</v>
      </c>
      <c r="S652" s="47">
        <v>50</v>
      </c>
      <c r="T652" s="10">
        <f t="shared" si="557"/>
        <v>280</v>
      </c>
      <c r="U652" s="10">
        <f t="shared" si="558"/>
        <v>560</v>
      </c>
      <c r="V652" s="56" t="s">
        <v>439</v>
      </c>
      <c r="W652" s="95"/>
    </row>
    <row r="653" spans="1:23" x14ac:dyDescent="0.15">
      <c r="A653" s="23" t="s">
        <v>10</v>
      </c>
      <c r="B653" s="12"/>
      <c r="C653" s="13"/>
      <c r="D653" s="47"/>
      <c r="E653" s="10">
        <f t="shared" si="550"/>
        <v>0</v>
      </c>
      <c r="F653" s="15"/>
      <c r="G653" s="13"/>
      <c r="H653" s="14"/>
      <c r="I653" s="10">
        <f t="shared" si="551"/>
        <v>0</v>
      </c>
      <c r="J653" s="10">
        <f t="shared" si="552"/>
        <v>0</v>
      </c>
      <c r="L653" s="23" t="s">
        <v>430</v>
      </c>
      <c r="M653" s="12">
        <v>-30</v>
      </c>
      <c r="N653" s="13">
        <v>-70</v>
      </c>
      <c r="O653" s="47">
        <v>-50</v>
      </c>
      <c r="P653" s="10">
        <f t="shared" si="556"/>
        <v>-150</v>
      </c>
      <c r="Q653" s="15">
        <v>-30</v>
      </c>
      <c r="R653" s="13">
        <v>-70</v>
      </c>
      <c r="S653" s="14">
        <v>-50</v>
      </c>
      <c r="T653" s="10">
        <f t="shared" si="557"/>
        <v>-150</v>
      </c>
      <c r="U653" s="10">
        <f t="shared" si="558"/>
        <v>-300</v>
      </c>
      <c r="V653" s="61"/>
    </row>
    <row r="654" spans="1:23" x14ac:dyDescent="0.15">
      <c r="A654" s="23" t="s">
        <v>11</v>
      </c>
      <c r="B654" s="12"/>
      <c r="C654" s="13"/>
      <c r="D654" s="47"/>
      <c r="E654" s="10">
        <f t="shared" si="550"/>
        <v>0</v>
      </c>
      <c r="F654" s="15"/>
      <c r="G654" s="13"/>
      <c r="H654" s="14"/>
      <c r="I654" s="10">
        <f t="shared" si="551"/>
        <v>0</v>
      </c>
      <c r="J654" s="10">
        <f t="shared" si="552"/>
        <v>0</v>
      </c>
      <c r="L654" s="23" t="s">
        <v>444</v>
      </c>
      <c r="M654" s="12">
        <v>1</v>
      </c>
      <c r="N654" s="13">
        <v>1</v>
      </c>
      <c r="O654" s="47"/>
      <c r="P654" s="10">
        <f t="shared" si="556"/>
        <v>2</v>
      </c>
      <c r="Q654" s="15">
        <v>1</v>
      </c>
      <c r="R654" s="13">
        <v>1</v>
      </c>
      <c r="S654" s="14"/>
      <c r="T654" s="10">
        <f t="shared" si="557"/>
        <v>2</v>
      </c>
      <c r="U654" s="10">
        <f t="shared" si="558"/>
        <v>4</v>
      </c>
      <c r="V654" s="58">
        <v>46011</v>
      </c>
    </row>
    <row r="655" spans="1:23" x14ac:dyDescent="0.15">
      <c r="A655" s="23" t="s">
        <v>12</v>
      </c>
      <c r="B655" s="12"/>
      <c r="C655" s="13"/>
      <c r="D655" s="47"/>
      <c r="E655" s="10">
        <f t="shared" si="550"/>
        <v>0</v>
      </c>
      <c r="F655" s="15"/>
      <c r="G655" s="13"/>
      <c r="H655" s="14"/>
      <c r="I655" s="10">
        <f t="shared" si="551"/>
        <v>0</v>
      </c>
      <c r="J655" s="10">
        <f t="shared" si="552"/>
        <v>0</v>
      </c>
      <c r="L655" s="23" t="s">
        <v>444</v>
      </c>
      <c r="M655" s="12">
        <v>1</v>
      </c>
      <c r="N655" s="13"/>
      <c r="O655" s="47"/>
      <c r="P655" s="10">
        <f t="shared" ref="P655" si="559">SUM(M655:O655)</f>
        <v>1</v>
      </c>
      <c r="Q655" s="15">
        <v>1</v>
      </c>
      <c r="R655" s="13"/>
      <c r="S655" s="14"/>
      <c r="T655" s="10">
        <f t="shared" ref="T655" si="560">SUM(Q655:S655)</f>
        <v>1</v>
      </c>
      <c r="U655" s="10">
        <f t="shared" ref="U655" si="561">P655+T655</f>
        <v>2</v>
      </c>
      <c r="V655" s="58">
        <v>46032</v>
      </c>
    </row>
    <row r="656" spans="1:23" x14ac:dyDescent="0.15">
      <c r="A656" s="23" t="s">
        <v>13</v>
      </c>
      <c r="B656" s="12"/>
      <c r="C656" s="13"/>
      <c r="D656" s="47"/>
      <c r="E656" s="10">
        <f t="shared" si="550"/>
        <v>0</v>
      </c>
      <c r="F656" s="15"/>
      <c r="G656" s="13"/>
      <c r="H656" s="14"/>
      <c r="I656" s="10">
        <f t="shared" si="551"/>
        <v>0</v>
      </c>
      <c r="J656" s="10">
        <f t="shared" si="552"/>
        <v>0</v>
      </c>
      <c r="L656" s="23" t="s">
        <v>13</v>
      </c>
      <c r="M656" s="12"/>
      <c r="N656" s="13"/>
      <c r="O656" s="47"/>
      <c r="P656" s="10">
        <f t="shared" si="553"/>
        <v>0</v>
      </c>
      <c r="Q656" s="15"/>
      <c r="R656" s="13"/>
      <c r="S656" s="14"/>
      <c r="T656" s="10">
        <f t="shared" si="554"/>
        <v>0</v>
      </c>
      <c r="U656" s="10">
        <f t="shared" si="555"/>
        <v>0</v>
      </c>
    </row>
    <row r="657" spans="1:23" ht="14.25" thickBot="1" x14ac:dyDescent="0.2">
      <c r="A657" s="23" t="s">
        <v>14</v>
      </c>
      <c r="B657" s="12"/>
      <c r="C657" s="13"/>
      <c r="D657" s="47"/>
      <c r="E657" s="10">
        <f t="shared" si="550"/>
        <v>0</v>
      </c>
      <c r="F657" s="15"/>
      <c r="G657" s="13"/>
      <c r="H657" s="14"/>
      <c r="I657" s="10">
        <f t="shared" si="551"/>
        <v>0</v>
      </c>
      <c r="J657" s="10">
        <f t="shared" si="552"/>
        <v>0</v>
      </c>
      <c r="L657" s="23" t="s">
        <v>14</v>
      </c>
      <c r="M657" s="12"/>
      <c r="N657" s="13"/>
      <c r="O657" s="47"/>
      <c r="P657" s="10">
        <f t="shared" si="553"/>
        <v>0</v>
      </c>
      <c r="Q657" s="15"/>
      <c r="R657" s="13"/>
      <c r="S657" s="14"/>
      <c r="T657" s="10">
        <f t="shared" si="554"/>
        <v>0</v>
      </c>
      <c r="U657" s="10">
        <f t="shared" si="555"/>
        <v>0</v>
      </c>
    </row>
    <row r="658" spans="1:23" ht="14.25" thickBot="1" x14ac:dyDescent="0.2">
      <c r="A658" s="32" t="s">
        <v>15</v>
      </c>
      <c r="B658" s="25">
        <f>SUM(B649:B657)</f>
        <v>2</v>
      </c>
      <c r="C658" s="26">
        <f>SUM(C649:C657)</f>
        <v>1</v>
      </c>
      <c r="D658" s="27">
        <f>SUM(D649:D657)</f>
        <v>1</v>
      </c>
      <c r="E658" s="28">
        <f>SUM(B658:D658)</f>
        <v>4</v>
      </c>
      <c r="F658" s="25">
        <f>SUM(F649:F657)</f>
        <v>2</v>
      </c>
      <c r="G658" s="26">
        <f>SUM(G649:G657)</f>
        <v>1</v>
      </c>
      <c r="H658" s="27">
        <f>SUM(H649:H657)</f>
        <v>1</v>
      </c>
      <c r="I658" s="28">
        <f>SUM(F658:H658)</f>
        <v>4</v>
      </c>
      <c r="J658" s="28">
        <f>E658+I658</f>
        <v>8</v>
      </c>
      <c r="L658" s="32" t="s">
        <v>15</v>
      </c>
      <c r="M658" s="25">
        <f>SUM(M649:M657)</f>
        <v>263</v>
      </c>
      <c r="N658" s="26">
        <f>SUM(N649:N657)</f>
        <v>221</v>
      </c>
      <c r="O658" s="27">
        <f>SUM(O649:O657)</f>
        <v>146</v>
      </c>
      <c r="P658" s="28">
        <f>SUM(M658:O658)</f>
        <v>630</v>
      </c>
      <c r="Q658" s="25">
        <f>SUM(Q649:Q657)</f>
        <v>263</v>
      </c>
      <c r="R658" s="26">
        <f>SUM(R649:R657)</f>
        <v>221</v>
      </c>
      <c r="S658" s="27">
        <f>SUM(S649:S657)</f>
        <v>146</v>
      </c>
      <c r="T658" s="28">
        <f>SUM(Q658:S658)</f>
        <v>630</v>
      </c>
      <c r="U658" s="28">
        <f>P658+T658</f>
        <v>1260</v>
      </c>
    </row>
    <row r="659" spans="1:23" x14ac:dyDescent="0.15">
      <c r="A659" s="22" t="s">
        <v>443</v>
      </c>
      <c r="B659" s="7">
        <v>1</v>
      </c>
      <c r="C659" s="8">
        <v>1</v>
      </c>
      <c r="D659" s="9"/>
      <c r="E659" s="43">
        <f t="shared" ref="E659" si="562">SUM(B659:D659)</f>
        <v>2</v>
      </c>
      <c r="F659" s="11">
        <v>1</v>
      </c>
      <c r="G659" s="8">
        <v>1</v>
      </c>
      <c r="H659" s="9"/>
      <c r="I659" s="43">
        <f t="shared" ref="I659" si="563">SUM(F659:H659)</f>
        <v>2</v>
      </c>
      <c r="J659" s="10">
        <f t="shared" ref="J659" si="564">E659+I659</f>
        <v>4</v>
      </c>
      <c r="K659" s="58">
        <v>46011</v>
      </c>
      <c r="L659" s="24" t="s">
        <v>118</v>
      </c>
      <c r="M659" s="7"/>
      <c r="N659" s="8">
        <v>1</v>
      </c>
      <c r="O659" s="9"/>
      <c r="P659" s="43">
        <f t="shared" ref="P659:P685" si="565">SUM(M659:O659)</f>
        <v>1</v>
      </c>
      <c r="Q659" s="11"/>
      <c r="R659" s="8">
        <v>1</v>
      </c>
      <c r="S659" s="9"/>
      <c r="T659" s="43">
        <f t="shared" ref="T659:T685" si="566">SUM(Q659:S659)</f>
        <v>1</v>
      </c>
      <c r="U659" s="10">
        <f t="shared" ref="U659:U683" si="567">P659+T659</f>
        <v>2</v>
      </c>
      <c r="V659" s="56">
        <v>46013</v>
      </c>
      <c r="W659" s="61"/>
    </row>
    <row r="660" spans="1:23" x14ac:dyDescent="0.15">
      <c r="A660" s="22" t="s">
        <v>314</v>
      </c>
      <c r="B660" s="7">
        <v>1</v>
      </c>
      <c r="C660" s="8"/>
      <c r="D660" s="9"/>
      <c r="E660" s="43">
        <f t="shared" ref="E660:E685" si="568">SUM(B660:D660)</f>
        <v>1</v>
      </c>
      <c r="F660" s="11">
        <v>1</v>
      </c>
      <c r="G660" s="8"/>
      <c r="H660" s="9"/>
      <c r="I660" s="43">
        <f t="shared" ref="I660:I685" si="569">SUM(F660:H660)</f>
        <v>1</v>
      </c>
      <c r="J660" s="10">
        <f t="shared" ref="J660:J684" si="570">E660+I660</f>
        <v>2</v>
      </c>
      <c r="K660" s="58">
        <v>46032</v>
      </c>
      <c r="L660" s="24" t="s">
        <v>120</v>
      </c>
      <c r="M660" s="7">
        <v>1</v>
      </c>
      <c r="N660" s="8"/>
      <c r="O660" s="9">
        <v>1</v>
      </c>
      <c r="P660" s="43">
        <f t="shared" si="565"/>
        <v>2</v>
      </c>
      <c r="Q660" s="11">
        <v>1</v>
      </c>
      <c r="R660" s="8"/>
      <c r="S660" s="9">
        <v>1</v>
      </c>
      <c r="T660" s="43">
        <f t="shared" si="566"/>
        <v>2</v>
      </c>
      <c r="U660" s="10">
        <f t="shared" si="567"/>
        <v>4</v>
      </c>
      <c r="V660" s="56">
        <v>46015</v>
      </c>
    </row>
    <row r="661" spans="1:23" x14ac:dyDescent="0.15">
      <c r="A661" s="22"/>
      <c r="B661" s="7"/>
      <c r="C661" s="8"/>
      <c r="D661" s="9"/>
      <c r="E661" s="43">
        <f t="shared" si="568"/>
        <v>0</v>
      </c>
      <c r="F661" s="11"/>
      <c r="G661" s="8"/>
      <c r="H661" s="9"/>
      <c r="I661" s="43">
        <f t="shared" si="569"/>
        <v>0</v>
      </c>
      <c r="J661" s="10">
        <f t="shared" si="570"/>
        <v>0</v>
      </c>
      <c r="L661" s="24" t="s">
        <v>122</v>
      </c>
      <c r="M661" s="7">
        <v>4</v>
      </c>
      <c r="N661" s="8">
        <v>2</v>
      </c>
      <c r="O661" s="9">
        <v>1</v>
      </c>
      <c r="P661" s="43">
        <f t="shared" si="565"/>
        <v>7</v>
      </c>
      <c r="Q661" s="11">
        <v>4</v>
      </c>
      <c r="R661" s="8">
        <v>2</v>
      </c>
      <c r="S661" s="9">
        <v>1</v>
      </c>
      <c r="T661" s="43">
        <f t="shared" si="566"/>
        <v>7</v>
      </c>
      <c r="U661" s="10">
        <f t="shared" si="567"/>
        <v>14</v>
      </c>
      <c r="V661" s="56">
        <v>46016</v>
      </c>
    </row>
    <row r="662" spans="1:23" x14ac:dyDescent="0.15">
      <c r="A662" s="22"/>
      <c r="B662" s="7"/>
      <c r="C662" s="8"/>
      <c r="D662" s="9"/>
      <c r="E662" s="43">
        <f t="shared" si="568"/>
        <v>0</v>
      </c>
      <c r="F662" s="11"/>
      <c r="G662" s="8"/>
      <c r="H662" s="9"/>
      <c r="I662" s="43">
        <f t="shared" si="569"/>
        <v>0</v>
      </c>
      <c r="J662" s="10">
        <f t="shared" si="570"/>
        <v>0</v>
      </c>
      <c r="L662" s="24" t="s">
        <v>123</v>
      </c>
      <c r="M662" s="7">
        <v>4</v>
      </c>
      <c r="N662" s="8"/>
      <c r="O662" s="9">
        <v>1</v>
      </c>
      <c r="P662" s="43">
        <f t="shared" si="565"/>
        <v>5</v>
      </c>
      <c r="Q662" s="11">
        <v>4</v>
      </c>
      <c r="R662" s="8"/>
      <c r="S662" s="9">
        <v>1</v>
      </c>
      <c r="T662" s="43">
        <f t="shared" si="566"/>
        <v>5</v>
      </c>
      <c r="U662" s="10">
        <f t="shared" si="567"/>
        <v>10</v>
      </c>
      <c r="V662" s="56">
        <v>46017</v>
      </c>
    </row>
    <row r="663" spans="1:23" x14ac:dyDescent="0.15">
      <c r="A663" s="22"/>
      <c r="B663" s="7"/>
      <c r="C663" s="8"/>
      <c r="D663" s="9"/>
      <c r="E663" s="43">
        <f t="shared" si="568"/>
        <v>0</v>
      </c>
      <c r="F663" s="11"/>
      <c r="G663" s="8"/>
      <c r="H663" s="9"/>
      <c r="I663" s="43">
        <f t="shared" si="569"/>
        <v>0</v>
      </c>
      <c r="J663" s="10">
        <f t="shared" si="570"/>
        <v>0</v>
      </c>
      <c r="L663" s="24" t="s">
        <v>125</v>
      </c>
      <c r="M663" s="7">
        <v>2</v>
      </c>
      <c r="N663" s="8">
        <v>11</v>
      </c>
      <c r="O663" s="9">
        <v>6</v>
      </c>
      <c r="P663" s="43">
        <f t="shared" si="565"/>
        <v>19</v>
      </c>
      <c r="Q663" s="11">
        <v>2</v>
      </c>
      <c r="R663" s="8">
        <v>11</v>
      </c>
      <c r="S663" s="9">
        <v>6</v>
      </c>
      <c r="T663" s="43">
        <f t="shared" si="566"/>
        <v>19</v>
      </c>
      <c r="U663" s="10">
        <f t="shared" si="567"/>
        <v>38</v>
      </c>
      <c r="V663" s="56">
        <v>46017</v>
      </c>
    </row>
    <row r="664" spans="1:23" x14ac:dyDescent="0.15">
      <c r="A664" s="22"/>
      <c r="B664" s="7"/>
      <c r="C664" s="8"/>
      <c r="D664" s="9"/>
      <c r="E664" s="43">
        <f t="shared" si="568"/>
        <v>0</v>
      </c>
      <c r="F664" s="11"/>
      <c r="G664" s="8"/>
      <c r="H664" s="9"/>
      <c r="I664" s="43">
        <f t="shared" si="569"/>
        <v>0</v>
      </c>
      <c r="J664" s="10">
        <f t="shared" si="570"/>
        <v>0</v>
      </c>
      <c r="L664" s="24" t="s">
        <v>126</v>
      </c>
      <c r="M664" s="7">
        <v>4</v>
      </c>
      <c r="N664" s="8">
        <v>8</v>
      </c>
      <c r="O664" s="9">
        <v>4</v>
      </c>
      <c r="P664" s="43">
        <f t="shared" si="565"/>
        <v>16</v>
      </c>
      <c r="Q664" s="11">
        <v>4</v>
      </c>
      <c r="R664" s="8">
        <v>8</v>
      </c>
      <c r="S664" s="9">
        <v>4</v>
      </c>
      <c r="T664" s="43">
        <f t="shared" si="566"/>
        <v>16</v>
      </c>
      <c r="U664" s="10">
        <f t="shared" si="567"/>
        <v>32</v>
      </c>
      <c r="V664" s="56">
        <v>46029</v>
      </c>
    </row>
    <row r="665" spans="1:23" x14ac:dyDescent="0.15">
      <c r="A665" s="22"/>
      <c r="B665" s="7"/>
      <c r="C665" s="8"/>
      <c r="D665" s="9"/>
      <c r="E665" s="43">
        <f t="shared" si="568"/>
        <v>0</v>
      </c>
      <c r="F665" s="11"/>
      <c r="G665" s="8"/>
      <c r="H665" s="9"/>
      <c r="I665" s="43">
        <f t="shared" si="569"/>
        <v>0</v>
      </c>
      <c r="J665" s="10">
        <f t="shared" si="570"/>
        <v>0</v>
      </c>
      <c r="L665" s="24" t="s">
        <v>128</v>
      </c>
      <c r="M665" s="7">
        <v>6</v>
      </c>
      <c r="N665" s="8">
        <v>1</v>
      </c>
      <c r="O665" s="9">
        <v>5</v>
      </c>
      <c r="P665" s="43">
        <f t="shared" si="565"/>
        <v>12</v>
      </c>
      <c r="Q665" s="11">
        <v>6</v>
      </c>
      <c r="R665" s="8">
        <v>1</v>
      </c>
      <c r="S665" s="9">
        <v>5</v>
      </c>
      <c r="T665" s="43">
        <f t="shared" si="566"/>
        <v>12</v>
      </c>
      <c r="U665" s="10">
        <f t="shared" si="567"/>
        <v>24</v>
      </c>
      <c r="V665" s="56">
        <v>46030</v>
      </c>
      <c r="W665" s="61"/>
    </row>
    <row r="666" spans="1:23" x14ac:dyDescent="0.15">
      <c r="A666" s="22"/>
      <c r="B666" s="7"/>
      <c r="C666" s="8"/>
      <c r="D666" s="9"/>
      <c r="E666" s="43">
        <f t="shared" si="568"/>
        <v>0</v>
      </c>
      <c r="F666" s="11"/>
      <c r="G666" s="8"/>
      <c r="H666" s="9"/>
      <c r="I666" s="43">
        <f t="shared" si="569"/>
        <v>0</v>
      </c>
      <c r="J666" s="10">
        <f t="shared" si="570"/>
        <v>0</v>
      </c>
      <c r="L666" s="24" t="s">
        <v>131</v>
      </c>
      <c r="M666" s="7"/>
      <c r="N666" s="8">
        <v>5</v>
      </c>
      <c r="O666" s="9">
        <v>2</v>
      </c>
      <c r="P666" s="43">
        <f t="shared" si="565"/>
        <v>7</v>
      </c>
      <c r="Q666" s="11"/>
      <c r="R666" s="8">
        <v>5</v>
      </c>
      <c r="S666" s="9">
        <v>2</v>
      </c>
      <c r="T666" s="43">
        <f t="shared" si="566"/>
        <v>7</v>
      </c>
      <c r="U666" s="10">
        <f t="shared" si="567"/>
        <v>14</v>
      </c>
      <c r="V666" s="56">
        <v>46031</v>
      </c>
    </row>
    <row r="667" spans="1:23" x14ac:dyDescent="0.15">
      <c r="A667" s="22"/>
      <c r="B667" s="7"/>
      <c r="C667" s="8"/>
      <c r="D667" s="9"/>
      <c r="E667" s="43">
        <f t="shared" si="568"/>
        <v>0</v>
      </c>
      <c r="F667" s="11"/>
      <c r="G667" s="8"/>
      <c r="H667" s="9"/>
      <c r="I667" s="43">
        <f t="shared" si="569"/>
        <v>0</v>
      </c>
      <c r="J667" s="10">
        <f t="shared" si="570"/>
        <v>0</v>
      </c>
      <c r="L667" s="24" t="s">
        <v>133</v>
      </c>
      <c r="M667" s="7">
        <v>2</v>
      </c>
      <c r="N667" s="8"/>
      <c r="O667" s="9"/>
      <c r="P667" s="43">
        <f t="shared" si="565"/>
        <v>2</v>
      </c>
      <c r="Q667" s="11">
        <v>2</v>
      </c>
      <c r="R667" s="8"/>
      <c r="S667" s="9"/>
      <c r="T667" s="43">
        <f t="shared" si="566"/>
        <v>2</v>
      </c>
      <c r="U667" s="10">
        <f t="shared" si="567"/>
        <v>4</v>
      </c>
      <c r="V667" s="56">
        <v>46031</v>
      </c>
    </row>
    <row r="668" spans="1:23" x14ac:dyDescent="0.15">
      <c r="A668" s="22"/>
      <c r="B668" s="12"/>
      <c r="C668" s="13"/>
      <c r="D668" s="14"/>
      <c r="E668" s="43">
        <f t="shared" si="568"/>
        <v>0</v>
      </c>
      <c r="F668" s="15"/>
      <c r="G668" s="13"/>
      <c r="H668" s="14"/>
      <c r="I668" s="43">
        <f t="shared" si="569"/>
        <v>0</v>
      </c>
      <c r="J668" s="10">
        <f t="shared" si="570"/>
        <v>0</v>
      </c>
      <c r="L668" s="24" t="s">
        <v>135</v>
      </c>
      <c r="M668" s="7">
        <v>2</v>
      </c>
      <c r="N668" s="8">
        <v>2</v>
      </c>
      <c r="O668" s="9"/>
      <c r="P668" s="43">
        <f t="shared" si="565"/>
        <v>4</v>
      </c>
      <c r="Q668" s="11">
        <v>2</v>
      </c>
      <c r="R668" s="8">
        <v>2</v>
      </c>
      <c r="S668" s="9"/>
      <c r="T668" s="43">
        <f t="shared" si="566"/>
        <v>4</v>
      </c>
      <c r="U668" s="10">
        <f t="shared" si="567"/>
        <v>8</v>
      </c>
      <c r="V668" s="56">
        <v>46035</v>
      </c>
    </row>
    <row r="669" spans="1:23" x14ac:dyDescent="0.15">
      <c r="A669" s="22"/>
      <c r="B669" s="7"/>
      <c r="C669" s="8"/>
      <c r="D669" s="9"/>
      <c r="E669" s="43">
        <f t="shared" si="568"/>
        <v>0</v>
      </c>
      <c r="F669" s="11"/>
      <c r="G669" s="8"/>
      <c r="H669" s="9"/>
      <c r="I669" s="43">
        <f t="shared" si="569"/>
        <v>0</v>
      </c>
      <c r="J669" s="10">
        <f t="shared" si="570"/>
        <v>0</v>
      </c>
      <c r="L669" s="24" t="s">
        <v>137</v>
      </c>
      <c r="M669" s="7">
        <v>1</v>
      </c>
      <c r="N669" s="8">
        <v>5</v>
      </c>
      <c r="O669" s="9"/>
      <c r="P669" s="43">
        <f t="shared" si="565"/>
        <v>6</v>
      </c>
      <c r="Q669" s="11">
        <v>1</v>
      </c>
      <c r="R669" s="8">
        <v>5</v>
      </c>
      <c r="S669" s="9"/>
      <c r="T669" s="43">
        <f t="shared" si="566"/>
        <v>6</v>
      </c>
      <c r="U669" s="10">
        <f t="shared" si="567"/>
        <v>12</v>
      </c>
      <c r="V669" s="56">
        <v>46037</v>
      </c>
    </row>
    <row r="670" spans="1:23" x14ac:dyDescent="0.15">
      <c r="A670" s="22"/>
      <c r="B670" s="7"/>
      <c r="C670" s="8"/>
      <c r="D670" s="9"/>
      <c r="E670" s="43">
        <f t="shared" si="568"/>
        <v>0</v>
      </c>
      <c r="F670" s="11"/>
      <c r="G670" s="8"/>
      <c r="H670" s="9"/>
      <c r="I670" s="43">
        <f t="shared" si="569"/>
        <v>0</v>
      </c>
      <c r="J670" s="10">
        <f t="shared" si="570"/>
        <v>0</v>
      </c>
      <c r="L670" s="24" t="s">
        <v>138</v>
      </c>
      <c r="M670" s="7"/>
      <c r="N670" s="8">
        <v>1</v>
      </c>
      <c r="O670" s="9"/>
      <c r="P670" s="43">
        <f t="shared" si="565"/>
        <v>1</v>
      </c>
      <c r="Q670" s="11"/>
      <c r="R670" s="8">
        <v>1</v>
      </c>
      <c r="S670" s="9"/>
      <c r="T670" s="43">
        <f t="shared" si="566"/>
        <v>1</v>
      </c>
      <c r="U670" s="10">
        <f t="shared" si="567"/>
        <v>2</v>
      </c>
      <c r="V670" s="56">
        <v>46038</v>
      </c>
    </row>
    <row r="671" spans="1:23" x14ac:dyDescent="0.15">
      <c r="A671" s="22"/>
      <c r="B671" s="7"/>
      <c r="C671" s="8"/>
      <c r="D671" s="9"/>
      <c r="E671" s="43">
        <f t="shared" si="568"/>
        <v>0</v>
      </c>
      <c r="F671" s="11"/>
      <c r="G671" s="8"/>
      <c r="H671" s="9"/>
      <c r="I671" s="43">
        <f t="shared" si="569"/>
        <v>0</v>
      </c>
      <c r="J671" s="10">
        <f t="shared" si="570"/>
        <v>0</v>
      </c>
      <c r="L671" s="24" t="s">
        <v>142</v>
      </c>
      <c r="M671" s="7"/>
      <c r="N671" s="8">
        <v>2</v>
      </c>
      <c r="O671" s="9"/>
      <c r="P671" s="43">
        <f t="shared" si="565"/>
        <v>2</v>
      </c>
      <c r="Q671" s="11"/>
      <c r="R671" s="8">
        <v>2</v>
      </c>
      <c r="S671" s="9"/>
      <c r="T671" s="43">
        <f t="shared" si="566"/>
        <v>2</v>
      </c>
      <c r="U671" s="10">
        <f t="shared" si="567"/>
        <v>4</v>
      </c>
      <c r="V671" s="56">
        <v>46038</v>
      </c>
      <c r="W671" s="61"/>
    </row>
    <row r="672" spans="1:23" x14ac:dyDescent="0.15">
      <c r="A672" s="22"/>
      <c r="B672" s="7"/>
      <c r="C672" s="8"/>
      <c r="D672" s="9"/>
      <c r="E672" s="43">
        <f t="shared" si="568"/>
        <v>0</v>
      </c>
      <c r="F672" s="11"/>
      <c r="G672" s="8"/>
      <c r="H672" s="9"/>
      <c r="I672" s="43">
        <f t="shared" si="569"/>
        <v>0</v>
      </c>
      <c r="J672" s="10">
        <f t="shared" si="570"/>
        <v>0</v>
      </c>
      <c r="L672" s="24" t="s">
        <v>143</v>
      </c>
      <c r="M672" s="7">
        <v>1</v>
      </c>
      <c r="N672" s="8"/>
      <c r="O672" s="9"/>
      <c r="P672" s="43">
        <f t="shared" si="565"/>
        <v>1</v>
      </c>
      <c r="Q672" s="11">
        <v>1</v>
      </c>
      <c r="R672" s="8"/>
      <c r="S672" s="9"/>
      <c r="T672" s="43">
        <f t="shared" si="566"/>
        <v>1</v>
      </c>
      <c r="U672" s="10">
        <f t="shared" si="567"/>
        <v>2</v>
      </c>
      <c r="V672" s="56">
        <v>46043</v>
      </c>
      <c r="W672" s="61"/>
    </row>
    <row r="673" spans="1:23" x14ac:dyDescent="0.15">
      <c r="A673" s="22"/>
      <c r="B673" s="7"/>
      <c r="C673" s="8"/>
      <c r="D673" s="9"/>
      <c r="E673" s="43">
        <f t="shared" si="568"/>
        <v>0</v>
      </c>
      <c r="F673" s="11"/>
      <c r="G673" s="8"/>
      <c r="H673" s="9"/>
      <c r="I673" s="43">
        <f t="shared" si="569"/>
        <v>0</v>
      </c>
      <c r="J673" s="10">
        <f t="shared" si="570"/>
        <v>0</v>
      </c>
      <c r="L673" s="24" t="s">
        <v>147</v>
      </c>
      <c r="M673" s="7">
        <v>1</v>
      </c>
      <c r="N673" s="8"/>
      <c r="O673" s="9"/>
      <c r="P673" s="43">
        <f t="shared" si="565"/>
        <v>1</v>
      </c>
      <c r="Q673" s="11">
        <v>1</v>
      </c>
      <c r="R673" s="8"/>
      <c r="S673" s="9"/>
      <c r="T673" s="43">
        <f t="shared" si="566"/>
        <v>1</v>
      </c>
      <c r="U673" s="10">
        <f t="shared" si="567"/>
        <v>2</v>
      </c>
      <c r="V673" s="56">
        <v>46045</v>
      </c>
      <c r="W673" s="61"/>
    </row>
    <row r="674" spans="1:23" x14ac:dyDescent="0.15">
      <c r="A674" s="22"/>
      <c r="B674" s="7"/>
      <c r="C674" s="8"/>
      <c r="D674" s="9"/>
      <c r="E674" s="43">
        <f t="shared" si="568"/>
        <v>0</v>
      </c>
      <c r="F674" s="11"/>
      <c r="G674" s="8"/>
      <c r="H674" s="9"/>
      <c r="I674" s="43">
        <f t="shared" si="569"/>
        <v>0</v>
      </c>
      <c r="J674" s="10">
        <f t="shared" si="570"/>
        <v>0</v>
      </c>
      <c r="L674" s="24" t="s">
        <v>149</v>
      </c>
      <c r="M674" s="7">
        <v>1</v>
      </c>
      <c r="N674" s="8">
        <v>2</v>
      </c>
      <c r="O674" s="9"/>
      <c r="P674" s="43">
        <f t="shared" si="565"/>
        <v>3</v>
      </c>
      <c r="Q674" s="11">
        <v>1</v>
      </c>
      <c r="R674" s="8">
        <v>2</v>
      </c>
      <c r="S674" s="9"/>
      <c r="T674" s="43">
        <f t="shared" si="566"/>
        <v>3</v>
      </c>
      <c r="U674" s="10">
        <f t="shared" si="567"/>
        <v>6</v>
      </c>
      <c r="V674" s="56">
        <v>46052</v>
      </c>
      <c r="W674" s="61"/>
    </row>
    <row r="675" spans="1:23" x14ac:dyDescent="0.15">
      <c r="A675" s="24"/>
      <c r="B675" s="7"/>
      <c r="C675" s="8"/>
      <c r="D675" s="9"/>
      <c r="E675" s="43">
        <f t="shared" si="568"/>
        <v>0</v>
      </c>
      <c r="F675" s="11"/>
      <c r="G675" s="8"/>
      <c r="H675" s="9"/>
      <c r="I675" s="43">
        <f t="shared" si="569"/>
        <v>0</v>
      </c>
      <c r="J675" s="10">
        <f t="shared" si="570"/>
        <v>0</v>
      </c>
      <c r="L675" s="24" t="s">
        <v>156</v>
      </c>
      <c r="M675" s="7"/>
      <c r="N675" s="8">
        <v>8</v>
      </c>
      <c r="O675" s="9"/>
      <c r="P675" s="43">
        <f t="shared" si="565"/>
        <v>8</v>
      </c>
      <c r="Q675" s="11"/>
      <c r="R675" s="8">
        <v>8</v>
      </c>
      <c r="S675" s="9"/>
      <c r="T675" s="43">
        <f t="shared" si="566"/>
        <v>8</v>
      </c>
      <c r="U675" s="10">
        <f t="shared" si="567"/>
        <v>16</v>
      </c>
      <c r="V675" s="56">
        <v>46052</v>
      </c>
      <c r="W675" s="61"/>
    </row>
    <row r="676" spans="1:23" x14ac:dyDescent="0.15">
      <c r="A676" s="22"/>
      <c r="B676" s="7"/>
      <c r="C676" s="8"/>
      <c r="D676" s="9"/>
      <c r="E676" s="43">
        <f t="shared" si="568"/>
        <v>0</v>
      </c>
      <c r="F676" s="11"/>
      <c r="G676" s="8"/>
      <c r="H676" s="9"/>
      <c r="I676" s="43">
        <f t="shared" si="569"/>
        <v>0</v>
      </c>
      <c r="J676" s="10">
        <f t="shared" si="570"/>
        <v>0</v>
      </c>
      <c r="L676" s="24" t="s">
        <v>289</v>
      </c>
      <c r="M676" s="7">
        <v>7</v>
      </c>
      <c r="N676" s="8">
        <v>3</v>
      </c>
      <c r="O676" s="9">
        <v>8</v>
      </c>
      <c r="P676" s="43">
        <f t="shared" si="565"/>
        <v>18</v>
      </c>
      <c r="Q676" s="11">
        <v>7</v>
      </c>
      <c r="R676" s="8">
        <v>3</v>
      </c>
      <c r="S676" s="9">
        <v>8</v>
      </c>
      <c r="T676" s="43">
        <f t="shared" si="566"/>
        <v>18</v>
      </c>
      <c r="U676" s="10">
        <f t="shared" si="567"/>
        <v>36</v>
      </c>
      <c r="V676" s="56">
        <v>46055</v>
      </c>
    </row>
    <row r="677" spans="1:23" x14ac:dyDescent="0.15">
      <c r="A677" s="22"/>
      <c r="B677" s="7"/>
      <c r="C677" s="8"/>
      <c r="D677" s="9"/>
      <c r="E677" s="43">
        <f t="shared" si="568"/>
        <v>0</v>
      </c>
      <c r="F677" s="11"/>
      <c r="G677" s="8"/>
      <c r="H677" s="9"/>
      <c r="I677" s="43">
        <f t="shared" si="569"/>
        <v>0</v>
      </c>
      <c r="J677" s="10">
        <f t="shared" si="570"/>
        <v>0</v>
      </c>
      <c r="L677" s="24" t="s">
        <v>302</v>
      </c>
      <c r="M677" s="7">
        <v>7</v>
      </c>
      <c r="N677" s="8">
        <v>6</v>
      </c>
      <c r="O677" s="9"/>
      <c r="P677" s="43">
        <f t="shared" si="565"/>
        <v>13</v>
      </c>
      <c r="Q677" s="11">
        <v>7</v>
      </c>
      <c r="R677" s="8">
        <v>6</v>
      </c>
      <c r="S677" s="9"/>
      <c r="T677" s="43">
        <f t="shared" si="566"/>
        <v>13</v>
      </c>
      <c r="U677" s="10">
        <f t="shared" si="567"/>
        <v>26</v>
      </c>
      <c r="V677" s="56">
        <v>46057</v>
      </c>
      <c r="W677" s="61"/>
    </row>
    <row r="678" spans="1:23" x14ac:dyDescent="0.15">
      <c r="A678" s="22"/>
      <c r="B678" s="7"/>
      <c r="C678" s="8"/>
      <c r="D678" s="9"/>
      <c r="E678" s="43">
        <f t="shared" si="568"/>
        <v>0</v>
      </c>
      <c r="F678" s="11"/>
      <c r="G678" s="8"/>
      <c r="H678" s="9"/>
      <c r="I678" s="43">
        <f t="shared" si="569"/>
        <v>0</v>
      </c>
      <c r="J678" s="10">
        <f t="shared" si="570"/>
        <v>0</v>
      </c>
      <c r="L678" s="24" t="s">
        <v>306</v>
      </c>
      <c r="M678" s="7"/>
      <c r="N678" s="8">
        <v>2</v>
      </c>
      <c r="O678" s="9"/>
      <c r="P678" s="43">
        <f t="shared" si="565"/>
        <v>2</v>
      </c>
      <c r="Q678" s="11"/>
      <c r="R678" s="8">
        <v>2</v>
      </c>
      <c r="S678" s="9"/>
      <c r="T678" s="43">
        <f t="shared" si="566"/>
        <v>2</v>
      </c>
      <c r="U678" s="10">
        <f t="shared" si="567"/>
        <v>4</v>
      </c>
      <c r="V678" s="56">
        <v>46058</v>
      </c>
    </row>
    <row r="679" spans="1:23" x14ac:dyDescent="0.15">
      <c r="A679" s="22"/>
      <c r="B679" s="7"/>
      <c r="C679" s="8"/>
      <c r="D679" s="9"/>
      <c r="E679" s="43">
        <f t="shared" si="568"/>
        <v>0</v>
      </c>
      <c r="F679" s="11"/>
      <c r="G679" s="8"/>
      <c r="H679" s="9"/>
      <c r="I679" s="43">
        <f t="shared" si="569"/>
        <v>0</v>
      </c>
      <c r="J679" s="10">
        <f t="shared" si="570"/>
        <v>0</v>
      </c>
      <c r="L679" s="24" t="s">
        <v>296</v>
      </c>
      <c r="M679" s="7">
        <v>1</v>
      </c>
      <c r="N679" s="8">
        <v>6</v>
      </c>
      <c r="O679" s="9"/>
      <c r="P679" s="43">
        <f t="shared" si="565"/>
        <v>7</v>
      </c>
      <c r="Q679" s="11">
        <v>1</v>
      </c>
      <c r="R679" s="8">
        <v>6</v>
      </c>
      <c r="S679" s="9"/>
      <c r="T679" s="43">
        <f t="shared" si="566"/>
        <v>7</v>
      </c>
      <c r="U679" s="10">
        <f t="shared" si="567"/>
        <v>14</v>
      </c>
      <c r="V679" s="56">
        <v>46059</v>
      </c>
    </row>
    <row r="680" spans="1:23" x14ac:dyDescent="0.15">
      <c r="A680" s="63"/>
      <c r="B680" s="12"/>
      <c r="C680" s="13"/>
      <c r="D680" s="14"/>
      <c r="E680" s="43">
        <f t="shared" si="568"/>
        <v>0</v>
      </c>
      <c r="F680" s="15"/>
      <c r="G680" s="13"/>
      <c r="H680" s="14"/>
      <c r="I680" s="43">
        <f t="shared" si="569"/>
        <v>0</v>
      </c>
      <c r="J680" s="10">
        <f t="shared" si="570"/>
        <v>0</v>
      </c>
      <c r="L680" s="24" t="s">
        <v>297</v>
      </c>
      <c r="M680" s="7">
        <v>2</v>
      </c>
      <c r="N680" s="8">
        <v>6</v>
      </c>
      <c r="O680" s="9"/>
      <c r="P680" s="43">
        <f t="shared" si="565"/>
        <v>8</v>
      </c>
      <c r="Q680" s="11">
        <v>2</v>
      </c>
      <c r="R680" s="8">
        <v>6</v>
      </c>
      <c r="S680" s="9"/>
      <c r="T680" s="43">
        <f t="shared" si="566"/>
        <v>8</v>
      </c>
      <c r="U680" s="10">
        <f t="shared" si="567"/>
        <v>16</v>
      </c>
      <c r="V680" s="56">
        <v>46059</v>
      </c>
    </row>
    <row r="681" spans="1:23" x14ac:dyDescent="0.15">
      <c r="A681" s="22"/>
      <c r="B681" s="7"/>
      <c r="C681" s="8"/>
      <c r="D681" s="9"/>
      <c r="E681" s="43">
        <f t="shared" si="568"/>
        <v>0</v>
      </c>
      <c r="F681" s="11"/>
      <c r="G681" s="8"/>
      <c r="H681" s="9"/>
      <c r="I681" s="43">
        <f t="shared" si="569"/>
        <v>0</v>
      </c>
      <c r="J681" s="10">
        <f t="shared" si="570"/>
        <v>0</v>
      </c>
      <c r="L681" s="24"/>
      <c r="M681" s="7"/>
      <c r="N681" s="8"/>
      <c r="O681" s="9"/>
      <c r="P681" s="43">
        <f t="shared" si="565"/>
        <v>0</v>
      </c>
      <c r="Q681" s="11"/>
      <c r="R681" s="8"/>
      <c r="S681" s="9"/>
      <c r="T681" s="43">
        <f t="shared" si="566"/>
        <v>0</v>
      </c>
      <c r="U681" s="10">
        <f t="shared" si="567"/>
        <v>0</v>
      </c>
      <c r="V681" s="61"/>
    </row>
    <row r="682" spans="1:23" x14ac:dyDescent="0.15">
      <c r="A682" s="63"/>
      <c r="B682" s="7"/>
      <c r="C682" s="8"/>
      <c r="D682" s="9"/>
      <c r="E682" s="43">
        <f t="shared" si="568"/>
        <v>0</v>
      </c>
      <c r="F682" s="11"/>
      <c r="G682" s="8"/>
      <c r="H682" s="9"/>
      <c r="I682" s="43">
        <f t="shared" si="569"/>
        <v>0</v>
      </c>
      <c r="J682" s="10">
        <f t="shared" si="570"/>
        <v>0</v>
      </c>
      <c r="L682" s="24" t="s">
        <v>434</v>
      </c>
      <c r="M682" s="7"/>
      <c r="N682" s="8"/>
      <c r="O682" s="9"/>
      <c r="P682" s="43">
        <f t="shared" si="565"/>
        <v>0</v>
      </c>
      <c r="Q682" s="11"/>
      <c r="R682" s="8"/>
      <c r="S682" s="9"/>
      <c r="T682" s="43">
        <f t="shared" si="566"/>
        <v>0</v>
      </c>
      <c r="U682" s="10">
        <f t="shared" si="567"/>
        <v>0</v>
      </c>
      <c r="V682" s="61" t="s">
        <v>433</v>
      </c>
    </row>
    <row r="683" spans="1:23" x14ac:dyDescent="0.15">
      <c r="A683" s="22"/>
      <c r="B683" s="7"/>
      <c r="C683" s="8"/>
      <c r="D683" s="9"/>
      <c r="E683" s="43">
        <f t="shared" si="568"/>
        <v>0</v>
      </c>
      <c r="F683" s="11"/>
      <c r="G683" s="8"/>
      <c r="H683" s="9"/>
      <c r="I683" s="43">
        <f t="shared" si="569"/>
        <v>0</v>
      </c>
      <c r="J683" s="10">
        <f t="shared" si="570"/>
        <v>0</v>
      </c>
      <c r="L683" s="24" t="s">
        <v>436</v>
      </c>
      <c r="M683" s="7"/>
      <c r="N683" s="8"/>
      <c r="O683" s="9"/>
      <c r="P683" s="43">
        <f t="shared" si="565"/>
        <v>0</v>
      </c>
      <c r="Q683" s="11"/>
      <c r="R683" s="8"/>
      <c r="S683" s="9"/>
      <c r="T683" s="43">
        <f t="shared" si="566"/>
        <v>0</v>
      </c>
      <c r="U683" s="10">
        <f t="shared" si="567"/>
        <v>0</v>
      </c>
      <c r="V683" s="61" t="s">
        <v>437</v>
      </c>
    </row>
    <row r="684" spans="1:23" ht="14.25" thickBot="1" x14ac:dyDescent="0.2">
      <c r="A684" s="22"/>
      <c r="B684" s="7"/>
      <c r="C684" s="8"/>
      <c r="D684" s="9"/>
      <c r="E684" s="43">
        <f t="shared" si="568"/>
        <v>0</v>
      </c>
      <c r="F684" s="11"/>
      <c r="G684" s="8"/>
      <c r="H684" s="9"/>
      <c r="I684" s="43">
        <f t="shared" si="569"/>
        <v>0</v>
      </c>
      <c r="J684" s="10">
        <f t="shared" si="570"/>
        <v>0</v>
      </c>
      <c r="L684" s="24" t="s">
        <v>442</v>
      </c>
      <c r="M684" s="7"/>
      <c r="N684" s="8"/>
      <c r="O684" s="9"/>
      <c r="P684" s="43">
        <f t="shared" ref="P684" si="571">SUM(M684:O684)</f>
        <v>0</v>
      </c>
      <c r="Q684" s="11"/>
      <c r="R684" s="8"/>
      <c r="S684" s="9"/>
      <c r="T684" s="43">
        <f t="shared" ref="T684" si="572">SUM(Q684:S684)</f>
        <v>0</v>
      </c>
      <c r="U684" s="10">
        <f t="shared" ref="U684" si="573">P684+T684</f>
        <v>0</v>
      </c>
      <c r="V684" s="61" t="s">
        <v>441</v>
      </c>
    </row>
    <row r="685" spans="1:23" ht="14.25" thickBot="1" x14ac:dyDescent="0.2">
      <c r="A685" s="35" t="s">
        <v>17</v>
      </c>
      <c r="B685" s="40">
        <f>SUM(B659:B684)</f>
        <v>2</v>
      </c>
      <c r="C685" s="41">
        <f t="shared" ref="C685:D685" si="574">SUM(C659:C684)</f>
        <v>1</v>
      </c>
      <c r="D685" s="52">
        <f t="shared" si="574"/>
        <v>0</v>
      </c>
      <c r="E685" s="39">
        <f t="shared" si="568"/>
        <v>3</v>
      </c>
      <c r="F685" s="40">
        <f>SUM(F659:F684)</f>
        <v>2</v>
      </c>
      <c r="G685" s="41">
        <f t="shared" ref="G685:H685" si="575">SUM(G659:G684)</f>
        <v>1</v>
      </c>
      <c r="H685" s="52">
        <f t="shared" si="575"/>
        <v>0</v>
      </c>
      <c r="I685" s="39">
        <f t="shared" si="569"/>
        <v>3</v>
      </c>
      <c r="J685" s="39">
        <f>E685+I685</f>
        <v>6</v>
      </c>
      <c r="L685" s="35" t="s">
        <v>17</v>
      </c>
      <c r="M685" s="40">
        <f>SUM(M659:M684)</f>
        <v>46</v>
      </c>
      <c r="N685" s="41">
        <f t="shared" ref="N685:O685" si="576">SUM(N659:N684)</f>
        <v>71</v>
      </c>
      <c r="O685" s="52">
        <f t="shared" si="576"/>
        <v>28</v>
      </c>
      <c r="P685" s="39">
        <f t="shared" si="565"/>
        <v>145</v>
      </c>
      <c r="Q685" s="40">
        <f>SUM(Q659:Q684)</f>
        <v>46</v>
      </c>
      <c r="R685" s="41">
        <f t="shared" ref="R685:S685" si="577">SUM(R659:R684)</f>
        <v>71</v>
      </c>
      <c r="S685" s="52">
        <f t="shared" si="577"/>
        <v>28</v>
      </c>
      <c r="T685" s="39">
        <f t="shared" si="566"/>
        <v>145</v>
      </c>
      <c r="U685" s="39">
        <f>P685+T685</f>
        <v>290</v>
      </c>
    </row>
    <row r="686" spans="1:23" ht="14.25" thickBot="1" x14ac:dyDescent="0.2">
      <c r="A686" s="21" t="s">
        <v>16</v>
      </c>
      <c r="B686" s="44">
        <f>B658-B685</f>
        <v>0</v>
      </c>
      <c r="C686" s="50">
        <f t="shared" ref="C686:D686" si="578">C658-C685</f>
        <v>0</v>
      </c>
      <c r="D686" s="51">
        <f t="shared" si="578"/>
        <v>1</v>
      </c>
      <c r="E686" s="49">
        <f>SUM(B686:D686)</f>
        <v>1</v>
      </c>
      <c r="F686" s="44">
        <f>F658-F685</f>
        <v>0</v>
      </c>
      <c r="G686" s="50">
        <f t="shared" ref="G686:H686" si="579">G658-G685</f>
        <v>0</v>
      </c>
      <c r="H686" s="51">
        <f t="shared" si="579"/>
        <v>1</v>
      </c>
      <c r="I686" s="49">
        <f>SUM(F686:H686)</f>
        <v>1</v>
      </c>
      <c r="J686" s="28">
        <f>E686+I686</f>
        <v>2</v>
      </c>
      <c r="L686" s="21" t="s">
        <v>16</v>
      </c>
      <c r="M686" s="44">
        <f>M658-M685</f>
        <v>217</v>
      </c>
      <c r="N686" s="50">
        <f t="shared" ref="N686:O686" si="580">N658-N685</f>
        <v>150</v>
      </c>
      <c r="O686" s="51">
        <f t="shared" si="580"/>
        <v>118</v>
      </c>
      <c r="P686" s="49">
        <f>SUM(M686:O686)</f>
        <v>485</v>
      </c>
      <c r="Q686" s="44">
        <f>Q658-Q685</f>
        <v>217</v>
      </c>
      <c r="R686" s="50">
        <f t="shared" ref="R686:S686" si="581">R658-R685</f>
        <v>150</v>
      </c>
      <c r="S686" s="51">
        <f t="shared" si="581"/>
        <v>118</v>
      </c>
      <c r="T686" s="49">
        <f>SUM(Q686:S686)</f>
        <v>485</v>
      </c>
      <c r="U686" s="28">
        <f>P686+T686</f>
        <v>970</v>
      </c>
    </row>
    <row r="687" spans="1:23" x14ac:dyDescent="0.15">
      <c r="L687" s="131" t="s">
        <v>453</v>
      </c>
      <c r="M687" s="34">
        <f>M728+M685+M642+M599</f>
        <v>244</v>
      </c>
      <c r="N687" s="34">
        <f t="shared" ref="N687:U687" si="582">N728+N685+N642+N599</f>
        <v>286</v>
      </c>
      <c r="O687" s="34">
        <f t="shared" si="582"/>
        <v>128</v>
      </c>
      <c r="P687" s="34">
        <f t="shared" si="582"/>
        <v>658</v>
      </c>
      <c r="Q687" s="34">
        <f t="shared" si="582"/>
        <v>244</v>
      </c>
      <c r="R687" s="34">
        <f t="shared" si="582"/>
        <v>286</v>
      </c>
      <c r="S687" s="34">
        <f t="shared" si="582"/>
        <v>128</v>
      </c>
      <c r="T687" s="34">
        <f t="shared" si="582"/>
        <v>658</v>
      </c>
      <c r="U687" s="34">
        <f t="shared" si="582"/>
        <v>1316</v>
      </c>
    </row>
    <row r="688" spans="1:23" x14ac:dyDescent="0.15">
      <c r="L688" s="130" t="s">
        <v>452</v>
      </c>
      <c r="M688" s="89">
        <f>M687/$P$687*100</f>
        <v>37.08206686930091</v>
      </c>
      <c r="N688" s="89">
        <f t="shared" ref="N688:P688" si="583">N687/$P$687*100</f>
        <v>43.465045592705167</v>
      </c>
      <c r="O688" s="89">
        <f t="shared" si="583"/>
        <v>19.45288753799392</v>
      </c>
      <c r="P688" s="89">
        <f t="shared" si="583"/>
        <v>100</v>
      </c>
      <c r="Q688" s="89">
        <f>Q687/$T$687*100</f>
        <v>37.08206686930091</v>
      </c>
      <c r="R688" s="89">
        <f t="shared" ref="R688:T688" si="584">R687/$T$687*100</f>
        <v>43.465045592705167</v>
      </c>
      <c r="S688" s="89">
        <f t="shared" si="584"/>
        <v>19.45288753799392</v>
      </c>
      <c r="T688" s="89">
        <f t="shared" si="584"/>
        <v>100</v>
      </c>
    </row>
    <row r="689" spans="1:23" ht="19.5" thickBot="1" x14ac:dyDescent="0.25">
      <c r="A689" s="84" t="s">
        <v>29</v>
      </c>
      <c r="B689" s="85"/>
      <c r="C689" s="85"/>
      <c r="D689" s="85"/>
      <c r="E689" s="85"/>
      <c r="F689" s="85"/>
      <c r="G689" s="85"/>
      <c r="H689" s="85"/>
      <c r="I689" s="85"/>
      <c r="J689" s="85"/>
      <c r="L689" s="86" t="s">
        <v>337</v>
      </c>
      <c r="M689" s="117"/>
      <c r="N689" s="117"/>
      <c r="O689" s="117"/>
      <c r="P689" s="117"/>
      <c r="Q689" s="117"/>
      <c r="R689" s="117"/>
      <c r="S689" s="117"/>
      <c r="T689" s="87"/>
      <c r="U689" s="87">
        <v>1040</v>
      </c>
    </row>
    <row r="690" spans="1:23" ht="14.25" thickBot="1" x14ac:dyDescent="0.2">
      <c r="A690" s="6"/>
      <c r="B690" s="146" t="s">
        <v>18</v>
      </c>
      <c r="C690" s="147"/>
      <c r="D690" s="147"/>
      <c r="E690" s="148"/>
      <c r="F690" s="146" t="s">
        <v>22</v>
      </c>
      <c r="G690" s="147"/>
      <c r="H690" s="147"/>
      <c r="I690" s="148"/>
      <c r="J690" s="101" t="s">
        <v>0</v>
      </c>
      <c r="L690" s="6"/>
      <c r="M690" s="149" t="s">
        <v>18</v>
      </c>
      <c r="N690" s="150"/>
      <c r="O690" s="150"/>
      <c r="P690" s="151"/>
      <c r="Q690" s="149" t="s">
        <v>22</v>
      </c>
      <c r="R690" s="150"/>
      <c r="S690" s="150"/>
      <c r="T690" s="151"/>
      <c r="U690" s="101" t="s">
        <v>0</v>
      </c>
    </row>
    <row r="691" spans="1:23" ht="14.25" thickBot="1" x14ac:dyDescent="0.2">
      <c r="A691" s="6" t="s">
        <v>1</v>
      </c>
      <c r="B691" s="3" t="s">
        <v>2</v>
      </c>
      <c r="C691" s="4" t="s">
        <v>3</v>
      </c>
      <c r="D691" s="5" t="s">
        <v>4</v>
      </c>
      <c r="E691" s="6" t="s">
        <v>5</v>
      </c>
      <c r="F691" s="3" t="s">
        <v>2</v>
      </c>
      <c r="G691" s="4" t="s">
        <v>3</v>
      </c>
      <c r="H691" s="5" t="s">
        <v>4</v>
      </c>
      <c r="I691" s="6" t="s">
        <v>5</v>
      </c>
      <c r="J691" s="102"/>
      <c r="L691" s="6" t="s">
        <v>1</v>
      </c>
      <c r="M691" s="3" t="s">
        <v>2</v>
      </c>
      <c r="N691" s="4" t="s">
        <v>3</v>
      </c>
      <c r="O691" s="5" t="s">
        <v>4</v>
      </c>
      <c r="P691" s="6" t="s">
        <v>5</v>
      </c>
      <c r="Q691" s="3" t="s">
        <v>2</v>
      </c>
      <c r="R691" s="4" t="s">
        <v>3</v>
      </c>
      <c r="S691" s="5" t="s">
        <v>4</v>
      </c>
      <c r="T691" s="6" t="s">
        <v>5</v>
      </c>
      <c r="U691" s="102"/>
    </row>
    <row r="692" spans="1:23" ht="14.25" thickBot="1" x14ac:dyDescent="0.2">
      <c r="A692" s="62" t="s">
        <v>16</v>
      </c>
      <c r="B692" s="40">
        <f>B686</f>
        <v>0</v>
      </c>
      <c r="C692" s="41">
        <f>C686</f>
        <v>0</v>
      </c>
      <c r="D692" s="81">
        <f>D686</f>
        <v>1</v>
      </c>
      <c r="E692" s="39">
        <f>SUM(B692:D692)</f>
        <v>1</v>
      </c>
      <c r="F692" s="40">
        <f>F686</f>
        <v>0</v>
      </c>
      <c r="G692" s="41">
        <f>G686</f>
        <v>0</v>
      </c>
      <c r="H692" s="81">
        <f>H686</f>
        <v>1</v>
      </c>
      <c r="I692" s="39">
        <f>SUM(F692:H692)</f>
        <v>1</v>
      </c>
      <c r="J692" s="39">
        <f>E692+I692</f>
        <v>2</v>
      </c>
      <c r="L692" s="66" t="s">
        <v>6</v>
      </c>
      <c r="M692" s="25">
        <f>M686</f>
        <v>217</v>
      </c>
      <c r="N692" s="26">
        <f>N686</f>
        <v>150</v>
      </c>
      <c r="O692" s="115">
        <f>O686</f>
        <v>118</v>
      </c>
      <c r="P692" s="28">
        <f>SUM(M692:O692)</f>
        <v>485</v>
      </c>
      <c r="Q692" s="25">
        <f>Q686</f>
        <v>217</v>
      </c>
      <c r="R692" s="26">
        <f>R686</f>
        <v>150</v>
      </c>
      <c r="S692" s="27">
        <f>S686</f>
        <v>118</v>
      </c>
      <c r="T692" s="28">
        <f>SUM(Q692:S692)</f>
        <v>485</v>
      </c>
      <c r="U692" s="28">
        <f>P692+T692</f>
        <v>970</v>
      </c>
    </row>
    <row r="693" spans="1:23" x14ac:dyDescent="0.15">
      <c r="A693" s="23" t="s">
        <v>7</v>
      </c>
      <c r="B693" s="12"/>
      <c r="C693" s="13"/>
      <c r="D693" s="47"/>
      <c r="E693" s="10">
        <f t="shared" ref="E693:E694" si="585">SUM(B693:D693)</f>
        <v>0</v>
      </c>
      <c r="F693" s="15"/>
      <c r="G693" s="13"/>
      <c r="H693" s="14"/>
      <c r="I693" s="10">
        <f t="shared" ref="I693:I694" si="586">SUM(F693:H693)</f>
        <v>0</v>
      </c>
      <c r="J693" s="10">
        <f t="shared" ref="J693:J694" si="587">E693+I693</f>
        <v>0</v>
      </c>
      <c r="K693" s="58"/>
      <c r="L693" s="23" t="s">
        <v>444</v>
      </c>
      <c r="M693" s="12">
        <v>5</v>
      </c>
      <c r="N693" s="13">
        <v>5</v>
      </c>
      <c r="O693" s="47">
        <v>2</v>
      </c>
      <c r="P693" s="10">
        <f t="shared" ref="P693:P698" si="588">SUM(M693:O693)</f>
        <v>12</v>
      </c>
      <c r="Q693" s="15">
        <v>5</v>
      </c>
      <c r="R693" s="13">
        <v>5</v>
      </c>
      <c r="S693" s="14">
        <v>2</v>
      </c>
      <c r="T693" s="10">
        <f t="shared" ref="T693:T698" si="589">SUM(Q693:S693)</f>
        <v>12</v>
      </c>
      <c r="U693" s="10">
        <f t="shared" ref="U693:U698" si="590">P693+T693</f>
        <v>24</v>
      </c>
      <c r="V693" s="58">
        <v>46074</v>
      </c>
    </row>
    <row r="694" spans="1:23" x14ac:dyDescent="0.15">
      <c r="A694" s="23" t="s">
        <v>287</v>
      </c>
      <c r="B694" s="12">
        <v>5</v>
      </c>
      <c r="C694" s="13">
        <v>5</v>
      </c>
      <c r="D694" s="47">
        <v>1</v>
      </c>
      <c r="E694" s="10">
        <f t="shared" si="585"/>
        <v>11</v>
      </c>
      <c r="F694" s="15">
        <v>5</v>
      </c>
      <c r="G694" s="13">
        <v>5</v>
      </c>
      <c r="H694" s="14">
        <v>1</v>
      </c>
      <c r="I694" s="10">
        <f t="shared" si="586"/>
        <v>11</v>
      </c>
      <c r="J694" s="10">
        <f t="shared" si="587"/>
        <v>22</v>
      </c>
      <c r="K694" s="58">
        <v>46062</v>
      </c>
      <c r="L694" s="23" t="s">
        <v>444</v>
      </c>
      <c r="M694" s="12">
        <v>1</v>
      </c>
      <c r="N694" s="13">
        <v>2</v>
      </c>
      <c r="O694" s="47"/>
      <c r="P694" s="10">
        <f t="shared" si="588"/>
        <v>3</v>
      </c>
      <c r="Q694" s="15">
        <v>1</v>
      </c>
      <c r="R694" s="13">
        <v>2</v>
      </c>
      <c r="S694" s="14"/>
      <c r="T694" s="10">
        <f t="shared" si="589"/>
        <v>3</v>
      </c>
      <c r="U694" s="10">
        <f t="shared" si="590"/>
        <v>6</v>
      </c>
      <c r="V694" s="58">
        <v>46102</v>
      </c>
    </row>
    <row r="695" spans="1:23" x14ac:dyDescent="0.15">
      <c r="A695" s="23" t="s">
        <v>260</v>
      </c>
      <c r="B695" s="12">
        <v>1</v>
      </c>
      <c r="C695" s="13">
        <v>1</v>
      </c>
      <c r="D695" s="47"/>
      <c r="E695" s="10">
        <f t="shared" ref="E695:E700" si="591">SUM(B695:D695)</f>
        <v>2</v>
      </c>
      <c r="F695" s="15">
        <v>1</v>
      </c>
      <c r="G695" s="13">
        <v>1</v>
      </c>
      <c r="H695" s="14"/>
      <c r="I695" s="10">
        <f t="shared" ref="I695:I700" si="592">SUM(F695:H695)</f>
        <v>2</v>
      </c>
      <c r="J695" s="10">
        <f t="shared" ref="J695:J700" si="593">E695+I695</f>
        <v>4</v>
      </c>
      <c r="K695" s="58">
        <v>46077</v>
      </c>
      <c r="L695" s="23" t="s">
        <v>444</v>
      </c>
      <c r="M695" s="12"/>
      <c r="N695" s="13">
        <v>2</v>
      </c>
      <c r="O695" s="47"/>
      <c r="P695" s="10">
        <f t="shared" si="588"/>
        <v>2</v>
      </c>
      <c r="Q695" s="15"/>
      <c r="R695" s="13">
        <v>2</v>
      </c>
      <c r="S695" s="14"/>
      <c r="T695" s="10">
        <f t="shared" si="589"/>
        <v>2</v>
      </c>
      <c r="U695" s="10">
        <f t="shared" si="590"/>
        <v>4</v>
      </c>
      <c r="V695" s="58">
        <v>46130</v>
      </c>
    </row>
    <row r="696" spans="1:23" x14ac:dyDescent="0.15">
      <c r="A696" s="23" t="s">
        <v>260</v>
      </c>
      <c r="B696" s="12"/>
      <c r="C696" s="13">
        <v>1</v>
      </c>
      <c r="D696" s="47"/>
      <c r="E696" s="10">
        <f t="shared" si="591"/>
        <v>1</v>
      </c>
      <c r="F696" s="15"/>
      <c r="G696" s="13">
        <v>1</v>
      </c>
      <c r="H696" s="14"/>
      <c r="I696" s="10">
        <f t="shared" si="592"/>
        <v>1</v>
      </c>
      <c r="J696" s="10">
        <f t="shared" si="593"/>
        <v>2</v>
      </c>
      <c r="K696" s="58">
        <v>46090</v>
      </c>
      <c r="L696" s="23" t="s">
        <v>10</v>
      </c>
      <c r="M696" s="12"/>
      <c r="N696" s="13"/>
      <c r="O696" s="47"/>
      <c r="P696" s="10">
        <f t="shared" si="588"/>
        <v>0</v>
      </c>
      <c r="Q696" s="15"/>
      <c r="R696" s="13"/>
      <c r="S696" s="14"/>
      <c r="T696" s="10">
        <f t="shared" si="589"/>
        <v>0</v>
      </c>
      <c r="U696" s="10">
        <f t="shared" si="590"/>
        <v>0</v>
      </c>
    </row>
    <row r="697" spans="1:23" x14ac:dyDescent="0.15">
      <c r="A697" s="132" t="s">
        <v>11</v>
      </c>
      <c r="B697" s="135">
        <v>1</v>
      </c>
      <c r="C697" s="136"/>
      <c r="D697" s="139"/>
      <c r="E697" s="126">
        <f t="shared" ref="E697:E698" si="594">SUM(B697:D697)</f>
        <v>1</v>
      </c>
      <c r="F697" s="138">
        <v>1</v>
      </c>
      <c r="G697" s="136"/>
      <c r="H697" s="137"/>
      <c r="I697" s="126">
        <f t="shared" ref="I697:I698" si="595">SUM(F697:H697)</f>
        <v>1</v>
      </c>
      <c r="J697" s="126">
        <f t="shared" ref="J697:J698" si="596">E697+I697</f>
        <v>2</v>
      </c>
      <c r="K697" s="118">
        <v>46120</v>
      </c>
      <c r="L697" s="23" t="s">
        <v>11</v>
      </c>
      <c r="M697" s="12"/>
      <c r="N697" s="13"/>
      <c r="O697" s="47"/>
      <c r="P697" s="10">
        <f t="shared" si="588"/>
        <v>0</v>
      </c>
      <c r="Q697" s="15"/>
      <c r="R697" s="13"/>
      <c r="S697" s="14"/>
      <c r="T697" s="10">
        <f t="shared" si="589"/>
        <v>0</v>
      </c>
      <c r="U697" s="10">
        <f t="shared" si="590"/>
        <v>0</v>
      </c>
    </row>
    <row r="698" spans="1:23" x14ac:dyDescent="0.15">
      <c r="A698" s="23" t="s">
        <v>260</v>
      </c>
      <c r="B698" s="12"/>
      <c r="C698" s="13">
        <v>2</v>
      </c>
      <c r="D698" s="47"/>
      <c r="E698" s="10">
        <f t="shared" si="594"/>
        <v>2</v>
      </c>
      <c r="F698" s="15"/>
      <c r="G698" s="13">
        <v>2</v>
      </c>
      <c r="H698" s="14"/>
      <c r="I698" s="10">
        <f t="shared" si="595"/>
        <v>2</v>
      </c>
      <c r="J698" s="10">
        <f t="shared" si="596"/>
        <v>4</v>
      </c>
      <c r="K698" s="58">
        <v>46119</v>
      </c>
      <c r="L698" s="23" t="s">
        <v>12</v>
      </c>
      <c r="M698" s="12"/>
      <c r="N698" s="13"/>
      <c r="O698" s="47"/>
      <c r="P698" s="10">
        <f t="shared" si="588"/>
        <v>0</v>
      </c>
      <c r="Q698" s="15"/>
      <c r="R698" s="13"/>
      <c r="S698" s="14"/>
      <c r="T698" s="10">
        <f t="shared" si="589"/>
        <v>0</v>
      </c>
      <c r="U698" s="10">
        <f t="shared" si="590"/>
        <v>0</v>
      </c>
    </row>
    <row r="699" spans="1:23" x14ac:dyDescent="0.15">
      <c r="A699" s="23" t="s">
        <v>13</v>
      </c>
      <c r="B699" s="12">
        <v>1</v>
      </c>
      <c r="C699" s="13"/>
      <c r="D699" s="47"/>
      <c r="E699" s="10">
        <f t="shared" si="591"/>
        <v>1</v>
      </c>
      <c r="F699" s="15">
        <v>1</v>
      </c>
      <c r="G699" s="13"/>
      <c r="H699" s="14"/>
      <c r="I699" s="10">
        <f t="shared" si="592"/>
        <v>1</v>
      </c>
      <c r="J699" s="10">
        <f t="shared" si="593"/>
        <v>2</v>
      </c>
      <c r="K699" s="58">
        <v>46144</v>
      </c>
      <c r="L699" s="23" t="s">
        <v>13</v>
      </c>
      <c r="M699" s="12"/>
      <c r="N699" s="13"/>
      <c r="O699" s="47"/>
      <c r="P699" s="10">
        <f t="shared" ref="P699:P700" si="597">SUM(M699:O699)</f>
        <v>0</v>
      </c>
      <c r="Q699" s="15"/>
      <c r="R699" s="13"/>
      <c r="S699" s="14"/>
      <c r="T699" s="10">
        <f t="shared" ref="T699:T700" si="598">SUM(Q699:S699)</f>
        <v>0</v>
      </c>
      <c r="U699" s="10">
        <f t="shared" ref="U699:U700" si="599">P699+T699</f>
        <v>0</v>
      </c>
    </row>
    <row r="700" spans="1:23" ht="14.25" thickBot="1" x14ac:dyDescent="0.2">
      <c r="A700" s="23" t="s">
        <v>14</v>
      </c>
      <c r="B700" s="12"/>
      <c r="C700" s="13"/>
      <c r="D700" s="47"/>
      <c r="E700" s="10">
        <f t="shared" si="591"/>
        <v>0</v>
      </c>
      <c r="F700" s="15"/>
      <c r="G700" s="13"/>
      <c r="H700" s="14"/>
      <c r="I700" s="10">
        <f t="shared" si="592"/>
        <v>0</v>
      </c>
      <c r="J700" s="10">
        <f t="shared" si="593"/>
        <v>0</v>
      </c>
      <c r="L700" s="23" t="s">
        <v>14</v>
      </c>
      <c r="M700" s="12"/>
      <c r="N700" s="13"/>
      <c r="O700" s="47"/>
      <c r="P700" s="10">
        <f t="shared" si="597"/>
        <v>0</v>
      </c>
      <c r="Q700" s="15"/>
      <c r="R700" s="13"/>
      <c r="S700" s="14"/>
      <c r="T700" s="10">
        <f t="shared" si="598"/>
        <v>0</v>
      </c>
      <c r="U700" s="10">
        <f t="shared" si="599"/>
        <v>0</v>
      </c>
    </row>
    <row r="701" spans="1:23" ht="14.25" thickBot="1" x14ac:dyDescent="0.2">
      <c r="A701" s="32" t="s">
        <v>15</v>
      </c>
      <c r="B701" s="25">
        <f>SUM(B692:B700)</f>
        <v>8</v>
      </c>
      <c r="C701" s="26">
        <f>SUM(C692:C700)</f>
        <v>9</v>
      </c>
      <c r="D701" s="27">
        <f>SUM(D692:D700)</f>
        <v>2</v>
      </c>
      <c r="E701" s="28">
        <f>SUM(B701:D701)</f>
        <v>19</v>
      </c>
      <c r="F701" s="25">
        <f>SUM(F692:F700)</f>
        <v>8</v>
      </c>
      <c r="G701" s="26">
        <f>SUM(G692:G700)</f>
        <v>9</v>
      </c>
      <c r="H701" s="27">
        <f>SUM(H692:H700)</f>
        <v>2</v>
      </c>
      <c r="I701" s="28">
        <f>SUM(F701:H701)</f>
        <v>19</v>
      </c>
      <c r="J701" s="28">
        <f>E701+I701</f>
        <v>38</v>
      </c>
      <c r="L701" s="32" t="s">
        <v>15</v>
      </c>
      <c r="M701" s="25">
        <f>SUM(M692:M700)</f>
        <v>223</v>
      </c>
      <c r="N701" s="26">
        <f>SUM(N692:N700)</f>
        <v>159</v>
      </c>
      <c r="O701" s="27">
        <f>SUM(O692:O700)</f>
        <v>120</v>
      </c>
      <c r="P701" s="28">
        <f>SUM(M701:O701)</f>
        <v>502</v>
      </c>
      <c r="Q701" s="25">
        <f>SUM(Q692:Q700)</f>
        <v>223</v>
      </c>
      <c r="R701" s="26">
        <f>SUM(R692:R700)</f>
        <v>159</v>
      </c>
      <c r="S701" s="27">
        <f>SUM(S692:S700)</f>
        <v>120</v>
      </c>
      <c r="T701" s="28">
        <f>SUM(Q701:S701)</f>
        <v>502</v>
      </c>
      <c r="U701" s="28">
        <f>P701+T701</f>
        <v>1004</v>
      </c>
    </row>
    <row r="702" spans="1:23" x14ac:dyDescent="0.15">
      <c r="A702" s="22" t="s">
        <v>448</v>
      </c>
      <c r="B702" s="7">
        <v>5</v>
      </c>
      <c r="C702" s="8">
        <v>5</v>
      </c>
      <c r="D702" s="9">
        <v>2</v>
      </c>
      <c r="E702" s="43">
        <f t="shared" ref="E702:E704" si="600">SUM(B702:D702)</f>
        <v>12</v>
      </c>
      <c r="F702" s="11">
        <v>5</v>
      </c>
      <c r="G702" s="8">
        <v>5</v>
      </c>
      <c r="H702" s="9">
        <v>2</v>
      </c>
      <c r="I702" s="43">
        <f t="shared" ref="I702:I704" si="601">SUM(F702:H702)</f>
        <v>12</v>
      </c>
      <c r="J702" s="10">
        <f t="shared" ref="J702:J704" si="602">E702+I702</f>
        <v>24</v>
      </c>
      <c r="K702" s="58">
        <v>46074</v>
      </c>
      <c r="L702" s="24" t="s">
        <v>446</v>
      </c>
      <c r="M702" s="7">
        <v>3</v>
      </c>
      <c r="N702" s="8">
        <v>1</v>
      </c>
      <c r="O702" s="9"/>
      <c r="P702" s="43">
        <f t="shared" ref="P702:P721" si="603">SUM(M702:O702)</f>
        <v>4</v>
      </c>
      <c r="Q702" s="11">
        <v>3</v>
      </c>
      <c r="R702" s="8">
        <v>1</v>
      </c>
      <c r="S702" s="9"/>
      <c r="T702" s="43">
        <f t="shared" ref="T702:T721" si="604">SUM(Q702:S702)</f>
        <v>4</v>
      </c>
      <c r="U702" s="10">
        <f t="shared" ref="U702:U721" si="605">P702+T702</f>
        <v>8</v>
      </c>
      <c r="V702" s="56">
        <v>46062</v>
      </c>
    </row>
    <row r="703" spans="1:23" x14ac:dyDescent="0.15">
      <c r="A703" s="22" t="s">
        <v>314</v>
      </c>
      <c r="B703" s="7">
        <v>1</v>
      </c>
      <c r="C703" s="8">
        <v>2</v>
      </c>
      <c r="D703" s="9"/>
      <c r="E703" s="43">
        <f t="shared" si="600"/>
        <v>3</v>
      </c>
      <c r="F703" s="11">
        <v>1</v>
      </c>
      <c r="G703" s="8">
        <v>2</v>
      </c>
      <c r="H703" s="9"/>
      <c r="I703" s="43">
        <f t="shared" si="601"/>
        <v>3</v>
      </c>
      <c r="J703" s="10">
        <f t="shared" si="602"/>
        <v>6</v>
      </c>
      <c r="K703" s="58">
        <v>46102</v>
      </c>
      <c r="L703" s="24" t="s">
        <v>356</v>
      </c>
      <c r="M703" s="7">
        <v>5</v>
      </c>
      <c r="N703" s="8">
        <v>2</v>
      </c>
      <c r="O703" s="9">
        <v>2</v>
      </c>
      <c r="P703" s="43">
        <f t="shared" si="603"/>
        <v>9</v>
      </c>
      <c r="Q703" s="11">
        <v>5</v>
      </c>
      <c r="R703" s="8">
        <v>2</v>
      </c>
      <c r="S703" s="9">
        <v>2</v>
      </c>
      <c r="T703" s="43">
        <f t="shared" si="604"/>
        <v>9</v>
      </c>
      <c r="U703" s="10">
        <f t="shared" si="605"/>
        <v>18</v>
      </c>
      <c r="V703" s="56">
        <v>46066</v>
      </c>
      <c r="W703" s="61"/>
    </row>
    <row r="704" spans="1:23" x14ac:dyDescent="0.15">
      <c r="A704" s="22" t="s">
        <v>314</v>
      </c>
      <c r="B704" s="7"/>
      <c r="C704" s="8">
        <v>2</v>
      </c>
      <c r="D704" s="9"/>
      <c r="E704" s="43">
        <f t="shared" si="600"/>
        <v>2</v>
      </c>
      <c r="F704" s="11"/>
      <c r="G704" s="8">
        <v>2</v>
      </c>
      <c r="H704" s="9"/>
      <c r="I704" s="43">
        <f t="shared" si="601"/>
        <v>2</v>
      </c>
      <c r="J704" s="10">
        <f t="shared" si="602"/>
        <v>4</v>
      </c>
      <c r="K704" s="58">
        <v>46130</v>
      </c>
      <c r="L704" s="24" t="s">
        <v>357</v>
      </c>
      <c r="M704" s="7">
        <v>1</v>
      </c>
      <c r="N704" s="8">
        <v>2</v>
      </c>
      <c r="O704" s="9">
        <v>3</v>
      </c>
      <c r="P704" s="43">
        <f t="shared" si="603"/>
        <v>6</v>
      </c>
      <c r="Q704" s="11">
        <v>1</v>
      </c>
      <c r="R704" s="8">
        <v>2</v>
      </c>
      <c r="S704" s="9">
        <v>3</v>
      </c>
      <c r="T704" s="43">
        <f t="shared" si="604"/>
        <v>6</v>
      </c>
      <c r="U704" s="10">
        <f t="shared" si="605"/>
        <v>12</v>
      </c>
      <c r="V704" s="56">
        <v>46069</v>
      </c>
      <c r="W704" s="61"/>
    </row>
    <row r="705" spans="1:24" x14ac:dyDescent="0.15">
      <c r="A705" s="22"/>
      <c r="B705" s="7"/>
      <c r="C705" s="8"/>
      <c r="D705" s="9"/>
      <c r="E705" s="43">
        <f t="shared" ref="E705:E728" si="606">SUM(B705:D705)</f>
        <v>0</v>
      </c>
      <c r="F705" s="11"/>
      <c r="G705" s="8"/>
      <c r="H705" s="9"/>
      <c r="I705" s="43">
        <f t="shared" ref="I705:I728" si="607">SUM(F705:H705)</f>
        <v>0</v>
      </c>
      <c r="J705" s="10">
        <f t="shared" ref="J705:J727" si="608">E705+I705</f>
        <v>0</v>
      </c>
      <c r="L705" s="24" t="s">
        <v>301</v>
      </c>
      <c r="M705" s="7">
        <v>3</v>
      </c>
      <c r="N705" s="8">
        <v>4</v>
      </c>
      <c r="O705" s="9"/>
      <c r="P705" s="43">
        <f t="shared" si="603"/>
        <v>7</v>
      </c>
      <c r="Q705" s="11">
        <v>3</v>
      </c>
      <c r="R705" s="8">
        <v>4</v>
      </c>
      <c r="S705" s="9"/>
      <c r="T705" s="43">
        <f t="shared" si="604"/>
        <v>7</v>
      </c>
      <c r="U705" s="10">
        <f t="shared" si="605"/>
        <v>14</v>
      </c>
      <c r="V705" s="56">
        <v>46071</v>
      </c>
      <c r="W705" s="61"/>
      <c r="X705" s="61"/>
    </row>
    <row r="706" spans="1:24" x14ac:dyDescent="0.15">
      <c r="A706" s="22"/>
      <c r="B706" s="7"/>
      <c r="C706" s="8"/>
      <c r="D706" s="9"/>
      <c r="E706" s="43">
        <f t="shared" si="606"/>
        <v>0</v>
      </c>
      <c r="F706" s="11"/>
      <c r="G706" s="8"/>
      <c r="H706" s="9"/>
      <c r="I706" s="43">
        <f t="shared" si="607"/>
        <v>0</v>
      </c>
      <c r="J706" s="10">
        <f t="shared" si="608"/>
        <v>0</v>
      </c>
      <c r="L706" s="24" t="s">
        <v>361</v>
      </c>
      <c r="M706" s="7"/>
      <c r="N706" s="8"/>
      <c r="O706" s="9">
        <v>2</v>
      </c>
      <c r="P706" s="43">
        <f t="shared" si="603"/>
        <v>2</v>
      </c>
      <c r="Q706" s="11"/>
      <c r="R706" s="8"/>
      <c r="S706" s="9">
        <v>2</v>
      </c>
      <c r="T706" s="43">
        <f t="shared" si="604"/>
        <v>2</v>
      </c>
      <c r="U706" s="10">
        <f t="shared" si="605"/>
        <v>4</v>
      </c>
      <c r="V706" s="56">
        <v>46072</v>
      </c>
      <c r="W706" s="61"/>
      <c r="X706" s="61"/>
    </row>
    <row r="707" spans="1:24" x14ac:dyDescent="0.15">
      <c r="A707" s="22"/>
      <c r="B707" s="7"/>
      <c r="C707" s="8"/>
      <c r="D707" s="9"/>
      <c r="E707" s="43">
        <f t="shared" si="606"/>
        <v>0</v>
      </c>
      <c r="F707" s="11"/>
      <c r="G707" s="8"/>
      <c r="H707" s="9"/>
      <c r="I707" s="43">
        <f t="shared" si="607"/>
        <v>0</v>
      </c>
      <c r="J707" s="10">
        <f t="shared" si="608"/>
        <v>0</v>
      </c>
      <c r="L707" s="24" t="s">
        <v>304</v>
      </c>
      <c r="M707" s="7">
        <v>2</v>
      </c>
      <c r="N707" s="8"/>
      <c r="O707" s="9"/>
      <c r="P707" s="43">
        <f t="shared" si="603"/>
        <v>2</v>
      </c>
      <c r="Q707" s="11">
        <v>2</v>
      </c>
      <c r="R707" s="8"/>
      <c r="S707" s="9"/>
      <c r="T707" s="43">
        <f t="shared" si="604"/>
        <v>2</v>
      </c>
      <c r="U707" s="10">
        <f t="shared" si="605"/>
        <v>4</v>
      </c>
      <c r="V707" s="56">
        <v>46085</v>
      </c>
    </row>
    <row r="708" spans="1:24" x14ac:dyDescent="0.15">
      <c r="A708" s="22"/>
      <c r="B708" s="7"/>
      <c r="C708" s="8"/>
      <c r="D708" s="9"/>
      <c r="E708" s="43">
        <f t="shared" si="606"/>
        <v>0</v>
      </c>
      <c r="F708" s="11"/>
      <c r="G708" s="8"/>
      <c r="H708" s="9"/>
      <c r="I708" s="43">
        <f t="shared" si="607"/>
        <v>0</v>
      </c>
      <c r="J708" s="10">
        <f t="shared" si="608"/>
        <v>0</v>
      </c>
      <c r="L708" s="24" t="s">
        <v>305</v>
      </c>
      <c r="M708" s="7"/>
      <c r="N708" s="8">
        <v>1</v>
      </c>
      <c r="O708" s="9"/>
      <c r="P708" s="43">
        <f t="shared" si="603"/>
        <v>1</v>
      </c>
      <c r="Q708" s="11"/>
      <c r="R708" s="8">
        <v>1</v>
      </c>
      <c r="S708" s="9"/>
      <c r="T708" s="43">
        <f t="shared" si="604"/>
        <v>1</v>
      </c>
      <c r="U708" s="10">
        <f t="shared" si="605"/>
        <v>2</v>
      </c>
      <c r="V708" s="56">
        <v>46086</v>
      </c>
    </row>
    <row r="709" spans="1:24" x14ac:dyDescent="0.15">
      <c r="A709" s="22"/>
      <c r="B709" s="7"/>
      <c r="C709" s="8"/>
      <c r="D709" s="9"/>
      <c r="E709" s="43">
        <f t="shared" si="606"/>
        <v>0</v>
      </c>
      <c r="F709" s="11"/>
      <c r="G709" s="8"/>
      <c r="H709" s="9"/>
      <c r="I709" s="43">
        <f t="shared" si="607"/>
        <v>0</v>
      </c>
      <c r="J709" s="10">
        <f t="shared" si="608"/>
        <v>0</v>
      </c>
      <c r="L709" s="24" t="s">
        <v>308</v>
      </c>
      <c r="M709" s="7"/>
      <c r="N709" s="8">
        <v>1</v>
      </c>
      <c r="O709" s="9"/>
      <c r="P709" s="43">
        <f t="shared" si="603"/>
        <v>1</v>
      </c>
      <c r="Q709" s="11"/>
      <c r="R709" s="8">
        <v>1</v>
      </c>
      <c r="S709" s="9"/>
      <c r="T709" s="43">
        <f t="shared" si="604"/>
        <v>1</v>
      </c>
      <c r="U709" s="10">
        <f t="shared" si="605"/>
        <v>2</v>
      </c>
      <c r="V709" s="56">
        <v>46087</v>
      </c>
    </row>
    <row r="710" spans="1:24" x14ac:dyDescent="0.15">
      <c r="A710" s="22"/>
      <c r="B710" s="7"/>
      <c r="C710" s="8"/>
      <c r="D710" s="9"/>
      <c r="E710" s="43">
        <f t="shared" si="606"/>
        <v>0</v>
      </c>
      <c r="F710" s="11"/>
      <c r="G710" s="8"/>
      <c r="H710" s="9"/>
      <c r="I710" s="43">
        <f t="shared" si="607"/>
        <v>0</v>
      </c>
      <c r="J710" s="10">
        <f t="shared" si="608"/>
        <v>0</v>
      </c>
      <c r="L710" s="24" t="s">
        <v>309</v>
      </c>
      <c r="M710" s="7"/>
      <c r="N710" s="8"/>
      <c r="O710" s="9">
        <v>1</v>
      </c>
      <c r="P710" s="43">
        <f t="shared" si="603"/>
        <v>1</v>
      </c>
      <c r="Q710" s="11"/>
      <c r="R710" s="8"/>
      <c r="S710" s="9">
        <v>1</v>
      </c>
      <c r="T710" s="43">
        <f t="shared" si="604"/>
        <v>1</v>
      </c>
      <c r="U710" s="10">
        <f t="shared" si="605"/>
        <v>2</v>
      </c>
      <c r="V710" s="56">
        <v>46104</v>
      </c>
    </row>
    <row r="711" spans="1:24" x14ac:dyDescent="0.15">
      <c r="A711" s="22"/>
      <c r="B711" s="12"/>
      <c r="C711" s="13"/>
      <c r="D711" s="14"/>
      <c r="E711" s="43">
        <f t="shared" si="606"/>
        <v>0</v>
      </c>
      <c r="F711" s="15"/>
      <c r="G711" s="13"/>
      <c r="H711" s="14"/>
      <c r="I711" s="43">
        <f t="shared" si="607"/>
        <v>0</v>
      </c>
      <c r="J711" s="10">
        <f t="shared" si="608"/>
        <v>0</v>
      </c>
      <c r="L711" s="24" t="s">
        <v>310</v>
      </c>
      <c r="M711" s="7"/>
      <c r="N711" s="8"/>
      <c r="O711" s="9">
        <v>1</v>
      </c>
      <c r="P711" s="43">
        <f t="shared" si="603"/>
        <v>1</v>
      </c>
      <c r="Q711" s="11"/>
      <c r="R711" s="8"/>
      <c r="S711" s="9">
        <v>1</v>
      </c>
      <c r="T711" s="43">
        <f t="shared" si="604"/>
        <v>1</v>
      </c>
      <c r="U711" s="10">
        <f t="shared" si="605"/>
        <v>2</v>
      </c>
      <c r="V711" s="56">
        <v>46108</v>
      </c>
    </row>
    <row r="712" spans="1:24" x14ac:dyDescent="0.15">
      <c r="A712" s="22"/>
      <c r="B712" s="7"/>
      <c r="C712" s="8"/>
      <c r="D712" s="9"/>
      <c r="E712" s="43">
        <f t="shared" si="606"/>
        <v>0</v>
      </c>
      <c r="F712" s="11"/>
      <c r="G712" s="8"/>
      <c r="H712" s="9"/>
      <c r="I712" s="43">
        <f t="shared" si="607"/>
        <v>0</v>
      </c>
      <c r="J712" s="10">
        <f t="shared" si="608"/>
        <v>0</v>
      </c>
      <c r="L712" s="24" t="s">
        <v>460</v>
      </c>
      <c r="M712" s="7">
        <v>1</v>
      </c>
      <c r="N712" s="8"/>
      <c r="O712" s="9"/>
      <c r="P712" s="43">
        <f t="shared" si="603"/>
        <v>1</v>
      </c>
      <c r="Q712" s="11">
        <v>1</v>
      </c>
      <c r="R712" s="8"/>
      <c r="S712" s="9"/>
      <c r="T712" s="43">
        <f t="shared" si="604"/>
        <v>1</v>
      </c>
      <c r="U712" s="10">
        <f t="shared" si="605"/>
        <v>2</v>
      </c>
      <c r="V712" s="56">
        <v>46120</v>
      </c>
      <c r="W712" s="61"/>
    </row>
    <row r="713" spans="1:24" x14ac:dyDescent="0.15">
      <c r="A713" s="22"/>
      <c r="B713" s="7"/>
      <c r="C713" s="8"/>
      <c r="D713" s="9"/>
      <c r="E713" s="43">
        <f t="shared" si="606"/>
        <v>0</v>
      </c>
      <c r="F713" s="11"/>
      <c r="G713" s="8"/>
      <c r="H713" s="9"/>
      <c r="I713" s="43">
        <f t="shared" si="607"/>
        <v>0</v>
      </c>
      <c r="J713" s="10">
        <f t="shared" si="608"/>
        <v>0</v>
      </c>
      <c r="L713" s="24" t="s">
        <v>461</v>
      </c>
      <c r="M713" s="7">
        <v>1</v>
      </c>
      <c r="N713" s="8"/>
      <c r="O713" s="9"/>
      <c r="P713" s="43">
        <f t="shared" si="603"/>
        <v>1</v>
      </c>
      <c r="Q713" s="11">
        <v>1</v>
      </c>
      <c r="R713" s="8"/>
      <c r="S713" s="9"/>
      <c r="T713" s="43">
        <f t="shared" si="604"/>
        <v>1</v>
      </c>
      <c r="U713" s="10">
        <f t="shared" si="605"/>
        <v>2</v>
      </c>
      <c r="V713" s="56">
        <v>46121</v>
      </c>
      <c r="W713" s="61"/>
    </row>
    <row r="714" spans="1:24" x14ac:dyDescent="0.15">
      <c r="A714" s="22"/>
      <c r="B714" s="7"/>
      <c r="C714" s="8"/>
      <c r="D714" s="9"/>
      <c r="E714" s="43">
        <f t="shared" si="606"/>
        <v>0</v>
      </c>
      <c r="F714" s="11"/>
      <c r="G714" s="8"/>
      <c r="H714" s="9"/>
      <c r="I714" s="43">
        <f t="shared" si="607"/>
        <v>0</v>
      </c>
      <c r="J714" s="10">
        <f t="shared" si="608"/>
        <v>0</v>
      </c>
      <c r="L714" s="24" t="s">
        <v>313</v>
      </c>
      <c r="M714" s="7">
        <v>1</v>
      </c>
      <c r="N714" s="8"/>
      <c r="O714" s="9"/>
      <c r="P714" s="43">
        <f t="shared" si="603"/>
        <v>1</v>
      </c>
      <c r="Q714" s="11">
        <v>1</v>
      </c>
      <c r="R714" s="8"/>
      <c r="S714" s="9"/>
      <c r="T714" s="43">
        <f t="shared" si="604"/>
        <v>1</v>
      </c>
      <c r="U714" s="10">
        <f t="shared" si="605"/>
        <v>2</v>
      </c>
      <c r="V714" s="56">
        <v>46136</v>
      </c>
      <c r="W714" s="61"/>
    </row>
    <row r="715" spans="1:24" x14ac:dyDescent="0.15">
      <c r="A715" s="22"/>
      <c r="B715" s="7"/>
      <c r="C715" s="8"/>
      <c r="D715" s="9"/>
      <c r="E715" s="43">
        <f t="shared" si="606"/>
        <v>0</v>
      </c>
      <c r="F715" s="11"/>
      <c r="G715" s="8"/>
      <c r="H715" s="9"/>
      <c r="I715" s="43">
        <f t="shared" si="607"/>
        <v>0</v>
      </c>
      <c r="J715" s="10">
        <f t="shared" si="608"/>
        <v>0</v>
      </c>
      <c r="L715" s="24" t="s">
        <v>372</v>
      </c>
      <c r="M715" s="7"/>
      <c r="N715" s="8">
        <v>1</v>
      </c>
      <c r="O715" s="9"/>
      <c r="P715" s="43">
        <f t="shared" si="603"/>
        <v>1</v>
      </c>
      <c r="Q715" s="11"/>
      <c r="R715" s="8">
        <v>1</v>
      </c>
      <c r="S715" s="9"/>
      <c r="T715" s="43">
        <f t="shared" si="604"/>
        <v>1</v>
      </c>
      <c r="U715" s="10">
        <f t="shared" si="605"/>
        <v>2</v>
      </c>
      <c r="V715" s="56">
        <v>46142</v>
      </c>
      <c r="W715" s="61"/>
    </row>
    <row r="716" spans="1:24" x14ac:dyDescent="0.15">
      <c r="A716" s="22"/>
      <c r="B716" s="7"/>
      <c r="C716" s="8"/>
      <c r="D716" s="9"/>
      <c r="E716" s="43">
        <f t="shared" si="606"/>
        <v>0</v>
      </c>
      <c r="F716" s="11"/>
      <c r="G716" s="8"/>
      <c r="H716" s="9"/>
      <c r="I716" s="43">
        <f t="shared" si="607"/>
        <v>0</v>
      </c>
      <c r="J716" s="10">
        <f t="shared" si="608"/>
        <v>0</v>
      </c>
      <c r="L716" s="168" t="s">
        <v>473</v>
      </c>
      <c r="M716" s="169">
        <v>1</v>
      </c>
      <c r="N716" s="170"/>
      <c r="O716" s="171"/>
      <c r="P716" s="172">
        <f t="shared" si="603"/>
        <v>1</v>
      </c>
      <c r="Q716" s="173">
        <v>1</v>
      </c>
      <c r="R716" s="170"/>
      <c r="S716" s="171"/>
      <c r="T716" s="172">
        <f t="shared" si="604"/>
        <v>1</v>
      </c>
      <c r="U716" s="174">
        <f t="shared" si="605"/>
        <v>2</v>
      </c>
      <c r="V716" s="56">
        <v>46144</v>
      </c>
      <c r="W716" s="61"/>
    </row>
    <row r="717" spans="1:24" x14ac:dyDescent="0.15">
      <c r="A717" s="22"/>
      <c r="B717" s="7"/>
      <c r="C717" s="8"/>
      <c r="D717" s="9"/>
      <c r="E717" s="43">
        <f t="shared" si="606"/>
        <v>0</v>
      </c>
      <c r="F717" s="11"/>
      <c r="G717" s="8"/>
      <c r="H717" s="9"/>
      <c r="I717" s="43">
        <f t="shared" si="607"/>
        <v>0</v>
      </c>
      <c r="J717" s="10">
        <f t="shared" si="608"/>
        <v>0</v>
      </c>
      <c r="L717" s="168" t="s">
        <v>475</v>
      </c>
      <c r="M717" s="169">
        <v>1</v>
      </c>
      <c r="N717" s="170"/>
      <c r="O717" s="171"/>
      <c r="P717" s="172">
        <f t="shared" si="603"/>
        <v>1</v>
      </c>
      <c r="Q717" s="173">
        <v>1</v>
      </c>
      <c r="R717" s="170"/>
      <c r="S717" s="171"/>
      <c r="T717" s="172">
        <f t="shared" si="604"/>
        <v>1</v>
      </c>
      <c r="U717" s="174">
        <f t="shared" si="605"/>
        <v>2</v>
      </c>
      <c r="V717" s="56">
        <v>46163</v>
      </c>
      <c r="W717" s="61"/>
    </row>
    <row r="718" spans="1:24" x14ac:dyDescent="0.15">
      <c r="A718" s="24"/>
      <c r="B718" s="7"/>
      <c r="C718" s="8"/>
      <c r="D718" s="9"/>
      <c r="E718" s="43">
        <f t="shared" si="606"/>
        <v>0</v>
      </c>
      <c r="F718" s="11"/>
      <c r="G718" s="8"/>
      <c r="H718" s="9"/>
      <c r="I718" s="43">
        <f t="shared" si="607"/>
        <v>0</v>
      </c>
      <c r="J718" s="10">
        <f t="shared" si="608"/>
        <v>0</v>
      </c>
      <c r="L718" s="24"/>
      <c r="M718" s="7"/>
      <c r="N718" s="8"/>
      <c r="O718" s="9"/>
      <c r="P718" s="43">
        <f t="shared" si="603"/>
        <v>0</v>
      </c>
      <c r="Q718" s="11"/>
      <c r="R718" s="8"/>
      <c r="S718" s="9"/>
      <c r="T718" s="43">
        <f t="shared" si="604"/>
        <v>0</v>
      </c>
      <c r="U718" s="10">
        <f t="shared" si="605"/>
        <v>0</v>
      </c>
      <c r="V718" s="61"/>
      <c r="W718" s="61"/>
    </row>
    <row r="719" spans="1:24" x14ac:dyDescent="0.15">
      <c r="A719" s="22"/>
      <c r="B719" s="7"/>
      <c r="C719" s="8"/>
      <c r="D719" s="9"/>
      <c r="E719" s="43">
        <f t="shared" si="606"/>
        <v>0</v>
      </c>
      <c r="F719" s="11"/>
      <c r="G719" s="8"/>
      <c r="H719" s="9"/>
      <c r="I719" s="43">
        <f t="shared" si="607"/>
        <v>0</v>
      </c>
      <c r="J719" s="10">
        <f t="shared" si="608"/>
        <v>0</v>
      </c>
      <c r="L719" s="24"/>
      <c r="M719" s="7"/>
      <c r="N719" s="8"/>
      <c r="O719" s="9"/>
      <c r="P719" s="43">
        <f t="shared" si="603"/>
        <v>0</v>
      </c>
      <c r="Q719" s="11"/>
      <c r="R719" s="8"/>
      <c r="S719" s="9"/>
      <c r="T719" s="43">
        <f t="shared" si="604"/>
        <v>0</v>
      </c>
      <c r="U719" s="10">
        <f t="shared" si="605"/>
        <v>0</v>
      </c>
      <c r="V719" s="61"/>
      <c r="W719" s="61"/>
    </row>
    <row r="720" spans="1:24" x14ac:dyDescent="0.15">
      <c r="A720" s="22"/>
      <c r="B720" s="7"/>
      <c r="C720" s="8"/>
      <c r="D720" s="9"/>
      <c r="E720" s="43">
        <f t="shared" si="606"/>
        <v>0</v>
      </c>
      <c r="F720" s="11"/>
      <c r="G720" s="8"/>
      <c r="H720" s="9"/>
      <c r="I720" s="43">
        <f t="shared" si="607"/>
        <v>0</v>
      </c>
      <c r="J720" s="10">
        <f t="shared" si="608"/>
        <v>0</v>
      </c>
      <c r="L720" s="24"/>
      <c r="M720" s="7"/>
      <c r="N720" s="8"/>
      <c r="O720" s="9"/>
      <c r="P720" s="43">
        <f t="shared" si="603"/>
        <v>0</v>
      </c>
      <c r="Q720" s="11"/>
      <c r="R720" s="8"/>
      <c r="S720" s="9"/>
      <c r="T720" s="43">
        <f t="shared" si="604"/>
        <v>0</v>
      </c>
      <c r="U720" s="10">
        <f t="shared" si="605"/>
        <v>0</v>
      </c>
    </row>
    <row r="721" spans="1:22" x14ac:dyDescent="0.15">
      <c r="A721" s="22"/>
      <c r="B721" s="7"/>
      <c r="C721" s="8"/>
      <c r="D721" s="9"/>
      <c r="E721" s="43">
        <f t="shared" si="606"/>
        <v>0</v>
      </c>
      <c r="F721" s="11"/>
      <c r="G721" s="8"/>
      <c r="H721" s="9"/>
      <c r="I721" s="43">
        <f t="shared" si="607"/>
        <v>0</v>
      </c>
      <c r="J721" s="10">
        <f t="shared" si="608"/>
        <v>0</v>
      </c>
      <c r="L721" s="24"/>
      <c r="M721" s="7"/>
      <c r="N721" s="8"/>
      <c r="O721" s="9"/>
      <c r="P721" s="43">
        <f t="shared" si="603"/>
        <v>0</v>
      </c>
      <c r="Q721" s="11"/>
      <c r="R721" s="8"/>
      <c r="S721" s="9"/>
      <c r="T721" s="43">
        <f t="shared" si="604"/>
        <v>0</v>
      </c>
      <c r="U721" s="10">
        <f t="shared" si="605"/>
        <v>0</v>
      </c>
    </row>
    <row r="722" spans="1:22" x14ac:dyDescent="0.15">
      <c r="A722" s="22"/>
      <c r="B722" s="7"/>
      <c r="C722" s="8"/>
      <c r="D722" s="9"/>
      <c r="E722" s="43">
        <f t="shared" si="606"/>
        <v>0</v>
      </c>
      <c r="F722" s="11"/>
      <c r="G722" s="8"/>
      <c r="H722" s="9"/>
      <c r="I722" s="43">
        <f t="shared" si="607"/>
        <v>0</v>
      </c>
      <c r="J722" s="10">
        <f t="shared" si="608"/>
        <v>0</v>
      </c>
      <c r="L722" s="24"/>
      <c r="M722" s="7"/>
      <c r="N722" s="8"/>
      <c r="O722" s="9"/>
      <c r="P722" s="43">
        <f t="shared" ref="P722:P728" si="609">SUM(M722:O722)</f>
        <v>0</v>
      </c>
      <c r="Q722" s="11"/>
      <c r="R722" s="8"/>
      <c r="S722" s="9"/>
      <c r="T722" s="43">
        <f t="shared" ref="T722:T728" si="610">SUM(Q722:S722)</f>
        <v>0</v>
      </c>
      <c r="U722" s="10">
        <f t="shared" ref="U722:U723" si="611">P722+T722</f>
        <v>0</v>
      </c>
    </row>
    <row r="723" spans="1:22" x14ac:dyDescent="0.15">
      <c r="A723" s="63"/>
      <c r="B723" s="12"/>
      <c r="C723" s="13"/>
      <c r="D723" s="14"/>
      <c r="E723" s="43">
        <f t="shared" si="606"/>
        <v>0</v>
      </c>
      <c r="F723" s="15"/>
      <c r="G723" s="13"/>
      <c r="H723" s="14"/>
      <c r="I723" s="43">
        <f t="shared" si="607"/>
        <v>0</v>
      </c>
      <c r="J723" s="10">
        <f t="shared" si="608"/>
        <v>0</v>
      </c>
      <c r="L723" s="24"/>
      <c r="M723" s="7"/>
      <c r="N723" s="8"/>
      <c r="O723" s="9"/>
      <c r="P723" s="43">
        <f t="shared" si="609"/>
        <v>0</v>
      </c>
      <c r="Q723" s="11"/>
      <c r="R723" s="8"/>
      <c r="S723" s="9"/>
      <c r="T723" s="43">
        <f t="shared" si="610"/>
        <v>0</v>
      </c>
      <c r="U723" s="10">
        <f t="shared" si="611"/>
        <v>0</v>
      </c>
    </row>
    <row r="724" spans="1:22" x14ac:dyDescent="0.15">
      <c r="A724" s="22"/>
      <c r="B724" s="7"/>
      <c r="C724" s="8"/>
      <c r="D724" s="9"/>
      <c r="E724" s="43">
        <f t="shared" si="606"/>
        <v>0</v>
      </c>
      <c r="F724" s="11"/>
      <c r="G724" s="8"/>
      <c r="H724" s="9"/>
      <c r="I724" s="43">
        <f t="shared" si="607"/>
        <v>0</v>
      </c>
      <c r="J724" s="10">
        <f t="shared" si="608"/>
        <v>0</v>
      </c>
      <c r="L724" s="24"/>
      <c r="M724" s="7"/>
      <c r="N724" s="8"/>
      <c r="O724" s="9"/>
      <c r="P724" s="43">
        <f t="shared" ref="P724:P727" si="612">SUM(M724:O724)</f>
        <v>0</v>
      </c>
      <c r="Q724" s="11"/>
      <c r="R724" s="8"/>
      <c r="S724" s="9"/>
      <c r="T724" s="43">
        <f t="shared" ref="T724:T727" si="613">SUM(Q724:S724)</f>
        <v>0</v>
      </c>
      <c r="U724" s="10">
        <f t="shared" ref="U724:U727" si="614">P724+T724</f>
        <v>0</v>
      </c>
    </row>
    <row r="725" spans="1:22" x14ac:dyDescent="0.15">
      <c r="A725" s="63"/>
      <c r="B725" s="7"/>
      <c r="C725" s="8"/>
      <c r="D725" s="9"/>
      <c r="E725" s="43">
        <f t="shared" si="606"/>
        <v>0</v>
      </c>
      <c r="F725" s="11"/>
      <c r="G725" s="8"/>
      <c r="H725" s="9"/>
      <c r="I725" s="43">
        <f t="shared" si="607"/>
        <v>0</v>
      </c>
      <c r="J725" s="10">
        <f t="shared" si="608"/>
        <v>0</v>
      </c>
      <c r="L725" s="24"/>
      <c r="M725" s="7"/>
      <c r="N725" s="8"/>
      <c r="O725" s="9"/>
      <c r="P725" s="43">
        <f t="shared" si="612"/>
        <v>0</v>
      </c>
      <c r="Q725" s="11"/>
      <c r="R725" s="8"/>
      <c r="S725" s="9"/>
      <c r="T725" s="43">
        <f t="shared" si="613"/>
        <v>0</v>
      </c>
      <c r="U725" s="10">
        <f t="shared" si="614"/>
        <v>0</v>
      </c>
    </row>
    <row r="726" spans="1:22" x14ac:dyDescent="0.15">
      <c r="A726" s="22"/>
      <c r="B726" s="7"/>
      <c r="C726" s="8"/>
      <c r="D726" s="9"/>
      <c r="E726" s="43">
        <f t="shared" si="606"/>
        <v>0</v>
      </c>
      <c r="F726" s="11"/>
      <c r="G726" s="8"/>
      <c r="H726" s="9"/>
      <c r="I726" s="43">
        <f t="shared" si="607"/>
        <v>0</v>
      </c>
      <c r="J726" s="10">
        <f t="shared" si="608"/>
        <v>0</v>
      </c>
      <c r="L726" s="24"/>
      <c r="M726" s="7"/>
      <c r="N726" s="8"/>
      <c r="O726" s="9"/>
      <c r="P726" s="43">
        <f t="shared" si="612"/>
        <v>0</v>
      </c>
      <c r="Q726" s="11"/>
      <c r="R726" s="8"/>
      <c r="S726" s="9"/>
      <c r="T726" s="43">
        <f t="shared" si="613"/>
        <v>0</v>
      </c>
      <c r="U726" s="10">
        <f t="shared" si="614"/>
        <v>0</v>
      </c>
    </row>
    <row r="727" spans="1:22" ht="14.25" thickBot="1" x14ac:dyDescent="0.2">
      <c r="A727" s="22"/>
      <c r="B727" s="7"/>
      <c r="C727" s="8"/>
      <c r="D727" s="9"/>
      <c r="E727" s="43">
        <f t="shared" si="606"/>
        <v>0</v>
      </c>
      <c r="F727" s="11"/>
      <c r="G727" s="8"/>
      <c r="H727" s="9"/>
      <c r="I727" s="43">
        <f t="shared" si="607"/>
        <v>0</v>
      </c>
      <c r="J727" s="10">
        <f t="shared" si="608"/>
        <v>0</v>
      </c>
      <c r="L727" s="24"/>
      <c r="M727" s="7"/>
      <c r="N727" s="8"/>
      <c r="O727" s="9"/>
      <c r="P727" s="43">
        <f t="shared" si="612"/>
        <v>0</v>
      </c>
      <c r="Q727" s="11"/>
      <c r="R727" s="8"/>
      <c r="S727" s="9"/>
      <c r="T727" s="43">
        <f t="shared" si="613"/>
        <v>0</v>
      </c>
      <c r="U727" s="10">
        <f t="shared" si="614"/>
        <v>0</v>
      </c>
    </row>
    <row r="728" spans="1:22" ht="14.25" thickBot="1" x14ac:dyDescent="0.2">
      <c r="A728" s="35" t="s">
        <v>17</v>
      </c>
      <c r="B728" s="40">
        <f>SUM(B702:B727)</f>
        <v>6</v>
      </c>
      <c r="C728" s="41">
        <f t="shared" ref="C728:D728" si="615">SUM(C702:C727)</f>
        <v>9</v>
      </c>
      <c r="D728" s="52">
        <f t="shared" si="615"/>
        <v>2</v>
      </c>
      <c r="E728" s="39">
        <f t="shared" si="606"/>
        <v>17</v>
      </c>
      <c r="F728" s="40">
        <f>SUM(F702:F727)</f>
        <v>6</v>
      </c>
      <c r="G728" s="41">
        <f t="shared" ref="G728:H728" si="616">SUM(G702:G727)</f>
        <v>9</v>
      </c>
      <c r="H728" s="52">
        <f t="shared" si="616"/>
        <v>2</v>
      </c>
      <c r="I728" s="39">
        <f t="shared" si="607"/>
        <v>17</v>
      </c>
      <c r="J728" s="39">
        <f>E728+I728</f>
        <v>34</v>
      </c>
      <c r="L728" s="35" t="s">
        <v>17</v>
      </c>
      <c r="M728" s="40">
        <f>SUM(M702:M727)</f>
        <v>19</v>
      </c>
      <c r="N728" s="41">
        <f t="shared" ref="N728:O728" si="617">SUM(N702:N727)</f>
        <v>12</v>
      </c>
      <c r="O728" s="52">
        <f t="shared" si="617"/>
        <v>9</v>
      </c>
      <c r="P728" s="39">
        <f t="shared" si="609"/>
        <v>40</v>
      </c>
      <c r="Q728" s="40">
        <f>SUM(Q702:Q727)</f>
        <v>19</v>
      </c>
      <c r="R728" s="41">
        <f t="shared" ref="R728:S728" si="618">SUM(R702:R727)</f>
        <v>12</v>
      </c>
      <c r="S728" s="52">
        <f t="shared" si="618"/>
        <v>9</v>
      </c>
      <c r="T728" s="39">
        <f t="shared" si="610"/>
        <v>40</v>
      </c>
      <c r="U728" s="39">
        <f>P728+T728</f>
        <v>80</v>
      </c>
    </row>
    <row r="729" spans="1:22" ht="14.25" thickBot="1" x14ac:dyDescent="0.2">
      <c r="A729" s="21" t="s">
        <v>16</v>
      </c>
      <c r="B729" s="44">
        <f>B701-B728</f>
        <v>2</v>
      </c>
      <c r="C729" s="50">
        <f t="shared" ref="C729:D729" si="619">C701-C728</f>
        <v>0</v>
      </c>
      <c r="D729" s="51">
        <f t="shared" si="619"/>
        <v>0</v>
      </c>
      <c r="E729" s="49">
        <f>SUM(B729:D729)</f>
        <v>2</v>
      </c>
      <c r="F729" s="44">
        <f>F701-F728</f>
        <v>2</v>
      </c>
      <c r="G729" s="50">
        <f t="shared" ref="G729:H729" si="620">G701-G728</f>
        <v>0</v>
      </c>
      <c r="H729" s="51">
        <f t="shared" si="620"/>
        <v>0</v>
      </c>
      <c r="I729" s="49">
        <f>SUM(F729:H729)</f>
        <v>2</v>
      </c>
      <c r="J729" s="28">
        <f>E729+I729</f>
        <v>4</v>
      </c>
      <c r="L729" s="21" t="s">
        <v>16</v>
      </c>
      <c r="M729" s="44">
        <f>M701-M728</f>
        <v>204</v>
      </c>
      <c r="N729" s="50">
        <f t="shared" ref="N729:O729" si="621">N701-N728</f>
        <v>147</v>
      </c>
      <c r="O729" s="51">
        <f t="shared" si="621"/>
        <v>111</v>
      </c>
      <c r="P729" s="49">
        <f>SUM(M729:O729)</f>
        <v>462</v>
      </c>
      <c r="Q729" s="44">
        <f>Q701-Q728</f>
        <v>204</v>
      </c>
      <c r="R729" s="50">
        <f t="shared" ref="R729:S729" si="622">R701-R728</f>
        <v>147</v>
      </c>
      <c r="S729" s="51">
        <f t="shared" si="622"/>
        <v>111</v>
      </c>
      <c r="T729" s="49">
        <f>SUM(Q729:S729)</f>
        <v>462</v>
      </c>
      <c r="U729" s="28">
        <f>P729+T729</f>
        <v>924</v>
      </c>
      <c r="V729" s="97" t="s">
        <v>450</v>
      </c>
    </row>
    <row r="731" spans="1:22" ht="42.75" customHeight="1" x14ac:dyDescent="0.15">
      <c r="A731" s="152" t="s">
        <v>451</v>
      </c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</row>
    <row r="732" spans="1:22" ht="19.5" thickBot="1" x14ac:dyDescent="0.25">
      <c r="A732" s="84" t="s">
        <v>29</v>
      </c>
      <c r="B732" s="85"/>
      <c r="C732" s="85"/>
      <c r="D732" s="85"/>
      <c r="E732" s="85"/>
      <c r="F732" s="85"/>
      <c r="G732" s="85"/>
      <c r="H732" s="85"/>
      <c r="I732" s="85"/>
      <c r="J732" s="85"/>
      <c r="L732" s="86" t="s">
        <v>464</v>
      </c>
      <c r="M732" s="117"/>
      <c r="N732" s="117"/>
      <c r="O732" s="117"/>
      <c r="P732" s="117"/>
      <c r="Q732" s="117"/>
      <c r="R732" s="117"/>
      <c r="S732" s="117"/>
      <c r="T732" s="87"/>
      <c r="U732" s="140">
        <v>1040</v>
      </c>
    </row>
    <row r="733" spans="1:22" ht="14.25" thickBot="1" x14ac:dyDescent="0.2">
      <c r="A733" s="6"/>
      <c r="B733" s="146" t="s">
        <v>18</v>
      </c>
      <c r="C733" s="147"/>
      <c r="D733" s="147"/>
      <c r="E733" s="148"/>
      <c r="F733" s="146" t="s">
        <v>22</v>
      </c>
      <c r="G733" s="147"/>
      <c r="H733" s="147"/>
      <c r="I733" s="148"/>
      <c r="J733" s="153" t="s">
        <v>0</v>
      </c>
      <c r="L733" s="6"/>
      <c r="M733" s="149" t="s">
        <v>18</v>
      </c>
      <c r="N733" s="150"/>
      <c r="O733" s="150"/>
      <c r="P733" s="151"/>
      <c r="Q733" s="149" t="s">
        <v>22</v>
      </c>
      <c r="R733" s="150"/>
      <c r="S733" s="150"/>
      <c r="T733" s="151"/>
      <c r="U733" s="153" t="s">
        <v>0</v>
      </c>
    </row>
    <row r="734" spans="1:22" ht="14.25" thickBot="1" x14ac:dyDescent="0.2">
      <c r="A734" s="6" t="s">
        <v>1</v>
      </c>
      <c r="B734" s="3" t="s">
        <v>2</v>
      </c>
      <c r="C734" s="4" t="s">
        <v>3</v>
      </c>
      <c r="D734" s="5" t="s">
        <v>4</v>
      </c>
      <c r="E734" s="6" t="s">
        <v>5</v>
      </c>
      <c r="F734" s="3" t="s">
        <v>2</v>
      </c>
      <c r="G734" s="4" t="s">
        <v>3</v>
      </c>
      <c r="H734" s="5" t="s">
        <v>4</v>
      </c>
      <c r="I734" s="6" t="s">
        <v>5</v>
      </c>
      <c r="J734" s="154"/>
      <c r="L734" s="6" t="s">
        <v>1</v>
      </c>
      <c r="M734" s="3" t="s">
        <v>2</v>
      </c>
      <c r="N734" s="4" t="s">
        <v>3</v>
      </c>
      <c r="O734" s="5" t="s">
        <v>4</v>
      </c>
      <c r="P734" s="6" t="s">
        <v>5</v>
      </c>
      <c r="Q734" s="3" t="s">
        <v>2</v>
      </c>
      <c r="R734" s="4" t="s">
        <v>3</v>
      </c>
      <c r="S734" s="5" t="s">
        <v>4</v>
      </c>
      <c r="T734" s="6" t="s">
        <v>5</v>
      </c>
      <c r="U734" s="154"/>
    </row>
    <row r="735" spans="1:22" ht="14.25" thickBot="1" x14ac:dyDescent="0.2">
      <c r="A735" s="62" t="s">
        <v>16</v>
      </c>
      <c r="B735" s="40">
        <f>B729</f>
        <v>2</v>
      </c>
      <c r="C735" s="41">
        <f>C729</f>
        <v>0</v>
      </c>
      <c r="D735" s="81">
        <f>D729</f>
        <v>0</v>
      </c>
      <c r="E735" s="39">
        <f>SUM(B735:D735)</f>
        <v>2</v>
      </c>
      <c r="F735" s="40">
        <f>F729</f>
        <v>2</v>
      </c>
      <c r="G735" s="41">
        <f>G729</f>
        <v>0</v>
      </c>
      <c r="H735" s="81">
        <f>H729</f>
        <v>0</v>
      </c>
      <c r="I735" s="39">
        <f>SUM(F735:H735)</f>
        <v>2</v>
      </c>
      <c r="J735" s="39">
        <f>E735+I735</f>
        <v>4</v>
      </c>
      <c r="L735" s="66" t="s">
        <v>6</v>
      </c>
      <c r="M735" s="25">
        <f>M729</f>
        <v>204</v>
      </c>
      <c r="N735" s="26">
        <f>N729</f>
        <v>147</v>
      </c>
      <c r="O735" s="115">
        <f>O729</f>
        <v>111</v>
      </c>
      <c r="P735" s="28">
        <f>SUM(M735:O735)</f>
        <v>462</v>
      </c>
      <c r="Q735" s="25">
        <f>Q729</f>
        <v>204</v>
      </c>
      <c r="R735" s="26">
        <f>R729</f>
        <v>147</v>
      </c>
      <c r="S735" s="27">
        <f>S729</f>
        <v>111</v>
      </c>
      <c r="T735" s="28">
        <f>SUM(Q735:S735)</f>
        <v>462</v>
      </c>
      <c r="U735" s="28">
        <f>P735+T735</f>
        <v>924</v>
      </c>
    </row>
    <row r="736" spans="1:22" x14ac:dyDescent="0.15">
      <c r="A736" s="23" t="s">
        <v>7</v>
      </c>
      <c r="B736" s="12"/>
      <c r="C736" s="13"/>
      <c r="D736" s="47"/>
      <c r="E736" s="10">
        <f t="shared" ref="E736:E740" si="623">SUM(B736:D736)</f>
        <v>0</v>
      </c>
      <c r="F736" s="15"/>
      <c r="G736" s="13"/>
      <c r="H736" s="14"/>
      <c r="I736" s="10">
        <f t="shared" ref="I736:I740" si="624">SUM(F736:H736)</f>
        <v>0</v>
      </c>
      <c r="J736" s="10">
        <f t="shared" ref="J736:J740" si="625">E736+I736</f>
        <v>0</v>
      </c>
      <c r="L736" s="23" t="s">
        <v>7</v>
      </c>
      <c r="M736" s="12"/>
      <c r="N736" s="13"/>
      <c r="O736" s="47"/>
      <c r="P736" s="10">
        <f t="shared" ref="P736:P737" si="626">SUM(M736:O736)</f>
        <v>0</v>
      </c>
      <c r="Q736" s="15"/>
      <c r="R736" s="13"/>
      <c r="S736" s="14"/>
      <c r="T736" s="10">
        <f t="shared" ref="T736:T737" si="627">SUM(Q736:S736)</f>
        <v>0</v>
      </c>
      <c r="U736" s="10">
        <f t="shared" ref="U736:U737" si="628">P736+T736</f>
        <v>0</v>
      </c>
    </row>
    <row r="737" spans="1:22" x14ac:dyDescent="0.15">
      <c r="A737" s="23" t="s">
        <v>8</v>
      </c>
      <c r="B737" s="12"/>
      <c r="C737" s="13"/>
      <c r="D737" s="47"/>
      <c r="E737" s="10">
        <f t="shared" si="623"/>
        <v>0</v>
      </c>
      <c r="F737" s="15"/>
      <c r="G737" s="13"/>
      <c r="H737" s="14"/>
      <c r="I737" s="10">
        <f t="shared" si="624"/>
        <v>0</v>
      </c>
      <c r="J737" s="10">
        <f t="shared" si="625"/>
        <v>0</v>
      </c>
      <c r="L737" s="141" t="s">
        <v>146</v>
      </c>
      <c r="M737" s="142">
        <v>120</v>
      </c>
      <c r="N737" s="143">
        <v>200</v>
      </c>
      <c r="O737" s="144">
        <v>70</v>
      </c>
      <c r="P737" s="90">
        <f t="shared" si="626"/>
        <v>390</v>
      </c>
      <c r="Q737" s="142">
        <v>120</v>
      </c>
      <c r="R737" s="143">
        <v>200</v>
      </c>
      <c r="S737" s="144">
        <v>70</v>
      </c>
      <c r="T737" s="90">
        <f t="shared" si="627"/>
        <v>390</v>
      </c>
      <c r="U737" s="90">
        <f t="shared" si="628"/>
        <v>780</v>
      </c>
      <c r="V737" s="145">
        <v>46357</v>
      </c>
    </row>
    <row r="738" spans="1:22" x14ac:dyDescent="0.15">
      <c r="A738" s="23" t="s">
        <v>9</v>
      </c>
      <c r="B738" s="12"/>
      <c r="C738" s="13"/>
      <c r="D738" s="47"/>
      <c r="E738" s="10">
        <f t="shared" si="623"/>
        <v>0</v>
      </c>
      <c r="F738" s="15"/>
      <c r="G738" s="13"/>
      <c r="H738" s="14"/>
      <c r="I738" s="10">
        <f t="shared" si="624"/>
        <v>0</v>
      </c>
      <c r="J738" s="10">
        <f t="shared" si="625"/>
        <v>0</v>
      </c>
      <c r="L738" s="141" t="s">
        <v>26</v>
      </c>
      <c r="M738" s="142">
        <v>100</v>
      </c>
      <c r="N738" s="143">
        <v>150</v>
      </c>
      <c r="O738" s="144">
        <v>50</v>
      </c>
      <c r="P738" s="90">
        <f t="shared" ref="P738:P743" si="629">SUM(M738:O738)</f>
        <v>300</v>
      </c>
      <c r="Q738" s="142">
        <v>100</v>
      </c>
      <c r="R738" s="143">
        <v>150</v>
      </c>
      <c r="S738" s="144">
        <v>50</v>
      </c>
      <c r="T738" s="90">
        <f t="shared" ref="T738:T743" si="630">SUM(Q738:S738)</f>
        <v>300</v>
      </c>
      <c r="U738" s="90">
        <f t="shared" ref="U738:U743" si="631">P738+T738</f>
        <v>600</v>
      </c>
      <c r="V738" s="34" t="s">
        <v>467</v>
      </c>
    </row>
    <row r="739" spans="1:22" x14ac:dyDescent="0.15">
      <c r="A739" s="23" t="s">
        <v>10</v>
      </c>
      <c r="B739" s="12"/>
      <c r="C739" s="13"/>
      <c r="D739" s="47"/>
      <c r="E739" s="10">
        <f t="shared" si="623"/>
        <v>0</v>
      </c>
      <c r="F739" s="15"/>
      <c r="G739" s="13"/>
      <c r="H739" s="14"/>
      <c r="I739" s="10">
        <f t="shared" si="624"/>
        <v>0</v>
      </c>
      <c r="J739" s="10">
        <f t="shared" si="625"/>
        <v>0</v>
      </c>
      <c r="L739" s="23" t="s">
        <v>9</v>
      </c>
      <c r="M739" s="12"/>
      <c r="N739" s="13"/>
      <c r="O739" s="47"/>
      <c r="P739" s="10">
        <f t="shared" si="629"/>
        <v>0</v>
      </c>
      <c r="Q739" s="12"/>
      <c r="R739" s="13"/>
      <c r="S739" s="47"/>
      <c r="T739" s="10">
        <f t="shared" si="630"/>
        <v>0</v>
      </c>
      <c r="U739" s="10">
        <f t="shared" si="631"/>
        <v>0</v>
      </c>
    </row>
    <row r="740" spans="1:22" x14ac:dyDescent="0.15">
      <c r="A740" s="23" t="s">
        <v>11</v>
      </c>
      <c r="B740" s="12"/>
      <c r="C740" s="13"/>
      <c r="D740" s="47"/>
      <c r="E740" s="10">
        <f t="shared" si="623"/>
        <v>0</v>
      </c>
      <c r="F740" s="15"/>
      <c r="G740" s="13"/>
      <c r="H740" s="14"/>
      <c r="I740" s="10">
        <f t="shared" si="624"/>
        <v>0</v>
      </c>
      <c r="J740" s="10">
        <f t="shared" si="625"/>
        <v>0</v>
      </c>
      <c r="L740" s="23" t="s">
        <v>11</v>
      </c>
      <c r="M740" s="12"/>
      <c r="N740" s="13"/>
      <c r="O740" s="47"/>
      <c r="P740" s="10">
        <f t="shared" si="629"/>
        <v>0</v>
      </c>
      <c r="Q740" s="15"/>
      <c r="R740" s="13"/>
      <c r="S740" s="14"/>
      <c r="T740" s="10">
        <f t="shared" si="630"/>
        <v>0</v>
      </c>
      <c r="U740" s="10">
        <f t="shared" si="631"/>
        <v>0</v>
      </c>
    </row>
    <row r="741" spans="1:22" x14ac:dyDescent="0.15">
      <c r="A741" s="23" t="s">
        <v>12</v>
      </c>
      <c r="B741" s="12"/>
      <c r="C741" s="13"/>
      <c r="D741" s="47"/>
      <c r="E741" s="10">
        <f t="shared" ref="E741:E743" si="632">SUM(B741:D741)</f>
        <v>0</v>
      </c>
      <c r="F741" s="15"/>
      <c r="G741" s="13"/>
      <c r="H741" s="14"/>
      <c r="I741" s="10">
        <f t="shared" ref="I741:I743" si="633">SUM(F741:H741)</f>
        <v>0</v>
      </c>
      <c r="J741" s="10">
        <f t="shared" ref="J741:J743" si="634">E741+I741</f>
        <v>0</v>
      </c>
      <c r="L741" s="23" t="s">
        <v>12</v>
      </c>
      <c r="M741" s="12"/>
      <c r="N741" s="13"/>
      <c r="O741" s="47"/>
      <c r="P741" s="10">
        <f t="shared" si="629"/>
        <v>0</v>
      </c>
      <c r="Q741" s="15"/>
      <c r="R741" s="13"/>
      <c r="S741" s="14"/>
      <c r="T741" s="10">
        <f t="shared" si="630"/>
        <v>0</v>
      </c>
      <c r="U741" s="10">
        <f t="shared" si="631"/>
        <v>0</v>
      </c>
    </row>
    <row r="742" spans="1:22" x14ac:dyDescent="0.15">
      <c r="A742" s="23" t="s">
        <v>13</v>
      </c>
      <c r="B742" s="12"/>
      <c r="C742" s="13"/>
      <c r="D742" s="47"/>
      <c r="E742" s="10">
        <f t="shared" si="632"/>
        <v>0</v>
      </c>
      <c r="F742" s="15"/>
      <c r="G742" s="13"/>
      <c r="H742" s="14"/>
      <c r="I742" s="10">
        <f t="shared" si="633"/>
        <v>0</v>
      </c>
      <c r="J742" s="10">
        <f t="shared" si="634"/>
        <v>0</v>
      </c>
      <c r="L742" s="23" t="s">
        <v>13</v>
      </c>
      <c r="M742" s="12"/>
      <c r="N742" s="13"/>
      <c r="O742" s="47"/>
      <c r="P742" s="10">
        <f t="shared" si="629"/>
        <v>0</v>
      </c>
      <c r="Q742" s="15"/>
      <c r="R742" s="13"/>
      <c r="S742" s="14"/>
      <c r="T742" s="10">
        <f t="shared" si="630"/>
        <v>0</v>
      </c>
      <c r="U742" s="10">
        <f t="shared" si="631"/>
        <v>0</v>
      </c>
    </row>
    <row r="743" spans="1:22" ht="14.25" thickBot="1" x14ac:dyDescent="0.2">
      <c r="A743" s="23" t="s">
        <v>14</v>
      </c>
      <c r="B743" s="12"/>
      <c r="C743" s="13"/>
      <c r="D743" s="47"/>
      <c r="E743" s="10">
        <f t="shared" si="632"/>
        <v>0</v>
      </c>
      <c r="F743" s="15"/>
      <c r="G743" s="13"/>
      <c r="H743" s="14"/>
      <c r="I743" s="10">
        <f t="shared" si="633"/>
        <v>0</v>
      </c>
      <c r="J743" s="10">
        <f t="shared" si="634"/>
        <v>0</v>
      </c>
      <c r="L743" s="23" t="s">
        <v>14</v>
      </c>
      <c r="M743" s="12"/>
      <c r="N743" s="13"/>
      <c r="O743" s="47"/>
      <c r="P743" s="10">
        <f t="shared" si="629"/>
        <v>0</v>
      </c>
      <c r="Q743" s="15"/>
      <c r="R743" s="13"/>
      <c r="S743" s="14"/>
      <c r="T743" s="10">
        <f t="shared" si="630"/>
        <v>0</v>
      </c>
      <c r="U743" s="10">
        <f t="shared" si="631"/>
        <v>0</v>
      </c>
    </row>
    <row r="744" spans="1:22" ht="14.25" thickBot="1" x14ac:dyDescent="0.2">
      <c r="A744" s="32" t="s">
        <v>15</v>
      </c>
      <c r="B744" s="25">
        <f>SUM(B735:B743)</f>
        <v>2</v>
      </c>
      <c r="C744" s="26">
        <f>SUM(C735:C743)</f>
        <v>0</v>
      </c>
      <c r="D744" s="27">
        <f>SUM(D735:D743)</f>
        <v>0</v>
      </c>
      <c r="E744" s="28">
        <f>SUM(B744:D744)</f>
        <v>2</v>
      </c>
      <c r="F744" s="25">
        <f>SUM(F735:F743)</f>
        <v>2</v>
      </c>
      <c r="G744" s="26">
        <f>SUM(G735:G743)</f>
        <v>0</v>
      </c>
      <c r="H744" s="27">
        <f>SUM(H735:H743)</f>
        <v>0</v>
      </c>
      <c r="I744" s="28">
        <f>SUM(F744:H744)</f>
        <v>2</v>
      </c>
      <c r="J744" s="28">
        <f>E744+I744</f>
        <v>4</v>
      </c>
      <c r="L744" s="32" t="s">
        <v>15</v>
      </c>
      <c r="M744" s="25">
        <f>SUM(M735:M743)</f>
        <v>424</v>
      </c>
      <c r="N744" s="26">
        <f>SUM(N735:N743)</f>
        <v>497</v>
      </c>
      <c r="O744" s="27">
        <f>SUM(O735:O743)</f>
        <v>231</v>
      </c>
      <c r="P744" s="28">
        <f>SUM(M744:O744)</f>
        <v>1152</v>
      </c>
      <c r="Q744" s="25">
        <f>SUM(Q735:Q743)</f>
        <v>424</v>
      </c>
      <c r="R744" s="26">
        <f>SUM(R735:R743)</f>
        <v>497</v>
      </c>
      <c r="S744" s="27">
        <f>SUM(S735:S743)</f>
        <v>231</v>
      </c>
      <c r="T744" s="28">
        <f>SUM(Q744:S744)</f>
        <v>1152</v>
      </c>
      <c r="U744" s="28">
        <f>P744+T744</f>
        <v>2304</v>
      </c>
    </row>
    <row r="745" spans="1:22" x14ac:dyDescent="0.15">
      <c r="A745" s="22" t="s">
        <v>465</v>
      </c>
      <c r="B745" s="7">
        <v>1</v>
      </c>
      <c r="C745" s="8"/>
      <c r="D745" s="9"/>
      <c r="E745" s="43">
        <f t="shared" ref="E745:E746" si="635">SUM(B745:D745)</f>
        <v>1</v>
      </c>
      <c r="F745" s="11">
        <v>1</v>
      </c>
      <c r="G745" s="8"/>
      <c r="H745" s="9"/>
      <c r="I745" s="43">
        <f t="shared" ref="I745:I746" si="636">SUM(F745:H745)</f>
        <v>1</v>
      </c>
      <c r="J745" s="10">
        <f t="shared" ref="J745:J746" si="637">E745+I745</f>
        <v>2</v>
      </c>
      <c r="K745" s="58">
        <v>46121</v>
      </c>
      <c r="L745" s="24"/>
      <c r="M745" s="7"/>
      <c r="N745" s="8"/>
      <c r="O745" s="9"/>
      <c r="P745" s="43">
        <f t="shared" ref="P745:P754" si="638">SUM(M745:O745)</f>
        <v>0</v>
      </c>
      <c r="Q745" s="11"/>
      <c r="R745" s="8"/>
      <c r="S745" s="9"/>
      <c r="T745" s="43">
        <f t="shared" ref="T745:T754" si="639">SUM(Q745:S745)</f>
        <v>0</v>
      </c>
      <c r="U745" s="10">
        <f t="shared" ref="U745:U754" si="640">P745+T745</f>
        <v>0</v>
      </c>
    </row>
    <row r="746" spans="1:22" x14ac:dyDescent="0.15">
      <c r="A746" s="22" t="s">
        <v>466</v>
      </c>
      <c r="B746" s="7">
        <v>1</v>
      </c>
      <c r="C746" s="8"/>
      <c r="D746" s="9"/>
      <c r="E746" s="43">
        <f t="shared" si="635"/>
        <v>1</v>
      </c>
      <c r="F746" s="11">
        <v>1</v>
      </c>
      <c r="G746" s="8"/>
      <c r="H746" s="9"/>
      <c r="I746" s="43">
        <f t="shared" si="636"/>
        <v>1</v>
      </c>
      <c r="J746" s="10">
        <f t="shared" si="637"/>
        <v>2</v>
      </c>
      <c r="K746" s="58">
        <v>46150</v>
      </c>
      <c r="L746" s="24"/>
      <c r="M746" s="7"/>
      <c r="N746" s="8"/>
      <c r="O746" s="9"/>
      <c r="P746" s="43">
        <f t="shared" si="638"/>
        <v>0</v>
      </c>
      <c r="Q746" s="11"/>
      <c r="R746" s="8"/>
      <c r="S746" s="9"/>
      <c r="T746" s="43">
        <f t="shared" si="639"/>
        <v>0</v>
      </c>
      <c r="U746" s="10">
        <f t="shared" si="640"/>
        <v>0</v>
      </c>
    </row>
    <row r="747" spans="1:22" x14ac:dyDescent="0.15">
      <c r="A747" s="22"/>
      <c r="B747" s="7"/>
      <c r="C747" s="8"/>
      <c r="D747" s="9"/>
      <c r="E747" s="43">
        <f t="shared" ref="E747:E771" si="641">SUM(B747:D747)</f>
        <v>0</v>
      </c>
      <c r="F747" s="11"/>
      <c r="G747" s="8"/>
      <c r="H747" s="9"/>
      <c r="I747" s="43">
        <f t="shared" ref="I747:I771" si="642">SUM(F747:H747)</f>
        <v>0</v>
      </c>
      <c r="J747" s="10">
        <f t="shared" ref="J747:J770" si="643">E747+I747</f>
        <v>0</v>
      </c>
      <c r="L747" s="24"/>
      <c r="M747" s="7"/>
      <c r="N747" s="8"/>
      <c r="O747" s="9"/>
      <c r="P747" s="43">
        <f t="shared" si="638"/>
        <v>0</v>
      </c>
      <c r="Q747" s="11"/>
      <c r="R747" s="8"/>
      <c r="S747" s="9"/>
      <c r="T747" s="43">
        <f t="shared" si="639"/>
        <v>0</v>
      </c>
      <c r="U747" s="10">
        <f t="shared" si="640"/>
        <v>0</v>
      </c>
    </row>
    <row r="748" spans="1:22" x14ac:dyDescent="0.15">
      <c r="A748" s="22"/>
      <c r="B748" s="7"/>
      <c r="C748" s="8"/>
      <c r="D748" s="9"/>
      <c r="E748" s="43">
        <f t="shared" si="641"/>
        <v>0</v>
      </c>
      <c r="F748" s="11"/>
      <c r="G748" s="8"/>
      <c r="H748" s="9"/>
      <c r="I748" s="43">
        <f t="shared" si="642"/>
        <v>0</v>
      </c>
      <c r="J748" s="10">
        <f t="shared" si="643"/>
        <v>0</v>
      </c>
      <c r="L748" s="24"/>
      <c r="M748" s="7"/>
      <c r="N748" s="8"/>
      <c r="O748" s="9"/>
      <c r="P748" s="43">
        <f t="shared" si="638"/>
        <v>0</v>
      </c>
      <c r="Q748" s="11"/>
      <c r="R748" s="8"/>
      <c r="S748" s="9"/>
      <c r="T748" s="43">
        <f t="shared" si="639"/>
        <v>0</v>
      </c>
      <c r="U748" s="10">
        <f t="shared" si="640"/>
        <v>0</v>
      </c>
    </row>
    <row r="749" spans="1:22" x14ac:dyDescent="0.15">
      <c r="A749" s="22"/>
      <c r="B749" s="7"/>
      <c r="C749" s="8"/>
      <c r="D749" s="9"/>
      <c r="E749" s="43">
        <f t="shared" si="641"/>
        <v>0</v>
      </c>
      <c r="F749" s="11"/>
      <c r="G749" s="8"/>
      <c r="H749" s="9"/>
      <c r="I749" s="43">
        <f t="shared" si="642"/>
        <v>0</v>
      </c>
      <c r="J749" s="10">
        <f t="shared" si="643"/>
        <v>0</v>
      </c>
      <c r="L749" s="24"/>
      <c r="M749" s="7"/>
      <c r="N749" s="8"/>
      <c r="O749" s="9"/>
      <c r="P749" s="43">
        <f t="shared" si="638"/>
        <v>0</v>
      </c>
      <c r="Q749" s="11"/>
      <c r="R749" s="8"/>
      <c r="S749" s="9"/>
      <c r="T749" s="43">
        <f t="shared" si="639"/>
        <v>0</v>
      </c>
      <c r="U749" s="10">
        <f t="shared" si="640"/>
        <v>0</v>
      </c>
    </row>
    <row r="750" spans="1:22" x14ac:dyDescent="0.15">
      <c r="A750" s="22"/>
      <c r="B750" s="7"/>
      <c r="C750" s="8"/>
      <c r="D750" s="9"/>
      <c r="E750" s="43">
        <f t="shared" si="641"/>
        <v>0</v>
      </c>
      <c r="F750" s="11"/>
      <c r="G750" s="8"/>
      <c r="H750" s="9"/>
      <c r="I750" s="43">
        <f t="shared" si="642"/>
        <v>0</v>
      </c>
      <c r="J750" s="10">
        <f t="shared" si="643"/>
        <v>0</v>
      </c>
      <c r="L750" s="24"/>
      <c r="M750" s="7"/>
      <c r="N750" s="8"/>
      <c r="O750" s="9"/>
      <c r="P750" s="43">
        <f t="shared" si="638"/>
        <v>0</v>
      </c>
      <c r="Q750" s="11"/>
      <c r="R750" s="8"/>
      <c r="S750" s="9"/>
      <c r="T750" s="43">
        <f t="shared" si="639"/>
        <v>0</v>
      </c>
      <c r="U750" s="10">
        <f t="shared" si="640"/>
        <v>0</v>
      </c>
    </row>
    <row r="751" spans="1:22" x14ac:dyDescent="0.15">
      <c r="A751" s="22"/>
      <c r="B751" s="7"/>
      <c r="C751" s="8"/>
      <c r="D751" s="9"/>
      <c r="E751" s="43">
        <f t="shared" si="641"/>
        <v>0</v>
      </c>
      <c r="F751" s="11"/>
      <c r="G751" s="8"/>
      <c r="H751" s="9"/>
      <c r="I751" s="43">
        <f t="shared" si="642"/>
        <v>0</v>
      </c>
      <c r="J751" s="10">
        <f t="shared" si="643"/>
        <v>0</v>
      </c>
      <c r="L751" s="24"/>
      <c r="M751" s="7"/>
      <c r="N751" s="8"/>
      <c r="O751" s="9"/>
      <c r="P751" s="43">
        <f t="shared" si="638"/>
        <v>0</v>
      </c>
      <c r="Q751" s="11"/>
      <c r="R751" s="8"/>
      <c r="S751" s="9"/>
      <c r="T751" s="43">
        <f t="shared" si="639"/>
        <v>0</v>
      </c>
      <c r="U751" s="10">
        <f t="shared" si="640"/>
        <v>0</v>
      </c>
    </row>
    <row r="752" spans="1:22" x14ac:dyDescent="0.15">
      <c r="A752" s="22"/>
      <c r="B752" s="7"/>
      <c r="C752" s="8"/>
      <c r="D752" s="9"/>
      <c r="E752" s="43">
        <f t="shared" si="641"/>
        <v>0</v>
      </c>
      <c r="F752" s="11"/>
      <c r="G752" s="8"/>
      <c r="H752" s="9"/>
      <c r="I752" s="43">
        <f t="shared" si="642"/>
        <v>0</v>
      </c>
      <c r="J752" s="10">
        <f t="shared" si="643"/>
        <v>0</v>
      </c>
      <c r="L752" s="24"/>
      <c r="M752" s="7"/>
      <c r="N752" s="8"/>
      <c r="O752" s="9"/>
      <c r="P752" s="43">
        <f t="shared" si="638"/>
        <v>0</v>
      </c>
      <c r="Q752" s="11"/>
      <c r="R752" s="8"/>
      <c r="S752" s="9"/>
      <c r="T752" s="43">
        <f t="shared" si="639"/>
        <v>0</v>
      </c>
      <c r="U752" s="10">
        <f t="shared" si="640"/>
        <v>0</v>
      </c>
    </row>
    <row r="753" spans="1:21" x14ac:dyDescent="0.15">
      <c r="A753" s="22"/>
      <c r="B753" s="7"/>
      <c r="C753" s="8"/>
      <c r="D753" s="9"/>
      <c r="E753" s="43">
        <f t="shared" si="641"/>
        <v>0</v>
      </c>
      <c r="F753" s="11"/>
      <c r="G753" s="8"/>
      <c r="H753" s="9"/>
      <c r="I753" s="43">
        <f t="shared" si="642"/>
        <v>0</v>
      </c>
      <c r="J753" s="10">
        <f t="shared" si="643"/>
        <v>0</v>
      </c>
      <c r="L753" s="24"/>
      <c r="M753" s="7"/>
      <c r="N753" s="8"/>
      <c r="O753" s="9"/>
      <c r="P753" s="43">
        <f t="shared" si="638"/>
        <v>0</v>
      </c>
      <c r="Q753" s="11"/>
      <c r="R753" s="8"/>
      <c r="S753" s="9"/>
      <c r="T753" s="43">
        <f t="shared" si="639"/>
        <v>0</v>
      </c>
      <c r="U753" s="10">
        <f t="shared" si="640"/>
        <v>0</v>
      </c>
    </row>
    <row r="754" spans="1:21" x14ac:dyDescent="0.15">
      <c r="A754" s="22"/>
      <c r="B754" s="12"/>
      <c r="C754" s="13"/>
      <c r="D754" s="14"/>
      <c r="E754" s="43">
        <f t="shared" si="641"/>
        <v>0</v>
      </c>
      <c r="F754" s="15"/>
      <c r="G754" s="13"/>
      <c r="H754" s="14"/>
      <c r="I754" s="43">
        <f t="shared" si="642"/>
        <v>0</v>
      </c>
      <c r="J754" s="10">
        <f t="shared" si="643"/>
        <v>0</v>
      </c>
      <c r="L754" s="24"/>
      <c r="M754" s="7"/>
      <c r="N754" s="8"/>
      <c r="O754" s="9"/>
      <c r="P754" s="43">
        <f t="shared" si="638"/>
        <v>0</v>
      </c>
      <c r="Q754" s="11"/>
      <c r="R754" s="8"/>
      <c r="S754" s="9"/>
      <c r="T754" s="43">
        <f t="shared" si="639"/>
        <v>0</v>
      </c>
      <c r="U754" s="10">
        <f t="shared" si="640"/>
        <v>0</v>
      </c>
    </row>
    <row r="755" spans="1:21" x14ac:dyDescent="0.15">
      <c r="A755" s="22"/>
      <c r="B755" s="7"/>
      <c r="C755" s="8"/>
      <c r="D755" s="9"/>
      <c r="E755" s="43">
        <f t="shared" si="641"/>
        <v>0</v>
      </c>
      <c r="F755" s="11"/>
      <c r="G755" s="8"/>
      <c r="H755" s="9"/>
      <c r="I755" s="43">
        <f t="shared" si="642"/>
        <v>0</v>
      </c>
      <c r="J755" s="10">
        <f t="shared" si="643"/>
        <v>0</v>
      </c>
      <c r="L755" s="24"/>
      <c r="M755" s="7"/>
      <c r="N755" s="8"/>
      <c r="O755" s="9"/>
      <c r="P755" s="43">
        <f t="shared" ref="P755:P771" si="644">SUM(M755:O755)</f>
        <v>0</v>
      </c>
      <c r="Q755" s="11"/>
      <c r="R755" s="8"/>
      <c r="S755" s="9"/>
      <c r="T755" s="43">
        <f t="shared" ref="T755:T771" si="645">SUM(Q755:S755)</f>
        <v>0</v>
      </c>
      <c r="U755" s="10">
        <f t="shared" ref="U755:U770" si="646">P755+T755</f>
        <v>0</v>
      </c>
    </row>
    <row r="756" spans="1:21" x14ac:dyDescent="0.15">
      <c r="A756" s="22"/>
      <c r="B756" s="7"/>
      <c r="C756" s="8"/>
      <c r="D756" s="9"/>
      <c r="E756" s="43">
        <f t="shared" si="641"/>
        <v>0</v>
      </c>
      <c r="F756" s="11"/>
      <c r="G756" s="8"/>
      <c r="H756" s="9"/>
      <c r="I756" s="43">
        <f t="shared" si="642"/>
        <v>0</v>
      </c>
      <c r="J756" s="10">
        <f t="shared" si="643"/>
        <v>0</v>
      </c>
      <c r="L756" s="24"/>
      <c r="M756" s="7"/>
      <c r="N756" s="8"/>
      <c r="O756" s="9"/>
      <c r="P756" s="43">
        <f t="shared" si="644"/>
        <v>0</v>
      </c>
      <c r="Q756" s="11"/>
      <c r="R756" s="8"/>
      <c r="S756" s="9"/>
      <c r="T756" s="43">
        <f t="shared" si="645"/>
        <v>0</v>
      </c>
      <c r="U756" s="10">
        <f t="shared" si="646"/>
        <v>0</v>
      </c>
    </row>
    <row r="757" spans="1:21" x14ac:dyDescent="0.15">
      <c r="A757" s="22"/>
      <c r="B757" s="7"/>
      <c r="C757" s="8"/>
      <c r="D757" s="9"/>
      <c r="E757" s="43">
        <f t="shared" si="641"/>
        <v>0</v>
      </c>
      <c r="F757" s="11"/>
      <c r="G757" s="8"/>
      <c r="H757" s="9"/>
      <c r="I757" s="43">
        <f t="shared" si="642"/>
        <v>0</v>
      </c>
      <c r="J757" s="10">
        <f t="shared" si="643"/>
        <v>0</v>
      </c>
      <c r="L757" s="24"/>
      <c r="M757" s="7"/>
      <c r="N757" s="8"/>
      <c r="O757" s="9"/>
      <c r="P757" s="43">
        <f t="shared" si="644"/>
        <v>0</v>
      </c>
      <c r="Q757" s="11"/>
      <c r="R757" s="8"/>
      <c r="S757" s="9"/>
      <c r="T757" s="43">
        <f t="shared" si="645"/>
        <v>0</v>
      </c>
      <c r="U757" s="10">
        <f t="shared" si="646"/>
        <v>0</v>
      </c>
    </row>
    <row r="758" spans="1:21" x14ac:dyDescent="0.15">
      <c r="A758" s="22"/>
      <c r="B758" s="7"/>
      <c r="C758" s="8"/>
      <c r="D758" s="9"/>
      <c r="E758" s="43">
        <f t="shared" si="641"/>
        <v>0</v>
      </c>
      <c r="F758" s="11"/>
      <c r="G758" s="8"/>
      <c r="H758" s="9"/>
      <c r="I758" s="43">
        <f t="shared" si="642"/>
        <v>0</v>
      </c>
      <c r="J758" s="10">
        <f t="shared" si="643"/>
        <v>0</v>
      </c>
      <c r="L758" s="24"/>
      <c r="M758" s="7"/>
      <c r="N758" s="8"/>
      <c r="O758" s="9"/>
      <c r="P758" s="43">
        <f t="shared" si="644"/>
        <v>0</v>
      </c>
      <c r="Q758" s="11"/>
      <c r="R758" s="8"/>
      <c r="S758" s="9"/>
      <c r="T758" s="43">
        <f t="shared" si="645"/>
        <v>0</v>
      </c>
      <c r="U758" s="10">
        <f t="shared" si="646"/>
        <v>0</v>
      </c>
    </row>
    <row r="759" spans="1:21" x14ac:dyDescent="0.15">
      <c r="A759" s="22"/>
      <c r="B759" s="7"/>
      <c r="C759" s="8"/>
      <c r="D759" s="9"/>
      <c r="E759" s="43">
        <f t="shared" si="641"/>
        <v>0</v>
      </c>
      <c r="F759" s="11"/>
      <c r="G759" s="8"/>
      <c r="H759" s="9"/>
      <c r="I759" s="43">
        <f t="shared" si="642"/>
        <v>0</v>
      </c>
      <c r="J759" s="10">
        <f t="shared" si="643"/>
        <v>0</v>
      </c>
      <c r="L759" s="24"/>
      <c r="M759" s="7"/>
      <c r="N759" s="8"/>
      <c r="O759" s="9"/>
      <c r="P759" s="43">
        <f t="shared" si="644"/>
        <v>0</v>
      </c>
      <c r="Q759" s="11"/>
      <c r="R759" s="8"/>
      <c r="S759" s="9"/>
      <c r="T759" s="43">
        <f t="shared" si="645"/>
        <v>0</v>
      </c>
      <c r="U759" s="10">
        <f t="shared" si="646"/>
        <v>0</v>
      </c>
    </row>
    <row r="760" spans="1:21" x14ac:dyDescent="0.15">
      <c r="A760" s="22"/>
      <c r="B760" s="7"/>
      <c r="C760" s="8"/>
      <c r="D760" s="9"/>
      <c r="E760" s="43">
        <f t="shared" si="641"/>
        <v>0</v>
      </c>
      <c r="F760" s="11"/>
      <c r="G760" s="8"/>
      <c r="H760" s="9"/>
      <c r="I760" s="43">
        <f t="shared" si="642"/>
        <v>0</v>
      </c>
      <c r="J760" s="10">
        <f t="shared" si="643"/>
        <v>0</v>
      </c>
      <c r="L760" s="24"/>
      <c r="M760" s="7"/>
      <c r="N760" s="8"/>
      <c r="O760" s="9"/>
      <c r="P760" s="43">
        <f t="shared" si="644"/>
        <v>0</v>
      </c>
      <c r="Q760" s="11"/>
      <c r="R760" s="8"/>
      <c r="S760" s="9"/>
      <c r="T760" s="43">
        <f t="shared" si="645"/>
        <v>0</v>
      </c>
      <c r="U760" s="10">
        <f t="shared" si="646"/>
        <v>0</v>
      </c>
    </row>
    <row r="761" spans="1:21" x14ac:dyDescent="0.15">
      <c r="A761" s="24"/>
      <c r="B761" s="7"/>
      <c r="C761" s="8"/>
      <c r="D761" s="9"/>
      <c r="E761" s="43">
        <f t="shared" si="641"/>
        <v>0</v>
      </c>
      <c r="F761" s="11"/>
      <c r="G761" s="8"/>
      <c r="H761" s="9"/>
      <c r="I761" s="43">
        <f t="shared" si="642"/>
        <v>0</v>
      </c>
      <c r="J761" s="10">
        <f t="shared" si="643"/>
        <v>0</v>
      </c>
      <c r="L761" s="24"/>
      <c r="M761" s="7"/>
      <c r="N761" s="8"/>
      <c r="O761" s="9"/>
      <c r="P761" s="43">
        <f t="shared" si="644"/>
        <v>0</v>
      </c>
      <c r="Q761" s="11"/>
      <c r="R761" s="8"/>
      <c r="S761" s="9"/>
      <c r="T761" s="43">
        <f t="shared" si="645"/>
        <v>0</v>
      </c>
      <c r="U761" s="10">
        <f t="shared" si="646"/>
        <v>0</v>
      </c>
    </row>
    <row r="762" spans="1:21" x14ac:dyDescent="0.15">
      <c r="A762" s="22"/>
      <c r="B762" s="7"/>
      <c r="C762" s="8"/>
      <c r="D762" s="9"/>
      <c r="E762" s="43">
        <f t="shared" si="641"/>
        <v>0</v>
      </c>
      <c r="F762" s="11"/>
      <c r="G762" s="8"/>
      <c r="H762" s="9"/>
      <c r="I762" s="43">
        <f t="shared" si="642"/>
        <v>0</v>
      </c>
      <c r="J762" s="10">
        <f t="shared" si="643"/>
        <v>0</v>
      </c>
      <c r="L762" s="24"/>
      <c r="M762" s="7"/>
      <c r="N762" s="8"/>
      <c r="O762" s="9"/>
      <c r="P762" s="43">
        <f t="shared" si="644"/>
        <v>0</v>
      </c>
      <c r="Q762" s="11"/>
      <c r="R762" s="8"/>
      <c r="S762" s="9"/>
      <c r="T762" s="43">
        <f t="shared" si="645"/>
        <v>0</v>
      </c>
      <c r="U762" s="10">
        <f t="shared" si="646"/>
        <v>0</v>
      </c>
    </row>
    <row r="763" spans="1:21" x14ac:dyDescent="0.15">
      <c r="A763" s="22"/>
      <c r="B763" s="7"/>
      <c r="C763" s="8"/>
      <c r="D763" s="9"/>
      <c r="E763" s="43">
        <f t="shared" si="641"/>
        <v>0</v>
      </c>
      <c r="F763" s="11"/>
      <c r="G763" s="8"/>
      <c r="H763" s="9"/>
      <c r="I763" s="43">
        <f t="shared" si="642"/>
        <v>0</v>
      </c>
      <c r="J763" s="10">
        <f t="shared" si="643"/>
        <v>0</v>
      </c>
      <c r="L763" s="24"/>
      <c r="M763" s="7"/>
      <c r="N763" s="8"/>
      <c r="O763" s="9"/>
      <c r="P763" s="43">
        <f t="shared" si="644"/>
        <v>0</v>
      </c>
      <c r="Q763" s="11"/>
      <c r="R763" s="8"/>
      <c r="S763" s="9"/>
      <c r="T763" s="43">
        <f t="shared" si="645"/>
        <v>0</v>
      </c>
      <c r="U763" s="10">
        <f t="shared" si="646"/>
        <v>0</v>
      </c>
    </row>
    <row r="764" spans="1:21" x14ac:dyDescent="0.15">
      <c r="A764" s="22"/>
      <c r="B764" s="7"/>
      <c r="C764" s="8"/>
      <c r="D764" s="9"/>
      <c r="E764" s="43">
        <f t="shared" si="641"/>
        <v>0</v>
      </c>
      <c r="F764" s="11"/>
      <c r="G764" s="8"/>
      <c r="H764" s="9"/>
      <c r="I764" s="43">
        <f t="shared" si="642"/>
        <v>0</v>
      </c>
      <c r="J764" s="10">
        <f t="shared" si="643"/>
        <v>0</v>
      </c>
      <c r="L764" s="24"/>
      <c r="M764" s="7"/>
      <c r="N764" s="8"/>
      <c r="O764" s="9"/>
      <c r="P764" s="43">
        <f t="shared" si="644"/>
        <v>0</v>
      </c>
      <c r="Q764" s="11"/>
      <c r="R764" s="8"/>
      <c r="S764" s="9"/>
      <c r="T764" s="43">
        <f t="shared" si="645"/>
        <v>0</v>
      </c>
      <c r="U764" s="10">
        <f t="shared" si="646"/>
        <v>0</v>
      </c>
    </row>
    <row r="765" spans="1:21" x14ac:dyDescent="0.15">
      <c r="A765" s="22"/>
      <c r="B765" s="7"/>
      <c r="C765" s="8"/>
      <c r="D765" s="9"/>
      <c r="E765" s="43">
        <f t="shared" si="641"/>
        <v>0</v>
      </c>
      <c r="F765" s="11"/>
      <c r="G765" s="8"/>
      <c r="H765" s="9"/>
      <c r="I765" s="43">
        <f t="shared" si="642"/>
        <v>0</v>
      </c>
      <c r="J765" s="10">
        <f t="shared" si="643"/>
        <v>0</v>
      </c>
      <c r="L765" s="24"/>
      <c r="M765" s="7"/>
      <c r="N765" s="8"/>
      <c r="O765" s="9"/>
      <c r="P765" s="43">
        <f t="shared" si="644"/>
        <v>0</v>
      </c>
      <c r="Q765" s="11"/>
      <c r="R765" s="8"/>
      <c r="S765" s="9"/>
      <c r="T765" s="43">
        <f t="shared" si="645"/>
        <v>0</v>
      </c>
      <c r="U765" s="10">
        <f t="shared" si="646"/>
        <v>0</v>
      </c>
    </row>
    <row r="766" spans="1:21" x14ac:dyDescent="0.15">
      <c r="A766" s="63"/>
      <c r="B766" s="12"/>
      <c r="C766" s="13"/>
      <c r="D766" s="14"/>
      <c r="E766" s="43">
        <f t="shared" si="641"/>
        <v>0</v>
      </c>
      <c r="F766" s="15"/>
      <c r="G766" s="13"/>
      <c r="H766" s="14"/>
      <c r="I766" s="43">
        <f t="shared" si="642"/>
        <v>0</v>
      </c>
      <c r="J766" s="10">
        <f t="shared" si="643"/>
        <v>0</v>
      </c>
      <c r="L766" s="24"/>
      <c r="M766" s="7"/>
      <c r="N766" s="8"/>
      <c r="O766" s="9"/>
      <c r="P766" s="43">
        <f t="shared" si="644"/>
        <v>0</v>
      </c>
      <c r="Q766" s="11"/>
      <c r="R766" s="8"/>
      <c r="S766" s="9"/>
      <c r="T766" s="43">
        <f t="shared" si="645"/>
        <v>0</v>
      </c>
      <c r="U766" s="10">
        <f t="shared" si="646"/>
        <v>0</v>
      </c>
    </row>
    <row r="767" spans="1:21" x14ac:dyDescent="0.15">
      <c r="A767" s="22"/>
      <c r="B767" s="7"/>
      <c r="C767" s="8"/>
      <c r="D767" s="9"/>
      <c r="E767" s="43">
        <f t="shared" si="641"/>
        <v>0</v>
      </c>
      <c r="F767" s="11"/>
      <c r="G767" s="8"/>
      <c r="H767" s="9"/>
      <c r="I767" s="43">
        <f t="shared" si="642"/>
        <v>0</v>
      </c>
      <c r="J767" s="10">
        <f t="shared" si="643"/>
        <v>0</v>
      </c>
      <c r="L767" s="24" t="s">
        <v>469</v>
      </c>
      <c r="M767" s="7">
        <v>40</v>
      </c>
      <c r="N767" s="8">
        <v>50</v>
      </c>
      <c r="O767" s="9">
        <v>25</v>
      </c>
      <c r="P767" s="43">
        <f t="shared" si="644"/>
        <v>115</v>
      </c>
      <c r="Q767" s="7">
        <v>40</v>
      </c>
      <c r="R767" s="8">
        <v>50</v>
      </c>
      <c r="S767" s="9">
        <v>25</v>
      </c>
      <c r="T767" s="43">
        <f t="shared" si="645"/>
        <v>115</v>
      </c>
      <c r="U767" s="10">
        <f t="shared" si="646"/>
        <v>230</v>
      </c>
    </row>
    <row r="768" spans="1:21" x14ac:dyDescent="0.15">
      <c r="A768" s="63"/>
      <c r="B768" s="7"/>
      <c r="C768" s="8"/>
      <c r="D768" s="9"/>
      <c r="E768" s="43">
        <f t="shared" si="641"/>
        <v>0</v>
      </c>
      <c r="F768" s="11"/>
      <c r="G768" s="8"/>
      <c r="H768" s="9"/>
      <c r="I768" s="43">
        <f t="shared" si="642"/>
        <v>0</v>
      </c>
      <c r="J768" s="10">
        <f t="shared" si="643"/>
        <v>0</v>
      </c>
      <c r="L768" s="24" t="s">
        <v>470</v>
      </c>
      <c r="M768" s="7">
        <v>40</v>
      </c>
      <c r="N768" s="8">
        <v>50</v>
      </c>
      <c r="O768" s="9">
        <v>25</v>
      </c>
      <c r="P768" s="43">
        <f t="shared" si="644"/>
        <v>115</v>
      </c>
      <c r="Q768" s="7">
        <v>40</v>
      </c>
      <c r="R768" s="8">
        <v>50</v>
      </c>
      <c r="S768" s="9">
        <v>25</v>
      </c>
      <c r="T768" s="43">
        <f t="shared" si="645"/>
        <v>115</v>
      </c>
      <c r="U768" s="10">
        <f t="shared" si="646"/>
        <v>230</v>
      </c>
    </row>
    <row r="769" spans="1:21" x14ac:dyDescent="0.15">
      <c r="A769" s="22"/>
      <c r="B769" s="7"/>
      <c r="C769" s="8"/>
      <c r="D769" s="9"/>
      <c r="E769" s="43">
        <f t="shared" si="641"/>
        <v>0</v>
      </c>
      <c r="F769" s="11"/>
      <c r="G769" s="8"/>
      <c r="H769" s="9"/>
      <c r="I769" s="43">
        <f t="shared" si="642"/>
        <v>0</v>
      </c>
      <c r="J769" s="10">
        <f t="shared" si="643"/>
        <v>0</v>
      </c>
      <c r="L769" s="24" t="s">
        <v>471</v>
      </c>
      <c r="M769" s="7">
        <v>70</v>
      </c>
      <c r="N769" s="8">
        <v>80</v>
      </c>
      <c r="O769" s="9">
        <v>40</v>
      </c>
      <c r="P769" s="43">
        <f t="shared" si="644"/>
        <v>190</v>
      </c>
      <c r="Q769" s="7">
        <v>70</v>
      </c>
      <c r="R769" s="8">
        <v>80</v>
      </c>
      <c r="S769" s="9">
        <v>40</v>
      </c>
      <c r="T769" s="43">
        <f t="shared" si="645"/>
        <v>190</v>
      </c>
      <c r="U769" s="10">
        <f t="shared" si="646"/>
        <v>380</v>
      </c>
    </row>
    <row r="770" spans="1:21" ht="14.25" thickBot="1" x14ac:dyDescent="0.2">
      <c r="A770" s="22"/>
      <c r="B770" s="7"/>
      <c r="C770" s="8"/>
      <c r="D770" s="9"/>
      <c r="E770" s="43">
        <f t="shared" si="641"/>
        <v>0</v>
      </c>
      <c r="F770" s="11"/>
      <c r="G770" s="8"/>
      <c r="H770" s="9"/>
      <c r="I770" s="43">
        <f t="shared" si="642"/>
        <v>0</v>
      </c>
      <c r="J770" s="10">
        <f t="shared" si="643"/>
        <v>0</v>
      </c>
      <c r="L770" s="24" t="s">
        <v>472</v>
      </c>
      <c r="M770" s="7">
        <v>160</v>
      </c>
      <c r="N770" s="8">
        <v>200</v>
      </c>
      <c r="O770" s="9">
        <v>90</v>
      </c>
      <c r="P770" s="43">
        <f t="shared" si="644"/>
        <v>450</v>
      </c>
      <c r="Q770" s="11">
        <v>160</v>
      </c>
      <c r="R770" s="8">
        <v>200</v>
      </c>
      <c r="S770" s="9">
        <v>90</v>
      </c>
      <c r="T770" s="43">
        <f t="shared" si="645"/>
        <v>450</v>
      </c>
      <c r="U770" s="10">
        <f t="shared" si="646"/>
        <v>900</v>
      </c>
    </row>
    <row r="771" spans="1:21" ht="14.25" thickBot="1" x14ac:dyDescent="0.2">
      <c r="A771" s="35" t="s">
        <v>17</v>
      </c>
      <c r="B771" s="40">
        <f>SUM(B745:B770)</f>
        <v>2</v>
      </c>
      <c r="C771" s="41">
        <f t="shared" ref="C771:D771" si="647">SUM(C745:C770)</f>
        <v>0</v>
      </c>
      <c r="D771" s="52">
        <f t="shared" si="647"/>
        <v>0</v>
      </c>
      <c r="E771" s="39">
        <f t="shared" si="641"/>
        <v>2</v>
      </c>
      <c r="F771" s="40">
        <f>SUM(F745:F770)</f>
        <v>2</v>
      </c>
      <c r="G771" s="41">
        <f t="shared" ref="G771:H771" si="648">SUM(G745:G770)</f>
        <v>0</v>
      </c>
      <c r="H771" s="52">
        <f t="shared" si="648"/>
        <v>0</v>
      </c>
      <c r="I771" s="39">
        <f t="shared" si="642"/>
        <v>2</v>
      </c>
      <c r="J771" s="39">
        <f>E771+I771</f>
        <v>4</v>
      </c>
      <c r="L771" s="35" t="s">
        <v>17</v>
      </c>
      <c r="M771" s="40">
        <f>SUM(M745:M770)</f>
        <v>310</v>
      </c>
      <c r="N771" s="41">
        <f t="shared" ref="N771:O771" si="649">SUM(N745:N770)</f>
        <v>380</v>
      </c>
      <c r="O771" s="52">
        <f t="shared" si="649"/>
        <v>180</v>
      </c>
      <c r="P771" s="39">
        <f t="shared" si="644"/>
        <v>870</v>
      </c>
      <c r="Q771" s="40">
        <f>SUM(Q745:Q770)</f>
        <v>310</v>
      </c>
      <c r="R771" s="41">
        <f t="shared" ref="R771:S771" si="650">SUM(R745:R770)</f>
        <v>380</v>
      </c>
      <c r="S771" s="52">
        <f t="shared" si="650"/>
        <v>180</v>
      </c>
      <c r="T771" s="39">
        <f t="shared" si="645"/>
        <v>870</v>
      </c>
      <c r="U771" s="39">
        <f>P771+T771</f>
        <v>1740</v>
      </c>
    </row>
    <row r="772" spans="1:21" ht="14.25" thickBot="1" x14ac:dyDescent="0.2">
      <c r="A772" s="21" t="s">
        <v>16</v>
      </c>
      <c r="B772" s="44">
        <f>B744-B771</f>
        <v>0</v>
      </c>
      <c r="C772" s="50">
        <f t="shared" ref="C772:D772" si="651">C744-C771</f>
        <v>0</v>
      </c>
      <c r="D772" s="51">
        <f t="shared" si="651"/>
        <v>0</v>
      </c>
      <c r="E772" s="49">
        <f>SUM(B772:D772)</f>
        <v>0</v>
      </c>
      <c r="F772" s="44">
        <f>F744-F771</f>
        <v>0</v>
      </c>
      <c r="G772" s="50">
        <f t="shared" ref="G772:H772" si="652">G744-G771</f>
        <v>0</v>
      </c>
      <c r="H772" s="51">
        <f t="shared" si="652"/>
        <v>0</v>
      </c>
      <c r="I772" s="49">
        <f>SUM(F772:H772)</f>
        <v>0</v>
      </c>
      <c r="J772" s="28">
        <f>E772+I772</f>
        <v>0</v>
      </c>
      <c r="L772" s="21" t="s">
        <v>16</v>
      </c>
      <c r="M772" s="44">
        <f>M744-M771</f>
        <v>114</v>
      </c>
      <c r="N772" s="50">
        <f t="shared" ref="N772:O772" si="653">N744-N771</f>
        <v>117</v>
      </c>
      <c r="O772" s="51">
        <f t="shared" si="653"/>
        <v>51</v>
      </c>
      <c r="P772" s="49">
        <f>SUM(M772:O772)</f>
        <v>282</v>
      </c>
      <c r="Q772" s="44">
        <f>Q744-Q771</f>
        <v>114</v>
      </c>
      <c r="R772" s="50">
        <f t="shared" ref="R772:S772" si="654">R744-R771</f>
        <v>117</v>
      </c>
      <c r="S772" s="51">
        <f t="shared" si="654"/>
        <v>51</v>
      </c>
      <c r="T772" s="49">
        <f>SUM(Q772:S772)</f>
        <v>282</v>
      </c>
      <c r="U772" s="28">
        <f>P772+T772</f>
        <v>564</v>
      </c>
    </row>
    <row r="773" spans="1:21" x14ac:dyDescent="0.15">
      <c r="L773" s="96" t="s">
        <v>454</v>
      </c>
      <c r="M773" s="129">
        <f>M772/$P$772*100</f>
        <v>40.425531914893611</v>
      </c>
      <c r="N773" s="129">
        <f t="shared" ref="N773:P773" si="655">N772/$P$772*100</f>
        <v>41.48936170212766</v>
      </c>
      <c r="O773" s="129">
        <f t="shared" si="655"/>
        <v>18.085106382978726</v>
      </c>
      <c r="P773" s="129">
        <f t="shared" si="655"/>
        <v>100</v>
      </c>
    </row>
    <row r="774" spans="1:21" x14ac:dyDescent="0.15">
      <c r="L774" s="130" t="s">
        <v>452</v>
      </c>
      <c r="M774" s="97">
        <v>36.700000000000003</v>
      </c>
      <c r="N774" s="97">
        <v>43.7</v>
      </c>
      <c r="O774" s="97">
        <v>19.600000000000001</v>
      </c>
      <c r="P774" s="89">
        <f>SUM(M774:O774)</f>
        <v>100</v>
      </c>
    </row>
    <row r="775" spans="1:21" x14ac:dyDescent="0.15">
      <c r="L775" s="96" t="s">
        <v>455</v>
      </c>
      <c r="M775" s="95">
        <v>38.9</v>
      </c>
      <c r="N775" s="95">
        <v>39.4</v>
      </c>
      <c r="O775" s="95">
        <v>21.7</v>
      </c>
      <c r="P775" s="88">
        <v>100</v>
      </c>
    </row>
    <row r="776" spans="1:21" x14ac:dyDescent="0.15">
      <c r="M776">
        <v>239</v>
      </c>
      <c r="N776">
        <v>285</v>
      </c>
      <c r="O776">
        <v>128</v>
      </c>
      <c r="P776">
        <v>652</v>
      </c>
      <c r="Q776">
        <v>117.5</v>
      </c>
    </row>
  </sheetData>
  <mergeCells count="89">
    <mergeCell ref="B561:E561"/>
    <mergeCell ref="F561:I561"/>
    <mergeCell ref="M561:P561"/>
    <mergeCell ref="Q561:T561"/>
    <mergeCell ref="A559:U559"/>
    <mergeCell ref="B475:E475"/>
    <mergeCell ref="F475:I475"/>
    <mergeCell ref="M475:P475"/>
    <mergeCell ref="Q475:T475"/>
    <mergeCell ref="B432:E432"/>
    <mergeCell ref="F432:I432"/>
    <mergeCell ref="M432:P432"/>
    <mergeCell ref="Q432:T432"/>
    <mergeCell ref="B346:E346"/>
    <mergeCell ref="F346:I346"/>
    <mergeCell ref="M346:P346"/>
    <mergeCell ref="Q346:T346"/>
    <mergeCell ref="H343:M343"/>
    <mergeCell ref="U45:U46"/>
    <mergeCell ref="B45:E45"/>
    <mergeCell ref="F45:I45"/>
    <mergeCell ref="J45:J46"/>
    <mergeCell ref="M45:P45"/>
    <mergeCell ref="Q45:T45"/>
    <mergeCell ref="U2:U3"/>
    <mergeCell ref="B2:E2"/>
    <mergeCell ref="F2:I2"/>
    <mergeCell ref="J2:J3"/>
    <mergeCell ref="M2:P2"/>
    <mergeCell ref="Q2:T2"/>
    <mergeCell ref="M131:P131"/>
    <mergeCell ref="Q131:T131"/>
    <mergeCell ref="U131:U132"/>
    <mergeCell ref="B131:E131"/>
    <mergeCell ref="F131:I131"/>
    <mergeCell ref="J131:J132"/>
    <mergeCell ref="U88:U89"/>
    <mergeCell ref="B88:E88"/>
    <mergeCell ref="F88:I88"/>
    <mergeCell ref="J88:J89"/>
    <mergeCell ref="M88:P88"/>
    <mergeCell ref="Q88:T88"/>
    <mergeCell ref="B217:E217"/>
    <mergeCell ref="F217:I217"/>
    <mergeCell ref="M217:P217"/>
    <mergeCell ref="Q217:T217"/>
    <mergeCell ref="L172:U172"/>
    <mergeCell ref="A172:J172"/>
    <mergeCell ref="U174:U175"/>
    <mergeCell ref="B174:E174"/>
    <mergeCell ref="F174:I174"/>
    <mergeCell ref="J174:J175"/>
    <mergeCell ref="M174:P174"/>
    <mergeCell ref="Q174:T174"/>
    <mergeCell ref="B518:E518"/>
    <mergeCell ref="F518:I518"/>
    <mergeCell ref="M518:P518"/>
    <mergeCell ref="Q518:T518"/>
    <mergeCell ref="M260:P260"/>
    <mergeCell ref="Q260:T260"/>
    <mergeCell ref="B260:E260"/>
    <mergeCell ref="F260:I260"/>
    <mergeCell ref="M389:P389"/>
    <mergeCell ref="Q389:T389"/>
    <mergeCell ref="B389:E389"/>
    <mergeCell ref="F389:I389"/>
    <mergeCell ref="B303:E303"/>
    <mergeCell ref="F303:I303"/>
    <mergeCell ref="M303:P303"/>
    <mergeCell ref="Q303:T303"/>
    <mergeCell ref="B690:E690"/>
    <mergeCell ref="F690:I690"/>
    <mergeCell ref="M690:P690"/>
    <mergeCell ref="Q690:T690"/>
    <mergeCell ref="M604:P604"/>
    <mergeCell ref="Q604:T604"/>
    <mergeCell ref="M647:P647"/>
    <mergeCell ref="Q647:T647"/>
    <mergeCell ref="B604:E604"/>
    <mergeCell ref="F604:I604"/>
    <mergeCell ref="B647:E647"/>
    <mergeCell ref="F647:I647"/>
    <mergeCell ref="B733:E733"/>
    <mergeCell ref="F733:I733"/>
    <mergeCell ref="M733:P733"/>
    <mergeCell ref="Q733:T733"/>
    <mergeCell ref="A731:U731"/>
    <mergeCell ref="J733:J734"/>
    <mergeCell ref="U733:U734"/>
  </mergeCells>
  <phoneticPr fontId="7"/>
  <pageMargins left="0.7" right="0.7" top="0.75" bottom="0.75" header="0.3" footer="0.3"/>
  <pageSetup paperSize="9" orientation="portrait" r:id="rId1"/>
  <ignoredErrors>
    <ignoredError sqref="E40:E41 P40:P4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33"/>
  <sheetViews>
    <sheetView tabSelected="1" topLeftCell="D651" zoomScaleNormal="100" workbookViewId="0">
      <selection activeCell="L673" sqref="L673"/>
    </sheetView>
  </sheetViews>
  <sheetFormatPr defaultRowHeight="13.5" x14ac:dyDescent="0.15"/>
  <cols>
    <col min="1" max="1" width="20.625" customWidth="1"/>
    <col min="11" max="11" width="9.25" bestFit="1" customWidth="1"/>
    <col min="12" max="12" width="38.125" customWidth="1"/>
    <col min="22" max="22" width="9.25" bestFit="1" customWidth="1"/>
  </cols>
  <sheetData>
    <row r="1" spans="1:23" ht="19.5" thickBot="1" x14ac:dyDescent="0.25">
      <c r="A1" s="2" t="s">
        <v>31</v>
      </c>
      <c r="B1" s="1"/>
      <c r="C1" s="1"/>
      <c r="D1" s="1"/>
      <c r="E1" s="1"/>
      <c r="F1" s="1"/>
      <c r="G1" s="1"/>
      <c r="H1" s="1"/>
      <c r="I1" s="1"/>
      <c r="J1" s="1"/>
      <c r="L1" s="2" t="s">
        <v>32</v>
      </c>
      <c r="M1" s="1"/>
      <c r="N1" s="1"/>
      <c r="O1" s="1"/>
      <c r="P1" s="1"/>
      <c r="Q1" s="1"/>
      <c r="R1" s="1"/>
      <c r="S1" s="1"/>
      <c r="T1" s="1"/>
      <c r="U1" s="1">
        <v>480</v>
      </c>
    </row>
    <row r="2" spans="1:23" ht="14.25" thickBot="1" x14ac:dyDescent="0.2">
      <c r="A2" s="6"/>
      <c r="B2" s="159" t="s">
        <v>33</v>
      </c>
      <c r="C2" s="160"/>
      <c r="D2" s="160"/>
      <c r="E2" s="161"/>
      <c r="F2" s="159" t="s">
        <v>22</v>
      </c>
      <c r="G2" s="160"/>
      <c r="H2" s="160"/>
      <c r="I2" s="162"/>
      <c r="J2" s="157" t="s">
        <v>0</v>
      </c>
      <c r="L2" s="6"/>
      <c r="M2" s="159" t="s">
        <v>33</v>
      </c>
      <c r="N2" s="160"/>
      <c r="O2" s="160"/>
      <c r="P2" s="161"/>
      <c r="Q2" s="146" t="s">
        <v>22</v>
      </c>
      <c r="R2" s="147"/>
      <c r="S2" s="147"/>
      <c r="T2" s="148"/>
      <c r="U2" s="157" t="s">
        <v>0</v>
      </c>
    </row>
    <row r="3" spans="1:23" ht="14.25" thickBot="1" x14ac:dyDescent="0.2">
      <c r="A3" s="6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3" t="s">
        <v>2</v>
      </c>
      <c r="G3" s="4" t="s">
        <v>3</v>
      </c>
      <c r="H3" s="5" t="s">
        <v>4</v>
      </c>
      <c r="I3" s="6" t="s">
        <v>5</v>
      </c>
      <c r="J3" s="158"/>
      <c r="L3" s="6" t="s">
        <v>1</v>
      </c>
      <c r="M3" s="3" t="s">
        <v>2</v>
      </c>
      <c r="N3" s="4" t="s">
        <v>3</v>
      </c>
      <c r="O3" s="5" t="s">
        <v>4</v>
      </c>
      <c r="P3" s="6" t="s">
        <v>5</v>
      </c>
      <c r="Q3" s="3" t="s">
        <v>2</v>
      </c>
      <c r="R3" s="4" t="s">
        <v>3</v>
      </c>
      <c r="S3" s="5" t="s">
        <v>4</v>
      </c>
      <c r="T3" s="6" t="s">
        <v>5</v>
      </c>
      <c r="U3" s="158"/>
    </row>
    <row r="4" spans="1:23" ht="14.25" thickBot="1" x14ac:dyDescent="0.2">
      <c r="A4" s="62" t="s">
        <v>6</v>
      </c>
      <c r="B4" s="36">
        <v>1</v>
      </c>
      <c r="C4" s="37">
        <v>1</v>
      </c>
      <c r="D4" s="54"/>
      <c r="E4" s="42">
        <f>SUM(B4:D4)</f>
        <v>2</v>
      </c>
      <c r="F4" s="36">
        <v>1</v>
      </c>
      <c r="G4" s="37">
        <v>1</v>
      </c>
      <c r="H4" s="54"/>
      <c r="I4" s="42">
        <f>SUM(F4:H4)</f>
        <v>2</v>
      </c>
      <c r="J4" s="42">
        <f>E4+I4</f>
        <v>4</v>
      </c>
      <c r="K4" s="56">
        <v>44870</v>
      </c>
      <c r="L4" s="62" t="s">
        <v>25</v>
      </c>
      <c r="M4" s="36">
        <v>60</v>
      </c>
      <c r="N4" s="37">
        <v>90</v>
      </c>
      <c r="O4" s="54">
        <v>50</v>
      </c>
      <c r="P4" s="42">
        <f>SUM(M4:O4)</f>
        <v>200</v>
      </c>
      <c r="Q4" s="36">
        <v>60</v>
      </c>
      <c r="R4" s="37">
        <v>90</v>
      </c>
      <c r="S4" s="54">
        <v>50</v>
      </c>
      <c r="T4" s="42">
        <f>SUM(Q4:S4)</f>
        <v>200</v>
      </c>
      <c r="U4" s="42">
        <f>P4+T4</f>
        <v>400</v>
      </c>
      <c r="V4" s="56" t="s">
        <v>36</v>
      </c>
    </row>
    <row r="5" spans="1:23" x14ac:dyDescent="0.15">
      <c r="A5" s="23" t="s">
        <v>20</v>
      </c>
      <c r="B5" s="36">
        <v>3</v>
      </c>
      <c r="C5" s="37">
        <v>3</v>
      </c>
      <c r="D5" s="38">
        <v>3</v>
      </c>
      <c r="E5" s="42">
        <f>SUM(B5:D5)</f>
        <v>9</v>
      </c>
      <c r="F5" s="53">
        <v>3</v>
      </c>
      <c r="G5" s="37">
        <v>3</v>
      </c>
      <c r="H5" s="54">
        <v>3</v>
      </c>
      <c r="I5" s="42">
        <f>SUM(F5:H5)</f>
        <v>9</v>
      </c>
      <c r="J5" s="42">
        <f>E5+I5</f>
        <v>18</v>
      </c>
      <c r="K5" s="56">
        <v>44901</v>
      </c>
      <c r="L5" s="23" t="s">
        <v>7</v>
      </c>
      <c r="M5" s="36"/>
      <c r="N5" s="37"/>
      <c r="O5" s="38"/>
      <c r="P5" s="42">
        <f>SUM(M5:O5)</f>
        <v>0</v>
      </c>
      <c r="Q5" s="53"/>
      <c r="R5" s="37"/>
      <c r="S5" s="54"/>
      <c r="T5" s="42">
        <f>SUM(Q5:S5)</f>
        <v>0</v>
      </c>
      <c r="U5" s="42">
        <f>P5+T5</f>
        <v>0</v>
      </c>
      <c r="V5" s="56"/>
    </row>
    <row r="6" spans="1:23" x14ac:dyDescent="0.15">
      <c r="A6" s="23" t="s">
        <v>77</v>
      </c>
      <c r="B6" s="7"/>
      <c r="C6" s="8">
        <v>2</v>
      </c>
      <c r="D6" s="46"/>
      <c r="E6" s="10">
        <f>SUM(B6:D6)</f>
        <v>2</v>
      </c>
      <c r="F6" s="11"/>
      <c r="G6" s="8">
        <v>2</v>
      </c>
      <c r="H6" s="9"/>
      <c r="I6" s="10">
        <f>SUM(F6:H6)</f>
        <v>2</v>
      </c>
      <c r="J6" s="10">
        <f>E6+I6</f>
        <v>4</v>
      </c>
      <c r="K6" s="56">
        <v>44922</v>
      </c>
      <c r="L6" s="77" t="s">
        <v>26</v>
      </c>
      <c r="M6" s="7">
        <v>60</v>
      </c>
      <c r="N6" s="8">
        <v>90</v>
      </c>
      <c r="O6" s="46">
        <v>50</v>
      </c>
      <c r="P6" s="10">
        <f>SUM(M6:O6)</f>
        <v>200</v>
      </c>
      <c r="Q6" s="11">
        <v>60</v>
      </c>
      <c r="R6" s="8">
        <v>90</v>
      </c>
      <c r="S6" s="9">
        <v>50</v>
      </c>
      <c r="T6" s="10">
        <f>SUM(Q6:S6)</f>
        <v>200</v>
      </c>
      <c r="U6" s="10">
        <f>P6+T6</f>
        <v>400</v>
      </c>
      <c r="V6" s="56" t="s">
        <v>51</v>
      </c>
    </row>
    <row r="7" spans="1:23" x14ac:dyDescent="0.15">
      <c r="A7" s="23" t="s">
        <v>20</v>
      </c>
      <c r="B7" s="16"/>
      <c r="C7" s="17"/>
      <c r="D7" s="45"/>
      <c r="E7" s="10">
        <f t="shared" ref="E7:E12" si="0">SUM(B7:D7)</f>
        <v>0</v>
      </c>
      <c r="F7" s="19"/>
      <c r="G7" s="17"/>
      <c r="H7" s="18"/>
      <c r="I7" s="10">
        <f t="shared" ref="I7:I12" si="1">SUM(F7:H7)</f>
        <v>0</v>
      </c>
      <c r="J7" s="10">
        <f t="shared" ref="J7:J12" si="2">E7+I7</f>
        <v>0</v>
      </c>
      <c r="K7" s="56"/>
      <c r="L7" s="23" t="s">
        <v>9</v>
      </c>
      <c r="M7" s="16"/>
      <c r="N7" s="17"/>
      <c r="O7" s="45"/>
      <c r="P7" s="10">
        <f t="shared" ref="P7:P12" si="3">SUM(M7:O7)</f>
        <v>0</v>
      </c>
      <c r="Q7" s="19"/>
      <c r="R7" s="17"/>
      <c r="S7" s="18"/>
      <c r="T7" s="10">
        <f t="shared" ref="T7:T12" si="4">SUM(Q7:S7)</f>
        <v>0</v>
      </c>
      <c r="U7" s="10">
        <f t="shared" ref="U7:U12" si="5">P7+T7</f>
        <v>0</v>
      </c>
    </row>
    <row r="8" spans="1:23" x14ac:dyDescent="0.15">
      <c r="A8" s="23" t="s">
        <v>20</v>
      </c>
      <c r="B8" s="7"/>
      <c r="C8" s="8"/>
      <c r="D8" s="46"/>
      <c r="E8" s="10">
        <f t="shared" si="0"/>
        <v>0</v>
      </c>
      <c r="F8" s="11"/>
      <c r="G8" s="8"/>
      <c r="H8" s="9"/>
      <c r="I8" s="10">
        <f t="shared" si="1"/>
        <v>0</v>
      </c>
      <c r="J8" s="10">
        <f t="shared" si="2"/>
        <v>0</v>
      </c>
      <c r="K8" s="56"/>
      <c r="L8" s="23" t="s">
        <v>10</v>
      </c>
      <c r="M8" s="7"/>
      <c r="N8" s="8"/>
      <c r="O8" s="46"/>
      <c r="P8" s="10">
        <f t="shared" si="3"/>
        <v>0</v>
      </c>
      <c r="Q8" s="11"/>
      <c r="R8" s="8"/>
      <c r="S8" s="9"/>
      <c r="T8" s="10">
        <f t="shared" si="4"/>
        <v>0</v>
      </c>
      <c r="U8" s="10">
        <f t="shared" si="5"/>
        <v>0</v>
      </c>
    </row>
    <row r="9" spans="1:23" x14ac:dyDescent="0.15">
      <c r="A9" s="23" t="s">
        <v>20</v>
      </c>
      <c r="B9" s="7"/>
      <c r="C9" s="8"/>
      <c r="D9" s="46"/>
      <c r="E9" s="10">
        <f t="shared" si="0"/>
        <v>0</v>
      </c>
      <c r="F9" s="11"/>
      <c r="G9" s="8"/>
      <c r="H9" s="9"/>
      <c r="I9" s="10">
        <f t="shared" si="1"/>
        <v>0</v>
      </c>
      <c r="J9" s="10">
        <f t="shared" si="2"/>
        <v>0</v>
      </c>
      <c r="K9" s="56"/>
      <c r="L9" s="23" t="s">
        <v>11</v>
      </c>
      <c r="M9" s="7"/>
      <c r="N9" s="8"/>
      <c r="O9" s="46"/>
      <c r="P9" s="10">
        <f t="shared" si="3"/>
        <v>0</v>
      </c>
      <c r="Q9" s="11"/>
      <c r="R9" s="8"/>
      <c r="S9" s="9"/>
      <c r="T9" s="10">
        <f t="shared" si="4"/>
        <v>0</v>
      </c>
      <c r="U9" s="10">
        <f t="shared" si="5"/>
        <v>0</v>
      </c>
    </row>
    <row r="10" spans="1:23" x14ac:dyDescent="0.15">
      <c r="A10" s="23" t="s">
        <v>20</v>
      </c>
      <c r="B10" s="7"/>
      <c r="C10" s="8"/>
      <c r="D10" s="46"/>
      <c r="E10" s="10">
        <f t="shared" si="0"/>
        <v>0</v>
      </c>
      <c r="F10" s="11"/>
      <c r="G10" s="8"/>
      <c r="H10" s="9"/>
      <c r="I10" s="10">
        <f t="shared" si="1"/>
        <v>0</v>
      </c>
      <c r="J10" s="10">
        <f t="shared" si="2"/>
        <v>0</v>
      </c>
      <c r="K10" s="56"/>
      <c r="L10" s="23" t="s">
        <v>12</v>
      </c>
      <c r="M10" s="16"/>
      <c r="N10" s="17"/>
      <c r="O10" s="45"/>
      <c r="P10" s="43">
        <f>SUM(M10:O10)</f>
        <v>0</v>
      </c>
      <c r="Q10" s="19"/>
      <c r="R10" s="17"/>
      <c r="S10" s="18"/>
      <c r="T10" s="43">
        <f>SUM(Q10:S10)</f>
        <v>0</v>
      </c>
      <c r="U10" s="43">
        <f>P10+T10</f>
        <v>0</v>
      </c>
      <c r="V10" s="56"/>
    </row>
    <row r="11" spans="1:23" x14ac:dyDescent="0.15">
      <c r="A11" s="23" t="s">
        <v>21</v>
      </c>
      <c r="B11" s="12"/>
      <c r="C11" s="13"/>
      <c r="D11" s="47"/>
      <c r="E11" s="10">
        <f t="shared" si="0"/>
        <v>0</v>
      </c>
      <c r="F11" s="15"/>
      <c r="G11" s="13"/>
      <c r="H11" s="14"/>
      <c r="I11" s="10">
        <f t="shared" si="1"/>
        <v>0</v>
      </c>
      <c r="J11" s="10">
        <f t="shared" si="2"/>
        <v>0</v>
      </c>
      <c r="K11" s="56"/>
      <c r="L11" s="23" t="s">
        <v>13</v>
      </c>
      <c r="M11" s="12"/>
      <c r="N11" s="13"/>
      <c r="O11" s="47"/>
      <c r="P11" s="10">
        <f t="shared" si="3"/>
        <v>0</v>
      </c>
      <c r="Q11" s="15"/>
      <c r="R11" s="13"/>
      <c r="S11" s="14"/>
      <c r="T11" s="10">
        <f t="shared" si="4"/>
        <v>0</v>
      </c>
      <c r="U11" s="10">
        <f t="shared" si="5"/>
        <v>0</v>
      </c>
    </row>
    <row r="12" spans="1:23" ht="14.25" thickBot="1" x14ac:dyDescent="0.2">
      <c r="A12" s="23" t="s">
        <v>20</v>
      </c>
      <c r="B12" s="29"/>
      <c r="C12" s="30"/>
      <c r="D12" s="48"/>
      <c r="E12" s="55">
        <f t="shared" si="0"/>
        <v>0</v>
      </c>
      <c r="F12" s="31"/>
      <c r="G12" s="31"/>
      <c r="H12" s="33"/>
      <c r="I12" s="55">
        <f t="shared" si="1"/>
        <v>0</v>
      </c>
      <c r="J12" s="20">
        <f t="shared" si="2"/>
        <v>0</v>
      </c>
      <c r="K12" s="56"/>
      <c r="L12" s="23" t="s">
        <v>14</v>
      </c>
      <c r="M12" s="29"/>
      <c r="N12" s="30"/>
      <c r="O12" s="48"/>
      <c r="P12" s="55">
        <f t="shared" si="3"/>
        <v>0</v>
      </c>
      <c r="Q12" s="31"/>
      <c r="R12" s="31"/>
      <c r="S12" s="33"/>
      <c r="T12" s="55">
        <f t="shared" si="4"/>
        <v>0</v>
      </c>
      <c r="U12" s="20">
        <f t="shared" si="5"/>
        <v>0</v>
      </c>
    </row>
    <row r="13" spans="1:23" ht="14.25" thickBot="1" x14ac:dyDescent="0.2">
      <c r="A13" s="32" t="s">
        <v>15</v>
      </c>
      <c r="B13" s="25">
        <f>SUM(B4:B12)</f>
        <v>4</v>
      </c>
      <c r="C13" s="26">
        <f>SUM(C4:C12)</f>
        <v>6</v>
      </c>
      <c r="D13" s="27">
        <f>SUM(D4:D12)</f>
        <v>3</v>
      </c>
      <c r="E13" s="28">
        <f>SUM(B13:D13)</f>
        <v>13</v>
      </c>
      <c r="F13" s="25">
        <f>SUM(F4:F12)</f>
        <v>4</v>
      </c>
      <c r="G13" s="26">
        <f>SUM(G4:G12)</f>
        <v>6</v>
      </c>
      <c r="H13" s="27">
        <f>SUM(H4:H12)</f>
        <v>3</v>
      </c>
      <c r="I13" s="28">
        <f>SUM(F13:H13)</f>
        <v>13</v>
      </c>
      <c r="J13" s="28">
        <f>E13+I13</f>
        <v>26</v>
      </c>
      <c r="L13" s="32" t="s">
        <v>15</v>
      </c>
      <c r="M13" s="25">
        <f>SUM(M4:M12)</f>
        <v>120</v>
      </c>
      <c r="N13" s="26">
        <f>SUM(N4:N12)</f>
        <v>180</v>
      </c>
      <c r="O13" s="27">
        <f>SUM(O4:O12)</f>
        <v>100</v>
      </c>
      <c r="P13" s="28">
        <f>SUM(M13:O13)</f>
        <v>400</v>
      </c>
      <c r="Q13" s="25">
        <f>SUM(Q4:Q12)</f>
        <v>120</v>
      </c>
      <c r="R13" s="26">
        <f>SUM(R4:R12)</f>
        <v>180</v>
      </c>
      <c r="S13" s="27">
        <f>SUM(S4:S12)</f>
        <v>100</v>
      </c>
      <c r="T13" s="28">
        <f>SUM(Q13:S13)</f>
        <v>400</v>
      </c>
      <c r="U13" s="28">
        <f>P13+T13</f>
        <v>800</v>
      </c>
    </row>
    <row r="14" spans="1:23" x14ac:dyDescent="0.15">
      <c r="A14" s="22" t="s">
        <v>59</v>
      </c>
      <c r="B14" s="12"/>
      <c r="C14" s="13">
        <v>1</v>
      </c>
      <c r="D14" s="14"/>
      <c r="E14" s="43">
        <f>SUM(B14:D14)</f>
        <v>1</v>
      </c>
      <c r="F14" s="15"/>
      <c r="G14" s="13">
        <v>1</v>
      </c>
      <c r="H14" s="14"/>
      <c r="I14" s="43">
        <f>SUM(F14:H14)</f>
        <v>1</v>
      </c>
      <c r="J14" s="10">
        <f>E14+I14</f>
        <v>2</v>
      </c>
      <c r="K14" s="56">
        <v>44908</v>
      </c>
      <c r="L14" s="22" t="s">
        <v>37</v>
      </c>
      <c r="M14" s="12">
        <v>1</v>
      </c>
      <c r="N14" s="13">
        <v>1</v>
      </c>
      <c r="O14" s="14"/>
      <c r="P14" s="43">
        <f>SUM(M14:O14)</f>
        <v>2</v>
      </c>
      <c r="Q14" s="15">
        <v>1</v>
      </c>
      <c r="R14" s="13">
        <v>1</v>
      </c>
      <c r="S14" s="14"/>
      <c r="T14" s="43">
        <f>SUM(Q14:S14)</f>
        <v>2</v>
      </c>
      <c r="U14" s="10">
        <f>P14+T14</f>
        <v>4</v>
      </c>
      <c r="V14" s="56">
        <v>44870</v>
      </c>
      <c r="W14" s="61"/>
    </row>
    <row r="15" spans="1:23" x14ac:dyDescent="0.15">
      <c r="A15" s="22"/>
      <c r="B15" s="7"/>
      <c r="C15" s="8"/>
      <c r="D15" s="9"/>
      <c r="E15" s="43">
        <f t="shared" ref="E15:E40" si="6">SUM(B15:D15)</f>
        <v>0</v>
      </c>
      <c r="F15" s="11"/>
      <c r="G15" s="8"/>
      <c r="H15" s="9"/>
      <c r="I15" s="43">
        <f t="shared" ref="I15:I40" si="7">SUM(F15:H15)</f>
        <v>0</v>
      </c>
      <c r="J15" s="10">
        <f t="shared" ref="J15:J38" si="8">E15+I15</f>
        <v>0</v>
      </c>
      <c r="K15" s="56"/>
      <c r="L15" s="22" t="s">
        <v>39</v>
      </c>
      <c r="M15" s="7">
        <v>3</v>
      </c>
      <c r="N15" s="8">
        <v>3</v>
      </c>
      <c r="O15" s="9">
        <v>3</v>
      </c>
      <c r="P15" s="43">
        <f t="shared" ref="P15:P18" si="9">SUM(M15:O15)</f>
        <v>9</v>
      </c>
      <c r="Q15" s="11">
        <v>3</v>
      </c>
      <c r="R15" s="8">
        <v>3</v>
      </c>
      <c r="S15" s="9">
        <v>3</v>
      </c>
      <c r="T15" s="43">
        <f t="shared" ref="T15:T18" si="10">SUM(Q15:S15)</f>
        <v>9</v>
      </c>
      <c r="U15" s="10">
        <f t="shared" ref="U15:U18" si="11">P15+T15</f>
        <v>18</v>
      </c>
      <c r="V15" s="56">
        <v>44881</v>
      </c>
      <c r="W15" s="61"/>
    </row>
    <row r="16" spans="1:23" x14ac:dyDescent="0.15">
      <c r="A16" s="22"/>
      <c r="B16" s="7"/>
      <c r="C16" s="8"/>
      <c r="D16" s="9"/>
      <c r="E16" s="43">
        <f t="shared" si="6"/>
        <v>0</v>
      </c>
      <c r="F16" s="11"/>
      <c r="G16" s="8"/>
      <c r="H16" s="9"/>
      <c r="I16" s="43">
        <f t="shared" si="7"/>
        <v>0</v>
      </c>
      <c r="J16" s="10">
        <f t="shared" si="8"/>
        <v>0</v>
      </c>
      <c r="K16" s="56"/>
      <c r="L16" s="22" t="s">
        <v>40</v>
      </c>
      <c r="M16" s="7"/>
      <c r="N16" s="8">
        <v>11</v>
      </c>
      <c r="O16" s="9"/>
      <c r="P16" s="43">
        <f t="shared" si="9"/>
        <v>11</v>
      </c>
      <c r="Q16" s="11"/>
      <c r="R16" s="8">
        <v>11</v>
      </c>
      <c r="S16" s="9"/>
      <c r="T16" s="43">
        <f t="shared" si="10"/>
        <v>11</v>
      </c>
      <c r="U16" s="10">
        <f t="shared" si="11"/>
        <v>22</v>
      </c>
      <c r="V16" s="56">
        <v>44894</v>
      </c>
    </row>
    <row r="17" spans="1:22" x14ac:dyDescent="0.15">
      <c r="A17" s="22"/>
      <c r="B17" s="7"/>
      <c r="C17" s="8"/>
      <c r="D17" s="9"/>
      <c r="E17" s="43">
        <f t="shared" si="6"/>
        <v>0</v>
      </c>
      <c r="F17" s="11"/>
      <c r="G17" s="8"/>
      <c r="H17" s="9"/>
      <c r="I17" s="43">
        <f t="shared" si="7"/>
        <v>0</v>
      </c>
      <c r="J17" s="10">
        <f t="shared" si="8"/>
        <v>0</v>
      </c>
      <c r="K17" s="56"/>
      <c r="L17" s="22" t="s">
        <v>41</v>
      </c>
      <c r="M17" s="7"/>
      <c r="N17" s="8"/>
      <c r="O17" s="9">
        <v>11</v>
      </c>
      <c r="P17" s="43">
        <f t="shared" si="9"/>
        <v>11</v>
      </c>
      <c r="Q17" s="11"/>
      <c r="R17" s="8"/>
      <c r="S17" s="9">
        <v>11</v>
      </c>
      <c r="T17" s="43">
        <f t="shared" si="10"/>
        <v>11</v>
      </c>
      <c r="U17" s="10">
        <f t="shared" si="11"/>
        <v>22</v>
      </c>
      <c r="V17" s="56">
        <v>44895</v>
      </c>
    </row>
    <row r="18" spans="1:22" x14ac:dyDescent="0.15">
      <c r="A18" s="22"/>
      <c r="B18" s="7"/>
      <c r="C18" s="8"/>
      <c r="D18" s="9"/>
      <c r="E18" s="43">
        <f t="shared" si="6"/>
        <v>0</v>
      </c>
      <c r="F18" s="11"/>
      <c r="G18" s="8"/>
      <c r="H18" s="9"/>
      <c r="I18" s="43">
        <f t="shared" si="7"/>
        <v>0</v>
      </c>
      <c r="J18" s="10">
        <f t="shared" si="8"/>
        <v>0</v>
      </c>
      <c r="K18" s="56"/>
      <c r="L18" s="22" t="s">
        <v>42</v>
      </c>
      <c r="M18" s="7">
        <v>1</v>
      </c>
      <c r="N18" s="8">
        <v>2</v>
      </c>
      <c r="O18" s="9">
        <v>4</v>
      </c>
      <c r="P18" s="43">
        <f t="shared" si="9"/>
        <v>7</v>
      </c>
      <c r="Q18" s="11">
        <v>1</v>
      </c>
      <c r="R18" s="8">
        <v>2</v>
      </c>
      <c r="S18" s="9">
        <v>4</v>
      </c>
      <c r="T18" s="43">
        <f t="shared" si="10"/>
        <v>7</v>
      </c>
      <c r="U18" s="10">
        <f t="shared" si="11"/>
        <v>14</v>
      </c>
      <c r="V18" s="56">
        <v>44896</v>
      </c>
    </row>
    <row r="19" spans="1:22" x14ac:dyDescent="0.15">
      <c r="A19" s="22"/>
      <c r="B19" s="7"/>
      <c r="C19" s="8"/>
      <c r="D19" s="9"/>
      <c r="E19" s="43">
        <f t="shared" si="6"/>
        <v>0</v>
      </c>
      <c r="F19" s="11"/>
      <c r="G19" s="8"/>
      <c r="H19" s="9"/>
      <c r="I19" s="43">
        <f t="shared" si="7"/>
        <v>0</v>
      </c>
      <c r="J19" s="10">
        <f t="shared" si="8"/>
        <v>0</v>
      </c>
      <c r="K19" s="56"/>
      <c r="L19" s="22" t="s">
        <v>43</v>
      </c>
      <c r="M19" s="7">
        <v>7</v>
      </c>
      <c r="N19" s="8">
        <v>7</v>
      </c>
      <c r="O19" s="9"/>
      <c r="P19" s="43">
        <f t="shared" ref="P19:P40" si="12">SUM(M19:O19)</f>
        <v>14</v>
      </c>
      <c r="Q19" s="11">
        <v>7</v>
      </c>
      <c r="R19" s="8">
        <v>7</v>
      </c>
      <c r="S19" s="9"/>
      <c r="T19" s="43">
        <f t="shared" ref="T19:T40" si="13">SUM(Q19:S19)</f>
        <v>14</v>
      </c>
      <c r="U19" s="10">
        <f t="shared" ref="U19:U39" si="14">P19+T19</f>
        <v>28</v>
      </c>
      <c r="V19" s="56">
        <v>44897</v>
      </c>
    </row>
    <row r="20" spans="1:22" x14ac:dyDescent="0.15">
      <c r="A20" s="22"/>
      <c r="B20" s="7"/>
      <c r="C20" s="8"/>
      <c r="D20" s="9"/>
      <c r="E20" s="43">
        <f t="shared" si="6"/>
        <v>0</v>
      </c>
      <c r="F20" s="11"/>
      <c r="G20" s="8"/>
      <c r="H20" s="9"/>
      <c r="I20" s="43">
        <f t="shared" si="7"/>
        <v>0</v>
      </c>
      <c r="J20" s="10">
        <f t="shared" si="8"/>
        <v>0</v>
      </c>
      <c r="K20" s="56"/>
      <c r="L20" s="22" t="s">
        <v>44</v>
      </c>
      <c r="M20" s="7">
        <v>2</v>
      </c>
      <c r="N20" s="8">
        <v>2</v>
      </c>
      <c r="O20" s="9">
        <v>7</v>
      </c>
      <c r="P20" s="43">
        <f t="shared" si="12"/>
        <v>11</v>
      </c>
      <c r="Q20" s="11">
        <v>2</v>
      </c>
      <c r="R20" s="8">
        <v>2</v>
      </c>
      <c r="S20" s="9">
        <v>7</v>
      </c>
      <c r="T20" s="43">
        <f t="shared" si="13"/>
        <v>11</v>
      </c>
      <c r="U20" s="10">
        <f t="shared" si="14"/>
        <v>22</v>
      </c>
      <c r="V20" s="56">
        <v>44900</v>
      </c>
    </row>
    <row r="21" spans="1:22" x14ac:dyDescent="0.15">
      <c r="A21" s="22"/>
      <c r="B21" s="7"/>
      <c r="C21" s="8"/>
      <c r="D21" s="9"/>
      <c r="E21" s="43">
        <f t="shared" si="6"/>
        <v>0</v>
      </c>
      <c r="F21" s="11"/>
      <c r="G21" s="8"/>
      <c r="H21" s="9"/>
      <c r="I21" s="43">
        <f t="shared" si="7"/>
        <v>0</v>
      </c>
      <c r="J21" s="10">
        <f t="shared" si="8"/>
        <v>0</v>
      </c>
      <c r="K21" s="56"/>
      <c r="L21" s="22" t="s">
        <v>45</v>
      </c>
      <c r="M21" s="7">
        <v>1</v>
      </c>
      <c r="N21" s="8">
        <v>4</v>
      </c>
      <c r="O21" s="9">
        <v>1</v>
      </c>
      <c r="P21" s="43">
        <f t="shared" si="12"/>
        <v>6</v>
      </c>
      <c r="Q21" s="11">
        <v>1</v>
      </c>
      <c r="R21" s="8">
        <v>4</v>
      </c>
      <c r="S21" s="9">
        <v>1</v>
      </c>
      <c r="T21" s="43">
        <f t="shared" si="13"/>
        <v>6</v>
      </c>
      <c r="U21" s="10">
        <f t="shared" si="14"/>
        <v>12</v>
      </c>
      <c r="V21" s="56">
        <v>44901</v>
      </c>
    </row>
    <row r="22" spans="1:22" x14ac:dyDescent="0.15">
      <c r="A22" s="22"/>
      <c r="B22" s="7"/>
      <c r="C22" s="8"/>
      <c r="D22" s="9"/>
      <c r="E22" s="43">
        <f t="shared" si="6"/>
        <v>0</v>
      </c>
      <c r="F22" s="11"/>
      <c r="G22" s="8"/>
      <c r="H22" s="9"/>
      <c r="I22" s="43">
        <f t="shared" si="7"/>
        <v>0</v>
      </c>
      <c r="J22" s="10">
        <f t="shared" si="8"/>
        <v>0</v>
      </c>
      <c r="K22" s="56"/>
      <c r="L22" s="22" t="s">
        <v>37</v>
      </c>
      <c r="M22" s="7">
        <v>3</v>
      </c>
      <c r="N22" s="8">
        <v>3</v>
      </c>
      <c r="O22" s="9">
        <v>3</v>
      </c>
      <c r="P22" s="43">
        <f>SUM(M22:O22)</f>
        <v>9</v>
      </c>
      <c r="Q22" s="11">
        <v>3</v>
      </c>
      <c r="R22" s="8">
        <v>3</v>
      </c>
      <c r="S22" s="9">
        <v>3</v>
      </c>
      <c r="T22" s="43">
        <f>SUM(Q22:S22)</f>
        <v>9</v>
      </c>
      <c r="U22" s="10">
        <f>P22+T22</f>
        <v>18</v>
      </c>
      <c r="V22" s="56">
        <v>44901</v>
      </c>
    </row>
    <row r="23" spans="1:22" x14ac:dyDescent="0.15">
      <c r="A23" s="22"/>
      <c r="B23" s="12"/>
      <c r="C23" s="13"/>
      <c r="D23" s="14"/>
      <c r="E23" s="43">
        <f t="shared" si="6"/>
        <v>0</v>
      </c>
      <c r="F23" s="15"/>
      <c r="G23" s="13"/>
      <c r="H23" s="14"/>
      <c r="I23" s="43">
        <f t="shared" si="7"/>
        <v>0</v>
      </c>
      <c r="J23" s="10">
        <f t="shared" si="8"/>
        <v>0</v>
      </c>
      <c r="K23" s="56"/>
      <c r="L23" s="22" t="s">
        <v>48</v>
      </c>
      <c r="M23" s="12"/>
      <c r="N23" s="13">
        <v>2</v>
      </c>
      <c r="O23" s="14"/>
      <c r="P23" s="43">
        <f t="shared" si="12"/>
        <v>2</v>
      </c>
      <c r="Q23" s="15"/>
      <c r="R23" s="13">
        <v>2</v>
      </c>
      <c r="S23" s="14"/>
      <c r="T23" s="43">
        <f t="shared" si="13"/>
        <v>2</v>
      </c>
      <c r="U23" s="10">
        <f t="shared" si="14"/>
        <v>4</v>
      </c>
      <c r="V23" s="56">
        <v>44902</v>
      </c>
    </row>
    <row r="24" spans="1:22" x14ac:dyDescent="0.15">
      <c r="A24" s="22"/>
      <c r="B24" s="7"/>
      <c r="C24" s="8"/>
      <c r="D24" s="9"/>
      <c r="E24" s="43">
        <f t="shared" si="6"/>
        <v>0</v>
      </c>
      <c r="F24" s="11"/>
      <c r="G24" s="8"/>
      <c r="H24" s="9"/>
      <c r="I24" s="43">
        <f t="shared" si="7"/>
        <v>0</v>
      </c>
      <c r="J24" s="10">
        <f t="shared" si="8"/>
        <v>0</v>
      </c>
      <c r="K24" s="56"/>
      <c r="L24" s="22" t="s">
        <v>50</v>
      </c>
      <c r="M24" s="7">
        <v>1</v>
      </c>
      <c r="N24" s="8">
        <v>3</v>
      </c>
      <c r="O24" s="9">
        <v>2</v>
      </c>
      <c r="P24" s="43">
        <f t="shared" si="12"/>
        <v>6</v>
      </c>
      <c r="Q24" s="11">
        <v>1</v>
      </c>
      <c r="R24" s="8">
        <v>3</v>
      </c>
      <c r="S24" s="9">
        <v>2</v>
      </c>
      <c r="T24" s="43">
        <f t="shared" si="13"/>
        <v>6</v>
      </c>
      <c r="U24" s="10">
        <f t="shared" si="14"/>
        <v>12</v>
      </c>
      <c r="V24" s="56">
        <v>44903</v>
      </c>
    </row>
    <row r="25" spans="1:22" x14ac:dyDescent="0.15">
      <c r="A25" s="22"/>
      <c r="B25" s="7"/>
      <c r="C25" s="8"/>
      <c r="D25" s="9"/>
      <c r="E25" s="43">
        <f t="shared" si="6"/>
        <v>0</v>
      </c>
      <c r="F25" s="11"/>
      <c r="G25" s="8"/>
      <c r="H25" s="9"/>
      <c r="I25" s="43">
        <f t="shared" si="7"/>
        <v>0</v>
      </c>
      <c r="J25" s="10">
        <f t="shared" si="8"/>
        <v>0</v>
      </c>
      <c r="K25" s="56"/>
      <c r="L25" s="22" t="s">
        <v>52</v>
      </c>
      <c r="M25" s="7"/>
      <c r="N25" s="8">
        <v>1</v>
      </c>
      <c r="O25" s="9">
        <v>1</v>
      </c>
      <c r="P25" s="43">
        <f t="shared" si="12"/>
        <v>2</v>
      </c>
      <c r="Q25" s="11"/>
      <c r="R25" s="8">
        <v>1</v>
      </c>
      <c r="S25" s="9">
        <v>1</v>
      </c>
      <c r="T25" s="43">
        <f t="shared" si="13"/>
        <v>2</v>
      </c>
      <c r="U25" s="10">
        <f t="shared" si="14"/>
        <v>4</v>
      </c>
      <c r="V25" s="56">
        <v>44904</v>
      </c>
    </row>
    <row r="26" spans="1:22" x14ac:dyDescent="0.15">
      <c r="A26" s="22"/>
      <c r="B26" s="7"/>
      <c r="C26" s="8"/>
      <c r="D26" s="9"/>
      <c r="E26" s="43">
        <f t="shared" si="6"/>
        <v>0</v>
      </c>
      <c r="F26" s="11"/>
      <c r="G26" s="8"/>
      <c r="H26" s="9"/>
      <c r="I26" s="43">
        <f t="shared" si="7"/>
        <v>0</v>
      </c>
      <c r="J26" s="10">
        <f t="shared" si="8"/>
        <v>0</v>
      </c>
      <c r="K26" s="56"/>
      <c r="L26" s="22" t="s">
        <v>53</v>
      </c>
      <c r="M26" s="7"/>
      <c r="N26" s="8">
        <v>1</v>
      </c>
      <c r="O26" s="9"/>
      <c r="P26" s="43">
        <f t="shared" si="12"/>
        <v>1</v>
      </c>
      <c r="Q26" s="11"/>
      <c r="R26" s="8">
        <v>1</v>
      </c>
      <c r="S26" s="9"/>
      <c r="T26" s="43">
        <f t="shared" si="13"/>
        <v>1</v>
      </c>
      <c r="U26" s="10">
        <f t="shared" si="14"/>
        <v>2</v>
      </c>
      <c r="V26" s="56">
        <v>44907</v>
      </c>
    </row>
    <row r="27" spans="1:22" x14ac:dyDescent="0.15">
      <c r="A27" s="22"/>
      <c r="B27" s="7"/>
      <c r="C27" s="8"/>
      <c r="D27" s="9"/>
      <c r="E27" s="43">
        <f t="shared" si="6"/>
        <v>0</v>
      </c>
      <c r="F27" s="11"/>
      <c r="G27" s="8"/>
      <c r="H27" s="9"/>
      <c r="I27" s="43">
        <f t="shared" si="7"/>
        <v>0</v>
      </c>
      <c r="J27" s="10">
        <f t="shared" si="8"/>
        <v>0</v>
      </c>
      <c r="K27" s="56"/>
      <c r="L27" s="22" t="s">
        <v>55</v>
      </c>
      <c r="M27" s="7">
        <v>2</v>
      </c>
      <c r="N27" s="8">
        <v>1</v>
      </c>
      <c r="O27" s="9"/>
      <c r="P27" s="43">
        <f t="shared" si="12"/>
        <v>3</v>
      </c>
      <c r="Q27" s="11">
        <v>2</v>
      </c>
      <c r="R27" s="8">
        <v>1</v>
      </c>
      <c r="S27" s="9"/>
      <c r="T27" s="43">
        <f t="shared" si="13"/>
        <v>3</v>
      </c>
      <c r="U27" s="10">
        <f t="shared" si="14"/>
        <v>6</v>
      </c>
      <c r="V27" s="56">
        <v>44908</v>
      </c>
    </row>
    <row r="28" spans="1:22" x14ac:dyDescent="0.15">
      <c r="A28" s="22"/>
      <c r="B28" s="7"/>
      <c r="C28" s="8"/>
      <c r="D28" s="9"/>
      <c r="E28" s="43">
        <f t="shared" si="6"/>
        <v>0</v>
      </c>
      <c r="F28" s="11"/>
      <c r="G28" s="8"/>
      <c r="H28" s="9"/>
      <c r="I28" s="43">
        <f t="shared" si="7"/>
        <v>0</v>
      </c>
      <c r="J28" s="10">
        <f t="shared" si="8"/>
        <v>0</v>
      </c>
      <c r="K28" s="56"/>
      <c r="L28" s="22" t="s">
        <v>56</v>
      </c>
      <c r="M28" s="7">
        <v>6</v>
      </c>
      <c r="N28" s="8"/>
      <c r="O28" s="9">
        <v>1</v>
      </c>
      <c r="P28" s="43">
        <f t="shared" si="12"/>
        <v>7</v>
      </c>
      <c r="Q28" s="11">
        <v>6</v>
      </c>
      <c r="R28" s="8"/>
      <c r="S28" s="9">
        <v>1</v>
      </c>
      <c r="T28" s="43">
        <f t="shared" si="13"/>
        <v>7</v>
      </c>
      <c r="U28" s="10">
        <f t="shared" si="14"/>
        <v>14</v>
      </c>
      <c r="V28" s="56">
        <v>44909</v>
      </c>
    </row>
    <row r="29" spans="1:22" x14ac:dyDescent="0.15">
      <c r="A29" s="22"/>
      <c r="B29" s="7"/>
      <c r="C29" s="8"/>
      <c r="D29" s="9"/>
      <c r="E29" s="43">
        <f t="shared" si="6"/>
        <v>0</v>
      </c>
      <c r="F29" s="11"/>
      <c r="G29" s="8"/>
      <c r="H29" s="9"/>
      <c r="I29" s="43">
        <f t="shared" si="7"/>
        <v>0</v>
      </c>
      <c r="J29" s="10">
        <f t="shared" si="8"/>
        <v>0</v>
      </c>
      <c r="K29" s="56"/>
      <c r="L29" s="22" t="s">
        <v>58</v>
      </c>
      <c r="M29" s="7">
        <v>1</v>
      </c>
      <c r="N29" s="8">
        <v>7</v>
      </c>
      <c r="O29" s="9">
        <v>9</v>
      </c>
      <c r="P29" s="43">
        <f t="shared" si="12"/>
        <v>17</v>
      </c>
      <c r="Q29" s="11">
        <v>1</v>
      </c>
      <c r="R29" s="8">
        <v>7</v>
      </c>
      <c r="S29" s="9">
        <v>9</v>
      </c>
      <c r="T29" s="43">
        <f t="shared" si="13"/>
        <v>17</v>
      </c>
      <c r="U29" s="10">
        <f t="shared" si="14"/>
        <v>34</v>
      </c>
      <c r="V29" s="56">
        <v>44910</v>
      </c>
    </row>
    <row r="30" spans="1:22" x14ac:dyDescent="0.15">
      <c r="A30" s="24"/>
      <c r="B30" s="7"/>
      <c r="C30" s="8"/>
      <c r="D30" s="9"/>
      <c r="E30" s="43">
        <f t="shared" si="6"/>
        <v>0</v>
      </c>
      <c r="F30" s="11"/>
      <c r="G30" s="8"/>
      <c r="H30" s="9"/>
      <c r="I30" s="43">
        <f t="shared" si="7"/>
        <v>0</v>
      </c>
      <c r="J30" s="10">
        <f t="shared" si="8"/>
        <v>0</v>
      </c>
      <c r="K30" s="56"/>
      <c r="L30" s="22" t="s">
        <v>61</v>
      </c>
      <c r="M30" s="7">
        <v>2</v>
      </c>
      <c r="N30" s="8">
        <v>8</v>
      </c>
      <c r="O30" s="9">
        <v>4</v>
      </c>
      <c r="P30" s="43">
        <f t="shared" si="12"/>
        <v>14</v>
      </c>
      <c r="Q30" s="11">
        <v>2</v>
      </c>
      <c r="R30" s="8">
        <v>8</v>
      </c>
      <c r="S30" s="9">
        <v>4</v>
      </c>
      <c r="T30" s="43">
        <f t="shared" si="13"/>
        <v>14</v>
      </c>
      <c r="U30" s="10">
        <f t="shared" si="14"/>
        <v>28</v>
      </c>
      <c r="V30" s="56">
        <v>44911</v>
      </c>
    </row>
    <row r="31" spans="1:22" x14ac:dyDescent="0.15">
      <c r="A31" s="22"/>
      <c r="B31" s="7"/>
      <c r="C31" s="8"/>
      <c r="D31" s="9"/>
      <c r="E31" s="43">
        <f t="shared" si="6"/>
        <v>0</v>
      </c>
      <c r="F31" s="11"/>
      <c r="G31" s="8"/>
      <c r="H31" s="9"/>
      <c r="I31" s="43">
        <f t="shared" si="7"/>
        <v>0</v>
      </c>
      <c r="J31" s="10">
        <f t="shared" si="8"/>
        <v>0</v>
      </c>
      <c r="K31" s="56"/>
      <c r="L31" s="22" t="s">
        <v>63</v>
      </c>
      <c r="M31" s="7">
        <v>8</v>
      </c>
      <c r="N31" s="8">
        <v>9</v>
      </c>
      <c r="O31" s="9">
        <v>2</v>
      </c>
      <c r="P31" s="43">
        <f t="shared" si="12"/>
        <v>19</v>
      </c>
      <c r="Q31" s="11">
        <v>8</v>
      </c>
      <c r="R31" s="8">
        <v>9</v>
      </c>
      <c r="S31" s="9">
        <v>2</v>
      </c>
      <c r="T31" s="43">
        <f t="shared" si="13"/>
        <v>19</v>
      </c>
      <c r="U31" s="10">
        <f t="shared" si="14"/>
        <v>38</v>
      </c>
      <c r="V31" s="56">
        <v>44914</v>
      </c>
    </row>
    <row r="32" spans="1:22" x14ac:dyDescent="0.15">
      <c r="A32" s="23"/>
      <c r="B32" s="7"/>
      <c r="C32" s="8"/>
      <c r="D32" s="9"/>
      <c r="E32" s="43">
        <f t="shared" si="6"/>
        <v>0</v>
      </c>
      <c r="F32" s="11"/>
      <c r="G32" s="8"/>
      <c r="H32" s="9"/>
      <c r="I32" s="43">
        <f t="shared" si="7"/>
        <v>0</v>
      </c>
      <c r="J32" s="10">
        <f t="shared" si="8"/>
        <v>0</v>
      </c>
      <c r="K32" s="58"/>
      <c r="L32" s="22" t="s">
        <v>65</v>
      </c>
      <c r="M32" s="7">
        <v>6</v>
      </c>
      <c r="N32" s="8">
        <v>13</v>
      </c>
      <c r="O32" s="9">
        <v>8</v>
      </c>
      <c r="P32" s="43">
        <f t="shared" si="12"/>
        <v>27</v>
      </c>
      <c r="Q32" s="11">
        <v>6</v>
      </c>
      <c r="R32" s="8">
        <v>13</v>
      </c>
      <c r="S32" s="9">
        <v>8</v>
      </c>
      <c r="T32" s="43">
        <f t="shared" si="13"/>
        <v>27</v>
      </c>
      <c r="U32" s="10">
        <f t="shared" si="14"/>
        <v>54</v>
      </c>
      <c r="V32" s="56">
        <v>44915</v>
      </c>
    </row>
    <row r="33" spans="1:22" x14ac:dyDescent="0.15">
      <c r="A33" s="22"/>
      <c r="B33" s="7"/>
      <c r="C33" s="8"/>
      <c r="D33" s="9"/>
      <c r="E33" s="43">
        <f t="shared" si="6"/>
        <v>0</v>
      </c>
      <c r="F33" s="11"/>
      <c r="G33" s="8"/>
      <c r="H33" s="9"/>
      <c r="I33" s="43">
        <f t="shared" si="7"/>
        <v>0</v>
      </c>
      <c r="J33" s="10">
        <f t="shared" si="8"/>
        <v>0</v>
      </c>
      <c r="K33" s="56"/>
      <c r="L33" s="22" t="s">
        <v>67</v>
      </c>
      <c r="M33" s="7">
        <v>5</v>
      </c>
      <c r="N33" s="8">
        <v>10</v>
      </c>
      <c r="O33" s="9">
        <v>1</v>
      </c>
      <c r="P33" s="43">
        <f t="shared" si="12"/>
        <v>16</v>
      </c>
      <c r="Q33" s="11">
        <v>5</v>
      </c>
      <c r="R33" s="8">
        <v>10</v>
      </c>
      <c r="S33" s="9">
        <v>1</v>
      </c>
      <c r="T33" s="43">
        <f t="shared" si="13"/>
        <v>16</v>
      </c>
      <c r="U33" s="10">
        <f t="shared" si="14"/>
        <v>32</v>
      </c>
      <c r="V33" s="56">
        <v>44916</v>
      </c>
    </row>
    <row r="34" spans="1:22" x14ac:dyDescent="0.15">
      <c r="A34" s="24"/>
      <c r="B34" s="7"/>
      <c r="C34" s="8"/>
      <c r="D34" s="9"/>
      <c r="E34" s="43">
        <f t="shared" si="6"/>
        <v>0</v>
      </c>
      <c r="F34" s="11"/>
      <c r="G34" s="8"/>
      <c r="H34" s="9"/>
      <c r="I34" s="43">
        <f t="shared" si="7"/>
        <v>0</v>
      </c>
      <c r="J34" s="10">
        <f t="shared" si="8"/>
        <v>0</v>
      </c>
      <c r="K34" s="56"/>
      <c r="L34" s="22" t="s">
        <v>69</v>
      </c>
      <c r="M34" s="7"/>
      <c r="N34" s="8">
        <v>4</v>
      </c>
      <c r="O34" s="9">
        <v>4</v>
      </c>
      <c r="P34" s="43">
        <f t="shared" si="12"/>
        <v>8</v>
      </c>
      <c r="Q34" s="11"/>
      <c r="R34" s="8">
        <v>4</v>
      </c>
      <c r="S34" s="9">
        <v>4</v>
      </c>
      <c r="T34" s="43">
        <f t="shared" si="13"/>
        <v>8</v>
      </c>
      <c r="U34" s="10">
        <f t="shared" si="14"/>
        <v>16</v>
      </c>
      <c r="V34" s="56">
        <v>44917</v>
      </c>
    </row>
    <row r="35" spans="1:22" x14ac:dyDescent="0.15">
      <c r="A35" s="22"/>
      <c r="B35" s="12"/>
      <c r="C35" s="13"/>
      <c r="D35" s="14"/>
      <c r="E35" s="43">
        <f t="shared" si="6"/>
        <v>0</v>
      </c>
      <c r="F35" s="15"/>
      <c r="G35" s="13"/>
      <c r="H35" s="14"/>
      <c r="I35" s="43">
        <f t="shared" si="7"/>
        <v>0</v>
      </c>
      <c r="J35" s="10">
        <f t="shared" si="8"/>
        <v>0</v>
      </c>
      <c r="K35" s="59"/>
      <c r="L35" s="22" t="s">
        <v>72</v>
      </c>
      <c r="M35" s="12">
        <v>1</v>
      </c>
      <c r="N35" s="13">
        <v>3</v>
      </c>
      <c r="O35" s="14">
        <v>4</v>
      </c>
      <c r="P35" s="43">
        <f t="shared" si="12"/>
        <v>8</v>
      </c>
      <c r="Q35" s="15">
        <v>1</v>
      </c>
      <c r="R35" s="13">
        <v>3</v>
      </c>
      <c r="S35" s="14">
        <v>4</v>
      </c>
      <c r="T35" s="43">
        <f t="shared" si="13"/>
        <v>8</v>
      </c>
      <c r="U35" s="10">
        <f t="shared" si="14"/>
        <v>16</v>
      </c>
      <c r="V35" s="56">
        <v>44921</v>
      </c>
    </row>
    <row r="36" spans="1:22" x14ac:dyDescent="0.15">
      <c r="A36" s="22"/>
      <c r="B36" s="7"/>
      <c r="C36" s="8"/>
      <c r="D36" s="9"/>
      <c r="E36" s="43">
        <f t="shared" si="6"/>
        <v>0</v>
      </c>
      <c r="F36" s="11"/>
      <c r="G36" s="8"/>
      <c r="H36" s="9"/>
      <c r="I36" s="43">
        <f t="shared" si="7"/>
        <v>0</v>
      </c>
      <c r="J36" s="10">
        <f t="shared" si="8"/>
        <v>0</v>
      </c>
      <c r="K36" s="56"/>
      <c r="L36" s="22" t="s">
        <v>76</v>
      </c>
      <c r="M36" s="7"/>
      <c r="N36" s="8">
        <v>2</v>
      </c>
      <c r="O36" s="9">
        <v>1</v>
      </c>
      <c r="P36" s="43">
        <f t="shared" si="12"/>
        <v>3</v>
      </c>
      <c r="Q36" s="11"/>
      <c r="R36" s="8">
        <v>2</v>
      </c>
      <c r="S36" s="9">
        <v>1</v>
      </c>
      <c r="T36" s="43">
        <f t="shared" si="13"/>
        <v>3</v>
      </c>
      <c r="U36" s="10">
        <f t="shared" si="14"/>
        <v>6</v>
      </c>
      <c r="V36" s="56">
        <v>44922</v>
      </c>
    </row>
    <row r="37" spans="1:22" x14ac:dyDescent="0.15">
      <c r="A37" s="22"/>
      <c r="B37" s="7"/>
      <c r="C37" s="8"/>
      <c r="D37" s="9"/>
      <c r="E37" s="43">
        <f t="shared" si="6"/>
        <v>0</v>
      </c>
      <c r="F37" s="11"/>
      <c r="G37" s="8"/>
      <c r="H37" s="9"/>
      <c r="I37" s="43">
        <f t="shared" si="7"/>
        <v>0</v>
      </c>
      <c r="J37" s="10">
        <f t="shared" si="8"/>
        <v>0</v>
      </c>
      <c r="K37" s="56"/>
      <c r="L37" s="24" t="s">
        <v>34</v>
      </c>
      <c r="M37" s="7"/>
      <c r="N37" s="8"/>
      <c r="O37" s="9"/>
      <c r="P37" s="43">
        <f t="shared" si="12"/>
        <v>0</v>
      </c>
      <c r="Q37" s="11"/>
      <c r="R37" s="8"/>
      <c r="S37" s="9"/>
      <c r="T37" s="43">
        <f t="shared" si="13"/>
        <v>0</v>
      </c>
      <c r="U37" s="10">
        <f t="shared" si="14"/>
        <v>0</v>
      </c>
      <c r="V37" s="56" t="s">
        <v>35</v>
      </c>
    </row>
    <row r="38" spans="1:22" x14ac:dyDescent="0.15">
      <c r="A38" s="22"/>
      <c r="B38" s="7"/>
      <c r="C38" s="8"/>
      <c r="D38" s="9"/>
      <c r="E38" s="43">
        <f t="shared" si="6"/>
        <v>0</v>
      </c>
      <c r="F38" s="11"/>
      <c r="G38" s="8"/>
      <c r="H38" s="9"/>
      <c r="I38" s="43">
        <f t="shared" si="7"/>
        <v>0</v>
      </c>
      <c r="J38" s="10">
        <f t="shared" si="8"/>
        <v>0</v>
      </c>
      <c r="K38" s="56"/>
      <c r="L38" s="24" t="s">
        <v>27</v>
      </c>
      <c r="M38" s="7"/>
      <c r="N38" s="8"/>
      <c r="O38" s="9"/>
      <c r="P38" s="43">
        <f t="shared" ref="P38" si="15">SUM(M38:O38)</f>
        <v>0</v>
      </c>
      <c r="Q38" s="11"/>
      <c r="R38" s="8"/>
      <c r="S38" s="9"/>
      <c r="T38" s="43">
        <f t="shared" ref="T38" si="16">SUM(Q38:S38)</f>
        <v>0</v>
      </c>
      <c r="U38" s="10">
        <f t="shared" ref="U38" si="17">P38+T38</f>
        <v>0</v>
      </c>
      <c r="V38" s="56" t="s">
        <v>28</v>
      </c>
    </row>
    <row r="39" spans="1:22" ht="14.25" thickBot="1" x14ac:dyDescent="0.2">
      <c r="A39" s="22"/>
      <c r="B39" s="12"/>
      <c r="C39" s="13"/>
      <c r="D39" s="14"/>
      <c r="E39" s="43">
        <f>SUM(B39:D39)</f>
        <v>0</v>
      </c>
      <c r="F39" s="15"/>
      <c r="G39" s="13"/>
      <c r="H39" s="14"/>
      <c r="I39" s="43">
        <f>SUM(F39:H39)</f>
        <v>0</v>
      </c>
      <c r="J39" s="10">
        <f>E39+I39</f>
        <v>0</v>
      </c>
      <c r="K39" s="56"/>
      <c r="L39" s="24" t="s">
        <v>23</v>
      </c>
      <c r="M39" s="7"/>
      <c r="N39" s="8"/>
      <c r="O39" s="9"/>
      <c r="P39" s="43">
        <f t="shared" si="12"/>
        <v>0</v>
      </c>
      <c r="Q39" s="11"/>
      <c r="R39" s="8"/>
      <c r="S39" s="9"/>
      <c r="T39" s="43">
        <f t="shared" si="13"/>
        <v>0</v>
      </c>
      <c r="U39" s="10">
        <f t="shared" si="14"/>
        <v>0</v>
      </c>
      <c r="V39" s="56" t="s">
        <v>24</v>
      </c>
    </row>
    <row r="40" spans="1:22" ht="14.25" thickBot="1" x14ac:dyDescent="0.2">
      <c r="A40" s="35" t="s">
        <v>17</v>
      </c>
      <c r="B40" s="40">
        <f>SUM(B14:B39)</f>
        <v>0</v>
      </c>
      <c r="C40" s="41">
        <f t="shared" ref="C40:D40" si="18">SUM(C14:C39)</f>
        <v>1</v>
      </c>
      <c r="D40" s="52">
        <f t="shared" si="18"/>
        <v>0</v>
      </c>
      <c r="E40" s="39">
        <f t="shared" si="6"/>
        <v>1</v>
      </c>
      <c r="F40" s="40">
        <f>SUM(F14:F39)</f>
        <v>0</v>
      </c>
      <c r="G40" s="41">
        <f t="shared" ref="G40:H40" si="19">SUM(G14:G39)</f>
        <v>1</v>
      </c>
      <c r="H40" s="52">
        <f t="shared" si="19"/>
        <v>0</v>
      </c>
      <c r="I40" s="39">
        <f t="shared" si="7"/>
        <v>1</v>
      </c>
      <c r="J40" s="39">
        <f>E40+I40</f>
        <v>2</v>
      </c>
      <c r="K40" s="34"/>
      <c r="L40" s="35" t="s">
        <v>17</v>
      </c>
      <c r="M40" s="40">
        <f>SUM(M14:M39)</f>
        <v>50</v>
      </c>
      <c r="N40" s="41">
        <f t="shared" ref="N40:O40" si="20">SUM(N14:N39)</f>
        <v>97</v>
      </c>
      <c r="O40" s="52">
        <f t="shared" si="20"/>
        <v>66</v>
      </c>
      <c r="P40" s="39">
        <f t="shared" si="12"/>
        <v>213</v>
      </c>
      <c r="Q40" s="40">
        <f>SUM(Q14:Q39)</f>
        <v>50</v>
      </c>
      <c r="R40" s="41">
        <f t="shared" ref="R40:S40" si="21">SUM(R14:R39)</f>
        <v>97</v>
      </c>
      <c r="S40" s="52">
        <f t="shared" si="21"/>
        <v>66</v>
      </c>
      <c r="T40" s="39">
        <f t="shared" si="13"/>
        <v>213</v>
      </c>
      <c r="U40" s="39">
        <f>P40+T40</f>
        <v>426</v>
      </c>
    </row>
    <row r="41" spans="1:22" ht="14.25" thickBot="1" x14ac:dyDescent="0.2">
      <c r="A41" s="21" t="s">
        <v>16</v>
      </c>
      <c r="B41" s="44">
        <f>B13-B40</f>
        <v>4</v>
      </c>
      <c r="C41" s="50">
        <f t="shared" ref="C41:D41" si="22">C13-C40</f>
        <v>5</v>
      </c>
      <c r="D41" s="51">
        <f t="shared" si="22"/>
        <v>3</v>
      </c>
      <c r="E41" s="49">
        <f>SUM(B41:D41)</f>
        <v>12</v>
      </c>
      <c r="F41" s="44">
        <f>F13-F40</f>
        <v>4</v>
      </c>
      <c r="G41" s="50">
        <f t="shared" ref="G41:H41" si="23">G13-G40</f>
        <v>5</v>
      </c>
      <c r="H41" s="51">
        <f t="shared" si="23"/>
        <v>3</v>
      </c>
      <c r="I41" s="49">
        <f>SUM(F41:H41)</f>
        <v>12</v>
      </c>
      <c r="J41" s="28">
        <f>E41+I41</f>
        <v>24</v>
      </c>
      <c r="L41" s="21" t="s">
        <v>16</v>
      </c>
      <c r="M41" s="44">
        <f>M13-M40</f>
        <v>70</v>
      </c>
      <c r="N41" s="50">
        <f t="shared" ref="N41:O41" si="24">N13-N40</f>
        <v>83</v>
      </c>
      <c r="O41" s="51">
        <f t="shared" si="24"/>
        <v>34</v>
      </c>
      <c r="P41" s="49">
        <f>SUM(M41:O41)</f>
        <v>187</v>
      </c>
      <c r="Q41" s="44">
        <f>Q13-Q40</f>
        <v>70</v>
      </c>
      <c r="R41" s="50">
        <f t="shared" ref="R41:S41" si="25">R13-R40</f>
        <v>83</v>
      </c>
      <c r="S41" s="51">
        <f t="shared" si="25"/>
        <v>34</v>
      </c>
      <c r="T41" s="49">
        <f>SUM(Q41:S41)</f>
        <v>187</v>
      </c>
      <c r="U41" s="28">
        <f>P41+T41</f>
        <v>374</v>
      </c>
    </row>
    <row r="42" spans="1:22" x14ac:dyDescent="0.15">
      <c r="M42" s="65"/>
      <c r="N42" s="65"/>
      <c r="O42" s="65"/>
      <c r="P42" s="65"/>
    </row>
    <row r="44" spans="1:22" ht="19.5" thickBot="1" x14ac:dyDescent="0.25">
      <c r="A44" s="2" t="s">
        <v>31</v>
      </c>
      <c r="B44" s="1"/>
      <c r="C44" s="1"/>
      <c r="D44" s="1"/>
      <c r="E44" s="1"/>
      <c r="F44" s="1"/>
      <c r="G44" s="1"/>
      <c r="H44" s="1"/>
      <c r="I44" s="1"/>
      <c r="J44" s="1"/>
      <c r="L44" s="2" t="s">
        <v>32</v>
      </c>
      <c r="M44" s="1"/>
      <c r="N44" s="1"/>
      <c r="O44" s="1"/>
      <c r="P44" s="1"/>
      <c r="Q44" s="1"/>
      <c r="R44" s="1"/>
      <c r="S44" s="1"/>
      <c r="T44" s="1"/>
      <c r="U44" s="1">
        <v>480</v>
      </c>
    </row>
    <row r="45" spans="1:22" ht="14.25" thickBot="1" x14ac:dyDescent="0.2">
      <c r="A45" s="6"/>
      <c r="B45" s="159" t="s">
        <v>33</v>
      </c>
      <c r="C45" s="160"/>
      <c r="D45" s="160"/>
      <c r="E45" s="161"/>
      <c r="F45" s="159" t="s">
        <v>22</v>
      </c>
      <c r="G45" s="160"/>
      <c r="H45" s="160"/>
      <c r="I45" s="162"/>
      <c r="J45" s="157" t="s">
        <v>0</v>
      </c>
      <c r="L45" s="6"/>
      <c r="M45" s="159" t="s">
        <v>33</v>
      </c>
      <c r="N45" s="160"/>
      <c r="O45" s="160"/>
      <c r="P45" s="161"/>
      <c r="Q45" s="146" t="s">
        <v>22</v>
      </c>
      <c r="R45" s="147"/>
      <c r="S45" s="147"/>
      <c r="T45" s="148"/>
      <c r="U45" s="157" t="s">
        <v>0</v>
      </c>
    </row>
    <row r="46" spans="1:22" ht="14.25" thickBot="1" x14ac:dyDescent="0.2">
      <c r="A46" s="6" t="s">
        <v>1</v>
      </c>
      <c r="B46" s="3" t="s">
        <v>2</v>
      </c>
      <c r="C46" s="4" t="s">
        <v>3</v>
      </c>
      <c r="D46" s="5" t="s">
        <v>4</v>
      </c>
      <c r="E46" s="6" t="s">
        <v>5</v>
      </c>
      <c r="F46" s="3" t="s">
        <v>2</v>
      </c>
      <c r="G46" s="4" t="s">
        <v>3</v>
      </c>
      <c r="H46" s="5" t="s">
        <v>4</v>
      </c>
      <c r="I46" s="6" t="s">
        <v>5</v>
      </c>
      <c r="J46" s="158"/>
      <c r="L46" s="6" t="s">
        <v>1</v>
      </c>
      <c r="M46" s="3" t="s">
        <v>2</v>
      </c>
      <c r="N46" s="4" t="s">
        <v>3</v>
      </c>
      <c r="O46" s="5" t="s">
        <v>4</v>
      </c>
      <c r="P46" s="6" t="s">
        <v>5</v>
      </c>
      <c r="Q46" s="3" t="s">
        <v>2</v>
      </c>
      <c r="R46" s="4" t="s">
        <v>3</v>
      </c>
      <c r="S46" s="5" t="s">
        <v>4</v>
      </c>
      <c r="T46" s="6" t="s">
        <v>5</v>
      </c>
      <c r="U46" s="158"/>
    </row>
    <row r="47" spans="1:22" ht="14.25" thickBot="1" x14ac:dyDescent="0.2">
      <c r="A47" s="62" t="s">
        <v>6</v>
      </c>
      <c r="B47" s="36">
        <f>B41</f>
        <v>4</v>
      </c>
      <c r="C47" s="37">
        <f>C41</f>
        <v>5</v>
      </c>
      <c r="D47" s="54">
        <f>D41</f>
        <v>3</v>
      </c>
      <c r="E47" s="42">
        <f>SUM(B47:D47)</f>
        <v>12</v>
      </c>
      <c r="F47" s="36">
        <f>F41</f>
        <v>4</v>
      </c>
      <c r="G47" s="37">
        <f>G41</f>
        <v>5</v>
      </c>
      <c r="H47" s="54">
        <f>H41</f>
        <v>3</v>
      </c>
      <c r="I47" s="42">
        <f>SUM(F47:H47)</f>
        <v>12</v>
      </c>
      <c r="J47" s="42">
        <f>E47+I47</f>
        <v>24</v>
      </c>
      <c r="K47" s="56"/>
      <c r="L47" s="66" t="s">
        <v>6</v>
      </c>
      <c r="M47" s="67">
        <f>M41</f>
        <v>70</v>
      </c>
      <c r="N47" s="68">
        <f>N41</f>
        <v>83</v>
      </c>
      <c r="O47" s="69">
        <f>O41</f>
        <v>34</v>
      </c>
      <c r="P47" s="70">
        <f>SUM(M47:O47)</f>
        <v>187</v>
      </c>
      <c r="Q47" s="67">
        <f>Q41</f>
        <v>70</v>
      </c>
      <c r="R47" s="68">
        <f>R41</f>
        <v>83</v>
      </c>
      <c r="S47" s="69">
        <f>S41</f>
        <v>34</v>
      </c>
      <c r="T47" s="70">
        <f>SUM(Q47:S47)</f>
        <v>187</v>
      </c>
      <c r="U47" s="70">
        <f>P47+T47</f>
        <v>374</v>
      </c>
      <c r="V47" s="57"/>
    </row>
    <row r="48" spans="1:22" x14ac:dyDescent="0.15">
      <c r="A48" s="23" t="s">
        <v>77</v>
      </c>
      <c r="B48" s="36">
        <v>2</v>
      </c>
      <c r="C48" s="37">
        <v>1</v>
      </c>
      <c r="D48" s="38">
        <v>1</v>
      </c>
      <c r="E48" s="42">
        <f>SUM(B48:D48)</f>
        <v>4</v>
      </c>
      <c r="F48" s="53">
        <v>2</v>
      </c>
      <c r="G48" s="37">
        <v>1</v>
      </c>
      <c r="H48" s="54">
        <v>1</v>
      </c>
      <c r="I48" s="42">
        <f>SUM(F48:H48)</f>
        <v>4</v>
      </c>
      <c r="J48" s="42">
        <f>E48+I48</f>
        <v>8</v>
      </c>
      <c r="K48" s="56">
        <v>44942</v>
      </c>
      <c r="L48" s="80" t="s">
        <v>7</v>
      </c>
      <c r="M48" s="71">
        <v>2</v>
      </c>
      <c r="N48" s="72">
        <v>1</v>
      </c>
      <c r="O48" s="73">
        <v>4</v>
      </c>
      <c r="P48" s="74">
        <f>SUM(M48:O48)</f>
        <v>7</v>
      </c>
      <c r="Q48" s="75">
        <v>2</v>
      </c>
      <c r="R48" s="72">
        <v>1</v>
      </c>
      <c r="S48" s="76">
        <v>4</v>
      </c>
      <c r="T48" s="74">
        <f>SUM(Q48:S48)</f>
        <v>7</v>
      </c>
      <c r="U48" s="74">
        <f>P48+T48</f>
        <v>14</v>
      </c>
      <c r="V48" s="56">
        <v>44947</v>
      </c>
    </row>
    <row r="49" spans="1:22" x14ac:dyDescent="0.15">
      <c r="A49" s="23" t="s">
        <v>20</v>
      </c>
      <c r="B49" s="7"/>
      <c r="C49" s="8"/>
      <c r="D49" s="46"/>
      <c r="E49" s="10">
        <f>SUM(B49:D49)</f>
        <v>0</v>
      </c>
      <c r="F49" s="11"/>
      <c r="G49" s="8"/>
      <c r="H49" s="9"/>
      <c r="I49" s="10">
        <f>SUM(F49:H49)</f>
        <v>0</v>
      </c>
      <c r="J49" s="10">
        <f>E49+I49</f>
        <v>0</v>
      </c>
      <c r="K49" s="56"/>
      <c r="L49" s="23" t="s">
        <v>108</v>
      </c>
      <c r="M49" s="7"/>
      <c r="N49" s="8"/>
      <c r="O49" s="46">
        <v>1</v>
      </c>
      <c r="P49" s="10">
        <f>SUM(M49:O49)</f>
        <v>1</v>
      </c>
      <c r="Q49" s="11"/>
      <c r="R49" s="8"/>
      <c r="S49" s="9">
        <v>1</v>
      </c>
      <c r="T49" s="10">
        <f>SUM(Q49:S49)</f>
        <v>1</v>
      </c>
      <c r="U49" s="10">
        <f>P49+T49</f>
        <v>2</v>
      </c>
      <c r="V49" s="56">
        <v>44950</v>
      </c>
    </row>
    <row r="50" spans="1:22" x14ac:dyDescent="0.15">
      <c r="A50" s="23" t="s">
        <v>102</v>
      </c>
      <c r="B50" s="16">
        <v>4</v>
      </c>
      <c r="C50" s="17"/>
      <c r="D50" s="45">
        <v>5</v>
      </c>
      <c r="E50" s="10">
        <f t="shared" ref="E50:E55" si="26">SUM(B50:D50)</f>
        <v>9</v>
      </c>
      <c r="F50" s="19">
        <v>4</v>
      </c>
      <c r="G50" s="17"/>
      <c r="H50" s="18">
        <v>5</v>
      </c>
      <c r="I50" s="10">
        <f t="shared" ref="I50:I55" si="27">SUM(F50:H50)</f>
        <v>9</v>
      </c>
      <c r="J50" s="10">
        <f t="shared" ref="J50:J55" si="28">E50+I50</f>
        <v>18</v>
      </c>
      <c r="K50" s="56">
        <v>44951</v>
      </c>
      <c r="L50" s="23" t="s">
        <v>9</v>
      </c>
      <c r="M50" s="7">
        <v>4</v>
      </c>
      <c r="N50" s="8"/>
      <c r="O50" s="9">
        <v>2</v>
      </c>
      <c r="P50" s="43">
        <f t="shared" ref="P50" si="29">SUM(M50:O50)</f>
        <v>6</v>
      </c>
      <c r="Q50" s="11">
        <v>4</v>
      </c>
      <c r="R50" s="8"/>
      <c r="S50" s="9">
        <v>2</v>
      </c>
      <c r="T50" s="43">
        <f t="shared" ref="T50" si="30">SUM(Q50:S50)</f>
        <v>6</v>
      </c>
      <c r="U50" s="10">
        <f t="shared" ref="U50" si="31">P50+T50</f>
        <v>12</v>
      </c>
      <c r="V50" s="56">
        <v>44961</v>
      </c>
    </row>
    <row r="51" spans="1:22" x14ac:dyDescent="0.15">
      <c r="A51" s="23" t="s">
        <v>77</v>
      </c>
      <c r="B51" s="7"/>
      <c r="C51" s="8">
        <v>1</v>
      </c>
      <c r="D51" s="46"/>
      <c r="E51" s="10">
        <f t="shared" si="26"/>
        <v>1</v>
      </c>
      <c r="F51" s="11"/>
      <c r="G51" s="8">
        <v>1</v>
      </c>
      <c r="H51" s="9"/>
      <c r="I51" s="10">
        <f t="shared" si="27"/>
        <v>1</v>
      </c>
      <c r="J51" s="10">
        <f t="shared" si="28"/>
        <v>2</v>
      </c>
      <c r="K51" s="56">
        <v>44951</v>
      </c>
      <c r="L51" s="23" t="s">
        <v>10</v>
      </c>
      <c r="M51" s="7"/>
      <c r="N51" s="8"/>
      <c r="O51" s="46"/>
      <c r="P51" s="10">
        <f t="shared" ref="P51:P52" si="32">SUM(M51:O51)</f>
        <v>0</v>
      </c>
      <c r="Q51" s="11"/>
      <c r="R51" s="8"/>
      <c r="S51" s="9"/>
      <c r="T51" s="10">
        <f t="shared" ref="T51:T52" si="33">SUM(Q51:S51)</f>
        <v>0</v>
      </c>
      <c r="U51" s="10">
        <f t="shared" ref="U51:U52" si="34">P51+T51</f>
        <v>0</v>
      </c>
    </row>
    <row r="52" spans="1:22" x14ac:dyDescent="0.15">
      <c r="A52" s="23" t="s">
        <v>77</v>
      </c>
      <c r="B52" s="7"/>
      <c r="C52" s="8">
        <v>2</v>
      </c>
      <c r="D52" s="46">
        <v>2</v>
      </c>
      <c r="E52" s="10">
        <f t="shared" si="26"/>
        <v>4</v>
      </c>
      <c r="F52" s="11"/>
      <c r="G52" s="8">
        <v>2</v>
      </c>
      <c r="H52" s="9">
        <v>2</v>
      </c>
      <c r="I52" s="10">
        <f t="shared" si="27"/>
        <v>4</v>
      </c>
      <c r="J52" s="10">
        <f t="shared" si="28"/>
        <v>8</v>
      </c>
      <c r="K52" s="56">
        <v>44994</v>
      </c>
      <c r="L52" s="23" t="s">
        <v>11</v>
      </c>
      <c r="M52" s="7"/>
      <c r="N52" s="8"/>
      <c r="O52" s="46"/>
      <c r="P52" s="10">
        <f t="shared" si="32"/>
        <v>0</v>
      </c>
      <c r="Q52" s="11"/>
      <c r="R52" s="8"/>
      <c r="S52" s="9"/>
      <c r="T52" s="10">
        <f t="shared" si="33"/>
        <v>0</v>
      </c>
      <c r="U52" s="10">
        <f t="shared" si="34"/>
        <v>0</v>
      </c>
    </row>
    <row r="53" spans="1:22" x14ac:dyDescent="0.15">
      <c r="A53" s="23" t="s">
        <v>77</v>
      </c>
      <c r="B53" s="7"/>
      <c r="C53" s="8"/>
      <c r="D53" s="46">
        <v>1</v>
      </c>
      <c r="E53" s="10">
        <f t="shared" si="26"/>
        <v>1</v>
      </c>
      <c r="F53" s="11"/>
      <c r="G53" s="8"/>
      <c r="H53" s="9">
        <v>1</v>
      </c>
      <c r="I53" s="10">
        <f t="shared" si="27"/>
        <v>1</v>
      </c>
      <c r="J53" s="10">
        <f t="shared" si="28"/>
        <v>2</v>
      </c>
      <c r="K53" s="56">
        <v>45012</v>
      </c>
      <c r="L53" s="23" t="s">
        <v>12</v>
      </c>
      <c r="M53" s="16"/>
      <c r="N53" s="17"/>
      <c r="O53" s="45"/>
      <c r="P53" s="43">
        <f>SUM(M53:O53)</f>
        <v>0</v>
      </c>
      <c r="Q53" s="19"/>
      <c r="R53" s="17"/>
      <c r="S53" s="18"/>
      <c r="T53" s="43">
        <f>SUM(Q53:S53)</f>
        <v>0</v>
      </c>
      <c r="U53" s="43">
        <f>P53+T53</f>
        <v>0</v>
      </c>
      <c r="V53" s="56"/>
    </row>
    <row r="54" spans="1:22" x14ac:dyDescent="0.15">
      <c r="A54" s="23" t="s">
        <v>20</v>
      </c>
      <c r="B54" s="12"/>
      <c r="C54" s="13"/>
      <c r="D54" s="47"/>
      <c r="E54" s="10">
        <f t="shared" si="26"/>
        <v>0</v>
      </c>
      <c r="F54" s="15"/>
      <c r="G54" s="13"/>
      <c r="H54" s="14"/>
      <c r="I54" s="10">
        <f t="shared" si="27"/>
        <v>0</v>
      </c>
      <c r="J54" s="10">
        <f t="shared" si="28"/>
        <v>0</v>
      </c>
      <c r="K54" s="56"/>
      <c r="L54" s="23" t="s">
        <v>13</v>
      </c>
      <c r="M54" s="12"/>
      <c r="N54" s="13"/>
      <c r="O54" s="47"/>
      <c r="P54" s="10">
        <f t="shared" ref="P54:P55" si="35">SUM(M54:O54)</f>
        <v>0</v>
      </c>
      <c r="Q54" s="15"/>
      <c r="R54" s="13"/>
      <c r="S54" s="14"/>
      <c r="T54" s="10">
        <f t="shared" ref="T54:T55" si="36">SUM(Q54:S54)</f>
        <v>0</v>
      </c>
      <c r="U54" s="10">
        <f t="shared" ref="U54:U55" si="37">P54+T54</f>
        <v>0</v>
      </c>
    </row>
    <row r="55" spans="1:22" ht="14.25" thickBot="1" x14ac:dyDescent="0.2">
      <c r="A55" s="23" t="s">
        <v>20</v>
      </c>
      <c r="B55" s="29"/>
      <c r="C55" s="30"/>
      <c r="D55" s="48"/>
      <c r="E55" s="55">
        <f t="shared" si="26"/>
        <v>0</v>
      </c>
      <c r="F55" s="31"/>
      <c r="G55" s="31"/>
      <c r="H55" s="33"/>
      <c r="I55" s="55">
        <f t="shared" si="27"/>
        <v>0</v>
      </c>
      <c r="J55" s="20">
        <f t="shared" si="28"/>
        <v>0</v>
      </c>
      <c r="K55" s="56"/>
      <c r="L55" s="23" t="s">
        <v>14</v>
      </c>
      <c r="M55" s="29"/>
      <c r="N55" s="30"/>
      <c r="O55" s="48"/>
      <c r="P55" s="55">
        <f t="shared" si="35"/>
        <v>0</v>
      </c>
      <c r="Q55" s="31"/>
      <c r="R55" s="31"/>
      <c r="S55" s="33"/>
      <c r="T55" s="55">
        <f t="shared" si="36"/>
        <v>0</v>
      </c>
      <c r="U55" s="20">
        <f t="shared" si="37"/>
        <v>0</v>
      </c>
    </row>
    <row r="56" spans="1:22" ht="14.25" thickBot="1" x14ac:dyDescent="0.2">
      <c r="A56" s="32" t="s">
        <v>15</v>
      </c>
      <c r="B56" s="25">
        <f>SUM(B47:B55)</f>
        <v>10</v>
      </c>
      <c r="C56" s="26">
        <f>SUM(C47:C55)</f>
        <v>9</v>
      </c>
      <c r="D56" s="27">
        <f>SUM(D47:D55)</f>
        <v>12</v>
      </c>
      <c r="E56" s="28">
        <f>SUM(B56:D56)</f>
        <v>31</v>
      </c>
      <c r="F56" s="25">
        <f>SUM(F47:F55)</f>
        <v>10</v>
      </c>
      <c r="G56" s="26">
        <f>SUM(G47:G55)</f>
        <v>9</v>
      </c>
      <c r="H56" s="27">
        <f>SUM(H47:H55)</f>
        <v>12</v>
      </c>
      <c r="I56" s="28">
        <f>SUM(F56:H56)</f>
        <v>31</v>
      </c>
      <c r="J56" s="28">
        <f>E56+I56</f>
        <v>62</v>
      </c>
      <c r="L56" s="32" t="s">
        <v>15</v>
      </c>
      <c r="M56" s="25">
        <f>SUM(M47:M55)</f>
        <v>76</v>
      </c>
      <c r="N56" s="26">
        <f>SUM(N47:N55)</f>
        <v>84</v>
      </c>
      <c r="O56" s="27">
        <f>SUM(O47:O55)</f>
        <v>41</v>
      </c>
      <c r="P56" s="28">
        <f>SUM(M56:O56)</f>
        <v>201</v>
      </c>
      <c r="Q56" s="25">
        <f>SUM(Q47:Q55)</f>
        <v>76</v>
      </c>
      <c r="R56" s="26">
        <f>SUM(R47:R55)</f>
        <v>84</v>
      </c>
      <c r="S56" s="27">
        <f>SUM(S47:S55)</f>
        <v>41</v>
      </c>
      <c r="T56" s="28">
        <f>SUM(Q56:S56)</f>
        <v>201</v>
      </c>
      <c r="U56" s="28">
        <f>P56+T56</f>
        <v>402</v>
      </c>
    </row>
    <row r="57" spans="1:22" x14ac:dyDescent="0.15">
      <c r="A57" s="22" t="s">
        <v>97</v>
      </c>
      <c r="B57" s="12">
        <v>2</v>
      </c>
      <c r="C57" s="13">
        <v>1</v>
      </c>
      <c r="D57" s="14">
        <v>4</v>
      </c>
      <c r="E57" s="43">
        <f>SUM(B57:D57)</f>
        <v>7</v>
      </c>
      <c r="F57" s="15">
        <v>2</v>
      </c>
      <c r="G57" s="13">
        <v>1</v>
      </c>
      <c r="H57" s="14">
        <v>4</v>
      </c>
      <c r="I57" s="43">
        <f>SUM(F57:H57)</f>
        <v>7</v>
      </c>
      <c r="J57" s="10">
        <f>E57+I57</f>
        <v>14</v>
      </c>
      <c r="K57" s="56">
        <v>44947</v>
      </c>
      <c r="L57" s="22" t="s">
        <v>80</v>
      </c>
      <c r="M57" s="12"/>
      <c r="N57" s="13">
        <v>3</v>
      </c>
      <c r="O57" s="14">
        <v>2</v>
      </c>
      <c r="P57" s="43">
        <f>SUM(M57:O57)</f>
        <v>5</v>
      </c>
      <c r="Q57" s="15"/>
      <c r="R57" s="13">
        <v>3</v>
      </c>
      <c r="S57" s="14">
        <v>2</v>
      </c>
      <c r="T57" s="43">
        <f>SUM(Q57:S57)</f>
        <v>5</v>
      </c>
      <c r="U57" s="10">
        <f>P57+T57</f>
        <v>10</v>
      </c>
      <c r="V57" s="56">
        <v>44932</v>
      </c>
    </row>
    <row r="58" spans="1:22" x14ac:dyDescent="0.15">
      <c r="A58" s="22" t="s">
        <v>107</v>
      </c>
      <c r="B58" s="7"/>
      <c r="C58" s="8">
        <v>2</v>
      </c>
      <c r="D58" s="9"/>
      <c r="E58" s="43">
        <f t="shared" ref="E58:E79" si="38">SUM(B58:D58)</f>
        <v>2</v>
      </c>
      <c r="F58" s="11"/>
      <c r="G58" s="8">
        <v>2</v>
      </c>
      <c r="H58" s="9"/>
      <c r="I58" s="43">
        <f t="shared" ref="I58:I79" si="39">SUM(F58:H58)</f>
        <v>2</v>
      </c>
      <c r="J58" s="10">
        <f t="shared" ref="J58:J79" si="40">E58+I58</f>
        <v>4</v>
      </c>
      <c r="K58" s="56">
        <v>44959</v>
      </c>
      <c r="L58" s="22" t="s">
        <v>87</v>
      </c>
      <c r="M58" s="7"/>
      <c r="N58" s="8"/>
      <c r="O58" s="9">
        <v>1</v>
      </c>
      <c r="P58" s="43">
        <f t="shared" ref="P58:P83" si="41">SUM(M58:O58)</f>
        <v>1</v>
      </c>
      <c r="Q58" s="11"/>
      <c r="R58" s="8"/>
      <c r="S58" s="9">
        <v>1</v>
      </c>
      <c r="T58" s="43">
        <f t="shared" ref="T58:T83" si="42">SUM(Q58:S58)</f>
        <v>1</v>
      </c>
      <c r="U58" s="10">
        <f t="shared" ref="U58:U82" si="43">P58+T58</f>
        <v>2</v>
      </c>
      <c r="V58" s="56">
        <v>44943</v>
      </c>
    </row>
    <row r="59" spans="1:22" x14ac:dyDescent="0.15">
      <c r="A59" s="22" t="s">
        <v>97</v>
      </c>
      <c r="B59" s="7">
        <v>4</v>
      </c>
      <c r="C59" s="8"/>
      <c r="D59" s="9">
        <v>2</v>
      </c>
      <c r="E59" s="43">
        <f t="shared" si="38"/>
        <v>6</v>
      </c>
      <c r="F59" s="11">
        <v>4</v>
      </c>
      <c r="G59" s="8"/>
      <c r="H59" s="9">
        <v>2</v>
      </c>
      <c r="I59" s="43">
        <f t="shared" si="39"/>
        <v>6</v>
      </c>
      <c r="J59" s="10">
        <f t="shared" si="40"/>
        <v>12</v>
      </c>
      <c r="K59" s="56">
        <v>44961</v>
      </c>
      <c r="L59" s="78" t="s">
        <v>88</v>
      </c>
      <c r="M59" s="7">
        <v>4</v>
      </c>
      <c r="N59" s="8"/>
      <c r="O59" s="9">
        <v>1</v>
      </c>
      <c r="P59" s="43">
        <f t="shared" si="41"/>
        <v>5</v>
      </c>
      <c r="Q59" s="11">
        <v>4</v>
      </c>
      <c r="R59" s="8"/>
      <c r="S59" s="9">
        <v>1</v>
      </c>
      <c r="T59" s="43">
        <f t="shared" si="42"/>
        <v>5</v>
      </c>
      <c r="U59" s="10">
        <f t="shared" si="43"/>
        <v>10</v>
      </c>
      <c r="V59" s="56">
        <v>44943</v>
      </c>
    </row>
    <row r="60" spans="1:22" x14ac:dyDescent="0.15">
      <c r="A60" s="22" t="s">
        <v>111</v>
      </c>
      <c r="B60" s="7">
        <v>1</v>
      </c>
      <c r="C60" s="8">
        <v>2</v>
      </c>
      <c r="D60" s="9"/>
      <c r="E60" s="43">
        <f t="shared" si="38"/>
        <v>3</v>
      </c>
      <c r="F60" s="11">
        <v>1</v>
      </c>
      <c r="G60" s="8">
        <v>2</v>
      </c>
      <c r="H60" s="9"/>
      <c r="I60" s="43">
        <f t="shared" si="39"/>
        <v>3</v>
      </c>
      <c r="J60" s="10">
        <f t="shared" si="40"/>
        <v>6</v>
      </c>
      <c r="K60" s="56">
        <v>44965</v>
      </c>
      <c r="L60" s="78" t="s">
        <v>90</v>
      </c>
      <c r="M60" s="7"/>
      <c r="N60" s="8"/>
      <c r="O60" s="9">
        <v>5</v>
      </c>
      <c r="P60" s="43">
        <f t="shared" si="41"/>
        <v>5</v>
      </c>
      <c r="Q60" s="11"/>
      <c r="R60" s="8"/>
      <c r="S60" s="9">
        <v>5</v>
      </c>
      <c r="T60" s="43">
        <f t="shared" si="42"/>
        <v>5</v>
      </c>
      <c r="U60" s="10">
        <f t="shared" si="43"/>
        <v>10</v>
      </c>
      <c r="V60" s="56">
        <v>44944</v>
      </c>
    </row>
    <row r="61" spans="1:22" x14ac:dyDescent="0.15">
      <c r="A61" s="22" t="s">
        <v>132</v>
      </c>
      <c r="B61" s="7"/>
      <c r="C61" s="8"/>
      <c r="D61" s="9">
        <v>3</v>
      </c>
      <c r="E61" s="43">
        <f t="shared" si="38"/>
        <v>3</v>
      </c>
      <c r="F61" s="11"/>
      <c r="G61" s="8"/>
      <c r="H61" s="9">
        <v>3</v>
      </c>
      <c r="I61" s="43">
        <f t="shared" si="39"/>
        <v>3</v>
      </c>
      <c r="J61" s="10">
        <f t="shared" si="40"/>
        <v>6</v>
      </c>
      <c r="K61" s="56">
        <v>44987</v>
      </c>
      <c r="L61" s="22" t="s">
        <v>91</v>
      </c>
      <c r="M61" s="7"/>
      <c r="N61" s="8"/>
      <c r="O61" s="9">
        <v>1</v>
      </c>
      <c r="P61" s="43">
        <f t="shared" si="41"/>
        <v>1</v>
      </c>
      <c r="Q61" s="11"/>
      <c r="R61" s="8"/>
      <c r="S61" s="9">
        <v>1</v>
      </c>
      <c r="T61" s="43">
        <f t="shared" si="42"/>
        <v>1</v>
      </c>
      <c r="U61" s="10">
        <f t="shared" si="43"/>
        <v>2</v>
      </c>
      <c r="V61" s="56">
        <v>44945</v>
      </c>
    </row>
    <row r="62" spans="1:22" x14ac:dyDescent="0.15">
      <c r="A62" s="22" t="s">
        <v>136</v>
      </c>
      <c r="B62" s="7"/>
      <c r="C62" s="8">
        <v>1</v>
      </c>
      <c r="D62" s="9"/>
      <c r="E62" s="43">
        <f t="shared" si="38"/>
        <v>1</v>
      </c>
      <c r="F62" s="11"/>
      <c r="G62" s="8">
        <v>1</v>
      </c>
      <c r="H62" s="9"/>
      <c r="I62" s="43">
        <f t="shared" si="39"/>
        <v>1</v>
      </c>
      <c r="J62" s="10">
        <f t="shared" si="40"/>
        <v>2</v>
      </c>
      <c r="K62" s="56">
        <v>44991</v>
      </c>
      <c r="L62" s="22" t="s">
        <v>92</v>
      </c>
      <c r="M62" s="7"/>
      <c r="N62" s="8">
        <v>1</v>
      </c>
      <c r="O62" s="9">
        <v>1</v>
      </c>
      <c r="P62" s="43">
        <f t="shared" si="41"/>
        <v>2</v>
      </c>
      <c r="Q62" s="11"/>
      <c r="R62" s="8">
        <v>1</v>
      </c>
      <c r="S62" s="9">
        <v>1</v>
      </c>
      <c r="T62" s="43">
        <f t="shared" si="42"/>
        <v>2</v>
      </c>
      <c r="U62" s="10">
        <f t="shared" si="43"/>
        <v>4</v>
      </c>
      <c r="V62" s="56">
        <v>44946</v>
      </c>
    </row>
    <row r="63" spans="1:22" x14ac:dyDescent="0.15">
      <c r="A63" s="22" t="s">
        <v>139</v>
      </c>
      <c r="B63" s="7"/>
      <c r="C63" s="8">
        <v>1</v>
      </c>
      <c r="D63" s="9"/>
      <c r="E63" s="43">
        <f t="shared" si="38"/>
        <v>1</v>
      </c>
      <c r="F63" s="11"/>
      <c r="G63" s="8">
        <v>1</v>
      </c>
      <c r="H63" s="9"/>
      <c r="I63" s="43">
        <f t="shared" si="39"/>
        <v>1</v>
      </c>
      <c r="J63" s="10">
        <f t="shared" si="40"/>
        <v>2</v>
      </c>
      <c r="K63" s="56">
        <v>44998</v>
      </c>
      <c r="L63" s="22" t="s">
        <v>94</v>
      </c>
      <c r="M63" s="7"/>
      <c r="N63" s="8"/>
      <c r="O63" s="9">
        <v>1</v>
      </c>
      <c r="P63" s="43">
        <f t="shared" si="41"/>
        <v>1</v>
      </c>
      <c r="Q63" s="11"/>
      <c r="R63" s="8"/>
      <c r="S63" s="9">
        <v>1</v>
      </c>
      <c r="T63" s="43">
        <f t="shared" si="42"/>
        <v>1</v>
      </c>
      <c r="U63" s="10">
        <f t="shared" si="43"/>
        <v>2</v>
      </c>
      <c r="V63" s="56">
        <v>44949</v>
      </c>
    </row>
    <row r="64" spans="1:22" x14ac:dyDescent="0.15">
      <c r="A64" s="22" t="s">
        <v>145</v>
      </c>
      <c r="B64" s="7">
        <v>1</v>
      </c>
      <c r="C64" s="8"/>
      <c r="D64" s="9"/>
      <c r="E64" s="43">
        <f t="shared" si="38"/>
        <v>1</v>
      </c>
      <c r="F64" s="11">
        <v>1</v>
      </c>
      <c r="G64" s="8"/>
      <c r="H64" s="9"/>
      <c r="I64" s="43">
        <f t="shared" si="39"/>
        <v>1</v>
      </c>
      <c r="J64" s="10">
        <f t="shared" si="40"/>
        <v>2</v>
      </c>
      <c r="K64" s="56">
        <v>45014</v>
      </c>
      <c r="L64" s="79" t="s">
        <v>95</v>
      </c>
      <c r="M64" s="7">
        <v>4</v>
      </c>
      <c r="N64" s="8">
        <v>5</v>
      </c>
      <c r="O64" s="9">
        <v>5</v>
      </c>
      <c r="P64" s="43">
        <f t="shared" si="41"/>
        <v>14</v>
      </c>
      <c r="Q64" s="11">
        <v>4</v>
      </c>
      <c r="R64" s="8">
        <v>5</v>
      </c>
      <c r="S64" s="9">
        <v>5</v>
      </c>
      <c r="T64" s="43">
        <f t="shared" si="42"/>
        <v>14</v>
      </c>
      <c r="U64" s="10">
        <f t="shared" si="43"/>
        <v>28</v>
      </c>
      <c r="V64" s="56">
        <v>44946</v>
      </c>
    </row>
    <row r="65" spans="1:23" x14ac:dyDescent="0.15">
      <c r="A65" s="22"/>
      <c r="B65" s="7"/>
      <c r="C65" s="8"/>
      <c r="D65" s="9"/>
      <c r="E65" s="43">
        <f t="shared" si="38"/>
        <v>0</v>
      </c>
      <c r="F65" s="11"/>
      <c r="G65" s="8"/>
      <c r="H65" s="9"/>
      <c r="I65" s="43">
        <f t="shared" si="39"/>
        <v>0</v>
      </c>
      <c r="J65" s="10">
        <f t="shared" si="40"/>
        <v>0</v>
      </c>
      <c r="K65" s="56"/>
      <c r="L65" s="22" t="s">
        <v>99</v>
      </c>
      <c r="M65" s="12"/>
      <c r="N65" s="13"/>
      <c r="O65" s="14">
        <v>1</v>
      </c>
      <c r="P65" s="43">
        <f>SUM(M65:O65)</f>
        <v>1</v>
      </c>
      <c r="Q65" s="15"/>
      <c r="R65" s="13"/>
      <c r="S65" s="14">
        <v>1</v>
      </c>
      <c r="T65" s="43">
        <f>SUM(Q65:S65)</f>
        <v>1</v>
      </c>
      <c r="U65" s="10">
        <f>P65+T65</f>
        <v>2</v>
      </c>
      <c r="V65" s="56">
        <v>44951</v>
      </c>
    </row>
    <row r="66" spans="1:23" x14ac:dyDescent="0.15">
      <c r="A66" s="22"/>
      <c r="B66" s="12"/>
      <c r="C66" s="13"/>
      <c r="D66" s="14"/>
      <c r="E66" s="43">
        <f t="shared" si="38"/>
        <v>0</v>
      </c>
      <c r="F66" s="15"/>
      <c r="G66" s="13"/>
      <c r="H66" s="14"/>
      <c r="I66" s="43">
        <f t="shared" si="39"/>
        <v>0</v>
      </c>
      <c r="J66" s="10">
        <f t="shared" si="40"/>
        <v>0</v>
      </c>
      <c r="K66" s="56"/>
      <c r="L66" s="22" t="s">
        <v>105</v>
      </c>
      <c r="M66" s="12"/>
      <c r="N66" s="13"/>
      <c r="O66" s="14">
        <v>1</v>
      </c>
      <c r="P66" s="43">
        <f t="shared" si="41"/>
        <v>1</v>
      </c>
      <c r="Q66" s="15"/>
      <c r="R66" s="13"/>
      <c r="S66" s="14">
        <v>1</v>
      </c>
      <c r="T66" s="43">
        <f t="shared" si="42"/>
        <v>1</v>
      </c>
      <c r="U66" s="10">
        <f t="shared" si="43"/>
        <v>2</v>
      </c>
      <c r="V66" s="56">
        <v>44958</v>
      </c>
    </row>
    <row r="67" spans="1:23" x14ac:dyDescent="0.15">
      <c r="A67" s="22"/>
      <c r="B67" s="7"/>
      <c r="C67" s="8"/>
      <c r="D67" s="9"/>
      <c r="E67" s="43">
        <f t="shared" si="38"/>
        <v>0</v>
      </c>
      <c r="F67" s="11"/>
      <c r="G67" s="8"/>
      <c r="H67" s="9"/>
      <c r="I67" s="43">
        <f t="shared" si="39"/>
        <v>0</v>
      </c>
      <c r="J67" s="10">
        <f t="shared" si="40"/>
        <v>0</v>
      </c>
      <c r="K67" s="56"/>
      <c r="L67" s="22" t="s">
        <v>113</v>
      </c>
      <c r="M67" s="7"/>
      <c r="N67" s="8">
        <v>6</v>
      </c>
      <c r="O67" s="9"/>
      <c r="P67" s="43">
        <f t="shared" si="41"/>
        <v>6</v>
      </c>
      <c r="Q67" s="11"/>
      <c r="R67" s="8">
        <v>6</v>
      </c>
      <c r="S67" s="9"/>
      <c r="T67" s="43">
        <f t="shared" si="42"/>
        <v>6</v>
      </c>
      <c r="U67" s="10">
        <f t="shared" si="43"/>
        <v>12</v>
      </c>
      <c r="V67" s="56">
        <v>44966</v>
      </c>
      <c r="W67" s="61"/>
    </row>
    <row r="68" spans="1:23" x14ac:dyDescent="0.15">
      <c r="A68" s="22"/>
      <c r="B68" s="7"/>
      <c r="C68" s="8"/>
      <c r="D68" s="9"/>
      <c r="E68" s="43">
        <f t="shared" si="38"/>
        <v>0</v>
      </c>
      <c r="F68" s="11"/>
      <c r="G68" s="8"/>
      <c r="H68" s="9"/>
      <c r="I68" s="43">
        <f t="shared" si="39"/>
        <v>0</v>
      </c>
      <c r="J68" s="10">
        <f t="shared" si="40"/>
        <v>0</v>
      </c>
      <c r="K68" s="56"/>
      <c r="L68" s="22" t="s">
        <v>115</v>
      </c>
      <c r="M68" s="7">
        <v>5</v>
      </c>
      <c r="N68" s="8">
        <v>5</v>
      </c>
      <c r="O68" s="9">
        <v>1</v>
      </c>
      <c r="P68" s="43">
        <f t="shared" si="41"/>
        <v>11</v>
      </c>
      <c r="Q68" s="11">
        <v>5</v>
      </c>
      <c r="R68" s="8">
        <v>5</v>
      </c>
      <c r="S68" s="9">
        <v>1</v>
      </c>
      <c r="T68" s="43">
        <f t="shared" si="42"/>
        <v>11</v>
      </c>
      <c r="U68" s="10">
        <f t="shared" si="43"/>
        <v>22</v>
      </c>
      <c r="V68" s="56">
        <v>44967</v>
      </c>
      <c r="W68" s="61"/>
    </row>
    <row r="69" spans="1:23" x14ac:dyDescent="0.15">
      <c r="A69" s="22"/>
      <c r="B69" s="7"/>
      <c r="C69" s="8"/>
      <c r="D69" s="9"/>
      <c r="E69" s="43">
        <f t="shared" si="38"/>
        <v>0</v>
      </c>
      <c r="F69" s="11"/>
      <c r="G69" s="8"/>
      <c r="H69" s="9"/>
      <c r="I69" s="43">
        <f t="shared" si="39"/>
        <v>0</v>
      </c>
      <c r="J69" s="10">
        <f t="shared" si="40"/>
        <v>0</v>
      </c>
      <c r="K69" s="56"/>
      <c r="L69" s="22" t="s">
        <v>117</v>
      </c>
      <c r="M69" s="7">
        <v>2</v>
      </c>
      <c r="N69" s="8">
        <v>5</v>
      </c>
      <c r="O69" s="9">
        <v>1</v>
      </c>
      <c r="P69" s="43">
        <f t="shared" si="41"/>
        <v>8</v>
      </c>
      <c r="Q69" s="11">
        <v>2</v>
      </c>
      <c r="R69" s="8">
        <v>5</v>
      </c>
      <c r="S69" s="9">
        <v>1</v>
      </c>
      <c r="T69" s="43">
        <f t="shared" si="42"/>
        <v>8</v>
      </c>
      <c r="U69" s="10">
        <f t="shared" si="43"/>
        <v>16</v>
      </c>
      <c r="V69" s="56">
        <v>44970</v>
      </c>
      <c r="W69" s="61"/>
    </row>
    <row r="70" spans="1:23" x14ac:dyDescent="0.15">
      <c r="A70" s="22"/>
      <c r="B70" s="7"/>
      <c r="C70" s="8"/>
      <c r="D70" s="9"/>
      <c r="E70" s="43">
        <f t="shared" si="38"/>
        <v>0</v>
      </c>
      <c r="F70" s="11"/>
      <c r="G70" s="8"/>
      <c r="H70" s="9"/>
      <c r="I70" s="43">
        <f t="shared" si="39"/>
        <v>0</v>
      </c>
      <c r="J70" s="10">
        <f t="shared" si="40"/>
        <v>0</v>
      </c>
      <c r="K70" s="56"/>
      <c r="L70" s="22" t="s">
        <v>119</v>
      </c>
      <c r="M70" s="7">
        <v>3</v>
      </c>
      <c r="N70" s="8">
        <v>6</v>
      </c>
      <c r="O70" s="9"/>
      <c r="P70" s="43">
        <f t="shared" si="41"/>
        <v>9</v>
      </c>
      <c r="Q70" s="11">
        <v>3</v>
      </c>
      <c r="R70" s="8">
        <v>6</v>
      </c>
      <c r="S70" s="9"/>
      <c r="T70" s="43">
        <f t="shared" si="42"/>
        <v>9</v>
      </c>
      <c r="U70" s="10">
        <f t="shared" si="43"/>
        <v>18</v>
      </c>
      <c r="V70" s="56">
        <v>44971</v>
      </c>
      <c r="W70" s="61"/>
    </row>
    <row r="71" spans="1:23" x14ac:dyDescent="0.15">
      <c r="A71" s="22"/>
      <c r="B71" s="7"/>
      <c r="C71" s="8"/>
      <c r="D71" s="9"/>
      <c r="E71" s="43">
        <f t="shared" si="38"/>
        <v>0</v>
      </c>
      <c r="F71" s="11"/>
      <c r="G71" s="8"/>
      <c r="H71" s="9"/>
      <c r="I71" s="43">
        <f t="shared" si="39"/>
        <v>0</v>
      </c>
      <c r="J71" s="10">
        <f t="shared" si="40"/>
        <v>0</v>
      </c>
      <c r="K71" s="56"/>
      <c r="L71" s="22" t="s">
        <v>121</v>
      </c>
      <c r="M71" s="7"/>
      <c r="N71" s="8"/>
      <c r="O71" s="9">
        <v>6</v>
      </c>
      <c r="P71" s="43">
        <f t="shared" si="41"/>
        <v>6</v>
      </c>
      <c r="Q71" s="11"/>
      <c r="R71" s="8"/>
      <c r="S71" s="9">
        <v>6</v>
      </c>
      <c r="T71" s="43">
        <f t="shared" si="42"/>
        <v>6</v>
      </c>
      <c r="U71" s="10">
        <f t="shared" si="43"/>
        <v>12</v>
      </c>
      <c r="V71" s="56">
        <v>44972</v>
      </c>
    </row>
    <row r="72" spans="1:23" x14ac:dyDescent="0.15">
      <c r="A72" s="22"/>
      <c r="B72" s="7"/>
      <c r="C72" s="8"/>
      <c r="D72" s="9"/>
      <c r="E72" s="43">
        <f t="shared" si="38"/>
        <v>0</v>
      </c>
      <c r="F72" s="11"/>
      <c r="G72" s="8"/>
      <c r="H72" s="9"/>
      <c r="I72" s="43">
        <f t="shared" si="39"/>
        <v>0</v>
      </c>
      <c r="J72" s="10">
        <f t="shared" si="40"/>
        <v>0</v>
      </c>
      <c r="K72" s="56"/>
      <c r="L72" s="22" t="s">
        <v>124</v>
      </c>
      <c r="M72" s="7">
        <v>2</v>
      </c>
      <c r="N72" s="8"/>
      <c r="O72" s="9">
        <v>1</v>
      </c>
      <c r="P72" s="43">
        <f t="shared" si="41"/>
        <v>3</v>
      </c>
      <c r="Q72" s="11">
        <v>2</v>
      </c>
      <c r="R72" s="8"/>
      <c r="S72" s="9">
        <v>1</v>
      </c>
      <c r="T72" s="43">
        <f t="shared" si="42"/>
        <v>3</v>
      </c>
      <c r="U72" s="10">
        <f t="shared" si="43"/>
        <v>6</v>
      </c>
      <c r="V72" s="56">
        <v>44974</v>
      </c>
      <c r="W72" s="61"/>
    </row>
    <row r="73" spans="1:23" x14ac:dyDescent="0.15">
      <c r="A73" s="24"/>
      <c r="B73" s="7"/>
      <c r="C73" s="8"/>
      <c r="D73" s="9"/>
      <c r="E73" s="43">
        <f t="shared" si="38"/>
        <v>0</v>
      </c>
      <c r="F73" s="11"/>
      <c r="G73" s="8"/>
      <c r="H73" s="9"/>
      <c r="I73" s="43">
        <f t="shared" si="39"/>
        <v>0</v>
      </c>
      <c r="J73" s="10">
        <f t="shared" si="40"/>
        <v>0</v>
      </c>
      <c r="K73" s="56"/>
      <c r="L73" s="22" t="s">
        <v>127</v>
      </c>
      <c r="M73" s="7">
        <v>2</v>
      </c>
      <c r="N73" s="8"/>
      <c r="O73" s="9">
        <v>2</v>
      </c>
      <c r="P73" s="43">
        <f t="shared" si="41"/>
        <v>4</v>
      </c>
      <c r="Q73" s="11">
        <v>2</v>
      </c>
      <c r="R73" s="8"/>
      <c r="S73" s="9">
        <v>2</v>
      </c>
      <c r="T73" s="43">
        <f t="shared" si="42"/>
        <v>4</v>
      </c>
      <c r="U73" s="10">
        <f t="shared" si="43"/>
        <v>8</v>
      </c>
      <c r="V73" s="56">
        <v>44978</v>
      </c>
    </row>
    <row r="74" spans="1:23" x14ac:dyDescent="0.15">
      <c r="A74" s="22"/>
      <c r="B74" s="7"/>
      <c r="C74" s="8"/>
      <c r="D74" s="9"/>
      <c r="E74" s="43">
        <f t="shared" si="38"/>
        <v>0</v>
      </c>
      <c r="F74" s="11"/>
      <c r="G74" s="8"/>
      <c r="H74" s="9"/>
      <c r="I74" s="43">
        <f t="shared" si="39"/>
        <v>0</v>
      </c>
      <c r="J74" s="10">
        <f t="shared" si="40"/>
        <v>0</v>
      </c>
      <c r="K74" s="56"/>
      <c r="L74" s="22" t="s">
        <v>129</v>
      </c>
      <c r="M74" s="7"/>
      <c r="N74" s="8">
        <v>7</v>
      </c>
      <c r="O74" s="9">
        <v>6</v>
      </c>
      <c r="P74" s="43">
        <f t="shared" si="41"/>
        <v>13</v>
      </c>
      <c r="Q74" s="11"/>
      <c r="R74" s="8">
        <v>7</v>
      </c>
      <c r="S74" s="9">
        <v>6</v>
      </c>
      <c r="T74" s="43">
        <f t="shared" si="42"/>
        <v>13</v>
      </c>
      <c r="U74" s="10">
        <f t="shared" si="43"/>
        <v>26</v>
      </c>
      <c r="V74" s="56">
        <v>44985</v>
      </c>
    </row>
    <row r="75" spans="1:23" x14ac:dyDescent="0.15">
      <c r="A75" s="23"/>
      <c r="B75" s="7"/>
      <c r="C75" s="8"/>
      <c r="D75" s="9"/>
      <c r="E75" s="43">
        <f t="shared" si="38"/>
        <v>0</v>
      </c>
      <c r="F75" s="11"/>
      <c r="G75" s="8"/>
      <c r="H75" s="9"/>
      <c r="I75" s="43">
        <f t="shared" si="39"/>
        <v>0</v>
      </c>
      <c r="J75" s="10">
        <f t="shared" si="40"/>
        <v>0</v>
      </c>
      <c r="K75" s="58"/>
      <c r="L75" s="22" t="s">
        <v>130</v>
      </c>
      <c r="M75" s="7"/>
      <c r="N75" s="8"/>
      <c r="O75" s="9">
        <v>3</v>
      </c>
      <c r="P75" s="43">
        <f t="shared" si="41"/>
        <v>3</v>
      </c>
      <c r="Q75" s="11"/>
      <c r="R75" s="8"/>
      <c r="S75" s="9">
        <v>3</v>
      </c>
      <c r="T75" s="43">
        <f t="shared" si="42"/>
        <v>3</v>
      </c>
      <c r="U75" s="10">
        <f t="shared" si="43"/>
        <v>6</v>
      </c>
      <c r="V75" s="56">
        <v>44986</v>
      </c>
    </row>
    <row r="76" spans="1:23" x14ac:dyDescent="0.15">
      <c r="A76" s="22"/>
      <c r="B76" s="7"/>
      <c r="C76" s="8"/>
      <c r="D76" s="9"/>
      <c r="E76" s="43">
        <f t="shared" si="38"/>
        <v>0</v>
      </c>
      <c r="F76" s="11"/>
      <c r="G76" s="8"/>
      <c r="H76" s="9"/>
      <c r="I76" s="43">
        <f t="shared" si="39"/>
        <v>0</v>
      </c>
      <c r="J76" s="10">
        <f t="shared" si="40"/>
        <v>0</v>
      </c>
      <c r="K76" s="56"/>
      <c r="L76" s="22" t="s">
        <v>134</v>
      </c>
      <c r="M76" s="7"/>
      <c r="N76" s="8"/>
      <c r="O76" s="9">
        <v>1</v>
      </c>
      <c r="P76" s="43">
        <f t="shared" si="41"/>
        <v>1</v>
      </c>
      <c r="Q76" s="11"/>
      <c r="R76" s="8"/>
      <c r="S76" s="9">
        <v>1</v>
      </c>
      <c r="T76" s="43">
        <f t="shared" si="42"/>
        <v>1</v>
      </c>
      <c r="U76" s="10">
        <f t="shared" si="43"/>
        <v>2</v>
      </c>
      <c r="V76" s="56">
        <v>44988</v>
      </c>
    </row>
    <row r="77" spans="1:23" x14ac:dyDescent="0.15">
      <c r="A77" s="24"/>
      <c r="B77" s="7"/>
      <c r="C77" s="8"/>
      <c r="D77" s="9"/>
      <c r="E77" s="43">
        <f t="shared" si="38"/>
        <v>0</v>
      </c>
      <c r="F77" s="11"/>
      <c r="G77" s="8"/>
      <c r="H77" s="9"/>
      <c r="I77" s="43">
        <f t="shared" si="39"/>
        <v>0</v>
      </c>
      <c r="J77" s="10">
        <f t="shared" si="40"/>
        <v>0</v>
      </c>
      <c r="K77" s="56"/>
      <c r="L77" s="22" t="s">
        <v>141</v>
      </c>
      <c r="M77" s="7"/>
      <c r="N77" s="8">
        <v>1</v>
      </c>
      <c r="O77" s="9"/>
      <c r="P77" s="43">
        <f t="shared" si="41"/>
        <v>1</v>
      </c>
      <c r="Q77" s="11"/>
      <c r="R77" s="8">
        <v>1</v>
      </c>
      <c r="S77" s="9"/>
      <c r="T77" s="43">
        <f t="shared" si="42"/>
        <v>1</v>
      </c>
      <c r="U77" s="10">
        <f t="shared" si="43"/>
        <v>2</v>
      </c>
      <c r="V77" s="56">
        <v>45002</v>
      </c>
    </row>
    <row r="78" spans="1:23" x14ac:dyDescent="0.15">
      <c r="A78" s="22"/>
      <c r="B78" s="12"/>
      <c r="C78" s="13"/>
      <c r="D78" s="14"/>
      <c r="E78" s="43">
        <f t="shared" si="38"/>
        <v>0</v>
      </c>
      <c r="F78" s="15"/>
      <c r="G78" s="13"/>
      <c r="H78" s="14"/>
      <c r="I78" s="43">
        <f t="shared" si="39"/>
        <v>0</v>
      </c>
      <c r="J78" s="10">
        <f t="shared" si="40"/>
        <v>0</v>
      </c>
      <c r="K78" s="59"/>
      <c r="L78" s="22" t="s">
        <v>144</v>
      </c>
      <c r="M78" s="7"/>
      <c r="N78" s="8">
        <v>1</v>
      </c>
      <c r="O78" s="9"/>
      <c r="P78" s="43">
        <f t="shared" si="41"/>
        <v>1</v>
      </c>
      <c r="Q78" s="11"/>
      <c r="R78" s="8">
        <v>1</v>
      </c>
      <c r="S78" s="9"/>
      <c r="T78" s="43">
        <f t="shared" si="42"/>
        <v>1</v>
      </c>
      <c r="U78" s="10">
        <f t="shared" si="43"/>
        <v>2</v>
      </c>
      <c r="V78" s="56">
        <v>45007</v>
      </c>
    </row>
    <row r="79" spans="1:23" x14ac:dyDescent="0.15">
      <c r="A79" s="22"/>
      <c r="B79" s="7"/>
      <c r="C79" s="8"/>
      <c r="D79" s="9"/>
      <c r="E79" s="43">
        <f t="shared" si="38"/>
        <v>0</v>
      </c>
      <c r="F79" s="11"/>
      <c r="G79" s="8"/>
      <c r="H79" s="9"/>
      <c r="I79" s="43">
        <f t="shared" si="39"/>
        <v>0</v>
      </c>
      <c r="J79" s="10">
        <f t="shared" si="40"/>
        <v>0</v>
      </c>
      <c r="K79" s="56"/>
      <c r="L79" s="22" t="s">
        <v>148</v>
      </c>
      <c r="M79" s="7"/>
      <c r="N79" s="8">
        <v>1</v>
      </c>
      <c r="O79" s="9">
        <v>1</v>
      </c>
      <c r="P79" s="43">
        <f t="shared" ref="P79:P81" si="44">SUM(M79:O79)</f>
        <v>2</v>
      </c>
      <c r="Q79" s="11"/>
      <c r="R79" s="8">
        <v>1</v>
      </c>
      <c r="S79" s="9">
        <v>1</v>
      </c>
      <c r="T79" s="43">
        <f t="shared" ref="T79:T81" si="45">SUM(Q79:S79)</f>
        <v>2</v>
      </c>
      <c r="U79" s="10">
        <f t="shared" ref="U79:U81" si="46">P79+T79</f>
        <v>4</v>
      </c>
      <c r="V79" s="56">
        <v>45015</v>
      </c>
    </row>
    <row r="80" spans="1:23" x14ac:dyDescent="0.15">
      <c r="A80" s="22"/>
      <c r="B80" s="7"/>
      <c r="C80" s="8"/>
      <c r="D80" s="9"/>
      <c r="E80" s="43">
        <f t="shared" ref="E80:E82" si="47">SUM(B80:D80)</f>
        <v>0</v>
      </c>
      <c r="F80" s="11"/>
      <c r="G80" s="8"/>
      <c r="H80" s="9"/>
      <c r="I80" s="43">
        <f t="shared" ref="I80:I82" si="48">SUM(F80:H80)</f>
        <v>0</v>
      </c>
      <c r="J80" s="10">
        <f t="shared" ref="J80:J82" si="49">E80+I80</f>
        <v>0</v>
      </c>
      <c r="K80" s="56"/>
      <c r="L80" s="78" t="s">
        <v>100</v>
      </c>
      <c r="M80" s="7"/>
      <c r="N80" s="8"/>
      <c r="O80" s="9"/>
      <c r="P80" s="43">
        <f t="shared" si="44"/>
        <v>0</v>
      </c>
      <c r="Q80" s="7"/>
      <c r="R80" s="8"/>
      <c r="S80" s="9"/>
      <c r="T80" s="43">
        <f t="shared" si="45"/>
        <v>0</v>
      </c>
      <c r="U80" s="10">
        <f t="shared" si="46"/>
        <v>0</v>
      </c>
      <c r="V80" s="56">
        <v>44578</v>
      </c>
    </row>
    <row r="81" spans="1:23" x14ac:dyDescent="0.15">
      <c r="A81" s="22"/>
      <c r="B81" s="7"/>
      <c r="C81" s="8"/>
      <c r="D81" s="9"/>
      <c r="E81" s="43">
        <f t="shared" si="47"/>
        <v>0</v>
      </c>
      <c r="F81" s="11"/>
      <c r="G81" s="8"/>
      <c r="H81" s="9"/>
      <c r="I81" s="43">
        <f t="shared" si="48"/>
        <v>0</v>
      </c>
      <c r="J81" s="10">
        <f t="shared" si="49"/>
        <v>0</v>
      </c>
      <c r="K81" s="56"/>
      <c r="L81" s="24" t="s">
        <v>81</v>
      </c>
      <c r="M81" s="7"/>
      <c r="N81" s="8"/>
      <c r="O81" s="9"/>
      <c r="P81" s="43">
        <f t="shared" si="44"/>
        <v>0</v>
      </c>
      <c r="Q81" s="11"/>
      <c r="R81" s="8"/>
      <c r="S81" s="9"/>
      <c r="T81" s="43">
        <f t="shared" si="45"/>
        <v>0</v>
      </c>
      <c r="U81" s="10">
        <f t="shared" si="46"/>
        <v>0</v>
      </c>
      <c r="V81" s="56" t="s">
        <v>82</v>
      </c>
    </row>
    <row r="82" spans="1:23" ht="14.25" thickBot="1" x14ac:dyDescent="0.2">
      <c r="A82" s="22"/>
      <c r="B82" s="7"/>
      <c r="C82" s="8"/>
      <c r="D82" s="9"/>
      <c r="E82" s="43">
        <f t="shared" si="47"/>
        <v>0</v>
      </c>
      <c r="F82" s="11"/>
      <c r="G82" s="8"/>
      <c r="H82" s="9"/>
      <c r="I82" s="43">
        <f t="shared" si="48"/>
        <v>0</v>
      </c>
      <c r="J82" s="10">
        <f t="shared" si="49"/>
        <v>0</v>
      </c>
      <c r="K82" s="56"/>
      <c r="L82" s="24" t="s">
        <v>73</v>
      </c>
      <c r="M82" s="7"/>
      <c r="N82" s="8"/>
      <c r="O82" s="9"/>
      <c r="P82" s="43">
        <f t="shared" si="41"/>
        <v>0</v>
      </c>
      <c r="Q82" s="11"/>
      <c r="R82" s="8"/>
      <c r="S82" s="9"/>
      <c r="T82" s="43">
        <f t="shared" si="42"/>
        <v>0</v>
      </c>
      <c r="U82" s="10">
        <f t="shared" si="43"/>
        <v>0</v>
      </c>
      <c r="V82" s="56" t="s">
        <v>109</v>
      </c>
      <c r="W82" s="61"/>
    </row>
    <row r="83" spans="1:23" ht="14.25" thickBot="1" x14ac:dyDescent="0.2">
      <c r="A83" s="35" t="s">
        <v>17</v>
      </c>
      <c r="B83" s="40">
        <f>SUM(B57:B82)</f>
        <v>8</v>
      </c>
      <c r="C83" s="41">
        <f t="shared" ref="C83:D83" si="50">SUM(C57:C82)</f>
        <v>7</v>
      </c>
      <c r="D83" s="52">
        <f t="shared" si="50"/>
        <v>9</v>
      </c>
      <c r="E83" s="39">
        <f t="shared" ref="E83" si="51">SUM(B83:D83)</f>
        <v>24</v>
      </c>
      <c r="F83" s="40">
        <f>SUM(F57:F82)</f>
        <v>8</v>
      </c>
      <c r="G83" s="41">
        <f t="shared" ref="G83:H83" si="52">SUM(G57:G82)</f>
        <v>7</v>
      </c>
      <c r="H83" s="52">
        <f t="shared" si="52"/>
        <v>9</v>
      </c>
      <c r="I83" s="39">
        <f t="shared" ref="I83" si="53">SUM(F83:H83)</f>
        <v>24</v>
      </c>
      <c r="J83" s="39">
        <f>E83+I83</f>
        <v>48</v>
      </c>
      <c r="K83" s="34"/>
      <c r="L83" s="35" t="s">
        <v>17</v>
      </c>
      <c r="M83" s="40">
        <f>SUM(M57:M82)</f>
        <v>22</v>
      </c>
      <c r="N83" s="41">
        <f t="shared" ref="N83:O83" si="54">SUM(N57:N82)</f>
        <v>41</v>
      </c>
      <c r="O83" s="52">
        <f t="shared" si="54"/>
        <v>41</v>
      </c>
      <c r="P83" s="39">
        <f t="shared" si="41"/>
        <v>104</v>
      </c>
      <c r="Q83" s="40">
        <f>SUM(Q57:Q82)</f>
        <v>22</v>
      </c>
      <c r="R83" s="41">
        <f t="shared" ref="R83:S83" si="55">SUM(R57:R82)</f>
        <v>41</v>
      </c>
      <c r="S83" s="52">
        <f t="shared" si="55"/>
        <v>41</v>
      </c>
      <c r="T83" s="39">
        <f t="shared" si="42"/>
        <v>104</v>
      </c>
      <c r="U83" s="39">
        <f>P83+T83</f>
        <v>208</v>
      </c>
    </row>
    <row r="84" spans="1:23" ht="14.25" thickBot="1" x14ac:dyDescent="0.2">
      <c r="A84" s="21" t="s">
        <v>16</v>
      </c>
      <c r="B84" s="44">
        <f>B56-B83</f>
        <v>2</v>
      </c>
      <c r="C84" s="50">
        <f t="shared" ref="C84:D84" si="56">C56-C83</f>
        <v>2</v>
      </c>
      <c r="D84" s="51">
        <f t="shared" si="56"/>
        <v>3</v>
      </c>
      <c r="E84" s="49">
        <f>SUM(B84:D84)</f>
        <v>7</v>
      </c>
      <c r="F84" s="44">
        <f>F56-F83</f>
        <v>2</v>
      </c>
      <c r="G84" s="50">
        <f t="shared" ref="G84:H84" si="57">G56-G83</f>
        <v>2</v>
      </c>
      <c r="H84" s="51">
        <f t="shared" si="57"/>
        <v>3</v>
      </c>
      <c r="I84" s="49">
        <f>SUM(F84:H84)</f>
        <v>7</v>
      </c>
      <c r="J84" s="28">
        <f>E84+I84</f>
        <v>14</v>
      </c>
      <c r="L84" s="21" t="s">
        <v>16</v>
      </c>
      <c r="M84" s="44">
        <f>M56-M83</f>
        <v>54</v>
      </c>
      <c r="N84" s="50">
        <f t="shared" ref="N84:O84" si="58">N56-N83</f>
        <v>43</v>
      </c>
      <c r="O84" s="51">
        <f t="shared" si="58"/>
        <v>0</v>
      </c>
      <c r="P84" s="49">
        <f>SUM(M84:O84)</f>
        <v>97</v>
      </c>
      <c r="Q84" s="44">
        <f>Q56-Q83</f>
        <v>54</v>
      </c>
      <c r="R84" s="50">
        <f t="shared" ref="R84:S84" si="59">R56-R83</f>
        <v>43</v>
      </c>
      <c r="S84" s="51">
        <f t="shared" si="59"/>
        <v>0</v>
      </c>
      <c r="T84" s="49">
        <f>SUM(Q84:S84)</f>
        <v>97</v>
      </c>
      <c r="U84" s="28">
        <f>P84+T84</f>
        <v>194</v>
      </c>
    </row>
    <row r="85" spans="1:23" x14ac:dyDescent="0.15">
      <c r="L85" s="96" t="s">
        <v>140</v>
      </c>
      <c r="M85" s="91">
        <v>231</v>
      </c>
      <c r="N85" s="91">
        <v>297</v>
      </c>
      <c r="O85" s="91">
        <v>231</v>
      </c>
      <c r="P85" s="91">
        <f>SUM(M85:O85)</f>
        <v>759</v>
      </c>
      <c r="Q85" s="91">
        <v>231</v>
      </c>
      <c r="R85" s="91">
        <v>297</v>
      </c>
      <c r="S85" s="91">
        <v>231</v>
      </c>
      <c r="T85" s="91">
        <v>759</v>
      </c>
      <c r="U85" s="91">
        <f>P85+T85</f>
        <v>1518</v>
      </c>
    </row>
    <row r="86" spans="1:23" x14ac:dyDescent="0.15">
      <c r="M86" s="89">
        <f>M85/$P$85*100</f>
        <v>30.434782608695656</v>
      </c>
      <c r="N86" s="89">
        <f t="shared" ref="N86:P86" si="60">N85/$P$85*100</f>
        <v>39.130434782608695</v>
      </c>
      <c r="O86" s="89">
        <f t="shared" si="60"/>
        <v>30.434782608695656</v>
      </c>
      <c r="P86" s="89">
        <f t="shared" si="60"/>
        <v>100</v>
      </c>
    </row>
    <row r="87" spans="1:23" ht="19.5" thickBot="1" x14ac:dyDescent="0.25">
      <c r="A87" s="84" t="s">
        <v>31</v>
      </c>
      <c r="B87" s="85"/>
      <c r="C87" s="85"/>
      <c r="D87" s="85"/>
      <c r="E87" s="85"/>
      <c r="F87" s="85"/>
      <c r="G87" s="85"/>
      <c r="H87" s="85"/>
      <c r="I87" s="85"/>
      <c r="J87" s="85"/>
      <c r="L87" s="82" t="s">
        <v>32</v>
      </c>
      <c r="M87" s="83"/>
      <c r="N87" s="83"/>
      <c r="O87" s="83"/>
      <c r="P87" s="83"/>
      <c r="Q87" s="83"/>
      <c r="R87" s="83"/>
      <c r="S87" s="83"/>
      <c r="T87" s="83"/>
      <c r="U87" s="83">
        <v>480</v>
      </c>
    </row>
    <row r="88" spans="1:23" ht="14.25" thickBot="1" x14ac:dyDescent="0.2">
      <c r="A88" s="6"/>
      <c r="B88" s="159" t="s">
        <v>33</v>
      </c>
      <c r="C88" s="160"/>
      <c r="D88" s="160"/>
      <c r="E88" s="161"/>
      <c r="F88" s="159" t="s">
        <v>22</v>
      </c>
      <c r="G88" s="160"/>
      <c r="H88" s="160"/>
      <c r="I88" s="162"/>
      <c r="J88" s="157" t="s">
        <v>0</v>
      </c>
      <c r="L88" s="6"/>
      <c r="M88" s="159" t="s">
        <v>33</v>
      </c>
      <c r="N88" s="160"/>
      <c r="O88" s="160"/>
      <c r="P88" s="161"/>
      <c r="Q88" s="146" t="s">
        <v>22</v>
      </c>
      <c r="R88" s="147"/>
      <c r="S88" s="147"/>
      <c r="T88" s="148"/>
      <c r="U88" s="157" t="s">
        <v>0</v>
      </c>
    </row>
    <row r="89" spans="1:23" ht="14.25" thickBot="1" x14ac:dyDescent="0.2">
      <c r="A89" s="6" t="s">
        <v>1</v>
      </c>
      <c r="B89" s="3" t="s">
        <v>2</v>
      </c>
      <c r="C89" s="4" t="s">
        <v>3</v>
      </c>
      <c r="D89" s="5" t="s">
        <v>4</v>
      </c>
      <c r="E89" s="6" t="s">
        <v>5</v>
      </c>
      <c r="F89" s="3" t="s">
        <v>2</v>
      </c>
      <c r="G89" s="4" t="s">
        <v>3</v>
      </c>
      <c r="H89" s="5" t="s">
        <v>4</v>
      </c>
      <c r="I89" s="6" t="s">
        <v>5</v>
      </c>
      <c r="J89" s="158"/>
      <c r="L89" s="6" t="s">
        <v>1</v>
      </c>
      <c r="M89" s="3" t="s">
        <v>2</v>
      </c>
      <c r="N89" s="4" t="s">
        <v>3</v>
      </c>
      <c r="O89" s="5" t="s">
        <v>4</v>
      </c>
      <c r="P89" s="6" t="s">
        <v>5</v>
      </c>
      <c r="Q89" s="3" t="s">
        <v>2</v>
      </c>
      <c r="R89" s="4" t="s">
        <v>3</v>
      </c>
      <c r="S89" s="5" t="s">
        <v>4</v>
      </c>
      <c r="T89" s="6" t="s">
        <v>5</v>
      </c>
      <c r="U89" s="158"/>
    </row>
    <row r="90" spans="1:23" ht="14.25" thickBot="1" x14ac:dyDescent="0.2">
      <c r="A90" s="66" t="s">
        <v>6</v>
      </c>
      <c r="B90" s="25">
        <f>B84</f>
        <v>2</v>
      </c>
      <c r="C90" s="26">
        <f>C84</f>
        <v>2</v>
      </c>
      <c r="D90" s="27">
        <f>D84</f>
        <v>3</v>
      </c>
      <c r="E90" s="28">
        <f>SUM(B90:D90)</f>
        <v>7</v>
      </c>
      <c r="F90" s="25">
        <f>F84</f>
        <v>2</v>
      </c>
      <c r="G90" s="26">
        <f>G84</f>
        <v>2</v>
      </c>
      <c r="H90" s="27">
        <f>H84</f>
        <v>3</v>
      </c>
      <c r="I90" s="28">
        <f>SUM(F90:H90)</f>
        <v>7</v>
      </c>
      <c r="J90" s="28">
        <f>E90+I90</f>
        <v>14</v>
      </c>
      <c r="K90" s="56"/>
      <c r="L90" s="66" t="s">
        <v>6</v>
      </c>
      <c r="M90" s="25">
        <f>M84</f>
        <v>54</v>
      </c>
      <c r="N90" s="26">
        <f>N84</f>
        <v>43</v>
      </c>
      <c r="O90" s="27">
        <f>O84</f>
        <v>0</v>
      </c>
      <c r="P90" s="28">
        <f>SUM(M90:O90)</f>
        <v>97</v>
      </c>
      <c r="Q90" s="25">
        <f>Q84</f>
        <v>54</v>
      </c>
      <c r="R90" s="26">
        <f>R84</f>
        <v>43</v>
      </c>
      <c r="S90" s="27">
        <f>S84</f>
        <v>0</v>
      </c>
      <c r="T90" s="28">
        <f>SUM(Q90:S90)</f>
        <v>97</v>
      </c>
      <c r="U90" s="28">
        <f>P90+T90</f>
        <v>194</v>
      </c>
    </row>
    <row r="91" spans="1:23" x14ac:dyDescent="0.15">
      <c r="A91" s="23" t="s">
        <v>77</v>
      </c>
      <c r="B91" s="16"/>
      <c r="C91" s="17">
        <v>1</v>
      </c>
      <c r="D91" s="45"/>
      <c r="E91" s="43">
        <f t="shared" ref="E91:E94" si="61">SUM(B91:D91)</f>
        <v>1</v>
      </c>
      <c r="F91" s="19"/>
      <c r="G91" s="17">
        <v>1</v>
      </c>
      <c r="H91" s="18"/>
      <c r="I91" s="43">
        <f t="shared" ref="I91:I94" si="62">SUM(F91:H91)</f>
        <v>1</v>
      </c>
      <c r="J91" s="43">
        <f t="shared" ref="J91:J94" si="63">E91+I91</f>
        <v>2</v>
      </c>
      <c r="K91" s="56">
        <v>45084</v>
      </c>
      <c r="L91" s="23" t="s">
        <v>7</v>
      </c>
      <c r="M91" s="16"/>
      <c r="N91" s="17"/>
      <c r="O91" s="45"/>
      <c r="P91" s="43">
        <f t="shared" ref="P91" si="64">SUM(M91:O91)</f>
        <v>0</v>
      </c>
      <c r="Q91" s="19"/>
      <c r="R91" s="17"/>
      <c r="S91" s="18"/>
      <c r="T91" s="43">
        <f t="shared" ref="T91" si="65">SUM(Q91:S91)</f>
        <v>0</v>
      </c>
      <c r="U91" s="43">
        <f t="shared" ref="U91" si="66">P91+T91</f>
        <v>0</v>
      </c>
    </row>
    <row r="92" spans="1:23" x14ac:dyDescent="0.15">
      <c r="A92" s="23" t="s">
        <v>77</v>
      </c>
      <c r="B92" s="7">
        <v>1</v>
      </c>
      <c r="C92" s="8"/>
      <c r="D92" s="46"/>
      <c r="E92" s="10">
        <f t="shared" si="61"/>
        <v>1</v>
      </c>
      <c r="F92" s="11">
        <v>1</v>
      </c>
      <c r="G92" s="8"/>
      <c r="H92" s="9"/>
      <c r="I92" s="10">
        <f t="shared" si="62"/>
        <v>1</v>
      </c>
      <c r="J92" s="10">
        <f t="shared" si="63"/>
        <v>2</v>
      </c>
      <c r="K92" s="56">
        <v>45086</v>
      </c>
      <c r="L92" s="23" t="s">
        <v>8</v>
      </c>
      <c r="M92" s="16"/>
      <c r="N92" s="17"/>
      <c r="O92" s="45"/>
      <c r="P92" s="43">
        <f t="shared" ref="P92:P94" si="67">SUM(M92:O92)</f>
        <v>0</v>
      </c>
      <c r="Q92" s="19"/>
      <c r="R92" s="17"/>
      <c r="S92" s="18"/>
      <c r="T92" s="43">
        <f t="shared" ref="T92:T94" si="68">SUM(Q92:S92)</f>
        <v>0</v>
      </c>
      <c r="U92" s="43">
        <f t="shared" ref="U92:U94" si="69">P92+T92</f>
        <v>0</v>
      </c>
    </row>
    <row r="93" spans="1:23" x14ac:dyDescent="0.15">
      <c r="A93" s="23" t="s">
        <v>77</v>
      </c>
      <c r="B93" s="7">
        <v>1</v>
      </c>
      <c r="C93" s="8"/>
      <c r="D93" s="46"/>
      <c r="E93" s="10">
        <f t="shared" si="61"/>
        <v>1</v>
      </c>
      <c r="F93" s="11">
        <v>1</v>
      </c>
      <c r="G93" s="8"/>
      <c r="H93" s="9"/>
      <c r="I93" s="10">
        <f t="shared" si="62"/>
        <v>1</v>
      </c>
      <c r="J93" s="10">
        <f t="shared" si="63"/>
        <v>2</v>
      </c>
      <c r="K93" s="56">
        <v>45133</v>
      </c>
      <c r="L93" s="23" t="s">
        <v>9</v>
      </c>
      <c r="M93" s="16"/>
      <c r="N93" s="17"/>
      <c r="O93" s="45"/>
      <c r="P93" s="43">
        <f t="shared" si="67"/>
        <v>0</v>
      </c>
      <c r="Q93" s="19"/>
      <c r="R93" s="17"/>
      <c r="S93" s="18"/>
      <c r="T93" s="43">
        <f t="shared" si="68"/>
        <v>0</v>
      </c>
      <c r="U93" s="43">
        <f t="shared" si="69"/>
        <v>0</v>
      </c>
    </row>
    <row r="94" spans="1:23" x14ac:dyDescent="0.15">
      <c r="A94" s="23" t="s">
        <v>160</v>
      </c>
      <c r="B94" s="7">
        <v>0</v>
      </c>
      <c r="C94" s="8">
        <v>0</v>
      </c>
      <c r="D94" s="46">
        <v>1</v>
      </c>
      <c r="E94" s="10">
        <f t="shared" si="61"/>
        <v>1</v>
      </c>
      <c r="F94" s="11">
        <v>0</v>
      </c>
      <c r="G94" s="8">
        <v>0</v>
      </c>
      <c r="H94" s="9">
        <v>0</v>
      </c>
      <c r="I94" s="10">
        <f t="shared" si="62"/>
        <v>0</v>
      </c>
      <c r="J94" s="10">
        <f t="shared" si="63"/>
        <v>1</v>
      </c>
      <c r="K94" s="56">
        <v>45163</v>
      </c>
      <c r="L94" s="23" t="s">
        <v>10</v>
      </c>
      <c r="M94" s="16"/>
      <c r="N94" s="17"/>
      <c r="O94" s="45"/>
      <c r="P94" s="43">
        <f t="shared" si="67"/>
        <v>0</v>
      </c>
      <c r="Q94" s="19"/>
      <c r="R94" s="17"/>
      <c r="S94" s="18"/>
      <c r="T94" s="43">
        <f t="shared" si="68"/>
        <v>0</v>
      </c>
      <c r="U94" s="43">
        <f t="shared" si="69"/>
        <v>0</v>
      </c>
    </row>
    <row r="95" spans="1:23" x14ac:dyDescent="0.15">
      <c r="A95" s="23" t="s">
        <v>20</v>
      </c>
      <c r="B95" s="7"/>
      <c r="C95" s="8"/>
      <c r="D95" s="46"/>
      <c r="E95" s="10">
        <f t="shared" ref="E95:E98" si="70">SUM(B95:D95)</f>
        <v>0</v>
      </c>
      <c r="F95" s="11"/>
      <c r="G95" s="8"/>
      <c r="H95" s="9"/>
      <c r="I95" s="10">
        <f t="shared" ref="I95:I98" si="71">SUM(F95:H95)</f>
        <v>0</v>
      </c>
      <c r="J95" s="10">
        <f t="shared" ref="J95:J98" si="72">E95+I95</f>
        <v>0</v>
      </c>
      <c r="K95" s="56"/>
      <c r="L95" s="23" t="s">
        <v>11</v>
      </c>
      <c r="M95" s="7"/>
      <c r="N95" s="8"/>
      <c r="O95" s="46"/>
      <c r="P95" s="10">
        <f t="shared" ref="P95" si="73">SUM(M95:O95)</f>
        <v>0</v>
      </c>
      <c r="Q95" s="11"/>
      <c r="R95" s="8"/>
      <c r="S95" s="9"/>
      <c r="T95" s="10">
        <f t="shared" ref="T95" si="74">SUM(Q95:S95)</f>
        <v>0</v>
      </c>
      <c r="U95" s="10">
        <f t="shared" ref="U95" si="75">P95+T95</f>
        <v>0</v>
      </c>
    </row>
    <row r="96" spans="1:23" x14ac:dyDescent="0.15">
      <c r="A96" s="23" t="s">
        <v>20</v>
      </c>
      <c r="B96" s="7"/>
      <c r="C96" s="8"/>
      <c r="D96" s="46"/>
      <c r="E96" s="10">
        <f t="shared" si="70"/>
        <v>0</v>
      </c>
      <c r="F96" s="11"/>
      <c r="G96" s="8"/>
      <c r="H96" s="9"/>
      <c r="I96" s="10">
        <f t="shared" si="71"/>
        <v>0</v>
      </c>
      <c r="J96" s="10">
        <f t="shared" si="72"/>
        <v>0</v>
      </c>
      <c r="K96" s="56"/>
      <c r="L96" s="23" t="s">
        <v>12</v>
      </c>
      <c r="M96" s="16"/>
      <c r="N96" s="17"/>
      <c r="O96" s="45"/>
      <c r="P96" s="43">
        <f>SUM(M96:O96)</f>
        <v>0</v>
      </c>
      <c r="Q96" s="19"/>
      <c r="R96" s="17"/>
      <c r="S96" s="18"/>
      <c r="T96" s="43">
        <f>SUM(Q96:S96)</f>
        <v>0</v>
      </c>
      <c r="U96" s="43">
        <f>P96+T96</f>
        <v>0</v>
      </c>
    </row>
    <row r="97" spans="1:22" x14ac:dyDescent="0.15">
      <c r="A97" s="23" t="s">
        <v>20</v>
      </c>
      <c r="B97" s="12"/>
      <c r="C97" s="13"/>
      <c r="D97" s="47"/>
      <c r="E97" s="10">
        <f t="shared" si="70"/>
        <v>0</v>
      </c>
      <c r="F97" s="15"/>
      <c r="G97" s="13"/>
      <c r="H97" s="14"/>
      <c r="I97" s="10">
        <f t="shared" si="71"/>
        <v>0</v>
      </c>
      <c r="J97" s="10">
        <f t="shared" si="72"/>
        <v>0</v>
      </c>
      <c r="K97" s="56"/>
      <c r="L97" s="23" t="s">
        <v>13</v>
      </c>
      <c r="M97" s="12"/>
      <c r="N97" s="13"/>
      <c r="O97" s="47"/>
      <c r="P97" s="10">
        <f t="shared" ref="P97:P98" si="76">SUM(M97:O97)</f>
        <v>0</v>
      </c>
      <c r="Q97" s="15"/>
      <c r="R97" s="13"/>
      <c r="S97" s="14"/>
      <c r="T97" s="10">
        <f t="shared" ref="T97:T98" si="77">SUM(Q97:S97)</f>
        <v>0</v>
      </c>
      <c r="U97" s="10">
        <f t="shared" ref="U97:U98" si="78">P97+T97</f>
        <v>0</v>
      </c>
    </row>
    <row r="98" spans="1:22" ht="14.25" thickBot="1" x14ac:dyDescent="0.2">
      <c r="A98" s="23" t="s">
        <v>20</v>
      </c>
      <c r="B98" s="29"/>
      <c r="C98" s="30"/>
      <c r="D98" s="48"/>
      <c r="E98" s="55">
        <f t="shared" si="70"/>
        <v>0</v>
      </c>
      <c r="F98" s="31"/>
      <c r="G98" s="31"/>
      <c r="H98" s="33"/>
      <c r="I98" s="55">
        <f t="shared" si="71"/>
        <v>0</v>
      </c>
      <c r="J98" s="20">
        <f t="shared" si="72"/>
        <v>0</v>
      </c>
      <c r="K98" s="56"/>
      <c r="L98" s="23" t="s">
        <v>14</v>
      </c>
      <c r="M98" s="29"/>
      <c r="N98" s="30"/>
      <c r="O98" s="48"/>
      <c r="P98" s="55">
        <f t="shared" si="76"/>
        <v>0</v>
      </c>
      <c r="Q98" s="31"/>
      <c r="R98" s="31"/>
      <c r="S98" s="33"/>
      <c r="T98" s="55">
        <f t="shared" si="77"/>
        <v>0</v>
      </c>
      <c r="U98" s="20">
        <f t="shared" si="78"/>
        <v>0</v>
      </c>
    </row>
    <row r="99" spans="1:22" ht="14.25" thickBot="1" x14ac:dyDescent="0.2">
      <c r="A99" s="32" t="s">
        <v>15</v>
      </c>
      <c r="B99" s="25">
        <f>SUM(B90:B98)</f>
        <v>4</v>
      </c>
      <c r="C99" s="26">
        <f>SUM(C90:C98)</f>
        <v>3</v>
      </c>
      <c r="D99" s="27">
        <f>SUM(D90:D98)</f>
        <v>4</v>
      </c>
      <c r="E99" s="28">
        <f>SUM(B99:D99)</f>
        <v>11</v>
      </c>
      <c r="F99" s="25">
        <f>SUM(F90:F98)</f>
        <v>4</v>
      </c>
      <c r="G99" s="26">
        <f>SUM(G90:G98)</f>
        <v>3</v>
      </c>
      <c r="H99" s="27">
        <f>SUM(H90:H98)</f>
        <v>3</v>
      </c>
      <c r="I99" s="28">
        <f>SUM(F99:H99)</f>
        <v>10</v>
      </c>
      <c r="J99" s="28">
        <f>E99+I99</f>
        <v>21</v>
      </c>
      <c r="L99" s="32" t="s">
        <v>15</v>
      </c>
      <c r="M99" s="25">
        <f>SUM(M90:M98)</f>
        <v>54</v>
      </c>
      <c r="N99" s="26">
        <f>SUM(N90:N98)</f>
        <v>43</v>
      </c>
      <c r="O99" s="27">
        <f>SUM(O90:O98)</f>
        <v>0</v>
      </c>
      <c r="P99" s="28">
        <f>SUM(M99:O99)</f>
        <v>97</v>
      </c>
      <c r="Q99" s="25">
        <f>SUM(Q90:Q98)</f>
        <v>54</v>
      </c>
      <c r="R99" s="26">
        <f>SUM(R90:R98)</f>
        <v>43</v>
      </c>
      <c r="S99" s="27">
        <f>SUM(S90:S98)</f>
        <v>0</v>
      </c>
      <c r="T99" s="28">
        <f>SUM(Q99:S99)</f>
        <v>97</v>
      </c>
      <c r="U99" s="28">
        <f>P99+T99</f>
        <v>194</v>
      </c>
    </row>
    <row r="100" spans="1:22" x14ac:dyDescent="0.15">
      <c r="A100" s="22" t="s">
        <v>151</v>
      </c>
      <c r="B100" s="7"/>
      <c r="C100" s="8">
        <v>1</v>
      </c>
      <c r="D100" s="9"/>
      <c r="E100" s="43">
        <f t="shared" ref="E100:E104" si="79">SUM(B100:D100)</f>
        <v>1</v>
      </c>
      <c r="F100" s="11"/>
      <c r="G100" s="8">
        <v>1</v>
      </c>
      <c r="H100" s="9"/>
      <c r="I100" s="43">
        <f t="shared" ref="I100:I104" si="80">SUM(F100:H100)</f>
        <v>1</v>
      </c>
      <c r="J100" s="10">
        <f t="shared" ref="J100:J104" si="81">E100+I100</f>
        <v>2</v>
      </c>
      <c r="K100" s="56">
        <v>45019</v>
      </c>
      <c r="L100" s="22" t="s">
        <v>150</v>
      </c>
      <c r="M100" s="7"/>
      <c r="N100" s="8">
        <v>1</v>
      </c>
      <c r="O100" s="9"/>
      <c r="P100" s="43">
        <f t="shared" ref="P100" si="82">SUM(M100:O100)</f>
        <v>1</v>
      </c>
      <c r="Q100" s="11"/>
      <c r="R100" s="8">
        <v>1</v>
      </c>
      <c r="S100" s="9"/>
      <c r="T100" s="43">
        <f t="shared" ref="T100" si="83">SUM(Q100:S100)</f>
        <v>1</v>
      </c>
      <c r="U100" s="10">
        <f t="shared" ref="U100" si="84">P100+T100</f>
        <v>2</v>
      </c>
      <c r="V100" s="56">
        <v>45016</v>
      </c>
    </row>
    <row r="101" spans="1:22" x14ac:dyDescent="0.15">
      <c r="A101" s="22" t="s">
        <v>152</v>
      </c>
      <c r="B101" s="7"/>
      <c r="C101" s="8"/>
      <c r="D101" s="9">
        <v>1</v>
      </c>
      <c r="E101" s="43">
        <f t="shared" si="79"/>
        <v>1</v>
      </c>
      <c r="F101" s="11"/>
      <c r="G101" s="8"/>
      <c r="H101" s="9">
        <v>1</v>
      </c>
      <c r="I101" s="43">
        <f t="shared" si="80"/>
        <v>1</v>
      </c>
      <c r="J101" s="10">
        <f t="shared" si="81"/>
        <v>2</v>
      </c>
      <c r="K101" s="56">
        <v>45055</v>
      </c>
      <c r="L101" s="22" t="s">
        <v>157</v>
      </c>
      <c r="M101" s="7">
        <v>1</v>
      </c>
      <c r="N101" s="8"/>
      <c r="O101" s="9"/>
      <c r="P101" s="43">
        <f t="shared" ref="P101:P119" si="85">SUM(M101:O101)</f>
        <v>1</v>
      </c>
      <c r="Q101" s="11">
        <v>1</v>
      </c>
      <c r="R101" s="8"/>
      <c r="S101" s="9"/>
      <c r="T101" s="43">
        <f t="shared" ref="T101:T119" si="86">SUM(Q101:S101)</f>
        <v>1</v>
      </c>
      <c r="U101" s="10">
        <f t="shared" ref="U101:U119" si="87">P101+T101</f>
        <v>2</v>
      </c>
      <c r="V101" s="56">
        <v>45063</v>
      </c>
    </row>
    <row r="102" spans="1:22" x14ac:dyDescent="0.15">
      <c r="A102" s="22" t="s">
        <v>158</v>
      </c>
      <c r="B102" s="7">
        <v>1</v>
      </c>
      <c r="C102" s="8"/>
      <c r="D102" s="9"/>
      <c r="E102" s="43">
        <f t="shared" si="79"/>
        <v>1</v>
      </c>
      <c r="F102" s="11">
        <v>1</v>
      </c>
      <c r="G102" s="8"/>
      <c r="H102" s="9"/>
      <c r="I102" s="43">
        <f t="shared" si="80"/>
        <v>1</v>
      </c>
      <c r="J102" s="10">
        <f t="shared" si="81"/>
        <v>2</v>
      </c>
      <c r="K102" s="56">
        <v>45098</v>
      </c>
      <c r="L102" s="24"/>
      <c r="M102" s="7"/>
      <c r="N102" s="8"/>
      <c r="O102" s="9"/>
      <c r="P102" s="43">
        <f t="shared" ref="P102" si="88">SUM(M102:O102)</f>
        <v>0</v>
      </c>
      <c r="Q102" s="11"/>
      <c r="R102" s="8"/>
      <c r="S102" s="9"/>
      <c r="T102" s="43">
        <f t="shared" ref="T102" si="89">SUM(Q102:S102)</f>
        <v>0</v>
      </c>
      <c r="U102" s="10">
        <f t="shared" ref="U102" si="90">P102+T102</f>
        <v>0</v>
      </c>
    </row>
    <row r="103" spans="1:22" x14ac:dyDescent="0.15">
      <c r="A103" s="22" t="s">
        <v>149</v>
      </c>
      <c r="B103" s="7">
        <v>1</v>
      </c>
      <c r="C103" s="8"/>
      <c r="D103" s="9"/>
      <c r="E103" s="43">
        <f t="shared" si="79"/>
        <v>1</v>
      </c>
      <c r="F103" s="11">
        <v>1</v>
      </c>
      <c r="G103" s="8"/>
      <c r="H103" s="9"/>
      <c r="I103" s="43">
        <f t="shared" si="80"/>
        <v>1</v>
      </c>
      <c r="J103" s="10">
        <f t="shared" si="81"/>
        <v>2</v>
      </c>
      <c r="K103" s="56">
        <v>45139</v>
      </c>
      <c r="L103" s="24"/>
      <c r="M103" s="7"/>
      <c r="N103" s="8"/>
      <c r="O103" s="9"/>
      <c r="P103" s="43">
        <f t="shared" si="85"/>
        <v>0</v>
      </c>
      <c r="Q103" s="11"/>
      <c r="R103" s="8"/>
      <c r="S103" s="9"/>
      <c r="T103" s="43">
        <f t="shared" si="86"/>
        <v>0</v>
      </c>
      <c r="U103" s="10">
        <f t="shared" si="87"/>
        <v>0</v>
      </c>
    </row>
    <row r="104" spans="1:22" x14ac:dyDescent="0.15">
      <c r="A104" s="22" t="s">
        <v>163</v>
      </c>
      <c r="B104" s="7">
        <v>2</v>
      </c>
      <c r="C104" s="8"/>
      <c r="D104" s="9"/>
      <c r="E104" s="43">
        <f t="shared" si="79"/>
        <v>2</v>
      </c>
      <c r="F104" s="11">
        <v>2</v>
      </c>
      <c r="G104" s="8"/>
      <c r="H104" s="9"/>
      <c r="I104" s="43">
        <f t="shared" si="80"/>
        <v>2</v>
      </c>
      <c r="J104" s="10">
        <f t="shared" si="81"/>
        <v>4</v>
      </c>
      <c r="K104" s="56">
        <v>45171</v>
      </c>
      <c r="L104" s="24"/>
      <c r="M104" s="7"/>
      <c r="N104" s="8"/>
      <c r="O104" s="9"/>
      <c r="P104" s="43">
        <f t="shared" si="85"/>
        <v>0</v>
      </c>
      <c r="Q104" s="11"/>
      <c r="R104" s="8"/>
      <c r="S104" s="9"/>
      <c r="T104" s="43">
        <f t="shared" si="86"/>
        <v>0</v>
      </c>
      <c r="U104" s="10">
        <f t="shared" si="87"/>
        <v>0</v>
      </c>
    </row>
    <row r="105" spans="1:22" x14ac:dyDescent="0.15">
      <c r="A105" s="22"/>
      <c r="B105" s="7"/>
      <c r="C105" s="8"/>
      <c r="D105" s="9"/>
      <c r="E105" s="43">
        <f t="shared" ref="E105:E126" si="91">SUM(B105:D105)</f>
        <v>0</v>
      </c>
      <c r="F105" s="11"/>
      <c r="G105" s="8"/>
      <c r="H105" s="9"/>
      <c r="I105" s="43">
        <f t="shared" ref="I105:I126" si="92">SUM(F105:H105)</f>
        <v>0</v>
      </c>
      <c r="J105" s="10">
        <f t="shared" ref="J105:J125" si="93">E105+I105</f>
        <v>0</v>
      </c>
      <c r="K105" s="56"/>
      <c r="L105" s="24"/>
      <c r="M105" s="7"/>
      <c r="N105" s="8"/>
      <c r="O105" s="9"/>
      <c r="P105" s="43">
        <f t="shared" si="85"/>
        <v>0</v>
      </c>
      <c r="Q105" s="11"/>
      <c r="R105" s="8"/>
      <c r="S105" s="9"/>
      <c r="T105" s="43">
        <f t="shared" si="86"/>
        <v>0</v>
      </c>
      <c r="U105" s="10">
        <f t="shared" si="87"/>
        <v>0</v>
      </c>
    </row>
    <row r="106" spans="1:22" x14ac:dyDescent="0.15">
      <c r="A106" s="22"/>
      <c r="B106" s="7"/>
      <c r="C106" s="8"/>
      <c r="D106" s="9"/>
      <c r="E106" s="43">
        <f t="shared" si="91"/>
        <v>0</v>
      </c>
      <c r="F106" s="11"/>
      <c r="G106" s="8"/>
      <c r="H106" s="9"/>
      <c r="I106" s="43">
        <f t="shared" si="92"/>
        <v>0</v>
      </c>
      <c r="J106" s="10">
        <f t="shared" si="93"/>
        <v>0</v>
      </c>
      <c r="K106" s="56"/>
      <c r="L106" s="24"/>
      <c r="M106" s="7"/>
      <c r="N106" s="8"/>
      <c r="O106" s="9"/>
      <c r="P106" s="43">
        <f t="shared" si="85"/>
        <v>0</v>
      </c>
      <c r="Q106" s="11"/>
      <c r="R106" s="8"/>
      <c r="S106" s="9"/>
      <c r="T106" s="43">
        <f t="shared" si="86"/>
        <v>0</v>
      </c>
      <c r="U106" s="10">
        <f t="shared" si="87"/>
        <v>0</v>
      </c>
    </row>
    <row r="107" spans="1:22" x14ac:dyDescent="0.15">
      <c r="A107" s="22"/>
      <c r="B107" s="7"/>
      <c r="C107" s="8"/>
      <c r="D107" s="9"/>
      <c r="E107" s="43">
        <f t="shared" si="91"/>
        <v>0</v>
      </c>
      <c r="F107" s="11"/>
      <c r="G107" s="8"/>
      <c r="H107" s="9"/>
      <c r="I107" s="43">
        <f t="shared" si="92"/>
        <v>0</v>
      </c>
      <c r="J107" s="10">
        <f t="shared" si="93"/>
        <v>0</v>
      </c>
      <c r="K107" s="56"/>
      <c r="L107" s="24"/>
      <c r="M107" s="7"/>
      <c r="N107" s="8"/>
      <c r="O107" s="9"/>
      <c r="P107" s="43">
        <f t="shared" si="85"/>
        <v>0</v>
      </c>
      <c r="Q107" s="11"/>
      <c r="R107" s="8"/>
      <c r="S107" s="9"/>
      <c r="T107" s="43">
        <f t="shared" si="86"/>
        <v>0</v>
      </c>
      <c r="U107" s="10">
        <f t="shared" si="87"/>
        <v>0</v>
      </c>
    </row>
    <row r="108" spans="1:22" x14ac:dyDescent="0.15">
      <c r="A108" s="22"/>
      <c r="B108" s="7"/>
      <c r="C108" s="8"/>
      <c r="D108" s="9"/>
      <c r="E108" s="43">
        <f t="shared" si="91"/>
        <v>0</v>
      </c>
      <c r="F108" s="11"/>
      <c r="G108" s="8"/>
      <c r="H108" s="9"/>
      <c r="I108" s="43">
        <f t="shared" si="92"/>
        <v>0</v>
      </c>
      <c r="J108" s="10">
        <f t="shared" si="93"/>
        <v>0</v>
      </c>
      <c r="K108" s="56"/>
      <c r="L108" s="24"/>
      <c r="M108" s="7"/>
      <c r="N108" s="8"/>
      <c r="O108" s="9"/>
      <c r="P108" s="43">
        <f t="shared" si="85"/>
        <v>0</v>
      </c>
      <c r="Q108" s="11"/>
      <c r="R108" s="8"/>
      <c r="S108" s="9"/>
      <c r="T108" s="43">
        <f t="shared" si="86"/>
        <v>0</v>
      </c>
      <c r="U108" s="10">
        <f t="shared" si="87"/>
        <v>0</v>
      </c>
    </row>
    <row r="109" spans="1:22" x14ac:dyDescent="0.15">
      <c r="A109" s="22"/>
      <c r="B109" s="12"/>
      <c r="C109" s="13"/>
      <c r="D109" s="14"/>
      <c r="E109" s="43">
        <f t="shared" si="91"/>
        <v>0</v>
      </c>
      <c r="F109" s="15"/>
      <c r="G109" s="13"/>
      <c r="H109" s="14"/>
      <c r="I109" s="43">
        <f t="shared" si="92"/>
        <v>0</v>
      </c>
      <c r="J109" s="10">
        <f t="shared" si="93"/>
        <v>0</v>
      </c>
      <c r="K109" s="56"/>
      <c r="L109" s="24"/>
      <c r="M109" s="7"/>
      <c r="N109" s="8"/>
      <c r="O109" s="9"/>
      <c r="P109" s="43">
        <f t="shared" si="85"/>
        <v>0</v>
      </c>
      <c r="Q109" s="11"/>
      <c r="R109" s="8"/>
      <c r="S109" s="9"/>
      <c r="T109" s="43">
        <f t="shared" si="86"/>
        <v>0</v>
      </c>
      <c r="U109" s="10">
        <f t="shared" si="87"/>
        <v>0</v>
      </c>
    </row>
    <row r="110" spans="1:22" x14ac:dyDescent="0.15">
      <c r="A110" s="22"/>
      <c r="B110" s="7"/>
      <c r="C110" s="8"/>
      <c r="D110" s="9"/>
      <c r="E110" s="43">
        <f t="shared" si="91"/>
        <v>0</v>
      </c>
      <c r="F110" s="11"/>
      <c r="G110" s="8"/>
      <c r="H110" s="9"/>
      <c r="I110" s="43">
        <f t="shared" si="92"/>
        <v>0</v>
      </c>
      <c r="J110" s="10">
        <f t="shared" si="93"/>
        <v>0</v>
      </c>
      <c r="K110" s="56"/>
      <c r="L110" s="24"/>
      <c r="M110" s="7"/>
      <c r="N110" s="8"/>
      <c r="O110" s="9"/>
      <c r="P110" s="43">
        <f t="shared" si="85"/>
        <v>0</v>
      </c>
      <c r="Q110" s="11"/>
      <c r="R110" s="8"/>
      <c r="S110" s="9"/>
      <c r="T110" s="43">
        <f t="shared" si="86"/>
        <v>0</v>
      </c>
      <c r="U110" s="10">
        <f t="shared" si="87"/>
        <v>0</v>
      </c>
    </row>
    <row r="111" spans="1:22" x14ac:dyDescent="0.15">
      <c r="A111" s="22"/>
      <c r="B111" s="7"/>
      <c r="C111" s="8"/>
      <c r="D111" s="9"/>
      <c r="E111" s="43">
        <f t="shared" si="91"/>
        <v>0</v>
      </c>
      <c r="F111" s="11"/>
      <c r="G111" s="8"/>
      <c r="H111" s="9"/>
      <c r="I111" s="43">
        <f t="shared" si="92"/>
        <v>0</v>
      </c>
      <c r="J111" s="10">
        <f t="shared" si="93"/>
        <v>0</v>
      </c>
      <c r="K111" s="56"/>
      <c r="L111" s="24"/>
      <c r="M111" s="7"/>
      <c r="N111" s="8"/>
      <c r="O111" s="9"/>
      <c r="P111" s="43">
        <f t="shared" si="85"/>
        <v>0</v>
      </c>
      <c r="Q111" s="11"/>
      <c r="R111" s="8"/>
      <c r="S111" s="9"/>
      <c r="T111" s="43">
        <f t="shared" si="86"/>
        <v>0</v>
      </c>
      <c r="U111" s="10">
        <f t="shared" si="87"/>
        <v>0</v>
      </c>
    </row>
    <row r="112" spans="1:22" x14ac:dyDescent="0.15">
      <c r="A112" s="22"/>
      <c r="B112" s="7"/>
      <c r="C112" s="8"/>
      <c r="D112" s="9"/>
      <c r="E112" s="43">
        <f t="shared" si="91"/>
        <v>0</v>
      </c>
      <c r="F112" s="11"/>
      <c r="G112" s="8"/>
      <c r="H112" s="9"/>
      <c r="I112" s="43">
        <f t="shared" si="92"/>
        <v>0</v>
      </c>
      <c r="J112" s="10">
        <f t="shared" si="93"/>
        <v>0</v>
      </c>
      <c r="K112" s="56"/>
      <c r="L112" s="24"/>
      <c r="M112" s="7"/>
      <c r="N112" s="8"/>
      <c r="O112" s="9"/>
      <c r="P112" s="43">
        <f t="shared" si="85"/>
        <v>0</v>
      </c>
      <c r="Q112" s="11"/>
      <c r="R112" s="8"/>
      <c r="S112" s="9"/>
      <c r="T112" s="43">
        <f t="shared" si="86"/>
        <v>0</v>
      </c>
      <c r="U112" s="10">
        <f t="shared" si="87"/>
        <v>0</v>
      </c>
    </row>
    <row r="113" spans="1:21" x14ac:dyDescent="0.15">
      <c r="A113" s="22"/>
      <c r="B113" s="7"/>
      <c r="C113" s="8"/>
      <c r="D113" s="9"/>
      <c r="E113" s="43">
        <f t="shared" si="91"/>
        <v>0</v>
      </c>
      <c r="F113" s="11"/>
      <c r="G113" s="8"/>
      <c r="H113" s="9"/>
      <c r="I113" s="43">
        <f t="shared" si="92"/>
        <v>0</v>
      </c>
      <c r="J113" s="10">
        <f t="shared" si="93"/>
        <v>0</v>
      </c>
      <c r="K113" s="56"/>
      <c r="L113" s="24"/>
      <c r="M113" s="7"/>
      <c r="N113" s="8"/>
      <c r="O113" s="9"/>
      <c r="P113" s="43">
        <f t="shared" si="85"/>
        <v>0</v>
      </c>
      <c r="Q113" s="11"/>
      <c r="R113" s="8"/>
      <c r="S113" s="9"/>
      <c r="T113" s="43">
        <f t="shared" si="86"/>
        <v>0</v>
      </c>
      <c r="U113" s="10">
        <f t="shared" si="87"/>
        <v>0</v>
      </c>
    </row>
    <row r="114" spans="1:21" x14ac:dyDescent="0.15">
      <c r="A114" s="22"/>
      <c r="B114" s="7"/>
      <c r="C114" s="8"/>
      <c r="D114" s="9"/>
      <c r="E114" s="43">
        <f t="shared" si="91"/>
        <v>0</v>
      </c>
      <c r="F114" s="11"/>
      <c r="G114" s="8"/>
      <c r="H114" s="9"/>
      <c r="I114" s="43">
        <f t="shared" si="92"/>
        <v>0</v>
      </c>
      <c r="J114" s="10">
        <f t="shared" si="93"/>
        <v>0</v>
      </c>
      <c r="K114" s="56"/>
      <c r="L114" s="24"/>
      <c r="M114" s="7"/>
      <c r="N114" s="8"/>
      <c r="O114" s="9"/>
      <c r="P114" s="43">
        <f t="shared" si="85"/>
        <v>0</v>
      </c>
      <c r="Q114" s="11"/>
      <c r="R114" s="8"/>
      <c r="S114" s="9"/>
      <c r="T114" s="43">
        <f t="shared" si="86"/>
        <v>0</v>
      </c>
      <c r="U114" s="10">
        <f t="shared" si="87"/>
        <v>0</v>
      </c>
    </row>
    <row r="115" spans="1:21" x14ac:dyDescent="0.15">
      <c r="A115" s="22"/>
      <c r="B115" s="7"/>
      <c r="C115" s="8"/>
      <c r="D115" s="9"/>
      <c r="E115" s="43">
        <f t="shared" si="91"/>
        <v>0</v>
      </c>
      <c r="F115" s="11"/>
      <c r="G115" s="8"/>
      <c r="H115" s="9"/>
      <c r="I115" s="43">
        <f t="shared" si="92"/>
        <v>0</v>
      </c>
      <c r="J115" s="10">
        <f t="shared" si="93"/>
        <v>0</v>
      </c>
      <c r="K115" s="56"/>
      <c r="L115" s="24"/>
      <c r="M115" s="7"/>
      <c r="N115" s="8"/>
      <c r="O115" s="9"/>
      <c r="P115" s="43">
        <f t="shared" si="85"/>
        <v>0</v>
      </c>
      <c r="Q115" s="11"/>
      <c r="R115" s="8"/>
      <c r="S115" s="9"/>
      <c r="T115" s="43">
        <f t="shared" si="86"/>
        <v>0</v>
      </c>
      <c r="U115" s="10">
        <f t="shared" si="87"/>
        <v>0</v>
      </c>
    </row>
    <row r="116" spans="1:21" x14ac:dyDescent="0.15">
      <c r="A116" s="24"/>
      <c r="B116" s="7"/>
      <c r="C116" s="8"/>
      <c r="D116" s="9"/>
      <c r="E116" s="43">
        <f t="shared" si="91"/>
        <v>0</v>
      </c>
      <c r="F116" s="11"/>
      <c r="G116" s="8"/>
      <c r="H116" s="9"/>
      <c r="I116" s="43">
        <f t="shared" si="92"/>
        <v>0</v>
      </c>
      <c r="J116" s="10">
        <f t="shared" si="93"/>
        <v>0</v>
      </c>
      <c r="K116" s="56"/>
      <c r="L116" s="24"/>
      <c r="M116" s="7"/>
      <c r="N116" s="8"/>
      <c r="O116" s="9"/>
      <c r="P116" s="43">
        <f t="shared" si="85"/>
        <v>0</v>
      </c>
      <c r="Q116" s="11"/>
      <c r="R116" s="8"/>
      <c r="S116" s="9"/>
      <c r="T116" s="43">
        <f t="shared" si="86"/>
        <v>0</v>
      </c>
      <c r="U116" s="10">
        <f t="shared" si="87"/>
        <v>0</v>
      </c>
    </row>
    <row r="117" spans="1:21" x14ac:dyDescent="0.15">
      <c r="A117" s="22"/>
      <c r="B117" s="7"/>
      <c r="C117" s="8"/>
      <c r="D117" s="9"/>
      <c r="E117" s="43">
        <f t="shared" si="91"/>
        <v>0</v>
      </c>
      <c r="F117" s="11"/>
      <c r="G117" s="8"/>
      <c r="H117" s="9"/>
      <c r="I117" s="43">
        <f t="shared" si="92"/>
        <v>0</v>
      </c>
      <c r="J117" s="10">
        <f t="shared" si="93"/>
        <v>0</v>
      </c>
      <c r="K117" s="56"/>
      <c r="L117" s="24"/>
      <c r="M117" s="7"/>
      <c r="N117" s="8"/>
      <c r="O117" s="9"/>
      <c r="P117" s="43">
        <f t="shared" si="85"/>
        <v>0</v>
      </c>
      <c r="Q117" s="11"/>
      <c r="R117" s="8"/>
      <c r="S117" s="9"/>
      <c r="T117" s="43">
        <f t="shared" si="86"/>
        <v>0</v>
      </c>
      <c r="U117" s="10">
        <f t="shared" si="87"/>
        <v>0</v>
      </c>
    </row>
    <row r="118" spans="1:21" x14ac:dyDescent="0.15">
      <c r="A118" s="23"/>
      <c r="B118" s="7"/>
      <c r="C118" s="8"/>
      <c r="D118" s="9"/>
      <c r="E118" s="43">
        <f t="shared" si="91"/>
        <v>0</v>
      </c>
      <c r="F118" s="11"/>
      <c r="G118" s="8"/>
      <c r="H118" s="9"/>
      <c r="I118" s="43">
        <f t="shared" si="92"/>
        <v>0</v>
      </c>
      <c r="J118" s="10">
        <f t="shared" si="93"/>
        <v>0</v>
      </c>
      <c r="K118" s="58"/>
      <c r="L118" s="24"/>
      <c r="M118" s="7"/>
      <c r="N118" s="8"/>
      <c r="O118" s="9"/>
      <c r="P118" s="43">
        <f t="shared" si="85"/>
        <v>0</v>
      </c>
      <c r="Q118" s="11"/>
      <c r="R118" s="8"/>
      <c r="S118" s="9"/>
      <c r="T118" s="43">
        <f t="shared" si="86"/>
        <v>0</v>
      </c>
      <c r="U118" s="10">
        <f t="shared" si="87"/>
        <v>0</v>
      </c>
    </row>
    <row r="119" spans="1:21" x14ac:dyDescent="0.15">
      <c r="A119" s="22"/>
      <c r="B119" s="7"/>
      <c r="C119" s="8"/>
      <c r="D119" s="9"/>
      <c r="E119" s="43">
        <f t="shared" si="91"/>
        <v>0</v>
      </c>
      <c r="F119" s="11"/>
      <c r="G119" s="8"/>
      <c r="H119" s="9"/>
      <c r="I119" s="43">
        <f t="shared" si="92"/>
        <v>0</v>
      </c>
      <c r="J119" s="10">
        <f t="shared" si="93"/>
        <v>0</v>
      </c>
      <c r="K119" s="56"/>
      <c r="L119" s="24"/>
      <c r="M119" s="7"/>
      <c r="N119" s="8"/>
      <c r="O119" s="9"/>
      <c r="P119" s="43">
        <f t="shared" si="85"/>
        <v>0</v>
      </c>
      <c r="Q119" s="11"/>
      <c r="R119" s="8"/>
      <c r="S119" s="9"/>
      <c r="T119" s="43">
        <f t="shared" si="86"/>
        <v>0</v>
      </c>
      <c r="U119" s="10">
        <f t="shared" si="87"/>
        <v>0</v>
      </c>
    </row>
    <row r="120" spans="1:21" x14ac:dyDescent="0.15">
      <c r="A120" s="24"/>
      <c r="B120" s="7"/>
      <c r="C120" s="8"/>
      <c r="D120" s="9"/>
      <c r="E120" s="43">
        <f t="shared" si="91"/>
        <v>0</v>
      </c>
      <c r="F120" s="11"/>
      <c r="G120" s="8"/>
      <c r="H120" s="9"/>
      <c r="I120" s="43">
        <f t="shared" si="92"/>
        <v>0</v>
      </c>
      <c r="J120" s="10">
        <f t="shared" si="93"/>
        <v>0</v>
      </c>
      <c r="K120" s="56"/>
      <c r="L120" s="24"/>
      <c r="M120" s="7"/>
      <c r="N120" s="8"/>
      <c r="O120" s="9"/>
      <c r="P120" s="43">
        <f t="shared" ref="P120:P126" si="94">SUM(M120:O120)</f>
        <v>0</v>
      </c>
      <c r="Q120" s="11"/>
      <c r="R120" s="8"/>
      <c r="S120" s="9"/>
      <c r="T120" s="43">
        <f t="shared" ref="T120:T126" si="95">SUM(Q120:S120)</f>
        <v>0</v>
      </c>
      <c r="U120" s="10">
        <f t="shared" ref="U120:U121" si="96">P120+T120</f>
        <v>0</v>
      </c>
    </row>
    <row r="121" spans="1:21" x14ac:dyDescent="0.15">
      <c r="A121" s="22"/>
      <c r="B121" s="12"/>
      <c r="C121" s="13"/>
      <c r="D121" s="14"/>
      <c r="E121" s="43">
        <f t="shared" si="91"/>
        <v>0</v>
      </c>
      <c r="F121" s="15"/>
      <c r="G121" s="13"/>
      <c r="H121" s="14"/>
      <c r="I121" s="43">
        <f t="shared" si="92"/>
        <v>0</v>
      </c>
      <c r="J121" s="10">
        <f t="shared" si="93"/>
        <v>0</v>
      </c>
      <c r="K121" s="59"/>
      <c r="L121" s="24"/>
      <c r="M121" s="7"/>
      <c r="N121" s="8"/>
      <c r="O121" s="9"/>
      <c r="P121" s="43">
        <f t="shared" si="94"/>
        <v>0</v>
      </c>
      <c r="Q121" s="11"/>
      <c r="R121" s="8"/>
      <c r="S121" s="9"/>
      <c r="T121" s="43">
        <f t="shared" si="95"/>
        <v>0</v>
      </c>
      <c r="U121" s="10">
        <f t="shared" si="96"/>
        <v>0</v>
      </c>
    </row>
    <row r="122" spans="1:21" x14ac:dyDescent="0.15">
      <c r="A122" s="22"/>
      <c r="B122" s="7"/>
      <c r="C122" s="8"/>
      <c r="D122" s="9"/>
      <c r="E122" s="43">
        <f t="shared" si="91"/>
        <v>0</v>
      </c>
      <c r="F122" s="11"/>
      <c r="G122" s="8"/>
      <c r="H122" s="9"/>
      <c r="I122" s="43">
        <f t="shared" si="92"/>
        <v>0</v>
      </c>
      <c r="J122" s="10">
        <f t="shared" si="93"/>
        <v>0</v>
      </c>
      <c r="K122" s="56"/>
      <c r="L122" s="24"/>
      <c r="M122" s="7"/>
      <c r="N122" s="8"/>
      <c r="O122" s="9"/>
      <c r="P122" s="43">
        <f t="shared" ref="P122:P125" si="97">SUM(M122:O122)</f>
        <v>0</v>
      </c>
      <c r="Q122" s="11"/>
      <c r="R122" s="8"/>
      <c r="S122" s="9"/>
      <c r="T122" s="43">
        <f t="shared" ref="T122:T125" si="98">SUM(Q122:S122)</f>
        <v>0</v>
      </c>
      <c r="U122" s="10">
        <f t="shared" ref="U122:U125" si="99">P122+T122</f>
        <v>0</v>
      </c>
    </row>
    <row r="123" spans="1:21" x14ac:dyDescent="0.15">
      <c r="A123" s="22"/>
      <c r="B123" s="7"/>
      <c r="C123" s="8"/>
      <c r="D123" s="9"/>
      <c r="E123" s="43">
        <f t="shared" si="91"/>
        <v>0</v>
      </c>
      <c r="F123" s="11"/>
      <c r="G123" s="8"/>
      <c r="H123" s="9"/>
      <c r="I123" s="43">
        <f t="shared" si="92"/>
        <v>0</v>
      </c>
      <c r="J123" s="10">
        <f t="shared" si="93"/>
        <v>0</v>
      </c>
      <c r="K123" s="56"/>
      <c r="L123" s="24"/>
      <c r="M123" s="7"/>
      <c r="N123" s="8"/>
      <c r="O123" s="9"/>
      <c r="P123" s="43">
        <f t="shared" si="97"/>
        <v>0</v>
      </c>
      <c r="Q123" s="11"/>
      <c r="R123" s="8"/>
      <c r="S123" s="9"/>
      <c r="T123" s="43">
        <f t="shared" si="98"/>
        <v>0</v>
      </c>
      <c r="U123" s="10">
        <f t="shared" si="99"/>
        <v>0</v>
      </c>
    </row>
    <row r="124" spans="1:21" x14ac:dyDescent="0.15">
      <c r="A124" s="22"/>
      <c r="B124" s="7"/>
      <c r="C124" s="8"/>
      <c r="D124" s="9"/>
      <c r="E124" s="43">
        <f t="shared" si="91"/>
        <v>0</v>
      </c>
      <c r="F124" s="11"/>
      <c r="G124" s="8"/>
      <c r="H124" s="9"/>
      <c r="I124" s="43">
        <f t="shared" si="92"/>
        <v>0</v>
      </c>
      <c r="J124" s="10">
        <f t="shared" si="93"/>
        <v>0</v>
      </c>
      <c r="K124" s="56"/>
      <c r="L124" s="24"/>
      <c r="M124" s="7"/>
      <c r="N124" s="8"/>
      <c r="O124" s="9"/>
      <c r="P124" s="43">
        <f t="shared" si="97"/>
        <v>0</v>
      </c>
      <c r="Q124" s="11"/>
      <c r="R124" s="8"/>
      <c r="S124" s="9"/>
      <c r="T124" s="43">
        <f t="shared" si="98"/>
        <v>0</v>
      </c>
      <c r="U124" s="10">
        <f t="shared" si="99"/>
        <v>0</v>
      </c>
    </row>
    <row r="125" spans="1:21" ht="14.25" thickBot="1" x14ac:dyDescent="0.2">
      <c r="A125" s="22"/>
      <c r="B125" s="7"/>
      <c r="C125" s="8"/>
      <c r="D125" s="9"/>
      <c r="E125" s="43">
        <f t="shared" si="91"/>
        <v>0</v>
      </c>
      <c r="F125" s="11"/>
      <c r="G125" s="8"/>
      <c r="H125" s="9"/>
      <c r="I125" s="43">
        <f t="shared" si="92"/>
        <v>0</v>
      </c>
      <c r="J125" s="10">
        <f t="shared" si="93"/>
        <v>0</v>
      </c>
      <c r="K125" s="56"/>
      <c r="L125" s="24"/>
      <c r="M125" s="7"/>
      <c r="N125" s="8"/>
      <c r="O125" s="9"/>
      <c r="P125" s="43">
        <f t="shared" si="97"/>
        <v>0</v>
      </c>
      <c r="Q125" s="11"/>
      <c r="R125" s="8"/>
      <c r="S125" s="9"/>
      <c r="T125" s="43">
        <f t="shared" si="98"/>
        <v>0</v>
      </c>
      <c r="U125" s="10">
        <f t="shared" si="99"/>
        <v>0</v>
      </c>
    </row>
    <row r="126" spans="1:21" ht="14.25" thickBot="1" x14ac:dyDescent="0.2">
      <c r="A126" s="35" t="s">
        <v>17</v>
      </c>
      <c r="B126" s="40">
        <f>SUM(B100:B125)</f>
        <v>4</v>
      </c>
      <c r="C126" s="41">
        <f t="shared" ref="C126:D126" si="100">SUM(C100:C125)</f>
        <v>1</v>
      </c>
      <c r="D126" s="52">
        <f t="shared" si="100"/>
        <v>1</v>
      </c>
      <c r="E126" s="39">
        <f t="shared" si="91"/>
        <v>6</v>
      </c>
      <c r="F126" s="40">
        <f>SUM(F100:F125)</f>
        <v>4</v>
      </c>
      <c r="G126" s="41">
        <f t="shared" ref="G126:H126" si="101">SUM(G100:G125)</f>
        <v>1</v>
      </c>
      <c r="H126" s="52">
        <f t="shared" si="101"/>
        <v>1</v>
      </c>
      <c r="I126" s="39">
        <f t="shared" si="92"/>
        <v>6</v>
      </c>
      <c r="J126" s="39">
        <f>E126+I126</f>
        <v>12</v>
      </c>
      <c r="K126" s="34"/>
      <c r="L126" s="35" t="s">
        <v>17</v>
      </c>
      <c r="M126" s="40">
        <f>SUM(M100:M125)</f>
        <v>1</v>
      </c>
      <c r="N126" s="41">
        <f t="shared" ref="N126:O126" si="102">SUM(N100:N125)</f>
        <v>1</v>
      </c>
      <c r="O126" s="52">
        <f t="shared" si="102"/>
        <v>0</v>
      </c>
      <c r="P126" s="39">
        <f t="shared" si="94"/>
        <v>2</v>
      </c>
      <c r="Q126" s="40">
        <f>SUM(Q100:Q125)</f>
        <v>1</v>
      </c>
      <c r="R126" s="41">
        <f t="shared" ref="R126:S126" si="103">SUM(R100:R125)</f>
        <v>1</v>
      </c>
      <c r="S126" s="52">
        <f t="shared" si="103"/>
        <v>0</v>
      </c>
      <c r="T126" s="39">
        <f t="shared" si="95"/>
        <v>2</v>
      </c>
      <c r="U126" s="39">
        <f>P126+T126</f>
        <v>4</v>
      </c>
    </row>
    <row r="127" spans="1:21" ht="14.25" thickBot="1" x14ac:dyDescent="0.2">
      <c r="A127" s="21" t="s">
        <v>16</v>
      </c>
      <c r="B127" s="44">
        <f>B99-B126</f>
        <v>0</v>
      </c>
      <c r="C127" s="50">
        <f t="shared" ref="C127:D127" si="104">C99-C126</f>
        <v>2</v>
      </c>
      <c r="D127" s="51">
        <f t="shared" si="104"/>
        <v>3</v>
      </c>
      <c r="E127" s="49">
        <f>SUM(B127:D127)</f>
        <v>5</v>
      </c>
      <c r="F127" s="44">
        <f>F99-F126</f>
        <v>0</v>
      </c>
      <c r="G127" s="50">
        <f t="shared" ref="G127:H127" si="105">G99-G126</f>
        <v>2</v>
      </c>
      <c r="H127" s="51">
        <f t="shared" si="105"/>
        <v>2</v>
      </c>
      <c r="I127" s="49">
        <f>SUM(F127:H127)</f>
        <v>4</v>
      </c>
      <c r="J127" s="28">
        <f>E127+I127</f>
        <v>9</v>
      </c>
      <c r="L127" s="21" t="s">
        <v>16</v>
      </c>
      <c r="M127" s="44">
        <f>M99-M126</f>
        <v>53</v>
      </c>
      <c r="N127" s="50">
        <f t="shared" ref="N127:O127" si="106">N99-N126</f>
        <v>42</v>
      </c>
      <c r="O127" s="51">
        <f t="shared" si="106"/>
        <v>0</v>
      </c>
      <c r="P127" s="49">
        <f>SUM(M127:O127)</f>
        <v>95</v>
      </c>
      <c r="Q127" s="44">
        <f>Q99-Q126</f>
        <v>53</v>
      </c>
      <c r="R127" s="50">
        <f t="shared" ref="R127:S127" si="107">R99-R126</f>
        <v>42</v>
      </c>
      <c r="S127" s="51">
        <f t="shared" si="107"/>
        <v>0</v>
      </c>
      <c r="T127" s="49">
        <f>SUM(Q127:S127)</f>
        <v>95</v>
      </c>
      <c r="U127" s="28">
        <f>P127+T127</f>
        <v>190</v>
      </c>
    </row>
    <row r="128" spans="1:21" x14ac:dyDescent="0.15">
      <c r="M128" s="88"/>
      <c r="N128" s="88"/>
      <c r="O128" s="88"/>
      <c r="P128" s="88"/>
    </row>
    <row r="129" spans="1:22" ht="40.5" customHeight="1" x14ac:dyDescent="0.15">
      <c r="A129" s="166" t="s">
        <v>166</v>
      </c>
      <c r="B129" s="167"/>
      <c r="C129" s="167"/>
      <c r="D129" s="167"/>
      <c r="E129" s="167"/>
      <c r="F129" s="167"/>
      <c r="G129" s="167"/>
      <c r="H129" s="167"/>
      <c r="I129" s="167"/>
      <c r="J129" s="167"/>
      <c r="L129" s="166" t="s">
        <v>166</v>
      </c>
      <c r="M129" s="167"/>
      <c r="N129" s="167"/>
      <c r="O129" s="167"/>
      <c r="P129" s="167"/>
      <c r="Q129" s="167"/>
      <c r="R129" s="167"/>
      <c r="S129" s="167"/>
      <c r="T129" s="167"/>
      <c r="U129" s="167"/>
    </row>
    <row r="130" spans="1:22" ht="19.5" thickBot="1" x14ac:dyDescent="0.25">
      <c r="A130" s="84" t="s">
        <v>31</v>
      </c>
      <c r="B130" s="85"/>
      <c r="C130" s="85"/>
      <c r="D130" s="85"/>
      <c r="E130" s="85"/>
      <c r="F130" s="85"/>
      <c r="G130" s="85"/>
      <c r="H130" s="85"/>
      <c r="I130" s="85"/>
      <c r="J130" s="85"/>
      <c r="L130" s="82" t="s">
        <v>32</v>
      </c>
      <c r="M130" s="83"/>
      <c r="N130" s="83"/>
      <c r="O130" s="83"/>
      <c r="P130" s="83"/>
      <c r="Q130" s="83"/>
      <c r="R130" s="83"/>
      <c r="S130" s="83"/>
      <c r="T130" s="83"/>
      <c r="U130" s="83"/>
    </row>
    <row r="131" spans="1:22" ht="14.25" thickBot="1" x14ac:dyDescent="0.2">
      <c r="A131" s="6"/>
      <c r="B131" s="159" t="s">
        <v>33</v>
      </c>
      <c r="C131" s="160"/>
      <c r="D131" s="160"/>
      <c r="E131" s="161"/>
      <c r="F131" s="159" t="s">
        <v>22</v>
      </c>
      <c r="G131" s="160"/>
      <c r="H131" s="160"/>
      <c r="I131" s="162"/>
      <c r="J131" s="157" t="s">
        <v>0</v>
      </c>
      <c r="L131" s="6"/>
      <c r="M131" s="159" t="s">
        <v>33</v>
      </c>
      <c r="N131" s="160"/>
      <c r="O131" s="160"/>
      <c r="P131" s="161"/>
      <c r="Q131" s="146" t="s">
        <v>22</v>
      </c>
      <c r="R131" s="147"/>
      <c r="S131" s="147"/>
      <c r="T131" s="148"/>
      <c r="U131" s="157" t="s">
        <v>0</v>
      </c>
    </row>
    <row r="132" spans="1:22" ht="14.25" thickBot="1" x14ac:dyDescent="0.2">
      <c r="A132" s="6" t="s">
        <v>1</v>
      </c>
      <c r="B132" s="3" t="s">
        <v>2</v>
      </c>
      <c r="C132" s="4" t="s">
        <v>3</v>
      </c>
      <c r="D132" s="5" t="s">
        <v>4</v>
      </c>
      <c r="E132" s="6" t="s">
        <v>5</v>
      </c>
      <c r="F132" s="3" t="s">
        <v>2</v>
      </c>
      <c r="G132" s="4" t="s">
        <v>3</v>
      </c>
      <c r="H132" s="5" t="s">
        <v>4</v>
      </c>
      <c r="I132" s="6" t="s">
        <v>5</v>
      </c>
      <c r="J132" s="158"/>
      <c r="L132" s="6" t="s">
        <v>1</v>
      </c>
      <c r="M132" s="3" t="s">
        <v>2</v>
      </c>
      <c r="N132" s="4" t="s">
        <v>3</v>
      </c>
      <c r="O132" s="5" t="s">
        <v>4</v>
      </c>
      <c r="P132" s="6" t="s">
        <v>5</v>
      </c>
      <c r="Q132" s="3" t="s">
        <v>2</v>
      </c>
      <c r="R132" s="4" t="s">
        <v>3</v>
      </c>
      <c r="S132" s="5" t="s">
        <v>4</v>
      </c>
      <c r="T132" s="6" t="s">
        <v>5</v>
      </c>
      <c r="U132" s="158"/>
    </row>
    <row r="133" spans="1:22" ht="14.25" thickBot="1" x14ac:dyDescent="0.2">
      <c r="A133" s="66" t="s">
        <v>6</v>
      </c>
      <c r="B133" s="25">
        <f>B127</f>
        <v>0</v>
      </c>
      <c r="C133" s="26">
        <f>C127</f>
        <v>2</v>
      </c>
      <c r="D133" s="27">
        <f>D127</f>
        <v>3</v>
      </c>
      <c r="E133" s="28">
        <f>SUM(B133:D133)</f>
        <v>5</v>
      </c>
      <c r="F133" s="25">
        <f>F127</f>
        <v>0</v>
      </c>
      <c r="G133" s="26">
        <f>G127</f>
        <v>2</v>
      </c>
      <c r="H133" s="27">
        <f>H127</f>
        <v>2</v>
      </c>
      <c r="I133" s="28">
        <f>SUM(F133:H133)</f>
        <v>4</v>
      </c>
      <c r="J133" s="28">
        <f>E133+I133</f>
        <v>9</v>
      </c>
      <c r="K133" s="56"/>
      <c r="L133" s="66" t="s">
        <v>6</v>
      </c>
      <c r="M133" s="25">
        <f>M127</f>
        <v>53</v>
      </c>
      <c r="N133" s="26">
        <f>N127</f>
        <v>42</v>
      </c>
      <c r="O133" s="27">
        <f>O127</f>
        <v>0</v>
      </c>
      <c r="P133" s="28">
        <f>SUM(M133:O133)</f>
        <v>95</v>
      </c>
      <c r="Q133" s="25">
        <f>Q127</f>
        <v>53</v>
      </c>
      <c r="R133" s="26">
        <f>R127</f>
        <v>42</v>
      </c>
      <c r="S133" s="27">
        <f>S127</f>
        <v>0</v>
      </c>
      <c r="T133" s="28">
        <f>SUM(Q133:S133)</f>
        <v>95</v>
      </c>
      <c r="U133" s="28">
        <f>P133+T133</f>
        <v>190</v>
      </c>
    </row>
    <row r="134" spans="1:22" x14ac:dyDescent="0.15">
      <c r="A134" s="23" t="s">
        <v>20</v>
      </c>
      <c r="B134" s="16">
        <v>5</v>
      </c>
      <c r="C134" s="17">
        <v>3</v>
      </c>
      <c r="D134" s="45"/>
      <c r="E134" s="43">
        <f t="shared" ref="E134:E141" si="108">SUM(B134:D134)</f>
        <v>8</v>
      </c>
      <c r="F134" s="19">
        <v>5</v>
      </c>
      <c r="G134" s="17">
        <v>3</v>
      </c>
      <c r="H134" s="18"/>
      <c r="I134" s="43">
        <f t="shared" ref="I134:I141" si="109">SUM(F134:H134)</f>
        <v>8</v>
      </c>
      <c r="J134" s="43">
        <f t="shared" ref="J134:J141" si="110">E134+I134</f>
        <v>16</v>
      </c>
      <c r="K134" s="56">
        <v>45199</v>
      </c>
      <c r="L134" s="23" t="s">
        <v>7</v>
      </c>
      <c r="M134" s="16"/>
      <c r="N134" s="17"/>
      <c r="O134" s="45"/>
      <c r="P134" s="43">
        <f t="shared" ref="P134:P139" si="111">SUM(M134:O134)</f>
        <v>0</v>
      </c>
      <c r="Q134" s="19"/>
      <c r="R134" s="17"/>
      <c r="S134" s="18"/>
      <c r="T134" s="43">
        <f t="shared" ref="T134:T139" si="112">SUM(Q134:S134)</f>
        <v>0</v>
      </c>
      <c r="U134" s="43">
        <f t="shared" ref="U134:U139" si="113">P134+T134</f>
        <v>0</v>
      </c>
    </row>
    <row r="135" spans="1:22" x14ac:dyDescent="0.15">
      <c r="A135" s="23" t="s">
        <v>20</v>
      </c>
      <c r="B135" s="7"/>
      <c r="C135" s="8"/>
      <c r="D135" s="46">
        <v>1</v>
      </c>
      <c r="E135" s="10">
        <f t="shared" si="108"/>
        <v>1</v>
      </c>
      <c r="F135" s="11"/>
      <c r="G135" s="8"/>
      <c r="H135" s="9">
        <v>1</v>
      </c>
      <c r="I135" s="10">
        <f t="shared" si="109"/>
        <v>1</v>
      </c>
      <c r="J135" s="10">
        <f t="shared" si="110"/>
        <v>2</v>
      </c>
      <c r="K135" s="56">
        <v>45206</v>
      </c>
      <c r="L135" s="23" t="s">
        <v>146</v>
      </c>
      <c r="M135" s="7">
        <v>80</v>
      </c>
      <c r="N135" s="8">
        <v>100</v>
      </c>
      <c r="O135" s="46">
        <v>100</v>
      </c>
      <c r="P135" s="10">
        <f t="shared" si="111"/>
        <v>280</v>
      </c>
      <c r="Q135" s="7">
        <v>80</v>
      </c>
      <c r="R135" s="8">
        <v>100</v>
      </c>
      <c r="S135" s="46">
        <v>100</v>
      </c>
      <c r="T135" s="10">
        <f t="shared" si="112"/>
        <v>280</v>
      </c>
      <c r="U135" s="10">
        <f t="shared" si="113"/>
        <v>560</v>
      </c>
      <c r="V135" s="56" t="s">
        <v>178</v>
      </c>
    </row>
    <row r="136" spans="1:22" x14ac:dyDescent="0.15">
      <c r="A136" s="23" t="s">
        <v>20</v>
      </c>
      <c r="B136" s="7"/>
      <c r="C136" s="8"/>
      <c r="D136" s="46"/>
      <c r="E136" s="10">
        <f t="shared" si="108"/>
        <v>0</v>
      </c>
      <c r="F136" s="11"/>
      <c r="G136" s="8"/>
      <c r="H136" s="9"/>
      <c r="I136" s="10">
        <f t="shared" si="109"/>
        <v>0</v>
      </c>
      <c r="J136" s="10">
        <f t="shared" si="110"/>
        <v>0</v>
      </c>
      <c r="K136" s="56"/>
      <c r="L136" s="23" t="s">
        <v>9</v>
      </c>
      <c r="M136" s="7"/>
      <c r="N136" s="8"/>
      <c r="O136" s="46"/>
      <c r="P136" s="10">
        <f t="shared" ref="P136" si="114">SUM(M136:O136)</f>
        <v>0</v>
      </c>
      <c r="Q136" s="11"/>
      <c r="R136" s="8"/>
      <c r="S136" s="9"/>
      <c r="T136" s="10">
        <f t="shared" ref="T136" si="115">SUM(Q136:S136)</f>
        <v>0</v>
      </c>
      <c r="U136" s="10">
        <f t="shared" ref="U136" si="116">P136+T136</f>
        <v>0</v>
      </c>
    </row>
    <row r="137" spans="1:22" x14ac:dyDescent="0.15">
      <c r="A137" s="23" t="s">
        <v>20</v>
      </c>
      <c r="B137" s="7"/>
      <c r="C137" s="8"/>
      <c r="D137" s="46"/>
      <c r="E137" s="10">
        <f t="shared" si="108"/>
        <v>0</v>
      </c>
      <c r="F137" s="11"/>
      <c r="G137" s="8"/>
      <c r="H137" s="9"/>
      <c r="I137" s="10">
        <f t="shared" si="109"/>
        <v>0</v>
      </c>
      <c r="J137" s="10">
        <f t="shared" si="110"/>
        <v>0</v>
      </c>
      <c r="K137" s="56"/>
      <c r="L137" s="23" t="s">
        <v>10</v>
      </c>
      <c r="M137" s="92"/>
      <c r="N137" s="93"/>
      <c r="O137" s="94"/>
      <c r="P137" s="10">
        <f t="shared" si="111"/>
        <v>0</v>
      </c>
      <c r="Q137" s="11"/>
      <c r="R137" s="8"/>
      <c r="S137" s="9"/>
      <c r="T137" s="10">
        <f t="shared" si="112"/>
        <v>0</v>
      </c>
      <c r="U137" s="10">
        <f t="shared" si="113"/>
        <v>0</v>
      </c>
    </row>
    <row r="138" spans="1:22" x14ac:dyDescent="0.15">
      <c r="A138" s="23" t="s">
        <v>20</v>
      </c>
      <c r="B138" s="7"/>
      <c r="C138" s="8"/>
      <c r="D138" s="46"/>
      <c r="E138" s="10">
        <f t="shared" si="108"/>
        <v>0</v>
      </c>
      <c r="F138" s="11"/>
      <c r="G138" s="8"/>
      <c r="H138" s="9"/>
      <c r="I138" s="10">
        <f t="shared" si="109"/>
        <v>0</v>
      </c>
      <c r="J138" s="10">
        <f t="shared" si="110"/>
        <v>0</v>
      </c>
      <c r="K138" s="56"/>
      <c r="L138" s="23" t="s">
        <v>11</v>
      </c>
      <c r="M138" s="7"/>
      <c r="N138" s="8"/>
      <c r="O138" s="46"/>
      <c r="P138" s="10">
        <f t="shared" si="111"/>
        <v>0</v>
      </c>
      <c r="Q138" s="11"/>
      <c r="R138" s="8"/>
      <c r="S138" s="9"/>
      <c r="T138" s="10">
        <f t="shared" si="112"/>
        <v>0</v>
      </c>
      <c r="U138" s="10">
        <f t="shared" si="113"/>
        <v>0</v>
      </c>
    </row>
    <row r="139" spans="1:22" x14ac:dyDescent="0.15">
      <c r="A139" s="23" t="s">
        <v>20</v>
      </c>
      <c r="B139" s="7"/>
      <c r="C139" s="8"/>
      <c r="D139" s="46"/>
      <c r="E139" s="10">
        <f t="shared" si="108"/>
        <v>0</v>
      </c>
      <c r="F139" s="11"/>
      <c r="G139" s="8"/>
      <c r="H139" s="9"/>
      <c r="I139" s="10">
        <f t="shared" si="109"/>
        <v>0</v>
      </c>
      <c r="J139" s="10">
        <f t="shared" si="110"/>
        <v>0</v>
      </c>
      <c r="K139" s="56"/>
      <c r="L139" s="23" t="s">
        <v>26</v>
      </c>
      <c r="M139" s="7">
        <v>100</v>
      </c>
      <c r="N139" s="8">
        <v>140</v>
      </c>
      <c r="O139" s="46">
        <v>130</v>
      </c>
      <c r="P139" s="10">
        <f t="shared" si="111"/>
        <v>370</v>
      </c>
      <c r="Q139" s="7">
        <v>100</v>
      </c>
      <c r="R139" s="8">
        <v>140</v>
      </c>
      <c r="S139" s="46">
        <v>130</v>
      </c>
      <c r="T139" s="10">
        <f t="shared" si="112"/>
        <v>370</v>
      </c>
      <c r="U139" s="10">
        <f t="shared" si="113"/>
        <v>740</v>
      </c>
      <c r="V139" s="56" t="s">
        <v>198</v>
      </c>
    </row>
    <row r="140" spans="1:22" x14ac:dyDescent="0.15">
      <c r="A140" s="23" t="s">
        <v>20</v>
      </c>
      <c r="B140" s="12"/>
      <c r="C140" s="13"/>
      <c r="D140" s="47"/>
      <c r="E140" s="10">
        <f t="shared" si="108"/>
        <v>0</v>
      </c>
      <c r="F140" s="15"/>
      <c r="G140" s="13"/>
      <c r="H140" s="14"/>
      <c r="I140" s="10">
        <f t="shared" si="109"/>
        <v>0</v>
      </c>
      <c r="J140" s="10">
        <f t="shared" si="110"/>
        <v>0</v>
      </c>
      <c r="K140" s="56"/>
      <c r="L140" s="23" t="s">
        <v>13</v>
      </c>
      <c r="M140" s="12"/>
      <c r="N140" s="13"/>
      <c r="O140" s="47"/>
      <c r="P140" s="10">
        <f t="shared" ref="P140:P141" si="117">SUM(M140:O140)</f>
        <v>0</v>
      </c>
      <c r="Q140" s="15"/>
      <c r="R140" s="13"/>
      <c r="S140" s="14"/>
      <c r="T140" s="10">
        <f t="shared" ref="T140:T141" si="118">SUM(Q140:S140)</f>
        <v>0</v>
      </c>
      <c r="U140" s="10">
        <f t="shared" ref="U140:U141" si="119">P140+T140</f>
        <v>0</v>
      </c>
    </row>
    <row r="141" spans="1:22" ht="14.25" thickBot="1" x14ac:dyDescent="0.2">
      <c r="A141" s="23" t="s">
        <v>20</v>
      </c>
      <c r="B141" s="29"/>
      <c r="C141" s="30"/>
      <c r="D141" s="48"/>
      <c r="E141" s="55">
        <f t="shared" si="108"/>
        <v>0</v>
      </c>
      <c r="F141" s="31"/>
      <c r="G141" s="31"/>
      <c r="H141" s="33"/>
      <c r="I141" s="55">
        <f t="shared" si="109"/>
        <v>0</v>
      </c>
      <c r="J141" s="20">
        <f t="shared" si="110"/>
        <v>0</v>
      </c>
      <c r="K141" s="56"/>
      <c r="L141" s="23" t="s">
        <v>14</v>
      </c>
      <c r="M141" s="29"/>
      <c r="N141" s="30"/>
      <c r="O141" s="48"/>
      <c r="P141" s="55">
        <f t="shared" si="117"/>
        <v>0</v>
      </c>
      <c r="Q141" s="31"/>
      <c r="R141" s="31"/>
      <c r="S141" s="33"/>
      <c r="T141" s="55">
        <f t="shared" si="118"/>
        <v>0</v>
      </c>
      <c r="U141" s="20">
        <f t="shared" si="119"/>
        <v>0</v>
      </c>
    </row>
    <row r="142" spans="1:22" ht="14.25" thickBot="1" x14ac:dyDescent="0.2">
      <c r="A142" s="32" t="s">
        <v>15</v>
      </c>
      <c r="B142" s="25">
        <f>SUM(B133:B141)</f>
        <v>5</v>
      </c>
      <c r="C142" s="26">
        <f>SUM(C133:C141)</f>
        <v>5</v>
      </c>
      <c r="D142" s="27">
        <f>SUM(D133:D141)</f>
        <v>4</v>
      </c>
      <c r="E142" s="28">
        <f>SUM(B142:D142)</f>
        <v>14</v>
      </c>
      <c r="F142" s="25">
        <f>SUM(F133:F141)</f>
        <v>5</v>
      </c>
      <c r="G142" s="26">
        <f>SUM(G133:G141)</f>
        <v>5</v>
      </c>
      <c r="H142" s="27">
        <f>SUM(H133:H141)</f>
        <v>3</v>
      </c>
      <c r="I142" s="28">
        <f>SUM(F142:H142)</f>
        <v>13</v>
      </c>
      <c r="J142" s="28">
        <f>E142+I142</f>
        <v>27</v>
      </c>
      <c r="L142" s="32" t="s">
        <v>15</v>
      </c>
      <c r="M142" s="25">
        <f>SUM(M133:M141)</f>
        <v>233</v>
      </c>
      <c r="N142" s="26">
        <f>SUM(N133:N141)</f>
        <v>282</v>
      </c>
      <c r="O142" s="27">
        <f>SUM(O133:O141)</f>
        <v>230</v>
      </c>
      <c r="P142" s="28">
        <f>SUM(M142:O142)</f>
        <v>745</v>
      </c>
      <c r="Q142" s="25">
        <f>SUM(Q133:Q141)</f>
        <v>233</v>
      </c>
      <c r="R142" s="26">
        <f>SUM(R133:R141)</f>
        <v>282</v>
      </c>
      <c r="S142" s="27">
        <f>SUM(S133:S141)</f>
        <v>230</v>
      </c>
      <c r="T142" s="28">
        <f>SUM(Q142:S142)</f>
        <v>745</v>
      </c>
      <c r="U142" s="28">
        <f>P142+T142</f>
        <v>1490</v>
      </c>
    </row>
    <row r="143" spans="1:22" x14ac:dyDescent="0.15">
      <c r="A143" s="22" t="s">
        <v>187</v>
      </c>
      <c r="B143" s="7"/>
      <c r="C143" s="8"/>
      <c r="D143" s="9">
        <v>1</v>
      </c>
      <c r="E143" s="43">
        <f t="shared" ref="E143:E169" si="120">SUM(B143:D143)</f>
        <v>1</v>
      </c>
      <c r="F143" s="11"/>
      <c r="G143" s="8"/>
      <c r="H143" s="9">
        <v>1</v>
      </c>
      <c r="I143" s="43">
        <f t="shared" ref="I143:I169" si="121">SUM(F143:H143)</f>
        <v>1</v>
      </c>
      <c r="J143" s="10">
        <f t="shared" ref="J143:J168" si="122">E143+I143</f>
        <v>2</v>
      </c>
      <c r="K143" s="56">
        <v>45224</v>
      </c>
      <c r="L143" s="24" t="s">
        <v>165</v>
      </c>
      <c r="M143" s="7">
        <v>30</v>
      </c>
      <c r="N143" s="8">
        <v>30</v>
      </c>
      <c r="O143" s="9">
        <v>30</v>
      </c>
      <c r="P143" s="43">
        <f t="shared" ref="P143:P169" si="123">SUM(M143:O143)</f>
        <v>90</v>
      </c>
      <c r="Q143" s="11">
        <v>30</v>
      </c>
      <c r="R143" s="8">
        <v>30</v>
      </c>
      <c r="S143" s="9">
        <v>30</v>
      </c>
      <c r="T143" s="43">
        <f t="shared" ref="T143:T169" si="124">SUM(Q143:S143)</f>
        <v>90</v>
      </c>
      <c r="U143" s="10">
        <f t="shared" ref="U143:U168" si="125">P143+T143</f>
        <v>180</v>
      </c>
      <c r="V143" s="56">
        <v>45224</v>
      </c>
    </row>
    <row r="144" spans="1:22" x14ac:dyDescent="0.15">
      <c r="A144" s="22"/>
      <c r="B144" s="7"/>
      <c r="C144" s="8"/>
      <c r="D144" s="9"/>
      <c r="E144" s="43">
        <f t="shared" si="120"/>
        <v>0</v>
      </c>
      <c r="F144" s="11"/>
      <c r="G144" s="8"/>
      <c r="H144" s="9"/>
      <c r="I144" s="43">
        <f t="shared" si="121"/>
        <v>0</v>
      </c>
      <c r="J144" s="10">
        <f t="shared" si="122"/>
        <v>0</v>
      </c>
      <c r="K144" s="56"/>
      <c r="L144" s="103" t="s">
        <v>176</v>
      </c>
      <c r="M144" s="7">
        <v>5</v>
      </c>
      <c r="N144" s="8">
        <v>3</v>
      </c>
      <c r="O144" s="9"/>
      <c r="P144" s="43">
        <f t="shared" si="123"/>
        <v>8</v>
      </c>
      <c r="Q144" s="11">
        <v>5</v>
      </c>
      <c r="R144" s="8">
        <v>3</v>
      </c>
      <c r="S144" s="9"/>
      <c r="T144" s="43">
        <f t="shared" si="124"/>
        <v>8</v>
      </c>
      <c r="U144" s="10">
        <f t="shared" si="125"/>
        <v>16</v>
      </c>
      <c r="V144" s="56">
        <v>45199</v>
      </c>
    </row>
    <row r="145" spans="1:22" x14ac:dyDescent="0.15">
      <c r="A145" s="22"/>
      <c r="B145" s="7"/>
      <c r="C145" s="8"/>
      <c r="D145" s="9"/>
      <c r="E145" s="43">
        <f t="shared" si="120"/>
        <v>0</v>
      </c>
      <c r="F145" s="11"/>
      <c r="G145" s="8"/>
      <c r="H145" s="9"/>
      <c r="I145" s="43">
        <f t="shared" si="121"/>
        <v>0</v>
      </c>
      <c r="J145" s="10">
        <f t="shared" si="122"/>
        <v>0</v>
      </c>
      <c r="K145" s="56"/>
      <c r="L145" s="24" t="s">
        <v>177</v>
      </c>
      <c r="M145" s="7">
        <v>5</v>
      </c>
      <c r="N145" s="8">
        <v>10</v>
      </c>
      <c r="O145" s="9">
        <v>5</v>
      </c>
      <c r="P145" s="43">
        <f t="shared" si="123"/>
        <v>20</v>
      </c>
      <c r="Q145" s="11">
        <v>5</v>
      </c>
      <c r="R145" s="8">
        <v>10</v>
      </c>
      <c r="S145" s="9">
        <v>5</v>
      </c>
      <c r="T145" s="43">
        <f t="shared" si="124"/>
        <v>20</v>
      </c>
      <c r="U145" s="10">
        <f t="shared" si="125"/>
        <v>40</v>
      </c>
      <c r="V145" s="56">
        <v>45205</v>
      </c>
    </row>
    <row r="146" spans="1:22" x14ac:dyDescent="0.15">
      <c r="A146" s="22"/>
      <c r="B146" s="7"/>
      <c r="C146" s="8"/>
      <c r="D146" s="9"/>
      <c r="E146" s="43">
        <f t="shared" si="120"/>
        <v>0</v>
      </c>
      <c r="F146" s="11"/>
      <c r="G146" s="8"/>
      <c r="H146" s="9"/>
      <c r="I146" s="43">
        <f t="shared" si="121"/>
        <v>0</v>
      </c>
      <c r="J146" s="10">
        <f t="shared" si="122"/>
        <v>0</v>
      </c>
      <c r="K146" s="56"/>
      <c r="L146" s="24" t="s">
        <v>179</v>
      </c>
      <c r="M146" s="7">
        <v>5</v>
      </c>
      <c r="N146" s="8"/>
      <c r="O146" s="9">
        <v>5</v>
      </c>
      <c r="P146" s="43">
        <f t="shared" si="123"/>
        <v>10</v>
      </c>
      <c r="Q146" s="11">
        <v>5</v>
      </c>
      <c r="R146" s="8"/>
      <c r="S146" s="9">
        <v>5</v>
      </c>
      <c r="T146" s="43">
        <f t="shared" si="124"/>
        <v>10</v>
      </c>
      <c r="U146" s="10">
        <f t="shared" si="125"/>
        <v>20</v>
      </c>
      <c r="V146" s="56">
        <v>45211</v>
      </c>
    </row>
    <row r="147" spans="1:22" x14ac:dyDescent="0.15">
      <c r="A147" s="22"/>
      <c r="B147" s="7"/>
      <c r="C147" s="8"/>
      <c r="D147" s="9"/>
      <c r="E147" s="43">
        <f t="shared" si="120"/>
        <v>0</v>
      </c>
      <c r="F147" s="11"/>
      <c r="G147" s="8"/>
      <c r="H147" s="9"/>
      <c r="I147" s="43">
        <f t="shared" si="121"/>
        <v>0</v>
      </c>
      <c r="J147" s="10">
        <f t="shared" si="122"/>
        <v>0</v>
      </c>
      <c r="K147" s="56"/>
      <c r="L147" s="103" t="s">
        <v>37</v>
      </c>
      <c r="M147" s="7"/>
      <c r="N147" s="8"/>
      <c r="O147" s="9">
        <v>1</v>
      </c>
      <c r="P147" s="43">
        <f t="shared" si="123"/>
        <v>1</v>
      </c>
      <c r="Q147" s="11"/>
      <c r="R147" s="8"/>
      <c r="S147" s="9">
        <v>1</v>
      </c>
      <c r="T147" s="43">
        <f t="shared" si="124"/>
        <v>1</v>
      </c>
      <c r="U147" s="10">
        <f t="shared" si="125"/>
        <v>2</v>
      </c>
      <c r="V147" s="58">
        <v>45206</v>
      </c>
    </row>
    <row r="148" spans="1:22" x14ac:dyDescent="0.15">
      <c r="A148" s="22"/>
      <c r="B148" s="7"/>
      <c r="C148" s="8"/>
      <c r="D148" s="9"/>
      <c r="E148" s="43">
        <f t="shared" si="120"/>
        <v>0</v>
      </c>
      <c r="F148" s="11"/>
      <c r="G148" s="8"/>
      <c r="H148" s="9"/>
      <c r="I148" s="43">
        <f t="shared" si="121"/>
        <v>0</v>
      </c>
      <c r="J148" s="10">
        <f t="shared" si="122"/>
        <v>0</v>
      </c>
      <c r="K148" s="56"/>
      <c r="L148" s="24" t="s">
        <v>184</v>
      </c>
      <c r="M148" s="7">
        <v>1</v>
      </c>
      <c r="N148" s="8">
        <v>1</v>
      </c>
      <c r="O148" s="9"/>
      <c r="P148" s="43">
        <f t="shared" si="123"/>
        <v>2</v>
      </c>
      <c r="Q148" s="11">
        <v>1</v>
      </c>
      <c r="R148" s="8">
        <v>1</v>
      </c>
      <c r="S148" s="9"/>
      <c r="T148" s="43">
        <f t="shared" si="124"/>
        <v>2</v>
      </c>
      <c r="U148" s="10">
        <f t="shared" si="125"/>
        <v>4</v>
      </c>
      <c r="V148" s="56">
        <v>45223</v>
      </c>
    </row>
    <row r="149" spans="1:22" x14ac:dyDescent="0.15">
      <c r="A149" s="22"/>
      <c r="B149" s="7"/>
      <c r="C149" s="8"/>
      <c r="D149" s="9"/>
      <c r="E149" s="43">
        <f t="shared" si="120"/>
        <v>0</v>
      </c>
      <c r="F149" s="11"/>
      <c r="G149" s="8"/>
      <c r="H149" s="9"/>
      <c r="I149" s="43">
        <f t="shared" si="121"/>
        <v>0</v>
      </c>
      <c r="J149" s="10">
        <f t="shared" si="122"/>
        <v>0</v>
      </c>
      <c r="K149" s="56"/>
      <c r="L149" s="24" t="s">
        <v>185</v>
      </c>
      <c r="M149" s="7"/>
      <c r="N149" s="8">
        <v>1</v>
      </c>
      <c r="O149" s="9"/>
      <c r="P149" s="43">
        <f t="shared" si="123"/>
        <v>1</v>
      </c>
      <c r="Q149" s="11"/>
      <c r="R149" s="8">
        <v>1</v>
      </c>
      <c r="S149" s="9"/>
      <c r="T149" s="43">
        <f t="shared" si="124"/>
        <v>1</v>
      </c>
      <c r="U149" s="10">
        <f t="shared" si="125"/>
        <v>2</v>
      </c>
      <c r="V149" s="56">
        <v>45224</v>
      </c>
    </row>
    <row r="150" spans="1:22" x14ac:dyDescent="0.15">
      <c r="A150" s="22"/>
      <c r="B150" s="7"/>
      <c r="C150" s="8"/>
      <c r="D150" s="9"/>
      <c r="E150" s="43">
        <f t="shared" si="120"/>
        <v>0</v>
      </c>
      <c r="F150" s="11"/>
      <c r="G150" s="8"/>
      <c r="H150" s="9"/>
      <c r="I150" s="43">
        <f t="shared" si="121"/>
        <v>0</v>
      </c>
      <c r="J150" s="10">
        <f t="shared" si="122"/>
        <v>0</v>
      </c>
      <c r="K150" s="56"/>
      <c r="L150" s="24" t="s">
        <v>186</v>
      </c>
      <c r="M150" s="7">
        <v>1</v>
      </c>
      <c r="N150" s="8">
        <v>7</v>
      </c>
      <c r="O150" s="9">
        <v>2</v>
      </c>
      <c r="P150" s="43">
        <f t="shared" si="123"/>
        <v>10</v>
      </c>
      <c r="Q150" s="11">
        <v>1</v>
      </c>
      <c r="R150" s="8">
        <v>7</v>
      </c>
      <c r="S150" s="9">
        <v>2</v>
      </c>
      <c r="T150" s="43">
        <f t="shared" si="124"/>
        <v>10</v>
      </c>
      <c r="U150" s="10">
        <f t="shared" si="125"/>
        <v>20</v>
      </c>
      <c r="V150" s="56">
        <v>45225</v>
      </c>
    </row>
    <row r="151" spans="1:22" x14ac:dyDescent="0.15">
      <c r="A151" s="22"/>
      <c r="B151" s="7"/>
      <c r="C151" s="8"/>
      <c r="D151" s="9"/>
      <c r="E151" s="43">
        <f t="shared" si="120"/>
        <v>0</v>
      </c>
      <c r="F151" s="11"/>
      <c r="G151" s="8"/>
      <c r="H151" s="9"/>
      <c r="I151" s="43">
        <f t="shared" si="121"/>
        <v>0</v>
      </c>
      <c r="J151" s="10">
        <f t="shared" si="122"/>
        <v>0</v>
      </c>
      <c r="K151" s="56"/>
      <c r="L151" s="24" t="s">
        <v>189</v>
      </c>
      <c r="M151" s="7">
        <v>6</v>
      </c>
      <c r="N151" s="8">
        <v>4</v>
      </c>
      <c r="O151" s="9"/>
      <c r="P151" s="43">
        <f t="shared" si="123"/>
        <v>10</v>
      </c>
      <c r="Q151" s="11">
        <v>6</v>
      </c>
      <c r="R151" s="8">
        <v>4</v>
      </c>
      <c r="S151" s="9"/>
      <c r="T151" s="43">
        <f t="shared" si="124"/>
        <v>10</v>
      </c>
      <c r="U151" s="10">
        <f t="shared" si="125"/>
        <v>20</v>
      </c>
      <c r="V151" s="56">
        <v>45226</v>
      </c>
    </row>
    <row r="152" spans="1:22" x14ac:dyDescent="0.15">
      <c r="A152" s="22"/>
      <c r="B152" s="12"/>
      <c r="C152" s="13"/>
      <c r="D152" s="14"/>
      <c r="E152" s="43">
        <f t="shared" si="120"/>
        <v>0</v>
      </c>
      <c r="F152" s="15"/>
      <c r="G152" s="13"/>
      <c r="H152" s="14"/>
      <c r="I152" s="43">
        <f t="shared" si="121"/>
        <v>0</v>
      </c>
      <c r="J152" s="10">
        <f t="shared" si="122"/>
        <v>0</v>
      </c>
      <c r="K152" s="56"/>
      <c r="L152" s="24" t="s">
        <v>191</v>
      </c>
      <c r="M152" s="7">
        <v>4</v>
      </c>
      <c r="N152" s="8">
        <v>9</v>
      </c>
      <c r="O152" s="9">
        <v>4</v>
      </c>
      <c r="P152" s="43">
        <f t="shared" si="123"/>
        <v>17</v>
      </c>
      <c r="Q152" s="11">
        <v>4</v>
      </c>
      <c r="R152" s="8">
        <v>9</v>
      </c>
      <c r="S152" s="9">
        <v>4</v>
      </c>
      <c r="T152" s="43">
        <f t="shared" si="124"/>
        <v>17</v>
      </c>
      <c r="U152" s="10">
        <f t="shared" si="125"/>
        <v>34</v>
      </c>
      <c r="V152" s="56">
        <v>45229</v>
      </c>
    </row>
    <row r="153" spans="1:22" x14ac:dyDescent="0.15">
      <c r="A153" s="22"/>
      <c r="B153" s="7"/>
      <c r="C153" s="8"/>
      <c r="D153" s="9"/>
      <c r="E153" s="43">
        <f t="shared" si="120"/>
        <v>0</v>
      </c>
      <c r="F153" s="11"/>
      <c r="G153" s="8"/>
      <c r="H153" s="9"/>
      <c r="I153" s="43">
        <f t="shared" si="121"/>
        <v>0</v>
      </c>
      <c r="J153" s="10">
        <f t="shared" si="122"/>
        <v>0</v>
      </c>
      <c r="K153" s="56"/>
      <c r="L153" s="24" t="s">
        <v>193</v>
      </c>
      <c r="M153" s="7">
        <v>1</v>
      </c>
      <c r="N153" s="8">
        <v>4</v>
      </c>
      <c r="O153" s="9">
        <v>2</v>
      </c>
      <c r="P153" s="43">
        <f t="shared" si="123"/>
        <v>7</v>
      </c>
      <c r="Q153" s="11">
        <v>1</v>
      </c>
      <c r="R153" s="8">
        <v>4</v>
      </c>
      <c r="S153" s="9">
        <v>2</v>
      </c>
      <c r="T153" s="43">
        <f t="shared" si="124"/>
        <v>7</v>
      </c>
      <c r="U153" s="10">
        <f t="shared" si="125"/>
        <v>14</v>
      </c>
      <c r="V153" s="56">
        <v>45230</v>
      </c>
    </row>
    <row r="154" spans="1:22" x14ac:dyDescent="0.15">
      <c r="A154" s="22"/>
      <c r="B154" s="7"/>
      <c r="C154" s="8"/>
      <c r="D154" s="9"/>
      <c r="E154" s="43">
        <f t="shared" si="120"/>
        <v>0</v>
      </c>
      <c r="F154" s="11"/>
      <c r="G154" s="8"/>
      <c r="H154" s="9"/>
      <c r="I154" s="43">
        <f t="shared" si="121"/>
        <v>0</v>
      </c>
      <c r="J154" s="10">
        <f t="shared" si="122"/>
        <v>0</v>
      </c>
      <c r="K154" s="56"/>
      <c r="L154" s="24" t="s">
        <v>195</v>
      </c>
      <c r="M154" s="7"/>
      <c r="N154" s="8">
        <v>3</v>
      </c>
      <c r="O154" s="9">
        <v>5</v>
      </c>
      <c r="P154" s="43">
        <f t="shared" si="123"/>
        <v>8</v>
      </c>
      <c r="Q154" s="11"/>
      <c r="R154" s="8">
        <v>3</v>
      </c>
      <c r="S154" s="9">
        <v>5</v>
      </c>
      <c r="T154" s="43">
        <f t="shared" si="124"/>
        <v>8</v>
      </c>
      <c r="U154" s="10">
        <f t="shared" si="125"/>
        <v>16</v>
      </c>
      <c r="V154" s="56">
        <v>45231</v>
      </c>
    </row>
    <row r="155" spans="1:22" x14ac:dyDescent="0.15">
      <c r="A155" s="22"/>
      <c r="B155" s="7"/>
      <c r="C155" s="8"/>
      <c r="D155" s="9"/>
      <c r="E155" s="43">
        <f t="shared" si="120"/>
        <v>0</v>
      </c>
      <c r="F155" s="11"/>
      <c r="G155" s="8"/>
      <c r="H155" s="9"/>
      <c r="I155" s="43">
        <f t="shared" si="121"/>
        <v>0</v>
      </c>
      <c r="J155" s="10">
        <f t="shared" si="122"/>
        <v>0</v>
      </c>
      <c r="K155" s="56"/>
      <c r="L155" s="24" t="s">
        <v>197</v>
      </c>
      <c r="M155" s="7">
        <v>4</v>
      </c>
      <c r="N155" s="8"/>
      <c r="O155" s="9">
        <v>2</v>
      </c>
      <c r="P155" s="43">
        <f t="shared" si="123"/>
        <v>6</v>
      </c>
      <c r="Q155" s="11">
        <v>4</v>
      </c>
      <c r="R155" s="8"/>
      <c r="S155" s="9">
        <v>2</v>
      </c>
      <c r="T155" s="43">
        <f t="shared" si="124"/>
        <v>6</v>
      </c>
      <c r="U155" s="10">
        <f t="shared" si="125"/>
        <v>12</v>
      </c>
      <c r="V155" s="56">
        <v>45232</v>
      </c>
    </row>
    <row r="156" spans="1:22" x14ac:dyDescent="0.15">
      <c r="A156" s="22"/>
      <c r="B156" s="7"/>
      <c r="C156" s="8"/>
      <c r="D156" s="9"/>
      <c r="E156" s="43">
        <f t="shared" si="120"/>
        <v>0</v>
      </c>
      <c r="F156" s="11"/>
      <c r="G156" s="8"/>
      <c r="H156" s="9"/>
      <c r="I156" s="43">
        <f t="shared" si="121"/>
        <v>0</v>
      </c>
      <c r="J156" s="10">
        <f t="shared" si="122"/>
        <v>0</v>
      </c>
      <c r="K156" s="56"/>
      <c r="L156" s="24" t="s">
        <v>200</v>
      </c>
      <c r="M156" s="7">
        <v>2</v>
      </c>
      <c r="N156" s="8"/>
      <c r="O156" s="9">
        <v>1</v>
      </c>
      <c r="P156" s="43">
        <f t="shared" si="123"/>
        <v>3</v>
      </c>
      <c r="Q156" s="11">
        <v>2</v>
      </c>
      <c r="R156" s="8"/>
      <c r="S156" s="9">
        <v>1</v>
      </c>
      <c r="T156" s="43">
        <f t="shared" si="124"/>
        <v>3</v>
      </c>
      <c r="U156" s="10">
        <f t="shared" si="125"/>
        <v>6</v>
      </c>
      <c r="V156" s="56">
        <v>45236</v>
      </c>
    </row>
    <row r="157" spans="1:22" x14ac:dyDescent="0.15">
      <c r="A157" s="22"/>
      <c r="B157" s="7"/>
      <c r="C157" s="8"/>
      <c r="D157" s="9"/>
      <c r="E157" s="43">
        <f t="shared" si="120"/>
        <v>0</v>
      </c>
      <c r="F157" s="11"/>
      <c r="G157" s="8"/>
      <c r="H157" s="9"/>
      <c r="I157" s="43">
        <f t="shared" si="121"/>
        <v>0</v>
      </c>
      <c r="J157" s="10">
        <f t="shared" si="122"/>
        <v>0</v>
      </c>
      <c r="K157" s="56"/>
      <c r="L157" s="24" t="s">
        <v>202</v>
      </c>
      <c r="M157" s="7"/>
      <c r="N157" s="8">
        <v>5</v>
      </c>
      <c r="O157" s="9"/>
      <c r="P157" s="43">
        <f t="shared" si="123"/>
        <v>5</v>
      </c>
      <c r="Q157" s="11"/>
      <c r="R157" s="8">
        <v>5</v>
      </c>
      <c r="S157" s="9"/>
      <c r="T157" s="43">
        <f t="shared" si="124"/>
        <v>5</v>
      </c>
      <c r="U157" s="10">
        <f t="shared" si="125"/>
        <v>10</v>
      </c>
      <c r="V157" s="56">
        <v>45237</v>
      </c>
    </row>
    <row r="158" spans="1:22" x14ac:dyDescent="0.15">
      <c r="A158" s="22"/>
      <c r="B158" s="7"/>
      <c r="C158" s="8"/>
      <c r="D158" s="9"/>
      <c r="E158" s="43">
        <f t="shared" si="120"/>
        <v>0</v>
      </c>
      <c r="F158" s="11"/>
      <c r="G158" s="8"/>
      <c r="H158" s="9"/>
      <c r="I158" s="43">
        <f t="shared" si="121"/>
        <v>0</v>
      </c>
      <c r="J158" s="10">
        <f t="shared" si="122"/>
        <v>0</v>
      </c>
      <c r="K158" s="56"/>
      <c r="L158" s="24" t="s">
        <v>204</v>
      </c>
      <c r="M158" s="7"/>
      <c r="N158" s="8"/>
      <c r="O158" s="9">
        <v>1</v>
      </c>
      <c r="P158" s="43">
        <f t="shared" si="123"/>
        <v>1</v>
      </c>
      <c r="Q158" s="11"/>
      <c r="R158" s="8"/>
      <c r="S158" s="9">
        <v>1</v>
      </c>
      <c r="T158" s="43">
        <f t="shared" si="124"/>
        <v>1</v>
      </c>
      <c r="U158" s="10">
        <f t="shared" si="125"/>
        <v>2</v>
      </c>
      <c r="V158" s="56">
        <v>45238</v>
      </c>
    </row>
    <row r="159" spans="1:22" x14ac:dyDescent="0.15">
      <c r="A159" s="24"/>
      <c r="B159" s="7"/>
      <c r="C159" s="8"/>
      <c r="D159" s="9"/>
      <c r="E159" s="43">
        <f t="shared" si="120"/>
        <v>0</v>
      </c>
      <c r="F159" s="11"/>
      <c r="G159" s="8"/>
      <c r="H159" s="9"/>
      <c r="I159" s="43">
        <f t="shared" si="121"/>
        <v>0</v>
      </c>
      <c r="J159" s="10">
        <f t="shared" si="122"/>
        <v>0</v>
      </c>
      <c r="K159" s="56"/>
      <c r="L159" s="24" t="s">
        <v>206</v>
      </c>
      <c r="M159" s="7"/>
      <c r="N159" s="8"/>
      <c r="O159" s="9">
        <v>2</v>
      </c>
      <c r="P159" s="43">
        <f t="shared" si="123"/>
        <v>2</v>
      </c>
      <c r="Q159" s="11"/>
      <c r="R159" s="8"/>
      <c r="S159" s="9">
        <v>2</v>
      </c>
      <c r="T159" s="43">
        <f t="shared" si="124"/>
        <v>2</v>
      </c>
      <c r="U159" s="10">
        <f t="shared" si="125"/>
        <v>4</v>
      </c>
      <c r="V159" s="56">
        <v>45239</v>
      </c>
    </row>
    <row r="160" spans="1:22" x14ac:dyDescent="0.15">
      <c r="A160" s="22"/>
      <c r="B160" s="7"/>
      <c r="C160" s="8"/>
      <c r="D160" s="9"/>
      <c r="E160" s="43">
        <f t="shared" si="120"/>
        <v>0</v>
      </c>
      <c r="F160" s="11"/>
      <c r="G160" s="8"/>
      <c r="H160" s="9"/>
      <c r="I160" s="43">
        <f t="shared" si="121"/>
        <v>0</v>
      </c>
      <c r="J160" s="10">
        <f t="shared" si="122"/>
        <v>0</v>
      </c>
      <c r="K160" s="56"/>
      <c r="L160" s="24" t="s">
        <v>208</v>
      </c>
      <c r="M160" s="7"/>
      <c r="N160" s="8"/>
      <c r="O160" s="9">
        <v>1</v>
      </c>
      <c r="P160" s="43">
        <f t="shared" si="123"/>
        <v>1</v>
      </c>
      <c r="Q160" s="11"/>
      <c r="R160" s="8"/>
      <c r="S160" s="9">
        <v>1</v>
      </c>
      <c r="T160" s="43">
        <f t="shared" si="124"/>
        <v>1</v>
      </c>
      <c r="U160" s="10">
        <f t="shared" si="125"/>
        <v>2</v>
      </c>
      <c r="V160" s="56">
        <v>45240</v>
      </c>
    </row>
    <row r="161" spans="1:23" x14ac:dyDescent="0.15">
      <c r="A161" s="23"/>
      <c r="B161" s="7"/>
      <c r="C161" s="8"/>
      <c r="D161" s="9"/>
      <c r="E161" s="43">
        <f t="shared" si="120"/>
        <v>0</v>
      </c>
      <c r="F161" s="11"/>
      <c r="G161" s="8"/>
      <c r="H161" s="9"/>
      <c r="I161" s="43">
        <f t="shared" si="121"/>
        <v>0</v>
      </c>
      <c r="J161" s="10">
        <f t="shared" si="122"/>
        <v>0</v>
      </c>
      <c r="K161" s="58"/>
      <c r="L161" s="24" t="s">
        <v>210</v>
      </c>
      <c r="M161" s="7"/>
      <c r="N161" s="8">
        <v>8</v>
      </c>
      <c r="O161" s="9">
        <v>2</v>
      </c>
      <c r="P161" s="43">
        <f t="shared" si="123"/>
        <v>10</v>
      </c>
      <c r="Q161" s="11"/>
      <c r="R161" s="8">
        <v>8</v>
      </c>
      <c r="S161" s="9">
        <v>2</v>
      </c>
      <c r="T161" s="43">
        <f t="shared" si="124"/>
        <v>10</v>
      </c>
      <c r="U161" s="10">
        <f t="shared" si="125"/>
        <v>20</v>
      </c>
      <c r="V161" s="56">
        <v>45244</v>
      </c>
    </row>
    <row r="162" spans="1:23" x14ac:dyDescent="0.15">
      <c r="A162" s="22"/>
      <c r="B162" s="7"/>
      <c r="C162" s="8"/>
      <c r="D162" s="9"/>
      <c r="E162" s="43">
        <f t="shared" si="120"/>
        <v>0</v>
      </c>
      <c r="F162" s="11"/>
      <c r="G162" s="8"/>
      <c r="H162" s="9"/>
      <c r="I162" s="43">
        <f t="shared" si="121"/>
        <v>0</v>
      </c>
      <c r="J162" s="10">
        <f t="shared" si="122"/>
        <v>0</v>
      </c>
      <c r="K162" s="56"/>
      <c r="L162" s="24" t="s">
        <v>211</v>
      </c>
      <c r="M162" s="7">
        <v>10</v>
      </c>
      <c r="N162" s="8">
        <v>15</v>
      </c>
      <c r="O162" s="9">
        <v>5</v>
      </c>
      <c r="P162" s="43">
        <f t="shared" si="123"/>
        <v>30</v>
      </c>
      <c r="Q162" s="11">
        <v>10</v>
      </c>
      <c r="R162" s="8">
        <v>15</v>
      </c>
      <c r="S162" s="9">
        <v>5</v>
      </c>
      <c r="T162" s="43">
        <f t="shared" si="124"/>
        <v>30</v>
      </c>
      <c r="U162" s="10">
        <f t="shared" si="125"/>
        <v>60</v>
      </c>
      <c r="V162" s="56">
        <v>45244</v>
      </c>
      <c r="W162" s="61"/>
    </row>
    <row r="163" spans="1:23" x14ac:dyDescent="0.15">
      <c r="A163" s="24"/>
      <c r="B163" s="7"/>
      <c r="C163" s="8"/>
      <c r="D163" s="9"/>
      <c r="E163" s="43">
        <f t="shared" si="120"/>
        <v>0</v>
      </c>
      <c r="F163" s="11"/>
      <c r="G163" s="8"/>
      <c r="H163" s="9"/>
      <c r="I163" s="43">
        <f t="shared" si="121"/>
        <v>0</v>
      </c>
      <c r="J163" s="10">
        <f t="shared" si="122"/>
        <v>0</v>
      </c>
      <c r="K163" s="56"/>
      <c r="L163" s="24" t="s">
        <v>213</v>
      </c>
      <c r="M163" s="7">
        <v>3</v>
      </c>
      <c r="N163" s="8">
        <v>3</v>
      </c>
      <c r="O163" s="9">
        <v>6</v>
      </c>
      <c r="P163" s="43">
        <f t="shared" si="123"/>
        <v>12</v>
      </c>
      <c r="Q163" s="11">
        <v>3</v>
      </c>
      <c r="R163" s="8">
        <v>3</v>
      </c>
      <c r="S163" s="9">
        <v>6</v>
      </c>
      <c r="T163" s="43">
        <f t="shared" si="124"/>
        <v>12</v>
      </c>
      <c r="U163" s="10">
        <f t="shared" si="125"/>
        <v>24</v>
      </c>
      <c r="V163" s="56">
        <v>45245</v>
      </c>
      <c r="W163" s="61"/>
    </row>
    <row r="164" spans="1:23" x14ac:dyDescent="0.15">
      <c r="A164" s="22"/>
      <c r="B164" s="12"/>
      <c r="C164" s="13"/>
      <c r="D164" s="14"/>
      <c r="E164" s="43">
        <f t="shared" si="120"/>
        <v>0</v>
      </c>
      <c r="F164" s="15"/>
      <c r="G164" s="13"/>
      <c r="H164" s="14"/>
      <c r="I164" s="43">
        <f t="shared" si="121"/>
        <v>0</v>
      </c>
      <c r="J164" s="10">
        <f t="shared" si="122"/>
        <v>0</v>
      </c>
      <c r="K164" s="59"/>
      <c r="L164" s="24" t="s">
        <v>214</v>
      </c>
      <c r="M164" s="7"/>
      <c r="N164" s="8">
        <v>10</v>
      </c>
      <c r="O164" s="9">
        <v>10</v>
      </c>
      <c r="P164" s="43">
        <f t="shared" si="123"/>
        <v>20</v>
      </c>
      <c r="Q164" s="11"/>
      <c r="R164" s="8">
        <v>10</v>
      </c>
      <c r="S164" s="9">
        <v>10</v>
      </c>
      <c r="T164" s="43">
        <f t="shared" si="124"/>
        <v>20</v>
      </c>
      <c r="U164" s="10">
        <f t="shared" si="125"/>
        <v>40</v>
      </c>
      <c r="V164" s="56">
        <v>45246</v>
      </c>
    </row>
    <row r="165" spans="1:23" x14ac:dyDescent="0.15">
      <c r="A165" s="22"/>
      <c r="B165" s="7"/>
      <c r="C165" s="8"/>
      <c r="D165" s="9"/>
      <c r="E165" s="43">
        <f t="shared" si="120"/>
        <v>0</v>
      </c>
      <c r="F165" s="11"/>
      <c r="G165" s="8"/>
      <c r="H165" s="9"/>
      <c r="I165" s="43">
        <f t="shared" si="121"/>
        <v>0</v>
      </c>
      <c r="J165" s="10">
        <f t="shared" si="122"/>
        <v>0</v>
      </c>
      <c r="K165" s="56"/>
      <c r="L165" s="24"/>
      <c r="M165" s="7"/>
      <c r="N165" s="8"/>
      <c r="O165" s="9"/>
      <c r="P165" s="43">
        <f t="shared" si="123"/>
        <v>0</v>
      </c>
      <c r="Q165" s="11"/>
      <c r="R165" s="8"/>
      <c r="S165" s="9"/>
      <c r="T165" s="43">
        <f t="shared" si="124"/>
        <v>0</v>
      </c>
      <c r="U165" s="10">
        <f t="shared" si="125"/>
        <v>0</v>
      </c>
    </row>
    <row r="166" spans="1:23" x14ac:dyDescent="0.15">
      <c r="A166" s="22"/>
      <c r="B166" s="7"/>
      <c r="C166" s="8"/>
      <c r="D166" s="9"/>
      <c r="E166" s="43">
        <f t="shared" si="120"/>
        <v>0</v>
      </c>
      <c r="F166" s="11"/>
      <c r="G166" s="8"/>
      <c r="H166" s="9"/>
      <c r="I166" s="43">
        <f t="shared" si="121"/>
        <v>0</v>
      </c>
      <c r="J166" s="10">
        <f t="shared" si="122"/>
        <v>0</v>
      </c>
      <c r="K166" s="56"/>
      <c r="L166" s="24" t="s">
        <v>169</v>
      </c>
      <c r="M166" s="7"/>
      <c r="N166" s="8"/>
      <c r="O166" s="9"/>
      <c r="P166" s="43">
        <f t="shared" si="123"/>
        <v>0</v>
      </c>
      <c r="Q166" s="7"/>
      <c r="R166" s="8"/>
      <c r="S166" s="9"/>
      <c r="T166" s="43">
        <f t="shared" si="124"/>
        <v>0</v>
      </c>
      <c r="U166" s="10">
        <f t="shared" si="125"/>
        <v>0</v>
      </c>
      <c r="V166" s="61" t="s">
        <v>168</v>
      </c>
    </row>
    <row r="167" spans="1:23" x14ac:dyDescent="0.15">
      <c r="A167" s="22"/>
      <c r="B167" s="7"/>
      <c r="C167" s="8"/>
      <c r="D167" s="9"/>
      <c r="E167" s="43">
        <f t="shared" si="120"/>
        <v>0</v>
      </c>
      <c r="F167" s="11"/>
      <c r="G167" s="8"/>
      <c r="H167" s="9"/>
      <c r="I167" s="43">
        <f t="shared" si="121"/>
        <v>0</v>
      </c>
      <c r="J167" s="10">
        <f t="shared" si="122"/>
        <v>0</v>
      </c>
      <c r="K167" s="56"/>
      <c r="L167" s="24" t="s">
        <v>174</v>
      </c>
      <c r="M167" s="7"/>
      <c r="N167" s="8"/>
      <c r="O167" s="9"/>
      <c r="P167" s="43">
        <f t="shared" si="123"/>
        <v>0</v>
      </c>
      <c r="Q167" s="7"/>
      <c r="R167" s="8"/>
      <c r="S167" s="9"/>
      <c r="T167" s="43">
        <f t="shared" si="124"/>
        <v>0</v>
      </c>
      <c r="U167" s="10">
        <f t="shared" si="125"/>
        <v>0</v>
      </c>
      <c r="V167" s="61" t="s">
        <v>175</v>
      </c>
    </row>
    <row r="168" spans="1:23" ht="14.25" thickBot="1" x14ac:dyDescent="0.2">
      <c r="A168" s="22"/>
      <c r="B168" s="7"/>
      <c r="C168" s="8"/>
      <c r="D168" s="9"/>
      <c r="E168" s="43">
        <f t="shared" si="120"/>
        <v>0</v>
      </c>
      <c r="F168" s="11"/>
      <c r="G168" s="8"/>
      <c r="H168" s="9"/>
      <c r="I168" s="43">
        <f t="shared" si="121"/>
        <v>0</v>
      </c>
      <c r="J168" s="10">
        <f t="shared" si="122"/>
        <v>0</v>
      </c>
      <c r="K168" s="56"/>
      <c r="L168" s="24" t="s">
        <v>172</v>
      </c>
      <c r="M168" s="7"/>
      <c r="N168" s="8"/>
      <c r="O168" s="9"/>
      <c r="P168" s="43">
        <f t="shared" si="123"/>
        <v>0</v>
      </c>
      <c r="Q168" s="7"/>
      <c r="R168" s="8"/>
      <c r="S168" s="9"/>
      <c r="T168" s="43">
        <f t="shared" si="124"/>
        <v>0</v>
      </c>
      <c r="U168" s="10">
        <f t="shared" si="125"/>
        <v>0</v>
      </c>
      <c r="V168" s="61" t="s">
        <v>171</v>
      </c>
    </row>
    <row r="169" spans="1:23" ht="14.25" thickBot="1" x14ac:dyDescent="0.2">
      <c r="A169" s="35" t="s">
        <v>17</v>
      </c>
      <c r="B169" s="40">
        <f>SUM(B143:B168)</f>
        <v>0</v>
      </c>
      <c r="C169" s="41">
        <f t="shared" ref="C169:D169" si="126">SUM(C143:C168)</f>
        <v>0</v>
      </c>
      <c r="D169" s="52">
        <f t="shared" si="126"/>
        <v>1</v>
      </c>
      <c r="E169" s="39">
        <f t="shared" si="120"/>
        <v>1</v>
      </c>
      <c r="F169" s="40">
        <f>SUM(F143:F168)</f>
        <v>0</v>
      </c>
      <c r="G169" s="41">
        <f t="shared" ref="G169:H169" si="127">SUM(G143:G168)</f>
        <v>0</v>
      </c>
      <c r="H169" s="52">
        <f t="shared" si="127"/>
        <v>1</v>
      </c>
      <c r="I169" s="39">
        <f t="shared" si="121"/>
        <v>1</v>
      </c>
      <c r="J169" s="39">
        <f>E169+I169</f>
        <v>2</v>
      </c>
      <c r="K169" s="34"/>
      <c r="L169" s="35" t="s">
        <v>17</v>
      </c>
      <c r="M169" s="40">
        <f>SUM(M143:M168)</f>
        <v>77</v>
      </c>
      <c r="N169" s="41">
        <f t="shared" ref="N169:O169" si="128">SUM(N143:N168)</f>
        <v>113</v>
      </c>
      <c r="O169" s="52">
        <f t="shared" si="128"/>
        <v>84</v>
      </c>
      <c r="P169" s="39">
        <f t="shared" si="123"/>
        <v>274</v>
      </c>
      <c r="Q169" s="40">
        <f>SUM(Q143:Q168)</f>
        <v>77</v>
      </c>
      <c r="R169" s="41">
        <f t="shared" ref="R169:S169" si="129">SUM(R143:R168)</f>
        <v>113</v>
      </c>
      <c r="S169" s="52">
        <f t="shared" si="129"/>
        <v>84</v>
      </c>
      <c r="T169" s="39">
        <f t="shared" si="124"/>
        <v>274</v>
      </c>
      <c r="U169" s="39">
        <f>P169+T169</f>
        <v>548</v>
      </c>
    </row>
    <row r="170" spans="1:23" ht="14.25" thickBot="1" x14ac:dyDescent="0.2">
      <c r="A170" s="21" t="s">
        <v>16</v>
      </c>
      <c r="B170" s="44">
        <f>B142-B169</f>
        <v>5</v>
      </c>
      <c r="C170" s="50">
        <f t="shared" ref="C170:D170" si="130">C142-C169</f>
        <v>5</v>
      </c>
      <c r="D170" s="51">
        <f t="shared" si="130"/>
        <v>3</v>
      </c>
      <c r="E170" s="49">
        <f>SUM(B170:D170)</f>
        <v>13</v>
      </c>
      <c r="F170" s="44">
        <f>F142-F169</f>
        <v>5</v>
      </c>
      <c r="G170" s="50">
        <f t="shared" ref="G170:H170" si="131">G142-G169</f>
        <v>5</v>
      </c>
      <c r="H170" s="51">
        <f t="shared" si="131"/>
        <v>2</v>
      </c>
      <c r="I170" s="49">
        <f>SUM(F170:H170)</f>
        <v>12</v>
      </c>
      <c r="J170" s="28">
        <f>E170+I170</f>
        <v>25</v>
      </c>
      <c r="L170" s="21" t="s">
        <v>16</v>
      </c>
      <c r="M170" s="44">
        <f>M142-M169</f>
        <v>156</v>
      </c>
      <c r="N170" s="50">
        <f t="shared" ref="N170:O170" si="132">N142-N169</f>
        <v>169</v>
      </c>
      <c r="O170" s="51">
        <f t="shared" si="132"/>
        <v>146</v>
      </c>
      <c r="P170" s="49">
        <f>SUM(M170:O170)</f>
        <v>471</v>
      </c>
      <c r="Q170" s="44">
        <f>Q142-Q169</f>
        <v>156</v>
      </c>
      <c r="R170" s="50">
        <f t="shared" ref="R170:S170" si="133">R142-R169</f>
        <v>169</v>
      </c>
      <c r="S170" s="51">
        <f t="shared" si="133"/>
        <v>146</v>
      </c>
      <c r="T170" s="49">
        <f>SUM(Q170:S170)</f>
        <v>471</v>
      </c>
      <c r="U170" s="28">
        <f>P170+T170</f>
        <v>942</v>
      </c>
    </row>
    <row r="171" spans="1:23" x14ac:dyDescent="0.15">
      <c r="M171" s="88"/>
      <c r="N171" s="88"/>
      <c r="O171" s="88"/>
      <c r="P171" s="88"/>
    </row>
    <row r="172" spans="1:23" x14ac:dyDescent="0.15">
      <c r="M172" s="97"/>
      <c r="N172" s="97"/>
      <c r="O172" s="97"/>
      <c r="P172" s="98"/>
    </row>
    <row r="173" spans="1:23" ht="19.5" thickBot="1" x14ac:dyDescent="0.25">
      <c r="A173" s="84" t="s">
        <v>31</v>
      </c>
      <c r="B173" s="85"/>
      <c r="C173" s="85"/>
      <c r="D173" s="85"/>
      <c r="E173" s="85"/>
      <c r="F173" s="85"/>
      <c r="G173" s="85"/>
      <c r="H173" s="85"/>
      <c r="I173" s="85"/>
      <c r="J173" s="85"/>
      <c r="L173" s="82" t="s">
        <v>32</v>
      </c>
      <c r="M173" s="83"/>
      <c r="N173" s="83"/>
      <c r="O173" s="83"/>
      <c r="P173" s="83"/>
      <c r="Q173" s="83"/>
      <c r="R173" s="83"/>
      <c r="S173" s="83"/>
      <c r="T173" s="83"/>
      <c r="U173" s="83"/>
    </row>
    <row r="174" spans="1:23" ht="14.25" thickBot="1" x14ac:dyDescent="0.2">
      <c r="A174" s="6"/>
      <c r="B174" s="159" t="s">
        <v>33</v>
      </c>
      <c r="C174" s="160"/>
      <c r="D174" s="160"/>
      <c r="E174" s="161"/>
      <c r="F174" s="159" t="s">
        <v>22</v>
      </c>
      <c r="G174" s="160"/>
      <c r="H174" s="160"/>
      <c r="I174" s="162"/>
      <c r="J174" s="157" t="s">
        <v>0</v>
      </c>
      <c r="L174" s="6"/>
      <c r="M174" s="159" t="s">
        <v>33</v>
      </c>
      <c r="N174" s="160"/>
      <c r="O174" s="160"/>
      <c r="P174" s="161"/>
      <c r="Q174" s="146" t="s">
        <v>22</v>
      </c>
      <c r="R174" s="147"/>
      <c r="S174" s="147"/>
      <c r="T174" s="148"/>
      <c r="U174" s="157" t="s">
        <v>0</v>
      </c>
    </row>
    <row r="175" spans="1:23" ht="14.25" thickBot="1" x14ac:dyDescent="0.2">
      <c r="A175" s="6" t="s">
        <v>1</v>
      </c>
      <c r="B175" s="3" t="s">
        <v>2</v>
      </c>
      <c r="C175" s="4" t="s">
        <v>3</v>
      </c>
      <c r="D175" s="5" t="s">
        <v>4</v>
      </c>
      <c r="E175" s="6" t="s">
        <v>5</v>
      </c>
      <c r="F175" s="3" t="s">
        <v>2</v>
      </c>
      <c r="G175" s="4" t="s">
        <v>3</v>
      </c>
      <c r="H175" s="5" t="s">
        <v>4</v>
      </c>
      <c r="I175" s="6" t="s">
        <v>5</v>
      </c>
      <c r="J175" s="158"/>
      <c r="L175" s="6" t="s">
        <v>1</v>
      </c>
      <c r="M175" s="3" t="s">
        <v>2</v>
      </c>
      <c r="N175" s="4" t="s">
        <v>3</v>
      </c>
      <c r="O175" s="5" t="s">
        <v>4</v>
      </c>
      <c r="P175" s="6" t="s">
        <v>5</v>
      </c>
      <c r="Q175" s="3" t="s">
        <v>2</v>
      </c>
      <c r="R175" s="4" t="s">
        <v>3</v>
      </c>
      <c r="S175" s="5" t="s">
        <v>4</v>
      </c>
      <c r="T175" s="6" t="s">
        <v>5</v>
      </c>
      <c r="U175" s="158"/>
    </row>
    <row r="176" spans="1:23" ht="14.25" thickBot="1" x14ac:dyDescent="0.2">
      <c r="A176" s="66" t="s">
        <v>6</v>
      </c>
      <c r="B176" s="25">
        <f>B170</f>
        <v>5</v>
      </c>
      <c r="C176" s="26">
        <f>C170</f>
        <v>5</v>
      </c>
      <c r="D176" s="27">
        <f>D170</f>
        <v>3</v>
      </c>
      <c r="E176" s="28">
        <f>SUM(B176:D176)</f>
        <v>13</v>
      </c>
      <c r="F176" s="25">
        <f>F170</f>
        <v>5</v>
      </c>
      <c r="G176" s="26">
        <f>G170</f>
        <v>5</v>
      </c>
      <c r="H176" s="27">
        <f>H170</f>
        <v>2</v>
      </c>
      <c r="I176" s="28">
        <f>SUM(F176:H176)</f>
        <v>12</v>
      </c>
      <c r="J176" s="28">
        <f>E176+I176</f>
        <v>25</v>
      </c>
      <c r="L176" s="66" t="s">
        <v>6</v>
      </c>
      <c r="M176" s="25">
        <f>M170</f>
        <v>156</v>
      </c>
      <c r="N176" s="26">
        <f>N170</f>
        <v>169</v>
      </c>
      <c r="O176" s="27">
        <f>O170</f>
        <v>146</v>
      </c>
      <c r="P176" s="28">
        <f>SUM(M176:O176)</f>
        <v>471</v>
      </c>
      <c r="Q176" s="25">
        <f>Q170</f>
        <v>156</v>
      </c>
      <c r="R176" s="26">
        <f>R170</f>
        <v>169</v>
      </c>
      <c r="S176" s="27">
        <f>S170</f>
        <v>146</v>
      </c>
      <c r="T176" s="28">
        <f>SUM(Q176:S176)</f>
        <v>471</v>
      </c>
      <c r="U176" s="28">
        <f>P176+T176</f>
        <v>942</v>
      </c>
    </row>
    <row r="177" spans="1:23" x14ac:dyDescent="0.15">
      <c r="A177" s="23" t="s">
        <v>20</v>
      </c>
      <c r="B177" s="16"/>
      <c r="C177" s="17"/>
      <c r="D177" s="45">
        <v>1</v>
      </c>
      <c r="E177" s="43">
        <f t="shared" ref="E177:E184" si="134">SUM(B177:D177)</f>
        <v>1</v>
      </c>
      <c r="F177" s="19"/>
      <c r="G177" s="17"/>
      <c r="H177" s="18">
        <v>1</v>
      </c>
      <c r="I177" s="43">
        <f t="shared" ref="I177:I184" si="135">SUM(F177:H177)</f>
        <v>1</v>
      </c>
      <c r="J177" s="43">
        <f t="shared" ref="J177:J184" si="136">E177+I177</f>
        <v>2</v>
      </c>
      <c r="K177" s="56">
        <v>45258</v>
      </c>
      <c r="L177" s="23" t="s">
        <v>7</v>
      </c>
      <c r="M177" s="16"/>
      <c r="N177" s="17">
        <v>2</v>
      </c>
      <c r="O177" s="45">
        <v>2</v>
      </c>
      <c r="P177" s="43">
        <f t="shared" ref="P177" si="137">SUM(M177:O177)</f>
        <v>4</v>
      </c>
      <c r="Q177" s="19"/>
      <c r="R177" s="17">
        <v>2</v>
      </c>
      <c r="S177" s="18">
        <v>2</v>
      </c>
      <c r="T177" s="43">
        <f t="shared" ref="T177" si="138">SUM(Q177:S177)</f>
        <v>4</v>
      </c>
      <c r="U177" s="43">
        <f t="shared" ref="U177" si="139">P177+T177</f>
        <v>8</v>
      </c>
      <c r="V177" s="58">
        <v>45248</v>
      </c>
    </row>
    <row r="178" spans="1:23" x14ac:dyDescent="0.15">
      <c r="A178" s="23" t="s">
        <v>20</v>
      </c>
      <c r="B178" s="7"/>
      <c r="C178" s="8"/>
      <c r="D178" s="46"/>
      <c r="E178" s="10">
        <f t="shared" si="134"/>
        <v>0</v>
      </c>
      <c r="F178" s="11"/>
      <c r="G178" s="8"/>
      <c r="H178" s="9"/>
      <c r="I178" s="10">
        <f t="shared" si="135"/>
        <v>0</v>
      </c>
      <c r="J178" s="10">
        <f t="shared" si="136"/>
        <v>0</v>
      </c>
      <c r="K178" s="61"/>
      <c r="L178" s="23" t="s">
        <v>8</v>
      </c>
      <c r="M178" s="16"/>
      <c r="N178" s="17"/>
      <c r="O178" s="45"/>
      <c r="P178" s="43">
        <f t="shared" ref="P178:P179" si="140">SUM(M178:O178)</f>
        <v>0</v>
      </c>
      <c r="Q178" s="19"/>
      <c r="R178" s="17"/>
      <c r="S178" s="18"/>
      <c r="T178" s="43">
        <f t="shared" ref="T178:T179" si="141">SUM(Q178:S178)</f>
        <v>0</v>
      </c>
      <c r="U178" s="43">
        <f t="shared" ref="U178:U179" si="142">P178+T178</f>
        <v>0</v>
      </c>
    </row>
    <row r="179" spans="1:23" x14ac:dyDescent="0.15">
      <c r="A179" s="23" t="s">
        <v>20</v>
      </c>
      <c r="B179" s="7"/>
      <c r="C179" s="8"/>
      <c r="D179" s="46"/>
      <c r="E179" s="10">
        <f t="shared" si="134"/>
        <v>0</v>
      </c>
      <c r="F179" s="11"/>
      <c r="G179" s="8"/>
      <c r="H179" s="9"/>
      <c r="I179" s="10">
        <f t="shared" si="135"/>
        <v>0</v>
      </c>
      <c r="J179" s="10">
        <f t="shared" si="136"/>
        <v>0</v>
      </c>
      <c r="K179" s="61"/>
      <c r="L179" s="23" t="s">
        <v>9</v>
      </c>
      <c r="M179" s="7"/>
      <c r="N179" s="8"/>
      <c r="O179" s="46"/>
      <c r="P179" s="10">
        <f t="shared" si="140"/>
        <v>0</v>
      </c>
      <c r="Q179" s="11"/>
      <c r="R179" s="8"/>
      <c r="S179" s="9"/>
      <c r="T179" s="10">
        <f t="shared" si="141"/>
        <v>0</v>
      </c>
      <c r="U179" s="10">
        <f t="shared" si="142"/>
        <v>0</v>
      </c>
    </row>
    <row r="180" spans="1:23" x14ac:dyDescent="0.15">
      <c r="A180" s="23" t="s">
        <v>20</v>
      </c>
      <c r="B180" s="7"/>
      <c r="C180" s="8"/>
      <c r="D180" s="46"/>
      <c r="E180" s="10">
        <f t="shared" si="134"/>
        <v>0</v>
      </c>
      <c r="F180" s="11"/>
      <c r="G180" s="8"/>
      <c r="H180" s="9"/>
      <c r="I180" s="10">
        <f t="shared" si="135"/>
        <v>0</v>
      </c>
      <c r="J180" s="10">
        <f t="shared" si="136"/>
        <v>0</v>
      </c>
      <c r="K180" s="61"/>
      <c r="L180" s="23" t="s">
        <v>10</v>
      </c>
      <c r="M180" s="7"/>
      <c r="N180" s="8"/>
      <c r="O180" s="46"/>
      <c r="P180" s="10">
        <f t="shared" ref="P180:P181" si="143">SUM(M180:O180)</f>
        <v>0</v>
      </c>
      <c r="Q180" s="11"/>
      <c r="R180" s="8"/>
      <c r="S180" s="9"/>
      <c r="T180" s="10">
        <f t="shared" ref="T180:T181" si="144">SUM(Q180:S180)</f>
        <v>0</v>
      </c>
      <c r="U180" s="10">
        <f t="shared" ref="U180:U181" si="145">P180+T180</f>
        <v>0</v>
      </c>
    </row>
    <row r="181" spans="1:23" x14ac:dyDescent="0.15">
      <c r="A181" s="23" t="s">
        <v>20</v>
      </c>
      <c r="B181" s="7"/>
      <c r="C181" s="8"/>
      <c r="D181" s="46"/>
      <c r="E181" s="10">
        <f t="shared" si="134"/>
        <v>0</v>
      </c>
      <c r="F181" s="11"/>
      <c r="G181" s="8"/>
      <c r="H181" s="9"/>
      <c r="I181" s="10">
        <f t="shared" si="135"/>
        <v>0</v>
      </c>
      <c r="J181" s="10">
        <f t="shared" si="136"/>
        <v>0</v>
      </c>
      <c r="L181" s="23" t="s">
        <v>11</v>
      </c>
      <c r="M181" s="7"/>
      <c r="N181" s="8"/>
      <c r="O181" s="46"/>
      <c r="P181" s="10">
        <f t="shared" si="143"/>
        <v>0</v>
      </c>
      <c r="Q181" s="11"/>
      <c r="R181" s="8"/>
      <c r="S181" s="9"/>
      <c r="T181" s="10">
        <f t="shared" si="144"/>
        <v>0</v>
      </c>
      <c r="U181" s="10">
        <f t="shared" si="145"/>
        <v>0</v>
      </c>
    </row>
    <row r="182" spans="1:23" x14ac:dyDescent="0.15">
      <c r="A182" s="23" t="s">
        <v>20</v>
      </c>
      <c r="B182" s="7"/>
      <c r="C182" s="8"/>
      <c r="D182" s="46"/>
      <c r="E182" s="10">
        <f t="shared" si="134"/>
        <v>0</v>
      </c>
      <c r="F182" s="11"/>
      <c r="G182" s="8"/>
      <c r="H182" s="9"/>
      <c r="I182" s="10">
        <f t="shared" si="135"/>
        <v>0</v>
      </c>
      <c r="J182" s="10">
        <f t="shared" si="136"/>
        <v>0</v>
      </c>
      <c r="L182" s="23" t="s">
        <v>12</v>
      </c>
      <c r="M182" s="7"/>
      <c r="N182" s="8"/>
      <c r="O182" s="46"/>
      <c r="P182" s="10">
        <f t="shared" ref="P182:P183" si="146">SUM(M182:O182)</f>
        <v>0</v>
      </c>
      <c r="Q182" s="11"/>
      <c r="R182" s="8"/>
      <c r="S182" s="9"/>
      <c r="T182" s="10">
        <f t="shared" ref="T182:T183" si="147">SUM(Q182:S182)</f>
        <v>0</v>
      </c>
      <c r="U182" s="10">
        <f t="shared" ref="U182:U183" si="148">P182+T182</f>
        <v>0</v>
      </c>
    </row>
    <row r="183" spans="1:23" x14ac:dyDescent="0.15">
      <c r="A183" s="23" t="s">
        <v>20</v>
      </c>
      <c r="B183" s="12"/>
      <c r="C183" s="13"/>
      <c r="D183" s="47"/>
      <c r="E183" s="10">
        <f t="shared" si="134"/>
        <v>0</v>
      </c>
      <c r="F183" s="15"/>
      <c r="G183" s="13"/>
      <c r="H183" s="14"/>
      <c r="I183" s="10">
        <f t="shared" si="135"/>
        <v>0</v>
      </c>
      <c r="J183" s="10">
        <f t="shared" si="136"/>
        <v>0</v>
      </c>
      <c r="L183" s="23" t="s">
        <v>13</v>
      </c>
      <c r="M183" s="7"/>
      <c r="N183" s="8"/>
      <c r="O183" s="46"/>
      <c r="P183" s="10">
        <f t="shared" si="146"/>
        <v>0</v>
      </c>
      <c r="Q183" s="11"/>
      <c r="R183" s="8"/>
      <c r="S183" s="9"/>
      <c r="T183" s="10">
        <f t="shared" si="147"/>
        <v>0</v>
      </c>
      <c r="U183" s="10">
        <f t="shared" si="148"/>
        <v>0</v>
      </c>
    </row>
    <row r="184" spans="1:23" ht="14.25" thickBot="1" x14ac:dyDescent="0.2">
      <c r="A184" s="23" t="s">
        <v>20</v>
      </c>
      <c r="B184" s="29"/>
      <c r="C184" s="30"/>
      <c r="D184" s="48"/>
      <c r="E184" s="55">
        <f t="shared" si="134"/>
        <v>0</v>
      </c>
      <c r="F184" s="31"/>
      <c r="G184" s="31"/>
      <c r="H184" s="33"/>
      <c r="I184" s="55">
        <f t="shared" si="135"/>
        <v>0</v>
      </c>
      <c r="J184" s="20">
        <f t="shared" si="136"/>
        <v>0</v>
      </c>
      <c r="L184" s="23" t="s">
        <v>14</v>
      </c>
      <c r="M184" s="12"/>
      <c r="N184" s="13"/>
      <c r="O184" s="47"/>
      <c r="P184" s="10">
        <f t="shared" ref="P184" si="149">SUM(M184:O184)</f>
        <v>0</v>
      </c>
      <c r="Q184" s="15"/>
      <c r="R184" s="13"/>
      <c r="S184" s="14"/>
      <c r="T184" s="10">
        <f t="shared" ref="T184" si="150">SUM(Q184:S184)</f>
        <v>0</v>
      </c>
      <c r="U184" s="10">
        <f t="shared" ref="U184" si="151">P184+T184</f>
        <v>0</v>
      </c>
    </row>
    <row r="185" spans="1:23" ht="14.25" thickBot="1" x14ac:dyDescent="0.2">
      <c r="A185" s="32" t="s">
        <v>15</v>
      </c>
      <c r="B185" s="25">
        <f>SUM(B176:B184)</f>
        <v>5</v>
      </c>
      <c r="C185" s="26">
        <f>SUM(C176:C184)</f>
        <v>5</v>
      </c>
      <c r="D185" s="27">
        <f>SUM(D176:D184)</f>
        <v>4</v>
      </c>
      <c r="E185" s="28">
        <f>SUM(B185:D185)</f>
        <v>14</v>
      </c>
      <c r="F185" s="25">
        <f>SUM(F176:F184)</f>
        <v>5</v>
      </c>
      <c r="G185" s="26">
        <f>SUM(G176:G184)</f>
        <v>5</v>
      </c>
      <c r="H185" s="27">
        <f>SUM(H176:H184)</f>
        <v>3</v>
      </c>
      <c r="I185" s="28">
        <f>SUM(F185:H185)</f>
        <v>13</v>
      </c>
      <c r="J185" s="28">
        <f>E185+I185</f>
        <v>27</v>
      </c>
      <c r="L185" s="32" t="s">
        <v>15</v>
      </c>
      <c r="M185" s="25">
        <f>SUM(M176:M184)</f>
        <v>156</v>
      </c>
      <c r="N185" s="26">
        <f>SUM(N176:N184)</f>
        <v>171</v>
      </c>
      <c r="O185" s="27">
        <f>SUM(O176:O184)</f>
        <v>148</v>
      </c>
      <c r="P185" s="28">
        <f>SUM(M185:O185)</f>
        <v>475</v>
      </c>
      <c r="Q185" s="25">
        <f>SUM(Q176:Q184)</f>
        <v>156</v>
      </c>
      <c r="R185" s="26">
        <f>SUM(R176:R184)</f>
        <v>171</v>
      </c>
      <c r="S185" s="27">
        <f>SUM(S176:S184)</f>
        <v>148</v>
      </c>
      <c r="T185" s="28">
        <f>SUM(Q185:S185)</f>
        <v>475</v>
      </c>
      <c r="U185" s="28">
        <f>P185+T185</f>
        <v>950</v>
      </c>
    </row>
    <row r="186" spans="1:23" x14ac:dyDescent="0.15">
      <c r="A186" s="22" t="s">
        <v>220</v>
      </c>
      <c r="B186" s="7"/>
      <c r="C186" s="8">
        <v>2</v>
      </c>
      <c r="D186" s="9">
        <v>2</v>
      </c>
      <c r="E186" s="43">
        <f t="shared" ref="E186:E188" si="152">SUM(B186:D186)</f>
        <v>4</v>
      </c>
      <c r="F186" s="11"/>
      <c r="G186" s="8">
        <v>2</v>
      </c>
      <c r="H186" s="9">
        <v>2</v>
      </c>
      <c r="I186" s="43">
        <f t="shared" ref="I186:I188" si="153">SUM(F186:H186)</f>
        <v>4</v>
      </c>
      <c r="J186" s="10">
        <f t="shared" ref="J186:J188" si="154">E186+I186</f>
        <v>8</v>
      </c>
      <c r="K186" s="58">
        <v>45248</v>
      </c>
      <c r="L186" s="24" t="s">
        <v>63</v>
      </c>
      <c r="M186" s="7">
        <v>4</v>
      </c>
      <c r="N186" s="8">
        <v>3</v>
      </c>
      <c r="O186" s="9">
        <v>2</v>
      </c>
      <c r="P186" s="43">
        <f t="shared" ref="P186:P212" si="155">SUM(M186:O186)</f>
        <v>9</v>
      </c>
      <c r="Q186" s="11">
        <v>4</v>
      </c>
      <c r="R186" s="8">
        <v>3</v>
      </c>
      <c r="S186" s="9">
        <v>2</v>
      </c>
      <c r="T186" s="43">
        <f t="shared" ref="T186:T212" si="156">SUM(Q186:S186)</f>
        <v>9</v>
      </c>
      <c r="U186" s="10">
        <f t="shared" ref="U186:U211" si="157">P186+T186</f>
        <v>18</v>
      </c>
      <c r="V186" s="56">
        <v>45247</v>
      </c>
    </row>
    <row r="187" spans="1:23" x14ac:dyDescent="0.15">
      <c r="A187" s="22" t="s">
        <v>233</v>
      </c>
      <c r="B187" s="7">
        <v>1</v>
      </c>
      <c r="C187" s="8"/>
      <c r="D187" s="9"/>
      <c r="E187" s="43">
        <f t="shared" si="152"/>
        <v>1</v>
      </c>
      <c r="F187" s="11">
        <v>1</v>
      </c>
      <c r="G187" s="8"/>
      <c r="H187" s="9"/>
      <c r="I187" s="43">
        <f t="shared" si="153"/>
        <v>1</v>
      </c>
      <c r="J187" s="10">
        <f t="shared" si="154"/>
        <v>2</v>
      </c>
      <c r="K187" s="58">
        <v>45257</v>
      </c>
      <c r="L187" s="24" t="s">
        <v>217</v>
      </c>
      <c r="M187" s="7">
        <v>8</v>
      </c>
      <c r="N187" s="8">
        <v>9</v>
      </c>
      <c r="O187" s="9">
        <v>7</v>
      </c>
      <c r="P187" s="43">
        <f t="shared" si="155"/>
        <v>24</v>
      </c>
      <c r="Q187" s="11">
        <v>8</v>
      </c>
      <c r="R187" s="8">
        <v>9</v>
      </c>
      <c r="S187" s="9">
        <v>7</v>
      </c>
      <c r="T187" s="43">
        <f t="shared" si="156"/>
        <v>24</v>
      </c>
      <c r="U187" s="10">
        <f t="shared" si="157"/>
        <v>48</v>
      </c>
      <c r="V187" s="56">
        <v>45250</v>
      </c>
    </row>
    <row r="188" spans="1:23" x14ac:dyDescent="0.15">
      <c r="A188" s="22" t="s">
        <v>187</v>
      </c>
      <c r="B188" s="7"/>
      <c r="C188" s="8"/>
      <c r="D188" s="9">
        <v>1</v>
      </c>
      <c r="E188" s="43">
        <f t="shared" si="152"/>
        <v>1</v>
      </c>
      <c r="F188" s="11"/>
      <c r="G188" s="8"/>
      <c r="H188" s="9">
        <v>1</v>
      </c>
      <c r="I188" s="43">
        <f t="shared" si="153"/>
        <v>1</v>
      </c>
      <c r="J188" s="10">
        <f t="shared" si="154"/>
        <v>2</v>
      </c>
      <c r="K188" s="58">
        <v>45258</v>
      </c>
      <c r="L188" s="24" t="s">
        <v>219</v>
      </c>
      <c r="M188" s="7">
        <v>3</v>
      </c>
      <c r="N188" s="8">
        <v>5</v>
      </c>
      <c r="O188" s="9">
        <v>1</v>
      </c>
      <c r="P188" s="43">
        <f t="shared" si="155"/>
        <v>9</v>
      </c>
      <c r="Q188" s="11">
        <v>3</v>
      </c>
      <c r="R188" s="8">
        <v>5</v>
      </c>
      <c r="S188" s="9">
        <v>1</v>
      </c>
      <c r="T188" s="43">
        <f t="shared" si="156"/>
        <v>9</v>
      </c>
      <c r="U188" s="10">
        <f t="shared" si="157"/>
        <v>18</v>
      </c>
      <c r="V188" s="56">
        <v>45250</v>
      </c>
      <c r="W188" s="61"/>
    </row>
    <row r="189" spans="1:23" x14ac:dyDescent="0.15">
      <c r="A189" s="22"/>
      <c r="B189" s="7"/>
      <c r="C189" s="8"/>
      <c r="D189" s="9"/>
      <c r="E189" s="43">
        <f t="shared" ref="E189:E212" si="158">SUM(B189:D189)</f>
        <v>0</v>
      </c>
      <c r="F189" s="11"/>
      <c r="G189" s="8"/>
      <c r="H189" s="9"/>
      <c r="I189" s="43">
        <f t="shared" ref="I189:I212" si="159">SUM(F189:H189)</f>
        <v>0</v>
      </c>
      <c r="J189" s="10">
        <f t="shared" ref="J189:J208" si="160">E189+I189</f>
        <v>0</v>
      </c>
      <c r="L189" s="24" t="s">
        <v>222</v>
      </c>
      <c r="M189" s="7">
        <v>2</v>
      </c>
      <c r="N189" s="8">
        <v>5</v>
      </c>
      <c r="O189" s="9">
        <v>5</v>
      </c>
      <c r="P189" s="43">
        <f t="shared" si="155"/>
        <v>12</v>
      </c>
      <c r="Q189" s="11">
        <v>2</v>
      </c>
      <c r="R189" s="8">
        <v>5</v>
      </c>
      <c r="S189" s="9">
        <v>5</v>
      </c>
      <c r="T189" s="43">
        <f t="shared" si="156"/>
        <v>12</v>
      </c>
      <c r="U189" s="10">
        <f t="shared" si="157"/>
        <v>24</v>
      </c>
      <c r="V189" s="56">
        <v>45252</v>
      </c>
    </row>
    <row r="190" spans="1:23" x14ac:dyDescent="0.15">
      <c r="A190" s="22"/>
      <c r="B190" s="7"/>
      <c r="C190" s="8"/>
      <c r="D190" s="9"/>
      <c r="E190" s="43">
        <f t="shared" si="158"/>
        <v>0</v>
      </c>
      <c r="F190" s="11"/>
      <c r="G190" s="8"/>
      <c r="H190" s="9"/>
      <c r="I190" s="43">
        <f t="shared" si="159"/>
        <v>0</v>
      </c>
      <c r="J190" s="10">
        <f t="shared" si="160"/>
        <v>0</v>
      </c>
      <c r="L190" s="24" t="s">
        <v>223</v>
      </c>
      <c r="M190" s="7">
        <v>4</v>
      </c>
      <c r="N190" s="8">
        <v>10</v>
      </c>
      <c r="O190" s="9">
        <v>10</v>
      </c>
      <c r="P190" s="43">
        <f t="shared" si="155"/>
        <v>24</v>
      </c>
      <c r="Q190" s="11">
        <v>4</v>
      </c>
      <c r="R190" s="8">
        <v>10</v>
      </c>
      <c r="S190" s="9">
        <v>10</v>
      </c>
      <c r="T190" s="43">
        <f t="shared" si="156"/>
        <v>24</v>
      </c>
      <c r="U190" s="10">
        <f t="shared" si="157"/>
        <v>48</v>
      </c>
      <c r="V190" s="56">
        <v>45251</v>
      </c>
    </row>
    <row r="191" spans="1:23" x14ac:dyDescent="0.15">
      <c r="A191" s="22"/>
      <c r="B191" s="7"/>
      <c r="C191" s="8"/>
      <c r="D191" s="9"/>
      <c r="E191" s="43">
        <f t="shared" si="158"/>
        <v>0</v>
      </c>
      <c r="F191" s="11"/>
      <c r="G191" s="8"/>
      <c r="H191" s="9"/>
      <c r="I191" s="43">
        <f t="shared" si="159"/>
        <v>0</v>
      </c>
      <c r="J191" s="10">
        <f t="shared" si="160"/>
        <v>0</v>
      </c>
      <c r="L191" s="24" t="s">
        <v>225</v>
      </c>
      <c r="M191" s="7">
        <v>4</v>
      </c>
      <c r="N191" s="8">
        <v>6</v>
      </c>
      <c r="O191" s="9">
        <v>7</v>
      </c>
      <c r="P191" s="43">
        <f t="shared" si="155"/>
        <v>17</v>
      </c>
      <c r="Q191" s="11">
        <v>4</v>
      </c>
      <c r="R191" s="8">
        <v>6</v>
      </c>
      <c r="S191" s="9">
        <v>7</v>
      </c>
      <c r="T191" s="43">
        <f t="shared" si="156"/>
        <v>17</v>
      </c>
      <c r="U191" s="10">
        <f t="shared" si="157"/>
        <v>34</v>
      </c>
      <c r="V191" s="56">
        <v>45254</v>
      </c>
    </row>
    <row r="192" spans="1:23" x14ac:dyDescent="0.15">
      <c r="A192" s="22"/>
      <c r="B192" s="7"/>
      <c r="C192" s="8"/>
      <c r="D192" s="9"/>
      <c r="E192" s="43">
        <f t="shared" si="158"/>
        <v>0</v>
      </c>
      <c r="F192" s="11"/>
      <c r="G192" s="8"/>
      <c r="H192" s="9"/>
      <c r="I192" s="43">
        <f t="shared" si="159"/>
        <v>0</v>
      </c>
      <c r="J192" s="10">
        <f t="shared" si="160"/>
        <v>0</v>
      </c>
      <c r="L192" s="24" t="s">
        <v>226</v>
      </c>
      <c r="M192" s="7">
        <v>8</v>
      </c>
      <c r="N192" s="8">
        <v>5</v>
      </c>
      <c r="O192" s="9">
        <v>5</v>
      </c>
      <c r="P192" s="43">
        <f t="shared" si="155"/>
        <v>18</v>
      </c>
      <c r="Q192" s="11">
        <v>8</v>
      </c>
      <c r="R192" s="8">
        <v>5</v>
      </c>
      <c r="S192" s="9">
        <v>5</v>
      </c>
      <c r="T192" s="43">
        <f t="shared" si="156"/>
        <v>18</v>
      </c>
      <c r="U192" s="10">
        <f t="shared" si="157"/>
        <v>36</v>
      </c>
      <c r="V192" s="56">
        <v>45254</v>
      </c>
    </row>
    <row r="193" spans="1:24" x14ac:dyDescent="0.15">
      <c r="A193" s="22"/>
      <c r="B193" s="7"/>
      <c r="C193" s="8"/>
      <c r="D193" s="9"/>
      <c r="E193" s="43">
        <f t="shared" si="158"/>
        <v>0</v>
      </c>
      <c r="F193" s="11"/>
      <c r="G193" s="8"/>
      <c r="H193" s="9"/>
      <c r="I193" s="43">
        <f t="shared" si="159"/>
        <v>0</v>
      </c>
      <c r="J193" s="10">
        <f t="shared" si="160"/>
        <v>0</v>
      </c>
      <c r="L193" s="24" t="s">
        <v>228</v>
      </c>
      <c r="M193" s="7">
        <v>2</v>
      </c>
      <c r="N193" s="8">
        <v>3</v>
      </c>
      <c r="O193" s="9"/>
      <c r="P193" s="43">
        <f t="shared" si="155"/>
        <v>5</v>
      </c>
      <c r="Q193" s="11">
        <v>2</v>
      </c>
      <c r="R193" s="8">
        <v>3</v>
      </c>
      <c r="S193" s="9"/>
      <c r="T193" s="43">
        <f t="shared" si="156"/>
        <v>5</v>
      </c>
      <c r="U193" s="10">
        <f t="shared" si="157"/>
        <v>10</v>
      </c>
      <c r="V193" s="56">
        <v>45254</v>
      </c>
      <c r="W193" s="61"/>
    </row>
    <row r="194" spans="1:24" x14ac:dyDescent="0.15">
      <c r="A194" s="22"/>
      <c r="B194" s="7"/>
      <c r="C194" s="8"/>
      <c r="D194" s="9"/>
      <c r="E194" s="43">
        <f t="shared" si="158"/>
        <v>0</v>
      </c>
      <c r="F194" s="11"/>
      <c r="G194" s="8"/>
      <c r="H194" s="9"/>
      <c r="I194" s="43">
        <f t="shared" si="159"/>
        <v>0</v>
      </c>
      <c r="J194" s="10">
        <f t="shared" si="160"/>
        <v>0</v>
      </c>
      <c r="L194" s="24" t="s">
        <v>230</v>
      </c>
      <c r="M194" s="7">
        <v>5</v>
      </c>
      <c r="N194" s="8">
        <v>12</v>
      </c>
      <c r="O194" s="9">
        <v>5</v>
      </c>
      <c r="P194" s="43">
        <f t="shared" si="155"/>
        <v>22</v>
      </c>
      <c r="Q194" s="11">
        <v>5</v>
      </c>
      <c r="R194" s="8">
        <v>12</v>
      </c>
      <c r="S194" s="9">
        <v>5</v>
      </c>
      <c r="T194" s="43">
        <f t="shared" si="156"/>
        <v>22</v>
      </c>
      <c r="U194" s="10">
        <f t="shared" si="157"/>
        <v>44</v>
      </c>
      <c r="V194" s="56">
        <v>45258</v>
      </c>
    </row>
    <row r="195" spans="1:24" x14ac:dyDescent="0.15">
      <c r="A195" s="22"/>
      <c r="B195" s="12"/>
      <c r="C195" s="13"/>
      <c r="D195" s="14"/>
      <c r="E195" s="43">
        <f t="shared" si="158"/>
        <v>0</v>
      </c>
      <c r="F195" s="15"/>
      <c r="G195" s="13"/>
      <c r="H195" s="14"/>
      <c r="I195" s="43">
        <f t="shared" si="159"/>
        <v>0</v>
      </c>
      <c r="J195" s="10">
        <f t="shared" si="160"/>
        <v>0</v>
      </c>
      <c r="L195" s="24" t="s">
        <v>231</v>
      </c>
      <c r="M195" s="7"/>
      <c r="N195" s="8">
        <v>5</v>
      </c>
      <c r="O195" s="9"/>
      <c r="P195" s="43">
        <f t="shared" si="155"/>
        <v>5</v>
      </c>
      <c r="Q195" s="11"/>
      <c r="R195" s="8">
        <v>5</v>
      </c>
      <c r="S195" s="9"/>
      <c r="T195" s="43">
        <f t="shared" si="156"/>
        <v>5</v>
      </c>
      <c r="U195" s="10">
        <f t="shared" si="157"/>
        <v>10</v>
      </c>
      <c r="V195" s="56">
        <v>45258</v>
      </c>
    </row>
    <row r="196" spans="1:24" x14ac:dyDescent="0.15">
      <c r="A196" s="22"/>
      <c r="B196" s="7"/>
      <c r="C196" s="8"/>
      <c r="D196" s="9"/>
      <c r="E196" s="43">
        <f t="shared" si="158"/>
        <v>0</v>
      </c>
      <c r="F196" s="11"/>
      <c r="G196" s="8"/>
      <c r="H196" s="9"/>
      <c r="I196" s="43">
        <f t="shared" si="159"/>
        <v>0</v>
      </c>
      <c r="J196" s="10">
        <f t="shared" si="160"/>
        <v>0</v>
      </c>
      <c r="L196" s="24" t="s">
        <v>80</v>
      </c>
      <c r="M196" s="7">
        <v>1</v>
      </c>
      <c r="N196" s="8">
        <v>2</v>
      </c>
      <c r="O196" s="9"/>
      <c r="P196" s="43">
        <f t="shared" si="155"/>
        <v>3</v>
      </c>
      <c r="Q196" s="11">
        <v>1</v>
      </c>
      <c r="R196" s="8">
        <v>2</v>
      </c>
      <c r="S196" s="9"/>
      <c r="T196" s="43">
        <f t="shared" si="156"/>
        <v>3</v>
      </c>
      <c r="U196" s="10">
        <f t="shared" si="157"/>
        <v>6</v>
      </c>
      <c r="V196" s="56">
        <v>45259</v>
      </c>
    </row>
    <row r="197" spans="1:24" x14ac:dyDescent="0.15">
      <c r="A197" s="22"/>
      <c r="B197" s="7"/>
      <c r="C197" s="8"/>
      <c r="D197" s="9"/>
      <c r="E197" s="43">
        <f t="shared" si="158"/>
        <v>0</v>
      </c>
      <c r="F197" s="11"/>
      <c r="G197" s="8"/>
      <c r="H197" s="9"/>
      <c r="I197" s="43">
        <f t="shared" si="159"/>
        <v>0</v>
      </c>
      <c r="J197" s="10">
        <f t="shared" si="160"/>
        <v>0</v>
      </c>
      <c r="L197" s="24" t="s">
        <v>232</v>
      </c>
      <c r="M197" s="7"/>
      <c r="N197" s="8"/>
      <c r="O197" s="9">
        <v>1</v>
      </c>
      <c r="P197" s="43">
        <f t="shared" si="155"/>
        <v>1</v>
      </c>
      <c r="Q197" s="11"/>
      <c r="R197" s="8"/>
      <c r="S197" s="9">
        <v>1</v>
      </c>
      <c r="T197" s="43">
        <f t="shared" si="156"/>
        <v>1</v>
      </c>
      <c r="U197" s="10">
        <f t="shared" si="157"/>
        <v>2</v>
      </c>
      <c r="V197" s="56">
        <v>45258</v>
      </c>
      <c r="W197" s="61"/>
      <c r="X197" s="61"/>
    </row>
    <row r="198" spans="1:24" x14ac:dyDescent="0.15">
      <c r="A198" s="22"/>
      <c r="B198" s="7"/>
      <c r="C198" s="8"/>
      <c r="D198" s="9"/>
      <c r="E198" s="43">
        <f t="shared" si="158"/>
        <v>0</v>
      </c>
      <c r="F198" s="11"/>
      <c r="G198" s="8"/>
      <c r="H198" s="9"/>
      <c r="I198" s="43">
        <f t="shared" si="159"/>
        <v>0</v>
      </c>
      <c r="J198" s="10">
        <f t="shared" si="160"/>
        <v>0</v>
      </c>
      <c r="L198" s="24" t="s">
        <v>235</v>
      </c>
      <c r="M198" s="7"/>
      <c r="N198" s="8">
        <v>1</v>
      </c>
      <c r="O198" s="9"/>
      <c r="P198" s="43">
        <f t="shared" si="155"/>
        <v>1</v>
      </c>
      <c r="Q198" s="11"/>
      <c r="R198" s="8">
        <v>1</v>
      </c>
      <c r="S198" s="9"/>
      <c r="T198" s="43">
        <f t="shared" si="156"/>
        <v>1</v>
      </c>
      <c r="U198" s="10">
        <f t="shared" si="157"/>
        <v>2</v>
      </c>
      <c r="V198" s="56">
        <v>45260</v>
      </c>
    </row>
    <row r="199" spans="1:24" x14ac:dyDescent="0.15">
      <c r="A199" s="22"/>
      <c r="B199" s="7"/>
      <c r="C199" s="8"/>
      <c r="D199" s="9"/>
      <c r="E199" s="43">
        <f t="shared" si="158"/>
        <v>0</v>
      </c>
      <c r="F199" s="11"/>
      <c r="G199" s="8"/>
      <c r="H199" s="9"/>
      <c r="I199" s="43">
        <f t="shared" si="159"/>
        <v>0</v>
      </c>
      <c r="J199" s="10">
        <f t="shared" si="160"/>
        <v>0</v>
      </c>
      <c r="L199" s="24" t="s">
        <v>240</v>
      </c>
      <c r="M199" s="7">
        <v>15</v>
      </c>
      <c r="N199" s="8">
        <v>16</v>
      </c>
      <c r="O199" s="9">
        <v>9</v>
      </c>
      <c r="P199" s="43">
        <f t="shared" ref="P199" si="161">SUM(M199:O199)</f>
        <v>40</v>
      </c>
      <c r="Q199" s="11">
        <v>15</v>
      </c>
      <c r="R199" s="8">
        <v>16</v>
      </c>
      <c r="S199" s="9">
        <v>9</v>
      </c>
      <c r="T199" s="43">
        <f t="shared" ref="T199" si="162">SUM(Q199:S199)</f>
        <v>40</v>
      </c>
      <c r="U199" s="10">
        <f t="shared" ref="U199" si="163">P199+T199</f>
        <v>80</v>
      </c>
      <c r="V199" s="56">
        <v>45266</v>
      </c>
      <c r="W199" s="61"/>
      <c r="X199" s="61"/>
    </row>
    <row r="200" spans="1:24" x14ac:dyDescent="0.15">
      <c r="A200" s="22"/>
      <c r="B200" s="7"/>
      <c r="C200" s="8"/>
      <c r="D200" s="9"/>
      <c r="E200" s="43">
        <f t="shared" si="158"/>
        <v>0</v>
      </c>
      <c r="F200" s="11"/>
      <c r="G200" s="8"/>
      <c r="H200" s="9"/>
      <c r="I200" s="43">
        <f t="shared" si="159"/>
        <v>0</v>
      </c>
      <c r="J200" s="10">
        <f t="shared" si="160"/>
        <v>0</v>
      </c>
      <c r="L200" s="24" t="s">
        <v>242</v>
      </c>
      <c r="M200" s="7">
        <v>7</v>
      </c>
      <c r="N200" s="8">
        <v>5</v>
      </c>
      <c r="O200" s="9">
        <v>10</v>
      </c>
      <c r="P200" s="43">
        <f t="shared" si="155"/>
        <v>22</v>
      </c>
      <c r="Q200" s="11">
        <v>7</v>
      </c>
      <c r="R200" s="8">
        <v>5</v>
      </c>
      <c r="S200" s="9">
        <v>10</v>
      </c>
      <c r="T200" s="43">
        <f t="shared" si="156"/>
        <v>22</v>
      </c>
      <c r="U200" s="10">
        <f t="shared" si="157"/>
        <v>44</v>
      </c>
      <c r="V200" s="56">
        <v>45267</v>
      </c>
      <c r="W200" s="61"/>
      <c r="X200" s="61"/>
    </row>
    <row r="201" spans="1:24" x14ac:dyDescent="0.15">
      <c r="A201" s="22"/>
      <c r="B201" s="7"/>
      <c r="C201" s="8"/>
      <c r="D201" s="9"/>
      <c r="E201" s="43">
        <f t="shared" si="158"/>
        <v>0</v>
      </c>
      <c r="F201" s="11"/>
      <c r="G201" s="8"/>
      <c r="H201" s="9"/>
      <c r="I201" s="43">
        <f t="shared" si="159"/>
        <v>0</v>
      </c>
      <c r="J201" s="10">
        <f t="shared" si="160"/>
        <v>0</v>
      </c>
      <c r="L201" s="24" t="s">
        <v>244</v>
      </c>
      <c r="M201" s="7">
        <v>2</v>
      </c>
      <c r="N201" s="8">
        <v>5</v>
      </c>
      <c r="O201" s="9">
        <v>1</v>
      </c>
      <c r="P201" s="43">
        <f t="shared" si="155"/>
        <v>8</v>
      </c>
      <c r="Q201" s="11">
        <v>2</v>
      </c>
      <c r="R201" s="8">
        <v>5</v>
      </c>
      <c r="S201" s="9">
        <v>1</v>
      </c>
      <c r="T201" s="43">
        <f t="shared" si="156"/>
        <v>8</v>
      </c>
      <c r="U201" s="10">
        <f t="shared" si="157"/>
        <v>16</v>
      </c>
      <c r="V201" s="56">
        <v>45268</v>
      </c>
      <c r="W201" s="61"/>
      <c r="X201" s="61"/>
    </row>
    <row r="202" spans="1:24" x14ac:dyDescent="0.15">
      <c r="A202" s="24"/>
      <c r="B202" s="7"/>
      <c r="C202" s="8"/>
      <c r="D202" s="9"/>
      <c r="E202" s="43">
        <f t="shared" si="158"/>
        <v>0</v>
      </c>
      <c r="F202" s="11"/>
      <c r="G202" s="8"/>
      <c r="H202" s="9"/>
      <c r="I202" s="43">
        <f t="shared" si="159"/>
        <v>0</v>
      </c>
      <c r="J202" s="10">
        <f t="shared" si="160"/>
        <v>0</v>
      </c>
      <c r="L202" s="24" t="s">
        <v>245</v>
      </c>
      <c r="M202" s="7"/>
      <c r="N202" s="8">
        <v>5</v>
      </c>
      <c r="O202" s="9">
        <v>3</v>
      </c>
      <c r="P202" s="43">
        <f t="shared" si="155"/>
        <v>8</v>
      </c>
      <c r="Q202" s="11"/>
      <c r="R202" s="8">
        <v>5</v>
      </c>
      <c r="S202" s="9">
        <v>3</v>
      </c>
      <c r="T202" s="43">
        <f t="shared" si="156"/>
        <v>8</v>
      </c>
      <c r="U202" s="10">
        <f t="shared" si="157"/>
        <v>16</v>
      </c>
      <c r="V202" s="56">
        <v>45267</v>
      </c>
    </row>
    <row r="203" spans="1:24" x14ac:dyDescent="0.15">
      <c r="A203" s="22"/>
      <c r="B203" s="7"/>
      <c r="C203" s="8"/>
      <c r="D203" s="9"/>
      <c r="E203" s="43">
        <f t="shared" si="158"/>
        <v>0</v>
      </c>
      <c r="F203" s="11"/>
      <c r="G203" s="8"/>
      <c r="H203" s="9"/>
      <c r="I203" s="43">
        <f t="shared" si="159"/>
        <v>0</v>
      </c>
      <c r="J203" s="10">
        <f t="shared" si="160"/>
        <v>0</v>
      </c>
      <c r="L203" s="24" t="s">
        <v>248</v>
      </c>
      <c r="M203" s="7">
        <v>5</v>
      </c>
      <c r="N203" s="8">
        <v>10</v>
      </c>
      <c r="O203" s="9">
        <v>10</v>
      </c>
      <c r="P203" s="43">
        <f t="shared" si="155"/>
        <v>25</v>
      </c>
      <c r="Q203" s="7">
        <v>5</v>
      </c>
      <c r="R203" s="8">
        <v>10</v>
      </c>
      <c r="S203" s="9">
        <v>10</v>
      </c>
      <c r="T203" s="43">
        <f t="shared" si="156"/>
        <v>25</v>
      </c>
      <c r="U203" s="10">
        <f t="shared" si="157"/>
        <v>50</v>
      </c>
      <c r="V203" s="56">
        <v>45268</v>
      </c>
      <c r="W203" s="61"/>
    </row>
    <row r="204" spans="1:24" x14ac:dyDescent="0.15">
      <c r="A204" s="23"/>
      <c r="B204" s="7"/>
      <c r="C204" s="8"/>
      <c r="D204" s="9"/>
      <c r="E204" s="43">
        <f t="shared" si="158"/>
        <v>0</v>
      </c>
      <c r="F204" s="11"/>
      <c r="G204" s="8"/>
      <c r="H204" s="9"/>
      <c r="I204" s="43">
        <f t="shared" si="159"/>
        <v>0</v>
      </c>
      <c r="J204" s="10">
        <f t="shared" si="160"/>
        <v>0</v>
      </c>
      <c r="L204" s="24" t="s">
        <v>252</v>
      </c>
      <c r="M204" s="7">
        <v>9</v>
      </c>
      <c r="N204" s="8">
        <v>19</v>
      </c>
      <c r="O204" s="9">
        <v>11</v>
      </c>
      <c r="P204" s="43">
        <f t="shared" ref="P204" si="164">SUM(M204:O204)</f>
        <v>39</v>
      </c>
      <c r="Q204" s="7">
        <v>9</v>
      </c>
      <c r="R204" s="8">
        <v>19</v>
      </c>
      <c r="S204" s="9">
        <v>11</v>
      </c>
      <c r="T204" s="43">
        <f t="shared" ref="T204" si="165">SUM(Q204:S204)</f>
        <v>39</v>
      </c>
      <c r="U204" s="10">
        <f t="shared" ref="U204" si="166">P204+T204</f>
        <v>78</v>
      </c>
      <c r="V204" s="56">
        <v>45271</v>
      </c>
      <c r="W204" s="61"/>
    </row>
    <row r="205" spans="1:24" x14ac:dyDescent="0.15">
      <c r="A205" s="22"/>
      <c r="B205" s="7"/>
      <c r="C205" s="8"/>
      <c r="D205" s="9"/>
      <c r="E205" s="43">
        <f t="shared" si="158"/>
        <v>0</v>
      </c>
      <c r="F205" s="11"/>
      <c r="G205" s="8"/>
      <c r="H205" s="9"/>
      <c r="I205" s="43">
        <f t="shared" si="159"/>
        <v>0</v>
      </c>
      <c r="J205" s="10">
        <f t="shared" si="160"/>
        <v>0</v>
      </c>
      <c r="L205" s="24" t="s">
        <v>254</v>
      </c>
      <c r="M205" s="7">
        <v>9</v>
      </c>
      <c r="N205" s="8">
        <v>7</v>
      </c>
      <c r="O205" s="9">
        <v>12</v>
      </c>
      <c r="P205" s="43">
        <f t="shared" ref="P205:P209" si="167">SUM(M205:O205)</f>
        <v>28</v>
      </c>
      <c r="Q205" s="7">
        <v>9</v>
      </c>
      <c r="R205" s="8">
        <v>7</v>
      </c>
      <c r="S205" s="9">
        <v>12</v>
      </c>
      <c r="T205" s="43">
        <f t="shared" ref="T205:T209" si="168">SUM(Q205:S205)</f>
        <v>28</v>
      </c>
      <c r="U205" s="10">
        <f t="shared" ref="U205:U209" si="169">P205+T205</f>
        <v>56</v>
      </c>
      <c r="V205" s="56">
        <v>45273</v>
      </c>
    </row>
    <row r="206" spans="1:24" x14ac:dyDescent="0.15">
      <c r="A206" s="24"/>
      <c r="B206" s="7"/>
      <c r="C206" s="8"/>
      <c r="D206" s="9"/>
      <c r="E206" s="43">
        <f t="shared" si="158"/>
        <v>0</v>
      </c>
      <c r="F206" s="11"/>
      <c r="G206" s="8"/>
      <c r="H206" s="9"/>
      <c r="I206" s="43">
        <f t="shared" si="159"/>
        <v>0</v>
      </c>
      <c r="J206" s="10">
        <f t="shared" si="160"/>
        <v>0</v>
      </c>
      <c r="L206" s="24"/>
      <c r="M206" s="7"/>
      <c r="N206" s="8"/>
      <c r="O206" s="9"/>
      <c r="P206" s="43">
        <f t="shared" si="167"/>
        <v>0</v>
      </c>
      <c r="Q206" s="7"/>
      <c r="R206" s="8"/>
      <c r="S206" s="9"/>
      <c r="T206" s="43">
        <f t="shared" si="168"/>
        <v>0</v>
      </c>
      <c r="U206" s="10">
        <f t="shared" si="169"/>
        <v>0</v>
      </c>
    </row>
    <row r="207" spans="1:24" x14ac:dyDescent="0.15">
      <c r="A207" s="22"/>
      <c r="B207" s="12"/>
      <c r="C207" s="13"/>
      <c r="D207" s="14"/>
      <c r="E207" s="43">
        <f t="shared" si="158"/>
        <v>0</v>
      </c>
      <c r="F207" s="15"/>
      <c r="G207" s="13"/>
      <c r="H207" s="14"/>
      <c r="I207" s="43">
        <f t="shared" si="159"/>
        <v>0</v>
      </c>
      <c r="J207" s="10">
        <f t="shared" si="160"/>
        <v>0</v>
      </c>
      <c r="L207" s="24" t="s">
        <v>182</v>
      </c>
      <c r="M207" s="7"/>
      <c r="N207" s="8"/>
      <c r="O207" s="9"/>
      <c r="P207" s="43">
        <f t="shared" si="167"/>
        <v>0</v>
      </c>
      <c r="Q207" s="11"/>
      <c r="R207" s="8"/>
      <c r="S207" s="9"/>
      <c r="T207" s="43">
        <f t="shared" si="168"/>
        <v>0</v>
      </c>
      <c r="U207" s="10">
        <f t="shared" si="169"/>
        <v>0</v>
      </c>
      <c r="V207" s="56" t="s">
        <v>183</v>
      </c>
    </row>
    <row r="208" spans="1:24" x14ac:dyDescent="0.15">
      <c r="A208" s="22"/>
      <c r="B208" s="7"/>
      <c r="C208" s="8"/>
      <c r="D208" s="9"/>
      <c r="E208" s="43">
        <f t="shared" si="158"/>
        <v>0</v>
      </c>
      <c r="F208" s="11"/>
      <c r="G208" s="8"/>
      <c r="H208" s="9"/>
      <c r="I208" s="43">
        <f t="shared" si="159"/>
        <v>0</v>
      </c>
      <c r="J208" s="10">
        <f t="shared" si="160"/>
        <v>0</v>
      </c>
      <c r="L208" s="24" t="s">
        <v>180</v>
      </c>
      <c r="M208" s="7"/>
      <c r="N208" s="8"/>
      <c r="O208" s="9"/>
      <c r="P208" s="43">
        <f t="shared" si="167"/>
        <v>0</v>
      </c>
      <c r="Q208" s="11"/>
      <c r="R208" s="8"/>
      <c r="S208" s="9"/>
      <c r="T208" s="43">
        <f t="shared" si="168"/>
        <v>0</v>
      </c>
      <c r="U208" s="10">
        <f t="shared" si="169"/>
        <v>0</v>
      </c>
      <c r="V208" s="56" t="s">
        <v>181</v>
      </c>
    </row>
    <row r="209" spans="1:27" x14ac:dyDescent="0.15">
      <c r="A209" s="22"/>
      <c r="B209" s="7"/>
      <c r="C209" s="8"/>
      <c r="D209" s="9"/>
      <c r="E209" s="43">
        <f t="shared" ref="E209:E211" si="170">SUM(B209:D209)</f>
        <v>0</v>
      </c>
      <c r="F209" s="11"/>
      <c r="G209" s="8"/>
      <c r="H209" s="9"/>
      <c r="I209" s="43">
        <f t="shared" ref="I209:I211" si="171">SUM(F209:H209)</f>
        <v>0</v>
      </c>
      <c r="J209" s="10">
        <f t="shared" ref="J209:J211" si="172">E209+I209</f>
        <v>0</v>
      </c>
      <c r="L209" s="24" t="s">
        <v>173</v>
      </c>
      <c r="M209" s="7"/>
      <c r="N209" s="8"/>
      <c r="O209" s="9"/>
      <c r="P209" s="43">
        <f t="shared" si="167"/>
        <v>0</v>
      </c>
      <c r="Q209" s="11"/>
      <c r="R209" s="8"/>
      <c r="S209" s="9"/>
      <c r="T209" s="43">
        <f t="shared" si="168"/>
        <v>0</v>
      </c>
      <c r="U209" s="10">
        <f t="shared" si="169"/>
        <v>0</v>
      </c>
      <c r="V209" s="56">
        <v>45257</v>
      </c>
    </row>
    <row r="210" spans="1:27" x14ac:dyDescent="0.15">
      <c r="A210" s="22"/>
      <c r="B210" s="7"/>
      <c r="C210" s="8"/>
      <c r="D210" s="9"/>
      <c r="E210" s="43">
        <f t="shared" si="170"/>
        <v>0</v>
      </c>
      <c r="F210" s="11"/>
      <c r="G210" s="8"/>
      <c r="H210" s="9"/>
      <c r="I210" s="43">
        <f t="shared" si="171"/>
        <v>0</v>
      </c>
      <c r="J210" s="10">
        <f t="shared" si="172"/>
        <v>0</v>
      </c>
      <c r="L210" s="106" t="s">
        <v>246</v>
      </c>
      <c r="M210" s="107"/>
      <c r="N210" s="108"/>
      <c r="O210" s="109"/>
      <c r="P210" s="110">
        <f t="shared" si="155"/>
        <v>0</v>
      </c>
      <c r="Q210" s="111"/>
      <c r="R210" s="108"/>
      <c r="S210" s="109"/>
      <c r="T210" s="110">
        <f t="shared" si="156"/>
        <v>0</v>
      </c>
      <c r="U210" s="112">
        <f t="shared" si="157"/>
        <v>0</v>
      </c>
      <c r="V210" s="113"/>
    </row>
    <row r="211" spans="1:27" ht="14.25" thickBot="1" x14ac:dyDescent="0.2">
      <c r="A211" s="22"/>
      <c r="B211" s="7"/>
      <c r="C211" s="8"/>
      <c r="D211" s="9"/>
      <c r="E211" s="43">
        <f t="shared" si="170"/>
        <v>0</v>
      </c>
      <c r="F211" s="11"/>
      <c r="G211" s="8"/>
      <c r="H211" s="9"/>
      <c r="I211" s="43">
        <f t="shared" si="171"/>
        <v>0</v>
      </c>
      <c r="J211" s="10">
        <f t="shared" si="172"/>
        <v>0</v>
      </c>
      <c r="L211" s="24" t="s">
        <v>161</v>
      </c>
      <c r="M211" s="7"/>
      <c r="N211" s="8"/>
      <c r="O211" s="9"/>
      <c r="P211" s="43">
        <f t="shared" si="155"/>
        <v>0</v>
      </c>
      <c r="Q211" s="7"/>
      <c r="R211" s="8"/>
      <c r="S211" s="9"/>
      <c r="T211" s="43">
        <f t="shared" si="156"/>
        <v>0</v>
      </c>
      <c r="U211" s="10">
        <f t="shared" si="157"/>
        <v>0</v>
      </c>
      <c r="V211" s="61" t="s">
        <v>162</v>
      </c>
    </row>
    <row r="212" spans="1:27" ht="14.25" thickBot="1" x14ac:dyDescent="0.2">
      <c r="A212" s="35" t="s">
        <v>17</v>
      </c>
      <c r="B212" s="40">
        <f>SUM(B186:B211)</f>
        <v>1</v>
      </c>
      <c r="C212" s="41">
        <f t="shared" ref="C212:D212" si="173">SUM(C186:C211)</f>
        <v>2</v>
      </c>
      <c r="D212" s="52">
        <f t="shared" si="173"/>
        <v>3</v>
      </c>
      <c r="E212" s="39">
        <f t="shared" si="158"/>
        <v>6</v>
      </c>
      <c r="F212" s="40">
        <f>SUM(F186:F211)</f>
        <v>1</v>
      </c>
      <c r="G212" s="41">
        <f t="shared" ref="G212:H212" si="174">SUM(G186:G211)</f>
        <v>2</v>
      </c>
      <c r="H212" s="52">
        <f t="shared" si="174"/>
        <v>3</v>
      </c>
      <c r="I212" s="39">
        <f t="shared" si="159"/>
        <v>6</v>
      </c>
      <c r="J212" s="39">
        <f>E212+I212</f>
        <v>12</v>
      </c>
      <c r="L212" s="35" t="s">
        <v>17</v>
      </c>
      <c r="M212" s="40">
        <f>SUM(M186:M211)</f>
        <v>88</v>
      </c>
      <c r="N212" s="41">
        <f t="shared" ref="N212:O212" si="175">SUM(N186:N211)</f>
        <v>133</v>
      </c>
      <c r="O212" s="52">
        <f t="shared" si="175"/>
        <v>99</v>
      </c>
      <c r="P212" s="39">
        <f t="shared" si="155"/>
        <v>320</v>
      </c>
      <c r="Q212" s="40">
        <f>SUM(Q186:Q211)</f>
        <v>88</v>
      </c>
      <c r="R212" s="41">
        <f t="shared" ref="R212:S212" si="176">SUM(R186:R211)</f>
        <v>133</v>
      </c>
      <c r="S212" s="52">
        <f t="shared" si="176"/>
        <v>99</v>
      </c>
      <c r="T212" s="39">
        <f t="shared" si="156"/>
        <v>320</v>
      </c>
      <c r="U212" s="39">
        <f>P212+T212</f>
        <v>640</v>
      </c>
    </row>
    <row r="213" spans="1:27" ht="14.25" thickBot="1" x14ac:dyDescent="0.2">
      <c r="A213" s="21" t="s">
        <v>16</v>
      </c>
      <c r="B213" s="44">
        <f>B185-B212</f>
        <v>4</v>
      </c>
      <c r="C213" s="50">
        <f t="shared" ref="C213:D213" si="177">C185-C212</f>
        <v>3</v>
      </c>
      <c r="D213" s="51">
        <f t="shared" si="177"/>
        <v>1</v>
      </c>
      <c r="E213" s="49">
        <f>SUM(B213:D213)</f>
        <v>8</v>
      </c>
      <c r="F213" s="44">
        <f>F185-F212</f>
        <v>4</v>
      </c>
      <c r="G213" s="50">
        <f t="shared" ref="G213:H213" si="178">G185-G212</f>
        <v>3</v>
      </c>
      <c r="H213" s="51">
        <f t="shared" si="178"/>
        <v>0</v>
      </c>
      <c r="I213" s="49">
        <f>SUM(F213:H213)</f>
        <v>7</v>
      </c>
      <c r="J213" s="28">
        <f>E213+I213</f>
        <v>15</v>
      </c>
      <c r="L213" s="21" t="s">
        <v>16</v>
      </c>
      <c r="M213" s="44">
        <f>M185-M212</f>
        <v>68</v>
      </c>
      <c r="N213" s="50">
        <f t="shared" ref="N213:O213" si="179">N185-N212</f>
        <v>38</v>
      </c>
      <c r="O213" s="51">
        <f t="shared" si="179"/>
        <v>49</v>
      </c>
      <c r="P213" s="49">
        <f>SUM(M213:O213)</f>
        <v>155</v>
      </c>
      <c r="Q213" s="44">
        <f>Q185-Q212</f>
        <v>68</v>
      </c>
      <c r="R213" s="50">
        <f t="shared" ref="R213:S213" si="180">R185-R212</f>
        <v>38</v>
      </c>
      <c r="S213" s="51">
        <f t="shared" si="180"/>
        <v>49</v>
      </c>
      <c r="T213" s="49">
        <f>SUM(Q213:S213)</f>
        <v>155</v>
      </c>
      <c r="U213" s="28">
        <f>P213+T213</f>
        <v>310</v>
      </c>
    </row>
    <row r="214" spans="1:27" x14ac:dyDescent="0.15">
      <c r="P214" s="1"/>
      <c r="W214" t="s">
        <v>153</v>
      </c>
      <c r="X214">
        <v>60</v>
      </c>
      <c r="Y214">
        <v>130</v>
      </c>
      <c r="Z214">
        <v>90</v>
      </c>
      <c r="AA214" s="1">
        <f>SUM(X214:Z214)</f>
        <v>280</v>
      </c>
    </row>
    <row r="215" spans="1:27" x14ac:dyDescent="0.15">
      <c r="P215" s="1"/>
      <c r="W215" t="s">
        <v>154</v>
      </c>
      <c r="X215">
        <v>90</v>
      </c>
      <c r="Y215">
        <v>100</v>
      </c>
      <c r="Z215">
        <v>75</v>
      </c>
      <c r="AA215" s="1">
        <f>SUM(X215:Z215)</f>
        <v>265</v>
      </c>
    </row>
    <row r="216" spans="1:27" ht="19.5" thickBot="1" x14ac:dyDescent="0.25">
      <c r="A216" s="84" t="s">
        <v>31</v>
      </c>
      <c r="B216" s="85"/>
      <c r="C216" s="85"/>
      <c r="D216" s="85"/>
      <c r="E216" s="85"/>
      <c r="F216" s="85"/>
      <c r="G216" s="85"/>
      <c r="H216" s="85"/>
      <c r="I216" s="85"/>
      <c r="J216" s="85"/>
      <c r="L216" s="82" t="s">
        <v>32</v>
      </c>
      <c r="M216" s="83"/>
      <c r="N216" s="83"/>
      <c r="O216" s="83"/>
      <c r="P216" s="83"/>
      <c r="Q216" s="83"/>
      <c r="R216" s="83"/>
      <c r="S216" s="83"/>
      <c r="T216" s="83"/>
      <c r="U216" s="83"/>
      <c r="W216" t="s">
        <v>250</v>
      </c>
      <c r="X216">
        <f>77+70</f>
        <v>147</v>
      </c>
      <c r="Y216">
        <f>113+107</f>
        <v>220</v>
      </c>
      <c r="Z216">
        <f>84+76</f>
        <v>160</v>
      </c>
      <c r="AA216" s="1">
        <f>SUM(X216:Z216)</f>
        <v>527</v>
      </c>
    </row>
    <row r="217" spans="1:27" ht="14.25" thickBot="1" x14ac:dyDescent="0.2">
      <c r="A217" s="6"/>
      <c r="B217" s="159" t="s">
        <v>33</v>
      </c>
      <c r="C217" s="160"/>
      <c r="D217" s="160"/>
      <c r="E217" s="161"/>
      <c r="F217" s="159" t="s">
        <v>22</v>
      </c>
      <c r="G217" s="160"/>
      <c r="H217" s="160"/>
      <c r="I217" s="162"/>
      <c r="J217" s="157" t="s">
        <v>0</v>
      </c>
      <c r="L217" s="6"/>
      <c r="M217" s="159" t="s">
        <v>33</v>
      </c>
      <c r="N217" s="160"/>
      <c r="O217" s="160"/>
      <c r="P217" s="161"/>
      <c r="Q217" s="146" t="s">
        <v>22</v>
      </c>
      <c r="R217" s="147"/>
      <c r="S217" s="147"/>
      <c r="T217" s="148"/>
      <c r="U217" s="157" t="s">
        <v>0</v>
      </c>
      <c r="X217" s="65" t="e">
        <f>X216/$P$216*100</f>
        <v>#DIV/0!</v>
      </c>
      <c r="Y217" s="65" t="e">
        <f t="shared" ref="Y217:AA217" si="181">Y216/$P$216*100</f>
        <v>#DIV/0!</v>
      </c>
      <c r="Z217" s="65" t="e">
        <f t="shared" si="181"/>
        <v>#DIV/0!</v>
      </c>
      <c r="AA217" s="65" t="e">
        <f t="shared" si="181"/>
        <v>#DIV/0!</v>
      </c>
    </row>
    <row r="218" spans="1:27" ht="14.25" thickBot="1" x14ac:dyDescent="0.2">
      <c r="A218" s="6" t="s">
        <v>1</v>
      </c>
      <c r="B218" s="3" t="s">
        <v>2</v>
      </c>
      <c r="C218" s="4" t="s">
        <v>3</v>
      </c>
      <c r="D218" s="5" t="s">
        <v>4</v>
      </c>
      <c r="E218" s="6" t="s">
        <v>5</v>
      </c>
      <c r="F218" s="3" t="s">
        <v>2</v>
      </c>
      <c r="G218" s="4" t="s">
        <v>3</v>
      </c>
      <c r="H218" s="5" t="s">
        <v>4</v>
      </c>
      <c r="I218" s="6" t="s">
        <v>5</v>
      </c>
      <c r="J218" s="158"/>
      <c r="L218" s="6" t="s">
        <v>1</v>
      </c>
      <c r="M218" s="3" t="s">
        <v>2</v>
      </c>
      <c r="N218" s="4" t="s">
        <v>3</v>
      </c>
      <c r="O218" s="5" t="s">
        <v>4</v>
      </c>
      <c r="P218" s="6" t="s">
        <v>5</v>
      </c>
      <c r="Q218" s="3" t="s">
        <v>2</v>
      </c>
      <c r="R218" s="4" t="s">
        <v>3</v>
      </c>
      <c r="S218" s="5" t="s">
        <v>4</v>
      </c>
      <c r="T218" s="6" t="s">
        <v>5</v>
      </c>
      <c r="U218" s="158"/>
    </row>
    <row r="219" spans="1:27" ht="14.25" thickBot="1" x14ac:dyDescent="0.2">
      <c r="A219" s="66" t="s">
        <v>6</v>
      </c>
      <c r="B219" s="25">
        <f>B213</f>
        <v>4</v>
      </c>
      <c r="C219" s="26">
        <f>C213</f>
        <v>3</v>
      </c>
      <c r="D219" s="27">
        <f>D213</f>
        <v>1</v>
      </c>
      <c r="E219" s="28">
        <f>SUM(B219:D219)</f>
        <v>8</v>
      </c>
      <c r="F219" s="25">
        <f>F213</f>
        <v>4</v>
      </c>
      <c r="G219" s="26">
        <f>G213</f>
        <v>3</v>
      </c>
      <c r="H219" s="27">
        <f>H213</f>
        <v>0</v>
      </c>
      <c r="I219" s="28">
        <f>SUM(F219:H219)</f>
        <v>7</v>
      </c>
      <c r="J219" s="28">
        <f>E219+I219</f>
        <v>15</v>
      </c>
      <c r="L219" s="66" t="s">
        <v>6</v>
      </c>
      <c r="M219" s="25">
        <f>M213</f>
        <v>68</v>
      </c>
      <c r="N219" s="26">
        <f>N213</f>
        <v>38</v>
      </c>
      <c r="O219" s="27">
        <f>O213</f>
        <v>49</v>
      </c>
      <c r="P219" s="28">
        <f>SUM(M219:O219)</f>
        <v>155</v>
      </c>
      <c r="Q219" s="25">
        <f>Q213</f>
        <v>68</v>
      </c>
      <c r="R219" s="26">
        <f>R213</f>
        <v>38</v>
      </c>
      <c r="S219" s="27">
        <f>S213</f>
        <v>49</v>
      </c>
      <c r="T219" s="28">
        <f>SUM(Q219:S219)</f>
        <v>155</v>
      </c>
      <c r="U219" s="28">
        <f>P219+T219</f>
        <v>310</v>
      </c>
    </row>
    <row r="220" spans="1:27" x14ac:dyDescent="0.15">
      <c r="A220" s="23" t="s">
        <v>77</v>
      </c>
      <c r="B220" s="16">
        <v>1</v>
      </c>
      <c r="C220" s="17">
        <v>1</v>
      </c>
      <c r="D220" s="45">
        <v>1</v>
      </c>
      <c r="E220" s="43">
        <f t="shared" ref="E220:E227" si="182">SUM(B220:D220)</f>
        <v>3</v>
      </c>
      <c r="F220" s="19">
        <v>1</v>
      </c>
      <c r="G220" s="17">
        <v>1</v>
      </c>
      <c r="H220" s="18">
        <v>1</v>
      </c>
      <c r="I220" s="43">
        <f t="shared" ref="I220:I227" si="183">SUM(F220:H220)</f>
        <v>3</v>
      </c>
      <c r="J220" s="43">
        <f t="shared" ref="J220:J227" si="184">E220+I220</f>
        <v>6</v>
      </c>
      <c r="K220" s="58">
        <v>45286</v>
      </c>
      <c r="L220" s="23" t="s">
        <v>7</v>
      </c>
      <c r="M220" s="16"/>
      <c r="N220" s="17">
        <v>2</v>
      </c>
      <c r="O220" s="45">
        <f>1+2</f>
        <v>3</v>
      </c>
      <c r="P220" s="43">
        <f t="shared" ref="P220:P224" si="185">SUM(M220:O220)</f>
        <v>5</v>
      </c>
      <c r="Q220" s="19"/>
      <c r="R220" s="17">
        <v>2</v>
      </c>
      <c r="S220" s="18">
        <f>1+2</f>
        <v>3</v>
      </c>
      <c r="T220" s="43">
        <f t="shared" ref="T220:T224" si="186">SUM(Q220:S220)</f>
        <v>5</v>
      </c>
      <c r="U220" s="43">
        <f t="shared" ref="U220:U224" si="187">P220+T220</f>
        <v>10</v>
      </c>
    </row>
    <row r="221" spans="1:27" x14ac:dyDescent="0.15">
      <c r="A221" s="23" t="s">
        <v>20</v>
      </c>
      <c r="B221" s="7"/>
      <c r="C221" s="8"/>
      <c r="D221" s="46">
        <v>3</v>
      </c>
      <c r="E221" s="10">
        <f t="shared" si="182"/>
        <v>3</v>
      </c>
      <c r="F221" s="11"/>
      <c r="G221" s="8"/>
      <c r="H221" s="9">
        <v>3</v>
      </c>
      <c r="I221" s="10">
        <f t="shared" si="183"/>
        <v>3</v>
      </c>
      <c r="J221" s="10">
        <f t="shared" si="184"/>
        <v>6</v>
      </c>
      <c r="K221" s="56">
        <v>45301</v>
      </c>
      <c r="L221" s="23" t="s">
        <v>8</v>
      </c>
      <c r="M221" s="16">
        <v>1</v>
      </c>
      <c r="N221" s="17"/>
      <c r="O221" s="45">
        <v>1</v>
      </c>
      <c r="P221" s="43">
        <f t="shared" si="185"/>
        <v>2</v>
      </c>
      <c r="Q221" s="19">
        <v>1</v>
      </c>
      <c r="R221" s="17"/>
      <c r="S221" s="18">
        <v>1</v>
      </c>
      <c r="T221" s="43">
        <f t="shared" si="186"/>
        <v>2</v>
      </c>
      <c r="U221" s="43">
        <f t="shared" si="187"/>
        <v>4</v>
      </c>
      <c r="V221" s="58">
        <v>45297</v>
      </c>
    </row>
    <row r="222" spans="1:27" x14ac:dyDescent="0.15">
      <c r="A222" s="23" t="s">
        <v>288</v>
      </c>
      <c r="B222" s="7">
        <v>11</v>
      </c>
      <c r="C222" s="8">
        <v>2</v>
      </c>
      <c r="D222" s="46">
        <v>3</v>
      </c>
      <c r="E222" s="10">
        <f t="shared" ref="E222" si="188">SUM(B222:D222)</f>
        <v>16</v>
      </c>
      <c r="F222" s="11">
        <v>11</v>
      </c>
      <c r="G222" s="8">
        <v>2</v>
      </c>
      <c r="H222" s="9">
        <v>3</v>
      </c>
      <c r="I222" s="10">
        <f t="shared" ref="I222" si="189">SUM(F222:H222)</f>
        <v>16</v>
      </c>
      <c r="J222" s="10">
        <f t="shared" ref="J222" si="190">E222+I222</f>
        <v>32</v>
      </c>
      <c r="K222" s="56">
        <v>45317</v>
      </c>
      <c r="L222" s="23" t="s">
        <v>9</v>
      </c>
      <c r="M222" s="7">
        <v>11</v>
      </c>
      <c r="N222" s="8">
        <v>2</v>
      </c>
      <c r="O222" s="46">
        <v>2</v>
      </c>
      <c r="P222" s="10">
        <f t="shared" si="185"/>
        <v>15</v>
      </c>
      <c r="Q222" s="11">
        <v>11</v>
      </c>
      <c r="R222" s="8">
        <v>2</v>
      </c>
      <c r="S222" s="9">
        <v>2</v>
      </c>
      <c r="T222" s="10">
        <f t="shared" si="186"/>
        <v>15</v>
      </c>
      <c r="U222" s="10">
        <f t="shared" si="187"/>
        <v>30</v>
      </c>
      <c r="V222" s="58">
        <v>45325</v>
      </c>
    </row>
    <row r="223" spans="1:27" x14ac:dyDescent="0.15">
      <c r="A223" s="23" t="s">
        <v>77</v>
      </c>
      <c r="B223" s="7"/>
      <c r="C223" s="8"/>
      <c r="D223" s="46">
        <v>1</v>
      </c>
      <c r="E223" s="10">
        <f t="shared" si="182"/>
        <v>1</v>
      </c>
      <c r="F223" s="11"/>
      <c r="G223" s="8"/>
      <c r="H223" s="9">
        <v>1</v>
      </c>
      <c r="I223" s="10">
        <f t="shared" si="183"/>
        <v>1</v>
      </c>
      <c r="J223" s="10">
        <f t="shared" si="184"/>
        <v>2</v>
      </c>
      <c r="K223" s="58">
        <v>45320</v>
      </c>
      <c r="L223" s="23" t="s">
        <v>10</v>
      </c>
      <c r="M223" s="7"/>
      <c r="N223" s="8"/>
      <c r="O223" s="46"/>
      <c r="P223" s="10">
        <f t="shared" si="185"/>
        <v>0</v>
      </c>
      <c r="Q223" s="11"/>
      <c r="R223" s="8"/>
      <c r="S223" s="9"/>
      <c r="T223" s="10">
        <f t="shared" si="186"/>
        <v>0</v>
      </c>
      <c r="U223" s="10">
        <f t="shared" si="187"/>
        <v>0</v>
      </c>
    </row>
    <row r="224" spans="1:27" x14ac:dyDescent="0.15">
      <c r="A224" s="23" t="s">
        <v>20</v>
      </c>
      <c r="B224" s="7"/>
      <c r="C224" s="8"/>
      <c r="D224" s="46"/>
      <c r="E224" s="10">
        <f t="shared" si="182"/>
        <v>0</v>
      </c>
      <c r="F224" s="11"/>
      <c r="G224" s="8"/>
      <c r="H224" s="9"/>
      <c r="I224" s="10">
        <f t="shared" si="183"/>
        <v>0</v>
      </c>
      <c r="J224" s="10">
        <f t="shared" si="184"/>
        <v>0</v>
      </c>
      <c r="L224" s="23" t="s">
        <v>11</v>
      </c>
      <c r="M224" s="7"/>
      <c r="N224" s="8"/>
      <c r="O224" s="46"/>
      <c r="P224" s="10">
        <f t="shared" si="185"/>
        <v>0</v>
      </c>
      <c r="Q224" s="11"/>
      <c r="R224" s="8"/>
      <c r="S224" s="9"/>
      <c r="T224" s="10">
        <f t="shared" si="186"/>
        <v>0</v>
      </c>
      <c r="U224" s="10">
        <f t="shared" si="187"/>
        <v>0</v>
      </c>
    </row>
    <row r="225" spans="1:24" x14ac:dyDescent="0.15">
      <c r="A225" s="23" t="s">
        <v>20</v>
      </c>
      <c r="B225" s="7"/>
      <c r="C225" s="8"/>
      <c r="D225" s="46"/>
      <c r="E225" s="10">
        <f t="shared" si="182"/>
        <v>0</v>
      </c>
      <c r="F225" s="11"/>
      <c r="G225" s="8"/>
      <c r="H225" s="9"/>
      <c r="I225" s="10">
        <f t="shared" si="183"/>
        <v>0</v>
      </c>
      <c r="J225" s="10">
        <f t="shared" si="184"/>
        <v>0</v>
      </c>
      <c r="L225" s="23" t="s">
        <v>12</v>
      </c>
      <c r="M225" s="16">
        <v>20</v>
      </c>
      <c r="N225" s="17">
        <v>50</v>
      </c>
      <c r="O225" s="45">
        <v>20</v>
      </c>
      <c r="P225" s="43">
        <f>SUM(M225:O225)</f>
        <v>90</v>
      </c>
      <c r="Q225" s="19">
        <v>20</v>
      </c>
      <c r="R225" s="17">
        <v>50</v>
      </c>
      <c r="S225" s="18">
        <v>20</v>
      </c>
      <c r="T225" s="43">
        <f>SUM(Q225:S225)</f>
        <v>90</v>
      </c>
      <c r="U225" s="43">
        <f>P225+T225</f>
        <v>180</v>
      </c>
      <c r="V225" s="56" t="s">
        <v>275</v>
      </c>
    </row>
    <row r="226" spans="1:24" x14ac:dyDescent="0.15">
      <c r="A226" s="23" t="s">
        <v>20</v>
      </c>
      <c r="B226" s="12"/>
      <c r="C226" s="13"/>
      <c r="D226" s="47"/>
      <c r="E226" s="10">
        <f t="shared" si="182"/>
        <v>0</v>
      </c>
      <c r="F226" s="15"/>
      <c r="G226" s="13"/>
      <c r="H226" s="14"/>
      <c r="I226" s="10">
        <f t="shared" si="183"/>
        <v>0</v>
      </c>
      <c r="J226" s="10">
        <f t="shared" si="184"/>
        <v>0</v>
      </c>
      <c r="L226" s="23" t="s">
        <v>13</v>
      </c>
      <c r="M226" s="16"/>
      <c r="N226" s="17"/>
      <c r="O226" s="45"/>
      <c r="P226" s="43">
        <f>SUM(M226:O226)</f>
        <v>0</v>
      </c>
      <c r="Q226" s="19"/>
      <c r="R226" s="17"/>
      <c r="S226" s="18"/>
      <c r="T226" s="43">
        <f>SUM(Q226:S226)</f>
        <v>0</v>
      </c>
      <c r="U226" s="43">
        <f>P226+T226</f>
        <v>0</v>
      </c>
      <c r="V226" s="61" t="s">
        <v>249</v>
      </c>
    </row>
    <row r="227" spans="1:24" ht="14.25" thickBot="1" x14ac:dyDescent="0.2">
      <c r="A227" s="23" t="s">
        <v>20</v>
      </c>
      <c r="B227" s="29"/>
      <c r="C227" s="30"/>
      <c r="D227" s="48"/>
      <c r="E227" s="55">
        <f t="shared" si="182"/>
        <v>0</v>
      </c>
      <c r="F227" s="31"/>
      <c r="G227" s="31"/>
      <c r="H227" s="33"/>
      <c r="I227" s="55">
        <f t="shared" si="183"/>
        <v>0</v>
      </c>
      <c r="J227" s="20">
        <f t="shared" si="184"/>
        <v>0</v>
      </c>
      <c r="L227" s="23" t="s">
        <v>14</v>
      </c>
      <c r="M227" s="12"/>
      <c r="N227" s="13"/>
      <c r="O227" s="47"/>
      <c r="P227" s="10">
        <f t="shared" ref="P227" si="191">SUM(M227:O227)</f>
        <v>0</v>
      </c>
      <c r="Q227" s="15"/>
      <c r="R227" s="13"/>
      <c r="S227" s="14"/>
      <c r="T227" s="10">
        <f t="shared" ref="T227" si="192">SUM(Q227:S227)</f>
        <v>0</v>
      </c>
      <c r="U227" s="10">
        <f t="shared" ref="U227" si="193">P227+T227</f>
        <v>0</v>
      </c>
    </row>
    <row r="228" spans="1:24" ht="14.25" thickBot="1" x14ac:dyDescent="0.2">
      <c r="A228" s="32" t="s">
        <v>15</v>
      </c>
      <c r="B228" s="25">
        <f>SUM(B219:B227)</f>
        <v>16</v>
      </c>
      <c r="C228" s="26">
        <f>SUM(C219:C227)</f>
        <v>6</v>
      </c>
      <c r="D228" s="27">
        <f>SUM(D219:D227)</f>
        <v>9</v>
      </c>
      <c r="E228" s="28">
        <f>SUM(B228:D228)</f>
        <v>31</v>
      </c>
      <c r="F228" s="25">
        <f>SUM(F219:F227)</f>
        <v>16</v>
      </c>
      <c r="G228" s="26">
        <f>SUM(G219:G227)</f>
        <v>6</v>
      </c>
      <c r="H228" s="27">
        <f>SUM(H219:H227)</f>
        <v>8</v>
      </c>
      <c r="I228" s="28">
        <f>SUM(F228:H228)</f>
        <v>30</v>
      </c>
      <c r="J228" s="28">
        <f>E228+I228</f>
        <v>61</v>
      </c>
      <c r="L228" s="32" t="s">
        <v>15</v>
      </c>
      <c r="M228" s="25">
        <f>SUM(M219:M227)</f>
        <v>100</v>
      </c>
      <c r="N228" s="26">
        <f>SUM(N219:N227)</f>
        <v>92</v>
      </c>
      <c r="O228" s="27">
        <f>SUM(O219:O227)</f>
        <v>75</v>
      </c>
      <c r="P228" s="28">
        <f>SUM(M228:O228)</f>
        <v>267</v>
      </c>
      <c r="Q228" s="25">
        <f>SUM(Q219:Q227)</f>
        <v>100</v>
      </c>
      <c r="R228" s="26">
        <f>SUM(R219:R227)</f>
        <v>92</v>
      </c>
      <c r="S228" s="27">
        <f>SUM(S219:S227)</f>
        <v>75</v>
      </c>
      <c r="T228" s="28">
        <f>SUM(Q228:S228)</f>
        <v>267</v>
      </c>
      <c r="U228" s="28">
        <f>P228+T228</f>
        <v>534</v>
      </c>
    </row>
    <row r="229" spans="1:24" x14ac:dyDescent="0.15">
      <c r="A229" s="24" t="s">
        <v>281</v>
      </c>
      <c r="B229" s="7"/>
      <c r="C229" s="8">
        <v>1</v>
      </c>
      <c r="D229" s="9"/>
      <c r="E229" s="43">
        <f t="shared" ref="E229:E231" si="194">SUM(B229:D229)</f>
        <v>1</v>
      </c>
      <c r="F229" s="11"/>
      <c r="G229" s="8">
        <v>1</v>
      </c>
      <c r="H229" s="9"/>
      <c r="I229" s="43">
        <f t="shared" ref="I229:I231" si="195">SUM(F229:H229)</f>
        <v>1</v>
      </c>
      <c r="J229" s="10">
        <f t="shared" ref="J229:J231" si="196">E229+I229</f>
        <v>2</v>
      </c>
      <c r="K229" s="56">
        <v>44931</v>
      </c>
      <c r="L229" s="24" t="s">
        <v>256</v>
      </c>
      <c r="M229" s="7">
        <v>9</v>
      </c>
      <c r="N229" s="8">
        <v>1</v>
      </c>
      <c r="O229" s="9"/>
      <c r="P229" s="43">
        <f t="shared" ref="P229:P248" si="197">SUM(M229:O229)</f>
        <v>10</v>
      </c>
      <c r="Q229" s="7">
        <v>9</v>
      </c>
      <c r="R229" s="8">
        <v>1</v>
      </c>
      <c r="S229" s="9"/>
      <c r="T229" s="43">
        <f t="shared" ref="T229:T248" si="198">SUM(Q229:S229)</f>
        <v>10</v>
      </c>
      <c r="U229" s="10">
        <f t="shared" ref="U229:U248" si="199">P229+T229</f>
        <v>20</v>
      </c>
      <c r="V229" s="56">
        <v>45274</v>
      </c>
    </row>
    <row r="230" spans="1:24" x14ac:dyDescent="0.15">
      <c r="A230" s="22" t="s">
        <v>97</v>
      </c>
      <c r="B230" s="7">
        <v>1</v>
      </c>
      <c r="C230" s="8"/>
      <c r="D230" s="9">
        <v>1</v>
      </c>
      <c r="E230" s="43">
        <f t="shared" si="194"/>
        <v>2</v>
      </c>
      <c r="F230" s="11">
        <v>1</v>
      </c>
      <c r="G230" s="8"/>
      <c r="H230" s="9">
        <v>1</v>
      </c>
      <c r="I230" s="43">
        <f t="shared" si="195"/>
        <v>2</v>
      </c>
      <c r="J230" s="10">
        <f t="shared" si="196"/>
        <v>4</v>
      </c>
      <c r="K230" s="56">
        <v>45297</v>
      </c>
      <c r="L230" s="24" t="s">
        <v>259</v>
      </c>
      <c r="M230" s="7"/>
      <c r="N230" s="8">
        <v>2</v>
      </c>
      <c r="O230" s="9"/>
      <c r="P230" s="43">
        <f t="shared" si="197"/>
        <v>2</v>
      </c>
      <c r="Q230" s="7"/>
      <c r="R230" s="8">
        <v>2</v>
      </c>
      <c r="S230" s="9"/>
      <c r="T230" s="43">
        <f t="shared" si="198"/>
        <v>2</v>
      </c>
      <c r="U230" s="10">
        <f t="shared" si="199"/>
        <v>4</v>
      </c>
      <c r="V230" s="56">
        <v>45275</v>
      </c>
      <c r="W230" s="61"/>
      <c r="X230" s="61"/>
    </row>
    <row r="231" spans="1:24" x14ac:dyDescent="0.15">
      <c r="A231" s="22" t="s">
        <v>187</v>
      </c>
      <c r="B231" s="7"/>
      <c r="C231" s="8"/>
      <c r="D231" s="9">
        <v>1</v>
      </c>
      <c r="E231" s="43">
        <f t="shared" si="194"/>
        <v>1</v>
      </c>
      <c r="F231" s="11"/>
      <c r="G231" s="8"/>
      <c r="H231" s="9">
        <v>1</v>
      </c>
      <c r="I231" s="43">
        <f t="shared" si="195"/>
        <v>1</v>
      </c>
      <c r="J231" s="10">
        <f t="shared" si="196"/>
        <v>2</v>
      </c>
      <c r="K231" s="58">
        <v>45301</v>
      </c>
      <c r="L231" s="24" t="s">
        <v>262</v>
      </c>
      <c r="M231" s="7"/>
      <c r="N231" s="8">
        <v>4</v>
      </c>
      <c r="O231" s="9">
        <v>1</v>
      </c>
      <c r="P231" s="43">
        <f t="shared" si="197"/>
        <v>5</v>
      </c>
      <c r="Q231" s="7"/>
      <c r="R231" s="8">
        <v>4</v>
      </c>
      <c r="S231" s="9">
        <v>1</v>
      </c>
      <c r="T231" s="43">
        <f t="shared" si="198"/>
        <v>5</v>
      </c>
      <c r="U231" s="10">
        <f t="shared" si="199"/>
        <v>10</v>
      </c>
      <c r="V231" s="56">
        <v>45278</v>
      </c>
      <c r="W231" s="61"/>
      <c r="X231" s="61"/>
    </row>
    <row r="232" spans="1:24" x14ac:dyDescent="0.15">
      <c r="A232" s="24" t="s">
        <v>131</v>
      </c>
      <c r="B232" s="7">
        <v>2</v>
      </c>
      <c r="C232" s="8"/>
      <c r="D232" s="9"/>
      <c r="E232" s="43">
        <f t="shared" ref="E232:E255" si="200">SUM(B232:D232)</f>
        <v>2</v>
      </c>
      <c r="F232" s="11">
        <v>2</v>
      </c>
      <c r="G232" s="8"/>
      <c r="H232" s="9"/>
      <c r="I232" s="43">
        <f t="shared" ref="I232:I255" si="201">SUM(F232:H232)</f>
        <v>2</v>
      </c>
      <c r="J232" s="10">
        <f t="shared" ref="J232:J254" si="202">E232+I232</f>
        <v>4</v>
      </c>
      <c r="K232" s="56">
        <v>45313</v>
      </c>
      <c r="L232" s="24" t="s">
        <v>264</v>
      </c>
      <c r="M232" s="7">
        <v>6</v>
      </c>
      <c r="N232" s="8">
        <v>7</v>
      </c>
      <c r="O232" s="9">
        <v>6</v>
      </c>
      <c r="P232" s="43">
        <f t="shared" si="197"/>
        <v>19</v>
      </c>
      <c r="Q232" s="7">
        <v>6</v>
      </c>
      <c r="R232" s="8">
        <v>7</v>
      </c>
      <c r="S232" s="9">
        <v>6</v>
      </c>
      <c r="T232" s="43">
        <f t="shared" si="198"/>
        <v>19</v>
      </c>
      <c r="U232" s="10">
        <f t="shared" si="199"/>
        <v>38</v>
      </c>
      <c r="V232" s="56">
        <v>45280</v>
      </c>
      <c r="W232" s="61"/>
      <c r="X232" s="61"/>
    </row>
    <row r="233" spans="1:24" x14ac:dyDescent="0.15">
      <c r="A233" s="24" t="s">
        <v>133</v>
      </c>
      <c r="B233" s="7"/>
      <c r="C233" s="8">
        <v>1</v>
      </c>
      <c r="D233" s="9"/>
      <c r="E233" s="43">
        <f t="shared" si="200"/>
        <v>1</v>
      </c>
      <c r="F233" s="11"/>
      <c r="G233" s="8">
        <v>1</v>
      </c>
      <c r="H233" s="9"/>
      <c r="I233" s="43">
        <f t="shared" si="201"/>
        <v>1</v>
      </c>
      <c r="J233" s="10">
        <f t="shared" si="202"/>
        <v>2</v>
      </c>
      <c r="K233" s="56">
        <v>45317</v>
      </c>
      <c r="L233" s="24" t="s">
        <v>266</v>
      </c>
      <c r="M233" s="7">
        <v>1</v>
      </c>
      <c r="N233" s="8">
        <v>1</v>
      </c>
      <c r="O233" s="9">
        <v>4</v>
      </c>
      <c r="P233" s="43">
        <f t="shared" si="197"/>
        <v>6</v>
      </c>
      <c r="Q233" s="7">
        <v>1</v>
      </c>
      <c r="R233" s="8">
        <v>1</v>
      </c>
      <c r="S233" s="9">
        <v>4</v>
      </c>
      <c r="T233" s="43">
        <f t="shared" si="198"/>
        <v>6</v>
      </c>
      <c r="U233" s="10">
        <f t="shared" si="199"/>
        <v>12</v>
      </c>
      <c r="V233" s="56">
        <v>45281</v>
      </c>
      <c r="W233" s="61"/>
    </row>
    <row r="234" spans="1:24" x14ac:dyDescent="0.15">
      <c r="A234" s="24" t="s">
        <v>142</v>
      </c>
      <c r="B234" s="7"/>
      <c r="C234" s="8">
        <v>1</v>
      </c>
      <c r="D234" s="9">
        <v>1</v>
      </c>
      <c r="E234" s="43">
        <f t="shared" si="200"/>
        <v>2</v>
      </c>
      <c r="F234" s="11"/>
      <c r="G234" s="8">
        <v>1</v>
      </c>
      <c r="H234" s="9">
        <v>1</v>
      </c>
      <c r="I234" s="43">
        <f t="shared" si="201"/>
        <v>2</v>
      </c>
      <c r="J234" s="10">
        <f t="shared" si="202"/>
        <v>4</v>
      </c>
      <c r="K234" s="56">
        <v>45327</v>
      </c>
      <c r="L234" s="24" t="s">
        <v>268</v>
      </c>
      <c r="M234" s="7"/>
      <c r="N234" s="8">
        <v>6</v>
      </c>
      <c r="O234" s="9">
        <v>3</v>
      </c>
      <c r="P234" s="43">
        <f t="shared" si="197"/>
        <v>9</v>
      </c>
      <c r="Q234" s="7"/>
      <c r="R234" s="8">
        <v>6</v>
      </c>
      <c r="S234" s="9">
        <v>3</v>
      </c>
      <c r="T234" s="43">
        <f t="shared" si="198"/>
        <v>9</v>
      </c>
      <c r="U234" s="10">
        <f t="shared" si="199"/>
        <v>18</v>
      </c>
      <c r="V234" s="56">
        <v>45282</v>
      </c>
      <c r="W234" s="61"/>
    </row>
    <row r="235" spans="1:24" x14ac:dyDescent="0.15">
      <c r="A235" s="22" t="s">
        <v>97</v>
      </c>
      <c r="B235" s="7">
        <v>11</v>
      </c>
      <c r="C235" s="8">
        <v>2</v>
      </c>
      <c r="D235" s="9">
        <v>2</v>
      </c>
      <c r="E235" s="43">
        <f t="shared" si="200"/>
        <v>15</v>
      </c>
      <c r="F235" s="11">
        <v>11</v>
      </c>
      <c r="G235" s="8">
        <v>2</v>
      </c>
      <c r="H235" s="9">
        <v>2</v>
      </c>
      <c r="I235" s="43">
        <f t="shared" si="201"/>
        <v>15</v>
      </c>
      <c r="J235" s="10">
        <f t="shared" si="202"/>
        <v>30</v>
      </c>
      <c r="K235" s="58">
        <v>45325</v>
      </c>
      <c r="L235" s="24" t="s">
        <v>270</v>
      </c>
      <c r="M235" s="7">
        <v>3</v>
      </c>
      <c r="N235" s="8">
        <v>1</v>
      </c>
      <c r="O235" s="9">
        <v>3</v>
      </c>
      <c r="P235" s="43">
        <f t="shared" si="197"/>
        <v>7</v>
      </c>
      <c r="Q235" s="7">
        <v>3</v>
      </c>
      <c r="R235" s="8">
        <v>1</v>
      </c>
      <c r="S235" s="9">
        <v>3</v>
      </c>
      <c r="T235" s="43">
        <f t="shared" si="198"/>
        <v>7</v>
      </c>
      <c r="U235" s="10">
        <f t="shared" si="199"/>
        <v>14</v>
      </c>
      <c r="V235" s="56">
        <v>45282</v>
      </c>
      <c r="W235" s="61"/>
    </row>
    <row r="236" spans="1:24" x14ac:dyDescent="0.15">
      <c r="A236" s="22"/>
      <c r="B236" s="7"/>
      <c r="C236" s="8"/>
      <c r="D236" s="9"/>
      <c r="E236" s="43">
        <f t="shared" si="200"/>
        <v>0</v>
      </c>
      <c r="F236" s="11"/>
      <c r="G236" s="8"/>
      <c r="H236" s="9"/>
      <c r="I236" s="43">
        <f t="shared" si="201"/>
        <v>0</v>
      </c>
      <c r="J236" s="10">
        <f t="shared" si="202"/>
        <v>0</v>
      </c>
      <c r="L236" s="24" t="s">
        <v>272</v>
      </c>
      <c r="M236" s="7"/>
      <c r="N236" s="8"/>
      <c r="O236" s="9">
        <v>1</v>
      </c>
      <c r="P236" s="43">
        <f t="shared" si="197"/>
        <v>1</v>
      </c>
      <c r="Q236" s="7"/>
      <c r="R236" s="8"/>
      <c r="S236" s="9">
        <v>1</v>
      </c>
      <c r="T236" s="43">
        <f t="shared" si="198"/>
        <v>1</v>
      </c>
      <c r="U236" s="10">
        <f t="shared" si="199"/>
        <v>2</v>
      </c>
      <c r="V236" s="56">
        <v>45285</v>
      </c>
      <c r="W236" s="61"/>
    </row>
    <row r="237" spans="1:24" x14ac:dyDescent="0.15">
      <c r="A237" s="22"/>
      <c r="B237" s="7"/>
      <c r="C237" s="8"/>
      <c r="D237" s="9"/>
      <c r="E237" s="43">
        <f t="shared" si="200"/>
        <v>0</v>
      </c>
      <c r="F237" s="11"/>
      <c r="G237" s="8"/>
      <c r="H237" s="9"/>
      <c r="I237" s="43">
        <f t="shared" si="201"/>
        <v>0</v>
      </c>
      <c r="J237" s="10">
        <f t="shared" si="202"/>
        <v>0</v>
      </c>
      <c r="L237" s="24" t="s">
        <v>274</v>
      </c>
      <c r="M237" s="7">
        <v>3</v>
      </c>
      <c r="N237" s="8">
        <v>2</v>
      </c>
      <c r="O237" s="9">
        <v>4</v>
      </c>
      <c r="P237" s="43">
        <f t="shared" si="197"/>
        <v>9</v>
      </c>
      <c r="Q237" s="7">
        <v>3</v>
      </c>
      <c r="R237" s="8">
        <v>2</v>
      </c>
      <c r="S237" s="9">
        <v>4</v>
      </c>
      <c r="T237" s="43">
        <f t="shared" si="198"/>
        <v>9</v>
      </c>
      <c r="U237" s="10">
        <f t="shared" si="199"/>
        <v>18</v>
      </c>
      <c r="V237" s="56">
        <v>45287</v>
      </c>
      <c r="W237" s="61"/>
    </row>
    <row r="238" spans="1:24" x14ac:dyDescent="0.15">
      <c r="A238" s="22"/>
      <c r="B238" s="12"/>
      <c r="C238" s="13"/>
      <c r="D238" s="14"/>
      <c r="E238" s="43">
        <f t="shared" si="200"/>
        <v>0</v>
      </c>
      <c r="F238" s="15"/>
      <c r="G238" s="13"/>
      <c r="H238" s="14"/>
      <c r="I238" s="43">
        <f t="shared" si="201"/>
        <v>0</v>
      </c>
      <c r="J238" s="10">
        <f t="shared" si="202"/>
        <v>0</v>
      </c>
      <c r="L238" s="24" t="s">
        <v>277</v>
      </c>
      <c r="M238" s="7">
        <v>1</v>
      </c>
      <c r="N238" s="8"/>
      <c r="O238" s="9"/>
      <c r="P238" s="43">
        <f t="shared" si="197"/>
        <v>1</v>
      </c>
      <c r="Q238" s="7">
        <v>1</v>
      </c>
      <c r="R238" s="8"/>
      <c r="S238" s="9"/>
      <c r="T238" s="43">
        <f t="shared" si="198"/>
        <v>1</v>
      </c>
      <c r="U238" s="10">
        <f t="shared" si="199"/>
        <v>2</v>
      </c>
      <c r="V238" s="56">
        <v>45288</v>
      </c>
    </row>
    <row r="239" spans="1:24" x14ac:dyDescent="0.15">
      <c r="A239" s="22"/>
      <c r="B239" s="7"/>
      <c r="C239" s="8"/>
      <c r="D239" s="9"/>
      <c r="E239" s="43">
        <f t="shared" si="200"/>
        <v>0</v>
      </c>
      <c r="F239" s="11"/>
      <c r="G239" s="8"/>
      <c r="H239" s="9"/>
      <c r="I239" s="43">
        <f t="shared" si="201"/>
        <v>0</v>
      </c>
      <c r="J239" s="10">
        <f t="shared" si="202"/>
        <v>0</v>
      </c>
      <c r="L239" s="24" t="s">
        <v>279</v>
      </c>
      <c r="M239" s="7">
        <v>1</v>
      </c>
      <c r="N239" s="8"/>
      <c r="O239" s="9"/>
      <c r="P239" s="43">
        <f t="shared" si="197"/>
        <v>1</v>
      </c>
      <c r="Q239" s="7">
        <v>1</v>
      </c>
      <c r="R239" s="8"/>
      <c r="S239" s="9"/>
      <c r="T239" s="43">
        <f t="shared" si="198"/>
        <v>1</v>
      </c>
      <c r="U239" s="10">
        <f t="shared" si="199"/>
        <v>2</v>
      </c>
      <c r="V239" s="56">
        <v>45288</v>
      </c>
    </row>
    <row r="240" spans="1:24" x14ac:dyDescent="0.15">
      <c r="A240" s="22"/>
      <c r="B240" s="7"/>
      <c r="C240" s="8"/>
      <c r="D240" s="9"/>
      <c r="E240" s="43">
        <f t="shared" si="200"/>
        <v>0</v>
      </c>
      <c r="F240" s="11"/>
      <c r="G240" s="8"/>
      <c r="H240" s="9"/>
      <c r="I240" s="43">
        <f t="shared" si="201"/>
        <v>0</v>
      </c>
      <c r="J240" s="10">
        <f t="shared" si="202"/>
        <v>0</v>
      </c>
      <c r="L240" s="24" t="s">
        <v>125</v>
      </c>
      <c r="M240" s="7">
        <v>1</v>
      </c>
      <c r="N240" s="8">
        <v>2</v>
      </c>
      <c r="O240" s="9"/>
      <c r="P240" s="43">
        <f t="shared" si="197"/>
        <v>3</v>
      </c>
      <c r="Q240" s="7">
        <v>1</v>
      </c>
      <c r="R240" s="8">
        <v>2</v>
      </c>
      <c r="S240" s="9"/>
      <c r="T240" s="43">
        <f t="shared" si="198"/>
        <v>3</v>
      </c>
      <c r="U240" s="10">
        <f t="shared" si="199"/>
        <v>6</v>
      </c>
      <c r="V240" s="56">
        <v>45302</v>
      </c>
    </row>
    <row r="241" spans="1:24" x14ac:dyDescent="0.15">
      <c r="A241" s="22"/>
      <c r="B241" s="7"/>
      <c r="C241" s="8"/>
      <c r="D241" s="9"/>
      <c r="E241" s="43">
        <f t="shared" si="200"/>
        <v>0</v>
      </c>
      <c r="F241" s="11"/>
      <c r="G241" s="8"/>
      <c r="H241" s="9"/>
      <c r="I241" s="43">
        <f t="shared" si="201"/>
        <v>0</v>
      </c>
      <c r="J241" s="10">
        <f t="shared" si="202"/>
        <v>0</v>
      </c>
      <c r="L241" s="24" t="s">
        <v>37</v>
      </c>
      <c r="M241" s="7"/>
      <c r="N241" s="8"/>
      <c r="O241" s="9">
        <v>3</v>
      </c>
      <c r="P241" s="43">
        <f t="shared" si="197"/>
        <v>3</v>
      </c>
      <c r="Q241" s="7"/>
      <c r="R241" s="8"/>
      <c r="S241" s="9">
        <v>3</v>
      </c>
      <c r="T241" s="43">
        <f t="shared" si="198"/>
        <v>3</v>
      </c>
      <c r="U241" s="10">
        <f t="shared" si="199"/>
        <v>6</v>
      </c>
      <c r="V241" s="56">
        <v>45301</v>
      </c>
    </row>
    <row r="242" spans="1:24" x14ac:dyDescent="0.15">
      <c r="A242" s="22"/>
      <c r="B242" s="7"/>
      <c r="C242" s="8"/>
      <c r="D242" s="9"/>
      <c r="E242" s="43">
        <f t="shared" si="200"/>
        <v>0</v>
      </c>
      <c r="F242" s="11"/>
      <c r="G242" s="8"/>
      <c r="H242" s="9"/>
      <c r="I242" s="43">
        <f t="shared" si="201"/>
        <v>0</v>
      </c>
      <c r="J242" s="10">
        <f t="shared" si="202"/>
        <v>0</v>
      </c>
      <c r="L242" s="24" t="s">
        <v>285</v>
      </c>
      <c r="M242" s="7"/>
      <c r="N242" s="8">
        <v>3</v>
      </c>
      <c r="O242" s="9"/>
      <c r="P242" s="43">
        <f t="shared" si="197"/>
        <v>3</v>
      </c>
      <c r="Q242" s="7"/>
      <c r="R242" s="8">
        <v>3</v>
      </c>
      <c r="S242" s="9"/>
      <c r="T242" s="43">
        <f t="shared" si="198"/>
        <v>3</v>
      </c>
      <c r="U242" s="10">
        <f t="shared" si="199"/>
        <v>6</v>
      </c>
      <c r="V242" s="56">
        <v>45303</v>
      </c>
      <c r="W242" s="61"/>
      <c r="X242" s="61"/>
    </row>
    <row r="243" spans="1:24" x14ac:dyDescent="0.15">
      <c r="A243" s="22"/>
      <c r="B243" s="7"/>
      <c r="C243" s="8"/>
      <c r="D243" s="9"/>
      <c r="E243" s="43">
        <f t="shared" si="200"/>
        <v>0</v>
      </c>
      <c r="F243" s="11"/>
      <c r="G243" s="8"/>
      <c r="H243" s="9"/>
      <c r="I243" s="43">
        <f t="shared" si="201"/>
        <v>0</v>
      </c>
      <c r="J243" s="10">
        <f t="shared" si="202"/>
        <v>0</v>
      </c>
      <c r="L243" s="24" t="s">
        <v>128</v>
      </c>
      <c r="M243" s="7"/>
      <c r="N243" s="8"/>
      <c r="O243" s="9">
        <v>1</v>
      </c>
      <c r="P243" s="43">
        <f t="shared" si="197"/>
        <v>1</v>
      </c>
      <c r="Q243" s="7"/>
      <c r="R243" s="8"/>
      <c r="S243" s="9">
        <v>1</v>
      </c>
      <c r="T243" s="43">
        <f t="shared" si="198"/>
        <v>1</v>
      </c>
      <c r="U243" s="10">
        <f t="shared" si="199"/>
        <v>2</v>
      </c>
      <c r="V243" s="56">
        <v>45310</v>
      </c>
      <c r="W243" s="61"/>
      <c r="X243" s="61"/>
    </row>
    <row r="244" spans="1:24" x14ac:dyDescent="0.15">
      <c r="A244" s="22"/>
      <c r="B244" s="7"/>
      <c r="C244" s="8"/>
      <c r="D244" s="9"/>
      <c r="E244" s="43">
        <f t="shared" si="200"/>
        <v>0</v>
      </c>
      <c r="F244" s="11"/>
      <c r="G244" s="8"/>
      <c r="H244" s="9"/>
      <c r="I244" s="43">
        <f t="shared" si="201"/>
        <v>0</v>
      </c>
      <c r="J244" s="10">
        <f t="shared" si="202"/>
        <v>0</v>
      </c>
      <c r="L244" s="24" t="s">
        <v>133</v>
      </c>
      <c r="M244" s="7"/>
      <c r="N244" s="8">
        <v>1</v>
      </c>
      <c r="O244" s="9">
        <v>1</v>
      </c>
      <c r="P244" s="43">
        <f t="shared" si="197"/>
        <v>2</v>
      </c>
      <c r="Q244" s="7"/>
      <c r="R244" s="8">
        <v>1</v>
      </c>
      <c r="S244" s="9">
        <v>1</v>
      </c>
      <c r="T244" s="43">
        <f t="shared" si="198"/>
        <v>2</v>
      </c>
      <c r="U244" s="10">
        <f t="shared" si="199"/>
        <v>4</v>
      </c>
      <c r="V244" s="56">
        <v>45315</v>
      </c>
      <c r="W244" s="61"/>
      <c r="X244" s="61"/>
    </row>
    <row r="245" spans="1:24" x14ac:dyDescent="0.15">
      <c r="A245" s="24"/>
      <c r="B245" s="7"/>
      <c r="C245" s="8"/>
      <c r="D245" s="9"/>
      <c r="E245" s="43">
        <f t="shared" si="200"/>
        <v>0</v>
      </c>
      <c r="F245" s="11"/>
      <c r="G245" s="8"/>
      <c r="H245" s="9"/>
      <c r="I245" s="43">
        <f t="shared" si="201"/>
        <v>0</v>
      </c>
      <c r="J245" s="10">
        <f t="shared" si="202"/>
        <v>0</v>
      </c>
      <c r="L245" s="24" t="s">
        <v>135</v>
      </c>
      <c r="M245" s="7"/>
      <c r="N245" s="8">
        <v>1</v>
      </c>
      <c r="O245" s="9"/>
      <c r="P245" s="43">
        <f t="shared" si="197"/>
        <v>1</v>
      </c>
      <c r="Q245" s="7"/>
      <c r="R245" s="8">
        <v>1</v>
      </c>
      <c r="S245" s="9"/>
      <c r="T245" s="43">
        <f t="shared" si="198"/>
        <v>1</v>
      </c>
      <c r="U245" s="10">
        <f t="shared" si="199"/>
        <v>2</v>
      </c>
      <c r="V245" s="56">
        <v>45316</v>
      </c>
      <c r="W245" s="61"/>
      <c r="X245" s="61"/>
    </row>
    <row r="246" spans="1:24" x14ac:dyDescent="0.15">
      <c r="A246" s="22"/>
      <c r="B246" s="7"/>
      <c r="C246" s="8"/>
      <c r="D246" s="9"/>
      <c r="E246" s="43">
        <f t="shared" si="200"/>
        <v>0</v>
      </c>
      <c r="F246" s="11"/>
      <c r="G246" s="8"/>
      <c r="H246" s="9"/>
      <c r="I246" s="43">
        <f t="shared" si="201"/>
        <v>0</v>
      </c>
      <c r="J246" s="10">
        <f t="shared" si="202"/>
        <v>0</v>
      </c>
      <c r="L246" s="24" t="s">
        <v>137</v>
      </c>
      <c r="M246" s="7">
        <v>1</v>
      </c>
      <c r="N246" s="8"/>
      <c r="O246" s="9"/>
      <c r="P246" s="43">
        <f t="shared" si="197"/>
        <v>1</v>
      </c>
      <c r="Q246" s="7">
        <v>1</v>
      </c>
      <c r="R246" s="8"/>
      <c r="S246" s="9"/>
      <c r="T246" s="43">
        <f t="shared" si="198"/>
        <v>1</v>
      </c>
      <c r="U246" s="10">
        <f t="shared" si="199"/>
        <v>2</v>
      </c>
      <c r="V246" s="56">
        <v>45322</v>
      </c>
      <c r="W246" s="61"/>
      <c r="X246" s="61"/>
    </row>
    <row r="247" spans="1:24" x14ac:dyDescent="0.15">
      <c r="A247" s="23"/>
      <c r="B247" s="7"/>
      <c r="C247" s="8"/>
      <c r="D247" s="9"/>
      <c r="E247" s="43">
        <f t="shared" si="200"/>
        <v>0</v>
      </c>
      <c r="F247" s="11"/>
      <c r="G247" s="8"/>
      <c r="H247" s="9"/>
      <c r="I247" s="43">
        <f t="shared" si="201"/>
        <v>0</v>
      </c>
      <c r="J247" s="10">
        <f t="shared" si="202"/>
        <v>0</v>
      </c>
      <c r="L247" s="24" t="s">
        <v>138</v>
      </c>
      <c r="M247" s="7">
        <v>1</v>
      </c>
      <c r="N247" s="8"/>
      <c r="O247" s="9"/>
      <c r="P247" s="43">
        <f t="shared" si="197"/>
        <v>1</v>
      </c>
      <c r="Q247" s="7">
        <v>1</v>
      </c>
      <c r="R247" s="8"/>
      <c r="S247" s="9"/>
      <c r="T247" s="43">
        <f t="shared" si="198"/>
        <v>1</v>
      </c>
      <c r="U247" s="10">
        <f t="shared" si="199"/>
        <v>2</v>
      </c>
      <c r="V247" s="56">
        <v>45324</v>
      </c>
      <c r="W247" s="61"/>
      <c r="X247" s="61"/>
    </row>
    <row r="248" spans="1:24" x14ac:dyDescent="0.15">
      <c r="A248" s="22"/>
      <c r="B248" s="7"/>
      <c r="C248" s="8"/>
      <c r="D248" s="9"/>
      <c r="E248" s="43">
        <f t="shared" si="200"/>
        <v>0</v>
      </c>
      <c r="F248" s="11"/>
      <c r="G248" s="8"/>
      <c r="H248" s="9"/>
      <c r="I248" s="43">
        <f t="shared" si="201"/>
        <v>0</v>
      </c>
      <c r="J248" s="10">
        <f t="shared" si="202"/>
        <v>0</v>
      </c>
      <c r="L248" s="24" t="s">
        <v>294</v>
      </c>
      <c r="M248" s="7"/>
      <c r="N248" s="8">
        <v>1</v>
      </c>
      <c r="O248" s="9"/>
      <c r="P248" s="43">
        <f t="shared" si="197"/>
        <v>1</v>
      </c>
      <c r="Q248" s="7"/>
      <c r="R248" s="8">
        <v>1</v>
      </c>
      <c r="S248" s="9"/>
      <c r="T248" s="43">
        <f t="shared" si="198"/>
        <v>1</v>
      </c>
      <c r="U248" s="10">
        <f t="shared" si="199"/>
        <v>2</v>
      </c>
      <c r="V248" s="56">
        <v>45329</v>
      </c>
      <c r="W248" s="61"/>
      <c r="X248" s="61"/>
    </row>
    <row r="249" spans="1:24" x14ac:dyDescent="0.15">
      <c r="A249" s="24"/>
      <c r="B249" s="7"/>
      <c r="C249" s="8"/>
      <c r="D249" s="9"/>
      <c r="E249" s="43">
        <f t="shared" si="200"/>
        <v>0</v>
      </c>
      <c r="F249" s="11"/>
      <c r="G249" s="8"/>
      <c r="H249" s="9"/>
      <c r="I249" s="43">
        <f t="shared" si="201"/>
        <v>0</v>
      </c>
      <c r="J249" s="10">
        <f t="shared" si="202"/>
        <v>0</v>
      </c>
      <c r="L249" s="24" t="s">
        <v>295</v>
      </c>
      <c r="M249" s="7">
        <v>1</v>
      </c>
      <c r="N249" s="8"/>
      <c r="O249" s="9"/>
      <c r="P249" s="43">
        <f t="shared" ref="P249:P255" si="203">SUM(M249:O249)</f>
        <v>1</v>
      </c>
      <c r="Q249" s="7">
        <v>1</v>
      </c>
      <c r="R249" s="8"/>
      <c r="S249" s="9"/>
      <c r="T249" s="43">
        <f t="shared" ref="T249:T255" si="204">SUM(Q249:S249)</f>
        <v>1</v>
      </c>
      <c r="U249" s="10">
        <f t="shared" ref="U249" si="205">P249+T249</f>
        <v>2</v>
      </c>
      <c r="V249" s="56">
        <v>45330</v>
      </c>
      <c r="W249" s="61"/>
      <c r="X249" s="61"/>
    </row>
    <row r="250" spans="1:24" x14ac:dyDescent="0.15">
      <c r="A250" s="22"/>
      <c r="B250" s="12"/>
      <c r="C250" s="13"/>
      <c r="D250" s="14"/>
      <c r="E250" s="43">
        <f t="shared" si="200"/>
        <v>0</v>
      </c>
      <c r="F250" s="15"/>
      <c r="G250" s="13"/>
      <c r="H250" s="14"/>
      <c r="I250" s="43">
        <f t="shared" si="201"/>
        <v>0</v>
      </c>
      <c r="J250" s="10">
        <f t="shared" si="202"/>
        <v>0</v>
      </c>
      <c r="L250" s="24" t="s">
        <v>149</v>
      </c>
      <c r="M250" s="7"/>
      <c r="N250" s="8"/>
      <c r="O250" s="9">
        <v>1</v>
      </c>
      <c r="P250" s="43">
        <f t="shared" ref="P250:P253" si="206">SUM(M250:O250)</f>
        <v>1</v>
      </c>
      <c r="Q250" s="7"/>
      <c r="R250" s="8"/>
      <c r="S250" s="9">
        <v>1</v>
      </c>
      <c r="T250" s="43">
        <f t="shared" ref="T250:T253" si="207">SUM(Q250:S250)</f>
        <v>1</v>
      </c>
      <c r="U250" s="10">
        <f t="shared" ref="U250:U253" si="208">P250+T250</f>
        <v>2</v>
      </c>
      <c r="V250" s="56">
        <v>45331</v>
      </c>
      <c r="W250" s="61"/>
      <c r="X250" s="61"/>
    </row>
    <row r="251" spans="1:24" x14ac:dyDescent="0.15">
      <c r="A251" s="22"/>
      <c r="B251" s="7"/>
      <c r="C251" s="8"/>
      <c r="D251" s="9"/>
      <c r="E251" s="43">
        <f t="shared" si="200"/>
        <v>0</v>
      </c>
      <c r="F251" s="11"/>
      <c r="G251" s="8"/>
      <c r="H251" s="9"/>
      <c r="I251" s="43">
        <f t="shared" si="201"/>
        <v>0</v>
      </c>
      <c r="J251" s="10">
        <f t="shared" si="202"/>
        <v>0</v>
      </c>
      <c r="L251" s="24" t="s">
        <v>156</v>
      </c>
      <c r="M251" s="7">
        <v>1</v>
      </c>
      <c r="N251" s="8">
        <v>2</v>
      </c>
      <c r="O251" s="9">
        <v>1</v>
      </c>
      <c r="P251" s="43">
        <f t="shared" si="206"/>
        <v>4</v>
      </c>
      <c r="Q251" s="7">
        <v>1</v>
      </c>
      <c r="R251" s="8">
        <v>2</v>
      </c>
      <c r="S251" s="9">
        <v>1</v>
      </c>
      <c r="T251" s="43">
        <f t="shared" si="207"/>
        <v>4</v>
      </c>
      <c r="U251" s="10">
        <f t="shared" si="208"/>
        <v>8</v>
      </c>
      <c r="V251" s="56">
        <v>45343</v>
      </c>
      <c r="W251" s="61"/>
      <c r="X251" s="61"/>
    </row>
    <row r="252" spans="1:24" x14ac:dyDescent="0.15">
      <c r="A252" s="22"/>
      <c r="B252" s="7"/>
      <c r="C252" s="8"/>
      <c r="D252" s="9"/>
      <c r="E252" s="43">
        <f t="shared" si="200"/>
        <v>0</v>
      </c>
      <c r="F252" s="11"/>
      <c r="G252" s="8"/>
      <c r="H252" s="9"/>
      <c r="I252" s="43">
        <f t="shared" si="201"/>
        <v>0</v>
      </c>
      <c r="J252" s="10">
        <f t="shared" si="202"/>
        <v>0</v>
      </c>
      <c r="L252" s="24" t="s">
        <v>289</v>
      </c>
      <c r="M252" s="7"/>
      <c r="N252" s="8">
        <v>1</v>
      </c>
      <c r="O252" s="9"/>
      <c r="P252" s="43">
        <f t="shared" si="206"/>
        <v>1</v>
      </c>
      <c r="Q252" s="7"/>
      <c r="R252" s="8">
        <v>1</v>
      </c>
      <c r="S252" s="9"/>
      <c r="T252" s="43">
        <f t="shared" si="207"/>
        <v>1</v>
      </c>
      <c r="U252" s="10">
        <f t="shared" si="208"/>
        <v>2</v>
      </c>
      <c r="V252" s="56">
        <v>45351</v>
      </c>
      <c r="W252" s="61"/>
    </row>
    <row r="253" spans="1:24" x14ac:dyDescent="0.15">
      <c r="A253" s="22"/>
      <c r="B253" s="7"/>
      <c r="C253" s="8"/>
      <c r="D253" s="9"/>
      <c r="E253" s="43">
        <f t="shared" si="200"/>
        <v>0</v>
      </c>
      <c r="F253" s="11"/>
      <c r="G253" s="8"/>
      <c r="H253" s="9"/>
      <c r="I253" s="43">
        <f t="shared" si="201"/>
        <v>0</v>
      </c>
      <c r="J253" s="10">
        <f t="shared" si="202"/>
        <v>0</v>
      </c>
      <c r="L253" s="24" t="s">
        <v>302</v>
      </c>
      <c r="M253" s="7"/>
      <c r="N253" s="8">
        <v>6</v>
      </c>
      <c r="O253" s="9">
        <v>5</v>
      </c>
      <c r="P253" s="43">
        <f t="shared" si="206"/>
        <v>11</v>
      </c>
      <c r="Q253" s="7"/>
      <c r="R253" s="8">
        <v>6</v>
      </c>
      <c r="S253" s="9">
        <v>5</v>
      </c>
      <c r="T253" s="43">
        <f t="shared" si="207"/>
        <v>11</v>
      </c>
      <c r="U253" s="10">
        <f t="shared" si="208"/>
        <v>22</v>
      </c>
      <c r="V253" s="56">
        <v>45352</v>
      </c>
      <c r="W253" s="61"/>
    </row>
    <row r="254" spans="1:24" ht="14.25" thickBot="1" x14ac:dyDescent="0.2">
      <c r="A254" s="22"/>
      <c r="B254" s="7"/>
      <c r="C254" s="8"/>
      <c r="D254" s="9"/>
      <c r="E254" s="43">
        <f t="shared" si="200"/>
        <v>0</v>
      </c>
      <c r="F254" s="11"/>
      <c r="G254" s="8"/>
      <c r="H254" s="9"/>
      <c r="I254" s="43">
        <f t="shared" si="201"/>
        <v>0</v>
      </c>
      <c r="J254" s="10">
        <f t="shared" si="202"/>
        <v>0</v>
      </c>
      <c r="L254" s="24" t="s">
        <v>306</v>
      </c>
      <c r="M254" s="7">
        <v>3</v>
      </c>
      <c r="N254" s="8">
        <v>3</v>
      </c>
      <c r="O254" s="9">
        <v>1</v>
      </c>
      <c r="P254" s="43">
        <f t="shared" ref="P254" si="209">SUM(M254:O254)</f>
        <v>7</v>
      </c>
      <c r="Q254" s="7">
        <v>3</v>
      </c>
      <c r="R254" s="8">
        <v>3</v>
      </c>
      <c r="S254" s="9">
        <v>1</v>
      </c>
      <c r="T254" s="43">
        <f t="shared" ref="T254" si="210">SUM(Q254:S254)</f>
        <v>7</v>
      </c>
      <c r="U254" s="10">
        <f t="shared" ref="U254" si="211">P254+T254</f>
        <v>14</v>
      </c>
      <c r="V254" s="56">
        <v>45357</v>
      </c>
    </row>
    <row r="255" spans="1:24" ht="14.25" thickBot="1" x14ac:dyDescent="0.2">
      <c r="A255" s="35" t="s">
        <v>17</v>
      </c>
      <c r="B255" s="40">
        <f>SUM(B229:B254)</f>
        <v>14</v>
      </c>
      <c r="C255" s="41">
        <f t="shared" ref="C255:D255" si="212">SUM(C229:C254)</f>
        <v>5</v>
      </c>
      <c r="D255" s="52">
        <f t="shared" si="212"/>
        <v>5</v>
      </c>
      <c r="E255" s="39">
        <f t="shared" si="200"/>
        <v>24</v>
      </c>
      <c r="F255" s="40">
        <f>SUM(F229:F254)</f>
        <v>14</v>
      </c>
      <c r="G255" s="41">
        <f t="shared" ref="G255:H255" si="213">SUM(G229:G254)</f>
        <v>5</v>
      </c>
      <c r="H255" s="52">
        <f t="shared" si="213"/>
        <v>5</v>
      </c>
      <c r="I255" s="39">
        <f t="shared" si="201"/>
        <v>24</v>
      </c>
      <c r="J255" s="39">
        <f>E255+I255</f>
        <v>48</v>
      </c>
      <c r="L255" s="35" t="s">
        <v>17</v>
      </c>
      <c r="M255" s="40">
        <f>SUM(M229:M254)</f>
        <v>32</v>
      </c>
      <c r="N255" s="41">
        <f t="shared" ref="N255:O255" si="214">SUM(N229:N254)</f>
        <v>44</v>
      </c>
      <c r="O255" s="52">
        <f t="shared" si="214"/>
        <v>35</v>
      </c>
      <c r="P255" s="39">
        <f t="shared" si="203"/>
        <v>111</v>
      </c>
      <c r="Q255" s="40">
        <f>SUM(Q229:Q254)</f>
        <v>32</v>
      </c>
      <c r="R255" s="41">
        <f t="shared" ref="R255:S255" si="215">SUM(R229:R254)</f>
        <v>44</v>
      </c>
      <c r="S255" s="52">
        <f t="shared" si="215"/>
        <v>35</v>
      </c>
      <c r="T255" s="39">
        <f t="shared" si="204"/>
        <v>111</v>
      </c>
      <c r="U255" s="39">
        <f>P255+T255</f>
        <v>222</v>
      </c>
    </row>
    <row r="256" spans="1:24" ht="14.25" thickBot="1" x14ac:dyDescent="0.2">
      <c r="A256" s="21" t="s">
        <v>16</v>
      </c>
      <c r="B256" s="44">
        <f>B228-B255</f>
        <v>2</v>
      </c>
      <c r="C256" s="50">
        <f t="shared" ref="C256:D256" si="216">C228-C255</f>
        <v>1</v>
      </c>
      <c r="D256" s="51">
        <f t="shared" si="216"/>
        <v>4</v>
      </c>
      <c r="E256" s="49">
        <f>SUM(B256:D256)</f>
        <v>7</v>
      </c>
      <c r="F256" s="44">
        <f>F228-F255</f>
        <v>2</v>
      </c>
      <c r="G256" s="50">
        <f t="shared" ref="G256:H256" si="217">G228-G255</f>
        <v>1</v>
      </c>
      <c r="H256" s="51">
        <f t="shared" si="217"/>
        <v>3</v>
      </c>
      <c r="I256" s="49">
        <f>SUM(F256:H256)</f>
        <v>6</v>
      </c>
      <c r="J256" s="28">
        <f>E256+I256</f>
        <v>13</v>
      </c>
      <c r="L256" s="21" t="s">
        <v>16</v>
      </c>
      <c r="M256" s="44">
        <f>M228-M255</f>
        <v>68</v>
      </c>
      <c r="N256" s="50">
        <f t="shared" ref="N256:O256" si="218">N228-N255</f>
        <v>48</v>
      </c>
      <c r="O256" s="51">
        <f t="shared" si="218"/>
        <v>40</v>
      </c>
      <c r="P256" s="49">
        <f>SUM(M256:O256)</f>
        <v>156</v>
      </c>
      <c r="Q256" s="44">
        <f>Q228-Q255</f>
        <v>68</v>
      </c>
      <c r="R256" s="50">
        <f t="shared" ref="R256:S256" si="219">R228-R255</f>
        <v>48</v>
      </c>
      <c r="S256" s="51">
        <f t="shared" si="219"/>
        <v>40</v>
      </c>
      <c r="T256" s="49">
        <f>SUM(Q256:S256)</f>
        <v>156</v>
      </c>
      <c r="U256" s="28">
        <f>P256+T256</f>
        <v>312</v>
      </c>
    </row>
    <row r="257" spans="1:22" x14ac:dyDescent="0.15">
      <c r="M257" s="95">
        <f>M255+M212+M169</f>
        <v>197</v>
      </c>
      <c r="N257" s="95">
        <f t="shared" ref="N257:T257" si="220">N255+N212+N169</f>
        <v>290</v>
      </c>
      <c r="O257" s="95">
        <f t="shared" si="220"/>
        <v>218</v>
      </c>
      <c r="P257" s="95">
        <f t="shared" si="220"/>
        <v>705</v>
      </c>
      <c r="Q257" s="95">
        <f t="shared" si="220"/>
        <v>197</v>
      </c>
      <c r="R257" s="95">
        <f t="shared" si="220"/>
        <v>290</v>
      </c>
      <c r="S257" s="95">
        <f t="shared" si="220"/>
        <v>218</v>
      </c>
      <c r="T257" s="95">
        <f t="shared" si="220"/>
        <v>705</v>
      </c>
      <c r="U257" s="95">
        <f>U255+U212+U169</f>
        <v>1410</v>
      </c>
    </row>
    <row r="258" spans="1:22" x14ac:dyDescent="0.15">
      <c r="M258" s="89">
        <f>M257/$P$257*100</f>
        <v>27.943262411347519</v>
      </c>
      <c r="N258" s="89">
        <f t="shared" ref="N258:P258" si="221">N257/$P$257*100</f>
        <v>41.134751773049643</v>
      </c>
      <c r="O258" s="89">
        <f t="shared" si="221"/>
        <v>30.921985815602838</v>
      </c>
      <c r="P258" s="89">
        <f t="shared" si="221"/>
        <v>100</v>
      </c>
    </row>
    <row r="259" spans="1:22" ht="19.5" thickBot="1" x14ac:dyDescent="0.25">
      <c r="A259" s="84" t="s">
        <v>31</v>
      </c>
      <c r="B259" s="85"/>
      <c r="C259" s="85"/>
      <c r="D259" s="85"/>
      <c r="E259" s="85"/>
      <c r="F259" s="85"/>
      <c r="G259" s="85"/>
      <c r="H259" s="85"/>
      <c r="I259" s="85"/>
      <c r="J259" s="85"/>
      <c r="L259" s="82" t="s">
        <v>32</v>
      </c>
      <c r="M259" s="83"/>
      <c r="N259" s="83"/>
      <c r="O259" s="83"/>
      <c r="P259" s="83"/>
      <c r="Q259" s="83"/>
      <c r="R259" s="83"/>
      <c r="S259" s="83"/>
      <c r="T259" s="83"/>
      <c r="U259" s="83"/>
    </row>
    <row r="260" spans="1:22" ht="14.25" thickBot="1" x14ac:dyDescent="0.2">
      <c r="A260" s="6"/>
      <c r="B260" s="159" t="s">
        <v>33</v>
      </c>
      <c r="C260" s="160"/>
      <c r="D260" s="160"/>
      <c r="E260" s="161"/>
      <c r="F260" s="159" t="s">
        <v>22</v>
      </c>
      <c r="G260" s="160"/>
      <c r="H260" s="160"/>
      <c r="I260" s="162"/>
      <c r="J260" s="157" t="s">
        <v>0</v>
      </c>
      <c r="L260" s="6"/>
      <c r="M260" s="159" t="s">
        <v>33</v>
      </c>
      <c r="N260" s="160"/>
      <c r="O260" s="160"/>
      <c r="P260" s="161"/>
      <c r="Q260" s="146" t="s">
        <v>22</v>
      </c>
      <c r="R260" s="147"/>
      <c r="S260" s="147"/>
      <c r="T260" s="148"/>
      <c r="U260" s="157" t="s">
        <v>0</v>
      </c>
    </row>
    <row r="261" spans="1:22" ht="14.25" thickBot="1" x14ac:dyDescent="0.2">
      <c r="A261" s="6" t="s">
        <v>1</v>
      </c>
      <c r="B261" s="3" t="s">
        <v>2</v>
      </c>
      <c r="C261" s="4" t="s">
        <v>3</v>
      </c>
      <c r="D261" s="5" t="s">
        <v>4</v>
      </c>
      <c r="E261" s="6" t="s">
        <v>5</v>
      </c>
      <c r="F261" s="3" t="s">
        <v>2</v>
      </c>
      <c r="G261" s="4" t="s">
        <v>3</v>
      </c>
      <c r="H261" s="5" t="s">
        <v>4</v>
      </c>
      <c r="I261" s="6" t="s">
        <v>5</v>
      </c>
      <c r="J261" s="158"/>
      <c r="L261" s="6" t="s">
        <v>1</v>
      </c>
      <c r="M261" s="3" t="s">
        <v>2</v>
      </c>
      <c r="N261" s="4" t="s">
        <v>3</v>
      </c>
      <c r="O261" s="5" t="s">
        <v>4</v>
      </c>
      <c r="P261" s="6" t="s">
        <v>5</v>
      </c>
      <c r="Q261" s="3" t="s">
        <v>2</v>
      </c>
      <c r="R261" s="4" t="s">
        <v>3</v>
      </c>
      <c r="S261" s="5" t="s">
        <v>4</v>
      </c>
      <c r="T261" s="6" t="s">
        <v>5</v>
      </c>
      <c r="U261" s="158"/>
    </row>
    <row r="262" spans="1:22" ht="14.25" thickBot="1" x14ac:dyDescent="0.2">
      <c r="A262" s="66" t="s">
        <v>6</v>
      </c>
      <c r="B262" s="25">
        <f>B256</f>
        <v>2</v>
      </c>
      <c r="C262" s="26">
        <f>C256</f>
        <v>1</v>
      </c>
      <c r="D262" s="27">
        <f>D256</f>
        <v>4</v>
      </c>
      <c r="E262" s="28">
        <f>SUM(B262:D262)</f>
        <v>7</v>
      </c>
      <c r="F262" s="25">
        <f>F256</f>
        <v>2</v>
      </c>
      <c r="G262" s="26">
        <f>G256</f>
        <v>1</v>
      </c>
      <c r="H262" s="27">
        <f>H256</f>
        <v>3</v>
      </c>
      <c r="I262" s="28">
        <f>SUM(F262:H262)</f>
        <v>6</v>
      </c>
      <c r="J262" s="28">
        <f>E262+I262</f>
        <v>13</v>
      </c>
      <c r="L262" s="66" t="s">
        <v>6</v>
      </c>
      <c r="M262" s="25">
        <f>M256</f>
        <v>68</v>
      </c>
      <c r="N262" s="26">
        <f>N256</f>
        <v>48</v>
      </c>
      <c r="O262" s="27">
        <f>O256</f>
        <v>40</v>
      </c>
      <c r="P262" s="28">
        <f>SUM(M262:O262)</f>
        <v>156</v>
      </c>
      <c r="Q262" s="25">
        <f>Q256</f>
        <v>68</v>
      </c>
      <c r="R262" s="26">
        <f>R256</f>
        <v>48</v>
      </c>
      <c r="S262" s="27">
        <f>S256</f>
        <v>40</v>
      </c>
      <c r="T262" s="28">
        <f>SUM(Q262:S262)</f>
        <v>156</v>
      </c>
      <c r="U262" s="28">
        <f>P262+T262</f>
        <v>312</v>
      </c>
    </row>
    <row r="263" spans="1:22" x14ac:dyDescent="0.15">
      <c r="A263" s="23" t="s">
        <v>102</v>
      </c>
      <c r="B263" s="7">
        <v>1</v>
      </c>
      <c r="C263" s="8">
        <v>2</v>
      </c>
      <c r="D263" s="46"/>
      <c r="E263" s="10">
        <f t="shared" ref="E263:E266" si="222">SUM(B263:D263)</f>
        <v>3</v>
      </c>
      <c r="F263" s="11">
        <v>1</v>
      </c>
      <c r="G263" s="8">
        <v>2</v>
      </c>
      <c r="H263" s="9"/>
      <c r="I263" s="10">
        <f t="shared" ref="I263:I266" si="223">SUM(F263:H263)</f>
        <v>3</v>
      </c>
      <c r="J263" s="10">
        <f t="shared" ref="J263:J266" si="224">E263+I263</f>
        <v>6</v>
      </c>
      <c r="K263" s="58">
        <v>45378</v>
      </c>
      <c r="L263" s="23" t="s">
        <v>7</v>
      </c>
      <c r="M263" s="7"/>
      <c r="N263" s="8"/>
      <c r="O263" s="46"/>
      <c r="P263" s="10">
        <f t="shared" ref="P263:P264" si="225">SUM(M263:O263)</f>
        <v>0</v>
      </c>
      <c r="Q263" s="11"/>
      <c r="R263" s="8"/>
      <c r="S263" s="9"/>
      <c r="T263" s="10">
        <f t="shared" ref="T263:T264" si="226">SUM(Q263:S263)</f>
        <v>0</v>
      </c>
      <c r="U263" s="10">
        <f t="shared" ref="U263:U264" si="227">P263+T263</f>
        <v>0</v>
      </c>
    </row>
    <row r="264" spans="1:22" x14ac:dyDescent="0.15">
      <c r="A264" s="23" t="s">
        <v>77</v>
      </c>
      <c r="B264" s="7">
        <v>1</v>
      </c>
      <c r="C264" s="8"/>
      <c r="D264" s="46">
        <v>1</v>
      </c>
      <c r="E264" s="10">
        <f t="shared" si="222"/>
        <v>2</v>
      </c>
      <c r="F264" s="11">
        <v>1</v>
      </c>
      <c r="G264" s="8"/>
      <c r="H264" s="9">
        <v>1</v>
      </c>
      <c r="I264" s="10">
        <f t="shared" si="223"/>
        <v>2</v>
      </c>
      <c r="J264" s="10">
        <f t="shared" si="224"/>
        <v>4</v>
      </c>
      <c r="K264" s="58">
        <v>45379</v>
      </c>
      <c r="L264" s="23" t="s">
        <v>8</v>
      </c>
      <c r="M264" s="7"/>
      <c r="N264" s="8"/>
      <c r="O264" s="46"/>
      <c r="P264" s="10">
        <f t="shared" si="225"/>
        <v>0</v>
      </c>
      <c r="Q264" s="11"/>
      <c r="R264" s="8"/>
      <c r="S264" s="9"/>
      <c r="T264" s="10">
        <f t="shared" si="226"/>
        <v>0</v>
      </c>
      <c r="U264" s="10">
        <f t="shared" si="227"/>
        <v>0</v>
      </c>
    </row>
    <row r="265" spans="1:22" x14ac:dyDescent="0.15">
      <c r="A265" s="23" t="s">
        <v>77</v>
      </c>
      <c r="B265" s="7"/>
      <c r="C265" s="8"/>
      <c r="D265" s="46">
        <v>1</v>
      </c>
      <c r="E265" s="10">
        <f t="shared" si="222"/>
        <v>1</v>
      </c>
      <c r="F265" s="11"/>
      <c r="G265" s="8"/>
      <c r="H265" s="9">
        <v>1</v>
      </c>
      <c r="I265" s="10">
        <f t="shared" si="223"/>
        <v>1</v>
      </c>
      <c r="J265" s="10">
        <f t="shared" si="224"/>
        <v>2</v>
      </c>
      <c r="K265" s="58">
        <v>45420</v>
      </c>
      <c r="L265" s="23" t="s">
        <v>9</v>
      </c>
      <c r="M265" s="7"/>
      <c r="N265" s="8"/>
      <c r="O265" s="46"/>
      <c r="P265" s="10">
        <f t="shared" ref="P265:P267" si="228">SUM(M265:O265)</f>
        <v>0</v>
      </c>
      <c r="Q265" s="11"/>
      <c r="R265" s="8"/>
      <c r="S265" s="9"/>
      <c r="T265" s="10">
        <f t="shared" ref="T265:T267" si="229">SUM(Q265:S265)</f>
        <v>0</v>
      </c>
      <c r="U265" s="10">
        <f t="shared" ref="U265:U267" si="230">P265+T265</f>
        <v>0</v>
      </c>
    </row>
    <row r="266" spans="1:22" x14ac:dyDescent="0.15">
      <c r="A266" s="22" t="s">
        <v>321</v>
      </c>
      <c r="B266" s="7">
        <v>1</v>
      </c>
      <c r="C266" s="8"/>
      <c r="D266" s="9"/>
      <c r="E266" s="43">
        <f t="shared" si="222"/>
        <v>1</v>
      </c>
      <c r="F266" s="11">
        <v>1</v>
      </c>
      <c r="G266" s="8"/>
      <c r="H266" s="9"/>
      <c r="I266" s="43">
        <f t="shared" si="223"/>
        <v>1</v>
      </c>
      <c r="J266" s="10">
        <f t="shared" si="224"/>
        <v>2</v>
      </c>
      <c r="K266" s="58">
        <v>45444</v>
      </c>
      <c r="L266" s="23" t="s">
        <v>10</v>
      </c>
      <c r="M266" s="7"/>
      <c r="N266" s="8"/>
      <c r="O266" s="46"/>
      <c r="P266" s="10">
        <f t="shared" si="228"/>
        <v>0</v>
      </c>
      <c r="Q266" s="11"/>
      <c r="R266" s="8"/>
      <c r="S266" s="9"/>
      <c r="T266" s="10">
        <f t="shared" si="229"/>
        <v>0</v>
      </c>
      <c r="U266" s="10">
        <f t="shared" si="230"/>
        <v>0</v>
      </c>
    </row>
    <row r="267" spans="1:22" x14ac:dyDescent="0.15">
      <c r="A267" s="23" t="s">
        <v>288</v>
      </c>
      <c r="B267" s="7">
        <v>2</v>
      </c>
      <c r="C267" s="8"/>
      <c r="D267" s="46"/>
      <c r="E267" s="10">
        <f t="shared" ref="E267:E270" si="231">SUM(B267:D267)</f>
        <v>2</v>
      </c>
      <c r="F267" s="11">
        <v>2</v>
      </c>
      <c r="G267" s="8"/>
      <c r="H267" s="9"/>
      <c r="I267" s="10">
        <f t="shared" ref="I267:I270" si="232">SUM(F267:H267)</f>
        <v>2</v>
      </c>
      <c r="J267" s="10">
        <f t="shared" ref="J267:J270" si="233">E267+I267</f>
        <v>4</v>
      </c>
      <c r="K267" s="58">
        <v>45476</v>
      </c>
      <c r="L267" s="23" t="s">
        <v>11</v>
      </c>
      <c r="M267" s="7"/>
      <c r="N267" s="8"/>
      <c r="O267" s="46"/>
      <c r="P267" s="10">
        <f t="shared" si="228"/>
        <v>0</v>
      </c>
      <c r="Q267" s="11"/>
      <c r="R267" s="8"/>
      <c r="S267" s="9"/>
      <c r="T267" s="10">
        <f t="shared" si="229"/>
        <v>0</v>
      </c>
      <c r="U267" s="10">
        <f t="shared" si="230"/>
        <v>0</v>
      </c>
    </row>
    <row r="268" spans="1:22" x14ac:dyDescent="0.15">
      <c r="A268" s="23" t="s">
        <v>160</v>
      </c>
      <c r="B268" s="7">
        <v>0</v>
      </c>
      <c r="C268" s="8">
        <v>0</v>
      </c>
      <c r="D268" s="46">
        <v>0</v>
      </c>
      <c r="E268" s="10">
        <f t="shared" si="231"/>
        <v>0</v>
      </c>
      <c r="F268" s="11">
        <v>1</v>
      </c>
      <c r="G268" s="8">
        <v>0</v>
      </c>
      <c r="H268" s="9">
        <v>0</v>
      </c>
      <c r="I268" s="10">
        <f t="shared" si="232"/>
        <v>1</v>
      </c>
      <c r="J268" s="10">
        <f t="shared" si="233"/>
        <v>1</v>
      </c>
      <c r="K268" s="58">
        <v>45531</v>
      </c>
      <c r="L268" s="23" t="s">
        <v>12</v>
      </c>
      <c r="M268" s="16"/>
      <c r="N268" s="17"/>
      <c r="O268" s="45"/>
      <c r="P268" s="43">
        <f>SUM(M268:O268)</f>
        <v>0</v>
      </c>
      <c r="Q268" s="19"/>
      <c r="R268" s="17"/>
      <c r="S268" s="18"/>
      <c r="T268" s="43">
        <f>SUM(Q268:S268)</f>
        <v>0</v>
      </c>
      <c r="U268" s="43">
        <f>P268+T268</f>
        <v>0</v>
      </c>
    </row>
    <row r="269" spans="1:22" x14ac:dyDescent="0.15">
      <c r="A269" s="23" t="s">
        <v>20</v>
      </c>
      <c r="B269" s="12"/>
      <c r="C269" s="13"/>
      <c r="D269" s="47"/>
      <c r="E269" s="10">
        <f t="shared" si="231"/>
        <v>0</v>
      </c>
      <c r="F269" s="15"/>
      <c r="G269" s="13"/>
      <c r="H269" s="14"/>
      <c r="I269" s="10">
        <f t="shared" si="232"/>
        <v>0</v>
      </c>
      <c r="J269" s="10">
        <f t="shared" si="233"/>
        <v>0</v>
      </c>
      <c r="L269" s="23" t="s">
        <v>13</v>
      </c>
      <c r="M269" s="16"/>
      <c r="N269" s="17"/>
      <c r="O269" s="45"/>
      <c r="P269" s="43">
        <f>SUM(M269:O269)</f>
        <v>0</v>
      </c>
      <c r="Q269" s="19"/>
      <c r="R269" s="17"/>
      <c r="S269" s="18"/>
      <c r="T269" s="43">
        <f>SUM(Q269:S269)</f>
        <v>0</v>
      </c>
      <c r="U269" s="43">
        <f>P269+T269</f>
        <v>0</v>
      </c>
    </row>
    <row r="270" spans="1:22" ht="14.25" thickBot="1" x14ac:dyDescent="0.2">
      <c r="A270" s="23" t="s">
        <v>20</v>
      </c>
      <c r="B270" s="29"/>
      <c r="C270" s="30"/>
      <c r="D270" s="48"/>
      <c r="E270" s="55">
        <f t="shared" si="231"/>
        <v>0</v>
      </c>
      <c r="F270" s="31"/>
      <c r="G270" s="31"/>
      <c r="H270" s="33"/>
      <c r="I270" s="55">
        <f t="shared" si="232"/>
        <v>0</v>
      </c>
      <c r="J270" s="20">
        <f t="shared" si="233"/>
        <v>0</v>
      </c>
      <c r="L270" s="23" t="s">
        <v>14</v>
      </c>
      <c r="M270" s="12"/>
      <c r="N270" s="13"/>
      <c r="O270" s="47"/>
      <c r="P270" s="10">
        <f t="shared" ref="P270" si="234">SUM(M270:O270)</f>
        <v>0</v>
      </c>
      <c r="Q270" s="15"/>
      <c r="R270" s="13"/>
      <c r="S270" s="14"/>
      <c r="T270" s="10">
        <f t="shared" ref="T270" si="235">SUM(Q270:S270)</f>
        <v>0</v>
      </c>
      <c r="U270" s="10">
        <f t="shared" ref="U270" si="236">P270+T270</f>
        <v>0</v>
      </c>
    </row>
    <row r="271" spans="1:22" ht="14.25" thickBot="1" x14ac:dyDescent="0.2">
      <c r="A271" s="32" t="s">
        <v>15</v>
      </c>
      <c r="B271" s="25">
        <f>SUM(B262:B270)</f>
        <v>7</v>
      </c>
      <c r="C271" s="26">
        <f>SUM(C262:C270)</f>
        <v>3</v>
      </c>
      <c r="D271" s="27">
        <f>SUM(D262:D270)</f>
        <v>6</v>
      </c>
      <c r="E271" s="28">
        <f>SUM(B271:D271)</f>
        <v>16</v>
      </c>
      <c r="F271" s="25">
        <f>SUM(F262:F270)</f>
        <v>8</v>
      </c>
      <c r="G271" s="26">
        <f>SUM(G262:G270)</f>
        <v>3</v>
      </c>
      <c r="H271" s="27">
        <f>SUM(H262:H270)</f>
        <v>5</v>
      </c>
      <c r="I271" s="28">
        <f>SUM(F271:H271)</f>
        <v>16</v>
      </c>
      <c r="J271" s="28">
        <f>E271+I271</f>
        <v>32</v>
      </c>
      <c r="L271" s="32" t="s">
        <v>15</v>
      </c>
      <c r="M271" s="25">
        <f>SUM(M262:M270)</f>
        <v>68</v>
      </c>
      <c r="N271" s="26">
        <f>SUM(N262:N270)</f>
        <v>48</v>
      </c>
      <c r="O271" s="27">
        <f>SUM(O262:O270)</f>
        <v>40</v>
      </c>
      <c r="P271" s="28">
        <f>SUM(M271:O271)</f>
        <v>156</v>
      </c>
      <c r="Q271" s="25">
        <f>SUM(Q262:Q270)</f>
        <v>68</v>
      </c>
      <c r="R271" s="26">
        <f>SUM(R262:R270)</f>
        <v>48</v>
      </c>
      <c r="S271" s="27">
        <f>SUM(S262:S270)</f>
        <v>40</v>
      </c>
      <c r="T271" s="28">
        <f>SUM(Q271:S271)</f>
        <v>156</v>
      </c>
      <c r="U271" s="28">
        <f>P271+T271</f>
        <v>312</v>
      </c>
    </row>
    <row r="272" spans="1:22" x14ac:dyDescent="0.15">
      <c r="A272" s="24" t="s">
        <v>312</v>
      </c>
      <c r="B272" s="7"/>
      <c r="C272" s="8"/>
      <c r="D272" s="9">
        <v>2</v>
      </c>
      <c r="E272" s="43">
        <f t="shared" ref="E272:E276" si="237">SUM(B272:D272)</f>
        <v>2</v>
      </c>
      <c r="F272" s="11"/>
      <c r="G272" s="8"/>
      <c r="H272" s="9">
        <v>2</v>
      </c>
      <c r="I272" s="43">
        <f t="shared" ref="I272:I276" si="238">SUM(F272:H272)</f>
        <v>2</v>
      </c>
      <c r="J272" s="10">
        <f t="shared" ref="J272:J276" si="239">E272+I272</f>
        <v>4</v>
      </c>
      <c r="K272" s="56">
        <v>45365</v>
      </c>
      <c r="L272" s="24" t="s">
        <v>307</v>
      </c>
      <c r="M272" s="7">
        <v>1</v>
      </c>
      <c r="N272" s="8"/>
      <c r="O272" s="9"/>
      <c r="P272" s="43">
        <f t="shared" ref="P272:P290" si="240">SUM(M272:O272)</f>
        <v>1</v>
      </c>
      <c r="Q272" s="7">
        <v>1</v>
      </c>
      <c r="R272" s="8"/>
      <c r="S272" s="9"/>
      <c r="T272" s="43">
        <f t="shared" ref="T272:T290" si="241">SUM(Q272:S272)</f>
        <v>1</v>
      </c>
      <c r="U272" s="10">
        <f t="shared" ref="U272:U290" si="242">P272+T272</f>
        <v>2</v>
      </c>
      <c r="V272" s="56">
        <v>45358</v>
      </c>
    </row>
    <row r="273" spans="1:23" x14ac:dyDescent="0.15">
      <c r="A273" s="22" t="s">
        <v>319</v>
      </c>
      <c r="B273" s="7">
        <v>1</v>
      </c>
      <c r="C273" s="8"/>
      <c r="D273" s="9"/>
      <c r="E273" s="43">
        <f t="shared" si="237"/>
        <v>1</v>
      </c>
      <c r="F273" s="11">
        <v>1</v>
      </c>
      <c r="G273" s="8"/>
      <c r="H273" s="9"/>
      <c r="I273" s="43">
        <f t="shared" si="238"/>
        <v>1</v>
      </c>
      <c r="J273" s="10">
        <f t="shared" si="239"/>
        <v>2</v>
      </c>
      <c r="K273" s="58">
        <v>45397</v>
      </c>
      <c r="L273" s="24" t="s">
        <v>297</v>
      </c>
      <c r="M273" s="7">
        <v>1</v>
      </c>
      <c r="N273" s="8"/>
      <c r="O273" s="9"/>
      <c r="P273" s="43">
        <f t="shared" si="240"/>
        <v>1</v>
      </c>
      <c r="Q273" s="7">
        <v>1</v>
      </c>
      <c r="R273" s="8"/>
      <c r="S273" s="9"/>
      <c r="T273" s="43">
        <f t="shared" si="241"/>
        <v>1</v>
      </c>
      <c r="U273" s="10">
        <f t="shared" si="242"/>
        <v>2</v>
      </c>
      <c r="V273" s="56">
        <v>45359</v>
      </c>
      <c r="W273" s="61"/>
    </row>
    <row r="274" spans="1:23" x14ac:dyDescent="0.15">
      <c r="A274" s="22"/>
      <c r="B274" s="7"/>
      <c r="C274" s="8"/>
      <c r="D274" s="9"/>
      <c r="E274" s="43">
        <f t="shared" si="237"/>
        <v>0</v>
      </c>
      <c r="F274" s="11"/>
      <c r="G274" s="8"/>
      <c r="H274" s="9"/>
      <c r="I274" s="43">
        <f t="shared" si="238"/>
        <v>0</v>
      </c>
      <c r="J274" s="10">
        <f t="shared" si="239"/>
        <v>0</v>
      </c>
      <c r="K274" s="61"/>
      <c r="L274" s="24" t="s">
        <v>298</v>
      </c>
      <c r="M274" s="7"/>
      <c r="N274" s="8">
        <v>1</v>
      </c>
      <c r="O274" s="9">
        <v>1</v>
      </c>
      <c r="P274" s="43">
        <f t="shared" si="240"/>
        <v>2</v>
      </c>
      <c r="Q274" s="7"/>
      <c r="R274" s="8">
        <v>1</v>
      </c>
      <c r="S274" s="9">
        <v>1</v>
      </c>
      <c r="T274" s="43">
        <f t="shared" si="241"/>
        <v>2</v>
      </c>
      <c r="U274" s="10">
        <f t="shared" si="242"/>
        <v>4</v>
      </c>
      <c r="V274" s="56">
        <v>45362</v>
      </c>
      <c r="W274" s="61"/>
    </row>
    <row r="275" spans="1:23" x14ac:dyDescent="0.15">
      <c r="A275" s="22"/>
      <c r="B275" s="7"/>
      <c r="C275" s="8"/>
      <c r="D275" s="9"/>
      <c r="E275" s="43">
        <f t="shared" si="237"/>
        <v>0</v>
      </c>
      <c r="F275" s="11"/>
      <c r="G275" s="8"/>
      <c r="H275" s="9"/>
      <c r="I275" s="43">
        <f t="shared" si="238"/>
        <v>0</v>
      </c>
      <c r="J275" s="10">
        <f t="shared" si="239"/>
        <v>0</v>
      </c>
      <c r="K275" s="61"/>
      <c r="L275" s="24" t="s">
        <v>316</v>
      </c>
      <c r="M275" s="7">
        <v>1</v>
      </c>
      <c r="N275" s="8"/>
      <c r="O275" s="9"/>
      <c r="P275" s="43">
        <f t="shared" si="240"/>
        <v>1</v>
      </c>
      <c r="Q275" s="7">
        <v>1</v>
      </c>
      <c r="R275" s="8"/>
      <c r="S275" s="9"/>
      <c r="T275" s="43">
        <f t="shared" si="241"/>
        <v>1</v>
      </c>
      <c r="U275" s="10">
        <f t="shared" si="242"/>
        <v>2</v>
      </c>
      <c r="V275" s="56">
        <v>45387</v>
      </c>
    </row>
    <row r="276" spans="1:23" x14ac:dyDescent="0.15">
      <c r="A276" s="22"/>
      <c r="B276" s="7"/>
      <c r="C276" s="8"/>
      <c r="D276" s="9"/>
      <c r="E276" s="43">
        <f t="shared" si="237"/>
        <v>0</v>
      </c>
      <c r="F276" s="11"/>
      <c r="G276" s="8"/>
      <c r="H276" s="9"/>
      <c r="I276" s="43">
        <f t="shared" si="238"/>
        <v>0</v>
      </c>
      <c r="J276" s="10">
        <f t="shared" si="239"/>
        <v>0</v>
      </c>
      <c r="L276" s="24" t="s">
        <v>301</v>
      </c>
      <c r="M276" s="7"/>
      <c r="N276" s="8">
        <v>1</v>
      </c>
      <c r="O276" s="9"/>
      <c r="P276" s="43">
        <f t="shared" si="240"/>
        <v>1</v>
      </c>
      <c r="Q276" s="7"/>
      <c r="R276" s="8">
        <v>1</v>
      </c>
      <c r="S276" s="9"/>
      <c r="T276" s="43">
        <f t="shared" si="241"/>
        <v>1</v>
      </c>
      <c r="U276" s="10">
        <f t="shared" si="242"/>
        <v>2</v>
      </c>
      <c r="V276" s="56">
        <v>45393</v>
      </c>
    </row>
    <row r="277" spans="1:23" x14ac:dyDescent="0.15">
      <c r="A277" s="22"/>
      <c r="B277" s="7"/>
      <c r="C277" s="8"/>
      <c r="D277" s="9"/>
      <c r="E277" s="43">
        <f t="shared" ref="E277:E298" si="243">SUM(B277:D277)</f>
        <v>0</v>
      </c>
      <c r="F277" s="11"/>
      <c r="G277" s="8"/>
      <c r="H277" s="9"/>
      <c r="I277" s="43">
        <f t="shared" ref="I277:I298" si="244">SUM(F277:H277)</f>
        <v>0</v>
      </c>
      <c r="J277" s="10">
        <f t="shared" ref="J277:J297" si="245">E277+I277</f>
        <v>0</v>
      </c>
      <c r="L277" s="24"/>
      <c r="M277" s="7"/>
      <c r="N277" s="8"/>
      <c r="O277" s="9"/>
      <c r="P277" s="43">
        <f t="shared" si="240"/>
        <v>0</v>
      </c>
      <c r="Q277" s="7"/>
      <c r="R277" s="8"/>
      <c r="S277" s="9"/>
      <c r="T277" s="43">
        <f t="shared" si="241"/>
        <v>0</v>
      </c>
      <c r="U277" s="10">
        <f t="shared" si="242"/>
        <v>0</v>
      </c>
    </row>
    <row r="278" spans="1:23" x14ac:dyDescent="0.15">
      <c r="A278" s="22"/>
      <c r="B278" s="7"/>
      <c r="C278" s="8"/>
      <c r="D278" s="9"/>
      <c r="E278" s="43">
        <f t="shared" si="243"/>
        <v>0</v>
      </c>
      <c r="F278" s="11"/>
      <c r="G278" s="8"/>
      <c r="H278" s="9"/>
      <c r="I278" s="43">
        <f t="shared" si="244"/>
        <v>0</v>
      </c>
      <c r="J278" s="10">
        <f t="shared" si="245"/>
        <v>0</v>
      </c>
      <c r="L278" s="24"/>
      <c r="M278" s="7"/>
      <c r="N278" s="8"/>
      <c r="O278" s="9"/>
      <c r="P278" s="43">
        <f t="shared" si="240"/>
        <v>0</v>
      </c>
      <c r="Q278" s="7"/>
      <c r="R278" s="8"/>
      <c r="S278" s="9"/>
      <c r="T278" s="43">
        <f t="shared" si="241"/>
        <v>0</v>
      </c>
      <c r="U278" s="10">
        <f t="shared" si="242"/>
        <v>0</v>
      </c>
    </row>
    <row r="279" spans="1:23" x14ac:dyDescent="0.15">
      <c r="A279" s="22"/>
      <c r="B279" s="7"/>
      <c r="C279" s="8"/>
      <c r="D279" s="9"/>
      <c r="E279" s="43">
        <f t="shared" si="243"/>
        <v>0</v>
      </c>
      <c r="F279" s="11"/>
      <c r="G279" s="8"/>
      <c r="H279" s="9"/>
      <c r="I279" s="43">
        <f t="shared" si="244"/>
        <v>0</v>
      </c>
      <c r="J279" s="10">
        <f t="shared" si="245"/>
        <v>0</v>
      </c>
      <c r="L279" s="24"/>
      <c r="M279" s="7"/>
      <c r="N279" s="8"/>
      <c r="O279" s="9"/>
      <c r="P279" s="43">
        <f t="shared" si="240"/>
        <v>0</v>
      </c>
      <c r="Q279" s="7"/>
      <c r="R279" s="8"/>
      <c r="S279" s="9"/>
      <c r="T279" s="43">
        <f t="shared" si="241"/>
        <v>0</v>
      </c>
      <c r="U279" s="10">
        <f t="shared" si="242"/>
        <v>0</v>
      </c>
    </row>
    <row r="280" spans="1:23" x14ac:dyDescent="0.15">
      <c r="A280" s="22"/>
      <c r="B280" s="7"/>
      <c r="C280" s="8"/>
      <c r="D280" s="9"/>
      <c r="E280" s="43">
        <f t="shared" si="243"/>
        <v>0</v>
      </c>
      <c r="F280" s="11"/>
      <c r="G280" s="8"/>
      <c r="H280" s="9"/>
      <c r="I280" s="43">
        <f t="shared" si="244"/>
        <v>0</v>
      </c>
      <c r="J280" s="10">
        <f t="shared" si="245"/>
        <v>0</v>
      </c>
      <c r="L280" s="24"/>
      <c r="M280" s="7"/>
      <c r="N280" s="8"/>
      <c r="O280" s="9"/>
      <c r="P280" s="43">
        <f t="shared" si="240"/>
        <v>0</v>
      </c>
      <c r="Q280" s="7"/>
      <c r="R280" s="8"/>
      <c r="S280" s="9"/>
      <c r="T280" s="43">
        <f t="shared" si="241"/>
        <v>0</v>
      </c>
      <c r="U280" s="10">
        <f t="shared" si="242"/>
        <v>0</v>
      </c>
    </row>
    <row r="281" spans="1:23" x14ac:dyDescent="0.15">
      <c r="A281" s="22"/>
      <c r="B281" s="12"/>
      <c r="C281" s="13"/>
      <c r="D281" s="14"/>
      <c r="E281" s="43">
        <f t="shared" si="243"/>
        <v>0</v>
      </c>
      <c r="F281" s="15"/>
      <c r="G281" s="13"/>
      <c r="H281" s="14"/>
      <c r="I281" s="43">
        <f t="shared" si="244"/>
        <v>0</v>
      </c>
      <c r="J281" s="10">
        <f t="shared" si="245"/>
        <v>0</v>
      </c>
      <c r="L281" s="24"/>
      <c r="M281" s="7"/>
      <c r="N281" s="8"/>
      <c r="O281" s="9"/>
      <c r="P281" s="43">
        <f t="shared" si="240"/>
        <v>0</v>
      </c>
      <c r="Q281" s="7"/>
      <c r="R281" s="8"/>
      <c r="S281" s="9"/>
      <c r="T281" s="43">
        <f t="shared" si="241"/>
        <v>0</v>
      </c>
      <c r="U281" s="10">
        <f t="shared" si="242"/>
        <v>0</v>
      </c>
    </row>
    <row r="282" spans="1:23" x14ac:dyDescent="0.15">
      <c r="A282" s="22"/>
      <c r="B282" s="7"/>
      <c r="C282" s="8"/>
      <c r="D282" s="9"/>
      <c r="E282" s="43">
        <f t="shared" si="243"/>
        <v>0</v>
      </c>
      <c r="F282" s="11"/>
      <c r="G282" s="8"/>
      <c r="H282" s="9"/>
      <c r="I282" s="43">
        <f t="shared" si="244"/>
        <v>0</v>
      </c>
      <c r="J282" s="10">
        <f t="shared" si="245"/>
        <v>0</v>
      </c>
      <c r="L282" s="24"/>
      <c r="M282" s="7"/>
      <c r="N282" s="8"/>
      <c r="O282" s="9"/>
      <c r="P282" s="43">
        <f t="shared" si="240"/>
        <v>0</v>
      </c>
      <c r="Q282" s="7"/>
      <c r="R282" s="8"/>
      <c r="S282" s="9"/>
      <c r="T282" s="43">
        <f t="shared" si="241"/>
        <v>0</v>
      </c>
      <c r="U282" s="10">
        <f t="shared" si="242"/>
        <v>0</v>
      </c>
    </row>
    <row r="283" spans="1:23" x14ac:dyDescent="0.15">
      <c r="A283" s="22"/>
      <c r="B283" s="7"/>
      <c r="C283" s="8"/>
      <c r="D283" s="9"/>
      <c r="E283" s="43">
        <f t="shared" si="243"/>
        <v>0</v>
      </c>
      <c r="F283" s="11"/>
      <c r="G283" s="8"/>
      <c r="H283" s="9"/>
      <c r="I283" s="43">
        <f t="shared" si="244"/>
        <v>0</v>
      </c>
      <c r="J283" s="10">
        <f t="shared" si="245"/>
        <v>0</v>
      </c>
      <c r="L283" s="24"/>
      <c r="M283" s="7"/>
      <c r="N283" s="8"/>
      <c r="O283" s="9"/>
      <c r="P283" s="43">
        <f t="shared" si="240"/>
        <v>0</v>
      </c>
      <c r="Q283" s="7"/>
      <c r="R283" s="8"/>
      <c r="S283" s="9"/>
      <c r="T283" s="43">
        <f t="shared" si="241"/>
        <v>0</v>
      </c>
      <c r="U283" s="10">
        <f t="shared" si="242"/>
        <v>0</v>
      </c>
    </row>
    <row r="284" spans="1:23" x14ac:dyDescent="0.15">
      <c r="A284" s="22"/>
      <c r="B284" s="7"/>
      <c r="C284" s="8"/>
      <c r="D284" s="9"/>
      <c r="E284" s="43">
        <f t="shared" si="243"/>
        <v>0</v>
      </c>
      <c r="F284" s="11"/>
      <c r="G284" s="8"/>
      <c r="H284" s="9"/>
      <c r="I284" s="43">
        <f t="shared" si="244"/>
        <v>0</v>
      </c>
      <c r="J284" s="10">
        <f t="shared" si="245"/>
        <v>0</v>
      </c>
      <c r="L284" s="24"/>
      <c r="M284" s="7"/>
      <c r="N284" s="8"/>
      <c r="O284" s="9"/>
      <c r="P284" s="43">
        <f t="shared" si="240"/>
        <v>0</v>
      </c>
      <c r="Q284" s="7"/>
      <c r="R284" s="8"/>
      <c r="S284" s="9"/>
      <c r="T284" s="43">
        <f t="shared" si="241"/>
        <v>0</v>
      </c>
      <c r="U284" s="10">
        <f t="shared" si="242"/>
        <v>0</v>
      </c>
    </row>
    <row r="285" spans="1:23" x14ac:dyDescent="0.15">
      <c r="A285" s="22"/>
      <c r="B285" s="7"/>
      <c r="C285" s="8"/>
      <c r="D285" s="9"/>
      <c r="E285" s="43">
        <f t="shared" si="243"/>
        <v>0</v>
      </c>
      <c r="F285" s="11"/>
      <c r="G285" s="8"/>
      <c r="H285" s="9"/>
      <c r="I285" s="43">
        <f t="shared" si="244"/>
        <v>0</v>
      </c>
      <c r="J285" s="10">
        <f t="shared" si="245"/>
        <v>0</v>
      </c>
      <c r="L285" s="24"/>
      <c r="M285" s="7"/>
      <c r="N285" s="8"/>
      <c r="O285" s="9"/>
      <c r="P285" s="43">
        <f t="shared" si="240"/>
        <v>0</v>
      </c>
      <c r="Q285" s="7"/>
      <c r="R285" s="8"/>
      <c r="S285" s="9"/>
      <c r="T285" s="43">
        <f t="shared" si="241"/>
        <v>0</v>
      </c>
      <c r="U285" s="10">
        <f t="shared" si="242"/>
        <v>0</v>
      </c>
    </row>
    <row r="286" spans="1:23" x14ac:dyDescent="0.15">
      <c r="A286" s="22"/>
      <c r="B286" s="7"/>
      <c r="C286" s="8"/>
      <c r="D286" s="9"/>
      <c r="E286" s="43">
        <f t="shared" si="243"/>
        <v>0</v>
      </c>
      <c r="F286" s="11"/>
      <c r="G286" s="8"/>
      <c r="H286" s="9"/>
      <c r="I286" s="43">
        <f t="shared" si="244"/>
        <v>0</v>
      </c>
      <c r="J286" s="10">
        <f t="shared" si="245"/>
        <v>0</v>
      </c>
      <c r="L286" s="24"/>
      <c r="M286" s="7"/>
      <c r="N286" s="8"/>
      <c r="O286" s="9"/>
      <c r="P286" s="43">
        <f t="shared" si="240"/>
        <v>0</v>
      </c>
      <c r="Q286" s="7"/>
      <c r="R286" s="8"/>
      <c r="S286" s="9"/>
      <c r="T286" s="43">
        <f t="shared" si="241"/>
        <v>0</v>
      </c>
      <c r="U286" s="10">
        <f t="shared" si="242"/>
        <v>0</v>
      </c>
    </row>
    <row r="287" spans="1:23" x14ac:dyDescent="0.15">
      <c r="A287" s="22"/>
      <c r="B287" s="7"/>
      <c r="C287" s="8"/>
      <c r="D287" s="9"/>
      <c r="E287" s="43">
        <f t="shared" si="243"/>
        <v>0</v>
      </c>
      <c r="F287" s="11"/>
      <c r="G287" s="8"/>
      <c r="H287" s="9"/>
      <c r="I287" s="43">
        <f t="shared" si="244"/>
        <v>0</v>
      </c>
      <c r="J287" s="10">
        <f t="shared" si="245"/>
        <v>0</v>
      </c>
      <c r="L287" s="24"/>
      <c r="M287" s="7"/>
      <c r="N287" s="8"/>
      <c r="O287" s="9"/>
      <c r="P287" s="43">
        <f t="shared" si="240"/>
        <v>0</v>
      </c>
      <c r="Q287" s="7"/>
      <c r="R287" s="8"/>
      <c r="S287" s="9"/>
      <c r="T287" s="43">
        <f t="shared" si="241"/>
        <v>0</v>
      </c>
      <c r="U287" s="10">
        <f t="shared" si="242"/>
        <v>0</v>
      </c>
    </row>
    <row r="288" spans="1:23" x14ac:dyDescent="0.15">
      <c r="A288" s="24"/>
      <c r="B288" s="7"/>
      <c r="C288" s="8"/>
      <c r="D288" s="9"/>
      <c r="E288" s="43">
        <f t="shared" si="243"/>
        <v>0</v>
      </c>
      <c r="F288" s="11"/>
      <c r="G288" s="8"/>
      <c r="H288" s="9"/>
      <c r="I288" s="43">
        <f t="shared" si="244"/>
        <v>0</v>
      </c>
      <c r="J288" s="10">
        <f t="shared" si="245"/>
        <v>0</v>
      </c>
      <c r="L288" s="24"/>
      <c r="M288" s="7"/>
      <c r="N288" s="8"/>
      <c r="O288" s="9"/>
      <c r="P288" s="43">
        <f t="shared" si="240"/>
        <v>0</v>
      </c>
      <c r="Q288" s="7"/>
      <c r="R288" s="8"/>
      <c r="S288" s="9"/>
      <c r="T288" s="43">
        <f t="shared" si="241"/>
        <v>0</v>
      </c>
      <c r="U288" s="10">
        <f t="shared" si="242"/>
        <v>0</v>
      </c>
    </row>
    <row r="289" spans="1:21" x14ac:dyDescent="0.15">
      <c r="A289" s="22"/>
      <c r="B289" s="7"/>
      <c r="C289" s="8"/>
      <c r="D289" s="9"/>
      <c r="E289" s="43">
        <f t="shared" si="243"/>
        <v>0</v>
      </c>
      <c r="F289" s="11"/>
      <c r="G289" s="8"/>
      <c r="H289" s="9"/>
      <c r="I289" s="43">
        <f t="shared" si="244"/>
        <v>0</v>
      </c>
      <c r="J289" s="10">
        <f t="shared" si="245"/>
        <v>0</v>
      </c>
      <c r="L289" s="24"/>
      <c r="M289" s="7"/>
      <c r="N289" s="8"/>
      <c r="O289" s="9"/>
      <c r="P289" s="43">
        <f t="shared" si="240"/>
        <v>0</v>
      </c>
      <c r="Q289" s="7"/>
      <c r="R289" s="8"/>
      <c r="S289" s="9"/>
      <c r="T289" s="43">
        <f t="shared" si="241"/>
        <v>0</v>
      </c>
      <c r="U289" s="10">
        <f t="shared" si="242"/>
        <v>0</v>
      </c>
    </row>
    <row r="290" spans="1:21" x14ac:dyDescent="0.15">
      <c r="A290" s="23"/>
      <c r="B290" s="7"/>
      <c r="C290" s="8"/>
      <c r="D290" s="9"/>
      <c r="E290" s="43">
        <f t="shared" si="243"/>
        <v>0</v>
      </c>
      <c r="F290" s="11"/>
      <c r="G290" s="8"/>
      <c r="H290" s="9"/>
      <c r="I290" s="43">
        <f t="shared" si="244"/>
        <v>0</v>
      </c>
      <c r="J290" s="10">
        <f t="shared" si="245"/>
        <v>0</v>
      </c>
      <c r="L290" s="24"/>
      <c r="M290" s="7"/>
      <c r="N290" s="8"/>
      <c r="O290" s="9"/>
      <c r="P290" s="43">
        <f t="shared" si="240"/>
        <v>0</v>
      </c>
      <c r="Q290" s="7"/>
      <c r="R290" s="8"/>
      <c r="S290" s="9"/>
      <c r="T290" s="43">
        <f t="shared" si="241"/>
        <v>0</v>
      </c>
      <c r="U290" s="10">
        <f t="shared" si="242"/>
        <v>0</v>
      </c>
    </row>
    <row r="291" spans="1:21" x14ac:dyDescent="0.15">
      <c r="A291" s="22"/>
      <c r="B291" s="7"/>
      <c r="C291" s="8"/>
      <c r="D291" s="9"/>
      <c r="E291" s="43">
        <f t="shared" si="243"/>
        <v>0</v>
      </c>
      <c r="F291" s="11"/>
      <c r="G291" s="8"/>
      <c r="H291" s="9"/>
      <c r="I291" s="43">
        <f t="shared" si="244"/>
        <v>0</v>
      </c>
      <c r="J291" s="10">
        <f t="shared" si="245"/>
        <v>0</v>
      </c>
      <c r="L291" s="24"/>
      <c r="M291" s="7"/>
      <c r="N291" s="8"/>
      <c r="O291" s="9"/>
      <c r="P291" s="43">
        <f t="shared" ref="P291:P298" si="246">SUM(M291:O291)</f>
        <v>0</v>
      </c>
      <c r="Q291" s="7"/>
      <c r="R291" s="8"/>
      <c r="S291" s="9"/>
      <c r="T291" s="43">
        <f t="shared" ref="T291:T298" si="247">SUM(Q291:S291)</f>
        <v>0</v>
      </c>
      <c r="U291" s="10">
        <f t="shared" ref="U291:U297" si="248">P291+T291</f>
        <v>0</v>
      </c>
    </row>
    <row r="292" spans="1:21" x14ac:dyDescent="0.15">
      <c r="A292" s="24"/>
      <c r="B292" s="7"/>
      <c r="C292" s="8"/>
      <c r="D292" s="9"/>
      <c r="E292" s="43">
        <f t="shared" si="243"/>
        <v>0</v>
      </c>
      <c r="F292" s="11"/>
      <c r="G292" s="8"/>
      <c r="H292" s="9"/>
      <c r="I292" s="43">
        <f t="shared" si="244"/>
        <v>0</v>
      </c>
      <c r="J292" s="10">
        <f t="shared" si="245"/>
        <v>0</v>
      </c>
      <c r="L292" s="24"/>
      <c r="M292" s="7"/>
      <c r="N292" s="8"/>
      <c r="O292" s="9"/>
      <c r="P292" s="43">
        <f t="shared" si="246"/>
        <v>0</v>
      </c>
      <c r="Q292" s="7"/>
      <c r="R292" s="8"/>
      <c r="S292" s="9"/>
      <c r="T292" s="43">
        <f t="shared" si="247"/>
        <v>0</v>
      </c>
      <c r="U292" s="10">
        <f t="shared" si="248"/>
        <v>0</v>
      </c>
    </row>
    <row r="293" spans="1:21" x14ac:dyDescent="0.15">
      <c r="A293" s="22"/>
      <c r="B293" s="12"/>
      <c r="C293" s="13"/>
      <c r="D293" s="14"/>
      <c r="E293" s="43">
        <f t="shared" si="243"/>
        <v>0</v>
      </c>
      <c r="F293" s="15"/>
      <c r="G293" s="13"/>
      <c r="H293" s="14"/>
      <c r="I293" s="43">
        <f t="shared" si="244"/>
        <v>0</v>
      </c>
      <c r="J293" s="10">
        <f t="shared" si="245"/>
        <v>0</v>
      </c>
      <c r="L293" s="24"/>
      <c r="M293" s="7"/>
      <c r="N293" s="8"/>
      <c r="O293" s="9"/>
      <c r="P293" s="43">
        <f t="shared" si="246"/>
        <v>0</v>
      </c>
      <c r="Q293" s="7"/>
      <c r="R293" s="8"/>
      <c r="S293" s="9"/>
      <c r="T293" s="43">
        <f t="shared" si="247"/>
        <v>0</v>
      </c>
      <c r="U293" s="10">
        <f t="shared" si="248"/>
        <v>0</v>
      </c>
    </row>
    <row r="294" spans="1:21" x14ac:dyDescent="0.15">
      <c r="A294" s="22"/>
      <c r="B294" s="7"/>
      <c r="C294" s="8"/>
      <c r="D294" s="9"/>
      <c r="E294" s="43">
        <f t="shared" si="243"/>
        <v>0</v>
      </c>
      <c r="F294" s="11"/>
      <c r="G294" s="8"/>
      <c r="H294" s="9"/>
      <c r="I294" s="43">
        <f t="shared" si="244"/>
        <v>0</v>
      </c>
      <c r="J294" s="10">
        <f t="shared" si="245"/>
        <v>0</v>
      </c>
      <c r="L294" s="24"/>
      <c r="M294" s="7"/>
      <c r="N294" s="8"/>
      <c r="O294" s="9"/>
      <c r="P294" s="43">
        <f t="shared" si="246"/>
        <v>0</v>
      </c>
      <c r="Q294" s="7"/>
      <c r="R294" s="8"/>
      <c r="S294" s="9"/>
      <c r="T294" s="43">
        <f t="shared" si="247"/>
        <v>0</v>
      </c>
      <c r="U294" s="10">
        <f t="shared" si="248"/>
        <v>0</v>
      </c>
    </row>
    <row r="295" spans="1:21" x14ac:dyDescent="0.15">
      <c r="A295" s="22"/>
      <c r="B295" s="7"/>
      <c r="C295" s="8"/>
      <c r="D295" s="9"/>
      <c r="E295" s="43">
        <f t="shared" si="243"/>
        <v>0</v>
      </c>
      <c r="F295" s="11"/>
      <c r="G295" s="8"/>
      <c r="H295" s="9"/>
      <c r="I295" s="43">
        <f t="shared" si="244"/>
        <v>0</v>
      </c>
      <c r="J295" s="10">
        <f t="shared" si="245"/>
        <v>0</v>
      </c>
      <c r="L295" s="24"/>
      <c r="M295" s="7"/>
      <c r="N295" s="8"/>
      <c r="O295" s="9"/>
      <c r="P295" s="43">
        <f t="shared" si="246"/>
        <v>0</v>
      </c>
      <c r="Q295" s="7"/>
      <c r="R295" s="8"/>
      <c r="S295" s="9"/>
      <c r="T295" s="43">
        <f t="shared" si="247"/>
        <v>0</v>
      </c>
      <c r="U295" s="10">
        <f t="shared" si="248"/>
        <v>0</v>
      </c>
    </row>
    <row r="296" spans="1:21" x14ac:dyDescent="0.15">
      <c r="A296" s="22"/>
      <c r="B296" s="7"/>
      <c r="C296" s="8"/>
      <c r="D296" s="9"/>
      <c r="E296" s="43">
        <f t="shared" si="243"/>
        <v>0</v>
      </c>
      <c r="F296" s="11"/>
      <c r="G296" s="8"/>
      <c r="H296" s="9"/>
      <c r="I296" s="43">
        <f t="shared" si="244"/>
        <v>0</v>
      </c>
      <c r="J296" s="10">
        <f t="shared" si="245"/>
        <v>0</v>
      </c>
      <c r="L296" s="24"/>
      <c r="M296" s="7"/>
      <c r="N296" s="8"/>
      <c r="O296" s="9"/>
      <c r="P296" s="43">
        <f t="shared" si="246"/>
        <v>0</v>
      </c>
      <c r="Q296" s="7"/>
      <c r="R296" s="8"/>
      <c r="S296" s="9"/>
      <c r="T296" s="43">
        <f t="shared" si="247"/>
        <v>0</v>
      </c>
      <c r="U296" s="10">
        <f t="shared" si="248"/>
        <v>0</v>
      </c>
    </row>
    <row r="297" spans="1:21" ht="14.25" thickBot="1" x14ac:dyDescent="0.2">
      <c r="A297" s="22"/>
      <c r="B297" s="7"/>
      <c r="C297" s="8"/>
      <c r="D297" s="9"/>
      <c r="E297" s="43">
        <f t="shared" si="243"/>
        <v>0</v>
      </c>
      <c r="F297" s="11"/>
      <c r="G297" s="8"/>
      <c r="H297" s="9"/>
      <c r="I297" s="43">
        <f t="shared" si="244"/>
        <v>0</v>
      </c>
      <c r="J297" s="10">
        <f t="shared" si="245"/>
        <v>0</v>
      </c>
      <c r="L297" s="24" t="s">
        <v>282</v>
      </c>
      <c r="M297" s="92"/>
      <c r="N297" s="93"/>
      <c r="O297" s="99"/>
      <c r="P297" s="100">
        <f t="shared" si="246"/>
        <v>0</v>
      </c>
      <c r="Q297" s="92"/>
      <c r="R297" s="93"/>
      <c r="S297" s="99"/>
      <c r="T297" s="100">
        <f t="shared" si="247"/>
        <v>0</v>
      </c>
      <c r="U297" s="90">
        <f t="shared" si="248"/>
        <v>0</v>
      </c>
    </row>
    <row r="298" spans="1:21" ht="14.25" thickBot="1" x14ac:dyDescent="0.2">
      <c r="A298" s="35" t="s">
        <v>17</v>
      </c>
      <c r="B298" s="40">
        <f>SUM(B272:B297)</f>
        <v>1</v>
      </c>
      <c r="C298" s="41">
        <f t="shared" ref="C298:D298" si="249">SUM(C272:C297)</f>
        <v>0</v>
      </c>
      <c r="D298" s="52">
        <f t="shared" si="249"/>
        <v>2</v>
      </c>
      <c r="E298" s="39">
        <f t="shared" si="243"/>
        <v>3</v>
      </c>
      <c r="F298" s="40">
        <f>SUM(F272:F297)</f>
        <v>1</v>
      </c>
      <c r="G298" s="41">
        <f t="shared" ref="G298:H298" si="250">SUM(G272:G297)</f>
        <v>0</v>
      </c>
      <c r="H298" s="52">
        <f t="shared" si="250"/>
        <v>2</v>
      </c>
      <c r="I298" s="39">
        <f t="shared" si="244"/>
        <v>3</v>
      </c>
      <c r="J298" s="39">
        <f>E298+I298</f>
        <v>6</v>
      </c>
      <c r="L298" s="35" t="s">
        <v>17</v>
      </c>
      <c r="M298" s="40">
        <f>SUM(M272:M297)</f>
        <v>3</v>
      </c>
      <c r="N298" s="41">
        <f t="shared" ref="N298:O298" si="251">SUM(N272:N297)</f>
        <v>2</v>
      </c>
      <c r="O298" s="52">
        <f t="shared" si="251"/>
        <v>1</v>
      </c>
      <c r="P298" s="39">
        <f t="shared" si="246"/>
        <v>6</v>
      </c>
      <c r="Q298" s="40">
        <f>SUM(Q272:Q297)</f>
        <v>3</v>
      </c>
      <c r="R298" s="41">
        <f t="shared" ref="R298:S298" si="252">SUM(R272:R297)</f>
        <v>2</v>
      </c>
      <c r="S298" s="52">
        <f t="shared" si="252"/>
        <v>1</v>
      </c>
      <c r="T298" s="39">
        <f t="shared" si="247"/>
        <v>6</v>
      </c>
      <c r="U298" s="39">
        <f>P298+T298</f>
        <v>12</v>
      </c>
    </row>
    <row r="299" spans="1:21" ht="14.25" thickBot="1" x14ac:dyDescent="0.2">
      <c r="A299" s="21" t="s">
        <v>16</v>
      </c>
      <c r="B299" s="44">
        <f>B271-B298</f>
        <v>6</v>
      </c>
      <c r="C299" s="50">
        <f t="shared" ref="C299:D299" si="253">C271-C298</f>
        <v>3</v>
      </c>
      <c r="D299" s="51">
        <f t="shared" si="253"/>
        <v>4</v>
      </c>
      <c r="E299" s="49">
        <f>SUM(B299:D299)</f>
        <v>13</v>
      </c>
      <c r="F299" s="44">
        <f>F271-F298</f>
        <v>7</v>
      </c>
      <c r="G299" s="50">
        <f t="shared" ref="G299:H299" si="254">G271-G298</f>
        <v>3</v>
      </c>
      <c r="H299" s="51">
        <f t="shared" si="254"/>
        <v>3</v>
      </c>
      <c r="I299" s="49">
        <f>SUM(F299:H299)</f>
        <v>13</v>
      </c>
      <c r="J299" s="28">
        <f>E299+I299</f>
        <v>26</v>
      </c>
      <c r="L299" s="21" t="s">
        <v>16</v>
      </c>
      <c r="M299" s="44">
        <f>M271-M298</f>
        <v>65</v>
      </c>
      <c r="N299" s="50">
        <f t="shared" ref="N299:O299" si="255">N271-N298</f>
        <v>46</v>
      </c>
      <c r="O299" s="51">
        <f t="shared" si="255"/>
        <v>39</v>
      </c>
      <c r="P299" s="49">
        <f>SUM(M299:O299)</f>
        <v>150</v>
      </c>
      <c r="Q299" s="44">
        <f>Q271-Q298</f>
        <v>65</v>
      </c>
      <c r="R299" s="50">
        <f t="shared" ref="R299:S299" si="256">R271-R298</f>
        <v>46</v>
      </c>
      <c r="S299" s="51">
        <f t="shared" si="256"/>
        <v>39</v>
      </c>
      <c r="T299" s="49">
        <f>SUM(Q299:S299)</f>
        <v>150</v>
      </c>
      <c r="U299" s="28">
        <f>P299+T299</f>
        <v>300</v>
      </c>
    </row>
    <row r="301" spans="1:21" ht="30" customHeight="1" x14ac:dyDescent="0.15">
      <c r="F301" s="165" t="s">
        <v>290</v>
      </c>
      <c r="G301" s="165"/>
      <c r="H301" s="165"/>
      <c r="I301" s="165"/>
      <c r="J301" s="165"/>
      <c r="K301" s="165"/>
      <c r="L301" s="165"/>
      <c r="M301" s="165"/>
      <c r="N301" s="165"/>
      <c r="O301" s="165"/>
      <c r="P301" s="165"/>
    </row>
    <row r="302" spans="1:21" ht="19.5" thickBot="1" x14ac:dyDescent="0.25">
      <c r="A302" s="84" t="s">
        <v>31</v>
      </c>
      <c r="B302" s="85"/>
      <c r="C302" s="85"/>
      <c r="D302" s="85"/>
      <c r="E302" s="85"/>
      <c r="F302" s="85"/>
      <c r="G302" s="85"/>
      <c r="H302" s="85"/>
      <c r="I302" s="85"/>
      <c r="J302" s="85"/>
      <c r="L302" s="82" t="s">
        <v>32</v>
      </c>
      <c r="M302" s="83"/>
      <c r="N302" s="83"/>
      <c r="O302" s="83"/>
      <c r="P302" s="83"/>
      <c r="Q302" s="83"/>
      <c r="R302" s="83"/>
      <c r="S302" s="83"/>
      <c r="T302" s="83"/>
      <c r="U302" s="83">
        <v>1040</v>
      </c>
    </row>
    <row r="303" spans="1:21" ht="14.25" thickBot="1" x14ac:dyDescent="0.2">
      <c r="A303" s="6"/>
      <c r="B303" s="159" t="s">
        <v>33</v>
      </c>
      <c r="C303" s="160"/>
      <c r="D303" s="160"/>
      <c r="E303" s="161"/>
      <c r="F303" s="159" t="s">
        <v>22</v>
      </c>
      <c r="G303" s="160"/>
      <c r="H303" s="160"/>
      <c r="I303" s="162"/>
      <c r="J303" s="157" t="s">
        <v>0</v>
      </c>
      <c r="L303" s="6"/>
      <c r="M303" s="159" t="s">
        <v>33</v>
      </c>
      <c r="N303" s="160"/>
      <c r="O303" s="160"/>
      <c r="P303" s="161"/>
      <c r="Q303" s="146" t="s">
        <v>22</v>
      </c>
      <c r="R303" s="147"/>
      <c r="S303" s="147"/>
      <c r="T303" s="148"/>
      <c r="U303" s="157" t="s">
        <v>0</v>
      </c>
    </row>
    <row r="304" spans="1:21" ht="14.25" thickBot="1" x14ac:dyDescent="0.2">
      <c r="A304" s="6" t="s">
        <v>1</v>
      </c>
      <c r="B304" s="3" t="s">
        <v>2</v>
      </c>
      <c r="C304" s="4" t="s">
        <v>3</v>
      </c>
      <c r="D304" s="5" t="s">
        <v>4</v>
      </c>
      <c r="E304" s="6" t="s">
        <v>5</v>
      </c>
      <c r="F304" s="3" t="s">
        <v>2</v>
      </c>
      <c r="G304" s="4" t="s">
        <v>3</v>
      </c>
      <c r="H304" s="5" t="s">
        <v>4</v>
      </c>
      <c r="I304" s="6" t="s">
        <v>5</v>
      </c>
      <c r="J304" s="158"/>
      <c r="L304" s="6" t="s">
        <v>1</v>
      </c>
      <c r="M304" s="3" t="s">
        <v>2</v>
      </c>
      <c r="N304" s="4" t="s">
        <v>3</v>
      </c>
      <c r="O304" s="5" t="s">
        <v>4</v>
      </c>
      <c r="P304" s="6" t="s">
        <v>5</v>
      </c>
      <c r="Q304" s="3" t="s">
        <v>2</v>
      </c>
      <c r="R304" s="4" t="s">
        <v>3</v>
      </c>
      <c r="S304" s="5" t="s">
        <v>4</v>
      </c>
      <c r="T304" s="6" t="s">
        <v>5</v>
      </c>
      <c r="U304" s="158"/>
    </row>
    <row r="305" spans="1:23" ht="14.25" thickBot="1" x14ac:dyDescent="0.2">
      <c r="A305" s="66" t="s">
        <v>6</v>
      </c>
      <c r="B305" s="25">
        <f>B299</f>
        <v>6</v>
      </c>
      <c r="C305" s="26">
        <f>C299</f>
        <v>3</v>
      </c>
      <c r="D305" s="27">
        <f>D299</f>
        <v>4</v>
      </c>
      <c r="E305" s="28">
        <f>SUM(B305:D305)</f>
        <v>13</v>
      </c>
      <c r="F305" s="25">
        <f>F299</f>
        <v>7</v>
      </c>
      <c r="G305" s="26">
        <f>G299</f>
        <v>3</v>
      </c>
      <c r="H305" s="27">
        <f>H299</f>
        <v>3</v>
      </c>
      <c r="I305" s="28">
        <f>SUM(F305:H305)</f>
        <v>13</v>
      </c>
      <c r="J305" s="28">
        <f>E305+I305</f>
        <v>26</v>
      </c>
      <c r="L305" s="66" t="s">
        <v>6</v>
      </c>
      <c r="M305" s="25">
        <f>M299</f>
        <v>65</v>
      </c>
      <c r="N305" s="26">
        <f>N299</f>
        <v>46</v>
      </c>
      <c r="O305" s="27">
        <f>O299</f>
        <v>39</v>
      </c>
      <c r="P305" s="28">
        <f>SUM(M305:O305)</f>
        <v>150</v>
      </c>
      <c r="Q305" s="25">
        <f>Q299</f>
        <v>65</v>
      </c>
      <c r="R305" s="26">
        <f>R299</f>
        <v>46</v>
      </c>
      <c r="S305" s="27">
        <f>S299</f>
        <v>39</v>
      </c>
      <c r="T305" s="28">
        <f>SUM(Q305:S305)</f>
        <v>150</v>
      </c>
      <c r="U305" s="28">
        <f>P305+T305</f>
        <v>300</v>
      </c>
    </row>
    <row r="306" spans="1:23" x14ac:dyDescent="0.15">
      <c r="A306" s="23" t="s">
        <v>20</v>
      </c>
      <c r="B306" s="7"/>
      <c r="C306" s="8"/>
      <c r="D306" s="46"/>
      <c r="E306" s="10">
        <f t="shared" ref="E306:E313" si="257">SUM(B306:D306)</f>
        <v>0</v>
      </c>
      <c r="F306" s="11"/>
      <c r="G306" s="8"/>
      <c r="H306" s="9"/>
      <c r="I306" s="10">
        <f t="shared" ref="I306:I313" si="258">SUM(F306:H306)</f>
        <v>0</v>
      </c>
      <c r="J306" s="10">
        <f t="shared" ref="J306:J313" si="259">E306+I306</f>
        <v>0</v>
      </c>
      <c r="L306" s="23" t="s">
        <v>7</v>
      </c>
      <c r="M306" s="7"/>
      <c r="N306" s="8"/>
      <c r="O306" s="46"/>
      <c r="P306" s="10">
        <f t="shared" ref="P306:P310" si="260">SUM(M306:O306)</f>
        <v>0</v>
      </c>
      <c r="Q306" s="11"/>
      <c r="R306" s="8"/>
      <c r="S306" s="9"/>
      <c r="T306" s="10">
        <f t="shared" ref="T306:T310" si="261">SUM(Q306:S306)</f>
        <v>0</v>
      </c>
      <c r="U306" s="10">
        <f t="shared" ref="U306:U310" si="262">P306+T306</f>
        <v>0</v>
      </c>
    </row>
    <row r="307" spans="1:23" x14ac:dyDescent="0.15">
      <c r="A307" s="23" t="s">
        <v>20</v>
      </c>
      <c r="B307" s="7"/>
      <c r="C307" s="8"/>
      <c r="D307" s="46"/>
      <c r="E307" s="10">
        <f t="shared" si="257"/>
        <v>0</v>
      </c>
      <c r="F307" s="11"/>
      <c r="G307" s="8"/>
      <c r="H307" s="9"/>
      <c r="I307" s="10">
        <f t="shared" si="258"/>
        <v>0</v>
      </c>
      <c r="J307" s="10">
        <f t="shared" si="259"/>
        <v>0</v>
      </c>
      <c r="L307" s="23" t="s">
        <v>8</v>
      </c>
      <c r="M307" s="7"/>
      <c r="N307" s="8"/>
      <c r="O307" s="46"/>
      <c r="P307" s="10">
        <f t="shared" si="260"/>
        <v>0</v>
      </c>
      <c r="Q307" s="11"/>
      <c r="R307" s="8"/>
      <c r="S307" s="9"/>
      <c r="T307" s="10">
        <f t="shared" si="261"/>
        <v>0</v>
      </c>
      <c r="U307" s="10">
        <f t="shared" si="262"/>
        <v>0</v>
      </c>
      <c r="V307" s="58"/>
    </row>
    <row r="308" spans="1:23" x14ac:dyDescent="0.15">
      <c r="A308" s="23" t="s">
        <v>20</v>
      </c>
      <c r="B308" s="7"/>
      <c r="C308" s="8"/>
      <c r="D308" s="46"/>
      <c r="E308" s="10">
        <f t="shared" si="257"/>
        <v>0</v>
      </c>
      <c r="F308" s="11"/>
      <c r="G308" s="8"/>
      <c r="H308" s="9"/>
      <c r="I308" s="10">
        <f t="shared" si="258"/>
        <v>0</v>
      </c>
      <c r="J308" s="10">
        <f t="shared" si="259"/>
        <v>0</v>
      </c>
      <c r="L308" s="23" t="s">
        <v>322</v>
      </c>
      <c r="M308" s="7">
        <v>150</v>
      </c>
      <c r="N308" s="8">
        <v>250</v>
      </c>
      <c r="O308" s="46">
        <v>200</v>
      </c>
      <c r="P308" s="10">
        <f t="shared" si="260"/>
        <v>600</v>
      </c>
      <c r="Q308" s="11">
        <v>150</v>
      </c>
      <c r="R308" s="8">
        <v>250</v>
      </c>
      <c r="S308" s="9">
        <v>200</v>
      </c>
      <c r="T308" s="10">
        <f t="shared" si="261"/>
        <v>600</v>
      </c>
      <c r="U308" s="10">
        <f t="shared" si="262"/>
        <v>1200</v>
      </c>
      <c r="V308" s="56" t="s">
        <v>334</v>
      </c>
    </row>
    <row r="309" spans="1:23" x14ac:dyDescent="0.15">
      <c r="A309" s="23" t="s">
        <v>20</v>
      </c>
      <c r="B309" s="7"/>
      <c r="C309" s="8"/>
      <c r="D309" s="46"/>
      <c r="E309" s="10">
        <f t="shared" si="257"/>
        <v>0</v>
      </c>
      <c r="F309" s="11"/>
      <c r="G309" s="8"/>
      <c r="H309" s="9"/>
      <c r="I309" s="10">
        <f t="shared" si="258"/>
        <v>0</v>
      </c>
      <c r="J309" s="10">
        <f t="shared" si="259"/>
        <v>0</v>
      </c>
      <c r="L309" s="23" t="s">
        <v>10</v>
      </c>
      <c r="M309" s="7"/>
      <c r="N309" s="8"/>
      <c r="O309" s="46"/>
      <c r="P309" s="10">
        <f t="shared" si="260"/>
        <v>0</v>
      </c>
      <c r="Q309" s="11"/>
      <c r="R309" s="8"/>
      <c r="S309" s="9"/>
      <c r="T309" s="10">
        <f t="shared" si="261"/>
        <v>0</v>
      </c>
      <c r="U309" s="10">
        <f t="shared" si="262"/>
        <v>0</v>
      </c>
    </row>
    <row r="310" spans="1:23" x14ac:dyDescent="0.15">
      <c r="A310" s="23" t="s">
        <v>20</v>
      </c>
      <c r="B310" s="7"/>
      <c r="C310" s="8"/>
      <c r="D310" s="46"/>
      <c r="E310" s="10">
        <f t="shared" si="257"/>
        <v>0</v>
      </c>
      <c r="F310" s="11"/>
      <c r="G310" s="8"/>
      <c r="H310" s="9"/>
      <c r="I310" s="10">
        <f t="shared" si="258"/>
        <v>0</v>
      </c>
      <c r="J310" s="10">
        <f t="shared" si="259"/>
        <v>0</v>
      </c>
      <c r="L310" s="23" t="s">
        <v>11</v>
      </c>
      <c r="M310" s="7"/>
      <c r="N310" s="8"/>
      <c r="O310" s="46"/>
      <c r="P310" s="10">
        <f t="shared" si="260"/>
        <v>0</v>
      </c>
      <c r="Q310" s="11"/>
      <c r="R310" s="8"/>
      <c r="S310" s="9"/>
      <c r="T310" s="10">
        <f t="shared" si="261"/>
        <v>0</v>
      </c>
      <c r="U310" s="10">
        <f t="shared" si="262"/>
        <v>0</v>
      </c>
    </row>
    <row r="311" spans="1:23" x14ac:dyDescent="0.15">
      <c r="A311" s="23" t="s">
        <v>20</v>
      </c>
      <c r="B311" s="7"/>
      <c r="C311" s="8"/>
      <c r="D311" s="46"/>
      <c r="E311" s="10">
        <f t="shared" si="257"/>
        <v>0</v>
      </c>
      <c r="F311" s="11"/>
      <c r="G311" s="8"/>
      <c r="H311" s="9"/>
      <c r="I311" s="10">
        <f t="shared" si="258"/>
        <v>0</v>
      </c>
      <c r="J311" s="10">
        <f t="shared" si="259"/>
        <v>0</v>
      </c>
      <c r="L311" s="23" t="s">
        <v>12</v>
      </c>
      <c r="M311" s="16"/>
      <c r="N311" s="17"/>
      <c r="O311" s="45"/>
      <c r="P311" s="43">
        <f>SUM(M311:O311)</f>
        <v>0</v>
      </c>
      <c r="Q311" s="19"/>
      <c r="R311" s="17"/>
      <c r="S311" s="18"/>
      <c r="T311" s="43">
        <f>SUM(Q311:S311)</f>
        <v>0</v>
      </c>
      <c r="U311" s="43">
        <f>P311+T311</f>
        <v>0</v>
      </c>
    </row>
    <row r="312" spans="1:23" x14ac:dyDescent="0.15">
      <c r="A312" s="23" t="s">
        <v>20</v>
      </c>
      <c r="B312" s="12"/>
      <c r="C312" s="13"/>
      <c r="D312" s="47"/>
      <c r="E312" s="10">
        <f t="shared" si="257"/>
        <v>0</v>
      </c>
      <c r="F312" s="15"/>
      <c r="G312" s="13"/>
      <c r="H312" s="14"/>
      <c r="I312" s="10">
        <f t="shared" si="258"/>
        <v>0</v>
      </c>
      <c r="J312" s="10">
        <f t="shared" si="259"/>
        <v>0</v>
      </c>
      <c r="L312" s="23" t="s">
        <v>13</v>
      </c>
      <c r="M312" s="16"/>
      <c r="N312" s="17"/>
      <c r="O312" s="45"/>
      <c r="P312" s="43">
        <f>SUM(M312:O312)</f>
        <v>0</v>
      </c>
      <c r="Q312" s="19"/>
      <c r="R312" s="17"/>
      <c r="S312" s="18"/>
      <c r="T312" s="43">
        <f>SUM(Q312:S312)</f>
        <v>0</v>
      </c>
      <c r="U312" s="43">
        <f>P312+T312</f>
        <v>0</v>
      </c>
    </row>
    <row r="313" spans="1:23" ht="14.25" thickBot="1" x14ac:dyDescent="0.2">
      <c r="A313" s="23" t="s">
        <v>20</v>
      </c>
      <c r="B313" s="29"/>
      <c r="C313" s="30"/>
      <c r="D313" s="48"/>
      <c r="E313" s="55">
        <f t="shared" si="257"/>
        <v>0</v>
      </c>
      <c r="F313" s="31"/>
      <c r="G313" s="31"/>
      <c r="H313" s="33"/>
      <c r="I313" s="55">
        <f t="shared" si="258"/>
        <v>0</v>
      </c>
      <c r="J313" s="20">
        <f t="shared" si="259"/>
        <v>0</v>
      </c>
      <c r="L313" s="23" t="s">
        <v>14</v>
      </c>
      <c r="M313" s="12"/>
      <c r="N313" s="13"/>
      <c r="O313" s="47"/>
      <c r="P313" s="10">
        <f t="shared" ref="P313" si="263">SUM(M313:O313)</f>
        <v>0</v>
      </c>
      <c r="Q313" s="15"/>
      <c r="R313" s="13"/>
      <c r="S313" s="14"/>
      <c r="T313" s="10">
        <f t="shared" ref="T313" si="264">SUM(Q313:S313)</f>
        <v>0</v>
      </c>
      <c r="U313" s="10">
        <f t="shared" ref="U313" si="265">P313+T313</f>
        <v>0</v>
      </c>
    </row>
    <row r="314" spans="1:23" ht="14.25" thickBot="1" x14ac:dyDescent="0.2">
      <c r="A314" s="32" t="s">
        <v>15</v>
      </c>
      <c r="B314" s="25">
        <f>SUM(B305:B313)</f>
        <v>6</v>
      </c>
      <c r="C314" s="26">
        <f>SUM(C305:C313)</f>
        <v>3</v>
      </c>
      <c r="D314" s="27">
        <f>SUM(D305:D313)</f>
        <v>4</v>
      </c>
      <c r="E314" s="28">
        <f>SUM(B314:D314)</f>
        <v>13</v>
      </c>
      <c r="F314" s="25">
        <f>SUM(F305:F313)</f>
        <v>7</v>
      </c>
      <c r="G314" s="26">
        <f>SUM(G305:G313)</f>
        <v>3</v>
      </c>
      <c r="H314" s="27">
        <f>SUM(H305:H313)</f>
        <v>3</v>
      </c>
      <c r="I314" s="28">
        <f>SUM(F314:H314)</f>
        <v>13</v>
      </c>
      <c r="J314" s="28">
        <f>E314+I314</f>
        <v>26</v>
      </c>
      <c r="L314" s="32" t="s">
        <v>15</v>
      </c>
      <c r="M314" s="25">
        <f>SUM(M305:M313)</f>
        <v>215</v>
      </c>
      <c r="N314" s="26">
        <f>SUM(N305:N313)</f>
        <v>296</v>
      </c>
      <c r="O314" s="27">
        <f>SUM(O305:O313)</f>
        <v>239</v>
      </c>
      <c r="P314" s="28">
        <f>SUM(M314:O314)</f>
        <v>750</v>
      </c>
      <c r="Q314" s="25">
        <f>SUM(Q305:Q313)</f>
        <v>215</v>
      </c>
      <c r="R314" s="26">
        <f>SUM(R305:R313)</f>
        <v>296</v>
      </c>
      <c r="S314" s="27">
        <f>SUM(S305:S313)</f>
        <v>239</v>
      </c>
      <c r="T314" s="28">
        <f>SUM(Q314:S314)</f>
        <v>750</v>
      </c>
      <c r="U314" s="28">
        <f>P314+T314</f>
        <v>1500</v>
      </c>
    </row>
    <row r="315" spans="1:23" x14ac:dyDescent="0.15">
      <c r="A315" s="22" t="s">
        <v>329</v>
      </c>
      <c r="B315" s="7">
        <v>2</v>
      </c>
      <c r="C315" s="8"/>
      <c r="D315" s="9"/>
      <c r="E315" s="43">
        <f t="shared" ref="E315" si="266">SUM(B315:D315)</f>
        <v>2</v>
      </c>
      <c r="F315" s="11">
        <v>2</v>
      </c>
      <c r="G315" s="8"/>
      <c r="H315" s="9"/>
      <c r="I315" s="43">
        <f t="shared" ref="I315" si="267">SUM(F315:H315)</f>
        <v>2</v>
      </c>
      <c r="J315" s="10">
        <f t="shared" ref="J315" si="268">E315+I315</f>
        <v>4</v>
      </c>
      <c r="K315" s="58">
        <v>45537</v>
      </c>
      <c r="L315" s="24" t="s">
        <v>165</v>
      </c>
      <c r="M315" s="7">
        <v>20</v>
      </c>
      <c r="N315" s="8">
        <v>30</v>
      </c>
      <c r="O315" s="9">
        <v>30</v>
      </c>
      <c r="P315" s="43">
        <f t="shared" ref="P315:P341" si="269">SUM(M315:O315)</f>
        <v>80</v>
      </c>
      <c r="Q315" s="7">
        <v>20</v>
      </c>
      <c r="R315" s="8">
        <v>30</v>
      </c>
      <c r="S315" s="9">
        <v>30</v>
      </c>
      <c r="T315" s="43">
        <f t="shared" ref="T315:T341" si="270">SUM(Q315:S315)</f>
        <v>80</v>
      </c>
      <c r="U315" s="10">
        <f t="shared" ref="U315:U334" si="271">P315+T315</f>
        <v>160</v>
      </c>
      <c r="V315" s="56">
        <v>45593</v>
      </c>
    </row>
    <row r="316" spans="1:23" x14ac:dyDescent="0.15">
      <c r="A316" s="22" t="s">
        <v>330</v>
      </c>
      <c r="B316" s="7"/>
      <c r="C316" s="8"/>
      <c r="D316" s="9">
        <v>1</v>
      </c>
      <c r="E316" s="43">
        <f t="shared" ref="E316:E341" si="272">SUM(B316:D316)</f>
        <v>1</v>
      </c>
      <c r="F316" s="11"/>
      <c r="G316" s="8"/>
      <c r="H316" s="9">
        <v>1</v>
      </c>
      <c r="I316" s="43">
        <f t="shared" ref="I316:I341" si="273">SUM(F316:H316)</f>
        <v>1</v>
      </c>
      <c r="J316" s="10">
        <f t="shared" ref="J316:J340" si="274">E316+I316</f>
        <v>2</v>
      </c>
      <c r="K316" s="58">
        <v>45561</v>
      </c>
      <c r="L316" s="24" t="s">
        <v>333</v>
      </c>
      <c r="M316" s="7">
        <v>3</v>
      </c>
      <c r="N316" s="8">
        <v>3</v>
      </c>
      <c r="O316" s="9">
        <v>3</v>
      </c>
      <c r="P316" s="43">
        <f t="shared" si="269"/>
        <v>9</v>
      </c>
      <c r="Q316" s="7">
        <v>3</v>
      </c>
      <c r="R316" s="8">
        <v>3</v>
      </c>
      <c r="S316" s="9">
        <v>3</v>
      </c>
      <c r="T316" s="43">
        <f t="shared" si="270"/>
        <v>9</v>
      </c>
      <c r="U316" s="10">
        <f t="shared" si="271"/>
        <v>18</v>
      </c>
      <c r="V316" s="56">
        <v>45572</v>
      </c>
      <c r="W316" s="61"/>
    </row>
    <row r="317" spans="1:23" x14ac:dyDescent="0.15">
      <c r="A317" s="22"/>
      <c r="B317" s="7"/>
      <c r="C317" s="8"/>
      <c r="D317" s="9"/>
      <c r="E317" s="43">
        <f t="shared" si="272"/>
        <v>0</v>
      </c>
      <c r="F317" s="11"/>
      <c r="G317" s="8"/>
      <c r="H317" s="9"/>
      <c r="I317" s="43">
        <f t="shared" si="273"/>
        <v>0</v>
      </c>
      <c r="J317" s="10">
        <f t="shared" si="274"/>
        <v>0</v>
      </c>
      <c r="L317" s="24" t="s">
        <v>40</v>
      </c>
      <c r="M317" s="7">
        <v>2</v>
      </c>
      <c r="N317" s="8">
        <v>2</v>
      </c>
      <c r="O317" s="9">
        <v>4</v>
      </c>
      <c r="P317" s="43">
        <f t="shared" si="269"/>
        <v>8</v>
      </c>
      <c r="Q317" s="7">
        <v>2</v>
      </c>
      <c r="R317" s="8">
        <v>2</v>
      </c>
      <c r="S317" s="9">
        <v>4</v>
      </c>
      <c r="T317" s="43">
        <f t="shared" si="270"/>
        <v>8</v>
      </c>
      <c r="U317" s="10">
        <f t="shared" si="271"/>
        <v>16</v>
      </c>
      <c r="V317" s="56">
        <v>45580</v>
      </c>
      <c r="W317" s="61"/>
    </row>
    <row r="318" spans="1:23" x14ac:dyDescent="0.15">
      <c r="A318" s="22"/>
      <c r="B318" s="7"/>
      <c r="C318" s="8"/>
      <c r="D318" s="9"/>
      <c r="E318" s="43">
        <f t="shared" si="272"/>
        <v>0</v>
      </c>
      <c r="F318" s="11"/>
      <c r="G318" s="8"/>
      <c r="H318" s="9"/>
      <c r="I318" s="43">
        <f t="shared" si="273"/>
        <v>0</v>
      </c>
      <c r="J318" s="10">
        <f t="shared" si="274"/>
        <v>0</v>
      </c>
      <c r="L318" s="24" t="s">
        <v>41</v>
      </c>
      <c r="M318" s="7"/>
      <c r="N318" s="8">
        <v>3</v>
      </c>
      <c r="O318" s="9">
        <v>5</v>
      </c>
      <c r="P318" s="43">
        <f t="shared" si="269"/>
        <v>8</v>
      </c>
      <c r="Q318" s="7"/>
      <c r="R318" s="8">
        <v>3</v>
      </c>
      <c r="S318" s="9">
        <v>5</v>
      </c>
      <c r="T318" s="43">
        <f t="shared" si="270"/>
        <v>8</v>
      </c>
      <c r="U318" s="10">
        <f t="shared" si="271"/>
        <v>16</v>
      </c>
      <c r="V318" s="56">
        <v>45582</v>
      </c>
    </row>
    <row r="319" spans="1:23" x14ac:dyDescent="0.15">
      <c r="A319" s="22"/>
      <c r="B319" s="7"/>
      <c r="C319" s="8"/>
      <c r="D319" s="9"/>
      <c r="E319" s="43">
        <f t="shared" si="272"/>
        <v>0</v>
      </c>
      <c r="F319" s="11"/>
      <c r="G319" s="8"/>
      <c r="H319" s="9"/>
      <c r="I319" s="43">
        <f t="shared" si="273"/>
        <v>0</v>
      </c>
      <c r="J319" s="10">
        <f t="shared" si="274"/>
        <v>0</v>
      </c>
      <c r="L319" s="24" t="s">
        <v>42</v>
      </c>
      <c r="M319" s="7">
        <v>2</v>
      </c>
      <c r="N319" s="8"/>
      <c r="O319" s="9"/>
      <c r="P319" s="43">
        <f t="shared" si="269"/>
        <v>2</v>
      </c>
      <c r="Q319" s="7">
        <v>2</v>
      </c>
      <c r="R319" s="8"/>
      <c r="S319" s="9"/>
      <c r="T319" s="43">
        <f t="shared" si="270"/>
        <v>2</v>
      </c>
      <c r="U319" s="10">
        <f t="shared" si="271"/>
        <v>4</v>
      </c>
      <c r="V319" s="56">
        <v>45583</v>
      </c>
    </row>
    <row r="320" spans="1:23" x14ac:dyDescent="0.15">
      <c r="A320" s="22"/>
      <c r="B320" s="7"/>
      <c r="C320" s="8"/>
      <c r="D320" s="9"/>
      <c r="E320" s="43">
        <f t="shared" si="272"/>
        <v>0</v>
      </c>
      <c r="F320" s="11"/>
      <c r="G320" s="8"/>
      <c r="H320" s="9"/>
      <c r="I320" s="43">
        <f t="shared" si="273"/>
        <v>0</v>
      </c>
      <c r="J320" s="10">
        <f t="shared" si="274"/>
        <v>0</v>
      </c>
      <c r="L320" s="24" t="s">
        <v>43</v>
      </c>
      <c r="M320" s="7">
        <v>3</v>
      </c>
      <c r="N320" s="8">
        <v>3</v>
      </c>
      <c r="O320" s="9"/>
      <c r="P320" s="43">
        <f t="shared" si="269"/>
        <v>6</v>
      </c>
      <c r="Q320" s="7">
        <v>3</v>
      </c>
      <c r="R320" s="8">
        <v>3</v>
      </c>
      <c r="S320" s="9"/>
      <c r="T320" s="43">
        <f t="shared" si="270"/>
        <v>6</v>
      </c>
      <c r="U320" s="10">
        <f t="shared" si="271"/>
        <v>12</v>
      </c>
      <c r="V320" s="56">
        <v>45583</v>
      </c>
    </row>
    <row r="321" spans="1:23" x14ac:dyDescent="0.15">
      <c r="A321" s="22"/>
      <c r="B321" s="7"/>
      <c r="C321" s="8"/>
      <c r="D321" s="9"/>
      <c r="E321" s="43">
        <f t="shared" si="272"/>
        <v>0</v>
      </c>
      <c r="F321" s="11"/>
      <c r="G321" s="8"/>
      <c r="H321" s="9"/>
      <c r="I321" s="43">
        <f t="shared" si="273"/>
        <v>0</v>
      </c>
      <c r="J321" s="10">
        <f t="shared" si="274"/>
        <v>0</v>
      </c>
      <c r="L321" s="24" t="s">
        <v>44</v>
      </c>
      <c r="M321" s="7">
        <v>4</v>
      </c>
      <c r="N321" s="8">
        <v>2</v>
      </c>
      <c r="O321" s="9">
        <v>1</v>
      </c>
      <c r="P321" s="43">
        <f t="shared" si="269"/>
        <v>7</v>
      </c>
      <c r="Q321" s="7">
        <v>4</v>
      </c>
      <c r="R321" s="8">
        <v>2</v>
      </c>
      <c r="S321" s="9">
        <v>1</v>
      </c>
      <c r="T321" s="43">
        <f t="shared" si="270"/>
        <v>7</v>
      </c>
      <c r="U321" s="10">
        <f t="shared" si="271"/>
        <v>14</v>
      </c>
      <c r="V321" s="56">
        <v>45586</v>
      </c>
    </row>
    <row r="322" spans="1:23" x14ac:dyDescent="0.15">
      <c r="A322" s="22"/>
      <c r="B322" s="7"/>
      <c r="C322" s="8"/>
      <c r="D322" s="9"/>
      <c r="E322" s="43">
        <f t="shared" si="272"/>
        <v>0</v>
      </c>
      <c r="F322" s="11"/>
      <c r="G322" s="8"/>
      <c r="H322" s="9"/>
      <c r="I322" s="43">
        <f t="shared" si="273"/>
        <v>0</v>
      </c>
      <c r="J322" s="10">
        <f t="shared" si="274"/>
        <v>0</v>
      </c>
      <c r="L322" s="24" t="s">
        <v>45</v>
      </c>
      <c r="M322" s="7">
        <v>1</v>
      </c>
      <c r="N322" s="8"/>
      <c r="O322" s="9">
        <v>8</v>
      </c>
      <c r="P322" s="43">
        <f t="shared" si="269"/>
        <v>9</v>
      </c>
      <c r="Q322" s="7">
        <v>1</v>
      </c>
      <c r="R322" s="8"/>
      <c r="S322" s="9">
        <v>8</v>
      </c>
      <c r="T322" s="43">
        <f t="shared" si="270"/>
        <v>9</v>
      </c>
      <c r="U322" s="10">
        <f t="shared" si="271"/>
        <v>18</v>
      </c>
      <c r="V322" s="56">
        <v>45588</v>
      </c>
    </row>
    <row r="323" spans="1:23" x14ac:dyDescent="0.15">
      <c r="A323" s="22"/>
      <c r="B323" s="7"/>
      <c r="C323" s="8"/>
      <c r="D323" s="9"/>
      <c r="E323" s="43">
        <f t="shared" si="272"/>
        <v>0</v>
      </c>
      <c r="F323" s="11"/>
      <c r="G323" s="8"/>
      <c r="H323" s="9"/>
      <c r="I323" s="43">
        <f t="shared" si="273"/>
        <v>0</v>
      </c>
      <c r="J323" s="10">
        <f t="shared" si="274"/>
        <v>0</v>
      </c>
      <c r="L323" s="24" t="s">
        <v>47</v>
      </c>
      <c r="M323" s="7">
        <v>2</v>
      </c>
      <c r="N323" s="8">
        <v>1</v>
      </c>
      <c r="O323" s="9">
        <v>3</v>
      </c>
      <c r="P323" s="43">
        <f t="shared" si="269"/>
        <v>6</v>
      </c>
      <c r="Q323" s="7">
        <v>2</v>
      </c>
      <c r="R323" s="8">
        <v>1</v>
      </c>
      <c r="S323" s="9">
        <v>3</v>
      </c>
      <c r="T323" s="43">
        <f t="shared" si="270"/>
        <v>6</v>
      </c>
      <c r="U323" s="10">
        <f t="shared" si="271"/>
        <v>12</v>
      </c>
      <c r="V323" s="56">
        <v>45589</v>
      </c>
      <c r="W323" s="61"/>
    </row>
    <row r="324" spans="1:23" x14ac:dyDescent="0.15">
      <c r="A324" s="22"/>
      <c r="B324" s="12"/>
      <c r="C324" s="13"/>
      <c r="D324" s="14"/>
      <c r="E324" s="43">
        <f t="shared" si="272"/>
        <v>0</v>
      </c>
      <c r="F324" s="15"/>
      <c r="G324" s="13"/>
      <c r="H324" s="14"/>
      <c r="I324" s="43">
        <f t="shared" si="273"/>
        <v>0</v>
      </c>
      <c r="J324" s="10">
        <f t="shared" si="274"/>
        <v>0</v>
      </c>
      <c r="L324" s="24" t="s">
        <v>49</v>
      </c>
      <c r="M324" s="7"/>
      <c r="N324" s="8">
        <v>2</v>
      </c>
      <c r="O324" s="9"/>
      <c r="P324" s="43">
        <f t="shared" si="269"/>
        <v>2</v>
      </c>
      <c r="Q324" s="7"/>
      <c r="R324" s="8">
        <v>2</v>
      </c>
      <c r="S324" s="9"/>
      <c r="T324" s="43">
        <f t="shared" si="270"/>
        <v>2</v>
      </c>
      <c r="U324" s="10">
        <f t="shared" si="271"/>
        <v>4</v>
      </c>
      <c r="V324" s="56">
        <v>45590</v>
      </c>
      <c r="W324" s="61"/>
    </row>
    <row r="325" spans="1:23" x14ac:dyDescent="0.15">
      <c r="A325" s="22"/>
      <c r="B325" s="7"/>
      <c r="C325" s="8"/>
      <c r="D325" s="9"/>
      <c r="E325" s="43">
        <f t="shared" si="272"/>
        <v>0</v>
      </c>
      <c r="F325" s="11"/>
      <c r="G325" s="8"/>
      <c r="H325" s="9"/>
      <c r="I325" s="43">
        <f t="shared" si="273"/>
        <v>0</v>
      </c>
      <c r="J325" s="10">
        <f t="shared" si="274"/>
        <v>0</v>
      </c>
      <c r="L325" s="24" t="s">
        <v>52</v>
      </c>
      <c r="M325" s="7"/>
      <c r="N325" s="8">
        <v>2</v>
      </c>
      <c r="O325" s="9">
        <v>1</v>
      </c>
      <c r="P325" s="43">
        <f t="shared" si="269"/>
        <v>3</v>
      </c>
      <c r="Q325" s="7"/>
      <c r="R325" s="8">
        <v>2</v>
      </c>
      <c r="S325" s="9">
        <v>1</v>
      </c>
      <c r="T325" s="43">
        <f t="shared" si="270"/>
        <v>3</v>
      </c>
      <c r="U325" s="10">
        <f t="shared" si="271"/>
        <v>6</v>
      </c>
      <c r="V325" s="56">
        <v>45590</v>
      </c>
      <c r="W325" s="61"/>
    </row>
    <row r="326" spans="1:23" x14ac:dyDescent="0.15">
      <c r="A326" s="22"/>
      <c r="B326" s="7"/>
      <c r="C326" s="8"/>
      <c r="D326" s="9"/>
      <c r="E326" s="43">
        <f t="shared" si="272"/>
        <v>0</v>
      </c>
      <c r="F326" s="11"/>
      <c r="G326" s="8"/>
      <c r="H326" s="9"/>
      <c r="I326" s="43">
        <f t="shared" si="273"/>
        <v>0</v>
      </c>
      <c r="J326" s="10">
        <f t="shared" si="274"/>
        <v>0</v>
      </c>
      <c r="L326" s="24" t="s">
        <v>53</v>
      </c>
      <c r="M326" s="7"/>
      <c r="N326" s="8">
        <v>3</v>
      </c>
      <c r="O326" s="9">
        <v>1</v>
      </c>
      <c r="P326" s="43">
        <f t="shared" si="269"/>
        <v>4</v>
      </c>
      <c r="Q326" s="7"/>
      <c r="R326" s="8">
        <v>3</v>
      </c>
      <c r="S326" s="9">
        <v>1</v>
      </c>
      <c r="T326" s="43">
        <f t="shared" si="270"/>
        <v>4</v>
      </c>
      <c r="U326" s="10">
        <f t="shared" si="271"/>
        <v>8</v>
      </c>
      <c r="V326" s="56">
        <v>45593</v>
      </c>
      <c r="W326" s="61"/>
    </row>
    <row r="327" spans="1:23" x14ac:dyDescent="0.15">
      <c r="A327" s="22"/>
      <c r="B327" s="7"/>
      <c r="C327" s="8"/>
      <c r="D327" s="9"/>
      <c r="E327" s="43">
        <f t="shared" si="272"/>
        <v>0</v>
      </c>
      <c r="F327" s="11"/>
      <c r="G327" s="8"/>
      <c r="H327" s="9"/>
      <c r="I327" s="43">
        <f t="shared" si="273"/>
        <v>0</v>
      </c>
      <c r="J327" s="10">
        <f t="shared" si="274"/>
        <v>0</v>
      </c>
      <c r="L327" s="24" t="s">
        <v>55</v>
      </c>
      <c r="M327" s="7">
        <v>4</v>
      </c>
      <c r="N327" s="8">
        <v>7</v>
      </c>
      <c r="O327" s="9">
        <v>1</v>
      </c>
      <c r="P327" s="43">
        <f t="shared" si="269"/>
        <v>12</v>
      </c>
      <c r="Q327" s="7">
        <v>4</v>
      </c>
      <c r="R327" s="8">
        <v>7</v>
      </c>
      <c r="S327" s="9">
        <v>1</v>
      </c>
      <c r="T327" s="43">
        <f t="shared" si="270"/>
        <v>12</v>
      </c>
      <c r="U327" s="10">
        <f t="shared" si="271"/>
        <v>24</v>
      </c>
      <c r="V327" s="56">
        <v>45595</v>
      </c>
      <c r="W327" s="61"/>
    </row>
    <row r="328" spans="1:23" x14ac:dyDescent="0.15">
      <c r="A328" s="22"/>
      <c r="B328" s="7"/>
      <c r="C328" s="8"/>
      <c r="D328" s="9"/>
      <c r="E328" s="43">
        <f t="shared" si="272"/>
        <v>0</v>
      </c>
      <c r="F328" s="11"/>
      <c r="G328" s="8"/>
      <c r="H328" s="9"/>
      <c r="I328" s="43">
        <f t="shared" si="273"/>
        <v>0</v>
      </c>
      <c r="J328" s="10">
        <f t="shared" si="274"/>
        <v>0</v>
      </c>
      <c r="L328" s="24" t="s">
        <v>56</v>
      </c>
      <c r="M328" s="7"/>
      <c r="N328" s="8"/>
      <c r="O328" s="9">
        <v>3</v>
      </c>
      <c r="P328" s="43">
        <f t="shared" si="269"/>
        <v>3</v>
      </c>
      <c r="Q328" s="7"/>
      <c r="R328" s="8"/>
      <c r="S328" s="9">
        <v>3</v>
      </c>
      <c r="T328" s="43">
        <f t="shared" si="270"/>
        <v>3</v>
      </c>
      <c r="U328" s="10">
        <f t="shared" si="271"/>
        <v>6</v>
      </c>
      <c r="V328" s="56">
        <v>45596</v>
      </c>
      <c r="W328" s="61"/>
    </row>
    <row r="329" spans="1:23" x14ac:dyDescent="0.15">
      <c r="A329" s="22"/>
      <c r="B329" s="7"/>
      <c r="C329" s="8"/>
      <c r="D329" s="9"/>
      <c r="E329" s="43">
        <f t="shared" si="272"/>
        <v>0</v>
      </c>
      <c r="F329" s="11"/>
      <c r="G329" s="8"/>
      <c r="H329" s="9"/>
      <c r="I329" s="43">
        <f t="shared" si="273"/>
        <v>0</v>
      </c>
      <c r="J329" s="10">
        <f t="shared" si="274"/>
        <v>0</v>
      </c>
      <c r="L329" s="24"/>
      <c r="M329" s="7"/>
      <c r="N329" s="8"/>
      <c r="O329" s="9"/>
      <c r="P329" s="43">
        <f t="shared" si="269"/>
        <v>0</v>
      </c>
      <c r="Q329" s="7"/>
      <c r="R329" s="8"/>
      <c r="S329" s="9"/>
      <c r="T329" s="43">
        <f t="shared" si="270"/>
        <v>0</v>
      </c>
      <c r="U329" s="10">
        <f t="shared" si="271"/>
        <v>0</v>
      </c>
      <c r="V329" s="61"/>
      <c r="W329" s="61"/>
    </row>
    <row r="330" spans="1:23" x14ac:dyDescent="0.15">
      <c r="A330" s="22"/>
      <c r="B330" s="7"/>
      <c r="C330" s="8"/>
      <c r="D330" s="9"/>
      <c r="E330" s="43">
        <f t="shared" si="272"/>
        <v>0</v>
      </c>
      <c r="F330" s="11"/>
      <c r="G330" s="8"/>
      <c r="H330" s="9"/>
      <c r="I330" s="43">
        <f t="shared" si="273"/>
        <v>0</v>
      </c>
      <c r="J330" s="10">
        <f t="shared" si="274"/>
        <v>0</v>
      </c>
      <c r="L330" s="24"/>
      <c r="M330" s="7"/>
      <c r="N330" s="8"/>
      <c r="O330" s="9"/>
      <c r="P330" s="43">
        <f t="shared" si="269"/>
        <v>0</v>
      </c>
      <c r="Q330" s="7"/>
      <c r="R330" s="8"/>
      <c r="S330" s="9"/>
      <c r="T330" s="43">
        <f t="shared" si="270"/>
        <v>0</v>
      </c>
      <c r="U330" s="10">
        <f t="shared" si="271"/>
        <v>0</v>
      </c>
      <c r="V330" s="61"/>
      <c r="W330" s="61"/>
    </row>
    <row r="331" spans="1:23" x14ac:dyDescent="0.15">
      <c r="A331" s="24"/>
      <c r="B331" s="7"/>
      <c r="C331" s="8"/>
      <c r="D331" s="9"/>
      <c r="E331" s="43">
        <f t="shared" si="272"/>
        <v>0</v>
      </c>
      <c r="F331" s="11"/>
      <c r="G331" s="8"/>
      <c r="H331" s="9"/>
      <c r="I331" s="43">
        <f t="shared" si="273"/>
        <v>0</v>
      </c>
      <c r="J331" s="10">
        <f t="shared" si="274"/>
        <v>0</v>
      </c>
      <c r="L331" s="24"/>
      <c r="M331" s="7"/>
      <c r="N331" s="8"/>
      <c r="O331" s="9"/>
      <c r="P331" s="43">
        <f t="shared" si="269"/>
        <v>0</v>
      </c>
      <c r="Q331" s="7"/>
      <c r="R331" s="8"/>
      <c r="S331" s="9"/>
      <c r="T331" s="43">
        <f t="shared" si="270"/>
        <v>0</v>
      </c>
      <c r="U331" s="10">
        <f t="shared" si="271"/>
        <v>0</v>
      </c>
    </row>
    <row r="332" spans="1:23" x14ac:dyDescent="0.15">
      <c r="A332" s="22"/>
      <c r="B332" s="7"/>
      <c r="C332" s="8"/>
      <c r="D332" s="9"/>
      <c r="E332" s="43">
        <f t="shared" si="272"/>
        <v>0</v>
      </c>
      <c r="F332" s="11"/>
      <c r="G332" s="8"/>
      <c r="H332" s="9"/>
      <c r="I332" s="43">
        <f t="shared" si="273"/>
        <v>0</v>
      </c>
      <c r="J332" s="10">
        <f t="shared" si="274"/>
        <v>0</v>
      </c>
      <c r="L332" s="24"/>
      <c r="M332" s="7"/>
      <c r="N332" s="8"/>
      <c r="O332" s="9"/>
      <c r="P332" s="43">
        <f t="shared" si="269"/>
        <v>0</v>
      </c>
      <c r="Q332" s="7"/>
      <c r="R332" s="8"/>
      <c r="S332" s="9"/>
      <c r="T332" s="43">
        <f t="shared" si="270"/>
        <v>0</v>
      </c>
      <c r="U332" s="10">
        <f t="shared" si="271"/>
        <v>0</v>
      </c>
    </row>
    <row r="333" spans="1:23" x14ac:dyDescent="0.15">
      <c r="A333" s="23"/>
      <c r="B333" s="7"/>
      <c r="C333" s="8"/>
      <c r="D333" s="9"/>
      <c r="E333" s="43">
        <f t="shared" si="272"/>
        <v>0</v>
      </c>
      <c r="F333" s="11"/>
      <c r="G333" s="8"/>
      <c r="H333" s="9"/>
      <c r="I333" s="43">
        <f t="shared" si="273"/>
        <v>0</v>
      </c>
      <c r="J333" s="10">
        <f t="shared" si="274"/>
        <v>0</v>
      </c>
      <c r="L333" s="24"/>
      <c r="M333" s="7"/>
      <c r="N333" s="8"/>
      <c r="O333" s="9"/>
      <c r="P333" s="43">
        <f t="shared" si="269"/>
        <v>0</v>
      </c>
      <c r="Q333" s="7"/>
      <c r="R333" s="8"/>
      <c r="S333" s="9"/>
      <c r="T333" s="43">
        <f t="shared" si="270"/>
        <v>0</v>
      </c>
      <c r="U333" s="10">
        <f t="shared" si="271"/>
        <v>0</v>
      </c>
    </row>
    <row r="334" spans="1:23" x14ac:dyDescent="0.15">
      <c r="A334" s="22"/>
      <c r="B334" s="7"/>
      <c r="C334" s="8"/>
      <c r="D334" s="9"/>
      <c r="E334" s="43">
        <f t="shared" si="272"/>
        <v>0</v>
      </c>
      <c r="F334" s="11"/>
      <c r="G334" s="8"/>
      <c r="H334" s="9"/>
      <c r="I334" s="43">
        <f t="shared" si="273"/>
        <v>0</v>
      </c>
      <c r="J334" s="10">
        <f t="shared" si="274"/>
        <v>0</v>
      </c>
      <c r="L334" s="24"/>
      <c r="M334" s="7"/>
      <c r="N334" s="8"/>
      <c r="O334" s="9"/>
      <c r="P334" s="43">
        <f t="shared" si="269"/>
        <v>0</v>
      </c>
      <c r="Q334" s="7"/>
      <c r="R334" s="8"/>
      <c r="S334" s="9"/>
      <c r="T334" s="43">
        <f t="shared" si="270"/>
        <v>0</v>
      </c>
      <c r="U334" s="10">
        <f t="shared" si="271"/>
        <v>0</v>
      </c>
    </row>
    <row r="335" spans="1:23" x14ac:dyDescent="0.15">
      <c r="A335" s="24"/>
      <c r="B335" s="7"/>
      <c r="C335" s="8"/>
      <c r="D335" s="9"/>
      <c r="E335" s="43">
        <f t="shared" si="272"/>
        <v>0</v>
      </c>
      <c r="F335" s="11"/>
      <c r="G335" s="8"/>
      <c r="H335" s="9"/>
      <c r="I335" s="43">
        <f t="shared" si="273"/>
        <v>0</v>
      </c>
      <c r="J335" s="10">
        <f t="shared" si="274"/>
        <v>0</v>
      </c>
      <c r="L335" s="24"/>
      <c r="M335" s="7"/>
      <c r="N335" s="8"/>
      <c r="O335" s="9"/>
      <c r="P335" s="43">
        <f t="shared" ref="P335:P338" si="275">SUM(M335:O335)</f>
        <v>0</v>
      </c>
      <c r="Q335" s="7"/>
      <c r="R335" s="8"/>
      <c r="S335" s="9"/>
      <c r="T335" s="43">
        <f t="shared" ref="T335:T338" si="276">SUM(Q335:S335)</f>
        <v>0</v>
      </c>
      <c r="U335" s="10">
        <f t="shared" ref="U335:U338" si="277">P335+T335</f>
        <v>0</v>
      </c>
    </row>
    <row r="336" spans="1:23" x14ac:dyDescent="0.15">
      <c r="A336" s="22"/>
      <c r="B336" s="12"/>
      <c r="C336" s="13"/>
      <c r="D336" s="14"/>
      <c r="E336" s="43">
        <f t="shared" si="272"/>
        <v>0</v>
      </c>
      <c r="F336" s="15"/>
      <c r="G336" s="13"/>
      <c r="H336" s="14"/>
      <c r="I336" s="43">
        <f t="shared" si="273"/>
        <v>0</v>
      </c>
      <c r="J336" s="10">
        <f t="shared" si="274"/>
        <v>0</v>
      </c>
      <c r="L336" s="24"/>
      <c r="M336" s="7"/>
      <c r="N336" s="8"/>
      <c r="O336" s="9"/>
      <c r="P336" s="43">
        <f t="shared" si="275"/>
        <v>0</v>
      </c>
      <c r="Q336" s="7"/>
      <c r="R336" s="8"/>
      <c r="S336" s="9"/>
      <c r="T336" s="43">
        <f t="shared" si="276"/>
        <v>0</v>
      </c>
      <c r="U336" s="10">
        <f t="shared" si="277"/>
        <v>0</v>
      </c>
    </row>
    <row r="337" spans="1:22" x14ac:dyDescent="0.15">
      <c r="A337" s="22"/>
      <c r="B337" s="7"/>
      <c r="C337" s="8"/>
      <c r="D337" s="9"/>
      <c r="E337" s="43">
        <f t="shared" si="272"/>
        <v>0</v>
      </c>
      <c r="F337" s="11"/>
      <c r="G337" s="8"/>
      <c r="H337" s="9"/>
      <c r="I337" s="43">
        <f t="shared" si="273"/>
        <v>0</v>
      </c>
      <c r="J337" s="10">
        <f t="shared" si="274"/>
        <v>0</v>
      </c>
      <c r="L337" s="24"/>
      <c r="M337" s="7"/>
      <c r="N337" s="8"/>
      <c r="O337" s="9"/>
      <c r="P337" s="43">
        <f t="shared" si="275"/>
        <v>0</v>
      </c>
      <c r="Q337" s="7"/>
      <c r="R337" s="8"/>
      <c r="S337" s="9"/>
      <c r="T337" s="43">
        <f t="shared" si="276"/>
        <v>0</v>
      </c>
      <c r="U337" s="10">
        <f t="shared" si="277"/>
        <v>0</v>
      </c>
    </row>
    <row r="338" spans="1:22" x14ac:dyDescent="0.15">
      <c r="A338" s="22"/>
      <c r="B338" s="7"/>
      <c r="C338" s="8"/>
      <c r="D338" s="9"/>
      <c r="E338" s="43">
        <f t="shared" si="272"/>
        <v>0</v>
      </c>
      <c r="F338" s="11"/>
      <c r="G338" s="8"/>
      <c r="H338" s="9"/>
      <c r="I338" s="43">
        <f t="shared" si="273"/>
        <v>0</v>
      </c>
      <c r="J338" s="10">
        <f t="shared" si="274"/>
        <v>0</v>
      </c>
      <c r="L338" s="24"/>
      <c r="M338" s="7"/>
      <c r="N338" s="8"/>
      <c r="O338" s="9"/>
      <c r="P338" s="43">
        <f t="shared" si="275"/>
        <v>0</v>
      </c>
      <c r="Q338" s="7"/>
      <c r="R338" s="8"/>
      <c r="S338" s="9"/>
      <c r="T338" s="43">
        <f t="shared" si="276"/>
        <v>0</v>
      </c>
      <c r="U338" s="10">
        <f t="shared" si="277"/>
        <v>0</v>
      </c>
    </row>
    <row r="339" spans="1:22" x14ac:dyDescent="0.15">
      <c r="A339" s="22"/>
      <c r="B339" s="7"/>
      <c r="C339" s="8"/>
      <c r="D339" s="9"/>
      <c r="E339" s="43">
        <f t="shared" si="272"/>
        <v>0</v>
      </c>
      <c r="F339" s="11"/>
      <c r="G339" s="8"/>
      <c r="H339" s="9"/>
      <c r="I339" s="43">
        <f t="shared" si="273"/>
        <v>0</v>
      </c>
      <c r="J339" s="10">
        <f t="shared" si="274"/>
        <v>0</v>
      </c>
      <c r="L339" s="24" t="s">
        <v>326</v>
      </c>
      <c r="M339" s="7"/>
      <c r="N339" s="8"/>
      <c r="O339" s="9"/>
      <c r="P339" s="43">
        <f t="shared" ref="P339:P340" si="278">SUM(M339:O339)</f>
        <v>0</v>
      </c>
      <c r="Q339" s="7"/>
      <c r="R339" s="8"/>
      <c r="S339" s="9"/>
      <c r="T339" s="43">
        <f t="shared" ref="T339:T340" si="279">SUM(Q339:S339)</f>
        <v>0</v>
      </c>
      <c r="U339" s="10">
        <f t="shared" ref="U339:U340" si="280">P339+T339</f>
        <v>0</v>
      </c>
      <c r="V339" s="61" t="s">
        <v>327</v>
      </c>
    </row>
    <row r="340" spans="1:22" ht="14.25" thickBot="1" x14ac:dyDescent="0.2">
      <c r="A340" s="22"/>
      <c r="B340" s="7"/>
      <c r="C340" s="8"/>
      <c r="D340" s="9"/>
      <c r="E340" s="43">
        <f t="shared" si="272"/>
        <v>0</v>
      </c>
      <c r="F340" s="11"/>
      <c r="G340" s="8"/>
      <c r="H340" s="9"/>
      <c r="I340" s="43">
        <f t="shared" si="273"/>
        <v>0</v>
      </c>
      <c r="J340" s="10">
        <f t="shared" si="274"/>
        <v>0</v>
      </c>
      <c r="L340" s="24" t="s">
        <v>323</v>
      </c>
      <c r="M340" s="7"/>
      <c r="N340" s="8"/>
      <c r="O340" s="9"/>
      <c r="P340" s="43">
        <f t="shared" si="278"/>
        <v>0</v>
      </c>
      <c r="Q340" s="7"/>
      <c r="R340" s="8"/>
      <c r="S340" s="9"/>
      <c r="T340" s="43">
        <f t="shared" si="279"/>
        <v>0</v>
      </c>
      <c r="U340" s="10">
        <f t="shared" si="280"/>
        <v>0</v>
      </c>
      <c r="V340" s="61" t="s">
        <v>324</v>
      </c>
    </row>
    <row r="341" spans="1:22" ht="14.25" thickBot="1" x14ac:dyDescent="0.2">
      <c r="A341" s="35" t="s">
        <v>17</v>
      </c>
      <c r="B341" s="40">
        <f>SUM(B315:B340)</f>
        <v>2</v>
      </c>
      <c r="C341" s="41">
        <f t="shared" ref="C341:D341" si="281">SUM(C315:C340)</f>
        <v>0</v>
      </c>
      <c r="D341" s="52">
        <f t="shared" si="281"/>
        <v>1</v>
      </c>
      <c r="E341" s="39">
        <f t="shared" si="272"/>
        <v>3</v>
      </c>
      <c r="F341" s="40">
        <f>SUM(F315:F340)</f>
        <v>2</v>
      </c>
      <c r="G341" s="41">
        <f t="shared" ref="G341:H341" si="282">SUM(G315:G340)</f>
        <v>0</v>
      </c>
      <c r="H341" s="52">
        <f t="shared" si="282"/>
        <v>1</v>
      </c>
      <c r="I341" s="39">
        <f t="shared" si="273"/>
        <v>3</v>
      </c>
      <c r="J341" s="39">
        <f>E341+I341</f>
        <v>6</v>
      </c>
      <c r="L341" s="35" t="s">
        <v>17</v>
      </c>
      <c r="M341" s="40">
        <f>SUM(M315:M340)</f>
        <v>41</v>
      </c>
      <c r="N341" s="41">
        <f t="shared" ref="N341:O341" si="283">SUM(N315:N340)</f>
        <v>58</v>
      </c>
      <c r="O341" s="52">
        <f t="shared" si="283"/>
        <v>60</v>
      </c>
      <c r="P341" s="39">
        <f t="shared" si="269"/>
        <v>159</v>
      </c>
      <c r="Q341" s="40">
        <f>SUM(Q315:Q340)</f>
        <v>41</v>
      </c>
      <c r="R341" s="41">
        <f t="shared" ref="R341:S341" si="284">SUM(R315:R340)</f>
        <v>58</v>
      </c>
      <c r="S341" s="52">
        <f t="shared" si="284"/>
        <v>60</v>
      </c>
      <c r="T341" s="39">
        <f t="shared" si="270"/>
        <v>159</v>
      </c>
      <c r="U341" s="39">
        <f>P341+T341</f>
        <v>318</v>
      </c>
    </row>
    <row r="342" spans="1:22" ht="14.25" thickBot="1" x14ac:dyDescent="0.2">
      <c r="A342" s="21" t="s">
        <v>16</v>
      </c>
      <c r="B342" s="44">
        <f>B314-B341</f>
        <v>4</v>
      </c>
      <c r="C342" s="50">
        <f t="shared" ref="C342:D342" si="285">C314-C341</f>
        <v>3</v>
      </c>
      <c r="D342" s="51">
        <f t="shared" si="285"/>
        <v>3</v>
      </c>
      <c r="E342" s="49">
        <f>SUM(B342:D342)</f>
        <v>10</v>
      </c>
      <c r="F342" s="44">
        <f>F314-F341</f>
        <v>5</v>
      </c>
      <c r="G342" s="50">
        <f t="shared" ref="G342:H342" si="286">G314-G341</f>
        <v>3</v>
      </c>
      <c r="H342" s="51">
        <f t="shared" si="286"/>
        <v>2</v>
      </c>
      <c r="I342" s="49">
        <f>SUM(F342:H342)</f>
        <v>10</v>
      </c>
      <c r="J342" s="28">
        <f>E342+I342</f>
        <v>20</v>
      </c>
      <c r="L342" s="21" t="s">
        <v>16</v>
      </c>
      <c r="M342" s="44">
        <f>M314-M341</f>
        <v>174</v>
      </c>
      <c r="N342" s="50">
        <f t="shared" ref="N342:O342" si="287">N314-N341</f>
        <v>238</v>
      </c>
      <c r="O342" s="51">
        <f t="shared" si="287"/>
        <v>179</v>
      </c>
      <c r="P342" s="49">
        <f>SUM(M342:O342)</f>
        <v>591</v>
      </c>
      <c r="Q342" s="44">
        <f>Q314-Q341</f>
        <v>174</v>
      </c>
      <c r="R342" s="50">
        <f t="shared" ref="R342:S342" si="288">R314-R341</f>
        <v>238</v>
      </c>
      <c r="S342" s="51">
        <f t="shared" si="288"/>
        <v>179</v>
      </c>
      <c r="T342" s="49">
        <f>SUM(Q342:S342)</f>
        <v>591</v>
      </c>
      <c r="U342" s="28">
        <f>P342+T342</f>
        <v>1182</v>
      </c>
    </row>
    <row r="343" spans="1:22" x14ac:dyDescent="0.15">
      <c r="M343" s="88">
        <f>M342/$P$342*100</f>
        <v>29.441624365482234</v>
      </c>
      <c r="N343" s="88">
        <f t="shared" ref="N343:P343" si="289">N342/$P$342*100</f>
        <v>40.270727580372252</v>
      </c>
      <c r="O343" s="88">
        <f t="shared" si="289"/>
        <v>30.287648054145517</v>
      </c>
      <c r="P343" s="88">
        <f t="shared" si="289"/>
        <v>100</v>
      </c>
    </row>
    <row r="344" spans="1:22" x14ac:dyDescent="0.15">
      <c r="M344" s="97">
        <v>28.3</v>
      </c>
      <c r="N344" s="97">
        <v>40.799999999999997</v>
      </c>
      <c r="O344" s="97">
        <v>30.9</v>
      </c>
      <c r="P344" s="89">
        <v>100</v>
      </c>
    </row>
    <row r="345" spans="1:22" ht="19.5" thickBot="1" x14ac:dyDescent="0.25">
      <c r="A345" s="84" t="s">
        <v>31</v>
      </c>
      <c r="B345" s="85"/>
      <c r="C345" s="85"/>
      <c r="D345" s="85"/>
      <c r="E345" s="85"/>
      <c r="F345" s="85"/>
      <c r="G345" s="85"/>
      <c r="H345" s="85"/>
      <c r="I345" s="85"/>
      <c r="J345" s="85"/>
      <c r="L345" s="82" t="s">
        <v>32</v>
      </c>
      <c r="M345" s="83"/>
      <c r="N345" s="83"/>
      <c r="O345" s="83"/>
      <c r="P345" s="83"/>
      <c r="Q345" s="83"/>
      <c r="R345" s="83"/>
      <c r="S345" s="83"/>
      <c r="T345" s="83"/>
      <c r="U345" s="83">
        <v>1040</v>
      </c>
    </row>
    <row r="346" spans="1:22" ht="14.25" thickBot="1" x14ac:dyDescent="0.2">
      <c r="A346" s="6"/>
      <c r="B346" s="159" t="s">
        <v>33</v>
      </c>
      <c r="C346" s="160"/>
      <c r="D346" s="160"/>
      <c r="E346" s="161"/>
      <c r="F346" s="159" t="s">
        <v>22</v>
      </c>
      <c r="G346" s="160"/>
      <c r="H346" s="160"/>
      <c r="I346" s="162"/>
      <c r="J346" s="157" t="s">
        <v>0</v>
      </c>
      <c r="L346" s="6"/>
      <c r="M346" s="159" t="s">
        <v>33</v>
      </c>
      <c r="N346" s="160"/>
      <c r="O346" s="160"/>
      <c r="P346" s="161"/>
      <c r="Q346" s="146" t="s">
        <v>22</v>
      </c>
      <c r="R346" s="147"/>
      <c r="S346" s="147"/>
      <c r="T346" s="148"/>
      <c r="U346" s="157" t="s">
        <v>0</v>
      </c>
    </row>
    <row r="347" spans="1:22" ht="14.25" thickBot="1" x14ac:dyDescent="0.2">
      <c r="A347" s="6" t="s">
        <v>1</v>
      </c>
      <c r="B347" s="3" t="s">
        <v>2</v>
      </c>
      <c r="C347" s="4" t="s">
        <v>3</v>
      </c>
      <c r="D347" s="5" t="s">
        <v>4</v>
      </c>
      <c r="E347" s="6" t="s">
        <v>5</v>
      </c>
      <c r="F347" s="3" t="s">
        <v>2</v>
      </c>
      <c r="G347" s="4" t="s">
        <v>3</v>
      </c>
      <c r="H347" s="5" t="s">
        <v>4</v>
      </c>
      <c r="I347" s="6" t="s">
        <v>5</v>
      </c>
      <c r="J347" s="158"/>
      <c r="L347" s="6" t="s">
        <v>1</v>
      </c>
      <c r="M347" s="3" t="s">
        <v>2</v>
      </c>
      <c r="N347" s="4" t="s">
        <v>3</v>
      </c>
      <c r="O347" s="5" t="s">
        <v>4</v>
      </c>
      <c r="P347" s="6" t="s">
        <v>5</v>
      </c>
      <c r="Q347" s="3" t="s">
        <v>2</v>
      </c>
      <c r="R347" s="4" t="s">
        <v>3</v>
      </c>
      <c r="S347" s="5" t="s">
        <v>4</v>
      </c>
      <c r="T347" s="6" t="s">
        <v>5</v>
      </c>
      <c r="U347" s="158"/>
    </row>
    <row r="348" spans="1:22" ht="14.25" thickBot="1" x14ac:dyDescent="0.2">
      <c r="A348" s="66" t="s">
        <v>6</v>
      </c>
      <c r="B348" s="25">
        <f>B342</f>
        <v>4</v>
      </c>
      <c r="C348" s="26">
        <f>C342</f>
        <v>3</v>
      </c>
      <c r="D348" s="27">
        <f>D342</f>
        <v>3</v>
      </c>
      <c r="E348" s="28">
        <f>SUM(B348:D348)</f>
        <v>10</v>
      </c>
      <c r="F348" s="25">
        <f>F342</f>
        <v>5</v>
      </c>
      <c r="G348" s="26">
        <f>G342</f>
        <v>3</v>
      </c>
      <c r="H348" s="27">
        <f>H342</f>
        <v>2</v>
      </c>
      <c r="I348" s="28">
        <f>SUM(F348:H348)</f>
        <v>10</v>
      </c>
      <c r="J348" s="28">
        <f>E348+I348</f>
        <v>20</v>
      </c>
      <c r="L348" s="66" t="s">
        <v>6</v>
      </c>
      <c r="M348" s="25">
        <f>M342</f>
        <v>174</v>
      </c>
      <c r="N348" s="26">
        <f>N342</f>
        <v>238</v>
      </c>
      <c r="O348" s="27">
        <f>O342</f>
        <v>179</v>
      </c>
      <c r="P348" s="28">
        <f>SUM(M348:O348)</f>
        <v>591</v>
      </c>
      <c r="Q348" s="25">
        <f>Q342</f>
        <v>174</v>
      </c>
      <c r="R348" s="26">
        <f>R342</f>
        <v>238</v>
      </c>
      <c r="S348" s="27">
        <f>S342</f>
        <v>179</v>
      </c>
      <c r="T348" s="28">
        <f>SUM(Q348:S348)</f>
        <v>591</v>
      </c>
      <c r="U348" s="28">
        <f>P348+T348</f>
        <v>1182</v>
      </c>
    </row>
    <row r="349" spans="1:22" x14ac:dyDescent="0.15">
      <c r="A349" s="23" t="s">
        <v>77</v>
      </c>
      <c r="B349" s="7">
        <v>1</v>
      </c>
      <c r="C349" s="8"/>
      <c r="D349" s="46">
        <v>1</v>
      </c>
      <c r="E349" s="10">
        <f t="shared" ref="E349:E356" si="290">SUM(B349:D349)</f>
        <v>2</v>
      </c>
      <c r="F349" s="11">
        <v>1</v>
      </c>
      <c r="G349" s="8"/>
      <c r="H349" s="9">
        <v>1</v>
      </c>
      <c r="I349" s="10">
        <f t="shared" ref="I349:I356" si="291">SUM(F349:H349)</f>
        <v>2</v>
      </c>
      <c r="J349" s="10">
        <f t="shared" ref="J349:J356" si="292">E349+I349</f>
        <v>4</v>
      </c>
      <c r="K349" s="58">
        <v>45610</v>
      </c>
      <c r="L349" s="23" t="s">
        <v>7</v>
      </c>
      <c r="M349" s="7"/>
      <c r="N349" s="8"/>
      <c r="O349" s="46"/>
      <c r="P349" s="10">
        <f t="shared" ref="P349:P353" si="293">SUM(M349:O349)</f>
        <v>0</v>
      </c>
      <c r="Q349" s="11"/>
      <c r="R349" s="8"/>
      <c r="S349" s="9"/>
      <c r="T349" s="10">
        <f t="shared" ref="T349:T353" si="294">SUM(Q349:S349)</f>
        <v>0</v>
      </c>
      <c r="U349" s="10">
        <f t="shared" ref="U349:U353" si="295">P349+T349</f>
        <v>0</v>
      </c>
    </row>
    <row r="350" spans="1:22" x14ac:dyDescent="0.15">
      <c r="A350" s="23" t="s">
        <v>20</v>
      </c>
      <c r="B350" s="7"/>
      <c r="C350" s="8"/>
      <c r="D350" s="46"/>
      <c r="E350" s="10">
        <f t="shared" si="290"/>
        <v>0</v>
      </c>
      <c r="F350" s="11"/>
      <c r="G350" s="8"/>
      <c r="H350" s="9"/>
      <c r="I350" s="10">
        <f t="shared" si="291"/>
        <v>0</v>
      </c>
      <c r="J350" s="10">
        <f t="shared" si="292"/>
        <v>0</v>
      </c>
      <c r="L350" s="23" t="s">
        <v>8</v>
      </c>
      <c r="M350" s="7"/>
      <c r="N350" s="8"/>
      <c r="O350" s="46"/>
      <c r="P350" s="10">
        <f t="shared" si="293"/>
        <v>0</v>
      </c>
      <c r="Q350" s="11"/>
      <c r="R350" s="8"/>
      <c r="S350" s="9"/>
      <c r="T350" s="10">
        <f t="shared" si="294"/>
        <v>0</v>
      </c>
      <c r="U350" s="10">
        <f t="shared" si="295"/>
        <v>0</v>
      </c>
      <c r="V350" s="58"/>
    </row>
    <row r="351" spans="1:22" x14ac:dyDescent="0.15">
      <c r="A351" s="23" t="s">
        <v>20</v>
      </c>
      <c r="B351" s="7"/>
      <c r="C351" s="8"/>
      <c r="D351" s="46"/>
      <c r="E351" s="10">
        <f t="shared" si="290"/>
        <v>0</v>
      </c>
      <c r="F351" s="11"/>
      <c r="G351" s="8"/>
      <c r="H351" s="9"/>
      <c r="I351" s="10">
        <f t="shared" si="291"/>
        <v>0</v>
      </c>
      <c r="J351" s="10">
        <f t="shared" si="292"/>
        <v>0</v>
      </c>
      <c r="L351" s="23" t="s">
        <v>9</v>
      </c>
      <c r="M351" s="7"/>
      <c r="N351" s="8"/>
      <c r="O351" s="46"/>
      <c r="P351" s="10">
        <f t="shared" ref="P351:P352" si="296">SUM(M351:O351)</f>
        <v>0</v>
      </c>
      <c r="Q351" s="11"/>
      <c r="R351" s="8"/>
      <c r="S351" s="9"/>
      <c r="T351" s="10">
        <f t="shared" ref="T351:T352" si="297">SUM(Q351:S351)</f>
        <v>0</v>
      </c>
      <c r="U351" s="10">
        <f t="shared" ref="U351:U352" si="298">P351+T351</f>
        <v>0</v>
      </c>
    </row>
    <row r="352" spans="1:22" x14ac:dyDescent="0.15">
      <c r="A352" s="23" t="s">
        <v>20</v>
      </c>
      <c r="B352" s="7"/>
      <c r="C352" s="8"/>
      <c r="D352" s="46"/>
      <c r="E352" s="10">
        <f t="shared" si="290"/>
        <v>0</v>
      </c>
      <c r="F352" s="11"/>
      <c r="G352" s="8"/>
      <c r="H352" s="9"/>
      <c r="I352" s="10">
        <f t="shared" si="291"/>
        <v>0</v>
      </c>
      <c r="J352" s="10">
        <f t="shared" si="292"/>
        <v>0</v>
      </c>
      <c r="L352" s="23" t="s">
        <v>10</v>
      </c>
      <c r="M352" s="7"/>
      <c r="N352" s="8"/>
      <c r="O352" s="46"/>
      <c r="P352" s="10">
        <f t="shared" si="296"/>
        <v>0</v>
      </c>
      <c r="Q352" s="11"/>
      <c r="R352" s="8"/>
      <c r="S352" s="9"/>
      <c r="T352" s="10">
        <f t="shared" si="297"/>
        <v>0</v>
      </c>
      <c r="U352" s="10">
        <f t="shared" si="298"/>
        <v>0</v>
      </c>
      <c r="V352" s="58"/>
    </row>
    <row r="353" spans="1:23" x14ac:dyDescent="0.15">
      <c r="A353" s="23" t="s">
        <v>20</v>
      </c>
      <c r="B353" s="7"/>
      <c r="C353" s="8"/>
      <c r="D353" s="46"/>
      <c r="E353" s="10">
        <f t="shared" si="290"/>
        <v>0</v>
      </c>
      <c r="F353" s="11"/>
      <c r="G353" s="8"/>
      <c r="H353" s="9"/>
      <c r="I353" s="10">
        <f t="shared" si="291"/>
        <v>0</v>
      </c>
      <c r="J353" s="10">
        <f t="shared" si="292"/>
        <v>0</v>
      </c>
      <c r="L353" s="23" t="s">
        <v>11</v>
      </c>
      <c r="M353" s="7"/>
      <c r="N353" s="8"/>
      <c r="O353" s="46"/>
      <c r="P353" s="10">
        <f t="shared" si="293"/>
        <v>0</v>
      </c>
      <c r="Q353" s="11"/>
      <c r="R353" s="8"/>
      <c r="S353" s="9"/>
      <c r="T353" s="10">
        <f t="shared" si="294"/>
        <v>0</v>
      </c>
      <c r="U353" s="10">
        <f t="shared" si="295"/>
        <v>0</v>
      </c>
    </row>
    <row r="354" spans="1:23" x14ac:dyDescent="0.15">
      <c r="A354" s="23" t="s">
        <v>20</v>
      </c>
      <c r="B354" s="7"/>
      <c r="C354" s="8"/>
      <c r="D354" s="46"/>
      <c r="E354" s="10">
        <f t="shared" si="290"/>
        <v>0</v>
      </c>
      <c r="F354" s="11"/>
      <c r="G354" s="8"/>
      <c r="H354" s="9"/>
      <c r="I354" s="10">
        <f t="shared" si="291"/>
        <v>0</v>
      </c>
      <c r="J354" s="10">
        <f t="shared" si="292"/>
        <v>0</v>
      </c>
      <c r="L354" s="23" t="s">
        <v>12</v>
      </c>
      <c r="M354" s="16"/>
      <c r="N354" s="17"/>
      <c r="O354" s="45"/>
      <c r="P354" s="43">
        <f>SUM(M354:O354)</f>
        <v>0</v>
      </c>
      <c r="Q354" s="19"/>
      <c r="R354" s="17"/>
      <c r="S354" s="18"/>
      <c r="T354" s="43">
        <f>SUM(Q354:S354)</f>
        <v>0</v>
      </c>
      <c r="U354" s="43">
        <f>P354+T354</f>
        <v>0</v>
      </c>
    </row>
    <row r="355" spans="1:23" x14ac:dyDescent="0.15">
      <c r="A355" s="23" t="s">
        <v>20</v>
      </c>
      <c r="B355" s="12"/>
      <c r="C355" s="13"/>
      <c r="D355" s="47"/>
      <c r="E355" s="10">
        <f t="shared" si="290"/>
        <v>0</v>
      </c>
      <c r="F355" s="15"/>
      <c r="G355" s="13"/>
      <c r="H355" s="14"/>
      <c r="I355" s="10">
        <f t="shared" si="291"/>
        <v>0</v>
      </c>
      <c r="J355" s="10">
        <f t="shared" si="292"/>
        <v>0</v>
      </c>
      <c r="L355" s="23" t="s">
        <v>13</v>
      </c>
      <c r="M355" s="16"/>
      <c r="N355" s="17"/>
      <c r="O355" s="45"/>
      <c r="P355" s="43">
        <f>SUM(M355:O355)</f>
        <v>0</v>
      </c>
      <c r="Q355" s="19"/>
      <c r="R355" s="17"/>
      <c r="S355" s="18"/>
      <c r="T355" s="43">
        <f>SUM(Q355:S355)</f>
        <v>0</v>
      </c>
      <c r="U355" s="43">
        <f>P355+T355</f>
        <v>0</v>
      </c>
    </row>
    <row r="356" spans="1:23" ht="14.25" thickBot="1" x14ac:dyDescent="0.2">
      <c r="A356" s="23" t="s">
        <v>20</v>
      </c>
      <c r="B356" s="29"/>
      <c r="C356" s="30"/>
      <c r="D356" s="48"/>
      <c r="E356" s="55">
        <f t="shared" si="290"/>
        <v>0</v>
      </c>
      <c r="F356" s="31"/>
      <c r="G356" s="31"/>
      <c r="H356" s="33"/>
      <c r="I356" s="55">
        <f t="shared" si="291"/>
        <v>0</v>
      </c>
      <c r="J356" s="20">
        <f t="shared" si="292"/>
        <v>0</v>
      </c>
      <c r="L356" s="23" t="s">
        <v>14</v>
      </c>
      <c r="M356" s="12"/>
      <c r="N356" s="13"/>
      <c r="O356" s="47"/>
      <c r="P356" s="10">
        <f t="shared" ref="P356" si="299">SUM(M356:O356)</f>
        <v>0</v>
      </c>
      <c r="Q356" s="15"/>
      <c r="R356" s="13"/>
      <c r="S356" s="14"/>
      <c r="T356" s="10">
        <f t="shared" ref="T356" si="300">SUM(Q356:S356)</f>
        <v>0</v>
      </c>
      <c r="U356" s="10">
        <f t="shared" ref="U356" si="301">P356+T356</f>
        <v>0</v>
      </c>
    </row>
    <row r="357" spans="1:23" ht="14.25" thickBot="1" x14ac:dyDescent="0.2">
      <c r="A357" s="32" t="s">
        <v>15</v>
      </c>
      <c r="B357" s="25">
        <f>SUM(B348:B356)</f>
        <v>5</v>
      </c>
      <c r="C357" s="26">
        <f>SUM(C348:C356)</f>
        <v>3</v>
      </c>
      <c r="D357" s="27">
        <f>SUM(D348:D356)</f>
        <v>4</v>
      </c>
      <c r="E357" s="28">
        <f>SUM(B357:D357)</f>
        <v>12</v>
      </c>
      <c r="F357" s="25">
        <f>SUM(F348:F356)</f>
        <v>6</v>
      </c>
      <c r="G357" s="26">
        <f>SUM(G348:G356)</f>
        <v>3</v>
      </c>
      <c r="H357" s="27">
        <f>SUM(H348:H356)</f>
        <v>3</v>
      </c>
      <c r="I357" s="28">
        <f>SUM(F357:H357)</f>
        <v>12</v>
      </c>
      <c r="J357" s="28">
        <f>E357+I357</f>
        <v>24</v>
      </c>
      <c r="L357" s="32" t="s">
        <v>15</v>
      </c>
      <c r="M357" s="25">
        <f>SUM(M348:M356)</f>
        <v>174</v>
      </c>
      <c r="N357" s="26">
        <f>SUM(N348:N356)</f>
        <v>238</v>
      </c>
      <c r="O357" s="27">
        <f>SUM(O348:O356)</f>
        <v>179</v>
      </c>
      <c r="P357" s="28">
        <f>SUM(M357:O357)</f>
        <v>591</v>
      </c>
      <c r="Q357" s="25">
        <f>SUM(Q348:Q356)</f>
        <v>174</v>
      </c>
      <c r="R357" s="26">
        <f>SUM(R348:R356)</f>
        <v>238</v>
      </c>
      <c r="S357" s="27">
        <f>SUM(S348:S356)</f>
        <v>179</v>
      </c>
      <c r="T357" s="28">
        <f>SUM(Q357:S357)</f>
        <v>591</v>
      </c>
      <c r="U357" s="28">
        <f>P357+T357</f>
        <v>1182</v>
      </c>
    </row>
    <row r="358" spans="1:23" x14ac:dyDescent="0.15">
      <c r="A358" s="22"/>
      <c r="B358" s="7"/>
      <c r="C358" s="8"/>
      <c r="D358" s="9"/>
      <c r="E358" s="43">
        <f t="shared" ref="E358:E384" si="302">SUM(B358:D358)</f>
        <v>0</v>
      </c>
      <c r="F358" s="11"/>
      <c r="G358" s="8"/>
      <c r="H358" s="9"/>
      <c r="I358" s="43">
        <f t="shared" ref="I358:I384" si="303">SUM(F358:H358)</f>
        <v>0</v>
      </c>
      <c r="J358" s="10">
        <f t="shared" ref="J358:J383" si="304">E358+I358</f>
        <v>0</v>
      </c>
      <c r="L358" s="24" t="s">
        <v>211</v>
      </c>
      <c r="M358" s="7">
        <v>10</v>
      </c>
      <c r="N358" s="8">
        <v>10</v>
      </c>
      <c r="O358" s="9"/>
      <c r="P358" s="43">
        <f t="shared" ref="P358:P368" si="305">SUM(M358:O358)</f>
        <v>20</v>
      </c>
      <c r="Q358" s="7">
        <v>10</v>
      </c>
      <c r="R358" s="8">
        <v>10</v>
      </c>
      <c r="S358" s="9"/>
      <c r="T358" s="43">
        <f t="shared" ref="T358:T368" si="306">SUM(Q358:S358)</f>
        <v>20</v>
      </c>
      <c r="U358" s="10">
        <f t="shared" ref="U358:U368" si="307">P358+T358</f>
        <v>40</v>
      </c>
      <c r="V358" s="56">
        <v>45597</v>
      </c>
    </row>
    <row r="359" spans="1:23" x14ac:dyDescent="0.15">
      <c r="A359" s="22"/>
      <c r="B359" s="7"/>
      <c r="C359" s="8"/>
      <c r="D359" s="9"/>
      <c r="E359" s="43">
        <f t="shared" si="302"/>
        <v>0</v>
      </c>
      <c r="F359" s="11"/>
      <c r="G359" s="8"/>
      <c r="H359" s="9"/>
      <c r="I359" s="43">
        <f t="shared" si="303"/>
        <v>0</v>
      </c>
      <c r="J359" s="10">
        <f t="shared" si="304"/>
        <v>0</v>
      </c>
      <c r="L359" s="24" t="s">
        <v>58</v>
      </c>
      <c r="M359" s="7">
        <v>1</v>
      </c>
      <c r="N359" s="8">
        <v>1</v>
      </c>
      <c r="O359" s="9">
        <v>1</v>
      </c>
      <c r="P359" s="43">
        <f t="shared" si="305"/>
        <v>3</v>
      </c>
      <c r="Q359" s="7">
        <v>1</v>
      </c>
      <c r="R359" s="8">
        <v>1</v>
      </c>
      <c r="S359" s="9">
        <v>1</v>
      </c>
      <c r="T359" s="43">
        <f t="shared" si="306"/>
        <v>3</v>
      </c>
      <c r="U359" s="10">
        <f t="shared" si="307"/>
        <v>6</v>
      </c>
      <c r="V359" s="56">
        <v>45601</v>
      </c>
    </row>
    <row r="360" spans="1:23" x14ac:dyDescent="0.15">
      <c r="A360" s="22"/>
      <c r="B360" s="7"/>
      <c r="C360" s="8"/>
      <c r="D360" s="9"/>
      <c r="E360" s="43">
        <f t="shared" si="302"/>
        <v>0</v>
      </c>
      <c r="F360" s="11"/>
      <c r="G360" s="8"/>
      <c r="H360" s="9"/>
      <c r="I360" s="43">
        <f t="shared" si="303"/>
        <v>0</v>
      </c>
      <c r="J360" s="10">
        <f t="shared" si="304"/>
        <v>0</v>
      </c>
      <c r="L360" s="24" t="s">
        <v>61</v>
      </c>
      <c r="M360" s="7">
        <v>2</v>
      </c>
      <c r="N360" s="8"/>
      <c r="O360" s="9"/>
      <c r="P360" s="43">
        <f t="shared" si="305"/>
        <v>2</v>
      </c>
      <c r="Q360" s="7">
        <v>2</v>
      </c>
      <c r="R360" s="8"/>
      <c r="S360" s="9"/>
      <c r="T360" s="43">
        <f t="shared" si="306"/>
        <v>2</v>
      </c>
      <c r="U360" s="10">
        <f t="shared" si="307"/>
        <v>4</v>
      </c>
      <c r="V360" s="56">
        <v>45603</v>
      </c>
      <c r="W360" s="61"/>
    </row>
    <row r="361" spans="1:23" x14ac:dyDescent="0.15">
      <c r="A361" s="22"/>
      <c r="B361" s="7"/>
      <c r="C361" s="8"/>
      <c r="D361" s="9"/>
      <c r="E361" s="43">
        <f t="shared" si="302"/>
        <v>0</v>
      </c>
      <c r="F361" s="11"/>
      <c r="G361" s="8"/>
      <c r="H361" s="9"/>
      <c r="I361" s="43">
        <f t="shared" si="303"/>
        <v>0</v>
      </c>
      <c r="J361" s="10">
        <f t="shared" si="304"/>
        <v>0</v>
      </c>
      <c r="L361" s="24" t="s">
        <v>63</v>
      </c>
      <c r="M361" s="7">
        <v>1</v>
      </c>
      <c r="N361" s="8">
        <v>2</v>
      </c>
      <c r="O361" s="9">
        <v>3</v>
      </c>
      <c r="P361" s="43">
        <f t="shared" si="305"/>
        <v>6</v>
      </c>
      <c r="Q361" s="7">
        <v>1</v>
      </c>
      <c r="R361" s="8">
        <v>2</v>
      </c>
      <c r="S361" s="9">
        <v>3</v>
      </c>
      <c r="T361" s="43">
        <f t="shared" si="306"/>
        <v>6</v>
      </c>
      <c r="U361" s="10">
        <f t="shared" si="307"/>
        <v>12</v>
      </c>
      <c r="V361" s="56">
        <v>45604</v>
      </c>
      <c r="W361" s="61"/>
    </row>
    <row r="362" spans="1:23" x14ac:dyDescent="0.15">
      <c r="A362" s="22"/>
      <c r="B362" s="7"/>
      <c r="C362" s="8"/>
      <c r="D362" s="9"/>
      <c r="E362" s="43">
        <f t="shared" si="302"/>
        <v>0</v>
      </c>
      <c r="F362" s="11"/>
      <c r="G362" s="8"/>
      <c r="H362" s="9"/>
      <c r="I362" s="43">
        <f t="shared" si="303"/>
        <v>0</v>
      </c>
      <c r="J362" s="10">
        <f t="shared" si="304"/>
        <v>0</v>
      </c>
      <c r="L362" s="24" t="s">
        <v>65</v>
      </c>
      <c r="M362" s="7">
        <v>1</v>
      </c>
      <c r="N362" s="8">
        <v>2</v>
      </c>
      <c r="O362" s="9">
        <v>3</v>
      </c>
      <c r="P362" s="43">
        <f t="shared" si="305"/>
        <v>6</v>
      </c>
      <c r="Q362" s="7">
        <v>1</v>
      </c>
      <c r="R362" s="8">
        <v>2</v>
      </c>
      <c r="S362" s="9">
        <v>3</v>
      </c>
      <c r="T362" s="43">
        <f t="shared" si="306"/>
        <v>6</v>
      </c>
      <c r="U362" s="10">
        <f t="shared" si="307"/>
        <v>12</v>
      </c>
      <c r="V362" s="56">
        <v>45604</v>
      </c>
      <c r="W362" s="61"/>
    </row>
    <row r="363" spans="1:23" x14ac:dyDescent="0.15">
      <c r="A363" s="22"/>
      <c r="B363" s="7"/>
      <c r="C363" s="8"/>
      <c r="D363" s="9"/>
      <c r="E363" s="43">
        <f t="shared" si="302"/>
        <v>0</v>
      </c>
      <c r="F363" s="11"/>
      <c r="G363" s="8"/>
      <c r="H363" s="9"/>
      <c r="I363" s="43">
        <f t="shared" si="303"/>
        <v>0</v>
      </c>
      <c r="J363" s="10">
        <f t="shared" si="304"/>
        <v>0</v>
      </c>
      <c r="L363" s="24" t="s">
        <v>67</v>
      </c>
      <c r="M363" s="7"/>
      <c r="N363" s="8">
        <v>4</v>
      </c>
      <c r="O363" s="9">
        <v>2</v>
      </c>
      <c r="P363" s="43">
        <f t="shared" si="305"/>
        <v>6</v>
      </c>
      <c r="Q363" s="7"/>
      <c r="R363" s="8">
        <v>4</v>
      </c>
      <c r="S363" s="9">
        <v>2</v>
      </c>
      <c r="T363" s="43">
        <f t="shared" si="306"/>
        <v>6</v>
      </c>
      <c r="U363" s="10">
        <f t="shared" si="307"/>
        <v>12</v>
      </c>
      <c r="V363" s="56">
        <v>45607</v>
      </c>
      <c r="W363" s="61"/>
    </row>
    <row r="364" spans="1:23" x14ac:dyDescent="0.15">
      <c r="A364" s="22"/>
      <c r="B364" s="7"/>
      <c r="C364" s="8"/>
      <c r="D364" s="9"/>
      <c r="E364" s="43">
        <f t="shared" si="302"/>
        <v>0</v>
      </c>
      <c r="F364" s="11"/>
      <c r="G364" s="8"/>
      <c r="H364" s="9"/>
      <c r="I364" s="43">
        <f t="shared" si="303"/>
        <v>0</v>
      </c>
      <c r="J364" s="10">
        <f t="shared" si="304"/>
        <v>0</v>
      </c>
      <c r="L364" s="24" t="s">
        <v>214</v>
      </c>
      <c r="M364" s="7">
        <v>10</v>
      </c>
      <c r="N364" s="8"/>
      <c r="O364" s="9">
        <v>5</v>
      </c>
      <c r="P364" s="43">
        <f t="shared" si="305"/>
        <v>15</v>
      </c>
      <c r="Q364" s="7">
        <v>10</v>
      </c>
      <c r="R364" s="8"/>
      <c r="S364" s="9">
        <v>5</v>
      </c>
      <c r="T364" s="43">
        <f t="shared" si="306"/>
        <v>15</v>
      </c>
      <c r="U364" s="10">
        <f t="shared" si="307"/>
        <v>30</v>
      </c>
      <c r="V364" s="56">
        <v>45605</v>
      </c>
      <c r="W364" s="61"/>
    </row>
    <row r="365" spans="1:23" x14ac:dyDescent="0.15">
      <c r="A365" s="22"/>
      <c r="B365" s="7"/>
      <c r="C365" s="8"/>
      <c r="D365" s="9"/>
      <c r="E365" s="43">
        <f t="shared" si="302"/>
        <v>0</v>
      </c>
      <c r="F365" s="11"/>
      <c r="G365" s="8"/>
      <c r="H365" s="9"/>
      <c r="I365" s="43">
        <f t="shared" si="303"/>
        <v>0</v>
      </c>
      <c r="J365" s="10">
        <f t="shared" si="304"/>
        <v>0</v>
      </c>
      <c r="L365" s="24" t="s">
        <v>69</v>
      </c>
      <c r="M365" s="7">
        <v>1</v>
      </c>
      <c r="N365" s="8">
        <v>3</v>
      </c>
      <c r="O365" s="9">
        <v>1</v>
      </c>
      <c r="P365" s="43">
        <f t="shared" si="305"/>
        <v>5</v>
      </c>
      <c r="Q365" s="7">
        <v>1</v>
      </c>
      <c r="R365" s="8">
        <v>3</v>
      </c>
      <c r="S365" s="9">
        <v>1</v>
      </c>
      <c r="T365" s="43">
        <f t="shared" si="306"/>
        <v>5</v>
      </c>
      <c r="U365" s="10">
        <f t="shared" si="307"/>
        <v>10</v>
      </c>
      <c r="V365" s="56">
        <v>45610</v>
      </c>
      <c r="W365" s="61"/>
    </row>
    <row r="366" spans="1:23" x14ac:dyDescent="0.15">
      <c r="A366" s="22"/>
      <c r="B366" s="7"/>
      <c r="C366" s="8"/>
      <c r="D366" s="9"/>
      <c r="E366" s="43">
        <f t="shared" si="302"/>
        <v>0</v>
      </c>
      <c r="F366" s="11"/>
      <c r="G366" s="8"/>
      <c r="H366" s="9"/>
      <c r="I366" s="43">
        <f t="shared" si="303"/>
        <v>0</v>
      </c>
      <c r="J366" s="10">
        <f t="shared" si="304"/>
        <v>0</v>
      </c>
      <c r="L366" s="24" t="s">
        <v>223</v>
      </c>
      <c r="M366" s="7">
        <v>5</v>
      </c>
      <c r="N366" s="8">
        <v>5</v>
      </c>
      <c r="O366" s="9">
        <v>5</v>
      </c>
      <c r="P366" s="43">
        <f t="shared" si="305"/>
        <v>15</v>
      </c>
      <c r="Q366" s="7">
        <v>5</v>
      </c>
      <c r="R366" s="8">
        <v>5</v>
      </c>
      <c r="S366" s="9">
        <v>5</v>
      </c>
      <c r="T366" s="43">
        <f t="shared" si="306"/>
        <v>15</v>
      </c>
      <c r="U366" s="10">
        <f t="shared" si="307"/>
        <v>30</v>
      </c>
      <c r="V366" s="56">
        <v>45609</v>
      </c>
      <c r="W366" s="61"/>
    </row>
    <row r="367" spans="1:23" x14ac:dyDescent="0.15">
      <c r="A367" s="22"/>
      <c r="B367" s="12"/>
      <c r="C367" s="13"/>
      <c r="D367" s="14"/>
      <c r="E367" s="43">
        <f t="shared" si="302"/>
        <v>0</v>
      </c>
      <c r="F367" s="15"/>
      <c r="G367" s="13"/>
      <c r="H367" s="14"/>
      <c r="I367" s="43">
        <f t="shared" si="303"/>
        <v>0</v>
      </c>
      <c r="J367" s="10">
        <f t="shared" si="304"/>
        <v>0</v>
      </c>
      <c r="L367" s="24" t="s">
        <v>72</v>
      </c>
      <c r="M367" s="7"/>
      <c r="N367" s="8">
        <v>3</v>
      </c>
      <c r="O367" s="9">
        <v>7</v>
      </c>
      <c r="P367" s="43">
        <f t="shared" si="305"/>
        <v>10</v>
      </c>
      <c r="Q367" s="7"/>
      <c r="R367" s="8">
        <v>3</v>
      </c>
      <c r="S367" s="9">
        <v>7</v>
      </c>
      <c r="T367" s="43">
        <f t="shared" si="306"/>
        <v>10</v>
      </c>
      <c r="U367" s="10">
        <f t="shared" si="307"/>
        <v>20</v>
      </c>
      <c r="V367" s="56">
        <v>45611</v>
      </c>
      <c r="W367" s="61"/>
    </row>
    <row r="368" spans="1:23" x14ac:dyDescent="0.15">
      <c r="A368" s="22"/>
      <c r="B368" s="7"/>
      <c r="C368" s="8"/>
      <c r="D368" s="9"/>
      <c r="E368" s="43">
        <f t="shared" si="302"/>
        <v>0</v>
      </c>
      <c r="F368" s="11"/>
      <c r="G368" s="8"/>
      <c r="H368" s="9"/>
      <c r="I368" s="43">
        <f t="shared" si="303"/>
        <v>0</v>
      </c>
      <c r="J368" s="10">
        <f t="shared" si="304"/>
        <v>0</v>
      </c>
      <c r="L368" s="24" t="s">
        <v>76</v>
      </c>
      <c r="M368" s="7">
        <v>1</v>
      </c>
      <c r="N368" s="8">
        <v>6</v>
      </c>
      <c r="O368" s="9">
        <v>4</v>
      </c>
      <c r="P368" s="43">
        <f t="shared" si="305"/>
        <v>11</v>
      </c>
      <c r="Q368" s="7">
        <v>1</v>
      </c>
      <c r="R368" s="8">
        <v>6</v>
      </c>
      <c r="S368" s="9">
        <v>4</v>
      </c>
      <c r="T368" s="43">
        <f t="shared" si="306"/>
        <v>11</v>
      </c>
      <c r="U368" s="10">
        <f t="shared" si="307"/>
        <v>22</v>
      </c>
      <c r="V368" s="56">
        <v>45611</v>
      </c>
      <c r="W368" s="61"/>
    </row>
    <row r="369" spans="1:23" x14ac:dyDescent="0.15">
      <c r="A369" s="22"/>
      <c r="B369" s="7"/>
      <c r="C369" s="8"/>
      <c r="D369" s="9"/>
      <c r="E369" s="43">
        <f t="shared" si="302"/>
        <v>0</v>
      </c>
      <c r="F369" s="11"/>
      <c r="G369" s="8"/>
      <c r="H369" s="9"/>
      <c r="I369" s="43">
        <f t="shared" si="303"/>
        <v>0</v>
      </c>
      <c r="J369" s="10">
        <f t="shared" si="304"/>
        <v>0</v>
      </c>
      <c r="L369" s="24" t="s">
        <v>80</v>
      </c>
      <c r="M369" s="7">
        <v>3</v>
      </c>
      <c r="N369" s="8">
        <v>8</v>
      </c>
      <c r="O369" s="9">
        <v>3</v>
      </c>
      <c r="P369" s="43">
        <f t="shared" ref="P369:P384" si="308">SUM(M369:O369)</f>
        <v>14</v>
      </c>
      <c r="Q369" s="7">
        <v>3</v>
      </c>
      <c r="R369" s="8">
        <v>8</v>
      </c>
      <c r="S369" s="9">
        <v>3</v>
      </c>
      <c r="T369" s="43">
        <f t="shared" ref="T369:T384" si="309">SUM(Q369:S369)</f>
        <v>14</v>
      </c>
      <c r="U369" s="10">
        <f t="shared" ref="U369:U374" si="310">P369+T369</f>
        <v>28</v>
      </c>
      <c r="V369" s="56">
        <v>45614</v>
      </c>
      <c r="W369" s="61"/>
    </row>
    <row r="370" spans="1:23" x14ac:dyDescent="0.15">
      <c r="A370" s="22"/>
      <c r="B370" s="7"/>
      <c r="C370" s="8"/>
      <c r="D370" s="9"/>
      <c r="E370" s="43">
        <f t="shared" si="302"/>
        <v>0</v>
      </c>
      <c r="F370" s="11"/>
      <c r="G370" s="8"/>
      <c r="H370" s="9"/>
      <c r="I370" s="43">
        <f t="shared" si="303"/>
        <v>0</v>
      </c>
      <c r="J370" s="10">
        <f t="shared" si="304"/>
        <v>0</v>
      </c>
      <c r="L370" s="24" t="s">
        <v>226</v>
      </c>
      <c r="M370" s="7"/>
      <c r="N370" s="8">
        <v>10</v>
      </c>
      <c r="O370" s="9">
        <v>10</v>
      </c>
      <c r="P370" s="43">
        <f t="shared" si="308"/>
        <v>20</v>
      </c>
      <c r="Q370" s="7"/>
      <c r="R370" s="8">
        <v>10</v>
      </c>
      <c r="S370" s="9">
        <v>10</v>
      </c>
      <c r="T370" s="43">
        <f t="shared" si="309"/>
        <v>20</v>
      </c>
      <c r="U370" s="10">
        <f t="shared" si="310"/>
        <v>40</v>
      </c>
      <c r="V370" s="56">
        <v>45614</v>
      </c>
      <c r="W370" s="61"/>
    </row>
    <row r="371" spans="1:23" x14ac:dyDescent="0.15">
      <c r="A371" s="22"/>
      <c r="B371" s="7"/>
      <c r="C371" s="8"/>
      <c r="D371" s="9"/>
      <c r="E371" s="43">
        <f t="shared" si="302"/>
        <v>0</v>
      </c>
      <c r="F371" s="11"/>
      <c r="G371" s="8"/>
      <c r="H371" s="9"/>
      <c r="I371" s="43">
        <f t="shared" si="303"/>
        <v>0</v>
      </c>
      <c r="J371" s="10">
        <f t="shared" si="304"/>
        <v>0</v>
      </c>
      <c r="L371" s="24" t="s">
        <v>84</v>
      </c>
      <c r="M371" s="7">
        <v>7</v>
      </c>
      <c r="N371" s="8">
        <v>4</v>
      </c>
      <c r="O371" s="9"/>
      <c r="P371" s="43">
        <f t="shared" si="308"/>
        <v>11</v>
      </c>
      <c r="Q371" s="7">
        <v>7</v>
      </c>
      <c r="R371" s="8">
        <v>4</v>
      </c>
      <c r="S371" s="9"/>
      <c r="T371" s="43">
        <f t="shared" si="309"/>
        <v>11</v>
      </c>
      <c r="U371" s="10">
        <f t="shared" si="310"/>
        <v>22</v>
      </c>
      <c r="V371" s="56">
        <v>45616</v>
      </c>
      <c r="W371" s="61"/>
    </row>
    <row r="372" spans="1:23" x14ac:dyDescent="0.15">
      <c r="A372" s="22"/>
      <c r="B372" s="7"/>
      <c r="C372" s="8"/>
      <c r="D372" s="9"/>
      <c r="E372" s="43">
        <f t="shared" si="302"/>
        <v>0</v>
      </c>
      <c r="F372" s="11"/>
      <c r="G372" s="8"/>
      <c r="H372" s="9"/>
      <c r="I372" s="43">
        <f t="shared" si="303"/>
        <v>0</v>
      </c>
      <c r="J372" s="10">
        <f t="shared" si="304"/>
        <v>0</v>
      </c>
      <c r="L372" s="24" t="s">
        <v>85</v>
      </c>
      <c r="M372" s="7">
        <v>1</v>
      </c>
      <c r="N372" s="8"/>
      <c r="O372" s="9">
        <v>1</v>
      </c>
      <c r="P372" s="43">
        <f t="shared" si="308"/>
        <v>2</v>
      </c>
      <c r="Q372" s="7">
        <v>1</v>
      </c>
      <c r="R372" s="8"/>
      <c r="S372" s="9">
        <v>1</v>
      </c>
      <c r="T372" s="43">
        <f t="shared" si="309"/>
        <v>2</v>
      </c>
      <c r="U372" s="10">
        <f t="shared" si="310"/>
        <v>4</v>
      </c>
      <c r="V372" s="56">
        <v>45617</v>
      </c>
      <c r="W372" s="61"/>
    </row>
    <row r="373" spans="1:23" x14ac:dyDescent="0.15">
      <c r="A373" s="22"/>
      <c r="B373" s="7"/>
      <c r="C373" s="8"/>
      <c r="D373" s="9"/>
      <c r="E373" s="43">
        <f t="shared" si="302"/>
        <v>0</v>
      </c>
      <c r="F373" s="11"/>
      <c r="G373" s="8"/>
      <c r="H373" s="9"/>
      <c r="I373" s="43">
        <f t="shared" si="303"/>
        <v>0</v>
      </c>
      <c r="J373" s="10">
        <f t="shared" si="304"/>
        <v>0</v>
      </c>
      <c r="L373" s="24" t="s">
        <v>230</v>
      </c>
      <c r="M373" s="7">
        <v>7</v>
      </c>
      <c r="N373" s="8">
        <v>10</v>
      </c>
      <c r="O373" s="9">
        <v>5</v>
      </c>
      <c r="P373" s="43">
        <f t="shared" si="308"/>
        <v>22</v>
      </c>
      <c r="Q373" s="7">
        <v>7</v>
      </c>
      <c r="R373" s="8">
        <v>10</v>
      </c>
      <c r="S373" s="9">
        <v>5</v>
      </c>
      <c r="T373" s="43">
        <f t="shared" si="309"/>
        <v>22</v>
      </c>
      <c r="U373" s="10">
        <f t="shared" si="310"/>
        <v>44</v>
      </c>
      <c r="V373" s="56">
        <v>45617</v>
      </c>
      <c r="W373" s="61"/>
    </row>
    <row r="374" spans="1:23" x14ac:dyDescent="0.15">
      <c r="A374" s="24"/>
      <c r="B374" s="7"/>
      <c r="C374" s="8"/>
      <c r="D374" s="9"/>
      <c r="E374" s="43">
        <f t="shared" si="302"/>
        <v>0</v>
      </c>
      <c r="F374" s="11"/>
      <c r="G374" s="8"/>
      <c r="H374" s="9"/>
      <c r="I374" s="43">
        <f t="shared" si="303"/>
        <v>0</v>
      </c>
      <c r="J374" s="10">
        <f t="shared" si="304"/>
        <v>0</v>
      </c>
      <c r="L374" s="24" t="s">
        <v>86</v>
      </c>
      <c r="M374" s="7">
        <v>1</v>
      </c>
      <c r="N374" s="8">
        <v>2</v>
      </c>
      <c r="O374" s="9">
        <v>3</v>
      </c>
      <c r="P374" s="43">
        <f t="shared" si="308"/>
        <v>6</v>
      </c>
      <c r="Q374" s="7">
        <v>1</v>
      </c>
      <c r="R374" s="8">
        <v>2</v>
      </c>
      <c r="S374" s="9">
        <v>3</v>
      </c>
      <c r="T374" s="43">
        <f t="shared" si="309"/>
        <v>6</v>
      </c>
      <c r="U374" s="10">
        <f t="shared" si="310"/>
        <v>12</v>
      </c>
      <c r="V374" s="56">
        <v>45618</v>
      </c>
      <c r="W374" s="61"/>
    </row>
    <row r="375" spans="1:23" x14ac:dyDescent="0.15">
      <c r="A375" s="22"/>
      <c r="B375" s="7"/>
      <c r="C375" s="8"/>
      <c r="D375" s="9"/>
      <c r="E375" s="43">
        <f t="shared" si="302"/>
        <v>0</v>
      </c>
      <c r="F375" s="11"/>
      <c r="G375" s="8"/>
      <c r="H375" s="9"/>
      <c r="I375" s="43">
        <f t="shared" si="303"/>
        <v>0</v>
      </c>
      <c r="J375" s="10">
        <f t="shared" si="304"/>
        <v>0</v>
      </c>
      <c r="L375" s="24" t="s">
        <v>89</v>
      </c>
      <c r="M375" s="7">
        <v>3</v>
      </c>
      <c r="N375" s="8">
        <v>3</v>
      </c>
      <c r="O375" s="9">
        <v>2</v>
      </c>
      <c r="P375" s="43">
        <f t="shared" ref="P375:P378" si="311">SUM(M375:O375)</f>
        <v>8</v>
      </c>
      <c r="Q375" s="7">
        <v>3</v>
      </c>
      <c r="R375" s="8">
        <v>3</v>
      </c>
      <c r="S375" s="9">
        <v>2</v>
      </c>
      <c r="T375" s="43">
        <f t="shared" ref="T375:T378" si="312">SUM(Q375:S375)</f>
        <v>8</v>
      </c>
      <c r="U375" s="10">
        <f t="shared" ref="U375:U378" si="313">P375+T375</f>
        <v>16</v>
      </c>
      <c r="V375" s="56">
        <v>45618</v>
      </c>
      <c r="W375" s="61"/>
    </row>
    <row r="376" spans="1:23" x14ac:dyDescent="0.15">
      <c r="A376" s="23"/>
      <c r="B376" s="7"/>
      <c r="C376" s="8"/>
      <c r="D376" s="9"/>
      <c r="E376" s="43">
        <f t="shared" si="302"/>
        <v>0</v>
      </c>
      <c r="F376" s="11"/>
      <c r="G376" s="8"/>
      <c r="H376" s="9"/>
      <c r="I376" s="43">
        <f t="shared" si="303"/>
        <v>0</v>
      </c>
      <c r="J376" s="10">
        <f t="shared" si="304"/>
        <v>0</v>
      </c>
      <c r="L376" s="24" t="s">
        <v>93</v>
      </c>
      <c r="M376" s="7">
        <v>1</v>
      </c>
      <c r="N376" s="8">
        <v>8</v>
      </c>
      <c r="O376" s="9">
        <v>2</v>
      </c>
      <c r="P376" s="43">
        <f t="shared" si="311"/>
        <v>11</v>
      </c>
      <c r="Q376" s="7">
        <v>1</v>
      </c>
      <c r="R376" s="8">
        <v>8</v>
      </c>
      <c r="S376" s="9">
        <v>2</v>
      </c>
      <c r="T376" s="43">
        <f t="shared" si="312"/>
        <v>11</v>
      </c>
      <c r="U376" s="10">
        <f t="shared" si="313"/>
        <v>22</v>
      </c>
      <c r="V376" s="56">
        <v>45621</v>
      </c>
      <c r="W376" s="61"/>
    </row>
    <row r="377" spans="1:23" x14ac:dyDescent="0.15">
      <c r="A377" s="22"/>
      <c r="B377" s="7"/>
      <c r="C377" s="8"/>
      <c r="D377" s="9"/>
      <c r="E377" s="43">
        <f t="shared" si="302"/>
        <v>0</v>
      </c>
      <c r="F377" s="11"/>
      <c r="G377" s="8"/>
      <c r="H377" s="9"/>
      <c r="I377" s="43">
        <f t="shared" si="303"/>
        <v>0</v>
      </c>
      <c r="J377" s="10">
        <f t="shared" si="304"/>
        <v>0</v>
      </c>
      <c r="L377" s="24" t="s">
        <v>98</v>
      </c>
      <c r="M377" s="7"/>
      <c r="N377" s="8">
        <v>4</v>
      </c>
      <c r="O377" s="9">
        <v>5</v>
      </c>
      <c r="P377" s="43">
        <f t="shared" si="311"/>
        <v>9</v>
      </c>
      <c r="Q377" s="7"/>
      <c r="R377" s="8">
        <v>4</v>
      </c>
      <c r="S377" s="9">
        <v>5</v>
      </c>
      <c r="T377" s="43">
        <f t="shared" si="312"/>
        <v>9</v>
      </c>
      <c r="U377" s="10">
        <f t="shared" si="313"/>
        <v>18</v>
      </c>
      <c r="V377" s="56">
        <v>45623</v>
      </c>
    </row>
    <row r="378" spans="1:23" x14ac:dyDescent="0.15">
      <c r="A378" s="24"/>
      <c r="B378" s="7"/>
      <c r="C378" s="8"/>
      <c r="D378" s="9"/>
      <c r="E378" s="43">
        <f t="shared" si="302"/>
        <v>0</v>
      </c>
      <c r="F378" s="11"/>
      <c r="G378" s="8"/>
      <c r="H378" s="9"/>
      <c r="I378" s="43">
        <f t="shared" si="303"/>
        <v>0</v>
      </c>
      <c r="J378" s="10">
        <f t="shared" si="304"/>
        <v>0</v>
      </c>
      <c r="L378" s="24" t="s">
        <v>231</v>
      </c>
      <c r="M378" s="7">
        <v>5</v>
      </c>
      <c r="N378" s="8">
        <v>3</v>
      </c>
      <c r="O378" s="9"/>
      <c r="P378" s="43">
        <f t="shared" si="311"/>
        <v>8</v>
      </c>
      <c r="Q378" s="7">
        <v>5</v>
      </c>
      <c r="R378" s="8">
        <v>3</v>
      </c>
      <c r="S378" s="9"/>
      <c r="T378" s="43">
        <f t="shared" si="312"/>
        <v>8</v>
      </c>
      <c r="U378" s="10">
        <f t="shared" si="313"/>
        <v>16</v>
      </c>
      <c r="V378" s="56">
        <v>45623</v>
      </c>
      <c r="W378" s="61"/>
    </row>
    <row r="379" spans="1:23" x14ac:dyDescent="0.15">
      <c r="A379" s="22"/>
      <c r="B379" s="12"/>
      <c r="C379" s="13"/>
      <c r="D379" s="14"/>
      <c r="E379" s="43">
        <f t="shared" si="302"/>
        <v>0</v>
      </c>
      <c r="F379" s="15"/>
      <c r="G379" s="13"/>
      <c r="H379" s="14"/>
      <c r="I379" s="43">
        <f t="shared" si="303"/>
        <v>0</v>
      </c>
      <c r="J379" s="10">
        <f t="shared" si="304"/>
        <v>0</v>
      </c>
      <c r="L379" s="24"/>
      <c r="M379" s="7"/>
      <c r="N379" s="8"/>
      <c r="O379" s="9"/>
      <c r="P379" s="43">
        <f t="shared" ref="P379" si="314">SUM(M379:O379)</f>
        <v>0</v>
      </c>
      <c r="Q379" s="7"/>
      <c r="R379" s="8"/>
      <c r="S379" s="9"/>
      <c r="T379" s="43">
        <f t="shared" ref="T379" si="315">SUM(Q379:S379)</f>
        <v>0</v>
      </c>
      <c r="U379" s="10">
        <f t="shared" ref="U379" si="316">P379+T379</f>
        <v>0</v>
      </c>
      <c r="V379" s="61"/>
      <c r="W379" s="61"/>
    </row>
    <row r="380" spans="1:23" x14ac:dyDescent="0.15">
      <c r="A380" s="22"/>
      <c r="B380" s="7"/>
      <c r="C380" s="8"/>
      <c r="D380" s="9"/>
      <c r="E380" s="43">
        <f t="shared" si="302"/>
        <v>0</v>
      </c>
      <c r="F380" s="11"/>
      <c r="G380" s="8"/>
      <c r="H380" s="9"/>
      <c r="I380" s="43">
        <f t="shared" si="303"/>
        <v>0</v>
      </c>
      <c r="J380" s="10">
        <f t="shared" si="304"/>
        <v>0</v>
      </c>
      <c r="L380" s="24"/>
      <c r="M380" s="7"/>
      <c r="N380" s="8"/>
      <c r="O380" s="9"/>
      <c r="P380" s="43">
        <f t="shared" si="308"/>
        <v>0</v>
      </c>
      <c r="Q380" s="7"/>
      <c r="R380" s="8"/>
      <c r="S380" s="9"/>
      <c r="T380" s="43">
        <f t="shared" si="309"/>
        <v>0</v>
      </c>
      <c r="U380" s="10">
        <f t="shared" ref="U380" si="317">P380+T380</f>
        <v>0</v>
      </c>
      <c r="V380" s="61"/>
    </row>
    <row r="381" spans="1:23" x14ac:dyDescent="0.15">
      <c r="A381" s="22"/>
      <c r="B381" s="7"/>
      <c r="C381" s="8"/>
      <c r="D381" s="9"/>
      <c r="E381" s="43">
        <f t="shared" si="302"/>
        <v>0</v>
      </c>
      <c r="F381" s="11"/>
      <c r="G381" s="8"/>
      <c r="H381" s="9"/>
      <c r="I381" s="43">
        <f t="shared" si="303"/>
        <v>0</v>
      </c>
      <c r="J381" s="10">
        <f t="shared" si="304"/>
        <v>0</v>
      </c>
      <c r="L381" s="24" t="s">
        <v>331</v>
      </c>
      <c r="M381" s="7"/>
      <c r="N381" s="8"/>
      <c r="O381" s="9"/>
      <c r="P381" s="43">
        <f t="shared" ref="P381:P383" si="318">SUM(M381:O381)</f>
        <v>0</v>
      </c>
      <c r="Q381" s="7"/>
      <c r="R381" s="8"/>
      <c r="S381" s="9"/>
      <c r="T381" s="43">
        <f t="shared" ref="T381:T383" si="319">SUM(Q381:S381)</f>
        <v>0</v>
      </c>
      <c r="U381" s="10">
        <f t="shared" ref="U381:U383" si="320">P381+T381</f>
        <v>0</v>
      </c>
      <c r="V381" s="61" t="s">
        <v>24</v>
      </c>
    </row>
    <row r="382" spans="1:23" x14ac:dyDescent="0.15">
      <c r="A382" s="22"/>
      <c r="B382" s="7"/>
      <c r="C382" s="8"/>
      <c r="D382" s="9"/>
      <c r="E382" s="43">
        <f t="shared" si="302"/>
        <v>0</v>
      </c>
      <c r="F382" s="11"/>
      <c r="G382" s="8"/>
      <c r="H382" s="9"/>
      <c r="I382" s="43">
        <f t="shared" si="303"/>
        <v>0</v>
      </c>
      <c r="J382" s="10">
        <f t="shared" si="304"/>
        <v>0</v>
      </c>
      <c r="L382" s="24" t="s">
        <v>332</v>
      </c>
      <c r="M382" s="7"/>
      <c r="N382" s="8"/>
      <c r="O382" s="9"/>
      <c r="P382" s="43">
        <f t="shared" si="318"/>
        <v>0</v>
      </c>
      <c r="Q382" s="7"/>
      <c r="R382" s="8"/>
      <c r="S382" s="9"/>
      <c r="T382" s="43">
        <f t="shared" si="319"/>
        <v>0</v>
      </c>
      <c r="U382" s="10">
        <f t="shared" si="320"/>
        <v>0</v>
      </c>
      <c r="V382" s="61" t="s">
        <v>181</v>
      </c>
    </row>
    <row r="383" spans="1:23" ht="14.25" thickBot="1" x14ac:dyDescent="0.2">
      <c r="A383" s="22"/>
      <c r="B383" s="7"/>
      <c r="C383" s="8"/>
      <c r="D383" s="9"/>
      <c r="E383" s="43">
        <f t="shared" si="302"/>
        <v>0</v>
      </c>
      <c r="F383" s="11"/>
      <c r="G383" s="8"/>
      <c r="H383" s="9"/>
      <c r="I383" s="43">
        <f t="shared" si="303"/>
        <v>0</v>
      </c>
      <c r="J383" s="10">
        <f t="shared" si="304"/>
        <v>0</v>
      </c>
      <c r="L383" s="24" t="s">
        <v>335</v>
      </c>
      <c r="M383" s="7"/>
      <c r="N383" s="8"/>
      <c r="O383" s="9"/>
      <c r="P383" s="43">
        <f t="shared" si="318"/>
        <v>0</v>
      </c>
      <c r="Q383" s="7"/>
      <c r="R383" s="8"/>
      <c r="S383" s="9"/>
      <c r="T383" s="43">
        <f t="shared" si="319"/>
        <v>0</v>
      </c>
      <c r="U383" s="10">
        <f t="shared" si="320"/>
        <v>0</v>
      </c>
      <c r="V383" s="61" t="s">
        <v>336</v>
      </c>
    </row>
    <row r="384" spans="1:23" ht="14.25" thickBot="1" x14ac:dyDescent="0.2">
      <c r="A384" s="35" t="s">
        <v>17</v>
      </c>
      <c r="B384" s="40">
        <f>SUM(B358:B383)</f>
        <v>0</v>
      </c>
      <c r="C384" s="41">
        <f t="shared" ref="C384:D384" si="321">SUM(C358:C383)</f>
        <v>0</v>
      </c>
      <c r="D384" s="52">
        <f t="shared" si="321"/>
        <v>0</v>
      </c>
      <c r="E384" s="39">
        <f t="shared" si="302"/>
        <v>0</v>
      </c>
      <c r="F384" s="40">
        <f>SUM(F358:F383)</f>
        <v>0</v>
      </c>
      <c r="G384" s="41">
        <f t="shared" ref="G384:H384" si="322">SUM(G358:G383)</f>
        <v>0</v>
      </c>
      <c r="H384" s="52">
        <f t="shared" si="322"/>
        <v>0</v>
      </c>
      <c r="I384" s="39">
        <f t="shared" si="303"/>
        <v>0</v>
      </c>
      <c r="J384" s="39">
        <f>E384+I384</f>
        <v>0</v>
      </c>
      <c r="L384" s="35" t="s">
        <v>17</v>
      </c>
      <c r="M384" s="40">
        <f>SUM(M358:M383)</f>
        <v>60</v>
      </c>
      <c r="N384" s="41">
        <f t="shared" ref="N384:O384" si="323">SUM(N358:N383)</f>
        <v>88</v>
      </c>
      <c r="O384" s="52">
        <f t="shared" si="323"/>
        <v>62</v>
      </c>
      <c r="P384" s="39">
        <f t="shared" si="308"/>
        <v>210</v>
      </c>
      <c r="Q384" s="40">
        <f>SUM(Q358:Q383)</f>
        <v>60</v>
      </c>
      <c r="R384" s="41">
        <f t="shared" ref="R384:S384" si="324">SUM(R358:R383)</f>
        <v>88</v>
      </c>
      <c r="S384" s="52">
        <f t="shared" si="324"/>
        <v>62</v>
      </c>
      <c r="T384" s="39">
        <f t="shared" si="309"/>
        <v>210</v>
      </c>
      <c r="U384" s="39">
        <f>P384+T384</f>
        <v>420</v>
      </c>
    </row>
    <row r="385" spans="1:22" ht="14.25" thickBot="1" x14ac:dyDescent="0.2">
      <c r="A385" s="21" t="s">
        <v>16</v>
      </c>
      <c r="B385" s="44">
        <f>B357-B384</f>
        <v>5</v>
      </c>
      <c r="C385" s="50">
        <f t="shared" ref="C385:D385" si="325">C357-C384</f>
        <v>3</v>
      </c>
      <c r="D385" s="51">
        <f t="shared" si="325"/>
        <v>4</v>
      </c>
      <c r="E385" s="49">
        <f>SUM(B385:D385)</f>
        <v>12</v>
      </c>
      <c r="F385" s="44">
        <f>F357-F384</f>
        <v>6</v>
      </c>
      <c r="G385" s="50">
        <f t="shared" ref="G385:H385" si="326">G357-G384</f>
        <v>3</v>
      </c>
      <c r="H385" s="51">
        <f t="shared" si="326"/>
        <v>3</v>
      </c>
      <c r="I385" s="49">
        <f>SUM(F385:H385)</f>
        <v>12</v>
      </c>
      <c r="J385" s="28">
        <f>E385+I385</f>
        <v>24</v>
      </c>
      <c r="L385" s="21" t="s">
        <v>16</v>
      </c>
      <c r="M385" s="44">
        <f>M357-M384</f>
        <v>114</v>
      </c>
      <c r="N385" s="50">
        <f t="shared" ref="N385:O385" si="327">N357-N384</f>
        <v>150</v>
      </c>
      <c r="O385" s="51">
        <f t="shared" si="327"/>
        <v>117</v>
      </c>
      <c r="P385" s="49">
        <f>SUM(M385:O385)</f>
        <v>381</v>
      </c>
      <c r="Q385" s="44">
        <f>Q357-Q384</f>
        <v>114</v>
      </c>
      <c r="R385" s="50">
        <f t="shared" ref="R385:S385" si="328">R357-R384</f>
        <v>150</v>
      </c>
      <c r="S385" s="51">
        <f t="shared" si="328"/>
        <v>117</v>
      </c>
      <c r="T385" s="49">
        <f>SUM(Q385:S385)</f>
        <v>381</v>
      </c>
      <c r="U385" s="28">
        <f>P385+T385</f>
        <v>762</v>
      </c>
    </row>
    <row r="386" spans="1:22" x14ac:dyDescent="0.15">
      <c r="M386" s="88">
        <f>M385/$P$342*100</f>
        <v>19.289340101522843</v>
      </c>
      <c r="N386" s="88">
        <f t="shared" ref="N386:P386" si="329">N385/$P$342*100</f>
        <v>25.380710659898476</v>
      </c>
      <c r="O386" s="88">
        <f t="shared" si="329"/>
        <v>19.796954314720814</v>
      </c>
      <c r="P386" s="88">
        <f t="shared" si="329"/>
        <v>64.467005076142129</v>
      </c>
    </row>
    <row r="387" spans="1:22" x14ac:dyDescent="0.15">
      <c r="M387" s="97">
        <v>28.3</v>
      </c>
      <c r="N387" s="97">
        <v>40.799999999999997</v>
      </c>
      <c r="O387" s="97">
        <v>30.9</v>
      </c>
      <c r="P387" s="89">
        <v>100</v>
      </c>
    </row>
    <row r="388" spans="1:22" ht="19.5" thickBot="1" x14ac:dyDescent="0.25">
      <c r="A388" s="84" t="s">
        <v>31</v>
      </c>
      <c r="B388" s="85"/>
      <c r="C388" s="85"/>
      <c r="D388" s="85"/>
      <c r="E388" s="85"/>
      <c r="F388" s="85"/>
      <c r="G388" s="85"/>
      <c r="H388" s="85"/>
      <c r="I388" s="85"/>
      <c r="J388" s="85"/>
      <c r="L388" s="82" t="s">
        <v>32</v>
      </c>
      <c r="M388" s="83"/>
      <c r="N388" s="83"/>
      <c r="O388" s="83"/>
      <c r="P388" s="83"/>
      <c r="Q388" s="83"/>
      <c r="R388" s="83"/>
      <c r="S388" s="83"/>
      <c r="T388" s="83"/>
      <c r="U388" s="83">
        <v>1040</v>
      </c>
    </row>
    <row r="389" spans="1:22" ht="14.25" thickBot="1" x14ac:dyDescent="0.2">
      <c r="A389" s="6"/>
      <c r="B389" s="159" t="s">
        <v>33</v>
      </c>
      <c r="C389" s="160"/>
      <c r="D389" s="160"/>
      <c r="E389" s="161"/>
      <c r="F389" s="159" t="s">
        <v>22</v>
      </c>
      <c r="G389" s="160"/>
      <c r="H389" s="160"/>
      <c r="I389" s="162"/>
      <c r="J389" s="157" t="s">
        <v>0</v>
      </c>
      <c r="L389" s="6"/>
      <c r="M389" s="159" t="s">
        <v>33</v>
      </c>
      <c r="N389" s="160"/>
      <c r="O389" s="160"/>
      <c r="P389" s="161"/>
      <c r="Q389" s="146" t="s">
        <v>22</v>
      </c>
      <c r="R389" s="147"/>
      <c r="S389" s="147"/>
      <c r="T389" s="148"/>
      <c r="U389" s="157" t="s">
        <v>0</v>
      </c>
    </row>
    <row r="390" spans="1:22" ht="14.25" thickBot="1" x14ac:dyDescent="0.2">
      <c r="A390" s="6" t="s">
        <v>1</v>
      </c>
      <c r="B390" s="3" t="s">
        <v>2</v>
      </c>
      <c r="C390" s="4" t="s">
        <v>3</v>
      </c>
      <c r="D390" s="5" t="s">
        <v>4</v>
      </c>
      <c r="E390" s="6" t="s">
        <v>5</v>
      </c>
      <c r="F390" s="3" t="s">
        <v>2</v>
      </c>
      <c r="G390" s="4" t="s">
        <v>3</v>
      </c>
      <c r="H390" s="5" t="s">
        <v>4</v>
      </c>
      <c r="I390" s="6" t="s">
        <v>5</v>
      </c>
      <c r="J390" s="158"/>
      <c r="L390" s="6" t="s">
        <v>1</v>
      </c>
      <c r="M390" s="3" t="s">
        <v>2</v>
      </c>
      <c r="N390" s="4" t="s">
        <v>3</v>
      </c>
      <c r="O390" s="5" t="s">
        <v>4</v>
      </c>
      <c r="P390" s="6" t="s">
        <v>5</v>
      </c>
      <c r="Q390" s="3" t="s">
        <v>2</v>
      </c>
      <c r="R390" s="4" t="s">
        <v>3</v>
      </c>
      <c r="S390" s="5" t="s">
        <v>4</v>
      </c>
      <c r="T390" s="6" t="s">
        <v>5</v>
      </c>
      <c r="U390" s="158"/>
    </row>
    <row r="391" spans="1:22" ht="14.25" thickBot="1" x14ac:dyDescent="0.2">
      <c r="A391" s="66" t="s">
        <v>6</v>
      </c>
      <c r="B391" s="25">
        <f>B385</f>
        <v>5</v>
      </c>
      <c r="C391" s="26">
        <f>C385</f>
        <v>3</v>
      </c>
      <c r="D391" s="27">
        <f>D385</f>
        <v>4</v>
      </c>
      <c r="E391" s="28">
        <f>SUM(B391:D391)</f>
        <v>12</v>
      </c>
      <c r="F391" s="25">
        <f>F385</f>
        <v>6</v>
      </c>
      <c r="G391" s="26">
        <f>G385</f>
        <v>3</v>
      </c>
      <c r="H391" s="27">
        <f>H385</f>
        <v>3</v>
      </c>
      <c r="I391" s="28">
        <f>SUM(F391:H391)</f>
        <v>12</v>
      </c>
      <c r="J391" s="28">
        <f>E391+I391</f>
        <v>24</v>
      </c>
      <c r="L391" s="66" t="s">
        <v>6</v>
      </c>
      <c r="M391" s="25">
        <f>M385</f>
        <v>114</v>
      </c>
      <c r="N391" s="26">
        <f>N385</f>
        <v>150</v>
      </c>
      <c r="O391" s="27">
        <f>O385</f>
        <v>117</v>
      </c>
      <c r="P391" s="28">
        <f>SUM(M391:O391)</f>
        <v>381</v>
      </c>
      <c r="Q391" s="25">
        <f>Q385</f>
        <v>114</v>
      </c>
      <c r="R391" s="26">
        <f>R385</f>
        <v>150</v>
      </c>
      <c r="S391" s="27">
        <f>S385</f>
        <v>117</v>
      </c>
      <c r="T391" s="28">
        <f>SUM(Q391:S391)</f>
        <v>381</v>
      </c>
      <c r="U391" s="28">
        <f>P391+T391</f>
        <v>762</v>
      </c>
    </row>
    <row r="392" spans="1:22" x14ac:dyDescent="0.15">
      <c r="A392" s="23" t="s">
        <v>77</v>
      </c>
      <c r="B392" s="7">
        <v>1</v>
      </c>
      <c r="C392" s="8"/>
      <c r="D392" s="46">
        <v>1</v>
      </c>
      <c r="E392" s="10">
        <f t="shared" ref="E392" si="330">SUM(B392:D392)</f>
        <v>2</v>
      </c>
      <c r="F392" s="11">
        <v>1</v>
      </c>
      <c r="G392" s="8"/>
      <c r="H392" s="9">
        <v>1</v>
      </c>
      <c r="I392" s="10">
        <f t="shared" ref="I392" si="331">SUM(F392:H392)</f>
        <v>2</v>
      </c>
      <c r="J392" s="10">
        <f t="shared" ref="J392" si="332">E392+I392</f>
        <v>4</v>
      </c>
      <c r="K392" s="58">
        <v>45637</v>
      </c>
      <c r="L392" s="23" t="s">
        <v>347</v>
      </c>
      <c r="M392" s="7">
        <v>1</v>
      </c>
      <c r="N392" s="8"/>
      <c r="O392" s="46">
        <v>1</v>
      </c>
      <c r="P392" s="10">
        <f t="shared" ref="P392" si="333">SUM(M392:O392)</f>
        <v>2</v>
      </c>
      <c r="Q392" s="11">
        <v>1</v>
      </c>
      <c r="R392" s="8"/>
      <c r="S392" s="9">
        <v>1</v>
      </c>
      <c r="T392" s="10">
        <f t="shared" ref="T392" si="334">SUM(Q392:S392)</f>
        <v>2</v>
      </c>
      <c r="U392" s="10">
        <f t="shared" ref="U392" si="335">P392+T392</f>
        <v>4</v>
      </c>
      <c r="V392" s="58">
        <v>45647</v>
      </c>
    </row>
    <row r="393" spans="1:22" x14ac:dyDescent="0.15">
      <c r="A393" s="23" t="s">
        <v>77</v>
      </c>
      <c r="B393" s="7">
        <v>1</v>
      </c>
      <c r="C393" s="8"/>
      <c r="D393" s="46">
        <v>1</v>
      </c>
      <c r="E393" s="10">
        <f t="shared" ref="E393:E399" si="336">SUM(B393:D393)</f>
        <v>2</v>
      </c>
      <c r="F393" s="11">
        <v>1</v>
      </c>
      <c r="G393" s="8"/>
      <c r="H393" s="9">
        <v>1</v>
      </c>
      <c r="I393" s="10">
        <f t="shared" ref="I393:I399" si="337">SUM(F393:H393)</f>
        <v>2</v>
      </c>
      <c r="J393" s="10">
        <f t="shared" ref="J393:J399" si="338">E393+I393</f>
        <v>4</v>
      </c>
      <c r="K393" s="58">
        <v>45651</v>
      </c>
      <c r="L393" s="23" t="s">
        <v>8</v>
      </c>
      <c r="M393" s="7"/>
      <c r="N393" s="8"/>
      <c r="O393" s="46"/>
      <c r="P393" s="10">
        <f t="shared" ref="P393:P396" si="339">SUM(M393:O393)</f>
        <v>0</v>
      </c>
      <c r="Q393" s="11"/>
      <c r="R393" s="8"/>
      <c r="S393" s="9"/>
      <c r="T393" s="10">
        <f t="shared" ref="T393:T396" si="340">SUM(Q393:S393)</f>
        <v>0</v>
      </c>
      <c r="U393" s="10">
        <f t="shared" ref="U393:U396" si="341">P393+T393</f>
        <v>0</v>
      </c>
    </row>
    <row r="394" spans="1:22" x14ac:dyDescent="0.15">
      <c r="A394" s="23" t="s">
        <v>20</v>
      </c>
      <c r="B394" s="7"/>
      <c r="C394" s="8"/>
      <c r="D394" s="46"/>
      <c r="E394" s="10">
        <f t="shared" si="336"/>
        <v>0</v>
      </c>
      <c r="F394" s="11"/>
      <c r="G394" s="8"/>
      <c r="H394" s="9"/>
      <c r="I394" s="10">
        <f t="shared" si="337"/>
        <v>0</v>
      </c>
      <c r="J394" s="10">
        <f t="shared" si="338"/>
        <v>0</v>
      </c>
      <c r="L394" s="23" t="s">
        <v>9</v>
      </c>
      <c r="M394" s="7"/>
      <c r="N394" s="8"/>
      <c r="O394" s="46"/>
      <c r="P394" s="10">
        <f t="shared" si="339"/>
        <v>0</v>
      </c>
      <c r="Q394" s="11"/>
      <c r="R394" s="8"/>
      <c r="S394" s="9"/>
      <c r="T394" s="10">
        <f t="shared" si="340"/>
        <v>0</v>
      </c>
      <c r="U394" s="10">
        <f t="shared" si="341"/>
        <v>0</v>
      </c>
    </row>
    <row r="395" spans="1:22" x14ac:dyDescent="0.15">
      <c r="A395" s="23" t="s">
        <v>20</v>
      </c>
      <c r="B395" s="7"/>
      <c r="C395" s="8"/>
      <c r="D395" s="46"/>
      <c r="E395" s="10">
        <f t="shared" si="336"/>
        <v>0</v>
      </c>
      <c r="F395" s="11"/>
      <c r="G395" s="8"/>
      <c r="H395" s="9"/>
      <c r="I395" s="10">
        <f t="shared" si="337"/>
        <v>0</v>
      </c>
      <c r="J395" s="10">
        <f t="shared" si="338"/>
        <v>0</v>
      </c>
      <c r="L395" s="23" t="s">
        <v>10</v>
      </c>
      <c r="M395" s="7"/>
      <c r="N395" s="8"/>
      <c r="O395" s="46"/>
      <c r="P395" s="10">
        <f t="shared" si="339"/>
        <v>0</v>
      </c>
      <c r="Q395" s="11"/>
      <c r="R395" s="8"/>
      <c r="S395" s="9"/>
      <c r="T395" s="10">
        <f t="shared" si="340"/>
        <v>0</v>
      </c>
      <c r="U395" s="10">
        <f t="shared" si="341"/>
        <v>0</v>
      </c>
    </row>
    <row r="396" spans="1:22" x14ac:dyDescent="0.15">
      <c r="A396" s="23" t="s">
        <v>20</v>
      </c>
      <c r="B396" s="7"/>
      <c r="C396" s="8"/>
      <c r="D396" s="46"/>
      <c r="E396" s="10">
        <f t="shared" si="336"/>
        <v>0</v>
      </c>
      <c r="F396" s="11"/>
      <c r="G396" s="8"/>
      <c r="H396" s="9"/>
      <c r="I396" s="10">
        <f t="shared" si="337"/>
        <v>0</v>
      </c>
      <c r="J396" s="10">
        <f t="shared" si="338"/>
        <v>0</v>
      </c>
      <c r="L396" s="23" t="s">
        <v>11</v>
      </c>
      <c r="M396" s="7"/>
      <c r="N396" s="8"/>
      <c r="O396" s="46"/>
      <c r="P396" s="10">
        <f t="shared" si="339"/>
        <v>0</v>
      </c>
      <c r="Q396" s="11"/>
      <c r="R396" s="8"/>
      <c r="S396" s="9"/>
      <c r="T396" s="10">
        <f t="shared" si="340"/>
        <v>0</v>
      </c>
      <c r="U396" s="10">
        <f t="shared" si="341"/>
        <v>0</v>
      </c>
    </row>
    <row r="397" spans="1:22" x14ac:dyDescent="0.15">
      <c r="A397" s="23" t="s">
        <v>20</v>
      </c>
      <c r="B397" s="7"/>
      <c r="C397" s="8"/>
      <c r="D397" s="46"/>
      <c r="E397" s="10">
        <f t="shared" si="336"/>
        <v>0</v>
      </c>
      <c r="F397" s="11"/>
      <c r="G397" s="8"/>
      <c r="H397" s="9"/>
      <c r="I397" s="10">
        <f t="shared" si="337"/>
        <v>0</v>
      </c>
      <c r="J397" s="10">
        <f t="shared" si="338"/>
        <v>0</v>
      </c>
      <c r="L397" s="23" t="s">
        <v>12</v>
      </c>
      <c r="M397" s="16"/>
      <c r="N397" s="17"/>
      <c r="O397" s="45"/>
      <c r="P397" s="43">
        <f>SUM(M397:O397)</f>
        <v>0</v>
      </c>
      <c r="Q397" s="19"/>
      <c r="R397" s="17"/>
      <c r="S397" s="18"/>
      <c r="T397" s="43">
        <f>SUM(Q397:S397)</f>
        <v>0</v>
      </c>
      <c r="U397" s="43">
        <f>P397+T397</f>
        <v>0</v>
      </c>
      <c r="V397" s="61"/>
    </row>
    <row r="398" spans="1:22" x14ac:dyDescent="0.15">
      <c r="A398" s="23" t="s">
        <v>20</v>
      </c>
      <c r="B398" s="12"/>
      <c r="C398" s="13"/>
      <c r="D398" s="47"/>
      <c r="E398" s="10">
        <f t="shared" si="336"/>
        <v>0</v>
      </c>
      <c r="F398" s="15"/>
      <c r="G398" s="13"/>
      <c r="H398" s="14"/>
      <c r="I398" s="10">
        <f t="shared" si="337"/>
        <v>0</v>
      </c>
      <c r="J398" s="10">
        <f t="shared" si="338"/>
        <v>0</v>
      </c>
      <c r="L398" s="23" t="s">
        <v>13</v>
      </c>
      <c r="M398" s="16"/>
      <c r="N398" s="17"/>
      <c r="O398" s="45"/>
      <c r="P398" s="43">
        <f>SUM(M398:O398)</f>
        <v>0</v>
      </c>
      <c r="Q398" s="19"/>
      <c r="R398" s="17"/>
      <c r="S398" s="18"/>
      <c r="T398" s="43">
        <f>SUM(Q398:S398)</f>
        <v>0</v>
      </c>
      <c r="U398" s="43">
        <f>P398+T398</f>
        <v>0</v>
      </c>
      <c r="V398" s="61"/>
    </row>
    <row r="399" spans="1:22" ht="14.25" thickBot="1" x14ac:dyDescent="0.2">
      <c r="A399" s="23" t="s">
        <v>20</v>
      </c>
      <c r="B399" s="29"/>
      <c r="C399" s="30"/>
      <c r="D399" s="48"/>
      <c r="E399" s="55">
        <f t="shared" si="336"/>
        <v>0</v>
      </c>
      <c r="F399" s="31"/>
      <c r="G399" s="31"/>
      <c r="H399" s="33"/>
      <c r="I399" s="55">
        <f t="shared" si="337"/>
        <v>0</v>
      </c>
      <c r="J399" s="20">
        <f t="shared" si="338"/>
        <v>0</v>
      </c>
      <c r="L399" s="23" t="s">
        <v>14</v>
      </c>
      <c r="M399" s="12"/>
      <c r="N399" s="13"/>
      <c r="O399" s="47"/>
      <c r="P399" s="10">
        <f t="shared" ref="P399" si="342">SUM(M399:O399)</f>
        <v>0</v>
      </c>
      <c r="Q399" s="15"/>
      <c r="R399" s="13"/>
      <c r="S399" s="14"/>
      <c r="T399" s="10">
        <f t="shared" ref="T399" si="343">SUM(Q399:S399)</f>
        <v>0</v>
      </c>
      <c r="U399" s="10">
        <f t="shared" ref="U399" si="344">P399+T399</f>
        <v>0</v>
      </c>
    </row>
    <row r="400" spans="1:22" ht="14.25" thickBot="1" x14ac:dyDescent="0.2">
      <c r="A400" s="32" t="s">
        <v>15</v>
      </c>
      <c r="B400" s="25">
        <f>SUM(B391:B399)</f>
        <v>7</v>
      </c>
      <c r="C400" s="26">
        <f>SUM(C391:C399)</f>
        <v>3</v>
      </c>
      <c r="D400" s="27">
        <f>SUM(D391:D399)</f>
        <v>6</v>
      </c>
      <c r="E400" s="28">
        <f>SUM(B400:D400)</f>
        <v>16</v>
      </c>
      <c r="F400" s="25">
        <f>SUM(F391:F399)</f>
        <v>8</v>
      </c>
      <c r="G400" s="26">
        <f>SUM(G391:G399)</f>
        <v>3</v>
      </c>
      <c r="H400" s="27">
        <f>SUM(H391:H399)</f>
        <v>5</v>
      </c>
      <c r="I400" s="28">
        <f>SUM(F400:H400)</f>
        <v>16</v>
      </c>
      <c r="J400" s="28">
        <f>E400+I400</f>
        <v>32</v>
      </c>
      <c r="L400" s="32" t="s">
        <v>15</v>
      </c>
      <c r="M400" s="25">
        <f>SUM(M391:M399)</f>
        <v>115</v>
      </c>
      <c r="N400" s="26">
        <f>SUM(N391:N399)</f>
        <v>150</v>
      </c>
      <c r="O400" s="27">
        <f>SUM(O391:O399)</f>
        <v>118</v>
      </c>
      <c r="P400" s="28">
        <f>SUM(M400:O400)</f>
        <v>383</v>
      </c>
      <c r="Q400" s="25">
        <f>SUM(Q391:Q399)</f>
        <v>115</v>
      </c>
      <c r="R400" s="26">
        <f>SUM(R391:R399)</f>
        <v>150</v>
      </c>
      <c r="S400" s="27">
        <f>SUM(S391:S399)</f>
        <v>118</v>
      </c>
      <c r="T400" s="28">
        <f>SUM(Q400:S400)</f>
        <v>383</v>
      </c>
      <c r="U400" s="28">
        <f>P400+T400</f>
        <v>766</v>
      </c>
    </row>
    <row r="401" spans="1:23" x14ac:dyDescent="0.15">
      <c r="A401" s="24" t="s">
        <v>345</v>
      </c>
      <c r="B401" s="7"/>
      <c r="C401" s="8">
        <v>1</v>
      </c>
      <c r="D401" s="9"/>
      <c r="E401" s="43">
        <f t="shared" ref="E401:E427" si="345">SUM(B401:D401)</f>
        <v>1</v>
      </c>
      <c r="F401" s="11"/>
      <c r="G401" s="8">
        <v>1</v>
      </c>
      <c r="H401" s="9"/>
      <c r="I401" s="43">
        <f t="shared" ref="I401:I427" si="346">SUM(F401:H401)</f>
        <v>1</v>
      </c>
      <c r="J401" s="10">
        <f t="shared" ref="J401:J426" si="347">E401+I401</f>
        <v>2</v>
      </c>
      <c r="K401" s="56">
        <v>45639</v>
      </c>
      <c r="L401" s="24" t="s">
        <v>101</v>
      </c>
      <c r="M401" s="7">
        <v>9</v>
      </c>
      <c r="N401" s="8">
        <v>4</v>
      </c>
      <c r="O401" s="9">
        <v>19</v>
      </c>
      <c r="P401" s="43">
        <f t="shared" ref="P401:P419" si="348">SUM(M401:O401)</f>
        <v>32</v>
      </c>
      <c r="Q401" s="7">
        <v>9</v>
      </c>
      <c r="R401" s="8">
        <v>4</v>
      </c>
      <c r="S401" s="9">
        <v>19</v>
      </c>
      <c r="T401" s="43">
        <f t="shared" ref="T401:T419" si="349">SUM(Q401:S401)</f>
        <v>32</v>
      </c>
      <c r="U401" s="10">
        <f t="shared" ref="U401:U419" si="350">P401+T401</f>
        <v>64</v>
      </c>
      <c r="V401" s="56">
        <v>45624</v>
      </c>
    </row>
    <row r="402" spans="1:23" x14ac:dyDescent="0.15">
      <c r="A402" s="24" t="s">
        <v>133</v>
      </c>
      <c r="B402" s="7">
        <v>1</v>
      </c>
      <c r="C402" s="8"/>
      <c r="D402" s="9"/>
      <c r="E402" s="43">
        <f t="shared" si="345"/>
        <v>1</v>
      </c>
      <c r="F402" s="11">
        <v>1</v>
      </c>
      <c r="G402" s="8"/>
      <c r="H402" s="9"/>
      <c r="I402" s="43">
        <f t="shared" si="346"/>
        <v>1</v>
      </c>
      <c r="J402" s="10">
        <f t="shared" si="347"/>
        <v>2</v>
      </c>
      <c r="K402" s="56">
        <v>45646</v>
      </c>
      <c r="L402" s="24" t="s">
        <v>103</v>
      </c>
      <c r="M402" s="7">
        <v>12</v>
      </c>
      <c r="N402" s="8">
        <v>13</v>
      </c>
      <c r="O402" s="9">
        <v>1</v>
      </c>
      <c r="P402" s="43">
        <f t="shared" si="348"/>
        <v>26</v>
      </c>
      <c r="Q402" s="7">
        <v>12</v>
      </c>
      <c r="R402" s="8">
        <v>13</v>
      </c>
      <c r="S402" s="9">
        <v>1</v>
      </c>
      <c r="T402" s="43">
        <f t="shared" si="349"/>
        <v>26</v>
      </c>
      <c r="U402" s="10">
        <f t="shared" si="350"/>
        <v>52</v>
      </c>
      <c r="V402" s="56">
        <v>45625</v>
      </c>
    </row>
    <row r="403" spans="1:23" x14ac:dyDescent="0.15">
      <c r="A403" s="24" t="s">
        <v>135</v>
      </c>
      <c r="B403" s="7">
        <v>3</v>
      </c>
      <c r="C403" s="8"/>
      <c r="D403" s="9">
        <v>2</v>
      </c>
      <c r="E403" s="43">
        <f t="shared" si="345"/>
        <v>5</v>
      </c>
      <c r="F403" s="11">
        <v>3</v>
      </c>
      <c r="G403" s="8"/>
      <c r="H403" s="9">
        <v>2</v>
      </c>
      <c r="I403" s="43">
        <f t="shared" si="346"/>
        <v>5</v>
      </c>
      <c r="J403" s="10">
        <f t="shared" si="347"/>
        <v>10</v>
      </c>
      <c r="K403" s="56">
        <v>45646</v>
      </c>
      <c r="L403" s="24" t="s">
        <v>104</v>
      </c>
      <c r="M403" s="7">
        <v>4</v>
      </c>
      <c r="N403" s="8">
        <v>10</v>
      </c>
      <c r="O403" s="9">
        <v>8</v>
      </c>
      <c r="P403" s="43">
        <f t="shared" si="348"/>
        <v>22</v>
      </c>
      <c r="Q403" s="7">
        <v>4</v>
      </c>
      <c r="R403" s="8">
        <v>10</v>
      </c>
      <c r="S403" s="9">
        <v>8</v>
      </c>
      <c r="T403" s="43">
        <f t="shared" si="349"/>
        <v>22</v>
      </c>
      <c r="U403" s="10">
        <f t="shared" si="350"/>
        <v>44</v>
      </c>
      <c r="V403" s="56">
        <v>45625</v>
      </c>
      <c r="W403" s="61"/>
    </row>
    <row r="404" spans="1:23" x14ac:dyDescent="0.15">
      <c r="A404" s="24" t="s">
        <v>137</v>
      </c>
      <c r="B404" s="7"/>
      <c r="C404" s="8"/>
      <c r="D404" s="9">
        <v>1</v>
      </c>
      <c r="E404" s="43">
        <f t="shared" si="345"/>
        <v>1</v>
      </c>
      <c r="F404" s="11"/>
      <c r="G404" s="8"/>
      <c r="H404" s="9">
        <v>1</v>
      </c>
      <c r="I404" s="43">
        <f t="shared" si="346"/>
        <v>1</v>
      </c>
      <c r="J404" s="10">
        <f t="shared" si="347"/>
        <v>2</v>
      </c>
      <c r="K404" s="56">
        <v>45649</v>
      </c>
      <c r="L404" s="24" t="s">
        <v>106</v>
      </c>
      <c r="M404" s="7">
        <v>5</v>
      </c>
      <c r="N404" s="8">
        <v>7</v>
      </c>
      <c r="O404" s="9">
        <v>1</v>
      </c>
      <c r="P404" s="43">
        <f t="shared" si="348"/>
        <v>13</v>
      </c>
      <c r="Q404" s="7">
        <v>5</v>
      </c>
      <c r="R404" s="8">
        <v>7</v>
      </c>
      <c r="S404" s="9">
        <v>1</v>
      </c>
      <c r="T404" s="43">
        <f t="shared" si="349"/>
        <v>13</v>
      </c>
      <c r="U404" s="10">
        <f t="shared" si="350"/>
        <v>26</v>
      </c>
      <c r="V404" s="56">
        <v>45628</v>
      </c>
      <c r="W404" s="61"/>
    </row>
    <row r="405" spans="1:23" x14ac:dyDescent="0.15">
      <c r="A405" s="22" t="s">
        <v>346</v>
      </c>
      <c r="B405" s="7">
        <v>1</v>
      </c>
      <c r="C405" s="8"/>
      <c r="D405" s="9">
        <v>1</v>
      </c>
      <c r="E405" s="43">
        <f t="shared" si="345"/>
        <v>2</v>
      </c>
      <c r="F405" s="11">
        <v>1</v>
      </c>
      <c r="G405" s="8"/>
      <c r="H405" s="9">
        <v>1</v>
      </c>
      <c r="I405" s="43">
        <f t="shared" si="346"/>
        <v>2</v>
      </c>
      <c r="J405" s="10">
        <f t="shared" si="347"/>
        <v>4</v>
      </c>
      <c r="K405" s="56">
        <v>45647</v>
      </c>
      <c r="L405" s="24" t="s">
        <v>245</v>
      </c>
      <c r="M405" s="7">
        <v>3</v>
      </c>
      <c r="N405" s="8">
        <v>3</v>
      </c>
      <c r="O405" s="9"/>
      <c r="P405" s="43">
        <f t="shared" si="348"/>
        <v>6</v>
      </c>
      <c r="Q405" s="7">
        <v>3</v>
      </c>
      <c r="R405" s="8">
        <v>3</v>
      </c>
      <c r="S405" s="9"/>
      <c r="T405" s="43">
        <f t="shared" si="349"/>
        <v>6</v>
      </c>
      <c r="U405" s="10">
        <f t="shared" si="350"/>
        <v>12</v>
      </c>
      <c r="V405" s="56">
        <v>45629</v>
      </c>
      <c r="W405" s="61"/>
    </row>
    <row r="406" spans="1:23" x14ac:dyDescent="0.15">
      <c r="A406" s="24" t="s">
        <v>143</v>
      </c>
      <c r="B406" s="7">
        <v>2</v>
      </c>
      <c r="C406" s="8">
        <v>1</v>
      </c>
      <c r="D406" s="9"/>
      <c r="E406" s="43">
        <f t="shared" si="345"/>
        <v>3</v>
      </c>
      <c r="F406" s="11">
        <v>2</v>
      </c>
      <c r="G406" s="8">
        <v>1</v>
      </c>
      <c r="H406" s="9"/>
      <c r="I406" s="43">
        <f t="shared" si="346"/>
        <v>3</v>
      </c>
      <c r="J406" s="10">
        <f t="shared" si="347"/>
        <v>6</v>
      </c>
      <c r="K406" s="56">
        <v>45653</v>
      </c>
      <c r="L406" s="24" t="s">
        <v>110</v>
      </c>
      <c r="M406" s="7">
        <v>3</v>
      </c>
      <c r="N406" s="8">
        <v>3</v>
      </c>
      <c r="O406" s="9">
        <v>1</v>
      </c>
      <c r="P406" s="43">
        <f t="shared" si="348"/>
        <v>7</v>
      </c>
      <c r="Q406" s="7">
        <v>3</v>
      </c>
      <c r="R406" s="8">
        <v>3</v>
      </c>
      <c r="S406" s="9">
        <v>1</v>
      </c>
      <c r="T406" s="43">
        <f t="shared" si="349"/>
        <v>7</v>
      </c>
      <c r="U406" s="10">
        <f t="shared" si="350"/>
        <v>14</v>
      </c>
      <c r="V406" s="56">
        <v>45630</v>
      </c>
      <c r="W406" s="61"/>
    </row>
    <row r="407" spans="1:23" x14ac:dyDescent="0.15">
      <c r="A407" s="22"/>
      <c r="B407" s="7"/>
      <c r="C407" s="8"/>
      <c r="D407" s="9"/>
      <c r="E407" s="43">
        <f t="shared" ref="E407" si="351">SUM(B407:D407)</f>
        <v>0</v>
      </c>
      <c r="F407" s="11"/>
      <c r="G407" s="8"/>
      <c r="H407" s="9"/>
      <c r="I407" s="43">
        <f t="shared" ref="I407" si="352">SUM(F407:H407)</f>
        <v>0</v>
      </c>
      <c r="J407" s="10">
        <f t="shared" ref="J407" si="353">E407+I407</f>
        <v>0</v>
      </c>
      <c r="K407" s="61"/>
      <c r="L407" s="24" t="s">
        <v>112</v>
      </c>
      <c r="M407" s="7"/>
      <c r="N407" s="8">
        <v>2</v>
      </c>
      <c r="O407" s="9"/>
      <c r="P407" s="43">
        <f t="shared" si="348"/>
        <v>2</v>
      </c>
      <c r="Q407" s="7"/>
      <c r="R407" s="8">
        <v>2</v>
      </c>
      <c r="S407" s="9"/>
      <c r="T407" s="43">
        <f t="shared" si="349"/>
        <v>2</v>
      </c>
      <c r="U407" s="10">
        <f t="shared" si="350"/>
        <v>4</v>
      </c>
      <c r="V407" s="56">
        <v>45631</v>
      </c>
      <c r="W407" s="61"/>
    </row>
    <row r="408" spans="1:23" x14ac:dyDescent="0.15">
      <c r="A408" s="22"/>
      <c r="B408" s="7"/>
      <c r="C408" s="8"/>
      <c r="D408" s="9"/>
      <c r="E408" s="43">
        <f t="shared" si="345"/>
        <v>0</v>
      </c>
      <c r="F408" s="11"/>
      <c r="G408" s="8"/>
      <c r="H408" s="9"/>
      <c r="I408" s="43">
        <f t="shared" si="346"/>
        <v>0</v>
      </c>
      <c r="J408" s="10">
        <f t="shared" si="347"/>
        <v>0</v>
      </c>
      <c r="K408" s="61"/>
      <c r="L408" s="24" t="s">
        <v>114</v>
      </c>
      <c r="M408" s="7">
        <v>6</v>
      </c>
      <c r="N408" s="8">
        <v>6</v>
      </c>
      <c r="O408" s="9"/>
      <c r="P408" s="43">
        <f t="shared" si="348"/>
        <v>12</v>
      </c>
      <c r="Q408" s="7">
        <v>6</v>
      </c>
      <c r="R408" s="8">
        <v>6</v>
      </c>
      <c r="S408" s="9"/>
      <c r="T408" s="43">
        <f t="shared" si="349"/>
        <v>12</v>
      </c>
      <c r="U408" s="10">
        <f t="shared" si="350"/>
        <v>24</v>
      </c>
      <c r="V408" s="56">
        <v>45632</v>
      </c>
    </row>
    <row r="409" spans="1:23" x14ac:dyDescent="0.15">
      <c r="A409" s="22"/>
      <c r="B409" s="7"/>
      <c r="C409" s="8"/>
      <c r="D409" s="9"/>
      <c r="E409" s="43">
        <f t="shared" si="345"/>
        <v>0</v>
      </c>
      <c r="F409" s="11"/>
      <c r="G409" s="8"/>
      <c r="H409" s="9"/>
      <c r="I409" s="43">
        <f t="shared" si="346"/>
        <v>0</v>
      </c>
      <c r="J409" s="10">
        <f t="shared" si="347"/>
        <v>0</v>
      </c>
      <c r="L409" s="24" t="s">
        <v>116</v>
      </c>
      <c r="M409" s="7">
        <v>4</v>
      </c>
      <c r="N409" s="8">
        <v>1</v>
      </c>
      <c r="O409" s="9">
        <v>5</v>
      </c>
      <c r="P409" s="43">
        <f t="shared" si="348"/>
        <v>10</v>
      </c>
      <c r="Q409" s="7">
        <v>4</v>
      </c>
      <c r="R409" s="8">
        <v>1</v>
      </c>
      <c r="S409" s="9">
        <v>5</v>
      </c>
      <c r="T409" s="43">
        <f t="shared" si="349"/>
        <v>10</v>
      </c>
      <c r="U409" s="10">
        <f t="shared" si="350"/>
        <v>20</v>
      </c>
      <c r="V409" s="56">
        <v>45632</v>
      </c>
    </row>
    <row r="410" spans="1:23" x14ac:dyDescent="0.15">
      <c r="A410" s="22"/>
      <c r="B410" s="12"/>
      <c r="C410" s="13"/>
      <c r="D410" s="14"/>
      <c r="E410" s="43">
        <f t="shared" si="345"/>
        <v>0</v>
      </c>
      <c r="F410" s="15"/>
      <c r="G410" s="13"/>
      <c r="H410" s="14"/>
      <c r="I410" s="43">
        <f t="shared" si="346"/>
        <v>0</v>
      </c>
      <c r="J410" s="10">
        <f t="shared" si="347"/>
        <v>0</v>
      </c>
      <c r="L410" s="24" t="s">
        <v>118</v>
      </c>
      <c r="M410" s="7">
        <v>1</v>
      </c>
      <c r="N410" s="8">
        <v>2</v>
      </c>
      <c r="O410" s="9">
        <v>1</v>
      </c>
      <c r="P410" s="43">
        <f t="shared" si="348"/>
        <v>4</v>
      </c>
      <c r="Q410" s="7">
        <v>1</v>
      </c>
      <c r="R410" s="8">
        <v>2</v>
      </c>
      <c r="S410" s="9">
        <v>1</v>
      </c>
      <c r="T410" s="43">
        <f t="shared" si="349"/>
        <v>4</v>
      </c>
      <c r="U410" s="10">
        <f t="shared" si="350"/>
        <v>8</v>
      </c>
      <c r="V410" s="56">
        <v>45635</v>
      </c>
    </row>
    <row r="411" spans="1:23" x14ac:dyDescent="0.15">
      <c r="A411" s="22"/>
      <c r="B411" s="7"/>
      <c r="C411" s="8"/>
      <c r="D411" s="9"/>
      <c r="E411" s="43">
        <f t="shared" si="345"/>
        <v>0</v>
      </c>
      <c r="F411" s="11"/>
      <c r="G411" s="8"/>
      <c r="H411" s="9"/>
      <c r="I411" s="43">
        <f t="shared" si="346"/>
        <v>0</v>
      </c>
      <c r="J411" s="10">
        <f t="shared" si="347"/>
        <v>0</v>
      </c>
      <c r="L411" s="24" t="s">
        <v>120</v>
      </c>
      <c r="M411" s="7">
        <v>4</v>
      </c>
      <c r="N411" s="8">
        <v>1</v>
      </c>
      <c r="O411" s="9">
        <v>1</v>
      </c>
      <c r="P411" s="43">
        <f t="shared" si="348"/>
        <v>6</v>
      </c>
      <c r="Q411" s="7">
        <v>4</v>
      </c>
      <c r="R411" s="8">
        <v>1</v>
      </c>
      <c r="S411" s="9">
        <v>1</v>
      </c>
      <c r="T411" s="43">
        <f t="shared" si="349"/>
        <v>6</v>
      </c>
      <c r="U411" s="10">
        <f t="shared" si="350"/>
        <v>12</v>
      </c>
      <c r="V411" s="56">
        <v>45637</v>
      </c>
    </row>
    <row r="412" spans="1:23" x14ac:dyDescent="0.15">
      <c r="A412" s="22"/>
      <c r="B412" s="7"/>
      <c r="C412" s="8"/>
      <c r="D412" s="9"/>
      <c r="E412" s="43">
        <f t="shared" si="345"/>
        <v>0</v>
      </c>
      <c r="F412" s="11"/>
      <c r="G412" s="8"/>
      <c r="H412" s="9"/>
      <c r="I412" s="43">
        <f t="shared" si="346"/>
        <v>0</v>
      </c>
      <c r="J412" s="10">
        <f t="shared" si="347"/>
        <v>0</v>
      </c>
      <c r="L412" s="24" t="s">
        <v>122</v>
      </c>
      <c r="M412" s="7">
        <v>2</v>
      </c>
      <c r="N412" s="8">
        <v>1</v>
      </c>
      <c r="O412" s="9"/>
      <c r="P412" s="43">
        <f t="shared" si="348"/>
        <v>3</v>
      </c>
      <c r="Q412" s="7">
        <v>2</v>
      </c>
      <c r="R412" s="8">
        <v>1</v>
      </c>
      <c r="S412" s="9"/>
      <c r="T412" s="43">
        <f t="shared" si="349"/>
        <v>3</v>
      </c>
      <c r="U412" s="10">
        <f t="shared" si="350"/>
        <v>6</v>
      </c>
      <c r="V412" s="56">
        <v>45638</v>
      </c>
      <c r="W412" s="61"/>
    </row>
    <row r="413" spans="1:23" x14ac:dyDescent="0.15">
      <c r="A413" s="22"/>
      <c r="B413" s="7"/>
      <c r="C413" s="8"/>
      <c r="D413" s="9"/>
      <c r="E413" s="43">
        <f t="shared" si="345"/>
        <v>0</v>
      </c>
      <c r="F413" s="11"/>
      <c r="G413" s="8"/>
      <c r="H413" s="9"/>
      <c r="I413" s="43">
        <f t="shared" si="346"/>
        <v>0</v>
      </c>
      <c r="J413" s="10">
        <f t="shared" si="347"/>
        <v>0</v>
      </c>
      <c r="L413" s="24" t="s">
        <v>344</v>
      </c>
      <c r="M413" s="7"/>
      <c r="N413" s="8">
        <v>3</v>
      </c>
      <c r="O413" s="9"/>
      <c r="P413" s="43">
        <f t="shared" si="348"/>
        <v>3</v>
      </c>
      <c r="Q413" s="7"/>
      <c r="R413" s="8">
        <v>3</v>
      </c>
      <c r="S413" s="9"/>
      <c r="T413" s="43">
        <f t="shared" si="349"/>
        <v>3</v>
      </c>
      <c r="U413" s="10">
        <f t="shared" si="350"/>
        <v>6</v>
      </c>
      <c r="V413" s="56">
        <v>45638</v>
      </c>
      <c r="W413" s="61"/>
    </row>
    <row r="414" spans="1:23" x14ac:dyDescent="0.15">
      <c r="A414" s="22"/>
      <c r="B414" s="7"/>
      <c r="C414" s="8"/>
      <c r="D414" s="9"/>
      <c r="E414" s="43">
        <f t="shared" si="345"/>
        <v>0</v>
      </c>
      <c r="F414" s="11"/>
      <c r="G414" s="8"/>
      <c r="H414" s="9"/>
      <c r="I414" s="43">
        <f t="shared" si="346"/>
        <v>0</v>
      </c>
      <c r="J414" s="10">
        <f t="shared" si="347"/>
        <v>0</v>
      </c>
      <c r="L414" s="24" t="s">
        <v>123</v>
      </c>
      <c r="M414" s="7">
        <v>1</v>
      </c>
      <c r="N414" s="8">
        <v>1</v>
      </c>
      <c r="O414" s="9"/>
      <c r="P414" s="43">
        <f t="shared" si="348"/>
        <v>2</v>
      </c>
      <c r="Q414" s="7">
        <v>1</v>
      </c>
      <c r="R414" s="8">
        <v>1</v>
      </c>
      <c r="S414" s="9"/>
      <c r="T414" s="43">
        <f t="shared" si="349"/>
        <v>2</v>
      </c>
      <c r="U414" s="10">
        <f t="shared" si="350"/>
        <v>4</v>
      </c>
      <c r="V414" s="56">
        <v>45639</v>
      </c>
    </row>
    <row r="415" spans="1:23" x14ac:dyDescent="0.15">
      <c r="A415" s="22"/>
      <c r="B415" s="7"/>
      <c r="C415" s="8"/>
      <c r="D415" s="9"/>
      <c r="E415" s="43">
        <f t="shared" si="345"/>
        <v>0</v>
      </c>
      <c r="F415" s="11"/>
      <c r="G415" s="8"/>
      <c r="H415" s="9"/>
      <c r="I415" s="43">
        <f t="shared" si="346"/>
        <v>0</v>
      </c>
      <c r="J415" s="10">
        <f t="shared" si="347"/>
        <v>0</v>
      </c>
      <c r="L415" s="24" t="s">
        <v>125</v>
      </c>
      <c r="M415" s="7">
        <v>3</v>
      </c>
      <c r="N415" s="8">
        <v>2</v>
      </c>
      <c r="O415" s="9"/>
      <c r="P415" s="43">
        <f t="shared" si="348"/>
        <v>5</v>
      </c>
      <c r="Q415" s="7">
        <v>3</v>
      </c>
      <c r="R415" s="8">
        <v>2</v>
      </c>
      <c r="S415" s="9"/>
      <c r="T415" s="43">
        <f t="shared" si="349"/>
        <v>5</v>
      </c>
      <c r="U415" s="10">
        <f t="shared" si="350"/>
        <v>10</v>
      </c>
      <c r="V415" s="56">
        <v>45639</v>
      </c>
    </row>
    <row r="416" spans="1:23" x14ac:dyDescent="0.15">
      <c r="A416" s="22"/>
      <c r="B416" s="7"/>
      <c r="C416" s="8"/>
      <c r="D416" s="9"/>
      <c r="E416" s="43">
        <f t="shared" si="345"/>
        <v>0</v>
      </c>
      <c r="F416" s="11"/>
      <c r="G416" s="8"/>
      <c r="H416" s="9"/>
      <c r="I416" s="43">
        <f t="shared" si="346"/>
        <v>0</v>
      </c>
      <c r="J416" s="10">
        <f t="shared" si="347"/>
        <v>0</v>
      </c>
      <c r="L416" s="24" t="s">
        <v>126</v>
      </c>
      <c r="M416" s="7"/>
      <c r="N416" s="8">
        <v>6</v>
      </c>
      <c r="O416" s="9">
        <v>4</v>
      </c>
      <c r="P416" s="43">
        <f t="shared" si="348"/>
        <v>10</v>
      </c>
      <c r="Q416" s="7"/>
      <c r="R416" s="8">
        <v>6</v>
      </c>
      <c r="S416" s="9">
        <v>4</v>
      </c>
      <c r="T416" s="43">
        <f t="shared" si="349"/>
        <v>10</v>
      </c>
      <c r="U416" s="10">
        <f t="shared" si="350"/>
        <v>20</v>
      </c>
      <c r="V416" s="56">
        <v>45642</v>
      </c>
    </row>
    <row r="417" spans="1:22" x14ac:dyDescent="0.15">
      <c r="A417" s="24"/>
      <c r="B417" s="7"/>
      <c r="C417" s="8"/>
      <c r="D417" s="9"/>
      <c r="E417" s="43">
        <f t="shared" si="345"/>
        <v>0</v>
      </c>
      <c r="F417" s="11"/>
      <c r="G417" s="8"/>
      <c r="H417" s="9"/>
      <c r="I417" s="43">
        <f t="shared" si="346"/>
        <v>0</v>
      </c>
      <c r="J417" s="10">
        <f t="shared" si="347"/>
        <v>0</v>
      </c>
      <c r="L417" s="24" t="s">
        <v>128</v>
      </c>
      <c r="M417" s="7">
        <v>3</v>
      </c>
      <c r="N417" s="8"/>
      <c r="O417" s="9"/>
      <c r="P417" s="43">
        <f t="shared" si="348"/>
        <v>3</v>
      </c>
      <c r="Q417" s="7">
        <v>3</v>
      </c>
      <c r="R417" s="8"/>
      <c r="S417" s="9"/>
      <c r="T417" s="43">
        <f t="shared" si="349"/>
        <v>3</v>
      </c>
      <c r="U417" s="10">
        <f t="shared" si="350"/>
        <v>6</v>
      </c>
      <c r="V417" s="56">
        <v>45644</v>
      </c>
    </row>
    <row r="418" spans="1:22" x14ac:dyDescent="0.15">
      <c r="A418" s="22"/>
      <c r="B418" s="7"/>
      <c r="C418" s="8"/>
      <c r="D418" s="9"/>
      <c r="E418" s="43">
        <f t="shared" si="345"/>
        <v>0</v>
      </c>
      <c r="F418" s="11"/>
      <c r="G418" s="8"/>
      <c r="H418" s="9"/>
      <c r="I418" s="43">
        <f t="shared" si="346"/>
        <v>0</v>
      </c>
      <c r="J418" s="10">
        <f t="shared" si="347"/>
        <v>0</v>
      </c>
      <c r="L418" s="24" t="s">
        <v>131</v>
      </c>
      <c r="M418" s="7"/>
      <c r="N418" s="8">
        <v>2</v>
      </c>
      <c r="O418" s="9">
        <v>5</v>
      </c>
      <c r="P418" s="43">
        <f t="shared" si="348"/>
        <v>7</v>
      </c>
      <c r="Q418" s="7"/>
      <c r="R418" s="8">
        <v>2</v>
      </c>
      <c r="S418" s="9">
        <v>5</v>
      </c>
      <c r="T418" s="43">
        <f t="shared" si="349"/>
        <v>7</v>
      </c>
      <c r="U418" s="10">
        <f t="shared" si="350"/>
        <v>14</v>
      </c>
      <c r="V418" s="56">
        <v>45645</v>
      </c>
    </row>
    <row r="419" spans="1:22" x14ac:dyDescent="0.15">
      <c r="A419" s="23"/>
      <c r="B419" s="7"/>
      <c r="C419" s="8"/>
      <c r="D419" s="9"/>
      <c r="E419" s="43">
        <f t="shared" si="345"/>
        <v>0</v>
      </c>
      <c r="F419" s="11"/>
      <c r="G419" s="8"/>
      <c r="H419" s="9"/>
      <c r="I419" s="43">
        <f t="shared" si="346"/>
        <v>0</v>
      </c>
      <c r="J419" s="10">
        <f t="shared" si="347"/>
        <v>0</v>
      </c>
      <c r="L419" s="24" t="s">
        <v>348</v>
      </c>
      <c r="M419" s="7">
        <v>2</v>
      </c>
      <c r="N419" s="8"/>
      <c r="O419" s="9">
        <v>1</v>
      </c>
      <c r="P419" s="43">
        <f t="shared" si="348"/>
        <v>3</v>
      </c>
      <c r="Q419" s="7">
        <v>2</v>
      </c>
      <c r="R419" s="8"/>
      <c r="S419" s="9">
        <v>1</v>
      </c>
      <c r="T419" s="43">
        <f t="shared" si="349"/>
        <v>3</v>
      </c>
      <c r="U419" s="10">
        <f t="shared" si="350"/>
        <v>6</v>
      </c>
      <c r="V419" s="56">
        <v>45651</v>
      </c>
    </row>
    <row r="420" spans="1:22" x14ac:dyDescent="0.15">
      <c r="A420" s="22"/>
      <c r="B420" s="7"/>
      <c r="C420" s="8"/>
      <c r="D420" s="9"/>
      <c r="E420" s="43">
        <f t="shared" si="345"/>
        <v>0</v>
      </c>
      <c r="F420" s="11"/>
      <c r="G420" s="8"/>
      <c r="H420" s="9"/>
      <c r="I420" s="43">
        <f t="shared" si="346"/>
        <v>0</v>
      </c>
      <c r="J420" s="10">
        <f t="shared" si="347"/>
        <v>0</v>
      </c>
      <c r="L420" s="24" t="s">
        <v>138</v>
      </c>
      <c r="M420" s="7"/>
      <c r="N420" s="8"/>
      <c r="O420" s="9">
        <v>3</v>
      </c>
      <c r="P420" s="43">
        <f t="shared" ref="P420:P422" si="354">SUM(M420:O420)</f>
        <v>3</v>
      </c>
      <c r="Q420" s="7"/>
      <c r="R420" s="8"/>
      <c r="S420" s="9">
        <v>3</v>
      </c>
      <c r="T420" s="43">
        <f t="shared" ref="T420:T427" si="355">SUM(Q420:S420)</f>
        <v>3</v>
      </c>
      <c r="U420" s="10">
        <f t="shared" ref="U420:U422" si="356">P420+T420</f>
        <v>6</v>
      </c>
      <c r="V420" s="56">
        <v>45652</v>
      </c>
    </row>
    <row r="421" spans="1:22" x14ac:dyDescent="0.15">
      <c r="A421" s="24"/>
      <c r="B421" s="7"/>
      <c r="C421" s="8"/>
      <c r="D421" s="9"/>
      <c r="E421" s="43">
        <f t="shared" si="345"/>
        <v>0</v>
      </c>
      <c r="F421" s="11"/>
      <c r="G421" s="8"/>
      <c r="H421" s="9"/>
      <c r="I421" s="43">
        <f t="shared" si="346"/>
        <v>0</v>
      </c>
      <c r="J421" s="10">
        <f t="shared" si="347"/>
        <v>0</v>
      </c>
      <c r="L421" s="24" t="s">
        <v>142</v>
      </c>
      <c r="M421" s="7">
        <v>1</v>
      </c>
      <c r="N421" s="8">
        <v>2</v>
      </c>
      <c r="O421" s="9">
        <v>1</v>
      </c>
      <c r="P421" s="43">
        <f t="shared" si="354"/>
        <v>4</v>
      </c>
      <c r="Q421" s="7">
        <v>1</v>
      </c>
      <c r="R421" s="8">
        <v>2</v>
      </c>
      <c r="S421" s="9">
        <v>1</v>
      </c>
      <c r="T421" s="43">
        <f t="shared" si="355"/>
        <v>4</v>
      </c>
      <c r="U421" s="10">
        <f t="shared" si="356"/>
        <v>8</v>
      </c>
      <c r="V421" s="56">
        <v>45653</v>
      </c>
    </row>
    <row r="422" spans="1:22" x14ac:dyDescent="0.15">
      <c r="A422" s="22"/>
      <c r="B422" s="12"/>
      <c r="C422" s="13"/>
      <c r="D422" s="14"/>
      <c r="E422" s="43">
        <f t="shared" si="345"/>
        <v>0</v>
      </c>
      <c r="F422" s="15"/>
      <c r="G422" s="13"/>
      <c r="H422" s="14"/>
      <c r="I422" s="43">
        <f t="shared" si="346"/>
        <v>0</v>
      </c>
      <c r="J422" s="10">
        <f t="shared" si="347"/>
        <v>0</v>
      </c>
      <c r="L422" s="24" t="s">
        <v>147</v>
      </c>
      <c r="M422" s="7">
        <v>6</v>
      </c>
      <c r="N422" s="8">
        <v>6</v>
      </c>
      <c r="O422" s="9">
        <v>5</v>
      </c>
      <c r="P422" s="43">
        <f t="shared" si="354"/>
        <v>17</v>
      </c>
      <c r="Q422" s="7">
        <v>6</v>
      </c>
      <c r="R422" s="8">
        <v>6</v>
      </c>
      <c r="S422" s="9">
        <v>5</v>
      </c>
      <c r="T422" s="43">
        <f t="shared" si="355"/>
        <v>17</v>
      </c>
      <c r="U422" s="10">
        <f t="shared" si="356"/>
        <v>34</v>
      </c>
      <c r="V422" s="56">
        <v>45297</v>
      </c>
    </row>
    <row r="423" spans="1:22" x14ac:dyDescent="0.15">
      <c r="A423" s="22"/>
      <c r="B423" s="7"/>
      <c r="C423" s="8"/>
      <c r="D423" s="9"/>
      <c r="E423" s="43">
        <f t="shared" si="345"/>
        <v>0</v>
      </c>
      <c r="F423" s="11"/>
      <c r="G423" s="8"/>
      <c r="H423" s="9"/>
      <c r="I423" s="43">
        <f t="shared" si="346"/>
        <v>0</v>
      </c>
      <c r="J423" s="10">
        <f t="shared" si="347"/>
        <v>0</v>
      </c>
      <c r="L423" s="24"/>
      <c r="M423" s="7"/>
      <c r="N423" s="8"/>
      <c r="O423" s="9"/>
      <c r="P423" s="43">
        <f t="shared" ref="P423:P424" si="357">SUM(M423:O423)</f>
        <v>0</v>
      </c>
      <c r="Q423" s="7"/>
      <c r="R423" s="8"/>
      <c r="S423" s="9"/>
      <c r="T423" s="43">
        <f t="shared" ref="T423:T424" si="358">SUM(Q423:S423)</f>
        <v>0</v>
      </c>
      <c r="U423" s="10">
        <f t="shared" ref="U423:U424" si="359">P423+T423</f>
        <v>0</v>
      </c>
    </row>
    <row r="424" spans="1:22" x14ac:dyDescent="0.15">
      <c r="A424" s="22"/>
      <c r="B424" s="7"/>
      <c r="C424" s="8"/>
      <c r="D424" s="9"/>
      <c r="E424" s="43">
        <f t="shared" si="345"/>
        <v>0</v>
      </c>
      <c r="F424" s="11"/>
      <c r="G424" s="8"/>
      <c r="H424" s="9"/>
      <c r="I424" s="43">
        <f t="shared" si="346"/>
        <v>0</v>
      </c>
      <c r="J424" s="10">
        <f t="shared" si="347"/>
        <v>0</v>
      </c>
      <c r="L424" s="24"/>
      <c r="M424" s="7"/>
      <c r="N424" s="8"/>
      <c r="O424" s="9"/>
      <c r="P424" s="43">
        <f t="shared" si="357"/>
        <v>0</v>
      </c>
      <c r="Q424" s="7"/>
      <c r="R424" s="8"/>
      <c r="S424" s="9"/>
      <c r="T424" s="43">
        <f t="shared" si="358"/>
        <v>0</v>
      </c>
      <c r="U424" s="10">
        <f t="shared" si="359"/>
        <v>0</v>
      </c>
    </row>
    <row r="425" spans="1:22" x14ac:dyDescent="0.15">
      <c r="A425" s="22"/>
      <c r="B425" s="7"/>
      <c r="C425" s="8"/>
      <c r="D425" s="9"/>
      <c r="E425" s="43">
        <f t="shared" si="345"/>
        <v>0</v>
      </c>
      <c r="F425" s="11"/>
      <c r="G425" s="8"/>
      <c r="H425" s="9"/>
      <c r="I425" s="43">
        <f t="shared" si="346"/>
        <v>0</v>
      </c>
      <c r="J425" s="10">
        <f t="shared" si="347"/>
        <v>0</v>
      </c>
      <c r="L425" s="24" t="s">
        <v>161</v>
      </c>
      <c r="M425" s="7"/>
      <c r="N425" s="8"/>
      <c r="O425" s="9"/>
      <c r="P425" s="43">
        <f t="shared" ref="P425" si="360">SUM(M425:O425)</f>
        <v>0</v>
      </c>
      <c r="Q425" s="7"/>
      <c r="R425" s="8"/>
      <c r="S425" s="9"/>
      <c r="T425" s="43">
        <f t="shared" ref="T425" si="361">SUM(Q425:S425)</f>
        <v>0</v>
      </c>
      <c r="U425" s="10">
        <f t="shared" ref="U425:U426" si="362">P425+T425</f>
        <v>0</v>
      </c>
      <c r="V425" s="61" t="s">
        <v>162</v>
      </c>
    </row>
    <row r="426" spans="1:22" ht="14.25" thickBot="1" x14ac:dyDescent="0.2">
      <c r="A426" s="22"/>
      <c r="B426" s="7"/>
      <c r="C426" s="8"/>
      <c r="D426" s="9"/>
      <c r="E426" s="43">
        <f t="shared" si="345"/>
        <v>0</v>
      </c>
      <c r="F426" s="11"/>
      <c r="G426" s="8"/>
      <c r="H426" s="9"/>
      <c r="I426" s="43">
        <f t="shared" si="346"/>
        <v>0</v>
      </c>
      <c r="J426" s="10">
        <f t="shared" si="347"/>
        <v>0</v>
      </c>
      <c r="L426" s="24" t="s">
        <v>338</v>
      </c>
      <c r="M426" s="7"/>
      <c r="N426" s="8"/>
      <c r="O426" s="9"/>
      <c r="P426" s="43">
        <f t="shared" ref="P426" si="363">SUM(M426:O426)</f>
        <v>0</v>
      </c>
      <c r="Q426" s="7"/>
      <c r="R426" s="8"/>
      <c r="S426" s="9"/>
      <c r="T426" s="43">
        <f t="shared" ref="T426" si="364">SUM(Q426:S426)</f>
        <v>0</v>
      </c>
      <c r="U426" s="10">
        <f t="shared" si="362"/>
        <v>0</v>
      </c>
      <c r="V426" s="61" t="s">
        <v>339</v>
      </c>
    </row>
    <row r="427" spans="1:22" ht="14.25" thickBot="1" x14ac:dyDescent="0.2">
      <c r="A427" s="35" t="s">
        <v>17</v>
      </c>
      <c r="B427" s="40">
        <f>SUM(B401:B426)</f>
        <v>7</v>
      </c>
      <c r="C427" s="41">
        <f t="shared" ref="C427:D427" si="365">SUM(C401:C426)</f>
        <v>2</v>
      </c>
      <c r="D427" s="52">
        <f t="shared" si="365"/>
        <v>4</v>
      </c>
      <c r="E427" s="39">
        <f t="shared" si="345"/>
        <v>13</v>
      </c>
      <c r="F427" s="40">
        <f>SUM(F401:F426)</f>
        <v>7</v>
      </c>
      <c r="G427" s="41">
        <f t="shared" ref="G427:H427" si="366">SUM(G401:G426)</f>
        <v>2</v>
      </c>
      <c r="H427" s="52">
        <f t="shared" si="366"/>
        <v>4</v>
      </c>
      <c r="I427" s="39">
        <f t="shared" si="346"/>
        <v>13</v>
      </c>
      <c r="J427" s="39">
        <f>E427+I427</f>
        <v>26</v>
      </c>
      <c r="L427" s="35" t="s">
        <v>17</v>
      </c>
      <c r="M427" s="40">
        <f>SUM(M401:M426)</f>
        <v>69</v>
      </c>
      <c r="N427" s="41">
        <f t="shared" ref="N427:O427" si="367">SUM(N401:N426)</f>
        <v>75</v>
      </c>
      <c r="O427" s="52">
        <f t="shared" si="367"/>
        <v>56</v>
      </c>
      <c r="P427" s="39">
        <f t="shared" ref="P427" si="368">SUM(M427:O427)</f>
        <v>200</v>
      </c>
      <c r="Q427" s="40">
        <f>SUM(Q401:Q426)</f>
        <v>69</v>
      </c>
      <c r="R427" s="41">
        <f t="shared" ref="R427:S427" si="369">SUM(R401:R426)</f>
        <v>75</v>
      </c>
      <c r="S427" s="52">
        <f t="shared" si="369"/>
        <v>56</v>
      </c>
      <c r="T427" s="39">
        <f t="shared" si="355"/>
        <v>200</v>
      </c>
      <c r="U427" s="39">
        <f>P427+T427</f>
        <v>400</v>
      </c>
    </row>
    <row r="428" spans="1:22" ht="14.25" thickBot="1" x14ac:dyDescent="0.2">
      <c r="A428" s="21" t="s">
        <v>16</v>
      </c>
      <c r="B428" s="44">
        <f>B400-B427</f>
        <v>0</v>
      </c>
      <c r="C428" s="50">
        <f t="shared" ref="C428:D428" si="370">C400-C427</f>
        <v>1</v>
      </c>
      <c r="D428" s="51">
        <f t="shared" si="370"/>
        <v>2</v>
      </c>
      <c r="E428" s="49">
        <f>SUM(B428:D428)</f>
        <v>3</v>
      </c>
      <c r="F428" s="44">
        <f>F400-F427</f>
        <v>1</v>
      </c>
      <c r="G428" s="50">
        <f t="shared" ref="G428:H428" si="371">G400-G427</f>
        <v>1</v>
      </c>
      <c r="H428" s="51">
        <f t="shared" si="371"/>
        <v>1</v>
      </c>
      <c r="I428" s="49">
        <f>SUM(F428:H428)</f>
        <v>3</v>
      </c>
      <c r="J428" s="28">
        <f>E428+I428</f>
        <v>6</v>
      </c>
      <c r="L428" s="21" t="s">
        <v>16</v>
      </c>
      <c r="M428" s="44">
        <f>M400-M427</f>
        <v>46</v>
      </c>
      <c r="N428" s="50">
        <f t="shared" ref="N428:O428" si="372">N400-N427</f>
        <v>75</v>
      </c>
      <c r="O428" s="51">
        <f t="shared" si="372"/>
        <v>62</v>
      </c>
      <c r="P428" s="49">
        <f>SUM(M428:O428)</f>
        <v>183</v>
      </c>
      <c r="Q428" s="44">
        <f>Q400-Q427</f>
        <v>46</v>
      </c>
      <c r="R428" s="50">
        <f t="shared" ref="R428:S428" si="373">R400-R427</f>
        <v>75</v>
      </c>
      <c r="S428" s="51">
        <f t="shared" si="373"/>
        <v>62</v>
      </c>
      <c r="T428" s="49">
        <f>SUM(Q428:S428)</f>
        <v>183</v>
      </c>
      <c r="U428" s="28">
        <f>P428+T428</f>
        <v>366</v>
      </c>
    </row>
    <row r="431" spans="1:22" ht="19.5" thickBot="1" x14ac:dyDescent="0.25">
      <c r="A431" s="84" t="s">
        <v>31</v>
      </c>
      <c r="B431" s="85"/>
      <c r="C431" s="85"/>
      <c r="D431" s="85"/>
      <c r="E431" s="85"/>
      <c r="F431" s="85"/>
      <c r="G431" s="85"/>
      <c r="H431" s="85"/>
      <c r="I431" s="85"/>
      <c r="J431" s="85"/>
      <c r="L431" s="82" t="s">
        <v>32</v>
      </c>
      <c r="M431" s="83"/>
      <c r="N431" s="83"/>
      <c r="O431" s="83"/>
      <c r="P431" s="83"/>
      <c r="Q431" s="83"/>
      <c r="R431" s="83"/>
      <c r="S431" s="83"/>
      <c r="T431" s="83"/>
      <c r="U431" s="83">
        <v>1040</v>
      </c>
    </row>
    <row r="432" spans="1:22" ht="14.25" thickBot="1" x14ac:dyDescent="0.2">
      <c r="A432" s="6"/>
      <c r="B432" s="159" t="s">
        <v>33</v>
      </c>
      <c r="C432" s="160"/>
      <c r="D432" s="160"/>
      <c r="E432" s="161"/>
      <c r="F432" s="159" t="s">
        <v>22</v>
      </c>
      <c r="G432" s="160"/>
      <c r="H432" s="160"/>
      <c r="I432" s="162"/>
      <c r="J432" s="157" t="s">
        <v>0</v>
      </c>
      <c r="L432" s="6"/>
      <c r="M432" s="159" t="s">
        <v>33</v>
      </c>
      <c r="N432" s="160"/>
      <c r="O432" s="160"/>
      <c r="P432" s="161"/>
      <c r="Q432" s="146" t="s">
        <v>22</v>
      </c>
      <c r="R432" s="147"/>
      <c r="S432" s="147"/>
      <c r="T432" s="148"/>
      <c r="U432" s="157" t="s">
        <v>0</v>
      </c>
    </row>
    <row r="433" spans="1:23" ht="14.25" thickBot="1" x14ac:dyDescent="0.2">
      <c r="A433" s="6" t="s">
        <v>1</v>
      </c>
      <c r="B433" s="3" t="s">
        <v>2</v>
      </c>
      <c r="C433" s="4" t="s">
        <v>3</v>
      </c>
      <c r="D433" s="5" t="s">
        <v>4</v>
      </c>
      <c r="E433" s="6" t="s">
        <v>5</v>
      </c>
      <c r="F433" s="3" t="s">
        <v>2</v>
      </c>
      <c r="G433" s="4" t="s">
        <v>3</v>
      </c>
      <c r="H433" s="5" t="s">
        <v>4</v>
      </c>
      <c r="I433" s="6" t="s">
        <v>5</v>
      </c>
      <c r="J433" s="158"/>
      <c r="L433" s="6" t="s">
        <v>1</v>
      </c>
      <c r="M433" s="3" t="s">
        <v>2</v>
      </c>
      <c r="N433" s="4" t="s">
        <v>3</v>
      </c>
      <c r="O433" s="5" t="s">
        <v>4</v>
      </c>
      <c r="P433" s="6" t="s">
        <v>5</v>
      </c>
      <c r="Q433" s="3" t="s">
        <v>2</v>
      </c>
      <c r="R433" s="4" t="s">
        <v>3</v>
      </c>
      <c r="S433" s="5" t="s">
        <v>4</v>
      </c>
      <c r="T433" s="6" t="s">
        <v>5</v>
      </c>
      <c r="U433" s="158"/>
    </row>
    <row r="434" spans="1:23" ht="14.25" thickBot="1" x14ac:dyDescent="0.2">
      <c r="A434" s="66" t="s">
        <v>6</v>
      </c>
      <c r="B434" s="25">
        <f>B428</f>
        <v>0</v>
      </c>
      <c r="C434" s="26">
        <f>C428</f>
        <v>1</v>
      </c>
      <c r="D434" s="27">
        <f>D428</f>
        <v>2</v>
      </c>
      <c r="E434" s="28">
        <f>SUM(B434:D434)</f>
        <v>3</v>
      </c>
      <c r="F434" s="25">
        <f>F428</f>
        <v>1</v>
      </c>
      <c r="G434" s="26">
        <f>G428</f>
        <v>1</v>
      </c>
      <c r="H434" s="27">
        <f>H428</f>
        <v>1</v>
      </c>
      <c r="I434" s="28">
        <f>SUM(F434:H434)</f>
        <v>3</v>
      </c>
      <c r="J434" s="28">
        <f>E434+I434</f>
        <v>6</v>
      </c>
      <c r="L434" s="66" t="s">
        <v>6</v>
      </c>
      <c r="M434" s="25">
        <f>M428</f>
        <v>46</v>
      </c>
      <c r="N434" s="26">
        <f>N428</f>
        <v>75</v>
      </c>
      <c r="O434" s="27">
        <f>O428</f>
        <v>62</v>
      </c>
      <c r="P434" s="28">
        <f>SUM(M434:O434)</f>
        <v>183</v>
      </c>
      <c r="Q434" s="25">
        <f>Q428</f>
        <v>46</v>
      </c>
      <c r="R434" s="26">
        <f>R428</f>
        <v>75</v>
      </c>
      <c r="S434" s="27">
        <f>S428</f>
        <v>62</v>
      </c>
      <c r="T434" s="28">
        <f>SUM(Q434:S434)</f>
        <v>183</v>
      </c>
      <c r="U434" s="28">
        <f>P434+T434</f>
        <v>366</v>
      </c>
    </row>
    <row r="435" spans="1:23" x14ac:dyDescent="0.15">
      <c r="A435" s="23" t="s">
        <v>20</v>
      </c>
      <c r="B435" s="7">
        <v>3</v>
      </c>
      <c r="C435" s="8"/>
      <c r="D435" s="46"/>
      <c r="E435" s="10">
        <f t="shared" ref="E435" si="374">SUM(B435:D435)</f>
        <v>3</v>
      </c>
      <c r="F435" s="11">
        <v>3</v>
      </c>
      <c r="G435" s="8"/>
      <c r="H435" s="9"/>
      <c r="I435" s="10">
        <f t="shared" ref="I435" si="375">SUM(F435:H435)</f>
        <v>3</v>
      </c>
      <c r="J435" s="10">
        <f t="shared" ref="J435" si="376">E435+I435</f>
        <v>6</v>
      </c>
      <c r="K435" s="56">
        <v>45665</v>
      </c>
      <c r="L435" s="23" t="s">
        <v>7</v>
      </c>
      <c r="M435" s="16">
        <v>26</v>
      </c>
      <c r="N435" s="17">
        <v>20</v>
      </c>
      <c r="O435" s="45">
        <v>20</v>
      </c>
      <c r="P435" s="43">
        <f>SUM(M435:O435)</f>
        <v>66</v>
      </c>
      <c r="Q435" s="19">
        <v>26</v>
      </c>
      <c r="R435" s="17">
        <v>20</v>
      </c>
      <c r="S435" s="18">
        <v>20</v>
      </c>
      <c r="T435" s="43">
        <f>SUM(Q435:S435)</f>
        <v>66</v>
      </c>
      <c r="U435" s="43">
        <f>P435+T435</f>
        <v>132</v>
      </c>
      <c r="V435" s="56" t="s">
        <v>354</v>
      </c>
    </row>
    <row r="436" spans="1:23" x14ac:dyDescent="0.15">
      <c r="A436" s="23" t="s">
        <v>20</v>
      </c>
      <c r="B436" s="7">
        <v>5</v>
      </c>
      <c r="C436" s="8"/>
      <c r="D436" s="46"/>
      <c r="E436" s="10">
        <f t="shared" ref="E436:E442" si="377">SUM(B436:D436)</f>
        <v>5</v>
      </c>
      <c r="F436" s="11">
        <v>5</v>
      </c>
      <c r="G436" s="8"/>
      <c r="H436" s="9"/>
      <c r="I436" s="10">
        <f t="shared" ref="I436:I442" si="378">SUM(F436:H436)</f>
        <v>5</v>
      </c>
      <c r="J436" s="10">
        <f t="shared" ref="J436:J442" si="379">E436+I436</f>
        <v>10</v>
      </c>
      <c r="K436" s="56">
        <v>45666</v>
      </c>
      <c r="L436" s="22" t="s">
        <v>359</v>
      </c>
      <c r="M436" s="7">
        <v>9</v>
      </c>
      <c r="N436" s="8">
        <v>1</v>
      </c>
      <c r="O436" s="9">
        <v>1</v>
      </c>
      <c r="P436" s="43">
        <f t="shared" ref="P436:P437" si="380">SUM(M436:O436)</f>
        <v>11</v>
      </c>
      <c r="Q436" s="11">
        <v>9</v>
      </c>
      <c r="R436" s="8">
        <v>1</v>
      </c>
      <c r="S436" s="9">
        <v>1</v>
      </c>
      <c r="T436" s="43">
        <f t="shared" ref="T436:T437" si="381">SUM(Q436:S436)</f>
        <v>11</v>
      </c>
      <c r="U436" s="10">
        <f t="shared" ref="U436:U437" si="382">P436+T436</f>
        <v>22</v>
      </c>
      <c r="V436" s="56">
        <v>45675</v>
      </c>
    </row>
    <row r="437" spans="1:23" x14ac:dyDescent="0.15">
      <c r="A437" s="23" t="s">
        <v>77</v>
      </c>
      <c r="B437" s="7">
        <v>2</v>
      </c>
      <c r="C437" s="8">
        <v>1</v>
      </c>
      <c r="D437" s="46"/>
      <c r="E437" s="10">
        <f t="shared" si="377"/>
        <v>3</v>
      </c>
      <c r="F437" s="11">
        <v>2</v>
      </c>
      <c r="G437" s="8">
        <v>1</v>
      </c>
      <c r="H437" s="9"/>
      <c r="I437" s="10">
        <f t="shared" si="378"/>
        <v>3</v>
      </c>
      <c r="J437" s="10">
        <f t="shared" si="379"/>
        <v>6</v>
      </c>
      <c r="K437" s="56">
        <v>45667</v>
      </c>
      <c r="L437" s="22" t="s">
        <v>359</v>
      </c>
      <c r="M437" s="7">
        <v>22</v>
      </c>
      <c r="N437" s="8">
        <v>11</v>
      </c>
      <c r="O437" s="46">
        <v>3</v>
      </c>
      <c r="P437" s="10">
        <f t="shared" si="380"/>
        <v>36</v>
      </c>
      <c r="Q437" s="11">
        <v>22</v>
      </c>
      <c r="R437" s="8">
        <v>11</v>
      </c>
      <c r="S437" s="9">
        <v>3</v>
      </c>
      <c r="T437" s="10">
        <f t="shared" si="381"/>
        <v>36</v>
      </c>
      <c r="U437" s="10">
        <f t="shared" si="382"/>
        <v>72</v>
      </c>
      <c r="V437" s="58">
        <v>45689</v>
      </c>
    </row>
    <row r="438" spans="1:23" x14ac:dyDescent="0.15">
      <c r="A438" s="23" t="s">
        <v>77</v>
      </c>
      <c r="B438" s="7"/>
      <c r="C438" s="8"/>
      <c r="D438" s="46">
        <v>4</v>
      </c>
      <c r="E438" s="10">
        <f t="shared" si="377"/>
        <v>4</v>
      </c>
      <c r="F438" s="11"/>
      <c r="G438" s="8"/>
      <c r="H438" s="9">
        <v>4</v>
      </c>
      <c r="I438" s="10">
        <f t="shared" si="378"/>
        <v>4</v>
      </c>
      <c r="J438" s="10">
        <f t="shared" si="379"/>
        <v>8</v>
      </c>
      <c r="K438" s="58">
        <v>45680</v>
      </c>
      <c r="L438" s="23" t="s">
        <v>10</v>
      </c>
      <c r="M438" s="7"/>
      <c r="N438" s="8"/>
      <c r="O438" s="46"/>
      <c r="P438" s="10">
        <f t="shared" ref="P438:P439" si="383">SUM(M438:O438)</f>
        <v>0</v>
      </c>
      <c r="Q438" s="11"/>
      <c r="R438" s="8"/>
      <c r="S438" s="9"/>
      <c r="T438" s="10">
        <f t="shared" ref="T438:T439" si="384">SUM(Q438:S438)</f>
        <v>0</v>
      </c>
      <c r="U438" s="10">
        <f t="shared" ref="U438:U439" si="385">P438+T438</f>
        <v>0</v>
      </c>
    </row>
    <row r="439" spans="1:23" x14ac:dyDescent="0.15">
      <c r="A439" s="23" t="s">
        <v>77</v>
      </c>
      <c r="B439" s="7">
        <v>3</v>
      </c>
      <c r="C439" s="8">
        <v>1</v>
      </c>
      <c r="D439" s="46"/>
      <c r="E439" s="10">
        <f t="shared" si="377"/>
        <v>4</v>
      </c>
      <c r="F439" s="11">
        <v>3</v>
      </c>
      <c r="G439" s="8">
        <v>1</v>
      </c>
      <c r="H439" s="9"/>
      <c r="I439" s="10">
        <f t="shared" si="378"/>
        <v>4</v>
      </c>
      <c r="J439" s="10">
        <f t="shared" si="379"/>
        <v>8</v>
      </c>
      <c r="K439" s="56">
        <v>45680</v>
      </c>
      <c r="L439" s="23" t="s">
        <v>11</v>
      </c>
      <c r="M439" s="7"/>
      <c r="N439" s="8"/>
      <c r="O439" s="46"/>
      <c r="P439" s="10">
        <f t="shared" si="383"/>
        <v>0</v>
      </c>
      <c r="Q439" s="11"/>
      <c r="R439" s="8"/>
      <c r="S439" s="9"/>
      <c r="T439" s="10">
        <f t="shared" si="384"/>
        <v>0</v>
      </c>
      <c r="U439" s="10">
        <f t="shared" si="385"/>
        <v>0</v>
      </c>
    </row>
    <row r="440" spans="1:23" x14ac:dyDescent="0.15">
      <c r="A440" s="23" t="s">
        <v>11</v>
      </c>
      <c r="B440" s="7">
        <v>18</v>
      </c>
      <c r="C440" s="8">
        <v>9</v>
      </c>
      <c r="D440" s="46"/>
      <c r="E440" s="10">
        <f t="shared" si="377"/>
        <v>27</v>
      </c>
      <c r="F440" s="11">
        <v>18</v>
      </c>
      <c r="G440" s="8">
        <v>9</v>
      </c>
      <c r="H440" s="9"/>
      <c r="I440" s="10">
        <f t="shared" si="378"/>
        <v>27</v>
      </c>
      <c r="J440" s="10">
        <f t="shared" si="379"/>
        <v>54</v>
      </c>
      <c r="K440" s="56">
        <v>45686</v>
      </c>
      <c r="L440" s="23" t="s">
        <v>12</v>
      </c>
      <c r="M440" s="7"/>
      <c r="N440" s="8"/>
      <c r="O440" s="46"/>
      <c r="P440" s="10">
        <f t="shared" ref="P440:P441" si="386">SUM(M440:O440)</f>
        <v>0</v>
      </c>
      <c r="Q440" s="11"/>
      <c r="R440" s="8"/>
      <c r="S440" s="9"/>
      <c r="T440" s="10">
        <f t="shared" ref="T440:T441" si="387">SUM(Q440:S440)</f>
        <v>0</v>
      </c>
      <c r="U440" s="10">
        <f t="shared" ref="U440:U441" si="388">P440+T440</f>
        <v>0</v>
      </c>
    </row>
    <row r="441" spans="1:23" x14ac:dyDescent="0.15">
      <c r="A441" s="23" t="s">
        <v>77</v>
      </c>
      <c r="B441" s="12">
        <v>1</v>
      </c>
      <c r="C441" s="13">
        <v>1</v>
      </c>
      <c r="D441" s="47">
        <v>2</v>
      </c>
      <c r="E441" s="10">
        <f t="shared" si="377"/>
        <v>4</v>
      </c>
      <c r="F441" s="15">
        <v>1</v>
      </c>
      <c r="G441" s="13">
        <v>1</v>
      </c>
      <c r="H441" s="14">
        <v>2</v>
      </c>
      <c r="I441" s="10">
        <f t="shared" si="378"/>
        <v>4</v>
      </c>
      <c r="J441" s="10">
        <f t="shared" si="379"/>
        <v>8</v>
      </c>
      <c r="K441" s="58">
        <v>45687</v>
      </c>
      <c r="L441" s="23" t="s">
        <v>13</v>
      </c>
      <c r="M441" s="7"/>
      <c r="N441" s="8"/>
      <c r="O441" s="46"/>
      <c r="P441" s="10">
        <f t="shared" si="386"/>
        <v>0</v>
      </c>
      <c r="Q441" s="11"/>
      <c r="R441" s="8"/>
      <c r="S441" s="9"/>
      <c r="T441" s="10">
        <f t="shared" si="387"/>
        <v>0</v>
      </c>
      <c r="U441" s="10">
        <f t="shared" si="388"/>
        <v>0</v>
      </c>
      <c r="W441" s="61"/>
    </row>
    <row r="442" spans="1:23" ht="14.25" thickBot="1" x14ac:dyDescent="0.2">
      <c r="A442" s="23" t="s">
        <v>160</v>
      </c>
      <c r="B442" s="29"/>
      <c r="C442" s="30"/>
      <c r="D442" s="48"/>
      <c r="E442" s="55">
        <f t="shared" si="377"/>
        <v>0</v>
      </c>
      <c r="F442" s="31">
        <v>-1</v>
      </c>
      <c r="G442" s="31"/>
      <c r="H442" s="33"/>
      <c r="I442" s="55">
        <f t="shared" si="378"/>
        <v>-1</v>
      </c>
      <c r="J442" s="20">
        <f t="shared" si="379"/>
        <v>-1</v>
      </c>
      <c r="K442" s="58">
        <v>45689</v>
      </c>
      <c r="L442" s="22" t="s">
        <v>14</v>
      </c>
      <c r="M442" s="7"/>
      <c r="N442" s="8"/>
      <c r="O442" s="9"/>
      <c r="P442" s="43">
        <f t="shared" ref="P442" si="389">SUM(M442:O442)</f>
        <v>0</v>
      </c>
      <c r="Q442" s="11"/>
      <c r="R442" s="8"/>
      <c r="S442" s="9"/>
      <c r="T442" s="43">
        <f t="shared" ref="T442" si="390">SUM(Q442:S442)</f>
        <v>0</v>
      </c>
      <c r="U442" s="10">
        <f t="shared" ref="U442" si="391">P442+T442</f>
        <v>0</v>
      </c>
      <c r="V442" s="56"/>
    </row>
    <row r="443" spans="1:23" ht="14.25" thickBot="1" x14ac:dyDescent="0.2">
      <c r="A443" s="32" t="s">
        <v>15</v>
      </c>
      <c r="B443" s="25">
        <f>SUM(B434:B442)</f>
        <v>32</v>
      </c>
      <c r="C443" s="26">
        <f>SUM(C434:C442)</f>
        <v>13</v>
      </c>
      <c r="D443" s="27">
        <f>SUM(D434:D442)</f>
        <v>8</v>
      </c>
      <c r="E443" s="28">
        <f>SUM(B443:D443)</f>
        <v>53</v>
      </c>
      <c r="F443" s="25">
        <f>SUM(F434:F442)</f>
        <v>32</v>
      </c>
      <c r="G443" s="26">
        <f>SUM(G434:G442)</f>
        <v>13</v>
      </c>
      <c r="H443" s="27">
        <f>SUM(H434:H442)</f>
        <v>7</v>
      </c>
      <c r="I443" s="28">
        <f>SUM(F443:H443)</f>
        <v>52</v>
      </c>
      <c r="J443" s="28">
        <f>E443+I443</f>
        <v>105</v>
      </c>
      <c r="L443" s="32" t="s">
        <v>15</v>
      </c>
      <c r="M443" s="25">
        <f>SUM(M434:M442)</f>
        <v>103</v>
      </c>
      <c r="N443" s="26">
        <f>SUM(N434:N442)</f>
        <v>107</v>
      </c>
      <c r="O443" s="27">
        <f>SUM(O434:O442)</f>
        <v>86</v>
      </c>
      <c r="P443" s="28">
        <f>SUM(M443:O443)</f>
        <v>296</v>
      </c>
      <c r="Q443" s="25">
        <f>SUM(Q434:Q442)</f>
        <v>103</v>
      </c>
      <c r="R443" s="26">
        <f>SUM(R434:R442)</f>
        <v>107</v>
      </c>
      <c r="S443" s="27">
        <f>SUM(S434:S442)</f>
        <v>86</v>
      </c>
      <c r="T443" s="28">
        <f>SUM(Q443:S443)</f>
        <v>296</v>
      </c>
      <c r="U443" s="28">
        <f>P443+T443</f>
        <v>592</v>
      </c>
    </row>
    <row r="444" spans="1:23" x14ac:dyDescent="0.15">
      <c r="A444" s="22" t="s">
        <v>187</v>
      </c>
      <c r="B444" s="7">
        <v>1</v>
      </c>
      <c r="C444" s="8"/>
      <c r="D444" s="9"/>
      <c r="E444" s="43">
        <f t="shared" ref="E444" si="392">SUM(B444:D444)</f>
        <v>1</v>
      </c>
      <c r="F444" s="11">
        <v>1</v>
      </c>
      <c r="G444" s="8"/>
      <c r="H444" s="9"/>
      <c r="I444" s="43">
        <f t="shared" ref="I444" si="393">SUM(F444:H444)</f>
        <v>1</v>
      </c>
      <c r="J444" s="10">
        <f t="shared" ref="J444" si="394">E444+I444</f>
        <v>2</v>
      </c>
      <c r="K444" s="56">
        <v>45666</v>
      </c>
      <c r="L444" s="24" t="s">
        <v>352</v>
      </c>
      <c r="M444" s="7">
        <v>3</v>
      </c>
      <c r="N444" s="8"/>
      <c r="O444" s="9"/>
      <c r="P444" s="43">
        <f t="shared" ref="P444:P464" si="395">SUM(M444:O444)</f>
        <v>3</v>
      </c>
      <c r="Q444" s="7">
        <v>3</v>
      </c>
      <c r="R444" s="8"/>
      <c r="S444" s="9"/>
      <c r="T444" s="43">
        <f t="shared" ref="T444:T464" si="396">SUM(Q444:S444)</f>
        <v>3</v>
      </c>
      <c r="U444" s="10">
        <f t="shared" ref="U444:U464" si="397">P444+T444</f>
        <v>6</v>
      </c>
      <c r="V444" s="56">
        <v>45665</v>
      </c>
    </row>
    <row r="445" spans="1:23" x14ac:dyDescent="0.15">
      <c r="A445" s="22" t="s">
        <v>358</v>
      </c>
      <c r="B445" s="7">
        <v>9</v>
      </c>
      <c r="C445" s="8">
        <v>1</v>
      </c>
      <c r="D445" s="9">
        <v>1</v>
      </c>
      <c r="E445" s="43">
        <f t="shared" ref="E445:E448" si="398">SUM(B445:D445)</f>
        <v>11</v>
      </c>
      <c r="F445" s="11">
        <v>9</v>
      </c>
      <c r="G445" s="8">
        <v>1</v>
      </c>
      <c r="H445" s="9">
        <v>1</v>
      </c>
      <c r="I445" s="43">
        <f t="shared" ref="I445:I448" si="399">SUM(F445:H445)</f>
        <v>11</v>
      </c>
      <c r="J445" s="10">
        <f t="shared" ref="J445:J448" si="400">E445+I445</f>
        <v>22</v>
      </c>
      <c r="K445" s="56">
        <v>45675</v>
      </c>
      <c r="L445" s="24" t="s">
        <v>286</v>
      </c>
      <c r="M445" s="7"/>
      <c r="N445" s="8">
        <v>18</v>
      </c>
      <c r="O445" s="9">
        <v>11</v>
      </c>
      <c r="P445" s="43">
        <f t="shared" si="395"/>
        <v>29</v>
      </c>
      <c r="Q445" s="7"/>
      <c r="R445" s="8">
        <v>18</v>
      </c>
      <c r="S445" s="9">
        <v>11</v>
      </c>
      <c r="T445" s="43">
        <f t="shared" si="396"/>
        <v>29</v>
      </c>
      <c r="U445" s="10">
        <f t="shared" si="397"/>
        <v>58</v>
      </c>
      <c r="V445" s="56">
        <v>45667</v>
      </c>
      <c r="W445" s="61"/>
    </row>
    <row r="446" spans="1:23" x14ac:dyDescent="0.15">
      <c r="A446" s="24" t="s">
        <v>364</v>
      </c>
      <c r="B446" s="7"/>
      <c r="C446" s="8"/>
      <c r="D446" s="9">
        <v>2</v>
      </c>
      <c r="E446" s="43">
        <f t="shared" si="398"/>
        <v>2</v>
      </c>
      <c r="F446" s="11"/>
      <c r="G446" s="8"/>
      <c r="H446" s="9">
        <v>2</v>
      </c>
      <c r="I446" s="43">
        <f t="shared" si="399"/>
        <v>2</v>
      </c>
      <c r="J446" s="10">
        <f t="shared" si="400"/>
        <v>4</v>
      </c>
      <c r="K446" s="56">
        <v>45687</v>
      </c>
      <c r="L446" s="24" t="s">
        <v>37</v>
      </c>
      <c r="M446" s="7">
        <v>5</v>
      </c>
      <c r="N446" s="8"/>
      <c r="O446" s="9"/>
      <c r="P446" s="43">
        <f t="shared" si="395"/>
        <v>5</v>
      </c>
      <c r="Q446" s="7">
        <v>5</v>
      </c>
      <c r="R446" s="8"/>
      <c r="S446" s="9"/>
      <c r="T446" s="43">
        <f t="shared" si="396"/>
        <v>5</v>
      </c>
      <c r="U446" s="10">
        <f t="shared" si="397"/>
        <v>10</v>
      </c>
      <c r="V446" s="56">
        <v>45666</v>
      </c>
      <c r="W446" s="61"/>
    </row>
    <row r="447" spans="1:23" x14ac:dyDescent="0.15">
      <c r="A447" s="24" t="s">
        <v>367</v>
      </c>
      <c r="B447" s="7"/>
      <c r="C447" s="8">
        <v>1</v>
      </c>
      <c r="D447" s="9">
        <v>1</v>
      </c>
      <c r="E447" s="43">
        <f t="shared" si="398"/>
        <v>2</v>
      </c>
      <c r="F447" s="11"/>
      <c r="G447" s="8">
        <v>1</v>
      </c>
      <c r="H447" s="9">
        <v>1</v>
      </c>
      <c r="I447" s="43">
        <f t="shared" si="399"/>
        <v>2</v>
      </c>
      <c r="J447" s="10">
        <f t="shared" si="400"/>
        <v>4</v>
      </c>
      <c r="K447" s="56">
        <v>45691</v>
      </c>
      <c r="L447" s="24" t="s">
        <v>350</v>
      </c>
      <c r="M447" s="7">
        <v>5</v>
      </c>
      <c r="N447" s="8">
        <v>4</v>
      </c>
      <c r="O447" s="9">
        <v>6</v>
      </c>
      <c r="P447" s="43">
        <f t="shared" si="395"/>
        <v>15</v>
      </c>
      <c r="Q447" s="7">
        <v>5</v>
      </c>
      <c r="R447" s="8">
        <v>4</v>
      </c>
      <c r="S447" s="9">
        <v>6</v>
      </c>
      <c r="T447" s="43">
        <f t="shared" si="396"/>
        <v>15</v>
      </c>
      <c r="U447" s="10">
        <f t="shared" si="397"/>
        <v>30</v>
      </c>
      <c r="V447" s="56">
        <v>45667</v>
      </c>
    </row>
    <row r="448" spans="1:23" x14ac:dyDescent="0.15">
      <c r="A448" s="22" t="s">
        <v>314</v>
      </c>
      <c r="B448" s="7">
        <v>22</v>
      </c>
      <c r="C448" s="8">
        <v>11</v>
      </c>
      <c r="D448" s="9">
        <v>3</v>
      </c>
      <c r="E448" s="43">
        <f t="shared" si="398"/>
        <v>36</v>
      </c>
      <c r="F448" s="11">
        <v>22</v>
      </c>
      <c r="G448" s="8">
        <v>11</v>
      </c>
      <c r="H448" s="9">
        <v>3</v>
      </c>
      <c r="I448" s="43">
        <f t="shared" si="399"/>
        <v>36</v>
      </c>
      <c r="J448" s="10">
        <f t="shared" si="400"/>
        <v>72</v>
      </c>
      <c r="K448" s="56">
        <v>45689</v>
      </c>
      <c r="L448" s="24" t="s">
        <v>289</v>
      </c>
      <c r="M448" s="7">
        <v>2</v>
      </c>
      <c r="N448" s="8">
        <v>9</v>
      </c>
      <c r="O448" s="9">
        <v>6</v>
      </c>
      <c r="P448" s="43">
        <f t="shared" si="395"/>
        <v>17</v>
      </c>
      <c r="Q448" s="7">
        <v>2</v>
      </c>
      <c r="R448" s="8">
        <v>9</v>
      </c>
      <c r="S448" s="9">
        <v>6</v>
      </c>
      <c r="T448" s="43">
        <f t="shared" si="396"/>
        <v>17</v>
      </c>
      <c r="U448" s="10">
        <f t="shared" si="397"/>
        <v>34</v>
      </c>
      <c r="V448" s="56">
        <v>45671</v>
      </c>
    </row>
    <row r="449" spans="1:24" x14ac:dyDescent="0.15">
      <c r="A449" s="24"/>
      <c r="B449" s="7"/>
      <c r="C449" s="8"/>
      <c r="D449" s="9"/>
      <c r="E449" s="43">
        <f t="shared" ref="E449:E470" si="401">SUM(B449:D449)</f>
        <v>0</v>
      </c>
      <c r="F449" s="11"/>
      <c r="G449" s="8"/>
      <c r="H449" s="9"/>
      <c r="I449" s="43">
        <f t="shared" ref="I449:I470" si="402">SUM(F449:H449)</f>
        <v>0</v>
      </c>
      <c r="J449" s="10">
        <f t="shared" ref="J449:J467" si="403">E449+I449</f>
        <v>0</v>
      </c>
      <c r="K449" s="61"/>
      <c r="L449" s="24" t="s">
        <v>302</v>
      </c>
      <c r="M449" s="7">
        <v>9</v>
      </c>
      <c r="N449" s="8">
        <v>4</v>
      </c>
      <c r="O449" s="9"/>
      <c r="P449" s="43">
        <f t="shared" si="395"/>
        <v>13</v>
      </c>
      <c r="Q449" s="7">
        <v>9</v>
      </c>
      <c r="R449" s="8">
        <v>4</v>
      </c>
      <c r="S449" s="9"/>
      <c r="T449" s="43">
        <f t="shared" si="396"/>
        <v>13</v>
      </c>
      <c r="U449" s="10">
        <f t="shared" si="397"/>
        <v>26</v>
      </c>
      <c r="V449" s="56">
        <v>45673</v>
      </c>
      <c r="W449" s="61"/>
    </row>
    <row r="450" spans="1:24" x14ac:dyDescent="0.15">
      <c r="A450" s="22"/>
      <c r="B450" s="7"/>
      <c r="C450" s="8"/>
      <c r="D450" s="9"/>
      <c r="E450" s="43">
        <f t="shared" si="401"/>
        <v>0</v>
      </c>
      <c r="F450" s="11"/>
      <c r="G450" s="8"/>
      <c r="H450" s="9"/>
      <c r="I450" s="43">
        <f t="shared" si="402"/>
        <v>0</v>
      </c>
      <c r="J450" s="10">
        <f t="shared" si="403"/>
        <v>0</v>
      </c>
      <c r="K450" s="61"/>
      <c r="L450" s="24" t="s">
        <v>306</v>
      </c>
      <c r="M450" s="7">
        <v>12</v>
      </c>
      <c r="N450" s="8">
        <v>5</v>
      </c>
      <c r="O450" s="9">
        <v>6</v>
      </c>
      <c r="P450" s="43">
        <f t="shared" si="395"/>
        <v>23</v>
      </c>
      <c r="Q450" s="7">
        <v>12</v>
      </c>
      <c r="R450" s="8">
        <v>5</v>
      </c>
      <c r="S450" s="9">
        <v>6</v>
      </c>
      <c r="T450" s="43">
        <f t="shared" si="396"/>
        <v>23</v>
      </c>
      <c r="U450" s="10">
        <f t="shared" si="397"/>
        <v>46</v>
      </c>
      <c r="V450" s="56">
        <v>45674</v>
      </c>
      <c r="W450" s="61"/>
      <c r="X450" s="61"/>
    </row>
    <row r="451" spans="1:24" x14ac:dyDescent="0.15">
      <c r="A451" s="22"/>
      <c r="B451" s="7"/>
      <c r="C451" s="8"/>
      <c r="D451" s="9"/>
      <c r="E451" s="43">
        <f t="shared" si="401"/>
        <v>0</v>
      </c>
      <c r="F451" s="11"/>
      <c r="G451" s="8"/>
      <c r="H451" s="9"/>
      <c r="I451" s="43">
        <f t="shared" si="402"/>
        <v>0</v>
      </c>
      <c r="J451" s="10">
        <f t="shared" si="403"/>
        <v>0</v>
      </c>
      <c r="K451" s="61"/>
      <c r="L451" s="24" t="s">
        <v>296</v>
      </c>
      <c r="M451" s="7">
        <v>3</v>
      </c>
      <c r="N451" s="8">
        <v>5</v>
      </c>
      <c r="O451" s="9">
        <v>6</v>
      </c>
      <c r="P451" s="43">
        <f t="shared" si="395"/>
        <v>14</v>
      </c>
      <c r="Q451" s="7">
        <v>3</v>
      </c>
      <c r="R451" s="8">
        <v>5</v>
      </c>
      <c r="S451" s="9">
        <v>6</v>
      </c>
      <c r="T451" s="43">
        <f t="shared" si="396"/>
        <v>14</v>
      </c>
      <c r="U451" s="10">
        <f t="shared" si="397"/>
        <v>28</v>
      </c>
      <c r="V451" s="56">
        <v>45674</v>
      </c>
      <c r="W451" s="61"/>
      <c r="X451" s="61"/>
    </row>
    <row r="452" spans="1:24" x14ac:dyDescent="0.15">
      <c r="A452" s="22"/>
      <c r="B452" s="7"/>
      <c r="C452" s="8"/>
      <c r="D452" s="9"/>
      <c r="E452" s="43">
        <f t="shared" si="401"/>
        <v>0</v>
      </c>
      <c r="F452" s="11"/>
      <c r="G452" s="8"/>
      <c r="H452" s="9"/>
      <c r="I452" s="43">
        <f t="shared" si="402"/>
        <v>0</v>
      </c>
      <c r="J452" s="10">
        <f t="shared" si="403"/>
        <v>0</v>
      </c>
      <c r="L452" s="24" t="s">
        <v>297</v>
      </c>
      <c r="M452" s="7">
        <v>5</v>
      </c>
      <c r="N452" s="8">
        <v>5</v>
      </c>
      <c r="O452" s="9">
        <v>4</v>
      </c>
      <c r="P452" s="43">
        <f t="shared" si="395"/>
        <v>14</v>
      </c>
      <c r="Q452" s="7">
        <v>5</v>
      </c>
      <c r="R452" s="8">
        <v>5</v>
      </c>
      <c r="S452" s="9">
        <v>4</v>
      </c>
      <c r="T452" s="43">
        <f t="shared" si="396"/>
        <v>14</v>
      </c>
      <c r="U452" s="10">
        <f t="shared" si="397"/>
        <v>28</v>
      </c>
      <c r="V452" s="56">
        <v>45677</v>
      </c>
      <c r="W452" s="61"/>
      <c r="X452" s="61"/>
    </row>
    <row r="453" spans="1:24" x14ac:dyDescent="0.15">
      <c r="A453" s="22"/>
      <c r="B453" s="12"/>
      <c r="C453" s="13"/>
      <c r="D453" s="14"/>
      <c r="E453" s="43">
        <f t="shared" si="401"/>
        <v>0</v>
      </c>
      <c r="F453" s="15"/>
      <c r="G453" s="13"/>
      <c r="H453" s="14"/>
      <c r="I453" s="43">
        <f t="shared" si="402"/>
        <v>0</v>
      </c>
      <c r="J453" s="10">
        <f t="shared" si="403"/>
        <v>0</v>
      </c>
      <c r="L453" s="24" t="s">
        <v>362</v>
      </c>
      <c r="M453" s="7">
        <v>5</v>
      </c>
      <c r="N453" s="8">
        <v>7</v>
      </c>
      <c r="O453" s="9">
        <v>4</v>
      </c>
      <c r="P453" s="43">
        <f t="shared" si="395"/>
        <v>16</v>
      </c>
      <c r="Q453" s="7">
        <v>5</v>
      </c>
      <c r="R453" s="8">
        <v>7</v>
      </c>
      <c r="S453" s="9">
        <v>4</v>
      </c>
      <c r="T453" s="43">
        <f t="shared" si="396"/>
        <v>16</v>
      </c>
      <c r="U453" s="10">
        <f t="shared" si="397"/>
        <v>32</v>
      </c>
      <c r="V453" s="56">
        <v>45679</v>
      </c>
      <c r="W453" s="61"/>
      <c r="X453" s="61"/>
    </row>
    <row r="454" spans="1:24" x14ac:dyDescent="0.15">
      <c r="A454" s="22"/>
      <c r="B454" s="7"/>
      <c r="C454" s="8"/>
      <c r="D454" s="9"/>
      <c r="E454" s="43">
        <f t="shared" si="401"/>
        <v>0</v>
      </c>
      <c r="F454" s="11"/>
      <c r="G454" s="8"/>
      <c r="H454" s="9"/>
      <c r="I454" s="43">
        <f t="shared" si="402"/>
        <v>0</v>
      </c>
      <c r="J454" s="10">
        <f t="shared" si="403"/>
        <v>0</v>
      </c>
      <c r="L454" s="24" t="s">
        <v>356</v>
      </c>
      <c r="M454" s="7">
        <v>3</v>
      </c>
      <c r="N454" s="8">
        <v>4</v>
      </c>
      <c r="O454" s="9"/>
      <c r="P454" s="43">
        <f t="shared" si="395"/>
        <v>7</v>
      </c>
      <c r="Q454" s="7">
        <v>3</v>
      </c>
      <c r="R454" s="8">
        <v>4</v>
      </c>
      <c r="S454" s="9"/>
      <c r="T454" s="43">
        <f t="shared" si="396"/>
        <v>7</v>
      </c>
      <c r="U454" s="10">
        <f t="shared" si="397"/>
        <v>14</v>
      </c>
      <c r="V454" s="56">
        <v>45680</v>
      </c>
      <c r="W454" s="61"/>
    </row>
    <row r="455" spans="1:24" x14ac:dyDescent="0.15">
      <c r="A455" s="22"/>
      <c r="B455" s="7"/>
      <c r="C455" s="8"/>
      <c r="D455" s="9"/>
      <c r="E455" s="43">
        <f t="shared" si="401"/>
        <v>0</v>
      </c>
      <c r="F455" s="11"/>
      <c r="G455" s="8"/>
      <c r="H455" s="9"/>
      <c r="I455" s="43">
        <f t="shared" si="402"/>
        <v>0</v>
      </c>
      <c r="J455" s="10">
        <f t="shared" si="403"/>
        <v>0</v>
      </c>
      <c r="L455" s="24" t="s">
        <v>357</v>
      </c>
      <c r="M455" s="7">
        <v>2</v>
      </c>
      <c r="N455" s="8">
        <v>2</v>
      </c>
      <c r="O455" s="9"/>
      <c r="P455" s="43">
        <f t="shared" si="395"/>
        <v>4</v>
      </c>
      <c r="Q455" s="7">
        <v>2</v>
      </c>
      <c r="R455" s="8">
        <v>2</v>
      </c>
      <c r="S455" s="9"/>
      <c r="T455" s="43">
        <f t="shared" si="396"/>
        <v>4</v>
      </c>
      <c r="U455" s="10">
        <f t="shared" si="397"/>
        <v>8</v>
      </c>
      <c r="V455" s="56">
        <v>45681</v>
      </c>
      <c r="W455" s="61"/>
    </row>
    <row r="456" spans="1:24" x14ac:dyDescent="0.15">
      <c r="A456" s="22"/>
      <c r="B456" s="7"/>
      <c r="C456" s="8"/>
      <c r="D456" s="9"/>
      <c r="E456" s="43">
        <f t="shared" si="401"/>
        <v>0</v>
      </c>
      <c r="F456" s="11"/>
      <c r="G456" s="8"/>
      <c r="H456" s="9"/>
      <c r="I456" s="43">
        <f t="shared" si="402"/>
        <v>0</v>
      </c>
      <c r="J456" s="10">
        <f t="shared" si="403"/>
        <v>0</v>
      </c>
      <c r="L456" s="24" t="s">
        <v>301</v>
      </c>
      <c r="M456" s="7"/>
      <c r="N456" s="8"/>
      <c r="O456" s="9">
        <v>3</v>
      </c>
      <c r="P456" s="43">
        <f t="shared" si="395"/>
        <v>3</v>
      </c>
      <c r="Q456" s="7"/>
      <c r="R456" s="8"/>
      <c r="S456" s="9">
        <v>3</v>
      </c>
      <c r="T456" s="43">
        <f t="shared" si="396"/>
        <v>3</v>
      </c>
      <c r="U456" s="10">
        <f t="shared" si="397"/>
        <v>6</v>
      </c>
      <c r="V456" s="56">
        <v>45686</v>
      </c>
      <c r="W456" s="61"/>
    </row>
    <row r="457" spans="1:24" x14ac:dyDescent="0.15">
      <c r="A457" s="22"/>
      <c r="B457" s="7"/>
      <c r="C457" s="8"/>
      <c r="D457" s="9"/>
      <c r="E457" s="43">
        <f t="shared" si="401"/>
        <v>0</v>
      </c>
      <c r="F457" s="11"/>
      <c r="G457" s="8"/>
      <c r="H457" s="9"/>
      <c r="I457" s="43">
        <f t="shared" si="402"/>
        <v>0</v>
      </c>
      <c r="J457" s="10">
        <f t="shared" si="403"/>
        <v>0</v>
      </c>
      <c r="L457" s="24" t="s">
        <v>365</v>
      </c>
      <c r="M457" s="7"/>
      <c r="N457" s="8">
        <v>1</v>
      </c>
      <c r="O457" s="9">
        <v>2</v>
      </c>
      <c r="P457" s="43">
        <f t="shared" si="395"/>
        <v>3</v>
      </c>
      <c r="Q457" s="7"/>
      <c r="R457" s="8">
        <v>1</v>
      </c>
      <c r="S457" s="9">
        <v>2</v>
      </c>
      <c r="T457" s="43">
        <f t="shared" si="396"/>
        <v>3</v>
      </c>
      <c r="U457" s="10">
        <f t="shared" si="397"/>
        <v>6</v>
      </c>
      <c r="V457" s="56">
        <v>45688</v>
      </c>
      <c r="W457" s="61"/>
    </row>
    <row r="458" spans="1:24" x14ac:dyDescent="0.15">
      <c r="A458" s="22"/>
      <c r="B458" s="7"/>
      <c r="C458" s="8"/>
      <c r="D458" s="9"/>
      <c r="E458" s="43">
        <f t="shared" si="401"/>
        <v>0</v>
      </c>
      <c r="F458" s="11"/>
      <c r="G458" s="8"/>
      <c r="H458" s="9"/>
      <c r="I458" s="43">
        <f t="shared" si="402"/>
        <v>0</v>
      </c>
      <c r="J458" s="10">
        <f t="shared" si="403"/>
        <v>0</v>
      </c>
      <c r="K458" s="61"/>
      <c r="L458" s="24" t="s">
        <v>305</v>
      </c>
      <c r="M458" s="7"/>
      <c r="N458" s="8"/>
      <c r="O458" s="9">
        <v>1</v>
      </c>
      <c r="P458" s="43">
        <f t="shared" si="395"/>
        <v>1</v>
      </c>
      <c r="Q458" s="7"/>
      <c r="R458" s="8"/>
      <c r="S458" s="9">
        <v>1</v>
      </c>
      <c r="T458" s="43">
        <f t="shared" si="396"/>
        <v>1</v>
      </c>
      <c r="U458" s="10">
        <f t="shared" si="397"/>
        <v>2</v>
      </c>
      <c r="V458" s="56">
        <v>45688</v>
      </c>
      <c r="W458" s="61"/>
    </row>
    <row r="459" spans="1:24" x14ac:dyDescent="0.15">
      <c r="A459" s="22"/>
      <c r="B459" s="7"/>
      <c r="C459" s="8"/>
      <c r="D459" s="9"/>
      <c r="E459" s="43">
        <f t="shared" si="401"/>
        <v>0</v>
      </c>
      <c r="F459" s="11"/>
      <c r="G459" s="8"/>
      <c r="H459" s="9"/>
      <c r="I459" s="43">
        <f t="shared" si="402"/>
        <v>0</v>
      </c>
      <c r="J459" s="10">
        <f t="shared" si="403"/>
        <v>0</v>
      </c>
      <c r="K459" s="61"/>
      <c r="L459" s="24" t="s">
        <v>369</v>
      </c>
      <c r="M459" s="7">
        <v>1</v>
      </c>
      <c r="N459" s="8">
        <v>4</v>
      </c>
      <c r="O459" s="9">
        <v>1</v>
      </c>
      <c r="P459" s="43">
        <f t="shared" si="395"/>
        <v>6</v>
      </c>
      <c r="Q459" s="7">
        <v>1</v>
      </c>
      <c r="R459" s="8">
        <v>4</v>
      </c>
      <c r="S459" s="9">
        <v>1</v>
      </c>
      <c r="T459" s="43">
        <f t="shared" si="396"/>
        <v>6</v>
      </c>
      <c r="U459" s="10">
        <f t="shared" si="397"/>
        <v>12</v>
      </c>
      <c r="V459" s="56">
        <v>45693</v>
      </c>
      <c r="W459" s="61"/>
    </row>
    <row r="460" spans="1:24" x14ac:dyDescent="0.15">
      <c r="A460" s="24"/>
      <c r="B460" s="7"/>
      <c r="C460" s="8"/>
      <c r="D460" s="9"/>
      <c r="E460" s="43">
        <f t="shared" si="401"/>
        <v>0</v>
      </c>
      <c r="F460" s="11"/>
      <c r="G460" s="8"/>
      <c r="H460" s="9"/>
      <c r="I460" s="43">
        <f t="shared" si="402"/>
        <v>0</v>
      </c>
      <c r="J460" s="10">
        <f t="shared" si="403"/>
        <v>0</v>
      </c>
      <c r="K460" s="61"/>
      <c r="L460" s="24" t="s">
        <v>310</v>
      </c>
      <c r="M460" s="7">
        <v>2</v>
      </c>
      <c r="N460" s="8">
        <v>1</v>
      </c>
      <c r="O460" s="9">
        <v>1</v>
      </c>
      <c r="P460" s="43">
        <f t="shared" si="395"/>
        <v>4</v>
      </c>
      <c r="Q460" s="7">
        <v>2</v>
      </c>
      <c r="R460" s="8">
        <v>1</v>
      </c>
      <c r="S460" s="9">
        <v>1</v>
      </c>
      <c r="T460" s="43">
        <f t="shared" si="396"/>
        <v>4</v>
      </c>
      <c r="U460" s="10">
        <f t="shared" si="397"/>
        <v>8</v>
      </c>
      <c r="V460" s="56">
        <v>45694</v>
      </c>
      <c r="W460" s="61"/>
    </row>
    <row r="461" spans="1:24" x14ac:dyDescent="0.15">
      <c r="A461" s="22"/>
      <c r="B461" s="7"/>
      <c r="C461" s="8"/>
      <c r="D461" s="9"/>
      <c r="E461" s="43">
        <f t="shared" si="401"/>
        <v>0</v>
      </c>
      <c r="F461" s="11"/>
      <c r="G461" s="8"/>
      <c r="H461" s="9"/>
      <c r="I461" s="43">
        <f t="shared" si="402"/>
        <v>0</v>
      </c>
      <c r="J461" s="10">
        <f t="shared" si="403"/>
        <v>0</v>
      </c>
      <c r="K461" s="61"/>
      <c r="L461" s="24" t="s">
        <v>373</v>
      </c>
      <c r="M461" s="7">
        <v>1</v>
      </c>
      <c r="N461" s="8"/>
      <c r="O461" s="9">
        <v>1</v>
      </c>
      <c r="P461" s="43">
        <f t="shared" si="395"/>
        <v>2</v>
      </c>
      <c r="Q461" s="7">
        <v>1</v>
      </c>
      <c r="R461" s="8"/>
      <c r="S461" s="9">
        <v>1</v>
      </c>
      <c r="T461" s="43">
        <f t="shared" si="396"/>
        <v>2</v>
      </c>
      <c r="U461" s="10">
        <f t="shared" si="397"/>
        <v>4</v>
      </c>
      <c r="V461" s="56">
        <v>45695</v>
      </c>
      <c r="W461" s="61"/>
    </row>
    <row r="462" spans="1:24" x14ac:dyDescent="0.15">
      <c r="A462" s="23"/>
      <c r="B462" s="7"/>
      <c r="C462" s="8"/>
      <c r="D462" s="9"/>
      <c r="E462" s="43">
        <f t="shared" si="401"/>
        <v>0</v>
      </c>
      <c r="F462" s="11"/>
      <c r="G462" s="8"/>
      <c r="H462" s="9"/>
      <c r="I462" s="43">
        <f t="shared" si="402"/>
        <v>0</v>
      </c>
      <c r="J462" s="10">
        <f t="shared" si="403"/>
        <v>0</v>
      </c>
      <c r="K462" s="61"/>
      <c r="L462" s="24" t="s">
        <v>313</v>
      </c>
      <c r="M462" s="7">
        <v>1</v>
      </c>
      <c r="N462" s="8">
        <v>3</v>
      </c>
      <c r="O462" s="9">
        <v>2</v>
      </c>
      <c r="P462" s="43">
        <f t="shared" si="395"/>
        <v>6</v>
      </c>
      <c r="Q462" s="7">
        <v>1</v>
      </c>
      <c r="R462" s="8">
        <v>3</v>
      </c>
      <c r="S462" s="9">
        <v>2</v>
      </c>
      <c r="T462" s="43">
        <f t="shared" si="396"/>
        <v>6</v>
      </c>
      <c r="U462" s="10">
        <f t="shared" si="397"/>
        <v>12</v>
      </c>
      <c r="V462" s="56">
        <v>45695</v>
      </c>
    </row>
    <row r="463" spans="1:24" x14ac:dyDescent="0.15">
      <c r="A463" s="22"/>
      <c r="B463" s="7"/>
      <c r="C463" s="8"/>
      <c r="D463" s="9"/>
      <c r="E463" s="43">
        <f t="shared" si="401"/>
        <v>0</v>
      </c>
      <c r="F463" s="11"/>
      <c r="G463" s="8"/>
      <c r="H463" s="9"/>
      <c r="I463" s="43">
        <f t="shared" si="402"/>
        <v>0</v>
      </c>
      <c r="J463" s="10">
        <f t="shared" si="403"/>
        <v>0</v>
      </c>
      <c r="L463" s="24" t="s">
        <v>318</v>
      </c>
      <c r="M463" s="7"/>
      <c r="N463" s="8">
        <v>8</v>
      </c>
      <c r="O463" s="9">
        <v>9</v>
      </c>
      <c r="P463" s="43">
        <f t="shared" si="395"/>
        <v>17</v>
      </c>
      <c r="Q463" s="11"/>
      <c r="R463" s="8">
        <v>8</v>
      </c>
      <c r="S463" s="9">
        <v>9</v>
      </c>
      <c r="T463" s="43">
        <f t="shared" si="396"/>
        <v>17</v>
      </c>
      <c r="U463" s="10">
        <f t="shared" si="397"/>
        <v>34</v>
      </c>
      <c r="V463" s="56">
        <v>45700</v>
      </c>
    </row>
    <row r="464" spans="1:24" x14ac:dyDescent="0.15">
      <c r="A464" s="24"/>
      <c r="B464" s="7"/>
      <c r="C464" s="8"/>
      <c r="D464" s="9"/>
      <c r="E464" s="43">
        <f t="shared" si="401"/>
        <v>0</v>
      </c>
      <c r="F464" s="11"/>
      <c r="G464" s="8"/>
      <c r="H464" s="9"/>
      <c r="I464" s="43">
        <f t="shared" si="402"/>
        <v>0</v>
      </c>
      <c r="J464" s="10">
        <f t="shared" si="403"/>
        <v>0</v>
      </c>
      <c r="L464" s="24" t="s">
        <v>379</v>
      </c>
      <c r="M464" s="7">
        <v>4</v>
      </c>
      <c r="N464" s="8">
        <v>2</v>
      </c>
      <c r="O464" s="9"/>
      <c r="P464" s="43">
        <f t="shared" si="395"/>
        <v>6</v>
      </c>
      <c r="Q464" s="11">
        <v>4</v>
      </c>
      <c r="R464" s="8">
        <v>2</v>
      </c>
      <c r="S464" s="9"/>
      <c r="T464" s="43">
        <f t="shared" si="396"/>
        <v>6</v>
      </c>
      <c r="U464" s="10">
        <f t="shared" si="397"/>
        <v>12</v>
      </c>
      <c r="V464" s="56">
        <v>45702</v>
      </c>
    </row>
    <row r="465" spans="1:22" x14ac:dyDescent="0.15">
      <c r="A465" s="22"/>
      <c r="B465" s="12"/>
      <c r="C465" s="13"/>
      <c r="D465" s="14"/>
      <c r="E465" s="43">
        <f t="shared" si="401"/>
        <v>0</v>
      </c>
      <c r="F465" s="15"/>
      <c r="G465" s="13"/>
      <c r="H465" s="14"/>
      <c r="I465" s="43">
        <f t="shared" si="402"/>
        <v>0</v>
      </c>
      <c r="J465" s="10">
        <f t="shared" si="403"/>
        <v>0</v>
      </c>
      <c r="L465" s="24"/>
      <c r="M465" s="7"/>
      <c r="N465" s="8"/>
      <c r="O465" s="9"/>
      <c r="P465" s="43">
        <f t="shared" ref="P465:P470" si="404">SUM(M465:O465)</f>
        <v>0</v>
      </c>
      <c r="Q465" s="7"/>
      <c r="R465" s="8"/>
      <c r="S465" s="9"/>
      <c r="T465" s="43">
        <f t="shared" ref="T465:T470" si="405">SUM(Q465:S465)</f>
        <v>0</v>
      </c>
      <c r="U465" s="10">
        <f t="shared" ref="U465" si="406">P465+T465</f>
        <v>0</v>
      </c>
    </row>
    <row r="466" spans="1:22" x14ac:dyDescent="0.15">
      <c r="A466" s="22"/>
      <c r="B466" s="7"/>
      <c r="C466" s="8"/>
      <c r="D466" s="9"/>
      <c r="E466" s="43">
        <f t="shared" si="401"/>
        <v>0</v>
      </c>
      <c r="F466" s="11"/>
      <c r="G466" s="8"/>
      <c r="H466" s="9"/>
      <c r="I466" s="43">
        <f t="shared" si="402"/>
        <v>0</v>
      </c>
      <c r="J466" s="10">
        <f t="shared" si="403"/>
        <v>0</v>
      </c>
      <c r="L466" s="24"/>
      <c r="M466" s="7"/>
      <c r="N466" s="8"/>
      <c r="O466" s="9"/>
      <c r="P466" s="43">
        <f t="shared" ref="P466" si="407">SUM(M466:O466)</f>
        <v>0</v>
      </c>
      <c r="Q466" s="7"/>
      <c r="R466" s="8"/>
      <c r="S466" s="9"/>
      <c r="T466" s="43">
        <f t="shared" ref="T466" si="408">SUM(Q466:S466)</f>
        <v>0</v>
      </c>
      <c r="U466" s="10">
        <f t="shared" ref="U466" si="409">P466+T466</f>
        <v>0</v>
      </c>
    </row>
    <row r="467" spans="1:22" x14ac:dyDescent="0.15">
      <c r="A467" s="22"/>
      <c r="B467" s="7"/>
      <c r="C467" s="8"/>
      <c r="D467" s="9"/>
      <c r="E467" s="43">
        <f t="shared" si="401"/>
        <v>0</v>
      </c>
      <c r="F467" s="11"/>
      <c r="G467" s="8"/>
      <c r="H467" s="9"/>
      <c r="I467" s="43">
        <f t="shared" si="402"/>
        <v>0</v>
      </c>
      <c r="J467" s="10">
        <f t="shared" si="403"/>
        <v>0</v>
      </c>
      <c r="L467" s="24"/>
      <c r="M467" s="7"/>
      <c r="N467" s="8"/>
      <c r="O467" s="9"/>
      <c r="P467" s="43">
        <f t="shared" ref="P467" si="410">SUM(M467:O467)</f>
        <v>0</v>
      </c>
      <c r="Q467" s="7"/>
      <c r="R467" s="8"/>
      <c r="S467" s="9"/>
      <c r="T467" s="43">
        <f t="shared" ref="T467" si="411">SUM(Q467:S467)</f>
        <v>0</v>
      </c>
      <c r="U467" s="10">
        <f t="shared" ref="U467" si="412">P467+T467</f>
        <v>0</v>
      </c>
    </row>
    <row r="468" spans="1:22" x14ac:dyDescent="0.15">
      <c r="A468" s="22"/>
      <c r="B468" s="7"/>
      <c r="C468" s="8"/>
      <c r="D468" s="9"/>
      <c r="E468" s="43">
        <f t="shared" ref="E468:E469" si="413">SUM(B468:D468)</f>
        <v>0</v>
      </c>
      <c r="F468" s="11"/>
      <c r="G468" s="8"/>
      <c r="H468" s="9"/>
      <c r="I468" s="43">
        <f t="shared" ref="I468:I469" si="414">SUM(F468:H468)</f>
        <v>0</v>
      </c>
      <c r="J468" s="10">
        <f t="shared" ref="J468:J469" si="415">E468+I468</f>
        <v>0</v>
      </c>
      <c r="L468" s="24" t="s">
        <v>340</v>
      </c>
      <c r="M468" s="7"/>
      <c r="N468" s="8"/>
      <c r="O468" s="9"/>
      <c r="P468" s="43">
        <f t="shared" si="404"/>
        <v>0</v>
      </c>
      <c r="Q468" s="11"/>
      <c r="R468" s="8"/>
      <c r="S468" s="9"/>
      <c r="T468" s="43">
        <f t="shared" si="405"/>
        <v>0</v>
      </c>
      <c r="U468" s="10">
        <f t="shared" ref="U468:U469" si="416">P468+T468</f>
        <v>0</v>
      </c>
      <c r="V468" s="61" t="s">
        <v>341</v>
      </c>
    </row>
    <row r="469" spans="1:22" ht="14.25" thickBot="1" x14ac:dyDescent="0.2">
      <c r="A469" s="22"/>
      <c r="B469" s="7"/>
      <c r="C469" s="8"/>
      <c r="D469" s="9"/>
      <c r="E469" s="43">
        <f t="shared" si="413"/>
        <v>0</v>
      </c>
      <c r="F469" s="11"/>
      <c r="G469" s="8"/>
      <c r="H469" s="9"/>
      <c r="I469" s="43">
        <f t="shared" si="414"/>
        <v>0</v>
      </c>
      <c r="J469" s="10">
        <f t="shared" si="415"/>
        <v>0</v>
      </c>
      <c r="L469" s="24" t="s">
        <v>342</v>
      </c>
      <c r="M469" s="7"/>
      <c r="N469" s="8"/>
      <c r="O469" s="9"/>
      <c r="P469" s="43">
        <f t="shared" si="404"/>
        <v>0</v>
      </c>
      <c r="Q469" s="11"/>
      <c r="R469" s="8"/>
      <c r="S469" s="9"/>
      <c r="T469" s="43">
        <f t="shared" si="405"/>
        <v>0</v>
      </c>
      <c r="U469" s="10">
        <f t="shared" si="416"/>
        <v>0</v>
      </c>
      <c r="V469" s="61" t="s">
        <v>343</v>
      </c>
    </row>
    <row r="470" spans="1:22" ht="14.25" thickBot="1" x14ac:dyDescent="0.2">
      <c r="A470" s="35" t="s">
        <v>17</v>
      </c>
      <c r="B470" s="40">
        <f>SUM(B444:B469)</f>
        <v>32</v>
      </c>
      <c r="C470" s="41">
        <f t="shared" ref="C470:D470" si="417">SUM(C444:C469)</f>
        <v>13</v>
      </c>
      <c r="D470" s="52">
        <f t="shared" si="417"/>
        <v>7</v>
      </c>
      <c r="E470" s="39">
        <f t="shared" si="401"/>
        <v>52</v>
      </c>
      <c r="F470" s="40">
        <f>SUM(F444:F469)</f>
        <v>32</v>
      </c>
      <c r="G470" s="41">
        <f t="shared" ref="G470:H470" si="418">SUM(G444:G469)</f>
        <v>13</v>
      </c>
      <c r="H470" s="52">
        <f t="shared" si="418"/>
        <v>7</v>
      </c>
      <c r="I470" s="39">
        <f t="shared" si="402"/>
        <v>52</v>
      </c>
      <c r="J470" s="39">
        <f>E470+I470</f>
        <v>104</v>
      </c>
      <c r="L470" s="35" t="s">
        <v>17</v>
      </c>
      <c r="M470" s="40">
        <f>SUM(M444:M469)</f>
        <v>63</v>
      </c>
      <c r="N470" s="41">
        <f t="shared" ref="N470:O470" si="419">SUM(N444:N469)</f>
        <v>82</v>
      </c>
      <c r="O470" s="52">
        <f t="shared" si="419"/>
        <v>63</v>
      </c>
      <c r="P470" s="39">
        <f t="shared" si="404"/>
        <v>208</v>
      </c>
      <c r="Q470" s="40">
        <f>SUM(Q444:Q469)</f>
        <v>63</v>
      </c>
      <c r="R470" s="41">
        <f t="shared" ref="R470:S470" si="420">SUM(R444:R469)</f>
        <v>82</v>
      </c>
      <c r="S470" s="52">
        <f t="shared" si="420"/>
        <v>63</v>
      </c>
      <c r="T470" s="39">
        <f t="shared" si="405"/>
        <v>208</v>
      </c>
      <c r="U470" s="39">
        <f>P470+T470</f>
        <v>416</v>
      </c>
    </row>
    <row r="471" spans="1:22" ht="14.25" thickBot="1" x14ac:dyDescent="0.2">
      <c r="A471" s="21" t="s">
        <v>16</v>
      </c>
      <c r="B471" s="44">
        <f>B443-B470</f>
        <v>0</v>
      </c>
      <c r="C471" s="50">
        <f t="shared" ref="C471:D471" si="421">C443-C470</f>
        <v>0</v>
      </c>
      <c r="D471" s="51">
        <f t="shared" si="421"/>
        <v>1</v>
      </c>
      <c r="E471" s="49">
        <f>SUM(B471:D471)</f>
        <v>1</v>
      </c>
      <c r="F471" s="44">
        <f>F443-F470</f>
        <v>0</v>
      </c>
      <c r="G471" s="50">
        <f t="shared" ref="G471:H471" si="422">G443-G470</f>
        <v>0</v>
      </c>
      <c r="H471" s="51">
        <f t="shared" si="422"/>
        <v>0</v>
      </c>
      <c r="I471" s="49">
        <f>SUM(F471:H471)</f>
        <v>0</v>
      </c>
      <c r="J471" s="28">
        <f>E471+I471</f>
        <v>1</v>
      </c>
      <c r="L471" s="21" t="s">
        <v>16</v>
      </c>
      <c r="M471" s="44">
        <f>M443-M470</f>
        <v>40</v>
      </c>
      <c r="N471" s="50">
        <f t="shared" ref="N471:O471" si="423">N443-N470</f>
        <v>25</v>
      </c>
      <c r="O471" s="51">
        <f t="shared" si="423"/>
        <v>23</v>
      </c>
      <c r="P471" s="49">
        <f>SUM(M471:O471)</f>
        <v>88</v>
      </c>
      <c r="Q471" s="44">
        <f>Q443-Q470</f>
        <v>40</v>
      </c>
      <c r="R471" s="50">
        <f t="shared" ref="R471:S471" si="424">R443-R470</f>
        <v>25</v>
      </c>
      <c r="S471" s="51">
        <f t="shared" si="424"/>
        <v>23</v>
      </c>
      <c r="T471" s="49">
        <f>SUM(Q471:S471)</f>
        <v>88</v>
      </c>
      <c r="U471" s="28">
        <f>P471+T471</f>
        <v>176</v>
      </c>
    </row>
    <row r="474" spans="1:22" ht="19.5" thickBot="1" x14ac:dyDescent="0.25">
      <c r="A474" s="84" t="s">
        <v>31</v>
      </c>
      <c r="B474" s="85"/>
      <c r="C474" s="85"/>
      <c r="D474" s="85"/>
      <c r="E474" s="85"/>
      <c r="F474" s="85"/>
      <c r="G474" s="85"/>
      <c r="H474" s="85"/>
      <c r="I474" s="85"/>
      <c r="J474" s="85"/>
      <c r="L474" s="82" t="s">
        <v>32</v>
      </c>
      <c r="M474" s="83"/>
      <c r="N474" s="83"/>
      <c r="O474" s="83"/>
      <c r="P474" s="83"/>
      <c r="Q474" s="83"/>
      <c r="R474" s="83"/>
      <c r="S474" s="83"/>
      <c r="T474" s="83"/>
      <c r="U474" s="83">
        <v>1040</v>
      </c>
    </row>
    <row r="475" spans="1:22" ht="14.25" thickBot="1" x14ac:dyDescent="0.2">
      <c r="A475" s="6"/>
      <c r="B475" s="159" t="s">
        <v>33</v>
      </c>
      <c r="C475" s="160"/>
      <c r="D475" s="160"/>
      <c r="E475" s="161"/>
      <c r="F475" s="159" t="s">
        <v>22</v>
      </c>
      <c r="G475" s="160"/>
      <c r="H475" s="160"/>
      <c r="I475" s="162"/>
      <c r="J475" s="157" t="s">
        <v>0</v>
      </c>
      <c r="L475" s="6"/>
      <c r="M475" s="159" t="s">
        <v>33</v>
      </c>
      <c r="N475" s="160"/>
      <c r="O475" s="160"/>
      <c r="P475" s="161"/>
      <c r="Q475" s="146" t="s">
        <v>22</v>
      </c>
      <c r="R475" s="147"/>
      <c r="S475" s="147"/>
      <c r="T475" s="148"/>
      <c r="U475" s="157" t="s">
        <v>0</v>
      </c>
    </row>
    <row r="476" spans="1:22" ht="14.25" thickBot="1" x14ac:dyDescent="0.2">
      <c r="A476" s="6" t="s">
        <v>1</v>
      </c>
      <c r="B476" s="3" t="s">
        <v>2</v>
      </c>
      <c r="C476" s="4" t="s">
        <v>3</v>
      </c>
      <c r="D476" s="5" t="s">
        <v>4</v>
      </c>
      <c r="E476" s="6" t="s">
        <v>5</v>
      </c>
      <c r="F476" s="3" t="s">
        <v>2</v>
      </c>
      <c r="G476" s="4" t="s">
        <v>3</v>
      </c>
      <c r="H476" s="5" t="s">
        <v>4</v>
      </c>
      <c r="I476" s="6" t="s">
        <v>5</v>
      </c>
      <c r="J476" s="158"/>
      <c r="L476" s="6" t="s">
        <v>1</v>
      </c>
      <c r="M476" s="3" t="s">
        <v>2</v>
      </c>
      <c r="N476" s="4" t="s">
        <v>3</v>
      </c>
      <c r="O476" s="5" t="s">
        <v>4</v>
      </c>
      <c r="P476" s="6" t="s">
        <v>5</v>
      </c>
      <c r="Q476" s="3" t="s">
        <v>2</v>
      </c>
      <c r="R476" s="4" t="s">
        <v>3</v>
      </c>
      <c r="S476" s="5" t="s">
        <v>4</v>
      </c>
      <c r="T476" s="6" t="s">
        <v>5</v>
      </c>
      <c r="U476" s="158"/>
    </row>
    <row r="477" spans="1:22" ht="14.25" thickBot="1" x14ac:dyDescent="0.2">
      <c r="A477" s="66" t="s">
        <v>6</v>
      </c>
      <c r="B477" s="25">
        <f>B471</f>
        <v>0</v>
      </c>
      <c r="C477" s="26">
        <f>C471</f>
        <v>0</v>
      </c>
      <c r="D477" s="27">
        <f>D471</f>
        <v>1</v>
      </c>
      <c r="E477" s="28">
        <f>SUM(B477:D477)</f>
        <v>1</v>
      </c>
      <c r="F477" s="25">
        <f>F471</f>
        <v>0</v>
      </c>
      <c r="G477" s="26">
        <f>G471</f>
        <v>0</v>
      </c>
      <c r="H477" s="27">
        <f>H471</f>
        <v>0</v>
      </c>
      <c r="I477" s="28">
        <f>SUM(F477:H477)</f>
        <v>0</v>
      </c>
      <c r="J477" s="28">
        <f>E477+I477</f>
        <v>1</v>
      </c>
      <c r="L477" s="66" t="s">
        <v>6</v>
      </c>
      <c r="M477" s="25">
        <f>M471</f>
        <v>40</v>
      </c>
      <c r="N477" s="26">
        <f>N471</f>
        <v>25</v>
      </c>
      <c r="O477" s="27">
        <f>O471</f>
        <v>23</v>
      </c>
      <c r="P477" s="28">
        <f>SUM(M477:O477)</f>
        <v>88</v>
      </c>
      <c r="Q477" s="25">
        <f>Q471</f>
        <v>40</v>
      </c>
      <c r="R477" s="26">
        <f>R471</f>
        <v>25</v>
      </c>
      <c r="S477" s="27">
        <f>S471</f>
        <v>23</v>
      </c>
      <c r="T477" s="28">
        <f>SUM(Q477:S477)</f>
        <v>88</v>
      </c>
      <c r="U477" s="28">
        <f>P477+T477</f>
        <v>176</v>
      </c>
    </row>
    <row r="478" spans="1:22" x14ac:dyDescent="0.15">
      <c r="A478" s="23" t="s">
        <v>287</v>
      </c>
      <c r="B478" s="7">
        <v>3</v>
      </c>
      <c r="C478" s="8">
        <v>3</v>
      </c>
      <c r="D478" s="46">
        <v>3</v>
      </c>
      <c r="E478" s="10">
        <f t="shared" ref="E478:E485" si="425">SUM(B478:D478)</f>
        <v>9</v>
      </c>
      <c r="F478" s="11">
        <v>3</v>
      </c>
      <c r="G478" s="8">
        <v>3</v>
      </c>
      <c r="H478" s="9">
        <v>3</v>
      </c>
      <c r="I478" s="10">
        <f t="shared" ref="I478:I485" si="426">SUM(F478:H478)</f>
        <v>9</v>
      </c>
      <c r="J478" s="10">
        <f t="shared" ref="J478:J485" si="427">E478+I478</f>
        <v>18</v>
      </c>
      <c r="K478" s="58">
        <v>45693</v>
      </c>
      <c r="L478" s="23" t="s">
        <v>384</v>
      </c>
      <c r="M478" s="7">
        <v>2</v>
      </c>
      <c r="N478" s="8">
        <v>6</v>
      </c>
      <c r="O478" s="46">
        <v>3</v>
      </c>
      <c r="P478" s="10">
        <f t="shared" ref="P478:P480" si="428">SUM(M478:O478)</f>
        <v>11</v>
      </c>
      <c r="Q478" s="11">
        <v>2</v>
      </c>
      <c r="R478" s="8">
        <v>6</v>
      </c>
      <c r="S478" s="9">
        <v>3</v>
      </c>
      <c r="T478" s="10">
        <f t="shared" ref="T478:T480" si="429">SUM(Q478:S478)</f>
        <v>11</v>
      </c>
      <c r="U478" s="10">
        <f t="shared" ref="U478:U480" si="430">P478+T478</f>
        <v>22</v>
      </c>
      <c r="V478" s="56">
        <v>45703</v>
      </c>
    </row>
    <row r="479" spans="1:22" x14ac:dyDescent="0.15">
      <c r="A479" s="23" t="s">
        <v>77</v>
      </c>
      <c r="B479" s="7"/>
      <c r="C479" s="8">
        <v>3</v>
      </c>
      <c r="D479" s="46"/>
      <c r="E479" s="10">
        <f t="shared" si="425"/>
        <v>3</v>
      </c>
      <c r="F479" s="11"/>
      <c r="G479" s="8">
        <v>3</v>
      </c>
      <c r="H479" s="9"/>
      <c r="I479" s="10">
        <f t="shared" si="426"/>
        <v>3</v>
      </c>
      <c r="J479" s="10">
        <f t="shared" si="427"/>
        <v>6</v>
      </c>
      <c r="K479" s="58">
        <v>45702</v>
      </c>
      <c r="L479" s="23" t="s">
        <v>8</v>
      </c>
      <c r="M479" s="7">
        <v>2</v>
      </c>
      <c r="N479" s="8"/>
      <c r="O479" s="46">
        <v>1</v>
      </c>
      <c r="P479" s="10">
        <f t="shared" si="428"/>
        <v>3</v>
      </c>
      <c r="Q479" s="11">
        <v>2</v>
      </c>
      <c r="R479" s="8"/>
      <c r="S479" s="9">
        <v>1</v>
      </c>
      <c r="T479" s="10">
        <f t="shared" si="429"/>
        <v>3</v>
      </c>
      <c r="U479" s="10">
        <f t="shared" si="430"/>
        <v>6</v>
      </c>
      <c r="V479" s="56">
        <v>45717</v>
      </c>
    </row>
    <row r="480" spans="1:22" x14ac:dyDescent="0.15">
      <c r="A480" s="23" t="s">
        <v>77</v>
      </c>
      <c r="B480" s="7">
        <v>1</v>
      </c>
      <c r="C480" s="8"/>
      <c r="D480" s="46">
        <v>1</v>
      </c>
      <c r="E480" s="10">
        <f t="shared" si="425"/>
        <v>2</v>
      </c>
      <c r="F480" s="11">
        <v>1</v>
      </c>
      <c r="G480" s="8"/>
      <c r="H480" s="9">
        <v>1</v>
      </c>
      <c r="I480" s="10">
        <f t="shared" si="426"/>
        <v>2</v>
      </c>
      <c r="J480" s="10">
        <f t="shared" si="427"/>
        <v>4</v>
      </c>
      <c r="K480" s="58">
        <v>45716</v>
      </c>
      <c r="L480" s="23" t="s">
        <v>9</v>
      </c>
      <c r="M480" s="7"/>
      <c r="N480" s="8"/>
      <c r="O480" s="46"/>
      <c r="P480" s="10">
        <f t="shared" si="428"/>
        <v>0</v>
      </c>
      <c r="Q480" s="11"/>
      <c r="R480" s="8"/>
      <c r="S480" s="9"/>
      <c r="T480" s="10">
        <f t="shared" si="429"/>
        <v>0</v>
      </c>
      <c r="U480" s="10">
        <f t="shared" si="430"/>
        <v>0</v>
      </c>
    </row>
    <row r="481" spans="1:23" x14ac:dyDescent="0.15">
      <c r="A481" s="23" t="s">
        <v>77</v>
      </c>
      <c r="B481" s="7">
        <v>2</v>
      </c>
      <c r="C481" s="8"/>
      <c r="D481" s="46"/>
      <c r="E481" s="10">
        <f t="shared" si="425"/>
        <v>2</v>
      </c>
      <c r="F481" s="11">
        <v>2</v>
      </c>
      <c r="G481" s="8"/>
      <c r="H481" s="9"/>
      <c r="I481" s="10">
        <f t="shared" si="426"/>
        <v>2</v>
      </c>
      <c r="J481" s="10">
        <f t="shared" si="427"/>
        <v>4</v>
      </c>
      <c r="K481" s="58">
        <v>45729</v>
      </c>
      <c r="L481" s="23" t="s">
        <v>10</v>
      </c>
      <c r="M481" s="7"/>
      <c r="N481" s="8"/>
      <c r="O481" s="46"/>
      <c r="P481" s="10">
        <f t="shared" ref="P481:P485" si="431">SUM(M481:O481)</f>
        <v>0</v>
      </c>
      <c r="Q481" s="11"/>
      <c r="R481" s="8"/>
      <c r="S481" s="9"/>
      <c r="T481" s="10">
        <f t="shared" ref="T481:T485" si="432">SUM(Q481:S481)</f>
        <v>0</v>
      </c>
      <c r="U481" s="10">
        <f t="shared" ref="U481:U485" si="433">P481+T481</f>
        <v>0</v>
      </c>
    </row>
    <row r="482" spans="1:23" x14ac:dyDescent="0.15">
      <c r="A482" s="23" t="s">
        <v>11</v>
      </c>
      <c r="B482" s="7">
        <v>1</v>
      </c>
      <c r="C482" s="8"/>
      <c r="D482" s="46">
        <v>1</v>
      </c>
      <c r="E482" s="10">
        <f t="shared" si="425"/>
        <v>2</v>
      </c>
      <c r="F482" s="11">
        <v>1</v>
      </c>
      <c r="G482" s="8"/>
      <c r="H482" s="9">
        <v>1</v>
      </c>
      <c r="I482" s="10">
        <f t="shared" si="426"/>
        <v>2</v>
      </c>
      <c r="J482" s="10">
        <f t="shared" si="427"/>
        <v>4</v>
      </c>
      <c r="K482" s="56">
        <v>45898</v>
      </c>
      <c r="L482" s="23" t="s">
        <v>11</v>
      </c>
      <c r="M482" s="7"/>
      <c r="N482" s="8"/>
      <c r="O482" s="46"/>
      <c r="P482" s="10">
        <f t="shared" si="431"/>
        <v>0</v>
      </c>
      <c r="Q482" s="11"/>
      <c r="R482" s="8"/>
      <c r="S482" s="9"/>
      <c r="T482" s="10">
        <f t="shared" si="432"/>
        <v>0</v>
      </c>
      <c r="U482" s="10">
        <f t="shared" si="433"/>
        <v>0</v>
      </c>
    </row>
    <row r="483" spans="1:23" x14ac:dyDescent="0.15">
      <c r="A483" s="23" t="s">
        <v>12</v>
      </c>
      <c r="B483" s="7"/>
      <c r="C483" s="8"/>
      <c r="D483" s="46"/>
      <c r="E483" s="10">
        <f t="shared" si="425"/>
        <v>0</v>
      </c>
      <c r="F483" s="11"/>
      <c r="G483" s="8"/>
      <c r="H483" s="9"/>
      <c r="I483" s="10">
        <f t="shared" si="426"/>
        <v>0</v>
      </c>
      <c r="J483" s="10">
        <f t="shared" si="427"/>
        <v>0</v>
      </c>
      <c r="K483" s="61"/>
      <c r="L483" s="23" t="s">
        <v>12</v>
      </c>
      <c r="M483" s="7"/>
      <c r="N483" s="8"/>
      <c r="O483" s="46"/>
      <c r="P483" s="10">
        <f t="shared" si="431"/>
        <v>0</v>
      </c>
      <c r="Q483" s="11"/>
      <c r="R483" s="8"/>
      <c r="S483" s="9"/>
      <c r="T483" s="10">
        <f t="shared" si="432"/>
        <v>0</v>
      </c>
      <c r="U483" s="10">
        <f t="shared" si="433"/>
        <v>0</v>
      </c>
    </row>
    <row r="484" spans="1:23" x14ac:dyDescent="0.15">
      <c r="A484" s="23" t="s">
        <v>13</v>
      </c>
      <c r="B484" s="7"/>
      <c r="C484" s="8"/>
      <c r="D484" s="46"/>
      <c r="E484" s="10">
        <f t="shared" si="425"/>
        <v>0</v>
      </c>
      <c r="F484" s="11"/>
      <c r="G484" s="8"/>
      <c r="H484" s="9"/>
      <c r="I484" s="10">
        <f t="shared" si="426"/>
        <v>0</v>
      </c>
      <c r="J484" s="10">
        <f t="shared" si="427"/>
        <v>0</v>
      </c>
      <c r="L484" s="23" t="s">
        <v>13</v>
      </c>
      <c r="M484" s="7"/>
      <c r="N484" s="8"/>
      <c r="O484" s="46"/>
      <c r="P484" s="10">
        <f t="shared" si="431"/>
        <v>0</v>
      </c>
      <c r="Q484" s="11"/>
      <c r="R484" s="8"/>
      <c r="S484" s="9"/>
      <c r="T484" s="10">
        <f t="shared" si="432"/>
        <v>0</v>
      </c>
      <c r="U484" s="10">
        <f t="shared" si="433"/>
        <v>0</v>
      </c>
    </row>
    <row r="485" spans="1:23" ht="14.25" thickBot="1" x14ac:dyDescent="0.2">
      <c r="A485" s="22" t="s">
        <v>14</v>
      </c>
      <c r="B485" s="7"/>
      <c r="C485" s="8"/>
      <c r="D485" s="9"/>
      <c r="E485" s="43">
        <f t="shared" si="425"/>
        <v>0</v>
      </c>
      <c r="F485" s="11"/>
      <c r="G485" s="8"/>
      <c r="H485" s="9"/>
      <c r="I485" s="43">
        <f t="shared" si="426"/>
        <v>0</v>
      </c>
      <c r="J485" s="10">
        <f t="shared" si="427"/>
        <v>0</v>
      </c>
      <c r="K485" s="56"/>
      <c r="L485" s="22" t="s">
        <v>14</v>
      </c>
      <c r="M485" s="7"/>
      <c r="N485" s="8"/>
      <c r="O485" s="9"/>
      <c r="P485" s="43">
        <f t="shared" si="431"/>
        <v>0</v>
      </c>
      <c r="Q485" s="11"/>
      <c r="R485" s="8"/>
      <c r="S485" s="9"/>
      <c r="T485" s="43">
        <f t="shared" si="432"/>
        <v>0</v>
      </c>
      <c r="U485" s="10">
        <f t="shared" si="433"/>
        <v>0</v>
      </c>
      <c r="V485" s="56"/>
    </row>
    <row r="486" spans="1:23" ht="14.25" thickBot="1" x14ac:dyDescent="0.2">
      <c r="A486" s="32" t="s">
        <v>15</v>
      </c>
      <c r="B486" s="25">
        <f>SUM(B477:B485)</f>
        <v>7</v>
      </c>
      <c r="C486" s="26">
        <f>SUM(C477:C485)</f>
        <v>6</v>
      </c>
      <c r="D486" s="27">
        <f>SUM(D477:D485)</f>
        <v>6</v>
      </c>
      <c r="E486" s="28">
        <f>SUM(B486:D486)</f>
        <v>19</v>
      </c>
      <c r="F486" s="25">
        <f>SUM(F477:F485)</f>
        <v>7</v>
      </c>
      <c r="G486" s="26">
        <f>SUM(G477:G485)</f>
        <v>6</v>
      </c>
      <c r="H486" s="27">
        <f>SUM(H477:H485)</f>
        <v>5</v>
      </c>
      <c r="I486" s="28">
        <f>SUM(F486:H486)</f>
        <v>18</v>
      </c>
      <c r="J486" s="28">
        <f>E486+I486</f>
        <v>37</v>
      </c>
      <c r="L486" s="32" t="s">
        <v>15</v>
      </c>
      <c r="M486" s="25">
        <f>SUM(M477:M485)</f>
        <v>44</v>
      </c>
      <c r="N486" s="26">
        <f>SUM(N477:N485)</f>
        <v>31</v>
      </c>
      <c r="O486" s="27">
        <f>SUM(O477:O485)</f>
        <v>27</v>
      </c>
      <c r="P486" s="28">
        <f>SUM(M486:O486)</f>
        <v>102</v>
      </c>
      <c r="Q486" s="25">
        <f>SUM(Q477:Q485)</f>
        <v>44</v>
      </c>
      <c r="R486" s="26">
        <f>SUM(R477:R485)</f>
        <v>31</v>
      </c>
      <c r="S486" s="27">
        <f>SUM(S477:S485)</f>
        <v>27</v>
      </c>
      <c r="T486" s="28">
        <f>SUM(Q486:S486)</f>
        <v>102</v>
      </c>
      <c r="U486" s="28">
        <f>P486+T486</f>
        <v>204</v>
      </c>
    </row>
    <row r="487" spans="1:23" x14ac:dyDescent="0.15">
      <c r="A487" s="24" t="s">
        <v>376</v>
      </c>
      <c r="B487" s="7">
        <v>1</v>
      </c>
      <c r="C487" s="8"/>
      <c r="D487" s="9"/>
      <c r="E487" s="43">
        <f t="shared" ref="E487" si="434">SUM(B487:D487)</f>
        <v>1</v>
      </c>
      <c r="F487" s="11">
        <v>1</v>
      </c>
      <c r="G487" s="8"/>
      <c r="H487" s="9"/>
      <c r="I487" s="43">
        <f t="shared" ref="I487" si="435">SUM(F487:H487)</f>
        <v>1</v>
      </c>
      <c r="J487" s="10">
        <f t="shared" ref="J487" si="436">E487+I487</f>
        <v>2</v>
      </c>
      <c r="K487" s="56">
        <v>45698</v>
      </c>
      <c r="L487" s="24" t="s">
        <v>381</v>
      </c>
      <c r="M487" s="7">
        <v>5</v>
      </c>
      <c r="N487" s="8">
        <v>5</v>
      </c>
      <c r="O487" s="9"/>
      <c r="P487" s="43">
        <f t="shared" ref="P487:P508" si="437">SUM(M487:O487)</f>
        <v>10</v>
      </c>
      <c r="Q487" s="11">
        <v>5</v>
      </c>
      <c r="R487" s="8">
        <v>5</v>
      </c>
      <c r="S487" s="9"/>
      <c r="T487" s="43">
        <f t="shared" ref="T487:T508" si="438">SUM(Q487:S487)</f>
        <v>10</v>
      </c>
      <c r="U487" s="10">
        <f t="shared" ref="U487:U508" si="439">P487+T487</f>
        <v>20</v>
      </c>
      <c r="V487" s="56">
        <v>45702</v>
      </c>
    </row>
    <row r="488" spans="1:23" x14ac:dyDescent="0.15">
      <c r="A488" s="22" t="s">
        <v>383</v>
      </c>
      <c r="B488" s="7">
        <v>2</v>
      </c>
      <c r="C488" s="8">
        <v>6</v>
      </c>
      <c r="D488" s="9">
        <v>3</v>
      </c>
      <c r="E488" s="43">
        <f t="shared" ref="E488:E491" si="440">SUM(B488:D488)</f>
        <v>11</v>
      </c>
      <c r="F488" s="11">
        <v>2</v>
      </c>
      <c r="G488" s="8">
        <v>6</v>
      </c>
      <c r="H488" s="9">
        <v>3</v>
      </c>
      <c r="I488" s="43">
        <f t="shared" ref="I488:I491" si="441">SUM(F488:H488)</f>
        <v>11</v>
      </c>
      <c r="J488" s="10">
        <f t="shared" ref="J488:J491" si="442">E488+I488</f>
        <v>22</v>
      </c>
      <c r="K488" s="56">
        <v>45703</v>
      </c>
      <c r="L488" s="24" t="s">
        <v>378</v>
      </c>
      <c r="M488" s="7">
        <v>6</v>
      </c>
      <c r="N488" s="8">
        <v>3</v>
      </c>
      <c r="O488" s="9"/>
      <c r="P488" s="43">
        <f t="shared" si="437"/>
        <v>9</v>
      </c>
      <c r="Q488" s="11">
        <v>6</v>
      </c>
      <c r="R488" s="8">
        <v>3</v>
      </c>
      <c r="S488" s="9"/>
      <c r="T488" s="43">
        <f t="shared" si="438"/>
        <v>9</v>
      </c>
      <c r="U488" s="10">
        <f t="shared" si="439"/>
        <v>18</v>
      </c>
      <c r="V488" s="56">
        <v>45705</v>
      </c>
    </row>
    <row r="489" spans="1:23" x14ac:dyDescent="0.15">
      <c r="A489" s="22" t="s">
        <v>314</v>
      </c>
      <c r="B489" s="7">
        <v>2</v>
      </c>
      <c r="C489" s="8"/>
      <c r="D489" s="9">
        <v>1</v>
      </c>
      <c r="E489" s="43">
        <f t="shared" si="440"/>
        <v>3</v>
      </c>
      <c r="F489" s="11">
        <v>2</v>
      </c>
      <c r="G489" s="8"/>
      <c r="H489" s="9">
        <v>1</v>
      </c>
      <c r="I489" s="43">
        <f t="shared" si="441"/>
        <v>3</v>
      </c>
      <c r="J489" s="10">
        <f t="shared" si="442"/>
        <v>6</v>
      </c>
      <c r="K489" s="56">
        <v>45717</v>
      </c>
      <c r="L489" s="24" t="s">
        <v>380</v>
      </c>
      <c r="M489" s="7"/>
      <c r="N489" s="8">
        <v>1</v>
      </c>
      <c r="O489" s="9"/>
      <c r="P489" s="43">
        <f t="shared" si="437"/>
        <v>1</v>
      </c>
      <c r="Q489" s="11"/>
      <c r="R489" s="8">
        <v>1</v>
      </c>
      <c r="S489" s="9"/>
      <c r="T489" s="43">
        <f t="shared" si="438"/>
        <v>1</v>
      </c>
      <c r="U489" s="10">
        <f t="shared" si="439"/>
        <v>2</v>
      </c>
      <c r="V489" s="56">
        <v>45707</v>
      </c>
    </row>
    <row r="490" spans="1:23" x14ac:dyDescent="0.15">
      <c r="A490" s="22" t="s">
        <v>413</v>
      </c>
      <c r="B490" s="7">
        <v>1</v>
      </c>
      <c r="C490" s="8"/>
      <c r="D490" s="9"/>
      <c r="E490" s="43">
        <f t="shared" si="440"/>
        <v>1</v>
      </c>
      <c r="F490" s="11">
        <v>1</v>
      </c>
      <c r="G490" s="8"/>
      <c r="H490" s="9"/>
      <c r="I490" s="43">
        <f t="shared" si="441"/>
        <v>1</v>
      </c>
      <c r="J490" s="10">
        <f t="shared" si="442"/>
        <v>2</v>
      </c>
      <c r="K490" s="56">
        <v>45898</v>
      </c>
      <c r="L490" s="24" t="s">
        <v>387</v>
      </c>
      <c r="M490" s="7">
        <v>4</v>
      </c>
      <c r="N490" s="8">
        <v>8</v>
      </c>
      <c r="O490" s="9">
        <v>4</v>
      </c>
      <c r="P490" s="43">
        <f t="shared" si="437"/>
        <v>16</v>
      </c>
      <c r="Q490" s="11">
        <v>4</v>
      </c>
      <c r="R490" s="8">
        <v>8</v>
      </c>
      <c r="S490" s="9">
        <v>4</v>
      </c>
      <c r="T490" s="43">
        <f t="shared" si="438"/>
        <v>16</v>
      </c>
      <c r="U490" s="10">
        <f t="shared" si="439"/>
        <v>32</v>
      </c>
      <c r="V490" s="56">
        <v>45709</v>
      </c>
    </row>
    <row r="491" spans="1:23" x14ac:dyDescent="0.15">
      <c r="A491" s="22"/>
      <c r="B491" s="7"/>
      <c r="C491" s="8"/>
      <c r="D491" s="9"/>
      <c r="E491" s="43">
        <f t="shared" si="440"/>
        <v>0</v>
      </c>
      <c r="F491" s="11"/>
      <c r="G491" s="8"/>
      <c r="H491" s="9"/>
      <c r="I491" s="43">
        <f t="shared" si="441"/>
        <v>0</v>
      </c>
      <c r="J491" s="10">
        <f t="shared" si="442"/>
        <v>0</v>
      </c>
      <c r="K491" s="61"/>
      <c r="L491" s="24" t="s">
        <v>385</v>
      </c>
      <c r="M491" s="7">
        <v>6</v>
      </c>
      <c r="N491" s="8">
        <v>3</v>
      </c>
      <c r="O491" s="9"/>
      <c r="P491" s="43">
        <f t="shared" si="437"/>
        <v>9</v>
      </c>
      <c r="Q491" s="11">
        <v>6</v>
      </c>
      <c r="R491" s="8">
        <v>3</v>
      </c>
      <c r="S491" s="9"/>
      <c r="T491" s="43">
        <f t="shared" si="438"/>
        <v>9</v>
      </c>
      <c r="U491" s="10">
        <f t="shared" si="439"/>
        <v>18</v>
      </c>
      <c r="V491" s="56">
        <v>45715</v>
      </c>
      <c r="W491" s="61"/>
    </row>
    <row r="492" spans="1:23" x14ac:dyDescent="0.15">
      <c r="A492" s="22"/>
      <c r="B492" s="7"/>
      <c r="C492" s="8"/>
      <c r="D492" s="9"/>
      <c r="E492" s="43">
        <f t="shared" ref="E492:E513" si="443">SUM(B492:D492)</f>
        <v>0</v>
      </c>
      <c r="F492" s="11"/>
      <c r="G492" s="8"/>
      <c r="H492" s="9"/>
      <c r="I492" s="43">
        <f t="shared" ref="I492:I513" si="444">SUM(F492:H492)</f>
        <v>0</v>
      </c>
      <c r="J492" s="10">
        <f t="shared" ref="J492:J512" si="445">E492+I492</f>
        <v>0</v>
      </c>
      <c r="K492" s="61"/>
      <c r="L492" s="24" t="s">
        <v>386</v>
      </c>
      <c r="M492" s="7">
        <v>2</v>
      </c>
      <c r="N492" s="8"/>
      <c r="O492" s="9"/>
      <c r="P492" s="43">
        <f t="shared" si="437"/>
        <v>2</v>
      </c>
      <c r="Q492" s="11">
        <v>2</v>
      </c>
      <c r="R492" s="8"/>
      <c r="S492" s="9"/>
      <c r="T492" s="43">
        <f t="shared" si="438"/>
        <v>2</v>
      </c>
      <c r="U492" s="10">
        <f t="shared" si="439"/>
        <v>4</v>
      </c>
      <c r="V492" s="56">
        <v>45716</v>
      </c>
      <c r="W492" s="61"/>
    </row>
    <row r="493" spans="1:23" x14ac:dyDescent="0.15">
      <c r="A493" s="22"/>
      <c r="B493" s="7"/>
      <c r="C493" s="8"/>
      <c r="D493" s="9"/>
      <c r="E493" s="43">
        <f t="shared" si="443"/>
        <v>0</v>
      </c>
      <c r="F493" s="11"/>
      <c r="G493" s="8"/>
      <c r="H493" s="9"/>
      <c r="I493" s="43">
        <f t="shared" si="444"/>
        <v>0</v>
      </c>
      <c r="J493" s="10">
        <f t="shared" si="445"/>
        <v>0</v>
      </c>
      <c r="K493" s="61"/>
      <c r="L493" s="24" t="s">
        <v>388</v>
      </c>
      <c r="M493" s="7"/>
      <c r="N493" s="8"/>
      <c r="O493" s="9">
        <v>1</v>
      </c>
      <c r="P493" s="43">
        <f t="shared" si="437"/>
        <v>1</v>
      </c>
      <c r="Q493" s="11"/>
      <c r="R493" s="8"/>
      <c r="S493" s="9">
        <v>1</v>
      </c>
      <c r="T493" s="43">
        <f t="shared" si="438"/>
        <v>1</v>
      </c>
      <c r="U493" s="10">
        <f t="shared" si="439"/>
        <v>2</v>
      </c>
      <c r="V493" s="56">
        <v>45721</v>
      </c>
      <c r="W493" s="61"/>
    </row>
    <row r="494" spans="1:23" x14ac:dyDescent="0.15">
      <c r="A494" s="22"/>
      <c r="B494" s="7"/>
      <c r="C494" s="8"/>
      <c r="D494" s="9"/>
      <c r="E494" s="43">
        <f t="shared" si="443"/>
        <v>0</v>
      </c>
      <c r="F494" s="11"/>
      <c r="G494" s="8"/>
      <c r="H494" s="9"/>
      <c r="I494" s="43">
        <f t="shared" si="444"/>
        <v>0</v>
      </c>
      <c r="J494" s="10">
        <f t="shared" si="445"/>
        <v>0</v>
      </c>
      <c r="K494" s="61"/>
      <c r="L494" s="24" t="s">
        <v>389</v>
      </c>
      <c r="M494" s="12"/>
      <c r="N494" s="13">
        <v>2</v>
      </c>
      <c r="O494" s="14">
        <v>5</v>
      </c>
      <c r="P494" s="43">
        <f t="shared" si="437"/>
        <v>7</v>
      </c>
      <c r="Q494" s="15"/>
      <c r="R494" s="13">
        <v>2</v>
      </c>
      <c r="S494" s="14">
        <v>5</v>
      </c>
      <c r="T494" s="43">
        <f t="shared" si="438"/>
        <v>7</v>
      </c>
      <c r="U494" s="10">
        <f t="shared" si="439"/>
        <v>14</v>
      </c>
      <c r="V494" s="56">
        <v>45722</v>
      </c>
      <c r="W494" s="61"/>
    </row>
    <row r="495" spans="1:23" x14ac:dyDescent="0.15">
      <c r="A495" s="22"/>
      <c r="B495" s="7"/>
      <c r="C495" s="8"/>
      <c r="D495" s="9"/>
      <c r="E495" s="43">
        <f t="shared" si="443"/>
        <v>0</v>
      </c>
      <c r="F495" s="11"/>
      <c r="G495" s="8"/>
      <c r="H495" s="9"/>
      <c r="I495" s="43">
        <f t="shared" si="444"/>
        <v>0</v>
      </c>
      <c r="J495" s="10">
        <f t="shared" si="445"/>
        <v>0</v>
      </c>
      <c r="L495" s="24" t="s">
        <v>390</v>
      </c>
      <c r="M495" s="7"/>
      <c r="N495" s="8">
        <v>1</v>
      </c>
      <c r="O495" s="9">
        <v>3</v>
      </c>
      <c r="P495" s="43">
        <f t="shared" si="437"/>
        <v>4</v>
      </c>
      <c r="Q495" s="11"/>
      <c r="R495" s="8">
        <v>1</v>
      </c>
      <c r="S495" s="9">
        <v>3</v>
      </c>
      <c r="T495" s="43">
        <f t="shared" si="438"/>
        <v>4</v>
      </c>
      <c r="U495" s="10">
        <f t="shared" si="439"/>
        <v>8</v>
      </c>
      <c r="V495" s="56">
        <v>45723</v>
      </c>
    </row>
    <row r="496" spans="1:23" x14ac:dyDescent="0.15">
      <c r="A496" s="22"/>
      <c r="B496" s="12"/>
      <c r="C496" s="13"/>
      <c r="D496" s="14"/>
      <c r="E496" s="43">
        <f t="shared" si="443"/>
        <v>0</v>
      </c>
      <c r="F496" s="15"/>
      <c r="G496" s="13"/>
      <c r="H496" s="14"/>
      <c r="I496" s="43">
        <f t="shared" si="444"/>
        <v>0</v>
      </c>
      <c r="J496" s="10">
        <f t="shared" si="445"/>
        <v>0</v>
      </c>
      <c r="L496" s="24" t="s">
        <v>391</v>
      </c>
      <c r="M496" s="7"/>
      <c r="N496" s="8">
        <v>2</v>
      </c>
      <c r="O496" s="9"/>
      <c r="P496" s="43">
        <f t="shared" si="437"/>
        <v>2</v>
      </c>
      <c r="Q496" s="11"/>
      <c r="R496" s="8">
        <v>2</v>
      </c>
      <c r="S496" s="9"/>
      <c r="T496" s="43">
        <f t="shared" si="438"/>
        <v>2</v>
      </c>
      <c r="U496" s="10">
        <f t="shared" si="439"/>
        <v>4</v>
      </c>
      <c r="V496" s="56">
        <v>45723</v>
      </c>
    </row>
    <row r="497" spans="1:26" x14ac:dyDescent="0.15">
      <c r="A497" s="22"/>
      <c r="B497" s="7"/>
      <c r="C497" s="8"/>
      <c r="D497" s="9"/>
      <c r="E497" s="43">
        <f t="shared" si="443"/>
        <v>0</v>
      </c>
      <c r="F497" s="11"/>
      <c r="G497" s="8"/>
      <c r="H497" s="9"/>
      <c r="I497" s="43">
        <f t="shared" si="444"/>
        <v>0</v>
      </c>
      <c r="J497" s="10">
        <f t="shared" si="445"/>
        <v>0</v>
      </c>
      <c r="L497" s="24" t="s">
        <v>392</v>
      </c>
      <c r="M497" s="7">
        <v>1</v>
      </c>
      <c r="N497" s="8"/>
      <c r="O497" s="9"/>
      <c r="P497" s="43">
        <f t="shared" si="437"/>
        <v>1</v>
      </c>
      <c r="Q497" s="11">
        <v>1</v>
      </c>
      <c r="R497" s="8"/>
      <c r="S497" s="9"/>
      <c r="T497" s="43">
        <f t="shared" si="438"/>
        <v>1</v>
      </c>
      <c r="U497" s="10">
        <f t="shared" si="439"/>
        <v>2</v>
      </c>
      <c r="V497" s="56">
        <v>45728</v>
      </c>
      <c r="W497" s="61"/>
      <c r="X497" s="61"/>
      <c r="Y497" s="61"/>
      <c r="Z497" s="61"/>
    </row>
    <row r="498" spans="1:26" x14ac:dyDescent="0.15">
      <c r="A498" s="22"/>
      <c r="B498" s="7"/>
      <c r="C498" s="8"/>
      <c r="D498" s="9"/>
      <c r="E498" s="43">
        <f t="shared" si="443"/>
        <v>0</v>
      </c>
      <c r="F498" s="11"/>
      <c r="G498" s="8"/>
      <c r="H498" s="9"/>
      <c r="I498" s="43">
        <f t="shared" si="444"/>
        <v>0</v>
      </c>
      <c r="J498" s="10">
        <f t="shared" si="445"/>
        <v>0</v>
      </c>
      <c r="L498" s="24" t="s">
        <v>393</v>
      </c>
      <c r="M498" s="7"/>
      <c r="N498" s="8">
        <v>1</v>
      </c>
      <c r="O498" s="9"/>
      <c r="P498" s="43">
        <f t="shared" si="437"/>
        <v>1</v>
      </c>
      <c r="Q498" s="11"/>
      <c r="R498" s="8">
        <v>1</v>
      </c>
      <c r="S498" s="9"/>
      <c r="T498" s="43">
        <f t="shared" si="438"/>
        <v>1</v>
      </c>
      <c r="U498" s="10">
        <f t="shared" si="439"/>
        <v>2</v>
      </c>
      <c r="V498" s="56">
        <v>45729</v>
      </c>
      <c r="W498" s="61"/>
      <c r="X498" s="61"/>
      <c r="Y498" s="61"/>
      <c r="Z498" s="61"/>
    </row>
    <row r="499" spans="1:26" x14ac:dyDescent="0.15">
      <c r="A499" s="22"/>
      <c r="B499" s="7"/>
      <c r="C499" s="8"/>
      <c r="D499" s="9"/>
      <c r="E499" s="43">
        <f t="shared" si="443"/>
        <v>0</v>
      </c>
      <c r="F499" s="11"/>
      <c r="G499" s="8"/>
      <c r="H499" s="9"/>
      <c r="I499" s="43">
        <f t="shared" si="444"/>
        <v>0</v>
      </c>
      <c r="J499" s="10">
        <f t="shared" si="445"/>
        <v>0</v>
      </c>
      <c r="L499" s="24" t="s">
        <v>394</v>
      </c>
      <c r="M499" s="7">
        <v>1</v>
      </c>
      <c r="N499" s="8">
        <v>1</v>
      </c>
      <c r="O499" s="9"/>
      <c r="P499" s="43">
        <f t="shared" si="437"/>
        <v>2</v>
      </c>
      <c r="Q499" s="11">
        <v>1</v>
      </c>
      <c r="R499" s="8">
        <v>1</v>
      </c>
      <c r="S499" s="9"/>
      <c r="T499" s="43">
        <f t="shared" si="438"/>
        <v>2</v>
      </c>
      <c r="U499" s="10">
        <f t="shared" si="439"/>
        <v>4</v>
      </c>
      <c r="V499" s="56">
        <v>45730</v>
      </c>
      <c r="W499" s="61"/>
      <c r="X499" s="61"/>
      <c r="Y499" s="61"/>
      <c r="Z499" s="61"/>
    </row>
    <row r="500" spans="1:26" x14ac:dyDescent="0.15">
      <c r="A500" s="22"/>
      <c r="B500" s="7"/>
      <c r="C500" s="8"/>
      <c r="D500" s="9"/>
      <c r="E500" s="43">
        <f t="shared" si="443"/>
        <v>0</v>
      </c>
      <c r="F500" s="11"/>
      <c r="G500" s="8"/>
      <c r="H500" s="9"/>
      <c r="I500" s="43">
        <f t="shared" si="444"/>
        <v>0</v>
      </c>
      <c r="J500" s="10">
        <f t="shared" si="445"/>
        <v>0</v>
      </c>
      <c r="L500" s="24" t="s">
        <v>395</v>
      </c>
      <c r="M500" s="7">
        <v>1</v>
      </c>
      <c r="N500" s="8"/>
      <c r="O500" s="9"/>
      <c r="P500" s="43">
        <f t="shared" si="437"/>
        <v>1</v>
      </c>
      <c r="Q500" s="11">
        <v>1</v>
      </c>
      <c r="R500" s="8"/>
      <c r="S500" s="9"/>
      <c r="T500" s="43">
        <f t="shared" si="438"/>
        <v>1</v>
      </c>
      <c r="U500" s="10">
        <f t="shared" si="439"/>
        <v>2</v>
      </c>
      <c r="V500" s="56">
        <v>45735</v>
      </c>
      <c r="W500" s="61"/>
      <c r="X500" s="61"/>
      <c r="Y500" s="61"/>
      <c r="Z500" s="61"/>
    </row>
    <row r="501" spans="1:26" x14ac:dyDescent="0.15">
      <c r="A501" s="22"/>
      <c r="B501" s="7"/>
      <c r="C501" s="8"/>
      <c r="D501" s="9"/>
      <c r="E501" s="43">
        <f t="shared" si="443"/>
        <v>0</v>
      </c>
      <c r="F501" s="11"/>
      <c r="G501" s="8"/>
      <c r="H501" s="9"/>
      <c r="I501" s="43">
        <f t="shared" si="444"/>
        <v>0</v>
      </c>
      <c r="J501" s="10">
        <f t="shared" si="445"/>
        <v>0</v>
      </c>
      <c r="K501" s="61"/>
      <c r="L501" s="24" t="s">
        <v>396</v>
      </c>
      <c r="M501" s="7">
        <v>2</v>
      </c>
      <c r="N501" s="8">
        <v>2</v>
      </c>
      <c r="O501" s="9"/>
      <c r="P501" s="43">
        <f t="shared" si="437"/>
        <v>4</v>
      </c>
      <c r="Q501" s="11">
        <v>2</v>
      </c>
      <c r="R501" s="8">
        <v>2</v>
      </c>
      <c r="S501" s="9"/>
      <c r="T501" s="43">
        <f t="shared" si="438"/>
        <v>4</v>
      </c>
      <c r="U501" s="10">
        <f t="shared" si="439"/>
        <v>8</v>
      </c>
      <c r="V501" s="56">
        <v>45735</v>
      </c>
      <c r="W501" s="61"/>
      <c r="X501" s="61"/>
    </row>
    <row r="502" spans="1:26" x14ac:dyDescent="0.15">
      <c r="A502" s="22"/>
      <c r="B502" s="7"/>
      <c r="C502" s="8"/>
      <c r="D502" s="9"/>
      <c r="E502" s="43">
        <f t="shared" si="443"/>
        <v>0</v>
      </c>
      <c r="F502" s="11"/>
      <c r="G502" s="8"/>
      <c r="H502" s="9"/>
      <c r="I502" s="43">
        <f t="shared" si="444"/>
        <v>0</v>
      </c>
      <c r="J502" s="10">
        <f t="shared" si="445"/>
        <v>0</v>
      </c>
      <c r="K502" s="61"/>
      <c r="L502" s="24" t="s">
        <v>398</v>
      </c>
      <c r="M502" s="7">
        <v>1</v>
      </c>
      <c r="N502" s="8"/>
      <c r="O502" s="9">
        <v>1</v>
      </c>
      <c r="P502" s="43">
        <f t="shared" si="437"/>
        <v>2</v>
      </c>
      <c r="Q502" s="11">
        <v>1</v>
      </c>
      <c r="R502" s="8"/>
      <c r="S502" s="9">
        <v>1</v>
      </c>
      <c r="T502" s="43">
        <f t="shared" si="438"/>
        <v>2</v>
      </c>
      <c r="U502" s="10">
        <f t="shared" si="439"/>
        <v>4</v>
      </c>
      <c r="V502" s="56">
        <v>45742</v>
      </c>
      <c r="W502" s="61"/>
      <c r="X502" s="61"/>
    </row>
    <row r="503" spans="1:26" x14ac:dyDescent="0.15">
      <c r="A503" s="24"/>
      <c r="B503" s="7"/>
      <c r="C503" s="8"/>
      <c r="D503" s="9"/>
      <c r="E503" s="43">
        <f t="shared" si="443"/>
        <v>0</v>
      </c>
      <c r="F503" s="11"/>
      <c r="G503" s="8"/>
      <c r="H503" s="9"/>
      <c r="I503" s="43">
        <f t="shared" si="444"/>
        <v>0</v>
      </c>
      <c r="J503" s="10">
        <f t="shared" si="445"/>
        <v>0</v>
      </c>
      <c r="K503" s="61"/>
      <c r="L503" s="24" t="s">
        <v>399</v>
      </c>
      <c r="M503" s="7"/>
      <c r="N503" s="8"/>
      <c r="O503" s="9">
        <v>1</v>
      </c>
      <c r="P503" s="43">
        <f t="shared" si="437"/>
        <v>1</v>
      </c>
      <c r="Q503" s="11"/>
      <c r="R503" s="8"/>
      <c r="S503" s="9">
        <v>1</v>
      </c>
      <c r="T503" s="43">
        <f t="shared" si="438"/>
        <v>1</v>
      </c>
      <c r="U503" s="10">
        <f t="shared" si="439"/>
        <v>2</v>
      </c>
      <c r="V503" s="56">
        <v>45743</v>
      </c>
      <c r="W503" s="61"/>
      <c r="X503" s="61"/>
    </row>
    <row r="504" spans="1:26" x14ac:dyDescent="0.15">
      <c r="A504" s="22"/>
      <c r="B504" s="7"/>
      <c r="C504" s="8"/>
      <c r="D504" s="9"/>
      <c r="E504" s="43">
        <f t="shared" si="443"/>
        <v>0</v>
      </c>
      <c r="F504" s="11"/>
      <c r="G504" s="8"/>
      <c r="H504" s="9"/>
      <c r="I504" s="43">
        <f t="shared" si="444"/>
        <v>0</v>
      </c>
      <c r="J504" s="10">
        <f t="shared" si="445"/>
        <v>0</v>
      </c>
      <c r="K504" s="61"/>
      <c r="L504" s="24" t="s">
        <v>400</v>
      </c>
      <c r="M504" s="7"/>
      <c r="N504" s="8">
        <v>1</v>
      </c>
      <c r="O504" s="9"/>
      <c r="P504" s="43">
        <f t="shared" si="437"/>
        <v>1</v>
      </c>
      <c r="Q504" s="11"/>
      <c r="R504" s="8">
        <v>1</v>
      </c>
      <c r="S504" s="9"/>
      <c r="T504" s="43">
        <f t="shared" si="438"/>
        <v>1</v>
      </c>
      <c r="U504" s="10">
        <f t="shared" si="439"/>
        <v>2</v>
      </c>
      <c r="V504" s="56">
        <v>45744</v>
      </c>
      <c r="W504" s="61"/>
      <c r="X504" s="61"/>
    </row>
    <row r="505" spans="1:26" x14ac:dyDescent="0.15">
      <c r="A505" s="23"/>
      <c r="B505" s="7"/>
      <c r="C505" s="8"/>
      <c r="D505" s="9"/>
      <c r="E505" s="43">
        <f t="shared" si="443"/>
        <v>0</v>
      </c>
      <c r="F505" s="11"/>
      <c r="G505" s="8"/>
      <c r="H505" s="9"/>
      <c r="I505" s="43">
        <f t="shared" si="444"/>
        <v>0</v>
      </c>
      <c r="J505" s="10">
        <f t="shared" si="445"/>
        <v>0</v>
      </c>
      <c r="K505" s="61"/>
      <c r="L505" s="24" t="s">
        <v>401</v>
      </c>
      <c r="M505" s="7">
        <v>1</v>
      </c>
      <c r="N505" s="8"/>
      <c r="O505" s="9"/>
      <c r="P505" s="43">
        <f t="shared" si="437"/>
        <v>1</v>
      </c>
      <c r="Q505" s="11">
        <v>1</v>
      </c>
      <c r="R505" s="8"/>
      <c r="S505" s="9"/>
      <c r="T505" s="43">
        <f t="shared" si="438"/>
        <v>1</v>
      </c>
      <c r="U505" s="10">
        <f t="shared" si="439"/>
        <v>2</v>
      </c>
      <c r="V505" s="56">
        <v>45750</v>
      </c>
      <c r="W505" s="61"/>
      <c r="X505" s="61"/>
    </row>
    <row r="506" spans="1:26" x14ac:dyDescent="0.15">
      <c r="A506" s="22"/>
      <c r="B506" s="7"/>
      <c r="C506" s="8"/>
      <c r="D506" s="9"/>
      <c r="E506" s="43">
        <f t="shared" si="443"/>
        <v>0</v>
      </c>
      <c r="F506" s="11"/>
      <c r="G506" s="8"/>
      <c r="H506" s="9"/>
      <c r="I506" s="43">
        <f t="shared" si="444"/>
        <v>0</v>
      </c>
      <c r="J506" s="10">
        <f t="shared" si="445"/>
        <v>0</v>
      </c>
      <c r="L506" s="24" t="s">
        <v>405</v>
      </c>
      <c r="M506" s="12"/>
      <c r="N506" s="13"/>
      <c r="O506" s="14">
        <v>1</v>
      </c>
      <c r="P506" s="43">
        <f t="shared" si="437"/>
        <v>1</v>
      </c>
      <c r="Q506" s="15"/>
      <c r="R506" s="13"/>
      <c r="S506" s="14">
        <v>1</v>
      </c>
      <c r="T506" s="43">
        <f t="shared" si="438"/>
        <v>1</v>
      </c>
      <c r="U506" s="10">
        <f t="shared" si="439"/>
        <v>2</v>
      </c>
      <c r="V506" s="56">
        <v>45756</v>
      </c>
      <c r="W506" s="61"/>
      <c r="X506" s="61"/>
    </row>
    <row r="507" spans="1:26" x14ac:dyDescent="0.15">
      <c r="A507" s="24"/>
      <c r="B507" s="7"/>
      <c r="C507" s="8"/>
      <c r="D507" s="9"/>
      <c r="E507" s="43">
        <f t="shared" si="443"/>
        <v>0</v>
      </c>
      <c r="F507" s="11"/>
      <c r="G507" s="8"/>
      <c r="H507" s="9"/>
      <c r="I507" s="43">
        <f t="shared" si="444"/>
        <v>0</v>
      </c>
      <c r="J507" s="10">
        <f t="shared" si="445"/>
        <v>0</v>
      </c>
      <c r="L507" s="24" t="s">
        <v>406</v>
      </c>
      <c r="M507" s="7"/>
      <c r="N507" s="8">
        <v>1</v>
      </c>
      <c r="O507" s="9"/>
      <c r="P507" s="43">
        <f t="shared" si="437"/>
        <v>1</v>
      </c>
      <c r="Q507" s="11"/>
      <c r="R507" s="8">
        <v>1</v>
      </c>
      <c r="S507" s="9"/>
      <c r="T507" s="43">
        <f t="shared" si="438"/>
        <v>1</v>
      </c>
      <c r="U507" s="10">
        <f t="shared" si="439"/>
        <v>2</v>
      </c>
      <c r="V507" s="56">
        <v>45757</v>
      </c>
      <c r="W507" s="61"/>
      <c r="X507" s="61"/>
    </row>
    <row r="508" spans="1:26" x14ac:dyDescent="0.15">
      <c r="A508" s="22"/>
      <c r="B508" s="12"/>
      <c r="C508" s="13"/>
      <c r="D508" s="14"/>
      <c r="E508" s="43">
        <f t="shared" si="443"/>
        <v>0</v>
      </c>
      <c r="F508" s="15"/>
      <c r="G508" s="13"/>
      <c r="H508" s="14"/>
      <c r="I508" s="43">
        <f t="shared" si="444"/>
        <v>0</v>
      </c>
      <c r="J508" s="10">
        <f t="shared" si="445"/>
        <v>0</v>
      </c>
      <c r="L508" s="24" t="s">
        <v>408</v>
      </c>
      <c r="M508" s="7"/>
      <c r="N508" s="8"/>
      <c r="O508" s="9">
        <v>2</v>
      </c>
      <c r="P508" s="43">
        <f t="shared" si="437"/>
        <v>2</v>
      </c>
      <c r="Q508" s="11"/>
      <c r="R508" s="8"/>
      <c r="S508" s="9">
        <v>2</v>
      </c>
      <c r="T508" s="43">
        <f t="shared" si="438"/>
        <v>2</v>
      </c>
      <c r="U508" s="10">
        <f t="shared" si="439"/>
        <v>4</v>
      </c>
      <c r="V508" s="56">
        <v>45758</v>
      </c>
      <c r="W508" s="61"/>
      <c r="X508" s="61"/>
    </row>
    <row r="509" spans="1:26" x14ac:dyDescent="0.15">
      <c r="A509" s="22"/>
      <c r="B509" s="7"/>
      <c r="C509" s="8"/>
      <c r="D509" s="9"/>
      <c r="E509" s="43">
        <f t="shared" si="443"/>
        <v>0</v>
      </c>
      <c r="F509" s="11"/>
      <c r="G509" s="8"/>
      <c r="H509" s="9"/>
      <c r="I509" s="43">
        <f t="shared" si="444"/>
        <v>0</v>
      </c>
      <c r="J509" s="10">
        <f t="shared" si="445"/>
        <v>0</v>
      </c>
      <c r="L509" s="24" t="s">
        <v>412</v>
      </c>
      <c r="M509" s="7">
        <v>1</v>
      </c>
      <c r="N509" s="8"/>
      <c r="O509" s="9">
        <v>1</v>
      </c>
      <c r="P509" s="43">
        <f t="shared" ref="P509:P512" si="446">SUM(M509:O509)</f>
        <v>2</v>
      </c>
      <c r="Q509" s="11">
        <v>1</v>
      </c>
      <c r="R509" s="8"/>
      <c r="S509" s="9">
        <v>1</v>
      </c>
      <c r="T509" s="43">
        <f t="shared" ref="T509:T512" si="447">SUM(Q509:S509)</f>
        <v>2</v>
      </c>
      <c r="U509" s="10">
        <f t="shared" ref="U509:U512" si="448">P509+T509</f>
        <v>4</v>
      </c>
      <c r="V509" s="56">
        <v>45897</v>
      </c>
      <c r="W509" s="61"/>
      <c r="X509" s="61"/>
    </row>
    <row r="510" spans="1:26" x14ac:dyDescent="0.15">
      <c r="A510" s="22"/>
      <c r="B510" s="7"/>
      <c r="C510" s="8"/>
      <c r="D510" s="9"/>
      <c r="E510" s="43">
        <f t="shared" si="443"/>
        <v>0</v>
      </c>
      <c r="F510" s="11"/>
      <c r="G510" s="8"/>
      <c r="H510" s="9"/>
      <c r="I510" s="43">
        <f t="shared" si="444"/>
        <v>0</v>
      </c>
      <c r="J510" s="10">
        <f t="shared" si="445"/>
        <v>0</v>
      </c>
      <c r="L510" s="24"/>
      <c r="M510" s="7"/>
      <c r="N510" s="8"/>
      <c r="O510" s="9"/>
      <c r="P510" s="43">
        <f t="shared" si="446"/>
        <v>0</v>
      </c>
      <c r="Q510" s="11"/>
      <c r="R510" s="8"/>
      <c r="S510" s="9"/>
      <c r="T510" s="43">
        <f t="shared" si="447"/>
        <v>0</v>
      </c>
      <c r="U510" s="10">
        <f t="shared" si="448"/>
        <v>0</v>
      </c>
      <c r="V510" s="56"/>
      <c r="W510" s="61"/>
      <c r="X510" s="61"/>
    </row>
    <row r="511" spans="1:26" x14ac:dyDescent="0.15">
      <c r="A511" s="22"/>
      <c r="B511" s="7"/>
      <c r="C511" s="8"/>
      <c r="D511" s="9"/>
      <c r="E511" s="43">
        <f t="shared" si="443"/>
        <v>0</v>
      </c>
      <c r="F511" s="11"/>
      <c r="G511" s="8"/>
      <c r="H511" s="9"/>
      <c r="I511" s="43">
        <f t="shared" si="444"/>
        <v>0</v>
      </c>
      <c r="J511" s="10">
        <f t="shared" si="445"/>
        <v>0</v>
      </c>
      <c r="L511" s="22"/>
      <c r="M511" s="7"/>
      <c r="N511" s="8"/>
      <c r="O511" s="9"/>
      <c r="P511" s="43">
        <f t="shared" si="446"/>
        <v>0</v>
      </c>
      <c r="Q511" s="11"/>
      <c r="R511" s="8"/>
      <c r="S511" s="9"/>
      <c r="T511" s="43">
        <f t="shared" si="447"/>
        <v>0</v>
      </c>
      <c r="U511" s="10">
        <f t="shared" si="448"/>
        <v>0</v>
      </c>
    </row>
    <row r="512" spans="1:26" ht="14.25" thickBot="1" x14ac:dyDescent="0.2">
      <c r="A512" s="22"/>
      <c r="B512" s="7"/>
      <c r="C512" s="8"/>
      <c r="D512" s="9"/>
      <c r="E512" s="43">
        <f t="shared" si="443"/>
        <v>0</v>
      </c>
      <c r="F512" s="11"/>
      <c r="G512" s="8"/>
      <c r="H512" s="9"/>
      <c r="I512" s="43">
        <f t="shared" si="444"/>
        <v>0</v>
      </c>
      <c r="J512" s="10">
        <f t="shared" si="445"/>
        <v>0</v>
      </c>
      <c r="L512" s="24" t="s">
        <v>349</v>
      </c>
      <c r="M512" s="7"/>
      <c r="N512" s="8"/>
      <c r="O512" s="9"/>
      <c r="P512" s="43">
        <f t="shared" si="446"/>
        <v>0</v>
      </c>
      <c r="Q512" s="7"/>
      <c r="R512" s="8"/>
      <c r="S512" s="9"/>
      <c r="T512" s="43">
        <f t="shared" si="447"/>
        <v>0</v>
      </c>
      <c r="U512" s="10">
        <f t="shared" si="448"/>
        <v>0</v>
      </c>
      <c r="V512" s="61" t="s">
        <v>325</v>
      </c>
    </row>
    <row r="513" spans="1:23" ht="14.25" thickBot="1" x14ac:dyDescent="0.2">
      <c r="A513" s="35" t="s">
        <v>17</v>
      </c>
      <c r="B513" s="40">
        <f>SUM(B487:B512)</f>
        <v>6</v>
      </c>
      <c r="C513" s="41">
        <f t="shared" ref="C513:D513" si="449">SUM(C487:C512)</f>
        <v>6</v>
      </c>
      <c r="D513" s="52">
        <f t="shared" si="449"/>
        <v>4</v>
      </c>
      <c r="E513" s="39">
        <f t="shared" si="443"/>
        <v>16</v>
      </c>
      <c r="F513" s="40">
        <f>SUM(F487:F512)</f>
        <v>6</v>
      </c>
      <c r="G513" s="41">
        <f t="shared" ref="G513:H513" si="450">SUM(G487:G512)</f>
        <v>6</v>
      </c>
      <c r="H513" s="52">
        <f t="shared" si="450"/>
        <v>4</v>
      </c>
      <c r="I513" s="39">
        <f t="shared" si="444"/>
        <v>16</v>
      </c>
      <c r="J513" s="39">
        <f>E513+I513</f>
        <v>32</v>
      </c>
      <c r="L513" s="35" t="s">
        <v>17</v>
      </c>
      <c r="M513" s="40">
        <f>SUM(M487:M512)</f>
        <v>31</v>
      </c>
      <c r="N513" s="41">
        <f t="shared" ref="N513:O513" si="451">SUM(N487:N512)</f>
        <v>31</v>
      </c>
      <c r="O513" s="52">
        <f t="shared" si="451"/>
        <v>19</v>
      </c>
      <c r="P513" s="39">
        <f t="shared" ref="P513" si="452">SUM(M513:O513)</f>
        <v>81</v>
      </c>
      <c r="Q513" s="40">
        <f>SUM(Q487:Q512)</f>
        <v>31</v>
      </c>
      <c r="R513" s="41">
        <f t="shared" ref="R513:S513" si="453">SUM(R487:R512)</f>
        <v>31</v>
      </c>
      <c r="S513" s="52">
        <f t="shared" si="453"/>
        <v>19</v>
      </c>
      <c r="T513" s="39">
        <f t="shared" ref="T513" si="454">SUM(Q513:S513)</f>
        <v>81</v>
      </c>
      <c r="U513" s="39">
        <f>P513+T513</f>
        <v>162</v>
      </c>
    </row>
    <row r="514" spans="1:23" ht="14.25" thickBot="1" x14ac:dyDescent="0.2">
      <c r="A514" s="21" t="s">
        <v>16</v>
      </c>
      <c r="B514" s="44">
        <f>B486-B513</f>
        <v>1</v>
      </c>
      <c r="C514" s="50">
        <f t="shared" ref="C514:D514" si="455">C486-C513</f>
        <v>0</v>
      </c>
      <c r="D514" s="51">
        <f t="shared" si="455"/>
        <v>2</v>
      </c>
      <c r="E514" s="49">
        <f>SUM(B514:D514)</f>
        <v>3</v>
      </c>
      <c r="F514" s="44">
        <f>F486-F513</f>
        <v>1</v>
      </c>
      <c r="G514" s="50">
        <f t="shared" ref="G514:H514" si="456">G486-G513</f>
        <v>0</v>
      </c>
      <c r="H514" s="51">
        <f t="shared" si="456"/>
        <v>1</v>
      </c>
      <c r="I514" s="49">
        <f>SUM(F514:H514)</f>
        <v>2</v>
      </c>
      <c r="J514" s="28">
        <f>E514+I514</f>
        <v>5</v>
      </c>
      <c r="L514" s="21" t="s">
        <v>16</v>
      </c>
      <c r="M514" s="44">
        <f>M486-M513</f>
        <v>13</v>
      </c>
      <c r="N514" s="50">
        <f t="shared" ref="N514:O514" si="457">N486-N513</f>
        <v>0</v>
      </c>
      <c r="O514" s="51">
        <f t="shared" si="457"/>
        <v>8</v>
      </c>
      <c r="P514" s="49">
        <f>SUM(M514:O514)</f>
        <v>21</v>
      </c>
      <c r="Q514" s="44">
        <f>Q486-Q513</f>
        <v>13</v>
      </c>
      <c r="R514" s="50">
        <f t="shared" ref="R514:S514" si="458">R486-R513</f>
        <v>0</v>
      </c>
      <c r="S514" s="51">
        <f t="shared" si="458"/>
        <v>8</v>
      </c>
      <c r="T514" s="49">
        <f>SUM(Q514:S514)</f>
        <v>21</v>
      </c>
      <c r="U514" s="28">
        <f>P514+T514</f>
        <v>42</v>
      </c>
    </row>
    <row r="516" spans="1:23" ht="35.25" customHeight="1" x14ac:dyDescent="0.15">
      <c r="A516" s="152" t="s">
        <v>403</v>
      </c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</row>
    <row r="517" spans="1:23" ht="19.5" thickBot="1" x14ac:dyDescent="0.25">
      <c r="A517" s="84" t="s">
        <v>31</v>
      </c>
      <c r="B517" s="85"/>
      <c r="C517" s="85"/>
      <c r="D517" s="85"/>
      <c r="E517" s="85"/>
      <c r="F517" s="85"/>
      <c r="G517" s="85"/>
      <c r="H517" s="85"/>
      <c r="I517" s="85"/>
      <c r="J517" s="85"/>
      <c r="L517" s="82" t="s">
        <v>32</v>
      </c>
      <c r="M517" s="83"/>
      <c r="N517" s="83"/>
      <c r="O517" s="83"/>
      <c r="P517" s="83"/>
      <c r="Q517" s="83"/>
      <c r="R517" s="83"/>
      <c r="S517" s="83"/>
      <c r="T517" s="83"/>
      <c r="U517" s="83">
        <v>1040</v>
      </c>
    </row>
    <row r="518" spans="1:23" ht="14.25" thickBot="1" x14ac:dyDescent="0.2">
      <c r="A518" s="6"/>
      <c r="B518" s="159" t="s">
        <v>33</v>
      </c>
      <c r="C518" s="160"/>
      <c r="D518" s="160"/>
      <c r="E518" s="161"/>
      <c r="F518" s="159" t="s">
        <v>22</v>
      </c>
      <c r="G518" s="160"/>
      <c r="H518" s="160"/>
      <c r="I518" s="162"/>
      <c r="J518" s="157" t="s">
        <v>0</v>
      </c>
      <c r="L518" s="6"/>
      <c r="M518" s="159" t="s">
        <v>33</v>
      </c>
      <c r="N518" s="160"/>
      <c r="O518" s="160"/>
      <c r="P518" s="161"/>
      <c r="Q518" s="146" t="s">
        <v>22</v>
      </c>
      <c r="R518" s="147"/>
      <c r="S518" s="147"/>
      <c r="T518" s="148"/>
      <c r="U518" s="157" t="s">
        <v>0</v>
      </c>
    </row>
    <row r="519" spans="1:23" ht="14.25" thickBot="1" x14ac:dyDescent="0.2">
      <c r="A519" s="6" t="s">
        <v>1</v>
      </c>
      <c r="B519" s="3" t="s">
        <v>2</v>
      </c>
      <c r="C519" s="4" t="s">
        <v>3</v>
      </c>
      <c r="D519" s="5" t="s">
        <v>4</v>
      </c>
      <c r="E519" s="6" t="s">
        <v>5</v>
      </c>
      <c r="F519" s="3" t="s">
        <v>2</v>
      </c>
      <c r="G519" s="4" t="s">
        <v>3</v>
      </c>
      <c r="H519" s="5" t="s">
        <v>4</v>
      </c>
      <c r="I519" s="6" t="s">
        <v>5</v>
      </c>
      <c r="J519" s="158"/>
      <c r="L519" s="6" t="s">
        <v>1</v>
      </c>
      <c r="M519" s="3" t="s">
        <v>2</v>
      </c>
      <c r="N519" s="4" t="s">
        <v>3</v>
      </c>
      <c r="O519" s="5" t="s">
        <v>4</v>
      </c>
      <c r="P519" s="6" t="s">
        <v>5</v>
      </c>
      <c r="Q519" s="3" t="s">
        <v>2</v>
      </c>
      <c r="R519" s="4" t="s">
        <v>3</v>
      </c>
      <c r="S519" s="5" t="s">
        <v>4</v>
      </c>
      <c r="T519" s="6" t="s">
        <v>5</v>
      </c>
      <c r="U519" s="158"/>
    </row>
    <row r="520" spans="1:23" ht="14.25" thickBot="1" x14ac:dyDescent="0.2">
      <c r="A520" s="66" t="s">
        <v>6</v>
      </c>
      <c r="B520" s="25">
        <f>B514</f>
        <v>1</v>
      </c>
      <c r="C520" s="26">
        <f>C514</f>
        <v>0</v>
      </c>
      <c r="D520" s="27">
        <f>D514</f>
        <v>2</v>
      </c>
      <c r="E520" s="28">
        <f>SUM(B520:D520)</f>
        <v>3</v>
      </c>
      <c r="F520" s="25">
        <f>F514</f>
        <v>1</v>
      </c>
      <c r="G520" s="26">
        <f>G514</f>
        <v>0</v>
      </c>
      <c r="H520" s="27">
        <f>H514</f>
        <v>1</v>
      </c>
      <c r="I520" s="28">
        <f>SUM(F520:H520)</f>
        <v>2</v>
      </c>
      <c r="J520" s="28">
        <f>E520+I520</f>
        <v>5</v>
      </c>
      <c r="L520" s="66" t="s">
        <v>6</v>
      </c>
      <c r="M520" s="25">
        <f>M514</f>
        <v>13</v>
      </c>
      <c r="N520" s="26">
        <f>N514</f>
        <v>0</v>
      </c>
      <c r="O520" s="27">
        <f>O514</f>
        <v>8</v>
      </c>
      <c r="P520" s="28">
        <f>SUM(M520:O520)</f>
        <v>21</v>
      </c>
      <c r="Q520" s="25">
        <f>Q514</f>
        <v>13</v>
      </c>
      <c r="R520" s="26">
        <f>R514</f>
        <v>0</v>
      </c>
      <c r="S520" s="27">
        <f>S514</f>
        <v>8</v>
      </c>
      <c r="T520" s="28">
        <f>SUM(Q520:S520)</f>
        <v>21</v>
      </c>
      <c r="U520" s="28">
        <f>P520+T520</f>
        <v>42</v>
      </c>
    </row>
    <row r="521" spans="1:23" x14ac:dyDescent="0.15">
      <c r="A521" s="23" t="s">
        <v>7</v>
      </c>
      <c r="B521" s="7">
        <v>1</v>
      </c>
      <c r="C521" s="8">
        <v>1</v>
      </c>
      <c r="D521" s="46"/>
      <c r="E521" s="10">
        <f t="shared" ref="E521:E524" si="459">SUM(B521:D521)</f>
        <v>2</v>
      </c>
      <c r="F521" s="11">
        <v>1</v>
      </c>
      <c r="G521" s="8">
        <v>1</v>
      </c>
      <c r="H521" s="9"/>
      <c r="I521" s="10">
        <f t="shared" ref="I521:I524" si="460">SUM(F521:H521)</f>
        <v>2</v>
      </c>
      <c r="J521" s="10">
        <f t="shared" ref="J521:J524" si="461">E521+I521</f>
        <v>4</v>
      </c>
      <c r="K521" s="56">
        <v>45910</v>
      </c>
      <c r="L521" s="23" t="s">
        <v>7</v>
      </c>
      <c r="M521" s="7"/>
      <c r="N521" s="8"/>
      <c r="O521" s="46"/>
      <c r="P521" s="10">
        <f t="shared" ref="P521:P522" si="462">SUM(M521:O521)</f>
        <v>0</v>
      </c>
      <c r="Q521" s="11"/>
      <c r="R521" s="8"/>
      <c r="S521" s="9"/>
      <c r="T521" s="10">
        <f t="shared" ref="T521:T522" si="463">SUM(Q521:S521)</f>
        <v>0</v>
      </c>
      <c r="U521" s="10">
        <f t="shared" ref="U521:U522" si="464">P521+T521</f>
        <v>0</v>
      </c>
    </row>
    <row r="522" spans="1:23" x14ac:dyDescent="0.15">
      <c r="A522" s="23" t="s">
        <v>328</v>
      </c>
      <c r="B522" s="7"/>
      <c r="C522" s="8"/>
      <c r="D522" s="46">
        <v>-1</v>
      </c>
      <c r="E522" s="10">
        <f t="shared" si="459"/>
        <v>-1</v>
      </c>
      <c r="F522" s="11"/>
      <c r="G522" s="8"/>
      <c r="H522" s="9"/>
      <c r="I522" s="10">
        <f t="shared" si="460"/>
        <v>0</v>
      </c>
      <c r="J522" s="10">
        <f t="shared" si="461"/>
        <v>-1</v>
      </c>
      <c r="L522" s="23" t="s">
        <v>407</v>
      </c>
      <c r="M522" s="7">
        <v>100</v>
      </c>
      <c r="N522" s="8">
        <v>140</v>
      </c>
      <c r="O522" s="46">
        <v>90</v>
      </c>
      <c r="P522" s="10">
        <f t="shared" si="462"/>
        <v>330</v>
      </c>
      <c r="Q522" s="7">
        <v>100</v>
      </c>
      <c r="R522" s="8">
        <v>140</v>
      </c>
      <c r="S522" s="46">
        <v>90</v>
      </c>
      <c r="T522" s="10">
        <f t="shared" si="463"/>
        <v>330</v>
      </c>
      <c r="U522" s="10">
        <f t="shared" si="464"/>
        <v>660</v>
      </c>
      <c r="V522" s="56" t="s">
        <v>422</v>
      </c>
      <c r="W522" s="61" t="s">
        <v>410</v>
      </c>
    </row>
    <row r="523" spans="1:23" x14ac:dyDescent="0.15">
      <c r="A523" s="23" t="s">
        <v>9</v>
      </c>
      <c r="B523" s="7"/>
      <c r="C523" s="8"/>
      <c r="D523" s="46"/>
      <c r="E523" s="10">
        <f t="shared" si="459"/>
        <v>0</v>
      </c>
      <c r="F523" s="11"/>
      <c r="G523" s="8"/>
      <c r="H523" s="9"/>
      <c r="I523" s="10">
        <f t="shared" si="460"/>
        <v>0</v>
      </c>
      <c r="J523" s="10">
        <f t="shared" si="461"/>
        <v>0</v>
      </c>
      <c r="L523" s="23" t="s">
        <v>417</v>
      </c>
      <c r="M523" s="7"/>
      <c r="N523" s="8">
        <v>10</v>
      </c>
      <c r="O523" s="46">
        <v>10</v>
      </c>
      <c r="P523" s="10">
        <f t="shared" ref="P523:P528" si="465">SUM(M523:O523)</f>
        <v>20</v>
      </c>
      <c r="Q523" s="7"/>
      <c r="R523" s="8">
        <v>10</v>
      </c>
      <c r="S523" s="46">
        <v>10</v>
      </c>
      <c r="T523" s="10">
        <f t="shared" ref="T523:T528" si="466">SUM(Q523:S523)</f>
        <v>20</v>
      </c>
      <c r="U523" s="10">
        <f t="shared" ref="U523:U528" si="467">P523+T523</f>
        <v>40</v>
      </c>
      <c r="V523" s="56">
        <v>45909</v>
      </c>
      <c r="W523" s="61"/>
    </row>
    <row r="524" spans="1:23" x14ac:dyDescent="0.15">
      <c r="A524" s="23" t="s">
        <v>10</v>
      </c>
      <c r="B524" s="7"/>
      <c r="C524" s="8"/>
      <c r="D524" s="46"/>
      <c r="E524" s="10">
        <f t="shared" si="459"/>
        <v>0</v>
      </c>
      <c r="F524" s="11"/>
      <c r="G524" s="8"/>
      <c r="H524" s="9"/>
      <c r="I524" s="10">
        <f t="shared" si="460"/>
        <v>0</v>
      </c>
      <c r="J524" s="10">
        <f t="shared" si="461"/>
        <v>0</v>
      </c>
      <c r="L524" s="23" t="s">
        <v>10</v>
      </c>
      <c r="M524" s="7"/>
      <c r="N524" s="8"/>
      <c r="O524" s="46"/>
      <c r="P524" s="10">
        <f t="shared" ref="P524:P526" si="468">SUM(M524:O524)</f>
        <v>0</v>
      </c>
      <c r="Q524" s="11"/>
      <c r="R524" s="8"/>
      <c r="S524" s="9"/>
      <c r="T524" s="10">
        <f t="shared" ref="T524:T526" si="469">SUM(Q524:S524)</f>
        <v>0</v>
      </c>
      <c r="U524" s="10">
        <f t="shared" ref="U524:U526" si="470">P524+T524</f>
        <v>0</v>
      </c>
    </row>
    <row r="525" spans="1:23" x14ac:dyDescent="0.15">
      <c r="A525" s="23" t="s">
        <v>11</v>
      </c>
      <c r="B525" s="7"/>
      <c r="C525" s="8"/>
      <c r="D525" s="46"/>
      <c r="E525" s="10">
        <f t="shared" ref="E525:E528" si="471">SUM(B525:D525)</f>
        <v>0</v>
      </c>
      <c r="F525" s="11"/>
      <c r="G525" s="8"/>
      <c r="H525" s="9"/>
      <c r="I525" s="10">
        <f t="shared" ref="I525:I528" si="472">SUM(F525:H525)</f>
        <v>0</v>
      </c>
      <c r="J525" s="10">
        <f t="shared" ref="J525:J528" si="473">E525+I525</f>
        <v>0</v>
      </c>
      <c r="L525" s="23" t="s">
        <v>11</v>
      </c>
      <c r="M525" s="7"/>
      <c r="N525" s="8"/>
      <c r="O525" s="46"/>
      <c r="P525" s="10">
        <f t="shared" si="468"/>
        <v>0</v>
      </c>
      <c r="Q525" s="11"/>
      <c r="R525" s="8"/>
      <c r="S525" s="9"/>
      <c r="T525" s="10">
        <f t="shared" si="469"/>
        <v>0</v>
      </c>
      <c r="U525" s="10">
        <f t="shared" si="470"/>
        <v>0</v>
      </c>
    </row>
    <row r="526" spans="1:23" x14ac:dyDescent="0.15">
      <c r="A526" s="23" t="s">
        <v>12</v>
      </c>
      <c r="B526" s="7"/>
      <c r="C526" s="8"/>
      <c r="D526" s="46"/>
      <c r="E526" s="10">
        <f t="shared" si="471"/>
        <v>0</v>
      </c>
      <c r="F526" s="11"/>
      <c r="G526" s="8"/>
      <c r="H526" s="9"/>
      <c r="I526" s="10">
        <f t="shared" si="472"/>
        <v>0</v>
      </c>
      <c r="J526" s="10">
        <f t="shared" si="473"/>
        <v>0</v>
      </c>
      <c r="L526" s="23" t="s">
        <v>12</v>
      </c>
      <c r="M526" s="7"/>
      <c r="N526" s="8"/>
      <c r="O526" s="46"/>
      <c r="P526" s="10">
        <f t="shared" si="468"/>
        <v>0</v>
      </c>
      <c r="Q526" s="11"/>
      <c r="R526" s="8"/>
      <c r="S526" s="9"/>
      <c r="T526" s="10">
        <f t="shared" si="469"/>
        <v>0</v>
      </c>
      <c r="U526" s="10">
        <f t="shared" si="470"/>
        <v>0</v>
      </c>
    </row>
    <row r="527" spans="1:23" x14ac:dyDescent="0.15">
      <c r="A527" s="23" t="s">
        <v>13</v>
      </c>
      <c r="B527" s="7"/>
      <c r="C527" s="8"/>
      <c r="D527" s="46"/>
      <c r="E527" s="10">
        <f t="shared" si="471"/>
        <v>0</v>
      </c>
      <c r="F527" s="11"/>
      <c r="G527" s="8"/>
      <c r="H527" s="9"/>
      <c r="I527" s="10">
        <f t="shared" si="472"/>
        <v>0</v>
      </c>
      <c r="J527" s="10">
        <f t="shared" si="473"/>
        <v>0</v>
      </c>
      <c r="L527" s="23" t="s">
        <v>13</v>
      </c>
      <c r="M527" s="7"/>
      <c r="N527" s="8"/>
      <c r="O527" s="46"/>
      <c r="P527" s="10">
        <f t="shared" si="465"/>
        <v>0</v>
      </c>
      <c r="Q527" s="11"/>
      <c r="R527" s="8"/>
      <c r="S527" s="9"/>
      <c r="T527" s="10">
        <f t="shared" si="466"/>
        <v>0</v>
      </c>
      <c r="U527" s="10">
        <f t="shared" si="467"/>
        <v>0</v>
      </c>
    </row>
    <row r="528" spans="1:23" ht="14.25" thickBot="1" x14ac:dyDescent="0.2">
      <c r="A528" s="22" t="s">
        <v>14</v>
      </c>
      <c r="B528" s="7"/>
      <c r="C528" s="8"/>
      <c r="D528" s="9"/>
      <c r="E528" s="43">
        <f t="shared" si="471"/>
        <v>0</v>
      </c>
      <c r="F528" s="11"/>
      <c r="G528" s="8"/>
      <c r="H528" s="9"/>
      <c r="I528" s="43">
        <f t="shared" si="472"/>
        <v>0</v>
      </c>
      <c r="J528" s="10">
        <f t="shared" si="473"/>
        <v>0</v>
      </c>
      <c r="K528" s="56"/>
      <c r="L528" s="22" t="s">
        <v>14</v>
      </c>
      <c r="M528" s="7"/>
      <c r="N528" s="8"/>
      <c r="O528" s="9"/>
      <c r="P528" s="43">
        <f t="shared" si="465"/>
        <v>0</v>
      </c>
      <c r="Q528" s="11"/>
      <c r="R528" s="8"/>
      <c r="S528" s="9"/>
      <c r="T528" s="43">
        <f t="shared" si="466"/>
        <v>0</v>
      </c>
      <c r="U528" s="10">
        <f t="shared" si="467"/>
        <v>0</v>
      </c>
    </row>
    <row r="529" spans="1:23" ht="14.25" thickBot="1" x14ac:dyDescent="0.2">
      <c r="A529" s="32" t="s">
        <v>15</v>
      </c>
      <c r="B529" s="25">
        <f>SUM(B520:B528)</f>
        <v>2</v>
      </c>
      <c r="C529" s="26">
        <f>SUM(C520:C528)</f>
        <v>1</v>
      </c>
      <c r="D529" s="27">
        <f>SUM(D520:D528)</f>
        <v>1</v>
      </c>
      <c r="E529" s="28">
        <f>SUM(B529:D529)</f>
        <v>4</v>
      </c>
      <c r="F529" s="25">
        <f>SUM(F520:F528)</f>
        <v>2</v>
      </c>
      <c r="G529" s="26">
        <f>SUM(G520:G528)</f>
        <v>1</v>
      </c>
      <c r="H529" s="27">
        <f>SUM(H520:H528)</f>
        <v>1</v>
      </c>
      <c r="I529" s="28">
        <f>SUM(F529:H529)</f>
        <v>4</v>
      </c>
      <c r="J529" s="28">
        <f>E529+I529</f>
        <v>8</v>
      </c>
      <c r="L529" s="32" t="s">
        <v>15</v>
      </c>
      <c r="M529" s="25">
        <f>SUM(M520:M528)</f>
        <v>113</v>
      </c>
      <c r="N529" s="26">
        <f>SUM(N520:N528)</f>
        <v>150</v>
      </c>
      <c r="O529" s="27">
        <f>SUM(O520:O528)</f>
        <v>108</v>
      </c>
      <c r="P529" s="28">
        <f>SUM(M529:O529)</f>
        <v>371</v>
      </c>
      <c r="Q529" s="25">
        <f>SUM(Q520:Q528)</f>
        <v>113</v>
      </c>
      <c r="R529" s="26">
        <f>SUM(R520:R528)</f>
        <v>150</v>
      </c>
      <c r="S529" s="27">
        <f>SUM(S520:S528)</f>
        <v>108</v>
      </c>
      <c r="T529" s="28">
        <f>SUM(Q529:S529)</f>
        <v>371</v>
      </c>
      <c r="U529" s="28">
        <f>P529+T529</f>
        <v>742</v>
      </c>
    </row>
    <row r="530" spans="1:23" x14ac:dyDescent="0.15">
      <c r="A530" s="22" t="s">
        <v>163</v>
      </c>
      <c r="B530" s="7">
        <v>1</v>
      </c>
      <c r="C530" s="8">
        <v>1</v>
      </c>
      <c r="D530" s="9"/>
      <c r="E530" s="43">
        <f t="shared" ref="E530:E532" si="474">SUM(B530:D530)</f>
        <v>2</v>
      </c>
      <c r="F530" s="11">
        <v>1</v>
      </c>
      <c r="G530" s="8">
        <v>1</v>
      </c>
      <c r="H530" s="9"/>
      <c r="I530" s="43">
        <f t="shared" ref="I530:I532" si="475">SUM(F530:H530)</f>
        <v>2</v>
      </c>
      <c r="J530" s="10">
        <f t="shared" ref="J530:J532" si="476">E530+I530</f>
        <v>4</v>
      </c>
      <c r="K530" s="56">
        <v>45912</v>
      </c>
      <c r="L530" s="22" t="s">
        <v>421</v>
      </c>
      <c r="M530" s="12">
        <v>1</v>
      </c>
      <c r="N530" s="13">
        <v>1</v>
      </c>
      <c r="O530" s="14"/>
      <c r="P530" s="43">
        <f t="shared" ref="P530:P550" si="477">SUM(M530:O530)</f>
        <v>2</v>
      </c>
      <c r="Q530" s="15">
        <v>1</v>
      </c>
      <c r="R530" s="13">
        <v>1</v>
      </c>
      <c r="S530" s="14"/>
      <c r="T530" s="43">
        <f t="shared" ref="T530:T550" si="478">SUM(Q530:S530)</f>
        <v>2</v>
      </c>
      <c r="U530" s="10">
        <f t="shared" ref="U530:U550" si="479">P530+T530</f>
        <v>4</v>
      </c>
      <c r="V530" s="56">
        <v>45910</v>
      </c>
    </row>
    <row r="531" spans="1:23" x14ac:dyDescent="0.15">
      <c r="A531" s="22"/>
      <c r="B531" s="7"/>
      <c r="C531" s="8"/>
      <c r="D531" s="9"/>
      <c r="E531" s="43">
        <f t="shared" si="474"/>
        <v>0</v>
      </c>
      <c r="F531" s="11"/>
      <c r="G531" s="8"/>
      <c r="H531" s="9"/>
      <c r="I531" s="43">
        <f t="shared" si="475"/>
        <v>0</v>
      </c>
      <c r="J531" s="10">
        <f t="shared" si="476"/>
        <v>0</v>
      </c>
      <c r="K531" s="61"/>
      <c r="L531" s="22" t="s">
        <v>426</v>
      </c>
      <c r="M531" s="12">
        <v>3</v>
      </c>
      <c r="N531" s="13">
        <v>5</v>
      </c>
      <c r="O531" s="14">
        <v>3</v>
      </c>
      <c r="P531" s="43">
        <f t="shared" si="477"/>
        <v>11</v>
      </c>
      <c r="Q531" s="15">
        <v>3</v>
      </c>
      <c r="R531" s="13">
        <v>5</v>
      </c>
      <c r="S531" s="14">
        <v>3</v>
      </c>
      <c r="T531" s="43">
        <f t="shared" si="478"/>
        <v>11</v>
      </c>
      <c r="U531" s="10">
        <f t="shared" si="479"/>
        <v>22</v>
      </c>
      <c r="V531" s="56">
        <v>45933</v>
      </c>
    </row>
    <row r="532" spans="1:23" x14ac:dyDescent="0.15">
      <c r="A532" s="22"/>
      <c r="B532" s="7"/>
      <c r="C532" s="8"/>
      <c r="D532" s="9"/>
      <c r="E532" s="43">
        <f t="shared" si="474"/>
        <v>0</v>
      </c>
      <c r="F532" s="11"/>
      <c r="G532" s="8"/>
      <c r="H532" s="9"/>
      <c r="I532" s="43">
        <f t="shared" si="475"/>
        <v>0</v>
      </c>
      <c r="J532" s="10">
        <f t="shared" si="476"/>
        <v>0</v>
      </c>
      <c r="K532" s="61"/>
      <c r="L532" s="22" t="s">
        <v>40</v>
      </c>
      <c r="M532" s="12"/>
      <c r="N532" s="13">
        <v>2</v>
      </c>
      <c r="O532" s="14">
        <v>2</v>
      </c>
      <c r="P532" s="43">
        <f t="shared" si="477"/>
        <v>4</v>
      </c>
      <c r="Q532" s="15"/>
      <c r="R532" s="13">
        <v>2</v>
      </c>
      <c r="S532" s="14">
        <v>2</v>
      </c>
      <c r="T532" s="43">
        <f t="shared" si="478"/>
        <v>4</v>
      </c>
      <c r="U532" s="10">
        <f t="shared" si="479"/>
        <v>8</v>
      </c>
      <c r="V532" s="56">
        <v>45952</v>
      </c>
    </row>
    <row r="533" spans="1:23" x14ac:dyDescent="0.15">
      <c r="A533" s="22"/>
      <c r="B533" s="7"/>
      <c r="C533" s="8"/>
      <c r="D533" s="9"/>
      <c r="E533" s="43">
        <f t="shared" ref="E533:E556" si="480">SUM(B533:D533)</f>
        <v>0</v>
      </c>
      <c r="F533" s="11"/>
      <c r="G533" s="8"/>
      <c r="H533" s="9"/>
      <c r="I533" s="43">
        <f t="shared" ref="I533:I556" si="481">SUM(F533:H533)</f>
        <v>0</v>
      </c>
      <c r="J533" s="10">
        <f t="shared" ref="J533:J555" si="482">E533+I533</f>
        <v>0</v>
      </c>
      <c r="K533" s="61"/>
      <c r="L533" s="22" t="s">
        <v>41</v>
      </c>
      <c r="M533" s="12">
        <v>2</v>
      </c>
      <c r="N533" s="13"/>
      <c r="O533" s="14">
        <v>1</v>
      </c>
      <c r="P533" s="43">
        <f t="shared" si="477"/>
        <v>3</v>
      </c>
      <c r="Q533" s="15">
        <v>2</v>
      </c>
      <c r="R533" s="13"/>
      <c r="S533" s="14">
        <v>1</v>
      </c>
      <c r="T533" s="43">
        <f t="shared" si="478"/>
        <v>3</v>
      </c>
      <c r="U533" s="10">
        <f t="shared" si="479"/>
        <v>6</v>
      </c>
      <c r="V533" s="56">
        <v>45953</v>
      </c>
    </row>
    <row r="534" spans="1:23" x14ac:dyDescent="0.15">
      <c r="A534" s="22"/>
      <c r="B534" s="7"/>
      <c r="C534" s="8"/>
      <c r="D534" s="9"/>
      <c r="E534" s="43">
        <f t="shared" si="480"/>
        <v>0</v>
      </c>
      <c r="F534" s="11"/>
      <c r="G534" s="8"/>
      <c r="H534" s="9"/>
      <c r="I534" s="43">
        <f t="shared" si="481"/>
        <v>0</v>
      </c>
      <c r="J534" s="10">
        <f t="shared" si="482"/>
        <v>0</v>
      </c>
      <c r="K534" s="61"/>
      <c r="L534" s="22" t="s">
        <v>42</v>
      </c>
      <c r="M534" s="12"/>
      <c r="N534" s="13">
        <v>1</v>
      </c>
      <c r="O534" s="14"/>
      <c r="P534" s="43">
        <f t="shared" si="477"/>
        <v>1</v>
      </c>
      <c r="Q534" s="15"/>
      <c r="R534" s="13">
        <v>1</v>
      </c>
      <c r="S534" s="14"/>
      <c r="T534" s="43">
        <f t="shared" si="478"/>
        <v>1</v>
      </c>
      <c r="U534" s="10">
        <f t="shared" si="479"/>
        <v>2</v>
      </c>
      <c r="V534" s="56">
        <v>45954</v>
      </c>
    </row>
    <row r="535" spans="1:23" x14ac:dyDescent="0.15">
      <c r="A535" s="22"/>
      <c r="B535" s="7"/>
      <c r="C535" s="8"/>
      <c r="D535" s="9"/>
      <c r="E535" s="43">
        <f t="shared" si="480"/>
        <v>0</v>
      </c>
      <c r="F535" s="11"/>
      <c r="G535" s="8"/>
      <c r="H535" s="9"/>
      <c r="I535" s="43">
        <f t="shared" si="481"/>
        <v>0</v>
      </c>
      <c r="J535" s="10">
        <f t="shared" si="482"/>
        <v>0</v>
      </c>
      <c r="K535" s="61"/>
      <c r="L535" s="22" t="s">
        <v>43</v>
      </c>
      <c r="M535" s="12"/>
      <c r="N535" s="13">
        <v>2</v>
      </c>
      <c r="O535" s="14">
        <v>1</v>
      </c>
      <c r="P535" s="43">
        <f t="shared" si="477"/>
        <v>3</v>
      </c>
      <c r="Q535" s="15"/>
      <c r="R535" s="13">
        <v>2</v>
      </c>
      <c r="S535" s="14">
        <v>1</v>
      </c>
      <c r="T535" s="43">
        <f t="shared" si="478"/>
        <v>3</v>
      </c>
      <c r="U535" s="10">
        <f t="shared" si="479"/>
        <v>6</v>
      </c>
      <c r="V535" s="56">
        <v>45954</v>
      </c>
    </row>
    <row r="536" spans="1:23" x14ac:dyDescent="0.15">
      <c r="A536" s="22"/>
      <c r="B536" s="7"/>
      <c r="C536" s="8"/>
      <c r="D536" s="9"/>
      <c r="E536" s="43">
        <f t="shared" si="480"/>
        <v>0</v>
      </c>
      <c r="F536" s="11"/>
      <c r="G536" s="8"/>
      <c r="H536" s="9"/>
      <c r="I536" s="43">
        <f t="shared" si="481"/>
        <v>0</v>
      </c>
      <c r="J536" s="10">
        <f t="shared" si="482"/>
        <v>0</v>
      </c>
      <c r="K536" s="61"/>
      <c r="L536" s="24" t="s">
        <v>165</v>
      </c>
      <c r="M536" s="12">
        <v>25</v>
      </c>
      <c r="N536" s="13">
        <v>25</v>
      </c>
      <c r="O536" s="14">
        <v>25</v>
      </c>
      <c r="P536" s="43">
        <f t="shared" si="477"/>
        <v>75</v>
      </c>
      <c r="Q536" s="15">
        <v>25</v>
      </c>
      <c r="R536" s="13">
        <v>25</v>
      </c>
      <c r="S536" s="14">
        <v>25</v>
      </c>
      <c r="T536" s="43">
        <f t="shared" si="478"/>
        <v>75</v>
      </c>
      <c r="U536" s="10">
        <f t="shared" si="479"/>
        <v>150</v>
      </c>
      <c r="V536" s="56">
        <v>45958</v>
      </c>
    </row>
    <row r="537" spans="1:23" x14ac:dyDescent="0.15">
      <c r="A537" s="22"/>
      <c r="B537" s="7"/>
      <c r="C537" s="8"/>
      <c r="D537" s="9"/>
      <c r="E537" s="43">
        <f t="shared" si="480"/>
        <v>0</v>
      </c>
      <c r="F537" s="11"/>
      <c r="G537" s="8"/>
      <c r="H537" s="9"/>
      <c r="I537" s="43">
        <f t="shared" si="481"/>
        <v>0</v>
      </c>
      <c r="J537" s="10">
        <f t="shared" si="482"/>
        <v>0</v>
      </c>
      <c r="K537" s="61"/>
      <c r="L537" s="22" t="s">
        <v>44</v>
      </c>
      <c r="M537" s="12">
        <v>1</v>
      </c>
      <c r="N537" s="13"/>
      <c r="O537" s="14">
        <v>1</v>
      </c>
      <c r="P537" s="43">
        <f t="shared" si="477"/>
        <v>2</v>
      </c>
      <c r="Q537" s="15">
        <v>1</v>
      </c>
      <c r="R537" s="13"/>
      <c r="S537" s="14">
        <v>1</v>
      </c>
      <c r="T537" s="43">
        <f t="shared" si="478"/>
        <v>2</v>
      </c>
      <c r="U537" s="10">
        <f t="shared" si="479"/>
        <v>4</v>
      </c>
      <c r="V537" s="56">
        <v>45959</v>
      </c>
    </row>
    <row r="538" spans="1:23" x14ac:dyDescent="0.15">
      <c r="A538" s="22"/>
      <c r="B538" s="7"/>
      <c r="C538" s="8"/>
      <c r="D538" s="9"/>
      <c r="E538" s="43">
        <f t="shared" si="480"/>
        <v>0</v>
      </c>
      <c r="F538" s="11"/>
      <c r="G538" s="8"/>
      <c r="H538" s="9"/>
      <c r="I538" s="43">
        <f t="shared" si="481"/>
        <v>0</v>
      </c>
      <c r="J538" s="10">
        <f t="shared" si="482"/>
        <v>0</v>
      </c>
      <c r="L538" s="22" t="s">
        <v>45</v>
      </c>
      <c r="M538" s="12">
        <v>4</v>
      </c>
      <c r="N538" s="13">
        <v>4</v>
      </c>
      <c r="O538" s="14"/>
      <c r="P538" s="43">
        <f t="shared" si="477"/>
        <v>8</v>
      </c>
      <c r="Q538" s="15">
        <v>4</v>
      </c>
      <c r="R538" s="13">
        <v>4</v>
      </c>
      <c r="S538" s="14"/>
      <c r="T538" s="43">
        <f t="shared" si="478"/>
        <v>8</v>
      </c>
      <c r="U538" s="10">
        <f t="shared" si="479"/>
        <v>16</v>
      </c>
      <c r="V538" s="56">
        <v>45960</v>
      </c>
    </row>
    <row r="539" spans="1:23" x14ac:dyDescent="0.15">
      <c r="A539" s="22"/>
      <c r="B539" s="12"/>
      <c r="C539" s="13"/>
      <c r="D539" s="14"/>
      <c r="E539" s="43">
        <f t="shared" si="480"/>
        <v>0</v>
      </c>
      <c r="F539" s="15"/>
      <c r="G539" s="13"/>
      <c r="H539" s="14"/>
      <c r="I539" s="43">
        <f t="shared" si="481"/>
        <v>0</v>
      </c>
      <c r="J539" s="10">
        <f t="shared" si="482"/>
        <v>0</v>
      </c>
      <c r="L539" s="22" t="s">
        <v>47</v>
      </c>
      <c r="M539" s="12"/>
      <c r="N539" s="13">
        <v>3</v>
      </c>
      <c r="O539" s="14"/>
      <c r="P539" s="43">
        <f t="shared" si="477"/>
        <v>3</v>
      </c>
      <c r="Q539" s="15"/>
      <c r="R539" s="13">
        <v>3</v>
      </c>
      <c r="S539" s="14"/>
      <c r="T539" s="43">
        <f t="shared" si="478"/>
        <v>3</v>
      </c>
      <c r="U539" s="10">
        <f t="shared" si="479"/>
        <v>6</v>
      </c>
      <c r="V539" s="56">
        <v>45968</v>
      </c>
    </row>
    <row r="540" spans="1:23" x14ac:dyDescent="0.15">
      <c r="A540" s="22"/>
      <c r="B540" s="7"/>
      <c r="C540" s="8"/>
      <c r="D540" s="9"/>
      <c r="E540" s="43">
        <f t="shared" si="480"/>
        <v>0</v>
      </c>
      <c r="F540" s="11"/>
      <c r="G540" s="8"/>
      <c r="H540" s="9"/>
      <c r="I540" s="43">
        <f t="shared" si="481"/>
        <v>0</v>
      </c>
      <c r="J540" s="10">
        <f t="shared" si="482"/>
        <v>0</v>
      </c>
      <c r="L540" s="24" t="s">
        <v>211</v>
      </c>
      <c r="M540" s="12">
        <v>10</v>
      </c>
      <c r="N540" s="13">
        <v>10</v>
      </c>
      <c r="O540" s="14">
        <v>5</v>
      </c>
      <c r="P540" s="43">
        <f t="shared" si="477"/>
        <v>25</v>
      </c>
      <c r="Q540" s="15">
        <v>10</v>
      </c>
      <c r="R540" s="13">
        <v>10</v>
      </c>
      <c r="S540" s="14">
        <v>5</v>
      </c>
      <c r="T540" s="43">
        <f t="shared" si="478"/>
        <v>25</v>
      </c>
      <c r="U540" s="10">
        <f t="shared" si="479"/>
        <v>50</v>
      </c>
      <c r="V540" s="56">
        <v>45968</v>
      </c>
    </row>
    <row r="541" spans="1:23" x14ac:dyDescent="0.15">
      <c r="A541" s="22"/>
      <c r="B541" s="7"/>
      <c r="C541" s="8"/>
      <c r="D541" s="9"/>
      <c r="E541" s="43">
        <f t="shared" si="480"/>
        <v>0</v>
      </c>
      <c r="F541" s="11"/>
      <c r="G541" s="8"/>
      <c r="H541" s="9"/>
      <c r="I541" s="43">
        <f t="shared" si="481"/>
        <v>0</v>
      </c>
      <c r="J541" s="10">
        <f t="shared" si="482"/>
        <v>0</v>
      </c>
      <c r="L541" s="22" t="s">
        <v>49</v>
      </c>
      <c r="M541" s="12">
        <v>4</v>
      </c>
      <c r="N541" s="13">
        <v>3</v>
      </c>
      <c r="O541" s="14"/>
      <c r="P541" s="43">
        <f t="shared" si="477"/>
        <v>7</v>
      </c>
      <c r="Q541" s="15">
        <v>4</v>
      </c>
      <c r="R541" s="13">
        <v>3</v>
      </c>
      <c r="S541" s="14"/>
      <c r="T541" s="43">
        <f t="shared" si="478"/>
        <v>7</v>
      </c>
      <c r="U541" s="10">
        <f t="shared" si="479"/>
        <v>14</v>
      </c>
      <c r="V541" s="56">
        <v>45968</v>
      </c>
    </row>
    <row r="542" spans="1:23" x14ac:dyDescent="0.15">
      <c r="A542" s="22"/>
      <c r="B542" s="7"/>
      <c r="C542" s="8"/>
      <c r="D542" s="9"/>
      <c r="E542" s="43">
        <f t="shared" si="480"/>
        <v>0</v>
      </c>
      <c r="F542" s="11"/>
      <c r="G542" s="8"/>
      <c r="H542" s="9"/>
      <c r="I542" s="43">
        <f t="shared" si="481"/>
        <v>0</v>
      </c>
      <c r="J542" s="10">
        <f t="shared" si="482"/>
        <v>0</v>
      </c>
      <c r="L542" s="22" t="s">
        <v>52</v>
      </c>
      <c r="M542" s="12">
        <v>3</v>
      </c>
      <c r="N542" s="13">
        <v>4</v>
      </c>
      <c r="O542" s="14">
        <v>1</v>
      </c>
      <c r="P542" s="43">
        <f t="shared" si="477"/>
        <v>8</v>
      </c>
      <c r="Q542" s="15">
        <v>3</v>
      </c>
      <c r="R542" s="13">
        <v>4</v>
      </c>
      <c r="S542" s="14">
        <v>1</v>
      </c>
      <c r="T542" s="43">
        <f t="shared" si="478"/>
        <v>8</v>
      </c>
      <c r="U542" s="10">
        <f t="shared" si="479"/>
        <v>16</v>
      </c>
      <c r="V542" s="56">
        <v>45973</v>
      </c>
    </row>
    <row r="543" spans="1:23" x14ac:dyDescent="0.15">
      <c r="A543" s="22"/>
      <c r="B543" s="7"/>
      <c r="C543" s="8"/>
      <c r="D543" s="9"/>
      <c r="E543" s="43">
        <f t="shared" si="480"/>
        <v>0</v>
      </c>
      <c r="F543" s="11"/>
      <c r="G543" s="8"/>
      <c r="H543" s="9"/>
      <c r="I543" s="43">
        <f t="shared" si="481"/>
        <v>0</v>
      </c>
      <c r="J543" s="10">
        <f t="shared" si="482"/>
        <v>0</v>
      </c>
      <c r="L543" s="24" t="s">
        <v>214</v>
      </c>
      <c r="M543" s="12">
        <v>10</v>
      </c>
      <c r="N543" s="13">
        <v>10</v>
      </c>
      <c r="O543" s="14">
        <v>10</v>
      </c>
      <c r="P543" s="43">
        <f t="shared" si="477"/>
        <v>30</v>
      </c>
      <c r="Q543" s="15">
        <v>10</v>
      </c>
      <c r="R543" s="13">
        <v>10</v>
      </c>
      <c r="S543" s="14">
        <v>10</v>
      </c>
      <c r="T543" s="43">
        <f t="shared" si="478"/>
        <v>30</v>
      </c>
      <c r="U543" s="10">
        <f t="shared" si="479"/>
        <v>60</v>
      </c>
      <c r="V543" s="56">
        <v>45972</v>
      </c>
      <c r="W543" s="61"/>
    </row>
    <row r="544" spans="1:23" x14ac:dyDescent="0.15">
      <c r="A544" s="22"/>
      <c r="B544" s="7"/>
      <c r="C544" s="8"/>
      <c r="D544" s="9"/>
      <c r="E544" s="43">
        <f t="shared" si="480"/>
        <v>0</v>
      </c>
      <c r="F544" s="11"/>
      <c r="G544" s="8"/>
      <c r="H544" s="9"/>
      <c r="I544" s="43">
        <f t="shared" si="481"/>
        <v>0</v>
      </c>
      <c r="J544" s="10">
        <f t="shared" si="482"/>
        <v>0</v>
      </c>
      <c r="K544" s="61"/>
      <c r="L544" s="22" t="s">
        <v>53</v>
      </c>
      <c r="M544" s="12"/>
      <c r="N544" s="13">
        <v>3</v>
      </c>
      <c r="O544" s="14">
        <v>4</v>
      </c>
      <c r="P544" s="43">
        <f t="shared" si="477"/>
        <v>7</v>
      </c>
      <c r="Q544" s="15"/>
      <c r="R544" s="13">
        <v>3</v>
      </c>
      <c r="S544" s="14">
        <v>4</v>
      </c>
      <c r="T544" s="43">
        <f t="shared" si="478"/>
        <v>7</v>
      </c>
      <c r="U544" s="10">
        <f t="shared" si="479"/>
        <v>14</v>
      </c>
      <c r="V544" s="56">
        <v>45974</v>
      </c>
      <c r="W544" s="61"/>
    </row>
    <row r="545" spans="1:24" x14ac:dyDescent="0.15">
      <c r="A545" s="22"/>
      <c r="B545" s="7"/>
      <c r="C545" s="8"/>
      <c r="D545" s="9"/>
      <c r="E545" s="43">
        <f t="shared" si="480"/>
        <v>0</v>
      </c>
      <c r="F545" s="11"/>
      <c r="G545" s="8"/>
      <c r="H545" s="9"/>
      <c r="I545" s="43">
        <f t="shared" si="481"/>
        <v>0</v>
      </c>
      <c r="J545" s="10">
        <f t="shared" si="482"/>
        <v>0</v>
      </c>
      <c r="K545" s="61"/>
      <c r="L545" s="22" t="s">
        <v>55</v>
      </c>
      <c r="M545" s="12"/>
      <c r="N545" s="13">
        <v>2</v>
      </c>
      <c r="O545" s="14"/>
      <c r="P545" s="43">
        <f t="shared" si="477"/>
        <v>2</v>
      </c>
      <c r="Q545" s="15"/>
      <c r="R545" s="13">
        <v>2</v>
      </c>
      <c r="S545" s="14"/>
      <c r="T545" s="43">
        <f t="shared" si="478"/>
        <v>2</v>
      </c>
      <c r="U545" s="10">
        <f t="shared" si="479"/>
        <v>4</v>
      </c>
      <c r="V545" s="56">
        <v>45975</v>
      </c>
    </row>
    <row r="546" spans="1:24" x14ac:dyDescent="0.15">
      <c r="A546" s="24"/>
      <c r="B546" s="7"/>
      <c r="C546" s="8"/>
      <c r="D546" s="9"/>
      <c r="E546" s="43">
        <f t="shared" si="480"/>
        <v>0</v>
      </c>
      <c r="F546" s="11"/>
      <c r="G546" s="8"/>
      <c r="H546" s="9"/>
      <c r="I546" s="43">
        <f t="shared" si="481"/>
        <v>0</v>
      </c>
      <c r="J546" s="10">
        <f t="shared" si="482"/>
        <v>0</v>
      </c>
      <c r="K546" s="61"/>
      <c r="L546" s="22" t="s">
        <v>56</v>
      </c>
      <c r="M546" s="12">
        <v>2</v>
      </c>
      <c r="N546" s="13">
        <v>7</v>
      </c>
      <c r="O546" s="14">
        <v>2</v>
      </c>
      <c r="P546" s="43">
        <f t="shared" si="477"/>
        <v>11</v>
      </c>
      <c r="Q546" s="15">
        <v>2</v>
      </c>
      <c r="R546" s="13">
        <v>7</v>
      </c>
      <c r="S546" s="14">
        <v>2</v>
      </c>
      <c r="T546" s="43">
        <f t="shared" si="478"/>
        <v>11</v>
      </c>
      <c r="U546" s="10">
        <f t="shared" si="479"/>
        <v>22</v>
      </c>
      <c r="V546" s="56">
        <v>45975</v>
      </c>
      <c r="W546" s="61"/>
    </row>
    <row r="547" spans="1:24" x14ac:dyDescent="0.15">
      <c r="A547" s="22"/>
      <c r="B547" s="7"/>
      <c r="C547" s="8"/>
      <c r="D547" s="9"/>
      <c r="E547" s="43">
        <f t="shared" si="480"/>
        <v>0</v>
      </c>
      <c r="F547" s="11"/>
      <c r="G547" s="8"/>
      <c r="H547" s="9"/>
      <c r="I547" s="43">
        <f t="shared" si="481"/>
        <v>0</v>
      </c>
      <c r="J547" s="10">
        <f t="shared" si="482"/>
        <v>0</v>
      </c>
      <c r="K547" s="61"/>
      <c r="L547" s="22" t="s">
        <v>58</v>
      </c>
      <c r="M547" s="12">
        <v>8</v>
      </c>
      <c r="N547" s="13">
        <v>13</v>
      </c>
      <c r="O547" s="14">
        <v>10</v>
      </c>
      <c r="P547" s="43">
        <f t="shared" si="477"/>
        <v>31</v>
      </c>
      <c r="Q547" s="15">
        <v>8</v>
      </c>
      <c r="R547" s="13">
        <v>13</v>
      </c>
      <c r="S547" s="14">
        <v>10</v>
      </c>
      <c r="T547" s="43">
        <f t="shared" si="478"/>
        <v>31</v>
      </c>
      <c r="U547" s="10">
        <f t="shared" si="479"/>
        <v>62</v>
      </c>
      <c r="V547" s="56">
        <v>45980</v>
      </c>
      <c r="W547" s="61"/>
      <c r="X547" s="61"/>
    </row>
    <row r="548" spans="1:24" x14ac:dyDescent="0.15">
      <c r="A548" s="23"/>
      <c r="B548" s="7"/>
      <c r="C548" s="8"/>
      <c r="D548" s="9"/>
      <c r="E548" s="43">
        <f t="shared" si="480"/>
        <v>0</v>
      </c>
      <c r="F548" s="11"/>
      <c r="G548" s="8"/>
      <c r="H548" s="9"/>
      <c r="I548" s="43">
        <f t="shared" si="481"/>
        <v>0</v>
      </c>
      <c r="J548" s="10">
        <f t="shared" si="482"/>
        <v>0</v>
      </c>
      <c r="K548" s="61"/>
      <c r="L548" s="24" t="s">
        <v>223</v>
      </c>
      <c r="M548" s="12"/>
      <c r="N548" s="13">
        <v>15</v>
      </c>
      <c r="O548" s="14">
        <v>10</v>
      </c>
      <c r="P548" s="43">
        <f t="shared" si="477"/>
        <v>25</v>
      </c>
      <c r="Q548" s="15"/>
      <c r="R548" s="13">
        <v>15</v>
      </c>
      <c r="S548" s="14">
        <v>10</v>
      </c>
      <c r="T548" s="43">
        <f t="shared" si="478"/>
        <v>25</v>
      </c>
      <c r="U548" s="10">
        <f t="shared" si="479"/>
        <v>50</v>
      </c>
      <c r="V548" s="56">
        <v>45980</v>
      </c>
      <c r="W548" s="61"/>
      <c r="X548" s="61"/>
    </row>
    <row r="549" spans="1:24" x14ac:dyDescent="0.15">
      <c r="A549" s="22"/>
      <c r="B549" s="7"/>
      <c r="C549" s="8"/>
      <c r="D549" s="9"/>
      <c r="E549" s="43">
        <f t="shared" si="480"/>
        <v>0</v>
      </c>
      <c r="F549" s="11"/>
      <c r="G549" s="8"/>
      <c r="H549" s="9"/>
      <c r="I549" s="43">
        <f t="shared" si="481"/>
        <v>0</v>
      </c>
      <c r="J549" s="10">
        <f t="shared" si="482"/>
        <v>0</v>
      </c>
      <c r="L549" s="22" t="s">
        <v>61</v>
      </c>
      <c r="M549" s="12">
        <v>2</v>
      </c>
      <c r="N549" s="13">
        <v>3</v>
      </c>
      <c r="O549" s="14">
        <v>2</v>
      </c>
      <c r="P549" s="43">
        <f t="shared" si="477"/>
        <v>7</v>
      </c>
      <c r="Q549" s="15">
        <v>2</v>
      </c>
      <c r="R549" s="13">
        <v>3</v>
      </c>
      <c r="S549" s="14">
        <v>2</v>
      </c>
      <c r="T549" s="43">
        <f t="shared" si="478"/>
        <v>7</v>
      </c>
      <c r="U549" s="10">
        <f t="shared" si="479"/>
        <v>14</v>
      </c>
      <c r="V549" s="56">
        <v>45981</v>
      </c>
    </row>
    <row r="550" spans="1:24" x14ac:dyDescent="0.15">
      <c r="A550" s="24"/>
      <c r="B550" s="7"/>
      <c r="C550" s="8"/>
      <c r="D550" s="9"/>
      <c r="E550" s="43">
        <f t="shared" si="480"/>
        <v>0</v>
      </c>
      <c r="F550" s="11"/>
      <c r="G550" s="8"/>
      <c r="H550" s="9"/>
      <c r="I550" s="43">
        <f t="shared" si="481"/>
        <v>0</v>
      </c>
      <c r="J550" s="10">
        <f t="shared" si="482"/>
        <v>0</v>
      </c>
      <c r="L550" s="22" t="s">
        <v>63</v>
      </c>
      <c r="M550" s="12"/>
      <c r="N550" s="13">
        <v>5</v>
      </c>
      <c r="O550" s="14">
        <v>4</v>
      </c>
      <c r="P550" s="43">
        <f t="shared" si="477"/>
        <v>9</v>
      </c>
      <c r="Q550" s="15"/>
      <c r="R550" s="13">
        <v>5</v>
      </c>
      <c r="S550" s="14">
        <v>4</v>
      </c>
      <c r="T550" s="43">
        <f t="shared" si="478"/>
        <v>9</v>
      </c>
      <c r="U550" s="10">
        <f t="shared" si="479"/>
        <v>18</v>
      </c>
      <c r="V550" s="56">
        <v>45982</v>
      </c>
    </row>
    <row r="551" spans="1:24" x14ac:dyDescent="0.15">
      <c r="A551" s="22"/>
      <c r="B551" s="12"/>
      <c r="C551" s="13"/>
      <c r="D551" s="14"/>
      <c r="E551" s="43">
        <f t="shared" si="480"/>
        <v>0</v>
      </c>
      <c r="F551" s="15"/>
      <c r="G551" s="13"/>
      <c r="H551" s="14"/>
      <c r="I551" s="43">
        <f t="shared" si="481"/>
        <v>0</v>
      </c>
      <c r="J551" s="10">
        <f t="shared" si="482"/>
        <v>0</v>
      </c>
      <c r="L551" s="22" t="s">
        <v>65</v>
      </c>
      <c r="M551" s="12">
        <v>8</v>
      </c>
      <c r="N551" s="13">
        <v>1</v>
      </c>
      <c r="O551" s="14"/>
      <c r="P551" s="43">
        <f t="shared" ref="P551:P556" si="483">SUM(M551:O551)</f>
        <v>9</v>
      </c>
      <c r="Q551" s="15">
        <v>8</v>
      </c>
      <c r="R551" s="13">
        <v>1</v>
      </c>
      <c r="S551" s="14"/>
      <c r="T551" s="43">
        <f t="shared" ref="T551:T556" si="484">SUM(Q551:S551)</f>
        <v>9</v>
      </c>
      <c r="U551" s="10">
        <f t="shared" ref="U551:U554" si="485">P551+T551</f>
        <v>18</v>
      </c>
      <c r="V551" s="56">
        <v>45982</v>
      </c>
    </row>
    <row r="552" spans="1:24" x14ac:dyDescent="0.15">
      <c r="A552" s="22"/>
      <c r="B552" s="7"/>
      <c r="C552" s="8"/>
      <c r="D552" s="9"/>
      <c r="E552" s="43">
        <f t="shared" si="480"/>
        <v>0</v>
      </c>
      <c r="F552" s="11"/>
      <c r="G552" s="8"/>
      <c r="H552" s="9"/>
      <c r="I552" s="43">
        <f t="shared" si="481"/>
        <v>0</v>
      </c>
      <c r="J552" s="10">
        <f t="shared" si="482"/>
        <v>0</v>
      </c>
      <c r="L552" s="22"/>
      <c r="M552" s="7"/>
      <c r="N552" s="8"/>
      <c r="O552" s="9"/>
      <c r="P552" s="43">
        <f t="shared" si="483"/>
        <v>0</v>
      </c>
      <c r="Q552" s="11"/>
      <c r="R552" s="8"/>
      <c r="S552" s="9"/>
      <c r="T552" s="43">
        <f t="shared" si="484"/>
        <v>0</v>
      </c>
      <c r="U552" s="10">
        <f t="shared" si="485"/>
        <v>0</v>
      </c>
    </row>
    <row r="553" spans="1:24" x14ac:dyDescent="0.15">
      <c r="A553" s="22"/>
      <c r="B553" s="7"/>
      <c r="C553" s="8"/>
      <c r="D553" s="9"/>
      <c r="E553" s="43">
        <f t="shared" si="480"/>
        <v>0</v>
      </c>
      <c r="F553" s="11"/>
      <c r="G553" s="8"/>
      <c r="H553" s="9"/>
      <c r="I553" s="43">
        <f t="shared" si="481"/>
        <v>0</v>
      </c>
      <c r="J553" s="10">
        <f t="shared" si="482"/>
        <v>0</v>
      </c>
      <c r="L553" s="24" t="s">
        <v>415</v>
      </c>
      <c r="M553" s="7"/>
      <c r="N553" s="8"/>
      <c r="O553" s="9"/>
      <c r="P553" s="43">
        <f t="shared" si="483"/>
        <v>0</v>
      </c>
      <c r="Q553" s="7"/>
      <c r="R553" s="8"/>
      <c r="S553" s="9"/>
      <c r="T553" s="43">
        <f t="shared" si="484"/>
        <v>0</v>
      </c>
      <c r="U553" s="10">
        <f t="shared" si="485"/>
        <v>0</v>
      </c>
      <c r="V553" s="61" t="s">
        <v>416</v>
      </c>
    </row>
    <row r="554" spans="1:24" x14ac:dyDescent="0.15">
      <c r="A554" s="22"/>
      <c r="B554" s="7"/>
      <c r="C554" s="8"/>
      <c r="D554" s="9"/>
      <c r="E554" s="43">
        <f t="shared" si="480"/>
        <v>0</v>
      </c>
      <c r="F554" s="11"/>
      <c r="G554" s="8"/>
      <c r="H554" s="9"/>
      <c r="I554" s="43">
        <f t="shared" si="481"/>
        <v>0</v>
      </c>
      <c r="J554" s="10">
        <f t="shared" si="482"/>
        <v>0</v>
      </c>
      <c r="L554" s="24" t="s">
        <v>411</v>
      </c>
      <c r="M554" s="7"/>
      <c r="N554" s="8"/>
      <c r="O554" s="9"/>
      <c r="P554" s="43">
        <f t="shared" ref="P554" si="486">SUM(M554:O554)</f>
        <v>0</v>
      </c>
      <c r="Q554" s="7"/>
      <c r="R554" s="8"/>
      <c r="S554" s="9"/>
      <c r="T554" s="43">
        <f t="shared" ref="T554" si="487">SUM(Q554:S554)</f>
        <v>0</v>
      </c>
      <c r="U554" s="10">
        <f t="shared" si="485"/>
        <v>0</v>
      </c>
      <c r="V554" s="61" t="s">
        <v>324</v>
      </c>
    </row>
    <row r="555" spans="1:24" ht="14.25" thickBot="1" x14ac:dyDescent="0.2">
      <c r="A555" s="22"/>
      <c r="B555" s="7"/>
      <c r="C555" s="8"/>
      <c r="D555" s="9"/>
      <c r="E555" s="43">
        <f t="shared" si="480"/>
        <v>0</v>
      </c>
      <c r="F555" s="11"/>
      <c r="G555" s="8"/>
      <c r="H555" s="9"/>
      <c r="I555" s="43">
        <f t="shared" si="481"/>
        <v>0</v>
      </c>
      <c r="J555" s="10">
        <f t="shared" si="482"/>
        <v>0</v>
      </c>
      <c r="L555" s="24" t="s">
        <v>424</v>
      </c>
      <c r="M555" s="7"/>
      <c r="N555" s="8"/>
      <c r="O555" s="9"/>
      <c r="P555" s="43">
        <f t="shared" si="483"/>
        <v>0</v>
      </c>
      <c r="Q555" s="7"/>
      <c r="R555" s="8"/>
      <c r="S555" s="9"/>
      <c r="T555" s="43">
        <f t="shared" si="484"/>
        <v>0</v>
      </c>
      <c r="U555" s="10">
        <f t="shared" ref="U555" si="488">P555+T555</f>
        <v>0</v>
      </c>
      <c r="V555" s="61" t="s">
        <v>425</v>
      </c>
      <c r="W555" s="61"/>
    </row>
    <row r="556" spans="1:24" ht="14.25" thickBot="1" x14ac:dyDescent="0.2">
      <c r="A556" s="35" t="s">
        <v>17</v>
      </c>
      <c r="B556" s="40">
        <f>SUM(B530:B555)</f>
        <v>1</v>
      </c>
      <c r="C556" s="41">
        <f t="shared" ref="C556:D556" si="489">SUM(C530:C555)</f>
        <v>1</v>
      </c>
      <c r="D556" s="52">
        <f t="shared" si="489"/>
        <v>0</v>
      </c>
      <c r="E556" s="39">
        <f t="shared" si="480"/>
        <v>2</v>
      </c>
      <c r="F556" s="40">
        <f>SUM(F530:F555)</f>
        <v>1</v>
      </c>
      <c r="G556" s="41">
        <f t="shared" ref="G556:H556" si="490">SUM(G530:G555)</f>
        <v>1</v>
      </c>
      <c r="H556" s="52">
        <f t="shared" si="490"/>
        <v>0</v>
      </c>
      <c r="I556" s="39">
        <f t="shared" si="481"/>
        <v>2</v>
      </c>
      <c r="J556" s="39">
        <f>E556+I556</f>
        <v>4</v>
      </c>
      <c r="L556" s="35" t="s">
        <v>17</v>
      </c>
      <c r="M556" s="40">
        <f>SUM(M530:M555)</f>
        <v>83</v>
      </c>
      <c r="N556" s="41">
        <f t="shared" ref="N556:O556" si="491">SUM(N530:N555)</f>
        <v>119</v>
      </c>
      <c r="O556" s="52">
        <f t="shared" si="491"/>
        <v>81</v>
      </c>
      <c r="P556" s="39">
        <f t="shared" si="483"/>
        <v>283</v>
      </c>
      <c r="Q556" s="40">
        <f>SUM(Q530:Q555)</f>
        <v>83</v>
      </c>
      <c r="R556" s="41">
        <f t="shared" ref="R556:S556" si="492">SUM(R530:R555)</f>
        <v>119</v>
      </c>
      <c r="S556" s="52">
        <f t="shared" si="492"/>
        <v>81</v>
      </c>
      <c r="T556" s="39">
        <f t="shared" si="484"/>
        <v>283</v>
      </c>
      <c r="U556" s="39">
        <f>P556+T556</f>
        <v>566</v>
      </c>
    </row>
    <row r="557" spans="1:24" ht="14.25" thickBot="1" x14ac:dyDescent="0.2">
      <c r="A557" s="21" t="s">
        <v>16</v>
      </c>
      <c r="B557" s="44">
        <f>B529-B556</f>
        <v>1</v>
      </c>
      <c r="C557" s="50">
        <f t="shared" ref="C557:D557" si="493">C529-C556</f>
        <v>0</v>
      </c>
      <c r="D557" s="51">
        <f t="shared" si="493"/>
        <v>1</v>
      </c>
      <c r="E557" s="49">
        <f>SUM(B557:D557)</f>
        <v>2</v>
      </c>
      <c r="F557" s="44">
        <f>F529-F556</f>
        <v>1</v>
      </c>
      <c r="G557" s="50">
        <f t="shared" ref="G557:H557" si="494">G529-G556</f>
        <v>0</v>
      </c>
      <c r="H557" s="51">
        <f t="shared" si="494"/>
        <v>1</v>
      </c>
      <c r="I557" s="49">
        <f>SUM(F557:H557)</f>
        <v>2</v>
      </c>
      <c r="J557" s="28">
        <f>E557+I557</f>
        <v>4</v>
      </c>
      <c r="L557" s="21" t="s">
        <v>16</v>
      </c>
      <c r="M557" s="44">
        <f>M529-M556</f>
        <v>30</v>
      </c>
      <c r="N557" s="50">
        <f t="shared" ref="N557:O557" si="495">N529-N556</f>
        <v>31</v>
      </c>
      <c r="O557" s="51">
        <f t="shared" si="495"/>
        <v>27</v>
      </c>
      <c r="P557" s="49">
        <f>SUM(M557:O557)</f>
        <v>88</v>
      </c>
      <c r="Q557" s="44">
        <f>Q529-Q556</f>
        <v>30</v>
      </c>
      <c r="R557" s="50">
        <f t="shared" ref="R557:S557" si="496">R529-R556</f>
        <v>31</v>
      </c>
      <c r="S557" s="51">
        <f t="shared" si="496"/>
        <v>27</v>
      </c>
      <c r="T557" s="49">
        <f>SUM(Q557:S557)</f>
        <v>88</v>
      </c>
      <c r="U557" s="28">
        <f>P557+T557</f>
        <v>176</v>
      </c>
    </row>
    <row r="558" spans="1:24" x14ac:dyDescent="0.15">
      <c r="L558" s="96" t="s">
        <v>404</v>
      </c>
      <c r="M558" s="95">
        <f>M556+M513+M470+M427+M384+M341</f>
        <v>347</v>
      </c>
      <c r="N558" s="95">
        <f t="shared" ref="N558:U558" si="497">N556+N513+N470+N427+N384+N341</f>
        <v>453</v>
      </c>
      <c r="O558" s="95">
        <f t="shared" si="497"/>
        <v>341</v>
      </c>
      <c r="P558" s="95">
        <f t="shared" si="497"/>
        <v>1141</v>
      </c>
      <c r="Q558" s="95">
        <f t="shared" si="497"/>
        <v>347</v>
      </c>
      <c r="R558" s="95">
        <f t="shared" si="497"/>
        <v>453</v>
      </c>
      <c r="S558" s="95">
        <f t="shared" si="497"/>
        <v>341</v>
      </c>
      <c r="T558" s="95">
        <f t="shared" si="497"/>
        <v>1141</v>
      </c>
      <c r="U558" s="95">
        <f t="shared" si="497"/>
        <v>2282</v>
      </c>
    </row>
    <row r="559" spans="1:24" x14ac:dyDescent="0.15">
      <c r="M559" s="89">
        <f>M558/$P$558*100</f>
        <v>30.411919368974583</v>
      </c>
      <c r="N559" s="89">
        <f t="shared" ref="N559:P559" si="498">N558/$P$558*100</f>
        <v>39.70201577563541</v>
      </c>
      <c r="O559" s="89">
        <f t="shared" si="498"/>
        <v>29.886064855390011</v>
      </c>
      <c r="P559" s="89">
        <f t="shared" si="498"/>
        <v>100</v>
      </c>
    </row>
    <row r="560" spans="1:24" ht="19.5" thickBot="1" x14ac:dyDescent="0.25">
      <c r="A560" s="84" t="s">
        <v>31</v>
      </c>
      <c r="B560" s="85"/>
      <c r="C560" s="85"/>
      <c r="D560" s="85"/>
      <c r="E560" s="85"/>
      <c r="F560" s="85"/>
      <c r="G560" s="85"/>
      <c r="H560" s="85"/>
      <c r="I560" s="85"/>
      <c r="J560" s="85"/>
      <c r="L560" s="82" t="s">
        <v>32</v>
      </c>
      <c r="M560" s="83"/>
      <c r="N560" s="83"/>
      <c r="O560" s="83"/>
      <c r="P560" s="83"/>
      <c r="Q560" s="83"/>
      <c r="R560" s="83"/>
      <c r="S560" s="83"/>
      <c r="T560" s="83"/>
      <c r="U560" s="83">
        <v>1040</v>
      </c>
    </row>
    <row r="561" spans="1:23" ht="14.25" thickBot="1" x14ac:dyDescent="0.2">
      <c r="A561" s="6"/>
      <c r="B561" s="159" t="s">
        <v>33</v>
      </c>
      <c r="C561" s="160"/>
      <c r="D561" s="160"/>
      <c r="E561" s="161"/>
      <c r="F561" s="159" t="s">
        <v>22</v>
      </c>
      <c r="G561" s="160"/>
      <c r="H561" s="160"/>
      <c r="I561" s="162"/>
      <c r="J561" s="157" t="s">
        <v>0</v>
      </c>
      <c r="L561" s="6"/>
      <c r="M561" s="159" t="s">
        <v>33</v>
      </c>
      <c r="N561" s="160"/>
      <c r="O561" s="160"/>
      <c r="P561" s="161"/>
      <c r="Q561" s="146" t="s">
        <v>22</v>
      </c>
      <c r="R561" s="147"/>
      <c r="S561" s="147"/>
      <c r="T561" s="148"/>
      <c r="U561" s="157" t="s">
        <v>0</v>
      </c>
    </row>
    <row r="562" spans="1:23" ht="14.25" thickBot="1" x14ac:dyDescent="0.2">
      <c r="A562" s="6" t="s">
        <v>1</v>
      </c>
      <c r="B562" s="3" t="s">
        <v>2</v>
      </c>
      <c r="C562" s="4" t="s">
        <v>3</v>
      </c>
      <c r="D562" s="5" t="s">
        <v>4</v>
      </c>
      <c r="E562" s="6" t="s">
        <v>5</v>
      </c>
      <c r="F562" s="3" t="s">
        <v>2</v>
      </c>
      <c r="G562" s="4" t="s">
        <v>3</v>
      </c>
      <c r="H562" s="5" t="s">
        <v>4</v>
      </c>
      <c r="I562" s="6" t="s">
        <v>5</v>
      </c>
      <c r="J562" s="158"/>
      <c r="L562" s="6" t="s">
        <v>1</v>
      </c>
      <c r="M562" s="3" t="s">
        <v>2</v>
      </c>
      <c r="N562" s="4" t="s">
        <v>3</v>
      </c>
      <c r="O562" s="5" t="s">
        <v>4</v>
      </c>
      <c r="P562" s="6" t="s">
        <v>5</v>
      </c>
      <c r="Q562" s="3" t="s">
        <v>2</v>
      </c>
      <c r="R562" s="4" t="s">
        <v>3</v>
      </c>
      <c r="S562" s="5" t="s">
        <v>4</v>
      </c>
      <c r="T562" s="6" t="s">
        <v>5</v>
      </c>
      <c r="U562" s="158"/>
    </row>
    <row r="563" spans="1:23" ht="14.25" thickBot="1" x14ac:dyDescent="0.2">
      <c r="A563" s="66" t="s">
        <v>6</v>
      </c>
      <c r="B563" s="25">
        <f>B557</f>
        <v>1</v>
      </c>
      <c r="C563" s="26">
        <f>C557</f>
        <v>0</v>
      </c>
      <c r="D563" s="27">
        <f>D557</f>
        <v>1</v>
      </c>
      <c r="E563" s="28">
        <f>SUM(B563:D563)</f>
        <v>2</v>
      </c>
      <c r="F563" s="25">
        <f>F557</f>
        <v>1</v>
      </c>
      <c r="G563" s="26">
        <f>G557</f>
        <v>0</v>
      </c>
      <c r="H563" s="27">
        <f>H557</f>
        <v>1</v>
      </c>
      <c r="I563" s="28">
        <f>SUM(F563:H563)</f>
        <v>2</v>
      </c>
      <c r="J563" s="28">
        <f>E563+I563</f>
        <v>4</v>
      </c>
      <c r="L563" s="66" t="s">
        <v>6</v>
      </c>
      <c r="M563" s="25">
        <f>M557</f>
        <v>30</v>
      </c>
      <c r="N563" s="26">
        <f>N557</f>
        <v>31</v>
      </c>
      <c r="O563" s="27">
        <f>O557</f>
        <v>27</v>
      </c>
      <c r="P563" s="28">
        <f>SUM(M563:O563)</f>
        <v>88</v>
      </c>
      <c r="Q563" s="25">
        <f>Q557</f>
        <v>30</v>
      </c>
      <c r="R563" s="26">
        <f>R557</f>
        <v>31</v>
      </c>
      <c r="S563" s="27">
        <f>S557</f>
        <v>27</v>
      </c>
      <c r="T563" s="28">
        <f>SUM(Q563:S563)</f>
        <v>88</v>
      </c>
      <c r="U563" s="28">
        <f>P563+T563</f>
        <v>176</v>
      </c>
    </row>
    <row r="564" spans="1:23" x14ac:dyDescent="0.15">
      <c r="A564" s="23" t="s">
        <v>260</v>
      </c>
      <c r="B564" s="7">
        <v>1</v>
      </c>
      <c r="C564" s="8">
        <v>2</v>
      </c>
      <c r="D564" s="46"/>
      <c r="E564" s="10">
        <f t="shared" ref="E564:E571" si="499">SUM(B564:D564)</f>
        <v>3</v>
      </c>
      <c r="F564" s="11">
        <v>1</v>
      </c>
      <c r="G564" s="8">
        <v>2</v>
      </c>
      <c r="H564" s="9"/>
      <c r="I564" s="10">
        <f t="shared" ref="I564:I571" si="500">SUM(F564:H564)</f>
        <v>3</v>
      </c>
      <c r="J564" s="10">
        <f t="shared" ref="J564:J571" si="501">E564+I564</f>
        <v>6</v>
      </c>
      <c r="K564" s="58">
        <v>46000</v>
      </c>
      <c r="L564" s="23" t="s">
        <v>7</v>
      </c>
      <c r="M564" s="7"/>
      <c r="N564" s="8"/>
      <c r="O564" s="46"/>
      <c r="P564" s="10">
        <f t="shared" ref="P564:P571" si="502">SUM(M564:O564)</f>
        <v>0</v>
      </c>
      <c r="Q564" s="11"/>
      <c r="R564" s="8"/>
      <c r="S564" s="9"/>
      <c r="T564" s="10">
        <f t="shared" ref="T564:T571" si="503">SUM(Q564:S564)</f>
        <v>0</v>
      </c>
      <c r="U564" s="10">
        <f t="shared" ref="U564:U571" si="504">P564+T564</f>
        <v>0</v>
      </c>
    </row>
    <row r="565" spans="1:23" x14ac:dyDescent="0.15">
      <c r="A565" s="23" t="s">
        <v>260</v>
      </c>
      <c r="B565" s="7"/>
      <c r="C565" s="8">
        <v>1</v>
      </c>
      <c r="D565" s="46"/>
      <c r="E565" s="10">
        <f t="shared" si="499"/>
        <v>1</v>
      </c>
      <c r="F565" s="11"/>
      <c r="G565" s="8">
        <v>1</v>
      </c>
      <c r="H565" s="9"/>
      <c r="I565" s="10">
        <f t="shared" si="500"/>
        <v>1</v>
      </c>
      <c r="J565" s="10">
        <f t="shared" si="501"/>
        <v>2</v>
      </c>
      <c r="K565" s="58">
        <v>46015</v>
      </c>
      <c r="L565" s="23" t="s">
        <v>419</v>
      </c>
      <c r="M565" s="7">
        <v>120</v>
      </c>
      <c r="N565" s="8">
        <v>160</v>
      </c>
      <c r="O565" s="46">
        <v>120</v>
      </c>
      <c r="P565" s="10">
        <f t="shared" ref="P565:P567" si="505">SUM(M565:O565)</f>
        <v>400</v>
      </c>
      <c r="Q565" s="7">
        <v>120</v>
      </c>
      <c r="R565" s="8">
        <v>160</v>
      </c>
      <c r="S565" s="46">
        <v>120</v>
      </c>
      <c r="T565" s="10">
        <f t="shared" ref="T565:T567" si="506">SUM(Q565:S565)</f>
        <v>400</v>
      </c>
      <c r="U565" s="10">
        <f t="shared" ref="U565:U567" si="507">P565+T565</f>
        <v>800</v>
      </c>
      <c r="V565" s="56" t="s">
        <v>431</v>
      </c>
      <c r="W565" s="61"/>
    </row>
    <row r="566" spans="1:23" x14ac:dyDescent="0.15">
      <c r="A566" s="23" t="s">
        <v>9</v>
      </c>
      <c r="B566" s="7"/>
      <c r="C566" s="8"/>
      <c r="D566" s="46"/>
      <c r="E566" s="10">
        <f t="shared" si="499"/>
        <v>0</v>
      </c>
      <c r="F566" s="11"/>
      <c r="G566" s="8"/>
      <c r="H566" s="9"/>
      <c r="I566" s="10">
        <f t="shared" si="500"/>
        <v>0</v>
      </c>
      <c r="J566" s="10">
        <f t="shared" si="501"/>
        <v>0</v>
      </c>
      <c r="L566" s="23" t="s">
        <v>417</v>
      </c>
      <c r="M566" s="7">
        <v>30</v>
      </c>
      <c r="N566" s="8">
        <v>40</v>
      </c>
      <c r="O566" s="46">
        <v>30</v>
      </c>
      <c r="P566" s="10">
        <f t="shared" si="505"/>
        <v>100</v>
      </c>
      <c r="Q566" s="7">
        <v>30</v>
      </c>
      <c r="R566" s="8">
        <v>40</v>
      </c>
      <c r="S566" s="46">
        <v>30</v>
      </c>
      <c r="T566" s="10">
        <f t="shared" si="506"/>
        <v>100</v>
      </c>
      <c r="U566" s="10">
        <f t="shared" si="507"/>
        <v>200</v>
      </c>
      <c r="V566" s="56"/>
      <c r="W566" s="61"/>
    </row>
    <row r="567" spans="1:23" x14ac:dyDescent="0.15">
      <c r="A567" s="23" t="s">
        <v>10</v>
      </c>
      <c r="B567" s="7"/>
      <c r="C567" s="8"/>
      <c r="D567" s="46"/>
      <c r="E567" s="10">
        <f t="shared" si="499"/>
        <v>0</v>
      </c>
      <c r="F567" s="11"/>
      <c r="G567" s="8"/>
      <c r="H567" s="9"/>
      <c r="I567" s="10">
        <f t="shared" si="500"/>
        <v>0</v>
      </c>
      <c r="J567" s="10">
        <f t="shared" si="501"/>
        <v>0</v>
      </c>
      <c r="L567" s="23" t="s">
        <v>10</v>
      </c>
      <c r="M567" s="7"/>
      <c r="N567" s="8"/>
      <c r="O567" s="46"/>
      <c r="P567" s="10">
        <f t="shared" si="505"/>
        <v>0</v>
      </c>
      <c r="Q567" s="11"/>
      <c r="R567" s="8"/>
      <c r="S567" s="9"/>
      <c r="T567" s="10">
        <f t="shared" si="506"/>
        <v>0</v>
      </c>
      <c r="U567" s="10">
        <f t="shared" si="507"/>
        <v>0</v>
      </c>
    </row>
    <row r="568" spans="1:23" x14ac:dyDescent="0.15">
      <c r="A568" s="23" t="s">
        <v>11</v>
      </c>
      <c r="B568" s="7"/>
      <c r="C568" s="8"/>
      <c r="D568" s="46"/>
      <c r="E568" s="10">
        <f t="shared" si="499"/>
        <v>0</v>
      </c>
      <c r="F568" s="11"/>
      <c r="G568" s="8"/>
      <c r="H568" s="9"/>
      <c r="I568" s="10">
        <f t="shared" si="500"/>
        <v>0</v>
      </c>
      <c r="J568" s="10">
        <f t="shared" si="501"/>
        <v>0</v>
      </c>
      <c r="L568" s="23" t="s">
        <v>444</v>
      </c>
      <c r="M568" s="7">
        <v>1</v>
      </c>
      <c r="N568" s="8">
        <v>2</v>
      </c>
      <c r="O568" s="46"/>
      <c r="P568" s="10">
        <f t="shared" si="502"/>
        <v>3</v>
      </c>
      <c r="Q568" s="7">
        <v>1</v>
      </c>
      <c r="R568" s="8">
        <v>2</v>
      </c>
      <c r="S568" s="46"/>
      <c r="T568" s="10">
        <f t="shared" si="503"/>
        <v>3</v>
      </c>
      <c r="U568" s="10">
        <f t="shared" si="504"/>
        <v>6</v>
      </c>
      <c r="V568" s="56">
        <v>46011</v>
      </c>
    </row>
    <row r="569" spans="1:23" x14ac:dyDescent="0.15">
      <c r="A569" s="23" t="s">
        <v>12</v>
      </c>
      <c r="B569" s="7"/>
      <c r="C569" s="8"/>
      <c r="D569" s="46"/>
      <c r="E569" s="10">
        <f t="shared" si="499"/>
        <v>0</v>
      </c>
      <c r="F569" s="11"/>
      <c r="G569" s="8"/>
      <c r="H569" s="9"/>
      <c r="I569" s="10">
        <f t="shared" si="500"/>
        <v>0</v>
      </c>
      <c r="J569" s="10">
        <f t="shared" si="501"/>
        <v>0</v>
      </c>
      <c r="L569" s="23" t="s">
        <v>444</v>
      </c>
      <c r="M569" s="7"/>
      <c r="N569" s="8">
        <v>1</v>
      </c>
      <c r="O569" s="46"/>
      <c r="P569" s="10">
        <f t="shared" ref="P569" si="508">SUM(M569:O569)</f>
        <v>1</v>
      </c>
      <c r="Q569" s="7"/>
      <c r="R569" s="8">
        <v>1</v>
      </c>
      <c r="S569" s="46"/>
      <c r="T569" s="10">
        <f t="shared" ref="T569" si="509">SUM(Q569:S569)</f>
        <v>1</v>
      </c>
      <c r="U569" s="10">
        <f t="shared" ref="U569" si="510">P569+T569</f>
        <v>2</v>
      </c>
      <c r="V569" s="56">
        <v>46032</v>
      </c>
    </row>
    <row r="570" spans="1:23" x14ac:dyDescent="0.15">
      <c r="A570" s="23" t="s">
        <v>13</v>
      </c>
      <c r="B570" s="7"/>
      <c r="C570" s="8"/>
      <c r="D570" s="46"/>
      <c r="E570" s="10">
        <f t="shared" si="499"/>
        <v>0</v>
      </c>
      <c r="F570" s="11"/>
      <c r="G570" s="8"/>
      <c r="H570" s="9"/>
      <c r="I570" s="10">
        <f t="shared" si="500"/>
        <v>0</v>
      </c>
      <c r="J570" s="10">
        <f t="shared" si="501"/>
        <v>0</v>
      </c>
      <c r="L570" s="23" t="s">
        <v>13</v>
      </c>
      <c r="M570" s="7"/>
      <c r="N570" s="8"/>
      <c r="O570" s="46"/>
      <c r="P570" s="10">
        <f t="shared" si="502"/>
        <v>0</v>
      </c>
      <c r="Q570" s="11"/>
      <c r="R570" s="8"/>
      <c r="S570" s="9"/>
      <c r="T570" s="10">
        <f t="shared" si="503"/>
        <v>0</v>
      </c>
      <c r="U570" s="10">
        <f t="shared" si="504"/>
        <v>0</v>
      </c>
    </row>
    <row r="571" spans="1:23" ht="14.25" thickBot="1" x14ac:dyDescent="0.2">
      <c r="A571" s="22" t="s">
        <v>14</v>
      </c>
      <c r="B571" s="7"/>
      <c r="C571" s="8"/>
      <c r="D571" s="9"/>
      <c r="E571" s="43">
        <f t="shared" si="499"/>
        <v>0</v>
      </c>
      <c r="F571" s="11"/>
      <c r="G571" s="8"/>
      <c r="H571" s="9"/>
      <c r="I571" s="43">
        <f t="shared" si="500"/>
        <v>0</v>
      </c>
      <c r="J571" s="10">
        <f t="shared" si="501"/>
        <v>0</v>
      </c>
      <c r="L571" s="22" t="s">
        <v>14</v>
      </c>
      <c r="M571" s="7"/>
      <c r="N571" s="8"/>
      <c r="O571" s="9"/>
      <c r="P571" s="43">
        <f t="shared" si="502"/>
        <v>0</v>
      </c>
      <c r="Q571" s="11"/>
      <c r="R571" s="8"/>
      <c r="S571" s="9"/>
      <c r="T571" s="43">
        <f t="shared" si="503"/>
        <v>0</v>
      </c>
      <c r="U571" s="10">
        <f t="shared" si="504"/>
        <v>0</v>
      </c>
    </row>
    <row r="572" spans="1:23" ht="14.25" thickBot="1" x14ac:dyDescent="0.2">
      <c r="A572" s="32" t="s">
        <v>15</v>
      </c>
      <c r="B572" s="25">
        <f>SUM(B563:B571)</f>
        <v>2</v>
      </c>
      <c r="C572" s="26">
        <f>SUM(C563:C571)</f>
        <v>3</v>
      </c>
      <c r="D572" s="27">
        <f>SUM(D563:D571)</f>
        <v>1</v>
      </c>
      <c r="E572" s="28">
        <f>SUM(B572:D572)</f>
        <v>6</v>
      </c>
      <c r="F572" s="25">
        <f>SUM(F563:F571)</f>
        <v>2</v>
      </c>
      <c r="G572" s="26">
        <f>SUM(G563:G571)</f>
        <v>3</v>
      </c>
      <c r="H572" s="27">
        <f>SUM(H563:H571)</f>
        <v>1</v>
      </c>
      <c r="I572" s="28">
        <f>SUM(F572:H572)</f>
        <v>6</v>
      </c>
      <c r="J572" s="28">
        <f>E572+I572</f>
        <v>12</v>
      </c>
      <c r="L572" s="32" t="s">
        <v>15</v>
      </c>
      <c r="M572" s="25">
        <f>SUM(M563:M571)</f>
        <v>181</v>
      </c>
      <c r="N572" s="26">
        <f>SUM(N563:N571)</f>
        <v>234</v>
      </c>
      <c r="O572" s="27">
        <f>SUM(O563:O571)</f>
        <v>177</v>
      </c>
      <c r="P572" s="28">
        <f>SUM(M572:O572)</f>
        <v>592</v>
      </c>
      <c r="Q572" s="25">
        <f>SUM(Q563:Q571)</f>
        <v>181</v>
      </c>
      <c r="R572" s="26">
        <f>SUM(R563:R571)</f>
        <v>234</v>
      </c>
      <c r="S572" s="27">
        <f>SUM(S563:S571)</f>
        <v>177</v>
      </c>
      <c r="T572" s="28">
        <f>SUM(Q572:S572)</f>
        <v>592</v>
      </c>
      <c r="U572" s="28">
        <f>P572+T572</f>
        <v>1184</v>
      </c>
    </row>
    <row r="573" spans="1:23" x14ac:dyDescent="0.15">
      <c r="A573" s="22" t="s">
        <v>443</v>
      </c>
      <c r="B573" s="7">
        <v>1</v>
      </c>
      <c r="C573" s="8">
        <v>2</v>
      </c>
      <c r="D573" s="9"/>
      <c r="E573" s="43">
        <f t="shared" ref="E573" si="511">SUM(B573:D573)</f>
        <v>3</v>
      </c>
      <c r="F573" s="11">
        <v>1</v>
      </c>
      <c r="G573" s="8">
        <v>2</v>
      </c>
      <c r="H573" s="9"/>
      <c r="I573" s="43">
        <f t="shared" ref="I573" si="512">SUM(F573:H573)</f>
        <v>3</v>
      </c>
      <c r="J573" s="10">
        <f t="shared" ref="J573" si="513">E573+I573</f>
        <v>6</v>
      </c>
      <c r="K573" s="58">
        <v>46011</v>
      </c>
      <c r="L573" s="22" t="s">
        <v>67</v>
      </c>
      <c r="M573" s="12">
        <v>7</v>
      </c>
      <c r="N573" s="13">
        <v>11</v>
      </c>
      <c r="O573" s="14">
        <v>10</v>
      </c>
      <c r="P573" s="43">
        <f t="shared" ref="P573" si="514">SUM(M573:O573)</f>
        <v>28</v>
      </c>
      <c r="Q573" s="15">
        <v>7</v>
      </c>
      <c r="R573" s="13">
        <v>11</v>
      </c>
      <c r="S573" s="14">
        <v>10</v>
      </c>
      <c r="T573" s="43">
        <f t="shared" ref="T573" si="515">SUM(Q573:S573)</f>
        <v>28</v>
      </c>
      <c r="U573" s="10">
        <f t="shared" ref="U573" si="516">P573+T573</f>
        <v>56</v>
      </c>
      <c r="V573" s="56">
        <v>45988</v>
      </c>
    </row>
    <row r="574" spans="1:23" x14ac:dyDescent="0.15">
      <c r="A574" s="22" t="s">
        <v>314</v>
      </c>
      <c r="B574" s="7"/>
      <c r="C574" s="8">
        <v>1</v>
      </c>
      <c r="D574" s="9"/>
      <c r="E574" s="43">
        <f t="shared" ref="E574:E599" si="517">SUM(B574:D574)</f>
        <v>1</v>
      </c>
      <c r="F574" s="11"/>
      <c r="G574" s="8">
        <v>1</v>
      </c>
      <c r="H574" s="9"/>
      <c r="I574" s="43">
        <f t="shared" ref="I574:I599" si="518">SUM(F574:H574)</f>
        <v>1</v>
      </c>
      <c r="J574" s="10">
        <f t="shared" ref="J574:J598" si="519">E574+I574</f>
        <v>2</v>
      </c>
      <c r="K574" s="58">
        <v>46032</v>
      </c>
      <c r="L574" s="24" t="s">
        <v>226</v>
      </c>
      <c r="M574" s="12"/>
      <c r="N574" s="13">
        <v>10</v>
      </c>
      <c r="O574" s="14"/>
      <c r="P574" s="43">
        <f t="shared" ref="P574:P599" si="520">SUM(M574:O574)</f>
        <v>10</v>
      </c>
      <c r="Q574" s="15"/>
      <c r="R574" s="13">
        <v>10</v>
      </c>
      <c r="S574" s="14"/>
      <c r="T574" s="43">
        <f t="shared" ref="T574:T599" si="521">SUM(Q574:S574)</f>
        <v>10</v>
      </c>
      <c r="U574" s="10">
        <f t="shared" ref="U574:U598" si="522">P574+T574</f>
        <v>20</v>
      </c>
      <c r="V574" s="56">
        <v>45987</v>
      </c>
      <c r="W574" s="61"/>
    </row>
    <row r="575" spans="1:23" x14ac:dyDescent="0.15">
      <c r="A575" s="22"/>
      <c r="B575" s="7"/>
      <c r="C575" s="8"/>
      <c r="D575" s="9"/>
      <c r="E575" s="43">
        <f t="shared" si="517"/>
        <v>0</v>
      </c>
      <c r="F575" s="11"/>
      <c r="G575" s="8"/>
      <c r="H575" s="9"/>
      <c r="I575" s="43">
        <f t="shared" si="518"/>
        <v>0</v>
      </c>
      <c r="J575" s="10">
        <f t="shared" si="519"/>
        <v>0</v>
      </c>
      <c r="K575" s="58"/>
      <c r="L575" s="22" t="s">
        <v>69</v>
      </c>
      <c r="M575" s="12">
        <v>1</v>
      </c>
      <c r="N575" s="13"/>
      <c r="O575" s="14"/>
      <c r="P575" s="43">
        <f t="shared" si="520"/>
        <v>1</v>
      </c>
      <c r="Q575" s="15">
        <v>1</v>
      </c>
      <c r="R575" s="13"/>
      <c r="S575" s="14"/>
      <c r="T575" s="43">
        <f t="shared" si="521"/>
        <v>1</v>
      </c>
      <c r="U575" s="10">
        <f t="shared" si="522"/>
        <v>2</v>
      </c>
      <c r="V575" s="56">
        <v>45989</v>
      </c>
    </row>
    <row r="576" spans="1:23" x14ac:dyDescent="0.15">
      <c r="A576" s="22"/>
      <c r="B576" s="7"/>
      <c r="C576" s="8"/>
      <c r="D576" s="9"/>
      <c r="E576" s="43">
        <f t="shared" si="517"/>
        <v>0</v>
      </c>
      <c r="F576" s="11"/>
      <c r="G576" s="8"/>
      <c r="H576" s="9"/>
      <c r="I576" s="43">
        <f t="shared" si="518"/>
        <v>0</v>
      </c>
      <c r="J576" s="10">
        <f t="shared" si="519"/>
        <v>0</v>
      </c>
      <c r="L576" s="22" t="s">
        <v>72</v>
      </c>
      <c r="M576" s="12">
        <v>3</v>
      </c>
      <c r="N576" s="13">
        <v>1</v>
      </c>
      <c r="O576" s="14">
        <v>1</v>
      </c>
      <c r="P576" s="43">
        <f t="shared" si="520"/>
        <v>5</v>
      </c>
      <c r="Q576" s="15">
        <v>3</v>
      </c>
      <c r="R576" s="13">
        <v>1</v>
      </c>
      <c r="S576" s="14">
        <v>1</v>
      </c>
      <c r="T576" s="43">
        <f t="shared" si="521"/>
        <v>5</v>
      </c>
      <c r="U576" s="10">
        <f t="shared" si="522"/>
        <v>10</v>
      </c>
      <c r="V576" s="56">
        <v>45989</v>
      </c>
      <c r="W576" s="61"/>
    </row>
    <row r="577" spans="1:24" x14ac:dyDescent="0.15">
      <c r="A577" s="22"/>
      <c r="B577" s="7"/>
      <c r="C577" s="8"/>
      <c r="D577" s="9"/>
      <c r="E577" s="43">
        <f t="shared" si="517"/>
        <v>0</v>
      </c>
      <c r="F577" s="11"/>
      <c r="G577" s="8"/>
      <c r="H577" s="9"/>
      <c r="I577" s="43">
        <f t="shared" si="518"/>
        <v>0</v>
      </c>
      <c r="J577" s="10">
        <f t="shared" si="519"/>
        <v>0</v>
      </c>
      <c r="L577" s="22" t="s">
        <v>76</v>
      </c>
      <c r="M577" s="12">
        <v>1</v>
      </c>
      <c r="N577" s="13">
        <v>8</v>
      </c>
      <c r="O577" s="14">
        <v>3</v>
      </c>
      <c r="P577" s="43">
        <f t="shared" si="520"/>
        <v>12</v>
      </c>
      <c r="Q577" s="15">
        <v>1</v>
      </c>
      <c r="R577" s="13">
        <v>8</v>
      </c>
      <c r="S577" s="14">
        <v>3</v>
      </c>
      <c r="T577" s="43">
        <f t="shared" si="521"/>
        <v>12</v>
      </c>
      <c r="U577" s="10">
        <f t="shared" si="522"/>
        <v>24</v>
      </c>
      <c r="V577" s="56">
        <v>45992</v>
      </c>
    </row>
    <row r="578" spans="1:24" x14ac:dyDescent="0.15">
      <c r="A578" s="22"/>
      <c r="B578" s="7"/>
      <c r="C578" s="8"/>
      <c r="D578" s="9"/>
      <c r="E578" s="43">
        <f t="shared" si="517"/>
        <v>0</v>
      </c>
      <c r="F578" s="11"/>
      <c r="G578" s="8"/>
      <c r="H578" s="9"/>
      <c r="I578" s="43">
        <f t="shared" si="518"/>
        <v>0</v>
      </c>
      <c r="J578" s="10">
        <f t="shared" si="519"/>
        <v>0</v>
      </c>
      <c r="L578" s="24" t="s">
        <v>230</v>
      </c>
      <c r="M578" s="12">
        <v>3</v>
      </c>
      <c r="N578" s="13">
        <v>10</v>
      </c>
      <c r="O578" s="14">
        <v>5</v>
      </c>
      <c r="P578" s="43">
        <f t="shared" si="520"/>
        <v>18</v>
      </c>
      <c r="Q578" s="15">
        <v>3</v>
      </c>
      <c r="R578" s="13">
        <v>10</v>
      </c>
      <c r="S578" s="14">
        <v>5</v>
      </c>
      <c r="T578" s="43">
        <f t="shared" si="521"/>
        <v>18</v>
      </c>
      <c r="U578" s="10">
        <f t="shared" si="522"/>
        <v>36</v>
      </c>
      <c r="V578" s="56">
        <v>45990</v>
      </c>
      <c r="W578" s="61"/>
      <c r="X578" s="61"/>
    </row>
    <row r="579" spans="1:24" x14ac:dyDescent="0.15">
      <c r="A579" s="22"/>
      <c r="B579" s="7"/>
      <c r="C579" s="8"/>
      <c r="D579" s="9"/>
      <c r="E579" s="43">
        <f t="shared" si="517"/>
        <v>0</v>
      </c>
      <c r="F579" s="11"/>
      <c r="G579" s="8"/>
      <c r="H579" s="9"/>
      <c r="I579" s="43">
        <f t="shared" si="518"/>
        <v>0</v>
      </c>
      <c r="J579" s="10">
        <f t="shared" si="519"/>
        <v>0</v>
      </c>
      <c r="L579" s="22" t="s">
        <v>435</v>
      </c>
      <c r="M579" s="12">
        <v>1</v>
      </c>
      <c r="N579" s="13"/>
      <c r="O579" s="14">
        <v>4</v>
      </c>
      <c r="P579" s="43">
        <f t="shared" si="520"/>
        <v>5</v>
      </c>
      <c r="Q579" s="15">
        <v>1</v>
      </c>
      <c r="R579" s="13"/>
      <c r="S579" s="14">
        <v>4</v>
      </c>
      <c r="T579" s="43">
        <f t="shared" si="521"/>
        <v>5</v>
      </c>
      <c r="U579" s="10">
        <f t="shared" si="522"/>
        <v>10</v>
      </c>
      <c r="V579" s="56">
        <v>45994</v>
      </c>
      <c r="W579" s="61"/>
      <c r="X579" s="61"/>
    </row>
    <row r="580" spans="1:24" x14ac:dyDescent="0.15">
      <c r="A580" s="22"/>
      <c r="B580" s="7"/>
      <c r="C580" s="8"/>
      <c r="D580" s="9"/>
      <c r="E580" s="43">
        <f t="shared" si="517"/>
        <v>0</v>
      </c>
      <c r="F580" s="11"/>
      <c r="G580" s="8"/>
      <c r="H580" s="9"/>
      <c r="I580" s="43">
        <f t="shared" si="518"/>
        <v>0</v>
      </c>
      <c r="J580" s="10">
        <f t="shared" si="519"/>
        <v>0</v>
      </c>
      <c r="L580" s="22" t="s">
        <v>84</v>
      </c>
      <c r="M580" s="12">
        <v>5</v>
      </c>
      <c r="N580" s="13">
        <v>9</v>
      </c>
      <c r="O580" s="14"/>
      <c r="P580" s="43">
        <f t="shared" si="520"/>
        <v>14</v>
      </c>
      <c r="Q580" s="15">
        <v>5</v>
      </c>
      <c r="R580" s="13">
        <v>9</v>
      </c>
      <c r="S580" s="14"/>
      <c r="T580" s="43">
        <f t="shared" si="521"/>
        <v>14</v>
      </c>
      <c r="U580" s="10">
        <f t="shared" si="522"/>
        <v>28</v>
      </c>
      <c r="V580" s="56">
        <v>45995</v>
      </c>
      <c r="W580" s="61"/>
      <c r="X580" s="61"/>
    </row>
    <row r="581" spans="1:24" x14ac:dyDescent="0.15">
      <c r="A581" s="22"/>
      <c r="B581" s="7"/>
      <c r="C581" s="8"/>
      <c r="D581" s="9"/>
      <c r="E581" s="43">
        <f t="shared" si="517"/>
        <v>0</v>
      </c>
      <c r="F581" s="11"/>
      <c r="G581" s="8"/>
      <c r="H581" s="9"/>
      <c r="I581" s="43">
        <f t="shared" si="518"/>
        <v>0</v>
      </c>
      <c r="J581" s="10">
        <f t="shared" si="519"/>
        <v>0</v>
      </c>
      <c r="L581" s="22" t="s">
        <v>85</v>
      </c>
      <c r="M581" s="12">
        <v>2</v>
      </c>
      <c r="N581" s="13"/>
      <c r="O581" s="14"/>
      <c r="P581" s="43">
        <f t="shared" si="520"/>
        <v>2</v>
      </c>
      <c r="Q581" s="15">
        <v>2</v>
      </c>
      <c r="R581" s="13"/>
      <c r="S581" s="14"/>
      <c r="T581" s="43">
        <f t="shared" si="521"/>
        <v>2</v>
      </c>
      <c r="U581" s="10">
        <f t="shared" si="522"/>
        <v>4</v>
      </c>
      <c r="V581" s="56">
        <v>45996</v>
      </c>
      <c r="W581" s="61"/>
    </row>
    <row r="582" spans="1:24" x14ac:dyDescent="0.15">
      <c r="A582" s="22"/>
      <c r="B582" s="12"/>
      <c r="C582" s="13"/>
      <c r="D582" s="14"/>
      <c r="E582" s="43">
        <f t="shared" si="517"/>
        <v>0</v>
      </c>
      <c r="F582" s="15"/>
      <c r="G582" s="13"/>
      <c r="H582" s="14"/>
      <c r="I582" s="43">
        <f t="shared" si="518"/>
        <v>0</v>
      </c>
      <c r="J582" s="10">
        <f t="shared" si="519"/>
        <v>0</v>
      </c>
      <c r="L582" s="22" t="s">
        <v>86</v>
      </c>
      <c r="M582" s="12">
        <v>1</v>
      </c>
      <c r="N582" s="13">
        <v>4</v>
      </c>
      <c r="O582" s="14">
        <v>1</v>
      </c>
      <c r="P582" s="43">
        <f t="shared" si="520"/>
        <v>6</v>
      </c>
      <c r="Q582" s="15">
        <v>1</v>
      </c>
      <c r="R582" s="13">
        <v>4</v>
      </c>
      <c r="S582" s="14">
        <v>1</v>
      </c>
      <c r="T582" s="43">
        <f t="shared" si="521"/>
        <v>6</v>
      </c>
      <c r="U582" s="10">
        <f t="shared" si="522"/>
        <v>12</v>
      </c>
      <c r="V582" s="56">
        <v>45996</v>
      </c>
      <c r="W582" s="61"/>
    </row>
    <row r="583" spans="1:24" x14ac:dyDescent="0.15">
      <c r="A583" s="22"/>
      <c r="B583" s="7"/>
      <c r="C583" s="8"/>
      <c r="D583" s="9"/>
      <c r="E583" s="43">
        <f t="shared" si="517"/>
        <v>0</v>
      </c>
      <c r="F583" s="11"/>
      <c r="G583" s="8"/>
      <c r="H583" s="9"/>
      <c r="I583" s="43">
        <f t="shared" si="518"/>
        <v>0</v>
      </c>
      <c r="J583" s="10">
        <f t="shared" si="519"/>
        <v>0</v>
      </c>
      <c r="L583" s="22" t="s">
        <v>89</v>
      </c>
      <c r="M583" s="12">
        <v>3</v>
      </c>
      <c r="N583" s="13"/>
      <c r="O583" s="14">
        <v>4</v>
      </c>
      <c r="P583" s="43">
        <f t="shared" si="520"/>
        <v>7</v>
      </c>
      <c r="Q583" s="15">
        <v>3</v>
      </c>
      <c r="R583" s="13"/>
      <c r="S583" s="14">
        <v>4</v>
      </c>
      <c r="T583" s="43">
        <f t="shared" si="521"/>
        <v>7</v>
      </c>
      <c r="U583" s="10">
        <f t="shared" si="522"/>
        <v>14</v>
      </c>
      <c r="V583" s="56">
        <v>45999</v>
      </c>
      <c r="W583" s="61"/>
    </row>
    <row r="584" spans="1:24" x14ac:dyDescent="0.15">
      <c r="A584" s="22"/>
      <c r="B584" s="7"/>
      <c r="C584" s="8"/>
      <c r="D584" s="9"/>
      <c r="E584" s="43">
        <f t="shared" si="517"/>
        <v>0</v>
      </c>
      <c r="F584" s="11"/>
      <c r="G584" s="8"/>
      <c r="H584" s="9"/>
      <c r="I584" s="43">
        <f t="shared" si="518"/>
        <v>0</v>
      </c>
      <c r="J584" s="10">
        <f t="shared" si="519"/>
        <v>0</v>
      </c>
      <c r="L584" s="24" t="s">
        <v>231</v>
      </c>
      <c r="M584" s="12">
        <v>3</v>
      </c>
      <c r="N584" s="13">
        <v>5</v>
      </c>
      <c r="O584" s="14">
        <v>5</v>
      </c>
      <c r="P584" s="43">
        <f t="shared" si="520"/>
        <v>13</v>
      </c>
      <c r="Q584" s="15">
        <v>3</v>
      </c>
      <c r="R584" s="13">
        <v>5</v>
      </c>
      <c r="S584" s="14">
        <v>5</v>
      </c>
      <c r="T584" s="43">
        <f t="shared" si="521"/>
        <v>13</v>
      </c>
      <c r="U584" s="10">
        <f t="shared" si="522"/>
        <v>26</v>
      </c>
      <c r="V584" s="56">
        <v>45999</v>
      </c>
      <c r="W584" s="61"/>
    </row>
    <row r="585" spans="1:24" x14ac:dyDescent="0.15">
      <c r="A585" s="22"/>
      <c r="B585" s="7"/>
      <c r="C585" s="8"/>
      <c r="D585" s="9"/>
      <c r="E585" s="43">
        <f t="shared" si="517"/>
        <v>0</v>
      </c>
      <c r="F585" s="11"/>
      <c r="G585" s="8"/>
      <c r="H585" s="9"/>
      <c r="I585" s="43">
        <f t="shared" si="518"/>
        <v>0</v>
      </c>
      <c r="J585" s="10">
        <f t="shared" si="519"/>
        <v>0</v>
      </c>
      <c r="L585" s="22" t="s">
        <v>93</v>
      </c>
      <c r="M585" s="12"/>
      <c r="N585" s="13">
        <v>5</v>
      </c>
      <c r="O585" s="14">
        <v>5</v>
      </c>
      <c r="P585" s="43">
        <f t="shared" si="520"/>
        <v>10</v>
      </c>
      <c r="Q585" s="15"/>
      <c r="R585" s="13">
        <v>5</v>
      </c>
      <c r="S585" s="14">
        <v>5</v>
      </c>
      <c r="T585" s="43">
        <f t="shared" si="521"/>
        <v>10</v>
      </c>
      <c r="U585" s="10">
        <f t="shared" si="522"/>
        <v>20</v>
      </c>
      <c r="V585" s="56">
        <v>46001</v>
      </c>
    </row>
    <row r="586" spans="1:24" x14ac:dyDescent="0.15">
      <c r="A586" s="22"/>
      <c r="B586" s="7"/>
      <c r="C586" s="8"/>
      <c r="D586" s="9"/>
      <c r="E586" s="43">
        <f t="shared" si="517"/>
        <v>0</v>
      </c>
      <c r="F586" s="11"/>
      <c r="G586" s="8"/>
      <c r="H586" s="9"/>
      <c r="I586" s="43">
        <f t="shared" si="518"/>
        <v>0</v>
      </c>
      <c r="J586" s="10">
        <f t="shared" si="519"/>
        <v>0</v>
      </c>
      <c r="L586" s="22" t="s">
        <v>98</v>
      </c>
      <c r="M586" s="12">
        <v>1</v>
      </c>
      <c r="N586" s="13"/>
      <c r="O586" s="14"/>
      <c r="P586" s="43">
        <f t="shared" si="520"/>
        <v>1</v>
      </c>
      <c r="Q586" s="15">
        <v>1</v>
      </c>
      <c r="R586" s="13"/>
      <c r="S586" s="14"/>
      <c r="T586" s="43">
        <f t="shared" si="521"/>
        <v>1</v>
      </c>
      <c r="U586" s="10">
        <f t="shared" si="522"/>
        <v>2</v>
      </c>
      <c r="V586" s="56">
        <v>46003</v>
      </c>
    </row>
    <row r="587" spans="1:24" x14ac:dyDescent="0.15">
      <c r="A587" s="22"/>
      <c r="B587" s="7"/>
      <c r="C587" s="8"/>
      <c r="D587" s="9"/>
      <c r="E587" s="43">
        <f t="shared" si="517"/>
        <v>0</v>
      </c>
      <c r="F587" s="11"/>
      <c r="G587" s="8"/>
      <c r="H587" s="9"/>
      <c r="I587" s="43">
        <f t="shared" si="518"/>
        <v>0</v>
      </c>
      <c r="J587" s="10">
        <f t="shared" si="519"/>
        <v>0</v>
      </c>
      <c r="L587" s="22" t="s">
        <v>101</v>
      </c>
      <c r="M587" s="12">
        <v>2</v>
      </c>
      <c r="N587" s="13"/>
      <c r="O587" s="14"/>
      <c r="P587" s="43">
        <f t="shared" si="520"/>
        <v>2</v>
      </c>
      <c r="Q587" s="15">
        <v>2</v>
      </c>
      <c r="R587" s="13"/>
      <c r="S587" s="14"/>
      <c r="T587" s="43">
        <f t="shared" si="521"/>
        <v>2</v>
      </c>
      <c r="U587" s="10">
        <f t="shared" si="522"/>
        <v>4</v>
      </c>
      <c r="V587" s="56">
        <v>46006</v>
      </c>
      <c r="W587" s="61"/>
    </row>
    <row r="588" spans="1:24" x14ac:dyDescent="0.15">
      <c r="A588" s="22"/>
      <c r="B588" s="7"/>
      <c r="C588" s="8"/>
      <c r="D588" s="9"/>
      <c r="E588" s="43">
        <f t="shared" si="517"/>
        <v>0</v>
      </c>
      <c r="F588" s="11"/>
      <c r="G588" s="8"/>
      <c r="H588" s="9"/>
      <c r="I588" s="43">
        <f t="shared" si="518"/>
        <v>0</v>
      </c>
      <c r="J588" s="10">
        <f t="shared" si="519"/>
        <v>0</v>
      </c>
      <c r="L588" s="22" t="s">
        <v>103</v>
      </c>
      <c r="M588" s="12">
        <v>1</v>
      </c>
      <c r="N588" s="13">
        <v>1</v>
      </c>
      <c r="O588" s="14"/>
      <c r="P588" s="43">
        <f t="shared" si="520"/>
        <v>2</v>
      </c>
      <c r="Q588" s="15">
        <v>1</v>
      </c>
      <c r="R588" s="13">
        <v>1</v>
      </c>
      <c r="S588" s="14"/>
      <c r="T588" s="43">
        <f t="shared" si="521"/>
        <v>2</v>
      </c>
      <c r="U588" s="10">
        <f t="shared" si="522"/>
        <v>4</v>
      </c>
      <c r="V588" s="56">
        <v>46009</v>
      </c>
    </row>
    <row r="589" spans="1:24" x14ac:dyDescent="0.15">
      <c r="A589" s="24"/>
      <c r="B589" s="7"/>
      <c r="C589" s="8"/>
      <c r="D589" s="9"/>
      <c r="E589" s="43">
        <f t="shared" si="517"/>
        <v>0</v>
      </c>
      <c r="F589" s="11"/>
      <c r="G589" s="8"/>
      <c r="H589" s="9"/>
      <c r="I589" s="43">
        <f t="shared" si="518"/>
        <v>0</v>
      </c>
      <c r="J589" s="10">
        <f t="shared" si="519"/>
        <v>0</v>
      </c>
      <c r="L589" s="22" t="s">
        <v>104</v>
      </c>
      <c r="M589" s="12">
        <v>1</v>
      </c>
      <c r="N589" s="13">
        <v>1</v>
      </c>
      <c r="O589" s="14"/>
      <c r="P589" s="43">
        <f t="shared" si="520"/>
        <v>2</v>
      </c>
      <c r="Q589" s="15">
        <v>1</v>
      </c>
      <c r="R589" s="13">
        <v>1</v>
      </c>
      <c r="S589" s="14"/>
      <c r="T589" s="43">
        <f t="shared" si="521"/>
        <v>2</v>
      </c>
      <c r="U589" s="10">
        <f t="shared" si="522"/>
        <v>4</v>
      </c>
      <c r="V589" s="56">
        <v>46010</v>
      </c>
    </row>
    <row r="590" spans="1:24" x14ac:dyDescent="0.15">
      <c r="A590" s="22"/>
      <c r="B590" s="7"/>
      <c r="C590" s="8"/>
      <c r="D590" s="9"/>
      <c r="E590" s="43">
        <f t="shared" si="517"/>
        <v>0</v>
      </c>
      <c r="F590" s="11"/>
      <c r="G590" s="8"/>
      <c r="H590" s="9"/>
      <c r="I590" s="43">
        <f t="shared" si="518"/>
        <v>0</v>
      </c>
      <c r="J590" s="10">
        <f t="shared" si="519"/>
        <v>0</v>
      </c>
      <c r="L590" s="22" t="s">
        <v>106</v>
      </c>
      <c r="M590" s="12"/>
      <c r="N590" s="13">
        <v>1</v>
      </c>
      <c r="O590" s="14">
        <v>1</v>
      </c>
      <c r="P590" s="43">
        <f t="shared" si="520"/>
        <v>2</v>
      </c>
      <c r="Q590" s="15"/>
      <c r="R590" s="13">
        <v>1</v>
      </c>
      <c r="S590" s="14">
        <v>1</v>
      </c>
      <c r="T590" s="43">
        <f t="shared" si="521"/>
        <v>2</v>
      </c>
      <c r="U590" s="10">
        <f t="shared" si="522"/>
        <v>4</v>
      </c>
      <c r="V590" s="56">
        <v>46010</v>
      </c>
    </row>
    <row r="591" spans="1:24" x14ac:dyDescent="0.15">
      <c r="A591" s="23"/>
      <c r="B591" s="7"/>
      <c r="C591" s="8"/>
      <c r="D591" s="9"/>
      <c r="E591" s="43">
        <f t="shared" si="517"/>
        <v>0</v>
      </c>
      <c r="F591" s="11"/>
      <c r="G591" s="8"/>
      <c r="H591" s="9"/>
      <c r="I591" s="43">
        <f t="shared" si="518"/>
        <v>0</v>
      </c>
      <c r="J591" s="10">
        <f t="shared" si="519"/>
        <v>0</v>
      </c>
      <c r="L591" s="22" t="s">
        <v>110</v>
      </c>
      <c r="M591" s="12"/>
      <c r="N591" s="13">
        <v>1</v>
      </c>
      <c r="O591" s="14">
        <v>1</v>
      </c>
      <c r="P591" s="43">
        <f t="shared" si="520"/>
        <v>2</v>
      </c>
      <c r="Q591" s="15"/>
      <c r="R591" s="13">
        <v>1</v>
      </c>
      <c r="S591" s="14">
        <v>1</v>
      </c>
      <c r="T591" s="43">
        <f t="shared" si="521"/>
        <v>2</v>
      </c>
      <c r="U591" s="10">
        <f t="shared" si="522"/>
        <v>4</v>
      </c>
      <c r="V591" s="56">
        <v>46013</v>
      </c>
    </row>
    <row r="592" spans="1:24" x14ac:dyDescent="0.15">
      <c r="A592" s="22"/>
      <c r="B592" s="7"/>
      <c r="C592" s="8"/>
      <c r="D592" s="9"/>
      <c r="E592" s="43">
        <f t="shared" si="517"/>
        <v>0</v>
      </c>
      <c r="F592" s="11"/>
      <c r="G592" s="8"/>
      <c r="H592" s="9"/>
      <c r="I592" s="43">
        <f t="shared" si="518"/>
        <v>0</v>
      </c>
      <c r="J592" s="10">
        <f t="shared" si="519"/>
        <v>0</v>
      </c>
      <c r="L592" s="22" t="s">
        <v>112</v>
      </c>
      <c r="M592" s="12">
        <v>2</v>
      </c>
      <c r="N592" s="13">
        <v>1</v>
      </c>
      <c r="O592" s="14"/>
      <c r="P592" s="43">
        <f t="shared" si="520"/>
        <v>3</v>
      </c>
      <c r="Q592" s="15">
        <v>2</v>
      </c>
      <c r="R592" s="13">
        <v>1</v>
      </c>
      <c r="S592" s="14"/>
      <c r="T592" s="43">
        <f t="shared" si="521"/>
        <v>3</v>
      </c>
      <c r="U592" s="10">
        <f t="shared" si="522"/>
        <v>6</v>
      </c>
      <c r="V592" s="56">
        <v>46016</v>
      </c>
    </row>
    <row r="593" spans="1:22" x14ac:dyDescent="0.15">
      <c r="A593" s="24"/>
      <c r="B593" s="7"/>
      <c r="C593" s="8"/>
      <c r="D593" s="9"/>
      <c r="E593" s="43">
        <f t="shared" si="517"/>
        <v>0</v>
      </c>
      <c r="F593" s="11"/>
      <c r="G593" s="8"/>
      <c r="H593" s="9"/>
      <c r="I593" s="43">
        <f t="shared" si="518"/>
        <v>0</v>
      </c>
      <c r="J593" s="10">
        <f t="shared" si="519"/>
        <v>0</v>
      </c>
      <c r="L593" s="22"/>
      <c r="M593" s="12"/>
      <c r="N593" s="13"/>
      <c r="O593" s="14"/>
      <c r="P593" s="43">
        <f t="shared" si="520"/>
        <v>0</v>
      </c>
      <c r="Q593" s="15"/>
      <c r="R593" s="13"/>
      <c r="S593" s="14"/>
      <c r="T593" s="43">
        <f t="shared" si="521"/>
        <v>0</v>
      </c>
      <c r="U593" s="10">
        <f t="shared" si="522"/>
        <v>0</v>
      </c>
    </row>
    <row r="594" spans="1:22" x14ac:dyDescent="0.15">
      <c r="A594" s="22"/>
      <c r="B594" s="12"/>
      <c r="C594" s="13"/>
      <c r="D594" s="14"/>
      <c r="E594" s="43">
        <f t="shared" si="517"/>
        <v>0</v>
      </c>
      <c r="F594" s="15"/>
      <c r="G594" s="13"/>
      <c r="H594" s="14"/>
      <c r="I594" s="43">
        <f t="shared" si="518"/>
        <v>0</v>
      </c>
      <c r="J594" s="10">
        <f t="shared" si="519"/>
        <v>0</v>
      </c>
      <c r="L594" s="22"/>
      <c r="M594" s="12"/>
      <c r="N594" s="13"/>
      <c r="O594" s="14"/>
      <c r="P594" s="43">
        <f t="shared" ref="P594" si="523">SUM(M594:O594)</f>
        <v>0</v>
      </c>
      <c r="Q594" s="15"/>
      <c r="R594" s="13"/>
      <c r="S594" s="14"/>
      <c r="T594" s="43">
        <f t="shared" ref="T594" si="524">SUM(Q594:S594)</f>
        <v>0</v>
      </c>
      <c r="U594" s="10">
        <f t="shared" ref="U594" si="525">P594+T594</f>
        <v>0</v>
      </c>
    </row>
    <row r="595" spans="1:22" x14ac:dyDescent="0.15">
      <c r="A595" s="22"/>
      <c r="B595" s="7"/>
      <c r="C595" s="8"/>
      <c r="D595" s="9"/>
      <c r="E595" s="43">
        <f t="shared" si="517"/>
        <v>0</v>
      </c>
      <c r="F595" s="11"/>
      <c r="G595" s="8"/>
      <c r="H595" s="9"/>
      <c r="I595" s="43">
        <f t="shared" si="518"/>
        <v>0</v>
      </c>
      <c r="J595" s="10">
        <f t="shared" si="519"/>
        <v>0</v>
      </c>
      <c r="L595" s="121" t="s">
        <v>427</v>
      </c>
      <c r="M595" s="122"/>
      <c r="N595" s="123"/>
      <c r="O595" s="124"/>
      <c r="P595" s="125">
        <f t="shared" ref="P595:P596" si="526">SUM(M595:O595)</f>
        <v>0</v>
      </c>
      <c r="Q595" s="122"/>
      <c r="R595" s="123"/>
      <c r="S595" s="124"/>
      <c r="T595" s="125">
        <f t="shared" ref="T595:T596" si="527">SUM(Q595:S595)</f>
        <v>0</v>
      </c>
      <c r="U595" s="126">
        <f t="shared" ref="U595:U596" si="528">P595+T595</f>
        <v>0</v>
      </c>
      <c r="V595" s="116" t="s">
        <v>181</v>
      </c>
    </row>
    <row r="596" spans="1:22" x14ac:dyDescent="0.15">
      <c r="A596" s="22"/>
      <c r="B596" s="7"/>
      <c r="C596" s="8"/>
      <c r="D596" s="9"/>
      <c r="E596" s="43">
        <f t="shared" si="517"/>
        <v>0</v>
      </c>
      <c r="F596" s="11"/>
      <c r="G596" s="8"/>
      <c r="H596" s="9"/>
      <c r="I596" s="43">
        <f t="shared" si="518"/>
        <v>0</v>
      </c>
      <c r="J596" s="10">
        <f t="shared" si="519"/>
        <v>0</v>
      </c>
      <c r="L596" s="24" t="s">
        <v>428</v>
      </c>
      <c r="M596" s="7"/>
      <c r="N596" s="8"/>
      <c r="O596" s="9"/>
      <c r="P596" s="43">
        <f t="shared" si="526"/>
        <v>0</v>
      </c>
      <c r="Q596" s="7"/>
      <c r="R596" s="8"/>
      <c r="S596" s="9"/>
      <c r="T596" s="43">
        <f t="shared" si="527"/>
        <v>0</v>
      </c>
      <c r="U596" s="10">
        <f t="shared" si="528"/>
        <v>0</v>
      </c>
      <c r="V596" s="61" t="s">
        <v>24</v>
      </c>
    </row>
    <row r="597" spans="1:22" x14ac:dyDescent="0.15">
      <c r="A597" s="22"/>
      <c r="B597" s="7"/>
      <c r="C597" s="8"/>
      <c r="D597" s="9"/>
      <c r="E597" s="43">
        <f t="shared" si="517"/>
        <v>0</v>
      </c>
      <c r="F597" s="11"/>
      <c r="G597" s="8"/>
      <c r="H597" s="9"/>
      <c r="I597" s="43">
        <f t="shared" si="518"/>
        <v>0</v>
      </c>
      <c r="J597" s="10">
        <f t="shared" si="519"/>
        <v>0</v>
      </c>
      <c r="L597" s="24" t="s">
        <v>429</v>
      </c>
      <c r="M597" s="7"/>
      <c r="N597" s="8"/>
      <c r="O597" s="9"/>
      <c r="P597" s="43">
        <f t="shared" ref="P597" si="529">SUM(M597:O597)</f>
        <v>0</v>
      </c>
      <c r="Q597" s="7"/>
      <c r="R597" s="8"/>
      <c r="S597" s="9"/>
      <c r="T597" s="43">
        <f t="shared" ref="T597" si="530">SUM(Q597:S597)</f>
        <v>0</v>
      </c>
      <c r="U597" s="10">
        <f t="shared" ref="U597" si="531">P597+T597</f>
        <v>0</v>
      </c>
      <c r="V597" s="61" t="s">
        <v>336</v>
      </c>
    </row>
    <row r="598" spans="1:22" ht="14.25" thickBot="1" x14ac:dyDescent="0.2">
      <c r="A598" s="22"/>
      <c r="B598" s="7"/>
      <c r="C598" s="8"/>
      <c r="D598" s="9"/>
      <c r="E598" s="43">
        <f t="shared" si="517"/>
        <v>0</v>
      </c>
      <c r="F598" s="11"/>
      <c r="G598" s="8"/>
      <c r="H598" s="9"/>
      <c r="I598" s="43">
        <f t="shared" si="518"/>
        <v>0</v>
      </c>
      <c r="J598" s="10">
        <f t="shared" si="519"/>
        <v>0</v>
      </c>
      <c r="L598" s="24" t="s">
        <v>161</v>
      </c>
      <c r="M598" s="7"/>
      <c r="N598" s="8"/>
      <c r="O598" s="9"/>
      <c r="P598" s="43">
        <f t="shared" si="520"/>
        <v>0</v>
      </c>
      <c r="Q598" s="7"/>
      <c r="R598" s="8"/>
      <c r="S598" s="9"/>
      <c r="T598" s="43">
        <f t="shared" si="521"/>
        <v>0</v>
      </c>
      <c r="U598" s="10">
        <f t="shared" si="522"/>
        <v>0</v>
      </c>
      <c r="V598" s="61" t="s">
        <v>414</v>
      </c>
    </row>
    <row r="599" spans="1:22" ht="14.25" thickBot="1" x14ac:dyDescent="0.2">
      <c r="A599" s="35" t="s">
        <v>17</v>
      </c>
      <c r="B599" s="40">
        <f>SUM(B573:B598)</f>
        <v>1</v>
      </c>
      <c r="C599" s="41">
        <f t="shared" ref="C599:D599" si="532">SUM(C573:C598)</f>
        <v>3</v>
      </c>
      <c r="D599" s="52">
        <f t="shared" si="532"/>
        <v>0</v>
      </c>
      <c r="E599" s="39">
        <f t="shared" si="517"/>
        <v>4</v>
      </c>
      <c r="F599" s="40">
        <f>SUM(F573:F598)</f>
        <v>1</v>
      </c>
      <c r="G599" s="41">
        <f t="shared" ref="G599:H599" si="533">SUM(G573:G598)</f>
        <v>3</v>
      </c>
      <c r="H599" s="52">
        <f t="shared" si="533"/>
        <v>0</v>
      </c>
      <c r="I599" s="39">
        <f t="shared" si="518"/>
        <v>4</v>
      </c>
      <c r="J599" s="39">
        <f>E599+I599</f>
        <v>8</v>
      </c>
      <c r="L599" s="35" t="s">
        <v>17</v>
      </c>
      <c r="M599" s="40">
        <f>SUM(M573:M598)</f>
        <v>37</v>
      </c>
      <c r="N599" s="41">
        <f t="shared" ref="N599:O599" si="534">SUM(N573:N598)</f>
        <v>68</v>
      </c>
      <c r="O599" s="52">
        <f t="shared" si="534"/>
        <v>40</v>
      </c>
      <c r="P599" s="39">
        <f t="shared" si="520"/>
        <v>145</v>
      </c>
      <c r="Q599" s="40">
        <f>SUM(Q573:Q598)</f>
        <v>37</v>
      </c>
      <c r="R599" s="41">
        <f t="shared" ref="R599:S599" si="535">SUM(R573:R598)</f>
        <v>68</v>
      </c>
      <c r="S599" s="52">
        <f t="shared" si="535"/>
        <v>40</v>
      </c>
      <c r="T599" s="39">
        <f t="shared" si="521"/>
        <v>145</v>
      </c>
      <c r="U599" s="39">
        <f>P599+T599</f>
        <v>290</v>
      </c>
    </row>
    <row r="600" spans="1:22" ht="14.25" thickBot="1" x14ac:dyDescent="0.2">
      <c r="A600" s="21" t="s">
        <v>16</v>
      </c>
      <c r="B600" s="44">
        <f>B572-B599</f>
        <v>1</v>
      </c>
      <c r="C600" s="50">
        <f t="shared" ref="C600:D600" si="536">C572-C599</f>
        <v>0</v>
      </c>
      <c r="D600" s="51">
        <f t="shared" si="536"/>
        <v>1</v>
      </c>
      <c r="E600" s="49">
        <f>SUM(B600:D600)</f>
        <v>2</v>
      </c>
      <c r="F600" s="44">
        <f>F572-F599</f>
        <v>1</v>
      </c>
      <c r="G600" s="50">
        <f t="shared" ref="G600:H600" si="537">G572-G599</f>
        <v>0</v>
      </c>
      <c r="H600" s="51">
        <f t="shared" si="537"/>
        <v>1</v>
      </c>
      <c r="I600" s="49">
        <f>SUM(F600:H600)</f>
        <v>2</v>
      </c>
      <c r="J600" s="28">
        <f>E600+I600</f>
        <v>4</v>
      </c>
      <c r="L600" s="21" t="s">
        <v>16</v>
      </c>
      <c r="M600" s="44">
        <f>M572-M599</f>
        <v>144</v>
      </c>
      <c r="N600" s="50">
        <f t="shared" ref="N600:O600" si="538">N572-N599</f>
        <v>166</v>
      </c>
      <c r="O600" s="51">
        <f t="shared" si="538"/>
        <v>137</v>
      </c>
      <c r="P600" s="49">
        <f>SUM(M600:O600)</f>
        <v>447</v>
      </c>
      <c r="Q600" s="44">
        <f>Q572-Q599</f>
        <v>144</v>
      </c>
      <c r="R600" s="50">
        <f t="shared" ref="R600:S600" si="539">R572-R599</f>
        <v>166</v>
      </c>
      <c r="S600" s="51">
        <f t="shared" si="539"/>
        <v>137</v>
      </c>
      <c r="T600" s="49">
        <f>SUM(Q600:S600)</f>
        <v>447</v>
      </c>
      <c r="U600" s="28">
        <f>P600+T600</f>
        <v>894</v>
      </c>
    </row>
    <row r="603" spans="1:22" ht="19.5" thickBot="1" x14ac:dyDescent="0.25">
      <c r="A603" s="84" t="s">
        <v>31</v>
      </c>
      <c r="B603" s="85"/>
      <c r="C603" s="85"/>
      <c r="D603" s="85"/>
      <c r="E603" s="85"/>
      <c r="F603" s="85"/>
      <c r="G603" s="85"/>
      <c r="H603" s="85"/>
      <c r="I603" s="85"/>
      <c r="J603" s="85"/>
      <c r="L603" s="82" t="s">
        <v>32</v>
      </c>
      <c r="M603" s="83"/>
      <c r="N603" s="83"/>
      <c r="O603" s="83"/>
      <c r="P603" s="83"/>
      <c r="Q603" s="83"/>
      <c r="R603" s="83"/>
      <c r="S603" s="83"/>
      <c r="T603" s="83"/>
      <c r="U603" s="83">
        <v>1040</v>
      </c>
    </row>
    <row r="604" spans="1:22" ht="14.25" thickBot="1" x14ac:dyDescent="0.2">
      <c r="A604" s="6"/>
      <c r="B604" s="159" t="s">
        <v>33</v>
      </c>
      <c r="C604" s="160"/>
      <c r="D604" s="160"/>
      <c r="E604" s="161"/>
      <c r="F604" s="159" t="s">
        <v>22</v>
      </c>
      <c r="G604" s="160"/>
      <c r="H604" s="160"/>
      <c r="I604" s="162"/>
      <c r="J604" s="157" t="s">
        <v>0</v>
      </c>
      <c r="L604" s="6"/>
      <c r="M604" s="159" t="s">
        <v>33</v>
      </c>
      <c r="N604" s="160"/>
      <c r="O604" s="160"/>
      <c r="P604" s="161"/>
      <c r="Q604" s="146" t="s">
        <v>22</v>
      </c>
      <c r="R604" s="147"/>
      <c r="S604" s="147"/>
      <c r="T604" s="148"/>
      <c r="U604" s="157" t="s">
        <v>0</v>
      </c>
    </row>
    <row r="605" spans="1:22" ht="14.25" thickBot="1" x14ac:dyDescent="0.2">
      <c r="A605" s="6" t="s">
        <v>1</v>
      </c>
      <c r="B605" s="3" t="s">
        <v>2</v>
      </c>
      <c r="C605" s="4" t="s">
        <v>3</v>
      </c>
      <c r="D605" s="5" t="s">
        <v>4</v>
      </c>
      <c r="E605" s="6" t="s">
        <v>5</v>
      </c>
      <c r="F605" s="3" t="s">
        <v>2</v>
      </c>
      <c r="G605" s="4" t="s">
        <v>3</v>
      </c>
      <c r="H605" s="5" t="s">
        <v>4</v>
      </c>
      <c r="I605" s="6" t="s">
        <v>5</v>
      </c>
      <c r="J605" s="158"/>
      <c r="L605" s="6" t="s">
        <v>1</v>
      </c>
      <c r="M605" s="3" t="s">
        <v>2</v>
      </c>
      <c r="N605" s="4" t="s">
        <v>3</v>
      </c>
      <c r="O605" s="5" t="s">
        <v>4</v>
      </c>
      <c r="P605" s="6" t="s">
        <v>5</v>
      </c>
      <c r="Q605" s="3" t="s">
        <v>2</v>
      </c>
      <c r="R605" s="4" t="s">
        <v>3</v>
      </c>
      <c r="S605" s="5" t="s">
        <v>4</v>
      </c>
      <c r="T605" s="6" t="s">
        <v>5</v>
      </c>
      <c r="U605" s="158"/>
    </row>
    <row r="606" spans="1:22" ht="14.25" thickBot="1" x14ac:dyDescent="0.2">
      <c r="A606" s="66" t="s">
        <v>6</v>
      </c>
      <c r="B606" s="25">
        <f>B600</f>
        <v>1</v>
      </c>
      <c r="C606" s="26">
        <f>C600</f>
        <v>0</v>
      </c>
      <c r="D606" s="27">
        <f>D600</f>
        <v>1</v>
      </c>
      <c r="E606" s="28">
        <f>SUM(B606:D606)</f>
        <v>2</v>
      </c>
      <c r="F606" s="25">
        <f>F600</f>
        <v>1</v>
      </c>
      <c r="G606" s="26">
        <f>G600</f>
        <v>0</v>
      </c>
      <c r="H606" s="27">
        <f>H600</f>
        <v>1</v>
      </c>
      <c r="I606" s="28">
        <f>SUM(F606:H606)</f>
        <v>2</v>
      </c>
      <c r="J606" s="28">
        <f>E606+I606</f>
        <v>4</v>
      </c>
      <c r="L606" s="66" t="s">
        <v>6</v>
      </c>
      <c r="M606" s="25">
        <f>M600</f>
        <v>144</v>
      </c>
      <c r="N606" s="26">
        <f>N600</f>
        <v>166</v>
      </c>
      <c r="O606" s="27">
        <f>O600</f>
        <v>137</v>
      </c>
      <c r="P606" s="28">
        <f>SUM(M606:O606)</f>
        <v>447</v>
      </c>
      <c r="Q606" s="25">
        <f>Q600</f>
        <v>144</v>
      </c>
      <c r="R606" s="26">
        <f>R600</f>
        <v>166</v>
      </c>
      <c r="S606" s="27">
        <f>S600</f>
        <v>137</v>
      </c>
      <c r="T606" s="28">
        <f>SUM(Q606:S606)</f>
        <v>447</v>
      </c>
      <c r="U606" s="28">
        <f>P606+T606</f>
        <v>894</v>
      </c>
    </row>
    <row r="607" spans="1:22" x14ac:dyDescent="0.15">
      <c r="A607" s="23" t="s">
        <v>7</v>
      </c>
      <c r="B607" s="7"/>
      <c r="C607" s="8"/>
      <c r="D607" s="46"/>
      <c r="E607" s="10">
        <f t="shared" ref="E607:E614" si="540">SUM(B607:D607)</f>
        <v>0</v>
      </c>
      <c r="F607" s="11"/>
      <c r="G607" s="8"/>
      <c r="H607" s="9"/>
      <c r="I607" s="10">
        <f t="shared" ref="I607:I614" si="541">SUM(F607:H607)</f>
        <v>0</v>
      </c>
      <c r="J607" s="10">
        <f t="shared" ref="J607:J614" si="542">E607+I607</f>
        <v>0</v>
      </c>
      <c r="L607" s="23" t="s">
        <v>7</v>
      </c>
      <c r="M607" s="7"/>
      <c r="N607" s="8"/>
      <c r="O607" s="46"/>
      <c r="P607" s="10">
        <f t="shared" ref="P607:P614" si="543">SUM(M607:O607)</f>
        <v>0</v>
      </c>
      <c r="Q607" s="11"/>
      <c r="R607" s="8"/>
      <c r="S607" s="9"/>
      <c r="T607" s="10">
        <f t="shared" ref="T607:T614" si="544">SUM(Q607:S607)</f>
        <v>0</v>
      </c>
      <c r="U607" s="10">
        <f t="shared" ref="U607:U614" si="545">P607+T607</f>
        <v>0</v>
      </c>
    </row>
    <row r="608" spans="1:22" x14ac:dyDescent="0.15">
      <c r="A608" s="23" t="s">
        <v>287</v>
      </c>
      <c r="B608" s="7">
        <v>8</v>
      </c>
      <c r="C608" s="8">
        <v>6</v>
      </c>
      <c r="D608" s="46"/>
      <c r="E608" s="10">
        <f t="shared" si="540"/>
        <v>14</v>
      </c>
      <c r="F608" s="11">
        <v>8</v>
      </c>
      <c r="G608" s="8">
        <v>6</v>
      </c>
      <c r="H608" s="9"/>
      <c r="I608" s="10">
        <f t="shared" si="541"/>
        <v>14</v>
      </c>
      <c r="J608" s="10">
        <f t="shared" si="542"/>
        <v>28</v>
      </c>
      <c r="K608" s="58">
        <v>46062</v>
      </c>
      <c r="L608" s="23" t="s">
        <v>8</v>
      </c>
      <c r="M608" s="7"/>
      <c r="N608" s="8"/>
      <c r="O608" s="46"/>
      <c r="P608" s="10">
        <f t="shared" ref="P608:P610" si="546">SUM(M608:O608)</f>
        <v>0</v>
      </c>
      <c r="Q608" s="11"/>
      <c r="R608" s="8"/>
      <c r="S608" s="9"/>
      <c r="T608" s="10">
        <f t="shared" ref="T608:T610" si="547">SUM(Q608:S608)</f>
        <v>0</v>
      </c>
      <c r="U608" s="10">
        <f t="shared" ref="U608:U610" si="548">P608+T608</f>
        <v>0</v>
      </c>
    </row>
    <row r="609" spans="1:24" x14ac:dyDescent="0.15">
      <c r="A609" s="23" t="s">
        <v>9</v>
      </c>
      <c r="B609" s="7"/>
      <c r="C609" s="8"/>
      <c r="D609" s="46"/>
      <c r="E609" s="10">
        <f t="shared" si="540"/>
        <v>0</v>
      </c>
      <c r="F609" s="11"/>
      <c r="G609" s="8"/>
      <c r="H609" s="9"/>
      <c r="I609" s="10">
        <f t="shared" si="541"/>
        <v>0</v>
      </c>
      <c r="J609" s="10">
        <f t="shared" si="542"/>
        <v>0</v>
      </c>
      <c r="L609" s="23" t="s">
        <v>418</v>
      </c>
      <c r="M609" s="7">
        <v>80</v>
      </c>
      <c r="N609" s="8">
        <v>100</v>
      </c>
      <c r="O609" s="46">
        <v>90</v>
      </c>
      <c r="P609" s="10">
        <f t="shared" si="546"/>
        <v>270</v>
      </c>
      <c r="Q609" s="7">
        <v>80</v>
      </c>
      <c r="R609" s="8">
        <v>100</v>
      </c>
      <c r="S609" s="46">
        <v>90</v>
      </c>
      <c r="T609" s="10">
        <f t="shared" si="547"/>
        <v>270</v>
      </c>
      <c r="U609" s="10">
        <f t="shared" si="548"/>
        <v>540</v>
      </c>
      <c r="V609" s="56" t="s">
        <v>439</v>
      </c>
      <c r="W609" s="95"/>
    </row>
    <row r="610" spans="1:24" x14ac:dyDescent="0.15">
      <c r="A610" s="23" t="s">
        <v>10</v>
      </c>
      <c r="B610" s="7"/>
      <c r="C610" s="8"/>
      <c r="D610" s="46"/>
      <c r="E610" s="10">
        <f t="shared" si="540"/>
        <v>0</v>
      </c>
      <c r="F610" s="11"/>
      <c r="G610" s="8"/>
      <c r="H610" s="9"/>
      <c r="I610" s="10">
        <f t="shared" si="541"/>
        <v>0</v>
      </c>
      <c r="J610" s="10">
        <f t="shared" si="542"/>
        <v>0</v>
      </c>
      <c r="L610" s="23" t="s">
        <v>430</v>
      </c>
      <c r="M610" s="7">
        <v>-30</v>
      </c>
      <c r="N610" s="8">
        <v>-50</v>
      </c>
      <c r="O610" s="46">
        <v>-40</v>
      </c>
      <c r="P610" s="10">
        <f t="shared" si="546"/>
        <v>-120</v>
      </c>
      <c r="Q610" s="11">
        <v>-30</v>
      </c>
      <c r="R610" s="8">
        <v>-50</v>
      </c>
      <c r="S610" s="9">
        <v>-40</v>
      </c>
      <c r="T610" s="10">
        <f t="shared" si="547"/>
        <v>-120</v>
      </c>
      <c r="U610" s="10">
        <f t="shared" si="548"/>
        <v>-240</v>
      </c>
      <c r="V610" s="61"/>
    </row>
    <row r="611" spans="1:24" x14ac:dyDescent="0.15">
      <c r="A611" s="23" t="s">
        <v>11</v>
      </c>
      <c r="B611" s="7"/>
      <c r="C611" s="8"/>
      <c r="D611" s="46"/>
      <c r="E611" s="10">
        <f t="shared" si="540"/>
        <v>0</v>
      </c>
      <c r="F611" s="11"/>
      <c r="G611" s="8"/>
      <c r="H611" s="9"/>
      <c r="I611" s="10">
        <f t="shared" si="541"/>
        <v>0</v>
      </c>
      <c r="J611" s="10">
        <f t="shared" si="542"/>
        <v>0</v>
      </c>
      <c r="L611" s="23" t="s">
        <v>11</v>
      </c>
      <c r="M611" s="7"/>
      <c r="N611" s="8"/>
      <c r="O611" s="46"/>
      <c r="P611" s="10">
        <f t="shared" si="543"/>
        <v>0</v>
      </c>
      <c r="Q611" s="7"/>
      <c r="R611" s="8"/>
      <c r="S611" s="46"/>
      <c r="T611" s="10">
        <f t="shared" si="544"/>
        <v>0</v>
      </c>
      <c r="U611" s="10">
        <f t="shared" si="545"/>
        <v>0</v>
      </c>
    </row>
    <row r="612" spans="1:24" x14ac:dyDescent="0.15">
      <c r="A612" s="23" t="s">
        <v>12</v>
      </c>
      <c r="B612" s="7"/>
      <c r="C612" s="8"/>
      <c r="D612" s="46"/>
      <c r="E612" s="10">
        <f t="shared" si="540"/>
        <v>0</v>
      </c>
      <c r="F612" s="11"/>
      <c r="G612" s="8"/>
      <c r="H612" s="9"/>
      <c r="I612" s="10">
        <f t="shared" si="541"/>
        <v>0</v>
      </c>
      <c r="J612" s="10">
        <f t="shared" si="542"/>
        <v>0</v>
      </c>
      <c r="L612" s="23" t="s">
        <v>12</v>
      </c>
      <c r="M612" s="7"/>
      <c r="N612" s="8"/>
      <c r="O612" s="46"/>
      <c r="P612" s="10">
        <f t="shared" si="543"/>
        <v>0</v>
      </c>
      <c r="Q612" s="7"/>
      <c r="R612" s="8"/>
      <c r="S612" s="46"/>
      <c r="T612" s="10">
        <f t="shared" si="544"/>
        <v>0</v>
      </c>
      <c r="U612" s="10">
        <f t="shared" si="545"/>
        <v>0</v>
      </c>
    </row>
    <row r="613" spans="1:24" x14ac:dyDescent="0.15">
      <c r="A613" s="23" t="s">
        <v>13</v>
      </c>
      <c r="B613" s="7"/>
      <c r="C613" s="8"/>
      <c r="D613" s="46"/>
      <c r="E613" s="10">
        <f t="shared" si="540"/>
        <v>0</v>
      </c>
      <c r="F613" s="11"/>
      <c r="G613" s="8"/>
      <c r="H613" s="9"/>
      <c r="I613" s="10">
        <f t="shared" si="541"/>
        <v>0</v>
      </c>
      <c r="J613" s="10">
        <f t="shared" si="542"/>
        <v>0</v>
      </c>
      <c r="L613" s="23" t="s">
        <v>13</v>
      </c>
      <c r="M613" s="7"/>
      <c r="N613" s="8"/>
      <c r="O613" s="46"/>
      <c r="P613" s="10">
        <f t="shared" si="543"/>
        <v>0</v>
      </c>
      <c r="Q613" s="11"/>
      <c r="R613" s="8"/>
      <c r="S613" s="9"/>
      <c r="T613" s="10">
        <f t="shared" si="544"/>
        <v>0</v>
      </c>
      <c r="U613" s="10">
        <f t="shared" si="545"/>
        <v>0</v>
      </c>
    </row>
    <row r="614" spans="1:24" ht="14.25" thickBot="1" x14ac:dyDescent="0.2">
      <c r="A614" s="22" t="s">
        <v>14</v>
      </c>
      <c r="B614" s="7"/>
      <c r="C614" s="8"/>
      <c r="D614" s="9"/>
      <c r="E614" s="43">
        <f t="shared" si="540"/>
        <v>0</v>
      </c>
      <c r="F614" s="11"/>
      <c r="G614" s="8"/>
      <c r="H614" s="9"/>
      <c r="I614" s="43">
        <f t="shared" si="541"/>
        <v>0</v>
      </c>
      <c r="J614" s="10">
        <f t="shared" si="542"/>
        <v>0</v>
      </c>
      <c r="L614" s="22" t="s">
        <v>14</v>
      </c>
      <c r="M614" s="7"/>
      <c r="N614" s="8"/>
      <c r="O614" s="9"/>
      <c r="P614" s="43">
        <f t="shared" si="543"/>
        <v>0</v>
      </c>
      <c r="Q614" s="11"/>
      <c r="R614" s="8"/>
      <c r="S614" s="9"/>
      <c r="T614" s="43">
        <f t="shared" si="544"/>
        <v>0</v>
      </c>
      <c r="U614" s="10">
        <f t="shared" si="545"/>
        <v>0</v>
      </c>
    </row>
    <row r="615" spans="1:24" ht="14.25" thickBot="1" x14ac:dyDescent="0.2">
      <c r="A615" s="32" t="s">
        <v>15</v>
      </c>
      <c r="B615" s="25">
        <f>SUM(B606:B614)</f>
        <v>9</v>
      </c>
      <c r="C615" s="26">
        <f>SUM(C606:C614)</f>
        <v>6</v>
      </c>
      <c r="D615" s="27">
        <f>SUM(D606:D614)</f>
        <v>1</v>
      </c>
      <c r="E615" s="28">
        <f>SUM(B615:D615)</f>
        <v>16</v>
      </c>
      <c r="F615" s="25">
        <f>SUM(F606:F614)</f>
        <v>9</v>
      </c>
      <c r="G615" s="26">
        <f>SUM(G606:G614)</f>
        <v>6</v>
      </c>
      <c r="H615" s="27">
        <f>SUM(H606:H614)</f>
        <v>1</v>
      </c>
      <c r="I615" s="28">
        <f>SUM(F615:H615)</f>
        <v>16</v>
      </c>
      <c r="J615" s="28">
        <f>E615+I615</f>
        <v>32</v>
      </c>
      <c r="L615" s="32" t="s">
        <v>15</v>
      </c>
      <c r="M615" s="25">
        <f>SUM(M606:M614)</f>
        <v>194</v>
      </c>
      <c r="N615" s="26">
        <f>SUM(N606:N614)</f>
        <v>216</v>
      </c>
      <c r="O615" s="27">
        <f>SUM(O606:O614)</f>
        <v>187</v>
      </c>
      <c r="P615" s="28">
        <f>SUM(M615:O615)</f>
        <v>597</v>
      </c>
      <c r="Q615" s="25">
        <f>SUM(Q606:Q614)</f>
        <v>194</v>
      </c>
      <c r="R615" s="26">
        <f>SUM(R606:R614)</f>
        <v>216</v>
      </c>
      <c r="S615" s="27">
        <f>SUM(S606:S614)</f>
        <v>187</v>
      </c>
      <c r="T615" s="28">
        <f>SUM(Q615:S615)</f>
        <v>597</v>
      </c>
      <c r="U615" s="28">
        <f>P615+T615</f>
        <v>1194</v>
      </c>
    </row>
    <row r="616" spans="1:24" x14ac:dyDescent="0.15">
      <c r="A616" s="22"/>
      <c r="B616" s="7"/>
      <c r="C616" s="8"/>
      <c r="D616" s="9"/>
      <c r="E616" s="43">
        <f t="shared" ref="E616:E642" si="549">SUM(B616:D616)</f>
        <v>0</v>
      </c>
      <c r="F616" s="11"/>
      <c r="G616" s="8"/>
      <c r="H616" s="9"/>
      <c r="I616" s="43">
        <f t="shared" ref="I616:I642" si="550">SUM(F616:H616)</f>
        <v>0</v>
      </c>
      <c r="J616" s="10">
        <f t="shared" ref="J616:J641" si="551">E616+I616</f>
        <v>0</v>
      </c>
      <c r="L616" s="22" t="s">
        <v>114</v>
      </c>
      <c r="M616" s="12">
        <v>3</v>
      </c>
      <c r="N616" s="13">
        <v>2</v>
      </c>
      <c r="O616" s="14">
        <v>6</v>
      </c>
      <c r="P616" s="43">
        <f t="shared" ref="P616:P642" si="552">SUM(M616:O616)</f>
        <v>11</v>
      </c>
      <c r="Q616" s="15">
        <v>3</v>
      </c>
      <c r="R616" s="13">
        <v>2</v>
      </c>
      <c r="S616" s="14">
        <v>6</v>
      </c>
      <c r="T616" s="43">
        <f t="shared" ref="T616:T642" si="553">SUM(Q616:S616)</f>
        <v>11</v>
      </c>
      <c r="U616" s="10">
        <f t="shared" ref="U616:U641" si="554">P616+T616</f>
        <v>22</v>
      </c>
      <c r="V616" s="56">
        <v>46017</v>
      </c>
    </row>
    <row r="617" spans="1:24" x14ac:dyDescent="0.15">
      <c r="A617" s="22"/>
      <c r="B617" s="7"/>
      <c r="C617" s="8"/>
      <c r="D617" s="9"/>
      <c r="E617" s="43">
        <f t="shared" si="549"/>
        <v>0</v>
      </c>
      <c r="F617" s="11"/>
      <c r="G617" s="8"/>
      <c r="H617" s="9"/>
      <c r="I617" s="43">
        <f t="shared" si="550"/>
        <v>0</v>
      </c>
      <c r="J617" s="10">
        <f t="shared" si="551"/>
        <v>0</v>
      </c>
      <c r="L617" s="22" t="s">
        <v>116</v>
      </c>
      <c r="M617" s="12">
        <v>3</v>
      </c>
      <c r="N617" s="13">
        <v>4</v>
      </c>
      <c r="O617" s="14">
        <v>7</v>
      </c>
      <c r="P617" s="43">
        <f t="shared" si="552"/>
        <v>14</v>
      </c>
      <c r="Q617" s="15">
        <v>3</v>
      </c>
      <c r="R617" s="13">
        <v>4</v>
      </c>
      <c r="S617" s="14">
        <v>7</v>
      </c>
      <c r="T617" s="43">
        <f t="shared" si="553"/>
        <v>14</v>
      </c>
      <c r="U617" s="10">
        <f t="shared" si="554"/>
        <v>28</v>
      </c>
      <c r="V617" s="56">
        <v>46017</v>
      </c>
    </row>
    <row r="618" spans="1:24" x14ac:dyDescent="0.15">
      <c r="A618" s="22"/>
      <c r="B618" s="7"/>
      <c r="C618" s="8"/>
      <c r="D618" s="9"/>
      <c r="E618" s="43">
        <f t="shared" si="549"/>
        <v>0</v>
      </c>
      <c r="F618" s="11"/>
      <c r="G618" s="8"/>
      <c r="H618" s="9"/>
      <c r="I618" s="43">
        <f t="shared" si="550"/>
        <v>0</v>
      </c>
      <c r="J618" s="10">
        <f t="shared" si="551"/>
        <v>0</v>
      </c>
      <c r="L618" s="22" t="s">
        <v>118</v>
      </c>
      <c r="M618" s="12">
        <v>11</v>
      </c>
      <c r="N618" s="13">
        <v>9</v>
      </c>
      <c r="O618" s="14">
        <v>6</v>
      </c>
      <c r="P618" s="43">
        <f t="shared" si="552"/>
        <v>26</v>
      </c>
      <c r="Q618" s="15">
        <v>11</v>
      </c>
      <c r="R618" s="13">
        <v>9</v>
      </c>
      <c r="S618" s="14">
        <v>6</v>
      </c>
      <c r="T618" s="43">
        <f t="shared" si="553"/>
        <v>26</v>
      </c>
      <c r="U618" s="10">
        <f t="shared" si="554"/>
        <v>52</v>
      </c>
      <c r="V618" s="56">
        <v>46029</v>
      </c>
      <c r="W618" s="61"/>
      <c r="X618" s="61"/>
    </row>
    <row r="619" spans="1:24" x14ac:dyDescent="0.15">
      <c r="A619" s="22"/>
      <c r="B619" s="7"/>
      <c r="C619" s="8"/>
      <c r="D619" s="9"/>
      <c r="E619" s="43">
        <f t="shared" si="549"/>
        <v>0</v>
      </c>
      <c r="F619" s="11"/>
      <c r="G619" s="8"/>
      <c r="H619" s="9"/>
      <c r="I619" s="43">
        <f t="shared" si="550"/>
        <v>0</v>
      </c>
      <c r="J619" s="10">
        <f t="shared" si="551"/>
        <v>0</v>
      </c>
      <c r="L619" s="22" t="s">
        <v>120</v>
      </c>
      <c r="M619" s="12">
        <v>5</v>
      </c>
      <c r="N619" s="13"/>
      <c r="O619" s="14">
        <v>2</v>
      </c>
      <c r="P619" s="43">
        <f t="shared" si="552"/>
        <v>7</v>
      </c>
      <c r="Q619" s="15">
        <v>5</v>
      </c>
      <c r="R619" s="13"/>
      <c r="S619" s="14">
        <v>2</v>
      </c>
      <c r="T619" s="43">
        <f t="shared" si="553"/>
        <v>7</v>
      </c>
      <c r="U619" s="10">
        <f t="shared" si="554"/>
        <v>14</v>
      </c>
      <c r="V619" s="56">
        <v>46030</v>
      </c>
    </row>
    <row r="620" spans="1:24" x14ac:dyDescent="0.15">
      <c r="A620" s="22"/>
      <c r="B620" s="7"/>
      <c r="C620" s="8"/>
      <c r="D620" s="9"/>
      <c r="E620" s="43">
        <f t="shared" si="549"/>
        <v>0</v>
      </c>
      <c r="F620" s="11"/>
      <c r="G620" s="8"/>
      <c r="H620" s="9"/>
      <c r="I620" s="43">
        <f t="shared" si="550"/>
        <v>0</v>
      </c>
      <c r="J620" s="10">
        <f t="shared" si="551"/>
        <v>0</v>
      </c>
      <c r="L620" s="22" t="s">
        <v>122</v>
      </c>
      <c r="M620" s="12"/>
      <c r="N620" s="13">
        <v>4</v>
      </c>
      <c r="O620" s="14">
        <v>1</v>
      </c>
      <c r="P620" s="43">
        <f t="shared" si="552"/>
        <v>5</v>
      </c>
      <c r="Q620" s="15"/>
      <c r="R620" s="13">
        <v>4</v>
      </c>
      <c r="S620" s="14">
        <v>1</v>
      </c>
      <c r="T620" s="43">
        <f t="shared" si="553"/>
        <v>5</v>
      </c>
      <c r="U620" s="10">
        <f t="shared" si="554"/>
        <v>10</v>
      </c>
      <c r="V620" s="56">
        <v>46031</v>
      </c>
    </row>
    <row r="621" spans="1:24" x14ac:dyDescent="0.15">
      <c r="A621" s="22"/>
      <c r="B621" s="7"/>
      <c r="C621" s="8"/>
      <c r="D621" s="9"/>
      <c r="E621" s="43">
        <f t="shared" si="549"/>
        <v>0</v>
      </c>
      <c r="F621" s="11"/>
      <c r="G621" s="8"/>
      <c r="H621" s="9"/>
      <c r="I621" s="43">
        <f t="shared" si="550"/>
        <v>0</v>
      </c>
      <c r="J621" s="10">
        <f t="shared" si="551"/>
        <v>0</v>
      </c>
      <c r="L621" s="22" t="s">
        <v>123</v>
      </c>
      <c r="M621" s="12"/>
      <c r="N621" s="13">
        <v>4</v>
      </c>
      <c r="O621" s="14">
        <v>2</v>
      </c>
      <c r="P621" s="43">
        <f t="shared" si="552"/>
        <v>6</v>
      </c>
      <c r="Q621" s="15"/>
      <c r="R621" s="13">
        <v>4</v>
      </c>
      <c r="S621" s="14">
        <v>2</v>
      </c>
      <c r="T621" s="43">
        <f t="shared" si="553"/>
        <v>6</v>
      </c>
      <c r="U621" s="10">
        <f t="shared" si="554"/>
        <v>12</v>
      </c>
      <c r="V621" s="56">
        <v>46031</v>
      </c>
    </row>
    <row r="622" spans="1:24" x14ac:dyDescent="0.15">
      <c r="A622" s="22"/>
      <c r="B622" s="7"/>
      <c r="C622" s="8"/>
      <c r="D622" s="9"/>
      <c r="E622" s="43">
        <f t="shared" si="549"/>
        <v>0</v>
      </c>
      <c r="F622" s="11"/>
      <c r="G622" s="8"/>
      <c r="H622" s="9"/>
      <c r="I622" s="43">
        <f t="shared" si="550"/>
        <v>0</v>
      </c>
      <c r="J622" s="10">
        <f t="shared" si="551"/>
        <v>0</v>
      </c>
      <c r="L622" s="22" t="s">
        <v>125</v>
      </c>
      <c r="M622" s="12">
        <v>2</v>
      </c>
      <c r="N622" s="13">
        <v>1</v>
      </c>
      <c r="O622" s="14"/>
      <c r="P622" s="43">
        <f t="shared" si="552"/>
        <v>3</v>
      </c>
      <c r="Q622" s="15">
        <v>2</v>
      </c>
      <c r="R622" s="13">
        <v>1</v>
      </c>
      <c r="S622" s="14"/>
      <c r="T622" s="43">
        <f t="shared" si="553"/>
        <v>3</v>
      </c>
      <c r="U622" s="10">
        <f t="shared" si="554"/>
        <v>6</v>
      </c>
      <c r="V622" s="56">
        <v>46035</v>
      </c>
      <c r="W622" s="61"/>
    </row>
    <row r="623" spans="1:24" x14ac:dyDescent="0.15">
      <c r="A623" s="22"/>
      <c r="B623" s="7"/>
      <c r="C623" s="8"/>
      <c r="D623" s="9"/>
      <c r="E623" s="43">
        <f t="shared" si="549"/>
        <v>0</v>
      </c>
      <c r="F623" s="11"/>
      <c r="G623" s="8"/>
      <c r="H623" s="9"/>
      <c r="I623" s="43">
        <f t="shared" si="550"/>
        <v>0</v>
      </c>
      <c r="J623" s="10">
        <f t="shared" si="551"/>
        <v>0</v>
      </c>
      <c r="L623" s="22" t="s">
        <v>126</v>
      </c>
      <c r="M623" s="12"/>
      <c r="N623" s="13">
        <v>4</v>
      </c>
      <c r="O623" s="14"/>
      <c r="P623" s="43">
        <f t="shared" si="552"/>
        <v>4</v>
      </c>
      <c r="Q623" s="15"/>
      <c r="R623" s="13">
        <v>4</v>
      </c>
      <c r="S623" s="14"/>
      <c r="T623" s="43">
        <f t="shared" si="553"/>
        <v>4</v>
      </c>
      <c r="U623" s="10">
        <f t="shared" si="554"/>
        <v>8</v>
      </c>
      <c r="V623" s="56">
        <v>46037</v>
      </c>
    </row>
    <row r="624" spans="1:24" x14ac:dyDescent="0.15">
      <c r="A624" s="22"/>
      <c r="B624" s="7"/>
      <c r="C624" s="8"/>
      <c r="D624" s="9"/>
      <c r="E624" s="43">
        <f t="shared" si="549"/>
        <v>0</v>
      </c>
      <c r="F624" s="11"/>
      <c r="G624" s="8"/>
      <c r="H624" s="9"/>
      <c r="I624" s="43">
        <f t="shared" si="550"/>
        <v>0</v>
      </c>
      <c r="J624" s="10">
        <f t="shared" si="551"/>
        <v>0</v>
      </c>
      <c r="L624" s="22" t="s">
        <v>128</v>
      </c>
      <c r="M624" s="12"/>
      <c r="N624" s="13">
        <v>1</v>
      </c>
      <c r="O624" s="14"/>
      <c r="P624" s="43">
        <f t="shared" si="552"/>
        <v>1</v>
      </c>
      <c r="Q624" s="15"/>
      <c r="R624" s="13">
        <v>1</v>
      </c>
      <c r="S624" s="14"/>
      <c r="T624" s="43">
        <f t="shared" si="553"/>
        <v>1</v>
      </c>
      <c r="U624" s="10">
        <f t="shared" si="554"/>
        <v>2</v>
      </c>
      <c r="V624" s="56">
        <v>46038</v>
      </c>
      <c r="W624" s="61"/>
    </row>
    <row r="625" spans="1:23" x14ac:dyDescent="0.15">
      <c r="A625" s="22"/>
      <c r="B625" s="12"/>
      <c r="C625" s="13"/>
      <c r="D625" s="14"/>
      <c r="E625" s="43">
        <f t="shared" si="549"/>
        <v>0</v>
      </c>
      <c r="F625" s="15"/>
      <c r="G625" s="13"/>
      <c r="H625" s="14"/>
      <c r="I625" s="43">
        <f t="shared" si="550"/>
        <v>0</v>
      </c>
      <c r="J625" s="10">
        <f t="shared" si="551"/>
        <v>0</v>
      </c>
      <c r="L625" s="22" t="s">
        <v>131</v>
      </c>
      <c r="M625" s="12"/>
      <c r="N625" s="13">
        <v>1</v>
      </c>
      <c r="O625" s="14"/>
      <c r="P625" s="43">
        <f t="shared" si="552"/>
        <v>1</v>
      </c>
      <c r="Q625" s="15"/>
      <c r="R625" s="13">
        <v>1</v>
      </c>
      <c r="S625" s="14"/>
      <c r="T625" s="43">
        <f t="shared" si="553"/>
        <v>1</v>
      </c>
      <c r="U625" s="10">
        <f t="shared" si="554"/>
        <v>2</v>
      </c>
      <c r="V625" s="56">
        <v>46038</v>
      </c>
    </row>
    <row r="626" spans="1:23" x14ac:dyDescent="0.15">
      <c r="A626" s="22"/>
      <c r="B626" s="7"/>
      <c r="C626" s="8"/>
      <c r="D626" s="9"/>
      <c r="E626" s="43">
        <f t="shared" si="549"/>
        <v>0</v>
      </c>
      <c r="F626" s="11"/>
      <c r="G626" s="8"/>
      <c r="H626" s="9"/>
      <c r="I626" s="43">
        <f t="shared" si="550"/>
        <v>0</v>
      </c>
      <c r="J626" s="10">
        <f t="shared" si="551"/>
        <v>0</v>
      </c>
      <c r="L626" s="22" t="s">
        <v>133</v>
      </c>
      <c r="M626" s="12">
        <v>1</v>
      </c>
      <c r="N626" s="13">
        <v>1</v>
      </c>
      <c r="O626" s="14"/>
      <c r="P626" s="43">
        <f t="shared" si="552"/>
        <v>2</v>
      </c>
      <c r="Q626" s="15">
        <v>1</v>
      </c>
      <c r="R626" s="13">
        <v>1</v>
      </c>
      <c r="S626" s="14"/>
      <c r="T626" s="43">
        <f t="shared" si="553"/>
        <v>2</v>
      </c>
      <c r="U626" s="10">
        <f t="shared" si="554"/>
        <v>4</v>
      </c>
      <c r="V626" s="56">
        <v>46043</v>
      </c>
    </row>
    <row r="627" spans="1:23" x14ac:dyDescent="0.15">
      <c r="A627" s="22"/>
      <c r="B627" s="7"/>
      <c r="C627" s="8"/>
      <c r="D627" s="9"/>
      <c r="E627" s="43">
        <f t="shared" si="549"/>
        <v>0</v>
      </c>
      <c r="F627" s="11"/>
      <c r="G627" s="8"/>
      <c r="H627" s="9"/>
      <c r="I627" s="43">
        <f t="shared" si="550"/>
        <v>0</v>
      </c>
      <c r="J627" s="10">
        <f t="shared" si="551"/>
        <v>0</v>
      </c>
      <c r="L627" s="22" t="s">
        <v>135</v>
      </c>
      <c r="M627" s="12"/>
      <c r="N627" s="13">
        <v>1</v>
      </c>
      <c r="O627" s="14"/>
      <c r="P627" s="43">
        <f t="shared" si="552"/>
        <v>1</v>
      </c>
      <c r="Q627" s="15"/>
      <c r="R627" s="13">
        <v>1</v>
      </c>
      <c r="S627" s="14"/>
      <c r="T627" s="43">
        <f t="shared" si="553"/>
        <v>1</v>
      </c>
      <c r="U627" s="10">
        <f t="shared" si="554"/>
        <v>2</v>
      </c>
      <c r="V627" s="56">
        <v>46044</v>
      </c>
    </row>
    <row r="628" spans="1:23" x14ac:dyDescent="0.15">
      <c r="A628" s="22"/>
      <c r="B628" s="7"/>
      <c r="C628" s="8"/>
      <c r="D628" s="9"/>
      <c r="E628" s="43">
        <f t="shared" si="549"/>
        <v>0</v>
      </c>
      <c r="F628" s="11"/>
      <c r="G628" s="8"/>
      <c r="H628" s="9"/>
      <c r="I628" s="43">
        <f t="shared" si="550"/>
        <v>0</v>
      </c>
      <c r="J628" s="10">
        <f t="shared" si="551"/>
        <v>0</v>
      </c>
      <c r="L628" s="22" t="s">
        <v>137</v>
      </c>
      <c r="M628" s="12">
        <v>2</v>
      </c>
      <c r="N628" s="13"/>
      <c r="O628" s="14"/>
      <c r="P628" s="43">
        <f t="shared" si="552"/>
        <v>2</v>
      </c>
      <c r="Q628" s="15">
        <v>2</v>
      </c>
      <c r="R628" s="13"/>
      <c r="S628" s="14"/>
      <c r="T628" s="43">
        <f t="shared" si="553"/>
        <v>2</v>
      </c>
      <c r="U628" s="10">
        <f t="shared" si="554"/>
        <v>4</v>
      </c>
      <c r="V628" s="56">
        <v>46045</v>
      </c>
    </row>
    <row r="629" spans="1:23" x14ac:dyDescent="0.15">
      <c r="A629" s="22"/>
      <c r="B629" s="7"/>
      <c r="C629" s="8"/>
      <c r="D629" s="9"/>
      <c r="E629" s="43">
        <f t="shared" si="549"/>
        <v>0</v>
      </c>
      <c r="F629" s="11"/>
      <c r="G629" s="8"/>
      <c r="H629" s="9"/>
      <c r="I629" s="43">
        <f t="shared" si="550"/>
        <v>0</v>
      </c>
      <c r="J629" s="10">
        <f t="shared" si="551"/>
        <v>0</v>
      </c>
      <c r="L629" s="22" t="s">
        <v>138</v>
      </c>
      <c r="M629" s="12"/>
      <c r="N629" s="13"/>
      <c r="O629" s="14">
        <v>2</v>
      </c>
      <c r="P629" s="43">
        <f t="shared" si="552"/>
        <v>2</v>
      </c>
      <c r="Q629" s="15"/>
      <c r="R629" s="13"/>
      <c r="S629" s="14">
        <v>2</v>
      </c>
      <c r="T629" s="43">
        <f t="shared" si="553"/>
        <v>2</v>
      </c>
      <c r="U629" s="10">
        <f t="shared" si="554"/>
        <v>4</v>
      </c>
      <c r="V629" s="56">
        <v>46051</v>
      </c>
      <c r="W629" s="61"/>
    </row>
    <row r="630" spans="1:23" x14ac:dyDescent="0.15">
      <c r="A630" s="22"/>
      <c r="B630" s="7"/>
      <c r="C630" s="8"/>
      <c r="D630" s="9"/>
      <c r="E630" s="43">
        <f t="shared" si="549"/>
        <v>0</v>
      </c>
      <c r="F630" s="11"/>
      <c r="G630" s="8"/>
      <c r="H630" s="9"/>
      <c r="I630" s="43">
        <f t="shared" si="550"/>
        <v>0</v>
      </c>
      <c r="J630" s="10">
        <f t="shared" si="551"/>
        <v>0</v>
      </c>
      <c r="L630" s="22" t="s">
        <v>142</v>
      </c>
      <c r="M630" s="12">
        <v>1</v>
      </c>
      <c r="N630" s="13"/>
      <c r="O630" s="14">
        <v>5</v>
      </c>
      <c r="P630" s="43">
        <f t="shared" si="552"/>
        <v>6</v>
      </c>
      <c r="Q630" s="15">
        <v>1</v>
      </c>
      <c r="R630" s="13"/>
      <c r="S630" s="14">
        <v>5</v>
      </c>
      <c r="T630" s="43">
        <f t="shared" si="553"/>
        <v>6</v>
      </c>
      <c r="U630" s="10">
        <f t="shared" si="554"/>
        <v>12</v>
      </c>
      <c r="V630" s="56">
        <v>46055</v>
      </c>
    </row>
    <row r="631" spans="1:23" x14ac:dyDescent="0.15">
      <c r="A631" s="22"/>
      <c r="B631" s="7"/>
      <c r="C631" s="8"/>
      <c r="D631" s="9"/>
      <c r="E631" s="43">
        <f t="shared" si="549"/>
        <v>0</v>
      </c>
      <c r="F631" s="11"/>
      <c r="G631" s="8"/>
      <c r="H631" s="9"/>
      <c r="I631" s="43">
        <f t="shared" si="550"/>
        <v>0</v>
      </c>
      <c r="J631" s="10">
        <f t="shared" si="551"/>
        <v>0</v>
      </c>
      <c r="L631" s="22" t="s">
        <v>143</v>
      </c>
      <c r="M631" s="12">
        <v>5</v>
      </c>
      <c r="N631" s="13">
        <v>7</v>
      </c>
      <c r="O631" s="14">
        <v>4</v>
      </c>
      <c r="P631" s="43">
        <f t="shared" si="552"/>
        <v>16</v>
      </c>
      <c r="Q631" s="15">
        <v>5</v>
      </c>
      <c r="R631" s="13">
        <v>7</v>
      </c>
      <c r="S631" s="14">
        <v>4</v>
      </c>
      <c r="T631" s="43">
        <f t="shared" si="553"/>
        <v>16</v>
      </c>
      <c r="U631" s="10">
        <f t="shared" si="554"/>
        <v>32</v>
      </c>
      <c r="V631" s="56">
        <v>46057</v>
      </c>
    </row>
    <row r="632" spans="1:23" x14ac:dyDescent="0.15">
      <c r="A632" s="24"/>
      <c r="B632" s="7"/>
      <c r="C632" s="8"/>
      <c r="D632" s="9"/>
      <c r="E632" s="43">
        <f t="shared" si="549"/>
        <v>0</v>
      </c>
      <c r="F632" s="11"/>
      <c r="G632" s="8"/>
      <c r="H632" s="9"/>
      <c r="I632" s="43">
        <f t="shared" si="550"/>
        <v>0</v>
      </c>
      <c r="J632" s="10">
        <f t="shared" si="551"/>
        <v>0</v>
      </c>
      <c r="L632" s="22" t="s">
        <v>147</v>
      </c>
      <c r="M632" s="12">
        <v>8</v>
      </c>
      <c r="N632" s="13">
        <v>2</v>
      </c>
      <c r="O632" s="14">
        <v>2</v>
      </c>
      <c r="P632" s="43">
        <f t="shared" si="552"/>
        <v>12</v>
      </c>
      <c r="Q632" s="15">
        <v>8</v>
      </c>
      <c r="R632" s="13">
        <v>2</v>
      </c>
      <c r="S632" s="14">
        <v>2</v>
      </c>
      <c r="T632" s="43">
        <f t="shared" si="553"/>
        <v>12</v>
      </c>
      <c r="U632" s="10">
        <f t="shared" si="554"/>
        <v>24</v>
      </c>
      <c r="V632" s="56">
        <v>46058</v>
      </c>
    </row>
    <row r="633" spans="1:23" x14ac:dyDescent="0.15">
      <c r="A633" s="22"/>
      <c r="B633" s="7"/>
      <c r="C633" s="8"/>
      <c r="D633" s="9"/>
      <c r="E633" s="43">
        <f t="shared" si="549"/>
        <v>0</v>
      </c>
      <c r="F633" s="11"/>
      <c r="G633" s="8"/>
      <c r="H633" s="9"/>
      <c r="I633" s="43">
        <f t="shared" si="550"/>
        <v>0</v>
      </c>
      <c r="J633" s="10">
        <f t="shared" si="551"/>
        <v>0</v>
      </c>
      <c r="L633" s="22" t="s">
        <v>149</v>
      </c>
      <c r="M633" s="12"/>
      <c r="N633" s="13">
        <v>4</v>
      </c>
      <c r="O633" s="14">
        <v>3</v>
      </c>
      <c r="P633" s="43">
        <f t="shared" si="552"/>
        <v>7</v>
      </c>
      <c r="Q633" s="15"/>
      <c r="R633" s="13">
        <v>4</v>
      </c>
      <c r="S633" s="14">
        <v>3</v>
      </c>
      <c r="T633" s="43">
        <f t="shared" si="553"/>
        <v>7</v>
      </c>
      <c r="U633" s="10">
        <f t="shared" si="554"/>
        <v>14</v>
      </c>
      <c r="V633" s="56">
        <v>46059</v>
      </c>
    </row>
    <row r="634" spans="1:23" x14ac:dyDescent="0.15">
      <c r="A634" s="23"/>
      <c r="B634" s="7"/>
      <c r="C634" s="8"/>
      <c r="D634" s="9"/>
      <c r="E634" s="43">
        <f t="shared" si="549"/>
        <v>0</v>
      </c>
      <c r="F634" s="11"/>
      <c r="G634" s="8"/>
      <c r="H634" s="9"/>
      <c r="I634" s="43">
        <f t="shared" si="550"/>
        <v>0</v>
      </c>
      <c r="J634" s="10">
        <f t="shared" si="551"/>
        <v>0</v>
      </c>
      <c r="L634" s="22" t="s">
        <v>156</v>
      </c>
      <c r="M634" s="12"/>
      <c r="N634" s="13">
        <v>2</v>
      </c>
      <c r="O634" s="14">
        <v>4</v>
      </c>
      <c r="P634" s="43">
        <f t="shared" si="552"/>
        <v>6</v>
      </c>
      <c r="Q634" s="15"/>
      <c r="R634" s="13">
        <v>2</v>
      </c>
      <c r="S634" s="14">
        <v>4</v>
      </c>
      <c r="T634" s="43">
        <f t="shared" si="553"/>
        <v>6</v>
      </c>
      <c r="U634" s="10">
        <f t="shared" si="554"/>
        <v>12</v>
      </c>
      <c r="V634" s="56">
        <v>46059</v>
      </c>
    </row>
    <row r="635" spans="1:23" x14ac:dyDescent="0.15">
      <c r="A635" s="22"/>
      <c r="B635" s="7"/>
      <c r="C635" s="8"/>
      <c r="D635" s="9"/>
      <c r="E635" s="43">
        <f t="shared" si="549"/>
        <v>0</v>
      </c>
      <c r="F635" s="11"/>
      <c r="G635" s="8"/>
      <c r="H635" s="9"/>
      <c r="I635" s="43">
        <f t="shared" si="550"/>
        <v>0</v>
      </c>
      <c r="J635" s="10">
        <f t="shared" si="551"/>
        <v>0</v>
      </c>
      <c r="L635" s="22" t="s">
        <v>289</v>
      </c>
      <c r="M635" s="12">
        <v>1</v>
      </c>
      <c r="N635" s="13">
        <v>1</v>
      </c>
      <c r="O635" s="14">
        <v>1</v>
      </c>
      <c r="P635" s="43">
        <f t="shared" si="552"/>
        <v>3</v>
      </c>
      <c r="Q635" s="15">
        <v>1</v>
      </c>
      <c r="R635" s="13">
        <v>1</v>
      </c>
      <c r="S635" s="14">
        <v>1</v>
      </c>
      <c r="T635" s="43">
        <f t="shared" si="553"/>
        <v>3</v>
      </c>
      <c r="U635" s="10">
        <f t="shared" si="554"/>
        <v>6</v>
      </c>
      <c r="V635" s="56">
        <v>46062</v>
      </c>
    </row>
    <row r="636" spans="1:23" x14ac:dyDescent="0.15">
      <c r="A636" s="24"/>
      <c r="B636" s="7"/>
      <c r="C636" s="8"/>
      <c r="D636" s="9"/>
      <c r="E636" s="43">
        <f t="shared" si="549"/>
        <v>0</v>
      </c>
      <c r="F636" s="11"/>
      <c r="G636" s="8"/>
      <c r="H636" s="9"/>
      <c r="I636" s="43">
        <f t="shared" si="550"/>
        <v>0</v>
      </c>
      <c r="J636" s="10">
        <f t="shared" si="551"/>
        <v>0</v>
      </c>
      <c r="L636" s="22" t="s">
        <v>302</v>
      </c>
      <c r="M636" s="12">
        <v>1</v>
      </c>
      <c r="N636" s="13"/>
      <c r="O636" s="14">
        <v>2</v>
      </c>
      <c r="P636" s="43">
        <f t="shared" si="552"/>
        <v>3</v>
      </c>
      <c r="Q636" s="15">
        <v>1</v>
      </c>
      <c r="R636" s="13"/>
      <c r="S636" s="14">
        <v>2</v>
      </c>
      <c r="T636" s="43">
        <f t="shared" si="553"/>
        <v>3</v>
      </c>
      <c r="U636" s="10">
        <f t="shared" si="554"/>
        <v>6</v>
      </c>
      <c r="V636" s="56">
        <v>46063</v>
      </c>
    </row>
    <row r="637" spans="1:23" x14ac:dyDescent="0.15">
      <c r="A637" s="22"/>
      <c r="B637" s="12"/>
      <c r="C637" s="13"/>
      <c r="D637" s="14"/>
      <c r="E637" s="43">
        <f t="shared" si="549"/>
        <v>0</v>
      </c>
      <c r="F637" s="15"/>
      <c r="G637" s="13"/>
      <c r="H637" s="14"/>
      <c r="I637" s="43">
        <f t="shared" si="550"/>
        <v>0</v>
      </c>
      <c r="J637" s="10">
        <f t="shared" si="551"/>
        <v>0</v>
      </c>
      <c r="L637" s="22" t="s">
        <v>306</v>
      </c>
      <c r="M637" s="12"/>
      <c r="N637" s="13"/>
      <c r="O637" s="14">
        <v>5</v>
      </c>
      <c r="P637" s="43">
        <f t="shared" si="552"/>
        <v>5</v>
      </c>
      <c r="Q637" s="15"/>
      <c r="R637" s="13"/>
      <c r="S637" s="14">
        <v>5</v>
      </c>
      <c r="T637" s="43">
        <f t="shared" si="553"/>
        <v>5</v>
      </c>
      <c r="U637" s="10">
        <f t="shared" si="554"/>
        <v>10</v>
      </c>
      <c r="V637" s="56">
        <v>46065</v>
      </c>
    </row>
    <row r="638" spans="1:23" x14ac:dyDescent="0.15">
      <c r="A638" s="22"/>
      <c r="B638" s="7"/>
      <c r="C638" s="8"/>
      <c r="D638" s="9"/>
      <c r="E638" s="43">
        <f t="shared" si="549"/>
        <v>0</v>
      </c>
      <c r="F638" s="11"/>
      <c r="G638" s="8"/>
      <c r="H638" s="9"/>
      <c r="I638" s="43">
        <f t="shared" si="550"/>
        <v>0</v>
      </c>
      <c r="J638" s="10">
        <f t="shared" si="551"/>
        <v>0</v>
      </c>
      <c r="L638" s="22"/>
      <c r="M638" s="7"/>
      <c r="N638" s="8"/>
      <c r="O638" s="9"/>
      <c r="P638" s="43">
        <f t="shared" si="552"/>
        <v>0</v>
      </c>
      <c r="Q638" s="11"/>
      <c r="R638" s="8"/>
      <c r="S638" s="9"/>
      <c r="T638" s="43">
        <f t="shared" si="553"/>
        <v>0</v>
      </c>
      <c r="U638" s="10">
        <f t="shared" si="554"/>
        <v>0</v>
      </c>
    </row>
    <row r="639" spans="1:23" x14ac:dyDescent="0.15">
      <c r="A639" s="22"/>
      <c r="B639" s="7"/>
      <c r="C639" s="8"/>
      <c r="D639" s="9"/>
      <c r="E639" s="43">
        <f t="shared" si="549"/>
        <v>0</v>
      </c>
      <c r="F639" s="11"/>
      <c r="G639" s="8"/>
      <c r="H639" s="9"/>
      <c r="I639" s="43">
        <f t="shared" si="550"/>
        <v>0</v>
      </c>
      <c r="J639" s="10">
        <f t="shared" si="551"/>
        <v>0</v>
      </c>
      <c r="L639" s="24" t="s">
        <v>432</v>
      </c>
      <c r="M639" s="7"/>
      <c r="N639" s="8"/>
      <c r="O639" s="9"/>
      <c r="P639" s="43">
        <f t="shared" si="552"/>
        <v>0</v>
      </c>
      <c r="Q639" s="7"/>
      <c r="R639" s="8"/>
      <c r="S639" s="9"/>
      <c r="T639" s="43">
        <f t="shared" si="553"/>
        <v>0</v>
      </c>
      <c r="U639" s="10">
        <f t="shared" si="554"/>
        <v>0</v>
      </c>
      <c r="V639" s="61" t="s">
        <v>433</v>
      </c>
    </row>
    <row r="640" spans="1:23" x14ac:dyDescent="0.15">
      <c r="A640" s="22"/>
      <c r="B640" s="7"/>
      <c r="C640" s="8"/>
      <c r="D640" s="9"/>
      <c r="E640" s="43">
        <f t="shared" si="549"/>
        <v>0</v>
      </c>
      <c r="F640" s="11"/>
      <c r="G640" s="8"/>
      <c r="H640" s="9"/>
      <c r="I640" s="43">
        <f t="shared" si="550"/>
        <v>0</v>
      </c>
      <c r="J640" s="10">
        <f t="shared" si="551"/>
        <v>0</v>
      </c>
      <c r="L640" s="24" t="s">
        <v>438</v>
      </c>
      <c r="M640" s="7"/>
      <c r="N640" s="8"/>
      <c r="O640" s="9"/>
      <c r="P640" s="43">
        <f t="shared" ref="P640" si="555">SUM(M640:O640)</f>
        <v>0</v>
      </c>
      <c r="Q640" s="7"/>
      <c r="R640" s="8"/>
      <c r="S640" s="9"/>
      <c r="T640" s="43">
        <f t="shared" ref="T640" si="556">SUM(Q640:S640)</f>
        <v>0</v>
      </c>
      <c r="U640" s="10">
        <f t="shared" ref="U640" si="557">P640+T640</f>
        <v>0</v>
      </c>
      <c r="V640" s="61" t="s">
        <v>437</v>
      </c>
    </row>
    <row r="641" spans="1:22" ht="14.25" thickBot="1" x14ac:dyDescent="0.2">
      <c r="A641" s="22"/>
      <c r="B641" s="7"/>
      <c r="C641" s="8"/>
      <c r="D641" s="9"/>
      <c r="E641" s="43">
        <f t="shared" si="549"/>
        <v>0</v>
      </c>
      <c r="F641" s="11"/>
      <c r="G641" s="8"/>
      <c r="H641" s="9"/>
      <c r="I641" s="43">
        <f t="shared" si="550"/>
        <v>0</v>
      </c>
      <c r="J641" s="10">
        <f t="shared" si="551"/>
        <v>0</v>
      </c>
      <c r="L641" s="24" t="s">
        <v>440</v>
      </c>
      <c r="M641" s="7"/>
      <c r="N641" s="8"/>
      <c r="O641" s="9"/>
      <c r="P641" s="43">
        <f t="shared" si="552"/>
        <v>0</v>
      </c>
      <c r="Q641" s="7"/>
      <c r="R641" s="8"/>
      <c r="S641" s="9"/>
      <c r="T641" s="43">
        <f t="shared" si="553"/>
        <v>0</v>
      </c>
      <c r="U641" s="10">
        <f t="shared" si="554"/>
        <v>0</v>
      </c>
      <c r="V641" s="56" t="s">
        <v>441</v>
      </c>
    </row>
    <row r="642" spans="1:22" ht="14.25" thickBot="1" x14ac:dyDescent="0.2">
      <c r="A642" s="35" t="s">
        <v>17</v>
      </c>
      <c r="B642" s="40">
        <f>SUM(B616:B641)</f>
        <v>0</v>
      </c>
      <c r="C642" s="41">
        <f t="shared" ref="C642:D642" si="558">SUM(C616:C641)</f>
        <v>0</v>
      </c>
      <c r="D642" s="52">
        <f t="shared" si="558"/>
        <v>0</v>
      </c>
      <c r="E642" s="39">
        <f t="shared" si="549"/>
        <v>0</v>
      </c>
      <c r="F642" s="40">
        <f>SUM(F616:F641)</f>
        <v>0</v>
      </c>
      <c r="G642" s="41">
        <f t="shared" ref="G642:H642" si="559">SUM(G616:G641)</f>
        <v>0</v>
      </c>
      <c r="H642" s="52">
        <f t="shared" si="559"/>
        <v>0</v>
      </c>
      <c r="I642" s="39">
        <f t="shared" si="550"/>
        <v>0</v>
      </c>
      <c r="J642" s="39">
        <f>E642+I642</f>
        <v>0</v>
      </c>
      <c r="L642" s="35" t="s">
        <v>17</v>
      </c>
      <c r="M642" s="40">
        <f>SUM(M616:M641)</f>
        <v>43</v>
      </c>
      <c r="N642" s="41">
        <f t="shared" ref="N642:O642" si="560">SUM(N616:N641)</f>
        <v>48</v>
      </c>
      <c r="O642" s="52">
        <f t="shared" si="560"/>
        <v>52</v>
      </c>
      <c r="P642" s="39">
        <f t="shared" si="552"/>
        <v>143</v>
      </c>
      <c r="Q642" s="40">
        <f>SUM(Q616:Q641)</f>
        <v>43</v>
      </c>
      <c r="R642" s="41">
        <f t="shared" ref="R642:S642" si="561">SUM(R616:R641)</f>
        <v>48</v>
      </c>
      <c r="S642" s="52">
        <f t="shared" si="561"/>
        <v>52</v>
      </c>
      <c r="T642" s="39">
        <f t="shared" si="553"/>
        <v>143</v>
      </c>
      <c r="U642" s="39">
        <f>P642+T642</f>
        <v>286</v>
      </c>
    </row>
    <row r="643" spans="1:22" ht="14.25" thickBot="1" x14ac:dyDescent="0.2">
      <c r="A643" s="21" t="s">
        <v>16</v>
      </c>
      <c r="B643" s="44">
        <f>B615-B642</f>
        <v>9</v>
      </c>
      <c r="C643" s="50">
        <f t="shared" ref="C643:D643" si="562">C615-C642</f>
        <v>6</v>
      </c>
      <c r="D643" s="51">
        <f t="shared" si="562"/>
        <v>1</v>
      </c>
      <c r="E643" s="49">
        <f>SUM(B643:D643)</f>
        <v>16</v>
      </c>
      <c r="F643" s="44">
        <f>F615-F642</f>
        <v>9</v>
      </c>
      <c r="G643" s="50">
        <f t="shared" ref="G643:H643" si="563">G615-G642</f>
        <v>6</v>
      </c>
      <c r="H643" s="51">
        <f t="shared" si="563"/>
        <v>1</v>
      </c>
      <c r="I643" s="49">
        <f>SUM(F643:H643)</f>
        <v>16</v>
      </c>
      <c r="J643" s="28">
        <f>E643+I643</f>
        <v>32</v>
      </c>
      <c r="L643" s="21" t="s">
        <v>16</v>
      </c>
      <c r="M643" s="44">
        <f>M615-M642</f>
        <v>151</v>
      </c>
      <c r="N643" s="50">
        <f t="shared" ref="N643:O643" si="564">N615-N642</f>
        <v>168</v>
      </c>
      <c r="O643" s="51">
        <f t="shared" si="564"/>
        <v>135</v>
      </c>
      <c r="P643" s="49">
        <f>SUM(M643:O643)</f>
        <v>454</v>
      </c>
      <c r="Q643" s="44">
        <f>Q615-Q642</f>
        <v>151</v>
      </c>
      <c r="R643" s="50">
        <f t="shared" ref="R643:S643" si="565">R615-R642</f>
        <v>168</v>
      </c>
      <c r="S643" s="51">
        <f t="shared" si="565"/>
        <v>135</v>
      </c>
      <c r="T643" s="49">
        <f>SUM(Q643:S643)</f>
        <v>454</v>
      </c>
      <c r="U643" s="28">
        <f>P643+T643</f>
        <v>908</v>
      </c>
    </row>
    <row r="644" spans="1:22" x14ac:dyDescent="0.15">
      <c r="L644" s="95" t="s">
        <v>458</v>
      </c>
      <c r="M644" s="95">
        <f>M685+M642+M599+M556</f>
        <v>177</v>
      </c>
      <c r="N644" s="95">
        <f t="shared" ref="N644:U644" si="566">N685+N642+N599+N556</f>
        <v>242</v>
      </c>
      <c r="O644" s="95">
        <f t="shared" si="566"/>
        <v>178</v>
      </c>
      <c r="P644" s="95">
        <f t="shared" si="566"/>
        <v>597</v>
      </c>
      <c r="Q644">
        <f t="shared" si="566"/>
        <v>177</v>
      </c>
      <c r="R644">
        <f t="shared" si="566"/>
        <v>242</v>
      </c>
      <c r="S644">
        <f t="shared" si="566"/>
        <v>178</v>
      </c>
      <c r="T644">
        <f t="shared" si="566"/>
        <v>597</v>
      </c>
      <c r="U644">
        <f t="shared" si="566"/>
        <v>1194</v>
      </c>
    </row>
    <row r="645" spans="1:22" x14ac:dyDescent="0.15">
      <c r="L645" s="97" t="s">
        <v>457</v>
      </c>
      <c r="M645" s="89">
        <f>M644/$P$644*100</f>
        <v>29.64824120603015</v>
      </c>
      <c r="N645" s="89">
        <f t="shared" ref="N645:P645" si="567">N644/$P$644*100</f>
        <v>40.536013400335008</v>
      </c>
      <c r="O645" s="89">
        <f t="shared" si="567"/>
        <v>29.815745393634842</v>
      </c>
      <c r="P645" s="89">
        <f t="shared" si="567"/>
        <v>100</v>
      </c>
    </row>
    <row r="646" spans="1:22" ht="19.5" thickBot="1" x14ac:dyDescent="0.25">
      <c r="A646" s="84" t="s">
        <v>31</v>
      </c>
      <c r="B646" s="85"/>
      <c r="C646" s="85"/>
      <c r="D646" s="85"/>
      <c r="E646" s="85"/>
      <c r="F646" s="85"/>
      <c r="G646" s="85"/>
      <c r="H646" s="85"/>
      <c r="I646" s="85"/>
      <c r="J646" s="85"/>
      <c r="L646" s="82" t="s">
        <v>32</v>
      </c>
      <c r="M646" s="83"/>
      <c r="N646" s="83"/>
      <c r="O646" s="83"/>
      <c r="P646" s="83"/>
      <c r="Q646" s="83"/>
      <c r="R646" s="83"/>
      <c r="S646" s="83"/>
      <c r="T646" s="83"/>
      <c r="U646" s="83">
        <v>1040</v>
      </c>
    </row>
    <row r="647" spans="1:22" ht="14.25" thickBot="1" x14ac:dyDescent="0.2">
      <c r="A647" s="6"/>
      <c r="B647" s="159" t="s">
        <v>33</v>
      </c>
      <c r="C647" s="160"/>
      <c r="D647" s="160"/>
      <c r="E647" s="161"/>
      <c r="F647" s="159" t="s">
        <v>22</v>
      </c>
      <c r="G647" s="160"/>
      <c r="H647" s="160"/>
      <c r="I647" s="162"/>
      <c r="J647" s="157" t="s">
        <v>0</v>
      </c>
      <c r="L647" s="6"/>
      <c r="M647" s="159" t="s">
        <v>33</v>
      </c>
      <c r="N647" s="160"/>
      <c r="O647" s="160"/>
      <c r="P647" s="161"/>
      <c r="Q647" s="146" t="s">
        <v>22</v>
      </c>
      <c r="R647" s="147"/>
      <c r="S647" s="147"/>
      <c r="T647" s="148"/>
      <c r="U647" s="157" t="s">
        <v>0</v>
      </c>
    </row>
    <row r="648" spans="1:22" ht="14.25" thickBot="1" x14ac:dyDescent="0.2">
      <c r="A648" s="6" t="s">
        <v>1</v>
      </c>
      <c r="B648" s="3" t="s">
        <v>2</v>
      </c>
      <c r="C648" s="4" t="s">
        <v>3</v>
      </c>
      <c r="D648" s="5" t="s">
        <v>4</v>
      </c>
      <c r="E648" s="6" t="s">
        <v>5</v>
      </c>
      <c r="F648" s="3" t="s">
        <v>2</v>
      </c>
      <c r="G648" s="4" t="s">
        <v>3</v>
      </c>
      <c r="H648" s="5" t="s">
        <v>4</v>
      </c>
      <c r="I648" s="6" t="s">
        <v>5</v>
      </c>
      <c r="J648" s="158"/>
      <c r="L648" s="6" t="s">
        <v>1</v>
      </c>
      <c r="M648" s="3" t="s">
        <v>2</v>
      </c>
      <c r="N648" s="4" t="s">
        <v>3</v>
      </c>
      <c r="O648" s="5" t="s">
        <v>4</v>
      </c>
      <c r="P648" s="6" t="s">
        <v>5</v>
      </c>
      <c r="Q648" s="3" t="s">
        <v>2</v>
      </c>
      <c r="R648" s="4" t="s">
        <v>3</v>
      </c>
      <c r="S648" s="5" t="s">
        <v>4</v>
      </c>
      <c r="T648" s="6" t="s">
        <v>5</v>
      </c>
      <c r="U648" s="158"/>
    </row>
    <row r="649" spans="1:22" ht="14.25" thickBot="1" x14ac:dyDescent="0.2">
      <c r="A649" s="66" t="s">
        <v>6</v>
      </c>
      <c r="B649" s="25">
        <f>B643</f>
        <v>9</v>
      </c>
      <c r="C649" s="26">
        <f>C643</f>
        <v>6</v>
      </c>
      <c r="D649" s="27">
        <f>D643</f>
        <v>1</v>
      </c>
      <c r="E649" s="28">
        <f>SUM(B649:D649)</f>
        <v>16</v>
      </c>
      <c r="F649" s="25">
        <f>F643</f>
        <v>9</v>
      </c>
      <c r="G649" s="26">
        <f>G643</f>
        <v>6</v>
      </c>
      <c r="H649" s="27">
        <f>H643</f>
        <v>1</v>
      </c>
      <c r="I649" s="28">
        <f>SUM(F649:H649)</f>
        <v>16</v>
      </c>
      <c r="J649" s="28">
        <f>E649+I649</f>
        <v>32</v>
      </c>
      <c r="L649" s="66" t="s">
        <v>6</v>
      </c>
      <c r="M649" s="25">
        <f>M643</f>
        <v>151</v>
      </c>
      <c r="N649" s="26">
        <f>N643</f>
        <v>168</v>
      </c>
      <c r="O649" s="27">
        <f>O643</f>
        <v>135</v>
      </c>
      <c r="P649" s="28">
        <f>SUM(M649:O649)</f>
        <v>454</v>
      </c>
      <c r="Q649" s="25">
        <f>Q643</f>
        <v>151</v>
      </c>
      <c r="R649" s="26">
        <f>R643</f>
        <v>168</v>
      </c>
      <c r="S649" s="27">
        <f>S643</f>
        <v>135</v>
      </c>
      <c r="T649" s="28">
        <f>SUM(Q649:S649)</f>
        <v>454</v>
      </c>
      <c r="U649" s="28">
        <f>P649+T649</f>
        <v>908</v>
      </c>
    </row>
    <row r="650" spans="1:22" x14ac:dyDescent="0.15">
      <c r="A650" s="23" t="s">
        <v>260</v>
      </c>
      <c r="B650" s="7"/>
      <c r="C650" s="8">
        <v>1</v>
      </c>
      <c r="D650" s="46"/>
      <c r="E650" s="10">
        <f t="shared" ref="E650:E657" si="568">SUM(B650:D650)</f>
        <v>1</v>
      </c>
      <c r="F650" s="11"/>
      <c r="G650" s="8">
        <v>1</v>
      </c>
      <c r="H650" s="9"/>
      <c r="I650" s="10">
        <f t="shared" ref="I650:I657" si="569">SUM(F650:H650)</f>
        <v>1</v>
      </c>
      <c r="J650" s="10">
        <f t="shared" ref="J650:J657" si="570">E650+I650</f>
        <v>2</v>
      </c>
      <c r="K650" s="58">
        <v>46077</v>
      </c>
      <c r="L650" s="23" t="s">
        <v>444</v>
      </c>
      <c r="M650" s="7">
        <v>9</v>
      </c>
      <c r="N650" s="8">
        <v>6</v>
      </c>
      <c r="O650" s="46">
        <v>1</v>
      </c>
      <c r="P650" s="10">
        <f t="shared" ref="P650:P654" si="571">SUM(M650:O650)</f>
        <v>16</v>
      </c>
      <c r="Q650" s="7">
        <v>9</v>
      </c>
      <c r="R650" s="8">
        <v>6</v>
      </c>
      <c r="S650" s="46">
        <v>1</v>
      </c>
      <c r="T650" s="10">
        <f t="shared" ref="T650:T654" si="572">SUM(Q650:S650)</f>
        <v>16</v>
      </c>
      <c r="U650" s="10">
        <f t="shared" ref="U650:U654" si="573">P650+T650</f>
        <v>32</v>
      </c>
      <c r="V650" s="58">
        <v>46074</v>
      </c>
    </row>
    <row r="651" spans="1:22" x14ac:dyDescent="0.15">
      <c r="A651" s="23" t="s">
        <v>260</v>
      </c>
      <c r="B651" s="7"/>
      <c r="C651" s="8"/>
      <c r="D651" s="46">
        <v>1</v>
      </c>
      <c r="E651" s="10">
        <f t="shared" si="568"/>
        <v>1</v>
      </c>
      <c r="F651" s="11"/>
      <c r="G651" s="8"/>
      <c r="H651" s="9">
        <v>1</v>
      </c>
      <c r="I651" s="10">
        <f t="shared" si="569"/>
        <v>1</v>
      </c>
      <c r="J651" s="10">
        <f t="shared" si="570"/>
        <v>2</v>
      </c>
      <c r="K651" s="58">
        <v>46090</v>
      </c>
      <c r="L651" s="23" t="s">
        <v>444</v>
      </c>
      <c r="M651" s="7"/>
      <c r="N651" s="8">
        <v>1</v>
      </c>
      <c r="O651" s="46">
        <v>1</v>
      </c>
      <c r="P651" s="10">
        <f t="shared" si="571"/>
        <v>2</v>
      </c>
      <c r="Q651" s="7"/>
      <c r="R651" s="8">
        <v>1</v>
      </c>
      <c r="S651" s="46">
        <v>1</v>
      </c>
      <c r="T651" s="10">
        <f t="shared" si="572"/>
        <v>2</v>
      </c>
      <c r="U651" s="10">
        <f t="shared" si="573"/>
        <v>4</v>
      </c>
      <c r="V651" s="58">
        <v>46102</v>
      </c>
    </row>
    <row r="652" spans="1:22" x14ac:dyDescent="0.15">
      <c r="A652" s="132" t="s">
        <v>9</v>
      </c>
      <c r="B652" s="122">
        <v>1</v>
      </c>
      <c r="C652" s="123"/>
      <c r="D652" s="133"/>
      <c r="E652" s="126">
        <f t="shared" si="568"/>
        <v>1</v>
      </c>
      <c r="F652" s="127">
        <v>1</v>
      </c>
      <c r="G652" s="123"/>
      <c r="H652" s="124"/>
      <c r="I652" s="126">
        <f t="shared" si="569"/>
        <v>1</v>
      </c>
      <c r="J652" s="126">
        <f t="shared" si="570"/>
        <v>2</v>
      </c>
      <c r="K652" s="118">
        <v>46120</v>
      </c>
      <c r="L652" s="23" t="s">
        <v>9</v>
      </c>
      <c r="M652" s="7"/>
      <c r="N652" s="8"/>
      <c r="O652" s="46"/>
      <c r="P652" s="10">
        <f t="shared" si="571"/>
        <v>0</v>
      </c>
      <c r="Q652" s="7"/>
      <c r="R652" s="8"/>
      <c r="S652" s="46"/>
      <c r="T652" s="10">
        <f t="shared" si="572"/>
        <v>0</v>
      </c>
      <c r="U652" s="10">
        <f t="shared" si="573"/>
        <v>0</v>
      </c>
    </row>
    <row r="653" spans="1:22" x14ac:dyDescent="0.15">
      <c r="A653" s="23" t="s">
        <v>10</v>
      </c>
      <c r="B653" s="7">
        <v>1</v>
      </c>
      <c r="C653" s="8"/>
      <c r="D653" s="46"/>
      <c r="E653" s="10">
        <f t="shared" si="568"/>
        <v>1</v>
      </c>
      <c r="F653" s="11">
        <v>1</v>
      </c>
      <c r="G653" s="8"/>
      <c r="H653" s="9"/>
      <c r="I653" s="10">
        <f t="shared" si="569"/>
        <v>1</v>
      </c>
      <c r="J653" s="10">
        <f t="shared" si="570"/>
        <v>2</v>
      </c>
      <c r="K653" s="58">
        <v>46144</v>
      </c>
      <c r="L653" s="23" t="s">
        <v>10</v>
      </c>
      <c r="M653" s="7"/>
      <c r="N653" s="8"/>
      <c r="O653" s="46"/>
      <c r="P653" s="10">
        <f t="shared" si="571"/>
        <v>0</v>
      </c>
      <c r="Q653" s="7"/>
      <c r="R653" s="8"/>
      <c r="S653" s="46"/>
      <c r="T653" s="10">
        <f t="shared" si="572"/>
        <v>0</v>
      </c>
      <c r="U653" s="10">
        <f t="shared" si="573"/>
        <v>0</v>
      </c>
    </row>
    <row r="654" spans="1:22" x14ac:dyDescent="0.15">
      <c r="A654" s="23" t="s">
        <v>11</v>
      </c>
      <c r="B654" s="7"/>
      <c r="C654" s="8"/>
      <c r="D654" s="46"/>
      <c r="E654" s="10">
        <f t="shared" si="568"/>
        <v>0</v>
      </c>
      <c r="F654" s="11"/>
      <c r="G654" s="8"/>
      <c r="H654" s="9"/>
      <c r="I654" s="10">
        <f t="shared" si="569"/>
        <v>0</v>
      </c>
      <c r="J654" s="10">
        <f t="shared" si="570"/>
        <v>0</v>
      </c>
      <c r="L654" s="23" t="s">
        <v>11</v>
      </c>
      <c r="M654" s="7"/>
      <c r="N654" s="8"/>
      <c r="O654" s="46"/>
      <c r="P654" s="10">
        <f t="shared" si="571"/>
        <v>0</v>
      </c>
      <c r="Q654" s="7"/>
      <c r="R654" s="8"/>
      <c r="S654" s="46"/>
      <c r="T654" s="10">
        <f t="shared" si="572"/>
        <v>0</v>
      </c>
      <c r="U654" s="10">
        <f t="shared" si="573"/>
        <v>0</v>
      </c>
    </row>
    <row r="655" spans="1:22" x14ac:dyDescent="0.15">
      <c r="A655" s="23" t="s">
        <v>12</v>
      </c>
      <c r="B655" s="7"/>
      <c r="C655" s="8"/>
      <c r="D655" s="46"/>
      <c r="E655" s="10">
        <f t="shared" si="568"/>
        <v>0</v>
      </c>
      <c r="F655" s="11"/>
      <c r="G655" s="8"/>
      <c r="H655" s="9"/>
      <c r="I655" s="10">
        <f t="shared" si="569"/>
        <v>0</v>
      </c>
      <c r="J655" s="10">
        <f t="shared" si="570"/>
        <v>0</v>
      </c>
      <c r="L655" s="23" t="s">
        <v>12</v>
      </c>
      <c r="M655" s="7"/>
      <c r="N655" s="8"/>
      <c r="O655" s="46"/>
      <c r="P655" s="10">
        <f t="shared" ref="P655:P657" si="574">SUM(M655:O655)</f>
        <v>0</v>
      </c>
      <c r="Q655" s="7"/>
      <c r="R655" s="8"/>
      <c r="S655" s="46"/>
      <c r="T655" s="10">
        <f t="shared" ref="T655:T657" si="575">SUM(Q655:S655)</f>
        <v>0</v>
      </c>
      <c r="U655" s="10">
        <f t="shared" ref="U655:U657" si="576">P655+T655</f>
        <v>0</v>
      </c>
    </row>
    <row r="656" spans="1:22" x14ac:dyDescent="0.15">
      <c r="A656" s="23" t="s">
        <v>13</v>
      </c>
      <c r="B656" s="7"/>
      <c r="C656" s="8"/>
      <c r="D656" s="46"/>
      <c r="E656" s="10">
        <f t="shared" si="568"/>
        <v>0</v>
      </c>
      <c r="F656" s="11"/>
      <c r="G656" s="8"/>
      <c r="H656" s="9"/>
      <c r="I656" s="10">
        <f t="shared" si="569"/>
        <v>0</v>
      </c>
      <c r="J656" s="10">
        <f t="shared" si="570"/>
        <v>0</v>
      </c>
      <c r="L656" s="23" t="s">
        <v>13</v>
      </c>
      <c r="M656" s="7"/>
      <c r="N656" s="8"/>
      <c r="O656" s="46"/>
      <c r="P656" s="10">
        <f t="shared" si="574"/>
        <v>0</v>
      </c>
      <c r="Q656" s="11"/>
      <c r="R656" s="8"/>
      <c r="S656" s="9"/>
      <c r="T656" s="10">
        <f t="shared" si="575"/>
        <v>0</v>
      </c>
      <c r="U656" s="10">
        <f t="shared" si="576"/>
        <v>0</v>
      </c>
    </row>
    <row r="657" spans="1:23" ht="14.25" thickBot="1" x14ac:dyDescent="0.2">
      <c r="A657" s="22" t="s">
        <v>14</v>
      </c>
      <c r="B657" s="7"/>
      <c r="C657" s="8"/>
      <c r="D657" s="9"/>
      <c r="E657" s="43">
        <f t="shared" si="568"/>
        <v>0</v>
      </c>
      <c r="F657" s="11"/>
      <c r="G657" s="8"/>
      <c r="H657" s="9"/>
      <c r="I657" s="43">
        <f t="shared" si="569"/>
        <v>0</v>
      </c>
      <c r="J657" s="10">
        <f t="shared" si="570"/>
        <v>0</v>
      </c>
      <c r="L657" s="22" t="s">
        <v>14</v>
      </c>
      <c r="M657" s="7"/>
      <c r="N657" s="8"/>
      <c r="O657" s="9"/>
      <c r="P657" s="43">
        <f t="shared" si="574"/>
        <v>0</v>
      </c>
      <c r="Q657" s="11"/>
      <c r="R657" s="8"/>
      <c r="S657" s="9"/>
      <c r="T657" s="43">
        <f t="shared" si="575"/>
        <v>0</v>
      </c>
      <c r="U657" s="10">
        <f t="shared" si="576"/>
        <v>0</v>
      </c>
    </row>
    <row r="658" spans="1:23" ht="14.25" thickBot="1" x14ac:dyDescent="0.2">
      <c r="A658" s="32" t="s">
        <v>15</v>
      </c>
      <c r="B658" s="25">
        <f>SUM(B649:B657)</f>
        <v>11</v>
      </c>
      <c r="C658" s="26">
        <f>SUM(C649:C657)</f>
        <v>7</v>
      </c>
      <c r="D658" s="27">
        <f>SUM(D649:D657)</f>
        <v>2</v>
      </c>
      <c r="E658" s="28">
        <f>SUM(B658:D658)</f>
        <v>20</v>
      </c>
      <c r="F658" s="25">
        <f>SUM(F649:F657)</f>
        <v>11</v>
      </c>
      <c r="G658" s="26">
        <f>SUM(G649:G657)</f>
        <v>7</v>
      </c>
      <c r="H658" s="27">
        <f>SUM(H649:H657)</f>
        <v>2</v>
      </c>
      <c r="I658" s="28">
        <f>SUM(F658:H658)</f>
        <v>20</v>
      </c>
      <c r="J658" s="28">
        <f>E658+I658</f>
        <v>40</v>
      </c>
      <c r="L658" s="32" t="s">
        <v>15</v>
      </c>
      <c r="M658" s="25">
        <f>SUM(M649:M657)</f>
        <v>160</v>
      </c>
      <c r="N658" s="26">
        <f>SUM(N649:N657)</f>
        <v>175</v>
      </c>
      <c r="O658" s="27">
        <f>SUM(O649:O657)</f>
        <v>137</v>
      </c>
      <c r="P658" s="28">
        <f>SUM(M658:O658)</f>
        <v>472</v>
      </c>
      <c r="Q658" s="25">
        <f>SUM(Q649:Q657)</f>
        <v>160</v>
      </c>
      <c r="R658" s="26">
        <f>SUM(R649:R657)</f>
        <v>175</v>
      </c>
      <c r="S658" s="27">
        <f>SUM(S649:S657)</f>
        <v>137</v>
      </c>
      <c r="T658" s="28">
        <f>SUM(Q658:S658)</f>
        <v>472</v>
      </c>
      <c r="U658" s="28">
        <f>P658+T658</f>
        <v>944</v>
      </c>
    </row>
    <row r="659" spans="1:23" x14ac:dyDescent="0.15">
      <c r="A659" s="22" t="s">
        <v>448</v>
      </c>
      <c r="B659" s="7">
        <v>9</v>
      </c>
      <c r="C659" s="8">
        <v>6</v>
      </c>
      <c r="D659" s="9">
        <v>1</v>
      </c>
      <c r="E659" s="43">
        <f t="shared" ref="E659:E685" si="577">SUM(B659:D659)</f>
        <v>16</v>
      </c>
      <c r="F659" s="11">
        <v>9</v>
      </c>
      <c r="G659" s="8">
        <v>6</v>
      </c>
      <c r="H659" s="9">
        <v>1</v>
      </c>
      <c r="I659" s="43">
        <f t="shared" ref="I659:I685" si="578">SUM(F659:H659)</f>
        <v>16</v>
      </c>
      <c r="J659" s="10">
        <f t="shared" ref="J659:J684" si="579">E659+I659</f>
        <v>32</v>
      </c>
      <c r="K659" s="58">
        <v>46074</v>
      </c>
      <c r="L659" s="22" t="s">
        <v>447</v>
      </c>
      <c r="M659" s="12">
        <v>3</v>
      </c>
      <c r="N659" s="13"/>
      <c r="O659" s="14">
        <v>1</v>
      </c>
      <c r="P659" s="43">
        <f t="shared" ref="P659:P675" si="580">SUM(M659:O659)</f>
        <v>4</v>
      </c>
      <c r="Q659" s="15">
        <v>3</v>
      </c>
      <c r="R659" s="13"/>
      <c r="S659" s="14">
        <v>1</v>
      </c>
      <c r="T659" s="43">
        <f t="shared" ref="T659:T675" si="581">SUM(Q659:S659)</f>
        <v>4</v>
      </c>
      <c r="U659" s="10">
        <f t="shared" ref="U659:U675" si="582">P659+T659</f>
        <v>8</v>
      </c>
      <c r="V659" s="56">
        <v>46066</v>
      </c>
    </row>
    <row r="660" spans="1:23" x14ac:dyDescent="0.15">
      <c r="A660" s="22" t="s">
        <v>314</v>
      </c>
      <c r="B660" s="7"/>
      <c r="C660" s="8">
        <v>1</v>
      </c>
      <c r="D660" s="9">
        <v>1</v>
      </c>
      <c r="E660" s="43">
        <f t="shared" si="577"/>
        <v>2</v>
      </c>
      <c r="F660" s="11"/>
      <c r="G660" s="8">
        <v>1</v>
      </c>
      <c r="H660" s="9">
        <v>1</v>
      </c>
      <c r="I660" s="43">
        <f t="shared" si="578"/>
        <v>2</v>
      </c>
      <c r="J660" s="10">
        <f t="shared" si="579"/>
        <v>4</v>
      </c>
      <c r="K660" s="58">
        <v>46102</v>
      </c>
      <c r="L660" s="22" t="s">
        <v>297</v>
      </c>
      <c r="M660" s="12"/>
      <c r="N660" s="13">
        <v>2</v>
      </c>
      <c r="O660" s="14">
        <v>2</v>
      </c>
      <c r="P660" s="43">
        <f t="shared" si="580"/>
        <v>4</v>
      </c>
      <c r="Q660" s="15"/>
      <c r="R660" s="13">
        <v>2</v>
      </c>
      <c r="S660" s="14">
        <v>2</v>
      </c>
      <c r="T660" s="43">
        <f t="shared" si="581"/>
        <v>4</v>
      </c>
      <c r="U660" s="10">
        <f t="shared" si="582"/>
        <v>8</v>
      </c>
      <c r="V660" s="56">
        <v>46069</v>
      </c>
      <c r="W660" s="61"/>
    </row>
    <row r="661" spans="1:23" x14ac:dyDescent="0.15">
      <c r="A661" s="22"/>
      <c r="B661" s="7"/>
      <c r="C661" s="8"/>
      <c r="D661" s="9"/>
      <c r="E661" s="43">
        <f t="shared" si="577"/>
        <v>0</v>
      </c>
      <c r="F661" s="11"/>
      <c r="G661" s="8"/>
      <c r="H661" s="9"/>
      <c r="I661" s="43">
        <f t="shared" si="578"/>
        <v>0</v>
      </c>
      <c r="J661" s="10">
        <f t="shared" si="579"/>
        <v>0</v>
      </c>
      <c r="L661" s="22" t="s">
        <v>298</v>
      </c>
      <c r="M661" s="12">
        <v>2</v>
      </c>
      <c r="N661" s="13">
        <v>4</v>
      </c>
      <c r="O661" s="14"/>
      <c r="P661" s="43">
        <f t="shared" si="580"/>
        <v>6</v>
      </c>
      <c r="Q661" s="15">
        <v>2</v>
      </c>
      <c r="R661" s="13">
        <v>4</v>
      </c>
      <c r="S661" s="14"/>
      <c r="T661" s="43">
        <f t="shared" si="581"/>
        <v>6</v>
      </c>
      <c r="U661" s="10">
        <f t="shared" si="582"/>
        <v>12</v>
      </c>
      <c r="V661" s="56">
        <v>46071</v>
      </c>
    </row>
    <row r="662" spans="1:23" x14ac:dyDescent="0.15">
      <c r="A662" s="22"/>
      <c r="B662" s="7"/>
      <c r="C662" s="8"/>
      <c r="D662" s="9"/>
      <c r="E662" s="43">
        <f t="shared" si="577"/>
        <v>0</v>
      </c>
      <c r="F662" s="11"/>
      <c r="G662" s="8"/>
      <c r="H662" s="9"/>
      <c r="I662" s="43">
        <f t="shared" si="578"/>
        <v>0</v>
      </c>
      <c r="J662" s="10">
        <f t="shared" si="579"/>
        <v>0</v>
      </c>
      <c r="L662" s="22" t="s">
        <v>356</v>
      </c>
      <c r="M662" s="12">
        <v>2</v>
      </c>
      <c r="N662" s="13"/>
      <c r="O662" s="14"/>
      <c r="P662" s="43">
        <f t="shared" si="580"/>
        <v>2</v>
      </c>
      <c r="Q662" s="15">
        <v>2</v>
      </c>
      <c r="R662" s="13"/>
      <c r="S662" s="14"/>
      <c r="T662" s="43">
        <f t="shared" si="581"/>
        <v>2</v>
      </c>
      <c r="U662" s="10">
        <f t="shared" si="582"/>
        <v>4</v>
      </c>
      <c r="V662" s="56">
        <v>46072</v>
      </c>
    </row>
    <row r="663" spans="1:23" x14ac:dyDescent="0.15">
      <c r="A663" s="22"/>
      <c r="B663" s="7"/>
      <c r="C663" s="8"/>
      <c r="D663" s="9"/>
      <c r="E663" s="43">
        <f t="shared" si="577"/>
        <v>0</v>
      </c>
      <c r="F663" s="11"/>
      <c r="G663" s="8"/>
      <c r="H663" s="9"/>
      <c r="I663" s="43">
        <f t="shared" si="578"/>
        <v>0</v>
      </c>
      <c r="J663" s="10">
        <f t="shared" si="579"/>
        <v>0</v>
      </c>
      <c r="L663" s="22" t="s">
        <v>357</v>
      </c>
      <c r="M663" s="12">
        <v>1</v>
      </c>
      <c r="N663" s="13"/>
      <c r="O663" s="14"/>
      <c r="P663" s="43">
        <f t="shared" si="580"/>
        <v>1</v>
      </c>
      <c r="Q663" s="15">
        <v>1</v>
      </c>
      <c r="R663" s="13"/>
      <c r="S663" s="14"/>
      <c r="T663" s="43">
        <f t="shared" si="581"/>
        <v>1</v>
      </c>
      <c r="U663" s="10">
        <f t="shared" si="582"/>
        <v>2</v>
      </c>
      <c r="V663" s="56">
        <v>46085</v>
      </c>
    </row>
    <row r="664" spans="1:23" x14ac:dyDescent="0.15">
      <c r="A664" s="22"/>
      <c r="B664" s="7"/>
      <c r="C664" s="8"/>
      <c r="D664" s="9"/>
      <c r="E664" s="43">
        <f t="shared" si="577"/>
        <v>0</v>
      </c>
      <c r="F664" s="11"/>
      <c r="G664" s="8"/>
      <c r="H664" s="9"/>
      <c r="I664" s="43">
        <f t="shared" si="578"/>
        <v>0</v>
      </c>
      <c r="J664" s="10">
        <f t="shared" si="579"/>
        <v>0</v>
      </c>
      <c r="L664" s="22" t="s">
        <v>301</v>
      </c>
      <c r="M664" s="12">
        <v>1</v>
      </c>
      <c r="N664" s="13"/>
      <c r="O664" s="14"/>
      <c r="P664" s="43">
        <f t="shared" si="580"/>
        <v>1</v>
      </c>
      <c r="Q664" s="15">
        <v>1</v>
      </c>
      <c r="R664" s="13"/>
      <c r="S664" s="14"/>
      <c r="T664" s="43">
        <f t="shared" si="581"/>
        <v>1</v>
      </c>
      <c r="U664" s="10">
        <f t="shared" si="582"/>
        <v>2</v>
      </c>
      <c r="V664" s="56">
        <v>46086</v>
      </c>
      <c r="W664" s="61"/>
    </row>
    <row r="665" spans="1:23" x14ac:dyDescent="0.15">
      <c r="A665" s="22"/>
      <c r="B665" s="7"/>
      <c r="C665" s="8"/>
      <c r="D665" s="9"/>
      <c r="E665" s="43">
        <f t="shared" si="577"/>
        <v>0</v>
      </c>
      <c r="F665" s="11"/>
      <c r="G665" s="8"/>
      <c r="H665" s="9"/>
      <c r="I665" s="43">
        <f t="shared" si="578"/>
        <v>0</v>
      </c>
      <c r="J665" s="10">
        <f t="shared" si="579"/>
        <v>0</v>
      </c>
      <c r="L665" s="22" t="s">
        <v>361</v>
      </c>
      <c r="M665" s="12"/>
      <c r="N665" s="13"/>
      <c r="O665" s="14">
        <v>1</v>
      </c>
      <c r="P665" s="43">
        <f t="shared" si="580"/>
        <v>1</v>
      </c>
      <c r="Q665" s="15"/>
      <c r="R665" s="13"/>
      <c r="S665" s="14">
        <v>1</v>
      </c>
      <c r="T665" s="43">
        <f t="shared" si="581"/>
        <v>1</v>
      </c>
      <c r="U665" s="10">
        <f t="shared" si="582"/>
        <v>2</v>
      </c>
      <c r="V665" s="56">
        <v>46099</v>
      </c>
    </row>
    <row r="666" spans="1:23" x14ac:dyDescent="0.15">
      <c r="A666" s="22"/>
      <c r="B666" s="7"/>
      <c r="C666" s="8"/>
      <c r="D666" s="9"/>
      <c r="E666" s="43">
        <f t="shared" si="577"/>
        <v>0</v>
      </c>
      <c r="F666" s="11"/>
      <c r="G666" s="8"/>
      <c r="H666" s="9"/>
      <c r="I666" s="43">
        <f t="shared" si="578"/>
        <v>0</v>
      </c>
      <c r="J666" s="10">
        <f t="shared" si="579"/>
        <v>0</v>
      </c>
      <c r="L666" s="22" t="s">
        <v>304</v>
      </c>
      <c r="M666" s="12"/>
      <c r="N666" s="13"/>
      <c r="O666" s="14">
        <v>1</v>
      </c>
      <c r="P666" s="43">
        <f t="shared" si="580"/>
        <v>1</v>
      </c>
      <c r="Q666" s="15"/>
      <c r="R666" s="13"/>
      <c r="S666" s="14">
        <v>1</v>
      </c>
      <c r="T666" s="43">
        <f t="shared" si="581"/>
        <v>1</v>
      </c>
      <c r="U666" s="10">
        <f t="shared" si="582"/>
        <v>2</v>
      </c>
      <c r="V666" s="56">
        <v>46104</v>
      </c>
    </row>
    <row r="667" spans="1:23" x14ac:dyDescent="0.15">
      <c r="A667" s="22"/>
      <c r="B667" s="7"/>
      <c r="C667" s="8"/>
      <c r="D667" s="9"/>
      <c r="E667" s="43">
        <f t="shared" si="577"/>
        <v>0</v>
      </c>
      <c r="F667" s="11"/>
      <c r="G667" s="8"/>
      <c r="H667" s="9"/>
      <c r="I667" s="43">
        <f t="shared" si="578"/>
        <v>0</v>
      </c>
      <c r="J667" s="10">
        <f t="shared" si="579"/>
        <v>0</v>
      </c>
      <c r="L667" s="134" t="s">
        <v>460</v>
      </c>
      <c r="M667" s="135">
        <v>1</v>
      </c>
      <c r="N667" s="136"/>
      <c r="O667" s="137"/>
      <c r="P667" s="125">
        <f t="shared" si="580"/>
        <v>1</v>
      </c>
      <c r="Q667" s="138">
        <v>1</v>
      </c>
      <c r="R667" s="136"/>
      <c r="S667" s="137"/>
      <c r="T667" s="125">
        <f t="shared" si="581"/>
        <v>1</v>
      </c>
      <c r="U667" s="126">
        <f t="shared" si="582"/>
        <v>2</v>
      </c>
      <c r="V667" s="118">
        <v>46120</v>
      </c>
    </row>
    <row r="668" spans="1:23" x14ac:dyDescent="0.15">
      <c r="A668" s="22"/>
      <c r="B668" s="12"/>
      <c r="C668" s="13"/>
      <c r="D668" s="14"/>
      <c r="E668" s="43">
        <f t="shared" si="577"/>
        <v>0</v>
      </c>
      <c r="F668" s="15"/>
      <c r="G668" s="13"/>
      <c r="H668" s="14"/>
      <c r="I668" s="43">
        <f t="shared" si="578"/>
        <v>0</v>
      </c>
      <c r="J668" s="10">
        <f t="shared" si="579"/>
        <v>0</v>
      </c>
      <c r="L668" s="22" t="s">
        <v>462</v>
      </c>
      <c r="M668" s="12">
        <v>1</v>
      </c>
      <c r="N668" s="13"/>
      <c r="O668" s="14"/>
      <c r="P668" s="43">
        <f t="shared" si="580"/>
        <v>1</v>
      </c>
      <c r="Q668" s="15">
        <v>1</v>
      </c>
      <c r="R668" s="13"/>
      <c r="S668" s="14"/>
      <c r="T668" s="43">
        <f t="shared" si="581"/>
        <v>1</v>
      </c>
      <c r="U668" s="10">
        <f t="shared" si="582"/>
        <v>2</v>
      </c>
      <c r="V668" s="56">
        <v>46122</v>
      </c>
    </row>
    <row r="669" spans="1:23" x14ac:dyDescent="0.15">
      <c r="A669" s="22"/>
      <c r="B669" s="7"/>
      <c r="C669" s="8"/>
      <c r="D669" s="9"/>
      <c r="E669" s="43">
        <f t="shared" si="577"/>
        <v>0</v>
      </c>
      <c r="F669" s="11"/>
      <c r="G669" s="8"/>
      <c r="H669" s="9"/>
      <c r="I669" s="43">
        <f t="shared" si="578"/>
        <v>0</v>
      </c>
      <c r="J669" s="10">
        <f t="shared" si="579"/>
        <v>0</v>
      </c>
      <c r="L669" s="22" t="s">
        <v>308</v>
      </c>
      <c r="M669" s="12">
        <v>1</v>
      </c>
      <c r="N669" s="13"/>
      <c r="O669" s="14"/>
      <c r="P669" s="43">
        <f t="shared" si="580"/>
        <v>1</v>
      </c>
      <c r="Q669" s="15">
        <v>1</v>
      </c>
      <c r="R669" s="13"/>
      <c r="S669" s="14"/>
      <c r="T669" s="43">
        <f t="shared" si="581"/>
        <v>1</v>
      </c>
      <c r="U669" s="10">
        <f t="shared" si="582"/>
        <v>2</v>
      </c>
      <c r="V669" s="56">
        <v>46136</v>
      </c>
    </row>
    <row r="670" spans="1:23" x14ac:dyDescent="0.15">
      <c r="A670" s="22"/>
      <c r="B670" s="7"/>
      <c r="C670" s="8"/>
      <c r="D670" s="9"/>
      <c r="E670" s="43">
        <f t="shared" si="577"/>
        <v>0</v>
      </c>
      <c r="F670" s="11"/>
      <c r="G670" s="8"/>
      <c r="H670" s="9"/>
      <c r="I670" s="43">
        <f t="shared" si="578"/>
        <v>0</v>
      </c>
      <c r="J670" s="10">
        <f t="shared" si="579"/>
        <v>0</v>
      </c>
      <c r="L670" s="22" t="s">
        <v>309</v>
      </c>
      <c r="M670" s="12"/>
      <c r="N670" s="13">
        <v>1</v>
      </c>
      <c r="O670" s="14"/>
      <c r="P670" s="43">
        <f t="shared" si="580"/>
        <v>1</v>
      </c>
      <c r="Q670" s="15"/>
      <c r="R670" s="13">
        <v>1</v>
      </c>
      <c r="S670" s="14"/>
      <c r="T670" s="43">
        <f t="shared" si="581"/>
        <v>1</v>
      </c>
      <c r="U670" s="10">
        <f t="shared" si="582"/>
        <v>2</v>
      </c>
      <c r="V670" s="56">
        <v>46142</v>
      </c>
    </row>
    <row r="671" spans="1:23" x14ac:dyDescent="0.15">
      <c r="A671" s="22"/>
      <c r="B671" s="7"/>
      <c r="C671" s="8"/>
      <c r="D671" s="9"/>
      <c r="E671" s="43">
        <f t="shared" si="577"/>
        <v>0</v>
      </c>
      <c r="F671" s="11"/>
      <c r="G671" s="8"/>
      <c r="H671" s="9"/>
      <c r="I671" s="43">
        <f t="shared" si="578"/>
        <v>0</v>
      </c>
      <c r="J671" s="10">
        <f t="shared" si="579"/>
        <v>0</v>
      </c>
      <c r="L671" s="22" t="s">
        <v>473</v>
      </c>
      <c r="M671" s="12">
        <v>1</v>
      </c>
      <c r="N671" s="13"/>
      <c r="O671" s="14"/>
      <c r="P671" s="43">
        <f t="shared" si="580"/>
        <v>1</v>
      </c>
      <c r="Q671" s="15">
        <v>1</v>
      </c>
      <c r="R671" s="13"/>
      <c r="S671" s="14"/>
      <c r="T671" s="43">
        <f t="shared" si="581"/>
        <v>1</v>
      </c>
      <c r="U671" s="10">
        <f t="shared" si="582"/>
        <v>2</v>
      </c>
      <c r="V671" s="58">
        <v>46144</v>
      </c>
    </row>
    <row r="672" spans="1:23" x14ac:dyDescent="0.15">
      <c r="A672" s="22"/>
      <c r="B672" s="7"/>
      <c r="C672" s="8"/>
      <c r="D672" s="9"/>
      <c r="E672" s="43">
        <f t="shared" si="577"/>
        <v>0</v>
      </c>
      <c r="F672" s="11"/>
      <c r="G672" s="8"/>
      <c r="H672" s="9"/>
      <c r="I672" s="43">
        <f t="shared" si="578"/>
        <v>0</v>
      </c>
      <c r="J672" s="10">
        <f t="shared" si="579"/>
        <v>0</v>
      </c>
      <c r="L672" s="175" t="s">
        <v>474</v>
      </c>
      <c r="M672" s="176">
        <v>1</v>
      </c>
      <c r="N672" s="177"/>
      <c r="O672" s="178"/>
      <c r="P672" s="172">
        <f t="shared" si="580"/>
        <v>1</v>
      </c>
      <c r="Q672" s="179">
        <v>1</v>
      </c>
      <c r="R672" s="177"/>
      <c r="S672" s="178"/>
      <c r="T672" s="172">
        <f t="shared" si="581"/>
        <v>1</v>
      </c>
      <c r="U672" s="174">
        <f t="shared" si="582"/>
        <v>2</v>
      </c>
      <c r="V672" s="56">
        <v>46163</v>
      </c>
      <c r="W672" s="61"/>
    </row>
    <row r="673" spans="1:22" x14ac:dyDescent="0.15">
      <c r="A673" s="22"/>
      <c r="B673" s="7"/>
      <c r="C673" s="8"/>
      <c r="D673" s="9"/>
      <c r="E673" s="43">
        <f t="shared" si="577"/>
        <v>0</v>
      </c>
      <c r="F673" s="11"/>
      <c r="G673" s="8"/>
      <c r="H673" s="9"/>
      <c r="I673" s="43">
        <f t="shared" si="578"/>
        <v>0</v>
      </c>
      <c r="J673" s="10">
        <f t="shared" si="579"/>
        <v>0</v>
      </c>
      <c r="L673" s="22"/>
      <c r="M673" s="12"/>
      <c r="N673" s="13"/>
      <c r="O673" s="14"/>
      <c r="P673" s="43">
        <f t="shared" si="580"/>
        <v>0</v>
      </c>
      <c r="Q673" s="15"/>
      <c r="R673" s="13"/>
      <c r="S673" s="14"/>
      <c r="T673" s="43">
        <f t="shared" si="581"/>
        <v>0</v>
      </c>
      <c r="U673" s="10">
        <f t="shared" si="582"/>
        <v>0</v>
      </c>
    </row>
    <row r="674" spans="1:22" x14ac:dyDescent="0.15">
      <c r="A674" s="22"/>
      <c r="B674" s="7"/>
      <c r="C674" s="8"/>
      <c r="D674" s="9"/>
      <c r="E674" s="43">
        <f t="shared" si="577"/>
        <v>0</v>
      </c>
      <c r="F674" s="11"/>
      <c r="G674" s="8"/>
      <c r="H674" s="9"/>
      <c r="I674" s="43">
        <f t="shared" si="578"/>
        <v>0</v>
      </c>
      <c r="J674" s="10">
        <f t="shared" si="579"/>
        <v>0</v>
      </c>
      <c r="L674" s="22"/>
      <c r="M674" s="12"/>
      <c r="N674" s="13"/>
      <c r="O674" s="14"/>
      <c r="P674" s="43">
        <f t="shared" si="580"/>
        <v>0</v>
      </c>
      <c r="Q674" s="15"/>
      <c r="R674" s="13"/>
      <c r="S674" s="14"/>
      <c r="T674" s="43">
        <f t="shared" si="581"/>
        <v>0</v>
      </c>
      <c r="U674" s="10">
        <f t="shared" si="582"/>
        <v>0</v>
      </c>
    </row>
    <row r="675" spans="1:22" x14ac:dyDescent="0.15">
      <c r="A675" s="24"/>
      <c r="B675" s="7"/>
      <c r="C675" s="8"/>
      <c r="D675" s="9"/>
      <c r="E675" s="43">
        <f t="shared" si="577"/>
        <v>0</v>
      </c>
      <c r="F675" s="11"/>
      <c r="G675" s="8"/>
      <c r="H675" s="9"/>
      <c r="I675" s="43">
        <f t="shared" si="578"/>
        <v>0</v>
      </c>
      <c r="J675" s="10">
        <f t="shared" si="579"/>
        <v>0</v>
      </c>
      <c r="L675" s="22"/>
      <c r="M675" s="12"/>
      <c r="N675" s="13"/>
      <c r="O675" s="14"/>
      <c r="P675" s="43">
        <f t="shared" si="580"/>
        <v>0</v>
      </c>
      <c r="Q675" s="15"/>
      <c r="R675" s="13"/>
      <c r="S675" s="14"/>
      <c r="T675" s="43">
        <f t="shared" si="581"/>
        <v>0</v>
      </c>
      <c r="U675" s="10">
        <f t="shared" si="582"/>
        <v>0</v>
      </c>
    </row>
    <row r="676" spans="1:22" x14ac:dyDescent="0.15">
      <c r="A676" s="22"/>
      <c r="B676" s="7"/>
      <c r="C676" s="8"/>
      <c r="D676" s="9"/>
      <c r="E676" s="43">
        <f t="shared" si="577"/>
        <v>0</v>
      </c>
      <c r="F676" s="11"/>
      <c r="G676" s="8"/>
      <c r="H676" s="9"/>
      <c r="I676" s="43">
        <f t="shared" si="578"/>
        <v>0</v>
      </c>
      <c r="J676" s="10">
        <f t="shared" si="579"/>
        <v>0</v>
      </c>
      <c r="L676" s="22"/>
      <c r="M676" s="12"/>
      <c r="N676" s="13"/>
      <c r="O676" s="14"/>
      <c r="P676" s="43">
        <f t="shared" ref="P676:P685" si="583">SUM(M676:O676)</f>
        <v>0</v>
      </c>
      <c r="Q676" s="15"/>
      <c r="R676" s="13"/>
      <c r="S676" s="14"/>
      <c r="T676" s="43">
        <f t="shared" ref="T676:T685" si="584">SUM(Q676:S676)</f>
        <v>0</v>
      </c>
      <c r="U676" s="10">
        <f t="shared" ref="U676:U684" si="585">P676+T676</f>
        <v>0</v>
      </c>
    </row>
    <row r="677" spans="1:22" x14ac:dyDescent="0.15">
      <c r="A677" s="23"/>
      <c r="B677" s="7"/>
      <c r="C677" s="8"/>
      <c r="D677" s="9"/>
      <c r="E677" s="43">
        <f t="shared" si="577"/>
        <v>0</v>
      </c>
      <c r="F677" s="11"/>
      <c r="G677" s="8"/>
      <c r="H677" s="9"/>
      <c r="I677" s="43">
        <f t="shared" si="578"/>
        <v>0</v>
      </c>
      <c r="J677" s="10">
        <f t="shared" si="579"/>
        <v>0</v>
      </c>
      <c r="L677" s="22"/>
      <c r="M677" s="12"/>
      <c r="N677" s="13"/>
      <c r="O677" s="14"/>
      <c r="P677" s="43">
        <f t="shared" si="583"/>
        <v>0</v>
      </c>
      <c r="Q677" s="15"/>
      <c r="R677" s="13"/>
      <c r="S677" s="14"/>
      <c r="T677" s="43">
        <f t="shared" si="584"/>
        <v>0</v>
      </c>
      <c r="U677" s="10">
        <f t="shared" si="585"/>
        <v>0</v>
      </c>
    </row>
    <row r="678" spans="1:22" x14ac:dyDescent="0.15">
      <c r="A678" s="22"/>
      <c r="B678" s="7"/>
      <c r="C678" s="8"/>
      <c r="D678" s="9"/>
      <c r="E678" s="43">
        <f t="shared" si="577"/>
        <v>0</v>
      </c>
      <c r="F678" s="11"/>
      <c r="G678" s="8"/>
      <c r="H678" s="9"/>
      <c r="I678" s="43">
        <f t="shared" si="578"/>
        <v>0</v>
      </c>
      <c r="J678" s="10">
        <f t="shared" si="579"/>
        <v>0</v>
      </c>
      <c r="L678" s="22"/>
      <c r="M678" s="12"/>
      <c r="N678" s="13"/>
      <c r="O678" s="14"/>
      <c r="P678" s="43">
        <f t="shared" si="583"/>
        <v>0</v>
      </c>
      <c r="Q678" s="15"/>
      <c r="R678" s="13"/>
      <c r="S678" s="14"/>
      <c r="T678" s="43">
        <f t="shared" si="584"/>
        <v>0</v>
      </c>
      <c r="U678" s="10">
        <f t="shared" si="585"/>
        <v>0</v>
      </c>
    </row>
    <row r="679" spans="1:22" x14ac:dyDescent="0.15">
      <c r="A679" s="24"/>
      <c r="B679" s="7"/>
      <c r="C679" s="8"/>
      <c r="D679" s="9"/>
      <c r="E679" s="43">
        <f t="shared" si="577"/>
        <v>0</v>
      </c>
      <c r="F679" s="11"/>
      <c r="G679" s="8"/>
      <c r="H679" s="9"/>
      <c r="I679" s="43">
        <f t="shared" si="578"/>
        <v>0</v>
      </c>
      <c r="J679" s="10">
        <f t="shared" si="579"/>
        <v>0</v>
      </c>
      <c r="L679" s="22"/>
      <c r="M679" s="12"/>
      <c r="N679" s="13"/>
      <c r="O679" s="14"/>
      <c r="P679" s="43">
        <f t="shared" si="583"/>
        <v>0</v>
      </c>
      <c r="Q679" s="15"/>
      <c r="R679" s="13"/>
      <c r="S679" s="14"/>
      <c r="T679" s="43">
        <f t="shared" si="584"/>
        <v>0</v>
      </c>
      <c r="U679" s="10">
        <f t="shared" si="585"/>
        <v>0</v>
      </c>
    </row>
    <row r="680" spans="1:22" x14ac:dyDescent="0.15">
      <c r="A680" s="22"/>
      <c r="B680" s="12"/>
      <c r="C680" s="13"/>
      <c r="D680" s="14"/>
      <c r="E680" s="43">
        <f t="shared" si="577"/>
        <v>0</v>
      </c>
      <c r="F680" s="15"/>
      <c r="G680" s="13"/>
      <c r="H680" s="14"/>
      <c r="I680" s="43">
        <f t="shared" si="578"/>
        <v>0</v>
      </c>
      <c r="J680" s="10">
        <f t="shared" si="579"/>
        <v>0</v>
      </c>
      <c r="L680" s="22"/>
      <c r="M680" s="12"/>
      <c r="N680" s="13"/>
      <c r="O680" s="14"/>
      <c r="P680" s="43">
        <f t="shared" si="583"/>
        <v>0</v>
      </c>
      <c r="Q680" s="15"/>
      <c r="R680" s="13"/>
      <c r="S680" s="14"/>
      <c r="T680" s="43">
        <f t="shared" si="584"/>
        <v>0</v>
      </c>
      <c r="U680" s="10">
        <f t="shared" si="585"/>
        <v>0</v>
      </c>
    </row>
    <row r="681" spans="1:22" x14ac:dyDescent="0.15">
      <c r="A681" s="22"/>
      <c r="B681" s="7"/>
      <c r="C681" s="8"/>
      <c r="D681" s="9"/>
      <c r="E681" s="43">
        <f t="shared" si="577"/>
        <v>0</v>
      </c>
      <c r="F681" s="11"/>
      <c r="G681" s="8"/>
      <c r="H681" s="9"/>
      <c r="I681" s="43">
        <f t="shared" si="578"/>
        <v>0</v>
      </c>
      <c r="J681" s="10">
        <f t="shared" si="579"/>
        <v>0</v>
      </c>
      <c r="L681" s="22"/>
      <c r="M681" s="12"/>
      <c r="N681" s="13"/>
      <c r="O681" s="14"/>
      <c r="P681" s="43">
        <f t="shared" si="583"/>
        <v>0</v>
      </c>
      <c r="Q681" s="15"/>
      <c r="R681" s="13"/>
      <c r="S681" s="14"/>
      <c r="T681" s="43">
        <f t="shared" si="584"/>
        <v>0</v>
      </c>
      <c r="U681" s="10">
        <f t="shared" si="585"/>
        <v>0</v>
      </c>
    </row>
    <row r="682" spans="1:22" x14ac:dyDescent="0.15">
      <c r="A682" s="22"/>
      <c r="B682" s="7"/>
      <c r="C682" s="8"/>
      <c r="D682" s="9"/>
      <c r="E682" s="43">
        <f t="shared" si="577"/>
        <v>0</v>
      </c>
      <c r="F682" s="11"/>
      <c r="G682" s="8"/>
      <c r="H682" s="9"/>
      <c r="I682" s="43">
        <f t="shared" si="578"/>
        <v>0</v>
      </c>
      <c r="J682" s="10">
        <f t="shared" si="579"/>
        <v>0</v>
      </c>
      <c r="L682" s="22"/>
      <c r="M682" s="12"/>
      <c r="N682" s="13"/>
      <c r="O682" s="14"/>
      <c r="P682" s="43">
        <f t="shared" si="583"/>
        <v>0</v>
      </c>
      <c r="Q682" s="15"/>
      <c r="R682" s="13"/>
      <c r="S682" s="14"/>
      <c r="T682" s="43">
        <f t="shared" si="584"/>
        <v>0</v>
      </c>
      <c r="U682" s="10">
        <f t="shared" si="585"/>
        <v>0</v>
      </c>
    </row>
    <row r="683" spans="1:22" x14ac:dyDescent="0.15">
      <c r="A683" s="22"/>
      <c r="B683" s="7"/>
      <c r="C683" s="8"/>
      <c r="D683" s="9"/>
      <c r="E683" s="43">
        <f t="shared" si="577"/>
        <v>0</v>
      </c>
      <c r="F683" s="11"/>
      <c r="G683" s="8"/>
      <c r="H683" s="9"/>
      <c r="I683" s="43">
        <f t="shared" si="578"/>
        <v>0</v>
      </c>
      <c r="J683" s="10">
        <f t="shared" si="579"/>
        <v>0</v>
      </c>
      <c r="L683" s="22"/>
      <c r="M683" s="12"/>
      <c r="N683" s="13"/>
      <c r="O683" s="14"/>
      <c r="P683" s="43">
        <f t="shared" si="583"/>
        <v>0</v>
      </c>
      <c r="Q683" s="15"/>
      <c r="R683" s="13"/>
      <c r="S683" s="14"/>
      <c r="T683" s="43">
        <f t="shared" si="584"/>
        <v>0</v>
      </c>
      <c r="U683" s="10">
        <f t="shared" si="585"/>
        <v>0</v>
      </c>
    </row>
    <row r="684" spans="1:22" ht="14.25" thickBot="1" x14ac:dyDescent="0.2">
      <c r="A684" s="22"/>
      <c r="B684" s="7"/>
      <c r="C684" s="8"/>
      <c r="D684" s="9"/>
      <c r="E684" s="43">
        <f t="shared" si="577"/>
        <v>0</v>
      </c>
      <c r="F684" s="11"/>
      <c r="G684" s="8"/>
      <c r="H684" s="9"/>
      <c r="I684" s="43">
        <f t="shared" si="578"/>
        <v>0</v>
      </c>
      <c r="J684" s="10">
        <f t="shared" si="579"/>
        <v>0</v>
      </c>
      <c r="L684" s="22"/>
      <c r="M684" s="12"/>
      <c r="N684" s="13"/>
      <c r="O684" s="14"/>
      <c r="P684" s="43">
        <f t="shared" si="583"/>
        <v>0</v>
      </c>
      <c r="Q684" s="15"/>
      <c r="R684" s="13"/>
      <c r="S684" s="14"/>
      <c r="T684" s="43">
        <f t="shared" si="584"/>
        <v>0</v>
      </c>
      <c r="U684" s="10">
        <f t="shared" si="585"/>
        <v>0</v>
      </c>
    </row>
    <row r="685" spans="1:22" ht="14.25" thickBot="1" x14ac:dyDescent="0.2">
      <c r="A685" s="35" t="s">
        <v>17</v>
      </c>
      <c r="B685" s="40">
        <f>SUM(B659:B684)</f>
        <v>9</v>
      </c>
      <c r="C685" s="41">
        <f t="shared" ref="C685:D685" si="586">SUM(C659:C684)</f>
        <v>7</v>
      </c>
      <c r="D685" s="52">
        <f t="shared" si="586"/>
        <v>2</v>
      </c>
      <c r="E685" s="39">
        <f t="shared" si="577"/>
        <v>18</v>
      </c>
      <c r="F685" s="40">
        <f>SUM(F659:F684)</f>
        <v>9</v>
      </c>
      <c r="G685" s="41">
        <f t="shared" ref="G685:H685" si="587">SUM(G659:G684)</f>
        <v>7</v>
      </c>
      <c r="H685" s="52">
        <f t="shared" si="587"/>
        <v>2</v>
      </c>
      <c r="I685" s="39">
        <f t="shared" si="578"/>
        <v>18</v>
      </c>
      <c r="J685" s="39">
        <f>E685+I685</f>
        <v>36</v>
      </c>
      <c r="L685" s="35" t="s">
        <v>17</v>
      </c>
      <c r="M685" s="40">
        <f>SUM(M659:M684)</f>
        <v>14</v>
      </c>
      <c r="N685" s="41">
        <f t="shared" ref="N685:O685" si="588">SUM(N659:N684)</f>
        <v>7</v>
      </c>
      <c r="O685" s="52">
        <f t="shared" si="588"/>
        <v>5</v>
      </c>
      <c r="P685" s="39">
        <f t="shared" si="583"/>
        <v>26</v>
      </c>
      <c r="Q685" s="40">
        <f>SUM(Q659:Q684)</f>
        <v>14</v>
      </c>
      <c r="R685" s="41">
        <f t="shared" ref="R685:S685" si="589">SUM(R659:R684)</f>
        <v>7</v>
      </c>
      <c r="S685" s="52">
        <f t="shared" si="589"/>
        <v>5</v>
      </c>
      <c r="T685" s="39">
        <f t="shared" si="584"/>
        <v>26</v>
      </c>
      <c r="U685" s="39">
        <f>P685+T685</f>
        <v>52</v>
      </c>
    </row>
    <row r="686" spans="1:22" ht="14.25" thickBot="1" x14ac:dyDescent="0.2">
      <c r="A686" s="21" t="s">
        <v>16</v>
      </c>
      <c r="B686" s="44">
        <f>B658-B685</f>
        <v>2</v>
      </c>
      <c r="C686" s="50">
        <f t="shared" ref="C686:D686" si="590">C658-C685</f>
        <v>0</v>
      </c>
      <c r="D686" s="51">
        <f t="shared" si="590"/>
        <v>0</v>
      </c>
      <c r="E686" s="49">
        <f>SUM(B686:D686)</f>
        <v>2</v>
      </c>
      <c r="F686" s="44">
        <f>F658-F685</f>
        <v>2</v>
      </c>
      <c r="G686" s="50">
        <f t="shared" ref="G686:H686" si="591">G658-G685</f>
        <v>0</v>
      </c>
      <c r="H686" s="51">
        <f t="shared" si="591"/>
        <v>0</v>
      </c>
      <c r="I686" s="49">
        <f>SUM(F686:H686)</f>
        <v>2</v>
      </c>
      <c r="J686" s="28">
        <f>E686+I686</f>
        <v>4</v>
      </c>
      <c r="L686" s="21" t="s">
        <v>16</v>
      </c>
      <c r="M686" s="44">
        <f>M658-M685</f>
        <v>146</v>
      </c>
      <c r="N686" s="50">
        <f t="shared" ref="N686:O686" si="592">N658-N685</f>
        <v>168</v>
      </c>
      <c r="O686" s="51">
        <f t="shared" si="592"/>
        <v>132</v>
      </c>
      <c r="P686" s="49">
        <f>SUM(M686:O686)</f>
        <v>446</v>
      </c>
      <c r="Q686" s="44">
        <f>Q658-Q685</f>
        <v>146</v>
      </c>
      <c r="R686" s="50">
        <f t="shared" ref="R686:S686" si="593">R658-R685</f>
        <v>168</v>
      </c>
      <c r="S686" s="51">
        <f t="shared" si="593"/>
        <v>132</v>
      </c>
      <c r="T686" s="49">
        <f>SUM(Q686:S686)</f>
        <v>446</v>
      </c>
      <c r="U686" s="28">
        <f>P686+T686</f>
        <v>892</v>
      </c>
      <c r="V686" s="97" t="s">
        <v>449</v>
      </c>
    </row>
    <row r="688" spans="1:22" ht="35.25" customHeight="1" x14ac:dyDescent="0.15">
      <c r="A688" s="164" t="s">
        <v>456</v>
      </c>
      <c r="B688" s="164"/>
      <c r="C688" s="164"/>
      <c r="D688" s="164"/>
      <c r="E688" s="164"/>
      <c r="F688" s="164"/>
      <c r="G688" s="164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</row>
    <row r="689" spans="1:22" ht="19.5" thickBot="1" x14ac:dyDescent="0.25">
      <c r="A689" s="84" t="s">
        <v>31</v>
      </c>
      <c r="B689" s="85"/>
      <c r="C689" s="85"/>
      <c r="D689" s="85"/>
      <c r="E689" s="85"/>
      <c r="F689" s="85"/>
      <c r="G689" s="85"/>
      <c r="H689" s="85"/>
      <c r="I689" s="85"/>
      <c r="J689" s="85"/>
      <c r="L689" s="82" t="s">
        <v>463</v>
      </c>
      <c r="M689" s="83"/>
      <c r="N689" s="83"/>
      <c r="O689" s="83"/>
      <c r="P689" s="83"/>
      <c r="Q689" s="83"/>
      <c r="R689" s="83"/>
      <c r="S689" s="83"/>
      <c r="T689" s="83"/>
      <c r="U689" s="83">
        <v>1040</v>
      </c>
    </row>
    <row r="690" spans="1:22" ht="14.25" thickBot="1" x14ac:dyDescent="0.2">
      <c r="A690" s="6"/>
      <c r="B690" s="159" t="s">
        <v>33</v>
      </c>
      <c r="C690" s="160"/>
      <c r="D690" s="160"/>
      <c r="E690" s="161"/>
      <c r="F690" s="159" t="s">
        <v>22</v>
      </c>
      <c r="G690" s="160"/>
      <c r="H690" s="160"/>
      <c r="I690" s="162"/>
      <c r="J690" s="157" t="s">
        <v>0</v>
      </c>
      <c r="L690" s="6"/>
      <c r="M690" s="159" t="s">
        <v>33</v>
      </c>
      <c r="N690" s="160"/>
      <c r="O690" s="160"/>
      <c r="P690" s="161"/>
      <c r="Q690" s="146" t="s">
        <v>22</v>
      </c>
      <c r="R690" s="147"/>
      <c r="S690" s="147"/>
      <c r="T690" s="148"/>
      <c r="U690" s="157" t="s">
        <v>0</v>
      </c>
    </row>
    <row r="691" spans="1:22" ht="14.25" thickBot="1" x14ac:dyDescent="0.2">
      <c r="A691" s="6" t="s">
        <v>1</v>
      </c>
      <c r="B691" s="3" t="s">
        <v>2</v>
      </c>
      <c r="C691" s="4" t="s">
        <v>3</v>
      </c>
      <c r="D691" s="5" t="s">
        <v>4</v>
      </c>
      <c r="E691" s="6" t="s">
        <v>5</v>
      </c>
      <c r="F691" s="3" t="s">
        <v>2</v>
      </c>
      <c r="G691" s="4" t="s">
        <v>3</v>
      </c>
      <c r="H691" s="5" t="s">
        <v>4</v>
      </c>
      <c r="I691" s="6" t="s">
        <v>5</v>
      </c>
      <c r="J691" s="158"/>
      <c r="L691" s="6" t="s">
        <v>1</v>
      </c>
      <c r="M691" s="3" t="s">
        <v>2</v>
      </c>
      <c r="N691" s="4" t="s">
        <v>3</v>
      </c>
      <c r="O691" s="5" t="s">
        <v>4</v>
      </c>
      <c r="P691" s="6" t="s">
        <v>5</v>
      </c>
      <c r="Q691" s="3" t="s">
        <v>2</v>
      </c>
      <c r="R691" s="4" t="s">
        <v>3</v>
      </c>
      <c r="S691" s="5" t="s">
        <v>4</v>
      </c>
      <c r="T691" s="6" t="s">
        <v>5</v>
      </c>
      <c r="U691" s="158"/>
    </row>
    <row r="692" spans="1:22" ht="14.25" thickBot="1" x14ac:dyDescent="0.2">
      <c r="A692" s="66" t="s">
        <v>6</v>
      </c>
      <c r="B692" s="25">
        <f>B686</f>
        <v>2</v>
      </c>
      <c r="C692" s="26">
        <f>C686</f>
        <v>0</v>
      </c>
      <c r="D692" s="27">
        <f>D686</f>
        <v>0</v>
      </c>
      <c r="E692" s="28">
        <f>SUM(B692:D692)</f>
        <v>2</v>
      </c>
      <c r="F692" s="25">
        <f>F686</f>
        <v>2</v>
      </c>
      <c r="G692" s="26">
        <f>G686</f>
        <v>0</v>
      </c>
      <c r="H692" s="27">
        <f>H686</f>
        <v>0</v>
      </c>
      <c r="I692" s="28">
        <f>SUM(F692:H692)</f>
        <v>2</v>
      </c>
      <c r="J692" s="28">
        <f>E692+I692</f>
        <v>4</v>
      </c>
      <c r="L692" s="66" t="s">
        <v>6</v>
      </c>
      <c r="M692" s="25">
        <f>M686</f>
        <v>146</v>
      </c>
      <c r="N692" s="26">
        <f>N686</f>
        <v>168</v>
      </c>
      <c r="O692" s="27">
        <f>O686</f>
        <v>132</v>
      </c>
      <c r="P692" s="28">
        <f>SUM(M692:O692)</f>
        <v>446</v>
      </c>
      <c r="Q692" s="25">
        <f>Q686</f>
        <v>146</v>
      </c>
      <c r="R692" s="26">
        <f>R686</f>
        <v>168</v>
      </c>
      <c r="S692" s="27">
        <f>S686</f>
        <v>132</v>
      </c>
      <c r="T692" s="28">
        <f>SUM(Q692:S692)</f>
        <v>446</v>
      </c>
      <c r="U692" s="28">
        <f>P692+T692</f>
        <v>892</v>
      </c>
    </row>
    <row r="693" spans="1:22" x14ac:dyDescent="0.15">
      <c r="A693" s="23" t="s">
        <v>7</v>
      </c>
      <c r="B693" s="7"/>
      <c r="C693" s="8"/>
      <c r="D693" s="46"/>
      <c r="E693" s="10">
        <f t="shared" ref="E693:E694" si="594">SUM(B693:D693)</f>
        <v>0</v>
      </c>
      <c r="F693" s="11"/>
      <c r="G693" s="8"/>
      <c r="H693" s="9"/>
      <c r="I693" s="10">
        <f t="shared" ref="I693:I694" si="595">SUM(F693:H693)</f>
        <v>0</v>
      </c>
      <c r="J693" s="10">
        <f t="shared" ref="J693:J694" si="596">E693+I693</f>
        <v>0</v>
      </c>
      <c r="L693" s="23" t="s">
        <v>7</v>
      </c>
      <c r="M693" s="7"/>
      <c r="N693" s="8"/>
      <c r="O693" s="46"/>
      <c r="P693" s="10">
        <f t="shared" ref="P693:P694" si="597">SUM(M693:O693)</f>
        <v>0</v>
      </c>
      <c r="Q693" s="7"/>
      <c r="R693" s="8"/>
      <c r="S693" s="46"/>
      <c r="T693" s="10">
        <f t="shared" ref="T693:T694" si="598">SUM(Q693:S693)</f>
        <v>0</v>
      </c>
      <c r="U693" s="10">
        <f t="shared" ref="U693:U694" si="599">P693+T693</f>
        <v>0</v>
      </c>
    </row>
    <row r="694" spans="1:22" x14ac:dyDescent="0.15">
      <c r="A694" s="23" t="s">
        <v>8</v>
      </c>
      <c r="B694" s="7"/>
      <c r="C694" s="8"/>
      <c r="D694" s="46"/>
      <c r="E694" s="10">
        <f t="shared" si="594"/>
        <v>0</v>
      </c>
      <c r="F694" s="11"/>
      <c r="G694" s="8"/>
      <c r="H694" s="9"/>
      <c r="I694" s="10">
        <f t="shared" si="595"/>
        <v>0</v>
      </c>
      <c r="J694" s="10">
        <f t="shared" si="596"/>
        <v>0</v>
      </c>
      <c r="L694" s="141" t="s">
        <v>146</v>
      </c>
      <c r="M694" s="92">
        <v>90</v>
      </c>
      <c r="N694" s="93">
        <v>150</v>
      </c>
      <c r="O694" s="94">
        <v>100</v>
      </c>
      <c r="P694" s="90">
        <f t="shared" si="597"/>
        <v>340</v>
      </c>
      <c r="Q694" s="92">
        <v>90</v>
      </c>
      <c r="R694" s="93">
        <v>150</v>
      </c>
      <c r="S694" s="94">
        <v>100</v>
      </c>
      <c r="T694" s="90">
        <f t="shared" si="598"/>
        <v>340</v>
      </c>
      <c r="U694" s="90">
        <f t="shared" si="599"/>
        <v>680</v>
      </c>
      <c r="V694" s="57">
        <v>46357</v>
      </c>
    </row>
    <row r="695" spans="1:22" x14ac:dyDescent="0.15">
      <c r="A695" s="23" t="s">
        <v>9</v>
      </c>
      <c r="B695" s="7"/>
      <c r="C695" s="8"/>
      <c r="D695" s="46"/>
      <c r="E695" s="10">
        <f t="shared" ref="E695:E700" si="600">SUM(B695:D695)</f>
        <v>0</v>
      </c>
      <c r="F695" s="11"/>
      <c r="G695" s="8"/>
      <c r="H695" s="9"/>
      <c r="I695" s="10">
        <f t="shared" ref="I695:I700" si="601">SUM(F695:H695)</f>
        <v>0</v>
      </c>
      <c r="J695" s="10">
        <f t="shared" ref="J695:J700" si="602">E695+I695</f>
        <v>0</v>
      </c>
      <c r="L695" s="141" t="s">
        <v>26</v>
      </c>
      <c r="M695" s="92">
        <v>60</v>
      </c>
      <c r="N695" s="93">
        <v>100</v>
      </c>
      <c r="O695" s="94">
        <v>80</v>
      </c>
      <c r="P695" s="90">
        <f t="shared" ref="P695:P700" si="603">SUM(M695:O695)</f>
        <v>240</v>
      </c>
      <c r="Q695" s="92">
        <v>60</v>
      </c>
      <c r="R695" s="93">
        <v>100</v>
      </c>
      <c r="S695" s="94">
        <v>80</v>
      </c>
      <c r="T695" s="90">
        <f t="shared" ref="T695:T700" si="604">SUM(Q695:S695)</f>
        <v>240</v>
      </c>
      <c r="U695" s="90">
        <f t="shared" ref="U695:U700" si="605">P695+T695</f>
        <v>480</v>
      </c>
      <c r="V695" s="34" t="s">
        <v>468</v>
      </c>
    </row>
    <row r="696" spans="1:22" x14ac:dyDescent="0.15">
      <c r="A696" s="23" t="s">
        <v>10</v>
      </c>
      <c r="B696" s="7"/>
      <c r="C696" s="8"/>
      <c r="D696" s="46"/>
      <c r="E696" s="10">
        <f t="shared" si="600"/>
        <v>0</v>
      </c>
      <c r="F696" s="11"/>
      <c r="G696" s="8"/>
      <c r="H696" s="9"/>
      <c r="I696" s="10">
        <f t="shared" si="601"/>
        <v>0</v>
      </c>
      <c r="J696" s="10">
        <f t="shared" si="602"/>
        <v>0</v>
      </c>
      <c r="L696" s="23" t="s">
        <v>9</v>
      </c>
      <c r="M696" s="7"/>
      <c r="N696" s="8"/>
      <c r="O696" s="46"/>
      <c r="P696" s="10">
        <f t="shared" si="603"/>
        <v>0</v>
      </c>
      <c r="Q696" s="7"/>
      <c r="R696" s="8"/>
      <c r="S696" s="46"/>
      <c r="T696" s="10">
        <f t="shared" si="604"/>
        <v>0</v>
      </c>
      <c r="U696" s="10">
        <f t="shared" si="605"/>
        <v>0</v>
      </c>
    </row>
    <row r="697" spans="1:22" x14ac:dyDescent="0.15">
      <c r="A697" s="23" t="s">
        <v>11</v>
      </c>
      <c r="B697" s="7"/>
      <c r="C697" s="8"/>
      <c r="D697" s="46"/>
      <c r="E697" s="10">
        <f t="shared" si="600"/>
        <v>0</v>
      </c>
      <c r="F697" s="11"/>
      <c r="G697" s="8"/>
      <c r="H697" s="9"/>
      <c r="I697" s="10">
        <f t="shared" si="601"/>
        <v>0</v>
      </c>
      <c r="J697" s="10">
        <f t="shared" si="602"/>
        <v>0</v>
      </c>
      <c r="L697" s="23" t="s">
        <v>11</v>
      </c>
      <c r="M697" s="7"/>
      <c r="N697" s="8"/>
      <c r="O697" s="46"/>
      <c r="P697" s="10">
        <f t="shared" si="603"/>
        <v>0</v>
      </c>
      <c r="Q697" s="7"/>
      <c r="R697" s="8"/>
      <c r="S697" s="46"/>
      <c r="T697" s="10">
        <f t="shared" si="604"/>
        <v>0</v>
      </c>
      <c r="U697" s="10">
        <f t="shared" si="605"/>
        <v>0</v>
      </c>
    </row>
    <row r="698" spans="1:22" x14ac:dyDescent="0.15">
      <c r="A698" s="23" t="s">
        <v>12</v>
      </c>
      <c r="B698" s="7"/>
      <c r="C698" s="8"/>
      <c r="D698" s="46"/>
      <c r="E698" s="10">
        <f t="shared" si="600"/>
        <v>0</v>
      </c>
      <c r="F698" s="11"/>
      <c r="G698" s="8"/>
      <c r="H698" s="9"/>
      <c r="I698" s="10">
        <f t="shared" si="601"/>
        <v>0</v>
      </c>
      <c r="J698" s="10">
        <f t="shared" si="602"/>
        <v>0</v>
      </c>
      <c r="L698" s="23" t="s">
        <v>12</v>
      </c>
      <c r="M698" s="7"/>
      <c r="N698" s="8"/>
      <c r="O698" s="46"/>
      <c r="P698" s="10">
        <f t="shared" si="603"/>
        <v>0</v>
      </c>
      <c r="Q698" s="7"/>
      <c r="R698" s="8"/>
      <c r="S698" s="46"/>
      <c r="T698" s="10">
        <f t="shared" si="604"/>
        <v>0</v>
      </c>
      <c r="U698" s="10">
        <f t="shared" si="605"/>
        <v>0</v>
      </c>
    </row>
    <row r="699" spans="1:22" x14ac:dyDescent="0.15">
      <c r="A699" s="23" t="s">
        <v>13</v>
      </c>
      <c r="B699" s="7"/>
      <c r="C699" s="8"/>
      <c r="D699" s="46"/>
      <c r="E699" s="10">
        <f t="shared" si="600"/>
        <v>0</v>
      </c>
      <c r="F699" s="11"/>
      <c r="G699" s="8"/>
      <c r="H699" s="9"/>
      <c r="I699" s="10">
        <f t="shared" si="601"/>
        <v>0</v>
      </c>
      <c r="J699" s="10">
        <f t="shared" si="602"/>
        <v>0</v>
      </c>
      <c r="L699" s="23" t="s">
        <v>13</v>
      </c>
      <c r="M699" s="7"/>
      <c r="N699" s="8"/>
      <c r="O699" s="46"/>
      <c r="P699" s="10">
        <f t="shared" si="603"/>
        <v>0</v>
      </c>
      <c r="Q699" s="11"/>
      <c r="R699" s="8"/>
      <c r="S699" s="9"/>
      <c r="T699" s="10">
        <f t="shared" si="604"/>
        <v>0</v>
      </c>
      <c r="U699" s="10">
        <f t="shared" si="605"/>
        <v>0</v>
      </c>
    </row>
    <row r="700" spans="1:22" ht="14.25" thickBot="1" x14ac:dyDescent="0.2">
      <c r="A700" s="22" t="s">
        <v>14</v>
      </c>
      <c r="B700" s="7"/>
      <c r="C700" s="8"/>
      <c r="D700" s="9"/>
      <c r="E700" s="43">
        <f t="shared" si="600"/>
        <v>0</v>
      </c>
      <c r="F700" s="11"/>
      <c r="G700" s="8"/>
      <c r="H700" s="9"/>
      <c r="I700" s="43">
        <f t="shared" si="601"/>
        <v>0</v>
      </c>
      <c r="J700" s="10">
        <f t="shared" si="602"/>
        <v>0</v>
      </c>
      <c r="L700" s="22" t="s">
        <v>14</v>
      </c>
      <c r="M700" s="7"/>
      <c r="N700" s="8"/>
      <c r="O700" s="9"/>
      <c r="P700" s="43">
        <f t="shared" si="603"/>
        <v>0</v>
      </c>
      <c r="Q700" s="11"/>
      <c r="R700" s="8"/>
      <c r="S700" s="9"/>
      <c r="T700" s="43">
        <f t="shared" si="604"/>
        <v>0</v>
      </c>
      <c r="U700" s="10">
        <f t="shared" si="605"/>
        <v>0</v>
      </c>
    </row>
    <row r="701" spans="1:22" ht="14.25" thickBot="1" x14ac:dyDescent="0.2">
      <c r="A701" s="32" t="s">
        <v>15</v>
      </c>
      <c r="B701" s="25">
        <f>SUM(B692:B700)</f>
        <v>2</v>
      </c>
      <c r="C701" s="26">
        <f>SUM(C692:C700)</f>
        <v>0</v>
      </c>
      <c r="D701" s="27">
        <f>SUM(D692:D700)</f>
        <v>0</v>
      </c>
      <c r="E701" s="28">
        <f>SUM(B701:D701)</f>
        <v>2</v>
      </c>
      <c r="F701" s="25">
        <f>SUM(F692:F700)</f>
        <v>2</v>
      </c>
      <c r="G701" s="26">
        <f>SUM(G692:G700)</f>
        <v>0</v>
      </c>
      <c r="H701" s="27">
        <f>SUM(H692:H700)</f>
        <v>0</v>
      </c>
      <c r="I701" s="28">
        <f>SUM(F701:H701)</f>
        <v>2</v>
      </c>
      <c r="J701" s="28">
        <f>E701+I701</f>
        <v>4</v>
      </c>
      <c r="L701" s="32" t="s">
        <v>15</v>
      </c>
      <c r="M701" s="25">
        <f>SUM(M692:M700)</f>
        <v>296</v>
      </c>
      <c r="N701" s="26">
        <f>SUM(N692:N700)</f>
        <v>418</v>
      </c>
      <c r="O701" s="27">
        <f>SUM(O692:O700)</f>
        <v>312</v>
      </c>
      <c r="P701" s="28">
        <f>SUM(M701:O701)</f>
        <v>1026</v>
      </c>
      <c r="Q701" s="25">
        <f>SUM(Q692:Q700)</f>
        <v>296</v>
      </c>
      <c r="R701" s="26">
        <f>SUM(R692:R700)</f>
        <v>418</v>
      </c>
      <c r="S701" s="27">
        <f>SUM(S692:S700)</f>
        <v>312</v>
      </c>
      <c r="T701" s="28">
        <f>SUM(Q701:S701)</f>
        <v>1026</v>
      </c>
      <c r="U701" s="28">
        <f>P701+T701</f>
        <v>2052</v>
      </c>
    </row>
    <row r="702" spans="1:22" x14ac:dyDescent="0.15">
      <c r="A702" s="22" t="s">
        <v>465</v>
      </c>
      <c r="B702" s="7">
        <v>1</v>
      </c>
      <c r="C702" s="8"/>
      <c r="D702" s="9"/>
      <c r="E702" s="43">
        <f t="shared" ref="E702:E703" si="606">SUM(B702:D702)</f>
        <v>1</v>
      </c>
      <c r="F702" s="11">
        <v>1</v>
      </c>
      <c r="G702" s="8"/>
      <c r="H702" s="9"/>
      <c r="I702" s="43">
        <f t="shared" ref="I702:I703" si="607">SUM(F702:H702)</f>
        <v>1</v>
      </c>
      <c r="J702" s="10">
        <f t="shared" ref="J702:J703" si="608">E702+I702</f>
        <v>2</v>
      </c>
      <c r="K702" s="58">
        <v>46121</v>
      </c>
      <c r="L702" s="22"/>
      <c r="M702" s="12"/>
      <c r="N702" s="13"/>
      <c r="O702" s="14"/>
      <c r="P702" s="43">
        <f t="shared" ref="P702:P709" si="609">SUM(M702:O702)</f>
        <v>0</v>
      </c>
      <c r="Q702" s="15"/>
      <c r="R702" s="13"/>
      <c r="S702" s="14"/>
      <c r="T702" s="43">
        <f t="shared" ref="T702:T709" si="610">SUM(Q702:S702)</f>
        <v>0</v>
      </c>
      <c r="U702" s="10">
        <f t="shared" ref="U702:U709" si="611">P702+T702</f>
        <v>0</v>
      </c>
    </row>
    <row r="703" spans="1:22" x14ac:dyDescent="0.15">
      <c r="A703" s="22" t="s">
        <v>466</v>
      </c>
      <c r="B703" s="7">
        <v>1</v>
      </c>
      <c r="C703" s="8"/>
      <c r="D703" s="9"/>
      <c r="E703" s="43">
        <f t="shared" si="606"/>
        <v>1</v>
      </c>
      <c r="F703" s="11">
        <v>1</v>
      </c>
      <c r="G703" s="8"/>
      <c r="H703" s="9"/>
      <c r="I703" s="43">
        <f t="shared" si="607"/>
        <v>1</v>
      </c>
      <c r="J703" s="10">
        <f t="shared" si="608"/>
        <v>2</v>
      </c>
      <c r="K703" s="58">
        <v>46150</v>
      </c>
      <c r="L703" s="22"/>
      <c r="M703" s="12"/>
      <c r="N703" s="13"/>
      <c r="O703" s="14"/>
      <c r="P703" s="43">
        <f t="shared" si="609"/>
        <v>0</v>
      </c>
      <c r="Q703" s="15"/>
      <c r="R703" s="13"/>
      <c r="S703" s="14"/>
      <c r="T703" s="43">
        <f t="shared" si="610"/>
        <v>0</v>
      </c>
      <c r="U703" s="10">
        <f t="shared" si="611"/>
        <v>0</v>
      </c>
    </row>
    <row r="704" spans="1:22" x14ac:dyDescent="0.15">
      <c r="A704" s="22"/>
      <c r="B704" s="7"/>
      <c r="C704" s="8"/>
      <c r="D704" s="9"/>
      <c r="E704" s="43">
        <f t="shared" ref="E704:E728" si="612">SUM(B704:D704)</f>
        <v>0</v>
      </c>
      <c r="F704" s="11"/>
      <c r="G704" s="8"/>
      <c r="H704" s="9"/>
      <c r="I704" s="43">
        <f t="shared" ref="I704:I728" si="613">SUM(F704:H704)</f>
        <v>0</v>
      </c>
      <c r="J704" s="10">
        <f t="shared" ref="J704:J727" si="614">E704+I704</f>
        <v>0</v>
      </c>
      <c r="L704" s="22"/>
      <c r="M704" s="12"/>
      <c r="N704" s="13"/>
      <c r="O704" s="14"/>
      <c r="P704" s="43">
        <f t="shared" si="609"/>
        <v>0</v>
      </c>
      <c r="Q704" s="15"/>
      <c r="R704" s="13"/>
      <c r="S704" s="14"/>
      <c r="T704" s="43">
        <f t="shared" si="610"/>
        <v>0</v>
      </c>
      <c r="U704" s="10">
        <f t="shared" si="611"/>
        <v>0</v>
      </c>
    </row>
    <row r="705" spans="1:21" x14ac:dyDescent="0.15">
      <c r="A705" s="22"/>
      <c r="B705" s="7"/>
      <c r="C705" s="8"/>
      <c r="D705" s="9"/>
      <c r="E705" s="43">
        <f t="shared" si="612"/>
        <v>0</v>
      </c>
      <c r="F705" s="11"/>
      <c r="G705" s="8"/>
      <c r="H705" s="9"/>
      <c r="I705" s="43">
        <f t="shared" si="613"/>
        <v>0</v>
      </c>
      <c r="J705" s="10">
        <f t="shared" si="614"/>
        <v>0</v>
      </c>
      <c r="L705" s="22"/>
      <c r="M705" s="12"/>
      <c r="N705" s="13"/>
      <c r="O705" s="14"/>
      <c r="P705" s="43">
        <f t="shared" si="609"/>
        <v>0</v>
      </c>
      <c r="Q705" s="15"/>
      <c r="R705" s="13"/>
      <c r="S705" s="14"/>
      <c r="T705" s="43">
        <f t="shared" si="610"/>
        <v>0</v>
      </c>
      <c r="U705" s="10">
        <f t="shared" si="611"/>
        <v>0</v>
      </c>
    </row>
    <row r="706" spans="1:21" x14ac:dyDescent="0.15">
      <c r="A706" s="22"/>
      <c r="B706" s="7"/>
      <c r="C706" s="8"/>
      <c r="D706" s="9"/>
      <c r="E706" s="43">
        <f t="shared" si="612"/>
        <v>0</v>
      </c>
      <c r="F706" s="11"/>
      <c r="G706" s="8"/>
      <c r="H706" s="9"/>
      <c r="I706" s="43">
        <f t="shared" si="613"/>
        <v>0</v>
      </c>
      <c r="J706" s="10">
        <f t="shared" si="614"/>
        <v>0</v>
      </c>
      <c r="L706" s="22"/>
      <c r="M706" s="12"/>
      <c r="N706" s="13"/>
      <c r="O706" s="14"/>
      <c r="P706" s="43">
        <f t="shared" si="609"/>
        <v>0</v>
      </c>
      <c r="Q706" s="15"/>
      <c r="R706" s="13"/>
      <c r="S706" s="14"/>
      <c r="T706" s="43">
        <f t="shared" si="610"/>
        <v>0</v>
      </c>
      <c r="U706" s="10">
        <f t="shared" si="611"/>
        <v>0</v>
      </c>
    </row>
    <row r="707" spans="1:21" x14ac:dyDescent="0.15">
      <c r="A707" s="22"/>
      <c r="B707" s="7"/>
      <c r="C707" s="8"/>
      <c r="D707" s="9"/>
      <c r="E707" s="43">
        <f t="shared" si="612"/>
        <v>0</v>
      </c>
      <c r="F707" s="11"/>
      <c r="G707" s="8"/>
      <c r="H707" s="9"/>
      <c r="I707" s="43">
        <f t="shared" si="613"/>
        <v>0</v>
      </c>
      <c r="J707" s="10">
        <f t="shared" si="614"/>
        <v>0</v>
      </c>
      <c r="L707" s="22"/>
      <c r="M707" s="12"/>
      <c r="N707" s="13"/>
      <c r="O707" s="14"/>
      <c r="P707" s="43">
        <f t="shared" si="609"/>
        <v>0</v>
      </c>
      <c r="Q707" s="15"/>
      <c r="R707" s="13"/>
      <c r="S707" s="14"/>
      <c r="T707" s="43">
        <f t="shared" si="610"/>
        <v>0</v>
      </c>
      <c r="U707" s="10">
        <f t="shared" si="611"/>
        <v>0</v>
      </c>
    </row>
    <row r="708" spans="1:21" x14ac:dyDescent="0.15">
      <c r="A708" s="22"/>
      <c r="B708" s="7"/>
      <c r="C708" s="8"/>
      <c r="D708" s="9"/>
      <c r="E708" s="43">
        <f t="shared" si="612"/>
        <v>0</v>
      </c>
      <c r="F708" s="11"/>
      <c r="G708" s="8"/>
      <c r="H708" s="9"/>
      <c r="I708" s="43">
        <f t="shared" si="613"/>
        <v>0</v>
      </c>
      <c r="J708" s="10">
        <f t="shared" si="614"/>
        <v>0</v>
      </c>
      <c r="L708" s="22"/>
      <c r="M708" s="12"/>
      <c r="N708" s="13"/>
      <c r="O708" s="14"/>
      <c r="P708" s="43">
        <f t="shared" si="609"/>
        <v>0</v>
      </c>
      <c r="Q708" s="15"/>
      <c r="R708" s="13"/>
      <c r="S708" s="14"/>
      <c r="T708" s="43">
        <f t="shared" si="610"/>
        <v>0</v>
      </c>
      <c r="U708" s="10">
        <f t="shared" si="611"/>
        <v>0</v>
      </c>
    </row>
    <row r="709" spans="1:21" x14ac:dyDescent="0.15">
      <c r="A709" s="22"/>
      <c r="B709" s="7"/>
      <c r="C709" s="8"/>
      <c r="D709" s="9"/>
      <c r="E709" s="43">
        <f t="shared" si="612"/>
        <v>0</v>
      </c>
      <c r="F709" s="11"/>
      <c r="G709" s="8"/>
      <c r="H709" s="9"/>
      <c r="I709" s="43">
        <f t="shared" si="613"/>
        <v>0</v>
      </c>
      <c r="J709" s="10">
        <f t="shared" si="614"/>
        <v>0</v>
      </c>
      <c r="L709" s="22"/>
      <c r="M709" s="12"/>
      <c r="N709" s="13"/>
      <c r="O709" s="14"/>
      <c r="P709" s="43">
        <f t="shared" si="609"/>
        <v>0</v>
      </c>
      <c r="Q709" s="15"/>
      <c r="R709" s="13"/>
      <c r="S709" s="14"/>
      <c r="T709" s="43">
        <f t="shared" si="610"/>
        <v>0</v>
      </c>
      <c r="U709" s="10">
        <f t="shared" si="611"/>
        <v>0</v>
      </c>
    </row>
    <row r="710" spans="1:21" x14ac:dyDescent="0.15">
      <c r="A710" s="22"/>
      <c r="B710" s="7"/>
      <c r="C710" s="8"/>
      <c r="D710" s="9"/>
      <c r="E710" s="43">
        <f t="shared" si="612"/>
        <v>0</v>
      </c>
      <c r="F710" s="11"/>
      <c r="G710" s="8"/>
      <c r="H710" s="9"/>
      <c r="I710" s="43">
        <f t="shared" si="613"/>
        <v>0</v>
      </c>
      <c r="J710" s="10">
        <f t="shared" si="614"/>
        <v>0</v>
      </c>
      <c r="L710" s="22"/>
      <c r="M710" s="12"/>
      <c r="N710" s="13"/>
      <c r="O710" s="14"/>
      <c r="P710" s="43">
        <f t="shared" ref="P710:P728" si="615">SUM(M710:O710)</f>
        <v>0</v>
      </c>
      <c r="Q710" s="15"/>
      <c r="R710" s="13"/>
      <c r="S710" s="14"/>
      <c r="T710" s="43">
        <f t="shared" ref="T710:T728" si="616">SUM(Q710:S710)</f>
        <v>0</v>
      </c>
      <c r="U710" s="10">
        <f t="shared" ref="U710:U727" si="617">P710+T710</f>
        <v>0</v>
      </c>
    </row>
    <row r="711" spans="1:21" x14ac:dyDescent="0.15">
      <c r="A711" s="22"/>
      <c r="B711" s="12"/>
      <c r="C711" s="13"/>
      <c r="D711" s="14"/>
      <c r="E711" s="43">
        <f t="shared" si="612"/>
        <v>0</v>
      </c>
      <c r="F711" s="15"/>
      <c r="G711" s="13"/>
      <c r="H711" s="14"/>
      <c r="I711" s="43">
        <f t="shared" si="613"/>
        <v>0</v>
      </c>
      <c r="J711" s="10">
        <f t="shared" si="614"/>
        <v>0</v>
      </c>
      <c r="L711" s="22"/>
      <c r="M711" s="12"/>
      <c r="N711" s="13"/>
      <c r="O711" s="14"/>
      <c r="P711" s="43">
        <f t="shared" si="615"/>
        <v>0</v>
      </c>
      <c r="Q711" s="15"/>
      <c r="R711" s="13"/>
      <c r="S711" s="14"/>
      <c r="T711" s="43">
        <f t="shared" si="616"/>
        <v>0</v>
      </c>
      <c r="U711" s="10">
        <f t="shared" si="617"/>
        <v>0</v>
      </c>
    </row>
    <row r="712" spans="1:21" x14ac:dyDescent="0.15">
      <c r="A712" s="22"/>
      <c r="B712" s="7"/>
      <c r="C712" s="8"/>
      <c r="D712" s="9"/>
      <c r="E712" s="43">
        <f t="shared" si="612"/>
        <v>0</v>
      </c>
      <c r="F712" s="11"/>
      <c r="G712" s="8"/>
      <c r="H712" s="9"/>
      <c r="I712" s="43">
        <f t="shared" si="613"/>
        <v>0</v>
      </c>
      <c r="J712" s="10">
        <f t="shared" si="614"/>
        <v>0</v>
      </c>
      <c r="L712" s="22"/>
      <c r="M712" s="12"/>
      <c r="N712" s="13"/>
      <c r="O712" s="14"/>
      <c r="P712" s="43">
        <f t="shared" si="615"/>
        <v>0</v>
      </c>
      <c r="Q712" s="15"/>
      <c r="R712" s="13"/>
      <c r="S712" s="14"/>
      <c r="T712" s="43">
        <f t="shared" si="616"/>
        <v>0</v>
      </c>
      <c r="U712" s="10">
        <f t="shared" si="617"/>
        <v>0</v>
      </c>
    </row>
    <row r="713" spans="1:21" x14ac:dyDescent="0.15">
      <c r="A713" s="22"/>
      <c r="B713" s="7"/>
      <c r="C713" s="8"/>
      <c r="D713" s="9"/>
      <c r="E713" s="43">
        <f t="shared" si="612"/>
        <v>0</v>
      </c>
      <c r="F713" s="11"/>
      <c r="G713" s="8"/>
      <c r="H713" s="9"/>
      <c r="I713" s="43">
        <f t="shared" si="613"/>
        <v>0</v>
      </c>
      <c r="J713" s="10">
        <f t="shared" si="614"/>
        <v>0</v>
      </c>
      <c r="L713" s="22"/>
      <c r="M713" s="12"/>
      <c r="N713" s="13"/>
      <c r="O713" s="14"/>
      <c r="P713" s="43">
        <f t="shared" si="615"/>
        <v>0</v>
      </c>
      <c r="Q713" s="15"/>
      <c r="R713" s="13"/>
      <c r="S713" s="14"/>
      <c r="T713" s="43">
        <f t="shared" si="616"/>
        <v>0</v>
      </c>
      <c r="U713" s="10">
        <f t="shared" si="617"/>
        <v>0</v>
      </c>
    </row>
    <row r="714" spans="1:21" x14ac:dyDescent="0.15">
      <c r="A714" s="22"/>
      <c r="B714" s="7"/>
      <c r="C714" s="8"/>
      <c r="D714" s="9"/>
      <c r="E714" s="43">
        <f t="shared" si="612"/>
        <v>0</v>
      </c>
      <c r="F714" s="11"/>
      <c r="G714" s="8"/>
      <c r="H714" s="9"/>
      <c r="I714" s="43">
        <f t="shared" si="613"/>
        <v>0</v>
      </c>
      <c r="J714" s="10">
        <f t="shared" si="614"/>
        <v>0</v>
      </c>
      <c r="L714" s="22"/>
      <c r="M714" s="12"/>
      <c r="N714" s="13"/>
      <c r="O714" s="14"/>
      <c r="P714" s="43">
        <f t="shared" si="615"/>
        <v>0</v>
      </c>
      <c r="Q714" s="15"/>
      <c r="R714" s="13"/>
      <c r="S714" s="14"/>
      <c r="T714" s="43">
        <f t="shared" si="616"/>
        <v>0</v>
      </c>
      <c r="U714" s="10">
        <f t="shared" si="617"/>
        <v>0</v>
      </c>
    </row>
    <row r="715" spans="1:21" x14ac:dyDescent="0.15">
      <c r="A715" s="22"/>
      <c r="B715" s="7"/>
      <c r="C715" s="8"/>
      <c r="D715" s="9"/>
      <c r="E715" s="43">
        <f t="shared" si="612"/>
        <v>0</v>
      </c>
      <c r="F715" s="11"/>
      <c r="G715" s="8"/>
      <c r="H715" s="9"/>
      <c r="I715" s="43">
        <f t="shared" si="613"/>
        <v>0</v>
      </c>
      <c r="J715" s="10">
        <f t="shared" si="614"/>
        <v>0</v>
      </c>
      <c r="L715" s="22"/>
      <c r="M715" s="12"/>
      <c r="N715" s="13"/>
      <c r="O715" s="14"/>
      <c r="P715" s="43">
        <f t="shared" si="615"/>
        <v>0</v>
      </c>
      <c r="Q715" s="15"/>
      <c r="R715" s="13"/>
      <c r="S715" s="14"/>
      <c r="T715" s="43">
        <f t="shared" si="616"/>
        <v>0</v>
      </c>
      <c r="U715" s="10">
        <f t="shared" si="617"/>
        <v>0</v>
      </c>
    </row>
    <row r="716" spans="1:21" x14ac:dyDescent="0.15">
      <c r="A716" s="22"/>
      <c r="B716" s="7"/>
      <c r="C716" s="8"/>
      <c r="D716" s="9"/>
      <c r="E716" s="43">
        <f t="shared" si="612"/>
        <v>0</v>
      </c>
      <c r="F716" s="11"/>
      <c r="G716" s="8"/>
      <c r="H716" s="9"/>
      <c r="I716" s="43">
        <f t="shared" si="613"/>
        <v>0</v>
      </c>
      <c r="J716" s="10">
        <f t="shared" si="614"/>
        <v>0</v>
      </c>
      <c r="L716" s="22"/>
      <c r="M716" s="12"/>
      <c r="N716" s="13"/>
      <c r="O716" s="14"/>
      <c r="P716" s="43">
        <f t="shared" si="615"/>
        <v>0</v>
      </c>
      <c r="Q716" s="15"/>
      <c r="R716" s="13"/>
      <c r="S716" s="14"/>
      <c r="T716" s="43">
        <f t="shared" si="616"/>
        <v>0</v>
      </c>
      <c r="U716" s="10">
        <f t="shared" si="617"/>
        <v>0</v>
      </c>
    </row>
    <row r="717" spans="1:21" x14ac:dyDescent="0.15">
      <c r="A717" s="22"/>
      <c r="B717" s="7"/>
      <c r="C717" s="8"/>
      <c r="D717" s="9"/>
      <c r="E717" s="43">
        <f t="shared" si="612"/>
        <v>0</v>
      </c>
      <c r="F717" s="11"/>
      <c r="G717" s="8"/>
      <c r="H717" s="9"/>
      <c r="I717" s="43">
        <f t="shared" si="613"/>
        <v>0</v>
      </c>
      <c r="J717" s="10">
        <f t="shared" si="614"/>
        <v>0</v>
      </c>
      <c r="L717" s="22"/>
      <c r="M717" s="12"/>
      <c r="N717" s="13"/>
      <c r="O717" s="14"/>
      <c r="P717" s="43">
        <f t="shared" si="615"/>
        <v>0</v>
      </c>
      <c r="Q717" s="15"/>
      <c r="R717" s="13"/>
      <c r="S717" s="14"/>
      <c r="T717" s="43">
        <f t="shared" si="616"/>
        <v>0</v>
      </c>
      <c r="U717" s="10">
        <f t="shared" si="617"/>
        <v>0</v>
      </c>
    </row>
    <row r="718" spans="1:21" x14ac:dyDescent="0.15">
      <c r="A718" s="24"/>
      <c r="B718" s="7"/>
      <c r="C718" s="8"/>
      <c r="D718" s="9"/>
      <c r="E718" s="43">
        <f t="shared" si="612"/>
        <v>0</v>
      </c>
      <c r="F718" s="11"/>
      <c r="G718" s="8"/>
      <c r="H718" s="9"/>
      <c r="I718" s="43">
        <f t="shared" si="613"/>
        <v>0</v>
      </c>
      <c r="J718" s="10">
        <f t="shared" si="614"/>
        <v>0</v>
      </c>
      <c r="L718" s="22"/>
      <c r="M718" s="12"/>
      <c r="N718" s="13"/>
      <c r="O718" s="14"/>
      <c r="P718" s="43">
        <f t="shared" si="615"/>
        <v>0</v>
      </c>
      <c r="Q718" s="15"/>
      <c r="R718" s="13"/>
      <c r="S718" s="14"/>
      <c r="T718" s="43">
        <f t="shared" si="616"/>
        <v>0</v>
      </c>
      <c r="U718" s="10">
        <f t="shared" si="617"/>
        <v>0</v>
      </c>
    </row>
    <row r="719" spans="1:21" x14ac:dyDescent="0.15">
      <c r="A719" s="22"/>
      <c r="B719" s="7"/>
      <c r="C719" s="8"/>
      <c r="D719" s="9"/>
      <c r="E719" s="43">
        <f t="shared" si="612"/>
        <v>0</v>
      </c>
      <c r="F719" s="11"/>
      <c r="G719" s="8"/>
      <c r="H719" s="9"/>
      <c r="I719" s="43">
        <f t="shared" si="613"/>
        <v>0</v>
      </c>
      <c r="J719" s="10">
        <f t="shared" si="614"/>
        <v>0</v>
      </c>
      <c r="L719" s="22"/>
      <c r="M719" s="12"/>
      <c r="N719" s="13"/>
      <c r="O719" s="14"/>
      <c r="P719" s="43">
        <f t="shared" si="615"/>
        <v>0</v>
      </c>
      <c r="Q719" s="15"/>
      <c r="R719" s="13"/>
      <c r="S719" s="14"/>
      <c r="T719" s="43">
        <f t="shared" si="616"/>
        <v>0</v>
      </c>
      <c r="U719" s="10">
        <f t="shared" si="617"/>
        <v>0</v>
      </c>
    </row>
    <row r="720" spans="1:21" x14ac:dyDescent="0.15">
      <c r="A720" s="23"/>
      <c r="B720" s="7"/>
      <c r="C720" s="8"/>
      <c r="D720" s="9"/>
      <c r="E720" s="43">
        <f t="shared" si="612"/>
        <v>0</v>
      </c>
      <c r="F720" s="11"/>
      <c r="G720" s="8"/>
      <c r="H720" s="9"/>
      <c r="I720" s="43">
        <f t="shared" si="613"/>
        <v>0</v>
      </c>
      <c r="J720" s="10">
        <f t="shared" si="614"/>
        <v>0</v>
      </c>
      <c r="L720" s="22"/>
      <c r="M720" s="12"/>
      <c r="N720" s="13"/>
      <c r="O720" s="14"/>
      <c r="P720" s="43">
        <f t="shared" si="615"/>
        <v>0</v>
      </c>
      <c r="Q720" s="15"/>
      <c r="R720" s="13"/>
      <c r="S720" s="14"/>
      <c r="T720" s="43">
        <f t="shared" si="616"/>
        <v>0</v>
      </c>
      <c r="U720" s="10">
        <f t="shared" si="617"/>
        <v>0</v>
      </c>
    </row>
    <row r="721" spans="1:21" x14ac:dyDescent="0.15">
      <c r="A721" s="22"/>
      <c r="B721" s="7"/>
      <c r="C721" s="8"/>
      <c r="D721" s="9"/>
      <c r="E721" s="43">
        <f t="shared" si="612"/>
        <v>0</v>
      </c>
      <c r="F721" s="11"/>
      <c r="G721" s="8"/>
      <c r="H721" s="9"/>
      <c r="I721" s="43">
        <f t="shared" si="613"/>
        <v>0</v>
      </c>
      <c r="J721" s="10">
        <f t="shared" si="614"/>
        <v>0</v>
      </c>
      <c r="L721" s="22"/>
      <c r="M721" s="12"/>
      <c r="N721" s="13"/>
      <c r="O721" s="14"/>
      <c r="P721" s="43">
        <f t="shared" si="615"/>
        <v>0</v>
      </c>
      <c r="Q721" s="15"/>
      <c r="R721" s="13"/>
      <c r="S721" s="14"/>
      <c r="T721" s="43">
        <f t="shared" si="616"/>
        <v>0</v>
      </c>
      <c r="U721" s="10">
        <f t="shared" si="617"/>
        <v>0</v>
      </c>
    </row>
    <row r="722" spans="1:21" x14ac:dyDescent="0.15">
      <c r="A722" s="24"/>
      <c r="B722" s="7"/>
      <c r="C722" s="8"/>
      <c r="D722" s="9"/>
      <c r="E722" s="43">
        <f t="shared" si="612"/>
        <v>0</v>
      </c>
      <c r="F722" s="11"/>
      <c r="G722" s="8"/>
      <c r="H722" s="9"/>
      <c r="I722" s="43">
        <f t="shared" si="613"/>
        <v>0</v>
      </c>
      <c r="J722" s="10">
        <f t="shared" si="614"/>
        <v>0</v>
      </c>
      <c r="L722" s="22"/>
      <c r="M722" s="12"/>
      <c r="N722" s="13"/>
      <c r="O722" s="14"/>
      <c r="P722" s="43">
        <f t="shared" si="615"/>
        <v>0</v>
      </c>
      <c r="Q722" s="15"/>
      <c r="R722" s="13"/>
      <c r="S722" s="14"/>
      <c r="T722" s="43">
        <f t="shared" si="616"/>
        <v>0</v>
      </c>
      <c r="U722" s="10">
        <f t="shared" si="617"/>
        <v>0</v>
      </c>
    </row>
    <row r="723" spans="1:21" x14ac:dyDescent="0.15">
      <c r="A723" s="22"/>
      <c r="B723" s="12"/>
      <c r="C723" s="13"/>
      <c r="D723" s="14"/>
      <c r="E723" s="43">
        <f t="shared" si="612"/>
        <v>0</v>
      </c>
      <c r="F723" s="15"/>
      <c r="G723" s="13"/>
      <c r="H723" s="14"/>
      <c r="I723" s="43">
        <f t="shared" si="613"/>
        <v>0</v>
      </c>
      <c r="J723" s="10">
        <f t="shared" si="614"/>
        <v>0</v>
      </c>
      <c r="L723" s="22"/>
      <c r="M723" s="12"/>
      <c r="N723" s="13"/>
      <c r="O723" s="14"/>
      <c r="P723" s="43">
        <f t="shared" si="615"/>
        <v>0</v>
      </c>
      <c r="Q723" s="15"/>
      <c r="R723" s="13"/>
      <c r="S723" s="14"/>
      <c r="T723" s="43">
        <f t="shared" si="616"/>
        <v>0</v>
      </c>
      <c r="U723" s="10">
        <f t="shared" si="617"/>
        <v>0</v>
      </c>
    </row>
    <row r="724" spans="1:21" x14ac:dyDescent="0.15">
      <c r="A724" s="22"/>
      <c r="B724" s="7"/>
      <c r="C724" s="8"/>
      <c r="D724" s="9"/>
      <c r="E724" s="43">
        <f t="shared" si="612"/>
        <v>0</v>
      </c>
      <c r="F724" s="11"/>
      <c r="G724" s="8"/>
      <c r="H724" s="9"/>
      <c r="I724" s="43">
        <f t="shared" si="613"/>
        <v>0</v>
      </c>
      <c r="J724" s="10">
        <f t="shared" si="614"/>
        <v>0</v>
      </c>
      <c r="L724" s="22" t="s">
        <v>469</v>
      </c>
      <c r="M724" s="12">
        <v>20</v>
      </c>
      <c r="N724" s="13">
        <v>30</v>
      </c>
      <c r="O724" s="14">
        <v>25</v>
      </c>
      <c r="P724" s="43">
        <f t="shared" si="615"/>
        <v>75</v>
      </c>
      <c r="Q724" s="12">
        <v>20</v>
      </c>
      <c r="R724" s="13">
        <v>30</v>
      </c>
      <c r="S724" s="14">
        <v>25</v>
      </c>
      <c r="T724" s="43">
        <f t="shared" si="616"/>
        <v>75</v>
      </c>
      <c r="U724" s="10">
        <f t="shared" si="617"/>
        <v>150</v>
      </c>
    </row>
    <row r="725" spans="1:21" x14ac:dyDescent="0.15">
      <c r="A725" s="22"/>
      <c r="B725" s="7"/>
      <c r="C725" s="8"/>
      <c r="D725" s="9"/>
      <c r="E725" s="43">
        <f t="shared" si="612"/>
        <v>0</v>
      </c>
      <c r="F725" s="11"/>
      <c r="G725" s="8"/>
      <c r="H725" s="9"/>
      <c r="I725" s="43">
        <f t="shared" si="613"/>
        <v>0</v>
      </c>
      <c r="J725" s="10">
        <f t="shared" si="614"/>
        <v>0</v>
      </c>
      <c r="L725" s="22" t="s">
        <v>470</v>
      </c>
      <c r="M725" s="12">
        <v>20</v>
      </c>
      <c r="N725" s="13">
        <v>30</v>
      </c>
      <c r="O725" s="14">
        <v>25</v>
      </c>
      <c r="P725" s="43">
        <f t="shared" si="615"/>
        <v>75</v>
      </c>
      <c r="Q725" s="12">
        <v>20</v>
      </c>
      <c r="R725" s="13">
        <v>30</v>
      </c>
      <c r="S725" s="14">
        <v>25</v>
      </c>
      <c r="T725" s="43">
        <f t="shared" si="616"/>
        <v>75</v>
      </c>
      <c r="U725" s="10">
        <f t="shared" si="617"/>
        <v>150</v>
      </c>
    </row>
    <row r="726" spans="1:21" x14ac:dyDescent="0.15">
      <c r="A726" s="22"/>
      <c r="B726" s="7"/>
      <c r="C726" s="8"/>
      <c r="D726" s="9"/>
      <c r="E726" s="43">
        <f t="shared" si="612"/>
        <v>0</v>
      </c>
      <c r="F726" s="11"/>
      <c r="G726" s="8"/>
      <c r="H726" s="9"/>
      <c r="I726" s="43">
        <f t="shared" si="613"/>
        <v>0</v>
      </c>
      <c r="J726" s="10">
        <f t="shared" si="614"/>
        <v>0</v>
      </c>
      <c r="L726" s="22" t="s">
        <v>471</v>
      </c>
      <c r="M726" s="12">
        <v>45</v>
      </c>
      <c r="N726" s="13">
        <v>80</v>
      </c>
      <c r="O726" s="14">
        <v>60</v>
      </c>
      <c r="P726" s="43">
        <f t="shared" si="615"/>
        <v>185</v>
      </c>
      <c r="Q726" s="12">
        <v>45</v>
      </c>
      <c r="R726" s="13">
        <v>80</v>
      </c>
      <c r="S726" s="14">
        <v>60</v>
      </c>
      <c r="T726" s="43">
        <f t="shared" si="616"/>
        <v>185</v>
      </c>
      <c r="U726" s="10">
        <f t="shared" si="617"/>
        <v>370</v>
      </c>
    </row>
    <row r="727" spans="1:21" ht="14.25" thickBot="1" x14ac:dyDescent="0.2">
      <c r="A727" s="22"/>
      <c r="B727" s="7"/>
      <c r="C727" s="8"/>
      <c r="D727" s="9"/>
      <c r="E727" s="43">
        <f t="shared" si="612"/>
        <v>0</v>
      </c>
      <c r="F727" s="11"/>
      <c r="G727" s="8"/>
      <c r="H727" s="9"/>
      <c r="I727" s="43">
        <f t="shared" si="613"/>
        <v>0</v>
      </c>
      <c r="J727" s="10">
        <f t="shared" si="614"/>
        <v>0</v>
      </c>
      <c r="L727" s="22" t="s">
        <v>472</v>
      </c>
      <c r="M727" s="12">
        <v>120</v>
      </c>
      <c r="N727" s="13">
        <v>150</v>
      </c>
      <c r="O727" s="14">
        <v>110</v>
      </c>
      <c r="P727" s="43">
        <f t="shared" si="615"/>
        <v>380</v>
      </c>
      <c r="Q727" s="15">
        <v>120</v>
      </c>
      <c r="R727" s="13">
        <v>150</v>
      </c>
      <c r="S727" s="14">
        <v>110</v>
      </c>
      <c r="T727" s="43">
        <f t="shared" si="616"/>
        <v>380</v>
      </c>
      <c r="U727" s="10">
        <f t="shared" si="617"/>
        <v>760</v>
      </c>
    </row>
    <row r="728" spans="1:21" ht="14.25" thickBot="1" x14ac:dyDescent="0.2">
      <c r="A728" s="35" t="s">
        <v>17</v>
      </c>
      <c r="B728" s="40">
        <f>SUM(B702:B727)</f>
        <v>2</v>
      </c>
      <c r="C728" s="41">
        <f t="shared" ref="C728:D728" si="618">SUM(C702:C727)</f>
        <v>0</v>
      </c>
      <c r="D728" s="52">
        <f t="shared" si="618"/>
        <v>0</v>
      </c>
      <c r="E728" s="39">
        <f t="shared" si="612"/>
        <v>2</v>
      </c>
      <c r="F728" s="40">
        <f>SUM(F702:F727)</f>
        <v>2</v>
      </c>
      <c r="G728" s="41">
        <f t="shared" ref="G728:H728" si="619">SUM(G702:G727)</f>
        <v>0</v>
      </c>
      <c r="H728" s="52">
        <f t="shared" si="619"/>
        <v>0</v>
      </c>
      <c r="I728" s="39">
        <f t="shared" si="613"/>
        <v>2</v>
      </c>
      <c r="J728" s="39">
        <f>E728+I728</f>
        <v>4</v>
      </c>
      <c r="L728" s="35" t="s">
        <v>17</v>
      </c>
      <c r="M728" s="40">
        <f>SUM(M702:M727)</f>
        <v>205</v>
      </c>
      <c r="N728" s="41">
        <f t="shared" ref="N728:O728" si="620">SUM(N702:N727)</f>
        <v>290</v>
      </c>
      <c r="O728" s="52">
        <f t="shared" si="620"/>
        <v>220</v>
      </c>
      <c r="P728" s="39">
        <f t="shared" si="615"/>
        <v>715</v>
      </c>
      <c r="Q728" s="40">
        <f>SUM(Q702:Q727)</f>
        <v>205</v>
      </c>
      <c r="R728" s="41">
        <f t="shared" ref="R728:S728" si="621">SUM(R702:R727)</f>
        <v>290</v>
      </c>
      <c r="S728" s="52">
        <f t="shared" si="621"/>
        <v>220</v>
      </c>
      <c r="T728" s="39">
        <f t="shared" si="616"/>
        <v>715</v>
      </c>
      <c r="U728" s="39">
        <f>P728+T728</f>
        <v>1430</v>
      </c>
    </row>
    <row r="729" spans="1:21" ht="14.25" thickBot="1" x14ac:dyDescent="0.2">
      <c r="A729" s="21" t="s">
        <v>16</v>
      </c>
      <c r="B729" s="44">
        <f>B701-B728</f>
        <v>0</v>
      </c>
      <c r="C729" s="50">
        <f t="shared" ref="C729:D729" si="622">C701-C728</f>
        <v>0</v>
      </c>
      <c r="D729" s="51">
        <f t="shared" si="622"/>
        <v>0</v>
      </c>
      <c r="E729" s="49">
        <f>SUM(B729:D729)</f>
        <v>0</v>
      </c>
      <c r="F729" s="44">
        <f>F701-F728</f>
        <v>0</v>
      </c>
      <c r="G729" s="50">
        <f t="shared" ref="G729:H729" si="623">G701-G728</f>
        <v>0</v>
      </c>
      <c r="H729" s="51">
        <f t="shared" si="623"/>
        <v>0</v>
      </c>
      <c r="I729" s="49">
        <f>SUM(F729:H729)</f>
        <v>0</v>
      </c>
      <c r="J729" s="28">
        <f>E729+I729</f>
        <v>0</v>
      </c>
      <c r="L729" s="21" t="s">
        <v>16</v>
      </c>
      <c r="M729" s="44">
        <f>M701-M728</f>
        <v>91</v>
      </c>
      <c r="N729" s="50">
        <f t="shared" ref="N729:O729" si="624">N701-N728</f>
        <v>128</v>
      </c>
      <c r="O729" s="51">
        <f t="shared" si="624"/>
        <v>92</v>
      </c>
      <c r="P729" s="49">
        <f>SUM(M729:O729)</f>
        <v>311</v>
      </c>
      <c r="Q729" s="44">
        <f>Q701-Q728</f>
        <v>91</v>
      </c>
      <c r="R729" s="50">
        <f t="shared" ref="R729:S729" si="625">R701-R728</f>
        <v>128</v>
      </c>
      <c r="S729" s="51">
        <f t="shared" si="625"/>
        <v>92</v>
      </c>
      <c r="T729" s="49">
        <f>SUM(Q729:S729)</f>
        <v>311</v>
      </c>
      <c r="U729" s="28">
        <f>P729+T729</f>
        <v>622</v>
      </c>
    </row>
    <row r="730" spans="1:21" x14ac:dyDescent="0.15">
      <c r="L730" s="96" t="s">
        <v>454</v>
      </c>
      <c r="M730" s="88">
        <f>M729/$P$729*100</f>
        <v>29.260450160771708</v>
      </c>
      <c r="N730" s="88">
        <f t="shared" ref="N730:P730" si="626">N729/$P$729*100</f>
        <v>41.157556270096464</v>
      </c>
      <c r="O730" s="88">
        <f t="shared" si="626"/>
        <v>29.581993569131832</v>
      </c>
      <c r="P730" s="88">
        <f t="shared" si="626"/>
        <v>100</v>
      </c>
    </row>
    <row r="731" spans="1:21" x14ac:dyDescent="0.15">
      <c r="L731" s="130" t="s">
        <v>457</v>
      </c>
      <c r="M731" s="89">
        <v>29.1</v>
      </c>
      <c r="N731" s="89">
        <v>40.799999999999997</v>
      </c>
      <c r="O731" s="89">
        <v>30.1</v>
      </c>
      <c r="P731" s="89">
        <v>100</v>
      </c>
      <c r="Q731" s="89"/>
    </row>
    <row r="732" spans="1:21" x14ac:dyDescent="0.15">
      <c r="L732" s="128" t="s">
        <v>459</v>
      </c>
      <c r="M732">
        <v>30.4</v>
      </c>
      <c r="N732">
        <v>39.700000000000003</v>
      </c>
      <c r="O732">
        <v>29.9</v>
      </c>
      <c r="P732">
        <v>100</v>
      </c>
    </row>
    <row r="733" spans="1:21" x14ac:dyDescent="0.15">
      <c r="M733">
        <v>172</v>
      </c>
      <c r="N733">
        <v>241</v>
      </c>
      <c r="O733">
        <v>178</v>
      </c>
      <c r="P733">
        <v>591</v>
      </c>
      <c r="Q733">
        <v>118.8</v>
      </c>
    </row>
  </sheetData>
  <mergeCells count="107">
    <mergeCell ref="U518:U519"/>
    <mergeCell ref="A516:U516"/>
    <mergeCell ref="B518:E518"/>
    <mergeCell ref="F518:I518"/>
    <mergeCell ref="J518:J519"/>
    <mergeCell ref="M518:P518"/>
    <mergeCell ref="Q518:T518"/>
    <mergeCell ref="U475:U476"/>
    <mergeCell ref="B475:E475"/>
    <mergeCell ref="F475:I475"/>
    <mergeCell ref="J475:J476"/>
    <mergeCell ref="M475:P475"/>
    <mergeCell ref="Q475:T475"/>
    <mergeCell ref="U389:U390"/>
    <mergeCell ref="B389:E389"/>
    <mergeCell ref="F389:I389"/>
    <mergeCell ref="J389:J390"/>
    <mergeCell ref="M389:P389"/>
    <mergeCell ref="Q389:T389"/>
    <mergeCell ref="U432:U433"/>
    <mergeCell ref="B432:E432"/>
    <mergeCell ref="F432:I432"/>
    <mergeCell ref="J432:J433"/>
    <mergeCell ref="M432:P432"/>
    <mergeCell ref="Q432:T432"/>
    <mergeCell ref="U88:U89"/>
    <mergeCell ref="B88:E88"/>
    <mergeCell ref="F88:I88"/>
    <mergeCell ref="J88:J89"/>
    <mergeCell ref="M88:P88"/>
    <mergeCell ref="Q88:T88"/>
    <mergeCell ref="M217:P217"/>
    <mergeCell ref="Q217:T217"/>
    <mergeCell ref="U217:U218"/>
    <mergeCell ref="B217:E217"/>
    <mergeCell ref="F217:I217"/>
    <mergeCell ref="J217:J218"/>
    <mergeCell ref="L129:U129"/>
    <mergeCell ref="A129:J129"/>
    <mergeCell ref="M174:P174"/>
    <mergeCell ref="Q174:T174"/>
    <mergeCell ref="U174:U175"/>
    <mergeCell ref="B174:E174"/>
    <mergeCell ref="F174:I174"/>
    <mergeCell ref="J174:J175"/>
    <mergeCell ref="U131:U132"/>
    <mergeCell ref="B131:E131"/>
    <mergeCell ref="F131:I131"/>
    <mergeCell ref="J131:J132"/>
    <mergeCell ref="U2:U3"/>
    <mergeCell ref="B2:E2"/>
    <mergeCell ref="F2:I2"/>
    <mergeCell ref="J2:J3"/>
    <mergeCell ref="M2:P2"/>
    <mergeCell ref="Q2:T2"/>
    <mergeCell ref="U45:U46"/>
    <mergeCell ref="B45:E45"/>
    <mergeCell ref="F45:I45"/>
    <mergeCell ref="J45:J46"/>
    <mergeCell ref="M45:P45"/>
    <mergeCell ref="Q45:T45"/>
    <mergeCell ref="M131:P131"/>
    <mergeCell ref="Q131:T131"/>
    <mergeCell ref="U260:U261"/>
    <mergeCell ref="B303:E303"/>
    <mergeCell ref="F303:I303"/>
    <mergeCell ref="J303:J304"/>
    <mergeCell ref="B561:E561"/>
    <mergeCell ref="F561:I561"/>
    <mergeCell ref="J561:J562"/>
    <mergeCell ref="M303:P303"/>
    <mergeCell ref="Q303:T303"/>
    <mergeCell ref="U303:U304"/>
    <mergeCell ref="F301:P301"/>
    <mergeCell ref="B260:E260"/>
    <mergeCell ref="F260:I260"/>
    <mergeCell ref="J260:J261"/>
    <mergeCell ref="M260:P260"/>
    <mergeCell ref="Q260:T260"/>
    <mergeCell ref="M346:P346"/>
    <mergeCell ref="Q346:T346"/>
    <mergeCell ref="U346:U347"/>
    <mergeCell ref="B346:E346"/>
    <mergeCell ref="F346:I346"/>
    <mergeCell ref="J346:J347"/>
    <mergeCell ref="B604:E604"/>
    <mergeCell ref="F604:I604"/>
    <mergeCell ref="J604:J605"/>
    <mergeCell ref="M561:P561"/>
    <mergeCell ref="Q561:T561"/>
    <mergeCell ref="U561:U562"/>
    <mergeCell ref="M604:P604"/>
    <mergeCell ref="Q604:T604"/>
    <mergeCell ref="U604:U605"/>
    <mergeCell ref="U690:U691"/>
    <mergeCell ref="A688:U688"/>
    <mergeCell ref="B690:E690"/>
    <mergeCell ref="F690:I690"/>
    <mergeCell ref="J690:J691"/>
    <mergeCell ref="M690:P690"/>
    <mergeCell ref="Q690:T690"/>
    <mergeCell ref="U647:U648"/>
    <mergeCell ref="B647:E647"/>
    <mergeCell ref="F647:I647"/>
    <mergeCell ref="J647:J648"/>
    <mergeCell ref="M647:P647"/>
    <mergeCell ref="Q647:T647"/>
  </mergeCells>
  <phoneticPr fontId="7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８分袖インナー </vt:lpstr>
      <vt:lpstr>９分丈ボトム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AT MR</cp:lastModifiedBy>
  <dcterms:created xsi:type="dcterms:W3CDTF">2017-08-26T01:27:44Z</dcterms:created>
  <dcterms:modified xsi:type="dcterms:W3CDTF">2026-05-19T09:47:09Z</dcterms:modified>
</cp:coreProperties>
</file>