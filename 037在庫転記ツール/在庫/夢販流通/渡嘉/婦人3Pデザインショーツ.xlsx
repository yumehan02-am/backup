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渡嘉\"/>
    </mc:Choice>
  </mc:AlternateContent>
  <xr:revisionPtr revIDLastSave="0" documentId="13_ncr:1_{D674D571-D806-4480-A59B-A63A82BD92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7" i="1" l="1"/>
  <c r="D167" i="1"/>
  <c r="C167" i="1"/>
  <c r="B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1" i="1"/>
  <c r="F140" i="1"/>
  <c r="F139" i="1"/>
  <c r="F138" i="1"/>
  <c r="F137" i="1"/>
  <c r="F136" i="1"/>
  <c r="F135" i="1"/>
  <c r="F134" i="1"/>
  <c r="F133" i="1"/>
  <c r="F132" i="1"/>
  <c r="F131" i="1"/>
  <c r="E125" i="1"/>
  <c r="D125" i="1"/>
  <c r="C125" i="1"/>
  <c r="B125" i="1"/>
  <c r="F125" i="1" s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99" i="1"/>
  <c r="F98" i="1"/>
  <c r="F97" i="1"/>
  <c r="F96" i="1"/>
  <c r="F95" i="1"/>
  <c r="F94" i="1"/>
  <c r="F93" i="1"/>
  <c r="F92" i="1"/>
  <c r="F91" i="1"/>
  <c r="F90" i="1"/>
  <c r="F89" i="1"/>
  <c r="F82" i="1"/>
  <c r="F81" i="1"/>
  <c r="E83" i="1"/>
  <c r="D83" i="1"/>
  <c r="C83" i="1"/>
  <c r="F83" i="1" s="1"/>
  <c r="B83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D41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18" i="1"/>
  <c r="F17" i="1"/>
  <c r="F6" i="1"/>
  <c r="F7" i="1"/>
  <c r="F8" i="1"/>
  <c r="F9" i="1"/>
  <c r="F10" i="1"/>
  <c r="F11" i="1"/>
  <c r="F12" i="1"/>
  <c r="F13" i="1"/>
  <c r="F14" i="1"/>
  <c r="F15" i="1"/>
  <c r="F5" i="1"/>
  <c r="F4" i="1"/>
  <c r="D16" i="1"/>
  <c r="D42" i="1" s="1"/>
  <c r="D46" i="1" s="1"/>
  <c r="D58" i="1" s="1"/>
  <c r="D84" i="1" s="1"/>
  <c r="D88" i="1" s="1"/>
  <c r="D100" i="1" s="1"/>
  <c r="D126" i="1" s="1"/>
  <c r="D130" i="1" s="1"/>
  <c r="D142" i="1" s="1"/>
  <c r="B41" i="1"/>
  <c r="B16" i="1"/>
  <c r="B42" i="1" s="1"/>
  <c r="B46" i="1" s="1"/>
  <c r="B58" i="1" s="1"/>
  <c r="E41" i="1"/>
  <c r="C41" i="1"/>
  <c r="E16" i="1"/>
  <c r="C16" i="1"/>
  <c r="D168" i="1" l="1"/>
  <c r="F167" i="1"/>
  <c r="C42" i="1"/>
  <c r="C46" i="1" s="1"/>
  <c r="C58" i="1" s="1"/>
  <c r="C84" i="1" s="1"/>
  <c r="C88" i="1" s="1"/>
  <c r="C100" i="1" s="1"/>
  <c r="C126" i="1" s="1"/>
  <c r="C130" i="1" s="1"/>
  <c r="C142" i="1" s="1"/>
  <c r="C168" i="1" s="1"/>
  <c r="F16" i="1"/>
  <c r="E42" i="1"/>
  <c r="E46" i="1" s="1"/>
  <c r="E58" i="1" s="1"/>
  <c r="E84" i="1" s="1"/>
  <c r="E88" i="1" s="1"/>
  <c r="E100" i="1" s="1"/>
  <c r="E126" i="1" s="1"/>
  <c r="E130" i="1" s="1"/>
  <c r="E142" i="1" s="1"/>
  <c r="E168" i="1" s="1"/>
  <c r="F41" i="1"/>
  <c r="B84" i="1"/>
  <c r="F42" i="1" l="1"/>
  <c r="F46" i="1"/>
  <c r="F58" i="1"/>
  <c r="F84" i="1"/>
  <c r="B88" i="1"/>
  <c r="F88" i="1" l="1"/>
  <c r="B100" i="1"/>
  <c r="F100" i="1" l="1"/>
  <c r="B126" i="1"/>
  <c r="F126" i="1" l="1"/>
  <c r="B130" i="1"/>
  <c r="B142" i="1" l="1"/>
  <c r="F130" i="1"/>
  <c r="B168" i="1" l="1"/>
  <c r="F168" i="1" s="1"/>
  <c r="F142" i="1"/>
</calcChain>
</file>

<file path=xl/sharedStrings.xml><?xml version="1.0" encoding="utf-8"?>
<sst xmlns="http://schemas.openxmlformats.org/spreadsheetml/2006/main" count="166" uniqueCount="22">
  <si>
    <t>計</t>
  </si>
  <si>
    <t>日付</t>
    <rPh sb="0" eb="2">
      <t>ヒヅケ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</si>
  <si>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</si>
  <si>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</si>
  <si>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</si>
  <si>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</si>
  <si>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</si>
  <si>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3"/>
  </si>
  <si>
    <t>L</t>
    <phoneticPr fontId="3"/>
  </si>
  <si>
    <t>ロイヤルS</t>
    <phoneticPr fontId="3"/>
  </si>
  <si>
    <t>婦人3Pデザインショーツ　夢販在庫管理表</t>
    <rPh sb="0" eb="2">
      <t>フジン</t>
    </rPh>
    <rPh sb="13" eb="15">
      <t>ユメハン</t>
    </rPh>
    <rPh sb="15" eb="17">
      <t>ザイコ</t>
    </rPh>
    <rPh sb="17" eb="19">
      <t>カンリ</t>
    </rPh>
    <rPh sb="19" eb="20">
      <t>ヒョウ</t>
    </rPh>
    <phoneticPr fontId="3"/>
  </si>
  <si>
    <t>LL</t>
    <phoneticPr fontId="3"/>
  </si>
  <si>
    <t>3L</t>
    <phoneticPr fontId="3"/>
  </si>
  <si>
    <t>ロイヤルS返品</t>
    <rPh sb="5" eb="7">
      <t>ヘンピン</t>
    </rPh>
    <phoneticPr fontId="3"/>
  </si>
  <si>
    <t>ネット</t>
    <phoneticPr fontId="3"/>
  </si>
  <si>
    <t>ネット</t>
  </si>
  <si>
    <t>ネット</t>
    <phoneticPr fontId="3"/>
  </si>
  <si>
    <t>ロイヤルＳ返品</t>
    <rPh sb="5" eb="7">
      <t>ヘンピン</t>
    </rPh>
    <phoneticPr fontId="3"/>
  </si>
  <si>
    <t>ロイヤルステージ</t>
    <phoneticPr fontId="3"/>
  </si>
  <si>
    <t>4月下旬</t>
    <rPh sb="1" eb="2">
      <t>ガツ</t>
    </rPh>
    <rPh sb="2" eb="4">
      <t>ゲジュン</t>
    </rPh>
    <phoneticPr fontId="3"/>
  </si>
  <si>
    <t>棚卸</t>
    <rPh sb="0" eb="2">
      <t>タナオロシ</t>
    </rPh>
    <phoneticPr fontId="3"/>
  </si>
  <si>
    <t>在庫確認</t>
    <rPh sb="0" eb="4">
      <t>ザイコカクニン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</si>
</sst>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6" xfId="0" applyFont="1" applyBorder="1" applyAlignment="1">
      <alignment horizontal="center" vertical="center"/>
    </xf>
    <xf numFmtId="0" fontId="0" fillId="0" borderId="7" xfId="0" applyBorder="1"/>
    <xf numFmtId="0" fontId="0" fillId="2" borderId="8" xfId="0" applyFill="1" applyBorder="1"/>
    <xf numFmtId="56" fontId="0" fillId="0" borderId="6" xfId="0" applyNumberFormat="1" applyBorder="1"/>
    <xf numFmtId="0" fontId="7" fillId="0" borderId="0" xfId="0" applyFont="1"/>
    <xf numFmtId="56" fontId="0" fillId="0" borderId="9" xfId="0" applyNumberFormat="1" applyBorder="1"/>
    <xf numFmtId="0" fontId="0" fillId="0" borderId="10" xfId="0" applyBorder="1"/>
    <xf numFmtId="0" fontId="1" fillId="0" borderId="10" xfId="0" applyFont="1" applyBorder="1"/>
    <xf numFmtId="0" fontId="1" fillId="0" borderId="7" xfId="0" applyFont="1" applyBorder="1"/>
    <xf numFmtId="56" fontId="1" fillId="0" borderId="9" xfId="0" applyNumberFormat="1" applyFont="1" applyBorder="1"/>
    <xf numFmtId="0" fontId="0" fillId="0" borderId="11" xfId="0" applyBorder="1"/>
    <xf numFmtId="56" fontId="0" fillId="0" borderId="12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56" fontId="1" fillId="0" borderId="6" xfId="0" applyNumberFormat="1" applyFont="1" applyBorder="1"/>
    <xf numFmtId="56" fontId="0" fillId="0" borderId="0" xfId="0" applyNumberFormat="1"/>
    <xf numFmtId="56" fontId="1" fillId="0" borderId="0" xfId="0" applyNumberFormat="1" applyFont="1"/>
    <xf numFmtId="0" fontId="0" fillId="2" borderId="15" xfId="0" applyFill="1" applyBorder="1"/>
    <xf numFmtId="0" fontId="0" fillId="2" borderId="16" xfId="0" applyFill="1" applyBorder="1"/>
    <xf numFmtId="0" fontId="0" fillId="0" borderId="5" xfId="0" applyBorder="1"/>
    <xf numFmtId="0" fontId="6" fillId="0" borderId="5" xfId="0" applyFont="1" applyBorder="1" applyAlignment="1">
      <alignment horizontal="center" vertical="center"/>
    </xf>
    <xf numFmtId="0" fontId="5" fillId="2" borderId="15" xfId="0" applyFont="1" applyFill="1" applyBorder="1"/>
    <xf numFmtId="0" fontId="5" fillId="2" borderId="16" xfId="0" applyFont="1" applyFill="1" applyBorder="1"/>
    <xf numFmtId="0" fontId="5" fillId="0" borderId="13" xfId="0" applyFont="1" applyBorder="1"/>
    <xf numFmtId="0" fontId="0" fillId="0" borderId="17" xfId="0" applyBorder="1"/>
    <xf numFmtId="0" fontId="4" fillId="0" borderId="12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0" xfId="0" applyFill="1" applyBorder="1"/>
    <xf numFmtId="0" fontId="5" fillId="2" borderId="2" xfId="0" applyFont="1" applyFill="1" applyBorder="1"/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/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4" xfId="0" applyFill="1" applyBorder="1"/>
    <xf numFmtId="0" fontId="5" fillId="2" borderId="3" xfId="0" applyFont="1" applyFill="1" applyBorder="1"/>
    <xf numFmtId="0" fontId="0" fillId="0" borderId="25" xfId="0" applyBorder="1" applyAlignment="1">
      <alignment horizontal="center" vertical="center"/>
    </xf>
    <xf numFmtId="0" fontId="0" fillId="2" borderId="26" xfId="0" applyFill="1" applyBorder="1"/>
    <xf numFmtId="56" fontId="0" fillId="0" borderId="27" xfId="0" applyNumberFormat="1" applyBorder="1"/>
    <xf numFmtId="0" fontId="0" fillId="0" borderId="28" xfId="0" applyBorder="1" applyAlignment="1">
      <alignment horizontal="right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2" borderId="32" xfId="0" applyFill="1" applyBorder="1"/>
    <xf numFmtId="56" fontId="0" fillId="0" borderId="33" xfId="0" applyNumberFormat="1" applyBorder="1"/>
    <xf numFmtId="0" fontId="4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56" fontId="0" fillId="0" borderId="18" xfId="0" applyNumberForma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2" borderId="8" xfId="0" applyFont="1" applyFill="1" applyBorder="1"/>
    <xf numFmtId="0" fontId="7" fillId="0" borderId="34" xfId="0" applyFont="1" applyBorder="1" applyAlignment="1">
      <alignment horizontal="center" vertical="center"/>
    </xf>
    <xf numFmtId="0" fontId="7" fillId="0" borderId="21" xfId="0" applyFont="1" applyBorder="1"/>
    <xf numFmtId="0" fontId="7" fillId="0" borderId="10" xfId="0" applyFont="1" applyBorder="1"/>
    <xf numFmtId="0" fontId="7" fillId="0" borderId="11" xfId="0" applyFont="1" applyBorder="1"/>
    <xf numFmtId="56" fontId="7" fillId="0" borderId="12" xfId="0" applyNumberFormat="1" applyFont="1" applyBorder="1"/>
    <xf numFmtId="0" fontId="0" fillId="0" borderId="34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7" xfId="0" applyFont="1" applyBorder="1"/>
    <xf numFmtId="0" fontId="8" fillId="2" borderId="8" xfId="0" applyFont="1" applyFill="1" applyBorder="1"/>
    <xf numFmtId="56" fontId="8" fillId="0" borderId="9" xfId="0" applyNumberFormat="1" applyFont="1" applyBorder="1"/>
    <xf numFmtId="0" fontId="0" fillId="0" borderId="19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4"/>
  <sheetViews>
    <sheetView tabSelected="1" topLeftCell="A155" zoomScaleNormal="100" workbookViewId="0">
      <selection activeCell="G152" sqref="G152"/>
    </sheetView>
  </sheetViews>
  <sheetFormatPr defaultRowHeight="13.5" x14ac:dyDescent="0.15"/>
  <cols>
    <col min="1" max="1" width="17" customWidth="1"/>
    <col min="2" max="6" width="10" customWidth="1"/>
    <col min="7" max="7" width="11.375" customWidth="1"/>
    <col min="8" max="8" width="14.25" customWidth="1"/>
    <col min="9" max="9" width="9.25" bestFit="1" customWidth="1"/>
  </cols>
  <sheetData>
    <row r="1" spans="1:8" ht="18.75" x14ac:dyDescent="0.2">
      <c r="A1" s="1" t="s">
        <v>10</v>
      </c>
      <c r="B1" s="1"/>
    </row>
    <row r="2" spans="1:8" ht="19.5" thickBot="1" x14ac:dyDescent="0.25">
      <c r="A2" s="1"/>
      <c r="B2" s="1"/>
    </row>
    <row r="3" spans="1:8" ht="14.25" thickBot="1" x14ac:dyDescent="0.2">
      <c r="A3" s="2"/>
      <c r="B3" s="6" t="s">
        <v>7</v>
      </c>
      <c r="C3" s="3" t="s">
        <v>8</v>
      </c>
      <c r="D3" s="42" t="s">
        <v>11</v>
      </c>
      <c r="E3" s="4" t="s">
        <v>12</v>
      </c>
      <c r="F3" s="5" t="s">
        <v>0</v>
      </c>
      <c r="G3" s="6" t="s">
        <v>1</v>
      </c>
    </row>
    <row r="4" spans="1:8" s="7" customFormat="1" x14ac:dyDescent="0.15">
      <c r="A4" s="58" t="s">
        <v>2</v>
      </c>
      <c r="B4" s="49">
        <v>2</v>
      </c>
      <c r="C4" s="59">
        <v>2</v>
      </c>
      <c r="D4" s="49">
        <v>2</v>
      </c>
      <c r="E4" s="49">
        <v>2</v>
      </c>
      <c r="F4" s="50">
        <f>SUM(B4:E4)</f>
        <v>8</v>
      </c>
      <c r="G4" s="51">
        <v>42565</v>
      </c>
      <c r="H4"/>
    </row>
    <row r="5" spans="1:8" x14ac:dyDescent="0.15">
      <c r="A5" s="8" t="s">
        <v>3</v>
      </c>
      <c r="B5" s="45"/>
      <c r="C5" s="9">
        <v>5</v>
      </c>
      <c r="D5" s="35">
        <v>5</v>
      </c>
      <c r="E5" s="9"/>
      <c r="F5" s="10">
        <f>SUM(B5:E5)</f>
        <v>10</v>
      </c>
      <c r="G5" s="11">
        <v>42574</v>
      </c>
      <c r="H5" s="12"/>
    </row>
    <row r="6" spans="1:8" x14ac:dyDescent="0.15">
      <c r="A6" s="8" t="s">
        <v>3</v>
      </c>
      <c r="B6" s="45">
        <v>5</v>
      </c>
      <c r="C6" s="18"/>
      <c r="D6" s="14"/>
      <c r="E6" s="9"/>
      <c r="F6" s="10">
        <f t="shared" ref="F6:F15" si="0">SUM(B6:E6)</f>
        <v>5</v>
      </c>
      <c r="G6" s="13">
        <v>42585</v>
      </c>
    </row>
    <row r="7" spans="1:8" x14ac:dyDescent="0.15">
      <c r="A7" s="8" t="s">
        <v>3</v>
      </c>
      <c r="B7" s="45"/>
      <c r="C7" s="18">
        <v>5</v>
      </c>
      <c r="D7" s="14"/>
      <c r="E7" s="9"/>
      <c r="F7" s="10">
        <f t="shared" si="0"/>
        <v>5</v>
      </c>
      <c r="G7" s="13">
        <v>42608</v>
      </c>
    </row>
    <row r="8" spans="1:8" x14ac:dyDescent="0.15">
      <c r="A8" s="8" t="s">
        <v>13</v>
      </c>
      <c r="B8" s="45"/>
      <c r="C8" s="43">
        <v>2</v>
      </c>
      <c r="D8" s="15">
        <v>2</v>
      </c>
      <c r="E8" s="16"/>
      <c r="F8" s="10">
        <f t="shared" si="0"/>
        <v>4</v>
      </c>
      <c r="G8" s="17">
        <v>42620</v>
      </c>
    </row>
    <row r="9" spans="1:8" x14ac:dyDescent="0.15">
      <c r="A9" s="8" t="s">
        <v>3</v>
      </c>
      <c r="B9" s="45">
        <v>1</v>
      </c>
      <c r="C9" s="18">
        <v>3</v>
      </c>
      <c r="D9" s="14"/>
      <c r="E9" s="9"/>
      <c r="F9" s="10">
        <f t="shared" si="0"/>
        <v>4</v>
      </c>
      <c r="G9" s="13">
        <v>43168</v>
      </c>
    </row>
    <row r="10" spans="1:8" x14ac:dyDescent="0.15">
      <c r="A10" s="8" t="s">
        <v>3</v>
      </c>
      <c r="B10" s="45">
        <v>1</v>
      </c>
      <c r="C10" s="18"/>
      <c r="D10" s="14">
        <v>1</v>
      </c>
      <c r="E10" s="9">
        <v>2</v>
      </c>
      <c r="F10" s="10">
        <f t="shared" si="0"/>
        <v>4</v>
      </c>
      <c r="G10" s="13">
        <v>43174</v>
      </c>
    </row>
    <row r="11" spans="1:8" x14ac:dyDescent="0.15">
      <c r="A11" s="8" t="s">
        <v>3</v>
      </c>
      <c r="B11" s="45"/>
      <c r="C11" s="18">
        <v>4</v>
      </c>
      <c r="D11" s="14">
        <v>1</v>
      </c>
      <c r="E11" s="9"/>
      <c r="F11" s="10">
        <f t="shared" si="0"/>
        <v>5</v>
      </c>
      <c r="G11" s="13">
        <v>43192</v>
      </c>
    </row>
    <row r="12" spans="1:8" x14ac:dyDescent="0.15">
      <c r="A12" s="8" t="s">
        <v>13</v>
      </c>
      <c r="B12" s="45"/>
      <c r="C12" s="18">
        <v>1</v>
      </c>
      <c r="D12" s="14"/>
      <c r="E12" s="9"/>
      <c r="F12" s="10">
        <f t="shared" si="0"/>
        <v>1</v>
      </c>
      <c r="G12" s="13">
        <v>43189</v>
      </c>
    </row>
    <row r="13" spans="1:8" x14ac:dyDescent="0.15">
      <c r="A13" s="8" t="s">
        <v>3</v>
      </c>
      <c r="B13" s="45"/>
      <c r="C13" s="18"/>
      <c r="D13" s="14"/>
      <c r="E13" s="9">
        <v>1</v>
      </c>
      <c r="F13" s="10">
        <f t="shared" si="0"/>
        <v>1</v>
      </c>
      <c r="G13" s="13">
        <v>43193</v>
      </c>
    </row>
    <row r="14" spans="1:8" x14ac:dyDescent="0.15">
      <c r="A14" s="8" t="s">
        <v>3</v>
      </c>
      <c r="B14" s="45"/>
      <c r="C14" s="18"/>
      <c r="D14" s="14"/>
      <c r="E14" s="9">
        <v>1</v>
      </c>
      <c r="F14" s="10">
        <f t="shared" si="0"/>
        <v>1</v>
      </c>
      <c r="G14" s="13">
        <v>43194</v>
      </c>
    </row>
    <row r="15" spans="1:8" ht="14.25" thickBot="1" x14ac:dyDescent="0.2">
      <c r="A15" s="36" t="s">
        <v>3</v>
      </c>
      <c r="B15" s="46">
        <v>3</v>
      </c>
      <c r="C15" s="44">
        <v>1</v>
      </c>
      <c r="D15" s="14"/>
      <c r="E15" s="18"/>
      <c r="F15" s="10">
        <f t="shared" si="0"/>
        <v>4</v>
      </c>
      <c r="G15" s="19">
        <v>43196</v>
      </c>
    </row>
    <row r="16" spans="1:8" ht="14.25" thickBot="1" x14ac:dyDescent="0.2">
      <c r="A16" s="2" t="s">
        <v>4</v>
      </c>
      <c r="B16" s="20">
        <f>SUM(B4:B15)</f>
        <v>12</v>
      </c>
      <c r="C16" s="40">
        <f>SUM(C4:C15)</f>
        <v>23</v>
      </c>
      <c r="D16" s="40">
        <f>SUM(D4:D15)</f>
        <v>11</v>
      </c>
      <c r="E16" s="21">
        <f>SUM(E4:E15)</f>
        <v>6</v>
      </c>
      <c r="F16" s="22">
        <f>SUM(B16:E16)</f>
        <v>52</v>
      </c>
      <c r="G16" s="23"/>
    </row>
    <row r="17" spans="1:9" x14ac:dyDescent="0.15">
      <c r="A17" s="24" t="s">
        <v>9</v>
      </c>
      <c r="B17" s="52">
        <v>2</v>
      </c>
      <c r="C17" s="53">
        <v>2</v>
      </c>
      <c r="D17" s="54">
        <v>2</v>
      </c>
      <c r="E17" s="55">
        <v>2</v>
      </c>
      <c r="F17" s="56">
        <f>SUM(B17:E17)</f>
        <v>8</v>
      </c>
      <c r="G17" s="57">
        <v>42566</v>
      </c>
    </row>
    <row r="18" spans="1:9" x14ac:dyDescent="0.15">
      <c r="A18" s="24" t="s">
        <v>9</v>
      </c>
      <c r="B18" s="38"/>
      <c r="C18" s="9">
        <v>5</v>
      </c>
      <c r="D18" s="35">
        <v>5</v>
      </c>
      <c r="E18" s="9"/>
      <c r="F18" s="10">
        <f>SUM(B18:E18)</f>
        <v>10</v>
      </c>
      <c r="G18" s="11">
        <v>42576</v>
      </c>
      <c r="H18" s="26"/>
    </row>
    <row r="19" spans="1:9" x14ac:dyDescent="0.15">
      <c r="A19" s="24" t="s">
        <v>9</v>
      </c>
      <c r="B19" s="60">
        <v>5</v>
      </c>
      <c r="C19" s="9"/>
      <c r="D19" s="35"/>
      <c r="E19" s="9"/>
      <c r="F19" s="10">
        <f t="shared" ref="F19:F40" si="1">SUM(B19:E19)</f>
        <v>5</v>
      </c>
      <c r="G19" s="11">
        <v>42586</v>
      </c>
      <c r="H19" s="26"/>
    </row>
    <row r="20" spans="1:9" x14ac:dyDescent="0.15">
      <c r="A20" s="24" t="s">
        <v>9</v>
      </c>
      <c r="B20" s="61"/>
      <c r="C20" s="9">
        <v>5</v>
      </c>
      <c r="D20" s="35"/>
      <c r="E20" s="9"/>
      <c r="F20" s="10">
        <f t="shared" si="1"/>
        <v>5</v>
      </c>
      <c r="G20" s="11">
        <v>42611</v>
      </c>
      <c r="H20" s="26"/>
    </row>
    <row r="21" spans="1:9" x14ac:dyDescent="0.15">
      <c r="A21" s="24" t="s">
        <v>9</v>
      </c>
      <c r="B21" s="38"/>
      <c r="C21" s="9">
        <v>1</v>
      </c>
      <c r="D21" s="35">
        <v>1</v>
      </c>
      <c r="E21" s="9"/>
      <c r="F21" s="10">
        <f t="shared" si="1"/>
        <v>2</v>
      </c>
      <c r="G21" s="11">
        <v>43166</v>
      </c>
      <c r="H21" s="26"/>
    </row>
    <row r="22" spans="1:9" x14ac:dyDescent="0.15">
      <c r="A22" s="24" t="s">
        <v>14</v>
      </c>
      <c r="B22" s="38"/>
      <c r="C22" s="9">
        <v>1</v>
      </c>
      <c r="D22" s="35"/>
      <c r="E22" s="9"/>
      <c r="F22" s="10">
        <f t="shared" si="1"/>
        <v>1</v>
      </c>
      <c r="G22" s="11">
        <v>43161</v>
      </c>
      <c r="H22" s="26"/>
    </row>
    <row r="23" spans="1:9" x14ac:dyDescent="0.15">
      <c r="A23" s="24" t="s">
        <v>9</v>
      </c>
      <c r="B23" s="38">
        <v>1</v>
      </c>
      <c r="C23" s="9">
        <v>3</v>
      </c>
      <c r="D23" s="35">
        <v>1</v>
      </c>
      <c r="E23" s="9"/>
      <c r="F23" s="10">
        <f t="shared" si="1"/>
        <v>5</v>
      </c>
      <c r="G23" s="11">
        <v>43171</v>
      </c>
      <c r="H23" s="26"/>
    </row>
    <row r="24" spans="1:9" x14ac:dyDescent="0.15">
      <c r="A24" s="24" t="s">
        <v>9</v>
      </c>
      <c r="B24" s="38">
        <v>1</v>
      </c>
      <c r="C24" s="9"/>
      <c r="D24" s="35">
        <v>1</v>
      </c>
      <c r="E24" s="9">
        <v>2</v>
      </c>
      <c r="F24" s="10">
        <f t="shared" si="1"/>
        <v>4</v>
      </c>
      <c r="G24" s="11">
        <v>43175</v>
      </c>
      <c r="H24" s="26"/>
      <c r="I24" s="26"/>
    </row>
    <row r="25" spans="1:9" x14ac:dyDescent="0.15">
      <c r="A25" s="24" t="s">
        <v>9</v>
      </c>
      <c r="B25" s="38"/>
      <c r="C25" s="9">
        <v>4</v>
      </c>
      <c r="D25" s="35">
        <v>1</v>
      </c>
      <c r="E25" s="9"/>
      <c r="F25" s="10">
        <f t="shared" si="1"/>
        <v>5</v>
      </c>
      <c r="G25" s="11">
        <v>43193</v>
      </c>
      <c r="H25" s="26"/>
    </row>
    <row r="26" spans="1:9" x14ac:dyDescent="0.15">
      <c r="A26" s="24" t="s">
        <v>14</v>
      </c>
      <c r="B26" s="38"/>
      <c r="C26" s="9"/>
      <c r="D26" s="35"/>
      <c r="E26" s="9">
        <v>1</v>
      </c>
      <c r="F26" s="10">
        <f t="shared" si="1"/>
        <v>1</v>
      </c>
      <c r="G26" s="11">
        <v>43193</v>
      </c>
      <c r="H26" s="26"/>
    </row>
    <row r="27" spans="1:9" x14ac:dyDescent="0.15">
      <c r="A27" s="24" t="s">
        <v>9</v>
      </c>
      <c r="B27" s="38">
        <v>3</v>
      </c>
      <c r="C27" s="9">
        <v>2</v>
      </c>
      <c r="D27" s="35"/>
      <c r="E27" s="9"/>
      <c r="F27" s="10">
        <f t="shared" si="1"/>
        <v>5</v>
      </c>
      <c r="G27" s="11">
        <v>43199</v>
      </c>
      <c r="H27" s="27"/>
    </row>
    <row r="28" spans="1:9" x14ac:dyDescent="0.15">
      <c r="A28" s="24" t="s">
        <v>15</v>
      </c>
      <c r="B28" s="38"/>
      <c r="C28" s="9"/>
      <c r="D28" s="35"/>
      <c r="E28" s="9">
        <v>1</v>
      </c>
      <c r="F28" s="10">
        <f t="shared" si="1"/>
        <v>1</v>
      </c>
      <c r="G28" s="11">
        <v>43194</v>
      </c>
      <c r="H28" s="27"/>
    </row>
    <row r="29" spans="1:9" x14ac:dyDescent="0.15">
      <c r="A29" s="24" t="s">
        <v>9</v>
      </c>
      <c r="B29" s="38">
        <v>2</v>
      </c>
      <c r="C29" s="9"/>
      <c r="D29" s="35"/>
      <c r="E29" s="9">
        <v>3</v>
      </c>
      <c r="F29" s="10">
        <f t="shared" si="1"/>
        <v>5</v>
      </c>
      <c r="G29" s="11">
        <v>43206</v>
      </c>
      <c r="H29" s="26"/>
    </row>
    <row r="30" spans="1:9" x14ac:dyDescent="0.15">
      <c r="A30" s="24" t="s">
        <v>3</v>
      </c>
      <c r="B30" s="38">
        <v>-2</v>
      </c>
      <c r="C30" s="9"/>
      <c r="D30" s="35"/>
      <c r="E30" s="9">
        <v>-3</v>
      </c>
      <c r="F30" s="10">
        <f t="shared" si="1"/>
        <v>-5</v>
      </c>
      <c r="G30" s="11">
        <v>43203</v>
      </c>
      <c r="H30" s="26"/>
    </row>
    <row r="31" spans="1:9" x14ac:dyDescent="0.15">
      <c r="A31" s="24" t="s">
        <v>3</v>
      </c>
      <c r="B31" s="39">
        <v>-1</v>
      </c>
      <c r="C31" s="16"/>
      <c r="D31" s="37"/>
      <c r="E31" s="16"/>
      <c r="F31" s="10">
        <f t="shared" si="1"/>
        <v>-1</v>
      </c>
      <c r="G31" s="25">
        <v>43208</v>
      </c>
      <c r="H31" s="26"/>
    </row>
    <row r="32" spans="1:9" x14ac:dyDescent="0.15">
      <c r="A32" s="24" t="s">
        <v>15</v>
      </c>
      <c r="B32" s="38">
        <v>1</v>
      </c>
      <c r="C32" s="9"/>
      <c r="D32" s="35"/>
      <c r="E32" s="9"/>
      <c r="F32" s="10">
        <f t="shared" si="1"/>
        <v>1</v>
      </c>
      <c r="G32" s="11">
        <v>43208</v>
      </c>
      <c r="H32" s="26"/>
    </row>
    <row r="33" spans="1:9" x14ac:dyDescent="0.15">
      <c r="A33" s="24" t="s">
        <v>9</v>
      </c>
      <c r="B33" s="38">
        <v>2</v>
      </c>
      <c r="C33" s="9"/>
      <c r="D33" s="35">
        <v>2</v>
      </c>
      <c r="E33" s="9">
        <v>1</v>
      </c>
      <c r="F33" s="10">
        <f t="shared" si="1"/>
        <v>5</v>
      </c>
      <c r="G33" s="11">
        <v>43216</v>
      </c>
      <c r="H33" s="26"/>
    </row>
    <row r="34" spans="1:9" x14ac:dyDescent="0.15">
      <c r="A34" s="24" t="s">
        <v>3</v>
      </c>
      <c r="B34" s="38">
        <v>-2</v>
      </c>
      <c r="C34" s="9"/>
      <c r="D34" s="35">
        <v>-2</v>
      </c>
      <c r="E34" s="9">
        <v>-1</v>
      </c>
      <c r="F34" s="10">
        <f t="shared" si="1"/>
        <v>-5</v>
      </c>
      <c r="G34" s="11">
        <v>43215</v>
      </c>
      <c r="H34" s="26"/>
    </row>
    <row r="35" spans="1:9" x14ac:dyDescent="0.15">
      <c r="A35" s="24" t="s">
        <v>9</v>
      </c>
      <c r="B35" s="38"/>
      <c r="C35" s="9">
        <v>5</v>
      </c>
      <c r="D35" s="35">
        <v>3</v>
      </c>
      <c r="E35" s="9">
        <v>2</v>
      </c>
      <c r="F35" s="10">
        <f t="shared" si="1"/>
        <v>10</v>
      </c>
      <c r="G35" s="11">
        <v>43222</v>
      </c>
      <c r="H35" s="26"/>
    </row>
    <row r="36" spans="1:9" x14ac:dyDescent="0.15">
      <c r="A36" s="24" t="s">
        <v>3</v>
      </c>
      <c r="B36" s="38"/>
      <c r="C36" s="9">
        <v>-5</v>
      </c>
      <c r="D36" s="35">
        <v>-3</v>
      </c>
      <c r="E36" s="9">
        <v>-2</v>
      </c>
      <c r="F36" s="10">
        <f t="shared" si="1"/>
        <v>-10</v>
      </c>
      <c r="G36" s="11">
        <v>43221</v>
      </c>
      <c r="H36" s="26"/>
    </row>
    <row r="37" spans="1:9" x14ac:dyDescent="0.15">
      <c r="A37" s="24" t="s">
        <v>9</v>
      </c>
      <c r="B37" s="39">
        <v>1</v>
      </c>
      <c r="C37" s="9"/>
      <c r="D37" s="35">
        <v>2</v>
      </c>
      <c r="E37" s="9">
        <v>2</v>
      </c>
      <c r="F37" s="10">
        <f t="shared" si="1"/>
        <v>5</v>
      </c>
      <c r="G37" s="11">
        <v>43231</v>
      </c>
      <c r="H37" s="26"/>
    </row>
    <row r="38" spans="1:9" x14ac:dyDescent="0.15">
      <c r="A38" s="24" t="s">
        <v>3</v>
      </c>
      <c r="B38" s="38">
        <v>-1</v>
      </c>
      <c r="C38" s="9"/>
      <c r="D38" s="35">
        <v>-2</v>
      </c>
      <c r="E38" s="9">
        <v>-2</v>
      </c>
      <c r="F38" s="10">
        <f t="shared" si="1"/>
        <v>-5</v>
      </c>
      <c r="G38" s="11">
        <v>43230</v>
      </c>
      <c r="H38" s="26"/>
      <c r="I38" s="12"/>
    </row>
    <row r="39" spans="1:9" x14ac:dyDescent="0.15">
      <c r="A39" s="24" t="s">
        <v>9</v>
      </c>
      <c r="B39" s="38">
        <v>2</v>
      </c>
      <c r="C39" s="9">
        <v>1</v>
      </c>
      <c r="D39" s="35">
        <v>2</v>
      </c>
      <c r="E39" s="9"/>
      <c r="F39" s="10">
        <f t="shared" si="1"/>
        <v>5</v>
      </c>
      <c r="G39" s="11">
        <v>43238</v>
      </c>
      <c r="H39" s="26"/>
    </row>
    <row r="40" spans="1:9" ht="14.25" thickBot="1" x14ac:dyDescent="0.2">
      <c r="A40" s="24" t="s">
        <v>3</v>
      </c>
      <c r="B40" s="69">
        <v>-2</v>
      </c>
      <c r="C40" s="44">
        <v>-1</v>
      </c>
      <c r="D40" s="14">
        <v>-2</v>
      </c>
      <c r="E40" s="18"/>
      <c r="F40" s="10">
        <f t="shared" si="1"/>
        <v>-5</v>
      </c>
      <c r="G40" s="19">
        <v>43237</v>
      </c>
      <c r="H40" s="26"/>
    </row>
    <row r="41" spans="1:9" ht="14.25" thickBot="1" x14ac:dyDescent="0.2">
      <c r="A41" s="6" t="s">
        <v>5</v>
      </c>
      <c r="B41" s="40">
        <f>SUM(B17:B40)</f>
        <v>12</v>
      </c>
      <c r="C41" s="47">
        <f>SUM(C17:C40)</f>
        <v>23</v>
      </c>
      <c r="D41" s="47">
        <f>SUM(D17:D40)</f>
        <v>11</v>
      </c>
      <c r="E41" s="28">
        <f>SUM(E17:E40)</f>
        <v>6</v>
      </c>
      <c r="F41" s="29">
        <f>SUM(B41:E41)</f>
        <v>52</v>
      </c>
      <c r="G41" s="30"/>
    </row>
    <row r="42" spans="1:9" ht="14.25" thickBot="1" x14ac:dyDescent="0.2">
      <c r="A42" s="31" t="s">
        <v>6</v>
      </c>
      <c r="B42" s="41">
        <f>B16-B41</f>
        <v>0</v>
      </c>
      <c r="C42" s="48">
        <f>C16-C41</f>
        <v>0</v>
      </c>
      <c r="D42" s="48">
        <f>D16-D41</f>
        <v>0</v>
      </c>
      <c r="E42" s="32">
        <f>E16-E41</f>
        <v>0</v>
      </c>
      <c r="F42" s="33">
        <f>SUM(B42:E42)</f>
        <v>0</v>
      </c>
      <c r="G42" s="34"/>
      <c r="H42" s="7"/>
      <c r="I42" s="7"/>
    </row>
    <row r="43" spans="1:9" ht="18.75" x14ac:dyDescent="0.2">
      <c r="A43" s="1" t="s">
        <v>10</v>
      </c>
      <c r="B43" s="1"/>
    </row>
    <row r="44" spans="1:9" ht="19.5" thickBot="1" x14ac:dyDescent="0.25">
      <c r="A44" s="1"/>
      <c r="B44" s="1"/>
    </row>
    <row r="45" spans="1:9" ht="14.25" thickBot="1" x14ac:dyDescent="0.2">
      <c r="A45" s="2"/>
      <c r="B45" s="6" t="s">
        <v>7</v>
      </c>
      <c r="C45" s="3" t="s">
        <v>8</v>
      </c>
      <c r="D45" s="42" t="s">
        <v>11</v>
      </c>
      <c r="E45" s="4" t="s">
        <v>12</v>
      </c>
      <c r="F45" s="5" t="s">
        <v>0</v>
      </c>
      <c r="G45" s="6" t="s">
        <v>1</v>
      </c>
    </row>
    <row r="46" spans="1:9" x14ac:dyDescent="0.15">
      <c r="A46" s="8" t="s">
        <v>6</v>
      </c>
      <c r="B46" s="49">
        <f>B42</f>
        <v>0</v>
      </c>
      <c r="C46" s="49">
        <f>C42</f>
        <v>0</v>
      </c>
      <c r="D46" s="49">
        <f>D42</f>
        <v>0</v>
      </c>
      <c r="E46" s="49">
        <f>E42</f>
        <v>0</v>
      </c>
      <c r="F46" s="50">
        <f>SUM(B46:E46)</f>
        <v>0</v>
      </c>
      <c r="G46" s="51"/>
    </row>
    <row r="47" spans="1:9" x14ac:dyDescent="0.15">
      <c r="A47" s="8" t="s">
        <v>3</v>
      </c>
      <c r="B47" s="45">
        <v>4</v>
      </c>
      <c r="C47" s="9"/>
      <c r="D47" s="35"/>
      <c r="E47" s="9">
        <v>1</v>
      </c>
      <c r="F47" s="10">
        <f>SUM(B47:E47)</f>
        <v>5</v>
      </c>
      <c r="G47" s="11">
        <v>43243</v>
      </c>
    </row>
    <row r="48" spans="1:9" x14ac:dyDescent="0.15">
      <c r="A48" s="8" t="s">
        <v>3</v>
      </c>
      <c r="B48" s="45"/>
      <c r="C48" s="18">
        <v>3</v>
      </c>
      <c r="D48" s="14"/>
      <c r="E48" s="9">
        <v>2</v>
      </c>
      <c r="F48" s="10">
        <f t="shared" ref="F48:F57" si="2">SUM(B48:E48)</f>
        <v>5</v>
      </c>
      <c r="G48" s="13">
        <v>43252</v>
      </c>
    </row>
    <row r="49" spans="1:8" x14ac:dyDescent="0.15">
      <c r="A49" s="8" t="s">
        <v>3</v>
      </c>
      <c r="B49" s="45">
        <v>1</v>
      </c>
      <c r="C49" s="18"/>
      <c r="D49" s="14"/>
      <c r="E49" s="9"/>
      <c r="F49" s="10">
        <f t="shared" si="2"/>
        <v>1</v>
      </c>
      <c r="G49" s="13">
        <v>43257</v>
      </c>
    </row>
    <row r="50" spans="1:8" x14ac:dyDescent="0.15">
      <c r="A50" s="8" t="s">
        <v>3</v>
      </c>
      <c r="B50" s="45">
        <v>4</v>
      </c>
      <c r="C50" s="18"/>
      <c r="D50" s="14">
        <v>1</v>
      </c>
      <c r="E50" s="9"/>
      <c r="F50" s="10">
        <f t="shared" si="2"/>
        <v>5</v>
      </c>
      <c r="G50" s="13">
        <v>43258</v>
      </c>
    </row>
    <row r="51" spans="1:8" x14ac:dyDescent="0.15">
      <c r="A51" s="8" t="s">
        <v>3</v>
      </c>
      <c r="B51" s="45"/>
      <c r="C51" s="18">
        <v>2</v>
      </c>
      <c r="D51" s="14">
        <v>2</v>
      </c>
      <c r="E51" s="9">
        <v>1</v>
      </c>
      <c r="F51" s="10">
        <f t="shared" si="2"/>
        <v>5</v>
      </c>
      <c r="G51" s="13">
        <v>43259</v>
      </c>
    </row>
    <row r="52" spans="1:8" x14ac:dyDescent="0.15">
      <c r="A52" s="8" t="s">
        <v>3</v>
      </c>
      <c r="B52" s="45">
        <v>2</v>
      </c>
      <c r="C52" s="18"/>
      <c r="D52" s="14"/>
      <c r="E52" s="9"/>
      <c r="F52" s="10">
        <f t="shared" si="2"/>
        <v>2</v>
      </c>
      <c r="G52" s="13">
        <v>43265</v>
      </c>
    </row>
    <row r="53" spans="1:8" x14ac:dyDescent="0.15">
      <c r="A53" s="8" t="s">
        <v>3</v>
      </c>
      <c r="B53" s="45">
        <v>2</v>
      </c>
      <c r="C53" s="18"/>
      <c r="D53" s="14"/>
      <c r="E53" s="9"/>
      <c r="F53" s="10">
        <f t="shared" si="2"/>
        <v>2</v>
      </c>
      <c r="G53" s="13">
        <v>43266</v>
      </c>
    </row>
    <row r="54" spans="1:8" x14ac:dyDescent="0.15">
      <c r="A54" s="8" t="s">
        <v>17</v>
      </c>
      <c r="B54" s="45"/>
      <c r="C54" s="43"/>
      <c r="D54" s="15"/>
      <c r="E54" s="16">
        <v>2</v>
      </c>
      <c r="F54" s="10">
        <f t="shared" si="2"/>
        <v>2</v>
      </c>
      <c r="G54" s="17">
        <v>43270</v>
      </c>
    </row>
    <row r="55" spans="1:8" x14ac:dyDescent="0.15">
      <c r="A55" s="8" t="s">
        <v>3</v>
      </c>
      <c r="B55" s="45"/>
      <c r="C55" s="18">
        <v>1</v>
      </c>
      <c r="D55" s="14"/>
      <c r="E55" s="9"/>
      <c r="F55" s="10">
        <f t="shared" si="2"/>
        <v>1</v>
      </c>
      <c r="G55" s="26">
        <v>43277</v>
      </c>
      <c r="H55" s="26"/>
    </row>
    <row r="56" spans="1:8" x14ac:dyDescent="0.15">
      <c r="A56" s="8" t="s">
        <v>3</v>
      </c>
      <c r="B56" s="45"/>
      <c r="C56" s="18">
        <v>1</v>
      </c>
      <c r="D56" s="14"/>
      <c r="E56" s="9"/>
      <c r="F56" s="10">
        <f t="shared" si="2"/>
        <v>1</v>
      </c>
      <c r="G56" s="26">
        <v>43279</v>
      </c>
      <c r="H56" s="26"/>
    </row>
    <row r="57" spans="1:8" ht="14.25" thickBot="1" x14ac:dyDescent="0.2">
      <c r="A57" s="36" t="s">
        <v>3</v>
      </c>
      <c r="B57" s="46"/>
      <c r="C57" s="44">
        <v>1</v>
      </c>
      <c r="D57" s="14"/>
      <c r="E57" s="18"/>
      <c r="F57" s="10">
        <f t="shared" si="2"/>
        <v>1</v>
      </c>
      <c r="G57" s="19">
        <v>43292</v>
      </c>
    </row>
    <row r="58" spans="1:8" ht="14.25" thickBot="1" x14ac:dyDescent="0.2">
      <c r="A58" s="2" t="s">
        <v>4</v>
      </c>
      <c r="B58" s="20">
        <f>SUM(B46:B57)</f>
        <v>13</v>
      </c>
      <c r="C58" s="40">
        <f>SUM(C46:C57)</f>
        <v>8</v>
      </c>
      <c r="D58" s="40">
        <f>SUM(D46:D57)</f>
        <v>3</v>
      </c>
      <c r="E58" s="21">
        <f>SUM(E46:E57)</f>
        <v>6</v>
      </c>
      <c r="F58" s="22">
        <f>SUM(B58:E58)</f>
        <v>30</v>
      </c>
      <c r="G58" s="23"/>
    </row>
    <row r="59" spans="1:8" x14ac:dyDescent="0.15">
      <c r="A59" s="24" t="s">
        <v>9</v>
      </c>
      <c r="B59" s="52">
        <v>4</v>
      </c>
      <c r="C59" s="53"/>
      <c r="D59" s="54"/>
      <c r="E59" s="55">
        <v>1</v>
      </c>
      <c r="F59" s="56">
        <f>SUM(B59:E59)</f>
        <v>5</v>
      </c>
      <c r="G59" s="57">
        <v>43244</v>
      </c>
    </row>
    <row r="60" spans="1:8" x14ac:dyDescent="0.15">
      <c r="A60" s="24" t="s">
        <v>9</v>
      </c>
      <c r="B60" s="38"/>
      <c r="C60" s="9">
        <v>3</v>
      </c>
      <c r="D60" s="35"/>
      <c r="E60" s="9">
        <v>2</v>
      </c>
      <c r="F60" s="10">
        <f>SUM(B60:E60)</f>
        <v>5</v>
      </c>
      <c r="G60" s="11">
        <v>43255</v>
      </c>
    </row>
    <row r="61" spans="1:8" x14ac:dyDescent="0.15">
      <c r="A61" s="24" t="s">
        <v>16</v>
      </c>
      <c r="B61" s="38">
        <v>1</v>
      </c>
      <c r="C61" s="9"/>
      <c r="D61" s="35"/>
      <c r="E61" s="9"/>
      <c r="F61" s="10">
        <f t="shared" ref="F61:F82" si="3">SUM(B61:E61)</f>
        <v>1</v>
      </c>
      <c r="G61" s="11">
        <v>43258</v>
      </c>
    </row>
    <row r="62" spans="1:8" x14ac:dyDescent="0.15">
      <c r="A62" s="24" t="s">
        <v>9</v>
      </c>
      <c r="B62" s="38">
        <v>4</v>
      </c>
      <c r="C62" s="9"/>
      <c r="D62" s="35">
        <v>1</v>
      </c>
      <c r="E62" s="9"/>
      <c r="F62" s="10">
        <f t="shared" si="3"/>
        <v>5</v>
      </c>
      <c r="G62" s="11">
        <v>43259</v>
      </c>
    </row>
    <row r="63" spans="1:8" x14ac:dyDescent="0.15">
      <c r="A63" s="24" t="s">
        <v>9</v>
      </c>
      <c r="B63" s="38"/>
      <c r="C63" s="9">
        <v>2</v>
      </c>
      <c r="D63" s="35">
        <v>2</v>
      </c>
      <c r="E63" s="9">
        <v>1</v>
      </c>
      <c r="F63" s="10">
        <f t="shared" si="3"/>
        <v>5</v>
      </c>
      <c r="G63" s="11">
        <v>43262</v>
      </c>
    </row>
    <row r="64" spans="1:8" x14ac:dyDescent="0.15">
      <c r="A64" s="24" t="s">
        <v>9</v>
      </c>
      <c r="B64" s="38">
        <v>2</v>
      </c>
      <c r="C64" s="9"/>
      <c r="D64" s="35"/>
      <c r="E64" s="9"/>
      <c r="F64" s="10">
        <f t="shared" si="3"/>
        <v>2</v>
      </c>
      <c r="G64" s="11">
        <v>43266</v>
      </c>
    </row>
    <row r="65" spans="1:7" x14ac:dyDescent="0.15">
      <c r="A65" s="24" t="s">
        <v>9</v>
      </c>
      <c r="B65" s="38">
        <v>2</v>
      </c>
      <c r="C65" s="9"/>
      <c r="D65" s="35"/>
      <c r="E65" s="9"/>
      <c r="F65" s="10">
        <f t="shared" si="3"/>
        <v>2</v>
      </c>
      <c r="G65" s="11">
        <v>43269</v>
      </c>
    </row>
    <row r="66" spans="1:7" x14ac:dyDescent="0.15">
      <c r="A66" s="24" t="s">
        <v>9</v>
      </c>
      <c r="B66" s="38"/>
      <c r="C66" s="9">
        <v>1</v>
      </c>
      <c r="D66" s="35"/>
      <c r="E66" s="9"/>
      <c r="F66" s="10">
        <f t="shared" si="3"/>
        <v>1</v>
      </c>
      <c r="G66" s="11">
        <v>43277</v>
      </c>
    </row>
    <row r="67" spans="1:7" x14ac:dyDescent="0.15">
      <c r="A67" s="24" t="s">
        <v>9</v>
      </c>
      <c r="B67" s="38"/>
      <c r="C67" s="9">
        <v>1</v>
      </c>
      <c r="D67" s="35"/>
      <c r="E67" s="9"/>
      <c r="F67" s="10">
        <f t="shared" si="3"/>
        <v>1</v>
      </c>
      <c r="G67" s="11">
        <v>43279</v>
      </c>
    </row>
    <row r="68" spans="1:7" x14ac:dyDescent="0.15">
      <c r="A68" s="24" t="s">
        <v>9</v>
      </c>
      <c r="B68" s="38"/>
      <c r="C68" s="9">
        <v>1</v>
      </c>
      <c r="D68" s="35"/>
      <c r="E68" s="9"/>
      <c r="F68" s="10">
        <f t="shared" si="3"/>
        <v>1</v>
      </c>
      <c r="G68" s="11">
        <v>43293</v>
      </c>
    </row>
    <row r="69" spans="1:7" x14ac:dyDescent="0.15">
      <c r="A69" s="24" t="s">
        <v>14</v>
      </c>
      <c r="B69" s="38"/>
      <c r="C69" s="9">
        <v>1</v>
      </c>
      <c r="D69" s="35"/>
      <c r="E69" s="9"/>
      <c r="F69" s="10">
        <f t="shared" si="3"/>
        <v>1</v>
      </c>
      <c r="G69" s="11">
        <v>43291</v>
      </c>
    </row>
    <row r="70" spans="1:7" x14ac:dyDescent="0.15">
      <c r="A70" s="24" t="s">
        <v>3</v>
      </c>
      <c r="B70" s="38"/>
      <c r="C70" s="9">
        <v>-1</v>
      </c>
      <c r="D70" s="35"/>
      <c r="E70" s="9"/>
      <c r="F70" s="10">
        <f t="shared" si="3"/>
        <v>-1</v>
      </c>
      <c r="G70" s="11">
        <v>43291</v>
      </c>
    </row>
    <row r="71" spans="1:7" x14ac:dyDescent="0.15">
      <c r="A71" s="8" t="s">
        <v>17</v>
      </c>
      <c r="B71" s="38">
        <v>-1</v>
      </c>
      <c r="C71" s="9"/>
      <c r="D71" s="35"/>
      <c r="E71" s="9"/>
      <c r="F71" s="10">
        <f t="shared" si="3"/>
        <v>-1</v>
      </c>
      <c r="G71" s="11">
        <v>43293</v>
      </c>
    </row>
    <row r="72" spans="1:7" x14ac:dyDescent="0.15">
      <c r="A72" s="24" t="s">
        <v>9</v>
      </c>
      <c r="B72" s="38"/>
      <c r="C72" s="9">
        <v>2</v>
      </c>
      <c r="D72" s="35">
        <v>1</v>
      </c>
      <c r="E72" s="9"/>
      <c r="F72" s="10">
        <f t="shared" si="3"/>
        <v>3</v>
      </c>
      <c r="G72" s="11">
        <v>43301</v>
      </c>
    </row>
    <row r="73" spans="1:7" x14ac:dyDescent="0.15">
      <c r="A73" s="24" t="s">
        <v>3</v>
      </c>
      <c r="B73" s="39"/>
      <c r="C73" s="9">
        <v>-2</v>
      </c>
      <c r="D73" s="35">
        <v>-1</v>
      </c>
      <c r="E73" s="9"/>
      <c r="F73" s="10">
        <f t="shared" si="3"/>
        <v>-3</v>
      </c>
      <c r="G73" s="11">
        <v>43300</v>
      </c>
    </row>
    <row r="74" spans="1:7" x14ac:dyDescent="0.15">
      <c r="A74" s="24" t="s">
        <v>9</v>
      </c>
      <c r="B74" s="38"/>
      <c r="C74" s="9">
        <v>1</v>
      </c>
      <c r="D74" s="35">
        <v>2</v>
      </c>
      <c r="E74" s="9">
        <v>2</v>
      </c>
      <c r="F74" s="10">
        <f t="shared" si="3"/>
        <v>5</v>
      </c>
      <c r="G74" s="11">
        <v>43304</v>
      </c>
    </row>
    <row r="75" spans="1:7" x14ac:dyDescent="0.15">
      <c r="A75" s="24" t="s">
        <v>3</v>
      </c>
      <c r="B75" s="38"/>
      <c r="C75" s="9">
        <v>-1</v>
      </c>
      <c r="D75" s="35">
        <v>-2</v>
      </c>
      <c r="E75" s="9">
        <v>-2</v>
      </c>
      <c r="F75" s="10">
        <f t="shared" si="3"/>
        <v>-5</v>
      </c>
      <c r="G75" s="11">
        <v>43301</v>
      </c>
    </row>
    <row r="76" spans="1:7" x14ac:dyDescent="0.15">
      <c r="A76" s="24" t="s">
        <v>14</v>
      </c>
      <c r="B76" s="38"/>
      <c r="C76" s="9">
        <v>1</v>
      </c>
      <c r="D76" s="35"/>
      <c r="E76" s="9">
        <v>1</v>
      </c>
      <c r="F76" s="10">
        <f t="shared" si="3"/>
        <v>2</v>
      </c>
      <c r="G76" s="11">
        <v>43301</v>
      </c>
    </row>
    <row r="77" spans="1:7" x14ac:dyDescent="0.15">
      <c r="A77" s="24" t="s">
        <v>3</v>
      </c>
      <c r="B77" s="38"/>
      <c r="C77" s="9">
        <v>-1</v>
      </c>
      <c r="D77" s="35"/>
      <c r="E77" s="9">
        <v>-1</v>
      </c>
      <c r="F77" s="10">
        <f t="shared" si="3"/>
        <v>-2</v>
      </c>
      <c r="G77" s="11">
        <v>43301</v>
      </c>
    </row>
    <row r="78" spans="1:7" x14ac:dyDescent="0.15">
      <c r="A78" s="24" t="s">
        <v>9</v>
      </c>
      <c r="B78" s="38">
        <v>1</v>
      </c>
      <c r="C78" s="9">
        <v>2</v>
      </c>
      <c r="D78" s="35"/>
      <c r="E78" s="9"/>
      <c r="F78" s="10">
        <f t="shared" si="3"/>
        <v>3</v>
      </c>
      <c r="G78" s="11">
        <v>43306</v>
      </c>
    </row>
    <row r="79" spans="1:7" x14ac:dyDescent="0.15">
      <c r="A79" s="24" t="s">
        <v>3</v>
      </c>
      <c r="B79" s="39">
        <v>-1</v>
      </c>
      <c r="C79" s="9">
        <v>-2</v>
      </c>
      <c r="D79" s="35"/>
      <c r="E79" s="9"/>
      <c r="F79" s="10">
        <f t="shared" si="3"/>
        <v>-3</v>
      </c>
      <c r="G79" s="11">
        <v>43305</v>
      </c>
    </row>
    <row r="80" spans="1:7" x14ac:dyDescent="0.15">
      <c r="A80" s="24" t="s">
        <v>9</v>
      </c>
      <c r="B80" s="38"/>
      <c r="C80" s="9"/>
      <c r="D80" s="35">
        <v>1</v>
      </c>
      <c r="E80" s="9"/>
      <c r="F80" s="10">
        <f t="shared" si="3"/>
        <v>1</v>
      </c>
      <c r="G80" s="11">
        <v>43307</v>
      </c>
    </row>
    <row r="81" spans="1:7" x14ac:dyDescent="0.15">
      <c r="A81" s="24" t="s">
        <v>3</v>
      </c>
      <c r="B81" s="38"/>
      <c r="C81" s="9"/>
      <c r="D81" s="35">
        <v>-1</v>
      </c>
      <c r="E81" s="9"/>
      <c r="F81" s="10">
        <f t="shared" si="3"/>
        <v>-1</v>
      </c>
      <c r="G81" s="11">
        <v>43306</v>
      </c>
    </row>
    <row r="82" spans="1:7" ht="14.25" thickBot="1" x14ac:dyDescent="0.2">
      <c r="A82" s="62"/>
      <c r="B82" s="64"/>
      <c r="C82" s="65"/>
      <c r="D82" s="66"/>
      <c r="E82" s="67"/>
      <c r="F82" s="63">
        <f t="shared" si="3"/>
        <v>0</v>
      </c>
      <c r="G82" s="68"/>
    </row>
    <row r="83" spans="1:7" ht="14.25" thickBot="1" x14ac:dyDescent="0.2">
      <c r="A83" s="6" t="s">
        <v>5</v>
      </c>
      <c r="B83" s="40">
        <f>SUM(B59:B82)</f>
        <v>12</v>
      </c>
      <c r="C83" s="47">
        <f>SUM(C59:C82)</f>
        <v>8</v>
      </c>
      <c r="D83" s="47">
        <f>SUM(D59:D82)</f>
        <v>3</v>
      </c>
      <c r="E83" s="28">
        <f>SUM(E59:E82)</f>
        <v>4</v>
      </c>
      <c r="F83" s="29">
        <f>SUM(B83:E83)</f>
        <v>27</v>
      </c>
      <c r="G83" s="30"/>
    </row>
    <row r="84" spans="1:7" ht="14.25" thickBot="1" x14ac:dyDescent="0.2">
      <c r="A84" s="31" t="s">
        <v>6</v>
      </c>
      <c r="B84" s="41">
        <f>B58-B83</f>
        <v>1</v>
      </c>
      <c r="C84" s="48">
        <f>C58-C83</f>
        <v>0</v>
      </c>
      <c r="D84" s="48">
        <f>D58-D83</f>
        <v>0</v>
      </c>
      <c r="E84" s="32">
        <f>E58-E83</f>
        <v>2</v>
      </c>
      <c r="F84" s="33">
        <f>SUM(B84:E84)</f>
        <v>3</v>
      </c>
      <c r="G84" s="34"/>
    </row>
    <row r="85" spans="1:7" ht="18.75" x14ac:dyDescent="0.2">
      <c r="A85" s="1" t="s">
        <v>10</v>
      </c>
      <c r="B85" s="1"/>
    </row>
    <row r="86" spans="1:7" ht="19.5" thickBot="1" x14ac:dyDescent="0.25">
      <c r="A86" s="1"/>
      <c r="B86" s="1"/>
    </row>
    <row r="87" spans="1:7" ht="14.25" thickBot="1" x14ac:dyDescent="0.2">
      <c r="A87" s="2"/>
      <c r="B87" s="6" t="s">
        <v>7</v>
      </c>
      <c r="C87" s="3" t="s">
        <v>8</v>
      </c>
      <c r="D87" s="42" t="s">
        <v>11</v>
      </c>
      <c r="E87" s="4" t="s">
        <v>12</v>
      </c>
      <c r="F87" s="5" t="s">
        <v>0</v>
      </c>
      <c r="G87" s="6" t="s">
        <v>1</v>
      </c>
    </row>
    <row r="88" spans="1:7" x14ac:dyDescent="0.15">
      <c r="A88" s="8" t="s">
        <v>6</v>
      </c>
      <c r="B88" s="49">
        <f>B84</f>
        <v>1</v>
      </c>
      <c r="C88" s="49">
        <f>C84</f>
        <v>0</v>
      </c>
      <c r="D88" s="49">
        <f>D84</f>
        <v>0</v>
      </c>
      <c r="E88" s="49">
        <f>E84</f>
        <v>2</v>
      </c>
      <c r="F88" s="50">
        <f>SUM(B88:E88)</f>
        <v>3</v>
      </c>
      <c r="G88" s="51"/>
    </row>
    <row r="89" spans="1:7" x14ac:dyDescent="0.15">
      <c r="A89" s="8" t="s">
        <v>3</v>
      </c>
      <c r="B89" s="45"/>
      <c r="C89" s="9">
        <v>3</v>
      </c>
      <c r="D89" s="35">
        <v>1</v>
      </c>
      <c r="E89" s="9"/>
      <c r="F89" s="10">
        <f>SUM(B89:E89)</f>
        <v>4</v>
      </c>
      <c r="G89" s="11">
        <v>43315</v>
      </c>
    </row>
    <row r="90" spans="1:7" x14ac:dyDescent="0.15">
      <c r="A90" s="8" t="s">
        <v>3</v>
      </c>
      <c r="B90" s="45">
        <v>1</v>
      </c>
      <c r="C90" s="18"/>
      <c r="D90" s="14"/>
      <c r="E90" s="9"/>
      <c r="F90" s="10">
        <f t="shared" ref="F90:F99" si="4">SUM(B90:E90)</f>
        <v>1</v>
      </c>
      <c r="G90" s="13">
        <v>43332</v>
      </c>
    </row>
    <row r="91" spans="1:7" x14ac:dyDescent="0.15">
      <c r="A91" s="8" t="s">
        <v>3</v>
      </c>
      <c r="B91" s="45">
        <v>1</v>
      </c>
      <c r="C91" s="18"/>
      <c r="D91" s="14"/>
      <c r="E91" s="9"/>
      <c r="F91" s="10">
        <f t="shared" si="4"/>
        <v>1</v>
      </c>
      <c r="G91" s="13">
        <v>43344</v>
      </c>
    </row>
    <row r="92" spans="1:7" x14ac:dyDescent="0.15">
      <c r="A92" s="8" t="s">
        <v>3</v>
      </c>
      <c r="B92" s="45">
        <v>2</v>
      </c>
      <c r="C92" s="18">
        <v>2</v>
      </c>
      <c r="D92" s="14">
        <v>2</v>
      </c>
      <c r="E92" s="9"/>
      <c r="F92" s="10">
        <f t="shared" si="4"/>
        <v>6</v>
      </c>
      <c r="G92" s="13">
        <v>43376</v>
      </c>
    </row>
    <row r="93" spans="1:7" x14ac:dyDescent="0.15">
      <c r="A93" s="8" t="s">
        <v>3</v>
      </c>
      <c r="B93" s="45">
        <v>5</v>
      </c>
      <c r="C93" s="18">
        <v>5</v>
      </c>
      <c r="D93" s="14">
        <v>5</v>
      </c>
      <c r="E93" s="9">
        <v>5</v>
      </c>
      <c r="F93" s="10">
        <f t="shared" si="4"/>
        <v>20</v>
      </c>
      <c r="G93" s="13">
        <v>43577</v>
      </c>
    </row>
    <row r="94" spans="1:7" x14ac:dyDescent="0.15">
      <c r="A94" s="8" t="s">
        <v>3</v>
      </c>
      <c r="B94" s="45">
        <v>1</v>
      </c>
      <c r="C94" s="18"/>
      <c r="D94" s="14"/>
      <c r="E94" s="9"/>
      <c r="F94" s="10">
        <f t="shared" si="4"/>
        <v>1</v>
      </c>
      <c r="G94" s="13">
        <v>43602</v>
      </c>
    </row>
    <row r="95" spans="1:7" x14ac:dyDescent="0.15">
      <c r="A95" s="8" t="s">
        <v>3</v>
      </c>
      <c r="B95" s="45"/>
      <c r="C95" s="18"/>
      <c r="D95" s="14"/>
      <c r="E95" s="9">
        <v>1</v>
      </c>
      <c r="F95" s="10">
        <f t="shared" si="4"/>
        <v>1</v>
      </c>
      <c r="G95" s="13">
        <v>43675</v>
      </c>
    </row>
    <row r="96" spans="1:7" x14ac:dyDescent="0.15">
      <c r="A96" s="8" t="s">
        <v>13</v>
      </c>
      <c r="B96" s="45">
        <v>2</v>
      </c>
      <c r="C96" s="43">
        <v>2</v>
      </c>
      <c r="D96" s="15">
        <v>3</v>
      </c>
      <c r="E96" s="16">
        <v>4</v>
      </c>
      <c r="F96" s="10">
        <f t="shared" si="4"/>
        <v>11</v>
      </c>
      <c r="G96" s="25">
        <v>43685</v>
      </c>
    </row>
    <row r="97" spans="1:7" x14ac:dyDescent="0.15">
      <c r="A97" s="8" t="s">
        <v>3</v>
      </c>
      <c r="B97" s="45"/>
      <c r="C97" s="18"/>
      <c r="D97" s="14">
        <v>1</v>
      </c>
      <c r="E97" s="9"/>
      <c r="F97" s="10">
        <f t="shared" si="4"/>
        <v>1</v>
      </c>
      <c r="G97" s="11">
        <v>43837</v>
      </c>
    </row>
    <row r="98" spans="1:7" x14ac:dyDescent="0.15">
      <c r="A98" s="8" t="s">
        <v>3</v>
      </c>
      <c r="B98" s="45">
        <v>1</v>
      </c>
      <c r="C98" s="18"/>
      <c r="D98" s="14"/>
      <c r="E98" s="9"/>
      <c r="F98" s="10">
        <f t="shared" si="4"/>
        <v>1</v>
      </c>
      <c r="G98" s="57">
        <v>44054</v>
      </c>
    </row>
    <row r="99" spans="1:7" ht="14.25" thickBot="1" x14ac:dyDescent="0.2">
      <c r="A99" s="36" t="s">
        <v>3</v>
      </c>
      <c r="B99" s="46">
        <v>1</v>
      </c>
      <c r="C99" s="44"/>
      <c r="D99" s="14"/>
      <c r="E99" s="18"/>
      <c r="F99" s="10">
        <f t="shared" si="4"/>
        <v>1</v>
      </c>
      <c r="G99" s="19">
        <v>44120</v>
      </c>
    </row>
    <row r="100" spans="1:7" ht="14.25" thickBot="1" x14ac:dyDescent="0.2">
      <c r="A100" s="2" t="s">
        <v>4</v>
      </c>
      <c r="B100" s="20">
        <f>SUM(B88:B99)</f>
        <v>15</v>
      </c>
      <c r="C100" s="40">
        <f>SUM(C88:C99)</f>
        <v>12</v>
      </c>
      <c r="D100" s="40">
        <f>SUM(D88:D99)</f>
        <v>12</v>
      </c>
      <c r="E100" s="21">
        <f>SUM(E88:E99)</f>
        <v>12</v>
      </c>
      <c r="F100" s="22">
        <f>SUM(B100:E100)</f>
        <v>51</v>
      </c>
      <c r="G100" s="23"/>
    </row>
    <row r="101" spans="1:7" x14ac:dyDescent="0.15">
      <c r="A101" s="24" t="s">
        <v>9</v>
      </c>
      <c r="B101" s="52">
        <v>1</v>
      </c>
      <c r="C101" s="53">
        <v>3</v>
      </c>
      <c r="D101" s="54">
        <v>1</v>
      </c>
      <c r="E101" s="55"/>
      <c r="F101" s="56">
        <f>SUM(B101:E101)</f>
        <v>5</v>
      </c>
      <c r="G101" s="57">
        <v>43318</v>
      </c>
    </row>
    <row r="102" spans="1:7" x14ac:dyDescent="0.15">
      <c r="A102" s="24" t="s">
        <v>14</v>
      </c>
      <c r="B102" s="38">
        <v>1</v>
      </c>
      <c r="C102" s="9"/>
      <c r="D102" s="35"/>
      <c r="E102" s="9"/>
      <c r="F102" s="10">
        <f>SUM(B102:E102)</f>
        <v>1</v>
      </c>
      <c r="G102" s="11">
        <v>43332</v>
      </c>
    </row>
    <row r="103" spans="1:7" x14ac:dyDescent="0.15">
      <c r="A103" s="24" t="s">
        <v>14</v>
      </c>
      <c r="B103" s="38">
        <v>1</v>
      </c>
      <c r="C103" s="9"/>
      <c r="D103" s="35"/>
      <c r="E103" s="9"/>
      <c r="F103" s="10">
        <f t="shared" ref="F103:F124" si="5">SUM(B103:E103)</f>
        <v>1</v>
      </c>
      <c r="G103" s="11">
        <v>43344</v>
      </c>
    </row>
    <row r="104" spans="1:7" x14ac:dyDescent="0.15">
      <c r="A104" s="24" t="s">
        <v>9</v>
      </c>
      <c r="B104" s="38"/>
      <c r="C104" s="9"/>
      <c r="D104" s="35"/>
      <c r="E104" s="9">
        <v>1</v>
      </c>
      <c r="F104" s="10">
        <f t="shared" si="5"/>
        <v>1</v>
      </c>
      <c r="G104" s="11">
        <v>43447</v>
      </c>
    </row>
    <row r="105" spans="1:7" x14ac:dyDescent="0.15">
      <c r="A105" s="24" t="s">
        <v>14</v>
      </c>
      <c r="B105" s="38">
        <v>1</v>
      </c>
      <c r="C105" s="9"/>
      <c r="D105" s="35"/>
      <c r="E105" s="9"/>
      <c r="F105" s="10">
        <f t="shared" si="5"/>
        <v>1</v>
      </c>
      <c r="G105" s="11">
        <v>43461</v>
      </c>
    </row>
    <row r="106" spans="1:7" x14ac:dyDescent="0.15">
      <c r="A106" s="24" t="s">
        <v>14</v>
      </c>
      <c r="B106" s="38">
        <v>1</v>
      </c>
      <c r="C106" s="9"/>
      <c r="D106" s="35"/>
      <c r="E106" s="9"/>
      <c r="F106" s="10">
        <f t="shared" si="5"/>
        <v>1</v>
      </c>
      <c r="G106" s="11">
        <v>43486</v>
      </c>
    </row>
    <row r="107" spans="1:7" x14ac:dyDescent="0.15">
      <c r="A107" s="24" t="s">
        <v>14</v>
      </c>
      <c r="B107" s="38"/>
      <c r="C107" s="9"/>
      <c r="D107" s="35"/>
      <c r="E107" s="9">
        <v>1</v>
      </c>
      <c r="F107" s="10">
        <f t="shared" si="5"/>
        <v>1</v>
      </c>
      <c r="G107" s="11">
        <v>43488</v>
      </c>
    </row>
    <row r="108" spans="1:7" x14ac:dyDescent="0.15">
      <c r="A108" s="24" t="s">
        <v>14</v>
      </c>
      <c r="B108" s="38">
        <v>1</v>
      </c>
      <c r="C108" s="9"/>
      <c r="D108" s="35"/>
      <c r="E108" s="9"/>
      <c r="F108" s="10">
        <f t="shared" si="5"/>
        <v>1</v>
      </c>
      <c r="G108" s="11">
        <v>43556</v>
      </c>
    </row>
    <row r="109" spans="1:7" x14ac:dyDescent="0.15">
      <c r="A109" s="24" t="s">
        <v>14</v>
      </c>
      <c r="B109" s="38"/>
      <c r="C109" s="9"/>
      <c r="D109" s="35">
        <v>1</v>
      </c>
      <c r="E109" s="9"/>
      <c r="F109" s="10">
        <f t="shared" si="5"/>
        <v>1</v>
      </c>
      <c r="G109" s="11">
        <v>43571</v>
      </c>
    </row>
    <row r="110" spans="1:7" x14ac:dyDescent="0.15">
      <c r="A110" s="24" t="s">
        <v>9</v>
      </c>
      <c r="B110" s="38">
        <v>5</v>
      </c>
      <c r="C110" s="9">
        <v>5</v>
      </c>
      <c r="D110" s="35">
        <v>5</v>
      </c>
      <c r="E110" s="9">
        <v>5</v>
      </c>
      <c r="F110" s="10">
        <f t="shared" si="5"/>
        <v>20</v>
      </c>
      <c r="G110" s="11">
        <v>43578</v>
      </c>
    </row>
    <row r="111" spans="1:7" x14ac:dyDescent="0.15">
      <c r="A111" s="24" t="s">
        <v>14</v>
      </c>
      <c r="B111" s="38">
        <v>1</v>
      </c>
      <c r="C111" s="9"/>
      <c r="D111" s="35"/>
      <c r="E111" s="9"/>
      <c r="F111" s="10">
        <f t="shared" si="5"/>
        <v>1</v>
      </c>
      <c r="G111" s="11">
        <v>43602</v>
      </c>
    </row>
    <row r="112" spans="1:7" x14ac:dyDescent="0.15">
      <c r="A112" s="24" t="s">
        <v>14</v>
      </c>
      <c r="B112" s="38"/>
      <c r="C112" s="9"/>
      <c r="D112" s="35"/>
      <c r="E112" s="9">
        <v>1</v>
      </c>
      <c r="F112" s="10">
        <f t="shared" si="5"/>
        <v>1</v>
      </c>
      <c r="G112" s="11">
        <v>43675</v>
      </c>
    </row>
    <row r="113" spans="1:7" x14ac:dyDescent="0.15">
      <c r="A113" s="24" t="s">
        <v>14</v>
      </c>
      <c r="B113" s="38"/>
      <c r="C113" s="9"/>
      <c r="D113" s="35">
        <v>1</v>
      </c>
      <c r="E113" s="9"/>
      <c r="F113" s="10">
        <f t="shared" si="5"/>
        <v>1</v>
      </c>
      <c r="G113" s="11">
        <v>43725</v>
      </c>
    </row>
    <row r="114" spans="1:7" x14ac:dyDescent="0.15">
      <c r="A114" s="24" t="s">
        <v>14</v>
      </c>
      <c r="B114" s="38"/>
      <c r="C114" s="9"/>
      <c r="D114" s="35">
        <v>1</v>
      </c>
      <c r="E114" s="9"/>
      <c r="F114" s="10">
        <f t="shared" si="5"/>
        <v>1</v>
      </c>
      <c r="G114" s="11">
        <v>43727</v>
      </c>
    </row>
    <row r="115" spans="1:7" x14ac:dyDescent="0.15">
      <c r="A115" s="24" t="s">
        <v>14</v>
      </c>
      <c r="B115" s="39"/>
      <c r="C115" s="9"/>
      <c r="D115" s="35">
        <v>1</v>
      </c>
      <c r="E115" s="9"/>
      <c r="F115" s="10">
        <f t="shared" si="5"/>
        <v>1</v>
      </c>
      <c r="G115" s="11">
        <v>43762</v>
      </c>
    </row>
    <row r="116" spans="1:7" x14ac:dyDescent="0.15">
      <c r="A116" s="24" t="s">
        <v>14</v>
      </c>
      <c r="B116" s="38"/>
      <c r="C116" s="9"/>
      <c r="D116" s="35">
        <v>1</v>
      </c>
      <c r="E116" s="9"/>
      <c r="F116" s="10">
        <f t="shared" si="5"/>
        <v>1</v>
      </c>
      <c r="G116" s="11">
        <v>43774</v>
      </c>
    </row>
    <row r="117" spans="1:7" x14ac:dyDescent="0.15">
      <c r="A117" s="24" t="s">
        <v>14</v>
      </c>
      <c r="B117" s="38"/>
      <c r="C117" s="9">
        <v>1</v>
      </c>
      <c r="D117" s="35"/>
      <c r="E117" s="9"/>
      <c r="F117" s="10">
        <f t="shared" si="5"/>
        <v>1</v>
      </c>
      <c r="G117" s="11">
        <v>43801</v>
      </c>
    </row>
    <row r="118" spans="1:7" x14ac:dyDescent="0.15">
      <c r="A118" s="24" t="s">
        <v>14</v>
      </c>
      <c r="B118" s="38"/>
      <c r="C118" s="9"/>
      <c r="D118" s="35">
        <v>1</v>
      </c>
      <c r="E118" s="9"/>
      <c r="F118" s="10">
        <f t="shared" si="5"/>
        <v>1</v>
      </c>
      <c r="G118" s="11">
        <v>43837</v>
      </c>
    </row>
    <row r="119" spans="1:7" x14ac:dyDescent="0.15">
      <c r="A119" s="24" t="s">
        <v>14</v>
      </c>
      <c r="B119" s="38">
        <v>1</v>
      </c>
      <c r="C119" s="9"/>
      <c r="D119" s="35"/>
      <c r="E119" s="9"/>
      <c r="F119" s="10">
        <f t="shared" si="5"/>
        <v>1</v>
      </c>
      <c r="G119" s="11">
        <v>43913</v>
      </c>
    </row>
    <row r="120" spans="1:7" x14ac:dyDescent="0.15">
      <c r="A120" s="24" t="s">
        <v>14</v>
      </c>
      <c r="B120" s="38">
        <v>1</v>
      </c>
      <c r="C120" s="9"/>
      <c r="D120" s="35"/>
      <c r="E120" s="9"/>
      <c r="F120" s="10">
        <f t="shared" si="5"/>
        <v>1</v>
      </c>
      <c r="G120" s="11">
        <v>44054</v>
      </c>
    </row>
    <row r="121" spans="1:7" x14ac:dyDescent="0.15">
      <c r="A121" s="24" t="s">
        <v>14</v>
      </c>
      <c r="B121" s="39">
        <v>1</v>
      </c>
      <c r="C121" s="9"/>
      <c r="D121" s="35"/>
      <c r="E121" s="9"/>
      <c r="F121" s="10">
        <f t="shared" si="5"/>
        <v>1</v>
      </c>
      <c r="G121" s="11">
        <v>44120</v>
      </c>
    </row>
    <row r="122" spans="1:7" x14ac:dyDescent="0.15">
      <c r="A122" s="24"/>
      <c r="B122" s="38"/>
      <c r="C122" s="9"/>
      <c r="D122" s="35"/>
      <c r="E122" s="9"/>
      <c r="F122" s="10">
        <f t="shared" si="5"/>
        <v>0</v>
      </c>
      <c r="G122" s="11"/>
    </row>
    <row r="123" spans="1:7" x14ac:dyDescent="0.15">
      <c r="A123" s="24"/>
      <c r="B123" s="38"/>
      <c r="C123" s="9"/>
      <c r="D123" s="35"/>
      <c r="E123" s="9"/>
      <c r="F123" s="10">
        <f t="shared" si="5"/>
        <v>0</v>
      </c>
      <c r="G123" s="11"/>
    </row>
    <row r="124" spans="1:7" ht="14.25" thickBot="1" x14ac:dyDescent="0.2">
      <c r="A124" s="24" t="s">
        <v>18</v>
      </c>
      <c r="B124" s="69"/>
      <c r="C124" s="44"/>
      <c r="D124" s="14"/>
      <c r="E124" s="18"/>
      <c r="F124" s="10">
        <f t="shared" si="5"/>
        <v>0</v>
      </c>
      <c r="G124" s="19" t="s">
        <v>19</v>
      </c>
    </row>
    <row r="125" spans="1:7" ht="14.25" thickBot="1" x14ac:dyDescent="0.2">
      <c r="A125" s="6" t="s">
        <v>5</v>
      </c>
      <c r="B125" s="40">
        <f>SUM(B101:B124)</f>
        <v>15</v>
      </c>
      <c r="C125" s="47">
        <f>SUM(C101:C124)</f>
        <v>9</v>
      </c>
      <c r="D125" s="47">
        <f>SUM(D101:D124)</f>
        <v>12</v>
      </c>
      <c r="E125" s="28">
        <f>SUM(E101:E124)</f>
        <v>8</v>
      </c>
      <c r="F125" s="29">
        <f>SUM(B125:E125)</f>
        <v>44</v>
      </c>
      <c r="G125" s="30"/>
    </row>
    <row r="126" spans="1:7" ht="14.25" thickBot="1" x14ac:dyDescent="0.2">
      <c r="A126" s="31" t="s">
        <v>6</v>
      </c>
      <c r="B126" s="41">
        <f>B100-B125</f>
        <v>0</v>
      </c>
      <c r="C126" s="48">
        <f>C100-C125</f>
        <v>3</v>
      </c>
      <c r="D126" s="48">
        <f>D100-D125</f>
        <v>0</v>
      </c>
      <c r="E126" s="32">
        <f>E100-E125</f>
        <v>4</v>
      </c>
      <c r="F126" s="33">
        <f>SUM(B126:E126)</f>
        <v>7</v>
      </c>
      <c r="G126" s="34"/>
    </row>
    <row r="127" spans="1:7" ht="18.75" x14ac:dyDescent="0.2">
      <c r="A127" s="1" t="s">
        <v>10</v>
      </c>
      <c r="B127" s="1"/>
    </row>
    <row r="128" spans="1:7" ht="19.5" thickBot="1" x14ac:dyDescent="0.25">
      <c r="A128" s="1"/>
      <c r="B128" s="1"/>
    </row>
    <row r="129" spans="1:7" ht="14.25" thickBot="1" x14ac:dyDescent="0.2">
      <c r="A129" s="2"/>
      <c r="B129" s="6" t="s">
        <v>7</v>
      </c>
      <c r="C129" s="3" t="s">
        <v>8</v>
      </c>
      <c r="D129" s="42" t="s">
        <v>11</v>
      </c>
      <c r="E129" s="4" t="s">
        <v>12</v>
      </c>
      <c r="F129" s="5" t="s">
        <v>0</v>
      </c>
      <c r="G129" s="6" t="s">
        <v>1</v>
      </c>
    </row>
    <row r="130" spans="1:7" x14ac:dyDescent="0.15">
      <c r="A130" s="8" t="s">
        <v>6</v>
      </c>
      <c r="B130" s="49">
        <f>B126</f>
        <v>0</v>
      </c>
      <c r="C130" s="49">
        <f>C126</f>
        <v>3</v>
      </c>
      <c r="D130" s="49">
        <f>D126</f>
        <v>0</v>
      </c>
      <c r="E130" s="49">
        <f>E126</f>
        <v>4</v>
      </c>
      <c r="F130" s="50">
        <f>SUM(B130:E130)</f>
        <v>7</v>
      </c>
      <c r="G130" s="51"/>
    </row>
    <row r="131" spans="1:7" x14ac:dyDescent="0.15">
      <c r="A131" s="8" t="s">
        <v>3</v>
      </c>
      <c r="B131" s="45">
        <v>1</v>
      </c>
      <c r="C131" s="9"/>
      <c r="D131" s="35"/>
      <c r="E131" s="9"/>
      <c r="F131" s="10">
        <f>SUM(B131:E131)</f>
        <v>1</v>
      </c>
      <c r="G131" s="11">
        <v>44148</v>
      </c>
    </row>
    <row r="132" spans="1:7" x14ac:dyDescent="0.15">
      <c r="A132" s="8" t="s">
        <v>3</v>
      </c>
      <c r="B132" s="45">
        <v>1</v>
      </c>
      <c r="C132" s="18"/>
      <c r="D132" s="14"/>
      <c r="E132" s="9"/>
      <c r="F132" s="10">
        <f t="shared" ref="F132:F141" si="6">SUM(B132:E132)</f>
        <v>1</v>
      </c>
      <c r="G132" s="13">
        <v>44356</v>
      </c>
    </row>
    <row r="133" spans="1:7" x14ac:dyDescent="0.15">
      <c r="A133" s="70" t="s">
        <v>20</v>
      </c>
      <c r="B133" s="71">
        <v>0</v>
      </c>
      <c r="C133" s="72">
        <v>0</v>
      </c>
      <c r="D133" s="73">
        <v>0</v>
      </c>
      <c r="E133" s="74">
        <v>0</v>
      </c>
      <c r="F133" s="75">
        <f t="shared" si="6"/>
        <v>0</v>
      </c>
      <c r="G133" s="76">
        <v>44796</v>
      </c>
    </row>
    <row r="134" spans="1:7" x14ac:dyDescent="0.15">
      <c r="A134" s="8" t="s">
        <v>21</v>
      </c>
      <c r="B134" s="45">
        <v>0</v>
      </c>
      <c r="C134" s="18">
        <v>0</v>
      </c>
      <c r="D134" s="14">
        <v>0</v>
      </c>
      <c r="E134" s="9">
        <v>0</v>
      </c>
      <c r="F134" s="10">
        <f t="shared" si="6"/>
        <v>0</v>
      </c>
      <c r="G134" s="13">
        <v>45140</v>
      </c>
    </row>
    <row r="135" spans="1:7" x14ac:dyDescent="0.15">
      <c r="A135" s="8" t="s">
        <v>21</v>
      </c>
      <c r="B135" s="45">
        <v>0</v>
      </c>
      <c r="C135" s="18">
        <v>0</v>
      </c>
      <c r="D135" s="14">
        <v>0</v>
      </c>
      <c r="E135" s="9">
        <v>0</v>
      </c>
      <c r="F135" s="10">
        <f t="shared" si="6"/>
        <v>0</v>
      </c>
      <c r="G135" s="13">
        <v>45530</v>
      </c>
    </row>
    <row r="136" spans="1:7" x14ac:dyDescent="0.15">
      <c r="A136" s="8" t="s">
        <v>3</v>
      </c>
      <c r="B136" s="45"/>
      <c r="C136" s="18"/>
      <c r="D136" s="14"/>
      <c r="E136" s="9"/>
      <c r="F136" s="10">
        <f t="shared" si="6"/>
        <v>0</v>
      </c>
      <c r="G136" s="13"/>
    </row>
    <row r="137" spans="1:7" x14ac:dyDescent="0.15">
      <c r="A137" s="8" t="s">
        <v>3</v>
      </c>
      <c r="B137" s="45"/>
      <c r="C137" s="18"/>
      <c r="D137" s="14"/>
      <c r="E137" s="9"/>
      <c r="F137" s="10">
        <f t="shared" si="6"/>
        <v>0</v>
      </c>
      <c r="G137" s="13"/>
    </row>
    <row r="138" spans="1:7" x14ac:dyDescent="0.15">
      <c r="A138" s="8" t="s">
        <v>3</v>
      </c>
      <c r="B138" s="45"/>
      <c r="C138" s="43"/>
      <c r="D138" s="15"/>
      <c r="E138" s="16"/>
      <c r="F138" s="10">
        <f t="shared" si="6"/>
        <v>0</v>
      </c>
      <c r="G138" s="25"/>
    </row>
    <row r="139" spans="1:7" x14ac:dyDescent="0.15">
      <c r="A139" s="8" t="s">
        <v>3</v>
      </c>
      <c r="B139" s="45"/>
      <c r="C139" s="18"/>
      <c r="D139" s="14"/>
      <c r="E139" s="9"/>
      <c r="F139" s="10">
        <f t="shared" si="6"/>
        <v>0</v>
      </c>
      <c r="G139" s="11"/>
    </row>
    <row r="140" spans="1:7" x14ac:dyDescent="0.15">
      <c r="A140" s="8" t="s">
        <v>3</v>
      </c>
      <c r="B140" s="45"/>
      <c r="C140" s="18"/>
      <c r="D140" s="14"/>
      <c r="E140" s="9"/>
      <c r="F140" s="10">
        <f t="shared" si="6"/>
        <v>0</v>
      </c>
      <c r="G140" s="57"/>
    </row>
    <row r="141" spans="1:7" ht="14.25" thickBot="1" x14ac:dyDescent="0.2">
      <c r="A141" s="36" t="s">
        <v>3</v>
      </c>
      <c r="B141" s="46"/>
      <c r="C141" s="44"/>
      <c r="D141" s="14"/>
      <c r="E141" s="18"/>
      <c r="F141" s="10">
        <f t="shared" si="6"/>
        <v>0</v>
      </c>
      <c r="G141" s="19"/>
    </row>
    <row r="142" spans="1:7" ht="14.25" thickBot="1" x14ac:dyDescent="0.2">
      <c r="A142" s="2" t="s">
        <v>4</v>
      </c>
      <c r="B142" s="20">
        <f>SUM(B130:B141)</f>
        <v>2</v>
      </c>
      <c r="C142" s="40">
        <f>SUM(C130:C141)</f>
        <v>3</v>
      </c>
      <c r="D142" s="40">
        <f>SUM(D130:D141)</f>
        <v>0</v>
      </c>
      <c r="E142" s="21">
        <f>SUM(E130:E141)</f>
        <v>4</v>
      </c>
      <c r="F142" s="22">
        <f>SUM(B142:E142)</f>
        <v>9</v>
      </c>
      <c r="G142" s="23"/>
    </row>
    <row r="143" spans="1:7" x14ac:dyDescent="0.15">
      <c r="A143" s="24" t="s">
        <v>14</v>
      </c>
      <c r="B143" s="52">
        <v>1</v>
      </c>
      <c r="C143" s="53"/>
      <c r="D143" s="54"/>
      <c r="E143" s="55"/>
      <c r="F143" s="56">
        <f>SUM(B143:E143)</f>
        <v>1</v>
      </c>
      <c r="G143" s="57">
        <v>44148</v>
      </c>
    </row>
    <row r="144" spans="1:7" x14ac:dyDescent="0.15">
      <c r="A144" s="24" t="s">
        <v>14</v>
      </c>
      <c r="B144" s="60">
        <v>1</v>
      </c>
      <c r="C144" s="9"/>
      <c r="D144" s="35"/>
      <c r="E144" s="9"/>
      <c r="F144" s="10">
        <f>SUM(B144:E144)</f>
        <v>1</v>
      </c>
      <c r="G144" s="11">
        <v>44356</v>
      </c>
    </row>
    <row r="145" spans="1:7" x14ac:dyDescent="0.15">
      <c r="A145" s="24" t="s">
        <v>14</v>
      </c>
      <c r="B145" s="60"/>
      <c r="C145" s="9">
        <v>2</v>
      </c>
      <c r="D145" s="35"/>
      <c r="E145" s="9"/>
      <c r="F145" s="10">
        <f t="shared" ref="F145:F166" si="7">SUM(B145:E145)</f>
        <v>2</v>
      </c>
      <c r="G145" s="11">
        <v>44494</v>
      </c>
    </row>
    <row r="146" spans="1:7" x14ac:dyDescent="0.15">
      <c r="A146" s="24" t="s">
        <v>14</v>
      </c>
      <c r="B146" s="60"/>
      <c r="C146" s="9">
        <v>1</v>
      </c>
      <c r="D146" s="35"/>
      <c r="E146" s="9"/>
      <c r="F146" s="10">
        <f t="shared" si="7"/>
        <v>1</v>
      </c>
      <c r="G146" s="11">
        <v>44508</v>
      </c>
    </row>
    <row r="147" spans="1:7" x14ac:dyDescent="0.15">
      <c r="A147" s="24" t="s">
        <v>14</v>
      </c>
      <c r="B147" s="60"/>
      <c r="C147" s="9"/>
      <c r="D147" s="35"/>
      <c r="E147" s="9">
        <v>1</v>
      </c>
      <c r="F147" s="10">
        <f t="shared" si="7"/>
        <v>1</v>
      </c>
      <c r="G147" s="11">
        <v>45311</v>
      </c>
    </row>
    <row r="148" spans="1:7" x14ac:dyDescent="0.15">
      <c r="A148" s="24" t="s">
        <v>21</v>
      </c>
      <c r="B148" s="60">
        <v>0</v>
      </c>
      <c r="C148" s="9">
        <v>0</v>
      </c>
      <c r="D148" s="35">
        <v>0</v>
      </c>
      <c r="E148" s="9">
        <v>0</v>
      </c>
      <c r="F148" s="10">
        <f t="shared" si="7"/>
        <v>0</v>
      </c>
      <c r="G148" s="11">
        <v>45895</v>
      </c>
    </row>
    <row r="149" spans="1:7" x14ac:dyDescent="0.15">
      <c r="A149" s="24" t="s">
        <v>21</v>
      </c>
      <c r="B149" s="60">
        <v>0</v>
      </c>
      <c r="C149" s="9">
        <v>0</v>
      </c>
      <c r="D149" s="35">
        <v>0</v>
      </c>
      <c r="E149" s="9">
        <v>0</v>
      </c>
      <c r="F149" s="10">
        <f t="shared" si="7"/>
        <v>0</v>
      </c>
      <c r="G149" s="11">
        <v>46078</v>
      </c>
    </row>
    <row r="150" spans="1:7" x14ac:dyDescent="0.15">
      <c r="A150" s="24" t="s">
        <v>14</v>
      </c>
      <c r="B150" s="60"/>
      <c r="C150" s="9"/>
      <c r="D150" s="35"/>
      <c r="E150" s="9">
        <v>1</v>
      </c>
      <c r="F150" s="10">
        <f t="shared" si="7"/>
        <v>1</v>
      </c>
      <c r="G150" s="11">
        <v>46084</v>
      </c>
    </row>
    <row r="151" spans="1:7" x14ac:dyDescent="0.15">
      <c r="A151" s="24"/>
      <c r="B151" s="60"/>
      <c r="C151" s="9"/>
      <c r="D151" s="35"/>
      <c r="E151" s="9"/>
      <c r="F151" s="10">
        <f t="shared" si="7"/>
        <v>0</v>
      </c>
      <c r="G151" s="11"/>
    </row>
    <row r="152" spans="1:7" x14ac:dyDescent="0.15">
      <c r="A152" s="24"/>
      <c r="B152" s="60"/>
      <c r="C152" s="9"/>
      <c r="D152" s="35"/>
      <c r="E152" s="9"/>
      <c r="F152" s="10">
        <f t="shared" si="7"/>
        <v>0</v>
      </c>
      <c r="G152" s="11"/>
    </row>
    <row r="153" spans="1:7" x14ac:dyDescent="0.15">
      <c r="A153" s="24"/>
      <c r="B153" s="60"/>
      <c r="C153" s="9"/>
      <c r="D153" s="35"/>
      <c r="E153" s="9"/>
      <c r="F153" s="10">
        <f t="shared" si="7"/>
        <v>0</v>
      </c>
      <c r="G153" s="11"/>
    </row>
    <row r="154" spans="1:7" x14ac:dyDescent="0.15">
      <c r="A154" s="24"/>
      <c r="B154" s="60"/>
      <c r="C154" s="9"/>
      <c r="D154" s="35"/>
      <c r="E154" s="9"/>
      <c r="F154" s="10">
        <f t="shared" si="7"/>
        <v>0</v>
      </c>
      <c r="G154" s="11"/>
    </row>
    <row r="155" spans="1:7" x14ac:dyDescent="0.15">
      <c r="A155" s="24"/>
      <c r="B155" s="60"/>
      <c r="C155" s="9"/>
      <c r="D155" s="35"/>
      <c r="E155" s="9"/>
      <c r="F155" s="10">
        <f t="shared" si="7"/>
        <v>0</v>
      </c>
      <c r="G155" s="11"/>
    </row>
    <row r="156" spans="1:7" x14ac:dyDescent="0.15">
      <c r="A156" s="24"/>
      <c r="B156" s="60"/>
      <c r="C156" s="9"/>
      <c r="D156" s="35"/>
      <c r="E156" s="9"/>
      <c r="F156" s="10">
        <f t="shared" si="7"/>
        <v>0</v>
      </c>
      <c r="G156" s="11"/>
    </row>
    <row r="157" spans="1:7" x14ac:dyDescent="0.15">
      <c r="A157" s="24"/>
      <c r="B157" s="77"/>
      <c r="C157" s="9"/>
      <c r="D157" s="35"/>
      <c r="E157" s="9"/>
      <c r="F157" s="10">
        <f t="shared" si="7"/>
        <v>0</v>
      </c>
      <c r="G157" s="11"/>
    </row>
    <row r="158" spans="1:7" x14ac:dyDescent="0.15">
      <c r="A158" s="24"/>
      <c r="B158" s="60"/>
      <c r="C158" s="9"/>
      <c r="D158" s="35"/>
      <c r="E158" s="9"/>
      <c r="F158" s="10">
        <f t="shared" si="7"/>
        <v>0</v>
      </c>
      <c r="G158" s="11"/>
    </row>
    <row r="159" spans="1:7" x14ac:dyDescent="0.15">
      <c r="A159" s="24"/>
      <c r="B159" s="60"/>
      <c r="C159" s="9"/>
      <c r="D159" s="35"/>
      <c r="E159" s="9"/>
      <c r="F159" s="10">
        <f t="shared" si="7"/>
        <v>0</v>
      </c>
      <c r="G159" s="11"/>
    </row>
    <row r="160" spans="1:7" x14ac:dyDescent="0.15">
      <c r="A160" s="24"/>
      <c r="B160" s="60"/>
      <c r="C160" s="9"/>
      <c r="D160" s="35"/>
      <c r="E160" s="9"/>
      <c r="F160" s="10">
        <f t="shared" si="7"/>
        <v>0</v>
      </c>
      <c r="G160" s="11"/>
    </row>
    <row r="161" spans="1:7" x14ac:dyDescent="0.15">
      <c r="A161" s="24"/>
      <c r="B161" s="60"/>
      <c r="C161" s="9"/>
      <c r="D161" s="35"/>
      <c r="E161" s="9"/>
      <c r="F161" s="10">
        <f t="shared" si="7"/>
        <v>0</v>
      </c>
      <c r="G161" s="11"/>
    </row>
    <row r="162" spans="1:7" x14ac:dyDescent="0.15">
      <c r="A162" s="24"/>
      <c r="B162" s="60"/>
      <c r="C162" s="9"/>
      <c r="D162" s="35"/>
      <c r="E162" s="9"/>
      <c r="F162" s="10">
        <f t="shared" si="7"/>
        <v>0</v>
      </c>
      <c r="G162" s="11"/>
    </row>
    <row r="163" spans="1:7" x14ac:dyDescent="0.15">
      <c r="A163" s="24"/>
      <c r="B163" s="77"/>
      <c r="C163" s="9"/>
      <c r="D163" s="35"/>
      <c r="E163" s="9"/>
      <c r="F163" s="10">
        <f t="shared" si="7"/>
        <v>0</v>
      </c>
      <c r="G163" s="11"/>
    </row>
    <row r="164" spans="1:7" x14ac:dyDescent="0.15">
      <c r="A164" s="24"/>
      <c r="B164" s="60"/>
      <c r="C164" s="9"/>
      <c r="D164" s="35"/>
      <c r="E164" s="9"/>
      <c r="F164" s="10">
        <f t="shared" si="7"/>
        <v>0</v>
      </c>
      <c r="G164" s="11"/>
    </row>
    <row r="165" spans="1:7" x14ac:dyDescent="0.15">
      <c r="A165" s="24"/>
      <c r="B165" s="60"/>
      <c r="C165" s="9"/>
      <c r="D165" s="35"/>
      <c r="E165" s="9"/>
      <c r="F165" s="10">
        <f t="shared" si="7"/>
        <v>0</v>
      </c>
      <c r="G165" s="11"/>
    </row>
    <row r="166" spans="1:7" ht="14.25" thickBot="1" x14ac:dyDescent="0.2">
      <c r="A166" s="24"/>
      <c r="B166" s="69"/>
      <c r="C166" s="44"/>
      <c r="D166" s="14"/>
      <c r="E166" s="18"/>
      <c r="F166" s="10">
        <f t="shared" si="7"/>
        <v>0</v>
      </c>
      <c r="G166" s="19"/>
    </row>
    <row r="167" spans="1:7" ht="14.25" thickBot="1" x14ac:dyDescent="0.2">
      <c r="A167" s="6" t="s">
        <v>5</v>
      </c>
      <c r="B167" s="40">
        <f>SUM(B143:B166)</f>
        <v>2</v>
      </c>
      <c r="C167" s="47">
        <f>SUM(C143:C166)</f>
        <v>3</v>
      </c>
      <c r="D167" s="47">
        <f>SUM(D143:D166)</f>
        <v>0</v>
      </c>
      <c r="E167" s="28">
        <f>SUM(E143:E166)</f>
        <v>2</v>
      </c>
      <c r="F167" s="29">
        <f>SUM(B167:E167)</f>
        <v>7</v>
      </c>
      <c r="G167" s="30"/>
    </row>
    <row r="168" spans="1:7" ht="14.25" thickBot="1" x14ac:dyDescent="0.2">
      <c r="A168" s="31" t="s">
        <v>6</v>
      </c>
      <c r="B168" s="41">
        <f>B142-B167</f>
        <v>0</v>
      </c>
      <c r="C168" s="48">
        <f>C142-C167</f>
        <v>0</v>
      </c>
      <c r="D168" s="48">
        <f>D142-D167</f>
        <v>0</v>
      </c>
      <c r="E168" s="32">
        <f>E142-E167</f>
        <v>2</v>
      </c>
      <c r="F168" s="33">
        <f>SUM(B168:E168)</f>
        <v>2</v>
      </c>
      <c r="G168" s="34"/>
    </row>
    <row r="349" spans="3:6" ht="21" x14ac:dyDescent="0.15">
      <c r="C349" ph="1"/>
      <c r="D349" ph="1"/>
      <c r="E349" ph="1"/>
      <c r="F349" ph="1"/>
    </row>
    <row r="434" spans="3:6" ht="21" x14ac:dyDescent="0.15">
      <c r="C434" ph="1"/>
      <c r="D434" ph="1"/>
      <c r="E434" ph="1"/>
      <c r="F434" ph="1"/>
    </row>
  </sheetData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村田敦彦</cp:lastModifiedBy>
  <dcterms:created xsi:type="dcterms:W3CDTF">2016-05-02T07:17:04Z</dcterms:created>
  <dcterms:modified xsi:type="dcterms:W3CDTF">2026-03-03T05:27:37Z</dcterms:modified>
</cp:coreProperties>
</file>