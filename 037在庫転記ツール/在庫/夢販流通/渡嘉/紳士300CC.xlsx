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渡嘉\"/>
    </mc:Choice>
  </mc:AlternateContent>
  <xr:revisionPtr revIDLastSave="0" documentId="13_ncr:1_{747A14C4-8418-4509-8B3C-292C086D5A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7" i="1" l="1"/>
  <c r="E228" i="1"/>
  <c r="E229" i="1"/>
  <c r="E230" i="1"/>
  <c r="E231" i="1"/>
  <c r="E232" i="1"/>
  <c r="E233" i="1"/>
  <c r="E234" i="1"/>
  <c r="E235" i="1"/>
  <c r="E236" i="1"/>
  <c r="E215" i="1"/>
  <c r="E216" i="1"/>
  <c r="E217" i="1"/>
  <c r="E218" i="1"/>
  <c r="E219" i="1"/>
  <c r="E220" i="1"/>
  <c r="E221" i="1"/>
  <c r="E222" i="1"/>
  <c r="E223" i="1"/>
  <c r="D251" i="1"/>
  <c r="C251" i="1"/>
  <c r="B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B226" i="1"/>
  <c r="E225" i="1"/>
  <c r="E224" i="1"/>
  <c r="C214" i="1"/>
  <c r="C226" i="1" s="1"/>
  <c r="B214" i="1"/>
  <c r="E179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173" i="1"/>
  <c r="E174" i="1"/>
  <c r="E175" i="1"/>
  <c r="E176" i="1"/>
  <c r="E177" i="1"/>
  <c r="E178" i="1"/>
  <c r="E180" i="1"/>
  <c r="E181" i="1"/>
  <c r="D209" i="1"/>
  <c r="C209" i="1"/>
  <c r="B209" i="1"/>
  <c r="E208" i="1"/>
  <c r="E207" i="1"/>
  <c r="E183" i="1"/>
  <c r="E182" i="1"/>
  <c r="C252" i="1" l="1"/>
  <c r="E251" i="1"/>
  <c r="B252" i="1"/>
  <c r="E209" i="1"/>
  <c r="D167" i="1"/>
  <c r="C167" i="1"/>
  <c r="B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1" i="1"/>
  <c r="E140" i="1"/>
  <c r="E139" i="1"/>
  <c r="E138" i="1"/>
  <c r="E137" i="1"/>
  <c r="E136" i="1"/>
  <c r="E135" i="1"/>
  <c r="E134" i="1"/>
  <c r="E133" i="1"/>
  <c r="E132" i="1"/>
  <c r="E131" i="1"/>
  <c r="D125" i="1"/>
  <c r="C125" i="1"/>
  <c r="B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99" i="1"/>
  <c r="E98" i="1"/>
  <c r="E97" i="1"/>
  <c r="E96" i="1"/>
  <c r="E95" i="1"/>
  <c r="E94" i="1"/>
  <c r="E93" i="1"/>
  <c r="E92" i="1"/>
  <c r="E91" i="1"/>
  <c r="E90" i="1"/>
  <c r="E89" i="1"/>
  <c r="E69" i="1"/>
  <c r="D83" i="1"/>
  <c r="C83" i="1"/>
  <c r="B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8" i="1"/>
  <c r="E67" i="1"/>
  <c r="E66" i="1"/>
  <c r="E65" i="1"/>
  <c r="E64" i="1"/>
  <c r="E63" i="1"/>
  <c r="E62" i="1"/>
  <c r="E61" i="1"/>
  <c r="E60" i="1"/>
  <c r="E59" i="1"/>
  <c r="E57" i="1"/>
  <c r="E56" i="1"/>
  <c r="E55" i="1"/>
  <c r="E54" i="1"/>
  <c r="E53" i="1"/>
  <c r="E52" i="1"/>
  <c r="E51" i="1"/>
  <c r="E50" i="1"/>
  <c r="E49" i="1"/>
  <c r="E48" i="1"/>
  <c r="E47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18" i="1"/>
  <c r="E17" i="1"/>
  <c r="E6" i="1"/>
  <c r="E7" i="1"/>
  <c r="E8" i="1"/>
  <c r="E9" i="1"/>
  <c r="E10" i="1"/>
  <c r="E11" i="1"/>
  <c r="E12" i="1"/>
  <c r="E13" i="1"/>
  <c r="E14" i="1"/>
  <c r="E15" i="1"/>
  <c r="E5" i="1"/>
  <c r="E4" i="1"/>
  <c r="B41" i="1"/>
  <c r="B16" i="1"/>
  <c r="D41" i="1"/>
  <c r="C41" i="1"/>
  <c r="D16" i="1"/>
  <c r="C16" i="1"/>
  <c r="C42" i="1" l="1"/>
  <c r="C46" i="1" s="1"/>
  <c r="C58" i="1" s="1"/>
  <c r="C84" i="1" s="1"/>
  <c r="C88" i="1" s="1"/>
  <c r="C100" i="1" s="1"/>
  <c r="C126" i="1" s="1"/>
  <c r="C130" i="1" s="1"/>
  <c r="C142" i="1" s="1"/>
  <c r="C168" i="1" s="1"/>
  <c r="C172" i="1" s="1"/>
  <c r="C184" i="1" s="1"/>
  <c r="C210" i="1" s="1"/>
  <c r="B42" i="1"/>
  <c r="B46" i="1" s="1"/>
  <c r="D42" i="1"/>
  <c r="D46" i="1" s="1"/>
  <c r="D58" i="1" s="1"/>
  <c r="D84" i="1" s="1"/>
  <c r="D88" i="1" s="1"/>
  <c r="D100" i="1" s="1"/>
  <c r="D126" i="1" s="1"/>
  <c r="D130" i="1" s="1"/>
  <c r="D142" i="1" s="1"/>
  <c r="D168" i="1" s="1"/>
  <c r="D172" i="1" s="1"/>
  <c r="D184" i="1" s="1"/>
  <c r="D210" i="1" s="1"/>
  <c r="D214" i="1" s="1"/>
  <c r="E83" i="1"/>
  <c r="E41" i="1"/>
  <c r="E125" i="1"/>
  <c r="E167" i="1"/>
  <c r="E16" i="1"/>
  <c r="D226" i="1" l="1"/>
  <c r="E214" i="1"/>
  <c r="E46" i="1"/>
  <c r="E42" i="1"/>
  <c r="B58" i="1"/>
  <c r="B84" i="1" s="1"/>
  <c r="D252" i="1" l="1"/>
  <c r="E252" i="1" s="1"/>
  <c r="E226" i="1"/>
  <c r="E58" i="1"/>
  <c r="E84" i="1"/>
  <c r="B88" i="1"/>
  <c r="B100" i="1" l="1"/>
  <c r="E88" i="1"/>
  <c r="B126" i="1" l="1"/>
  <c r="E100" i="1"/>
  <c r="B130" i="1" l="1"/>
  <c r="E126" i="1"/>
  <c r="B142" i="1" l="1"/>
  <c r="E130" i="1"/>
  <c r="E142" i="1" l="1"/>
  <c r="B168" i="1"/>
  <c r="E168" i="1" l="1"/>
  <c r="B172" i="1"/>
  <c r="B184" i="1" l="1"/>
  <c r="E172" i="1"/>
  <c r="E184" i="1" l="1"/>
  <c r="B210" i="1"/>
  <c r="E210" i="1" s="1"/>
</calcChain>
</file>

<file path=xl/sharedStrings.xml><?xml version="1.0" encoding="utf-8"?>
<sst xmlns="http://schemas.openxmlformats.org/spreadsheetml/2006/main" count="244" uniqueCount="22">
  <si>
    <t>計</t>
  </si>
  <si>
    <t>日付</t>
    <rPh sb="0" eb="2">
      <t>ヒヅケ</t>
    </rPh>
    <phoneticPr fontId="3"/>
  </si>
  <si>
    <t>初回</t>
    <rPh sb="0" eb="2">
      <t>ショカイ</t>
    </rPh>
    <phoneticPr fontId="3"/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</si>
  <si>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</si>
  <si>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</si>
  <si>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</si>
  <si>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</si>
  <si>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紳士しっかりサポート300　夢販在庫管理表</t>
    <rPh sb="0" eb="2">
      <t>シンシ</t>
    </rPh>
    <rPh sb="14" eb="16">
      <t>ユメハン</t>
    </rPh>
    <rPh sb="16" eb="18">
      <t>ザイコ</t>
    </rPh>
    <rPh sb="18" eb="20">
      <t>カンリ</t>
    </rPh>
    <rPh sb="20" eb="21">
      <t>ヒョウ</t>
    </rPh>
    <phoneticPr fontId="3"/>
  </si>
  <si>
    <t>M</t>
    <phoneticPr fontId="3"/>
  </si>
  <si>
    <t>L</t>
    <phoneticPr fontId="3"/>
  </si>
  <si>
    <t>LL</t>
    <phoneticPr fontId="3"/>
  </si>
  <si>
    <t>ロイヤルS</t>
    <phoneticPr fontId="3"/>
  </si>
  <si>
    <t>JR東日本</t>
    <rPh sb="2" eb="3">
      <t>ヒガシ</t>
    </rPh>
    <rPh sb="3" eb="5">
      <t>ニホン</t>
    </rPh>
    <phoneticPr fontId="3"/>
  </si>
  <si>
    <t>ロイヤルS返品</t>
    <rPh sb="5" eb="7">
      <t>ヘンピン</t>
    </rPh>
    <phoneticPr fontId="3"/>
  </si>
  <si>
    <t>ネット</t>
    <phoneticPr fontId="3"/>
  </si>
  <si>
    <t>JR東日本返品</t>
    <rPh sb="2" eb="3">
      <t>ヒガシ</t>
    </rPh>
    <rPh sb="3" eb="5">
      <t>ニホン</t>
    </rPh>
    <rPh sb="5" eb="7">
      <t>ヘンピン</t>
    </rPh>
    <phoneticPr fontId="3"/>
  </si>
  <si>
    <t>電話注文</t>
    <rPh sb="0" eb="2">
      <t>デンワ</t>
    </rPh>
    <rPh sb="2" eb="4">
      <t>チュウモン</t>
    </rPh>
    <phoneticPr fontId="3"/>
  </si>
  <si>
    <t>ネット</t>
    <phoneticPr fontId="3"/>
  </si>
  <si>
    <t>ネット</t>
    <phoneticPr fontId="3"/>
  </si>
  <si>
    <t>棚卸</t>
    <rPh sb="0" eb="2">
      <t>タナオロシ</t>
    </rPh>
    <phoneticPr fontId="3"/>
  </si>
  <si>
    <t>在庫確認</t>
    <rPh sb="0" eb="4">
      <t>ザイコカクニン</t>
    </rPh>
    <phoneticPr fontId="3"/>
  </si>
  <si>
    <t>在庫確認</t>
    <rPh sb="0" eb="4">
      <t>ザイコカクニン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</si>
</sst>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4" fillId="0" borderId="6" xfId="0" applyFont="1" applyBorder="1" applyAlignment="1">
      <alignment horizontal="center" vertical="center"/>
    </xf>
    <xf numFmtId="0" fontId="0" fillId="0" borderId="7" xfId="0" applyBorder="1"/>
    <xf numFmtId="0" fontId="0" fillId="2" borderId="8" xfId="0" applyFill="1" applyBorder="1"/>
    <xf numFmtId="56" fontId="0" fillId="0" borderId="6" xfId="0" applyNumberFormat="1" applyBorder="1"/>
    <xf numFmtId="0" fontId="7" fillId="0" borderId="0" xfId="0" applyFont="1"/>
    <xf numFmtId="56" fontId="0" fillId="0" borderId="9" xfId="0" applyNumberFormat="1" applyBorder="1"/>
    <xf numFmtId="0" fontId="0" fillId="0" borderId="10" xfId="0" applyBorder="1"/>
    <xf numFmtId="0" fontId="1" fillId="0" borderId="10" xfId="0" applyFont="1" applyBorder="1"/>
    <xf numFmtId="0" fontId="1" fillId="0" borderId="7" xfId="0" applyFont="1" applyBorder="1"/>
    <xf numFmtId="56" fontId="1" fillId="0" borderId="9" xfId="0" applyNumberFormat="1" applyFont="1" applyBorder="1"/>
    <xf numFmtId="0" fontId="0" fillId="0" borderId="11" xfId="0" applyBorder="1"/>
    <xf numFmtId="56" fontId="0" fillId="0" borderId="12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3" xfId="0" applyBorder="1"/>
    <xf numFmtId="0" fontId="0" fillId="0" borderId="14" xfId="0" applyBorder="1" applyAlignment="1">
      <alignment horizontal="center" vertical="center"/>
    </xf>
    <xf numFmtId="56" fontId="1" fillId="0" borderId="6" xfId="0" applyNumberFormat="1" applyFont="1" applyBorder="1"/>
    <xf numFmtId="56" fontId="0" fillId="0" borderId="0" xfId="0" applyNumberFormat="1"/>
    <xf numFmtId="56" fontId="1" fillId="0" borderId="0" xfId="0" applyNumberFormat="1" applyFont="1"/>
    <xf numFmtId="0" fontId="0" fillId="0" borderId="6" xfId="0" applyBorder="1" applyAlignment="1">
      <alignment horizontal="center" vertical="center"/>
    </xf>
    <xf numFmtId="0" fontId="0" fillId="2" borderId="15" xfId="0" applyFill="1" applyBorder="1"/>
    <xf numFmtId="0" fontId="0" fillId="2" borderId="16" xfId="0" applyFill="1" applyBorder="1"/>
    <xf numFmtId="0" fontId="0" fillId="0" borderId="5" xfId="0" applyBorder="1"/>
    <xf numFmtId="0" fontId="6" fillId="0" borderId="5" xfId="0" applyFont="1" applyBorder="1" applyAlignment="1">
      <alignment horizontal="center" vertical="center"/>
    </xf>
    <xf numFmtId="0" fontId="5" fillId="2" borderId="15" xfId="0" applyFont="1" applyFill="1" applyBorder="1"/>
    <xf numFmtId="0" fontId="5" fillId="2" borderId="16" xfId="0" applyFont="1" applyFill="1" applyBorder="1"/>
    <xf numFmtId="0" fontId="5" fillId="0" borderId="13" xfId="0" applyFont="1" applyBorder="1"/>
    <xf numFmtId="0" fontId="0" fillId="0" borderId="17" xfId="0" applyBorder="1"/>
    <xf numFmtId="0" fontId="4" fillId="0" borderId="1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17" xfId="0" applyFont="1" applyBorder="1"/>
    <xf numFmtId="0" fontId="0" fillId="2" borderId="20" xfId="0" applyFill="1" applyBorder="1"/>
    <xf numFmtId="0" fontId="5" fillId="2" borderId="21" xfId="0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4" xfId="0" applyFill="1" applyBorder="1"/>
    <xf numFmtId="0" fontId="5" fillId="2" borderId="2" xfId="0" applyFont="1" applyFill="1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/>
    <xf numFmtId="0" fontId="0" fillId="0" borderId="28" xfId="0" applyBorder="1"/>
    <xf numFmtId="0" fontId="0" fillId="2" borderId="29" xfId="0" applyFill="1" applyBorder="1"/>
    <xf numFmtId="56" fontId="0" fillId="0" borderId="30" xfId="0" applyNumberFormat="1" applyBorder="1"/>
    <xf numFmtId="0" fontId="0" fillId="0" borderId="2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right" vertical="center"/>
    </xf>
    <xf numFmtId="0" fontId="0" fillId="0" borderId="17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8" xfId="0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0" xfId="0" applyFont="1" applyBorder="1"/>
    <xf numFmtId="0" fontId="8" fillId="0" borderId="7" xfId="0" applyFont="1" applyBorder="1"/>
    <xf numFmtId="0" fontId="8" fillId="2" borderId="8" xfId="0" applyFont="1" applyFill="1" applyBorder="1"/>
    <xf numFmtId="56" fontId="8" fillId="0" borderId="9" xfId="0" applyNumberFormat="1" applyFont="1" applyBorder="1"/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56" fontId="0" fillId="0" borderId="5" xfId="0" applyNumberFormat="1" applyBorder="1"/>
    <xf numFmtId="0" fontId="4" fillId="0" borderId="25" xfId="0" applyFont="1" applyBorder="1" applyAlignment="1">
      <alignment horizontal="center" vertical="center"/>
    </xf>
    <xf numFmtId="56" fontId="0" fillId="0" borderId="14" xfId="0" applyNumberFormat="1" applyBorder="1"/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4"/>
  <sheetViews>
    <sheetView tabSelected="1" topLeftCell="A217" zoomScaleNormal="100" workbookViewId="0">
      <selection activeCell="G245" sqref="G245"/>
    </sheetView>
  </sheetViews>
  <sheetFormatPr defaultRowHeight="13.5" x14ac:dyDescent="0.15"/>
  <cols>
    <col min="1" max="1" width="17" customWidth="1"/>
    <col min="2" max="5" width="10" customWidth="1"/>
    <col min="6" max="6" width="11.375" customWidth="1"/>
    <col min="7" max="7" width="14.25" customWidth="1"/>
    <col min="8" max="8" width="9.25" bestFit="1" customWidth="1"/>
  </cols>
  <sheetData>
    <row r="1" spans="1:7" ht="18.75" x14ac:dyDescent="0.2">
      <c r="A1" s="1" t="s">
        <v>7</v>
      </c>
      <c r="B1" s="1"/>
    </row>
    <row r="2" spans="1:7" ht="19.5" thickBot="1" x14ac:dyDescent="0.25">
      <c r="A2" s="1"/>
      <c r="B2" s="1"/>
    </row>
    <row r="3" spans="1:7" ht="14.25" thickBot="1" x14ac:dyDescent="0.2">
      <c r="A3" s="2"/>
      <c r="B3" s="6" t="s">
        <v>8</v>
      </c>
      <c r="C3" s="3" t="s">
        <v>9</v>
      </c>
      <c r="D3" s="4" t="s">
        <v>10</v>
      </c>
      <c r="E3" s="5" t="s">
        <v>0</v>
      </c>
      <c r="F3" s="6" t="s">
        <v>1</v>
      </c>
    </row>
    <row r="4" spans="1:7" s="7" customFormat="1" ht="14.25" thickBot="1" x14ac:dyDescent="0.2">
      <c r="A4" s="6" t="s">
        <v>2</v>
      </c>
      <c r="B4" s="72">
        <v>2</v>
      </c>
      <c r="C4" s="76">
        <v>2</v>
      </c>
      <c r="D4" s="77">
        <v>2</v>
      </c>
      <c r="E4" s="22">
        <f>SUM(B4:D4)</f>
        <v>6</v>
      </c>
      <c r="F4" s="73">
        <v>42565</v>
      </c>
      <c r="G4"/>
    </row>
    <row r="5" spans="1:7" x14ac:dyDescent="0.15">
      <c r="A5" s="71" t="s">
        <v>3</v>
      </c>
      <c r="B5" s="74"/>
      <c r="C5" s="49">
        <v>3</v>
      </c>
      <c r="D5" s="50"/>
      <c r="E5" s="51">
        <f>SUM(B5:D5)</f>
        <v>3</v>
      </c>
      <c r="F5" s="75">
        <v>42599</v>
      </c>
      <c r="G5" s="12"/>
    </row>
    <row r="6" spans="1:7" x14ac:dyDescent="0.15">
      <c r="A6" s="8" t="s">
        <v>13</v>
      </c>
      <c r="B6" s="54">
        <v>1</v>
      </c>
      <c r="C6" s="14"/>
      <c r="D6" s="9">
        <v>1</v>
      </c>
      <c r="E6" s="10">
        <f t="shared" ref="E6:E15" si="0">SUM(B6:D6)</f>
        <v>2</v>
      </c>
      <c r="F6" s="13">
        <v>42620</v>
      </c>
    </row>
    <row r="7" spans="1:7" x14ac:dyDescent="0.15">
      <c r="A7" s="8" t="s">
        <v>3</v>
      </c>
      <c r="B7" s="37"/>
      <c r="C7" s="14">
        <v>1</v>
      </c>
      <c r="D7" s="9"/>
      <c r="E7" s="10">
        <f t="shared" si="0"/>
        <v>1</v>
      </c>
      <c r="F7" s="13">
        <v>42634</v>
      </c>
    </row>
    <row r="8" spans="1:7" x14ac:dyDescent="0.15">
      <c r="A8" s="8" t="s">
        <v>3</v>
      </c>
      <c r="B8" s="58">
        <v>4</v>
      </c>
      <c r="C8" s="14">
        <v>2</v>
      </c>
      <c r="D8" s="9">
        <v>3</v>
      </c>
      <c r="E8" s="10">
        <f t="shared" si="0"/>
        <v>9</v>
      </c>
      <c r="F8" s="13">
        <v>42644</v>
      </c>
    </row>
    <row r="9" spans="1:7" x14ac:dyDescent="0.15">
      <c r="A9" s="8" t="s">
        <v>3</v>
      </c>
      <c r="B9" s="37"/>
      <c r="C9" s="14">
        <v>2</v>
      </c>
      <c r="D9" s="9"/>
      <c r="E9" s="10">
        <f t="shared" si="0"/>
        <v>2</v>
      </c>
      <c r="F9" s="13">
        <v>42648</v>
      </c>
    </row>
    <row r="10" spans="1:7" x14ac:dyDescent="0.15">
      <c r="A10" s="8" t="s">
        <v>3</v>
      </c>
      <c r="B10" s="37"/>
      <c r="C10" s="14">
        <v>2</v>
      </c>
      <c r="D10" s="9"/>
      <c r="E10" s="10">
        <f t="shared" si="0"/>
        <v>2</v>
      </c>
      <c r="F10" s="13">
        <v>42655</v>
      </c>
    </row>
    <row r="11" spans="1:7" x14ac:dyDescent="0.15">
      <c r="A11" s="8" t="s">
        <v>3</v>
      </c>
      <c r="B11" s="37"/>
      <c r="C11" s="15"/>
      <c r="D11" s="16">
        <v>1</v>
      </c>
      <c r="E11" s="10">
        <f t="shared" si="0"/>
        <v>1</v>
      </c>
      <c r="F11" s="17">
        <v>42682</v>
      </c>
    </row>
    <row r="12" spans="1:7" x14ac:dyDescent="0.15">
      <c r="A12" s="8" t="s">
        <v>15</v>
      </c>
      <c r="B12" s="54">
        <v>2</v>
      </c>
      <c r="C12" s="15">
        <v>2</v>
      </c>
      <c r="D12" s="16"/>
      <c r="E12" s="10">
        <f t="shared" si="0"/>
        <v>4</v>
      </c>
      <c r="F12" s="17">
        <v>42760</v>
      </c>
    </row>
    <row r="13" spans="1:7" x14ac:dyDescent="0.15">
      <c r="A13" s="8" t="s">
        <v>3</v>
      </c>
      <c r="B13" s="37"/>
      <c r="C13" s="15"/>
      <c r="D13" s="16">
        <v>1</v>
      </c>
      <c r="E13" s="10">
        <f t="shared" si="0"/>
        <v>1</v>
      </c>
      <c r="F13" s="17">
        <v>42864</v>
      </c>
    </row>
    <row r="14" spans="1:7" x14ac:dyDescent="0.15">
      <c r="A14" s="8" t="s">
        <v>3</v>
      </c>
      <c r="B14" s="37"/>
      <c r="C14" s="14"/>
      <c r="D14" s="9">
        <v>1</v>
      </c>
      <c r="E14" s="10">
        <f t="shared" si="0"/>
        <v>1</v>
      </c>
      <c r="F14" s="13">
        <v>42920</v>
      </c>
    </row>
    <row r="15" spans="1:7" ht="14.25" thickBot="1" x14ac:dyDescent="0.2">
      <c r="A15" s="38" t="s">
        <v>3</v>
      </c>
      <c r="B15" s="39"/>
      <c r="C15" s="14"/>
      <c r="D15" s="18">
        <v>1</v>
      </c>
      <c r="E15" s="10">
        <f t="shared" si="0"/>
        <v>1</v>
      </c>
      <c r="F15" s="19">
        <v>42978</v>
      </c>
    </row>
    <row r="16" spans="1:7" ht="14.25" thickBot="1" x14ac:dyDescent="0.2">
      <c r="A16" s="2" t="s">
        <v>4</v>
      </c>
      <c r="B16" s="20">
        <f>SUM(B4:B15)</f>
        <v>9</v>
      </c>
      <c r="C16" s="20">
        <f>SUM(C4:C15)</f>
        <v>14</v>
      </c>
      <c r="D16" s="21">
        <f>SUM(D4:D15)</f>
        <v>10</v>
      </c>
      <c r="E16" s="22">
        <f>SUM(B16:D16)</f>
        <v>33</v>
      </c>
      <c r="F16" s="23"/>
    </row>
    <row r="17" spans="1:8" x14ac:dyDescent="0.15">
      <c r="A17" s="24" t="s">
        <v>11</v>
      </c>
      <c r="B17" s="48">
        <v>2</v>
      </c>
      <c r="C17" s="49">
        <v>2</v>
      </c>
      <c r="D17" s="50">
        <v>2</v>
      </c>
      <c r="E17" s="51">
        <f>SUM(B17:D17)</f>
        <v>6</v>
      </c>
      <c r="F17" s="52">
        <v>42566</v>
      </c>
    </row>
    <row r="18" spans="1:8" x14ac:dyDescent="0.15">
      <c r="A18" s="24" t="s">
        <v>11</v>
      </c>
      <c r="B18" s="43"/>
      <c r="C18" s="36">
        <v>3</v>
      </c>
      <c r="D18" s="9"/>
      <c r="E18" s="10">
        <f>SUM(B18:D18)</f>
        <v>3</v>
      </c>
      <c r="F18" s="11">
        <v>42600</v>
      </c>
      <c r="G18" s="26"/>
    </row>
    <row r="19" spans="1:8" x14ac:dyDescent="0.15">
      <c r="A19" s="24" t="s">
        <v>12</v>
      </c>
      <c r="B19" s="55">
        <v>1</v>
      </c>
      <c r="C19" s="56">
        <v>1</v>
      </c>
      <c r="D19" s="57">
        <v>1</v>
      </c>
      <c r="E19" s="10">
        <f t="shared" ref="E19:E40" si="1">SUM(B19:D19)</f>
        <v>3</v>
      </c>
      <c r="F19" s="11">
        <v>42636</v>
      </c>
      <c r="G19" s="26"/>
    </row>
    <row r="20" spans="1:8" x14ac:dyDescent="0.15">
      <c r="A20" s="24" t="s">
        <v>12</v>
      </c>
      <c r="B20" s="55">
        <v>4</v>
      </c>
      <c r="C20" s="56">
        <v>2</v>
      </c>
      <c r="D20" s="57">
        <v>2</v>
      </c>
      <c r="E20" s="10">
        <f t="shared" si="1"/>
        <v>8</v>
      </c>
      <c r="F20" s="11">
        <v>42647</v>
      </c>
      <c r="G20" s="26"/>
    </row>
    <row r="21" spans="1:8" x14ac:dyDescent="0.15">
      <c r="A21" s="24" t="s">
        <v>11</v>
      </c>
      <c r="B21" s="43"/>
      <c r="C21" s="36"/>
      <c r="D21" s="9">
        <v>1</v>
      </c>
      <c r="E21" s="10">
        <f t="shared" si="1"/>
        <v>1</v>
      </c>
      <c r="F21" s="11">
        <v>42647</v>
      </c>
      <c r="G21" s="26"/>
    </row>
    <row r="22" spans="1:8" x14ac:dyDescent="0.15">
      <c r="A22" s="24" t="s">
        <v>12</v>
      </c>
      <c r="B22" s="43"/>
      <c r="C22" s="36">
        <v>2</v>
      </c>
      <c r="D22" s="9"/>
      <c r="E22" s="10">
        <f t="shared" si="1"/>
        <v>2</v>
      </c>
      <c r="F22" s="11">
        <v>42649</v>
      </c>
      <c r="G22" s="26"/>
    </row>
    <row r="23" spans="1:8" x14ac:dyDescent="0.15">
      <c r="A23" s="24" t="s">
        <v>12</v>
      </c>
      <c r="B23" s="43"/>
      <c r="C23" s="36">
        <v>2</v>
      </c>
      <c r="D23" s="9"/>
      <c r="E23" s="10">
        <f t="shared" si="1"/>
        <v>2</v>
      </c>
      <c r="F23" s="11">
        <v>42657</v>
      </c>
      <c r="G23" s="26"/>
    </row>
    <row r="24" spans="1:8" x14ac:dyDescent="0.15">
      <c r="A24" s="24" t="s">
        <v>14</v>
      </c>
      <c r="B24" s="43"/>
      <c r="C24" s="36"/>
      <c r="D24" s="9">
        <v>1</v>
      </c>
      <c r="E24" s="10">
        <f t="shared" si="1"/>
        <v>1</v>
      </c>
      <c r="F24" s="11">
        <v>42682</v>
      </c>
      <c r="G24" s="26"/>
      <c r="H24" s="26"/>
    </row>
    <row r="25" spans="1:8" x14ac:dyDescent="0.15">
      <c r="A25" s="24" t="s">
        <v>14</v>
      </c>
      <c r="B25" s="43">
        <v>1</v>
      </c>
      <c r="C25" s="40"/>
      <c r="D25" s="16"/>
      <c r="E25" s="10">
        <f t="shared" si="1"/>
        <v>1</v>
      </c>
      <c r="F25" s="25">
        <v>42772</v>
      </c>
      <c r="G25" s="26"/>
    </row>
    <row r="26" spans="1:8" x14ac:dyDescent="0.15">
      <c r="A26" s="24" t="s">
        <v>14</v>
      </c>
      <c r="B26" s="43"/>
      <c r="C26" s="36">
        <v>2</v>
      </c>
      <c r="D26" s="9"/>
      <c r="E26" s="10">
        <f t="shared" si="1"/>
        <v>2</v>
      </c>
      <c r="F26" s="11">
        <v>42774</v>
      </c>
      <c r="G26" s="26"/>
    </row>
    <row r="27" spans="1:8" x14ac:dyDescent="0.15">
      <c r="A27" s="24" t="s">
        <v>14</v>
      </c>
      <c r="B27" s="43"/>
      <c r="C27" s="36"/>
      <c r="D27" s="9">
        <v>1</v>
      </c>
      <c r="E27" s="10">
        <f t="shared" si="1"/>
        <v>1</v>
      </c>
      <c r="F27" s="11">
        <v>42864</v>
      </c>
      <c r="G27" s="27"/>
    </row>
    <row r="28" spans="1:8" x14ac:dyDescent="0.15">
      <c r="A28" s="24" t="s">
        <v>14</v>
      </c>
      <c r="B28" s="43">
        <v>1</v>
      </c>
      <c r="C28" s="36"/>
      <c r="D28" s="9"/>
      <c r="E28" s="10">
        <f t="shared" si="1"/>
        <v>1</v>
      </c>
      <c r="F28" s="11">
        <v>42891</v>
      </c>
      <c r="G28" s="27"/>
    </row>
    <row r="29" spans="1:8" x14ac:dyDescent="0.15">
      <c r="A29" s="24" t="s">
        <v>14</v>
      </c>
      <c r="B29" s="43"/>
      <c r="C29" s="36"/>
      <c r="D29" s="9">
        <v>1</v>
      </c>
      <c r="E29" s="10">
        <f t="shared" si="1"/>
        <v>1</v>
      </c>
      <c r="F29" s="11">
        <v>42920</v>
      </c>
      <c r="G29" s="26"/>
    </row>
    <row r="30" spans="1:8" x14ac:dyDescent="0.15">
      <c r="A30" s="24" t="s">
        <v>14</v>
      </c>
      <c r="B30" s="43"/>
      <c r="C30" s="36"/>
      <c r="D30" s="9">
        <v>1</v>
      </c>
      <c r="E30" s="10">
        <f t="shared" si="1"/>
        <v>1</v>
      </c>
      <c r="F30" s="11">
        <v>42978</v>
      </c>
      <c r="G30" s="26"/>
    </row>
    <row r="31" spans="1:8" x14ac:dyDescent="0.15">
      <c r="A31" s="28" t="s">
        <v>3</v>
      </c>
      <c r="B31" s="44"/>
      <c r="C31" s="40">
        <v>-1</v>
      </c>
      <c r="D31" s="16"/>
      <c r="E31" s="10">
        <f t="shared" si="1"/>
        <v>-1</v>
      </c>
      <c r="F31" s="25">
        <v>43047</v>
      </c>
      <c r="G31" s="26"/>
    </row>
    <row r="32" spans="1:8" x14ac:dyDescent="0.15">
      <c r="A32" s="24" t="s">
        <v>14</v>
      </c>
      <c r="B32" s="43"/>
      <c r="C32" s="36">
        <v>1</v>
      </c>
      <c r="D32" s="9"/>
      <c r="E32" s="10">
        <f t="shared" si="1"/>
        <v>1</v>
      </c>
      <c r="F32" s="11">
        <v>43047</v>
      </c>
      <c r="G32" s="26"/>
    </row>
    <row r="33" spans="1:8" x14ac:dyDescent="0.15">
      <c r="A33" s="28" t="s">
        <v>3</v>
      </c>
      <c r="B33" s="43">
        <v>-2</v>
      </c>
      <c r="C33" s="36"/>
      <c r="D33" s="9"/>
      <c r="E33" s="10">
        <f t="shared" si="1"/>
        <v>-2</v>
      </c>
      <c r="F33" s="11">
        <v>43061</v>
      </c>
      <c r="G33" s="26"/>
    </row>
    <row r="34" spans="1:8" x14ac:dyDescent="0.15">
      <c r="A34" s="24" t="s">
        <v>14</v>
      </c>
      <c r="B34" s="43">
        <v>2</v>
      </c>
      <c r="C34" s="36"/>
      <c r="D34" s="9"/>
      <c r="E34" s="10">
        <f t="shared" si="1"/>
        <v>2</v>
      </c>
      <c r="F34" s="11">
        <v>43061</v>
      </c>
      <c r="G34" s="26"/>
    </row>
    <row r="35" spans="1:8" x14ac:dyDescent="0.15">
      <c r="A35" s="28" t="s">
        <v>3</v>
      </c>
      <c r="B35" s="43">
        <v>-2</v>
      </c>
      <c r="C35" s="36"/>
      <c r="D35" s="9"/>
      <c r="E35" s="10">
        <f t="shared" si="1"/>
        <v>-2</v>
      </c>
      <c r="F35" s="11">
        <v>43076</v>
      </c>
      <c r="G35" s="26"/>
    </row>
    <row r="36" spans="1:8" x14ac:dyDescent="0.15">
      <c r="A36" s="24" t="s">
        <v>14</v>
      </c>
      <c r="B36" s="43">
        <v>2</v>
      </c>
      <c r="C36" s="36"/>
      <c r="D36" s="9"/>
      <c r="E36" s="10">
        <f t="shared" si="1"/>
        <v>2</v>
      </c>
      <c r="F36" s="11">
        <v>43076</v>
      </c>
      <c r="G36" s="26"/>
    </row>
    <row r="37" spans="1:8" x14ac:dyDescent="0.15">
      <c r="A37" s="28" t="s">
        <v>3</v>
      </c>
      <c r="B37" s="44"/>
      <c r="C37" s="36">
        <v>-1</v>
      </c>
      <c r="D37" s="9"/>
      <c r="E37" s="10">
        <f t="shared" si="1"/>
        <v>-1</v>
      </c>
      <c r="F37" s="11">
        <v>43111</v>
      </c>
      <c r="G37" s="26"/>
    </row>
    <row r="38" spans="1:8" x14ac:dyDescent="0.15">
      <c r="A38" s="24" t="s">
        <v>14</v>
      </c>
      <c r="B38" s="43"/>
      <c r="C38" s="36">
        <v>1</v>
      </c>
      <c r="D38" s="9"/>
      <c r="E38" s="10">
        <f t="shared" si="1"/>
        <v>1</v>
      </c>
      <c r="F38" s="11">
        <v>43111</v>
      </c>
      <c r="G38" s="27"/>
      <c r="H38" s="12"/>
    </row>
    <row r="39" spans="1:8" x14ac:dyDescent="0.15">
      <c r="A39" s="28" t="s">
        <v>3</v>
      </c>
      <c r="B39" s="43">
        <v>-2</v>
      </c>
      <c r="C39" s="36"/>
      <c r="D39" s="9"/>
      <c r="E39" s="10">
        <f t="shared" si="1"/>
        <v>-2</v>
      </c>
      <c r="F39" s="11">
        <v>43146</v>
      </c>
      <c r="G39" s="26"/>
    </row>
    <row r="40" spans="1:8" ht="14.25" thickBot="1" x14ac:dyDescent="0.2">
      <c r="A40" s="24" t="s">
        <v>14</v>
      </c>
      <c r="B40" s="59">
        <v>2</v>
      </c>
      <c r="C40" s="14"/>
      <c r="D40" s="18"/>
      <c r="E40" s="10">
        <f t="shared" si="1"/>
        <v>2</v>
      </c>
      <c r="F40" s="19">
        <v>43146</v>
      </c>
      <c r="G40" s="26"/>
    </row>
    <row r="41" spans="1:8" ht="14.25" thickBot="1" x14ac:dyDescent="0.2">
      <c r="A41" s="6" t="s">
        <v>5</v>
      </c>
      <c r="B41" s="45">
        <f>SUM(B17:B40)</f>
        <v>9</v>
      </c>
      <c r="C41" s="41">
        <f>SUM(C17:C40)</f>
        <v>14</v>
      </c>
      <c r="D41" s="29">
        <f>SUM(D17:D40)</f>
        <v>10</v>
      </c>
      <c r="E41" s="30">
        <f>SUM(B41:D41)</f>
        <v>33</v>
      </c>
      <c r="F41" s="31"/>
    </row>
    <row r="42" spans="1:8" ht="14.25" thickBot="1" x14ac:dyDescent="0.2">
      <c r="A42" s="32" t="s">
        <v>6</v>
      </c>
      <c r="B42" s="46">
        <f>B16-B41</f>
        <v>0</v>
      </c>
      <c r="C42" s="42">
        <f>C16-C41</f>
        <v>0</v>
      </c>
      <c r="D42" s="33">
        <f>D16-D41</f>
        <v>0</v>
      </c>
      <c r="E42" s="34">
        <f>SUM(B42:D42)</f>
        <v>0</v>
      </c>
      <c r="F42" s="35"/>
      <c r="G42" s="7"/>
      <c r="H42" s="7"/>
    </row>
    <row r="43" spans="1:8" ht="18.75" x14ac:dyDescent="0.2">
      <c r="A43" s="1" t="s">
        <v>7</v>
      </c>
      <c r="B43" s="1"/>
    </row>
    <row r="44" spans="1:8" ht="19.5" thickBot="1" x14ac:dyDescent="0.25">
      <c r="A44" s="1"/>
      <c r="B44" s="1"/>
    </row>
    <row r="45" spans="1:8" ht="14.25" thickBot="1" x14ac:dyDescent="0.2">
      <c r="A45" s="2"/>
      <c r="B45" s="6" t="s">
        <v>8</v>
      </c>
      <c r="C45" s="3" t="s">
        <v>9</v>
      </c>
      <c r="D45" s="4" t="s">
        <v>10</v>
      </c>
      <c r="E45" s="5" t="s">
        <v>0</v>
      </c>
      <c r="F45" s="6" t="s">
        <v>1</v>
      </c>
    </row>
    <row r="46" spans="1:8" ht="14.25" thickBot="1" x14ac:dyDescent="0.2">
      <c r="A46" s="6" t="s">
        <v>6</v>
      </c>
      <c r="B46" s="72">
        <f>B42</f>
        <v>0</v>
      </c>
      <c r="C46" s="72">
        <f>C42</f>
        <v>0</v>
      </c>
      <c r="D46" s="72">
        <f>D42</f>
        <v>0</v>
      </c>
      <c r="E46" s="22">
        <f>SUM(B46:D46)</f>
        <v>0</v>
      </c>
      <c r="F46" s="73"/>
    </row>
    <row r="47" spans="1:8" x14ac:dyDescent="0.15">
      <c r="A47" s="71" t="s">
        <v>3</v>
      </c>
      <c r="B47" s="74"/>
      <c r="C47" s="49"/>
      <c r="D47" s="50">
        <v>1</v>
      </c>
      <c r="E47" s="51">
        <f>SUM(B47:D47)</f>
        <v>1</v>
      </c>
      <c r="F47" s="75">
        <v>43151</v>
      </c>
    </row>
    <row r="48" spans="1:8" x14ac:dyDescent="0.15">
      <c r="A48" s="8" t="s">
        <v>3</v>
      </c>
      <c r="B48" s="54">
        <v>1</v>
      </c>
      <c r="C48" s="14"/>
      <c r="D48" s="9"/>
      <c r="E48" s="10">
        <f t="shared" ref="E48:E57" si="2">SUM(B48:D48)</f>
        <v>1</v>
      </c>
      <c r="F48" s="13">
        <v>43165</v>
      </c>
    </row>
    <row r="49" spans="1:6" x14ac:dyDescent="0.15">
      <c r="A49" s="8" t="s">
        <v>3</v>
      </c>
      <c r="B49" s="37"/>
      <c r="C49" s="14"/>
      <c r="D49" s="9">
        <v>3</v>
      </c>
      <c r="E49" s="10">
        <f t="shared" si="2"/>
        <v>3</v>
      </c>
      <c r="F49" s="13">
        <v>43214</v>
      </c>
    </row>
    <row r="50" spans="1:6" x14ac:dyDescent="0.15">
      <c r="A50" s="8" t="s">
        <v>3</v>
      </c>
      <c r="B50" s="60">
        <v>1</v>
      </c>
      <c r="C50" s="9"/>
      <c r="D50" s="9"/>
      <c r="E50" s="10">
        <f t="shared" si="2"/>
        <v>1</v>
      </c>
      <c r="F50" s="13">
        <v>43227</v>
      </c>
    </row>
    <row r="51" spans="1:6" x14ac:dyDescent="0.15">
      <c r="A51" s="8" t="s">
        <v>3</v>
      </c>
      <c r="B51" s="54"/>
      <c r="C51" s="14">
        <v>1</v>
      </c>
      <c r="D51" s="9"/>
      <c r="E51" s="10">
        <f t="shared" si="2"/>
        <v>1</v>
      </c>
      <c r="F51" s="13">
        <v>43229</v>
      </c>
    </row>
    <row r="52" spans="1:6" x14ac:dyDescent="0.15">
      <c r="A52" s="8" t="s">
        <v>3</v>
      </c>
      <c r="B52" s="37"/>
      <c r="C52" s="14"/>
      <c r="D52" s="9">
        <v>3</v>
      </c>
      <c r="E52" s="10">
        <f t="shared" si="2"/>
        <v>3</v>
      </c>
      <c r="F52" s="13">
        <v>43332</v>
      </c>
    </row>
    <row r="53" spans="1:6" x14ac:dyDescent="0.15">
      <c r="A53" s="8" t="s">
        <v>3</v>
      </c>
      <c r="B53" s="54">
        <v>1</v>
      </c>
      <c r="C53" s="14"/>
      <c r="D53" s="9"/>
      <c r="E53" s="10">
        <f t="shared" si="2"/>
        <v>1</v>
      </c>
      <c r="F53" s="13">
        <v>43344</v>
      </c>
    </row>
    <row r="54" spans="1:6" x14ac:dyDescent="0.15">
      <c r="A54" s="8" t="s">
        <v>3</v>
      </c>
      <c r="B54" s="54"/>
      <c r="C54" s="14"/>
      <c r="D54" s="9">
        <v>1</v>
      </c>
      <c r="E54" s="10">
        <f>SUM(B54:D54)</f>
        <v>1</v>
      </c>
      <c r="F54" s="13">
        <v>43355</v>
      </c>
    </row>
    <row r="55" spans="1:6" x14ac:dyDescent="0.15">
      <c r="A55" s="8" t="s">
        <v>3</v>
      </c>
      <c r="B55" s="37"/>
      <c r="C55" s="15"/>
      <c r="D55" s="16">
        <v>2</v>
      </c>
      <c r="E55" s="10">
        <f t="shared" si="2"/>
        <v>2</v>
      </c>
      <c r="F55" s="17">
        <v>43363</v>
      </c>
    </row>
    <row r="56" spans="1:6" x14ac:dyDescent="0.15">
      <c r="A56" s="8" t="s">
        <v>3</v>
      </c>
      <c r="B56" s="37"/>
      <c r="C56" s="15">
        <v>2</v>
      </c>
      <c r="D56" s="16"/>
      <c r="E56" s="10">
        <f t="shared" si="2"/>
        <v>2</v>
      </c>
      <c r="F56" s="17">
        <v>43370</v>
      </c>
    </row>
    <row r="57" spans="1:6" ht="14.25" thickBot="1" x14ac:dyDescent="0.2">
      <c r="A57" s="38" t="s">
        <v>3</v>
      </c>
      <c r="B57" s="39"/>
      <c r="C57" s="14"/>
      <c r="D57" s="18">
        <v>1</v>
      </c>
      <c r="E57" s="10">
        <f t="shared" si="2"/>
        <v>1</v>
      </c>
      <c r="F57" s="19">
        <v>43412</v>
      </c>
    </row>
    <row r="58" spans="1:6" ht="14.25" thickBot="1" x14ac:dyDescent="0.2">
      <c r="A58" s="2" t="s">
        <v>4</v>
      </c>
      <c r="B58" s="20">
        <f>SUM(B46:B57)</f>
        <v>3</v>
      </c>
      <c r="C58" s="20">
        <f>SUM(C46:C57)</f>
        <v>3</v>
      </c>
      <c r="D58" s="21">
        <f>SUM(D46:D57)</f>
        <v>11</v>
      </c>
      <c r="E58" s="22">
        <f>SUM(B58:D58)</f>
        <v>17</v>
      </c>
      <c r="F58" s="23"/>
    </row>
    <row r="59" spans="1:6" x14ac:dyDescent="0.15">
      <c r="A59" s="24" t="s">
        <v>14</v>
      </c>
      <c r="B59" s="48"/>
      <c r="C59" s="49"/>
      <c r="D59" s="50">
        <v>1</v>
      </c>
      <c r="E59" s="51">
        <f>SUM(B59:D59)</f>
        <v>1</v>
      </c>
      <c r="F59" s="52">
        <v>43151</v>
      </c>
    </row>
    <row r="60" spans="1:6" x14ac:dyDescent="0.15">
      <c r="A60" s="24" t="s">
        <v>14</v>
      </c>
      <c r="B60" s="43">
        <v>1</v>
      </c>
      <c r="C60" s="36"/>
      <c r="D60" s="9"/>
      <c r="E60" s="10">
        <f>SUM(B60:D60)</f>
        <v>1</v>
      </c>
      <c r="F60" s="11">
        <v>43165</v>
      </c>
    </row>
    <row r="61" spans="1:6" x14ac:dyDescent="0.15">
      <c r="A61" s="24" t="s">
        <v>14</v>
      </c>
      <c r="B61" s="43"/>
      <c r="C61" s="36"/>
      <c r="D61" s="9">
        <v>3</v>
      </c>
      <c r="E61" s="10">
        <f t="shared" ref="E61:E82" si="3">SUM(B61:D61)</f>
        <v>3</v>
      </c>
      <c r="F61" s="11">
        <v>43214</v>
      </c>
    </row>
    <row r="62" spans="1:6" x14ac:dyDescent="0.15">
      <c r="A62" s="24" t="s">
        <v>14</v>
      </c>
      <c r="B62" s="43">
        <v>1</v>
      </c>
      <c r="C62" s="36"/>
      <c r="D62" s="9"/>
      <c r="E62" s="10">
        <f t="shared" si="3"/>
        <v>1</v>
      </c>
      <c r="F62" s="11">
        <v>43227</v>
      </c>
    </row>
    <row r="63" spans="1:6" x14ac:dyDescent="0.15">
      <c r="A63" s="24" t="s">
        <v>14</v>
      </c>
      <c r="B63" s="43"/>
      <c r="C63" s="36">
        <v>1</v>
      </c>
      <c r="D63" s="9"/>
      <c r="E63" s="10">
        <f t="shared" si="3"/>
        <v>1</v>
      </c>
      <c r="F63" s="11">
        <v>43229</v>
      </c>
    </row>
    <row r="64" spans="1:6" x14ac:dyDescent="0.15">
      <c r="A64" s="24" t="s">
        <v>14</v>
      </c>
      <c r="B64" s="43"/>
      <c r="C64" s="36"/>
      <c r="D64" s="9">
        <v>3</v>
      </c>
      <c r="E64" s="10">
        <f t="shared" si="3"/>
        <v>3</v>
      </c>
      <c r="F64" s="11">
        <v>43332</v>
      </c>
    </row>
    <row r="65" spans="1:6" x14ac:dyDescent="0.15">
      <c r="A65" s="24" t="s">
        <v>14</v>
      </c>
      <c r="B65" s="43">
        <v>1</v>
      </c>
      <c r="C65" s="36"/>
      <c r="D65" s="9"/>
      <c r="E65" s="10">
        <f t="shared" si="3"/>
        <v>1</v>
      </c>
      <c r="F65" s="11">
        <v>43344</v>
      </c>
    </row>
    <row r="66" spans="1:6" x14ac:dyDescent="0.15">
      <c r="A66" s="24" t="s">
        <v>14</v>
      </c>
      <c r="B66" s="43"/>
      <c r="C66" s="36"/>
      <c r="D66" s="9">
        <v>1</v>
      </c>
      <c r="E66" s="10">
        <f t="shared" si="3"/>
        <v>1</v>
      </c>
      <c r="F66" s="11">
        <v>43355</v>
      </c>
    </row>
    <row r="67" spans="1:6" x14ac:dyDescent="0.15">
      <c r="A67" s="24" t="s">
        <v>14</v>
      </c>
      <c r="B67" s="43"/>
      <c r="C67" s="36"/>
      <c r="D67" s="9">
        <v>2</v>
      </c>
      <c r="E67" s="10">
        <f t="shared" si="3"/>
        <v>2</v>
      </c>
      <c r="F67" s="11">
        <v>43363</v>
      </c>
    </row>
    <row r="68" spans="1:6" x14ac:dyDescent="0.15">
      <c r="A68" s="24" t="s">
        <v>14</v>
      </c>
      <c r="B68" s="43"/>
      <c r="C68" s="36">
        <v>2</v>
      </c>
      <c r="D68" s="9"/>
      <c r="E68" s="10">
        <f t="shared" si="3"/>
        <v>2</v>
      </c>
      <c r="F68" s="11">
        <v>43370</v>
      </c>
    </row>
    <row r="69" spans="1:6" x14ac:dyDescent="0.15">
      <c r="A69" s="24" t="s">
        <v>14</v>
      </c>
      <c r="B69" s="43"/>
      <c r="C69" s="36"/>
      <c r="D69" s="9">
        <v>1</v>
      </c>
      <c r="E69" s="10">
        <f>SUM(B69:D69)</f>
        <v>1</v>
      </c>
      <c r="F69" s="11">
        <v>43412</v>
      </c>
    </row>
    <row r="70" spans="1:6" x14ac:dyDescent="0.15">
      <c r="A70" s="24" t="s">
        <v>3</v>
      </c>
      <c r="B70" s="43"/>
      <c r="C70" s="36">
        <v>-1</v>
      </c>
      <c r="D70" s="9"/>
      <c r="E70" s="10">
        <f t="shared" si="3"/>
        <v>-1</v>
      </c>
      <c r="F70" s="11">
        <v>43425</v>
      </c>
    </row>
    <row r="71" spans="1:6" x14ac:dyDescent="0.15">
      <c r="A71" s="24" t="s">
        <v>14</v>
      </c>
      <c r="B71" s="43"/>
      <c r="C71" s="36">
        <v>1</v>
      </c>
      <c r="D71" s="9"/>
      <c r="E71" s="10">
        <f t="shared" si="3"/>
        <v>1</v>
      </c>
      <c r="F71" s="11">
        <v>43425</v>
      </c>
    </row>
    <row r="72" spans="1:6" x14ac:dyDescent="0.15">
      <c r="A72" s="24" t="s">
        <v>3</v>
      </c>
      <c r="B72" s="43"/>
      <c r="C72" s="36">
        <v>-10</v>
      </c>
      <c r="D72" s="9"/>
      <c r="E72" s="10">
        <f t="shared" si="3"/>
        <v>-10</v>
      </c>
      <c r="F72" s="11">
        <v>43438</v>
      </c>
    </row>
    <row r="73" spans="1:6" x14ac:dyDescent="0.15">
      <c r="A73" s="28" t="s">
        <v>16</v>
      </c>
      <c r="B73" s="44"/>
      <c r="C73" s="36">
        <v>10</v>
      </c>
      <c r="D73" s="9"/>
      <c r="E73" s="10">
        <f t="shared" si="3"/>
        <v>10</v>
      </c>
      <c r="F73" s="11">
        <v>43438</v>
      </c>
    </row>
    <row r="74" spans="1:6" x14ac:dyDescent="0.15">
      <c r="A74" s="24" t="s">
        <v>3</v>
      </c>
      <c r="B74" s="43">
        <v>-2</v>
      </c>
      <c r="C74" s="36"/>
      <c r="D74" s="9"/>
      <c r="E74" s="10">
        <f t="shared" si="3"/>
        <v>-2</v>
      </c>
      <c r="F74" s="11">
        <v>43459</v>
      </c>
    </row>
    <row r="75" spans="1:6" x14ac:dyDescent="0.15">
      <c r="A75" s="24" t="s">
        <v>17</v>
      </c>
      <c r="B75" s="43">
        <v>2</v>
      </c>
      <c r="C75" s="36"/>
      <c r="D75" s="9"/>
      <c r="E75" s="10">
        <f t="shared" si="3"/>
        <v>2</v>
      </c>
      <c r="F75" s="11">
        <v>43459</v>
      </c>
    </row>
    <row r="76" spans="1:6" x14ac:dyDescent="0.15">
      <c r="A76" s="24" t="s">
        <v>3</v>
      </c>
      <c r="B76" s="43"/>
      <c r="C76" s="36">
        <v>-1</v>
      </c>
      <c r="D76" s="9"/>
      <c r="E76" s="10">
        <f t="shared" si="3"/>
        <v>-1</v>
      </c>
      <c r="F76" s="11">
        <v>43461</v>
      </c>
    </row>
    <row r="77" spans="1:6" x14ac:dyDescent="0.15">
      <c r="A77" s="24" t="s">
        <v>3</v>
      </c>
      <c r="B77" s="43"/>
      <c r="C77" s="36">
        <v>1</v>
      </c>
      <c r="D77" s="9"/>
      <c r="E77" s="10">
        <f t="shared" si="3"/>
        <v>1</v>
      </c>
      <c r="F77" s="11">
        <v>43461</v>
      </c>
    </row>
    <row r="78" spans="1:6" x14ac:dyDescent="0.15">
      <c r="A78" s="24" t="s">
        <v>3</v>
      </c>
      <c r="B78" s="43">
        <v>-1</v>
      </c>
      <c r="C78" s="36"/>
      <c r="D78" s="9"/>
      <c r="E78" s="10">
        <f t="shared" si="3"/>
        <v>-1</v>
      </c>
      <c r="F78" s="11">
        <v>43474</v>
      </c>
    </row>
    <row r="79" spans="1:6" x14ac:dyDescent="0.15">
      <c r="A79" s="24" t="s">
        <v>14</v>
      </c>
      <c r="B79" s="44">
        <v>1</v>
      </c>
      <c r="C79" s="36"/>
      <c r="D79" s="9"/>
      <c r="E79" s="10">
        <f t="shared" si="3"/>
        <v>1</v>
      </c>
      <c r="F79" s="11">
        <v>43474</v>
      </c>
    </row>
    <row r="80" spans="1:6" x14ac:dyDescent="0.15">
      <c r="A80" s="24" t="s">
        <v>3</v>
      </c>
      <c r="B80" s="43"/>
      <c r="C80" s="36"/>
      <c r="D80" s="9">
        <v>-1</v>
      </c>
      <c r="E80" s="10">
        <f t="shared" si="3"/>
        <v>-1</v>
      </c>
      <c r="F80" s="11">
        <v>43483</v>
      </c>
    </row>
    <row r="81" spans="1:6" x14ac:dyDescent="0.15">
      <c r="A81" s="24" t="s">
        <v>14</v>
      </c>
      <c r="B81" s="43"/>
      <c r="C81" s="40"/>
      <c r="D81" s="16">
        <v>1</v>
      </c>
      <c r="E81" s="10">
        <f t="shared" si="3"/>
        <v>1</v>
      </c>
      <c r="F81" s="25">
        <v>43483</v>
      </c>
    </row>
    <row r="82" spans="1:6" ht="14.25" thickBot="1" x14ac:dyDescent="0.2">
      <c r="A82" s="24"/>
      <c r="B82" s="59"/>
      <c r="C82" s="14"/>
      <c r="D82" s="18"/>
      <c r="E82" s="10">
        <f t="shared" si="3"/>
        <v>0</v>
      </c>
      <c r="F82" s="19"/>
    </row>
    <row r="83" spans="1:6" ht="14.25" thickBot="1" x14ac:dyDescent="0.2">
      <c r="A83" s="6" t="s">
        <v>5</v>
      </c>
      <c r="B83" s="45">
        <f>SUM(B59:B82)</f>
        <v>3</v>
      </c>
      <c r="C83" s="41">
        <f>SUM(C59:C82)</f>
        <v>3</v>
      </c>
      <c r="D83" s="29">
        <f>SUM(D59:D82)</f>
        <v>11</v>
      </c>
      <c r="E83" s="30">
        <f>SUM(B83:D83)</f>
        <v>17</v>
      </c>
      <c r="F83" s="31"/>
    </row>
    <row r="84" spans="1:6" ht="14.25" thickBot="1" x14ac:dyDescent="0.2">
      <c r="A84" s="32" t="s">
        <v>6</v>
      </c>
      <c r="B84" s="46">
        <f>B58-B83</f>
        <v>0</v>
      </c>
      <c r="C84" s="42">
        <f>C58-C83</f>
        <v>0</v>
      </c>
      <c r="D84" s="33">
        <f>D58-D83</f>
        <v>0</v>
      </c>
      <c r="E84" s="34">
        <f>SUM(B84:D84)</f>
        <v>0</v>
      </c>
      <c r="F84" s="35"/>
    </row>
    <row r="85" spans="1:6" ht="18.75" x14ac:dyDescent="0.2">
      <c r="A85" s="1" t="s">
        <v>7</v>
      </c>
      <c r="B85" s="1"/>
    </row>
    <row r="86" spans="1:6" ht="19.5" thickBot="1" x14ac:dyDescent="0.25">
      <c r="A86" s="1"/>
      <c r="B86" s="1"/>
    </row>
    <row r="87" spans="1:6" ht="14.25" thickBot="1" x14ac:dyDescent="0.2">
      <c r="A87" s="2"/>
      <c r="B87" s="6" t="s">
        <v>8</v>
      </c>
      <c r="C87" s="3" t="s">
        <v>9</v>
      </c>
      <c r="D87" s="4" t="s">
        <v>10</v>
      </c>
      <c r="E87" s="5" t="s">
        <v>0</v>
      </c>
      <c r="F87" s="6" t="s">
        <v>1</v>
      </c>
    </row>
    <row r="88" spans="1:6" ht="14.25" thickBot="1" x14ac:dyDescent="0.2">
      <c r="A88" s="6" t="s">
        <v>6</v>
      </c>
      <c r="B88" s="72">
        <f>B84</f>
        <v>0</v>
      </c>
      <c r="C88" s="72">
        <f>C84</f>
        <v>0</v>
      </c>
      <c r="D88" s="72">
        <f>D84</f>
        <v>0</v>
      </c>
      <c r="E88" s="22">
        <f>SUM(B88:D88)</f>
        <v>0</v>
      </c>
      <c r="F88" s="73"/>
    </row>
    <row r="89" spans="1:6" x14ac:dyDescent="0.15">
      <c r="A89" s="71" t="s">
        <v>3</v>
      </c>
      <c r="B89" s="74"/>
      <c r="C89" s="49">
        <v>1</v>
      </c>
      <c r="D89" s="50"/>
      <c r="E89" s="51">
        <f>SUM(B89:D89)</f>
        <v>1</v>
      </c>
      <c r="F89" s="75">
        <v>43488</v>
      </c>
    </row>
    <row r="90" spans="1:6" x14ac:dyDescent="0.15">
      <c r="A90" s="8" t="s">
        <v>3</v>
      </c>
      <c r="B90" s="54"/>
      <c r="C90" s="14"/>
      <c r="D90" s="9">
        <v>1</v>
      </c>
      <c r="E90" s="10">
        <f t="shared" ref="E90:E95" si="4">SUM(B90:D90)</f>
        <v>1</v>
      </c>
      <c r="F90" s="13">
        <v>43501</v>
      </c>
    </row>
    <row r="91" spans="1:6" x14ac:dyDescent="0.15">
      <c r="A91" s="8" t="s">
        <v>3</v>
      </c>
      <c r="B91" s="37"/>
      <c r="C91" s="14">
        <v>1</v>
      </c>
      <c r="D91" s="9"/>
      <c r="E91" s="10">
        <f t="shared" si="4"/>
        <v>1</v>
      </c>
      <c r="F91" s="13">
        <v>43508</v>
      </c>
    </row>
    <row r="92" spans="1:6" x14ac:dyDescent="0.15">
      <c r="A92" s="8" t="s">
        <v>3</v>
      </c>
      <c r="B92" s="60"/>
      <c r="C92" s="9">
        <v>2</v>
      </c>
      <c r="D92" s="9"/>
      <c r="E92" s="10">
        <f t="shared" si="4"/>
        <v>2</v>
      </c>
      <c r="F92" s="13">
        <v>43510</v>
      </c>
    </row>
    <row r="93" spans="1:6" x14ac:dyDescent="0.15">
      <c r="A93" s="8" t="s">
        <v>3</v>
      </c>
      <c r="B93" s="54"/>
      <c r="C93" s="14">
        <v>2</v>
      </c>
      <c r="D93" s="9">
        <v>2</v>
      </c>
      <c r="E93" s="10">
        <f t="shared" si="4"/>
        <v>4</v>
      </c>
      <c r="F93" s="13">
        <v>43523</v>
      </c>
    </row>
    <row r="94" spans="1:6" x14ac:dyDescent="0.15">
      <c r="A94" s="8" t="s">
        <v>3</v>
      </c>
      <c r="B94" s="37"/>
      <c r="C94" s="14"/>
      <c r="D94" s="9">
        <v>2</v>
      </c>
      <c r="E94" s="10">
        <f t="shared" si="4"/>
        <v>2</v>
      </c>
      <c r="F94" s="13">
        <v>43549</v>
      </c>
    </row>
    <row r="95" spans="1:6" x14ac:dyDescent="0.15">
      <c r="A95" s="8" t="s">
        <v>3</v>
      </c>
      <c r="B95" s="54"/>
      <c r="C95" s="14">
        <v>2</v>
      </c>
      <c r="D95" s="9"/>
      <c r="E95" s="10">
        <f t="shared" si="4"/>
        <v>2</v>
      </c>
      <c r="F95" s="13">
        <v>43553</v>
      </c>
    </row>
    <row r="96" spans="1:6" x14ac:dyDescent="0.15">
      <c r="A96" s="8" t="s">
        <v>3</v>
      </c>
      <c r="B96" s="54">
        <v>2</v>
      </c>
      <c r="C96" s="14"/>
      <c r="D96" s="9"/>
      <c r="E96" s="10">
        <f t="shared" ref="E96:E111" si="5">SUM(B96:D96)</f>
        <v>2</v>
      </c>
      <c r="F96" s="13">
        <v>43561</v>
      </c>
    </row>
    <row r="97" spans="1:6" x14ac:dyDescent="0.15">
      <c r="A97" s="8" t="s">
        <v>3</v>
      </c>
      <c r="B97" s="54">
        <v>2</v>
      </c>
      <c r="C97" s="14">
        <v>2</v>
      </c>
      <c r="D97" s="9"/>
      <c r="E97" s="10">
        <f t="shared" si="5"/>
        <v>4</v>
      </c>
      <c r="F97" s="13">
        <v>43596</v>
      </c>
    </row>
    <row r="98" spans="1:6" x14ac:dyDescent="0.15">
      <c r="A98" s="8" t="s">
        <v>3</v>
      </c>
      <c r="B98" s="54">
        <v>3</v>
      </c>
      <c r="C98" s="14"/>
      <c r="D98" s="9">
        <v>1</v>
      </c>
      <c r="E98" s="10">
        <f t="shared" si="5"/>
        <v>4</v>
      </c>
      <c r="F98" s="13">
        <v>43602</v>
      </c>
    </row>
    <row r="99" spans="1:6" ht="14.25" thickBot="1" x14ac:dyDescent="0.2">
      <c r="A99" s="38" t="s">
        <v>3</v>
      </c>
      <c r="B99" s="61">
        <v>1</v>
      </c>
      <c r="C99" s="14">
        <v>1</v>
      </c>
      <c r="D99" s="18">
        <v>1</v>
      </c>
      <c r="E99" s="10">
        <f t="shared" si="5"/>
        <v>3</v>
      </c>
      <c r="F99" s="19">
        <v>43617</v>
      </c>
    </row>
    <row r="100" spans="1:6" ht="14.25" thickBot="1" x14ac:dyDescent="0.2">
      <c r="A100" s="2" t="s">
        <v>4</v>
      </c>
      <c r="B100" s="20">
        <f>SUM(B88:B99)</f>
        <v>8</v>
      </c>
      <c r="C100" s="20">
        <f>SUM(C88:C99)</f>
        <v>11</v>
      </c>
      <c r="D100" s="21">
        <f>SUM(D88:D99)</f>
        <v>7</v>
      </c>
      <c r="E100" s="22">
        <f t="shared" si="5"/>
        <v>26</v>
      </c>
      <c r="F100" s="23"/>
    </row>
    <row r="101" spans="1:6" x14ac:dyDescent="0.15">
      <c r="A101" s="24" t="s">
        <v>18</v>
      </c>
      <c r="B101" s="48"/>
      <c r="C101" s="49">
        <v>1</v>
      </c>
      <c r="D101" s="50"/>
      <c r="E101" s="51">
        <f t="shared" si="5"/>
        <v>1</v>
      </c>
      <c r="F101" s="52">
        <v>43488</v>
      </c>
    </row>
    <row r="102" spans="1:6" x14ac:dyDescent="0.15">
      <c r="A102" s="24" t="s">
        <v>14</v>
      </c>
      <c r="B102" s="43"/>
      <c r="C102" s="36"/>
      <c r="D102" s="9">
        <v>1</v>
      </c>
      <c r="E102" s="10">
        <f t="shared" si="5"/>
        <v>1</v>
      </c>
      <c r="F102" s="11">
        <v>43501</v>
      </c>
    </row>
    <row r="103" spans="1:6" x14ac:dyDescent="0.15">
      <c r="A103" s="24" t="s">
        <v>14</v>
      </c>
      <c r="B103" s="43"/>
      <c r="C103" s="36">
        <v>1</v>
      </c>
      <c r="D103" s="9"/>
      <c r="E103" s="10">
        <f t="shared" si="5"/>
        <v>1</v>
      </c>
      <c r="F103" s="11">
        <v>43508</v>
      </c>
    </row>
    <row r="104" spans="1:6" x14ac:dyDescent="0.15">
      <c r="A104" s="24" t="s">
        <v>14</v>
      </c>
      <c r="B104" s="43"/>
      <c r="C104" s="36">
        <v>2</v>
      </c>
      <c r="D104" s="9"/>
      <c r="E104" s="10">
        <f t="shared" si="5"/>
        <v>2</v>
      </c>
      <c r="F104" s="11">
        <v>43510</v>
      </c>
    </row>
    <row r="105" spans="1:6" x14ac:dyDescent="0.15">
      <c r="A105" s="24" t="s">
        <v>14</v>
      </c>
      <c r="B105" s="43"/>
      <c r="C105" s="36"/>
      <c r="D105" s="9">
        <v>2</v>
      </c>
      <c r="E105" s="10">
        <f t="shared" si="5"/>
        <v>2</v>
      </c>
      <c r="F105" s="11">
        <v>43523</v>
      </c>
    </row>
    <row r="106" spans="1:6" x14ac:dyDescent="0.15">
      <c r="A106" s="24" t="s">
        <v>14</v>
      </c>
      <c r="B106" s="43"/>
      <c r="C106" s="36"/>
      <c r="D106" s="9">
        <v>1</v>
      </c>
      <c r="E106" s="10">
        <f t="shared" si="5"/>
        <v>1</v>
      </c>
      <c r="F106" s="11">
        <v>43549</v>
      </c>
    </row>
    <row r="107" spans="1:6" x14ac:dyDescent="0.15">
      <c r="A107" s="24" t="s">
        <v>14</v>
      </c>
      <c r="B107" s="43"/>
      <c r="C107" s="36">
        <v>2</v>
      </c>
      <c r="D107" s="9"/>
      <c r="E107" s="10">
        <f t="shared" si="5"/>
        <v>2</v>
      </c>
      <c r="F107" s="11">
        <v>43550</v>
      </c>
    </row>
    <row r="108" spans="1:6" x14ac:dyDescent="0.15">
      <c r="A108" s="24" t="s">
        <v>14</v>
      </c>
      <c r="B108" s="43">
        <v>1</v>
      </c>
      <c r="C108" s="36"/>
      <c r="D108" s="9"/>
      <c r="E108" s="10">
        <f t="shared" si="5"/>
        <v>1</v>
      </c>
      <c r="F108" s="11">
        <v>43563</v>
      </c>
    </row>
    <row r="109" spans="1:6" x14ac:dyDescent="0.15">
      <c r="A109" s="24" t="s">
        <v>14</v>
      </c>
      <c r="B109" s="43"/>
      <c r="C109" s="36">
        <v>1</v>
      </c>
      <c r="D109" s="9"/>
      <c r="E109" s="10">
        <f t="shared" si="5"/>
        <v>1</v>
      </c>
      <c r="F109" s="11">
        <v>43570</v>
      </c>
    </row>
    <row r="110" spans="1:6" x14ac:dyDescent="0.15">
      <c r="A110" s="24" t="s">
        <v>14</v>
      </c>
      <c r="B110" s="43"/>
      <c r="C110" s="36">
        <v>1</v>
      </c>
      <c r="D110" s="9"/>
      <c r="E110" s="10">
        <f t="shared" si="5"/>
        <v>1</v>
      </c>
      <c r="F110" s="11">
        <v>43571</v>
      </c>
    </row>
    <row r="111" spans="1:6" x14ac:dyDescent="0.15">
      <c r="A111" s="24" t="s">
        <v>14</v>
      </c>
      <c r="B111" s="43">
        <v>1</v>
      </c>
      <c r="C111" s="36"/>
      <c r="D111" s="9"/>
      <c r="E111" s="10">
        <f t="shared" si="5"/>
        <v>1</v>
      </c>
      <c r="F111" s="11">
        <v>43594</v>
      </c>
    </row>
    <row r="112" spans="1:6" x14ac:dyDescent="0.15">
      <c r="A112" s="24" t="s">
        <v>14</v>
      </c>
      <c r="B112" s="43">
        <v>1</v>
      </c>
      <c r="C112" s="36"/>
      <c r="D112" s="9"/>
      <c r="E112" s="10">
        <f t="shared" ref="E112:E124" si="6">SUM(B112:D112)</f>
        <v>1</v>
      </c>
      <c r="F112" s="11">
        <v>43599</v>
      </c>
    </row>
    <row r="113" spans="1:6" x14ac:dyDescent="0.15">
      <c r="A113" s="24" t="s">
        <v>14</v>
      </c>
      <c r="B113" s="43"/>
      <c r="C113" s="36"/>
      <c r="D113" s="9">
        <v>1</v>
      </c>
      <c r="E113" s="10">
        <f t="shared" si="6"/>
        <v>1</v>
      </c>
      <c r="F113" s="11">
        <v>43601</v>
      </c>
    </row>
    <row r="114" spans="1:6" x14ac:dyDescent="0.15">
      <c r="A114" s="24" t="s">
        <v>14</v>
      </c>
      <c r="B114" s="43">
        <v>1</v>
      </c>
      <c r="C114" s="36"/>
      <c r="D114" s="9"/>
      <c r="E114" s="10">
        <f t="shared" si="6"/>
        <v>1</v>
      </c>
      <c r="F114" s="11">
        <v>43602</v>
      </c>
    </row>
    <row r="115" spans="1:6" x14ac:dyDescent="0.15">
      <c r="A115" s="24" t="s">
        <v>14</v>
      </c>
      <c r="B115" s="44"/>
      <c r="C115" s="36"/>
      <c r="D115" s="9">
        <v>1</v>
      </c>
      <c r="E115" s="10">
        <f t="shared" si="6"/>
        <v>1</v>
      </c>
      <c r="F115" s="11">
        <v>43603</v>
      </c>
    </row>
    <row r="116" spans="1:6" x14ac:dyDescent="0.15">
      <c r="A116" s="24" t="s">
        <v>14</v>
      </c>
      <c r="B116" s="43">
        <v>1</v>
      </c>
      <c r="C116" s="36"/>
      <c r="D116" s="9"/>
      <c r="E116" s="10">
        <f t="shared" si="6"/>
        <v>1</v>
      </c>
      <c r="F116" s="11">
        <v>43608</v>
      </c>
    </row>
    <row r="117" spans="1:6" x14ac:dyDescent="0.15">
      <c r="A117" s="24" t="s">
        <v>3</v>
      </c>
      <c r="B117" s="43"/>
      <c r="C117" s="36"/>
      <c r="D117" s="9">
        <v>-2</v>
      </c>
      <c r="E117" s="10">
        <f t="shared" si="6"/>
        <v>-2</v>
      </c>
      <c r="F117" s="11">
        <v>43648</v>
      </c>
    </row>
    <row r="118" spans="1:6" x14ac:dyDescent="0.15">
      <c r="A118" s="24" t="s">
        <v>14</v>
      </c>
      <c r="B118" s="43">
        <v>1</v>
      </c>
      <c r="C118" s="36"/>
      <c r="D118" s="9">
        <v>1</v>
      </c>
      <c r="E118" s="10">
        <f t="shared" si="6"/>
        <v>2</v>
      </c>
      <c r="F118" s="11">
        <v>43696</v>
      </c>
    </row>
    <row r="119" spans="1:6" x14ac:dyDescent="0.15">
      <c r="A119" s="24" t="s">
        <v>14</v>
      </c>
      <c r="B119" s="43">
        <v>1</v>
      </c>
      <c r="C119" s="36"/>
      <c r="D119" s="9"/>
      <c r="E119" s="10">
        <f t="shared" si="6"/>
        <v>1</v>
      </c>
      <c r="F119" s="11">
        <v>43803</v>
      </c>
    </row>
    <row r="120" spans="1:6" x14ac:dyDescent="0.15">
      <c r="A120" s="24" t="s">
        <v>14</v>
      </c>
      <c r="B120" s="43"/>
      <c r="C120" s="36">
        <v>1</v>
      </c>
      <c r="D120" s="9"/>
      <c r="E120" s="10">
        <f t="shared" si="6"/>
        <v>1</v>
      </c>
      <c r="F120" s="11">
        <v>43811</v>
      </c>
    </row>
    <row r="121" spans="1:6" x14ac:dyDescent="0.15">
      <c r="A121" s="24" t="s">
        <v>14</v>
      </c>
      <c r="B121" s="44"/>
      <c r="C121" s="36">
        <v>1</v>
      </c>
      <c r="D121" s="9"/>
      <c r="E121" s="10">
        <f t="shared" si="6"/>
        <v>1</v>
      </c>
      <c r="F121" s="11">
        <v>43817</v>
      </c>
    </row>
    <row r="122" spans="1:6" x14ac:dyDescent="0.15">
      <c r="A122" s="24" t="s">
        <v>3</v>
      </c>
      <c r="B122" s="43">
        <v>-1</v>
      </c>
      <c r="C122" s="36">
        <v>-1</v>
      </c>
      <c r="D122" s="9"/>
      <c r="E122" s="10">
        <f t="shared" si="6"/>
        <v>-2</v>
      </c>
      <c r="F122" s="11">
        <v>43837</v>
      </c>
    </row>
    <row r="123" spans="1:6" x14ac:dyDescent="0.15">
      <c r="A123" s="24" t="s">
        <v>14</v>
      </c>
      <c r="B123" s="43"/>
      <c r="C123" s="40">
        <v>1</v>
      </c>
      <c r="D123" s="16"/>
      <c r="E123" s="10">
        <f t="shared" si="6"/>
        <v>1</v>
      </c>
      <c r="F123" s="25">
        <v>43837</v>
      </c>
    </row>
    <row r="124" spans="1:6" ht="14.25" thickBot="1" x14ac:dyDescent="0.2">
      <c r="A124" s="24" t="s">
        <v>14</v>
      </c>
      <c r="B124" s="59"/>
      <c r="C124" s="14">
        <v>1</v>
      </c>
      <c r="D124" s="18"/>
      <c r="E124" s="10">
        <f t="shared" si="6"/>
        <v>1</v>
      </c>
      <c r="F124" s="19">
        <v>43899</v>
      </c>
    </row>
    <row r="125" spans="1:6" ht="14.25" thickBot="1" x14ac:dyDescent="0.2">
      <c r="A125" s="6" t="s">
        <v>5</v>
      </c>
      <c r="B125" s="45">
        <f>SUM(B101:B124)</f>
        <v>6</v>
      </c>
      <c r="C125" s="41">
        <f>SUM(C101:C124)</f>
        <v>11</v>
      </c>
      <c r="D125" s="29">
        <f>SUM(D101:D124)</f>
        <v>5</v>
      </c>
      <c r="E125" s="30">
        <f>SUM(B125:D125)</f>
        <v>22</v>
      </c>
      <c r="F125" s="31"/>
    </row>
    <row r="126" spans="1:6" ht="14.25" thickBot="1" x14ac:dyDescent="0.2">
      <c r="A126" s="32" t="s">
        <v>6</v>
      </c>
      <c r="B126" s="46">
        <f>B100-B125</f>
        <v>2</v>
      </c>
      <c r="C126" s="42">
        <f>C100-C125</f>
        <v>0</v>
      </c>
      <c r="D126" s="33">
        <f>D100-D125</f>
        <v>2</v>
      </c>
      <c r="E126" s="34">
        <f>SUM(B126:D126)</f>
        <v>4</v>
      </c>
      <c r="F126" s="35"/>
    </row>
    <row r="127" spans="1:6" ht="18.75" x14ac:dyDescent="0.2">
      <c r="A127" s="1" t="s">
        <v>7</v>
      </c>
      <c r="B127" s="1"/>
    </row>
    <row r="128" spans="1:6" ht="19.5" thickBot="1" x14ac:dyDescent="0.25">
      <c r="A128" s="1"/>
      <c r="B128" s="1"/>
      <c r="F128">
        <v>2924</v>
      </c>
    </row>
    <row r="129" spans="1:6" ht="14.25" thickBot="1" x14ac:dyDescent="0.2">
      <c r="A129" s="2"/>
      <c r="B129" s="6" t="s">
        <v>8</v>
      </c>
      <c r="C129" s="3" t="s">
        <v>9</v>
      </c>
      <c r="D129" s="4" t="s">
        <v>10</v>
      </c>
      <c r="E129" s="5" t="s">
        <v>0</v>
      </c>
      <c r="F129" s="6" t="s">
        <v>1</v>
      </c>
    </row>
    <row r="130" spans="1:6" ht="14.25" thickBot="1" x14ac:dyDescent="0.2">
      <c r="A130" s="6" t="s">
        <v>6</v>
      </c>
      <c r="B130" s="72">
        <f>B126</f>
        <v>2</v>
      </c>
      <c r="C130" s="72">
        <f>C126</f>
        <v>0</v>
      </c>
      <c r="D130" s="72">
        <f>D126</f>
        <v>2</v>
      </c>
      <c r="E130" s="22">
        <f>SUM(B130:D130)</f>
        <v>4</v>
      </c>
      <c r="F130" s="73"/>
    </row>
    <row r="131" spans="1:6" x14ac:dyDescent="0.15">
      <c r="A131" s="71" t="s">
        <v>3</v>
      </c>
      <c r="B131" s="74"/>
      <c r="C131" s="49">
        <v>1</v>
      </c>
      <c r="D131" s="50"/>
      <c r="E131" s="51">
        <f>SUM(B131:D131)</f>
        <v>1</v>
      </c>
      <c r="F131" s="75">
        <v>44013</v>
      </c>
    </row>
    <row r="132" spans="1:6" x14ac:dyDescent="0.15">
      <c r="A132" s="8" t="s">
        <v>3</v>
      </c>
      <c r="B132" s="54"/>
      <c r="C132" s="14"/>
      <c r="D132" s="9">
        <v>2</v>
      </c>
      <c r="E132" s="10">
        <f t="shared" ref="E132:E166" si="7">SUM(B132:D132)</f>
        <v>2</v>
      </c>
      <c r="F132" s="13">
        <v>44085</v>
      </c>
    </row>
    <row r="133" spans="1:6" x14ac:dyDescent="0.15">
      <c r="A133" s="8" t="s">
        <v>3</v>
      </c>
      <c r="B133" s="37"/>
      <c r="C133" s="14">
        <v>2</v>
      </c>
      <c r="D133" s="9">
        <v>1</v>
      </c>
      <c r="E133" s="10">
        <f t="shared" si="7"/>
        <v>3</v>
      </c>
      <c r="F133" s="13">
        <v>44210</v>
      </c>
    </row>
    <row r="134" spans="1:6" x14ac:dyDescent="0.15">
      <c r="A134" s="8" t="s">
        <v>3</v>
      </c>
      <c r="B134" s="60"/>
      <c r="C134" s="9">
        <v>2</v>
      </c>
      <c r="D134" s="9"/>
      <c r="E134" s="10">
        <f t="shared" si="7"/>
        <v>2</v>
      </c>
      <c r="F134" s="13">
        <v>44314</v>
      </c>
    </row>
    <row r="135" spans="1:6" x14ac:dyDescent="0.15">
      <c r="A135" s="8" t="s">
        <v>3</v>
      </c>
      <c r="B135" s="54">
        <v>2</v>
      </c>
      <c r="C135" s="14">
        <v>5</v>
      </c>
      <c r="D135" s="9"/>
      <c r="E135" s="10">
        <f t="shared" si="7"/>
        <v>7</v>
      </c>
      <c r="F135" s="13">
        <v>44398</v>
      </c>
    </row>
    <row r="136" spans="1:6" x14ac:dyDescent="0.15">
      <c r="A136" s="8" t="s">
        <v>3</v>
      </c>
      <c r="B136" s="54">
        <v>2</v>
      </c>
      <c r="C136" s="14"/>
      <c r="D136" s="9"/>
      <c r="E136" s="10">
        <f t="shared" si="7"/>
        <v>2</v>
      </c>
      <c r="F136" s="13">
        <v>44456</v>
      </c>
    </row>
    <row r="137" spans="1:6" x14ac:dyDescent="0.15">
      <c r="A137" s="8" t="s">
        <v>3</v>
      </c>
      <c r="B137" s="54">
        <v>3</v>
      </c>
      <c r="C137" s="14">
        <v>2</v>
      </c>
      <c r="D137" s="9">
        <v>2</v>
      </c>
      <c r="E137" s="10">
        <f t="shared" si="7"/>
        <v>7</v>
      </c>
      <c r="F137" s="13">
        <v>44483</v>
      </c>
    </row>
    <row r="138" spans="1:6" x14ac:dyDescent="0.15">
      <c r="A138" s="8" t="s">
        <v>3</v>
      </c>
      <c r="B138" s="54">
        <v>2</v>
      </c>
      <c r="C138" s="14">
        <v>2</v>
      </c>
      <c r="D138" s="9"/>
      <c r="E138" s="10">
        <f t="shared" si="7"/>
        <v>4</v>
      </c>
      <c r="F138" s="13">
        <v>44587</v>
      </c>
    </row>
    <row r="139" spans="1:6" x14ac:dyDescent="0.15">
      <c r="A139" s="62" t="s">
        <v>19</v>
      </c>
      <c r="B139" s="63">
        <v>0</v>
      </c>
      <c r="C139" s="64">
        <v>0</v>
      </c>
      <c r="D139" s="65">
        <v>0</v>
      </c>
      <c r="E139" s="66">
        <f t="shared" si="7"/>
        <v>0</v>
      </c>
      <c r="F139" s="67">
        <v>44796</v>
      </c>
    </row>
    <row r="140" spans="1:6" x14ac:dyDescent="0.15">
      <c r="A140" s="8" t="s">
        <v>3</v>
      </c>
      <c r="B140" s="54"/>
      <c r="C140" s="14"/>
      <c r="D140" s="9"/>
      <c r="E140" s="10">
        <f t="shared" si="7"/>
        <v>0</v>
      </c>
      <c r="F140" s="13"/>
    </row>
    <row r="141" spans="1:6" ht="14.25" thickBot="1" x14ac:dyDescent="0.2">
      <c r="A141" s="38" t="s">
        <v>3</v>
      </c>
      <c r="B141" s="61"/>
      <c r="C141" s="14"/>
      <c r="D141" s="18"/>
      <c r="E141" s="10">
        <f t="shared" si="7"/>
        <v>0</v>
      </c>
      <c r="F141" s="19"/>
    </row>
    <row r="142" spans="1:6" ht="14.25" thickBot="1" x14ac:dyDescent="0.2">
      <c r="A142" s="2" t="s">
        <v>4</v>
      </c>
      <c r="B142" s="20">
        <f>SUM(B130:B141)</f>
        <v>11</v>
      </c>
      <c r="C142" s="20">
        <f>SUM(C130:C141)</f>
        <v>14</v>
      </c>
      <c r="D142" s="21">
        <f>SUM(D130:D141)</f>
        <v>7</v>
      </c>
      <c r="E142" s="22">
        <f t="shared" si="7"/>
        <v>32</v>
      </c>
      <c r="F142" s="23"/>
    </row>
    <row r="143" spans="1:6" x14ac:dyDescent="0.15">
      <c r="A143" s="24" t="s">
        <v>14</v>
      </c>
      <c r="B143" s="48"/>
      <c r="C143" s="49">
        <v>1</v>
      </c>
      <c r="D143" s="50"/>
      <c r="E143" s="51">
        <f t="shared" si="7"/>
        <v>1</v>
      </c>
      <c r="F143" s="52">
        <v>44013</v>
      </c>
    </row>
    <row r="144" spans="1:6" x14ac:dyDescent="0.15">
      <c r="A144" s="24" t="s">
        <v>14</v>
      </c>
      <c r="B144" s="43"/>
      <c r="C144" s="36"/>
      <c r="D144" s="9">
        <v>1</v>
      </c>
      <c r="E144" s="10">
        <f t="shared" si="7"/>
        <v>1</v>
      </c>
      <c r="F144" s="11">
        <v>44025</v>
      </c>
    </row>
    <row r="145" spans="1:6" x14ac:dyDescent="0.15">
      <c r="A145" s="24" t="s">
        <v>14</v>
      </c>
      <c r="B145" s="43"/>
      <c r="C145" s="36"/>
      <c r="D145" s="9">
        <v>2</v>
      </c>
      <c r="E145" s="10">
        <f t="shared" si="7"/>
        <v>2</v>
      </c>
      <c r="F145" s="11">
        <v>44085</v>
      </c>
    </row>
    <row r="146" spans="1:6" x14ac:dyDescent="0.15">
      <c r="A146" s="24" t="s">
        <v>14</v>
      </c>
      <c r="B146" s="43"/>
      <c r="C146" s="36"/>
      <c r="D146" s="9">
        <v>1</v>
      </c>
      <c r="E146" s="10">
        <f t="shared" si="7"/>
        <v>1</v>
      </c>
      <c r="F146" s="11">
        <v>44089</v>
      </c>
    </row>
    <row r="147" spans="1:6" x14ac:dyDescent="0.15">
      <c r="A147" s="24" t="s">
        <v>14</v>
      </c>
      <c r="B147" s="43"/>
      <c r="C147" s="36">
        <v>1</v>
      </c>
      <c r="D147" s="9"/>
      <c r="E147" s="10">
        <f t="shared" si="7"/>
        <v>1</v>
      </c>
      <c r="F147" s="11">
        <v>44210</v>
      </c>
    </row>
    <row r="148" spans="1:6" x14ac:dyDescent="0.15">
      <c r="A148" s="24" t="s">
        <v>14</v>
      </c>
      <c r="B148" s="43"/>
      <c r="C148" s="36">
        <v>1</v>
      </c>
      <c r="D148" s="9"/>
      <c r="E148" s="10">
        <f t="shared" si="7"/>
        <v>1</v>
      </c>
      <c r="F148" s="11">
        <v>44229</v>
      </c>
    </row>
    <row r="149" spans="1:6" x14ac:dyDescent="0.15">
      <c r="A149" s="24" t="s">
        <v>14</v>
      </c>
      <c r="B149" s="43"/>
      <c r="C149" s="36">
        <v>1</v>
      </c>
      <c r="D149" s="9"/>
      <c r="E149" s="10">
        <f t="shared" si="7"/>
        <v>1</v>
      </c>
      <c r="F149" s="11">
        <v>44314</v>
      </c>
    </row>
    <row r="150" spans="1:6" x14ac:dyDescent="0.15">
      <c r="A150" s="24" t="s">
        <v>14</v>
      </c>
      <c r="B150" s="43">
        <v>1</v>
      </c>
      <c r="C150" s="36"/>
      <c r="D150" s="9"/>
      <c r="E150" s="10">
        <f t="shared" si="7"/>
        <v>1</v>
      </c>
      <c r="F150" s="11">
        <v>44334</v>
      </c>
    </row>
    <row r="151" spans="1:6" x14ac:dyDescent="0.15">
      <c r="A151" s="24" t="s">
        <v>14</v>
      </c>
      <c r="B151" s="43"/>
      <c r="C151" s="36">
        <v>1</v>
      </c>
      <c r="D151" s="9"/>
      <c r="E151" s="10">
        <f t="shared" si="7"/>
        <v>1</v>
      </c>
      <c r="F151" s="11">
        <v>44350</v>
      </c>
    </row>
    <row r="152" spans="1:6" x14ac:dyDescent="0.15">
      <c r="A152" s="24" t="s">
        <v>14</v>
      </c>
      <c r="B152" s="43">
        <v>1</v>
      </c>
      <c r="C152" s="36"/>
      <c r="D152" s="9"/>
      <c r="E152" s="10">
        <f t="shared" si="7"/>
        <v>1</v>
      </c>
      <c r="F152" s="11">
        <v>44392</v>
      </c>
    </row>
    <row r="153" spans="1:6" x14ac:dyDescent="0.15">
      <c r="A153" s="24" t="s">
        <v>14</v>
      </c>
      <c r="B153" s="43">
        <v>2</v>
      </c>
      <c r="C153" s="36">
        <v>3</v>
      </c>
      <c r="D153" s="9"/>
      <c r="E153" s="10">
        <f t="shared" si="7"/>
        <v>5</v>
      </c>
      <c r="F153" s="11">
        <v>44401</v>
      </c>
    </row>
    <row r="154" spans="1:6" x14ac:dyDescent="0.15">
      <c r="A154" s="24" t="s">
        <v>14</v>
      </c>
      <c r="B154" s="43">
        <v>2</v>
      </c>
      <c r="C154" s="36"/>
      <c r="D154" s="9"/>
      <c r="E154" s="10">
        <f t="shared" si="7"/>
        <v>2</v>
      </c>
      <c r="F154" s="11">
        <v>44456</v>
      </c>
    </row>
    <row r="155" spans="1:6" x14ac:dyDescent="0.15">
      <c r="A155" s="24" t="s">
        <v>14</v>
      </c>
      <c r="B155" s="43"/>
      <c r="C155" s="36"/>
      <c r="D155" s="9">
        <v>1</v>
      </c>
      <c r="E155" s="10">
        <f t="shared" si="7"/>
        <v>1</v>
      </c>
      <c r="F155" s="11">
        <v>44474</v>
      </c>
    </row>
    <row r="156" spans="1:6" x14ac:dyDescent="0.15">
      <c r="A156" s="24" t="s">
        <v>14</v>
      </c>
      <c r="B156" s="43"/>
      <c r="C156" s="36">
        <v>2</v>
      </c>
      <c r="D156" s="9"/>
      <c r="E156" s="10">
        <f t="shared" si="7"/>
        <v>2</v>
      </c>
      <c r="F156" s="11">
        <v>44475</v>
      </c>
    </row>
    <row r="157" spans="1:6" x14ac:dyDescent="0.15">
      <c r="A157" s="24" t="s">
        <v>14</v>
      </c>
      <c r="B157" s="44">
        <v>1</v>
      </c>
      <c r="C157" s="36"/>
      <c r="D157" s="9"/>
      <c r="E157" s="10">
        <f t="shared" si="7"/>
        <v>1</v>
      </c>
      <c r="F157" s="11">
        <v>44483</v>
      </c>
    </row>
    <row r="158" spans="1:6" x14ac:dyDescent="0.15">
      <c r="A158" s="24" t="s">
        <v>14</v>
      </c>
      <c r="B158" s="43">
        <v>1</v>
      </c>
      <c r="C158" s="36"/>
      <c r="D158" s="9"/>
      <c r="E158" s="10">
        <f t="shared" si="7"/>
        <v>1</v>
      </c>
      <c r="F158" s="11">
        <v>44529</v>
      </c>
    </row>
    <row r="159" spans="1:6" x14ac:dyDescent="0.15">
      <c r="A159" s="24" t="s">
        <v>14</v>
      </c>
      <c r="B159" s="43"/>
      <c r="C159" s="36">
        <v>1</v>
      </c>
      <c r="D159" s="9"/>
      <c r="E159" s="10">
        <f t="shared" si="7"/>
        <v>1</v>
      </c>
      <c r="F159" s="11">
        <v>44554</v>
      </c>
    </row>
    <row r="160" spans="1:6" x14ac:dyDescent="0.15">
      <c r="A160" s="24" t="s">
        <v>14</v>
      </c>
      <c r="B160" s="43">
        <v>1</v>
      </c>
      <c r="C160" s="36"/>
      <c r="D160" s="9"/>
      <c r="E160" s="10">
        <f t="shared" si="7"/>
        <v>1</v>
      </c>
      <c r="F160" s="11">
        <v>44566</v>
      </c>
    </row>
    <row r="161" spans="1:6" x14ac:dyDescent="0.15">
      <c r="A161" s="24" t="s">
        <v>14</v>
      </c>
      <c r="B161" s="43"/>
      <c r="C161" s="36">
        <v>1</v>
      </c>
      <c r="D161" s="9"/>
      <c r="E161" s="10">
        <f t="shared" si="7"/>
        <v>1</v>
      </c>
      <c r="F161" s="11">
        <v>44572</v>
      </c>
    </row>
    <row r="162" spans="1:6" x14ac:dyDescent="0.15">
      <c r="A162" s="24" t="s">
        <v>14</v>
      </c>
      <c r="B162" s="43"/>
      <c r="C162" s="36"/>
      <c r="D162" s="9">
        <v>1</v>
      </c>
      <c r="E162" s="10">
        <f t="shared" si="7"/>
        <v>1</v>
      </c>
      <c r="F162" s="11">
        <v>44851</v>
      </c>
    </row>
    <row r="163" spans="1:6" x14ac:dyDescent="0.15">
      <c r="A163" s="24" t="s">
        <v>14</v>
      </c>
      <c r="B163" s="44">
        <v>1</v>
      </c>
      <c r="C163" s="36"/>
      <c r="D163" s="9"/>
      <c r="E163" s="10">
        <f t="shared" si="7"/>
        <v>1</v>
      </c>
      <c r="F163" s="11">
        <v>44889</v>
      </c>
    </row>
    <row r="164" spans="1:6" x14ac:dyDescent="0.15">
      <c r="A164" s="24" t="s">
        <v>14</v>
      </c>
      <c r="B164" s="43"/>
      <c r="C164" s="36">
        <v>1</v>
      </c>
      <c r="D164" s="9"/>
      <c r="E164" s="10">
        <f t="shared" si="7"/>
        <v>1</v>
      </c>
      <c r="F164" s="11">
        <v>44900</v>
      </c>
    </row>
    <row r="165" spans="1:6" x14ac:dyDescent="0.15">
      <c r="A165" s="24" t="s">
        <v>14</v>
      </c>
      <c r="B165" s="43"/>
      <c r="C165" s="40">
        <v>1</v>
      </c>
      <c r="D165" s="16"/>
      <c r="E165" s="10">
        <f t="shared" si="7"/>
        <v>1</v>
      </c>
      <c r="F165" s="25">
        <v>44917</v>
      </c>
    </row>
    <row r="166" spans="1:6" ht="14.25" thickBot="1" x14ac:dyDescent="0.2">
      <c r="A166" s="24" t="s">
        <v>14</v>
      </c>
      <c r="B166" s="59">
        <v>1</v>
      </c>
      <c r="C166" s="14"/>
      <c r="D166" s="18"/>
      <c r="E166" s="10">
        <f t="shared" si="7"/>
        <v>1</v>
      </c>
      <c r="F166" s="19">
        <v>45034</v>
      </c>
    </row>
    <row r="167" spans="1:6" ht="14.25" thickBot="1" x14ac:dyDescent="0.2">
      <c r="A167" s="6" t="s">
        <v>5</v>
      </c>
      <c r="B167" s="45">
        <f>SUM(B143:B166)</f>
        <v>11</v>
      </c>
      <c r="C167" s="41">
        <f>SUM(C143:C166)</f>
        <v>14</v>
      </c>
      <c r="D167" s="29">
        <f>SUM(D143:D166)</f>
        <v>6</v>
      </c>
      <c r="E167" s="30">
        <f>SUM(B167:D167)</f>
        <v>31</v>
      </c>
      <c r="F167" s="31"/>
    </row>
    <row r="168" spans="1:6" ht="14.25" thickBot="1" x14ac:dyDescent="0.2">
      <c r="A168" s="32" t="s">
        <v>6</v>
      </c>
      <c r="B168" s="46">
        <f>B142-B167</f>
        <v>0</v>
      </c>
      <c r="C168" s="42">
        <f>C142-C167</f>
        <v>0</v>
      </c>
      <c r="D168" s="33">
        <f>D142-D167</f>
        <v>1</v>
      </c>
      <c r="E168" s="34">
        <f>SUM(B168:D168)</f>
        <v>1</v>
      </c>
      <c r="F168" s="35"/>
    </row>
    <row r="169" spans="1:6" ht="18.75" x14ac:dyDescent="0.2">
      <c r="A169" s="1" t="s">
        <v>7</v>
      </c>
      <c r="B169" s="1"/>
    </row>
    <row r="170" spans="1:6" ht="19.5" thickBot="1" x14ac:dyDescent="0.25">
      <c r="A170" s="1"/>
      <c r="B170" s="1"/>
      <c r="F170">
        <v>2924</v>
      </c>
    </row>
    <row r="171" spans="1:6" ht="14.25" thickBot="1" x14ac:dyDescent="0.2">
      <c r="A171" s="2"/>
      <c r="B171" s="6" t="s">
        <v>8</v>
      </c>
      <c r="C171" s="3" t="s">
        <v>9</v>
      </c>
      <c r="D171" s="4" t="s">
        <v>10</v>
      </c>
      <c r="E171" s="5" t="s">
        <v>0</v>
      </c>
      <c r="F171" s="6" t="s">
        <v>1</v>
      </c>
    </row>
    <row r="172" spans="1:6" ht="14.25" thickBot="1" x14ac:dyDescent="0.2">
      <c r="A172" s="6" t="s">
        <v>6</v>
      </c>
      <c r="B172" s="72">
        <f>B168</f>
        <v>0</v>
      </c>
      <c r="C172" s="72">
        <f>C168</f>
        <v>0</v>
      </c>
      <c r="D172" s="72">
        <f>D168</f>
        <v>1</v>
      </c>
      <c r="E172" s="22">
        <f>SUM(B172:D172)</f>
        <v>1</v>
      </c>
      <c r="F172" s="73"/>
    </row>
    <row r="173" spans="1:6" x14ac:dyDescent="0.15">
      <c r="A173" s="71" t="s">
        <v>3</v>
      </c>
      <c r="B173" s="47">
        <v>1</v>
      </c>
      <c r="C173" s="60">
        <v>1</v>
      </c>
      <c r="D173" s="53">
        <v>2</v>
      </c>
      <c r="E173" s="51">
        <f t="shared" ref="E173:E181" si="8">SUM(B173:D173)</f>
        <v>4</v>
      </c>
      <c r="F173" s="52">
        <v>45089</v>
      </c>
    </row>
    <row r="174" spans="1:6" x14ac:dyDescent="0.15">
      <c r="A174" s="8" t="s">
        <v>20</v>
      </c>
      <c r="B174" s="54">
        <v>0</v>
      </c>
      <c r="C174" s="68">
        <v>0</v>
      </c>
      <c r="D174" s="69">
        <v>0</v>
      </c>
      <c r="E174" s="10">
        <f t="shared" si="8"/>
        <v>0</v>
      </c>
      <c r="F174" s="13">
        <v>45140</v>
      </c>
    </row>
    <row r="175" spans="1:6" x14ac:dyDescent="0.15">
      <c r="A175" s="8" t="s">
        <v>3</v>
      </c>
      <c r="B175" s="54">
        <v>2</v>
      </c>
      <c r="C175" s="14"/>
      <c r="D175" s="9"/>
      <c r="E175" s="10">
        <f t="shared" si="8"/>
        <v>2</v>
      </c>
      <c r="F175" s="13">
        <v>45217</v>
      </c>
    </row>
    <row r="176" spans="1:6" x14ac:dyDescent="0.15">
      <c r="A176" s="8" t="s">
        <v>3</v>
      </c>
      <c r="B176" s="54"/>
      <c r="C176" s="14">
        <v>1</v>
      </c>
      <c r="D176" s="9"/>
      <c r="E176" s="10">
        <f t="shared" si="8"/>
        <v>1</v>
      </c>
      <c r="F176" s="13">
        <v>45301</v>
      </c>
    </row>
    <row r="177" spans="1:6" x14ac:dyDescent="0.15">
      <c r="A177" s="8" t="s">
        <v>3</v>
      </c>
      <c r="B177" s="54"/>
      <c r="C177" s="14">
        <v>2</v>
      </c>
      <c r="D177" s="9"/>
      <c r="E177" s="10">
        <f t="shared" si="8"/>
        <v>2</v>
      </c>
      <c r="F177" s="13">
        <v>45379</v>
      </c>
    </row>
    <row r="178" spans="1:6" x14ac:dyDescent="0.15">
      <c r="A178" s="8" t="s">
        <v>3</v>
      </c>
      <c r="B178" s="54">
        <v>3</v>
      </c>
      <c r="C178" s="14"/>
      <c r="D178" s="9"/>
      <c r="E178" s="10">
        <f t="shared" si="8"/>
        <v>3</v>
      </c>
      <c r="F178" s="13">
        <v>45434</v>
      </c>
    </row>
    <row r="179" spans="1:6" x14ac:dyDescent="0.15">
      <c r="A179" s="8" t="s">
        <v>3</v>
      </c>
      <c r="B179" s="54"/>
      <c r="C179" s="14">
        <v>2</v>
      </c>
      <c r="D179" s="9">
        <v>1</v>
      </c>
      <c r="E179" s="10">
        <f t="shared" ref="E179" si="9">SUM(B179:D179)</f>
        <v>3</v>
      </c>
      <c r="F179" s="13">
        <v>45447</v>
      </c>
    </row>
    <row r="180" spans="1:6" x14ac:dyDescent="0.15">
      <c r="A180" s="8" t="s">
        <v>3</v>
      </c>
      <c r="B180" s="54"/>
      <c r="C180" s="14">
        <v>2</v>
      </c>
      <c r="D180" s="9">
        <v>1</v>
      </c>
      <c r="E180" s="10">
        <f t="shared" si="8"/>
        <v>3</v>
      </c>
      <c r="F180" s="13">
        <v>45476</v>
      </c>
    </row>
    <row r="181" spans="1:6" x14ac:dyDescent="0.15">
      <c r="A181" s="8" t="s">
        <v>20</v>
      </c>
      <c r="B181" s="54">
        <v>-3</v>
      </c>
      <c r="C181" s="14">
        <v>0</v>
      </c>
      <c r="D181" s="9">
        <v>0</v>
      </c>
      <c r="E181" s="10">
        <f t="shared" si="8"/>
        <v>-3</v>
      </c>
      <c r="F181" s="13">
        <v>45530</v>
      </c>
    </row>
    <row r="182" spans="1:6" x14ac:dyDescent="0.15">
      <c r="A182" s="8" t="s">
        <v>3</v>
      </c>
      <c r="B182" s="54"/>
      <c r="C182" s="14"/>
      <c r="D182" s="9"/>
      <c r="E182" s="10">
        <f t="shared" ref="E182:E208" si="10">SUM(B182:D182)</f>
        <v>0</v>
      </c>
      <c r="F182" s="13"/>
    </row>
    <row r="183" spans="1:6" ht="14.25" thickBot="1" x14ac:dyDescent="0.2">
      <c r="A183" s="38" t="s">
        <v>3</v>
      </c>
      <c r="B183" s="61"/>
      <c r="C183" s="14"/>
      <c r="D183" s="18"/>
      <c r="E183" s="10">
        <f t="shared" si="10"/>
        <v>0</v>
      </c>
      <c r="F183" s="19"/>
    </row>
    <row r="184" spans="1:6" ht="14.25" thickBot="1" x14ac:dyDescent="0.2">
      <c r="A184" s="2" t="s">
        <v>4</v>
      </c>
      <c r="B184" s="20">
        <f>SUM(B172:B183)</f>
        <v>3</v>
      </c>
      <c r="C184" s="20">
        <f>SUM(C172:C183)</f>
        <v>8</v>
      </c>
      <c r="D184" s="21">
        <f>SUM(D172:D183)</f>
        <v>5</v>
      </c>
      <c r="E184" s="22">
        <f t="shared" si="10"/>
        <v>16</v>
      </c>
      <c r="F184" s="23"/>
    </row>
    <row r="185" spans="1:6" x14ac:dyDescent="0.15">
      <c r="A185" s="24" t="s">
        <v>14</v>
      </c>
      <c r="B185" s="43"/>
      <c r="C185" s="40"/>
      <c r="D185" s="16">
        <v>1</v>
      </c>
      <c r="E185" s="10">
        <f t="shared" ref="E185:E206" si="11">SUM(B185:D185)</f>
        <v>1</v>
      </c>
      <c r="F185" s="25">
        <v>45064</v>
      </c>
    </row>
    <row r="186" spans="1:6" x14ac:dyDescent="0.15">
      <c r="A186" s="24" t="s">
        <v>14</v>
      </c>
      <c r="B186" s="43">
        <v>1</v>
      </c>
      <c r="C186" s="40"/>
      <c r="D186" s="16">
        <v>1</v>
      </c>
      <c r="E186" s="10">
        <f t="shared" si="11"/>
        <v>2</v>
      </c>
      <c r="F186" s="25">
        <v>45089</v>
      </c>
    </row>
    <row r="187" spans="1:6" x14ac:dyDescent="0.15">
      <c r="A187" s="24" t="s">
        <v>14</v>
      </c>
      <c r="B187" s="43">
        <v>1</v>
      </c>
      <c r="C187" s="40"/>
      <c r="D187" s="16"/>
      <c r="E187" s="10">
        <f t="shared" si="11"/>
        <v>1</v>
      </c>
      <c r="F187" s="25">
        <v>45217</v>
      </c>
    </row>
    <row r="188" spans="1:6" x14ac:dyDescent="0.15">
      <c r="A188" s="24" t="s">
        <v>14</v>
      </c>
      <c r="B188" s="43"/>
      <c r="C188" s="40">
        <v>1</v>
      </c>
      <c r="D188" s="16"/>
      <c r="E188" s="10">
        <f t="shared" si="11"/>
        <v>1</v>
      </c>
      <c r="F188" s="25">
        <v>45276</v>
      </c>
    </row>
    <row r="189" spans="1:6" x14ac:dyDescent="0.15">
      <c r="A189" s="24" t="s">
        <v>14</v>
      </c>
      <c r="B189" s="43"/>
      <c r="C189" s="40">
        <v>2</v>
      </c>
      <c r="D189" s="16"/>
      <c r="E189" s="10">
        <f t="shared" si="11"/>
        <v>2</v>
      </c>
      <c r="F189" s="25">
        <v>45379</v>
      </c>
    </row>
    <row r="190" spans="1:6" x14ac:dyDescent="0.15">
      <c r="A190" s="24" t="s">
        <v>14</v>
      </c>
      <c r="B190" s="43">
        <v>1</v>
      </c>
      <c r="C190" s="40"/>
      <c r="D190" s="16"/>
      <c r="E190" s="10">
        <f t="shared" si="11"/>
        <v>1</v>
      </c>
      <c r="F190" s="25">
        <v>45432</v>
      </c>
    </row>
    <row r="191" spans="1:6" x14ac:dyDescent="0.15">
      <c r="A191" s="24" t="s">
        <v>14</v>
      </c>
      <c r="B191" s="43"/>
      <c r="C191" s="40">
        <v>1</v>
      </c>
      <c r="D191" s="16"/>
      <c r="E191" s="10">
        <f t="shared" si="11"/>
        <v>1</v>
      </c>
      <c r="F191" s="25">
        <v>45439</v>
      </c>
    </row>
    <row r="192" spans="1:6" x14ac:dyDescent="0.15">
      <c r="A192" s="24" t="s">
        <v>14</v>
      </c>
      <c r="B192" s="43"/>
      <c r="C192" s="40"/>
      <c r="D192" s="16">
        <v>1</v>
      </c>
      <c r="E192" s="10">
        <f t="shared" si="11"/>
        <v>1</v>
      </c>
      <c r="F192" s="25">
        <v>45456</v>
      </c>
    </row>
    <row r="193" spans="1:6" x14ac:dyDescent="0.15">
      <c r="A193" s="24" t="s">
        <v>14</v>
      </c>
      <c r="B193" s="43"/>
      <c r="C193" s="40">
        <v>2</v>
      </c>
      <c r="D193" s="16"/>
      <c r="E193" s="10">
        <f t="shared" si="11"/>
        <v>2</v>
      </c>
      <c r="F193" s="25">
        <v>45474</v>
      </c>
    </row>
    <row r="194" spans="1:6" x14ac:dyDescent="0.15">
      <c r="A194" s="24" t="s">
        <v>14</v>
      </c>
      <c r="B194" s="43"/>
      <c r="C194" s="40">
        <v>1</v>
      </c>
      <c r="D194" s="16"/>
      <c r="E194" s="10">
        <f t="shared" si="11"/>
        <v>1</v>
      </c>
      <c r="F194" s="25">
        <v>45490</v>
      </c>
    </row>
    <row r="195" spans="1:6" x14ac:dyDescent="0.15">
      <c r="A195" s="24" t="s">
        <v>14</v>
      </c>
      <c r="B195" s="43"/>
      <c r="C195" s="40"/>
      <c r="D195" s="16">
        <v>1</v>
      </c>
      <c r="E195" s="10">
        <f t="shared" si="11"/>
        <v>1</v>
      </c>
      <c r="F195" s="25">
        <v>45623</v>
      </c>
    </row>
    <row r="196" spans="1:6" x14ac:dyDescent="0.15">
      <c r="A196" s="24" t="s">
        <v>14</v>
      </c>
      <c r="B196" s="43"/>
      <c r="C196" s="40"/>
      <c r="D196" s="16">
        <v>1</v>
      </c>
      <c r="E196" s="10">
        <f t="shared" si="11"/>
        <v>1</v>
      </c>
      <c r="F196" s="25">
        <v>45632</v>
      </c>
    </row>
    <row r="197" spans="1:6" x14ac:dyDescent="0.15">
      <c r="A197" s="24"/>
      <c r="B197" s="43"/>
      <c r="C197" s="40"/>
      <c r="D197" s="16"/>
      <c r="E197" s="10">
        <f t="shared" si="11"/>
        <v>0</v>
      </c>
      <c r="F197" s="25"/>
    </row>
    <row r="198" spans="1:6" x14ac:dyDescent="0.15">
      <c r="A198" s="24"/>
      <c r="B198" s="43"/>
      <c r="C198" s="40"/>
      <c r="D198" s="16"/>
      <c r="E198" s="10">
        <f t="shared" si="11"/>
        <v>0</v>
      </c>
      <c r="F198" s="25"/>
    </row>
    <row r="199" spans="1:6" x14ac:dyDescent="0.15">
      <c r="A199" s="24"/>
      <c r="B199" s="43"/>
      <c r="C199" s="40"/>
      <c r="D199" s="16"/>
      <c r="E199" s="10">
        <f t="shared" si="11"/>
        <v>0</v>
      </c>
      <c r="F199" s="25"/>
    </row>
    <row r="200" spans="1:6" x14ac:dyDescent="0.15">
      <c r="A200" s="24"/>
      <c r="B200" s="43"/>
      <c r="C200" s="40"/>
      <c r="D200" s="16"/>
      <c r="E200" s="10">
        <f t="shared" si="11"/>
        <v>0</v>
      </c>
      <c r="F200" s="25"/>
    </row>
    <row r="201" spans="1:6" x14ac:dyDescent="0.15">
      <c r="A201" s="24"/>
      <c r="B201" s="43"/>
      <c r="C201" s="40"/>
      <c r="D201" s="16"/>
      <c r="E201" s="10">
        <f t="shared" si="11"/>
        <v>0</v>
      </c>
      <c r="F201" s="25"/>
    </row>
    <row r="202" spans="1:6" x14ac:dyDescent="0.15">
      <c r="A202" s="24"/>
      <c r="B202" s="43"/>
      <c r="C202" s="40"/>
      <c r="D202" s="16"/>
      <c r="E202" s="10">
        <f t="shared" si="11"/>
        <v>0</v>
      </c>
      <c r="F202" s="25"/>
    </row>
    <row r="203" spans="1:6" x14ac:dyDescent="0.15">
      <c r="A203" s="24"/>
      <c r="B203" s="43"/>
      <c r="C203" s="40"/>
      <c r="D203" s="16"/>
      <c r="E203" s="10">
        <f t="shared" si="11"/>
        <v>0</v>
      </c>
      <c r="F203" s="25"/>
    </row>
    <row r="204" spans="1:6" x14ac:dyDescent="0.15">
      <c r="A204" s="24"/>
      <c r="B204" s="43"/>
      <c r="C204" s="40"/>
      <c r="D204" s="16"/>
      <c r="E204" s="10">
        <f t="shared" si="11"/>
        <v>0</v>
      </c>
      <c r="F204" s="25"/>
    </row>
    <row r="205" spans="1:6" x14ac:dyDescent="0.15">
      <c r="A205" s="24"/>
      <c r="B205" s="43"/>
      <c r="C205" s="40"/>
      <c r="D205" s="16"/>
      <c r="E205" s="10">
        <f t="shared" si="11"/>
        <v>0</v>
      </c>
      <c r="F205" s="25"/>
    </row>
    <row r="206" spans="1:6" x14ac:dyDescent="0.15">
      <c r="A206" s="24"/>
      <c r="B206" s="43"/>
      <c r="C206" s="40"/>
      <c r="D206" s="16"/>
      <c r="E206" s="10">
        <f t="shared" si="11"/>
        <v>0</v>
      </c>
      <c r="F206" s="25"/>
    </row>
    <row r="207" spans="1:6" x14ac:dyDescent="0.15">
      <c r="A207" s="24"/>
      <c r="B207" s="43"/>
      <c r="C207" s="40"/>
      <c r="D207" s="16"/>
      <c r="E207" s="10">
        <f t="shared" si="10"/>
        <v>0</v>
      </c>
      <c r="F207" s="25"/>
    </row>
    <row r="208" spans="1:6" ht="14.25" thickBot="1" x14ac:dyDescent="0.2">
      <c r="A208" s="24"/>
      <c r="B208" s="59"/>
      <c r="C208" s="14"/>
      <c r="D208" s="18"/>
      <c r="E208" s="10">
        <f t="shared" si="10"/>
        <v>0</v>
      </c>
      <c r="F208" s="19"/>
    </row>
    <row r="209" spans="1:6" ht="14.25" thickBot="1" x14ac:dyDescent="0.2">
      <c r="A209" s="6" t="s">
        <v>5</v>
      </c>
      <c r="B209" s="45">
        <f>SUM(B185:B208)</f>
        <v>3</v>
      </c>
      <c r="C209" s="41">
        <f>SUM(C185:C208)</f>
        <v>7</v>
      </c>
      <c r="D209" s="29">
        <f>SUM(D185:D208)</f>
        <v>5</v>
      </c>
      <c r="E209" s="30">
        <f>SUM(B209:D209)</f>
        <v>15</v>
      </c>
      <c r="F209" s="31"/>
    </row>
    <row r="210" spans="1:6" ht="14.25" thickBot="1" x14ac:dyDescent="0.2">
      <c r="A210" s="32" t="s">
        <v>6</v>
      </c>
      <c r="B210" s="46">
        <f>B184-B209</f>
        <v>0</v>
      </c>
      <c r="C210" s="42">
        <f>C184-C209</f>
        <v>1</v>
      </c>
      <c r="D210" s="33">
        <f>D184-D209</f>
        <v>0</v>
      </c>
      <c r="E210" s="34">
        <f>SUM(B210:D210)</f>
        <v>1</v>
      </c>
      <c r="F210" s="35"/>
    </row>
    <row r="211" spans="1:6" ht="18.75" x14ac:dyDescent="0.2">
      <c r="A211" s="1" t="s">
        <v>7</v>
      </c>
      <c r="B211" s="1"/>
    </row>
    <row r="212" spans="1:6" ht="19.5" thickBot="1" x14ac:dyDescent="0.25">
      <c r="A212" s="1"/>
      <c r="B212" s="1"/>
      <c r="F212">
        <v>2924</v>
      </c>
    </row>
    <row r="213" spans="1:6" ht="14.25" thickBot="1" x14ac:dyDescent="0.2">
      <c r="A213" s="2"/>
      <c r="B213" s="6" t="s">
        <v>8</v>
      </c>
      <c r="C213" s="3" t="s">
        <v>9</v>
      </c>
      <c r="D213" s="4" t="s">
        <v>10</v>
      </c>
      <c r="E213" s="5" t="s">
        <v>0</v>
      </c>
      <c r="F213" s="6" t="s">
        <v>1</v>
      </c>
    </row>
    <row r="214" spans="1:6" ht="14.25" thickBot="1" x14ac:dyDescent="0.2">
      <c r="A214" s="6" t="s">
        <v>6</v>
      </c>
      <c r="B214" s="72">
        <f>B210</f>
        <v>0</v>
      </c>
      <c r="C214" s="72">
        <f>C210</f>
        <v>1</v>
      </c>
      <c r="D214" s="72">
        <f>D210</f>
        <v>0</v>
      </c>
      <c r="E214" s="22">
        <f>SUM(B214:D214)</f>
        <v>1</v>
      </c>
      <c r="F214" s="73"/>
    </row>
    <row r="215" spans="1:6" x14ac:dyDescent="0.15">
      <c r="A215" s="71" t="s">
        <v>3</v>
      </c>
      <c r="B215" s="47">
        <v>2</v>
      </c>
      <c r="C215" s="60">
        <v>1</v>
      </c>
      <c r="D215" s="53"/>
      <c r="E215" s="51">
        <f t="shared" ref="E215:E223" si="12">SUM(B215:D215)</f>
        <v>3</v>
      </c>
      <c r="F215" s="52">
        <v>45547</v>
      </c>
    </row>
    <row r="216" spans="1:6" x14ac:dyDescent="0.15">
      <c r="A216" s="8" t="s">
        <v>3</v>
      </c>
      <c r="B216" s="54"/>
      <c r="C216" s="68"/>
      <c r="D216" s="69">
        <v>2</v>
      </c>
      <c r="E216" s="10">
        <f t="shared" si="12"/>
        <v>2</v>
      </c>
      <c r="F216" s="13">
        <v>45644</v>
      </c>
    </row>
    <row r="217" spans="1:6" x14ac:dyDescent="0.15">
      <c r="A217" s="8" t="s">
        <v>3</v>
      </c>
      <c r="B217" s="54"/>
      <c r="C217" s="68">
        <v>2</v>
      </c>
      <c r="D217" s="69"/>
      <c r="E217" s="10">
        <f t="shared" si="12"/>
        <v>2</v>
      </c>
      <c r="F217" s="13">
        <v>45765</v>
      </c>
    </row>
    <row r="218" spans="1:6" x14ac:dyDescent="0.15">
      <c r="A218" s="8" t="s">
        <v>3</v>
      </c>
      <c r="B218" s="54"/>
      <c r="C218" s="68"/>
      <c r="D218" s="69">
        <v>1</v>
      </c>
      <c r="E218" s="10">
        <f t="shared" si="12"/>
        <v>1</v>
      </c>
      <c r="F218" s="13">
        <v>45804</v>
      </c>
    </row>
    <row r="219" spans="1:6" x14ac:dyDescent="0.15">
      <c r="A219" s="8" t="s">
        <v>3</v>
      </c>
      <c r="B219" s="54"/>
      <c r="C219" s="68"/>
      <c r="D219" s="69">
        <v>2</v>
      </c>
      <c r="E219" s="10">
        <f t="shared" si="12"/>
        <v>2</v>
      </c>
      <c r="F219" s="13">
        <v>45874</v>
      </c>
    </row>
    <row r="220" spans="1:6" x14ac:dyDescent="0.15">
      <c r="A220" s="8" t="s">
        <v>3</v>
      </c>
      <c r="B220" s="54"/>
      <c r="C220" s="68"/>
      <c r="D220" s="69">
        <v>2</v>
      </c>
      <c r="E220" s="10">
        <f t="shared" si="12"/>
        <v>2</v>
      </c>
      <c r="F220" s="13">
        <v>45950</v>
      </c>
    </row>
    <row r="221" spans="1:6" x14ac:dyDescent="0.15">
      <c r="A221" s="8" t="s">
        <v>3</v>
      </c>
      <c r="B221" s="54"/>
      <c r="C221" s="68">
        <v>1</v>
      </c>
      <c r="D221" s="69"/>
      <c r="E221" s="10">
        <f t="shared" si="12"/>
        <v>1</v>
      </c>
      <c r="F221" s="13">
        <v>45978</v>
      </c>
    </row>
    <row r="222" spans="1:6" x14ac:dyDescent="0.15">
      <c r="A222" s="8" t="s">
        <v>3</v>
      </c>
      <c r="B222" s="54"/>
      <c r="C222" s="68">
        <v>1</v>
      </c>
      <c r="D222" s="69"/>
      <c r="E222" s="10">
        <f t="shared" si="12"/>
        <v>1</v>
      </c>
      <c r="F222" s="13">
        <v>46002</v>
      </c>
    </row>
    <row r="223" spans="1:6" x14ac:dyDescent="0.15">
      <c r="A223" s="8" t="s">
        <v>3</v>
      </c>
      <c r="B223" s="54">
        <v>1</v>
      </c>
      <c r="C223" s="68">
        <v>2</v>
      </c>
      <c r="D223" s="69">
        <v>4</v>
      </c>
      <c r="E223" s="10">
        <f t="shared" si="12"/>
        <v>7</v>
      </c>
      <c r="F223" s="13">
        <v>46030</v>
      </c>
    </row>
    <row r="224" spans="1:6" x14ac:dyDescent="0.15">
      <c r="A224" s="8" t="s">
        <v>3</v>
      </c>
      <c r="B224" s="54"/>
      <c r="C224" s="68"/>
      <c r="D224" s="69"/>
      <c r="E224" s="10">
        <f t="shared" ref="E224:E250" si="13">SUM(B224:D224)</f>
        <v>0</v>
      </c>
      <c r="F224" s="13"/>
    </row>
    <row r="225" spans="1:6" ht="14.25" thickBot="1" x14ac:dyDescent="0.2">
      <c r="A225" s="38" t="s">
        <v>3</v>
      </c>
      <c r="B225" s="61"/>
      <c r="C225" s="68"/>
      <c r="D225" s="70"/>
      <c r="E225" s="10">
        <f t="shared" si="13"/>
        <v>0</v>
      </c>
      <c r="F225" s="19"/>
    </row>
    <row r="226" spans="1:6" ht="14.25" thickBot="1" x14ac:dyDescent="0.2">
      <c r="A226" s="2" t="s">
        <v>4</v>
      </c>
      <c r="B226" s="20">
        <f>SUM(B214:B225)</f>
        <v>3</v>
      </c>
      <c r="C226" s="20">
        <f>SUM(C214:C225)</f>
        <v>8</v>
      </c>
      <c r="D226" s="21">
        <f>SUM(D214:D225)</f>
        <v>11</v>
      </c>
      <c r="E226" s="22">
        <f t="shared" si="13"/>
        <v>22</v>
      </c>
      <c r="F226" s="23"/>
    </row>
    <row r="227" spans="1:6" x14ac:dyDescent="0.15">
      <c r="A227" s="24" t="s">
        <v>14</v>
      </c>
      <c r="B227" s="43"/>
      <c r="C227" s="40"/>
      <c r="D227" s="16">
        <v>1</v>
      </c>
      <c r="E227" s="10">
        <f t="shared" ref="E227:E236" si="14">SUM(B227:D227)</f>
        <v>1</v>
      </c>
      <c r="F227" s="25">
        <v>45717</v>
      </c>
    </row>
    <row r="228" spans="1:6" x14ac:dyDescent="0.15">
      <c r="A228" s="24" t="s">
        <v>14</v>
      </c>
      <c r="B228" s="43"/>
      <c r="C228" s="40">
        <v>2</v>
      </c>
      <c r="D228" s="16"/>
      <c r="E228" s="10">
        <f t="shared" si="14"/>
        <v>2</v>
      </c>
      <c r="F228" s="25">
        <v>45740</v>
      </c>
    </row>
    <row r="229" spans="1:6" x14ac:dyDescent="0.15">
      <c r="A229" s="24" t="s">
        <v>14</v>
      </c>
      <c r="B229" s="43"/>
      <c r="C229" s="40"/>
      <c r="D229" s="16">
        <v>2</v>
      </c>
      <c r="E229" s="10">
        <f t="shared" si="14"/>
        <v>2</v>
      </c>
      <c r="F229" s="25">
        <v>45808</v>
      </c>
    </row>
    <row r="230" spans="1:6" x14ac:dyDescent="0.15">
      <c r="A230" s="24" t="s">
        <v>21</v>
      </c>
      <c r="B230" s="43">
        <v>0</v>
      </c>
      <c r="C230" s="40">
        <v>0</v>
      </c>
      <c r="D230" s="16">
        <v>0</v>
      </c>
      <c r="E230" s="10">
        <f t="shared" si="14"/>
        <v>0</v>
      </c>
      <c r="F230" s="25">
        <v>45895</v>
      </c>
    </row>
    <row r="231" spans="1:6" x14ac:dyDescent="0.15">
      <c r="A231" s="24" t="s">
        <v>14</v>
      </c>
      <c r="B231" s="43"/>
      <c r="C231" s="40"/>
      <c r="D231" s="16">
        <v>2</v>
      </c>
      <c r="E231" s="10">
        <f t="shared" si="14"/>
        <v>2</v>
      </c>
      <c r="F231" s="25">
        <v>45944</v>
      </c>
    </row>
    <row r="232" spans="1:6" x14ac:dyDescent="0.15">
      <c r="A232" s="24" t="s">
        <v>14</v>
      </c>
      <c r="B232" s="43"/>
      <c r="C232" s="40">
        <v>1</v>
      </c>
      <c r="D232" s="16"/>
      <c r="E232" s="10">
        <f t="shared" si="14"/>
        <v>1</v>
      </c>
      <c r="F232" s="25">
        <v>45958</v>
      </c>
    </row>
    <row r="233" spans="1:6" x14ac:dyDescent="0.15">
      <c r="A233" s="24" t="s">
        <v>14</v>
      </c>
      <c r="B233" s="43"/>
      <c r="C233" s="40">
        <v>1</v>
      </c>
      <c r="D233" s="16"/>
      <c r="E233" s="10">
        <f t="shared" si="14"/>
        <v>1</v>
      </c>
      <c r="F233" s="25">
        <v>45997</v>
      </c>
    </row>
    <row r="234" spans="1:6" x14ac:dyDescent="0.15">
      <c r="A234" s="24" t="s">
        <v>14</v>
      </c>
      <c r="B234" s="43"/>
      <c r="C234" s="40"/>
      <c r="D234" s="16">
        <v>2</v>
      </c>
      <c r="E234" s="10">
        <f t="shared" si="14"/>
        <v>2</v>
      </c>
      <c r="F234" s="25">
        <v>46010</v>
      </c>
    </row>
    <row r="235" spans="1:6" x14ac:dyDescent="0.15">
      <c r="A235" s="24" t="s">
        <v>14</v>
      </c>
      <c r="B235" s="43"/>
      <c r="C235" s="40">
        <v>1</v>
      </c>
      <c r="D235" s="16"/>
      <c r="E235" s="10">
        <f t="shared" si="14"/>
        <v>1</v>
      </c>
      <c r="F235" s="25">
        <v>46027</v>
      </c>
    </row>
    <row r="236" spans="1:6" x14ac:dyDescent="0.15">
      <c r="A236" s="24" t="s">
        <v>14</v>
      </c>
      <c r="B236" s="43"/>
      <c r="C236" s="40"/>
      <c r="D236" s="16">
        <v>1</v>
      </c>
      <c r="E236" s="10">
        <f t="shared" si="14"/>
        <v>1</v>
      </c>
      <c r="F236" s="25">
        <v>46030</v>
      </c>
    </row>
    <row r="237" spans="1:6" x14ac:dyDescent="0.15">
      <c r="A237" s="24" t="s">
        <v>20</v>
      </c>
      <c r="B237" s="43">
        <v>0</v>
      </c>
      <c r="C237" s="40">
        <v>0</v>
      </c>
      <c r="D237" s="16">
        <v>0</v>
      </c>
      <c r="E237" s="10">
        <f t="shared" si="13"/>
        <v>0</v>
      </c>
      <c r="F237" s="25">
        <v>46078</v>
      </c>
    </row>
    <row r="238" spans="1:6" x14ac:dyDescent="0.15">
      <c r="A238" s="24"/>
      <c r="B238" s="43"/>
      <c r="C238" s="40"/>
      <c r="D238" s="16"/>
      <c r="E238" s="10">
        <f t="shared" si="13"/>
        <v>0</v>
      </c>
      <c r="F238" s="25"/>
    </row>
    <row r="239" spans="1:6" x14ac:dyDescent="0.15">
      <c r="A239" s="24"/>
      <c r="B239" s="43"/>
      <c r="C239" s="40"/>
      <c r="D239" s="16"/>
      <c r="E239" s="10">
        <f t="shared" si="13"/>
        <v>0</v>
      </c>
      <c r="F239" s="25"/>
    </row>
    <row r="240" spans="1:6" x14ac:dyDescent="0.15">
      <c r="A240" s="24"/>
      <c r="B240" s="43"/>
      <c r="C240" s="40"/>
      <c r="D240" s="16"/>
      <c r="E240" s="10">
        <f t="shared" si="13"/>
        <v>0</v>
      </c>
      <c r="F240" s="25"/>
    </row>
    <row r="241" spans="1:6" x14ac:dyDescent="0.15">
      <c r="A241" s="24"/>
      <c r="B241" s="43"/>
      <c r="C241" s="40"/>
      <c r="D241" s="16"/>
      <c r="E241" s="10">
        <f t="shared" si="13"/>
        <v>0</v>
      </c>
      <c r="F241" s="25"/>
    </row>
    <row r="242" spans="1:6" x14ac:dyDescent="0.15">
      <c r="A242" s="24"/>
      <c r="B242" s="43"/>
      <c r="C242" s="40"/>
      <c r="D242" s="16"/>
      <c r="E242" s="10">
        <f t="shared" si="13"/>
        <v>0</v>
      </c>
      <c r="F242" s="25"/>
    </row>
    <row r="243" spans="1:6" x14ac:dyDescent="0.15">
      <c r="A243" s="24"/>
      <c r="B243" s="43"/>
      <c r="C243" s="40"/>
      <c r="D243" s="16"/>
      <c r="E243" s="10">
        <f t="shared" si="13"/>
        <v>0</v>
      </c>
      <c r="F243" s="25"/>
    </row>
    <row r="244" spans="1:6" x14ac:dyDescent="0.15">
      <c r="A244" s="24"/>
      <c r="B244" s="43"/>
      <c r="C244" s="40"/>
      <c r="D244" s="16"/>
      <c r="E244" s="10">
        <f t="shared" si="13"/>
        <v>0</v>
      </c>
      <c r="F244" s="25"/>
    </row>
    <row r="245" spans="1:6" x14ac:dyDescent="0.15">
      <c r="A245" s="24"/>
      <c r="B245" s="43"/>
      <c r="C245" s="40"/>
      <c r="D245" s="16"/>
      <c r="E245" s="10">
        <f t="shared" si="13"/>
        <v>0</v>
      </c>
      <c r="F245" s="25"/>
    </row>
    <row r="246" spans="1:6" x14ac:dyDescent="0.15">
      <c r="A246" s="24"/>
      <c r="B246" s="43"/>
      <c r="C246" s="40"/>
      <c r="D246" s="16"/>
      <c r="E246" s="10">
        <f t="shared" si="13"/>
        <v>0</v>
      </c>
      <c r="F246" s="25"/>
    </row>
    <row r="247" spans="1:6" x14ac:dyDescent="0.15">
      <c r="A247" s="24"/>
      <c r="B247" s="43"/>
      <c r="C247" s="40"/>
      <c r="D247" s="16"/>
      <c r="E247" s="10">
        <f t="shared" si="13"/>
        <v>0</v>
      </c>
      <c r="F247" s="25"/>
    </row>
    <row r="248" spans="1:6" x14ac:dyDescent="0.15">
      <c r="A248" s="24"/>
      <c r="B248" s="43"/>
      <c r="C248" s="40"/>
      <c r="D248" s="16"/>
      <c r="E248" s="10">
        <f t="shared" si="13"/>
        <v>0</v>
      </c>
      <c r="F248" s="25"/>
    </row>
    <row r="249" spans="1:6" x14ac:dyDescent="0.15">
      <c r="A249" s="24"/>
      <c r="B249" s="43"/>
      <c r="C249" s="40"/>
      <c r="D249" s="16"/>
      <c r="E249" s="10">
        <f t="shared" si="13"/>
        <v>0</v>
      </c>
      <c r="F249" s="25"/>
    </row>
    <row r="250" spans="1:6" ht="14.25" thickBot="1" x14ac:dyDescent="0.2">
      <c r="A250" s="24"/>
      <c r="B250" s="59"/>
      <c r="C250" s="14"/>
      <c r="D250" s="18"/>
      <c r="E250" s="10">
        <f t="shared" si="13"/>
        <v>0</v>
      </c>
      <c r="F250" s="19"/>
    </row>
    <row r="251" spans="1:6" ht="14.25" thickBot="1" x14ac:dyDescent="0.2">
      <c r="A251" s="6" t="s">
        <v>5</v>
      </c>
      <c r="B251" s="45">
        <f>SUM(B227:B250)</f>
        <v>0</v>
      </c>
      <c r="C251" s="41">
        <f>SUM(C227:C250)</f>
        <v>5</v>
      </c>
      <c r="D251" s="29">
        <f>SUM(D227:D250)</f>
        <v>8</v>
      </c>
      <c r="E251" s="30">
        <f>SUM(B251:D251)</f>
        <v>13</v>
      </c>
      <c r="F251" s="31"/>
    </row>
    <row r="252" spans="1:6" ht="14.25" thickBot="1" x14ac:dyDescent="0.2">
      <c r="A252" s="32" t="s">
        <v>6</v>
      </c>
      <c r="B252" s="46">
        <f>B226-B251</f>
        <v>3</v>
      </c>
      <c r="C252" s="42">
        <f>C226-C251</f>
        <v>3</v>
      </c>
      <c r="D252" s="33">
        <f>D226-D251</f>
        <v>3</v>
      </c>
      <c r="E252" s="34">
        <f>SUM(B252:D252)</f>
        <v>9</v>
      </c>
      <c r="F252" s="35"/>
    </row>
    <row r="349" spans="3:5" ht="21" x14ac:dyDescent="0.15">
      <c r="C349" ph="1"/>
      <c r="D349" ph="1"/>
      <c r="E349" ph="1"/>
    </row>
    <row r="434" spans="3:5" ht="21" x14ac:dyDescent="0.15">
      <c r="C434" ph="1"/>
      <c r="D434" ph="1"/>
      <c r="E434" ph="1"/>
    </row>
  </sheetData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yumehan11</dc:creator>
  <cp:lastModifiedBy>AT MR</cp:lastModifiedBy>
  <dcterms:created xsi:type="dcterms:W3CDTF">2016-05-02T07:17:04Z</dcterms:created>
  <dcterms:modified xsi:type="dcterms:W3CDTF">2026-02-25T10:04:21Z</dcterms:modified>
</cp:coreProperties>
</file>