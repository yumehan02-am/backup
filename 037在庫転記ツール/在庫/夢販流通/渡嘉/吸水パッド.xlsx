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渡嘉\"/>
    </mc:Choice>
  </mc:AlternateContent>
  <xr:revisionPtr revIDLastSave="0" documentId="13_ncr:1_{3D680B03-2ACD-4BCF-98F8-D9D1D8A644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マイクロファイバー大判吸水パッド7枚組" sheetId="1" r:id="rId1"/>
    <sheet name="使い捨て吸水パッド50枚組" sheetId="4" r:id="rId2"/>
    <sheet name="羽つき吸水安心パッド2色4枚組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7" i="1" l="1"/>
  <c r="D397" i="1" s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0" i="1"/>
  <c r="D369" i="1"/>
  <c r="D368" i="1"/>
  <c r="D367" i="1"/>
  <c r="D366" i="1"/>
  <c r="C365" i="1"/>
  <c r="C371" i="1" s="1"/>
  <c r="C197" i="4"/>
  <c r="D197" i="4" s="1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0" i="4"/>
  <c r="D169" i="4"/>
  <c r="D168" i="4"/>
  <c r="D167" i="4"/>
  <c r="D166" i="4"/>
  <c r="D140" i="4"/>
  <c r="D134" i="4"/>
  <c r="D135" i="4"/>
  <c r="D136" i="4"/>
  <c r="D137" i="4"/>
  <c r="D138" i="4"/>
  <c r="D139" i="4"/>
  <c r="D108" i="4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C357" i="1"/>
  <c r="D357" i="1" s="1"/>
  <c r="D336" i="1"/>
  <c r="D335" i="1"/>
  <c r="D334" i="1"/>
  <c r="D333" i="1"/>
  <c r="D332" i="1"/>
  <c r="C331" i="1"/>
  <c r="D330" i="1"/>
  <c r="D329" i="1"/>
  <c r="D328" i="1"/>
  <c r="D327" i="1"/>
  <c r="D326" i="1"/>
  <c r="D325" i="1"/>
  <c r="C325" i="1"/>
  <c r="C312" i="1"/>
  <c r="D312" i="1" s="1"/>
  <c r="C308" i="1"/>
  <c r="D308" i="1" s="1"/>
  <c r="D301" i="1"/>
  <c r="C300" i="1"/>
  <c r="D300" i="1" s="1"/>
  <c r="C298" i="1"/>
  <c r="C157" i="4"/>
  <c r="D157" i="4" s="1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33" i="4"/>
  <c r="D132" i="4"/>
  <c r="D130" i="4"/>
  <c r="D129" i="4"/>
  <c r="D128" i="4"/>
  <c r="D127" i="4"/>
  <c r="D126" i="4"/>
  <c r="C297" i="1"/>
  <c r="D297" i="1" s="1"/>
  <c r="D316" i="1"/>
  <c r="D315" i="1"/>
  <c r="D314" i="1"/>
  <c r="D313" i="1"/>
  <c r="D311" i="1"/>
  <c r="D310" i="1"/>
  <c r="D309" i="1"/>
  <c r="D307" i="1"/>
  <c r="D306" i="1"/>
  <c r="D305" i="1"/>
  <c r="D304" i="1"/>
  <c r="D303" i="1"/>
  <c r="D302" i="1"/>
  <c r="D299" i="1"/>
  <c r="D298" i="1"/>
  <c r="D296" i="1"/>
  <c r="D295" i="1"/>
  <c r="D294" i="1"/>
  <c r="D293" i="1"/>
  <c r="D292" i="1"/>
  <c r="D290" i="1"/>
  <c r="D289" i="1"/>
  <c r="D288" i="1"/>
  <c r="D287" i="1"/>
  <c r="D286" i="1"/>
  <c r="C270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0" i="1"/>
  <c r="D249" i="1"/>
  <c r="D248" i="1"/>
  <c r="D247" i="1"/>
  <c r="D246" i="1"/>
  <c r="C117" i="5"/>
  <c r="D117" i="5" s="1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0" i="5"/>
  <c r="D89" i="5"/>
  <c r="D88" i="5"/>
  <c r="D87" i="5"/>
  <c r="D86" i="5"/>
  <c r="D86" i="4"/>
  <c r="D92" i="4"/>
  <c r="D93" i="4"/>
  <c r="D94" i="4"/>
  <c r="D95" i="4"/>
  <c r="D96" i="4"/>
  <c r="D97" i="4"/>
  <c r="D98" i="4"/>
  <c r="D99" i="4"/>
  <c r="D100" i="4"/>
  <c r="D101" i="4"/>
  <c r="D102" i="4"/>
  <c r="D87" i="4"/>
  <c r="D88" i="4"/>
  <c r="D89" i="4"/>
  <c r="D90" i="4"/>
  <c r="D116" i="4"/>
  <c r="D115" i="4"/>
  <c r="D114" i="4"/>
  <c r="D113" i="4"/>
  <c r="D112" i="4"/>
  <c r="D111" i="4"/>
  <c r="D110" i="4"/>
  <c r="D109" i="4"/>
  <c r="D107" i="4"/>
  <c r="D106" i="4"/>
  <c r="D105" i="4"/>
  <c r="D104" i="4"/>
  <c r="D103" i="4"/>
  <c r="C117" i="4"/>
  <c r="D117" i="4" s="1"/>
  <c r="C85" i="4"/>
  <c r="C91" i="4" s="1"/>
  <c r="C219" i="1"/>
  <c r="C61" i="4"/>
  <c r="D219" i="1"/>
  <c r="C215" i="1"/>
  <c r="D215" i="1" s="1"/>
  <c r="D207" i="1"/>
  <c r="D208" i="1"/>
  <c r="D209" i="1"/>
  <c r="D210" i="1"/>
  <c r="D212" i="1"/>
  <c r="D213" i="1"/>
  <c r="D214" i="1"/>
  <c r="D216" i="1"/>
  <c r="D217" i="1"/>
  <c r="D218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6" i="1"/>
  <c r="D235" i="1"/>
  <c r="D234" i="1"/>
  <c r="D206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C197" i="1"/>
  <c r="D197" i="1" s="1"/>
  <c r="D196" i="1"/>
  <c r="D195" i="1"/>
  <c r="D194" i="1"/>
  <c r="D193" i="1"/>
  <c r="D192" i="1"/>
  <c r="D191" i="1"/>
  <c r="D190" i="1"/>
  <c r="D189" i="1"/>
  <c r="D188" i="1"/>
  <c r="D187" i="1"/>
  <c r="D170" i="1"/>
  <c r="D169" i="1"/>
  <c r="D168" i="1"/>
  <c r="D167" i="1"/>
  <c r="D166" i="1"/>
  <c r="C398" i="1" l="1"/>
  <c r="D398" i="1" s="1"/>
  <c r="D371" i="1"/>
  <c r="D365" i="1"/>
  <c r="C358" i="1"/>
  <c r="D358" i="1" s="1"/>
  <c r="D331" i="1"/>
  <c r="D337" i="1"/>
  <c r="C317" i="1"/>
  <c r="D317" i="1" s="1"/>
  <c r="C277" i="1"/>
  <c r="D277" i="1" s="1"/>
  <c r="D91" i="4"/>
  <c r="C118" i="4"/>
  <c r="D85" i="4"/>
  <c r="C237" i="1"/>
  <c r="D237" i="1" s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C157" i="1"/>
  <c r="D157" i="1" s="1"/>
  <c r="D156" i="1"/>
  <c r="D155" i="1"/>
  <c r="D130" i="1"/>
  <c r="D129" i="1"/>
  <c r="D128" i="1"/>
  <c r="D127" i="1"/>
  <c r="D126" i="1"/>
  <c r="D118" i="4" l="1"/>
  <c r="C125" i="4"/>
  <c r="C113" i="1"/>
  <c r="D113" i="1" s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86" i="1"/>
  <c r="D116" i="1"/>
  <c r="D115" i="1"/>
  <c r="D114" i="1"/>
  <c r="D112" i="1"/>
  <c r="D111" i="1"/>
  <c r="D110" i="1"/>
  <c r="D109" i="1"/>
  <c r="D108" i="1"/>
  <c r="D90" i="1"/>
  <c r="D89" i="1"/>
  <c r="D88" i="1"/>
  <c r="D87" i="1"/>
  <c r="C131" i="4" l="1"/>
  <c r="D125" i="4"/>
  <c r="C117" i="1"/>
  <c r="D117" i="1" s="1"/>
  <c r="C34" i="1"/>
  <c r="C27" i="1"/>
  <c r="C25" i="1"/>
  <c r="C158" i="4" l="1"/>
  <c r="D131" i="4"/>
  <c r="C77" i="5"/>
  <c r="D77" i="5" s="1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0" i="5"/>
  <c r="D49" i="5"/>
  <c r="D48" i="5"/>
  <c r="D47" i="5"/>
  <c r="D46" i="5"/>
  <c r="C37" i="5"/>
  <c r="D37" i="5" s="1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C11" i="5"/>
  <c r="D10" i="5"/>
  <c r="D9" i="5"/>
  <c r="D8" i="5"/>
  <c r="D7" i="5"/>
  <c r="D6" i="5"/>
  <c r="D5" i="5"/>
  <c r="C77" i="4"/>
  <c r="D77" i="4" s="1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0" i="4"/>
  <c r="D49" i="4"/>
  <c r="D48" i="4"/>
  <c r="D47" i="4"/>
  <c r="D46" i="4"/>
  <c r="C37" i="4"/>
  <c r="D37" i="4" s="1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C11" i="4"/>
  <c r="D10" i="4"/>
  <c r="D9" i="4"/>
  <c r="D8" i="4"/>
  <c r="D7" i="4"/>
  <c r="D6" i="4"/>
  <c r="D5" i="4"/>
  <c r="D158" i="4" l="1"/>
  <c r="C165" i="4"/>
  <c r="C38" i="4"/>
  <c r="D38" i="4" s="1"/>
  <c r="C38" i="5"/>
  <c r="D38" i="5" s="1"/>
  <c r="D11" i="5"/>
  <c r="D11" i="4"/>
  <c r="D7" i="1"/>
  <c r="D6" i="1"/>
  <c r="D49" i="1"/>
  <c r="D48" i="1"/>
  <c r="D47" i="1"/>
  <c r="D46" i="1"/>
  <c r="D10" i="1"/>
  <c r="D9" i="1"/>
  <c r="D12" i="1"/>
  <c r="D13" i="1"/>
  <c r="D74" i="1"/>
  <c r="D75" i="1"/>
  <c r="D76" i="1"/>
  <c r="D8" i="1"/>
  <c r="D50" i="1"/>
  <c r="C11" i="1"/>
  <c r="D11" i="1" s="1"/>
  <c r="C37" i="1"/>
  <c r="D37" i="1" s="1"/>
  <c r="C77" i="1"/>
  <c r="D77" i="1" s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5" i="1"/>
  <c r="C171" i="4" l="1"/>
  <c r="D165" i="4"/>
  <c r="C45" i="4"/>
  <c r="D45" i="4" s="1"/>
  <c r="C45" i="5"/>
  <c r="C51" i="5" s="1"/>
  <c r="C38" i="1"/>
  <c r="C45" i="1" s="1"/>
  <c r="D45" i="1" s="1"/>
  <c r="C198" i="4" l="1"/>
  <c r="D198" i="4" s="1"/>
  <c r="D171" i="4"/>
  <c r="C51" i="4"/>
  <c r="C78" i="4" s="1"/>
  <c r="D78" i="4" s="1"/>
  <c r="D45" i="5"/>
  <c r="C78" i="5"/>
  <c r="D51" i="5"/>
  <c r="D38" i="1"/>
  <c r="C51" i="1"/>
  <c r="C78" i="1" s="1"/>
  <c r="C85" i="1" s="1"/>
  <c r="D78" i="5" l="1"/>
  <c r="C85" i="5"/>
  <c r="C91" i="1"/>
  <c r="D85" i="1"/>
  <c r="D51" i="4"/>
  <c r="D51" i="1"/>
  <c r="D78" i="1"/>
  <c r="C91" i="5" l="1"/>
  <c r="D85" i="5"/>
  <c r="C118" i="1"/>
  <c r="D91" i="1"/>
  <c r="C118" i="5" l="1"/>
  <c r="D118" i="5" s="1"/>
  <c r="D91" i="5"/>
  <c r="D118" i="1"/>
  <c r="C125" i="1"/>
  <c r="C131" i="1" l="1"/>
  <c r="D125" i="1"/>
  <c r="D131" i="1" l="1"/>
  <c r="C158" i="1"/>
  <c r="D158" i="1" l="1"/>
  <c r="C165" i="1"/>
  <c r="C171" i="1" l="1"/>
  <c r="D165" i="1"/>
  <c r="C198" i="1" l="1"/>
  <c r="D171" i="1"/>
  <c r="D198" i="1" l="1"/>
  <c r="C205" i="1"/>
  <c r="D205" i="1" l="1"/>
  <c r="C211" i="1"/>
  <c r="C238" i="1" l="1"/>
  <c r="D211" i="1"/>
  <c r="D238" i="1" l="1"/>
  <c r="C245" i="1"/>
  <c r="C251" i="1" l="1"/>
  <c r="D245" i="1"/>
  <c r="D251" i="1" l="1"/>
  <c r="C278" i="1"/>
  <c r="D278" i="1" l="1"/>
  <c r="C285" i="1"/>
  <c r="C291" i="1" l="1"/>
  <c r="D285" i="1"/>
  <c r="D291" i="1" l="1"/>
  <c r="C318" i="1"/>
  <c r="D318" i="1" s="1"/>
</calcChain>
</file>

<file path=xl/sharedStrings.xml><?xml version="1.0" encoding="utf-8"?>
<sst xmlns="http://schemas.openxmlformats.org/spreadsheetml/2006/main" count="514" uniqueCount="24">
  <si>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</si>
  <si>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</si>
  <si>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</si>
  <si>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</si>
  <si>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在庫</t>
    <rPh sb="0" eb="2">
      <t>ザイコ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</si>
  <si>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</si>
  <si>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</si>
  <si>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＜マイクロファイバー大判吸水パッド7枚組＞</t>
    <rPh sb="10" eb="14">
      <t>オオバンキュウスイ</t>
    </rPh>
    <rPh sb="18" eb="20">
      <t>マイグミ</t>
    </rPh>
    <phoneticPr fontId="1"/>
  </si>
  <si>
    <t>＜使い捨て吸水パッド50枚組＞</t>
    <rPh sb="1" eb="2">
      <t>ツカ</t>
    </rPh>
    <rPh sb="3" eb="4">
      <t>ス</t>
    </rPh>
    <rPh sb="5" eb="7">
      <t>キュウスイ</t>
    </rPh>
    <rPh sb="12" eb="13">
      <t>マイ</t>
    </rPh>
    <rPh sb="13" eb="14">
      <t>クミ</t>
    </rPh>
    <phoneticPr fontId="1"/>
  </si>
  <si>
    <t>＜羽つき吸水安心パッド2色4枚組＞</t>
    <rPh sb="1" eb="2">
      <t>ハネ</t>
    </rPh>
    <rPh sb="4" eb="8">
      <t>キュウスイアンシン</t>
    </rPh>
    <rPh sb="12" eb="13">
      <t>ショク</t>
    </rPh>
    <rPh sb="14" eb="15">
      <t>マイ</t>
    </rPh>
    <rPh sb="15" eb="16">
      <t>クミ</t>
    </rPh>
    <phoneticPr fontId="1"/>
  </si>
  <si>
    <t>ネット</t>
    <phoneticPr fontId="1"/>
  </si>
  <si>
    <t>ネット</t>
    <phoneticPr fontId="1"/>
  </si>
  <si>
    <t>ネット</t>
    <phoneticPr fontId="1"/>
  </si>
  <si>
    <t>棚卸</t>
    <rPh sb="0" eb="2">
      <t>タナオロシ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</si>
  <si>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</si>
  <si>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</si>
  <si>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</si>
  <si>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ネット返品</t>
    <rPh sb="3" eb="5">
      <t>ヘンピン</t>
    </rPh>
    <phoneticPr fontId="1"/>
  </si>
  <si>
    <t>在庫調整</t>
    <rPh sb="0" eb="2">
      <t>ザイコ</t>
    </rPh>
    <rPh sb="2" eb="4">
      <t>チョウセイ</t>
    </rPh>
    <phoneticPr fontId="1"/>
  </si>
  <si>
    <t>在庫調整</t>
    <rPh sb="0" eb="4">
      <t>ザイコチョウセイ</t>
    </rPh>
    <phoneticPr fontId="1"/>
  </si>
  <si>
    <t>調整</t>
    <rPh sb="0" eb="2">
      <t>チョウセイ</t>
    </rPh>
    <phoneticPr fontId="1"/>
  </si>
  <si>
    <t>在庫確認</t>
    <rPh sb="0" eb="4">
      <t>ザイコカクニン</t>
    </rPh>
    <phoneticPr fontId="1"/>
  </si>
  <si>
    <t>追加</t>
    <rPh sb="0" eb="2">
      <t>ツイカ</t>
    </rPh>
    <phoneticPr fontId="1"/>
  </si>
  <si>
    <t>追加</t>
    <rPh sb="0" eb="2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</si>
</sst>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56" fontId="3" fillId="0" borderId="0" xfId="0" applyNumberFormat="1" applyFont="1"/>
    <xf numFmtId="0" fontId="3" fillId="0" borderId="12" xfId="0" applyFont="1" applyBorder="1"/>
    <xf numFmtId="0" fontId="3" fillId="0" borderId="0" xfId="0" applyFont="1"/>
    <xf numFmtId="56" fontId="0" fillId="0" borderId="1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56" fontId="0" fillId="0" borderId="0" xfId="0" applyNumberFormat="1"/>
    <xf numFmtId="56" fontId="4" fillId="0" borderId="4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56" fontId="5" fillId="0" borderId="0" xfId="0" applyNumberFormat="1" applyFont="1"/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0" fillId="0" borderId="16" xfId="0" applyBorder="1"/>
    <xf numFmtId="0" fontId="0" fillId="0" borderId="12" xfId="0" applyBorder="1"/>
    <xf numFmtId="56" fontId="0" fillId="0" borderId="7" xfId="0" applyNumberForma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2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20" fontId="5" fillId="0" borderId="0" xfId="0" applyNumberFormat="1" applyFont="1"/>
    <xf numFmtId="20" fontId="0" fillId="0" borderId="0" xfId="0" applyNumberFormat="1"/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56" fontId="0" fillId="0" borderId="3" xfId="0" applyNumberFormat="1" applyBorder="1" applyAlignment="1">
      <alignment horizontal="center"/>
    </xf>
    <xf numFmtId="56" fontId="0" fillId="0" borderId="4" xfId="0" applyNumberFormat="1" applyBorder="1" applyAlignment="1">
      <alignment horizontal="center"/>
    </xf>
    <xf numFmtId="56" fontId="0" fillId="0" borderId="20" xfId="0" applyNumberForma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56" fontId="6" fillId="0" borderId="0" xfId="0" applyNumberFormat="1" applyFont="1"/>
    <xf numFmtId="0" fontId="0" fillId="0" borderId="21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5" xfId="0" applyFont="1" applyBorder="1"/>
    <xf numFmtId="0" fontId="5" fillId="0" borderId="2" xfId="0" applyFont="1" applyBorder="1"/>
    <xf numFmtId="56" fontId="0" fillId="0" borderId="22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56" fontId="5" fillId="0" borderId="11" xfId="0" applyNumberFormat="1" applyFont="1" applyBorder="1" applyAlignment="1">
      <alignment horizontal="center"/>
    </xf>
    <xf numFmtId="0" fontId="5" fillId="0" borderId="1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8"/>
  <sheetViews>
    <sheetView tabSelected="1" topLeftCell="B356" workbookViewId="0">
      <selection activeCell="F369" sqref="F369"/>
    </sheetView>
  </sheetViews>
  <sheetFormatPr defaultRowHeight="13.5" x14ac:dyDescent="0.15"/>
  <cols>
    <col min="2" max="2" width="18.5" style="1" customWidth="1"/>
    <col min="3" max="3" width="9.875" customWidth="1"/>
    <col min="4" max="4" width="11.375" customWidth="1"/>
    <col min="5" max="5" width="9.25" bestFit="1" customWidth="1"/>
  </cols>
  <sheetData>
    <row r="1" spans="2:6" ht="18.75" x14ac:dyDescent="0.2">
      <c r="B1" s="32" t="s">
        <v>7</v>
      </c>
    </row>
    <row r="2" spans="2:6" ht="14.25" thickBot="1" x14ac:dyDescent="0.2">
      <c r="B2" s="1">
        <v>2340</v>
      </c>
    </row>
    <row r="3" spans="2:6" ht="14.25" thickBot="1" x14ac:dyDescent="0.2">
      <c r="B3" s="7"/>
      <c r="C3" s="55"/>
      <c r="D3" s="56"/>
    </row>
    <row r="4" spans="2:6" s="1" customFormat="1" ht="14.25" thickBot="1" x14ac:dyDescent="0.2">
      <c r="B4" s="8"/>
      <c r="C4" s="9"/>
      <c r="D4" s="10" t="s">
        <v>0</v>
      </c>
    </row>
    <row r="5" spans="2:6" x14ac:dyDescent="0.15">
      <c r="B5" s="39" t="s">
        <v>6</v>
      </c>
      <c r="C5" s="5">
        <v>3</v>
      </c>
      <c r="D5" s="6">
        <f t="shared" ref="D5:D13" si="0">SUM(C5:C5)</f>
        <v>3</v>
      </c>
      <c r="E5" s="19">
        <v>44352</v>
      </c>
    </row>
    <row r="6" spans="2:6" x14ac:dyDescent="0.15">
      <c r="B6" s="33" t="s">
        <v>5</v>
      </c>
      <c r="C6" s="17">
        <v>3</v>
      </c>
      <c r="D6" s="18">
        <f>SUM(C6:C6)</f>
        <v>3</v>
      </c>
      <c r="E6" s="19">
        <v>44361</v>
      </c>
    </row>
    <row r="7" spans="2:6" x14ac:dyDescent="0.15">
      <c r="B7" s="37" t="s">
        <v>5</v>
      </c>
      <c r="C7" s="17">
        <v>10</v>
      </c>
      <c r="D7" s="18">
        <f>SUM(C7:C7)</f>
        <v>10</v>
      </c>
      <c r="E7" s="19">
        <v>44398</v>
      </c>
    </row>
    <row r="8" spans="2:6" x14ac:dyDescent="0.15">
      <c r="B8" s="33" t="s">
        <v>5</v>
      </c>
      <c r="C8" s="17">
        <v>10</v>
      </c>
      <c r="D8" s="18">
        <f t="shared" si="0"/>
        <v>10</v>
      </c>
      <c r="E8" s="19">
        <v>44574</v>
      </c>
    </row>
    <row r="9" spans="2:6" x14ac:dyDescent="0.15">
      <c r="B9" s="37" t="s">
        <v>5</v>
      </c>
      <c r="C9" s="17">
        <v>8</v>
      </c>
      <c r="D9" s="18">
        <f t="shared" si="0"/>
        <v>8</v>
      </c>
      <c r="E9" s="19">
        <v>44616</v>
      </c>
    </row>
    <row r="10" spans="2:6" ht="14.25" thickBot="1" x14ac:dyDescent="0.2">
      <c r="B10" s="37" t="s">
        <v>5</v>
      </c>
      <c r="C10" s="17">
        <v>5</v>
      </c>
      <c r="D10" s="18">
        <f>SUM(C10:C10)</f>
        <v>5</v>
      </c>
      <c r="E10" s="19">
        <v>44699</v>
      </c>
    </row>
    <row r="11" spans="2:6" ht="14.25" thickBot="1" x14ac:dyDescent="0.2">
      <c r="B11" s="8" t="s">
        <v>1</v>
      </c>
      <c r="C11" s="11">
        <f>SUM(C5:C10)</f>
        <v>39</v>
      </c>
      <c r="D11" s="12">
        <f t="shared" si="0"/>
        <v>39</v>
      </c>
    </row>
    <row r="12" spans="2:6" x14ac:dyDescent="0.15">
      <c r="B12" s="29" t="s">
        <v>11</v>
      </c>
      <c r="C12" s="27">
        <v>2</v>
      </c>
      <c r="D12" s="28">
        <f t="shared" si="0"/>
        <v>2</v>
      </c>
      <c r="E12" s="19">
        <v>44369</v>
      </c>
      <c r="F12" s="23"/>
    </row>
    <row r="13" spans="2:6" x14ac:dyDescent="0.15">
      <c r="B13" s="16" t="s">
        <v>10</v>
      </c>
      <c r="C13" s="17">
        <v>1</v>
      </c>
      <c r="D13" s="18">
        <f t="shared" si="0"/>
        <v>1</v>
      </c>
      <c r="E13" s="19">
        <v>44371</v>
      </c>
    </row>
    <row r="14" spans="2:6" x14ac:dyDescent="0.15">
      <c r="B14" s="16" t="s">
        <v>10</v>
      </c>
      <c r="C14" s="17">
        <v>1</v>
      </c>
      <c r="D14" s="18">
        <f t="shared" ref="D14:D23" si="1">SUM(C14:C14)</f>
        <v>1</v>
      </c>
      <c r="E14" s="19">
        <v>44375</v>
      </c>
    </row>
    <row r="15" spans="2:6" x14ac:dyDescent="0.15">
      <c r="B15" s="16" t="s">
        <v>10</v>
      </c>
      <c r="C15" s="2">
        <v>1</v>
      </c>
      <c r="D15" s="3">
        <f t="shared" si="1"/>
        <v>1</v>
      </c>
      <c r="E15" s="19">
        <v>44389</v>
      </c>
    </row>
    <row r="16" spans="2:6" x14ac:dyDescent="0.15">
      <c r="B16" s="16" t="s">
        <v>10</v>
      </c>
      <c r="C16" s="2">
        <v>1</v>
      </c>
      <c r="D16" s="3">
        <f t="shared" si="1"/>
        <v>1</v>
      </c>
      <c r="E16" s="19">
        <v>44415</v>
      </c>
    </row>
    <row r="17" spans="2:5" x14ac:dyDescent="0.15">
      <c r="B17" s="16" t="s">
        <v>10</v>
      </c>
      <c r="C17" s="17">
        <v>1</v>
      </c>
      <c r="D17" s="18">
        <f t="shared" si="1"/>
        <v>1</v>
      </c>
      <c r="E17" s="19">
        <v>44429</v>
      </c>
    </row>
    <row r="18" spans="2:5" x14ac:dyDescent="0.15">
      <c r="B18" s="16" t="s">
        <v>10</v>
      </c>
      <c r="C18" s="2">
        <v>1</v>
      </c>
      <c r="D18" s="3">
        <f t="shared" si="1"/>
        <v>1</v>
      </c>
      <c r="E18" s="19">
        <v>44466</v>
      </c>
    </row>
    <row r="19" spans="2:5" x14ac:dyDescent="0.15">
      <c r="B19" s="16" t="s">
        <v>10</v>
      </c>
      <c r="C19" s="2">
        <v>1</v>
      </c>
      <c r="D19" s="3">
        <f t="shared" si="1"/>
        <v>1</v>
      </c>
      <c r="E19" s="19">
        <v>44490</v>
      </c>
    </row>
    <row r="20" spans="2:5" x14ac:dyDescent="0.15">
      <c r="B20" s="16" t="s">
        <v>10</v>
      </c>
      <c r="C20" s="2">
        <v>1</v>
      </c>
      <c r="D20" s="3">
        <f t="shared" si="1"/>
        <v>1</v>
      </c>
      <c r="E20" s="19">
        <v>44505</v>
      </c>
    </row>
    <row r="21" spans="2:5" x14ac:dyDescent="0.15">
      <c r="B21" s="16" t="s">
        <v>10</v>
      </c>
      <c r="C21" s="17">
        <v>1</v>
      </c>
      <c r="D21" s="18">
        <f t="shared" si="1"/>
        <v>1</v>
      </c>
      <c r="E21" s="19">
        <v>44508</v>
      </c>
    </row>
    <row r="22" spans="2:5" x14ac:dyDescent="0.15">
      <c r="B22" s="16" t="s">
        <v>10</v>
      </c>
      <c r="C22" s="2">
        <v>1</v>
      </c>
      <c r="D22" s="3">
        <f t="shared" si="1"/>
        <v>1</v>
      </c>
      <c r="E22" s="13">
        <v>44522</v>
      </c>
    </row>
    <row r="23" spans="2:5" x14ac:dyDescent="0.15">
      <c r="B23" s="16" t="s">
        <v>10</v>
      </c>
      <c r="C23" s="2">
        <v>1</v>
      </c>
      <c r="D23" s="3">
        <f t="shared" si="1"/>
        <v>1</v>
      </c>
      <c r="E23" s="13">
        <v>44526</v>
      </c>
    </row>
    <row r="24" spans="2:5" x14ac:dyDescent="0.15">
      <c r="B24" s="16" t="s">
        <v>10</v>
      </c>
      <c r="C24" s="2">
        <v>1</v>
      </c>
      <c r="D24" s="3">
        <f t="shared" ref="D24:D38" si="2">SUM(C24:C24)</f>
        <v>1</v>
      </c>
      <c r="E24" s="13">
        <v>44537</v>
      </c>
    </row>
    <row r="25" spans="2:5" x14ac:dyDescent="0.15">
      <c r="B25" s="16" t="s">
        <v>10</v>
      </c>
      <c r="C25" s="2">
        <f>1+1</f>
        <v>2</v>
      </c>
      <c r="D25" s="3">
        <f t="shared" si="2"/>
        <v>2</v>
      </c>
      <c r="E25" s="13">
        <v>44557</v>
      </c>
    </row>
    <row r="26" spans="2:5" x14ac:dyDescent="0.15">
      <c r="B26" s="16" t="s">
        <v>10</v>
      </c>
      <c r="C26" s="2">
        <v>2</v>
      </c>
      <c r="D26" s="3">
        <f t="shared" si="2"/>
        <v>2</v>
      </c>
      <c r="E26" s="13">
        <v>44574</v>
      </c>
    </row>
    <row r="27" spans="2:5" x14ac:dyDescent="0.15">
      <c r="B27" s="16" t="s">
        <v>10</v>
      </c>
      <c r="C27" s="2">
        <f>1+1+1</f>
        <v>3</v>
      </c>
      <c r="D27" s="3">
        <f t="shared" si="2"/>
        <v>3</v>
      </c>
      <c r="E27" s="13">
        <v>44578</v>
      </c>
    </row>
    <row r="28" spans="2:5" x14ac:dyDescent="0.15">
      <c r="B28" s="16" t="s">
        <v>10</v>
      </c>
      <c r="C28" s="2">
        <v>1</v>
      </c>
      <c r="D28" s="3">
        <f t="shared" si="2"/>
        <v>1</v>
      </c>
      <c r="E28" s="13">
        <v>44585</v>
      </c>
    </row>
    <row r="29" spans="2:5" x14ac:dyDescent="0.15">
      <c r="B29" s="16" t="s">
        <v>10</v>
      </c>
      <c r="C29" s="2">
        <v>1</v>
      </c>
      <c r="D29" s="3">
        <f t="shared" si="2"/>
        <v>1</v>
      </c>
      <c r="E29" s="13">
        <v>44587</v>
      </c>
    </row>
    <row r="30" spans="2:5" x14ac:dyDescent="0.15">
      <c r="B30" s="16" t="s">
        <v>10</v>
      </c>
      <c r="C30" s="2">
        <v>1</v>
      </c>
      <c r="D30" s="3">
        <f t="shared" si="2"/>
        <v>1</v>
      </c>
      <c r="E30" s="13">
        <v>44606</v>
      </c>
    </row>
    <row r="31" spans="2:5" x14ac:dyDescent="0.15">
      <c r="B31" s="16" t="s">
        <v>10</v>
      </c>
      <c r="C31" s="2">
        <v>2</v>
      </c>
      <c r="D31" s="3">
        <f t="shared" si="2"/>
        <v>2</v>
      </c>
      <c r="E31" s="13">
        <v>44620</v>
      </c>
    </row>
    <row r="32" spans="2:5" x14ac:dyDescent="0.15">
      <c r="B32" s="16" t="s">
        <v>10</v>
      </c>
      <c r="C32" s="17">
        <v>1</v>
      </c>
      <c r="D32" s="18">
        <f t="shared" si="2"/>
        <v>1</v>
      </c>
      <c r="E32" s="19">
        <v>44652</v>
      </c>
    </row>
    <row r="33" spans="2:6" x14ac:dyDescent="0.15">
      <c r="B33" s="16" t="s">
        <v>10</v>
      </c>
      <c r="C33" s="17">
        <v>1</v>
      </c>
      <c r="D33" s="18">
        <f t="shared" si="2"/>
        <v>1</v>
      </c>
      <c r="E33" s="19">
        <v>44665</v>
      </c>
    </row>
    <row r="34" spans="2:6" x14ac:dyDescent="0.15">
      <c r="B34" s="16" t="s">
        <v>10</v>
      </c>
      <c r="C34" s="17">
        <f>1+1</f>
        <v>2</v>
      </c>
      <c r="D34" s="18">
        <f t="shared" si="2"/>
        <v>2</v>
      </c>
      <c r="E34" s="19">
        <v>44676</v>
      </c>
      <c r="F34" s="35"/>
    </row>
    <row r="35" spans="2:6" x14ac:dyDescent="0.15">
      <c r="B35" s="16" t="s">
        <v>10</v>
      </c>
      <c r="C35" s="17">
        <v>1</v>
      </c>
      <c r="D35" s="18">
        <f t="shared" si="2"/>
        <v>1</v>
      </c>
      <c r="E35" s="19">
        <v>44681</v>
      </c>
      <c r="F35" s="35"/>
    </row>
    <row r="36" spans="2:6" ht="14.25" thickBot="1" x14ac:dyDescent="0.2">
      <c r="B36" s="40" t="s">
        <v>10</v>
      </c>
      <c r="C36" s="30">
        <v>1</v>
      </c>
      <c r="D36" s="31">
        <f t="shared" si="2"/>
        <v>1</v>
      </c>
      <c r="E36" s="19">
        <v>44697</v>
      </c>
    </row>
    <row r="37" spans="2:6" x14ac:dyDescent="0.15">
      <c r="B37" s="4" t="s">
        <v>2</v>
      </c>
      <c r="C37" s="5">
        <f>SUM(C12:C36)</f>
        <v>32</v>
      </c>
      <c r="D37" s="6">
        <f t="shared" si="2"/>
        <v>32</v>
      </c>
    </row>
    <row r="38" spans="2:6" ht="14.25" thickBot="1" x14ac:dyDescent="0.2">
      <c r="B38" s="24" t="s">
        <v>3</v>
      </c>
      <c r="C38" s="25">
        <f>+C11-C37</f>
        <v>7</v>
      </c>
      <c r="D38" s="26">
        <f t="shared" si="2"/>
        <v>7</v>
      </c>
    </row>
    <row r="41" spans="2:6" ht="18.75" x14ac:dyDescent="0.2">
      <c r="B41" s="32" t="s">
        <v>7</v>
      </c>
    </row>
    <row r="42" spans="2:6" ht="14.25" thickBot="1" x14ac:dyDescent="0.2">
      <c r="B42" s="1">
        <v>2340</v>
      </c>
    </row>
    <row r="43" spans="2:6" ht="14.25" thickBot="1" x14ac:dyDescent="0.2">
      <c r="B43" s="7"/>
      <c r="C43" s="55"/>
      <c r="D43" s="56"/>
    </row>
    <row r="44" spans="2:6" ht="14.25" thickBot="1" x14ac:dyDescent="0.2">
      <c r="B44" s="8"/>
      <c r="C44" s="9"/>
      <c r="D44" s="10" t="s">
        <v>0</v>
      </c>
    </row>
    <row r="45" spans="2:6" x14ac:dyDescent="0.15">
      <c r="B45" s="20" t="s">
        <v>4</v>
      </c>
      <c r="C45" s="21">
        <f>C38</f>
        <v>7</v>
      </c>
      <c r="D45" s="22">
        <f t="shared" ref="D45:D78" si="3">SUM(C45:C45)</f>
        <v>7</v>
      </c>
    </row>
    <row r="46" spans="2:6" x14ac:dyDescent="0.15">
      <c r="B46" s="41" t="s">
        <v>13</v>
      </c>
      <c r="C46" s="42">
        <v>-1</v>
      </c>
      <c r="D46" s="43">
        <f>SUM(C46:C46)</f>
        <v>-1</v>
      </c>
      <c r="E46" s="44">
        <v>44796</v>
      </c>
    </row>
    <row r="47" spans="2:6" x14ac:dyDescent="0.15">
      <c r="B47" s="37" t="s">
        <v>5</v>
      </c>
      <c r="C47" s="5">
        <v>5</v>
      </c>
      <c r="D47" s="18">
        <f>SUM(C47:C47)</f>
        <v>5</v>
      </c>
      <c r="E47" s="19">
        <v>44812</v>
      </c>
    </row>
    <row r="48" spans="2:6" x14ac:dyDescent="0.15">
      <c r="B48" s="37" t="s">
        <v>5</v>
      </c>
      <c r="C48" s="17">
        <v>3</v>
      </c>
      <c r="D48" s="18">
        <f>SUM(C48:C48)</f>
        <v>3</v>
      </c>
      <c r="E48" s="19">
        <v>44848</v>
      </c>
    </row>
    <row r="49" spans="2:5" x14ac:dyDescent="0.15">
      <c r="B49" s="37" t="s">
        <v>5</v>
      </c>
      <c r="C49" s="17">
        <v>3</v>
      </c>
      <c r="D49" s="18">
        <f>SUM(C49:C49)</f>
        <v>3</v>
      </c>
      <c r="E49" s="19">
        <v>44875</v>
      </c>
    </row>
    <row r="50" spans="2:5" ht="14.25" thickBot="1" x14ac:dyDescent="0.2">
      <c r="B50" s="37" t="s">
        <v>5</v>
      </c>
      <c r="C50" s="17">
        <v>3</v>
      </c>
      <c r="D50" s="18">
        <f>SUM(C50:C50)</f>
        <v>3</v>
      </c>
      <c r="E50" s="19">
        <v>44909</v>
      </c>
    </row>
    <row r="51" spans="2:5" ht="14.25" thickBot="1" x14ac:dyDescent="0.2">
      <c r="B51" s="8" t="s">
        <v>1</v>
      </c>
      <c r="C51" s="11">
        <f>SUM(C45:C50)</f>
        <v>20</v>
      </c>
      <c r="D51" s="12">
        <f t="shared" si="3"/>
        <v>20</v>
      </c>
    </row>
    <row r="52" spans="2:5" x14ac:dyDescent="0.15">
      <c r="B52" s="16" t="s">
        <v>10</v>
      </c>
      <c r="C52" s="2">
        <v>1</v>
      </c>
      <c r="D52" s="14">
        <f t="shared" si="3"/>
        <v>1</v>
      </c>
      <c r="E52" s="13">
        <v>44701</v>
      </c>
    </row>
    <row r="53" spans="2:5" x14ac:dyDescent="0.15">
      <c r="B53" s="16" t="s">
        <v>10</v>
      </c>
      <c r="C53" s="2">
        <v>1</v>
      </c>
      <c r="D53" s="3">
        <f t="shared" si="3"/>
        <v>1</v>
      </c>
      <c r="E53" s="19">
        <v>44733</v>
      </c>
    </row>
    <row r="54" spans="2:5" x14ac:dyDescent="0.15">
      <c r="B54" s="16" t="s">
        <v>10</v>
      </c>
      <c r="C54" s="17">
        <v>1</v>
      </c>
      <c r="D54" s="18">
        <f t="shared" si="3"/>
        <v>1</v>
      </c>
      <c r="E54" s="19">
        <v>44775</v>
      </c>
    </row>
    <row r="55" spans="2:5" x14ac:dyDescent="0.15">
      <c r="B55" s="16" t="s">
        <v>10</v>
      </c>
      <c r="C55" s="2">
        <v>1</v>
      </c>
      <c r="D55" s="3">
        <f t="shared" si="3"/>
        <v>1</v>
      </c>
      <c r="E55" s="13">
        <v>44799</v>
      </c>
    </row>
    <row r="56" spans="2:5" x14ac:dyDescent="0.15">
      <c r="B56" s="16" t="s">
        <v>10</v>
      </c>
      <c r="C56" s="2">
        <v>1</v>
      </c>
      <c r="D56" s="3">
        <f t="shared" si="3"/>
        <v>1</v>
      </c>
      <c r="E56" s="13">
        <v>44809</v>
      </c>
    </row>
    <row r="57" spans="2:5" x14ac:dyDescent="0.15">
      <c r="B57" s="16" t="s">
        <v>10</v>
      </c>
      <c r="C57" s="17">
        <v>1</v>
      </c>
      <c r="D57" s="18">
        <f t="shared" si="3"/>
        <v>1</v>
      </c>
      <c r="E57" s="13">
        <v>44810</v>
      </c>
    </row>
    <row r="58" spans="2:5" x14ac:dyDescent="0.15">
      <c r="B58" s="16" t="s">
        <v>10</v>
      </c>
      <c r="C58" s="2">
        <v>1</v>
      </c>
      <c r="D58" s="3">
        <f t="shared" si="3"/>
        <v>1</v>
      </c>
      <c r="E58" s="13">
        <v>44824</v>
      </c>
    </row>
    <row r="59" spans="2:5" x14ac:dyDescent="0.15">
      <c r="B59" s="16" t="s">
        <v>10</v>
      </c>
      <c r="C59" s="2">
        <v>1</v>
      </c>
      <c r="D59" s="3">
        <f t="shared" si="3"/>
        <v>1</v>
      </c>
      <c r="E59" s="13">
        <v>44834</v>
      </c>
    </row>
    <row r="60" spans="2:5" x14ac:dyDescent="0.15">
      <c r="B60" s="16" t="s">
        <v>10</v>
      </c>
      <c r="C60" s="2">
        <v>1</v>
      </c>
      <c r="D60" s="3">
        <f t="shared" si="3"/>
        <v>1</v>
      </c>
      <c r="E60" s="13">
        <v>44845</v>
      </c>
    </row>
    <row r="61" spans="2:5" x14ac:dyDescent="0.15">
      <c r="B61" s="16" t="s">
        <v>10</v>
      </c>
      <c r="C61" s="2">
        <v>1</v>
      </c>
      <c r="D61" s="3">
        <f t="shared" si="3"/>
        <v>1</v>
      </c>
      <c r="E61" s="19">
        <v>44858</v>
      </c>
    </row>
    <row r="62" spans="2:5" x14ac:dyDescent="0.15">
      <c r="B62" s="16" t="s">
        <v>10</v>
      </c>
      <c r="C62" s="2">
        <v>2</v>
      </c>
      <c r="D62" s="3">
        <f t="shared" si="3"/>
        <v>2</v>
      </c>
      <c r="E62" s="19">
        <v>44865</v>
      </c>
    </row>
    <row r="63" spans="2:5" x14ac:dyDescent="0.15">
      <c r="B63" s="16" t="s">
        <v>10</v>
      </c>
      <c r="C63" s="2">
        <v>1</v>
      </c>
      <c r="D63" s="3">
        <f t="shared" si="3"/>
        <v>1</v>
      </c>
      <c r="E63" s="19">
        <v>44879</v>
      </c>
    </row>
    <row r="64" spans="2:5" x14ac:dyDescent="0.15">
      <c r="B64" s="16" t="s">
        <v>10</v>
      </c>
      <c r="C64" s="2">
        <v>1</v>
      </c>
      <c r="D64" s="3">
        <f t="shared" si="3"/>
        <v>1</v>
      </c>
      <c r="E64" s="19">
        <v>44889</v>
      </c>
    </row>
    <row r="65" spans="2:6" x14ac:dyDescent="0.15">
      <c r="B65" s="16" t="s">
        <v>10</v>
      </c>
      <c r="C65" s="2">
        <v>1</v>
      </c>
      <c r="D65" s="3">
        <f t="shared" si="3"/>
        <v>1</v>
      </c>
      <c r="E65" s="19">
        <v>44911</v>
      </c>
    </row>
    <row r="66" spans="2:6" x14ac:dyDescent="0.15">
      <c r="B66" s="16" t="s">
        <v>10</v>
      </c>
      <c r="C66" s="2">
        <v>2</v>
      </c>
      <c r="D66" s="3">
        <f t="shared" si="3"/>
        <v>2</v>
      </c>
      <c r="E66" s="19">
        <v>44918</v>
      </c>
    </row>
    <row r="67" spans="2:6" x14ac:dyDescent="0.15">
      <c r="B67" s="16" t="s">
        <v>10</v>
      </c>
      <c r="C67" s="2">
        <v>1</v>
      </c>
      <c r="D67" s="3">
        <f t="shared" si="3"/>
        <v>1</v>
      </c>
      <c r="E67" s="19">
        <v>44931</v>
      </c>
    </row>
    <row r="68" spans="2:6" x14ac:dyDescent="0.15">
      <c r="B68" s="16"/>
      <c r="C68" s="2"/>
      <c r="D68" s="3">
        <f t="shared" si="3"/>
        <v>0</v>
      </c>
      <c r="E68" s="19"/>
    </row>
    <row r="69" spans="2:6" x14ac:dyDescent="0.15">
      <c r="B69" s="38"/>
      <c r="C69" s="2"/>
      <c r="D69" s="3">
        <f t="shared" si="3"/>
        <v>0</v>
      </c>
      <c r="E69" s="19"/>
    </row>
    <row r="70" spans="2:6" x14ac:dyDescent="0.15">
      <c r="B70" s="33"/>
      <c r="C70" s="2"/>
      <c r="D70" s="3">
        <f t="shared" si="3"/>
        <v>0</v>
      </c>
      <c r="E70" s="19"/>
    </row>
    <row r="71" spans="2:6" x14ac:dyDescent="0.15">
      <c r="B71" s="16"/>
      <c r="C71" s="2"/>
      <c r="D71" s="3">
        <f t="shared" si="3"/>
        <v>0</v>
      </c>
      <c r="E71" s="19"/>
    </row>
    <row r="72" spans="2:6" x14ac:dyDescent="0.15">
      <c r="B72" s="16"/>
      <c r="C72" s="2"/>
      <c r="D72" s="3">
        <f t="shared" si="3"/>
        <v>0</v>
      </c>
      <c r="E72" s="19"/>
    </row>
    <row r="73" spans="2:6" x14ac:dyDescent="0.15">
      <c r="B73" s="16"/>
      <c r="C73" s="17"/>
      <c r="D73" s="18">
        <f t="shared" si="3"/>
        <v>0</v>
      </c>
      <c r="E73" s="19"/>
    </row>
    <row r="74" spans="2:6" x14ac:dyDescent="0.15">
      <c r="B74" s="33"/>
      <c r="C74" s="17"/>
      <c r="D74" s="18">
        <f t="shared" si="3"/>
        <v>0</v>
      </c>
      <c r="E74" s="19"/>
      <c r="F74" s="34"/>
    </row>
    <row r="75" spans="2:6" x14ac:dyDescent="0.15">
      <c r="B75" s="33"/>
      <c r="C75" s="17"/>
      <c r="D75" s="18">
        <f t="shared" si="3"/>
        <v>0</v>
      </c>
      <c r="E75" s="19"/>
      <c r="F75" s="34"/>
    </row>
    <row r="76" spans="2:6" ht="14.25" thickBot="1" x14ac:dyDescent="0.2">
      <c r="B76" s="36"/>
      <c r="C76" s="30"/>
      <c r="D76" s="31">
        <f t="shared" si="3"/>
        <v>0</v>
      </c>
      <c r="E76" s="19"/>
      <c r="F76" s="34"/>
    </row>
    <row r="77" spans="2:6" x14ac:dyDescent="0.15">
      <c r="B77" s="4" t="s">
        <v>2</v>
      </c>
      <c r="C77" s="5">
        <f>SUM(C52:C76)</f>
        <v>18</v>
      </c>
      <c r="D77" s="6">
        <f t="shared" si="3"/>
        <v>18</v>
      </c>
    </row>
    <row r="78" spans="2:6" ht="14.25" thickBot="1" x14ac:dyDescent="0.2">
      <c r="B78" s="24" t="s">
        <v>3</v>
      </c>
      <c r="C78" s="25">
        <f>+C51-C77</f>
        <v>2</v>
      </c>
      <c r="D78" s="26">
        <f t="shared" si="3"/>
        <v>2</v>
      </c>
    </row>
    <row r="81" spans="2:5" ht="18.75" x14ac:dyDescent="0.2">
      <c r="B81" s="32" t="s">
        <v>7</v>
      </c>
    </row>
    <row r="82" spans="2:5" ht="14.25" thickBot="1" x14ac:dyDescent="0.2">
      <c r="B82" s="1">
        <v>2340</v>
      </c>
    </row>
    <row r="83" spans="2:5" ht="14.25" thickBot="1" x14ac:dyDescent="0.2">
      <c r="B83" s="7"/>
      <c r="C83" s="55"/>
      <c r="D83" s="56"/>
    </row>
    <row r="84" spans="2:5" ht="14.25" thickBot="1" x14ac:dyDescent="0.2">
      <c r="B84" s="8"/>
      <c r="C84" s="9"/>
      <c r="D84" s="10" t="s">
        <v>0</v>
      </c>
    </row>
    <row r="85" spans="2:5" x14ac:dyDescent="0.15">
      <c r="B85" s="20" t="s">
        <v>4</v>
      </c>
      <c r="C85" s="21">
        <f>C78</f>
        <v>2</v>
      </c>
      <c r="D85" s="22">
        <f t="shared" ref="D85" si="4">SUM(C85:C85)</f>
        <v>2</v>
      </c>
    </row>
    <row r="86" spans="2:5" x14ac:dyDescent="0.15">
      <c r="B86" s="37" t="s">
        <v>5</v>
      </c>
      <c r="C86" s="5">
        <v>5</v>
      </c>
      <c r="D86" s="18">
        <f>SUM(C86:C86)</f>
        <v>5</v>
      </c>
      <c r="E86" s="19">
        <v>44933</v>
      </c>
    </row>
    <row r="87" spans="2:5" x14ac:dyDescent="0.15">
      <c r="B87" s="37" t="s">
        <v>5</v>
      </c>
      <c r="C87" s="5">
        <v>10</v>
      </c>
      <c r="D87" s="18">
        <f>SUM(C87:C87)</f>
        <v>10</v>
      </c>
      <c r="E87" s="19">
        <v>44965</v>
      </c>
    </row>
    <row r="88" spans="2:5" x14ac:dyDescent="0.15">
      <c r="B88" s="37" t="s">
        <v>5</v>
      </c>
      <c r="C88" s="17">
        <v>10</v>
      </c>
      <c r="D88" s="18">
        <f>SUM(C88:C88)</f>
        <v>10</v>
      </c>
      <c r="E88" s="19">
        <v>45026</v>
      </c>
    </row>
    <row r="89" spans="2:5" x14ac:dyDescent="0.15">
      <c r="B89" s="37" t="s">
        <v>5</v>
      </c>
      <c r="C89" s="17">
        <v>8</v>
      </c>
      <c r="D89" s="18">
        <f>SUM(C89:C89)</f>
        <v>8</v>
      </c>
      <c r="E89" s="19">
        <v>45113</v>
      </c>
    </row>
    <row r="90" spans="2:5" ht="14.25" thickBot="1" x14ac:dyDescent="0.2">
      <c r="B90" s="37" t="s">
        <v>5</v>
      </c>
      <c r="C90" s="17"/>
      <c r="D90" s="18">
        <f>SUM(C90:C90)</f>
        <v>0</v>
      </c>
    </row>
    <row r="91" spans="2:5" ht="14.25" thickBot="1" x14ac:dyDescent="0.2">
      <c r="B91" s="8" t="s">
        <v>1</v>
      </c>
      <c r="C91" s="11">
        <f>SUM(C85:C90)</f>
        <v>35</v>
      </c>
      <c r="D91" s="12">
        <f t="shared" ref="D91:D118" si="5">SUM(C91:C91)</f>
        <v>35</v>
      </c>
    </row>
    <row r="92" spans="2:5" x14ac:dyDescent="0.15">
      <c r="B92" s="16" t="s">
        <v>10</v>
      </c>
      <c r="C92" s="2">
        <v>1</v>
      </c>
      <c r="D92" s="3">
        <f t="shared" ref="D92:D107" si="6">SUM(C92:C92)</f>
        <v>1</v>
      </c>
      <c r="E92" s="19">
        <v>44938</v>
      </c>
    </row>
    <row r="93" spans="2:5" x14ac:dyDescent="0.15">
      <c r="B93" s="16" t="s">
        <v>10</v>
      </c>
      <c r="C93" s="2">
        <v>1</v>
      </c>
      <c r="D93" s="3">
        <f t="shared" si="6"/>
        <v>1</v>
      </c>
      <c r="E93" s="19">
        <v>44943</v>
      </c>
    </row>
    <row r="94" spans="2:5" x14ac:dyDescent="0.15">
      <c r="B94" s="16" t="s">
        <v>10</v>
      </c>
      <c r="C94" s="2">
        <v>1</v>
      </c>
      <c r="D94" s="3">
        <f t="shared" si="6"/>
        <v>1</v>
      </c>
      <c r="E94" s="19">
        <v>44950</v>
      </c>
    </row>
    <row r="95" spans="2:5" x14ac:dyDescent="0.15">
      <c r="B95" s="16" t="s">
        <v>10</v>
      </c>
      <c r="C95" s="2">
        <v>1</v>
      </c>
      <c r="D95" s="3">
        <f t="shared" si="6"/>
        <v>1</v>
      </c>
      <c r="E95" s="19">
        <v>44951</v>
      </c>
    </row>
    <row r="96" spans="2:5" x14ac:dyDescent="0.15">
      <c r="B96" s="16" t="s">
        <v>10</v>
      </c>
      <c r="C96" s="2">
        <v>1</v>
      </c>
      <c r="D96" s="3">
        <f t="shared" si="6"/>
        <v>1</v>
      </c>
      <c r="E96" s="19">
        <v>44952</v>
      </c>
    </row>
    <row r="97" spans="2:5" x14ac:dyDescent="0.15">
      <c r="B97" s="16" t="s">
        <v>10</v>
      </c>
      <c r="C97" s="2">
        <v>1</v>
      </c>
      <c r="D97" s="3">
        <f t="shared" si="6"/>
        <v>1</v>
      </c>
      <c r="E97" s="19">
        <v>44963</v>
      </c>
    </row>
    <row r="98" spans="2:5" x14ac:dyDescent="0.15">
      <c r="B98" s="16" t="s">
        <v>10</v>
      </c>
      <c r="C98" s="2">
        <v>2</v>
      </c>
      <c r="D98" s="3">
        <f t="shared" si="6"/>
        <v>2</v>
      </c>
      <c r="E98" s="19">
        <v>44964</v>
      </c>
    </row>
    <row r="99" spans="2:5" x14ac:dyDescent="0.15">
      <c r="B99" s="16" t="s">
        <v>10</v>
      </c>
      <c r="C99" s="2">
        <v>1</v>
      </c>
      <c r="D99" s="3">
        <f t="shared" si="6"/>
        <v>1</v>
      </c>
      <c r="E99" s="19">
        <v>44971</v>
      </c>
    </row>
    <row r="100" spans="2:5" x14ac:dyDescent="0.15">
      <c r="B100" s="16" t="s">
        <v>10</v>
      </c>
      <c r="C100" s="2">
        <v>1</v>
      </c>
      <c r="D100" s="3">
        <f t="shared" si="6"/>
        <v>1</v>
      </c>
      <c r="E100" s="19">
        <v>44977</v>
      </c>
    </row>
    <row r="101" spans="2:5" x14ac:dyDescent="0.15">
      <c r="B101" s="16" t="s">
        <v>10</v>
      </c>
      <c r="C101" s="2">
        <v>1</v>
      </c>
      <c r="D101" s="3">
        <f t="shared" si="6"/>
        <v>1</v>
      </c>
      <c r="E101" s="19">
        <v>44981</v>
      </c>
    </row>
    <row r="102" spans="2:5" x14ac:dyDescent="0.15">
      <c r="B102" s="16" t="s">
        <v>10</v>
      </c>
      <c r="C102" s="2">
        <v>1</v>
      </c>
      <c r="D102" s="3">
        <f t="shared" si="6"/>
        <v>1</v>
      </c>
      <c r="E102" s="19">
        <v>44986</v>
      </c>
    </row>
    <row r="103" spans="2:5" x14ac:dyDescent="0.15">
      <c r="B103" s="16" t="s">
        <v>10</v>
      </c>
      <c r="C103" s="2">
        <v>1</v>
      </c>
      <c r="D103" s="3">
        <f t="shared" si="6"/>
        <v>1</v>
      </c>
      <c r="E103" s="19">
        <v>45012</v>
      </c>
    </row>
    <row r="104" spans="2:5" x14ac:dyDescent="0.15">
      <c r="B104" s="16" t="s">
        <v>10</v>
      </c>
      <c r="C104" s="2">
        <v>1</v>
      </c>
      <c r="D104" s="3">
        <f t="shared" si="6"/>
        <v>1</v>
      </c>
      <c r="E104" s="19">
        <v>45015</v>
      </c>
    </row>
    <row r="105" spans="2:5" x14ac:dyDescent="0.15">
      <c r="B105" s="16" t="s">
        <v>10</v>
      </c>
      <c r="C105" s="2">
        <v>1</v>
      </c>
      <c r="D105" s="3">
        <f t="shared" si="6"/>
        <v>1</v>
      </c>
      <c r="E105" s="19">
        <v>45016</v>
      </c>
    </row>
    <row r="106" spans="2:5" x14ac:dyDescent="0.15">
      <c r="B106" s="16" t="s">
        <v>10</v>
      </c>
      <c r="C106" s="2">
        <v>1</v>
      </c>
      <c r="D106" s="3">
        <f t="shared" si="6"/>
        <v>1</v>
      </c>
      <c r="E106" s="19">
        <v>45017</v>
      </c>
    </row>
    <row r="107" spans="2:5" x14ac:dyDescent="0.15">
      <c r="B107" s="16" t="s">
        <v>10</v>
      </c>
      <c r="C107" s="2">
        <v>1</v>
      </c>
      <c r="D107" s="3">
        <f t="shared" si="6"/>
        <v>1</v>
      </c>
      <c r="E107" s="19">
        <v>45040</v>
      </c>
    </row>
    <row r="108" spans="2:5" x14ac:dyDescent="0.15">
      <c r="B108" s="16" t="s">
        <v>10</v>
      </c>
      <c r="C108" s="2">
        <v>1</v>
      </c>
      <c r="D108" s="3">
        <f t="shared" si="5"/>
        <v>1</v>
      </c>
      <c r="E108" s="19">
        <v>45043</v>
      </c>
    </row>
    <row r="109" spans="2:5" x14ac:dyDescent="0.15">
      <c r="B109" s="16" t="s">
        <v>10</v>
      </c>
      <c r="C109" s="2">
        <v>1</v>
      </c>
      <c r="D109" s="3">
        <f t="shared" si="5"/>
        <v>1</v>
      </c>
      <c r="E109" s="19">
        <v>45061</v>
      </c>
    </row>
    <row r="110" spans="2:5" x14ac:dyDescent="0.15">
      <c r="B110" s="16" t="s">
        <v>10</v>
      </c>
      <c r="C110" s="2">
        <v>1</v>
      </c>
      <c r="D110" s="3">
        <f t="shared" si="5"/>
        <v>1</v>
      </c>
      <c r="E110" s="19">
        <v>45062</v>
      </c>
    </row>
    <row r="111" spans="2:5" x14ac:dyDescent="0.15">
      <c r="B111" s="16" t="s">
        <v>10</v>
      </c>
      <c r="C111" s="2">
        <v>1</v>
      </c>
      <c r="D111" s="3">
        <f t="shared" si="5"/>
        <v>1</v>
      </c>
      <c r="E111" s="19">
        <v>45082</v>
      </c>
    </row>
    <row r="112" spans="2:5" x14ac:dyDescent="0.15">
      <c r="B112" s="16" t="s">
        <v>10</v>
      </c>
      <c r="C112" s="2">
        <v>1</v>
      </c>
      <c r="D112" s="3">
        <f t="shared" si="5"/>
        <v>1</v>
      </c>
      <c r="E112" s="19">
        <v>45096</v>
      </c>
    </row>
    <row r="113" spans="2:5" x14ac:dyDescent="0.15">
      <c r="B113" s="16" t="s">
        <v>10</v>
      </c>
      <c r="C113" s="17">
        <f>1+1</f>
        <v>2</v>
      </c>
      <c r="D113" s="18">
        <f t="shared" si="5"/>
        <v>2</v>
      </c>
      <c r="E113" s="19">
        <v>45103</v>
      </c>
    </row>
    <row r="114" spans="2:5" x14ac:dyDescent="0.15">
      <c r="B114" s="16" t="s">
        <v>10</v>
      </c>
      <c r="C114" s="17">
        <v>1</v>
      </c>
      <c r="D114" s="18">
        <f t="shared" si="5"/>
        <v>1</v>
      </c>
      <c r="E114" s="19">
        <v>45104</v>
      </c>
    </row>
    <row r="115" spans="2:5" x14ac:dyDescent="0.15">
      <c r="B115" s="16" t="s">
        <v>10</v>
      </c>
      <c r="C115" s="17">
        <v>6</v>
      </c>
      <c r="D115" s="18">
        <f t="shared" si="5"/>
        <v>6</v>
      </c>
      <c r="E115" s="19">
        <v>45113</v>
      </c>
    </row>
    <row r="116" spans="2:5" ht="14.25" thickBot="1" x14ac:dyDescent="0.2">
      <c r="B116" s="40" t="s">
        <v>10</v>
      </c>
      <c r="C116" s="30">
        <v>1</v>
      </c>
      <c r="D116" s="31">
        <f t="shared" si="5"/>
        <v>1</v>
      </c>
      <c r="E116" s="19">
        <v>45119</v>
      </c>
    </row>
    <row r="117" spans="2:5" x14ac:dyDescent="0.15">
      <c r="B117" s="4" t="s">
        <v>2</v>
      </c>
      <c r="C117" s="5">
        <f>SUM(C92:C116)</f>
        <v>32</v>
      </c>
      <c r="D117" s="6">
        <f t="shared" si="5"/>
        <v>32</v>
      </c>
    </row>
    <row r="118" spans="2:5" ht="14.25" thickBot="1" x14ac:dyDescent="0.2">
      <c r="B118" s="24" t="s">
        <v>3</v>
      </c>
      <c r="C118" s="25">
        <f>+C91-C117</f>
        <v>3</v>
      </c>
      <c r="D118" s="26">
        <f t="shared" si="5"/>
        <v>3</v>
      </c>
    </row>
    <row r="121" spans="2:5" ht="18.75" x14ac:dyDescent="0.2">
      <c r="B121" s="32" t="s">
        <v>7</v>
      </c>
    </row>
    <row r="122" spans="2:5" ht="14.25" thickBot="1" x14ac:dyDescent="0.2">
      <c r="B122" s="1">
        <v>2340</v>
      </c>
    </row>
    <row r="123" spans="2:5" ht="14.25" thickBot="1" x14ac:dyDescent="0.2">
      <c r="B123" s="7"/>
      <c r="C123" s="55"/>
      <c r="D123" s="56"/>
    </row>
    <row r="124" spans="2:5" ht="14.25" thickBot="1" x14ac:dyDescent="0.2">
      <c r="B124" s="8"/>
      <c r="C124" s="9"/>
      <c r="D124" s="10" t="s">
        <v>0</v>
      </c>
    </row>
    <row r="125" spans="2:5" x14ac:dyDescent="0.15">
      <c r="B125" s="20" t="s">
        <v>4</v>
      </c>
      <c r="C125" s="21">
        <f>C118</f>
        <v>3</v>
      </c>
      <c r="D125" s="22">
        <f t="shared" ref="D125" si="7">SUM(C125:C125)</f>
        <v>3</v>
      </c>
    </row>
    <row r="126" spans="2:5" x14ac:dyDescent="0.15">
      <c r="B126" s="37" t="s">
        <v>5</v>
      </c>
      <c r="C126" s="5">
        <v>5</v>
      </c>
      <c r="D126" s="18">
        <f>SUM(C126:C126)</f>
        <v>5</v>
      </c>
      <c r="E126" s="19">
        <v>45140</v>
      </c>
    </row>
    <row r="127" spans="2:5" x14ac:dyDescent="0.15">
      <c r="B127" s="37" t="s">
        <v>14</v>
      </c>
      <c r="C127" s="5">
        <v>0</v>
      </c>
      <c r="D127" s="18">
        <f>SUM(C127:C127)</f>
        <v>0</v>
      </c>
      <c r="E127" s="19">
        <v>45140</v>
      </c>
    </row>
    <row r="128" spans="2:5" x14ac:dyDescent="0.15">
      <c r="B128" s="37" t="s">
        <v>5</v>
      </c>
      <c r="C128" s="17">
        <v>5</v>
      </c>
      <c r="D128" s="18">
        <f>SUM(C128:C128)</f>
        <v>5</v>
      </c>
      <c r="E128" s="19">
        <v>45181</v>
      </c>
    </row>
    <row r="129" spans="2:5" x14ac:dyDescent="0.15">
      <c r="B129" s="37" t="s">
        <v>5</v>
      </c>
      <c r="C129" s="17">
        <v>3</v>
      </c>
      <c r="D129" s="18">
        <f>SUM(C129:C129)</f>
        <v>3</v>
      </c>
      <c r="E129" s="19">
        <v>45188</v>
      </c>
    </row>
    <row r="130" spans="2:5" ht="14.25" thickBot="1" x14ac:dyDescent="0.2">
      <c r="B130" s="37" t="s">
        <v>5</v>
      </c>
      <c r="C130" s="17">
        <v>2</v>
      </c>
      <c r="D130" s="18">
        <f>SUM(C130:C130)</f>
        <v>2</v>
      </c>
      <c r="E130" s="19">
        <v>45205</v>
      </c>
    </row>
    <row r="131" spans="2:5" ht="14.25" thickBot="1" x14ac:dyDescent="0.2">
      <c r="B131" s="8" t="s">
        <v>1</v>
      </c>
      <c r="C131" s="11">
        <f>SUM(C125:C130)</f>
        <v>18</v>
      </c>
      <c r="D131" s="12">
        <f t="shared" ref="D131:D158" si="8">SUM(C131:C131)</f>
        <v>18</v>
      </c>
    </row>
    <row r="132" spans="2:5" x14ac:dyDescent="0.15">
      <c r="B132" s="16" t="s">
        <v>10</v>
      </c>
      <c r="C132" s="17">
        <v>2</v>
      </c>
      <c r="D132" s="18">
        <f t="shared" ref="D132:D154" si="9">SUM(C132:C132)</f>
        <v>2</v>
      </c>
      <c r="E132" s="19">
        <v>45120</v>
      </c>
    </row>
    <row r="133" spans="2:5" x14ac:dyDescent="0.15">
      <c r="B133" s="16" t="s">
        <v>10</v>
      </c>
      <c r="C133" s="17">
        <v>1</v>
      </c>
      <c r="D133" s="18">
        <f t="shared" si="9"/>
        <v>1</v>
      </c>
      <c r="E133" s="19">
        <v>45125</v>
      </c>
    </row>
    <row r="134" spans="2:5" x14ac:dyDescent="0.15">
      <c r="B134" s="16" t="s">
        <v>10</v>
      </c>
      <c r="C134" s="17">
        <v>2</v>
      </c>
      <c r="D134" s="18">
        <f t="shared" si="9"/>
        <v>2</v>
      </c>
      <c r="E134" s="19">
        <v>45145</v>
      </c>
    </row>
    <row r="135" spans="2:5" x14ac:dyDescent="0.15">
      <c r="B135" s="16" t="s">
        <v>10</v>
      </c>
      <c r="C135" s="17">
        <v>1</v>
      </c>
      <c r="D135" s="18">
        <f t="shared" si="9"/>
        <v>1</v>
      </c>
      <c r="E135" s="19">
        <v>45156</v>
      </c>
    </row>
    <row r="136" spans="2:5" x14ac:dyDescent="0.15">
      <c r="B136" s="16" t="s">
        <v>10</v>
      </c>
      <c r="C136" s="17">
        <v>1</v>
      </c>
      <c r="D136" s="18">
        <f t="shared" si="9"/>
        <v>1</v>
      </c>
      <c r="E136" s="19">
        <v>45168</v>
      </c>
    </row>
    <row r="137" spans="2:5" x14ac:dyDescent="0.15">
      <c r="B137" s="16" t="s">
        <v>10</v>
      </c>
      <c r="C137" s="17">
        <v>1</v>
      </c>
      <c r="D137" s="18">
        <f t="shared" si="9"/>
        <v>1</v>
      </c>
      <c r="E137" s="19">
        <v>45174</v>
      </c>
    </row>
    <row r="138" spans="2:5" x14ac:dyDescent="0.15">
      <c r="B138" s="16" t="s">
        <v>10</v>
      </c>
      <c r="C138" s="17">
        <v>1</v>
      </c>
      <c r="D138" s="18">
        <f t="shared" si="9"/>
        <v>1</v>
      </c>
      <c r="E138" s="19">
        <v>45181</v>
      </c>
    </row>
    <row r="139" spans="2:5" x14ac:dyDescent="0.15">
      <c r="B139" s="16" t="s">
        <v>10</v>
      </c>
      <c r="C139" s="17">
        <v>1</v>
      </c>
      <c r="D139" s="18">
        <f t="shared" si="9"/>
        <v>1</v>
      </c>
      <c r="E139" s="19">
        <v>45182</v>
      </c>
    </row>
    <row r="140" spans="2:5" x14ac:dyDescent="0.15">
      <c r="B140" s="16" t="s">
        <v>10</v>
      </c>
      <c r="C140" s="17">
        <v>1</v>
      </c>
      <c r="D140" s="18">
        <f t="shared" si="9"/>
        <v>1</v>
      </c>
      <c r="E140" s="19">
        <v>45229</v>
      </c>
    </row>
    <row r="141" spans="2:5" x14ac:dyDescent="0.15">
      <c r="B141" s="16" t="s">
        <v>10</v>
      </c>
      <c r="C141" s="17">
        <v>1</v>
      </c>
      <c r="D141" s="18">
        <f t="shared" si="9"/>
        <v>1</v>
      </c>
      <c r="E141" s="19">
        <v>45234</v>
      </c>
    </row>
    <row r="142" spans="2:5" x14ac:dyDescent="0.15">
      <c r="B142" s="16" t="s">
        <v>10</v>
      </c>
      <c r="C142" s="17">
        <v>2</v>
      </c>
      <c r="D142" s="18">
        <f t="shared" si="9"/>
        <v>2</v>
      </c>
      <c r="E142" s="19">
        <v>45246</v>
      </c>
    </row>
    <row r="143" spans="2:5" x14ac:dyDescent="0.15">
      <c r="B143" s="16" t="s">
        <v>10</v>
      </c>
      <c r="C143" s="17">
        <v>1</v>
      </c>
      <c r="D143" s="18">
        <f t="shared" si="9"/>
        <v>1</v>
      </c>
      <c r="E143" s="19">
        <v>45252</v>
      </c>
    </row>
    <row r="144" spans="2:5" x14ac:dyDescent="0.15">
      <c r="B144" s="16" t="s">
        <v>10</v>
      </c>
      <c r="C144" s="17">
        <v>1</v>
      </c>
      <c r="D144" s="18">
        <f t="shared" si="9"/>
        <v>1</v>
      </c>
      <c r="E144" s="19">
        <v>45265</v>
      </c>
    </row>
    <row r="145" spans="2:5" x14ac:dyDescent="0.15">
      <c r="B145" s="16" t="s">
        <v>10</v>
      </c>
      <c r="C145" s="17">
        <v>1</v>
      </c>
      <c r="D145" s="18">
        <f t="shared" si="9"/>
        <v>1</v>
      </c>
      <c r="E145" s="19">
        <v>45271</v>
      </c>
    </row>
    <row r="146" spans="2:5" x14ac:dyDescent="0.15">
      <c r="B146" s="16" t="s">
        <v>10</v>
      </c>
      <c r="C146" s="17">
        <v>1</v>
      </c>
      <c r="D146" s="18">
        <f t="shared" si="9"/>
        <v>1</v>
      </c>
      <c r="E146" s="19">
        <v>45281</v>
      </c>
    </row>
    <row r="147" spans="2:5" x14ac:dyDescent="0.15">
      <c r="B147" s="33"/>
      <c r="C147" s="17"/>
      <c r="D147" s="18">
        <f t="shared" si="9"/>
        <v>0</v>
      </c>
    </row>
    <row r="148" spans="2:5" x14ac:dyDescent="0.15">
      <c r="B148" s="33"/>
      <c r="C148" s="17"/>
      <c r="D148" s="18">
        <f t="shared" si="9"/>
        <v>0</v>
      </c>
    </row>
    <row r="149" spans="2:5" x14ac:dyDescent="0.15">
      <c r="B149" s="33"/>
      <c r="C149" s="17"/>
      <c r="D149" s="18">
        <f t="shared" si="9"/>
        <v>0</v>
      </c>
    </row>
    <row r="150" spans="2:5" x14ac:dyDescent="0.15">
      <c r="B150" s="33"/>
      <c r="C150" s="17"/>
      <c r="D150" s="18">
        <f t="shared" si="9"/>
        <v>0</v>
      </c>
    </row>
    <row r="151" spans="2:5" x14ac:dyDescent="0.15">
      <c r="B151" s="33"/>
      <c r="C151" s="17"/>
      <c r="D151" s="18">
        <f t="shared" si="9"/>
        <v>0</v>
      </c>
    </row>
    <row r="152" spans="2:5" x14ac:dyDescent="0.15">
      <c r="B152" s="33"/>
      <c r="C152" s="17"/>
      <c r="D152" s="18">
        <f t="shared" si="9"/>
        <v>0</v>
      </c>
    </row>
    <row r="153" spans="2:5" x14ac:dyDescent="0.15">
      <c r="B153" s="33"/>
      <c r="C153" s="17"/>
      <c r="D153" s="18">
        <f t="shared" si="9"/>
        <v>0</v>
      </c>
    </row>
    <row r="154" spans="2:5" x14ac:dyDescent="0.15">
      <c r="B154" s="33"/>
      <c r="C154" s="17"/>
      <c r="D154" s="18">
        <f t="shared" si="9"/>
        <v>0</v>
      </c>
    </row>
    <row r="155" spans="2:5" x14ac:dyDescent="0.15">
      <c r="B155" s="33"/>
      <c r="C155" s="17"/>
      <c r="D155" s="18">
        <f t="shared" si="8"/>
        <v>0</v>
      </c>
    </row>
    <row r="156" spans="2:5" ht="14.25" thickBot="1" x14ac:dyDescent="0.2">
      <c r="B156" s="36"/>
      <c r="C156" s="30"/>
      <c r="D156" s="31">
        <f t="shared" si="8"/>
        <v>0</v>
      </c>
    </row>
    <row r="157" spans="2:5" x14ac:dyDescent="0.15">
      <c r="B157" s="4" t="s">
        <v>2</v>
      </c>
      <c r="C157" s="5">
        <f>SUM(C132:C156)</f>
        <v>18</v>
      </c>
      <c r="D157" s="6">
        <f t="shared" si="8"/>
        <v>18</v>
      </c>
    </row>
    <row r="158" spans="2:5" ht="14.25" thickBot="1" x14ac:dyDescent="0.2">
      <c r="B158" s="24" t="s">
        <v>3</v>
      </c>
      <c r="C158" s="25">
        <f>+C131-C157</f>
        <v>0</v>
      </c>
      <c r="D158" s="26">
        <f t="shared" si="8"/>
        <v>0</v>
      </c>
    </row>
    <row r="161" spans="2:5" ht="18.75" x14ac:dyDescent="0.2">
      <c r="B161" s="32" t="s">
        <v>7</v>
      </c>
    </row>
    <row r="162" spans="2:5" ht="14.25" thickBot="1" x14ac:dyDescent="0.2">
      <c r="B162" s="1">
        <v>2340</v>
      </c>
    </row>
    <row r="163" spans="2:5" ht="14.25" thickBot="1" x14ac:dyDescent="0.2">
      <c r="B163" s="7"/>
      <c r="C163" s="55"/>
      <c r="D163" s="56"/>
    </row>
    <row r="164" spans="2:5" ht="14.25" thickBot="1" x14ac:dyDescent="0.2">
      <c r="B164" s="8"/>
      <c r="C164" s="9"/>
      <c r="D164" s="10" t="s">
        <v>0</v>
      </c>
    </row>
    <row r="165" spans="2:5" x14ac:dyDescent="0.15">
      <c r="B165" s="20" t="s">
        <v>4</v>
      </c>
      <c r="C165" s="21">
        <f>C158</f>
        <v>0</v>
      </c>
      <c r="D165" s="22">
        <f t="shared" ref="D165" si="10">SUM(C165:C165)</f>
        <v>0</v>
      </c>
    </row>
    <row r="166" spans="2:5" x14ac:dyDescent="0.15">
      <c r="B166" s="37" t="s">
        <v>5</v>
      </c>
      <c r="C166" s="5">
        <v>5</v>
      </c>
      <c r="D166" s="18">
        <f>SUM(C166:C166)</f>
        <v>5</v>
      </c>
      <c r="E166" s="19">
        <v>44931</v>
      </c>
    </row>
    <row r="167" spans="2:5" x14ac:dyDescent="0.15">
      <c r="B167" s="37" t="s">
        <v>5</v>
      </c>
      <c r="C167" s="5">
        <v>5</v>
      </c>
      <c r="D167" s="18">
        <f>SUM(C167:C167)</f>
        <v>5</v>
      </c>
      <c r="E167" s="19">
        <v>45308</v>
      </c>
    </row>
    <row r="168" spans="2:5" x14ac:dyDescent="0.15">
      <c r="B168" s="37" t="s">
        <v>5</v>
      </c>
      <c r="C168" s="17">
        <v>10</v>
      </c>
      <c r="D168" s="18">
        <f>SUM(C168:C168)</f>
        <v>10</v>
      </c>
      <c r="E168" s="19">
        <v>45344</v>
      </c>
    </row>
    <row r="169" spans="2:5" x14ac:dyDescent="0.15">
      <c r="B169" s="37" t="s">
        <v>5</v>
      </c>
      <c r="C169" s="17">
        <v>5</v>
      </c>
      <c r="D169" s="18">
        <f>SUM(C169:C169)</f>
        <v>5</v>
      </c>
      <c r="E169" s="19">
        <v>45392</v>
      </c>
    </row>
    <row r="170" spans="2:5" ht="14.25" thickBot="1" x14ac:dyDescent="0.2">
      <c r="B170" s="37" t="s">
        <v>5</v>
      </c>
      <c r="C170" s="17">
        <v>10</v>
      </c>
      <c r="D170" s="18">
        <f>SUM(C170:C170)</f>
        <v>10</v>
      </c>
      <c r="E170" s="19">
        <v>45447</v>
      </c>
    </row>
    <row r="171" spans="2:5" ht="14.25" thickBot="1" x14ac:dyDescent="0.2">
      <c r="B171" s="45" t="s">
        <v>5</v>
      </c>
      <c r="C171" s="11">
        <f>SUM(C165:C170)</f>
        <v>35</v>
      </c>
      <c r="D171" s="12">
        <f t="shared" ref="D171:D198" si="11">SUM(C171:C171)</f>
        <v>35</v>
      </c>
    </row>
    <row r="172" spans="2:5" x14ac:dyDescent="0.15">
      <c r="B172" s="16" t="s">
        <v>10</v>
      </c>
      <c r="C172" s="17">
        <v>1</v>
      </c>
      <c r="D172" s="18">
        <f t="shared" ref="D172:D186" si="12">SUM(C172:C172)</f>
        <v>1</v>
      </c>
      <c r="E172" s="19">
        <v>45288</v>
      </c>
    </row>
    <row r="173" spans="2:5" x14ac:dyDescent="0.15">
      <c r="B173" s="16" t="s">
        <v>10</v>
      </c>
      <c r="C173" s="17">
        <v>1</v>
      </c>
      <c r="D173" s="18">
        <f t="shared" si="12"/>
        <v>1</v>
      </c>
      <c r="E173" s="19">
        <v>45296</v>
      </c>
    </row>
    <row r="174" spans="2:5" x14ac:dyDescent="0.15">
      <c r="B174" s="16" t="s">
        <v>10</v>
      </c>
      <c r="C174" s="17">
        <v>2</v>
      </c>
      <c r="D174" s="18">
        <f t="shared" si="12"/>
        <v>2</v>
      </c>
      <c r="E174" s="19">
        <v>45301</v>
      </c>
    </row>
    <row r="175" spans="2:5" x14ac:dyDescent="0.15">
      <c r="B175" s="16" t="s">
        <v>10</v>
      </c>
      <c r="C175" s="17">
        <v>1</v>
      </c>
      <c r="D175" s="18">
        <f t="shared" si="12"/>
        <v>1</v>
      </c>
      <c r="E175" s="19">
        <v>45306</v>
      </c>
    </row>
    <row r="176" spans="2:5" x14ac:dyDescent="0.15">
      <c r="B176" s="16" t="s">
        <v>10</v>
      </c>
      <c r="C176" s="17">
        <v>1</v>
      </c>
      <c r="D176" s="18">
        <f t="shared" si="12"/>
        <v>1</v>
      </c>
      <c r="E176" s="19">
        <v>45308</v>
      </c>
    </row>
    <row r="177" spans="2:5" x14ac:dyDescent="0.15">
      <c r="B177" s="16" t="s">
        <v>10</v>
      </c>
      <c r="C177" s="17">
        <v>2</v>
      </c>
      <c r="D177" s="18">
        <f t="shared" si="12"/>
        <v>2</v>
      </c>
      <c r="E177" s="19">
        <v>45323</v>
      </c>
    </row>
    <row r="178" spans="2:5" x14ac:dyDescent="0.15">
      <c r="B178" s="16" t="s">
        <v>10</v>
      </c>
      <c r="C178" s="17">
        <v>1</v>
      </c>
      <c r="D178" s="18">
        <f t="shared" si="12"/>
        <v>1</v>
      </c>
      <c r="E178" s="19">
        <v>45338</v>
      </c>
    </row>
    <row r="179" spans="2:5" x14ac:dyDescent="0.15">
      <c r="B179" s="16" t="s">
        <v>10</v>
      </c>
      <c r="C179" s="17">
        <v>1</v>
      </c>
      <c r="D179" s="18">
        <f t="shared" si="12"/>
        <v>1</v>
      </c>
      <c r="E179" s="19">
        <v>45342</v>
      </c>
    </row>
    <row r="180" spans="2:5" x14ac:dyDescent="0.15">
      <c r="B180" s="16" t="s">
        <v>10</v>
      </c>
      <c r="C180" s="17">
        <v>1</v>
      </c>
      <c r="D180" s="18">
        <f t="shared" si="12"/>
        <v>1</v>
      </c>
      <c r="E180" s="19">
        <v>45344</v>
      </c>
    </row>
    <row r="181" spans="2:5" x14ac:dyDescent="0.15">
      <c r="B181" s="16" t="s">
        <v>10</v>
      </c>
      <c r="C181" s="17">
        <v>2</v>
      </c>
      <c r="D181" s="18">
        <f t="shared" si="12"/>
        <v>2</v>
      </c>
      <c r="E181" s="19">
        <v>45348</v>
      </c>
    </row>
    <row r="182" spans="2:5" x14ac:dyDescent="0.15">
      <c r="B182" s="16" t="s">
        <v>10</v>
      </c>
      <c r="C182" s="17">
        <v>1</v>
      </c>
      <c r="D182" s="18">
        <f t="shared" si="12"/>
        <v>1</v>
      </c>
      <c r="E182" s="19">
        <v>45362</v>
      </c>
    </row>
    <row r="183" spans="2:5" x14ac:dyDescent="0.15">
      <c r="B183" s="16" t="s">
        <v>10</v>
      </c>
      <c r="C183" s="17">
        <v>1</v>
      </c>
      <c r="D183" s="18">
        <f t="shared" si="12"/>
        <v>1</v>
      </c>
      <c r="E183" s="19">
        <v>45363</v>
      </c>
    </row>
    <row r="184" spans="2:5" x14ac:dyDescent="0.15">
      <c r="B184" s="16" t="s">
        <v>10</v>
      </c>
      <c r="C184" s="17">
        <v>1</v>
      </c>
      <c r="D184" s="18">
        <f t="shared" si="12"/>
        <v>1</v>
      </c>
      <c r="E184" s="19">
        <v>45379</v>
      </c>
    </row>
    <row r="185" spans="2:5" x14ac:dyDescent="0.15">
      <c r="B185" s="16" t="s">
        <v>10</v>
      </c>
      <c r="C185" s="17">
        <v>1</v>
      </c>
      <c r="D185" s="18">
        <f t="shared" si="12"/>
        <v>1</v>
      </c>
      <c r="E185" s="19">
        <v>45380</v>
      </c>
    </row>
    <row r="186" spans="2:5" x14ac:dyDescent="0.15">
      <c r="B186" s="16" t="s">
        <v>10</v>
      </c>
      <c r="C186" s="17">
        <v>1</v>
      </c>
      <c r="D186" s="18">
        <f t="shared" si="12"/>
        <v>1</v>
      </c>
      <c r="E186" s="19">
        <v>45388</v>
      </c>
    </row>
    <row r="187" spans="2:5" x14ac:dyDescent="0.15">
      <c r="B187" s="16" t="s">
        <v>10</v>
      </c>
      <c r="C187" s="17">
        <v>1</v>
      </c>
      <c r="D187" s="18">
        <f t="shared" si="11"/>
        <v>1</v>
      </c>
      <c r="E187" s="19">
        <v>45400</v>
      </c>
    </row>
    <row r="188" spans="2:5" x14ac:dyDescent="0.15">
      <c r="B188" s="16" t="s">
        <v>10</v>
      </c>
      <c r="C188" s="17">
        <v>1</v>
      </c>
      <c r="D188" s="18">
        <f t="shared" si="11"/>
        <v>1</v>
      </c>
      <c r="E188" s="19">
        <v>45401</v>
      </c>
    </row>
    <row r="189" spans="2:5" x14ac:dyDescent="0.15">
      <c r="B189" s="16" t="s">
        <v>10</v>
      </c>
      <c r="C189" s="17">
        <v>1</v>
      </c>
      <c r="D189" s="18">
        <f t="shared" si="11"/>
        <v>1</v>
      </c>
      <c r="E189" s="19">
        <v>45408</v>
      </c>
    </row>
    <row r="190" spans="2:5" x14ac:dyDescent="0.15">
      <c r="B190" s="16" t="s">
        <v>10</v>
      </c>
      <c r="C190" s="17">
        <v>1</v>
      </c>
      <c r="D190" s="18">
        <f t="shared" si="11"/>
        <v>1</v>
      </c>
      <c r="E190" s="19">
        <v>45435</v>
      </c>
    </row>
    <row r="191" spans="2:5" x14ac:dyDescent="0.15">
      <c r="B191" s="16" t="s">
        <v>10</v>
      </c>
      <c r="C191" s="17">
        <v>1</v>
      </c>
      <c r="D191" s="18">
        <f t="shared" si="11"/>
        <v>1</v>
      </c>
      <c r="E191" s="19">
        <v>45436</v>
      </c>
    </row>
    <row r="192" spans="2:5" x14ac:dyDescent="0.15">
      <c r="B192" s="16" t="s">
        <v>10</v>
      </c>
      <c r="C192" s="17">
        <v>1</v>
      </c>
      <c r="D192" s="18">
        <f t="shared" si="11"/>
        <v>1</v>
      </c>
      <c r="E192" s="19">
        <v>45439</v>
      </c>
    </row>
    <row r="193" spans="2:5" x14ac:dyDescent="0.15">
      <c r="B193" s="16" t="s">
        <v>10</v>
      </c>
      <c r="C193" s="17">
        <v>1</v>
      </c>
      <c r="D193" s="18">
        <f t="shared" si="11"/>
        <v>1</v>
      </c>
      <c r="E193" s="19">
        <v>45443</v>
      </c>
    </row>
    <row r="194" spans="2:5" x14ac:dyDescent="0.15">
      <c r="B194" s="16" t="s">
        <v>10</v>
      </c>
      <c r="C194" s="17">
        <v>1</v>
      </c>
      <c r="D194" s="18">
        <f t="shared" si="11"/>
        <v>1</v>
      </c>
      <c r="E194" s="19">
        <v>45447</v>
      </c>
    </row>
    <row r="195" spans="2:5" x14ac:dyDescent="0.15">
      <c r="B195" s="16" t="s">
        <v>10</v>
      </c>
      <c r="C195" s="17">
        <v>1</v>
      </c>
      <c r="D195" s="18">
        <f t="shared" si="11"/>
        <v>1</v>
      </c>
      <c r="E195" s="19">
        <v>45450</v>
      </c>
    </row>
    <row r="196" spans="2:5" ht="14.25" thickBot="1" x14ac:dyDescent="0.2">
      <c r="B196" s="16" t="s">
        <v>10</v>
      </c>
      <c r="C196" s="30">
        <v>2</v>
      </c>
      <c r="D196" s="31">
        <f t="shared" si="11"/>
        <v>2</v>
      </c>
      <c r="E196" s="19">
        <v>45552</v>
      </c>
    </row>
    <row r="197" spans="2:5" x14ac:dyDescent="0.15">
      <c r="B197" s="4" t="s">
        <v>2</v>
      </c>
      <c r="C197" s="5">
        <f>SUM(C172:C196)</f>
        <v>29</v>
      </c>
      <c r="D197" s="6">
        <f t="shared" si="11"/>
        <v>29</v>
      </c>
    </row>
    <row r="198" spans="2:5" ht="14.25" thickBot="1" x14ac:dyDescent="0.2">
      <c r="B198" s="24" t="s">
        <v>3</v>
      </c>
      <c r="C198" s="25">
        <f>+C171-C197</f>
        <v>6</v>
      </c>
      <c r="D198" s="26">
        <f t="shared" si="11"/>
        <v>6</v>
      </c>
    </row>
    <row r="201" spans="2:5" ht="18.75" x14ac:dyDescent="0.2">
      <c r="B201" s="32" t="s">
        <v>7</v>
      </c>
    </row>
    <row r="202" spans="2:5" ht="14.25" thickBot="1" x14ac:dyDescent="0.2">
      <c r="B202" s="1">
        <v>2340</v>
      </c>
    </row>
    <row r="203" spans="2:5" ht="14.25" thickBot="1" x14ac:dyDescent="0.2">
      <c r="B203" s="7"/>
      <c r="C203" s="55"/>
      <c r="D203" s="56"/>
    </row>
    <row r="204" spans="2:5" ht="14.25" thickBot="1" x14ac:dyDescent="0.2">
      <c r="B204" s="8"/>
      <c r="C204" s="9"/>
      <c r="D204" s="10" t="s">
        <v>0</v>
      </c>
    </row>
    <row r="205" spans="2:5" x14ac:dyDescent="0.15">
      <c r="B205" s="20" t="s">
        <v>4</v>
      </c>
      <c r="C205" s="21">
        <f>C198</f>
        <v>6</v>
      </c>
      <c r="D205" s="22">
        <f t="shared" ref="D205" si="13">SUM(C205:C205)</f>
        <v>6</v>
      </c>
    </row>
    <row r="206" spans="2:5" x14ac:dyDescent="0.15">
      <c r="B206" s="37" t="s">
        <v>5</v>
      </c>
      <c r="C206" s="5">
        <v>2</v>
      </c>
      <c r="D206" s="18">
        <f>SUM(C206:C206)</f>
        <v>2</v>
      </c>
      <c r="E206" s="19">
        <v>45464</v>
      </c>
    </row>
    <row r="207" spans="2:5" x14ac:dyDescent="0.15">
      <c r="B207" s="37" t="s">
        <v>5</v>
      </c>
      <c r="C207" s="5">
        <v>10</v>
      </c>
      <c r="D207" s="18">
        <f t="shared" ref="D207:D210" si="14">SUM(C207:C207)</f>
        <v>10</v>
      </c>
      <c r="E207" s="19">
        <v>45476</v>
      </c>
    </row>
    <row r="208" spans="2:5" x14ac:dyDescent="0.15">
      <c r="B208" s="37" t="s">
        <v>5</v>
      </c>
      <c r="C208" s="5">
        <v>10</v>
      </c>
      <c r="D208" s="18">
        <f t="shared" si="14"/>
        <v>10</v>
      </c>
      <c r="E208" s="19">
        <v>45512</v>
      </c>
    </row>
    <row r="209" spans="2:5" x14ac:dyDescent="0.15">
      <c r="B209" s="37" t="s">
        <v>14</v>
      </c>
      <c r="C209" s="5">
        <v>0</v>
      </c>
      <c r="D209" s="18">
        <f t="shared" si="14"/>
        <v>0</v>
      </c>
      <c r="E209" s="19">
        <v>45530</v>
      </c>
    </row>
    <row r="210" spans="2:5" ht="14.25" thickBot="1" x14ac:dyDescent="0.2">
      <c r="B210" s="37" t="s">
        <v>5</v>
      </c>
      <c r="C210" s="5">
        <v>10</v>
      </c>
      <c r="D210" s="18">
        <f t="shared" si="14"/>
        <v>10</v>
      </c>
      <c r="E210" s="19">
        <v>45547</v>
      </c>
    </row>
    <row r="211" spans="2:5" ht="14.25" thickBot="1" x14ac:dyDescent="0.2">
      <c r="B211" s="45" t="s">
        <v>5</v>
      </c>
      <c r="C211" s="11">
        <f>SUM(C205:C210)</f>
        <v>38</v>
      </c>
      <c r="D211" s="12">
        <f t="shared" ref="D211:D238" si="15">SUM(C211:C211)</f>
        <v>38</v>
      </c>
    </row>
    <row r="212" spans="2:5" x14ac:dyDescent="0.15">
      <c r="B212" s="16" t="s">
        <v>10</v>
      </c>
      <c r="C212" s="17">
        <v>1</v>
      </c>
      <c r="D212" s="18">
        <f t="shared" ref="D212:D233" si="16">SUM(C212:C212)</f>
        <v>1</v>
      </c>
      <c r="E212" s="19">
        <v>45455</v>
      </c>
    </row>
    <row r="213" spans="2:5" x14ac:dyDescent="0.15">
      <c r="B213" s="16" t="s">
        <v>10</v>
      </c>
      <c r="C213" s="17">
        <v>1</v>
      </c>
      <c r="D213" s="18">
        <f t="shared" si="16"/>
        <v>1</v>
      </c>
      <c r="E213" s="19">
        <v>45460</v>
      </c>
    </row>
    <row r="214" spans="2:5" x14ac:dyDescent="0.15">
      <c r="B214" s="16" t="s">
        <v>10</v>
      </c>
      <c r="C214" s="17">
        <v>1</v>
      </c>
      <c r="D214" s="18">
        <f t="shared" si="16"/>
        <v>1</v>
      </c>
      <c r="E214" s="19">
        <v>45463</v>
      </c>
    </row>
    <row r="215" spans="2:5" x14ac:dyDescent="0.15">
      <c r="B215" s="16" t="s">
        <v>10</v>
      </c>
      <c r="C215" s="17">
        <f>2+1</f>
        <v>3</v>
      </c>
      <c r="D215" s="18">
        <f t="shared" si="16"/>
        <v>3</v>
      </c>
      <c r="E215" s="19">
        <v>45469</v>
      </c>
    </row>
    <row r="216" spans="2:5" x14ac:dyDescent="0.15">
      <c r="B216" s="16" t="s">
        <v>10</v>
      </c>
      <c r="C216" s="17">
        <v>1</v>
      </c>
      <c r="D216" s="18">
        <f t="shared" si="16"/>
        <v>1</v>
      </c>
      <c r="E216" s="19">
        <v>45470</v>
      </c>
    </row>
    <row r="217" spans="2:5" x14ac:dyDescent="0.15">
      <c r="B217" s="16" t="s">
        <v>10</v>
      </c>
      <c r="C217" s="17">
        <v>1</v>
      </c>
      <c r="D217" s="18">
        <f t="shared" si="16"/>
        <v>1</v>
      </c>
      <c r="E217" s="19">
        <v>45483</v>
      </c>
    </row>
    <row r="218" spans="2:5" x14ac:dyDescent="0.15">
      <c r="B218" s="16" t="s">
        <v>10</v>
      </c>
      <c r="C218" s="17">
        <v>1</v>
      </c>
      <c r="D218" s="18">
        <f t="shared" si="16"/>
        <v>1</v>
      </c>
      <c r="E218" s="19">
        <v>45485</v>
      </c>
    </row>
    <row r="219" spans="2:5" x14ac:dyDescent="0.15">
      <c r="B219" s="16" t="s">
        <v>10</v>
      </c>
      <c r="C219" s="17">
        <f>1+1+2</f>
        <v>4</v>
      </c>
      <c r="D219" s="18">
        <f t="shared" si="16"/>
        <v>4</v>
      </c>
      <c r="E219" s="19">
        <v>45489</v>
      </c>
    </row>
    <row r="220" spans="2:5" x14ac:dyDescent="0.15">
      <c r="B220" s="16" t="s">
        <v>10</v>
      </c>
      <c r="C220" s="17">
        <v>1</v>
      </c>
      <c r="D220" s="18">
        <f t="shared" si="16"/>
        <v>1</v>
      </c>
      <c r="E220" s="19">
        <v>45495</v>
      </c>
    </row>
    <row r="221" spans="2:5" x14ac:dyDescent="0.15">
      <c r="B221" s="16" t="s">
        <v>10</v>
      </c>
      <c r="C221" s="17">
        <v>1</v>
      </c>
      <c r="D221" s="18">
        <f t="shared" si="16"/>
        <v>1</v>
      </c>
      <c r="E221" s="19">
        <v>45502</v>
      </c>
    </row>
    <row r="222" spans="2:5" x14ac:dyDescent="0.15">
      <c r="B222" s="16" t="s">
        <v>10</v>
      </c>
      <c r="C222" s="17">
        <v>1</v>
      </c>
      <c r="D222" s="18">
        <f t="shared" si="16"/>
        <v>1</v>
      </c>
      <c r="E222" s="19">
        <v>45504</v>
      </c>
    </row>
    <row r="223" spans="2:5" x14ac:dyDescent="0.15">
      <c r="B223" s="16" t="s">
        <v>10</v>
      </c>
      <c r="C223" s="17">
        <v>1</v>
      </c>
      <c r="D223" s="18">
        <f t="shared" si="16"/>
        <v>1</v>
      </c>
      <c r="E223" s="19">
        <v>45509</v>
      </c>
    </row>
    <row r="224" spans="2:5" x14ac:dyDescent="0.15">
      <c r="B224" s="16" t="s">
        <v>10</v>
      </c>
      <c r="C224" s="17">
        <v>1</v>
      </c>
      <c r="D224" s="18">
        <f t="shared" si="16"/>
        <v>1</v>
      </c>
      <c r="E224" s="19">
        <v>45511</v>
      </c>
    </row>
    <row r="225" spans="2:5" x14ac:dyDescent="0.15">
      <c r="B225" s="16" t="s">
        <v>10</v>
      </c>
      <c r="C225" s="17">
        <v>1</v>
      </c>
      <c r="D225" s="18">
        <f t="shared" si="16"/>
        <v>1</v>
      </c>
      <c r="E225" s="19">
        <v>45520</v>
      </c>
    </row>
    <row r="226" spans="2:5" x14ac:dyDescent="0.15">
      <c r="B226" s="16" t="s">
        <v>10</v>
      </c>
      <c r="C226" s="17">
        <v>1</v>
      </c>
      <c r="D226" s="18">
        <f t="shared" si="16"/>
        <v>1</v>
      </c>
      <c r="E226" s="19">
        <v>45526</v>
      </c>
    </row>
    <row r="227" spans="2:5" x14ac:dyDescent="0.15">
      <c r="B227" s="16" t="s">
        <v>10</v>
      </c>
      <c r="C227" s="17">
        <v>1</v>
      </c>
      <c r="D227" s="18">
        <f t="shared" si="16"/>
        <v>1</v>
      </c>
      <c r="E227" s="19">
        <v>45527</v>
      </c>
    </row>
    <row r="228" spans="2:5" x14ac:dyDescent="0.15">
      <c r="B228" s="16" t="s">
        <v>10</v>
      </c>
      <c r="C228" s="17">
        <v>2</v>
      </c>
      <c r="D228" s="18">
        <f t="shared" si="16"/>
        <v>2</v>
      </c>
      <c r="E228" s="19">
        <v>45530</v>
      </c>
    </row>
    <row r="229" spans="2:5" x14ac:dyDescent="0.15">
      <c r="B229" s="16" t="s">
        <v>10</v>
      </c>
      <c r="C229" s="17">
        <v>1</v>
      </c>
      <c r="D229" s="18">
        <f t="shared" si="16"/>
        <v>1</v>
      </c>
      <c r="E229" s="19">
        <v>45540</v>
      </c>
    </row>
    <row r="230" spans="2:5" x14ac:dyDescent="0.15">
      <c r="B230" s="16" t="s">
        <v>10</v>
      </c>
      <c r="C230" s="17">
        <v>2</v>
      </c>
      <c r="D230" s="18">
        <f t="shared" si="16"/>
        <v>2</v>
      </c>
      <c r="E230" s="19">
        <v>45541</v>
      </c>
    </row>
    <row r="231" spans="2:5" x14ac:dyDescent="0.15">
      <c r="B231" s="16" t="s">
        <v>10</v>
      </c>
      <c r="C231" s="17">
        <v>2</v>
      </c>
      <c r="D231" s="18">
        <f t="shared" si="16"/>
        <v>2</v>
      </c>
      <c r="E231" s="19">
        <v>45544</v>
      </c>
    </row>
    <row r="232" spans="2:5" x14ac:dyDescent="0.15">
      <c r="B232" s="16" t="s">
        <v>10</v>
      </c>
      <c r="C232" s="17">
        <v>4</v>
      </c>
      <c r="D232" s="18">
        <f t="shared" si="16"/>
        <v>4</v>
      </c>
      <c r="E232" s="19">
        <v>45547</v>
      </c>
    </row>
    <row r="233" spans="2:5" x14ac:dyDescent="0.15">
      <c r="B233" s="16" t="s">
        <v>10</v>
      </c>
      <c r="C233" s="17">
        <v>1</v>
      </c>
      <c r="D233" s="18">
        <f t="shared" si="16"/>
        <v>1</v>
      </c>
      <c r="E233" s="19">
        <v>45536</v>
      </c>
    </row>
    <row r="234" spans="2:5" x14ac:dyDescent="0.15">
      <c r="B234" s="16" t="s">
        <v>10</v>
      </c>
      <c r="C234" s="17">
        <v>1</v>
      </c>
      <c r="D234" s="18">
        <f t="shared" si="15"/>
        <v>1</v>
      </c>
      <c r="E234" s="19">
        <v>45554</v>
      </c>
    </row>
    <row r="235" spans="2:5" x14ac:dyDescent="0.15">
      <c r="B235" s="16" t="s">
        <v>10</v>
      </c>
      <c r="C235" s="17">
        <v>2</v>
      </c>
      <c r="D235" s="18">
        <f t="shared" si="15"/>
        <v>2</v>
      </c>
      <c r="E235" s="19">
        <v>45555</v>
      </c>
    </row>
    <row r="236" spans="2:5" ht="14.25" thickBot="1" x14ac:dyDescent="0.2">
      <c r="B236" s="16" t="s">
        <v>10</v>
      </c>
      <c r="C236" s="30">
        <v>2</v>
      </c>
      <c r="D236" s="31">
        <f t="shared" si="15"/>
        <v>2</v>
      </c>
      <c r="E236" s="19">
        <v>45559</v>
      </c>
    </row>
    <row r="237" spans="2:5" x14ac:dyDescent="0.15">
      <c r="B237" s="4" t="s">
        <v>2</v>
      </c>
      <c r="C237" s="5">
        <f>SUM(C212:C236)</f>
        <v>38</v>
      </c>
      <c r="D237" s="6">
        <f t="shared" si="15"/>
        <v>38</v>
      </c>
    </row>
    <row r="238" spans="2:5" ht="14.25" thickBot="1" x14ac:dyDescent="0.2">
      <c r="B238" s="24" t="s">
        <v>3</v>
      </c>
      <c r="C238" s="25">
        <f>+C211-C237</f>
        <v>0</v>
      </c>
      <c r="D238" s="26">
        <f t="shared" si="15"/>
        <v>0</v>
      </c>
    </row>
    <row r="241" spans="2:5" ht="18.75" x14ac:dyDescent="0.2">
      <c r="B241" s="32" t="s">
        <v>7</v>
      </c>
    </row>
    <row r="242" spans="2:5" ht="14.25" thickBot="1" x14ac:dyDescent="0.2">
      <c r="B242" s="1">
        <v>2340</v>
      </c>
    </row>
    <row r="243" spans="2:5" ht="14.25" thickBot="1" x14ac:dyDescent="0.2">
      <c r="B243" s="7"/>
      <c r="C243" s="55"/>
      <c r="D243" s="56"/>
    </row>
    <row r="244" spans="2:5" ht="14.25" thickBot="1" x14ac:dyDescent="0.2">
      <c r="B244" s="8"/>
      <c r="C244" s="9"/>
      <c r="D244" s="10" t="s">
        <v>0</v>
      </c>
    </row>
    <row r="245" spans="2:5" x14ac:dyDescent="0.15">
      <c r="B245" s="20" t="s">
        <v>4</v>
      </c>
      <c r="C245" s="21">
        <f>C238</f>
        <v>0</v>
      </c>
      <c r="D245" s="22">
        <f t="shared" ref="D245" si="17">SUM(C245:C245)</f>
        <v>0</v>
      </c>
    </row>
    <row r="246" spans="2:5" x14ac:dyDescent="0.15">
      <c r="B246" s="37" t="s">
        <v>5</v>
      </c>
      <c r="C246" s="5">
        <v>10</v>
      </c>
      <c r="D246" s="18">
        <f>SUM(C246:C246)</f>
        <v>10</v>
      </c>
      <c r="E246" s="19">
        <v>45561</v>
      </c>
    </row>
    <row r="247" spans="2:5" x14ac:dyDescent="0.15">
      <c r="B247" s="37" t="s">
        <v>5</v>
      </c>
      <c r="C247" s="5">
        <v>10</v>
      </c>
      <c r="D247" s="18">
        <f t="shared" ref="D247:D278" si="18">SUM(C247:C247)</f>
        <v>10</v>
      </c>
      <c r="E247" s="19">
        <v>45603</v>
      </c>
    </row>
    <row r="248" spans="2:5" x14ac:dyDescent="0.15">
      <c r="B248" s="37" t="s">
        <v>5</v>
      </c>
      <c r="C248" s="5">
        <v>5</v>
      </c>
      <c r="D248" s="18">
        <f t="shared" si="18"/>
        <v>5</v>
      </c>
      <c r="E248" s="19">
        <v>45644</v>
      </c>
    </row>
    <row r="249" spans="2:5" x14ac:dyDescent="0.15">
      <c r="B249" s="37" t="s">
        <v>5</v>
      </c>
      <c r="C249" s="5">
        <v>5</v>
      </c>
      <c r="D249" s="18">
        <f t="shared" si="18"/>
        <v>5</v>
      </c>
      <c r="E249" s="19">
        <v>45667</v>
      </c>
    </row>
    <row r="250" spans="2:5" ht="14.25" thickBot="1" x14ac:dyDescent="0.2">
      <c r="B250" s="37" t="s">
        <v>5</v>
      </c>
      <c r="C250" s="5">
        <v>15</v>
      </c>
      <c r="D250" s="18">
        <f t="shared" si="18"/>
        <v>15</v>
      </c>
      <c r="E250" s="19">
        <v>45695</v>
      </c>
    </row>
    <row r="251" spans="2:5" ht="14.25" thickBot="1" x14ac:dyDescent="0.2">
      <c r="B251" s="45" t="s">
        <v>5</v>
      </c>
      <c r="C251" s="11">
        <f>SUM(C245:C250)</f>
        <v>45</v>
      </c>
      <c r="D251" s="12">
        <f t="shared" si="18"/>
        <v>45</v>
      </c>
    </row>
    <row r="252" spans="2:5" x14ac:dyDescent="0.15">
      <c r="B252" s="16" t="s">
        <v>10</v>
      </c>
      <c r="C252" s="17">
        <v>1</v>
      </c>
      <c r="D252" s="18">
        <f t="shared" si="18"/>
        <v>1</v>
      </c>
      <c r="E252" s="19">
        <v>45565</v>
      </c>
    </row>
    <row r="253" spans="2:5" x14ac:dyDescent="0.15">
      <c r="B253" s="16" t="s">
        <v>10</v>
      </c>
      <c r="C253" s="17">
        <v>1</v>
      </c>
      <c r="D253" s="18">
        <f t="shared" si="18"/>
        <v>1</v>
      </c>
      <c r="E253" s="19">
        <v>45570</v>
      </c>
    </row>
    <row r="254" spans="2:5" x14ac:dyDescent="0.15">
      <c r="B254" s="16" t="s">
        <v>10</v>
      </c>
      <c r="C254" s="17">
        <v>1</v>
      </c>
      <c r="D254" s="18">
        <f t="shared" si="18"/>
        <v>1</v>
      </c>
      <c r="E254" s="19">
        <v>45572</v>
      </c>
    </row>
    <row r="255" spans="2:5" x14ac:dyDescent="0.15">
      <c r="B255" s="16" t="s">
        <v>10</v>
      </c>
      <c r="C255" s="17">
        <v>1</v>
      </c>
      <c r="D255" s="18">
        <f t="shared" si="18"/>
        <v>1</v>
      </c>
      <c r="E255" s="19">
        <v>45580</v>
      </c>
    </row>
    <row r="256" spans="2:5" x14ac:dyDescent="0.15">
      <c r="B256" s="16" t="s">
        <v>10</v>
      </c>
      <c r="C256" s="17">
        <v>1</v>
      </c>
      <c r="D256" s="18">
        <f t="shared" si="18"/>
        <v>1</v>
      </c>
      <c r="E256" s="19">
        <v>45582</v>
      </c>
    </row>
    <row r="257" spans="2:5" x14ac:dyDescent="0.15">
      <c r="B257" s="16" t="s">
        <v>10</v>
      </c>
      <c r="C257" s="17">
        <v>1</v>
      </c>
      <c r="D257" s="18">
        <f t="shared" si="18"/>
        <v>1</v>
      </c>
      <c r="E257" s="19">
        <v>45583</v>
      </c>
    </row>
    <row r="258" spans="2:5" x14ac:dyDescent="0.15">
      <c r="B258" s="16" t="s">
        <v>10</v>
      </c>
      <c r="C258" s="17">
        <v>1</v>
      </c>
      <c r="D258" s="18">
        <f t="shared" si="18"/>
        <v>1</v>
      </c>
      <c r="E258" s="19">
        <v>45589</v>
      </c>
    </row>
    <row r="259" spans="2:5" x14ac:dyDescent="0.15">
      <c r="B259" s="16" t="s">
        <v>10</v>
      </c>
      <c r="C259" s="17">
        <v>1</v>
      </c>
      <c r="D259" s="18">
        <f t="shared" si="18"/>
        <v>1</v>
      </c>
      <c r="E259" s="19">
        <v>45593</v>
      </c>
    </row>
    <row r="260" spans="2:5" x14ac:dyDescent="0.15">
      <c r="B260" s="16" t="s">
        <v>10</v>
      </c>
      <c r="C260" s="17">
        <v>1</v>
      </c>
      <c r="D260" s="18">
        <f t="shared" si="18"/>
        <v>1</v>
      </c>
      <c r="E260" s="19">
        <v>45594</v>
      </c>
    </row>
    <row r="261" spans="2:5" x14ac:dyDescent="0.15">
      <c r="B261" s="16" t="s">
        <v>10</v>
      </c>
      <c r="C261" s="17">
        <v>1</v>
      </c>
      <c r="D261" s="18">
        <f t="shared" si="18"/>
        <v>1</v>
      </c>
      <c r="E261" s="19">
        <v>45602</v>
      </c>
    </row>
    <row r="262" spans="2:5" x14ac:dyDescent="0.15">
      <c r="B262" s="16" t="s">
        <v>10</v>
      </c>
      <c r="C262" s="17">
        <v>1</v>
      </c>
      <c r="D262" s="18">
        <f t="shared" si="18"/>
        <v>1</v>
      </c>
      <c r="E262" s="19">
        <v>45607</v>
      </c>
    </row>
    <row r="263" spans="2:5" x14ac:dyDescent="0.15">
      <c r="B263" s="16" t="s">
        <v>10</v>
      </c>
      <c r="C263" s="17">
        <v>1</v>
      </c>
      <c r="D263" s="18">
        <f t="shared" si="18"/>
        <v>1</v>
      </c>
      <c r="E263" s="19">
        <v>45611</v>
      </c>
    </row>
    <row r="264" spans="2:5" x14ac:dyDescent="0.15">
      <c r="B264" s="16" t="s">
        <v>10</v>
      </c>
      <c r="C264" s="17">
        <v>1</v>
      </c>
      <c r="D264" s="18">
        <f t="shared" si="18"/>
        <v>1</v>
      </c>
      <c r="E264" s="19">
        <v>45612</v>
      </c>
    </row>
    <row r="265" spans="2:5" x14ac:dyDescent="0.15">
      <c r="B265" s="16" t="s">
        <v>10</v>
      </c>
      <c r="C265" s="17">
        <v>1</v>
      </c>
      <c r="D265" s="18">
        <f t="shared" si="18"/>
        <v>1</v>
      </c>
      <c r="E265" s="19">
        <v>45621</v>
      </c>
    </row>
    <row r="266" spans="2:5" x14ac:dyDescent="0.15">
      <c r="B266" s="16" t="s">
        <v>10</v>
      </c>
      <c r="C266" s="17">
        <v>1</v>
      </c>
      <c r="D266" s="18">
        <f t="shared" si="18"/>
        <v>1</v>
      </c>
      <c r="E266" s="19">
        <v>45628</v>
      </c>
    </row>
    <row r="267" spans="2:5" x14ac:dyDescent="0.15">
      <c r="B267" s="16" t="s">
        <v>10</v>
      </c>
      <c r="C267" s="17">
        <v>1</v>
      </c>
      <c r="D267" s="18">
        <f t="shared" si="18"/>
        <v>1</v>
      </c>
      <c r="E267" s="19">
        <v>45639</v>
      </c>
    </row>
    <row r="268" spans="2:5" x14ac:dyDescent="0.15">
      <c r="B268" s="16" t="s">
        <v>10</v>
      </c>
      <c r="C268" s="17">
        <v>1</v>
      </c>
      <c r="D268" s="18">
        <f t="shared" si="18"/>
        <v>1</v>
      </c>
      <c r="E268" s="19">
        <v>45646</v>
      </c>
    </row>
    <row r="269" spans="2:5" x14ac:dyDescent="0.15">
      <c r="B269" s="16" t="s">
        <v>10</v>
      </c>
      <c r="C269" s="17">
        <v>1</v>
      </c>
      <c r="D269" s="18">
        <f t="shared" si="18"/>
        <v>1</v>
      </c>
      <c r="E269" s="19">
        <v>45650</v>
      </c>
    </row>
    <row r="270" spans="2:5" x14ac:dyDescent="0.15">
      <c r="B270" s="16" t="s">
        <v>10</v>
      </c>
      <c r="C270" s="17">
        <f>2+2</f>
        <v>4</v>
      </c>
      <c r="D270" s="18">
        <f t="shared" si="18"/>
        <v>4</v>
      </c>
      <c r="E270" s="19">
        <v>45663</v>
      </c>
    </row>
    <row r="271" spans="2:5" x14ac:dyDescent="0.15">
      <c r="B271" s="16" t="s">
        <v>10</v>
      </c>
      <c r="C271" s="17">
        <v>1</v>
      </c>
      <c r="D271" s="18">
        <f t="shared" si="18"/>
        <v>1</v>
      </c>
      <c r="E271" s="19">
        <v>45664</v>
      </c>
    </row>
    <row r="272" spans="2:5" x14ac:dyDescent="0.15">
      <c r="B272" s="16" t="s">
        <v>10</v>
      </c>
      <c r="C272" s="17">
        <v>1</v>
      </c>
      <c r="D272" s="18">
        <f t="shared" si="18"/>
        <v>1</v>
      </c>
      <c r="E272" s="19">
        <v>45671</v>
      </c>
    </row>
    <row r="273" spans="2:5" x14ac:dyDescent="0.15">
      <c r="B273" s="16" t="s">
        <v>10</v>
      </c>
      <c r="C273" s="17">
        <v>2</v>
      </c>
      <c r="D273" s="18">
        <f t="shared" si="18"/>
        <v>2</v>
      </c>
      <c r="E273" s="19">
        <v>45673</v>
      </c>
    </row>
    <row r="274" spans="2:5" x14ac:dyDescent="0.15">
      <c r="B274" s="16" t="s">
        <v>10</v>
      </c>
      <c r="C274" s="17">
        <v>1</v>
      </c>
      <c r="D274" s="18">
        <f t="shared" si="18"/>
        <v>1</v>
      </c>
      <c r="E274" s="19">
        <v>45681</v>
      </c>
    </row>
    <row r="275" spans="2:5" x14ac:dyDescent="0.15">
      <c r="B275" s="16" t="s">
        <v>10</v>
      </c>
      <c r="C275" s="17">
        <v>1</v>
      </c>
      <c r="D275" s="18">
        <f t="shared" si="18"/>
        <v>1</v>
      </c>
      <c r="E275" s="19">
        <v>45691</v>
      </c>
    </row>
    <row r="276" spans="2:5" ht="14.25" thickBot="1" x14ac:dyDescent="0.2">
      <c r="B276" s="16" t="s">
        <v>10</v>
      </c>
      <c r="C276" s="30">
        <v>2</v>
      </c>
      <c r="D276" s="31">
        <f t="shared" si="18"/>
        <v>2</v>
      </c>
      <c r="E276" s="19">
        <v>45693</v>
      </c>
    </row>
    <row r="277" spans="2:5" x14ac:dyDescent="0.15">
      <c r="B277" s="4" t="s">
        <v>2</v>
      </c>
      <c r="C277" s="5">
        <f>SUM(C252:C276)</f>
        <v>30</v>
      </c>
      <c r="D277" s="6">
        <f t="shared" si="18"/>
        <v>30</v>
      </c>
    </row>
    <row r="278" spans="2:5" ht="14.25" thickBot="1" x14ac:dyDescent="0.2">
      <c r="B278" s="24" t="s">
        <v>3</v>
      </c>
      <c r="C278" s="25">
        <f>+C251-C277</f>
        <v>15</v>
      </c>
      <c r="D278" s="26">
        <f t="shared" si="18"/>
        <v>15</v>
      </c>
    </row>
    <row r="281" spans="2:5" ht="18.75" x14ac:dyDescent="0.2">
      <c r="B281" s="32" t="s">
        <v>7</v>
      </c>
    </row>
    <row r="282" spans="2:5" ht="14.25" thickBot="1" x14ac:dyDescent="0.2">
      <c r="B282" s="1">
        <v>2340</v>
      </c>
    </row>
    <row r="283" spans="2:5" ht="14.25" thickBot="1" x14ac:dyDescent="0.2">
      <c r="B283" s="7"/>
      <c r="C283" s="55"/>
      <c r="D283" s="56"/>
    </row>
    <row r="284" spans="2:5" ht="14.25" thickBot="1" x14ac:dyDescent="0.2">
      <c r="B284" s="8"/>
      <c r="C284" s="9"/>
      <c r="D284" s="10" t="s">
        <v>0</v>
      </c>
    </row>
    <row r="285" spans="2:5" x14ac:dyDescent="0.15">
      <c r="B285" s="20" t="s">
        <v>4</v>
      </c>
      <c r="C285" s="21">
        <f>C278</f>
        <v>15</v>
      </c>
      <c r="D285" s="22">
        <f t="shared" ref="D285" si="19">SUM(C285:C285)</f>
        <v>15</v>
      </c>
    </row>
    <row r="286" spans="2:5" x14ac:dyDescent="0.15">
      <c r="B286" s="37" t="s">
        <v>5</v>
      </c>
      <c r="C286" s="5">
        <v>10</v>
      </c>
      <c r="D286" s="18">
        <f>SUM(C286:C286)</f>
        <v>10</v>
      </c>
      <c r="E286" s="19">
        <v>45720</v>
      </c>
    </row>
    <row r="287" spans="2:5" x14ac:dyDescent="0.15">
      <c r="B287" s="37" t="s">
        <v>5</v>
      </c>
      <c r="C287" s="5">
        <v>10</v>
      </c>
      <c r="D287" s="18">
        <f t="shared" ref="D287:D318" si="20">SUM(C287:C287)</f>
        <v>10</v>
      </c>
      <c r="E287" s="19">
        <v>45757</v>
      </c>
    </row>
    <row r="288" spans="2:5" x14ac:dyDescent="0.15">
      <c r="B288" s="37" t="s">
        <v>5</v>
      </c>
      <c r="C288" s="5">
        <v>12</v>
      </c>
      <c r="D288" s="18">
        <f t="shared" si="20"/>
        <v>12</v>
      </c>
      <c r="E288" s="19">
        <v>45804</v>
      </c>
    </row>
    <row r="289" spans="2:5" x14ac:dyDescent="0.15">
      <c r="B289" s="37" t="s">
        <v>5</v>
      </c>
      <c r="C289" s="5"/>
      <c r="D289" s="18">
        <f t="shared" si="20"/>
        <v>0</v>
      </c>
    </row>
    <row r="290" spans="2:5" ht="14.25" thickBot="1" x14ac:dyDescent="0.2">
      <c r="B290" s="37" t="s">
        <v>5</v>
      </c>
      <c r="C290" s="5"/>
      <c r="D290" s="18">
        <f t="shared" si="20"/>
        <v>0</v>
      </c>
    </row>
    <row r="291" spans="2:5" ht="14.25" thickBot="1" x14ac:dyDescent="0.2">
      <c r="B291" s="45" t="s">
        <v>5</v>
      </c>
      <c r="C291" s="11">
        <f>SUM(C285:C290)</f>
        <v>47</v>
      </c>
      <c r="D291" s="12">
        <f t="shared" si="20"/>
        <v>47</v>
      </c>
    </row>
    <row r="292" spans="2:5" x14ac:dyDescent="0.15">
      <c r="B292" s="16" t="s">
        <v>10</v>
      </c>
      <c r="C292" s="17">
        <v>2</v>
      </c>
      <c r="D292" s="18">
        <f t="shared" si="20"/>
        <v>2</v>
      </c>
      <c r="E292" s="19">
        <v>45695</v>
      </c>
    </row>
    <row r="293" spans="2:5" x14ac:dyDescent="0.15">
      <c r="B293" s="16" t="s">
        <v>10</v>
      </c>
      <c r="C293" s="17">
        <v>3</v>
      </c>
      <c r="D293" s="18">
        <f t="shared" si="20"/>
        <v>3</v>
      </c>
      <c r="E293" s="19">
        <v>45698</v>
      </c>
    </row>
    <row r="294" spans="2:5" x14ac:dyDescent="0.15">
      <c r="B294" s="16" t="s">
        <v>10</v>
      </c>
      <c r="C294" s="17">
        <v>2</v>
      </c>
      <c r="D294" s="18">
        <f t="shared" si="20"/>
        <v>2</v>
      </c>
      <c r="E294" s="19">
        <v>45705</v>
      </c>
    </row>
    <row r="295" spans="2:5" x14ac:dyDescent="0.15">
      <c r="B295" s="16" t="s">
        <v>10</v>
      </c>
      <c r="C295" s="17">
        <v>1</v>
      </c>
      <c r="D295" s="18">
        <f t="shared" si="20"/>
        <v>1</v>
      </c>
      <c r="E295" s="19">
        <v>45708</v>
      </c>
    </row>
    <row r="296" spans="2:5" x14ac:dyDescent="0.15">
      <c r="B296" s="16" t="s">
        <v>10</v>
      </c>
      <c r="C296" s="17">
        <v>1</v>
      </c>
      <c r="D296" s="18">
        <f t="shared" si="20"/>
        <v>1</v>
      </c>
      <c r="E296" s="19">
        <v>45709</v>
      </c>
    </row>
    <row r="297" spans="2:5" x14ac:dyDescent="0.15">
      <c r="B297" s="16" t="s">
        <v>10</v>
      </c>
      <c r="C297" s="17">
        <f>1+1</f>
        <v>2</v>
      </c>
      <c r="D297" s="18">
        <f t="shared" si="20"/>
        <v>2</v>
      </c>
      <c r="E297" s="19">
        <v>45713</v>
      </c>
    </row>
    <row r="298" spans="2:5" x14ac:dyDescent="0.15">
      <c r="B298" s="16" t="s">
        <v>10</v>
      </c>
      <c r="C298" s="17">
        <f>1+2</f>
        <v>3</v>
      </c>
      <c r="D298" s="18">
        <f t="shared" si="20"/>
        <v>3</v>
      </c>
      <c r="E298" s="19">
        <v>45721</v>
      </c>
    </row>
    <row r="299" spans="2:5" x14ac:dyDescent="0.15">
      <c r="B299" s="16" t="s">
        <v>10</v>
      </c>
      <c r="C299" s="17">
        <v>1</v>
      </c>
      <c r="D299" s="18">
        <f t="shared" si="20"/>
        <v>1</v>
      </c>
      <c r="E299" s="19">
        <v>45722</v>
      </c>
    </row>
    <row r="300" spans="2:5" x14ac:dyDescent="0.15">
      <c r="B300" s="16" t="s">
        <v>10</v>
      </c>
      <c r="C300" s="17">
        <f>1+1</f>
        <v>2</v>
      </c>
      <c r="D300" s="18">
        <f t="shared" si="20"/>
        <v>2</v>
      </c>
      <c r="E300" s="19">
        <v>45726</v>
      </c>
    </row>
    <row r="301" spans="2:5" x14ac:dyDescent="0.15">
      <c r="B301" s="16" t="s">
        <v>10</v>
      </c>
      <c r="C301" s="17">
        <v>1</v>
      </c>
      <c r="D301" s="18">
        <f t="shared" si="20"/>
        <v>1</v>
      </c>
      <c r="E301" s="19">
        <v>45730</v>
      </c>
    </row>
    <row r="302" spans="2:5" x14ac:dyDescent="0.15">
      <c r="B302" s="16" t="s">
        <v>10</v>
      </c>
      <c r="C302" s="17">
        <v>1</v>
      </c>
      <c r="D302" s="18">
        <f t="shared" si="20"/>
        <v>1</v>
      </c>
      <c r="E302" s="19">
        <v>45740</v>
      </c>
    </row>
    <row r="303" spans="2:5" x14ac:dyDescent="0.15">
      <c r="B303" s="16" t="s">
        <v>10</v>
      </c>
      <c r="C303" s="17">
        <v>1</v>
      </c>
      <c r="D303" s="18">
        <f t="shared" si="20"/>
        <v>1</v>
      </c>
      <c r="E303" s="19">
        <v>45742</v>
      </c>
    </row>
    <row r="304" spans="2:5" x14ac:dyDescent="0.15">
      <c r="B304" s="16" t="s">
        <v>10</v>
      </c>
      <c r="C304" s="17">
        <v>1</v>
      </c>
      <c r="D304" s="18">
        <f t="shared" si="20"/>
        <v>1</v>
      </c>
      <c r="E304" s="19">
        <v>45743</v>
      </c>
    </row>
    <row r="305" spans="2:5" x14ac:dyDescent="0.15">
      <c r="B305" s="16" t="s">
        <v>10</v>
      </c>
      <c r="C305" s="17">
        <v>1</v>
      </c>
      <c r="D305" s="18">
        <f t="shared" si="20"/>
        <v>1</v>
      </c>
      <c r="E305" s="19">
        <v>45754</v>
      </c>
    </row>
    <row r="306" spans="2:5" x14ac:dyDescent="0.15">
      <c r="B306" s="16" t="s">
        <v>10</v>
      </c>
      <c r="C306" s="17">
        <v>1</v>
      </c>
      <c r="D306" s="18">
        <f t="shared" si="20"/>
        <v>1</v>
      </c>
      <c r="E306" s="19">
        <v>45755</v>
      </c>
    </row>
    <row r="307" spans="2:5" x14ac:dyDescent="0.15">
      <c r="B307" s="16" t="s">
        <v>10</v>
      </c>
      <c r="C307" s="17">
        <v>1</v>
      </c>
      <c r="D307" s="18">
        <f t="shared" si="20"/>
        <v>1</v>
      </c>
      <c r="E307" s="19">
        <v>45761</v>
      </c>
    </row>
    <row r="308" spans="2:5" x14ac:dyDescent="0.15">
      <c r="B308" s="16" t="s">
        <v>10</v>
      </c>
      <c r="C308" s="17">
        <f>1+1</f>
        <v>2</v>
      </c>
      <c r="D308" s="18">
        <f t="shared" si="20"/>
        <v>2</v>
      </c>
      <c r="E308" s="19">
        <v>45762</v>
      </c>
    </row>
    <row r="309" spans="2:5" x14ac:dyDescent="0.15">
      <c r="B309" s="16" t="s">
        <v>10</v>
      </c>
      <c r="C309" s="17">
        <v>1</v>
      </c>
      <c r="D309" s="18">
        <f t="shared" si="20"/>
        <v>1</v>
      </c>
      <c r="E309" s="19">
        <v>45763</v>
      </c>
    </row>
    <row r="310" spans="2:5" x14ac:dyDescent="0.15">
      <c r="B310" s="16" t="s">
        <v>10</v>
      </c>
      <c r="C310" s="17">
        <v>1</v>
      </c>
      <c r="D310" s="18">
        <f t="shared" si="20"/>
        <v>1</v>
      </c>
      <c r="E310" s="19">
        <v>45775</v>
      </c>
    </row>
    <row r="311" spans="2:5" x14ac:dyDescent="0.15">
      <c r="B311" s="16" t="s">
        <v>10</v>
      </c>
      <c r="C311" s="17">
        <v>2</v>
      </c>
      <c r="D311" s="18">
        <f t="shared" si="20"/>
        <v>2</v>
      </c>
      <c r="E311" s="19">
        <v>45784</v>
      </c>
    </row>
    <row r="312" spans="2:5" x14ac:dyDescent="0.15">
      <c r="B312" s="16" t="s">
        <v>10</v>
      </c>
      <c r="C312" s="17">
        <f>1+2</f>
        <v>3</v>
      </c>
      <c r="D312" s="18">
        <f t="shared" si="20"/>
        <v>3</v>
      </c>
      <c r="E312" s="19">
        <v>45789</v>
      </c>
    </row>
    <row r="313" spans="2:5" x14ac:dyDescent="0.15">
      <c r="B313" s="16" t="s">
        <v>10</v>
      </c>
      <c r="C313" s="17">
        <v>1</v>
      </c>
      <c r="D313" s="18">
        <f t="shared" si="20"/>
        <v>1</v>
      </c>
      <c r="E313" s="19">
        <v>45798</v>
      </c>
    </row>
    <row r="314" spans="2:5" x14ac:dyDescent="0.15">
      <c r="B314" s="16" t="s">
        <v>10</v>
      </c>
      <c r="C314" s="17">
        <v>1</v>
      </c>
      <c r="D314" s="18">
        <f t="shared" si="20"/>
        <v>1</v>
      </c>
      <c r="E314" s="19">
        <v>45800</v>
      </c>
    </row>
    <row r="315" spans="2:5" x14ac:dyDescent="0.15">
      <c r="B315" s="16" t="s">
        <v>10</v>
      </c>
      <c r="C315" s="17">
        <v>4</v>
      </c>
      <c r="D315" s="18">
        <f t="shared" si="20"/>
        <v>4</v>
      </c>
      <c r="E315" s="19">
        <v>45804</v>
      </c>
    </row>
    <row r="316" spans="2:5" ht="14.25" thickBot="1" x14ac:dyDescent="0.2">
      <c r="B316" s="49" t="s">
        <v>10</v>
      </c>
      <c r="C316" s="50">
        <v>1</v>
      </c>
      <c r="D316" s="51">
        <f t="shared" si="20"/>
        <v>1</v>
      </c>
      <c r="E316" s="19">
        <v>45805</v>
      </c>
    </row>
    <row r="317" spans="2:5" x14ac:dyDescent="0.15">
      <c r="B317" s="52" t="s">
        <v>2</v>
      </c>
      <c r="C317" s="27">
        <f>SUM(C292:C316)</f>
        <v>40</v>
      </c>
      <c r="D317" s="28">
        <f t="shared" si="20"/>
        <v>40</v>
      </c>
    </row>
    <row r="318" spans="2:5" ht="14.25" thickBot="1" x14ac:dyDescent="0.2">
      <c r="B318" s="24" t="s">
        <v>3</v>
      </c>
      <c r="C318" s="25">
        <f>+C291-C317</f>
        <v>7</v>
      </c>
      <c r="D318" s="26">
        <f t="shared" si="20"/>
        <v>7</v>
      </c>
    </row>
    <row r="321" spans="2:5" ht="18.75" x14ac:dyDescent="0.2">
      <c r="B321" s="32" t="s">
        <v>7</v>
      </c>
    </row>
    <row r="322" spans="2:5" ht="14.25" thickBot="1" x14ac:dyDescent="0.2">
      <c r="B322" s="1">
        <v>2340</v>
      </c>
    </row>
    <row r="323" spans="2:5" ht="14.25" thickBot="1" x14ac:dyDescent="0.2">
      <c r="B323" s="7"/>
      <c r="C323" s="55"/>
      <c r="D323" s="56"/>
    </row>
    <row r="324" spans="2:5" ht="14.25" thickBot="1" x14ac:dyDescent="0.2">
      <c r="B324" s="8"/>
      <c r="C324" s="9"/>
      <c r="D324" s="10" t="s">
        <v>0</v>
      </c>
    </row>
    <row r="325" spans="2:5" x14ac:dyDescent="0.15">
      <c r="B325" s="20" t="s">
        <v>4</v>
      </c>
      <c r="C325" s="21">
        <f>C318</f>
        <v>7</v>
      </c>
      <c r="D325" s="22">
        <f t="shared" ref="D325" si="21">SUM(C325:C325)</f>
        <v>7</v>
      </c>
    </row>
    <row r="326" spans="2:5" x14ac:dyDescent="0.15">
      <c r="B326" s="37" t="s">
        <v>14</v>
      </c>
      <c r="C326" s="5">
        <v>0</v>
      </c>
      <c r="D326" s="18">
        <f>SUM(C326:C326)</f>
        <v>0</v>
      </c>
      <c r="E326" s="19">
        <v>45895</v>
      </c>
    </row>
    <row r="327" spans="2:5" x14ac:dyDescent="0.15">
      <c r="B327" s="37" t="s">
        <v>5</v>
      </c>
      <c r="C327" s="5">
        <v>10</v>
      </c>
      <c r="D327" s="18">
        <f t="shared" ref="D327:D358" si="22">SUM(C327:C327)</f>
        <v>10</v>
      </c>
      <c r="E327" s="19">
        <v>46002</v>
      </c>
    </row>
    <row r="328" spans="2:5" x14ac:dyDescent="0.15">
      <c r="B328" s="37" t="s">
        <v>14</v>
      </c>
      <c r="C328" s="5">
        <v>0</v>
      </c>
      <c r="D328" s="18">
        <f t="shared" si="22"/>
        <v>0</v>
      </c>
      <c r="E328" s="19">
        <v>46078</v>
      </c>
    </row>
    <row r="329" spans="2:5" x14ac:dyDescent="0.15">
      <c r="B329" s="37" t="s">
        <v>5</v>
      </c>
      <c r="C329" s="5">
        <v>10</v>
      </c>
      <c r="D329" s="18">
        <f t="shared" si="22"/>
        <v>10</v>
      </c>
      <c r="E329" s="19">
        <v>46104</v>
      </c>
    </row>
    <row r="330" spans="2:5" ht="14.25" thickBot="1" x14ac:dyDescent="0.2">
      <c r="B330" s="37" t="s">
        <v>5</v>
      </c>
      <c r="C330" s="5">
        <v>5</v>
      </c>
      <c r="D330" s="18">
        <f t="shared" si="22"/>
        <v>5</v>
      </c>
      <c r="E330" s="19">
        <v>46189</v>
      </c>
    </row>
    <row r="331" spans="2:5" ht="14.25" thickBot="1" x14ac:dyDescent="0.2">
      <c r="B331" s="45" t="s">
        <v>5</v>
      </c>
      <c r="C331" s="11">
        <f>SUM(C325:C330)</f>
        <v>32</v>
      </c>
      <c r="D331" s="12">
        <f t="shared" si="22"/>
        <v>32</v>
      </c>
    </row>
    <row r="332" spans="2:5" x14ac:dyDescent="0.15">
      <c r="B332" s="16" t="s">
        <v>10</v>
      </c>
      <c r="C332" s="17">
        <v>1</v>
      </c>
      <c r="D332" s="18">
        <f t="shared" si="22"/>
        <v>1</v>
      </c>
      <c r="E332" s="19">
        <v>45945</v>
      </c>
    </row>
    <row r="333" spans="2:5" x14ac:dyDescent="0.15">
      <c r="B333" s="16" t="s">
        <v>17</v>
      </c>
      <c r="C333" s="17">
        <v>-1</v>
      </c>
      <c r="D333" s="18">
        <f t="shared" si="22"/>
        <v>-1</v>
      </c>
      <c r="E333" s="19">
        <v>45951</v>
      </c>
    </row>
    <row r="334" spans="2:5" x14ac:dyDescent="0.15">
      <c r="B334" s="16" t="s">
        <v>10</v>
      </c>
      <c r="C334" s="17">
        <v>1</v>
      </c>
      <c r="D334" s="18">
        <f t="shared" si="22"/>
        <v>1</v>
      </c>
      <c r="E334" s="19">
        <v>45957</v>
      </c>
    </row>
    <row r="335" spans="2:5" x14ac:dyDescent="0.15">
      <c r="B335" s="16" t="s">
        <v>10</v>
      </c>
      <c r="C335" s="17">
        <v>1</v>
      </c>
      <c r="D335" s="18">
        <f t="shared" si="22"/>
        <v>1</v>
      </c>
      <c r="E335" s="19">
        <v>45966</v>
      </c>
    </row>
    <row r="336" spans="2:5" x14ac:dyDescent="0.15">
      <c r="B336" s="16" t="s">
        <v>10</v>
      </c>
      <c r="C336" s="17">
        <v>1</v>
      </c>
      <c r="D336" s="18">
        <f t="shared" si="22"/>
        <v>1</v>
      </c>
      <c r="E336" s="19">
        <v>45986</v>
      </c>
    </row>
    <row r="337" spans="2:5" x14ac:dyDescent="0.15">
      <c r="B337" s="16" t="s">
        <v>19</v>
      </c>
      <c r="C337" s="17">
        <v>3</v>
      </c>
      <c r="D337" s="18">
        <f t="shared" si="22"/>
        <v>3</v>
      </c>
      <c r="E337" s="19">
        <v>46000</v>
      </c>
    </row>
    <row r="338" spans="2:5" x14ac:dyDescent="0.15">
      <c r="B338" s="16" t="s">
        <v>10</v>
      </c>
      <c r="C338" s="17">
        <v>1</v>
      </c>
      <c r="D338" s="18">
        <f t="shared" si="22"/>
        <v>1</v>
      </c>
      <c r="E338" s="19">
        <v>46014</v>
      </c>
    </row>
    <row r="339" spans="2:5" x14ac:dyDescent="0.15">
      <c r="B339" s="16" t="s">
        <v>10</v>
      </c>
      <c r="C339" s="17">
        <v>2</v>
      </c>
      <c r="D339" s="18">
        <f t="shared" si="22"/>
        <v>2</v>
      </c>
      <c r="E339" s="19">
        <v>46035</v>
      </c>
    </row>
    <row r="340" spans="2:5" x14ac:dyDescent="0.15">
      <c r="B340" s="16" t="s">
        <v>10</v>
      </c>
      <c r="C340" s="17">
        <v>1</v>
      </c>
      <c r="D340" s="18">
        <f t="shared" si="22"/>
        <v>1</v>
      </c>
      <c r="E340" s="19">
        <v>46038</v>
      </c>
    </row>
    <row r="341" spans="2:5" x14ac:dyDescent="0.15">
      <c r="B341" s="16" t="s">
        <v>10</v>
      </c>
      <c r="C341" s="17">
        <v>1</v>
      </c>
      <c r="D341" s="18">
        <f t="shared" si="22"/>
        <v>1</v>
      </c>
      <c r="E341" s="19">
        <v>46055</v>
      </c>
    </row>
    <row r="342" spans="2:5" x14ac:dyDescent="0.15">
      <c r="B342" s="16" t="s">
        <v>10</v>
      </c>
      <c r="C342" s="17">
        <v>1</v>
      </c>
      <c r="D342" s="18">
        <f t="shared" si="22"/>
        <v>1</v>
      </c>
      <c r="E342" s="19">
        <v>46066</v>
      </c>
    </row>
    <row r="343" spans="2:5" x14ac:dyDescent="0.15">
      <c r="B343" s="16" t="s">
        <v>10</v>
      </c>
      <c r="C343" s="17">
        <v>1</v>
      </c>
      <c r="D343" s="18">
        <f t="shared" si="22"/>
        <v>1</v>
      </c>
      <c r="E343" s="19">
        <v>46077</v>
      </c>
    </row>
    <row r="344" spans="2:5" x14ac:dyDescent="0.15">
      <c r="B344" s="16" t="s">
        <v>10</v>
      </c>
      <c r="C344" s="17">
        <v>1</v>
      </c>
      <c r="D344" s="18">
        <f t="shared" si="22"/>
        <v>1</v>
      </c>
      <c r="E344" s="19">
        <v>46097</v>
      </c>
    </row>
    <row r="345" spans="2:5" x14ac:dyDescent="0.15">
      <c r="B345" s="16" t="s">
        <v>10</v>
      </c>
      <c r="C345" s="17">
        <v>1</v>
      </c>
      <c r="D345" s="18">
        <f t="shared" si="22"/>
        <v>1</v>
      </c>
      <c r="E345" s="19">
        <v>46098</v>
      </c>
    </row>
    <row r="346" spans="2:5" x14ac:dyDescent="0.15">
      <c r="B346" s="16" t="s">
        <v>10</v>
      </c>
      <c r="C346" s="17">
        <v>1</v>
      </c>
      <c r="D346" s="18">
        <f t="shared" si="22"/>
        <v>1</v>
      </c>
      <c r="E346" s="19">
        <v>46105</v>
      </c>
    </row>
    <row r="347" spans="2:5" x14ac:dyDescent="0.15">
      <c r="B347" s="16" t="s">
        <v>10</v>
      </c>
      <c r="C347" s="17">
        <v>2</v>
      </c>
      <c r="D347" s="18">
        <f t="shared" si="22"/>
        <v>2</v>
      </c>
      <c r="E347" s="19">
        <v>46118</v>
      </c>
    </row>
    <row r="348" spans="2:5" x14ac:dyDescent="0.15">
      <c r="B348" s="16" t="s">
        <v>10</v>
      </c>
      <c r="C348" s="17">
        <v>1</v>
      </c>
      <c r="D348" s="18">
        <f t="shared" si="22"/>
        <v>1</v>
      </c>
      <c r="E348" s="19">
        <v>46119</v>
      </c>
    </row>
    <row r="349" spans="2:5" x14ac:dyDescent="0.15">
      <c r="B349" s="16" t="s">
        <v>10</v>
      </c>
      <c r="C349" s="17">
        <v>1</v>
      </c>
      <c r="D349" s="18">
        <f t="shared" si="22"/>
        <v>1</v>
      </c>
      <c r="E349" s="19">
        <v>46122</v>
      </c>
    </row>
    <row r="350" spans="2:5" x14ac:dyDescent="0.15">
      <c r="B350" s="16" t="s">
        <v>10</v>
      </c>
      <c r="C350" s="17">
        <v>1</v>
      </c>
      <c r="D350" s="18">
        <f t="shared" si="22"/>
        <v>1</v>
      </c>
      <c r="E350" s="19">
        <v>46140</v>
      </c>
    </row>
    <row r="351" spans="2:5" x14ac:dyDescent="0.15">
      <c r="B351" s="16" t="s">
        <v>10</v>
      </c>
      <c r="C351" s="17">
        <v>1</v>
      </c>
      <c r="D351" s="18">
        <f t="shared" si="22"/>
        <v>1</v>
      </c>
      <c r="E351" s="19">
        <v>46153</v>
      </c>
    </row>
    <row r="352" spans="2:5" x14ac:dyDescent="0.15">
      <c r="B352" s="16" t="s">
        <v>10</v>
      </c>
      <c r="C352" s="17">
        <v>1</v>
      </c>
      <c r="D352" s="18">
        <f t="shared" si="22"/>
        <v>1</v>
      </c>
      <c r="E352" s="19">
        <v>46155</v>
      </c>
    </row>
    <row r="353" spans="2:5" x14ac:dyDescent="0.15">
      <c r="B353" s="16" t="s">
        <v>10</v>
      </c>
      <c r="C353" s="17">
        <v>1</v>
      </c>
      <c r="D353" s="18">
        <f t="shared" si="22"/>
        <v>1</v>
      </c>
      <c r="E353" s="19">
        <v>46160</v>
      </c>
    </row>
    <row r="354" spans="2:5" x14ac:dyDescent="0.15">
      <c r="B354" s="16" t="s">
        <v>10</v>
      </c>
      <c r="C354" s="17">
        <v>3</v>
      </c>
      <c r="D354" s="18">
        <f t="shared" si="22"/>
        <v>3</v>
      </c>
      <c r="E354" s="19">
        <v>46181</v>
      </c>
    </row>
    <row r="355" spans="2:5" x14ac:dyDescent="0.15">
      <c r="B355" s="16" t="s">
        <v>10</v>
      </c>
      <c r="C355" s="17">
        <v>1</v>
      </c>
      <c r="D355" s="18">
        <f t="shared" si="22"/>
        <v>1</v>
      </c>
      <c r="E355" s="19">
        <v>46209</v>
      </c>
    </row>
    <row r="356" spans="2:5" ht="14.25" thickBot="1" x14ac:dyDescent="0.2">
      <c r="B356" s="16" t="s">
        <v>10</v>
      </c>
      <c r="C356" s="50">
        <v>2</v>
      </c>
      <c r="D356" s="51">
        <f t="shared" si="22"/>
        <v>2</v>
      </c>
      <c r="E356" s="19">
        <v>46224</v>
      </c>
    </row>
    <row r="357" spans="2:5" x14ac:dyDescent="0.15">
      <c r="B357" s="52" t="s">
        <v>2</v>
      </c>
      <c r="C357" s="27">
        <f>SUM(C332:C356)</f>
        <v>30</v>
      </c>
      <c r="D357" s="28">
        <f t="shared" si="22"/>
        <v>30</v>
      </c>
    </row>
    <row r="358" spans="2:5" ht="14.25" thickBot="1" x14ac:dyDescent="0.2">
      <c r="B358" s="24" t="s">
        <v>3</v>
      </c>
      <c r="C358" s="25">
        <f>+C331-C357</f>
        <v>2</v>
      </c>
      <c r="D358" s="26">
        <f t="shared" si="22"/>
        <v>2</v>
      </c>
    </row>
    <row r="361" spans="2:5" ht="18.75" x14ac:dyDescent="0.2">
      <c r="B361" s="32" t="s">
        <v>7</v>
      </c>
    </row>
    <row r="362" spans="2:5" ht="14.25" thickBot="1" x14ac:dyDescent="0.2">
      <c r="B362" s="1">
        <v>2340</v>
      </c>
    </row>
    <row r="363" spans="2:5" ht="14.25" thickBot="1" x14ac:dyDescent="0.2">
      <c r="B363" s="7"/>
      <c r="C363" s="55"/>
      <c r="D363" s="56"/>
    </row>
    <row r="364" spans="2:5" ht="14.25" thickBot="1" x14ac:dyDescent="0.2">
      <c r="B364" s="8"/>
      <c r="C364" s="9"/>
      <c r="D364" s="10" t="s">
        <v>0</v>
      </c>
    </row>
    <row r="365" spans="2:5" x14ac:dyDescent="0.15">
      <c r="B365" s="20" t="s">
        <v>4</v>
      </c>
      <c r="C365" s="21">
        <f>C358</f>
        <v>2</v>
      </c>
      <c r="D365" s="22">
        <f t="shared" ref="D365" si="23">SUM(C365:C365)</f>
        <v>2</v>
      </c>
    </row>
    <row r="366" spans="2:5" x14ac:dyDescent="0.15">
      <c r="B366" s="46" t="s">
        <v>5</v>
      </c>
      <c r="C366" s="47">
        <v>5</v>
      </c>
      <c r="D366" s="48">
        <f>SUM(C366:C366)</f>
        <v>5</v>
      </c>
      <c r="E366" s="23">
        <v>46237</v>
      </c>
    </row>
    <row r="367" spans="2:5" x14ac:dyDescent="0.15">
      <c r="B367" s="37" t="s">
        <v>5</v>
      </c>
      <c r="C367" s="5"/>
      <c r="D367" s="18">
        <f t="shared" ref="D367:D398" si="24">SUM(C367:C367)</f>
        <v>0</v>
      </c>
    </row>
    <row r="368" spans="2:5" x14ac:dyDescent="0.15">
      <c r="B368" s="37" t="s">
        <v>5</v>
      </c>
      <c r="C368" s="5"/>
      <c r="D368" s="18">
        <f t="shared" si="24"/>
        <v>0</v>
      </c>
    </row>
    <row r="369" spans="2:4" x14ac:dyDescent="0.15">
      <c r="B369" s="37" t="s">
        <v>5</v>
      </c>
      <c r="C369" s="5"/>
      <c r="D369" s="18">
        <f t="shared" si="24"/>
        <v>0</v>
      </c>
    </row>
    <row r="370" spans="2:4" ht="14.25" thickBot="1" x14ac:dyDescent="0.2">
      <c r="B370" s="37" t="s">
        <v>5</v>
      </c>
      <c r="C370" s="5"/>
      <c r="D370" s="18">
        <f t="shared" si="24"/>
        <v>0</v>
      </c>
    </row>
    <row r="371" spans="2:4" ht="14.25" thickBot="1" x14ac:dyDescent="0.2">
      <c r="B371" s="45" t="s">
        <v>5</v>
      </c>
      <c r="C371" s="11">
        <f>SUM(C365:C370)</f>
        <v>7</v>
      </c>
      <c r="D371" s="12">
        <f t="shared" si="24"/>
        <v>7</v>
      </c>
    </row>
    <row r="372" spans="2:4" x14ac:dyDescent="0.15">
      <c r="B372" s="16"/>
      <c r="C372" s="17"/>
      <c r="D372" s="18">
        <f t="shared" si="24"/>
        <v>0</v>
      </c>
    </row>
    <row r="373" spans="2:4" x14ac:dyDescent="0.15">
      <c r="B373" s="16"/>
      <c r="C373" s="17"/>
      <c r="D373" s="18">
        <f t="shared" si="24"/>
        <v>0</v>
      </c>
    </row>
    <row r="374" spans="2:4" x14ac:dyDescent="0.15">
      <c r="B374" s="16"/>
      <c r="C374" s="17"/>
      <c r="D374" s="18">
        <f t="shared" si="24"/>
        <v>0</v>
      </c>
    </row>
    <row r="375" spans="2:4" x14ac:dyDescent="0.15">
      <c r="B375" s="16"/>
      <c r="C375" s="17"/>
      <c r="D375" s="18">
        <f t="shared" si="24"/>
        <v>0</v>
      </c>
    </row>
    <row r="376" spans="2:4" x14ac:dyDescent="0.15">
      <c r="B376" s="16"/>
      <c r="C376" s="17"/>
      <c r="D376" s="18">
        <f t="shared" si="24"/>
        <v>0</v>
      </c>
    </row>
    <row r="377" spans="2:4" x14ac:dyDescent="0.15">
      <c r="B377" s="16"/>
      <c r="C377" s="17"/>
      <c r="D377" s="18">
        <f t="shared" si="24"/>
        <v>0</v>
      </c>
    </row>
    <row r="378" spans="2:4" x14ac:dyDescent="0.15">
      <c r="B378" s="16"/>
      <c r="C378" s="17"/>
      <c r="D378" s="18">
        <f t="shared" si="24"/>
        <v>0</v>
      </c>
    </row>
    <row r="379" spans="2:4" x14ac:dyDescent="0.15">
      <c r="B379" s="16"/>
      <c r="C379" s="17"/>
      <c r="D379" s="18">
        <f t="shared" si="24"/>
        <v>0</v>
      </c>
    </row>
    <row r="380" spans="2:4" x14ac:dyDescent="0.15">
      <c r="B380" s="16"/>
      <c r="C380" s="17"/>
      <c r="D380" s="18">
        <f t="shared" si="24"/>
        <v>0</v>
      </c>
    </row>
    <row r="381" spans="2:4" x14ac:dyDescent="0.15">
      <c r="B381" s="16"/>
      <c r="C381" s="17"/>
      <c r="D381" s="18">
        <f t="shared" si="24"/>
        <v>0</v>
      </c>
    </row>
    <row r="382" spans="2:4" x14ac:dyDescent="0.15">
      <c r="B382" s="16"/>
      <c r="C382" s="17"/>
      <c r="D382" s="18">
        <f t="shared" si="24"/>
        <v>0</v>
      </c>
    </row>
    <row r="383" spans="2:4" x14ac:dyDescent="0.15">
      <c r="B383" s="16"/>
      <c r="C383" s="17"/>
      <c r="D383" s="18">
        <f t="shared" si="24"/>
        <v>0</v>
      </c>
    </row>
    <row r="384" spans="2:4" x14ac:dyDescent="0.15">
      <c r="B384" s="16"/>
      <c r="C384" s="17"/>
      <c r="D384" s="18">
        <f t="shared" si="24"/>
        <v>0</v>
      </c>
    </row>
    <row r="385" spans="2:4" x14ac:dyDescent="0.15">
      <c r="B385" s="16"/>
      <c r="C385" s="17"/>
      <c r="D385" s="18">
        <f t="shared" si="24"/>
        <v>0</v>
      </c>
    </row>
    <row r="386" spans="2:4" x14ac:dyDescent="0.15">
      <c r="B386" s="16"/>
      <c r="C386" s="17"/>
      <c r="D386" s="18">
        <f t="shared" si="24"/>
        <v>0</v>
      </c>
    </row>
    <row r="387" spans="2:4" x14ac:dyDescent="0.15">
      <c r="B387" s="16"/>
      <c r="C387" s="17"/>
      <c r="D387" s="18">
        <f t="shared" si="24"/>
        <v>0</v>
      </c>
    </row>
    <row r="388" spans="2:4" x14ac:dyDescent="0.15">
      <c r="B388" s="16"/>
      <c r="C388" s="17"/>
      <c r="D388" s="18">
        <f t="shared" si="24"/>
        <v>0</v>
      </c>
    </row>
    <row r="389" spans="2:4" x14ac:dyDescent="0.15">
      <c r="B389" s="16"/>
      <c r="C389" s="17"/>
      <c r="D389" s="18">
        <f t="shared" si="24"/>
        <v>0</v>
      </c>
    </row>
    <row r="390" spans="2:4" x14ac:dyDescent="0.15">
      <c r="B390" s="16"/>
      <c r="C390" s="17"/>
      <c r="D390" s="18">
        <f t="shared" si="24"/>
        <v>0</v>
      </c>
    </row>
    <row r="391" spans="2:4" x14ac:dyDescent="0.15">
      <c r="B391" s="16"/>
      <c r="C391" s="17"/>
      <c r="D391" s="18">
        <f t="shared" si="24"/>
        <v>0</v>
      </c>
    </row>
    <row r="392" spans="2:4" x14ac:dyDescent="0.15">
      <c r="B392" s="16"/>
      <c r="C392" s="17"/>
      <c r="D392" s="18">
        <f t="shared" si="24"/>
        <v>0</v>
      </c>
    </row>
    <row r="393" spans="2:4" x14ac:dyDescent="0.15">
      <c r="B393" s="16"/>
      <c r="C393" s="17"/>
      <c r="D393" s="18">
        <f t="shared" si="24"/>
        <v>0</v>
      </c>
    </row>
    <row r="394" spans="2:4" x14ac:dyDescent="0.15">
      <c r="B394" s="16"/>
      <c r="C394" s="17"/>
      <c r="D394" s="18">
        <f t="shared" si="24"/>
        <v>0</v>
      </c>
    </row>
    <row r="395" spans="2:4" x14ac:dyDescent="0.15">
      <c r="B395" s="16"/>
      <c r="C395" s="17"/>
      <c r="D395" s="18">
        <f t="shared" si="24"/>
        <v>0</v>
      </c>
    </row>
    <row r="396" spans="2:4" ht="14.25" thickBot="1" x14ac:dyDescent="0.2">
      <c r="B396" s="16"/>
      <c r="C396" s="50"/>
      <c r="D396" s="51">
        <f t="shared" si="24"/>
        <v>0</v>
      </c>
    </row>
    <row r="397" spans="2:4" x14ac:dyDescent="0.15">
      <c r="B397" s="52" t="s">
        <v>2</v>
      </c>
      <c r="C397" s="27">
        <f>SUM(C372:C396)</f>
        <v>0</v>
      </c>
      <c r="D397" s="28">
        <f t="shared" si="24"/>
        <v>0</v>
      </c>
    </row>
    <row r="398" spans="2:4" ht="14.25" thickBot="1" x14ac:dyDescent="0.2">
      <c r="B398" s="24" t="s">
        <v>3</v>
      </c>
      <c r="C398" s="25">
        <f>+C371-C397</f>
        <v>7</v>
      </c>
      <c r="D398" s="26">
        <f t="shared" si="24"/>
        <v>7</v>
      </c>
    </row>
  </sheetData>
  <mergeCells count="10">
    <mergeCell ref="C363:D363"/>
    <mergeCell ref="C323:D323"/>
    <mergeCell ref="C283:D283"/>
    <mergeCell ref="C243:D243"/>
    <mergeCell ref="C203:D203"/>
    <mergeCell ref="C3:D3"/>
    <mergeCell ref="C43:D43"/>
    <mergeCell ref="C83:D83"/>
    <mergeCell ref="C123:D123"/>
    <mergeCell ref="C163:D16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8"/>
  <sheetViews>
    <sheetView topLeftCell="A137" zoomScale="90" zoomScaleNormal="90" workbookViewId="0">
      <selection activeCell="E159" sqref="E159"/>
    </sheetView>
  </sheetViews>
  <sheetFormatPr defaultRowHeight="13.5" x14ac:dyDescent="0.15"/>
  <cols>
    <col min="2" max="2" width="18.5" style="1" customWidth="1"/>
    <col min="3" max="3" width="9.875" customWidth="1"/>
    <col min="4" max="4" width="11.375" customWidth="1"/>
    <col min="5" max="5" width="9.25" bestFit="1" customWidth="1"/>
  </cols>
  <sheetData>
    <row r="1" spans="2:6" ht="18.75" x14ac:dyDescent="0.2">
      <c r="B1" s="32" t="s">
        <v>8</v>
      </c>
    </row>
    <row r="2" spans="2:6" ht="14.25" thickBot="1" x14ac:dyDescent="0.2">
      <c r="B2" s="1">
        <v>675</v>
      </c>
    </row>
    <row r="3" spans="2:6" ht="14.25" thickBot="1" x14ac:dyDescent="0.2">
      <c r="B3" s="7"/>
      <c r="C3" s="55"/>
      <c r="D3" s="56"/>
    </row>
    <row r="4" spans="2:6" s="1" customFormat="1" ht="14.25" thickBot="1" x14ac:dyDescent="0.2">
      <c r="B4" s="8"/>
      <c r="C4" s="9"/>
      <c r="D4" s="10" t="s">
        <v>0</v>
      </c>
    </row>
    <row r="5" spans="2:6" x14ac:dyDescent="0.15">
      <c r="B5" s="39" t="s">
        <v>6</v>
      </c>
      <c r="C5" s="5">
        <v>3</v>
      </c>
      <c r="D5" s="6">
        <f t="shared" ref="D5:D38" si="0">SUM(C5:C5)</f>
        <v>3</v>
      </c>
      <c r="E5" s="19">
        <v>44352</v>
      </c>
    </row>
    <row r="6" spans="2:6" x14ac:dyDescent="0.15">
      <c r="B6" s="33" t="s">
        <v>5</v>
      </c>
      <c r="C6" s="17">
        <v>30</v>
      </c>
      <c r="D6" s="18">
        <f>SUM(C6:C6)</f>
        <v>30</v>
      </c>
      <c r="E6" s="19">
        <v>44361</v>
      </c>
    </row>
    <row r="7" spans="2:6" x14ac:dyDescent="0.15">
      <c r="B7" s="41" t="s">
        <v>13</v>
      </c>
      <c r="C7" s="42">
        <v>0</v>
      </c>
      <c r="D7" s="43">
        <f>SUM(C7:C7)</f>
        <v>0</v>
      </c>
      <c r="E7" s="44">
        <v>44796</v>
      </c>
    </row>
    <row r="8" spans="2:6" x14ac:dyDescent="0.15">
      <c r="B8" s="33" t="s">
        <v>14</v>
      </c>
      <c r="C8" s="17">
        <v>0</v>
      </c>
      <c r="D8" s="18">
        <f t="shared" si="0"/>
        <v>0</v>
      </c>
      <c r="E8" s="19">
        <v>45140</v>
      </c>
    </row>
    <row r="9" spans="2:6" x14ac:dyDescent="0.15">
      <c r="B9" s="37" t="s">
        <v>5</v>
      </c>
      <c r="C9" s="17">
        <v>2</v>
      </c>
      <c r="D9" s="18">
        <f t="shared" si="0"/>
        <v>2</v>
      </c>
      <c r="E9" s="19">
        <v>45204</v>
      </c>
    </row>
    <row r="10" spans="2:6" ht="14.25" thickBot="1" x14ac:dyDescent="0.2">
      <c r="B10" s="37" t="s">
        <v>5</v>
      </c>
      <c r="C10" s="17">
        <v>2</v>
      </c>
      <c r="D10" s="18">
        <f>SUM(C10:C10)</f>
        <v>2</v>
      </c>
      <c r="E10" s="19">
        <v>45217</v>
      </c>
    </row>
    <row r="11" spans="2:6" ht="14.25" thickBot="1" x14ac:dyDescent="0.2">
      <c r="B11" s="8" t="s">
        <v>1</v>
      </c>
      <c r="C11" s="11">
        <f>SUM(C5:C10)</f>
        <v>37</v>
      </c>
      <c r="D11" s="12">
        <f t="shared" si="0"/>
        <v>37</v>
      </c>
    </row>
    <row r="12" spans="2:6" x14ac:dyDescent="0.15">
      <c r="B12" s="29" t="s">
        <v>10</v>
      </c>
      <c r="C12" s="27">
        <v>1</v>
      </c>
      <c r="D12" s="28">
        <f t="shared" si="0"/>
        <v>1</v>
      </c>
      <c r="E12" s="19">
        <v>44356</v>
      </c>
      <c r="F12" s="23"/>
    </row>
    <row r="13" spans="2:6" x14ac:dyDescent="0.15">
      <c r="B13" s="16" t="s">
        <v>10</v>
      </c>
      <c r="C13" s="17">
        <v>2</v>
      </c>
      <c r="D13" s="18">
        <f t="shared" si="0"/>
        <v>2</v>
      </c>
      <c r="E13" s="19">
        <v>44357</v>
      </c>
    </row>
    <row r="14" spans="2:6" x14ac:dyDescent="0.15">
      <c r="B14" s="16" t="s">
        <v>10</v>
      </c>
      <c r="C14" s="17">
        <v>8</v>
      </c>
      <c r="D14" s="18">
        <f t="shared" si="0"/>
        <v>8</v>
      </c>
      <c r="E14" s="19">
        <v>44366</v>
      </c>
    </row>
    <row r="15" spans="2:6" x14ac:dyDescent="0.15">
      <c r="B15" s="16" t="s">
        <v>10</v>
      </c>
      <c r="C15" s="2">
        <v>1</v>
      </c>
      <c r="D15" s="3">
        <f t="shared" si="0"/>
        <v>1</v>
      </c>
      <c r="E15" s="19">
        <v>44419</v>
      </c>
    </row>
    <row r="16" spans="2:6" x14ac:dyDescent="0.15">
      <c r="B16" s="16" t="s">
        <v>10</v>
      </c>
      <c r="C16" s="2">
        <v>1</v>
      </c>
      <c r="D16" s="3">
        <f t="shared" si="0"/>
        <v>1</v>
      </c>
      <c r="E16" s="19">
        <v>44460</v>
      </c>
    </row>
    <row r="17" spans="2:5" x14ac:dyDescent="0.15">
      <c r="B17" s="16" t="s">
        <v>10</v>
      </c>
      <c r="C17" s="17">
        <v>1</v>
      </c>
      <c r="D17" s="18">
        <f t="shared" si="0"/>
        <v>1</v>
      </c>
      <c r="E17" s="19">
        <v>44536</v>
      </c>
    </row>
    <row r="18" spans="2:5" x14ac:dyDescent="0.15">
      <c r="B18" s="16" t="s">
        <v>10</v>
      </c>
      <c r="C18" s="2">
        <v>1</v>
      </c>
      <c r="D18" s="3">
        <f t="shared" si="0"/>
        <v>1</v>
      </c>
      <c r="E18" s="19">
        <v>44543</v>
      </c>
    </row>
    <row r="19" spans="2:5" x14ac:dyDescent="0.15">
      <c r="B19" s="16" t="s">
        <v>10</v>
      </c>
      <c r="C19" s="2">
        <v>1</v>
      </c>
      <c r="D19" s="3">
        <f t="shared" si="0"/>
        <v>1</v>
      </c>
      <c r="E19" s="19">
        <v>44616</v>
      </c>
    </row>
    <row r="20" spans="2:5" x14ac:dyDescent="0.15">
      <c r="B20" s="16" t="s">
        <v>10</v>
      </c>
      <c r="C20" s="2">
        <v>1</v>
      </c>
      <c r="D20" s="3">
        <f t="shared" si="0"/>
        <v>1</v>
      </c>
      <c r="E20" s="19">
        <v>44617</v>
      </c>
    </row>
    <row r="21" spans="2:5" x14ac:dyDescent="0.15">
      <c r="B21" s="16" t="s">
        <v>10</v>
      </c>
      <c r="C21" s="17">
        <v>1</v>
      </c>
      <c r="D21" s="18">
        <f t="shared" si="0"/>
        <v>1</v>
      </c>
      <c r="E21" s="19">
        <v>44624</v>
      </c>
    </row>
    <row r="22" spans="2:5" x14ac:dyDescent="0.15">
      <c r="B22" s="16" t="s">
        <v>10</v>
      </c>
      <c r="C22" s="2">
        <v>1</v>
      </c>
      <c r="D22" s="3">
        <f t="shared" si="0"/>
        <v>1</v>
      </c>
      <c r="E22" s="13">
        <v>44644</v>
      </c>
    </row>
    <row r="23" spans="2:5" x14ac:dyDescent="0.15">
      <c r="B23" s="16" t="s">
        <v>10</v>
      </c>
      <c r="C23" s="2">
        <v>1</v>
      </c>
      <c r="D23" s="3">
        <f t="shared" si="0"/>
        <v>1</v>
      </c>
      <c r="E23" s="13">
        <v>44687</v>
      </c>
    </row>
    <row r="24" spans="2:5" x14ac:dyDescent="0.15">
      <c r="B24" s="16" t="s">
        <v>10</v>
      </c>
      <c r="C24" s="2">
        <v>1</v>
      </c>
      <c r="D24" s="3">
        <f t="shared" si="0"/>
        <v>1</v>
      </c>
      <c r="E24" s="13">
        <v>44706</v>
      </c>
    </row>
    <row r="25" spans="2:5" x14ac:dyDescent="0.15">
      <c r="B25" s="16" t="s">
        <v>10</v>
      </c>
      <c r="C25" s="2">
        <v>2</v>
      </c>
      <c r="D25" s="3">
        <f t="shared" si="0"/>
        <v>2</v>
      </c>
      <c r="E25" s="13">
        <v>44719</v>
      </c>
    </row>
    <row r="26" spans="2:5" x14ac:dyDescent="0.15">
      <c r="B26" s="16" t="s">
        <v>10</v>
      </c>
      <c r="C26" s="2">
        <v>1</v>
      </c>
      <c r="D26" s="3">
        <f t="shared" si="0"/>
        <v>1</v>
      </c>
      <c r="E26" s="13">
        <v>44791</v>
      </c>
    </row>
    <row r="27" spans="2:5" x14ac:dyDescent="0.15">
      <c r="B27" s="16" t="s">
        <v>10</v>
      </c>
      <c r="C27" s="2">
        <v>3</v>
      </c>
      <c r="D27" s="3">
        <f t="shared" si="0"/>
        <v>3</v>
      </c>
      <c r="E27" s="13">
        <v>45028</v>
      </c>
    </row>
    <row r="28" spans="2:5" x14ac:dyDescent="0.15">
      <c r="B28" s="16" t="s">
        <v>10</v>
      </c>
      <c r="C28" s="2">
        <v>2</v>
      </c>
      <c r="D28" s="3">
        <f t="shared" si="0"/>
        <v>2</v>
      </c>
      <c r="E28" s="13">
        <v>45098</v>
      </c>
    </row>
    <row r="29" spans="2:5" x14ac:dyDescent="0.15">
      <c r="B29" s="16" t="s">
        <v>10</v>
      </c>
      <c r="C29" s="2">
        <v>1</v>
      </c>
      <c r="D29" s="3">
        <f t="shared" si="0"/>
        <v>1</v>
      </c>
      <c r="E29" s="13">
        <v>45138</v>
      </c>
    </row>
    <row r="30" spans="2:5" x14ac:dyDescent="0.15">
      <c r="B30" s="16" t="s">
        <v>10</v>
      </c>
      <c r="C30" s="2">
        <v>1</v>
      </c>
      <c r="D30" s="3">
        <f t="shared" si="0"/>
        <v>1</v>
      </c>
      <c r="E30" s="13">
        <v>45176</v>
      </c>
    </row>
    <row r="31" spans="2:5" x14ac:dyDescent="0.15">
      <c r="B31" s="16" t="s">
        <v>10</v>
      </c>
      <c r="C31" s="2">
        <v>1</v>
      </c>
      <c r="D31" s="3">
        <f t="shared" si="0"/>
        <v>1</v>
      </c>
      <c r="E31" s="13">
        <v>45195</v>
      </c>
    </row>
    <row r="32" spans="2:5" x14ac:dyDescent="0.15">
      <c r="B32" s="16" t="s">
        <v>10</v>
      </c>
      <c r="C32" s="17">
        <v>3</v>
      </c>
      <c r="D32" s="18">
        <f t="shared" si="0"/>
        <v>3</v>
      </c>
      <c r="E32" s="19">
        <v>45306</v>
      </c>
    </row>
    <row r="33" spans="2:6" x14ac:dyDescent="0.15">
      <c r="B33" s="16"/>
      <c r="C33" s="17"/>
      <c r="D33" s="18">
        <f t="shared" si="0"/>
        <v>0</v>
      </c>
      <c r="E33" s="19"/>
    </row>
    <row r="34" spans="2:6" x14ac:dyDescent="0.15">
      <c r="B34" s="33"/>
      <c r="C34" s="17"/>
      <c r="D34" s="18">
        <f t="shared" si="0"/>
        <v>0</v>
      </c>
      <c r="E34" s="19"/>
      <c r="F34" s="35"/>
    </row>
    <row r="35" spans="2:6" x14ac:dyDescent="0.15">
      <c r="B35" s="33"/>
      <c r="C35" s="17"/>
      <c r="D35" s="18">
        <f t="shared" si="0"/>
        <v>0</v>
      </c>
      <c r="E35" s="19"/>
      <c r="F35" s="35"/>
    </row>
    <row r="36" spans="2:6" ht="14.25" thickBot="1" x14ac:dyDescent="0.2">
      <c r="B36" s="36"/>
      <c r="C36" s="30"/>
      <c r="D36" s="31">
        <f t="shared" si="0"/>
        <v>0</v>
      </c>
      <c r="E36" s="19"/>
    </row>
    <row r="37" spans="2:6" x14ac:dyDescent="0.15">
      <c r="B37" s="4" t="s">
        <v>2</v>
      </c>
      <c r="C37" s="5">
        <f>SUM(C12:C36)</f>
        <v>35</v>
      </c>
      <c r="D37" s="6">
        <f t="shared" si="0"/>
        <v>35</v>
      </c>
    </row>
    <row r="38" spans="2:6" ht="14.25" thickBot="1" x14ac:dyDescent="0.2">
      <c r="B38" s="24" t="s">
        <v>3</v>
      </c>
      <c r="C38" s="25">
        <f>+C11-C37</f>
        <v>2</v>
      </c>
      <c r="D38" s="26">
        <f t="shared" si="0"/>
        <v>2</v>
      </c>
    </row>
    <row r="41" spans="2:6" ht="18.75" x14ac:dyDescent="0.2">
      <c r="B41" s="32" t="s">
        <v>8</v>
      </c>
    </row>
    <row r="42" spans="2:6" ht="14.25" thickBot="1" x14ac:dyDescent="0.2">
      <c r="B42" s="1">
        <v>675</v>
      </c>
    </row>
    <row r="43" spans="2:6" ht="14.25" thickBot="1" x14ac:dyDescent="0.2">
      <c r="B43" s="7"/>
      <c r="C43" s="55"/>
      <c r="D43" s="56"/>
    </row>
    <row r="44" spans="2:6" ht="14.25" thickBot="1" x14ac:dyDescent="0.2">
      <c r="B44" s="8"/>
      <c r="C44" s="9"/>
      <c r="D44" s="10" t="s">
        <v>0</v>
      </c>
    </row>
    <row r="45" spans="2:6" x14ac:dyDescent="0.15">
      <c r="B45" s="20" t="s">
        <v>4</v>
      </c>
      <c r="C45" s="21">
        <f>C38</f>
        <v>2</v>
      </c>
      <c r="D45" s="22">
        <f t="shared" ref="D45:D78" si="1">SUM(C45:C45)</f>
        <v>2</v>
      </c>
    </row>
    <row r="46" spans="2:6" x14ac:dyDescent="0.15">
      <c r="B46" s="37" t="s">
        <v>5</v>
      </c>
      <c r="C46" s="17">
        <v>5</v>
      </c>
      <c r="D46" s="18">
        <f>SUM(C46:C46)</f>
        <v>5</v>
      </c>
      <c r="E46" s="19">
        <v>45308</v>
      </c>
    </row>
    <row r="47" spans="2:6" x14ac:dyDescent="0.15">
      <c r="B47" s="46" t="s">
        <v>5</v>
      </c>
      <c r="C47" s="47">
        <v>-2</v>
      </c>
      <c r="D47" s="48">
        <f>SUM(C47:C47)</f>
        <v>-2</v>
      </c>
      <c r="E47" s="23">
        <v>45349</v>
      </c>
    </row>
    <row r="48" spans="2:6" x14ac:dyDescent="0.15">
      <c r="B48" s="37" t="s">
        <v>5</v>
      </c>
      <c r="C48" s="17">
        <v>5</v>
      </c>
      <c r="D48" s="18">
        <f>SUM(C48:C48)</f>
        <v>5</v>
      </c>
      <c r="E48" s="19">
        <v>45357</v>
      </c>
    </row>
    <row r="49" spans="2:5" x14ac:dyDescent="0.15">
      <c r="B49" s="37" t="s">
        <v>5</v>
      </c>
      <c r="C49" s="17">
        <v>5</v>
      </c>
      <c r="D49" s="18">
        <f>SUM(C49:C49)</f>
        <v>5</v>
      </c>
      <c r="E49" s="19">
        <v>45392</v>
      </c>
    </row>
    <row r="50" spans="2:5" ht="14.25" thickBot="1" x14ac:dyDescent="0.2">
      <c r="B50" s="37" t="s">
        <v>5</v>
      </c>
      <c r="C50" s="17">
        <v>5</v>
      </c>
      <c r="D50" s="18">
        <f>SUM(C50:C50)</f>
        <v>5</v>
      </c>
      <c r="E50" s="19">
        <v>45489</v>
      </c>
    </row>
    <row r="51" spans="2:5" ht="14.25" thickBot="1" x14ac:dyDescent="0.2">
      <c r="B51" s="8" t="s">
        <v>1</v>
      </c>
      <c r="C51" s="11">
        <f>SUM(C45:C50)</f>
        <v>20</v>
      </c>
      <c r="D51" s="12">
        <f t="shared" si="1"/>
        <v>20</v>
      </c>
    </row>
    <row r="52" spans="2:5" x14ac:dyDescent="0.15">
      <c r="B52" s="16" t="s">
        <v>10</v>
      </c>
      <c r="C52" s="2">
        <v>2</v>
      </c>
      <c r="D52" s="14">
        <f t="shared" si="1"/>
        <v>2</v>
      </c>
      <c r="E52" s="13">
        <v>45308</v>
      </c>
    </row>
    <row r="53" spans="2:5" x14ac:dyDescent="0.15">
      <c r="B53" s="16" t="s">
        <v>10</v>
      </c>
      <c r="C53" s="2">
        <v>3</v>
      </c>
      <c r="D53" s="3">
        <f t="shared" si="1"/>
        <v>3</v>
      </c>
      <c r="E53" s="19">
        <v>45349</v>
      </c>
    </row>
    <row r="54" spans="2:5" x14ac:dyDescent="0.15">
      <c r="B54" s="16" t="s">
        <v>10</v>
      </c>
      <c r="C54" s="17">
        <v>1</v>
      </c>
      <c r="D54" s="18">
        <f t="shared" si="1"/>
        <v>1</v>
      </c>
      <c r="E54" s="19">
        <v>45357</v>
      </c>
    </row>
    <row r="55" spans="2:5" x14ac:dyDescent="0.15">
      <c r="B55" s="16" t="s">
        <v>10</v>
      </c>
      <c r="C55" s="2">
        <v>2</v>
      </c>
      <c r="D55" s="3">
        <f t="shared" si="1"/>
        <v>2</v>
      </c>
      <c r="E55" s="13">
        <v>45376</v>
      </c>
    </row>
    <row r="56" spans="2:5" x14ac:dyDescent="0.15">
      <c r="B56" s="16" t="s">
        <v>10</v>
      </c>
      <c r="C56" s="2">
        <v>1</v>
      </c>
      <c r="D56" s="3">
        <f t="shared" si="1"/>
        <v>1</v>
      </c>
      <c r="E56" s="13">
        <v>45378</v>
      </c>
    </row>
    <row r="57" spans="2:5" x14ac:dyDescent="0.15">
      <c r="B57" s="16" t="s">
        <v>10</v>
      </c>
      <c r="C57" s="17">
        <v>1</v>
      </c>
      <c r="D57" s="18">
        <f t="shared" si="1"/>
        <v>1</v>
      </c>
      <c r="E57" s="13">
        <v>45412</v>
      </c>
    </row>
    <row r="58" spans="2:5" x14ac:dyDescent="0.15">
      <c r="B58" s="16" t="s">
        <v>10</v>
      </c>
      <c r="C58" s="2">
        <v>1</v>
      </c>
      <c r="D58" s="3">
        <f t="shared" si="1"/>
        <v>1</v>
      </c>
      <c r="E58" s="13">
        <v>45425</v>
      </c>
    </row>
    <row r="59" spans="2:5" x14ac:dyDescent="0.15">
      <c r="B59" s="16" t="s">
        <v>10</v>
      </c>
      <c r="C59" s="2">
        <v>1</v>
      </c>
      <c r="D59" s="3">
        <f t="shared" si="1"/>
        <v>1</v>
      </c>
      <c r="E59" s="13">
        <v>45464</v>
      </c>
    </row>
    <row r="60" spans="2:5" x14ac:dyDescent="0.15">
      <c r="B60" s="16" t="s">
        <v>10</v>
      </c>
      <c r="C60" s="2">
        <v>1</v>
      </c>
      <c r="D60" s="3">
        <f t="shared" si="1"/>
        <v>1</v>
      </c>
      <c r="E60" s="13">
        <v>45471</v>
      </c>
    </row>
    <row r="61" spans="2:5" x14ac:dyDescent="0.15">
      <c r="B61" s="16" t="s">
        <v>10</v>
      </c>
      <c r="C61" s="2">
        <f>1+3</f>
        <v>4</v>
      </c>
      <c r="D61" s="3">
        <f t="shared" si="1"/>
        <v>4</v>
      </c>
      <c r="E61" s="19">
        <v>45489</v>
      </c>
    </row>
    <row r="62" spans="2:5" x14ac:dyDescent="0.15">
      <c r="B62" s="16" t="s">
        <v>10</v>
      </c>
      <c r="C62" s="2">
        <v>1</v>
      </c>
      <c r="D62" s="3">
        <f t="shared" si="1"/>
        <v>1</v>
      </c>
      <c r="E62" s="19">
        <v>45509</v>
      </c>
    </row>
    <row r="63" spans="2:5" x14ac:dyDescent="0.15">
      <c r="B63" s="16"/>
      <c r="C63" s="2"/>
      <c r="D63" s="3">
        <f t="shared" si="1"/>
        <v>0</v>
      </c>
      <c r="E63" s="19"/>
    </row>
    <row r="64" spans="2:5" x14ac:dyDescent="0.15">
      <c r="B64" s="16"/>
      <c r="C64" s="2"/>
      <c r="D64" s="3">
        <f t="shared" si="1"/>
        <v>0</v>
      </c>
      <c r="E64" s="19"/>
    </row>
    <row r="65" spans="2:6" x14ac:dyDescent="0.15">
      <c r="B65" s="16"/>
      <c r="C65" s="2"/>
      <c r="D65" s="3">
        <f t="shared" si="1"/>
        <v>0</v>
      </c>
      <c r="E65" s="19"/>
    </row>
    <row r="66" spans="2:6" x14ac:dyDescent="0.15">
      <c r="B66" s="16"/>
      <c r="C66" s="2"/>
      <c r="D66" s="3">
        <f t="shared" si="1"/>
        <v>0</v>
      </c>
      <c r="E66" s="19"/>
    </row>
    <row r="67" spans="2:6" x14ac:dyDescent="0.15">
      <c r="B67" s="16"/>
      <c r="C67" s="2"/>
      <c r="D67" s="3">
        <f t="shared" si="1"/>
        <v>0</v>
      </c>
      <c r="E67" s="19"/>
    </row>
    <row r="68" spans="2:6" x14ac:dyDescent="0.15">
      <c r="B68" s="16"/>
      <c r="C68" s="2"/>
      <c r="D68" s="3">
        <f t="shared" si="1"/>
        <v>0</v>
      </c>
      <c r="E68" s="19"/>
    </row>
    <row r="69" spans="2:6" x14ac:dyDescent="0.15">
      <c r="B69" s="38"/>
      <c r="C69" s="2"/>
      <c r="D69" s="3">
        <f t="shared" si="1"/>
        <v>0</v>
      </c>
      <c r="E69" s="19"/>
    </row>
    <row r="70" spans="2:6" x14ac:dyDescent="0.15">
      <c r="B70" s="33"/>
      <c r="C70" s="2"/>
      <c r="D70" s="3">
        <f t="shared" si="1"/>
        <v>0</v>
      </c>
      <c r="E70" s="19"/>
    </row>
    <row r="71" spans="2:6" x14ac:dyDescent="0.15">
      <c r="B71" s="16"/>
      <c r="C71" s="2"/>
      <c r="D71" s="3">
        <f t="shared" si="1"/>
        <v>0</v>
      </c>
      <c r="E71" s="19"/>
    </row>
    <row r="72" spans="2:6" x14ac:dyDescent="0.15">
      <c r="B72" s="16"/>
      <c r="C72" s="2"/>
      <c r="D72" s="3">
        <f t="shared" si="1"/>
        <v>0</v>
      </c>
      <c r="E72" s="19"/>
    </row>
    <row r="73" spans="2:6" x14ac:dyDescent="0.15">
      <c r="B73" s="16"/>
      <c r="C73" s="17"/>
      <c r="D73" s="18">
        <f t="shared" si="1"/>
        <v>0</v>
      </c>
      <c r="E73" s="19"/>
    </row>
    <row r="74" spans="2:6" x14ac:dyDescent="0.15">
      <c r="B74" s="33"/>
      <c r="C74" s="17"/>
      <c r="D74" s="18">
        <f t="shared" si="1"/>
        <v>0</v>
      </c>
      <c r="E74" s="19"/>
      <c r="F74" s="34"/>
    </row>
    <row r="75" spans="2:6" x14ac:dyDescent="0.15">
      <c r="B75" s="33"/>
      <c r="C75" s="17"/>
      <c r="D75" s="18">
        <f t="shared" si="1"/>
        <v>0</v>
      </c>
      <c r="E75" s="19"/>
      <c r="F75" s="34"/>
    </row>
    <row r="76" spans="2:6" ht="14.25" thickBot="1" x14ac:dyDescent="0.2">
      <c r="B76" s="36"/>
      <c r="C76" s="30"/>
      <c r="D76" s="31">
        <f t="shared" si="1"/>
        <v>0</v>
      </c>
      <c r="E76" s="19"/>
      <c r="F76" s="34"/>
    </row>
    <row r="77" spans="2:6" x14ac:dyDescent="0.15">
      <c r="B77" s="4" t="s">
        <v>2</v>
      </c>
      <c r="C77" s="5">
        <f>SUM(C52:C76)</f>
        <v>18</v>
      </c>
      <c r="D77" s="6">
        <f t="shared" si="1"/>
        <v>18</v>
      </c>
    </row>
    <row r="78" spans="2:6" ht="14.25" thickBot="1" x14ac:dyDescent="0.2">
      <c r="B78" s="24" t="s">
        <v>3</v>
      </c>
      <c r="C78" s="25">
        <f>+C51-C77</f>
        <v>2</v>
      </c>
      <c r="D78" s="26">
        <f t="shared" si="1"/>
        <v>2</v>
      </c>
    </row>
    <row r="81" spans="2:5" ht="18.75" x14ac:dyDescent="0.2">
      <c r="B81" s="32" t="s">
        <v>8</v>
      </c>
    </row>
    <row r="82" spans="2:5" ht="14.25" thickBot="1" x14ac:dyDescent="0.2">
      <c r="B82" s="1">
        <v>675</v>
      </c>
    </row>
    <row r="83" spans="2:5" ht="14.25" thickBot="1" x14ac:dyDescent="0.2">
      <c r="B83" s="7"/>
      <c r="C83" s="55"/>
      <c r="D83" s="56"/>
    </row>
    <row r="84" spans="2:5" ht="14.25" thickBot="1" x14ac:dyDescent="0.2">
      <c r="B84" s="8"/>
      <c r="C84" s="9"/>
      <c r="D84" s="10" t="s">
        <v>0</v>
      </c>
    </row>
    <row r="85" spans="2:5" x14ac:dyDescent="0.15">
      <c r="B85" s="20" t="s">
        <v>4</v>
      </c>
      <c r="C85" s="21">
        <f>C78</f>
        <v>2</v>
      </c>
      <c r="D85" s="22">
        <f t="shared" ref="D85:D86" si="2">SUM(C85:C85)</f>
        <v>2</v>
      </c>
    </row>
    <row r="86" spans="2:5" x14ac:dyDescent="0.15">
      <c r="B86" s="37" t="s">
        <v>5</v>
      </c>
      <c r="C86" s="17">
        <v>5</v>
      </c>
      <c r="D86" s="18">
        <f t="shared" si="2"/>
        <v>5</v>
      </c>
      <c r="E86" s="19">
        <v>45512</v>
      </c>
    </row>
    <row r="87" spans="2:5" x14ac:dyDescent="0.15">
      <c r="B87" s="37" t="s">
        <v>14</v>
      </c>
      <c r="C87" s="17">
        <v>0</v>
      </c>
      <c r="D87" s="18">
        <f t="shared" ref="D87:D90" si="3">SUM(C87:C87)</f>
        <v>0</v>
      </c>
      <c r="E87" s="19">
        <v>45530</v>
      </c>
    </row>
    <row r="88" spans="2:5" x14ac:dyDescent="0.15">
      <c r="B88" s="37" t="s">
        <v>5</v>
      </c>
      <c r="C88" s="17">
        <v>3</v>
      </c>
      <c r="D88" s="18">
        <f t="shared" si="3"/>
        <v>3</v>
      </c>
      <c r="E88" s="19">
        <v>45630</v>
      </c>
    </row>
    <row r="89" spans="2:5" x14ac:dyDescent="0.15">
      <c r="B89" s="37" t="s">
        <v>5</v>
      </c>
      <c r="C89" s="17">
        <v>5</v>
      </c>
      <c r="D89" s="18">
        <f t="shared" si="3"/>
        <v>5</v>
      </c>
      <c r="E89" s="19">
        <v>45644</v>
      </c>
    </row>
    <row r="90" spans="2:5" ht="14.25" thickBot="1" x14ac:dyDescent="0.2">
      <c r="B90" s="37" t="s">
        <v>5</v>
      </c>
      <c r="C90" s="17">
        <v>3</v>
      </c>
      <c r="D90" s="18">
        <f t="shared" si="3"/>
        <v>3</v>
      </c>
      <c r="E90" s="19">
        <v>45667</v>
      </c>
    </row>
    <row r="91" spans="2:5" ht="14.25" thickBot="1" x14ac:dyDescent="0.2">
      <c r="B91" s="8" t="s">
        <v>1</v>
      </c>
      <c r="C91" s="11">
        <f>SUM(C85:C90)</f>
        <v>18</v>
      </c>
      <c r="D91" s="12">
        <f t="shared" ref="D91:D118" si="4">SUM(C91:C91)</f>
        <v>18</v>
      </c>
    </row>
    <row r="92" spans="2:5" x14ac:dyDescent="0.15">
      <c r="B92" s="16" t="s">
        <v>10</v>
      </c>
      <c r="C92" s="2">
        <v>1</v>
      </c>
      <c r="D92" s="3">
        <f t="shared" ref="D92:D102" si="5">SUM(C92:C92)</f>
        <v>1</v>
      </c>
      <c r="E92" s="19">
        <v>45526</v>
      </c>
    </row>
    <row r="93" spans="2:5" x14ac:dyDescent="0.15">
      <c r="B93" s="16" t="s">
        <v>10</v>
      </c>
      <c r="C93" s="2">
        <v>1</v>
      </c>
      <c r="D93" s="3">
        <f t="shared" si="5"/>
        <v>1</v>
      </c>
      <c r="E93" s="19">
        <v>45542</v>
      </c>
    </row>
    <row r="94" spans="2:5" x14ac:dyDescent="0.15">
      <c r="B94" s="16" t="s">
        <v>10</v>
      </c>
      <c r="C94" s="2">
        <v>1</v>
      </c>
      <c r="D94" s="3">
        <f t="shared" si="5"/>
        <v>1</v>
      </c>
      <c r="E94" s="19">
        <v>45544</v>
      </c>
    </row>
    <row r="95" spans="2:5" x14ac:dyDescent="0.15">
      <c r="B95" s="16" t="s">
        <v>10</v>
      </c>
      <c r="C95" s="2">
        <v>1</v>
      </c>
      <c r="D95" s="3">
        <f t="shared" si="5"/>
        <v>1</v>
      </c>
      <c r="E95" s="19">
        <v>45559</v>
      </c>
    </row>
    <row r="96" spans="2:5" x14ac:dyDescent="0.15">
      <c r="B96" s="16" t="s">
        <v>10</v>
      </c>
      <c r="C96" s="2">
        <v>1</v>
      </c>
      <c r="D96" s="3">
        <f t="shared" si="5"/>
        <v>1</v>
      </c>
      <c r="E96" s="19">
        <v>45586</v>
      </c>
    </row>
    <row r="97" spans="2:5" x14ac:dyDescent="0.15">
      <c r="B97" s="16" t="s">
        <v>10</v>
      </c>
      <c r="C97" s="2">
        <v>1</v>
      </c>
      <c r="D97" s="3">
        <f t="shared" si="5"/>
        <v>1</v>
      </c>
      <c r="E97" s="19">
        <v>45602</v>
      </c>
    </row>
    <row r="98" spans="2:5" x14ac:dyDescent="0.15">
      <c r="B98" s="16" t="s">
        <v>10</v>
      </c>
      <c r="C98" s="2">
        <v>1</v>
      </c>
      <c r="D98" s="3">
        <f t="shared" si="5"/>
        <v>1</v>
      </c>
      <c r="E98" s="19">
        <v>45631</v>
      </c>
    </row>
    <row r="99" spans="2:5" x14ac:dyDescent="0.15">
      <c r="B99" s="16" t="s">
        <v>10</v>
      </c>
      <c r="C99" s="2">
        <v>3</v>
      </c>
      <c r="D99" s="3">
        <f t="shared" si="5"/>
        <v>3</v>
      </c>
      <c r="E99" s="19">
        <v>45642</v>
      </c>
    </row>
    <row r="100" spans="2:5" x14ac:dyDescent="0.15">
      <c r="B100" s="16" t="s">
        <v>10</v>
      </c>
      <c r="C100" s="2">
        <v>1</v>
      </c>
      <c r="D100" s="3">
        <f t="shared" si="5"/>
        <v>1</v>
      </c>
      <c r="E100" s="19">
        <v>45644</v>
      </c>
    </row>
    <row r="101" spans="2:5" x14ac:dyDescent="0.15">
      <c r="B101" s="16" t="s">
        <v>10</v>
      </c>
      <c r="C101" s="2">
        <v>1</v>
      </c>
      <c r="D101" s="3">
        <f t="shared" si="5"/>
        <v>1</v>
      </c>
      <c r="E101" s="19">
        <v>45650</v>
      </c>
    </row>
    <row r="102" spans="2:5" x14ac:dyDescent="0.15">
      <c r="B102" s="16" t="s">
        <v>10</v>
      </c>
      <c r="C102" s="2">
        <v>1</v>
      </c>
      <c r="D102" s="3">
        <f t="shared" si="5"/>
        <v>1</v>
      </c>
      <c r="E102" s="19">
        <v>45665</v>
      </c>
    </row>
    <row r="103" spans="2:5" x14ac:dyDescent="0.15">
      <c r="B103" s="16" t="s">
        <v>10</v>
      </c>
      <c r="C103" s="2">
        <v>1</v>
      </c>
      <c r="D103" s="3">
        <f t="shared" si="4"/>
        <v>1</v>
      </c>
      <c r="E103" s="19">
        <v>45674</v>
      </c>
    </row>
    <row r="104" spans="2:5" x14ac:dyDescent="0.15">
      <c r="B104" s="16" t="s">
        <v>10</v>
      </c>
      <c r="C104" s="2">
        <v>1</v>
      </c>
      <c r="D104" s="3">
        <f t="shared" si="4"/>
        <v>1</v>
      </c>
      <c r="E104" s="19">
        <v>45684</v>
      </c>
    </row>
    <row r="105" spans="2:5" x14ac:dyDescent="0.15">
      <c r="B105" s="16" t="s">
        <v>10</v>
      </c>
      <c r="C105" s="2">
        <v>1</v>
      </c>
      <c r="D105" s="3">
        <f t="shared" si="4"/>
        <v>1</v>
      </c>
      <c r="E105" s="19">
        <v>45694</v>
      </c>
    </row>
    <row r="106" spans="2:5" x14ac:dyDescent="0.15">
      <c r="B106" s="16" t="s">
        <v>10</v>
      </c>
      <c r="C106" s="2">
        <v>1</v>
      </c>
      <c r="D106" s="3">
        <f t="shared" si="4"/>
        <v>1</v>
      </c>
      <c r="E106" s="19">
        <v>45703</v>
      </c>
    </row>
    <row r="107" spans="2:5" x14ac:dyDescent="0.15">
      <c r="B107" s="16" t="s">
        <v>10</v>
      </c>
      <c r="C107" s="2">
        <v>1</v>
      </c>
      <c r="D107" s="3">
        <f t="shared" si="4"/>
        <v>1</v>
      </c>
      <c r="E107" s="19">
        <v>45713</v>
      </c>
    </row>
    <row r="108" spans="2:5" x14ac:dyDescent="0.15">
      <c r="B108" s="38"/>
      <c r="C108" s="2"/>
      <c r="D108" s="3">
        <f t="shared" ref="D108" si="6">SUM(C108:C108)</f>
        <v>0</v>
      </c>
    </row>
    <row r="109" spans="2:5" x14ac:dyDescent="0.15">
      <c r="B109" s="38"/>
      <c r="C109" s="2"/>
      <c r="D109" s="3">
        <f t="shared" si="4"/>
        <v>0</v>
      </c>
    </row>
    <row r="110" spans="2:5" x14ac:dyDescent="0.15">
      <c r="B110" s="33"/>
      <c r="C110" s="2"/>
      <c r="D110" s="3">
        <f t="shared" si="4"/>
        <v>0</v>
      </c>
    </row>
    <row r="111" spans="2:5" x14ac:dyDescent="0.15">
      <c r="B111" s="16"/>
      <c r="C111" s="2"/>
      <c r="D111" s="3">
        <f t="shared" si="4"/>
        <v>0</v>
      </c>
    </row>
    <row r="112" spans="2:5" x14ac:dyDescent="0.15">
      <c r="B112" s="16"/>
      <c r="C112" s="2"/>
      <c r="D112" s="3">
        <f t="shared" si="4"/>
        <v>0</v>
      </c>
    </row>
    <row r="113" spans="2:5" x14ac:dyDescent="0.15">
      <c r="B113" s="16"/>
      <c r="C113" s="17"/>
      <c r="D113" s="18">
        <f t="shared" si="4"/>
        <v>0</v>
      </c>
    </row>
    <row r="114" spans="2:5" x14ac:dyDescent="0.15">
      <c r="B114" s="33"/>
      <c r="C114" s="17"/>
      <c r="D114" s="18">
        <f t="shared" si="4"/>
        <v>0</v>
      </c>
    </row>
    <row r="115" spans="2:5" x14ac:dyDescent="0.15">
      <c r="B115" s="33"/>
      <c r="C115" s="17"/>
      <c r="D115" s="18">
        <f t="shared" si="4"/>
        <v>0</v>
      </c>
    </row>
    <row r="116" spans="2:5" ht="14.25" thickBot="1" x14ac:dyDescent="0.2">
      <c r="B116" s="36"/>
      <c r="C116" s="30"/>
      <c r="D116" s="31">
        <f t="shared" si="4"/>
        <v>0</v>
      </c>
    </row>
    <row r="117" spans="2:5" x14ac:dyDescent="0.15">
      <c r="B117" s="4" t="s">
        <v>2</v>
      </c>
      <c r="C117" s="5">
        <f>SUM(C92:C116)</f>
        <v>18</v>
      </c>
      <c r="D117" s="6">
        <f t="shared" si="4"/>
        <v>18</v>
      </c>
    </row>
    <row r="118" spans="2:5" ht="14.25" thickBot="1" x14ac:dyDescent="0.2">
      <c r="B118" s="24" t="s">
        <v>3</v>
      </c>
      <c r="C118" s="25">
        <f>+C91-C117</f>
        <v>0</v>
      </c>
      <c r="D118" s="26">
        <f t="shared" si="4"/>
        <v>0</v>
      </c>
    </row>
    <row r="121" spans="2:5" ht="18.75" x14ac:dyDescent="0.2">
      <c r="B121" s="32" t="s">
        <v>8</v>
      </c>
    </row>
    <row r="122" spans="2:5" ht="14.25" thickBot="1" x14ac:dyDescent="0.2">
      <c r="B122" s="1">
        <v>675</v>
      </c>
    </row>
    <row r="123" spans="2:5" ht="14.25" thickBot="1" x14ac:dyDescent="0.2">
      <c r="B123" s="7"/>
      <c r="C123" s="55"/>
      <c r="D123" s="56"/>
    </row>
    <row r="124" spans="2:5" ht="14.25" thickBot="1" x14ac:dyDescent="0.2">
      <c r="B124" s="8"/>
      <c r="C124" s="9"/>
      <c r="D124" s="10" t="s">
        <v>0</v>
      </c>
    </row>
    <row r="125" spans="2:5" x14ac:dyDescent="0.15">
      <c r="B125" s="20" t="s">
        <v>4</v>
      </c>
      <c r="C125" s="21">
        <f>C118</f>
        <v>0</v>
      </c>
      <c r="D125" s="22">
        <f t="shared" ref="D125:D158" si="7">SUM(C125:C125)</f>
        <v>0</v>
      </c>
    </row>
    <row r="126" spans="2:5" x14ac:dyDescent="0.15">
      <c r="B126" s="37" t="s">
        <v>5</v>
      </c>
      <c r="C126" s="17">
        <v>5</v>
      </c>
      <c r="D126" s="18">
        <f t="shared" si="7"/>
        <v>5</v>
      </c>
      <c r="E126" s="19">
        <v>45720</v>
      </c>
    </row>
    <row r="127" spans="2:5" x14ac:dyDescent="0.15">
      <c r="B127" s="37" t="s">
        <v>5</v>
      </c>
      <c r="C127" s="17">
        <v>5</v>
      </c>
      <c r="D127" s="18">
        <f t="shared" si="7"/>
        <v>5</v>
      </c>
      <c r="E127" s="19">
        <v>45757</v>
      </c>
    </row>
    <row r="128" spans="2:5" x14ac:dyDescent="0.15">
      <c r="B128" s="37" t="s">
        <v>5</v>
      </c>
      <c r="C128" s="17">
        <v>5</v>
      </c>
      <c r="D128" s="18">
        <f t="shared" si="7"/>
        <v>5</v>
      </c>
      <c r="E128" s="19">
        <v>45874</v>
      </c>
    </row>
    <row r="129" spans="2:5" x14ac:dyDescent="0.15">
      <c r="B129" s="37" t="s">
        <v>5</v>
      </c>
      <c r="C129" s="17">
        <v>3</v>
      </c>
      <c r="D129" s="18">
        <f t="shared" si="7"/>
        <v>3</v>
      </c>
      <c r="E129" s="19">
        <v>46002</v>
      </c>
    </row>
    <row r="130" spans="2:5" ht="14.25" thickBot="1" x14ac:dyDescent="0.2">
      <c r="B130" s="37" t="s">
        <v>5</v>
      </c>
      <c r="C130" s="17">
        <v>5</v>
      </c>
      <c r="D130" s="18">
        <f t="shared" si="7"/>
        <v>5</v>
      </c>
      <c r="E130" s="19">
        <v>46030</v>
      </c>
    </row>
    <row r="131" spans="2:5" ht="14.25" thickBot="1" x14ac:dyDescent="0.2">
      <c r="B131" s="8" t="s">
        <v>1</v>
      </c>
      <c r="C131" s="11">
        <f>SUM(C125:C130)</f>
        <v>23</v>
      </c>
      <c r="D131" s="12">
        <f t="shared" si="7"/>
        <v>23</v>
      </c>
    </row>
    <row r="132" spans="2:5" x14ac:dyDescent="0.15">
      <c r="B132" s="16" t="s">
        <v>10</v>
      </c>
      <c r="C132" s="2">
        <v>1</v>
      </c>
      <c r="D132" s="3">
        <f t="shared" si="7"/>
        <v>1</v>
      </c>
      <c r="E132" s="19">
        <v>45737</v>
      </c>
    </row>
    <row r="133" spans="2:5" x14ac:dyDescent="0.15">
      <c r="B133" s="16" t="s">
        <v>10</v>
      </c>
      <c r="C133" s="2">
        <v>1</v>
      </c>
      <c r="D133" s="3">
        <f t="shared" si="7"/>
        <v>1</v>
      </c>
      <c r="E133" s="19">
        <v>45747</v>
      </c>
    </row>
    <row r="134" spans="2:5" x14ac:dyDescent="0.15">
      <c r="B134" s="16" t="s">
        <v>10</v>
      </c>
      <c r="C134" s="2">
        <v>1</v>
      </c>
      <c r="D134" s="3">
        <f t="shared" ref="D134" si="8">SUM(C134:C134)</f>
        <v>1</v>
      </c>
      <c r="E134" s="19">
        <v>45754</v>
      </c>
    </row>
    <row r="135" spans="2:5" x14ac:dyDescent="0.15">
      <c r="B135" s="16" t="s">
        <v>10</v>
      </c>
      <c r="C135" s="2">
        <v>3</v>
      </c>
      <c r="D135" s="3">
        <f t="shared" ref="D135:D140" si="9">SUM(C135:C135)</f>
        <v>3</v>
      </c>
      <c r="E135" s="19">
        <v>45775</v>
      </c>
    </row>
    <row r="136" spans="2:5" x14ac:dyDescent="0.15">
      <c r="B136" s="16" t="s">
        <v>10</v>
      </c>
      <c r="C136" s="2">
        <v>1</v>
      </c>
      <c r="D136" s="3">
        <f t="shared" si="9"/>
        <v>1</v>
      </c>
      <c r="E136" s="19">
        <v>45813</v>
      </c>
    </row>
    <row r="137" spans="2:5" x14ac:dyDescent="0.15">
      <c r="B137" s="16" t="s">
        <v>10</v>
      </c>
      <c r="C137" s="2">
        <v>1</v>
      </c>
      <c r="D137" s="3">
        <f t="shared" si="9"/>
        <v>1</v>
      </c>
      <c r="E137" s="19">
        <v>45831</v>
      </c>
    </row>
    <row r="138" spans="2:5" x14ac:dyDescent="0.15">
      <c r="B138" s="16" t="s">
        <v>10</v>
      </c>
      <c r="C138" s="2">
        <v>1</v>
      </c>
      <c r="D138" s="3">
        <f t="shared" si="9"/>
        <v>1</v>
      </c>
      <c r="E138" s="19">
        <v>45853</v>
      </c>
    </row>
    <row r="139" spans="2:5" x14ac:dyDescent="0.15">
      <c r="B139" s="16" t="s">
        <v>10</v>
      </c>
      <c r="C139" s="2">
        <v>1</v>
      </c>
      <c r="D139" s="3">
        <f t="shared" si="9"/>
        <v>1</v>
      </c>
      <c r="E139" s="19">
        <v>45860</v>
      </c>
    </row>
    <row r="140" spans="2:5" x14ac:dyDescent="0.15">
      <c r="B140" s="16" t="s">
        <v>14</v>
      </c>
      <c r="C140" s="2">
        <v>-1</v>
      </c>
      <c r="D140" s="3">
        <f t="shared" si="9"/>
        <v>-1</v>
      </c>
      <c r="E140" s="19">
        <v>45895</v>
      </c>
    </row>
    <row r="141" spans="2:5" x14ac:dyDescent="0.15">
      <c r="B141" s="16" t="s">
        <v>10</v>
      </c>
      <c r="C141" s="2">
        <v>1</v>
      </c>
      <c r="D141" s="3">
        <f t="shared" si="7"/>
        <v>1</v>
      </c>
      <c r="E141" s="19">
        <v>45905</v>
      </c>
    </row>
    <row r="142" spans="2:5" x14ac:dyDescent="0.15">
      <c r="B142" s="16" t="s">
        <v>10</v>
      </c>
      <c r="C142" s="2">
        <v>1</v>
      </c>
      <c r="D142" s="3">
        <f t="shared" si="7"/>
        <v>1</v>
      </c>
      <c r="E142" s="19">
        <v>45906</v>
      </c>
    </row>
    <row r="143" spans="2:5" x14ac:dyDescent="0.15">
      <c r="B143" s="16" t="s">
        <v>10</v>
      </c>
      <c r="C143" s="2">
        <v>1</v>
      </c>
      <c r="D143" s="3">
        <f t="shared" si="7"/>
        <v>1</v>
      </c>
      <c r="E143" s="19">
        <v>45924</v>
      </c>
    </row>
    <row r="144" spans="2:5" x14ac:dyDescent="0.15">
      <c r="B144" s="16" t="s">
        <v>10</v>
      </c>
      <c r="C144" s="2">
        <v>1</v>
      </c>
      <c r="D144" s="3">
        <f t="shared" si="7"/>
        <v>1</v>
      </c>
      <c r="E144" s="19">
        <v>45986</v>
      </c>
    </row>
    <row r="145" spans="2:5" x14ac:dyDescent="0.15">
      <c r="B145" s="16" t="s">
        <v>10</v>
      </c>
      <c r="C145" s="2">
        <v>1</v>
      </c>
      <c r="D145" s="3">
        <f t="shared" si="7"/>
        <v>1</v>
      </c>
      <c r="E145" s="19">
        <v>45997</v>
      </c>
    </row>
    <row r="146" spans="2:5" x14ac:dyDescent="0.15">
      <c r="B146" s="16" t="s">
        <v>10</v>
      </c>
      <c r="C146" s="2">
        <v>2</v>
      </c>
      <c r="D146" s="3">
        <f t="shared" si="7"/>
        <v>2</v>
      </c>
      <c r="E146" s="19">
        <v>46006</v>
      </c>
    </row>
    <row r="147" spans="2:5" x14ac:dyDescent="0.15">
      <c r="B147" s="16" t="s">
        <v>10</v>
      </c>
      <c r="C147" s="2">
        <v>1</v>
      </c>
      <c r="D147" s="3">
        <f t="shared" si="7"/>
        <v>1</v>
      </c>
      <c r="E147" s="19">
        <v>46013</v>
      </c>
    </row>
    <row r="148" spans="2:5" x14ac:dyDescent="0.15">
      <c r="B148" s="16" t="s">
        <v>20</v>
      </c>
      <c r="C148" s="2">
        <v>1</v>
      </c>
      <c r="D148" s="3">
        <f t="shared" si="7"/>
        <v>1</v>
      </c>
      <c r="E148" s="19">
        <v>46013</v>
      </c>
    </row>
    <row r="149" spans="2:5" x14ac:dyDescent="0.15">
      <c r="B149" s="38" t="s">
        <v>21</v>
      </c>
      <c r="C149" s="2">
        <v>-1</v>
      </c>
      <c r="D149" s="3">
        <f t="shared" si="7"/>
        <v>-1</v>
      </c>
      <c r="E149" s="19">
        <v>46078</v>
      </c>
    </row>
    <row r="150" spans="2:5" x14ac:dyDescent="0.15">
      <c r="B150" s="33" t="s">
        <v>10</v>
      </c>
      <c r="C150" s="2">
        <v>1</v>
      </c>
      <c r="D150" s="3">
        <f t="shared" si="7"/>
        <v>1</v>
      </c>
      <c r="E150" s="19">
        <v>46098</v>
      </c>
    </row>
    <row r="151" spans="2:5" x14ac:dyDescent="0.15">
      <c r="B151" s="33" t="s">
        <v>10</v>
      </c>
      <c r="C151" s="2">
        <v>1</v>
      </c>
      <c r="D151" s="3">
        <f t="shared" si="7"/>
        <v>1</v>
      </c>
      <c r="E151" s="19">
        <v>46161</v>
      </c>
    </row>
    <row r="152" spans="2:5" x14ac:dyDescent="0.15">
      <c r="B152" s="33" t="s">
        <v>10</v>
      </c>
      <c r="C152" s="2">
        <v>2</v>
      </c>
      <c r="D152" s="3">
        <f t="shared" si="7"/>
        <v>2</v>
      </c>
      <c r="E152" s="19">
        <v>46167</v>
      </c>
    </row>
    <row r="153" spans="2:5" x14ac:dyDescent="0.15">
      <c r="B153" s="33" t="s">
        <v>10</v>
      </c>
      <c r="C153" s="17">
        <v>1</v>
      </c>
      <c r="D153" s="18">
        <f t="shared" si="7"/>
        <v>1</v>
      </c>
      <c r="E153" s="19">
        <v>46169</v>
      </c>
    </row>
    <row r="154" spans="2:5" x14ac:dyDescent="0.15">
      <c r="B154" s="33" t="s">
        <v>22</v>
      </c>
      <c r="C154" s="17">
        <v>-5</v>
      </c>
      <c r="D154" s="18">
        <f t="shared" si="7"/>
        <v>-5</v>
      </c>
      <c r="E154" s="19">
        <v>46178</v>
      </c>
    </row>
    <row r="155" spans="2:5" x14ac:dyDescent="0.15">
      <c r="B155" s="33" t="s">
        <v>10</v>
      </c>
      <c r="C155" s="17">
        <v>1</v>
      </c>
      <c r="D155" s="18">
        <f t="shared" si="7"/>
        <v>1</v>
      </c>
      <c r="E155" s="19">
        <v>46178</v>
      </c>
    </row>
    <row r="156" spans="2:5" ht="14.25" thickBot="1" x14ac:dyDescent="0.2">
      <c r="B156" s="33" t="s">
        <v>10</v>
      </c>
      <c r="C156" s="30">
        <v>1</v>
      </c>
      <c r="D156" s="31">
        <f t="shared" si="7"/>
        <v>1</v>
      </c>
      <c r="E156" s="19">
        <v>46182</v>
      </c>
    </row>
    <row r="157" spans="2:5" x14ac:dyDescent="0.15">
      <c r="B157" s="4" t="s">
        <v>2</v>
      </c>
      <c r="C157" s="5">
        <f>SUM(C132:C156)</f>
        <v>19</v>
      </c>
      <c r="D157" s="6">
        <f t="shared" si="7"/>
        <v>19</v>
      </c>
    </row>
    <row r="158" spans="2:5" ht="14.25" thickBot="1" x14ac:dyDescent="0.2">
      <c r="B158" s="24" t="s">
        <v>3</v>
      </c>
      <c r="C158" s="25">
        <f>+C131-C157</f>
        <v>4</v>
      </c>
      <c r="D158" s="26">
        <f t="shared" si="7"/>
        <v>4</v>
      </c>
    </row>
    <row r="161" spans="2:4" ht="18.75" x14ac:dyDescent="0.2">
      <c r="B161" s="32" t="s">
        <v>8</v>
      </c>
    </row>
    <row r="162" spans="2:4" ht="14.25" thickBot="1" x14ac:dyDescent="0.2">
      <c r="B162" s="1">
        <v>675</v>
      </c>
    </row>
    <row r="163" spans="2:4" ht="14.25" thickBot="1" x14ac:dyDescent="0.2">
      <c r="B163" s="7"/>
      <c r="C163" s="55"/>
      <c r="D163" s="56"/>
    </row>
    <row r="164" spans="2:4" ht="14.25" thickBot="1" x14ac:dyDescent="0.2">
      <c r="B164" s="8"/>
      <c r="C164" s="9"/>
      <c r="D164" s="10" t="s">
        <v>0</v>
      </c>
    </row>
    <row r="165" spans="2:4" x14ac:dyDescent="0.15">
      <c r="B165" s="20" t="s">
        <v>4</v>
      </c>
      <c r="C165" s="21">
        <f>C158</f>
        <v>4</v>
      </c>
      <c r="D165" s="22">
        <f t="shared" ref="D165:D198" si="10">SUM(C165:C165)</f>
        <v>4</v>
      </c>
    </row>
    <row r="166" spans="2:4" x14ac:dyDescent="0.15">
      <c r="B166" s="37" t="s">
        <v>5</v>
      </c>
      <c r="C166" s="17"/>
      <c r="D166" s="18">
        <f t="shared" si="10"/>
        <v>0</v>
      </c>
    </row>
    <row r="167" spans="2:4" x14ac:dyDescent="0.15">
      <c r="B167" s="37" t="s">
        <v>5</v>
      </c>
      <c r="C167" s="17"/>
      <c r="D167" s="18">
        <f t="shared" si="10"/>
        <v>0</v>
      </c>
    </row>
    <row r="168" spans="2:4" x14ac:dyDescent="0.15">
      <c r="B168" s="37" t="s">
        <v>5</v>
      </c>
      <c r="C168" s="17"/>
      <c r="D168" s="18">
        <f t="shared" si="10"/>
        <v>0</v>
      </c>
    </row>
    <row r="169" spans="2:4" x14ac:dyDescent="0.15">
      <c r="B169" s="37" t="s">
        <v>5</v>
      </c>
      <c r="C169" s="17"/>
      <c r="D169" s="18">
        <f t="shared" si="10"/>
        <v>0</v>
      </c>
    </row>
    <row r="170" spans="2:4" ht="14.25" thickBot="1" x14ac:dyDescent="0.2">
      <c r="B170" s="37" t="s">
        <v>5</v>
      </c>
      <c r="C170" s="17"/>
      <c r="D170" s="18">
        <f t="shared" si="10"/>
        <v>0</v>
      </c>
    </row>
    <row r="171" spans="2:4" ht="14.25" thickBot="1" x14ac:dyDescent="0.2">
      <c r="B171" s="8" t="s">
        <v>1</v>
      </c>
      <c r="C171" s="11">
        <f>SUM(C165:C170)</f>
        <v>4</v>
      </c>
      <c r="D171" s="12">
        <f t="shared" si="10"/>
        <v>4</v>
      </c>
    </row>
    <row r="172" spans="2:4" x14ac:dyDescent="0.15">
      <c r="B172" s="16"/>
      <c r="C172" s="2"/>
      <c r="D172" s="3">
        <f t="shared" si="10"/>
        <v>0</v>
      </c>
    </row>
    <row r="173" spans="2:4" x14ac:dyDescent="0.15">
      <c r="B173" s="16"/>
      <c r="C173" s="2"/>
      <c r="D173" s="3">
        <f t="shared" si="10"/>
        <v>0</v>
      </c>
    </row>
    <row r="174" spans="2:4" x14ac:dyDescent="0.15">
      <c r="B174" s="16"/>
      <c r="C174" s="2"/>
      <c r="D174" s="3">
        <f t="shared" si="10"/>
        <v>0</v>
      </c>
    </row>
    <row r="175" spans="2:4" x14ac:dyDescent="0.15">
      <c r="B175" s="16"/>
      <c r="C175" s="2"/>
      <c r="D175" s="3">
        <f t="shared" si="10"/>
        <v>0</v>
      </c>
    </row>
    <row r="176" spans="2:4" x14ac:dyDescent="0.15">
      <c r="B176" s="16"/>
      <c r="C176" s="2"/>
      <c r="D176" s="3">
        <f t="shared" si="10"/>
        <v>0</v>
      </c>
    </row>
    <row r="177" spans="2:4" x14ac:dyDescent="0.15">
      <c r="B177" s="16"/>
      <c r="C177" s="2"/>
      <c r="D177" s="3">
        <f t="shared" si="10"/>
        <v>0</v>
      </c>
    </row>
    <row r="178" spans="2:4" x14ac:dyDescent="0.15">
      <c r="B178" s="16"/>
      <c r="C178" s="2"/>
      <c r="D178" s="3">
        <f t="shared" si="10"/>
        <v>0</v>
      </c>
    </row>
    <row r="179" spans="2:4" x14ac:dyDescent="0.15">
      <c r="B179" s="16"/>
      <c r="C179" s="2"/>
      <c r="D179" s="3">
        <f t="shared" si="10"/>
        <v>0</v>
      </c>
    </row>
    <row r="180" spans="2:4" x14ac:dyDescent="0.15">
      <c r="B180" s="16"/>
      <c r="C180" s="2"/>
      <c r="D180" s="3">
        <f t="shared" si="10"/>
        <v>0</v>
      </c>
    </row>
    <row r="181" spans="2:4" x14ac:dyDescent="0.15">
      <c r="B181" s="16"/>
      <c r="C181" s="2"/>
      <c r="D181" s="3">
        <f t="shared" si="10"/>
        <v>0</v>
      </c>
    </row>
    <row r="182" spans="2:4" x14ac:dyDescent="0.15">
      <c r="B182" s="16"/>
      <c r="C182" s="2"/>
      <c r="D182" s="3">
        <f t="shared" si="10"/>
        <v>0</v>
      </c>
    </row>
    <row r="183" spans="2:4" x14ac:dyDescent="0.15">
      <c r="B183" s="16"/>
      <c r="C183" s="2"/>
      <c r="D183" s="3">
        <f t="shared" si="10"/>
        <v>0</v>
      </c>
    </row>
    <row r="184" spans="2:4" x14ac:dyDescent="0.15">
      <c r="B184" s="16"/>
      <c r="C184" s="2"/>
      <c r="D184" s="3">
        <f t="shared" si="10"/>
        <v>0</v>
      </c>
    </row>
    <row r="185" spans="2:4" x14ac:dyDescent="0.15">
      <c r="B185" s="16"/>
      <c r="C185" s="2"/>
      <c r="D185" s="3">
        <f t="shared" si="10"/>
        <v>0</v>
      </c>
    </row>
    <row r="186" spans="2:4" x14ac:dyDescent="0.15">
      <c r="B186" s="16"/>
      <c r="C186" s="2"/>
      <c r="D186" s="3">
        <f t="shared" si="10"/>
        <v>0</v>
      </c>
    </row>
    <row r="187" spans="2:4" x14ac:dyDescent="0.15">
      <c r="B187" s="16"/>
      <c r="C187" s="2"/>
      <c r="D187" s="3">
        <f t="shared" si="10"/>
        <v>0</v>
      </c>
    </row>
    <row r="188" spans="2:4" x14ac:dyDescent="0.15">
      <c r="B188" s="16"/>
      <c r="C188" s="2"/>
      <c r="D188" s="3">
        <f t="shared" si="10"/>
        <v>0</v>
      </c>
    </row>
    <row r="189" spans="2:4" x14ac:dyDescent="0.15">
      <c r="B189" s="38"/>
      <c r="C189" s="2"/>
      <c r="D189" s="3">
        <f t="shared" si="10"/>
        <v>0</v>
      </c>
    </row>
    <row r="190" spans="2:4" x14ac:dyDescent="0.15">
      <c r="B190" s="33"/>
      <c r="C190" s="2"/>
      <c r="D190" s="3">
        <f t="shared" si="10"/>
        <v>0</v>
      </c>
    </row>
    <row r="191" spans="2:4" x14ac:dyDescent="0.15">
      <c r="B191" s="33"/>
      <c r="C191" s="2"/>
      <c r="D191" s="3">
        <f t="shared" si="10"/>
        <v>0</v>
      </c>
    </row>
    <row r="192" spans="2:4" x14ac:dyDescent="0.15">
      <c r="B192" s="33"/>
      <c r="C192" s="2"/>
      <c r="D192" s="3">
        <f t="shared" si="10"/>
        <v>0</v>
      </c>
    </row>
    <row r="193" spans="2:4" x14ac:dyDescent="0.15">
      <c r="B193" s="33"/>
      <c r="C193" s="17"/>
      <c r="D193" s="18">
        <f t="shared" si="10"/>
        <v>0</v>
      </c>
    </row>
    <row r="194" spans="2:4" x14ac:dyDescent="0.15">
      <c r="B194" s="33"/>
      <c r="C194" s="17"/>
      <c r="D194" s="18">
        <f t="shared" si="10"/>
        <v>0</v>
      </c>
    </row>
    <row r="195" spans="2:4" x14ac:dyDescent="0.15">
      <c r="B195" s="33"/>
      <c r="C195" s="17"/>
      <c r="D195" s="18">
        <f t="shared" si="10"/>
        <v>0</v>
      </c>
    </row>
    <row r="196" spans="2:4" ht="14.25" thickBot="1" x14ac:dyDescent="0.2">
      <c r="B196" s="36"/>
      <c r="C196" s="30"/>
      <c r="D196" s="31">
        <f t="shared" si="10"/>
        <v>0</v>
      </c>
    </row>
    <row r="197" spans="2:4" x14ac:dyDescent="0.15">
      <c r="B197" s="4" t="s">
        <v>2</v>
      </c>
      <c r="C197" s="5">
        <f>SUM(C172:C196)</f>
        <v>0</v>
      </c>
      <c r="D197" s="6">
        <f t="shared" si="10"/>
        <v>0</v>
      </c>
    </row>
    <row r="198" spans="2:4" ht="14.25" thickBot="1" x14ac:dyDescent="0.2">
      <c r="B198" s="24" t="s">
        <v>3</v>
      </c>
      <c r="C198" s="25">
        <f>+C171-C197</f>
        <v>4</v>
      </c>
      <c r="D198" s="26">
        <f t="shared" si="10"/>
        <v>4</v>
      </c>
    </row>
  </sheetData>
  <mergeCells count="5">
    <mergeCell ref="C3:D3"/>
    <mergeCell ref="C43:D43"/>
    <mergeCell ref="C83:D83"/>
    <mergeCell ref="C123:D123"/>
    <mergeCell ref="C163:D16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18"/>
  <sheetViews>
    <sheetView topLeftCell="A89" workbookViewId="0">
      <selection activeCell="E107" sqref="E107"/>
    </sheetView>
  </sheetViews>
  <sheetFormatPr defaultRowHeight="13.5" x14ac:dyDescent="0.15"/>
  <cols>
    <col min="2" max="2" width="18.5" style="1" customWidth="1"/>
    <col min="3" max="3" width="9.875" customWidth="1"/>
    <col min="4" max="4" width="11.375" customWidth="1"/>
    <col min="5" max="5" width="9.25" bestFit="1" customWidth="1"/>
  </cols>
  <sheetData>
    <row r="1" spans="2:6" ht="18.75" x14ac:dyDescent="0.2">
      <c r="B1" s="32" t="s">
        <v>9</v>
      </c>
    </row>
    <row r="2" spans="2:6" ht="14.25" thickBot="1" x14ac:dyDescent="0.2">
      <c r="B2" s="1">
        <v>2025</v>
      </c>
    </row>
    <row r="3" spans="2:6" ht="14.25" thickBot="1" x14ac:dyDescent="0.2">
      <c r="B3" s="7"/>
      <c r="C3" s="55"/>
      <c r="D3" s="56"/>
    </row>
    <row r="4" spans="2:6" s="1" customFormat="1" ht="14.25" thickBot="1" x14ac:dyDescent="0.2">
      <c r="B4" s="8"/>
      <c r="C4" s="9"/>
      <c r="D4" s="10" t="s">
        <v>0</v>
      </c>
    </row>
    <row r="5" spans="2:6" x14ac:dyDescent="0.15">
      <c r="B5" s="39" t="s">
        <v>6</v>
      </c>
      <c r="C5" s="5">
        <v>3</v>
      </c>
      <c r="D5" s="6">
        <f t="shared" ref="D5:D38" si="0">SUM(C5:C5)</f>
        <v>3</v>
      </c>
      <c r="E5" s="19">
        <v>44352</v>
      </c>
    </row>
    <row r="6" spans="2:6" x14ac:dyDescent="0.15">
      <c r="B6" s="33" t="s">
        <v>5</v>
      </c>
      <c r="C6" s="17">
        <v>3</v>
      </c>
      <c r="D6" s="18">
        <f>SUM(C6:C6)</f>
        <v>3</v>
      </c>
      <c r="E6" s="19">
        <v>44361</v>
      </c>
    </row>
    <row r="7" spans="2:6" x14ac:dyDescent="0.15">
      <c r="B7" s="37" t="s">
        <v>5</v>
      </c>
      <c r="C7" s="17">
        <v>3</v>
      </c>
      <c r="D7" s="18">
        <f>SUM(C7:C7)</f>
        <v>3</v>
      </c>
      <c r="E7" s="19">
        <v>44574</v>
      </c>
    </row>
    <row r="8" spans="2:6" x14ac:dyDescent="0.15">
      <c r="B8" s="33" t="s">
        <v>5</v>
      </c>
      <c r="C8" s="17">
        <v>3</v>
      </c>
      <c r="D8" s="18">
        <f t="shared" si="0"/>
        <v>3</v>
      </c>
      <c r="E8" s="19">
        <v>44812</v>
      </c>
    </row>
    <row r="9" spans="2:6" x14ac:dyDescent="0.15">
      <c r="B9" s="37" t="s">
        <v>5</v>
      </c>
      <c r="C9" s="17">
        <v>5</v>
      </c>
      <c r="D9" s="18">
        <f t="shared" si="0"/>
        <v>5</v>
      </c>
      <c r="E9" s="19">
        <v>45026</v>
      </c>
    </row>
    <row r="10" spans="2:6" ht="14.25" thickBot="1" x14ac:dyDescent="0.2">
      <c r="B10" s="37" t="s">
        <v>5</v>
      </c>
      <c r="C10" s="17">
        <v>3</v>
      </c>
      <c r="D10" s="18">
        <f>SUM(C10:C10)</f>
        <v>3</v>
      </c>
      <c r="E10" s="19">
        <v>45113</v>
      </c>
    </row>
    <row r="11" spans="2:6" ht="14.25" thickBot="1" x14ac:dyDescent="0.2">
      <c r="B11" s="8" t="s">
        <v>1</v>
      </c>
      <c r="C11" s="11">
        <f>SUM(C5:C10)</f>
        <v>20</v>
      </c>
      <c r="D11" s="12">
        <f t="shared" si="0"/>
        <v>20</v>
      </c>
    </row>
    <row r="12" spans="2:6" x14ac:dyDescent="0.15">
      <c r="B12" s="29" t="s">
        <v>12</v>
      </c>
      <c r="C12" s="27">
        <v>1</v>
      </c>
      <c r="D12" s="28">
        <f t="shared" si="0"/>
        <v>1</v>
      </c>
      <c r="E12" s="19"/>
      <c r="F12" s="23"/>
    </row>
    <row r="13" spans="2:6" x14ac:dyDescent="0.15">
      <c r="B13" s="16" t="s">
        <v>10</v>
      </c>
      <c r="C13" s="17">
        <v>1</v>
      </c>
      <c r="D13" s="18">
        <f t="shared" si="0"/>
        <v>1</v>
      </c>
      <c r="E13" s="19">
        <v>44433</v>
      </c>
    </row>
    <row r="14" spans="2:6" x14ac:dyDescent="0.15">
      <c r="B14" s="16" t="s">
        <v>10</v>
      </c>
      <c r="C14" s="17">
        <v>1</v>
      </c>
      <c r="D14" s="18">
        <f t="shared" si="0"/>
        <v>1</v>
      </c>
      <c r="E14" s="19">
        <v>44445</v>
      </c>
    </row>
    <row r="15" spans="2:6" x14ac:dyDescent="0.15">
      <c r="B15" s="16" t="s">
        <v>10</v>
      </c>
      <c r="C15" s="2">
        <v>1</v>
      </c>
      <c r="D15" s="3">
        <f t="shared" si="0"/>
        <v>1</v>
      </c>
      <c r="E15" s="19">
        <v>44494</v>
      </c>
    </row>
    <row r="16" spans="2:6" x14ac:dyDescent="0.15">
      <c r="B16" s="16" t="s">
        <v>10</v>
      </c>
      <c r="C16" s="2">
        <v>1</v>
      </c>
      <c r="D16" s="3">
        <f t="shared" si="0"/>
        <v>1</v>
      </c>
      <c r="E16" s="19">
        <v>44536</v>
      </c>
    </row>
    <row r="17" spans="2:5" x14ac:dyDescent="0.15">
      <c r="B17" s="16" t="s">
        <v>10</v>
      </c>
      <c r="C17" s="17">
        <v>1</v>
      </c>
      <c r="D17" s="18">
        <f t="shared" si="0"/>
        <v>1</v>
      </c>
      <c r="E17" s="19">
        <v>44572</v>
      </c>
    </row>
    <row r="18" spans="2:5" x14ac:dyDescent="0.15">
      <c r="B18" s="16" t="s">
        <v>10</v>
      </c>
      <c r="C18" s="2">
        <v>1</v>
      </c>
      <c r="D18" s="3">
        <f t="shared" si="0"/>
        <v>1</v>
      </c>
      <c r="E18" s="19">
        <v>44649</v>
      </c>
    </row>
    <row r="19" spans="2:5" x14ac:dyDescent="0.15">
      <c r="B19" s="16" t="s">
        <v>10</v>
      </c>
      <c r="C19" s="2">
        <v>1</v>
      </c>
      <c r="D19" s="3">
        <f t="shared" si="0"/>
        <v>1</v>
      </c>
      <c r="E19" s="19">
        <v>44699</v>
      </c>
    </row>
    <row r="20" spans="2:5" x14ac:dyDescent="0.15">
      <c r="B20" s="16" t="s">
        <v>10</v>
      </c>
      <c r="C20" s="2">
        <v>1</v>
      </c>
      <c r="D20" s="3">
        <f t="shared" si="0"/>
        <v>1</v>
      </c>
      <c r="E20" s="19">
        <v>44711</v>
      </c>
    </row>
    <row r="21" spans="2:5" x14ac:dyDescent="0.15">
      <c r="B21" s="16" t="s">
        <v>10</v>
      </c>
      <c r="C21" s="17">
        <v>1</v>
      </c>
      <c r="D21" s="18">
        <f t="shared" si="0"/>
        <v>1</v>
      </c>
      <c r="E21" s="19">
        <v>44865</v>
      </c>
    </row>
    <row r="22" spans="2:5" x14ac:dyDescent="0.15">
      <c r="B22" s="16" t="s">
        <v>10</v>
      </c>
      <c r="C22" s="2">
        <v>1</v>
      </c>
      <c r="D22" s="3">
        <f t="shared" si="0"/>
        <v>1</v>
      </c>
      <c r="E22" s="13">
        <v>44984</v>
      </c>
    </row>
    <row r="23" spans="2:5" x14ac:dyDescent="0.15">
      <c r="B23" s="16" t="s">
        <v>10</v>
      </c>
      <c r="C23" s="2">
        <v>1</v>
      </c>
      <c r="D23" s="3">
        <f t="shared" si="0"/>
        <v>1</v>
      </c>
      <c r="E23" s="13">
        <v>45023</v>
      </c>
    </row>
    <row r="24" spans="2:5" x14ac:dyDescent="0.15">
      <c r="B24" s="16" t="s">
        <v>10</v>
      </c>
      <c r="C24" s="2">
        <v>2</v>
      </c>
      <c r="D24" s="3">
        <f t="shared" si="0"/>
        <v>2</v>
      </c>
      <c r="E24" s="13">
        <v>45026</v>
      </c>
    </row>
    <row r="25" spans="2:5" x14ac:dyDescent="0.15">
      <c r="B25" s="16" t="s">
        <v>10</v>
      </c>
      <c r="C25" s="2">
        <v>1</v>
      </c>
      <c r="D25" s="3">
        <f t="shared" si="0"/>
        <v>1</v>
      </c>
      <c r="E25" s="13">
        <v>45061</v>
      </c>
    </row>
    <row r="26" spans="2:5" x14ac:dyDescent="0.15">
      <c r="B26" s="16" t="s">
        <v>10</v>
      </c>
      <c r="C26" s="2">
        <v>2</v>
      </c>
      <c r="D26" s="3">
        <f t="shared" si="0"/>
        <v>2</v>
      </c>
      <c r="E26" s="13">
        <v>45105</v>
      </c>
    </row>
    <row r="27" spans="2:5" x14ac:dyDescent="0.15">
      <c r="B27" s="16" t="s">
        <v>10</v>
      </c>
      <c r="C27" s="2">
        <v>1</v>
      </c>
      <c r="D27" s="3">
        <f t="shared" si="0"/>
        <v>1</v>
      </c>
      <c r="E27" s="13">
        <v>45117</v>
      </c>
    </row>
    <row r="28" spans="2:5" x14ac:dyDescent="0.15">
      <c r="B28" s="16" t="s">
        <v>15</v>
      </c>
      <c r="C28" s="2">
        <v>0</v>
      </c>
      <c r="D28" s="3">
        <f t="shared" si="0"/>
        <v>0</v>
      </c>
      <c r="E28" s="13">
        <v>45140</v>
      </c>
    </row>
    <row r="29" spans="2:5" x14ac:dyDescent="0.15">
      <c r="B29" s="16"/>
      <c r="C29" s="2"/>
      <c r="D29" s="3">
        <f t="shared" si="0"/>
        <v>0</v>
      </c>
      <c r="E29" s="15"/>
    </row>
    <row r="30" spans="2:5" x14ac:dyDescent="0.15">
      <c r="B30" s="16"/>
      <c r="C30" s="2"/>
      <c r="D30" s="3">
        <f t="shared" si="0"/>
        <v>0</v>
      </c>
      <c r="E30" s="15"/>
    </row>
    <row r="31" spans="2:5" x14ac:dyDescent="0.15">
      <c r="B31" s="16"/>
      <c r="C31" s="2"/>
      <c r="D31" s="3">
        <f t="shared" si="0"/>
        <v>0</v>
      </c>
      <c r="E31" s="15"/>
    </row>
    <row r="32" spans="2:5" x14ac:dyDescent="0.15">
      <c r="B32" s="16"/>
      <c r="C32" s="17"/>
      <c r="D32" s="18">
        <f t="shared" si="0"/>
        <v>0</v>
      </c>
      <c r="E32" s="19"/>
    </row>
    <row r="33" spans="2:6" x14ac:dyDescent="0.15">
      <c r="B33" s="16"/>
      <c r="C33" s="17"/>
      <c r="D33" s="18">
        <f t="shared" si="0"/>
        <v>0</v>
      </c>
      <c r="E33" s="19"/>
    </row>
    <row r="34" spans="2:6" x14ac:dyDescent="0.15">
      <c r="B34" s="33"/>
      <c r="C34" s="17"/>
      <c r="D34" s="18">
        <f t="shared" si="0"/>
        <v>0</v>
      </c>
      <c r="E34" s="19"/>
      <c r="F34" s="35"/>
    </row>
    <row r="35" spans="2:6" x14ac:dyDescent="0.15">
      <c r="B35" s="33"/>
      <c r="C35" s="17"/>
      <c r="D35" s="18">
        <f t="shared" si="0"/>
        <v>0</v>
      </c>
      <c r="E35" s="19"/>
      <c r="F35" s="35"/>
    </row>
    <row r="36" spans="2:6" ht="14.25" thickBot="1" x14ac:dyDescent="0.2">
      <c r="B36" s="36"/>
      <c r="C36" s="30"/>
      <c r="D36" s="31">
        <f t="shared" si="0"/>
        <v>0</v>
      </c>
      <c r="E36" s="19"/>
    </row>
    <row r="37" spans="2:6" x14ac:dyDescent="0.15">
      <c r="B37" s="4" t="s">
        <v>2</v>
      </c>
      <c r="C37" s="5">
        <f>SUM(C12:C36)</f>
        <v>18</v>
      </c>
      <c r="D37" s="6">
        <f t="shared" si="0"/>
        <v>18</v>
      </c>
    </row>
    <row r="38" spans="2:6" ht="14.25" thickBot="1" x14ac:dyDescent="0.2">
      <c r="B38" s="24" t="s">
        <v>3</v>
      </c>
      <c r="C38" s="25">
        <f>+C11-C37</f>
        <v>2</v>
      </c>
      <c r="D38" s="26">
        <f t="shared" si="0"/>
        <v>2</v>
      </c>
    </row>
    <row r="41" spans="2:6" ht="18.75" x14ac:dyDescent="0.2">
      <c r="B41" s="32" t="s">
        <v>9</v>
      </c>
    </row>
    <row r="42" spans="2:6" ht="14.25" thickBot="1" x14ac:dyDescent="0.2">
      <c r="B42" s="1">
        <v>2025</v>
      </c>
    </row>
    <row r="43" spans="2:6" ht="14.25" thickBot="1" x14ac:dyDescent="0.2">
      <c r="B43" s="7"/>
      <c r="C43" s="55"/>
      <c r="D43" s="56"/>
    </row>
    <row r="44" spans="2:6" ht="14.25" thickBot="1" x14ac:dyDescent="0.2">
      <c r="B44" s="8"/>
      <c r="C44" s="9"/>
      <c r="D44" s="10" t="s">
        <v>0</v>
      </c>
    </row>
    <row r="45" spans="2:6" x14ac:dyDescent="0.15">
      <c r="B45" s="20" t="s">
        <v>4</v>
      </c>
      <c r="C45" s="21">
        <f>C38</f>
        <v>2</v>
      </c>
      <c r="D45" s="22">
        <f t="shared" ref="D45:D78" si="1">SUM(C45:C45)</f>
        <v>2</v>
      </c>
    </row>
    <row r="46" spans="2:6" x14ac:dyDescent="0.15">
      <c r="B46" s="37" t="s">
        <v>5</v>
      </c>
      <c r="C46" s="17">
        <v>1</v>
      </c>
      <c r="D46" s="18">
        <f>SUM(C46:C46)</f>
        <v>1</v>
      </c>
      <c r="E46" s="19">
        <v>45205</v>
      </c>
    </row>
    <row r="47" spans="2:6" x14ac:dyDescent="0.15">
      <c r="B47" s="46" t="s">
        <v>5</v>
      </c>
      <c r="C47" s="47">
        <v>-1</v>
      </c>
      <c r="D47" s="48">
        <f>SUM(C47:C47)</f>
        <v>-1</v>
      </c>
      <c r="E47" s="23">
        <v>45349</v>
      </c>
    </row>
    <row r="48" spans="2:6" x14ac:dyDescent="0.15">
      <c r="B48" s="37" t="s">
        <v>5</v>
      </c>
      <c r="C48" s="17">
        <v>3</v>
      </c>
      <c r="D48" s="18">
        <f>SUM(C48:C48)</f>
        <v>3</v>
      </c>
      <c r="E48" s="19">
        <v>45392</v>
      </c>
    </row>
    <row r="49" spans="2:5" x14ac:dyDescent="0.15">
      <c r="B49" s="37" t="s">
        <v>5</v>
      </c>
      <c r="C49" s="17">
        <v>3</v>
      </c>
      <c r="D49" s="18">
        <f>SUM(C49:C49)</f>
        <v>3</v>
      </c>
      <c r="E49" s="19">
        <v>45512</v>
      </c>
    </row>
    <row r="50" spans="2:5" ht="14.25" thickBot="1" x14ac:dyDescent="0.2">
      <c r="B50" s="37" t="s">
        <v>14</v>
      </c>
      <c r="C50" s="17">
        <v>-2</v>
      </c>
      <c r="D50" s="18">
        <f>SUM(C50:C50)</f>
        <v>-2</v>
      </c>
      <c r="E50" s="19">
        <v>45530</v>
      </c>
    </row>
    <row r="51" spans="2:5" ht="14.25" thickBot="1" x14ac:dyDescent="0.2">
      <c r="B51" s="8" t="s">
        <v>1</v>
      </c>
      <c r="C51" s="11">
        <f>SUM(C45:C50)</f>
        <v>6</v>
      </c>
      <c r="D51" s="12">
        <f t="shared" si="1"/>
        <v>6</v>
      </c>
    </row>
    <row r="52" spans="2:5" x14ac:dyDescent="0.15">
      <c r="B52" s="16" t="s">
        <v>10</v>
      </c>
      <c r="C52" s="2">
        <v>1</v>
      </c>
      <c r="D52" s="14">
        <f t="shared" si="1"/>
        <v>1</v>
      </c>
      <c r="E52" s="13">
        <v>45383</v>
      </c>
    </row>
    <row r="53" spans="2:5" x14ac:dyDescent="0.15">
      <c r="B53" s="16" t="s">
        <v>10</v>
      </c>
      <c r="C53" s="2">
        <v>1</v>
      </c>
      <c r="D53" s="3">
        <f t="shared" si="1"/>
        <v>1</v>
      </c>
      <c r="E53" s="19">
        <v>45390</v>
      </c>
    </row>
    <row r="54" spans="2:5" x14ac:dyDescent="0.15">
      <c r="B54" s="16" t="s">
        <v>10</v>
      </c>
      <c r="C54" s="17">
        <v>1</v>
      </c>
      <c r="D54" s="18">
        <f t="shared" si="1"/>
        <v>1</v>
      </c>
      <c r="E54" s="19">
        <v>45495</v>
      </c>
    </row>
    <row r="55" spans="2:5" x14ac:dyDescent="0.15">
      <c r="B55" s="16" t="s">
        <v>10</v>
      </c>
      <c r="C55" s="2">
        <v>1</v>
      </c>
      <c r="D55" s="3">
        <f t="shared" si="1"/>
        <v>1</v>
      </c>
      <c r="E55" s="13">
        <v>45525</v>
      </c>
    </row>
    <row r="56" spans="2:5" x14ac:dyDescent="0.15">
      <c r="B56" s="16" t="s">
        <v>10</v>
      </c>
      <c r="C56" s="2">
        <v>1</v>
      </c>
      <c r="D56" s="3">
        <f t="shared" si="1"/>
        <v>1</v>
      </c>
      <c r="E56" s="13">
        <v>45537</v>
      </c>
    </row>
    <row r="57" spans="2:5" x14ac:dyDescent="0.15">
      <c r="B57" s="16" t="s">
        <v>10</v>
      </c>
      <c r="C57" s="17">
        <v>1</v>
      </c>
      <c r="D57" s="18">
        <f t="shared" si="1"/>
        <v>1</v>
      </c>
      <c r="E57" s="13">
        <v>45584</v>
      </c>
    </row>
    <row r="58" spans="2:5" x14ac:dyDescent="0.15">
      <c r="B58" s="16"/>
      <c r="C58" s="2"/>
      <c r="D58" s="3">
        <f t="shared" si="1"/>
        <v>0</v>
      </c>
      <c r="E58" s="13"/>
    </row>
    <row r="59" spans="2:5" x14ac:dyDescent="0.15">
      <c r="B59" s="16"/>
      <c r="C59" s="2"/>
      <c r="D59" s="3">
        <f t="shared" si="1"/>
        <v>0</v>
      </c>
      <c r="E59" s="13"/>
    </row>
    <row r="60" spans="2:5" x14ac:dyDescent="0.15">
      <c r="B60" s="16"/>
      <c r="C60" s="2"/>
      <c r="D60" s="3">
        <f t="shared" si="1"/>
        <v>0</v>
      </c>
      <c r="E60" s="13"/>
    </row>
    <row r="61" spans="2:5" x14ac:dyDescent="0.15">
      <c r="B61" s="16"/>
      <c r="C61" s="2"/>
      <c r="D61" s="3">
        <f t="shared" si="1"/>
        <v>0</v>
      </c>
      <c r="E61" s="19"/>
    </row>
    <row r="62" spans="2:5" x14ac:dyDescent="0.15">
      <c r="B62" s="16"/>
      <c r="C62" s="2"/>
      <c r="D62" s="3">
        <f t="shared" si="1"/>
        <v>0</v>
      </c>
      <c r="E62" s="19"/>
    </row>
    <row r="63" spans="2:5" x14ac:dyDescent="0.15">
      <c r="B63" s="16"/>
      <c r="C63" s="2"/>
      <c r="D63" s="3">
        <f t="shared" si="1"/>
        <v>0</v>
      </c>
      <c r="E63" s="19"/>
    </row>
    <row r="64" spans="2:5" x14ac:dyDescent="0.15">
      <c r="B64" s="16"/>
      <c r="C64" s="2"/>
      <c r="D64" s="3">
        <f t="shared" si="1"/>
        <v>0</v>
      </c>
      <c r="E64" s="19"/>
    </row>
    <row r="65" spans="2:6" x14ac:dyDescent="0.15">
      <c r="B65" s="16"/>
      <c r="C65" s="2"/>
      <c r="D65" s="3">
        <f t="shared" si="1"/>
        <v>0</v>
      </c>
      <c r="E65" s="19"/>
    </row>
    <row r="66" spans="2:6" x14ac:dyDescent="0.15">
      <c r="B66" s="16"/>
      <c r="C66" s="2"/>
      <c r="D66" s="3">
        <f t="shared" si="1"/>
        <v>0</v>
      </c>
      <c r="E66" s="19"/>
    </row>
    <row r="67" spans="2:6" x14ac:dyDescent="0.15">
      <c r="B67" s="16"/>
      <c r="C67" s="2"/>
      <c r="D67" s="3">
        <f t="shared" si="1"/>
        <v>0</v>
      </c>
      <c r="E67" s="19"/>
    </row>
    <row r="68" spans="2:6" x14ac:dyDescent="0.15">
      <c r="B68" s="16"/>
      <c r="C68" s="2"/>
      <c r="D68" s="3">
        <f t="shared" si="1"/>
        <v>0</v>
      </c>
      <c r="E68" s="19"/>
    </row>
    <row r="69" spans="2:6" x14ac:dyDescent="0.15">
      <c r="B69" s="38"/>
      <c r="C69" s="2"/>
      <c r="D69" s="3">
        <f t="shared" si="1"/>
        <v>0</v>
      </c>
      <c r="E69" s="19"/>
    </row>
    <row r="70" spans="2:6" x14ac:dyDescent="0.15">
      <c r="B70" s="33"/>
      <c r="C70" s="2"/>
      <c r="D70" s="3">
        <f t="shared" si="1"/>
        <v>0</v>
      </c>
      <c r="E70" s="19"/>
    </row>
    <row r="71" spans="2:6" x14ac:dyDescent="0.15">
      <c r="B71" s="16"/>
      <c r="C71" s="2"/>
      <c r="D71" s="3">
        <f t="shared" si="1"/>
        <v>0</v>
      </c>
      <c r="E71" s="19"/>
    </row>
    <row r="72" spans="2:6" x14ac:dyDescent="0.15">
      <c r="B72" s="16"/>
      <c r="C72" s="2"/>
      <c r="D72" s="3">
        <f t="shared" si="1"/>
        <v>0</v>
      </c>
      <c r="E72" s="19"/>
    </row>
    <row r="73" spans="2:6" x14ac:dyDescent="0.15">
      <c r="B73" s="16"/>
      <c r="C73" s="17"/>
      <c r="D73" s="18">
        <f t="shared" si="1"/>
        <v>0</v>
      </c>
      <c r="E73" s="19"/>
    </row>
    <row r="74" spans="2:6" x14ac:dyDescent="0.15">
      <c r="B74" s="33"/>
      <c r="C74" s="17"/>
      <c r="D74" s="18">
        <f t="shared" si="1"/>
        <v>0</v>
      </c>
      <c r="E74" s="19"/>
      <c r="F74" s="34"/>
    </row>
    <row r="75" spans="2:6" x14ac:dyDescent="0.15">
      <c r="B75" s="33"/>
      <c r="C75" s="17"/>
      <c r="D75" s="18">
        <f t="shared" si="1"/>
        <v>0</v>
      </c>
      <c r="E75" s="19"/>
      <c r="F75" s="34"/>
    </row>
    <row r="76" spans="2:6" ht="14.25" thickBot="1" x14ac:dyDescent="0.2">
      <c r="B76" s="36"/>
      <c r="C76" s="30"/>
      <c r="D76" s="31">
        <f t="shared" si="1"/>
        <v>0</v>
      </c>
      <c r="E76" s="19"/>
      <c r="F76" s="34"/>
    </row>
    <row r="77" spans="2:6" x14ac:dyDescent="0.15">
      <c r="B77" s="4" t="s">
        <v>2</v>
      </c>
      <c r="C77" s="5">
        <f>SUM(C52:C76)</f>
        <v>6</v>
      </c>
      <c r="D77" s="6">
        <f t="shared" si="1"/>
        <v>6</v>
      </c>
    </row>
    <row r="78" spans="2:6" ht="14.25" thickBot="1" x14ac:dyDescent="0.2">
      <c r="B78" s="24" t="s">
        <v>3</v>
      </c>
      <c r="C78" s="25">
        <f>+C51-C77</f>
        <v>0</v>
      </c>
      <c r="D78" s="26">
        <f t="shared" si="1"/>
        <v>0</v>
      </c>
    </row>
    <row r="81" spans="2:5" ht="18.75" x14ac:dyDescent="0.2">
      <c r="B81" s="32" t="s">
        <v>9</v>
      </c>
    </row>
    <row r="82" spans="2:5" ht="14.25" thickBot="1" x14ac:dyDescent="0.2">
      <c r="B82" s="1">
        <v>2025</v>
      </c>
    </row>
    <row r="83" spans="2:5" ht="14.25" thickBot="1" x14ac:dyDescent="0.2">
      <c r="B83" s="7"/>
      <c r="C83" s="55"/>
      <c r="D83" s="56"/>
    </row>
    <row r="84" spans="2:5" ht="14.25" thickBot="1" x14ac:dyDescent="0.2">
      <c r="B84" s="8"/>
      <c r="C84" s="9"/>
      <c r="D84" s="10" t="s">
        <v>0</v>
      </c>
    </row>
    <row r="85" spans="2:5" x14ac:dyDescent="0.15">
      <c r="B85" s="20" t="s">
        <v>4</v>
      </c>
      <c r="C85" s="21">
        <f>C78</f>
        <v>0</v>
      </c>
      <c r="D85" s="22">
        <f t="shared" ref="D85" si="2">SUM(C85:C85)</f>
        <v>0</v>
      </c>
    </row>
    <row r="86" spans="2:5" x14ac:dyDescent="0.15">
      <c r="B86" s="37" t="s">
        <v>5</v>
      </c>
      <c r="C86" s="17">
        <v>2</v>
      </c>
      <c r="D86" s="18">
        <f>SUM(C86:C86)</f>
        <v>2</v>
      </c>
      <c r="E86" s="19">
        <v>45539</v>
      </c>
    </row>
    <row r="87" spans="2:5" x14ac:dyDescent="0.15">
      <c r="B87" s="37" t="s">
        <v>5</v>
      </c>
      <c r="C87" s="5">
        <v>3</v>
      </c>
      <c r="D87" s="18">
        <f>SUM(C87:C87)</f>
        <v>3</v>
      </c>
      <c r="E87" s="19">
        <v>45603</v>
      </c>
    </row>
    <row r="88" spans="2:5" x14ac:dyDescent="0.15">
      <c r="B88" s="37" t="s">
        <v>5</v>
      </c>
      <c r="C88" s="17">
        <v>3</v>
      </c>
      <c r="D88" s="18">
        <f>SUM(C88:C88)</f>
        <v>3</v>
      </c>
      <c r="E88" s="19">
        <v>45757</v>
      </c>
    </row>
    <row r="89" spans="2:5" x14ac:dyDescent="0.15">
      <c r="B89" s="37" t="s">
        <v>5</v>
      </c>
      <c r="C89" s="17">
        <v>2</v>
      </c>
      <c r="D89" s="18">
        <f>SUM(C89:C89)</f>
        <v>2</v>
      </c>
      <c r="E89" s="19">
        <v>45978</v>
      </c>
    </row>
    <row r="90" spans="2:5" ht="14.25" thickBot="1" x14ac:dyDescent="0.2">
      <c r="B90" s="37" t="s">
        <v>5</v>
      </c>
      <c r="C90" s="17"/>
      <c r="D90" s="18">
        <f>SUM(C90:C90)</f>
        <v>0</v>
      </c>
    </row>
    <row r="91" spans="2:5" ht="14.25" thickBot="1" x14ac:dyDescent="0.2">
      <c r="B91" s="8" t="s">
        <v>1</v>
      </c>
      <c r="C91" s="11">
        <f>SUM(C85:C90)</f>
        <v>10</v>
      </c>
      <c r="D91" s="12">
        <f t="shared" ref="D91:D118" si="3">SUM(C91:C91)</f>
        <v>10</v>
      </c>
    </row>
    <row r="92" spans="2:5" x14ac:dyDescent="0.15">
      <c r="B92" s="16" t="s">
        <v>10</v>
      </c>
      <c r="C92" s="2">
        <v>1</v>
      </c>
      <c r="D92" s="14">
        <f t="shared" si="3"/>
        <v>1</v>
      </c>
      <c r="E92" s="19">
        <v>45593</v>
      </c>
    </row>
    <row r="93" spans="2:5" x14ac:dyDescent="0.15">
      <c r="B93" s="16" t="s">
        <v>10</v>
      </c>
      <c r="C93" s="2">
        <v>1</v>
      </c>
      <c r="D93" s="3">
        <f t="shared" si="3"/>
        <v>1</v>
      </c>
      <c r="E93" s="19">
        <v>45625</v>
      </c>
    </row>
    <row r="94" spans="2:5" x14ac:dyDescent="0.15">
      <c r="B94" s="16" t="s">
        <v>10</v>
      </c>
      <c r="C94" s="17">
        <v>1</v>
      </c>
      <c r="D94" s="18">
        <f t="shared" si="3"/>
        <v>1</v>
      </c>
      <c r="E94" s="19">
        <v>45745</v>
      </c>
    </row>
    <row r="95" spans="2:5" x14ac:dyDescent="0.15">
      <c r="B95" s="16" t="s">
        <v>10</v>
      </c>
      <c r="C95" s="2">
        <v>1</v>
      </c>
      <c r="D95" s="3">
        <f t="shared" si="3"/>
        <v>1</v>
      </c>
      <c r="E95" s="19">
        <v>45746</v>
      </c>
    </row>
    <row r="96" spans="2:5" x14ac:dyDescent="0.15">
      <c r="B96" s="16" t="s">
        <v>16</v>
      </c>
      <c r="C96" s="2">
        <v>1</v>
      </c>
      <c r="D96" s="3">
        <f t="shared" si="3"/>
        <v>1</v>
      </c>
      <c r="E96" s="19">
        <v>45895</v>
      </c>
    </row>
    <row r="97" spans="2:5" x14ac:dyDescent="0.15">
      <c r="B97" s="16" t="s">
        <v>10</v>
      </c>
      <c r="C97" s="17">
        <v>1</v>
      </c>
      <c r="D97" s="18">
        <f t="shared" si="3"/>
        <v>1</v>
      </c>
      <c r="E97" s="19">
        <v>45945</v>
      </c>
    </row>
    <row r="98" spans="2:5" x14ac:dyDescent="0.15">
      <c r="B98" s="16" t="s">
        <v>10</v>
      </c>
      <c r="C98" s="2">
        <v>1</v>
      </c>
      <c r="D98" s="3">
        <f t="shared" si="3"/>
        <v>1</v>
      </c>
      <c r="E98" s="19">
        <v>45957</v>
      </c>
    </row>
    <row r="99" spans="2:5" x14ac:dyDescent="0.15">
      <c r="B99" s="16" t="s">
        <v>10</v>
      </c>
      <c r="C99" s="2">
        <v>2</v>
      </c>
      <c r="D99" s="3">
        <f t="shared" si="3"/>
        <v>2</v>
      </c>
      <c r="E99" s="19">
        <v>45972</v>
      </c>
    </row>
    <row r="100" spans="2:5" x14ac:dyDescent="0.15">
      <c r="B100" s="53" t="s">
        <v>18</v>
      </c>
      <c r="C100" s="54">
        <v>-3</v>
      </c>
      <c r="D100" s="48">
        <f t="shared" si="3"/>
        <v>-3</v>
      </c>
      <c r="E100" s="23">
        <v>45979</v>
      </c>
    </row>
    <row r="101" spans="2:5" x14ac:dyDescent="0.15">
      <c r="B101" s="16" t="s">
        <v>10</v>
      </c>
      <c r="C101" s="2">
        <v>1</v>
      </c>
      <c r="D101" s="3">
        <f t="shared" si="3"/>
        <v>1</v>
      </c>
      <c r="E101" s="19">
        <v>45996</v>
      </c>
    </row>
    <row r="102" spans="2:5" x14ac:dyDescent="0.15">
      <c r="B102" s="16" t="s">
        <v>14</v>
      </c>
      <c r="C102" s="2">
        <v>0</v>
      </c>
      <c r="D102" s="3">
        <f t="shared" si="3"/>
        <v>0</v>
      </c>
      <c r="E102" s="19">
        <v>46078</v>
      </c>
    </row>
    <row r="103" spans="2:5" x14ac:dyDescent="0.15">
      <c r="B103" s="16" t="s">
        <v>10</v>
      </c>
      <c r="C103" s="2">
        <v>2</v>
      </c>
      <c r="D103" s="3">
        <f t="shared" si="3"/>
        <v>2</v>
      </c>
      <c r="E103" s="19">
        <v>46177</v>
      </c>
    </row>
    <row r="104" spans="2:5" x14ac:dyDescent="0.15">
      <c r="B104" s="16" t="s">
        <v>23</v>
      </c>
      <c r="C104" s="17">
        <v>-3</v>
      </c>
      <c r="D104" s="18">
        <f t="shared" si="3"/>
        <v>-3</v>
      </c>
      <c r="E104" s="19">
        <v>46189</v>
      </c>
    </row>
    <row r="105" spans="2:5" x14ac:dyDescent="0.15">
      <c r="B105" s="16" t="s">
        <v>10</v>
      </c>
      <c r="C105" s="17">
        <v>1</v>
      </c>
      <c r="D105" s="18">
        <f t="shared" si="3"/>
        <v>1</v>
      </c>
      <c r="E105" s="19">
        <v>46198</v>
      </c>
    </row>
    <row r="106" spans="2:5" x14ac:dyDescent="0.15">
      <c r="B106" s="16"/>
      <c r="C106" s="2"/>
      <c r="D106" s="3">
        <f t="shared" si="3"/>
        <v>0</v>
      </c>
    </row>
    <row r="107" spans="2:5" x14ac:dyDescent="0.15">
      <c r="B107" s="16"/>
      <c r="C107" s="2"/>
      <c r="D107" s="3">
        <f t="shared" si="3"/>
        <v>0</v>
      </c>
    </row>
    <row r="108" spans="2:5" x14ac:dyDescent="0.15">
      <c r="B108" s="16"/>
      <c r="C108" s="2"/>
      <c r="D108" s="3">
        <f t="shared" si="3"/>
        <v>0</v>
      </c>
    </row>
    <row r="109" spans="2:5" x14ac:dyDescent="0.15">
      <c r="B109" s="38"/>
      <c r="C109" s="2"/>
      <c r="D109" s="3">
        <f t="shared" si="3"/>
        <v>0</v>
      </c>
    </row>
    <row r="110" spans="2:5" x14ac:dyDescent="0.15">
      <c r="B110" s="33"/>
      <c r="C110" s="2"/>
      <c r="D110" s="3">
        <f t="shared" si="3"/>
        <v>0</v>
      </c>
    </row>
    <row r="111" spans="2:5" x14ac:dyDescent="0.15">
      <c r="B111" s="16"/>
      <c r="C111" s="2"/>
      <c r="D111" s="3">
        <f t="shared" si="3"/>
        <v>0</v>
      </c>
    </row>
    <row r="112" spans="2:5" x14ac:dyDescent="0.15">
      <c r="B112" s="16"/>
      <c r="C112" s="2"/>
      <c r="D112" s="3">
        <f t="shared" si="3"/>
        <v>0</v>
      </c>
    </row>
    <row r="113" spans="2:4" x14ac:dyDescent="0.15">
      <c r="B113" s="16"/>
      <c r="C113" s="17"/>
      <c r="D113" s="18">
        <f t="shared" si="3"/>
        <v>0</v>
      </c>
    </row>
    <row r="114" spans="2:4" x14ac:dyDescent="0.15">
      <c r="B114" s="33"/>
      <c r="C114" s="17"/>
      <c r="D114" s="18">
        <f t="shared" si="3"/>
        <v>0</v>
      </c>
    </row>
    <row r="115" spans="2:4" x14ac:dyDescent="0.15">
      <c r="B115" s="33"/>
      <c r="C115" s="17"/>
      <c r="D115" s="18">
        <f t="shared" si="3"/>
        <v>0</v>
      </c>
    </row>
    <row r="116" spans="2:4" ht="14.25" thickBot="1" x14ac:dyDescent="0.2">
      <c r="B116" s="36"/>
      <c r="C116" s="30"/>
      <c r="D116" s="31">
        <f t="shared" si="3"/>
        <v>0</v>
      </c>
    </row>
    <row r="117" spans="2:4" x14ac:dyDescent="0.15">
      <c r="B117" s="4" t="s">
        <v>2</v>
      </c>
      <c r="C117" s="5">
        <f>SUM(C92:C116)</f>
        <v>7</v>
      </c>
      <c r="D117" s="6">
        <f t="shared" si="3"/>
        <v>7</v>
      </c>
    </row>
    <row r="118" spans="2:4" ht="14.25" thickBot="1" x14ac:dyDescent="0.2">
      <c r="B118" s="24" t="s">
        <v>3</v>
      </c>
      <c r="C118" s="25">
        <f>+C91-C117</f>
        <v>3</v>
      </c>
      <c r="D118" s="26">
        <f t="shared" si="3"/>
        <v>3</v>
      </c>
    </row>
  </sheetData>
  <mergeCells count="3">
    <mergeCell ref="C3:D3"/>
    <mergeCell ref="C43:D43"/>
    <mergeCell ref="C83:D8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マイクロファイバー大判吸水パッド7枚組</vt:lpstr>
      <vt:lpstr>使い捨て吸水パッド50枚組</vt:lpstr>
      <vt:lpstr>羽つき吸水安心パッド2色4枚組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cp:lastPrinted>2023-04-10T05:13:35Z</cp:lastPrinted>
  <dcterms:created xsi:type="dcterms:W3CDTF">1997-01-08T22:48:59Z</dcterms:created>
  <dcterms:modified xsi:type="dcterms:W3CDTF">2026-07-22T09:01:44Z</dcterms:modified>
</cp:coreProperties>
</file>