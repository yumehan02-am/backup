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渡嘉\"/>
    </mc:Choice>
  </mc:AlternateContent>
  <xr:revisionPtr revIDLastSave="0" documentId="13_ncr:1_{1E1B0C67-7096-4969-B46D-8B3BAA97C356}" xr6:coauthVersionLast="47" xr6:coauthVersionMax="47" xr10:uidLastSave="{00000000-0000-0000-0000-000000000000}"/>
  <bookViews>
    <workbookView xWindow="720" yWindow="360" windowWidth="24150" windowHeight="12450" xr2:uid="{00000000-000D-0000-FFFF-FFFF00000000}"/>
  </bookViews>
  <sheets>
    <sheet name="オムツコー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1" i="1" l="1"/>
  <c r="E662" i="1"/>
  <c r="E663" i="1"/>
  <c r="E664" i="1"/>
  <c r="E665" i="1"/>
  <c r="K696" i="1"/>
  <c r="J696" i="1"/>
  <c r="I696" i="1"/>
  <c r="D696" i="1"/>
  <c r="C696" i="1"/>
  <c r="B696" i="1"/>
  <c r="L695" i="1"/>
  <c r="E695" i="1"/>
  <c r="L694" i="1"/>
  <c r="E694" i="1"/>
  <c r="L693" i="1"/>
  <c r="E693" i="1"/>
  <c r="L692" i="1"/>
  <c r="E692" i="1"/>
  <c r="L691" i="1"/>
  <c r="E691" i="1"/>
  <c r="L690" i="1"/>
  <c r="E690" i="1"/>
  <c r="L689" i="1"/>
  <c r="E689" i="1"/>
  <c r="L688" i="1"/>
  <c r="E688" i="1"/>
  <c r="L687" i="1"/>
  <c r="E687" i="1"/>
  <c r="L686" i="1"/>
  <c r="E686" i="1"/>
  <c r="L685" i="1"/>
  <c r="E685" i="1"/>
  <c r="L684" i="1"/>
  <c r="E684" i="1"/>
  <c r="L683" i="1"/>
  <c r="E683" i="1"/>
  <c r="L682" i="1"/>
  <c r="E682" i="1"/>
  <c r="L681" i="1"/>
  <c r="E681" i="1"/>
  <c r="L680" i="1"/>
  <c r="E680" i="1"/>
  <c r="L679" i="1"/>
  <c r="E679" i="1"/>
  <c r="L678" i="1"/>
  <c r="E678" i="1"/>
  <c r="L677" i="1"/>
  <c r="E677" i="1"/>
  <c r="L676" i="1"/>
  <c r="E676" i="1"/>
  <c r="L675" i="1"/>
  <c r="E675" i="1"/>
  <c r="L674" i="1"/>
  <c r="E674" i="1"/>
  <c r="E673" i="1"/>
  <c r="L672" i="1"/>
  <c r="E672" i="1"/>
  <c r="K671" i="1"/>
  <c r="D671" i="1"/>
  <c r="D697" i="1" s="1"/>
  <c r="C671" i="1"/>
  <c r="C697" i="1" s="1"/>
  <c r="L670" i="1"/>
  <c r="E670" i="1"/>
  <c r="L669" i="1"/>
  <c r="E669" i="1"/>
  <c r="L668" i="1"/>
  <c r="E668" i="1"/>
  <c r="L667" i="1"/>
  <c r="E667" i="1"/>
  <c r="L666" i="1"/>
  <c r="E666" i="1"/>
  <c r="L665" i="1"/>
  <c r="L664" i="1"/>
  <c r="L663" i="1"/>
  <c r="L662" i="1"/>
  <c r="L661" i="1"/>
  <c r="L660" i="1"/>
  <c r="E660" i="1"/>
  <c r="K659" i="1"/>
  <c r="D659" i="1"/>
  <c r="C659" i="1"/>
  <c r="L595" i="1"/>
  <c r="L631" i="1"/>
  <c r="L632" i="1"/>
  <c r="L633" i="1"/>
  <c r="L634" i="1"/>
  <c r="K655" i="1"/>
  <c r="J655" i="1"/>
  <c r="I655" i="1"/>
  <c r="D655" i="1"/>
  <c r="C655" i="1"/>
  <c r="B655" i="1"/>
  <c r="L654" i="1"/>
  <c r="E654" i="1"/>
  <c r="L653" i="1"/>
  <c r="E653" i="1"/>
  <c r="L652" i="1"/>
  <c r="E652" i="1"/>
  <c r="L651" i="1"/>
  <c r="E651" i="1"/>
  <c r="L650" i="1"/>
  <c r="E650" i="1"/>
  <c r="L649" i="1"/>
  <c r="E649" i="1"/>
  <c r="L648" i="1"/>
  <c r="E648" i="1"/>
  <c r="L647" i="1"/>
  <c r="E647" i="1"/>
  <c r="L646" i="1"/>
  <c r="E646" i="1"/>
  <c r="L645" i="1"/>
  <c r="E645" i="1"/>
  <c r="L644" i="1"/>
  <c r="E644" i="1"/>
  <c r="L643" i="1"/>
  <c r="E643" i="1"/>
  <c r="L642" i="1"/>
  <c r="E642" i="1"/>
  <c r="L641" i="1"/>
  <c r="E641" i="1"/>
  <c r="L640" i="1"/>
  <c r="E640" i="1"/>
  <c r="L639" i="1"/>
  <c r="E639" i="1"/>
  <c r="L638" i="1"/>
  <c r="E638" i="1"/>
  <c r="L637" i="1"/>
  <c r="E637" i="1"/>
  <c r="L636" i="1"/>
  <c r="E636" i="1"/>
  <c r="L635" i="1"/>
  <c r="E635" i="1"/>
  <c r="E634" i="1"/>
  <c r="E633" i="1"/>
  <c r="E632" i="1"/>
  <c r="E631" i="1"/>
  <c r="L629" i="1"/>
  <c r="E629" i="1"/>
  <c r="L628" i="1"/>
  <c r="E628" i="1"/>
  <c r="L627" i="1"/>
  <c r="E627" i="1"/>
  <c r="L626" i="1"/>
  <c r="E626" i="1"/>
  <c r="L625" i="1"/>
  <c r="E625" i="1"/>
  <c r="L624" i="1"/>
  <c r="E624" i="1"/>
  <c r="L623" i="1"/>
  <c r="E623" i="1"/>
  <c r="L622" i="1"/>
  <c r="E622" i="1"/>
  <c r="L621" i="1"/>
  <c r="E621" i="1"/>
  <c r="L620" i="1"/>
  <c r="E620" i="1"/>
  <c r="L619" i="1"/>
  <c r="E619" i="1"/>
  <c r="C593" i="1"/>
  <c r="E578" i="1"/>
  <c r="E579" i="1"/>
  <c r="E580" i="1"/>
  <c r="E581" i="1"/>
  <c r="E582" i="1"/>
  <c r="E583" i="1"/>
  <c r="E584" i="1"/>
  <c r="E585" i="1"/>
  <c r="L578" i="1"/>
  <c r="L579" i="1"/>
  <c r="L590" i="1"/>
  <c r="L591" i="1"/>
  <c r="L592" i="1"/>
  <c r="L593" i="1"/>
  <c r="L594" i="1"/>
  <c r="L596" i="1"/>
  <c r="L597" i="1"/>
  <c r="L598" i="1"/>
  <c r="L599" i="1"/>
  <c r="K614" i="1"/>
  <c r="J614" i="1"/>
  <c r="I614" i="1"/>
  <c r="D614" i="1"/>
  <c r="C614" i="1"/>
  <c r="B614" i="1"/>
  <c r="L613" i="1"/>
  <c r="E613" i="1"/>
  <c r="L612" i="1"/>
  <c r="E612" i="1"/>
  <c r="L611" i="1"/>
  <c r="E611" i="1"/>
  <c r="L610" i="1"/>
  <c r="E610" i="1"/>
  <c r="L609" i="1"/>
  <c r="E609" i="1"/>
  <c r="L608" i="1"/>
  <c r="E608" i="1"/>
  <c r="L607" i="1"/>
  <c r="E607" i="1"/>
  <c r="L606" i="1"/>
  <c r="E606" i="1"/>
  <c r="L605" i="1"/>
  <c r="E605" i="1"/>
  <c r="L604" i="1"/>
  <c r="E604" i="1"/>
  <c r="L603" i="1"/>
  <c r="E603" i="1"/>
  <c r="L602" i="1"/>
  <c r="E602" i="1"/>
  <c r="L601" i="1"/>
  <c r="E601" i="1"/>
  <c r="L600" i="1"/>
  <c r="E600" i="1"/>
  <c r="E599" i="1"/>
  <c r="E598" i="1"/>
  <c r="E597" i="1"/>
  <c r="E596" i="1"/>
  <c r="E595" i="1"/>
  <c r="E594" i="1"/>
  <c r="E593" i="1"/>
  <c r="E592" i="1"/>
  <c r="E591" i="1"/>
  <c r="E590" i="1"/>
  <c r="L588" i="1"/>
  <c r="E588" i="1"/>
  <c r="L587" i="1"/>
  <c r="E587" i="1"/>
  <c r="L586" i="1"/>
  <c r="E586" i="1"/>
  <c r="L585" i="1"/>
  <c r="L584" i="1"/>
  <c r="L583" i="1"/>
  <c r="L582" i="1"/>
  <c r="L581" i="1"/>
  <c r="L580" i="1"/>
  <c r="K577" i="1"/>
  <c r="K589" i="1" s="1"/>
  <c r="K615" i="1" s="1"/>
  <c r="K618" i="1" s="1"/>
  <c r="K630" i="1" s="1"/>
  <c r="J577" i="1"/>
  <c r="J589" i="1" s="1"/>
  <c r="J615" i="1" s="1"/>
  <c r="J618" i="1" s="1"/>
  <c r="I577" i="1"/>
  <c r="I589" i="1" s="1"/>
  <c r="D577" i="1"/>
  <c r="D589" i="1" s="1"/>
  <c r="B577" i="1"/>
  <c r="B589" i="1" s="1"/>
  <c r="D552" i="1"/>
  <c r="E537" i="1"/>
  <c r="E538" i="1"/>
  <c r="K573" i="1"/>
  <c r="J573" i="1"/>
  <c r="I573" i="1"/>
  <c r="D573" i="1"/>
  <c r="C573" i="1"/>
  <c r="L572" i="1"/>
  <c r="E572" i="1"/>
  <c r="L571" i="1"/>
  <c r="E571" i="1"/>
  <c r="L570" i="1"/>
  <c r="E570" i="1"/>
  <c r="L569" i="1"/>
  <c r="E569" i="1"/>
  <c r="L568" i="1"/>
  <c r="E568" i="1"/>
  <c r="L567" i="1"/>
  <c r="E567" i="1"/>
  <c r="L566" i="1"/>
  <c r="E566" i="1"/>
  <c r="L565" i="1"/>
  <c r="E565" i="1"/>
  <c r="L564" i="1"/>
  <c r="E564" i="1"/>
  <c r="L563" i="1"/>
  <c r="E563" i="1"/>
  <c r="L562" i="1"/>
  <c r="E562" i="1"/>
  <c r="L561" i="1"/>
  <c r="E561" i="1"/>
  <c r="L560" i="1"/>
  <c r="E560" i="1"/>
  <c r="L559" i="1"/>
  <c r="E559" i="1"/>
  <c r="L558" i="1"/>
  <c r="E558" i="1"/>
  <c r="L557" i="1"/>
  <c r="E557" i="1"/>
  <c r="L556" i="1"/>
  <c r="E556" i="1"/>
  <c r="L555" i="1"/>
  <c r="B573" i="1"/>
  <c r="L554" i="1"/>
  <c r="E554" i="1"/>
  <c r="L553" i="1"/>
  <c r="E553" i="1"/>
  <c r="L552" i="1"/>
  <c r="E552" i="1"/>
  <c r="L551" i="1"/>
  <c r="E551" i="1"/>
  <c r="L550" i="1"/>
  <c r="E550" i="1"/>
  <c r="L549" i="1"/>
  <c r="E549" i="1"/>
  <c r="L547" i="1"/>
  <c r="E547" i="1"/>
  <c r="L546" i="1"/>
  <c r="E546" i="1"/>
  <c r="L545" i="1"/>
  <c r="E545" i="1"/>
  <c r="L544" i="1"/>
  <c r="E544" i="1"/>
  <c r="L543" i="1"/>
  <c r="E543" i="1"/>
  <c r="L542" i="1"/>
  <c r="E542" i="1"/>
  <c r="L541" i="1"/>
  <c r="E541" i="1"/>
  <c r="L540" i="1"/>
  <c r="E540" i="1"/>
  <c r="L539" i="1"/>
  <c r="E539" i="1"/>
  <c r="L538" i="1"/>
  <c r="L537" i="1"/>
  <c r="L536" i="1"/>
  <c r="K536" i="1"/>
  <c r="K548" i="1" s="1"/>
  <c r="J536" i="1"/>
  <c r="J548" i="1" s="1"/>
  <c r="I536" i="1"/>
  <c r="I548" i="1" s="1"/>
  <c r="D536" i="1"/>
  <c r="D548" i="1" s="1"/>
  <c r="B536" i="1"/>
  <c r="B548" i="1" s="1"/>
  <c r="B514" i="1"/>
  <c r="E514" i="1" s="1"/>
  <c r="K532" i="1"/>
  <c r="J532" i="1"/>
  <c r="I532" i="1"/>
  <c r="D532" i="1"/>
  <c r="C532" i="1"/>
  <c r="B532" i="1"/>
  <c r="L531" i="1"/>
  <c r="E531" i="1"/>
  <c r="L530" i="1"/>
  <c r="E530" i="1"/>
  <c r="L529" i="1"/>
  <c r="E529" i="1"/>
  <c r="L528" i="1"/>
  <c r="E528" i="1"/>
  <c r="L527" i="1"/>
  <c r="E527" i="1"/>
  <c r="L526" i="1"/>
  <c r="E526" i="1"/>
  <c r="L525" i="1"/>
  <c r="E525" i="1"/>
  <c r="L524" i="1"/>
  <c r="E524" i="1"/>
  <c r="L523" i="1"/>
  <c r="E523" i="1"/>
  <c r="L522" i="1"/>
  <c r="E522" i="1"/>
  <c r="L521" i="1"/>
  <c r="E521" i="1"/>
  <c r="L520" i="1"/>
  <c r="E520" i="1"/>
  <c r="L519" i="1"/>
  <c r="E519" i="1"/>
  <c r="L518" i="1"/>
  <c r="E518" i="1"/>
  <c r="L517" i="1"/>
  <c r="E517" i="1"/>
  <c r="L516" i="1"/>
  <c r="E516" i="1"/>
  <c r="L515" i="1"/>
  <c r="E515" i="1"/>
  <c r="L514" i="1"/>
  <c r="L513" i="1"/>
  <c r="E513" i="1"/>
  <c r="L512" i="1"/>
  <c r="E512" i="1"/>
  <c r="L511" i="1"/>
  <c r="E511" i="1"/>
  <c r="L510" i="1"/>
  <c r="E510" i="1"/>
  <c r="L509" i="1"/>
  <c r="E509" i="1"/>
  <c r="L508" i="1"/>
  <c r="E508" i="1"/>
  <c r="J507" i="1"/>
  <c r="J533" i="1" s="1"/>
  <c r="L506" i="1"/>
  <c r="E506" i="1"/>
  <c r="L505" i="1"/>
  <c r="E505" i="1"/>
  <c r="L504" i="1"/>
  <c r="E504" i="1"/>
  <c r="L503" i="1"/>
  <c r="E503" i="1"/>
  <c r="L502" i="1"/>
  <c r="E502" i="1"/>
  <c r="L501" i="1"/>
  <c r="E501" i="1"/>
  <c r="L500" i="1"/>
  <c r="E500" i="1"/>
  <c r="L499" i="1"/>
  <c r="E499" i="1"/>
  <c r="L498" i="1"/>
  <c r="E498" i="1"/>
  <c r="L497" i="1"/>
  <c r="E497" i="1"/>
  <c r="L496" i="1"/>
  <c r="E496" i="1"/>
  <c r="K495" i="1"/>
  <c r="K507" i="1" s="1"/>
  <c r="K533" i="1" s="1"/>
  <c r="J495" i="1"/>
  <c r="I495" i="1"/>
  <c r="L495" i="1" s="1"/>
  <c r="C495" i="1"/>
  <c r="C507" i="1" s="1"/>
  <c r="B482" i="1"/>
  <c r="E482" i="1" s="1"/>
  <c r="E418" i="1"/>
  <c r="E458" i="1"/>
  <c r="E419" i="1"/>
  <c r="L455" i="1"/>
  <c r="L456" i="1"/>
  <c r="J454" i="1"/>
  <c r="K454" i="1"/>
  <c r="L467" i="1"/>
  <c r="L468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3" i="1"/>
  <c r="E484" i="1"/>
  <c r="E457" i="1"/>
  <c r="E459" i="1"/>
  <c r="E460" i="1"/>
  <c r="E461" i="1"/>
  <c r="E456" i="1"/>
  <c r="E455" i="1"/>
  <c r="K491" i="1"/>
  <c r="J491" i="1"/>
  <c r="I491" i="1"/>
  <c r="L491" i="1" s="1"/>
  <c r="L490" i="1"/>
  <c r="E490" i="1"/>
  <c r="L489" i="1"/>
  <c r="E489" i="1"/>
  <c r="L488" i="1"/>
  <c r="E488" i="1"/>
  <c r="L487" i="1"/>
  <c r="E487" i="1"/>
  <c r="L486" i="1"/>
  <c r="E486" i="1"/>
  <c r="L485" i="1"/>
  <c r="E485" i="1"/>
  <c r="L484" i="1"/>
  <c r="L483" i="1"/>
  <c r="L482" i="1"/>
  <c r="L481" i="1"/>
  <c r="L480" i="1"/>
  <c r="L479" i="1"/>
  <c r="L478" i="1"/>
  <c r="L477" i="1"/>
  <c r="L476" i="1"/>
  <c r="L475" i="1"/>
  <c r="D491" i="1"/>
  <c r="C491" i="1"/>
  <c r="L474" i="1"/>
  <c r="L473" i="1"/>
  <c r="L472" i="1"/>
  <c r="L471" i="1"/>
  <c r="L470" i="1"/>
  <c r="L469" i="1"/>
  <c r="L465" i="1"/>
  <c r="E465" i="1"/>
  <c r="L464" i="1"/>
  <c r="E464" i="1"/>
  <c r="L463" i="1"/>
  <c r="E463" i="1"/>
  <c r="L462" i="1"/>
  <c r="E462" i="1"/>
  <c r="L461" i="1"/>
  <c r="L460" i="1"/>
  <c r="L459" i="1"/>
  <c r="L458" i="1"/>
  <c r="L457" i="1"/>
  <c r="K466" i="1"/>
  <c r="K492" i="1" s="1"/>
  <c r="J466" i="1"/>
  <c r="J492" i="1" s="1"/>
  <c r="B439" i="1"/>
  <c r="D434" i="1"/>
  <c r="B434" i="1"/>
  <c r="B450" i="1" s="1"/>
  <c r="C434" i="1"/>
  <c r="B428" i="1"/>
  <c r="L372" i="1"/>
  <c r="L373" i="1"/>
  <c r="L374" i="1"/>
  <c r="L375" i="1"/>
  <c r="L376" i="1"/>
  <c r="L377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31" i="1"/>
  <c r="L332" i="1"/>
  <c r="L333" i="1"/>
  <c r="L334" i="1"/>
  <c r="L335" i="1"/>
  <c r="L336" i="1"/>
  <c r="L378" i="1"/>
  <c r="L379" i="1"/>
  <c r="L380" i="1"/>
  <c r="L381" i="1"/>
  <c r="L382" i="1"/>
  <c r="L383" i="1"/>
  <c r="I384" i="1"/>
  <c r="I410" i="1" s="1"/>
  <c r="J384" i="1"/>
  <c r="J410" i="1" s="1"/>
  <c r="J413" i="1" s="1"/>
  <c r="J425" i="1" s="1"/>
  <c r="J451" i="1" s="1"/>
  <c r="K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I409" i="1"/>
  <c r="J409" i="1"/>
  <c r="L409" i="1" s="1"/>
  <c r="K409" i="1"/>
  <c r="K410" i="1" s="1"/>
  <c r="K413" i="1" s="1"/>
  <c r="K425" i="1" s="1"/>
  <c r="K451" i="1" s="1"/>
  <c r="L414" i="1"/>
  <c r="L415" i="1"/>
  <c r="L416" i="1"/>
  <c r="L417" i="1"/>
  <c r="L418" i="1"/>
  <c r="L419" i="1"/>
  <c r="L420" i="1"/>
  <c r="L421" i="1"/>
  <c r="L422" i="1"/>
  <c r="L423" i="1"/>
  <c r="L424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I450" i="1"/>
  <c r="J450" i="1"/>
  <c r="K450" i="1"/>
  <c r="K368" i="1"/>
  <c r="J368" i="1"/>
  <c r="J369" i="1" s="1"/>
  <c r="I368" i="1"/>
  <c r="L368" i="1" s="1"/>
  <c r="L367" i="1"/>
  <c r="L366" i="1"/>
  <c r="L365" i="1"/>
  <c r="L364" i="1"/>
  <c r="L363" i="1"/>
  <c r="L362" i="1"/>
  <c r="L361" i="1"/>
  <c r="L360" i="1"/>
  <c r="L359" i="1"/>
  <c r="K343" i="1"/>
  <c r="K369" i="1" s="1"/>
  <c r="J343" i="1"/>
  <c r="I343" i="1"/>
  <c r="L343" i="1" s="1"/>
  <c r="L342" i="1"/>
  <c r="L341" i="1"/>
  <c r="L340" i="1"/>
  <c r="L339" i="1"/>
  <c r="L338" i="1"/>
  <c r="L337" i="1"/>
  <c r="E414" i="1"/>
  <c r="E415" i="1"/>
  <c r="E416" i="1"/>
  <c r="E417" i="1"/>
  <c r="E426" i="1"/>
  <c r="E427" i="1"/>
  <c r="E428" i="1"/>
  <c r="E429" i="1"/>
  <c r="E430" i="1"/>
  <c r="E431" i="1"/>
  <c r="E432" i="1"/>
  <c r="E433" i="1"/>
  <c r="E435" i="1"/>
  <c r="E436" i="1"/>
  <c r="E437" i="1"/>
  <c r="E438" i="1"/>
  <c r="E439" i="1"/>
  <c r="E440" i="1"/>
  <c r="E441" i="1"/>
  <c r="E442" i="1"/>
  <c r="E443" i="1"/>
  <c r="E444" i="1"/>
  <c r="E445" i="1"/>
  <c r="D450" i="1"/>
  <c r="E449" i="1"/>
  <c r="E448" i="1"/>
  <c r="E447" i="1"/>
  <c r="E446" i="1"/>
  <c r="E424" i="1"/>
  <c r="E423" i="1"/>
  <c r="E422" i="1"/>
  <c r="E421" i="1"/>
  <c r="E420" i="1"/>
  <c r="B398" i="1"/>
  <c r="E398" i="1" s="1"/>
  <c r="C398" i="1"/>
  <c r="B394" i="1"/>
  <c r="B391" i="1"/>
  <c r="B388" i="1"/>
  <c r="E373" i="1"/>
  <c r="E374" i="1"/>
  <c r="E375" i="1"/>
  <c r="E376" i="1"/>
  <c r="E377" i="1"/>
  <c r="D409" i="1"/>
  <c r="C409" i="1"/>
  <c r="E408" i="1"/>
  <c r="E407" i="1"/>
  <c r="E406" i="1"/>
  <c r="E405" i="1"/>
  <c r="E404" i="1"/>
  <c r="E403" i="1"/>
  <c r="E402" i="1"/>
  <c r="E401" i="1"/>
  <c r="E400" i="1"/>
  <c r="E399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D384" i="1"/>
  <c r="B384" i="1"/>
  <c r="E383" i="1"/>
  <c r="E382" i="1"/>
  <c r="E381" i="1"/>
  <c r="E380" i="1"/>
  <c r="E379" i="1"/>
  <c r="E378" i="1"/>
  <c r="D372" i="1"/>
  <c r="C372" i="1"/>
  <c r="C384" i="1" s="1"/>
  <c r="B372" i="1"/>
  <c r="C367" i="1"/>
  <c r="B367" i="1"/>
  <c r="E352" i="1"/>
  <c r="E344" i="1"/>
  <c r="E345" i="1"/>
  <c r="E346" i="1"/>
  <c r="E347" i="1"/>
  <c r="E348" i="1"/>
  <c r="E349" i="1"/>
  <c r="E350" i="1"/>
  <c r="E351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32" i="1"/>
  <c r="E333" i="1"/>
  <c r="E334" i="1"/>
  <c r="D368" i="1"/>
  <c r="B368" i="1"/>
  <c r="E367" i="1"/>
  <c r="E366" i="1"/>
  <c r="C368" i="1"/>
  <c r="E342" i="1"/>
  <c r="E341" i="1"/>
  <c r="E340" i="1"/>
  <c r="E339" i="1"/>
  <c r="E338" i="1"/>
  <c r="E337" i="1"/>
  <c r="E336" i="1"/>
  <c r="E335" i="1"/>
  <c r="C321" i="1"/>
  <c r="E305" i="1"/>
  <c r="E306" i="1"/>
  <c r="E291" i="1"/>
  <c r="E292" i="1"/>
  <c r="E293" i="1"/>
  <c r="E294" i="1"/>
  <c r="E295" i="1"/>
  <c r="E303" i="1"/>
  <c r="E304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D327" i="1"/>
  <c r="B327" i="1"/>
  <c r="E326" i="1"/>
  <c r="E325" i="1"/>
  <c r="C327" i="1"/>
  <c r="D302" i="1"/>
  <c r="E301" i="1"/>
  <c r="E300" i="1"/>
  <c r="E299" i="1"/>
  <c r="E298" i="1"/>
  <c r="E297" i="1"/>
  <c r="E296" i="1"/>
  <c r="D290" i="1"/>
  <c r="B290" i="1"/>
  <c r="B302" i="1" s="1"/>
  <c r="B284" i="1"/>
  <c r="C266" i="1"/>
  <c r="E250" i="1"/>
  <c r="E251" i="1"/>
  <c r="E252" i="1"/>
  <c r="E253" i="1"/>
  <c r="E254" i="1"/>
  <c r="E255" i="1"/>
  <c r="E256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D286" i="1"/>
  <c r="B286" i="1"/>
  <c r="E285" i="1"/>
  <c r="E284" i="1"/>
  <c r="E283" i="1"/>
  <c r="C286" i="1"/>
  <c r="E260" i="1"/>
  <c r="E259" i="1"/>
  <c r="E258" i="1"/>
  <c r="E257" i="1"/>
  <c r="C239" i="1"/>
  <c r="C245" i="1" s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40" i="1"/>
  <c r="E241" i="1"/>
  <c r="E242" i="1"/>
  <c r="E209" i="1"/>
  <c r="E210" i="1"/>
  <c r="E211" i="1"/>
  <c r="E212" i="1"/>
  <c r="E213" i="1"/>
  <c r="E214" i="1"/>
  <c r="D245" i="1"/>
  <c r="B245" i="1"/>
  <c r="E244" i="1"/>
  <c r="E243" i="1"/>
  <c r="E219" i="1"/>
  <c r="E218" i="1"/>
  <c r="E217" i="1"/>
  <c r="E216" i="1"/>
  <c r="E215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168" i="1"/>
  <c r="E169" i="1"/>
  <c r="E170" i="1"/>
  <c r="E171" i="1"/>
  <c r="E172" i="1"/>
  <c r="E173" i="1"/>
  <c r="D204" i="1"/>
  <c r="C204" i="1"/>
  <c r="B204" i="1"/>
  <c r="E203" i="1"/>
  <c r="E202" i="1"/>
  <c r="E178" i="1"/>
  <c r="E177" i="1"/>
  <c r="E176" i="1"/>
  <c r="E175" i="1"/>
  <c r="E174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27" i="1"/>
  <c r="E128" i="1"/>
  <c r="E129" i="1"/>
  <c r="E130" i="1"/>
  <c r="D163" i="1"/>
  <c r="C163" i="1"/>
  <c r="E162" i="1"/>
  <c r="E161" i="1"/>
  <c r="E160" i="1"/>
  <c r="B163" i="1"/>
  <c r="E137" i="1"/>
  <c r="E136" i="1"/>
  <c r="E135" i="1"/>
  <c r="E134" i="1"/>
  <c r="E133" i="1"/>
  <c r="E132" i="1"/>
  <c r="E131" i="1"/>
  <c r="K697" i="1" l="1"/>
  <c r="L696" i="1"/>
  <c r="E696" i="1"/>
  <c r="L655" i="1"/>
  <c r="J630" i="1"/>
  <c r="J656" i="1" s="1"/>
  <c r="J659" i="1" s="1"/>
  <c r="J671" i="1" s="1"/>
  <c r="J697" i="1" s="1"/>
  <c r="E655" i="1"/>
  <c r="K656" i="1"/>
  <c r="D615" i="1"/>
  <c r="D618" i="1" s="1"/>
  <c r="D630" i="1" s="1"/>
  <c r="D656" i="1" s="1"/>
  <c r="E614" i="1"/>
  <c r="L614" i="1"/>
  <c r="I615" i="1"/>
  <c r="L589" i="1"/>
  <c r="B615" i="1"/>
  <c r="B618" i="1" s="1"/>
  <c r="B630" i="1" s="1"/>
  <c r="B656" i="1" s="1"/>
  <c r="B659" i="1" s="1"/>
  <c r="L577" i="1"/>
  <c r="L573" i="1"/>
  <c r="E573" i="1"/>
  <c r="J574" i="1"/>
  <c r="K574" i="1"/>
  <c r="D574" i="1"/>
  <c r="B574" i="1"/>
  <c r="I574" i="1"/>
  <c r="L548" i="1"/>
  <c r="E555" i="1"/>
  <c r="L532" i="1"/>
  <c r="C533" i="1"/>
  <c r="C536" i="1" s="1"/>
  <c r="C548" i="1" s="1"/>
  <c r="C574" i="1" s="1"/>
  <c r="C577" i="1" s="1"/>
  <c r="C589" i="1" s="1"/>
  <c r="C615" i="1" s="1"/>
  <c r="C618" i="1" s="1"/>
  <c r="E532" i="1"/>
  <c r="I507" i="1"/>
  <c r="B491" i="1"/>
  <c r="E491" i="1" s="1"/>
  <c r="L450" i="1"/>
  <c r="E434" i="1"/>
  <c r="C450" i="1"/>
  <c r="E450" i="1" s="1"/>
  <c r="I369" i="1"/>
  <c r="L369" i="1" s="1"/>
  <c r="I413" i="1"/>
  <c r="L410" i="1"/>
  <c r="L384" i="1"/>
  <c r="B409" i="1"/>
  <c r="E409" i="1" s="1"/>
  <c r="C410" i="1"/>
  <c r="C413" i="1" s="1"/>
  <c r="C425" i="1" s="1"/>
  <c r="D410" i="1"/>
  <c r="D413" i="1" s="1"/>
  <c r="D425" i="1" s="1"/>
  <c r="D451" i="1" s="1"/>
  <c r="D454" i="1" s="1"/>
  <c r="D466" i="1" s="1"/>
  <c r="D492" i="1" s="1"/>
  <c r="D495" i="1" s="1"/>
  <c r="E384" i="1"/>
  <c r="E372" i="1"/>
  <c r="E368" i="1"/>
  <c r="D328" i="1"/>
  <c r="D331" i="1" s="1"/>
  <c r="D343" i="1" s="1"/>
  <c r="D369" i="1" s="1"/>
  <c r="E327" i="1"/>
  <c r="B328" i="1"/>
  <c r="B331" i="1" s="1"/>
  <c r="B343" i="1" s="1"/>
  <c r="B369" i="1" s="1"/>
  <c r="E286" i="1"/>
  <c r="E239" i="1"/>
  <c r="E245" i="1"/>
  <c r="E204" i="1"/>
  <c r="E163" i="1"/>
  <c r="B108" i="1"/>
  <c r="B122" i="1" s="1"/>
  <c r="D122" i="1"/>
  <c r="C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7" i="1"/>
  <c r="E106" i="1"/>
  <c r="E105" i="1"/>
  <c r="E104" i="1"/>
  <c r="E103" i="1"/>
  <c r="E102" i="1"/>
  <c r="E101" i="1"/>
  <c r="E100" i="1"/>
  <c r="E99" i="1"/>
  <c r="E98" i="1"/>
  <c r="E96" i="1"/>
  <c r="E95" i="1"/>
  <c r="E94" i="1"/>
  <c r="E93" i="1"/>
  <c r="E92" i="1"/>
  <c r="E91" i="1"/>
  <c r="E90" i="1"/>
  <c r="E89" i="1"/>
  <c r="E88" i="1"/>
  <c r="E87" i="1"/>
  <c r="E86" i="1"/>
  <c r="B71" i="1"/>
  <c r="E57" i="1"/>
  <c r="E16" i="1"/>
  <c r="B671" i="1" l="1"/>
  <c r="E659" i="1"/>
  <c r="L615" i="1"/>
  <c r="I618" i="1"/>
  <c r="C630" i="1"/>
  <c r="E618" i="1"/>
  <c r="E577" i="1"/>
  <c r="E615" i="1"/>
  <c r="E589" i="1"/>
  <c r="E548" i="1"/>
  <c r="E536" i="1"/>
  <c r="E574" i="1"/>
  <c r="L574" i="1"/>
  <c r="D507" i="1"/>
  <c r="I533" i="1"/>
  <c r="L533" i="1" s="1"/>
  <c r="L507" i="1"/>
  <c r="C451" i="1"/>
  <c r="C454" i="1" s="1"/>
  <c r="C466" i="1" s="1"/>
  <c r="C492" i="1" s="1"/>
  <c r="L413" i="1"/>
  <c r="I425" i="1"/>
  <c r="B410" i="1"/>
  <c r="E108" i="1"/>
  <c r="E122" i="1"/>
  <c r="E67" i="1"/>
  <c r="D81" i="1"/>
  <c r="C81" i="1"/>
  <c r="B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6" i="1"/>
  <c r="E65" i="1"/>
  <c r="E64" i="1"/>
  <c r="E63" i="1"/>
  <c r="E62" i="1"/>
  <c r="E61" i="1"/>
  <c r="E60" i="1"/>
  <c r="E59" i="1"/>
  <c r="E58" i="1"/>
  <c r="E55" i="1"/>
  <c r="E54" i="1"/>
  <c r="E53" i="1"/>
  <c r="E52" i="1"/>
  <c r="E51" i="1"/>
  <c r="E50" i="1"/>
  <c r="E49" i="1"/>
  <c r="E48" i="1"/>
  <c r="E47" i="1"/>
  <c r="E46" i="1"/>
  <c r="E45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17" i="1"/>
  <c r="E5" i="1"/>
  <c r="E6" i="1"/>
  <c r="E7" i="1"/>
  <c r="E8" i="1"/>
  <c r="E9" i="1"/>
  <c r="E10" i="1"/>
  <c r="E11" i="1"/>
  <c r="E12" i="1"/>
  <c r="E13" i="1"/>
  <c r="E14" i="1"/>
  <c r="E4" i="1"/>
  <c r="E3" i="1"/>
  <c r="B40" i="1"/>
  <c r="B15" i="1"/>
  <c r="D40" i="1"/>
  <c r="C40" i="1"/>
  <c r="D15" i="1"/>
  <c r="C15" i="1"/>
  <c r="E671" i="1" l="1"/>
  <c r="B697" i="1"/>
  <c r="E697" i="1" s="1"/>
  <c r="I630" i="1"/>
  <c r="L618" i="1"/>
  <c r="C656" i="1"/>
  <c r="E656" i="1" s="1"/>
  <c r="E630" i="1"/>
  <c r="D533" i="1"/>
  <c r="E410" i="1"/>
  <c r="B413" i="1"/>
  <c r="L425" i="1"/>
  <c r="I451" i="1"/>
  <c r="C41" i="1"/>
  <c r="C44" i="1" s="1"/>
  <c r="C56" i="1" s="1"/>
  <c r="C82" i="1" s="1"/>
  <c r="C85" i="1" s="1"/>
  <c r="C97" i="1" s="1"/>
  <c r="C123" i="1" s="1"/>
  <c r="C126" i="1" s="1"/>
  <c r="B41" i="1"/>
  <c r="B44" i="1" s="1"/>
  <c r="D41" i="1"/>
  <c r="D44" i="1" s="1"/>
  <c r="D56" i="1" s="1"/>
  <c r="D82" i="1" s="1"/>
  <c r="D85" i="1" s="1"/>
  <c r="D97" i="1" s="1"/>
  <c r="D123" i="1" s="1"/>
  <c r="D126" i="1" s="1"/>
  <c r="D138" i="1" s="1"/>
  <c r="D164" i="1" s="1"/>
  <c r="D167" i="1" s="1"/>
  <c r="D179" i="1" s="1"/>
  <c r="D205" i="1" s="1"/>
  <c r="D208" i="1" s="1"/>
  <c r="D220" i="1" s="1"/>
  <c r="D246" i="1" s="1"/>
  <c r="D249" i="1" s="1"/>
  <c r="E81" i="1"/>
  <c r="E40" i="1"/>
  <c r="E15" i="1"/>
  <c r="I656" i="1" l="1"/>
  <c r="L630" i="1"/>
  <c r="L451" i="1"/>
  <c r="I454" i="1"/>
  <c r="B425" i="1"/>
  <c r="E413" i="1"/>
  <c r="D261" i="1"/>
  <c r="C138" i="1"/>
  <c r="E44" i="1"/>
  <c r="E41" i="1"/>
  <c r="B56" i="1"/>
  <c r="B82" i="1" s="1"/>
  <c r="B85" i="1" s="1"/>
  <c r="L656" i="1" l="1"/>
  <c r="I659" i="1"/>
  <c r="L454" i="1"/>
  <c r="I466" i="1"/>
  <c r="E425" i="1"/>
  <c r="B451" i="1"/>
  <c r="D287" i="1"/>
  <c r="C164" i="1"/>
  <c r="C167" i="1" s="1"/>
  <c r="C179" i="1" s="1"/>
  <c r="C205" i="1" s="1"/>
  <c r="C208" i="1" s="1"/>
  <c r="B97" i="1"/>
  <c r="E85" i="1"/>
  <c r="E56" i="1"/>
  <c r="E82" i="1"/>
  <c r="I671" i="1" l="1"/>
  <c r="L659" i="1"/>
  <c r="I492" i="1"/>
  <c r="L492" i="1" s="1"/>
  <c r="L466" i="1"/>
  <c r="E451" i="1"/>
  <c r="B454" i="1"/>
  <c r="C220" i="1"/>
  <c r="B123" i="1"/>
  <c r="E97" i="1"/>
  <c r="L671" i="1" l="1"/>
  <c r="I697" i="1"/>
  <c r="L697" i="1" s="1"/>
  <c r="B466" i="1"/>
  <c r="E454" i="1"/>
  <c r="C246" i="1"/>
  <c r="C249" i="1" s="1"/>
  <c r="C261" i="1" s="1"/>
  <c r="C287" i="1" s="1"/>
  <c r="C290" i="1" s="1"/>
  <c r="E123" i="1"/>
  <c r="B126" i="1"/>
  <c r="E466" i="1" l="1"/>
  <c r="B492" i="1"/>
  <c r="C302" i="1"/>
  <c r="E290" i="1"/>
  <c r="B138" i="1"/>
  <c r="E126" i="1"/>
  <c r="E492" i="1" l="1"/>
  <c r="B495" i="1"/>
  <c r="C328" i="1"/>
  <c r="E302" i="1"/>
  <c r="B164" i="1"/>
  <c r="E138" i="1"/>
  <c r="B507" i="1" l="1"/>
  <c r="E495" i="1"/>
  <c r="E328" i="1"/>
  <c r="C331" i="1"/>
  <c r="E164" i="1"/>
  <c r="B167" i="1"/>
  <c r="B533" i="1" l="1"/>
  <c r="E533" i="1" s="1"/>
  <c r="E507" i="1"/>
  <c r="C343" i="1"/>
  <c r="E331" i="1"/>
  <c r="B179" i="1"/>
  <c r="E167" i="1"/>
  <c r="C369" i="1" l="1"/>
  <c r="E369" i="1" s="1"/>
  <c r="E343" i="1"/>
  <c r="E179" i="1"/>
  <c r="B205" i="1"/>
  <c r="E205" i="1" l="1"/>
  <c r="B208" i="1"/>
  <c r="B220" i="1" l="1"/>
  <c r="E208" i="1"/>
  <c r="B246" i="1" l="1"/>
  <c r="E220" i="1"/>
  <c r="E246" i="1" l="1"/>
  <c r="B249" i="1"/>
  <c r="B261" i="1" l="1"/>
  <c r="E249" i="1"/>
  <c r="B287" i="1" l="1"/>
  <c r="E287" i="1" s="1"/>
  <c r="E261" i="1"/>
</calcChain>
</file>

<file path=xl/sharedStrings.xml><?xml version="1.0" encoding="utf-8"?>
<sst xmlns="http://schemas.openxmlformats.org/spreadsheetml/2006/main" count="983" uniqueCount="26">
  <si>
    <t>計</t>
  </si>
  <si>
    <t>日付</t>
    <rPh sb="0" eb="2">
      <t>ヒヅケ</t>
    </rPh>
    <phoneticPr fontId="3"/>
  </si>
  <si>
    <t>初回</t>
    <rPh sb="0" eb="2">
      <t>ショカイ</t>
    </rPh>
    <phoneticPr fontId="3"/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</si>
  <si>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</si>
  <si>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</si>
  <si>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</si>
  <si>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</si>
  <si>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3"/>
  </si>
  <si>
    <t>L</t>
    <phoneticPr fontId="3"/>
  </si>
  <si>
    <t>LL</t>
    <phoneticPr fontId="3"/>
  </si>
  <si>
    <t>すいとるオムツコート　夢販在庫管理表</t>
    <rPh sb="11" eb="13">
      <t>ユメハン</t>
    </rPh>
    <rPh sb="13" eb="15">
      <t>ザイコ</t>
    </rPh>
    <rPh sb="15" eb="17">
      <t>カンリ</t>
    </rPh>
    <rPh sb="17" eb="18">
      <t>ヒョウ</t>
    </rPh>
    <phoneticPr fontId="3"/>
  </si>
  <si>
    <t>ネット</t>
    <phoneticPr fontId="3"/>
  </si>
  <si>
    <t>棚卸</t>
    <rPh sb="0" eb="2">
      <t>タナオロシ</t>
    </rPh>
    <phoneticPr fontId="3"/>
  </si>
  <si>
    <t>ネット交換</t>
    <rPh sb="3" eb="5">
      <t>コウカン</t>
    </rPh>
    <phoneticPr fontId="3"/>
  </si>
  <si>
    <t>ネット返品</t>
    <rPh sb="3" eb="5">
      <t>ヘンピン</t>
    </rPh>
    <phoneticPr fontId="3"/>
  </si>
  <si>
    <t>在庫確認</t>
    <rPh sb="0" eb="4">
      <t>ザイコカクニン</t>
    </rPh>
    <phoneticPr fontId="3"/>
  </si>
  <si>
    <t>ファスナー付きすいとるオムツコート　夢販在庫管理表</t>
    <rPh sb="5" eb="6">
      <t>ツ</t>
    </rPh>
    <rPh sb="18" eb="20">
      <t>ユメハン</t>
    </rPh>
    <rPh sb="20" eb="22">
      <t>ザイコ</t>
    </rPh>
    <rPh sb="22" eb="24">
      <t>カンリ</t>
    </rPh>
    <rPh sb="24" eb="25">
      <t>ヒョウ</t>
    </rPh>
    <phoneticPr fontId="3"/>
  </si>
  <si>
    <t>注残</t>
    <rPh sb="0" eb="2">
      <t>チュウザン</t>
    </rPh>
    <phoneticPr fontId="3"/>
  </si>
  <si>
    <t>ファスナー付きすいとるオムツコート　夢販在庫管理表 @3280</t>
    <rPh sb="5" eb="6">
      <t>ツ</t>
    </rPh>
    <rPh sb="18" eb="20">
      <t>ユメハン</t>
    </rPh>
    <rPh sb="20" eb="22">
      <t>ザイコ</t>
    </rPh>
    <rPh sb="22" eb="24">
      <t>カンリ</t>
    </rPh>
    <rPh sb="24" eb="25">
      <t>ヒョウ</t>
    </rPh>
    <phoneticPr fontId="3"/>
  </si>
  <si>
    <t>ネット</t>
  </si>
  <si>
    <t>在庫確認</t>
    <rPh sb="0" eb="4">
      <t>ザイコカクニン</t>
    </rPh>
    <phoneticPr fontId="3"/>
  </si>
  <si>
    <t>ネット</t>
    <phoneticPr fontId="3"/>
  </si>
  <si>
    <t>.</t>
    <phoneticPr fontId="3"/>
  </si>
  <si>
    <t>次回1月初旬上がり</t>
    <rPh sb="0" eb="2">
      <t>ジカイ</t>
    </rPh>
    <rPh sb="3" eb="4">
      <t>ガツ</t>
    </rPh>
    <rPh sb="4" eb="6">
      <t>ショジュン</t>
    </rPh>
    <rPh sb="6" eb="7">
      <t>ア</t>
    </rPh>
    <phoneticPr fontId="3"/>
  </si>
  <si>
    <t>西田</t>
    <rPh sb="0" eb="2">
      <t>ニシダ</t>
    </rPh>
    <phoneticPr fontId="3"/>
  </si>
  <si>
    <t>在庫調整</t>
    <rPh sb="0" eb="4">
      <t>ザイコチョウセイ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</si>
</sst>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4" fillId="0" borderId="6" xfId="0" applyFont="1" applyBorder="1" applyAlignment="1">
      <alignment horizontal="center" vertical="center"/>
    </xf>
    <xf numFmtId="0" fontId="0" fillId="0" borderId="7" xfId="0" applyBorder="1"/>
    <xf numFmtId="0" fontId="0" fillId="2" borderId="8" xfId="0" applyFill="1" applyBorder="1"/>
    <xf numFmtId="56" fontId="0" fillId="0" borderId="6" xfId="0" applyNumberFormat="1" applyBorder="1"/>
    <xf numFmtId="0" fontId="7" fillId="0" borderId="0" xfId="0" applyFont="1"/>
    <xf numFmtId="56" fontId="0" fillId="0" borderId="9" xfId="0" applyNumberFormat="1" applyBorder="1"/>
    <xf numFmtId="0" fontId="0" fillId="0" borderId="10" xfId="0" applyBorder="1"/>
    <xf numFmtId="0" fontId="1" fillId="0" borderId="10" xfId="0" applyFont="1" applyBorder="1"/>
    <xf numFmtId="0" fontId="1" fillId="0" borderId="7" xfId="0" applyFont="1" applyBorder="1"/>
    <xf numFmtId="56" fontId="1" fillId="0" borderId="9" xfId="0" applyNumberFormat="1" applyFont="1" applyBorder="1"/>
    <xf numFmtId="0" fontId="0" fillId="0" borderId="11" xfId="0" applyBorder="1"/>
    <xf numFmtId="56" fontId="0" fillId="0" borderId="12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3" xfId="0" applyBorder="1"/>
    <xf numFmtId="0" fontId="0" fillId="0" borderId="14" xfId="0" applyBorder="1" applyAlignment="1">
      <alignment horizontal="center" vertical="center"/>
    </xf>
    <xf numFmtId="56" fontId="1" fillId="0" borderId="6" xfId="0" applyNumberFormat="1" applyFont="1" applyBorder="1"/>
    <xf numFmtId="56" fontId="0" fillId="0" borderId="0" xfId="0" applyNumberFormat="1"/>
    <xf numFmtId="56" fontId="1" fillId="0" borderId="0" xfId="0" applyNumberFormat="1" applyFont="1"/>
    <xf numFmtId="0" fontId="0" fillId="2" borderId="15" xfId="0" applyFill="1" applyBorder="1"/>
    <xf numFmtId="0" fontId="0" fillId="2" borderId="16" xfId="0" applyFill="1" applyBorder="1"/>
    <xf numFmtId="0" fontId="0" fillId="0" borderId="5" xfId="0" applyBorder="1"/>
    <xf numFmtId="0" fontId="6" fillId="0" borderId="5" xfId="0" applyFont="1" applyBorder="1" applyAlignment="1">
      <alignment horizontal="center" vertical="center"/>
    </xf>
    <xf numFmtId="0" fontId="5" fillId="2" borderId="15" xfId="0" applyFont="1" applyFill="1" applyBorder="1"/>
    <xf numFmtId="0" fontId="5" fillId="2" borderId="16" xfId="0" applyFont="1" applyFill="1" applyBorder="1"/>
    <xf numFmtId="0" fontId="5" fillId="0" borderId="13" xfId="0" applyFont="1" applyBorder="1"/>
    <xf numFmtId="0" fontId="0" fillId="0" borderId="17" xfId="0" applyBorder="1"/>
    <xf numFmtId="0" fontId="4" fillId="0" borderId="1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17" xfId="0" applyFont="1" applyBorder="1"/>
    <xf numFmtId="0" fontId="0" fillId="2" borderId="20" xfId="0" applyFill="1" applyBorder="1"/>
    <xf numFmtId="0" fontId="5" fillId="2" borderId="21" xfId="0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4" xfId="0" applyFill="1" applyBorder="1"/>
    <xf numFmtId="0" fontId="5" fillId="2" borderId="2" xfId="0" applyFont="1" applyFill="1" applyBorder="1"/>
    <xf numFmtId="0" fontId="0" fillId="0" borderId="25" xfId="0" applyBorder="1" applyAlignment="1">
      <alignment horizontal="center" vertical="center"/>
    </xf>
    <xf numFmtId="0" fontId="0" fillId="2" borderId="26" xfId="0" applyFill="1" applyBorder="1"/>
    <xf numFmtId="56" fontId="0" fillId="0" borderId="27" xfId="0" applyNumberFormat="1" applyBorder="1"/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right" vertical="center"/>
    </xf>
    <xf numFmtId="0" fontId="0" fillId="0" borderId="17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2" borderId="8" xfId="0" applyFont="1" applyFill="1" applyBorder="1"/>
    <xf numFmtId="56" fontId="8" fillId="0" borderId="9" xfId="0" applyNumberFormat="1" applyFont="1" applyBorder="1"/>
    <xf numFmtId="0" fontId="0" fillId="0" borderId="17" xfId="0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2" borderId="26" xfId="0" applyFont="1" applyFill="1" applyBorder="1"/>
    <xf numFmtId="56" fontId="7" fillId="0" borderId="27" xfId="0" applyNumberFormat="1" applyFont="1" applyBorder="1"/>
    <xf numFmtId="0" fontId="4" fillId="0" borderId="24" xfId="0" applyFont="1" applyBorder="1" applyAlignment="1">
      <alignment horizontal="center" vertical="center"/>
    </xf>
    <xf numFmtId="176" fontId="0" fillId="0" borderId="31" xfId="0" applyNumberFormat="1" applyBorder="1"/>
    <xf numFmtId="0" fontId="0" fillId="0" borderId="30" xfId="0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3" borderId="24" xfId="0" applyFill="1" applyBorder="1"/>
    <xf numFmtId="0" fontId="0" fillId="3" borderId="20" xfId="0" applyFill="1" applyBorder="1"/>
    <xf numFmtId="0" fontId="0" fillId="3" borderId="15" xfId="0" applyFill="1" applyBorder="1"/>
    <xf numFmtId="0" fontId="0" fillId="3" borderId="16" xfId="0" applyFill="1" applyBorder="1"/>
    <xf numFmtId="0" fontId="5" fillId="3" borderId="2" xfId="0" applyFont="1" applyFill="1" applyBorder="1"/>
    <xf numFmtId="0" fontId="5" fillId="3" borderId="21" xfId="0" applyFont="1" applyFill="1" applyBorder="1"/>
    <xf numFmtId="0" fontId="5" fillId="3" borderId="15" xfId="0" applyFont="1" applyFill="1" applyBorder="1"/>
    <xf numFmtId="0" fontId="5" fillId="3" borderId="16" xfId="0" applyFont="1" applyFill="1" applyBorder="1"/>
    <xf numFmtId="0" fontId="0" fillId="3" borderId="26" xfId="0" applyFill="1" applyBorder="1"/>
    <xf numFmtId="0" fontId="0" fillId="3" borderId="8" xfId="0" applyFill="1" applyBorder="1"/>
    <xf numFmtId="0" fontId="0" fillId="3" borderId="4" xfId="0" applyFill="1" applyBorder="1"/>
    <xf numFmtId="0" fontId="0" fillId="3" borderId="2" xfId="0" applyFill="1" applyBorder="1"/>
    <xf numFmtId="0" fontId="0" fillId="3" borderId="3" xfId="0" applyFill="1" applyBorder="1"/>
    <xf numFmtId="0" fontId="8" fillId="0" borderId="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2" borderId="4" xfId="0" applyFont="1" applyFill="1" applyBorder="1"/>
    <xf numFmtId="56" fontId="7" fillId="0" borderId="5" xfId="0" applyNumberFormat="1" applyFont="1" applyBorder="1"/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56" fontId="0" fillId="0" borderId="5" xfId="0" applyNumberFormat="1" applyBorder="1"/>
    <xf numFmtId="0" fontId="1" fillId="0" borderId="17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9" fillId="0" borderId="1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2" borderId="32" xfId="0" applyFont="1" applyFill="1" applyBorder="1"/>
    <xf numFmtId="56" fontId="10" fillId="0" borderId="31" xfId="0" applyNumberFormat="1" applyFont="1" applyBorder="1"/>
    <xf numFmtId="0" fontId="4" fillId="0" borderId="14" xfId="0" applyFont="1" applyBorder="1" applyAlignment="1">
      <alignment horizontal="center" vertical="center"/>
    </xf>
    <xf numFmtId="0" fontId="0" fillId="2" borderId="32" xfId="0" applyFill="1" applyBorder="1"/>
    <xf numFmtId="56" fontId="0" fillId="0" borderId="31" xfId="0" applyNumberFormat="1" applyBorder="1"/>
    <xf numFmtId="0" fontId="0" fillId="0" borderId="19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4" borderId="8" xfId="0" applyFill="1" applyBorder="1"/>
    <xf numFmtId="56" fontId="1" fillId="4" borderId="9" xfId="0" applyNumberFormat="1" applyFont="1" applyFill="1" applyBorder="1"/>
    <xf numFmtId="0" fontId="7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7" xfId="0" applyFont="1" applyBorder="1"/>
    <xf numFmtId="0" fontId="7" fillId="0" borderId="7" xfId="0" applyFont="1" applyBorder="1"/>
    <xf numFmtId="0" fontId="7" fillId="3" borderId="8" xfId="0" applyFont="1" applyFill="1" applyBorder="1"/>
    <xf numFmtId="56" fontId="7" fillId="0" borderId="6" xfId="0" applyNumberFormat="1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7"/>
  <sheetViews>
    <sheetView tabSelected="1" topLeftCell="H662" zoomScale="90" zoomScaleNormal="90" workbookViewId="0">
      <selection activeCell="N672" sqref="N672"/>
    </sheetView>
  </sheetViews>
  <sheetFormatPr defaultRowHeight="13.5" x14ac:dyDescent="0.15"/>
  <cols>
    <col min="1" max="1" width="17" customWidth="1"/>
    <col min="2" max="5" width="10" customWidth="1"/>
    <col min="6" max="6" width="11.375" customWidth="1"/>
    <col min="7" max="7" width="14.25" customWidth="1"/>
    <col min="8" max="8" width="15.875" customWidth="1"/>
    <col min="13" max="13" width="14.25" customWidth="1"/>
  </cols>
  <sheetData>
    <row r="1" spans="1:7" ht="19.5" thickBot="1" x14ac:dyDescent="0.25">
      <c r="A1" s="1" t="s">
        <v>10</v>
      </c>
      <c r="B1" s="1"/>
    </row>
    <row r="2" spans="1:7" ht="14.25" thickBot="1" x14ac:dyDescent="0.2">
      <c r="A2" s="2"/>
      <c r="B2" s="6" t="s">
        <v>7</v>
      </c>
      <c r="C2" s="3" t="s">
        <v>8</v>
      </c>
      <c r="D2" s="4" t="s">
        <v>9</v>
      </c>
      <c r="E2" s="5" t="s">
        <v>0</v>
      </c>
      <c r="F2" s="6" t="s">
        <v>1</v>
      </c>
    </row>
    <row r="3" spans="1:7" s="7" customFormat="1" x14ac:dyDescent="0.15">
      <c r="A3" s="55" t="s">
        <v>2</v>
      </c>
      <c r="B3" s="46">
        <v>3</v>
      </c>
      <c r="C3" s="56">
        <v>2</v>
      </c>
      <c r="D3" s="57">
        <v>2</v>
      </c>
      <c r="E3" s="47">
        <f>SUM(B3:D3)</f>
        <v>7</v>
      </c>
      <c r="F3" s="48">
        <v>44616</v>
      </c>
      <c r="G3"/>
    </row>
    <row r="4" spans="1:7" x14ac:dyDescent="0.15">
      <c r="A4" s="8" t="s">
        <v>3</v>
      </c>
      <c r="B4" s="46">
        <v>2</v>
      </c>
      <c r="C4" s="56">
        <v>1</v>
      </c>
      <c r="D4" s="57">
        <v>4</v>
      </c>
      <c r="E4" s="10">
        <f>SUM(B4:D4)</f>
        <v>7</v>
      </c>
      <c r="F4" s="11">
        <v>44644</v>
      </c>
      <c r="G4" s="12"/>
    </row>
    <row r="5" spans="1:7" x14ac:dyDescent="0.15">
      <c r="A5" s="8" t="s">
        <v>3</v>
      </c>
      <c r="B5" s="49"/>
      <c r="C5" s="14"/>
      <c r="D5" s="9">
        <v>5</v>
      </c>
      <c r="E5" s="10">
        <f t="shared" ref="E5:E14" si="0">SUM(B5:D5)</f>
        <v>5</v>
      </c>
      <c r="F5" s="13">
        <v>44651</v>
      </c>
    </row>
    <row r="6" spans="1:7" x14ac:dyDescent="0.15">
      <c r="A6" s="8" t="s">
        <v>3</v>
      </c>
      <c r="B6" s="49">
        <v>5</v>
      </c>
      <c r="C6" s="58">
        <v>5</v>
      </c>
      <c r="D6" s="59">
        <v>2</v>
      </c>
      <c r="E6" s="10">
        <f t="shared" si="0"/>
        <v>12</v>
      </c>
      <c r="F6" s="13">
        <v>44699</v>
      </c>
    </row>
    <row r="7" spans="1:7" x14ac:dyDescent="0.15">
      <c r="A7" s="8" t="s">
        <v>3</v>
      </c>
      <c r="B7" s="49">
        <v>5</v>
      </c>
      <c r="C7" s="58"/>
      <c r="D7" s="59">
        <v>2</v>
      </c>
      <c r="E7" s="10">
        <f t="shared" si="0"/>
        <v>7</v>
      </c>
      <c r="F7" s="13">
        <v>44767</v>
      </c>
    </row>
    <row r="8" spans="1:7" x14ac:dyDescent="0.15">
      <c r="A8" s="63" t="s">
        <v>12</v>
      </c>
      <c r="B8" s="64">
        <v>0</v>
      </c>
      <c r="C8" s="65">
        <v>0</v>
      </c>
      <c r="D8" s="66">
        <v>0</v>
      </c>
      <c r="E8" s="67">
        <f t="shared" si="0"/>
        <v>0</v>
      </c>
      <c r="F8" s="68">
        <v>44796</v>
      </c>
    </row>
    <row r="9" spans="1:7" x14ac:dyDescent="0.15">
      <c r="A9" s="8" t="s">
        <v>3</v>
      </c>
      <c r="B9" s="36"/>
      <c r="C9" s="58"/>
      <c r="D9" s="59"/>
      <c r="E9" s="10">
        <f t="shared" si="0"/>
        <v>0</v>
      </c>
      <c r="F9" s="13"/>
    </row>
    <row r="10" spans="1:7" x14ac:dyDescent="0.15">
      <c r="A10" s="8" t="s">
        <v>3</v>
      </c>
      <c r="B10" s="36"/>
      <c r="C10" s="60"/>
      <c r="D10" s="61"/>
      <c r="E10" s="10">
        <f t="shared" si="0"/>
        <v>0</v>
      </c>
      <c r="F10" s="17"/>
    </row>
    <row r="11" spans="1:7" x14ac:dyDescent="0.15">
      <c r="A11" s="8" t="s">
        <v>3</v>
      </c>
      <c r="B11" s="49"/>
      <c r="C11" s="60"/>
      <c r="D11" s="61"/>
      <c r="E11" s="10">
        <f t="shared" si="0"/>
        <v>0</v>
      </c>
      <c r="F11" s="17"/>
    </row>
    <row r="12" spans="1:7" x14ac:dyDescent="0.15">
      <c r="A12" s="8" t="s">
        <v>3</v>
      </c>
      <c r="B12" s="36"/>
      <c r="C12" s="60"/>
      <c r="D12" s="61"/>
      <c r="E12" s="10">
        <f t="shared" si="0"/>
        <v>0</v>
      </c>
      <c r="F12" s="17"/>
    </row>
    <row r="13" spans="1:7" x14ac:dyDescent="0.15">
      <c r="A13" s="8" t="s">
        <v>3</v>
      </c>
      <c r="B13" s="36"/>
      <c r="C13" s="58"/>
      <c r="D13" s="59"/>
      <c r="E13" s="10">
        <f t="shared" si="0"/>
        <v>0</v>
      </c>
      <c r="F13" s="13"/>
    </row>
    <row r="14" spans="1:7" ht="14.25" thickBot="1" x14ac:dyDescent="0.2">
      <c r="A14" s="37" t="s">
        <v>3</v>
      </c>
      <c r="B14" s="38"/>
      <c r="C14" s="58"/>
      <c r="D14" s="62"/>
      <c r="E14" s="10">
        <f t="shared" si="0"/>
        <v>0</v>
      </c>
      <c r="F14" s="19"/>
    </row>
    <row r="15" spans="1:7" ht="14.25" thickBot="1" x14ac:dyDescent="0.2">
      <c r="A15" s="2" t="s">
        <v>4</v>
      </c>
      <c r="B15" s="20">
        <f>SUM(B3:B14)</f>
        <v>15</v>
      </c>
      <c r="C15" s="20">
        <f>SUM(C3:C14)</f>
        <v>8</v>
      </c>
      <c r="D15" s="21">
        <f>SUM(D3:D14)</f>
        <v>15</v>
      </c>
      <c r="E15" s="22">
        <f>SUM(B15:D15)</f>
        <v>38</v>
      </c>
      <c r="F15" s="23"/>
    </row>
    <row r="16" spans="1:7" x14ac:dyDescent="0.15">
      <c r="A16" s="24" t="s">
        <v>11</v>
      </c>
      <c r="B16" s="50">
        <v>1</v>
      </c>
      <c r="C16" s="35"/>
      <c r="D16" s="9"/>
      <c r="E16" s="10">
        <f>SUM(B16:D16)</f>
        <v>1</v>
      </c>
      <c r="F16" s="11">
        <v>44616</v>
      </c>
    </row>
    <row r="17" spans="1:8" x14ac:dyDescent="0.15">
      <c r="A17" s="24" t="s">
        <v>11</v>
      </c>
      <c r="B17" s="50"/>
      <c r="C17" s="35"/>
      <c r="D17" s="9">
        <v>1</v>
      </c>
      <c r="E17" s="10">
        <f>SUM(B17:D17)</f>
        <v>1</v>
      </c>
      <c r="F17" s="11">
        <v>44621</v>
      </c>
      <c r="G17" s="26"/>
    </row>
    <row r="18" spans="1:8" x14ac:dyDescent="0.15">
      <c r="A18" s="24" t="s">
        <v>11</v>
      </c>
      <c r="B18" s="50"/>
      <c r="C18" s="51"/>
      <c r="D18" s="52">
        <v>1</v>
      </c>
      <c r="E18" s="10">
        <f t="shared" ref="E18:E39" si="1">SUM(B18:D18)</f>
        <v>1</v>
      </c>
      <c r="F18" s="11">
        <v>44634</v>
      </c>
      <c r="G18" s="26"/>
    </row>
    <row r="19" spans="1:8" x14ac:dyDescent="0.15">
      <c r="A19" s="24" t="s">
        <v>11</v>
      </c>
      <c r="B19" s="50">
        <v>1</v>
      </c>
      <c r="C19" s="51"/>
      <c r="D19" s="52"/>
      <c r="E19" s="10">
        <f t="shared" si="1"/>
        <v>1</v>
      </c>
      <c r="F19" s="11">
        <v>44638</v>
      </c>
      <c r="G19" s="26"/>
    </row>
    <row r="20" spans="1:8" x14ac:dyDescent="0.15">
      <c r="A20" s="24" t="s">
        <v>11</v>
      </c>
      <c r="B20" s="50"/>
      <c r="C20" s="35"/>
      <c r="D20" s="9">
        <v>1</v>
      </c>
      <c r="E20" s="10">
        <f t="shared" si="1"/>
        <v>1</v>
      </c>
      <c r="F20" s="11">
        <v>44644</v>
      </c>
      <c r="G20" s="26"/>
    </row>
    <row r="21" spans="1:8" x14ac:dyDescent="0.15">
      <c r="A21" s="24" t="s">
        <v>11</v>
      </c>
      <c r="B21" s="50"/>
      <c r="C21" s="35"/>
      <c r="D21" s="9">
        <v>1</v>
      </c>
      <c r="E21" s="10">
        <f t="shared" si="1"/>
        <v>1</v>
      </c>
      <c r="F21" s="11">
        <v>44648</v>
      </c>
      <c r="G21" s="26"/>
    </row>
    <row r="22" spans="1:8" x14ac:dyDescent="0.15">
      <c r="A22" s="24" t="s">
        <v>11</v>
      </c>
      <c r="B22" s="50"/>
      <c r="C22" s="35"/>
      <c r="D22" s="9">
        <v>4</v>
      </c>
      <c r="E22" s="10">
        <f t="shared" si="1"/>
        <v>4</v>
      </c>
      <c r="F22" s="11">
        <v>44651</v>
      </c>
      <c r="G22" s="26"/>
    </row>
    <row r="23" spans="1:8" x14ac:dyDescent="0.15">
      <c r="A23" s="24" t="s">
        <v>11</v>
      </c>
      <c r="B23" s="50">
        <v>2</v>
      </c>
      <c r="C23" s="35"/>
      <c r="D23" s="9"/>
      <c r="E23" s="10">
        <f t="shared" si="1"/>
        <v>2</v>
      </c>
      <c r="F23" s="11">
        <v>44666</v>
      </c>
      <c r="G23" s="26"/>
      <c r="H23" s="26"/>
    </row>
    <row r="24" spans="1:8" x14ac:dyDescent="0.15">
      <c r="A24" s="24" t="s">
        <v>11</v>
      </c>
      <c r="B24" s="50"/>
      <c r="C24" s="39">
        <v>1</v>
      </c>
      <c r="D24" s="16"/>
      <c r="E24" s="10">
        <f t="shared" si="1"/>
        <v>1</v>
      </c>
      <c r="F24" s="25">
        <v>44676</v>
      </c>
      <c r="G24" s="26"/>
    </row>
    <row r="25" spans="1:8" x14ac:dyDescent="0.15">
      <c r="A25" s="24" t="s">
        <v>11</v>
      </c>
      <c r="B25" s="50"/>
      <c r="C25" s="35">
        <v>1</v>
      </c>
      <c r="D25" s="9"/>
      <c r="E25" s="10">
        <f t="shared" si="1"/>
        <v>1</v>
      </c>
      <c r="F25" s="11">
        <v>44687</v>
      </c>
      <c r="G25" s="26"/>
    </row>
    <row r="26" spans="1:8" x14ac:dyDescent="0.15">
      <c r="A26" s="24" t="s">
        <v>11</v>
      </c>
      <c r="B26" s="50"/>
      <c r="C26" s="35">
        <v>1</v>
      </c>
      <c r="D26" s="9"/>
      <c r="E26" s="10">
        <f t="shared" si="1"/>
        <v>1</v>
      </c>
      <c r="F26" s="11">
        <v>44697</v>
      </c>
      <c r="G26" s="27"/>
    </row>
    <row r="27" spans="1:8" x14ac:dyDescent="0.15">
      <c r="A27" s="24" t="s">
        <v>11</v>
      </c>
      <c r="B27" s="50">
        <v>2</v>
      </c>
      <c r="C27" s="35"/>
      <c r="D27" s="9"/>
      <c r="E27" s="10">
        <f t="shared" si="1"/>
        <v>2</v>
      </c>
      <c r="F27" s="11">
        <v>44699</v>
      </c>
      <c r="G27" s="27"/>
    </row>
    <row r="28" spans="1:8" x14ac:dyDescent="0.15">
      <c r="A28" s="24" t="s">
        <v>11</v>
      </c>
      <c r="B28" s="50">
        <v>1</v>
      </c>
      <c r="C28" s="35"/>
      <c r="D28" s="9"/>
      <c r="E28" s="10">
        <f t="shared" si="1"/>
        <v>1</v>
      </c>
      <c r="F28" s="11">
        <v>44722</v>
      </c>
      <c r="G28" s="26"/>
    </row>
    <row r="29" spans="1:8" x14ac:dyDescent="0.15">
      <c r="A29" s="24" t="s">
        <v>11</v>
      </c>
      <c r="B29" s="50"/>
      <c r="C29" s="35">
        <v>1</v>
      </c>
      <c r="D29" s="9"/>
      <c r="E29" s="10">
        <f t="shared" si="1"/>
        <v>1</v>
      </c>
      <c r="F29" s="11">
        <v>44732</v>
      </c>
      <c r="G29" s="26"/>
    </row>
    <row r="30" spans="1:8" x14ac:dyDescent="0.15">
      <c r="A30" s="24" t="s">
        <v>11</v>
      </c>
      <c r="B30" s="76">
        <v>1</v>
      </c>
      <c r="C30" s="39"/>
      <c r="D30" s="16"/>
      <c r="E30" s="10">
        <f t="shared" si="1"/>
        <v>1</v>
      </c>
      <c r="F30" s="25">
        <v>44739</v>
      </c>
      <c r="G30" s="26"/>
    </row>
    <row r="31" spans="1:8" x14ac:dyDescent="0.15">
      <c r="A31" s="24" t="s">
        <v>11</v>
      </c>
      <c r="B31" s="50"/>
      <c r="C31" s="35"/>
      <c r="D31" s="9">
        <v>1</v>
      </c>
      <c r="E31" s="10">
        <f t="shared" si="1"/>
        <v>1</v>
      </c>
      <c r="F31" s="11">
        <v>44753</v>
      </c>
      <c r="G31" s="26"/>
    </row>
    <row r="32" spans="1:8" x14ac:dyDescent="0.15">
      <c r="A32" s="24" t="s">
        <v>11</v>
      </c>
      <c r="B32" s="50"/>
      <c r="C32" s="35"/>
      <c r="D32" s="9">
        <v>1</v>
      </c>
      <c r="E32" s="10">
        <f t="shared" si="1"/>
        <v>1</v>
      </c>
      <c r="F32" s="11">
        <v>44754</v>
      </c>
      <c r="G32" s="26"/>
    </row>
    <row r="33" spans="1:8" x14ac:dyDescent="0.15">
      <c r="A33" s="24" t="s">
        <v>11</v>
      </c>
      <c r="B33" s="50">
        <v>1</v>
      </c>
      <c r="C33" s="35"/>
      <c r="D33" s="9"/>
      <c r="E33" s="10">
        <f t="shared" si="1"/>
        <v>1</v>
      </c>
      <c r="F33" s="11">
        <v>44761</v>
      </c>
      <c r="G33" s="26"/>
    </row>
    <row r="34" spans="1:8" x14ac:dyDescent="0.15">
      <c r="A34" s="24" t="s">
        <v>11</v>
      </c>
      <c r="B34" s="50"/>
      <c r="C34" s="35">
        <v>1</v>
      </c>
      <c r="D34" s="9"/>
      <c r="E34" s="10">
        <f t="shared" si="1"/>
        <v>1</v>
      </c>
      <c r="F34" s="11">
        <v>44790</v>
      </c>
      <c r="G34" s="26"/>
    </row>
    <row r="35" spans="1:8" x14ac:dyDescent="0.15">
      <c r="A35" s="24" t="s">
        <v>11</v>
      </c>
      <c r="B35" s="50"/>
      <c r="C35" s="35"/>
      <c r="D35" s="9">
        <v>1</v>
      </c>
      <c r="E35" s="10">
        <f t="shared" si="1"/>
        <v>1</v>
      </c>
      <c r="F35" s="11">
        <v>44792</v>
      </c>
      <c r="G35" s="26"/>
    </row>
    <row r="36" spans="1:8" x14ac:dyDescent="0.15">
      <c r="A36" s="24" t="s">
        <v>11</v>
      </c>
      <c r="B36" s="76"/>
      <c r="C36" s="35">
        <v>1</v>
      </c>
      <c r="D36" s="9"/>
      <c r="E36" s="10">
        <f t="shared" si="1"/>
        <v>1</v>
      </c>
      <c r="F36" s="11">
        <v>44796</v>
      </c>
      <c r="G36" s="26"/>
    </row>
    <row r="37" spans="1:8" x14ac:dyDescent="0.15">
      <c r="A37" s="24" t="s">
        <v>11</v>
      </c>
      <c r="B37" s="50"/>
      <c r="C37" s="35">
        <v>1</v>
      </c>
      <c r="D37" s="9"/>
      <c r="E37" s="10">
        <f t="shared" si="1"/>
        <v>1</v>
      </c>
      <c r="F37" s="11">
        <v>44798</v>
      </c>
      <c r="G37" s="27"/>
      <c r="H37" s="12"/>
    </row>
    <row r="38" spans="1:8" x14ac:dyDescent="0.15">
      <c r="A38" s="24"/>
      <c r="B38" s="50"/>
      <c r="C38" s="35"/>
      <c r="D38" s="9"/>
      <c r="E38" s="10">
        <f t="shared" si="1"/>
        <v>0</v>
      </c>
      <c r="F38" s="11"/>
      <c r="G38" s="26"/>
    </row>
    <row r="39" spans="1:8" ht="14.25" thickBot="1" x14ac:dyDescent="0.2">
      <c r="A39" s="24"/>
      <c r="B39" s="75"/>
      <c r="C39" s="14"/>
      <c r="D39" s="18"/>
      <c r="E39" s="10">
        <f t="shared" si="1"/>
        <v>0</v>
      </c>
      <c r="F39" s="19"/>
      <c r="G39" s="26"/>
    </row>
    <row r="40" spans="1:8" ht="14.25" thickBot="1" x14ac:dyDescent="0.2">
      <c r="A40" s="6" t="s">
        <v>5</v>
      </c>
      <c r="B40" s="44">
        <f>SUM(B16:B39)</f>
        <v>9</v>
      </c>
      <c r="C40" s="40">
        <f>SUM(C16:C39)</f>
        <v>7</v>
      </c>
      <c r="D40" s="28">
        <f>SUM(D16:D39)</f>
        <v>11</v>
      </c>
      <c r="E40" s="29">
        <f>SUM(B40:D40)</f>
        <v>27</v>
      </c>
      <c r="F40" s="30"/>
    </row>
    <row r="41" spans="1:8" ht="14.25" thickBot="1" x14ac:dyDescent="0.2">
      <c r="A41" s="31" t="s">
        <v>6</v>
      </c>
      <c r="B41" s="45">
        <f>B15-B40</f>
        <v>6</v>
      </c>
      <c r="C41" s="41">
        <f>C15-C40</f>
        <v>1</v>
      </c>
      <c r="D41" s="32">
        <f>D15-D40</f>
        <v>4</v>
      </c>
      <c r="E41" s="33">
        <f>SUM(B41:D41)</f>
        <v>11</v>
      </c>
      <c r="F41" s="34"/>
      <c r="G41" s="7"/>
      <c r="H41" s="7"/>
    </row>
    <row r="42" spans="1:8" ht="20.25" customHeight="1" thickBot="1" x14ac:dyDescent="0.25">
      <c r="A42" s="1" t="s">
        <v>10</v>
      </c>
      <c r="B42" s="1"/>
    </row>
    <row r="43" spans="1:8" ht="14.25" thickBot="1" x14ac:dyDescent="0.2">
      <c r="A43" s="2"/>
      <c r="B43" s="6" t="s">
        <v>7</v>
      </c>
      <c r="C43" s="3" t="s">
        <v>8</v>
      </c>
      <c r="D43" s="4" t="s">
        <v>9</v>
      </c>
      <c r="E43" s="5" t="s">
        <v>0</v>
      </c>
      <c r="F43" s="6" t="s">
        <v>1</v>
      </c>
    </row>
    <row r="44" spans="1:8" x14ac:dyDescent="0.15">
      <c r="A44" s="8" t="s">
        <v>6</v>
      </c>
      <c r="B44" s="46">
        <f>B41</f>
        <v>6</v>
      </c>
      <c r="C44" s="46">
        <f>C41</f>
        <v>1</v>
      </c>
      <c r="D44" s="46">
        <f>D41</f>
        <v>4</v>
      </c>
      <c r="E44" s="47">
        <f>SUM(B44:D44)</f>
        <v>11</v>
      </c>
      <c r="F44" s="48"/>
    </row>
    <row r="45" spans="1:8" x14ac:dyDescent="0.15">
      <c r="A45" s="8" t="s">
        <v>3</v>
      </c>
      <c r="B45" s="36"/>
      <c r="C45" s="69">
        <v>5</v>
      </c>
      <c r="D45" s="9"/>
      <c r="E45" s="10">
        <f>SUM(B45:D45)</f>
        <v>5</v>
      </c>
      <c r="F45" s="11">
        <v>44812</v>
      </c>
    </row>
    <row r="46" spans="1:8" x14ac:dyDescent="0.15">
      <c r="A46" s="8" t="s">
        <v>3</v>
      </c>
      <c r="B46" s="49">
        <v>6</v>
      </c>
      <c r="C46" s="58">
        <v>4</v>
      </c>
      <c r="D46" s="59">
        <v>3</v>
      </c>
      <c r="E46" s="10">
        <f t="shared" ref="E46:E55" si="2">SUM(B46:D46)</f>
        <v>13</v>
      </c>
      <c r="F46" s="13">
        <v>44848</v>
      </c>
    </row>
    <row r="47" spans="1:8" x14ac:dyDescent="0.15">
      <c r="A47" s="8" t="s">
        <v>3</v>
      </c>
      <c r="B47" s="49">
        <v>10</v>
      </c>
      <c r="C47" s="58">
        <v>5</v>
      </c>
      <c r="D47" s="59">
        <v>5</v>
      </c>
      <c r="E47" s="10">
        <f t="shared" si="2"/>
        <v>20</v>
      </c>
      <c r="F47" s="13">
        <v>44875</v>
      </c>
    </row>
    <row r="48" spans="1:8" x14ac:dyDescent="0.15">
      <c r="A48" s="8" t="s">
        <v>3</v>
      </c>
      <c r="B48" s="54"/>
      <c r="C48" s="59"/>
      <c r="D48" s="9"/>
      <c r="E48" s="10">
        <f t="shared" si="2"/>
        <v>0</v>
      </c>
      <c r="F48" s="13"/>
    </row>
    <row r="49" spans="1:6" x14ac:dyDescent="0.15">
      <c r="A49" s="8" t="s">
        <v>3</v>
      </c>
      <c r="B49" s="49"/>
      <c r="C49" s="14"/>
      <c r="D49" s="9"/>
      <c r="E49" s="10">
        <f t="shared" si="2"/>
        <v>0</v>
      </c>
      <c r="F49" s="13"/>
    </row>
    <row r="50" spans="1:6" x14ac:dyDescent="0.15">
      <c r="A50" s="8" t="s">
        <v>3</v>
      </c>
      <c r="B50" s="36"/>
      <c r="C50" s="14"/>
      <c r="D50" s="9"/>
      <c r="E50" s="10">
        <f t="shared" si="2"/>
        <v>0</v>
      </c>
      <c r="F50" s="13"/>
    </row>
    <row r="51" spans="1:6" x14ac:dyDescent="0.15">
      <c r="A51" s="8" t="s">
        <v>3</v>
      </c>
      <c r="B51" s="49"/>
      <c r="C51" s="14"/>
      <c r="D51" s="9"/>
      <c r="E51" s="10">
        <f t="shared" si="2"/>
        <v>0</v>
      </c>
      <c r="F51" s="13"/>
    </row>
    <row r="52" spans="1:6" x14ac:dyDescent="0.15">
      <c r="A52" s="8" t="s">
        <v>3</v>
      </c>
      <c r="B52" s="49"/>
      <c r="C52" s="14"/>
      <c r="D52" s="9"/>
      <c r="E52" s="10">
        <f>SUM(B52:D52)</f>
        <v>0</v>
      </c>
      <c r="F52" s="13"/>
    </row>
    <row r="53" spans="1:6" x14ac:dyDescent="0.15">
      <c r="A53" s="8" t="s">
        <v>3</v>
      </c>
      <c r="B53" s="36"/>
      <c r="C53" s="15"/>
      <c r="D53" s="16"/>
      <c r="E53" s="10">
        <f t="shared" si="2"/>
        <v>0</v>
      </c>
      <c r="F53" s="17"/>
    </row>
    <row r="54" spans="1:6" x14ac:dyDescent="0.15">
      <c r="A54" s="8" t="s">
        <v>3</v>
      </c>
      <c r="B54" s="36"/>
      <c r="C54" s="15"/>
      <c r="D54" s="16"/>
      <c r="E54" s="10">
        <f t="shared" si="2"/>
        <v>0</v>
      </c>
      <c r="F54" s="17"/>
    </row>
    <row r="55" spans="1:6" ht="14.25" thickBot="1" x14ac:dyDescent="0.2">
      <c r="A55" s="37" t="s">
        <v>3</v>
      </c>
      <c r="B55" s="38"/>
      <c r="C55" s="14"/>
      <c r="D55" s="18"/>
      <c r="E55" s="10">
        <f t="shared" si="2"/>
        <v>0</v>
      </c>
      <c r="F55" s="19"/>
    </row>
    <row r="56" spans="1:6" ht="14.25" thickBot="1" x14ac:dyDescent="0.2">
      <c r="A56" s="2" t="s">
        <v>4</v>
      </c>
      <c r="B56" s="20">
        <f>SUM(B44:B55)</f>
        <v>22</v>
      </c>
      <c r="C56" s="20">
        <f>SUM(C44:C55)</f>
        <v>15</v>
      </c>
      <c r="D56" s="21">
        <f>SUM(D44:D55)</f>
        <v>12</v>
      </c>
      <c r="E56" s="22">
        <f>SUM(B56:D56)</f>
        <v>49</v>
      </c>
      <c r="F56" s="23"/>
    </row>
    <row r="57" spans="1:6" x14ac:dyDescent="0.15">
      <c r="A57" s="24" t="s">
        <v>11</v>
      </c>
      <c r="B57" s="50">
        <v>2</v>
      </c>
      <c r="C57" s="35"/>
      <c r="D57" s="9"/>
      <c r="E57" s="10">
        <f t="shared" ref="E57" si="3">SUM(B57:D57)</f>
        <v>2</v>
      </c>
      <c r="F57" s="11">
        <v>44809</v>
      </c>
    </row>
    <row r="58" spans="1:6" x14ac:dyDescent="0.15">
      <c r="A58" s="24" t="s">
        <v>11</v>
      </c>
      <c r="B58" s="50"/>
      <c r="C58" s="35">
        <v>1</v>
      </c>
      <c r="D58" s="9">
        <v>1</v>
      </c>
      <c r="E58" s="10">
        <f>SUM(B58:D58)</f>
        <v>2</v>
      </c>
      <c r="F58" s="11">
        <v>44810</v>
      </c>
    </row>
    <row r="59" spans="1:6" x14ac:dyDescent="0.15">
      <c r="A59" s="24" t="s">
        <v>11</v>
      </c>
      <c r="B59" s="50"/>
      <c r="C59" s="35">
        <v>1</v>
      </c>
      <c r="D59" s="9"/>
      <c r="E59" s="10">
        <f t="shared" ref="E59:E80" si="4">SUM(B59:D59)</f>
        <v>1</v>
      </c>
      <c r="F59" s="11">
        <v>44812</v>
      </c>
    </row>
    <row r="60" spans="1:6" x14ac:dyDescent="0.15">
      <c r="A60" s="24" t="s">
        <v>11</v>
      </c>
      <c r="B60" s="50">
        <v>2</v>
      </c>
      <c r="C60" s="35"/>
      <c r="D60" s="9"/>
      <c r="E60" s="10">
        <f t="shared" si="4"/>
        <v>2</v>
      </c>
      <c r="F60" s="11">
        <v>44816</v>
      </c>
    </row>
    <row r="61" spans="1:6" x14ac:dyDescent="0.15">
      <c r="A61" s="24" t="s">
        <v>11</v>
      </c>
      <c r="B61" s="50">
        <v>1</v>
      </c>
      <c r="C61" s="35"/>
      <c r="D61" s="9"/>
      <c r="E61" s="10">
        <f t="shared" si="4"/>
        <v>1</v>
      </c>
      <c r="F61" s="11">
        <v>44824</v>
      </c>
    </row>
    <row r="62" spans="1:6" x14ac:dyDescent="0.15">
      <c r="A62" s="24" t="s">
        <v>11</v>
      </c>
      <c r="B62" s="50"/>
      <c r="C62" s="35">
        <v>1</v>
      </c>
      <c r="D62" s="9"/>
      <c r="E62" s="10">
        <f t="shared" si="4"/>
        <v>1</v>
      </c>
      <c r="F62" s="11">
        <v>44825</v>
      </c>
    </row>
    <row r="63" spans="1:6" x14ac:dyDescent="0.15">
      <c r="A63" s="24" t="s">
        <v>11</v>
      </c>
      <c r="B63" s="50"/>
      <c r="C63" s="35"/>
      <c r="D63" s="9">
        <v>1</v>
      </c>
      <c r="E63" s="10">
        <f t="shared" si="4"/>
        <v>1</v>
      </c>
      <c r="F63" s="11">
        <v>44837</v>
      </c>
    </row>
    <row r="64" spans="1:6" x14ac:dyDescent="0.15">
      <c r="A64" s="24" t="s">
        <v>11</v>
      </c>
      <c r="B64" s="50"/>
      <c r="C64" s="35">
        <v>1</v>
      </c>
      <c r="D64" s="9"/>
      <c r="E64" s="10">
        <f t="shared" si="4"/>
        <v>1</v>
      </c>
      <c r="F64" s="11">
        <v>44839</v>
      </c>
    </row>
    <row r="65" spans="1:6" x14ac:dyDescent="0.15">
      <c r="A65" s="24" t="s">
        <v>11</v>
      </c>
      <c r="B65" s="50">
        <v>1</v>
      </c>
      <c r="C65" s="35"/>
      <c r="D65" s="9"/>
      <c r="E65" s="10">
        <f t="shared" si="4"/>
        <v>1</v>
      </c>
      <c r="F65" s="11">
        <v>44840</v>
      </c>
    </row>
    <row r="66" spans="1:6" x14ac:dyDescent="0.15">
      <c r="A66" s="24" t="s">
        <v>11</v>
      </c>
      <c r="B66" s="50"/>
      <c r="C66" s="35">
        <v>1</v>
      </c>
      <c r="D66" s="9">
        <v>1</v>
      </c>
      <c r="E66" s="10">
        <f t="shared" si="4"/>
        <v>2</v>
      </c>
      <c r="F66" s="11">
        <v>44848</v>
      </c>
    </row>
    <row r="67" spans="1:6" x14ac:dyDescent="0.15">
      <c r="A67" s="24" t="s">
        <v>11</v>
      </c>
      <c r="B67" s="50">
        <v>1</v>
      </c>
      <c r="C67" s="35"/>
      <c r="D67" s="9"/>
      <c r="E67" s="10">
        <f>SUM(B67:D67)</f>
        <v>1</v>
      </c>
      <c r="F67" s="11">
        <v>44860</v>
      </c>
    </row>
    <row r="68" spans="1:6" x14ac:dyDescent="0.15">
      <c r="A68" s="24" t="s">
        <v>11</v>
      </c>
      <c r="B68" s="50">
        <v>1</v>
      </c>
      <c r="C68" s="35"/>
      <c r="D68" s="9"/>
      <c r="E68" s="10">
        <f t="shared" si="4"/>
        <v>1</v>
      </c>
      <c r="F68" s="11">
        <v>44861</v>
      </c>
    </row>
    <row r="69" spans="1:6" x14ac:dyDescent="0.15">
      <c r="A69" s="24" t="s">
        <v>11</v>
      </c>
      <c r="B69" s="50"/>
      <c r="C69" s="35"/>
      <c r="D69" s="9">
        <v>1</v>
      </c>
      <c r="E69" s="10">
        <f t="shared" si="4"/>
        <v>1</v>
      </c>
      <c r="F69" s="11">
        <v>44865</v>
      </c>
    </row>
    <row r="70" spans="1:6" x14ac:dyDescent="0.15">
      <c r="A70" s="24" t="s">
        <v>11</v>
      </c>
      <c r="B70" s="50"/>
      <c r="C70" s="35"/>
      <c r="D70" s="9">
        <v>1</v>
      </c>
      <c r="E70" s="10">
        <f t="shared" si="4"/>
        <v>1</v>
      </c>
      <c r="F70" s="11">
        <v>44867</v>
      </c>
    </row>
    <row r="71" spans="1:6" x14ac:dyDescent="0.15">
      <c r="A71" s="24" t="s">
        <v>11</v>
      </c>
      <c r="B71" s="76">
        <f>1+1</f>
        <v>2</v>
      </c>
      <c r="C71" s="35"/>
      <c r="D71" s="9">
        <v>1</v>
      </c>
      <c r="E71" s="10">
        <f t="shared" si="4"/>
        <v>3</v>
      </c>
      <c r="F71" s="11">
        <v>44872</v>
      </c>
    </row>
    <row r="72" spans="1:6" x14ac:dyDescent="0.15">
      <c r="A72" s="24" t="s">
        <v>11</v>
      </c>
      <c r="B72" s="50">
        <v>2</v>
      </c>
      <c r="C72" s="35">
        <v>2</v>
      </c>
      <c r="D72" s="9"/>
      <c r="E72" s="10">
        <f t="shared" si="4"/>
        <v>4</v>
      </c>
      <c r="F72" s="11">
        <v>44873</v>
      </c>
    </row>
    <row r="73" spans="1:6" x14ac:dyDescent="0.15">
      <c r="A73" s="24" t="s">
        <v>11</v>
      </c>
      <c r="B73" s="50">
        <v>1</v>
      </c>
      <c r="C73" s="35"/>
      <c r="D73" s="9"/>
      <c r="E73" s="10">
        <f t="shared" si="4"/>
        <v>1</v>
      </c>
      <c r="F73" s="11">
        <v>44875</v>
      </c>
    </row>
    <row r="74" spans="1:6" x14ac:dyDescent="0.15">
      <c r="A74" s="24" t="s">
        <v>11</v>
      </c>
      <c r="B74" s="50"/>
      <c r="C74" s="35">
        <v>1</v>
      </c>
      <c r="D74" s="9"/>
      <c r="E74" s="10">
        <f t="shared" si="4"/>
        <v>1</v>
      </c>
      <c r="F74" s="11">
        <v>44881</v>
      </c>
    </row>
    <row r="75" spans="1:6" x14ac:dyDescent="0.15">
      <c r="A75" s="24" t="s">
        <v>11</v>
      </c>
      <c r="B75" s="50"/>
      <c r="C75" s="35"/>
      <c r="D75" s="9">
        <v>1</v>
      </c>
      <c r="E75" s="10">
        <f t="shared" si="4"/>
        <v>1</v>
      </c>
      <c r="F75" s="11">
        <v>44886</v>
      </c>
    </row>
    <row r="76" spans="1:6" x14ac:dyDescent="0.15">
      <c r="A76" s="24" t="s">
        <v>11</v>
      </c>
      <c r="B76" s="50"/>
      <c r="C76" s="35"/>
      <c r="D76" s="9">
        <v>2</v>
      </c>
      <c r="E76" s="10">
        <f t="shared" si="4"/>
        <v>2</v>
      </c>
      <c r="F76" s="11">
        <v>44889</v>
      </c>
    </row>
    <row r="77" spans="1:6" x14ac:dyDescent="0.15">
      <c r="A77" s="24" t="s">
        <v>11</v>
      </c>
      <c r="B77" s="76"/>
      <c r="C77" s="35">
        <v>2</v>
      </c>
      <c r="D77" s="9">
        <v>1</v>
      </c>
      <c r="E77" s="10">
        <f t="shared" si="4"/>
        <v>3</v>
      </c>
      <c r="F77" s="11">
        <v>44893</v>
      </c>
    </row>
    <row r="78" spans="1:6" x14ac:dyDescent="0.15">
      <c r="A78" s="24" t="s">
        <v>11</v>
      </c>
      <c r="B78" s="50"/>
      <c r="C78" s="35">
        <v>1</v>
      </c>
      <c r="D78" s="9"/>
      <c r="E78" s="10">
        <f t="shared" si="4"/>
        <v>1</v>
      </c>
      <c r="F78" s="11">
        <v>44894</v>
      </c>
    </row>
    <row r="79" spans="1:6" x14ac:dyDescent="0.15">
      <c r="A79" s="24" t="s">
        <v>11</v>
      </c>
      <c r="B79" s="50"/>
      <c r="C79" s="39"/>
      <c r="D79" s="16">
        <v>2</v>
      </c>
      <c r="E79" s="10">
        <f t="shared" si="4"/>
        <v>2</v>
      </c>
      <c r="F79" s="25">
        <v>44903</v>
      </c>
    </row>
    <row r="80" spans="1:6" ht="14.25" thickBot="1" x14ac:dyDescent="0.2">
      <c r="A80" s="24" t="s">
        <v>11</v>
      </c>
      <c r="B80" s="75"/>
      <c r="C80" s="14">
        <v>1</v>
      </c>
      <c r="D80" s="18"/>
      <c r="E80" s="10">
        <f t="shared" si="4"/>
        <v>1</v>
      </c>
      <c r="F80" s="19">
        <v>44904</v>
      </c>
    </row>
    <row r="81" spans="1:6" ht="14.25" thickBot="1" x14ac:dyDescent="0.2">
      <c r="A81" s="6" t="s">
        <v>5</v>
      </c>
      <c r="B81" s="44">
        <f>SUM(B57:B80)</f>
        <v>13</v>
      </c>
      <c r="C81" s="40">
        <f>SUM(C57:C80)</f>
        <v>12</v>
      </c>
      <c r="D81" s="28">
        <f>SUM(D57:D80)</f>
        <v>12</v>
      </c>
      <c r="E81" s="29">
        <f>SUM(B81:D81)</f>
        <v>37</v>
      </c>
      <c r="F81" s="30"/>
    </row>
    <row r="82" spans="1:6" ht="14.25" thickBot="1" x14ac:dyDescent="0.2">
      <c r="A82" s="31" t="s">
        <v>6</v>
      </c>
      <c r="B82" s="45">
        <f>B56-B81</f>
        <v>9</v>
      </c>
      <c r="C82" s="41">
        <f>C56-C81</f>
        <v>3</v>
      </c>
      <c r="D82" s="32">
        <f>D56-D81</f>
        <v>0</v>
      </c>
      <c r="E82" s="33">
        <f>SUM(B82:D82)</f>
        <v>12</v>
      </c>
      <c r="F82" s="34"/>
    </row>
    <row r="83" spans="1:6" ht="19.5" thickBot="1" x14ac:dyDescent="0.25">
      <c r="A83" s="1" t="s">
        <v>10</v>
      </c>
      <c r="B83" s="1"/>
      <c r="F83" s="74">
        <v>1791</v>
      </c>
    </row>
    <row r="84" spans="1:6" ht="14.25" thickBot="1" x14ac:dyDescent="0.2">
      <c r="A84" s="2"/>
      <c r="B84" s="3" t="s">
        <v>7</v>
      </c>
      <c r="C84" s="73" t="s">
        <v>8</v>
      </c>
      <c r="D84" s="4" t="s">
        <v>9</v>
      </c>
      <c r="E84" s="5" t="s">
        <v>0</v>
      </c>
      <c r="F84" s="6" t="s">
        <v>1</v>
      </c>
    </row>
    <row r="85" spans="1:6" x14ac:dyDescent="0.15">
      <c r="A85" s="63" t="s">
        <v>6</v>
      </c>
      <c r="B85" s="70">
        <f>B82</f>
        <v>9</v>
      </c>
      <c r="C85" s="70">
        <f>C82</f>
        <v>3</v>
      </c>
      <c r="D85" s="70">
        <f>D82</f>
        <v>0</v>
      </c>
      <c r="E85" s="71">
        <f>SUM(B85:D85)</f>
        <v>12</v>
      </c>
      <c r="F85" s="72"/>
    </row>
    <row r="86" spans="1:6" x14ac:dyDescent="0.15">
      <c r="A86" s="8" t="s">
        <v>3</v>
      </c>
      <c r="B86" s="49">
        <v>5</v>
      </c>
      <c r="C86" s="69">
        <v>10</v>
      </c>
      <c r="D86" s="59">
        <v>10</v>
      </c>
      <c r="E86" s="10">
        <f>SUM(B86:D86)</f>
        <v>25</v>
      </c>
      <c r="F86" s="11">
        <v>44909</v>
      </c>
    </row>
    <row r="87" spans="1:6" x14ac:dyDescent="0.15">
      <c r="A87" s="8" t="s">
        <v>3</v>
      </c>
      <c r="B87" s="49"/>
      <c r="C87" s="58">
        <v>3</v>
      </c>
      <c r="D87" s="59"/>
      <c r="E87" s="10">
        <f t="shared" ref="E87:E92" si="5">SUM(B87:D87)</f>
        <v>3</v>
      </c>
      <c r="F87" s="13">
        <v>44965</v>
      </c>
    </row>
    <row r="88" spans="1:6" x14ac:dyDescent="0.15">
      <c r="A88" s="8" t="s">
        <v>14</v>
      </c>
      <c r="B88" s="49">
        <v>1</v>
      </c>
      <c r="C88" s="58"/>
      <c r="D88" s="59"/>
      <c r="E88" s="10">
        <f t="shared" si="5"/>
        <v>1</v>
      </c>
      <c r="F88" s="13">
        <v>44993</v>
      </c>
    </row>
    <row r="89" spans="1:6" x14ac:dyDescent="0.15">
      <c r="A89" s="8" t="s">
        <v>3</v>
      </c>
      <c r="B89" s="54">
        <v>10</v>
      </c>
      <c r="C89" s="59">
        <v>10</v>
      </c>
      <c r="D89" s="9"/>
      <c r="E89" s="10">
        <f t="shared" si="5"/>
        <v>20</v>
      </c>
      <c r="F89" s="13">
        <v>45007</v>
      </c>
    </row>
    <row r="90" spans="1:6" x14ac:dyDescent="0.15">
      <c r="A90" s="8" t="s">
        <v>3</v>
      </c>
      <c r="B90" s="49"/>
      <c r="C90" s="14"/>
      <c r="D90" s="9"/>
      <c r="E90" s="10">
        <f t="shared" si="5"/>
        <v>0</v>
      </c>
      <c r="F90" s="13"/>
    </row>
    <row r="91" spans="1:6" x14ac:dyDescent="0.15">
      <c r="A91" s="8" t="s">
        <v>3</v>
      </c>
      <c r="B91" s="36"/>
      <c r="C91" s="14"/>
      <c r="D91" s="9"/>
      <c r="E91" s="10">
        <f t="shared" si="5"/>
        <v>0</v>
      </c>
      <c r="F91" s="13"/>
    </row>
    <row r="92" spans="1:6" x14ac:dyDescent="0.15">
      <c r="A92" s="8" t="s">
        <v>3</v>
      </c>
      <c r="B92" s="49"/>
      <c r="C92" s="14"/>
      <c r="D92" s="9"/>
      <c r="E92" s="10">
        <f t="shared" si="5"/>
        <v>0</v>
      </c>
      <c r="F92" s="13"/>
    </row>
    <row r="93" spans="1:6" x14ac:dyDescent="0.15">
      <c r="A93" s="8" t="s">
        <v>3</v>
      </c>
      <c r="B93" s="49"/>
      <c r="C93" s="14"/>
      <c r="D93" s="9"/>
      <c r="E93" s="10">
        <f>SUM(B93:D93)</f>
        <v>0</v>
      </c>
      <c r="F93" s="13"/>
    </row>
    <row r="94" spans="1:6" x14ac:dyDescent="0.15">
      <c r="A94" s="8" t="s">
        <v>3</v>
      </c>
      <c r="B94" s="36"/>
      <c r="C94" s="15"/>
      <c r="D94" s="16"/>
      <c r="E94" s="10">
        <f t="shared" ref="E94:E96" si="6">SUM(B94:D94)</f>
        <v>0</v>
      </c>
      <c r="F94" s="17"/>
    </row>
    <row r="95" spans="1:6" x14ac:dyDescent="0.15">
      <c r="A95" s="8" t="s">
        <v>3</v>
      </c>
      <c r="B95" s="36"/>
      <c r="C95" s="15"/>
      <c r="D95" s="16"/>
      <c r="E95" s="10">
        <f t="shared" si="6"/>
        <v>0</v>
      </c>
      <c r="F95" s="17"/>
    </row>
    <row r="96" spans="1:6" ht="14.25" thickBot="1" x14ac:dyDescent="0.2">
      <c r="A96" s="37" t="s">
        <v>3</v>
      </c>
      <c r="B96" s="38"/>
      <c r="C96" s="14"/>
      <c r="D96" s="18"/>
      <c r="E96" s="10">
        <f t="shared" si="6"/>
        <v>0</v>
      </c>
      <c r="F96" s="19"/>
    </row>
    <row r="97" spans="1:6" ht="14.25" thickBot="1" x14ac:dyDescent="0.2">
      <c r="A97" s="2" t="s">
        <v>4</v>
      </c>
      <c r="B97" s="20">
        <f>SUM(B85:B96)</f>
        <v>25</v>
      </c>
      <c r="C97" s="20">
        <f>SUM(C85:C96)</f>
        <v>26</v>
      </c>
      <c r="D97" s="21">
        <f>SUM(D85:D96)</f>
        <v>10</v>
      </c>
      <c r="E97" s="22">
        <f>SUM(B97:D97)</f>
        <v>61</v>
      </c>
      <c r="F97" s="23"/>
    </row>
    <row r="98" spans="1:6" x14ac:dyDescent="0.15">
      <c r="A98" s="24" t="s">
        <v>11</v>
      </c>
      <c r="B98" s="50">
        <v>1</v>
      </c>
      <c r="C98" s="35"/>
      <c r="D98" s="9"/>
      <c r="E98" s="10">
        <f t="shared" ref="E98" si="7">SUM(B98:D98)</f>
        <v>1</v>
      </c>
      <c r="F98" s="11">
        <v>44907</v>
      </c>
    </row>
    <row r="99" spans="1:6" x14ac:dyDescent="0.15">
      <c r="A99" s="24" t="s">
        <v>11</v>
      </c>
      <c r="B99" s="50"/>
      <c r="C99" s="35"/>
      <c r="D99" s="9">
        <v>2</v>
      </c>
      <c r="E99" s="10">
        <f>SUM(B99:D99)</f>
        <v>2</v>
      </c>
      <c r="F99" s="11">
        <v>44909</v>
      </c>
    </row>
    <row r="100" spans="1:6" x14ac:dyDescent="0.15">
      <c r="A100" s="24" t="s">
        <v>13</v>
      </c>
      <c r="B100" s="50"/>
      <c r="C100" s="35">
        <v>2</v>
      </c>
      <c r="D100" s="9">
        <v>-2</v>
      </c>
      <c r="E100" s="10">
        <f t="shared" ref="E100:E107" si="8">SUM(B100:D100)</f>
        <v>0</v>
      </c>
      <c r="F100" s="11">
        <v>44911</v>
      </c>
    </row>
    <row r="101" spans="1:6" x14ac:dyDescent="0.15">
      <c r="A101" s="24" t="s">
        <v>11</v>
      </c>
      <c r="B101" s="50"/>
      <c r="C101" s="35">
        <v>1</v>
      </c>
      <c r="D101" s="9"/>
      <c r="E101" s="10">
        <f t="shared" si="8"/>
        <v>1</v>
      </c>
      <c r="F101" s="11">
        <v>44918</v>
      </c>
    </row>
    <row r="102" spans="1:6" x14ac:dyDescent="0.15">
      <c r="A102" s="24" t="s">
        <v>11</v>
      </c>
      <c r="B102" s="50">
        <v>1</v>
      </c>
      <c r="C102" s="35"/>
      <c r="D102" s="9"/>
      <c r="E102" s="10">
        <f t="shared" si="8"/>
        <v>1</v>
      </c>
      <c r="F102" s="11">
        <v>44942</v>
      </c>
    </row>
    <row r="103" spans="1:6" x14ac:dyDescent="0.15">
      <c r="A103" s="24" t="s">
        <v>11</v>
      </c>
      <c r="B103" s="50"/>
      <c r="C103" s="35">
        <v>1</v>
      </c>
      <c r="D103" s="9"/>
      <c r="E103" s="10">
        <f t="shared" si="8"/>
        <v>1</v>
      </c>
      <c r="F103" s="11">
        <v>44953</v>
      </c>
    </row>
    <row r="104" spans="1:6" x14ac:dyDescent="0.15">
      <c r="A104" s="24" t="s">
        <v>11</v>
      </c>
      <c r="B104" s="50"/>
      <c r="C104" s="35">
        <v>1</v>
      </c>
      <c r="D104" s="9"/>
      <c r="E104" s="10">
        <f t="shared" si="8"/>
        <v>1</v>
      </c>
      <c r="F104" s="11">
        <v>44956</v>
      </c>
    </row>
    <row r="105" spans="1:6" x14ac:dyDescent="0.15">
      <c r="A105" s="24" t="s">
        <v>11</v>
      </c>
      <c r="B105" s="50">
        <v>2</v>
      </c>
      <c r="C105" s="35"/>
      <c r="D105" s="9"/>
      <c r="E105" s="10">
        <f t="shared" si="8"/>
        <v>2</v>
      </c>
      <c r="F105" s="11">
        <v>44960</v>
      </c>
    </row>
    <row r="106" spans="1:6" x14ac:dyDescent="0.15">
      <c r="A106" s="24" t="s">
        <v>11</v>
      </c>
      <c r="B106" s="50"/>
      <c r="C106" s="35">
        <v>1</v>
      </c>
      <c r="D106" s="9"/>
      <c r="E106" s="10">
        <f t="shared" si="8"/>
        <v>1</v>
      </c>
      <c r="F106" s="11">
        <v>44963</v>
      </c>
    </row>
    <row r="107" spans="1:6" x14ac:dyDescent="0.15">
      <c r="A107" s="24" t="s">
        <v>11</v>
      </c>
      <c r="B107" s="50"/>
      <c r="C107" s="35">
        <v>1</v>
      </c>
      <c r="D107" s="9"/>
      <c r="E107" s="10">
        <f t="shared" si="8"/>
        <v>1</v>
      </c>
      <c r="F107" s="11">
        <v>44967</v>
      </c>
    </row>
    <row r="108" spans="1:6" x14ac:dyDescent="0.15">
      <c r="A108" s="24" t="s">
        <v>11</v>
      </c>
      <c r="B108" s="50">
        <f>2+1</f>
        <v>3</v>
      </c>
      <c r="C108" s="35">
        <v>2</v>
      </c>
      <c r="D108" s="9"/>
      <c r="E108" s="10">
        <f>SUM(B108:D108)</f>
        <v>5</v>
      </c>
      <c r="F108" s="11">
        <v>44970</v>
      </c>
    </row>
    <row r="109" spans="1:6" x14ac:dyDescent="0.15">
      <c r="A109" s="24" t="s">
        <v>11</v>
      </c>
      <c r="B109" s="50">
        <v>1</v>
      </c>
      <c r="C109" s="35"/>
      <c r="D109" s="9"/>
      <c r="E109" s="10">
        <f t="shared" ref="E109:E121" si="9">SUM(B109:D109)</f>
        <v>1</v>
      </c>
      <c r="F109" s="11">
        <v>44974</v>
      </c>
    </row>
    <row r="110" spans="1:6" x14ac:dyDescent="0.15">
      <c r="A110" s="24" t="s">
        <v>11</v>
      </c>
      <c r="B110" s="50"/>
      <c r="C110" s="35">
        <v>1</v>
      </c>
      <c r="D110" s="9"/>
      <c r="E110" s="10">
        <f t="shared" si="9"/>
        <v>1</v>
      </c>
      <c r="F110" s="11">
        <v>44979</v>
      </c>
    </row>
    <row r="111" spans="1:6" x14ac:dyDescent="0.15">
      <c r="A111" s="24" t="s">
        <v>11</v>
      </c>
      <c r="B111" s="50">
        <v>1</v>
      </c>
      <c r="C111" s="35">
        <v>1</v>
      </c>
      <c r="D111" s="9"/>
      <c r="E111" s="10">
        <f t="shared" si="9"/>
        <v>2</v>
      </c>
      <c r="F111" s="11">
        <v>44981</v>
      </c>
    </row>
    <row r="112" spans="1:6" x14ac:dyDescent="0.15">
      <c r="A112" s="24" t="s">
        <v>11</v>
      </c>
      <c r="B112" s="76">
        <v>1</v>
      </c>
      <c r="C112" s="35">
        <v>1</v>
      </c>
      <c r="D112" s="9"/>
      <c r="E112" s="10">
        <f t="shared" si="9"/>
        <v>2</v>
      </c>
      <c r="F112" s="11">
        <v>44984</v>
      </c>
    </row>
    <row r="113" spans="1:6" x14ac:dyDescent="0.15">
      <c r="A113" s="24" t="s">
        <v>11</v>
      </c>
      <c r="B113" s="50">
        <v>1</v>
      </c>
      <c r="C113" s="35"/>
      <c r="D113" s="9"/>
      <c r="E113" s="10">
        <f t="shared" si="9"/>
        <v>1</v>
      </c>
      <c r="F113" s="11">
        <v>44985</v>
      </c>
    </row>
    <row r="114" spans="1:6" x14ac:dyDescent="0.15">
      <c r="A114" s="24" t="s">
        <v>11</v>
      </c>
      <c r="B114" s="50"/>
      <c r="C114" s="35">
        <v>1</v>
      </c>
      <c r="D114" s="9"/>
      <c r="E114" s="10">
        <f t="shared" si="9"/>
        <v>1</v>
      </c>
      <c r="F114" s="11">
        <v>44987</v>
      </c>
    </row>
    <row r="115" spans="1:6" x14ac:dyDescent="0.15">
      <c r="A115" s="24" t="s">
        <v>11</v>
      </c>
      <c r="B115" s="50"/>
      <c r="C115" s="35">
        <v>3</v>
      </c>
      <c r="D115" s="9"/>
      <c r="E115" s="10">
        <f t="shared" si="9"/>
        <v>3</v>
      </c>
      <c r="F115" s="11">
        <v>44991</v>
      </c>
    </row>
    <row r="116" spans="1:6" x14ac:dyDescent="0.15">
      <c r="A116" s="24" t="s">
        <v>11</v>
      </c>
      <c r="B116" s="50"/>
      <c r="C116" s="35"/>
      <c r="D116" s="9">
        <v>2</v>
      </c>
      <c r="E116" s="10">
        <f t="shared" si="9"/>
        <v>2</v>
      </c>
      <c r="F116" s="11">
        <v>44994</v>
      </c>
    </row>
    <row r="117" spans="1:6" x14ac:dyDescent="0.15">
      <c r="A117" s="24" t="s">
        <v>11</v>
      </c>
      <c r="B117" s="50">
        <v>1</v>
      </c>
      <c r="C117" s="35"/>
      <c r="D117" s="9"/>
      <c r="E117" s="10">
        <f t="shared" si="9"/>
        <v>1</v>
      </c>
      <c r="F117" s="11">
        <v>44995</v>
      </c>
    </row>
    <row r="118" spans="1:6" x14ac:dyDescent="0.15">
      <c r="A118" s="24" t="s">
        <v>11</v>
      </c>
      <c r="B118" s="76">
        <v>1</v>
      </c>
      <c r="C118" s="35"/>
      <c r="D118" s="9"/>
      <c r="E118" s="10">
        <f t="shared" si="9"/>
        <v>1</v>
      </c>
      <c r="F118" s="11">
        <v>44998</v>
      </c>
    </row>
    <row r="119" spans="1:6" x14ac:dyDescent="0.15">
      <c r="A119" s="24" t="s">
        <v>11</v>
      </c>
      <c r="B119" s="50"/>
      <c r="C119" s="35">
        <v>1</v>
      </c>
      <c r="D119" s="9"/>
      <c r="E119" s="10">
        <f t="shared" si="9"/>
        <v>1</v>
      </c>
      <c r="F119" s="11">
        <v>45007</v>
      </c>
    </row>
    <row r="120" spans="1:6" x14ac:dyDescent="0.15">
      <c r="A120" s="24" t="s">
        <v>11</v>
      </c>
      <c r="B120" s="50"/>
      <c r="C120" s="39"/>
      <c r="D120" s="16">
        <v>1</v>
      </c>
      <c r="E120" s="10">
        <f t="shared" si="9"/>
        <v>1</v>
      </c>
      <c r="F120" s="25">
        <v>45012</v>
      </c>
    </row>
    <row r="121" spans="1:6" ht="14.25" thickBot="1" x14ac:dyDescent="0.2">
      <c r="A121" s="24" t="s">
        <v>11</v>
      </c>
      <c r="B121" s="75"/>
      <c r="C121" s="14">
        <v>1</v>
      </c>
      <c r="D121" s="18"/>
      <c r="E121" s="10">
        <f t="shared" si="9"/>
        <v>1</v>
      </c>
      <c r="F121" s="19">
        <v>45022</v>
      </c>
    </row>
    <row r="122" spans="1:6" ht="14.25" thickBot="1" x14ac:dyDescent="0.2">
      <c r="A122" s="6" t="s">
        <v>5</v>
      </c>
      <c r="B122" s="44">
        <f>SUM(B98:B121)</f>
        <v>13</v>
      </c>
      <c r="C122" s="40">
        <f>SUM(C98:C121)</f>
        <v>18</v>
      </c>
      <c r="D122" s="28">
        <f>SUM(D98:D121)</f>
        <v>3</v>
      </c>
      <c r="E122" s="29">
        <f>SUM(B122:D122)</f>
        <v>34</v>
      </c>
      <c r="F122" s="30"/>
    </row>
    <row r="123" spans="1:6" ht="14.25" thickBot="1" x14ac:dyDescent="0.2">
      <c r="A123" s="31" t="s">
        <v>6</v>
      </c>
      <c r="B123" s="45">
        <f>B97-B122</f>
        <v>12</v>
      </c>
      <c r="C123" s="41">
        <f>C97-C122</f>
        <v>8</v>
      </c>
      <c r="D123" s="32">
        <f>D97-D122</f>
        <v>7</v>
      </c>
      <c r="E123" s="33">
        <f>SUM(B123:D123)</f>
        <v>27</v>
      </c>
      <c r="F123" s="34"/>
    </row>
    <row r="124" spans="1:6" ht="19.5" thickBot="1" x14ac:dyDescent="0.25">
      <c r="A124" s="1" t="s">
        <v>10</v>
      </c>
      <c r="B124" s="1"/>
      <c r="F124" s="74">
        <v>1791</v>
      </c>
    </row>
    <row r="125" spans="1:6" ht="14.25" thickBot="1" x14ac:dyDescent="0.2">
      <c r="A125" s="2"/>
      <c r="B125" s="3" t="s">
        <v>7</v>
      </c>
      <c r="C125" s="73" t="s">
        <v>8</v>
      </c>
      <c r="D125" s="4" t="s">
        <v>9</v>
      </c>
      <c r="E125" s="5" t="s">
        <v>0</v>
      </c>
      <c r="F125" s="6" t="s">
        <v>1</v>
      </c>
    </row>
    <row r="126" spans="1:6" x14ac:dyDescent="0.15">
      <c r="A126" s="63" t="s">
        <v>6</v>
      </c>
      <c r="B126" s="70">
        <f>B123</f>
        <v>12</v>
      </c>
      <c r="C126" s="70">
        <f>C123</f>
        <v>8</v>
      </c>
      <c r="D126" s="70">
        <f>D123</f>
        <v>7</v>
      </c>
      <c r="E126" s="71">
        <f>SUM(B126:D126)</f>
        <v>27</v>
      </c>
      <c r="F126" s="72"/>
    </row>
    <row r="127" spans="1:6" x14ac:dyDescent="0.15">
      <c r="A127" s="8" t="s">
        <v>3</v>
      </c>
      <c r="B127" s="49">
        <v>5</v>
      </c>
      <c r="C127" s="58">
        <v>8</v>
      </c>
      <c r="D127" s="59">
        <v>3</v>
      </c>
      <c r="E127" s="10">
        <f t="shared" ref="E127:E130" si="10">SUM(B127:D127)</f>
        <v>16</v>
      </c>
      <c r="F127" s="13">
        <v>45089</v>
      </c>
    </row>
    <row r="128" spans="1:6" x14ac:dyDescent="0.15">
      <c r="A128" s="8" t="s">
        <v>3</v>
      </c>
      <c r="B128" s="49">
        <v>2</v>
      </c>
      <c r="C128" s="14">
        <v>8</v>
      </c>
      <c r="D128" s="9"/>
      <c r="E128" s="10">
        <f t="shared" si="10"/>
        <v>10</v>
      </c>
      <c r="F128" s="13">
        <v>45113</v>
      </c>
    </row>
    <row r="129" spans="1:6" x14ac:dyDescent="0.15">
      <c r="A129" s="8" t="s">
        <v>3</v>
      </c>
      <c r="B129" s="49"/>
      <c r="C129" s="14"/>
      <c r="D129" s="9"/>
      <c r="E129" s="10">
        <f t="shared" si="10"/>
        <v>0</v>
      </c>
      <c r="F129" s="13"/>
    </row>
    <row r="130" spans="1:6" x14ac:dyDescent="0.15">
      <c r="A130" s="8" t="s">
        <v>3</v>
      </c>
      <c r="B130" s="49"/>
      <c r="C130" s="14"/>
      <c r="D130" s="9"/>
      <c r="E130" s="10">
        <f t="shared" si="10"/>
        <v>0</v>
      </c>
      <c r="F130" s="13"/>
    </row>
    <row r="131" spans="1:6" x14ac:dyDescent="0.15">
      <c r="A131" s="8" t="s">
        <v>3</v>
      </c>
      <c r="B131" s="49"/>
      <c r="C131" s="14"/>
      <c r="D131" s="9"/>
      <c r="E131" s="10">
        <f t="shared" ref="E131:E133" si="11">SUM(B131:D131)</f>
        <v>0</v>
      </c>
      <c r="F131" s="13"/>
    </row>
    <row r="132" spans="1:6" x14ac:dyDescent="0.15">
      <c r="A132" s="8" t="s">
        <v>3</v>
      </c>
      <c r="B132" s="36"/>
      <c r="C132" s="14"/>
      <c r="D132" s="9"/>
      <c r="E132" s="10">
        <f t="shared" si="11"/>
        <v>0</v>
      </c>
      <c r="F132" s="13"/>
    </row>
    <row r="133" spans="1:6" x14ac:dyDescent="0.15">
      <c r="A133" s="8" t="s">
        <v>3</v>
      </c>
      <c r="B133" s="49"/>
      <c r="C133" s="14"/>
      <c r="D133" s="9"/>
      <c r="E133" s="10">
        <f t="shared" si="11"/>
        <v>0</v>
      </c>
      <c r="F133" s="13"/>
    </row>
    <row r="134" spans="1:6" x14ac:dyDescent="0.15">
      <c r="A134" s="8" t="s">
        <v>3</v>
      </c>
      <c r="B134" s="49"/>
      <c r="C134" s="14"/>
      <c r="D134" s="9"/>
      <c r="E134" s="10">
        <f>SUM(B134:D134)</f>
        <v>0</v>
      </c>
      <c r="F134" s="13"/>
    </row>
    <row r="135" spans="1:6" x14ac:dyDescent="0.15">
      <c r="A135" s="8" t="s">
        <v>3</v>
      </c>
      <c r="B135" s="36"/>
      <c r="C135" s="15"/>
      <c r="D135" s="16"/>
      <c r="E135" s="10">
        <f t="shared" ref="E135:E137" si="12">SUM(B135:D135)</f>
        <v>0</v>
      </c>
      <c r="F135" s="17"/>
    </row>
    <row r="136" spans="1:6" x14ac:dyDescent="0.15">
      <c r="A136" s="8" t="s">
        <v>3</v>
      </c>
      <c r="B136" s="36"/>
      <c r="C136" s="15"/>
      <c r="D136" s="16"/>
      <c r="E136" s="10">
        <f t="shared" si="12"/>
        <v>0</v>
      </c>
      <c r="F136" s="17"/>
    </row>
    <row r="137" spans="1:6" ht="14.25" thickBot="1" x14ac:dyDescent="0.2">
      <c r="A137" s="37" t="s">
        <v>3</v>
      </c>
      <c r="B137" s="38"/>
      <c r="C137" s="14"/>
      <c r="D137" s="18"/>
      <c r="E137" s="10">
        <f t="shared" si="12"/>
        <v>0</v>
      </c>
      <c r="F137" s="19"/>
    </row>
    <row r="138" spans="1:6" ht="14.25" thickBot="1" x14ac:dyDescent="0.2">
      <c r="A138" s="2" t="s">
        <v>4</v>
      </c>
      <c r="B138" s="20">
        <f>SUM(B126:B137)</f>
        <v>19</v>
      </c>
      <c r="C138" s="20">
        <f>SUM(C126:C137)</f>
        <v>24</v>
      </c>
      <c r="D138" s="21">
        <f>SUM(D126:D137)</f>
        <v>10</v>
      </c>
      <c r="E138" s="22">
        <f>SUM(B138:D138)</f>
        <v>53</v>
      </c>
      <c r="F138" s="23"/>
    </row>
    <row r="139" spans="1:6" x14ac:dyDescent="0.15">
      <c r="A139" s="24" t="s">
        <v>11</v>
      </c>
      <c r="B139" s="50">
        <v>1</v>
      </c>
      <c r="C139" s="35"/>
      <c r="D139" s="9"/>
      <c r="E139" s="10">
        <f t="shared" ref="E139" si="13">SUM(B139:D139)</f>
        <v>1</v>
      </c>
      <c r="F139" s="11">
        <v>45026</v>
      </c>
    </row>
    <row r="140" spans="1:6" x14ac:dyDescent="0.15">
      <c r="A140" s="24" t="s">
        <v>11</v>
      </c>
      <c r="B140" s="50"/>
      <c r="C140" s="35">
        <v>2</v>
      </c>
      <c r="D140" s="9"/>
      <c r="E140" s="10">
        <f t="shared" ref="E140:E159" si="14">SUM(B140:D140)</f>
        <v>2</v>
      </c>
      <c r="F140" s="11">
        <v>45030</v>
      </c>
    </row>
    <row r="141" spans="1:6" x14ac:dyDescent="0.15">
      <c r="A141" s="24" t="s">
        <v>11</v>
      </c>
      <c r="B141" s="50">
        <v>2</v>
      </c>
      <c r="C141" s="35">
        <v>1</v>
      </c>
      <c r="D141" s="9">
        <v>1</v>
      </c>
      <c r="E141" s="10">
        <f t="shared" si="14"/>
        <v>4</v>
      </c>
      <c r="F141" s="11">
        <v>45033</v>
      </c>
    </row>
    <row r="142" spans="1:6" x14ac:dyDescent="0.15">
      <c r="A142" s="24" t="s">
        <v>11</v>
      </c>
      <c r="B142" s="50"/>
      <c r="C142" s="35">
        <v>1</v>
      </c>
      <c r="D142" s="9"/>
      <c r="E142" s="10">
        <f t="shared" si="14"/>
        <v>1</v>
      </c>
      <c r="F142" s="11">
        <v>45034</v>
      </c>
    </row>
    <row r="143" spans="1:6" x14ac:dyDescent="0.15">
      <c r="A143" s="24" t="s">
        <v>11</v>
      </c>
      <c r="B143" s="50"/>
      <c r="C143" s="35"/>
      <c r="D143" s="9">
        <v>1</v>
      </c>
      <c r="E143" s="10">
        <f t="shared" si="14"/>
        <v>1</v>
      </c>
      <c r="F143" s="11">
        <v>45037</v>
      </c>
    </row>
    <row r="144" spans="1:6" x14ac:dyDescent="0.15">
      <c r="A144" s="24" t="s">
        <v>11</v>
      </c>
      <c r="B144" s="50">
        <v>1</v>
      </c>
      <c r="C144" s="35"/>
      <c r="D144" s="9"/>
      <c r="E144" s="10">
        <f t="shared" si="14"/>
        <v>1</v>
      </c>
      <c r="F144" s="11">
        <v>45040</v>
      </c>
    </row>
    <row r="145" spans="1:6" x14ac:dyDescent="0.15">
      <c r="A145" s="24" t="s">
        <v>11</v>
      </c>
      <c r="B145" s="50"/>
      <c r="C145" s="35">
        <v>1</v>
      </c>
      <c r="D145" s="9"/>
      <c r="E145" s="10">
        <f t="shared" si="14"/>
        <v>1</v>
      </c>
      <c r="F145" s="11">
        <v>45048</v>
      </c>
    </row>
    <row r="146" spans="1:6" x14ac:dyDescent="0.15">
      <c r="A146" s="24" t="s">
        <v>11</v>
      </c>
      <c r="B146" s="50"/>
      <c r="C146" s="35">
        <v>1</v>
      </c>
      <c r="D146" s="9"/>
      <c r="E146" s="10">
        <f t="shared" si="14"/>
        <v>1</v>
      </c>
      <c r="F146" s="11">
        <v>45054</v>
      </c>
    </row>
    <row r="147" spans="1:6" x14ac:dyDescent="0.15">
      <c r="A147" s="24" t="s">
        <v>11</v>
      </c>
      <c r="B147" s="50">
        <v>1</v>
      </c>
      <c r="C147" s="35"/>
      <c r="D147" s="9"/>
      <c r="E147" s="10">
        <f t="shared" si="14"/>
        <v>1</v>
      </c>
      <c r="F147" s="11">
        <v>45055</v>
      </c>
    </row>
    <row r="148" spans="1:6" x14ac:dyDescent="0.15">
      <c r="A148" s="24" t="s">
        <v>11</v>
      </c>
      <c r="B148" s="50"/>
      <c r="C148" s="35">
        <v>1</v>
      </c>
      <c r="D148" s="9"/>
      <c r="E148" s="10">
        <f t="shared" si="14"/>
        <v>1</v>
      </c>
      <c r="F148" s="11">
        <v>45064</v>
      </c>
    </row>
    <row r="149" spans="1:6" x14ac:dyDescent="0.15">
      <c r="A149" s="24" t="s">
        <v>11</v>
      </c>
      <c r="B149" s="50">
        <v>1</v>
      </c>
      <c r="C149" s="35"/>
      <c r="D149" s="9"/>
      <c r="E149" s="10">
        <f t="shared" si="14"/>
        <v>1</v>
      </c>
      <c r="F149" s="11">
        <v>45069</v>
      </c>
    </row>
    <row r="150" spans="1:6" x14ac:dyDescent="0.15">
      <c r="A150" s="24" t="s">
        <v>11</v>
      </c>
      <c r="B150" s="50"/>
      <c r="C150" s="35"/>
      <c r="D150" s="9">
        <v>1</v>
      </c>
      <c r="E150" s="10">
        <f t="shared" si="14"/>
        <v>1</v>
      </c>
      <c r="F150" s="11">
        <v>45070</v>
      </c>
    </row>
    <row r="151" spans="1:6" x14ac:dyDescent="0.15">
      <c r="A151" s="24" t="s">
        <v>11</v>
      </c>
      <c r="B151" s="50"/>
      <c r="C151" s="35"/>
      <c r="D151" s="9">
        <v>2</v>
      </c>
      <c r="E151" s="10">
        <f t="shared" si="14"/>
        <v>2</v>
      </c>
      <c r="F151" s="11">
        <v>45082</v>
      </c>
    </row>
    <row r="152" spans="1:6" x14ac:dyDescent="0.15">
      <c r="A152" s="24" t="s">
        <v>11</v>
      </c>
      <c r="B152" s="50">
        <v>1</v>
      </c>
      <c r="C152" s="35"/>
      <c r="D152" s="9"/>
      <c r="E152" s="10">
        <f t="shared" si="14"/>
        <v>1</v>
      </c>
      <c r="F152" s="11">
        <v>45084</v>
      </c>
    </row>
    <row r="153" spans="1:6" x14ac:dyDescent="0.15">
      <c r="A153" s="24" t="s">
        <v>11</v>
      </c>
      <c r="B153" s="50"/>
      <c r="C153" s="35">
        <v>1</v>
      </c>
      <c r="D153" s="9"/>
      <c r="E153" s="10">
        <f t="shared" si="14"/>
        <v>1</v>
      </c>
      <c r="F153" s="11">
        <v>45086</v>
      </c>
    </row>
    <row r="154" spans="1:6" x14ac:dyDescent="0.15">
      <c r="A154" s="24" t="s">
        <v>11</v>
      </c>
      <c r="B154" s="50"/>
      <c r="C154" s="35">
        <v>1</v>
      </c>
      <c r="D154" s="9">
        <v>2</v>
      </c>
      <c r="E154" s="10">
        <f t="shared" si="14"/>
        <v>3</v>
      </c>
      <c r="F154" s="11">
        <v>45089</v>
      </c>
    </row>
    <row r="155" spans="1:6" x14ac:dyDescent="0.15">
      <c r="A155" s="24" t="s">
        <v>11</v>
      </c>
      <c r="B155" s="50">
        <v>1</v>
      </c>
      <c r="C155" s="35"/>
      <c r="D155" s="9"/>
      <c r="E155" s="10">
        <f t="shared" si="14"/>
        <v>1</v>
      </c>
      <c r="F155" s="11">
        <v>45091</v>
      </c>
    </row>
    <row r="156" spans="1:6" x14ac:dyDescent="0.15">
      <c r="A156" s="24" t="s">
        <v>11</v>
      </c>
      <c r="B156" s="50"/>
      <c r="C156" s="35">
        <v>4</v>
      </c>
      <c r="D156" s="9"/>
      <c r="E156" s="10">
        <f t="shared" si="14"/>
        <v>4</v>
      </c>
      <c r="F156" s="11">
        <v>45093</v>
      </c>
    </row>
    <row r="157" spans="1:6" x14ac:dyDescent="0.15">
      <c r="A157" s="24" t="s">
        <v>11</v>
      </c>
      <c r="B157" s="50">
        <v>3</v>
      </c>
      <c r="C157" s="35">
        <v>2</v>
      </c>
      <c r="D157" s="9"/>
      <c r="E157" s="10">
        <f t="shared" si="14"/>
        <v>5</v>
      </c>
      <c r="F157" s="11">
        <v>45103</v>
      </c>
    </row>
    <row r="158" spans="1:6" x14ac:dyDescent="0.15">
      <c r="A158" s="24" t="s">
        <v>11</v>
      </c>
      <c r="B158" s="50">
        <v>1</v>
      </c>
      <c r="C158" s="35"/>
      <c r="D158" s="9"/>
      <c r="E158" s="10">
        <f t="shared" si="14"/>
        <v>1</v>
      </c>
      <c r="F158" s="11">
        <v>45111</v>
      </c>
    </row>
    <row r="159" spans="1:6" x14ac:dyDescent="0.15">
      <c r="A159" s="24" t="s">
        <v>11</v>
      </c>
      <c r="B159" s="50">
        <v>1</v>
      </c>
      <c r="C159" s="35">
        <v>2</v>
      </c>
      <c r="D159" s="9"/>
      <c r="E159" s="10">
        <f t="shared" si="14"/>
        <v>3</v>
      </c>
      <c r="F159" s="11">
        <v>45125</v>
      </c>
    </row>
    <row r="160" spans="1:6" x14ac:dyDescent="0.15">
      <c r="A160" s="24" t="s">
        <v>11</v>
      </c>
      <c r="B160" s="50"/>
      <c r="C160" s="35">
        <v>1</v>
      </c>
      <c r="D160" s="9"/>
      <c r="E160" s="10">
        <f t="shared" ref="E160:E162" si="15">SUM(B160:D160)</f>
        <v>1</v>
      </c>
      <c r="F160" s="11">
        <v>45127</v>
      </c>
    </row>
    <row r="161" spans="1:7" x14ac:dyDescent="0.15">
      <c r="A161" s="24" t="s">
        <v>11</v>
      </c>
      <c r="B161" s="50">
        <v>1</v>
      </c>
      <c r="C161" s="39"/>
      <c r="D161" s="16"/>
      <c r="E161" s="10">
        <f t="shared" si="15"/>
        <v>1</v>
      </c>
      <c r="F161" s="25">
        <v>45131</v>
      </c>
    </row>
    <row r="162" spans="1:7" ht="14.25" thickBot="1" x14ac:dyDescent="0.2">
      <c r="A162" s="24" t="s">
        <v>11</v>
      </c>
      <c r="B162" s="75">
        <v>1</v>
      </c>
      <c r="C162" s="14"/>
      <c r="D162" s="18"/>
      <c r="E162" s="10">
        <f t="shared" si="15"/>
        <v>1</v>
      </c>
      <c r="F162" s="19">
        <v>45132</v>
      </c>
    </row>
    <row r="163" spans="1:7" ht="14.25" thickBot="1" x14ac:dyDescent="0.2">
      <c r="A163" s="6" t="s">
        <v>5</v>
      </c>
      <c r="B163" s="44">
        <f>SUM(B139:B162)</f>
        <v>15</v>
      </c>
      <c r="C163" s="40">
        <f>SUM(C139:C162)</f>
        <v>18</v>
      </c>
      <c r="D163" s="28">
        <f>SUM(D139:D162)</f>
        <v>7</v>
      </c>
      <c r="E163" s="29">
        <f>SUM(B163:D163)</f>
        <v>40</v>
      </c>
      <c r="F163" s="30"/>
    </row>
    <row r="164" spans="1:7" ht="14.25" thickBot="1" x14ac:dyDescent="0.2">
      <c r="A164" s="31" t="s">
        <v>6</v>
      </c>
      <c r="B164" s="45">
        <f>B138-B163</f>
        <v>4</v>
      </c>
      <c r="C164" s="41">
        <f>C138-C163</f>
        <v>6</v>
      </c>
      <c r="D164" s="32">
        <f>D138-D163</f>
        <v>3</v>
      </c>
      <c r="E164" s="33">
        <f>SUM(B164:D164)</f>
        <v>13</v>
      </c>
      <c r="F164" s="34"/>
    </row>
    <row r="165" spans="1:7" ht="19.5" thickBot="1" x14ac:dyDescent="0.25">
      <c r="A165" s="1" t="s">
        <v>10</v>
      </c>
      <c r="B165" s="1"/>
      <c r="F165" s="74">
        <v>1791</v>
      </c>
    </row>
    <row r="166" spans="1:7" ht="14.25" thickBot="1" x14ac:dyDescent="0.2">
      <c r="A166" s="2"/>
      <c r="B166" s="3" t="s">
        <v>7</v>
      </c>
      <c r="C166" s="73" t="s">
        <v>8</v>
      </c>
      <c r="D166" s="4" t="s">
        <v>9</v>
      </c>
      <c r="E166" s="5" t="s">
        <v>0</v>
      </c>
      <c r="F166" s="6" t="s">
        <v>1</v>
      </c>
    </row>
    <row r="167" spans="1:7" x14ac:dyDescent="0.15">
      <c r="A167" s="63" t="s">
        <v>6</v>
      </c>
      <c r="B167" s="70">
        <f>B164</f>
        <v>4</v>
      </c>
      <c r="C167" s="70">
        <f>C164</f>
        <v>6</v>
      </c>
      <c r="D167" s="70">
        <f>D164</f>
        <v>3</v>
      </c>
      <c r="E167" s="71">
        <f>SUM(B167:D167)</f>
        <v>13</v>
      </c>
      <c r="F167" s="72"/>
    </row>
    <row r="168" spans="1:7" x14ac:dyDescent="0.15">
      <c r="A168" s="8" t="s">
        <v>3</v>
      </c>
      <c r="B168" s="49">
        <v>3</v>
      </c>
      <c r="C168" s="58">
        <v>3</v>
      </c>
      <c r="D168" s="59">
        <v>3</v>
      </c>
      <c r="E168" s="10">
        <f t="shared" ref="E168:E173" si="16">SUM(B168:D168)</f>
        <v>9</v>
      </c>
      <c r="F168" s="13">
        <v>45140</v>
      </c>
      <c r="G168" s="26"/>
    </row>
    <row r="169" spans="1:7" x14ac:dyDescent="0.15">
      <c r="A169" s="8" t="s">
        <v>15</v>
      </c>
      <c r="B169" s="49">
        <v>0</v>
      </c>
      <c r="C169" s="58">
        <v>0</v>
      </c>
      <c r="D169" s="59">
        <v>0</v>
      </c>
      <c r="E169" s="10">
        <f t="shared" si="16"/>
        <v>0</v>
      </c>
      <c r="F169" s="13">
        <v>45140</v>
      </c>
    </row>
    <row r="170" spans="1:7" x14ac:dyDescent="0.15">
      <c r="A170" s="8" t="s">
        <v>3</v>
      </c>
      <c r="B170" s="49">
        <v>5</v>
      </c>
      <c r="C170" s="58">
        <v>5</v>
      </c>
      <c r="D170" s="59">
        <v>5</v>
      </c>
      <c r="E170" s="10">
        <f t="shared" si="16"/>
        <v>15</v>
      </c>
      <c r="F170" s="13">
        <v>45181</v>
      </c>
    </row>
    <row r="171" spans="1:7" x14ac:dyDescent="0.15">
      <c r="A171" s="8" t="s">
        <v>3</v>
      </c>
      <c r="B171" s="49">
        <v>5</v>
      </c>
      <c r="C171" s="58">
        <v>5</v>
      </c>
      <c r="D171" s="59"/>
      <c r="E171" s="10">
        <f t="shared" si="16"/>
        <v>10</v>
      </c>
      <c r="F171" s="13">
        <v>45188</v>
      </c>
    </row>
    <row r="172" spans="1:7" x14ac:dyDescent="0.15">
      <c r="A172" s="8" t="s">
        <v>3</v>
      </c>
      <c r="B172" s="49"/>
      <c r="C172" s="58"/>
      <c r="D172" s="59"/>
      <c r="E172" s="10">
        <f t="shared" si="16"/>
        <v>0</v>
      </c>
      <c r="F172" s="13"/>
    </row>
    <row r="173" spans="1:7" x14ac:dyDescent="0.15">
      <c r="A173" s="8" t="s">
        <v>3</v>
      </c>
      <c r="B173" s="49"/>
      <c r="C173" s="58"/>
      <c r="D173" s="59"/>
      <c r="E173" s="10">
        <f t="shared" si="16"/>
        <v>0</v>
      </c>
      <c r="F173" s="13"/>
    </row>
    <row r="174" spans="1:7" x14ac:dyDescent="0.15">
      <c r="A174" s="8" t="s">
        <v>3</v>
      </c>
      <c r="B174" s="49"/>
      <c r="C174" s="58"/>
      <c r="D174" s="59"/>
      <c r="E174" s="10">
        <f t="shared" ref="E174" si="17">SUM(B174:D174)</f>
        <v>0</v>
      </c>
      <c r="F174" s="13"/>
    </row>
    <row r="175" spans="1:7" x14ac:dyDescent="0.15">
      <c r="A175" s="8" t="s">
        <v>3</v>
      </c>
      <c r="B175" s="49"/>
      <c r="C175" s="58"/>
      <c r="D175" s="59"/>
      <c r="E175" s="10">
        <f>SUM(B175:D175)</f>
        <v>0</v>
      </c>
      <c r="F175" s="13"/>
    </row>
    <row r="176" spans="1:7" x14ac:dyDescent="0.15">
      <c r="A176" s="8" t="s">
        <v>3</v>
      </c>
      <c r="B176" s="36"/>
      <c r="C176" s="60"/>
      <c r="D176" s="61"/>
      <c r="E176" s="10">
        <f t="shared" ref="E176:E178" si="18">SUM(B176:D176)</f>
        <v>0</v>
      </c>
      <c r="F176" s="17"/>
    </row>
    <row r="177" spans="1:7" x14ac:dyDescent="0.15">
      <c r="A177" s="8" t="s">
        <v>3</v>
      </c>
      <c r="B177" s="36"/>
      <c r="C177" s="60"/>
      <c r="D177" s="61"/>
      <c r="E177" s="10">
        <f t="shared" si="18"/>
        <v>0</v>
      </c>
      <c r="F177" s="17"/>
    </row>
    <row r="178" spans="1:7" ht="14.25" thickBot="1" x14ac:dyDescent="0.2">
      <c r="A178" s="37" t="s">
        <v>3</v>
      </c>
      <c r="B178" s="38"/>
      <c r="C178" s="58"/>
      <c r="D178" s="62"/>
      <c r="E178" s="10">
        <f t="shared" si="18"/>
        <v>0</v>
      </c>
      <c r="F178" s="19"/>
    </row>
    <row r="179" spans="1:7" ht="14.25" thickBot="1" x14ac:dyDescent="0.2">
      <c r="A179" s="2" t="s">
        <v>4</v>
      </c>
      <c r="B179" s="20">
        <f>SUM(B167:B178)</f>
        <v>17</v>
      </c>
      <c r="C179" s="20">
        <f>SUM(C167:C178)</f>
        <v>19</v>
      </c>
      <c r="D179" s="21">
        <f>SUM(D167:D178)</f>
        <v>11</v>
      </c>
      <c r="E179" s="22">
        <f>SUM(B179:D179)</f>
        <v>47</v>
      </c>
      <c r="F179" s="23"/>
    </row>
    <row r="180" spans="1:7" x14ac:dyDescent="0.15">
      <c r="A180" s="24" t="s">
        <v>11</v>
      </c>
      <c r="B180" s="50"/>
      <c r="C180" s="39">
        <v>1</v>
      </c>
      <c r="D180" s="16"/>
      <c r="E180" s="10">
        <f t="shared" ref="E180:E201" si="19">SUM(B180:D180)</f>
        <v>1</v>
      </c>
      <c r="F180" s="25">
        <v>45133</v>
      </c>
      <c r="G180" s="26"/>
    </row>
    <row r="181" spans="1:7" x14ac:dyDescent="0.15">
      <c r="A181" s="24" t="s">
        <v>11</v>
      </c>
      <c r="B181" s="50"/>
      <c r="C181" s="39">
        <v>1</v>
      </c>
      <c r="D181" s="16">
        <v>1</v>
      </c>
      <c r="E181" s="10">
        <f t="shared" si="19"/>
        <v>2</v>
      </c>
      <c r="F181" s="25">
        <v>45136</v>
      </c>
      <c r="G181" s="26"/>
    </row>
    <row r="182" spans="1:7" x14ac:dyDescent="0.15">
      <c r="A182" s="24" t="s">
        <v>11</v>
      </c>
      <c r="B182" s="50"/>
      <c r="C182" s="39">
        <v>1</v>
      </c>
      <c r="D182" s="16"/>
      <c r="E182" s="10">
        <f t="shared" si="19"/>
        <v>1</v>
      </c>
      <c r="F182" s="25">
        <v>45141</v>
      </c>
    </row>
    <row r="183" spans="1:7" x14ac:dyDescent="0.15">
      <c r="A183" s="24" t="s">
        <v>11</v>
      </c>
      <c r="B183" s="50">
        <v>1</v>
      </c>
      <c r="C183" s="39"/>
      <c r="D183" s="16">
        <v>2</v>
      </c>
      <c r="E183" s="10">
        <f t="shared" si="19"/>
        <v>3</v>
      </c>
      <c r="F183" s="25">
        <v>45142</v>
      </c>
    </row>
    <row r="184" spans="1:7" x14ac:dyDescent="0.15">
      <c r="A184" s="24" t="s">
        <v>11</v>
      </c>
      <c r="B184" s="50">
        <v>1</v>
      </c>
      <c r="C184" s="39"/>
      <c r="D184" s="16"/>
      <c r="E184" s="10">
        <f t="shared" si="19"/>
        <v>1</v>
      </c>
      <c r="F184" s="25">
        <v>45145</v>
      </c>
    </row>
    <row r="185" spans="1:7" x14ac:dyDescent="0.15">
      <c r="A185" s="24" t="s">
        <v>11</v>
      </c>
      <c r="B185" s="50"/>
      <c r="C185" s="39">
        <v>1</v>
      </c>
      <c r="D185" s="16"/>
      <c r="E185" s="10">
        <f t="shared" si="19"/>
        <v>1</v>
      </c>
      <c r="F185" s="25">
        <v>45147</v>
      </c>
    </row>
    <row r="186" spans="1:7" x14ac:dyDescent="0.15">
      <c r="A186" s="24" t="s">
        <v>11</v>
      </c>
      <c r="B186" s="50">
        <v>1</v>
      </c>
      <c r="C186" s="39"/>
      <c r="D186" s="16">
        <v>1</v>
      </c>
      <c r="E186" s="10">
        <f t="shared" si="19"/>
        <v>2</v>
      </c>
      <c r="F186" s="25">
        <v>45154</v>
      </c>
    </row>
    <row r="187" spans="1:7" x14ac:dyDescent="0.15">
      <c r="A187" s="24" t="s">
        <v>11</v>
      </c>
      <c r="B187" s="50">
        <v>1</v>
      </c>
      <c r="C187" s="39">
        <v>1</v>
      </c>
      <c r="D187" s="16"/>
      <c r="E187" s="10">
        <f t="shared" si="19"/>
        <v>2</v>
      </c>
      <c r="F187" s="25">
        <v>45163</v>
      </c>
    </row>
    <row r="188" spans="1:7" x14ac:dyDescent="0.15">
      <c r="A188" s="24" t="s">
        <v>11</v>
      </c>
      <c r="B188" s="50"/>
      <c r="C188" s="39">
        <v>1</v>
      </c>
      <c r="D188" s="16"/>
      <c r="E188" s="10">
        <f t="shared" si="19"/>
        <v>1</v>
      </c>
      <c r="F188" s="25">
        <v>45166</v>
      </c>
    </row>
    <row r="189" spans="1:7" x14ac:dyDescent="0.15">
      <c r="A189" s="24" t="s">
        <v>11</v>
      </c>
      <c r="B189" s="50">
        <v>1</v>
      </c>
      <c r="C189" s="39"/>
      <c r="D189" s="16"/>
      <c r="E189" s="10">
        <f t="shared" si="19"/>
        <v>1</v>
      </c>
      <c r="F189" s="25">
        <v>45169</v>
      </c>
    </row>
    <row r="190" spans="1:7" x14ac:dyDescent="0.15">
      <c r="A190" s="24" t="s">
        <v>11</v>
      </c>
      <c r="B190" s="50"/>
      <c r="C190" s="39"/>
      <c r="D190" s="16">
        <v>1</v>
      </c>
      <c r="E190" s="10">
        <f t="shared" si="19"/>
        <v>1</v>
      </c>
      <c r="F190" s="25">
        <v>45171</v>
      </c>
    </row>
    <row r="191" spans="1:7" x14ac:dyDescent="0.15">
      <c r="A191" s="24" t="s">
        <v>11</v>
      </c>
      <c r="B191" s="50">
        <v>1</v>
      </c>
      <c r="C191" s="39"/>
      <c r="D191" s="16"/>
      <c r="E191" s="10">
        <f t="shared" si="19"/>
        <v>1</v>
      </c>
      <c r="F191" s="25">
        <v>45173</v>
      </c>
    </row>
    <row r="192" spans="1:7" x14ac:dyDescent="0.15">
      <c r="A192" s="24" t="s">
        <v>11</v>
      </c>
      <c r="B192" s="50"/>
      <c r="C192" s="39">
        <v>1</v>
      </c>
      <c r="D192" s="16"/>
      <c r="E192" s="10">
        <f t="shared" si="19"/>
        <v>1</v>
      </c>
      <c r="F192" s="25">
        <v>45174</v>
      </c>
    </row>
    <row r="193" spans="1:6" x14ac:dyDescent="0.15">
      <c r="A193" s="24" t="s">
        <v>11</v>
      </c>
      <c r="B193" s="50">
        <v>1</v>
      </c>
      <c r="C193" s="39"/>
      <c r="D193" s="16"/>
      <c r="E193" s="10">
        <f t="shared" si="19"/>
        <v>1</v>
      </c>
      <c r="F193" s="25">
        <v>45175</v>
      </c>
    </row>
    <row r="194" spans="1:6" x14ac:dyDescent="0.15">
      <c r="A194" s="24" t="s">
        <v>11</v>
      </c>
      <c r="B194" s="50"/>
      <c r="C194" s="39">
        <v>2</v>
      </c>
      <c r="D194" s="16"/>
      <c r="E194" s="10">
        <f t="shared" si="19"/>
        <v>2</v>
      </c>
      <c r="F194" s="25">
        <v>45180</v>
      </c>
    </row>
    <row r="195" spans="1:6" x14ac:dyDescent="0.15">
      <c r="A195" s="24" t="s">
        <v>11</v>
      </c>
      <c r="B195" s="50">
        <v>1</v>
      </c>
      <c r="C195" s="39"/>
      <c r="D195" s="16"/>
      <c r="E195" s="10">
        <f t="shared" si="19"/>
        <v>1</v>
      </c>
      <c r="F195" s="25">
        <v>45181</v>
      </c>
    </row>
    <row r="196" spans="1:6" x14ac:dyDescent="0.15">
      <c r="A196" s="24" t="s">
        <v>11</v>
      </c>
      <c r="B196" s="50"/>
      <c r="C196" s="39"/>
      <c r="D196" s="16">
        <v>1</v>
      </c>
      <c r="E196" s="10">
        <f t="shared" si="19"/>
        <v>1</v>
      </c>
      <c r="F196" s="25">
        <v>45182</v>
      </c>
    </row>
    <row r="197" spans="1:6" x14ac:dyDescent="0.15">
      <c r="A197" s="24" t="s">
        <v>11</v>
      </c>
      <c r="B197" s="50">
        <v>1</v>
      </c>
      <c r="C197" s="39"/>
      <c r="D197" s="16"/>
      <c r="E197" s="10">
        <f t="shared" si="19"/>
        <v>1</v>
      </c>
      <c r="F197" s="25">
        <v>45188</v>
      </c>
    </row>
    <row r="198" spans="1:6" x14ac:dyDescent="0.15">
      <c r="A198" s="24" t="s">
        <v>11</v>
      </c>
      <c r="B198" s="50"/>
      <c r="C198" s="39">
        <v>1</v>
      </c>
      <c r="D198" s="16"/>
      <c r="E198" s="10">
        <f t="shared" si="19"/>
        <v>1</v>
      </c>
      <c r="F198" s="25">
        <v>45190</v>
      </c>
    </row>
    <row r="199" spans="1:6" x14ac:dyDescent="0.15">
      <c r="A199" s="24" t="s">
        <v>11</v>
      </c>
      <c r="B199" s="50">
        <v>1</v>
      </c>
      <c r="C199" s="39"/>
      <c r="D199" s="16">
        <v>4</v>
      </c>
      <c r="E199" s="10">
        <f t="shared" si="19"/>
        <v>5</v>
      </c>
      <c r="F199" s="25">
        <v>45194</v>
      </c>
    </row>
    <row r="200" spans="1:6" x14ac:dyDescent="0.15">
      <c r="A200" s="24" t="s">
        <v>11</v>
      </c>
      <c r="B200" s="50"/>
      <c r="C200" s="39"/>
      <c r="D200" s="16">
        <v>1</v>
      </c>
      <c r="E200" s="10">
        <f t="shared" si="19"/>
        <v>1</v>
      </c>
      <c r="F200" s="25">
        <v>45195</v>
      </c>
    </row>
    <row r="201" spans="1:6" x14ac:dyDescent="0.15">
      <c r="A201" s="24" t="s">
        <v>11</v>
      </c>
      <c r="B201" s="50"/>
      <c r="C201" s="39">
        <v>1</v>
      </c>
      <c r="D201" s="16"/>
      <c r="E201" s="10">
        <f t="shared" si="19"/>
        <v>1</v>
      </c>
      <c r="F201" s="25">
        <v>45197</v>
      </c>
    </row>
    <row r="202" spans="1:6" x14ac:dyDescent="0.15">
      <c r="A202" s="24" t="s">
        <v>11</v>
      </c>
      <c r="B202" s="50"/>
      <c r="C202" s="39">
        <v>1</v>
      </c>
      <c r="D202" s="16"/>
      <c r="E202" s="10">
        <f t="shared" ref="E202:E203" si="20">SUM(B202:D202)</f>
        <v>1</v>
      </c>
      <c r="F202" s="25">
        <v>45199</v>
      </c>
    </row>
    <row r="203" spans="1:6" ht="14.25" thickBot="1" x14ac:dyDescent="0.2">
      <c r="A203" s="24" t="s">
        <v>11</v>
      </c>
      <c r="B203" s="75">
        <v>1</v>
      </c>
      <c r="C203" s="14"/>
      <c r="D203" s="18"/>
      <c r="E203" s="10">
        <f t="shared" si="20"/>
        <v>1</v>
      </c>
      <c r="F203" s="19">
        <v>45204</v>
      </c>
    </row>
    <row r="204" spans="1:6" ht="14.25" thickBot="1" x14ac:dyDescent="0.2">
      <c r="A204" s="6" t="s">
        <v>5</v>
      </c>
      <c r="B204" s="44">
        <f>SUM(B180:B203)</f>
        <v>11</v>
      </c>
      <c r="C204" s="40">
        <f>SUM(C180:C203)</f>
        <v>12</v>
      </c>
      <c r="D204" s="28">
        <f>SUM(D180:D203)</f>
        <v>11</v>
      </c>
      <c r="E204" s="29">
        <f>SUM(B204:D204)</f>
        <v>34</v>
      </c>
      <c r="F204" s="30"/>
    </row>
    <row r="205" spans="1:6" ht="14.25" thickBot="1" x14ac:dyDescent="0.2">
      <c r="A205" s="31" t="s">
        <v>6</v>
      </c>
      <c r="B205" s="45">
        <f>B179-B204</f>
        <v>6</v>
      </c>
      <c r="C205" s="41">
        <f>C179-C204</f>
        <v>7</v>
      </c>
      <c r="D205" s="32">
        <f>D179-D204</f>
        <v>0</v>
      </c>
      <c r="E205" s="33">
        <f>SUM(B205:D205)</f>
        <v>13</v>
      </c>
      <c r="F205" s="34"/>
    </row>
    <row r="206" spans="1:6" ht="19.5" thickBot="1" x14ac:dyDescent="0.25">
      <c r="A206" s="1" t="s">
        <v>10</v>
      </c>
      <c r="B206" s="1"/>
      <c r="F206" s="74">
        <v>1791</v>
      </c>
    </row>
    <row r="207" spans="1:6" ht="14.25" thickBot="1" x14ac:dyDescent="0.2">
      <c r="A207" s="2"/>
      <c r="B207" s="3" t="s">
        <v>7</v>
      </c>
      <c r="C207" s="73" t="s">
        <v>8</v>
      </c>
      <c r="D207" s="4" t="s">
        <v>9</v>
      </c>
      <c r="E207" s="5" t="s">
        <v>0</v>
      </c>
      <c r="F207" s="6" t="s">
        <v>1</v>
      </c>
    </row>
    <row r="208" spans="1:6" x14ac:dyDescent="0.15">
      <c r="A208" s="63" t="s">
        <v>6</v>
      </c>
      <c r="B208" s="70">
        <f>B205</f>
        <v>6</v>
      </c>
      <c r="C208" s="70">
        <f>C205</f>
        <v>7</v>
      </c>
      <c r="D208" s="70">
        <f>D205</f>
        <v>0</v>
      </c>
      <c r="E208" s="71">
        <f>SUM(B208:D208)</f>
        <v>13</v>
      </c>
      <c r="F208" s="72"/>
    </row>
    <row r="209" spans="1:6" x14ac:dyDescent="0.15">
      <c r="A209" s="8" t="s">
        <v>3</v>
      </c>
      <c r="B209" s="49"/>
      <c r="C209" s="58"/>
      <c r="D209" s="59">
        <v>2</v>
      </c>
      <c r="E209" s="10">
        <f t="shared" ref="E209:E214" si="21">SUM(B209:D209)</f>
        <v>2</v>
      </c>
      <c r="F209" s="13">
        <v>45205</v>
      </c>
    </row>
    <row r="210" spans="1:6" x14ac:dyDescent="0.15">
      <c r="A210" s="8" t="s">
        <v>3</v>
      </c>
      <c r="B210" s="49">
        <v>3</v>
      </c>
      <c r="C210" s="58">
        <v>3</v>
      </c>
      <c r="D210" s="59">
        <v>4</v>
      </c>
      <c r="E210" s="10">
        <f t="shared" si="21"/>
        <v>10</v>
      </c>
      <c r="F210" s="13">
        <v>45215</v>
      </c>
    </row>
    <row r="211" spans="1:6" x14ac:dyDescent="0.15">
      <c r="A211" s="8" t="s">
        <v>3</v>
      </c>
      <c r="B211" s="49"/>
      <c r="C211" s="58"/>
      <c r="D211" s="59">
        <v>4</v>
      </c>
      <c r="E211" s="10">
        <f t="shared" si="21"/>
        <v>4</v>
      </c>
      <c r="F211" s="13">
        <v>45217</v>
      </c>
    </row>
    <row r="212" spans="1:6" x14ac:dyDescent="0.15">
      <c r="A212" s="8" t="s">
        <v>3</v>
      </c>
      <c r="B212" s="49">
        <v>4</v>
      </c>
      <c r="C212" s="58">
        <v>2</v>
      </c>
      <c r="D212" s="59"/>
      <c r="E212" s="10">
        <f t="shared" si="21"/>
        <v>6</v>
      </c>
      <c r="F212" s="13">
        <v>45217</v>
      </c>
    </row>
    <row r="213" spans="1:6" x14ac:dyDescent="0.15">
      <c r="A213" s="8" t="s">
        <v>3</v>
      </c>
      <c r="B213" s="49">
        <v>4</v>
      </c>
      <c r="C213" s="58">
        <v>3</v>
      </c>
      <c r="D213" s="59"/>
      <c r="E213" s="10">
        <f t="shared" si="21"/>
        <v>7</v>
      </c>
      <c r="F213" s="13">
        <v>45230</v>
      </c>
    </row>
    <row r="214" spans="1:6" x14ac:dyDescent="0.15">
      <c r="A214" s="8" t="s">
        <v>3</v>
      </c>
      <c r="B214" s="49">
        <v>10</v>
      </c>
      <c r="C214" s="58">
        <v>5</v>
      </c>
      <c r="D214" s="59">
        <v>10</v>
      </c>
      <c r="E214" s="10">
        <f t="shared" si="21"/>
        <v>25</v>
      </c>
      <c r="F214" s="13">
        <v>45243</v>
      </c>
    </row>
    <row r="215" spans="1:6" x14ac:dyDescent="0.15">
      <c r="A215" s="8" t="s">
        <v>3</v>
      </c>
      <c r="B215" s="49"/>
      <c r="C215" s="58"/>
      <c r="D215" s="59"/>
      <c r="E215" s="10">
        <f t="shared" ref="E215" si="22">SUM(B215:D215)</f>
        <v>0</v>
      </c>
      <c r="F215" s="13"/>
    </row>
    <row r="216" spans="1:6" x14ac:dyDescent="0.15">
      <c r="A216" s="8" t="s">
        <v>3</v>
      </c>
      <c r="B216" s="49"/>
      <c r="C216" s="58"/>
      <c r="D216" s="59"/>
      <c r="E216" s="10">
        <f>SUM(B216:D216)</f>
        <v>0</v>
      </c>
      <c r="F216" s="13"/>
    </row>
    <row r="217" spans="1:6" x14ac:dyDescent="0.15">
      <c r="A217" s="8" t="s">
        <v>3</v>
      </c>
      <c r="B217" s="36"/>
      <c r="C217" s="60"/>
      <c r="D217" s="61"/>
      <c r="E217" s="10">
        <f t="shared" ref="E217:E219" si="23">SUM(B217:D217)</f>
        <v>0</v>
      </c>
      <c r="F217" s="17"/>
    </row>
    <row r="218" spans="1:6" x14ac:dyDescent="0.15">
      <c r="A218" s="8" t="s">
        <v>3</v>
      </c>
      <c r="B218" s="36"/>
      <c r="C218" s="60"/>
      <c r="D218" s="61"/>
      <c r="E218" s="10">
        <f t="shared" si="23"/>
        <v>0</v>
      </c>
      <c r="F218" s="17"/>
    </row>
    <row r="219" spans="1:6" ht="14.25" thickBot="1" x14ac:dyDescent="0.2">
      <c r="A219" s="37" t="s">
        <v>3</v>
      </c>
      <c r="B219" s="38"/>
      <c r="C219" s="58"/>
      <c r="D219" s="62"/>
      <c r="E219" s="10">
        <f t="shared" si="23"/>
        <v>0</v>
      </c>
      <c r="F219" s="19"/>
    </row>
    <row r="220" spans="1:6" ht="14.25" thickBot="1" x14ac:dyDescent="0.2">
      <c r="A220" s="2" t="s">
        <v>4</v>
      </c>
      <c r="B220" s="20">
        <f>SUM(B208:B219)</f>
        <v>27</v>
      </c>
      <c r="C220" s="44">
        <f>SUM(C208:C219)</f>
        <v>20</v>
      </c>
      <c r="D220" s="21">
        <f>SUM(D208:D219)</f>
        <v>20</v>
      </c>
      <c r="E220" s="22">
        <f>SUM(B220:D220)</f>
        <v>67</v>
      </c>
      <c r="F220" s="23"/>
    </row>
    <row r="221" spans="1:6" x14ac:dyDescent="0.15">
      <c r="A221" s="24" t="s">
        <v>11</v>
      </c>
      <c r="B221" s="50">
        <v>2</v>
      </c>
      <c r="C221" s="39"/>
      <c r="D221" s="16">
        <v>2</v>
      </c>
      <c r="E221" s="10">
        <f t="shared" ref="E221:E242" si="24">SUM(B221:D221)</f>
        <v>4</v>
      </c>
      <c r="F221" s="25">
        <v>45205</v>
      </c>
    </row>
    <row r="222" spans="1:6" x14ac:dyDescent="0.15">
      <c r="A222" s="24" t="s">
        <v>11</v>
      </c>
      <c r="B222" s="50">
        <v>1</v>
      </c>
      <c r="C222" s="39">
        <v>3</v>
      </c>
      <c r="D222" s="16"/>
      <c r="E222" s="10">
        <f t="shared" si="24"/>
        <v>4</v>
      </c>
      <c r="F222" s="25">
        <v>45206</v>
      </c>
    </row>
    <row r="223" spans="1:6" x14ac:dyDescent="0.15">
      <c r="A223" s="24" t="s">
        <v>11</v>
      </c>
      <c r="B223" s="50">
        <v>1</v>
      </c>
      <c r="C223" s="39"/>
      <c r="D223" s="16"/>
      <c r="E223" s="10">
        <f t="shared" si="24"/>
        <v>1</v>
      </c>
      <c r="F223" s="25">
        <v>45209</v>
      </c>
    </row>
    <row r="224" spans="1:6" x14ac:dyDescent="0.15">
      <c r="A224" s="24" t="s">
        <v>11</v>
      </c>
      <c r="B224" s="50"/>
      <c r="C224" s="39"/>
      <c r="D224" s="16">
        <v>2</v>
      </c>
      <c r="E224" s="10">
        <f t="shared" si="24"/>
        <v>2</v>
      </c>
      <c r="F224" s="25">
        <v>45215</v>
      </c>
    </row>
    <row r="225" spans="1:6" x14ac:dyDescent="0.15">
      <c r="A225" s="24" t="s">
        <v>11</v>
      </c>
      <c r="B225" s="50">
        <v>2</v>
      </c>
      <c r="C225" s="39"/>
      <c r="D225" s="16"/>
      <c r="E225" s="10">
        <f t="shared" si="24"/>
        <v>2</v>
      </c>
      <c r="F225" s="25">
        <v>45219</v>
      </c>
    </row>
    <row r="226" spans="1:6" x14ac:dyDescent="0.15">
      <c r="A226" s="24" t="s">
        <v>11</v>
      </c>
      <c r="B226" s="50"/>
      <c r="C226" s="39">
        <v>1</v>
      </c>
      <c r="D226" s="16"/>
      <c r="E226" s="10">
        <f t="shared" si="24"/>
        <v>1</v>
      </c>
      <c r="F226" s="25">
        <v>45222</v>
      </c>
    </row>
    <row r="227" spans="1:6" x14ac:dyDescent="0.15">
      <c r="A227" s="24" t="s">
        <v>11</v>
      </c>
      <c r="B227" s="50">
        <v>2</v>
      </c>
      <c r="C227" s="39">
        <v>1</v>
      </c>
      <c r="D227" s="16"/>
      <c r="E227" s="10">
        <f t="shared" si="24"/>
        <v>3</v>
      </c>
      <c r="F227" s="25">
        <v>45226</v>
      </c>
    </row>
    <row r="228" spans="1:6" x14ac:dyDescent="0.15">
      <c r="A228" s="24" t="s">
        <v>11</v>
      </c>
      <c r="B228" s="50">
        <v>3</v>
      </c>
      <c r="C228" s="39">
        <v>2</v>
      </c>
      <c r="D228" s="16"/>
      <c r="E228" s="10">
        <f t="shared" si="24"/>
        <v>5</v>
      </c>
      <c r="F228" s="25">
        <v>45229</v>
      </c>
    </row>
    <row r="229" spans="1:6" x14ac:dyDescent="0.15">
      <c r="A229" s="24" t="s">
        <v>11</v>
      </c>
      <c r="B229" s="50">
        <v>3</v>
      </c>
      <c r="C229" s="39">
        <v>3</v>
      </c>
      <c r="D229" s="16"/>
      <c r="E229" s="10">
        <f t="shared" si="24"/>
        <v>6</v>
      </c>
      <c r="F229" s="25">
        <v>45234</v>
      </c>
    </row>
    <row r="230" spans="1:6" x14ac:dyDescent="0.15">
      <c r="A230" s="24" t="s">
        <v>11</v>
      </c>
      <c r="B230" s="50"/>
      <c r="C230" s="39"/>
      <c r="D230" s="16">
        <v>4</v>
      </c>
      <c r="E230" s="10">
        <f t="shared" si="24"/>
        <v>4</v>
      </c>
      <c r="F230" s="25">
        <v>45236</v>
      </c>
    </row>
    <row r="231" spans="1:6" x14ac:dyDescent="0.15">
      <c r="A231" s="24" t="s">
        <v>11</v>
      </c>
      <c r="B231" s="50">
        <v>1</v>
      </c>
      <c r="C231" s="39"/>
      <c r="D231" s="16"/>
      <c r="E231" s="10">
        <f t="shared" si="24"/>
        <v>1</v>
      </c>
      <c r="F231" s="25">
        <v>45238</v>
      </c>
    </row>
    <row r="232" spans="1:6" x14ac:dyDescent="0.15">
      <c r="A232" s="24" t="s">
        <v>11</v>
      </c>
      <c r="B232" s="50">
        <v>1</v>
      </c>
      <c r="C232" s="39">
        <v>2</v>
      </c>
      <c r="D232" s="16"/>
      <c r="E232" s="10">
        <f t="shared" si="24"/>
        <v>3</v>
      </c>
      <c r="F232" s="25">
        <v>45244</v>
      </c>
    </row>
    <row r="233" spans="1:6" x14ac:dyDescent="0.15">
      <c r="A233" s="24" t="s">
        <v>11</v>
      </c>
      <c r="B233" s="50"/>
      <c r="C233" s="39"/>
      <c r="D233" s="16">
        <v>1</v>
      </c>
      <c r="E233" s="10">
        <f t="shared" si="24"/>
        <v>1</v>
      </c>
      <c r="F233" s="25">
        <v>45250</v>
      </c>
    </row>
    <row r="234" spans="1:6" x14ac:dyDescent="0.15">
      <c r="A234" s="24" t="s">
        <v>11</v>
      </c>
      <c r="B234" s="50">
        <v>2</v>
      </c>
      <c r="C234" s="39"/>
      <c r="D234" s="16"/>
      <c r="E234" s="10">
        <f t="shared" si="24"/>
        <v>2</v>
      </c>
      <c r="F234" s="25">
        <v>45251</v>
      </c>
    </row>
    <row r="235" spans="1:6" x14ac:dyDescent="0.15">
      <c r="A235" s="24" t="s">
        <v>11</v>
      </c>
      <c r="B235" s="50">
        <v>1</v>
      </c>
      <c r="C235" s="39"/>
      <c r="D235" s="16"/>
      <c r="E235" s="10">
        <f t="shared" si="24"/>
        <v>1</v>
      </c>
      <c r="F235" s="25">
        <v>45254</v>
      </c>
    </row>
    <row r="236" spans="1:6" x14ac:dyDescent="0.15">
      <c r="A236" s="24" t="s">
        <v>11</v>
      </c>
      <c r="B236" s="50">
        <v>2</v>
      </c>
      <c r="C236" s="39"/>
      <c r="D236" s="16"/>
      <c r="E236" s="10">
        <f t="shared" si="24"/>
        <v>2</v>
      </c>
      <c r="F236" s="25">
        <v>45257</v>
      </c>
    </row>
    <row r="237" spans="1:6" x14ac:dyDescent="0.15">
      <c r="A237" s="24" t="s">
        <v>11</v>
      </c>
      <c r="B237" s="50"/>
      <c r="C237" s="39"/>
      <c r="D237" s="16">
        <v>1</v>
      </c>
      <c r="E237" s="10">
        <f t="shared" si="24"/>
        <v>1</v>
      </c>
      <c r="F237" s="25">
        <v>45260</v>
      </c>
    </row>
    <row r="238" spans="1:6" x14ac:dyDescent="0.15">
      <c r="A238" s="24" t="s">
        <v>11</v>
      </c>
      <c r="B238" s="50"/>
      <c r="C238" s="39">
        <v>1</v>
      </c>
      <c r="D238" s="16"/>
      <c r="E238" s="10">
        <f t="shared" si="24"/>
        <v>1</v>
      </c>
      <c r="F238" s="25">
        <v>45266</v>
      </c>
    </row>
    <row r="239" spans="1:6" x14ac:dyDescent="0.15">
      <c r="A239" s="24" t="s">
        <v>11</v>
      </c>
      <c r="B239" s="50"/>
      <c r="C239" s="39">
        <f>1+1</f>
        <v>2</v>
      </c>
      <c r="D239" s="16"/>
      <c r="E239" s="10">
        <f t="shared" si="24"/>
        <v>2</v>
      </c>
      <c r="F239" s="25">
        <v>45267</v>
      </c>
    </row>
    <row r="240" spans="1:6" x14ac:dyDescent="0.15">
      <c r="A240" s="24" t="s">
        <v>11</v>
      </c>
      <c r="B240" s="50">
        <v>1</v>
      </c>
      <c r="C240" s="39"/>
      <c r="D240" s="16"/>
      <c r="E240" s="10">
        <f t="shared" si="24"/>
        <v>1</v>
      </c>
      <c r="F240" s="25">
        <v>45268</v>
      </c>
    </row>
    <row r="241" spans="1:6" x14ac:dyDescent="0.15">
      <c r="A241" s="24" t="s">
        <v>11</v>
      </c>
      <c r="B241" s="50">
        <v>1</v>
      </c>
      <c r="C241" s="39"/>
      <c r="D241" s="16">
        <v>1</v>
      </c>
      <c r="E241" s="10">
        <f t="shared" si="24"/>
        <v>2</v>
      </c>
      <c r="F241" s="25">
        <v>45271</v>
      </c>
    </row>
    <row r="242" spans="1:6" x14ac:dyDescent="0.15">
      <c r="A242" s="24" t="s">
        <v>11</v>
      </c>
      <c r="B242" s="50">
        <v>1</v>
      </c>
      <c r="C242" s="39"/>
      <c r="D242" s="16">
        <v>1</v>
      </c>
      <c r="E242" s="10">
        <f t="shared" si="24"/>
        <v>2</v>
      </c>
      <c r="F242" s="25">
        <v>45272</v>
      </c>
    </row>
    <row r="243" spans="1:6" x14ac:dyDescent="0.15">
      <c r="A243" s="24" t="s">
        <v>11</v>
      </c>
      <c r="B243" s="50"/>
      <c r="C243" s="39"/>
      <c r="D243" s="16"/>
      <c r="E243" s="10">
        <f t="shared" ref="E243:E244" si="25">SUM(B243:D243)</f>
        <v>0</v>
      </c>
      <c r="F243" s="25">
        <v>45279</v>
      </c>
    </row>
    <row r="244" spans="1:6" ht="14.25" thickBot="1" x14ac:dyDescent="0.2">
      <c r="A244" s="24" t="s">
        <v>11</v>
      </c>
      <c r="B244" s="75"/>
      <c r="C244" s="14"/>
      <c r="D244" s="18">
        <v>1</v>
      </c>
      <c r="E244" s="10">
        <f t="shared" si="25"/>
        <v>1</v>
      </c>
      <c r="F244" s="19">
        <v>45282</v>
      </c>
    </row>
    <row r="245" spans="1:6" ht="14.25" thickBot="1" x14ac:dyDescent="0.2">
      <c r="A245" s="6" t="s">
        <v>5</v>
      </c>
      <c r="B245" s="44">
        <f>SUM(B221:B244)</f>
        <v>24</v>
      </c>
      <c r="C245" s="40">
        <f>SUM(C221:C244)</f>
        <v>15</v>
      </c>
      <c r="D245" s="28">
        <f>SUM(D221:D244)</f>
        <v>13</v>
      </c>
      <c r="E245" s="29">
        <f>SUM(B245:D245)</f>
        <v>52</v>
      </c>
      <c r="F245" s="30"/>
    </row>
    <row r="246" spans="1:6" ht="14.25" thickBot="1" x14ac:dyDescent="0.2">
      <c r="A246" s="31" t="s">
        <v>6</v>
      </c>
      <c r="B246" s="45">
        <f>B220-B245</f>
        <v>3</v>
      </c>
      <c r="C246" s="41">
        <f>C220-C245</f>
        <v>5</v>
      </c>
      <c r="D246" s="32">
        <f>D220-D245</f>
        <v>7</v>
      </c>
      <c r="E246" s="33">
        <f>SUM(B246:D246)</f>
        <v>15</v>
      </c>
      <c r="F246" s="34"/>
    </row>
    <row r="247" spans="1:6" ht="19.5" thickBot="1" x14ac:dyDescent="0.25">
      <c r="A247" s="1" t="s">
        <v>10</v>
      </c>
      <c r="B247" s="1"/>
      <c r="F247" s="74">
        <v>1791</v>
      </c>
    </row>
    <row r="248" spans="1:6" ht="14.25" thickBot="1" x14ac:dyDescent="0.2">
      <c r="A248" s="2"/>
      <c r="B248" s="3" t="s">
        <v>7</v>
      </c>
      <c r="C248" s="73" t="s">
        <v>8</v>
      </c>
      <c r="D248" s="4" t="s">
        <v>9</v>
      </c>
      <c r="E248" s="5" t="s">
        <v>0</v>
      </c>
      <c r="F248" s="6" t="s">
        <v>1</v>
      </c>
    </row>
    <row r="249" spans="1:6" x14ac:dyDescent="0.15">
      <c r="A249" s="63" t="s">
        <v>6</v>
      </c>
      <c r="B249" s="70">
        <f>B246</f>
        <v>3</v>
      </c>
      <c r="C249" s="70">
        <f>C246</f>
        <v>5</v>
      </c>
      <c r="D249" s="70">
        <f>D246</f>
        <v>7</v>
      </c>
      <c r="E249" s="71">
        <f>SUM(B249:D249)</f>
        <v>15</v>
      </c>
      <c r="F249" s="72"/>
    </row>
    <row r="250" spans="1:6" x14ac:dyDescent="0.15">
      <c r="A250" s="8" t="s">
        <v>3</v>
      </c>
      <c r="B250" s="49">
        <v>10</v>
      </c>
      <c r="C250" s="58">
        <v>3</v>
      </c>
      <c r="D250" s="59"/>
      <c r="E250" s="10">
        <f t="shared" ref="E250:E256" si="26">SUM(B250:D250)</f>
        <v>13</v>
      </c>
      <c r="F250" s="13">
        <v>44931</v>
      </c>
    </row>
    <row r="251" spans="1:6" x14ac:dyDescent="0.15">
      <c r="A251" s="8" t="s">
        <v>3</v>
      </c>
      <c r="B251" s="49">
        <v>3</v>
      </c>
      <c r="C251" s="58">
        <v>5</v>
      </c>
      <c r="D251" s="59">
        <v>3</v>
      </c>
      <c r="E251" s="10">
        <f t="shared" si="26"/>
        <v>11</v>
      </c>
      <c r="F251" s="13">
        <v>45301</v>
      </c>
    </row>
    <row r="252" spans="1:6" x14ac:dyDescent="0.15">
      <c r="A252" s="8" t="s">
        <v>3</v>
      </c>
      <c r="B252" s="49">
        <v>4</v>
      </c>
      <c r="C252" s="58">
        <v>3</v>
      </c>
      <c r="D252" s="59"/>
      <c r="E252" s="10">
        <f t="shared" si="26"/>
        <v>7</v>
      </c>
      <c r="F252" s="13">
        <v>45308</v>
      </c>
    </row>
    <row r="253" spans="1:6" x14ac:dyDescent="0.15">
      <c r="A253" s="8" t="s">
        <v>3</v>
      </c>
      <c r="B253" s="49">
        <v>5</v>
      </c>
      <c r="C253" s="58"/>
      <c r="D253" s="59">
        <v>2</v>
      </c>
      <c r="E253" s="10">
        <f t="shared" si="26"/>
        <v>7</v>
      </c>
      <c r="F253" s="13">
        <v>45392</v>
      </c>
    </row>
    <row r="254" spans="1:6" x14ac:dyDescent="0.15">
      <c r="A254" s="8" t="s">
        <v>3</v>
      </c>
      <c r="B254" s="49"/>
      <c r="C254" s="58"/>
      <c r="D254" s="59"/>
      <c r="E254" s="10">
        <f t="shared" si="26"/>
        <v>0</v>
      </c>
      <c r="F254" s="13"/>
    </row>
    <row r="255" spans="1:6" x14ac:dyDescent="0.15">
      <c r="A255" s="8" t="s">
        <v>3</v>
      </c>
      <c r="B255" s="49"/>
      <c r="C255" s="58"/>
      <c r="D255" s="59"/>
      <c r="E255" s="10">
        <f t="shared" si="26"/>
        <v>0</v>
      </c>
      <c r="F255" s="13"/>
    </row>
    <row r="256" spans="1:6" x14ac:dyDescent="0.15">
      <c r="A256" s="8" t="s">
        <v>3</v>
      </c>
      <c r="B256" s="49"/>
      <c r="C256" s="58"/>
      <c r="D256" s="59"/>
      <c r="E256" s="10">
        <f t="shared" si="26"/>
        <v>0</v>
      </c>
      <c r="F256" s="13"/>
    </row>
    <row r="257" spans="1:6" x14ac:dyDescent="0.15">
      <c r="A257" s="8" t="s">
        <v>3</v>
      </c>
      <c r="B257" s="49"/>
      <c r="C257" s="58"/>
      <c r="D257" s="59"/>
      <c r="E257" s="10">
        <f>SUM(B257:D257)</f>
        <v>0</v>
      </c>
      <c r="F257" s="13"/>
    </row>
    <row r="258" spans="1:6" x14ac:dyDescent="0.15">
      <c r="A258" s="8" t="s">
        <v>3</v>
      </c>
      <c r="B258" s="36"/>
      <c r="C258" s="60"/>
      <c r="D258" s="61"/>
      <c r="E258" s="10">
        <f t="shared" ref="E258:E260" si="27">SUM(B258:D258)</f>
        <v>0</v>
      </c>
      <c r="F258" s="17"/>
    </row>
    <row r="259" spans="1:6" x14ac:dyDescent="0.15">
      <c r="A259" s="8" t="s">
        <v>3</v>
      </c>
      <c r="B259" s="36"/>
      <c r="C259" s="60"/>
      <c r="D259" s="61"/>
      <c r="E259" s="10">
        <f t="shared" si="27"/>
        <v>0</v>
      </c>
      <c r="F259" s="17"/>
    </row>
    <row r="260" spans="1:6" ht="14.25" thickBot="1" x14ac:dyDescent="0.2">
      <c r="A260" s="37" t="s">
        <v>3</v>
      </c>
      <c r="B260" s="38"/>
      <c r="C260" s="58"/>
      <c r="D260" s="62"/>
      <c r="E260" s="10">
        <f t="shared" si="27"/>
        <v>0</v>
      </c>
      <c r="F260" s="19"/>
    </row>
    <row r="261" spans="1:6" ht="14.25" thickBot="1" x14ac:dyDescent="0.2">
      <c r="A261" s="2" t="s">
        <v>4</v>
      </c>
      <c r="B261" s="20">
        <f>SUM(B249:B260)</f>
        <v>25</v>
      </c>
      <c r="C261" s="44">
        <f>SUM(C249:C260)</f>
        <v>16</v>
      </c>
      <c r="D261" s="21">
        <f>SUM(D249:D260)</f>
        <v>12</v>
      </c>
      <c r="E261" s="22">
        <f>SUM(B261:D261)</f>
        <v>53</v>
      </c>
      <c r="F261" s="23"/>
    </row>
    <row r="262" spans="1:6" x14ac:dyDescent="0.15">
      <c r="A262" s="24" t="s">
        <v>11</v>
      </c>
      <c r="B262" s="50"/>
      <c r="C262" s="39">
        <v>2</v>
      </c>
      <c r="D262" s="16"/>
      <c r="E262" s="10">
        <f t="shared" ref="E262:E282" si="28">SUM(B262:D262)</f>
        <v>2</v>
      </c>
      <c r="F262" s="25">
        <v>45296</v>
      </c>
    </row>
    <row r="263" spans="1:6" x14ac:dyDescent="0.15">
      <c r="A263" s="24" t="s">
        <v>11</v>
      </c>
      <c r="B263" s="50">
        <v>1</v>
      </c>
      <c r="C263" s="39"/>
      <c r="D263" s="16"/>
      <c r="E263" s="10">
        <f t="shared" si="28"/>
        <v>1</v>
      </c>
      <c r="F263" s="25">
        <v>45300</v>
      </c>
    </row>
    <row r="264" spans="1:6" x14ac:dyDescent="0.15">
      <c r="A264" s="24" t="s">
        <v>11</v>
      </c>
      <c r="B264" s="50">
        <v>1</v>
      </c>
      <c r="C264" s="39"/>
      <c r="D264" s="16"/>
      <c r="E264" s="10">
        <f t="shared" si="28"/>
        <v>1</v>
      </c>
      <c r="F264" s="25">
        <v>45301</v>
      </c>
    </row>
    <row r="265" spans="1:6" x14ac:dyDescent="0.15">
      <c r="A265" s="24" t="s">
        <v>11</v>
      </c>
      <c r="B265" s="50">
        <v>1</v>
      </c>
      <c r="C265" s="39"/>
      <c r="D265" s="16"/>
      <c r="E265" s="10">
        <f t="shared" si="28"/>
        <v>1</v>
      </c>
      <c r="F265" s="25">
        <v>45303</v>
      </c>
    </row>
    <row r="266" spans="1:6" x14ac:dyDescent="0.15">
      <c r="A266" s="24" t="s">
        <v>11</v>
      </c>
      <c r="B266" s="50"/>
      <c r="C266" s="39">
        <f>1+1</f>
        <v>2</v>
      </c>
      <c r="D266" s="16"/>
      <c r="E266" s="10">
        <f t="shared" si="28"/>
        <v>2</v>
      </c>
      <c r="F266" s="25">
        <v>45306</v>
      </c>
    </row>
    <row r="267" spans="1:6" x14ac:dyDescent="0.15">
      <c r="A267" s="24" t="s">
        <v>11</v>
      </c>
      <c r="B267" s="50">
        <v>1</v>
      </c>
      <c r="C267" s="39"/>
      <c r="D267" s="16"/>
      <c r="E267" s="10">
        <f t="shared" si="28"/>
        <v>1</v>
      </c>
      <c r="F267" s="25">
        <v>45314</v>
      </c>
    </row>
    <row r="268" spans="1:6" x14ac:dyDescent="0.15">
      <c r="A268" s="24" t="s">
        <v>11</v>
      </c>
      <c r="B268" s="50">
        <v>1</v>
      </c>
      <c r="C268" s="39"/>
      <c r="D268" s="16"/>
      <c r="E268" s="10">
        <f t="shared" si="28"/>
        <v>1</v>
      </c>
      <c r="F268" s="25">
        <v>45320</v>
      </c>
    </row>
    <row r="269" spans="1:6" x14ac:dyDescent="0.15">
      <c r="A269" s="24" t="s">
        <v>11</v>
      </c>
      <c r="B269" s="50"/>
      <c r="C269" s="39"/>
      <c r="D269" s="16">
        <v>1</v>
      </c>
      <c r="E269" s="10">
        <f t="shared" si="28"/>
        <v>1</v>
      </c>
      <c r="F269" s="25">
        <v>45329</v>
      </c>
    </row>
    <row r="270" spans="1:6" x14ac:dyDescent="0.15">
      <c r="A270" s="24" t="s">
        <v>11</v>
      </c>
      <c r="B270" s="50">
        <v>2</v>
      </c>
      <c r="C270" s="39"/>
      <c r="D270" s="16">
        <v>4</v>
      </c>
      <c r="E270" s="10">
        <f t="shared" si="28"/>
        <v>6</v>
      </c>
      <c r="F270" s="25">
        <v>45335</v>
      </c>
    </row>
    <row r="271" spans="1:6" x14ac:dyDescent="0.15">
      <c r="A271" s="24" t="s">
        <v>11</v>
      </c>
      <c r="B271" s="50">
        <v>1</v>
      </c>
      <c r="C271" s="39"/>
      <c r="D271" s="16"/>
      <c r="E271" s="10">
        <f t="shared" si="28"/>
        <v>1</v>
      </c>
      <c r="F271" s="25">
        <v>45336</v>
      </c>
    </row>
    <row r="272" spans="1:6" x14ac:dyDescent="0.15">
      <c r="A272" s="24" t="s">
        <v>11</v>
      </c>
      <c r="B272" s="50">
        <v>1</v>
      </c>
      <c r="C272" s="39"/>
      <c r="D272" s="16"/>
      <c r="E272" s="10">
        <f t="shared" si="28"/>
        <v>1</v>
      </c>
      <c r="F272" s="25">
        <v>45339</v>
      </c>
    </row>
    <row r="273" spans="1:6" x14ac:dyDescent="0.15">
      <c r="A273" s="24" t="s">
        <v>11</v>
      </c>
      <c r="B273" s="50"/>
      <c r="C273" s="39">
        <v>1</v>
      </c>
      <c r="D273" s="16"/>
      <c r="E273" s="10">
        <f t="shared" si="28"/>
        <v>1</v>
      </c>
      <c r="F273" s="25">
        <v>45344</v>
      </c>
    </row>
    <row r="274" spans="1:6" x14ac:dyDescent="0.15">
      <c r="A274" s="24" t="s">
        <v>11</v>
      </c>
      <c r="B274" s="50">
        <v>1</v>
      </c>
      <c r="C274" s="39">
        <v>1</v>
      </c>
      <c r="D274" s="16"/>
      <c r="E274" s="10">
        <f t="shared" si="28"/>
        <v>2</v>
      </c>
      <c r="F274" s="25">
        <v>45348</v>
      </c>
    </row>
    <row r="275" spans="1:6" x14ac:dyDescent="0.15">
      <c r="A275" s="24" t="s">
        <v>11</v>
      </c>
      <c r="B275" s="50">
        <v>1</v>
      </c>
      <c r="C275" s="39">
        <v>1</v>
      </c>
      <c r="D275" s="16"/>
      <c r="E275" s="10">
        <f t="shared" si="28"/>
        <v>2</v>
      </c>
      <c r="F275" s="25">
        <v>45351</v>
      </c>
    </row>
    <row r="276" spans="1:6" x14ac:dyDescent="0.15">
      <c r="A276" s="24" t="s">
        <v>11</v>
      </c>
      <c r="B276" s="50"/>
      <c r="C276" s="39">
        <v>1</v>
      </c>
      <c r="D276" s="16"/>
      <c r="E276" s="10">
        <f t="shared" si="28"/>
        <v>1</v>
      </c>
      <c r="F276" s="25">
        <v>45353</v>
      </c>
    </row>
    <row r="277" spans="1:6" x14ac:dyDescent="0.15">
      <c r="A277" s="24" t="s">
        <v>11</v>
      </c>
      <c r="B277" s="50"/>
      <c r="C277" s="39">
        <v>2</v>
      </c>
      <c r="D277" s="16">
        <v>1</v>
      </c>
      <c r="E277" s="10">
        <f t="shared" si="28"/>
        <v>3</v>
      </c>
      <c r="F277" s="25">
        <v>45357</v>
      </c>
    </row>
    <row r="278" spans="1:6" x14ac:dyDescent="0.15">
      <c r="A278" s="24" t="s">
        <v>11</v>
      </c>
      <c r="B278" s="50"/>
      <c r="C278" s="39"/>
      <c r="D278" s="16">
        <v>1</v>
      </c>
      <c r="E278" s="10">
        <f t="shared" si="28"/>
        <v>1</v>
      </c>
      <c r="F278" s="25">
        <v>45359</v>
      </c>
    </row>
    <row r="279" spans="1:6" x14ac:dyDescent="0.15">
      <c r="A279" s="24" t="s">
        <v>11</v>
      </c>
      <c r="B279" s="50">
        <v>2</v>
      </c>
      <c r="C279" s="39"/>
      <c r="D279" s="16"/>
      <c r="E279" s="10">
        <f t="shared" si="28"/>
        <v>2</v>
      </c>
      <c r="F279" s="25">
        <v>45369</v>
      </c>
    </row>
    <row r="280" spans="1:6" x14ac:dyDescent="0.15">
      <c r="A280" s="24" t="s">
        <v>11</v>
      </c>
      <c r="B280" s="50">
        <v>1</v>
      </c>
      <c r="C280" s="39"/>
      <c r="D280" s="16"/>
      <c r="E280" s="10">
        <f t="shared" si="28"/>
        <v>1</v>
      </c>
      <c r="F280" s="25">
        <v>45376</v>
      </c>
    </row>
    <row r="281" spans="1:6" x14ac:dyDescent="0.15">
      <c r="A281" s="24" t="s">
        <v>11</v>
      </c>
      <c r="B281" s="50">
        <v>1</v>
      </c>
      <c r="C281" s="39"/>
      <c r="D281" s="16"/>
      <c r="E281" s="10">
        <f t="shared" si="28"/>
        <v>1</v>
      </c>
      <c r="F281" s="25">
        <v>45377</v>
      </c>
    </row>
    <row r="282" spans="1:6" x14ac:dyDescent="0.15">
      <c r="A282" s="24" t="s">
        <v>11</v>
      </c>
      <c r="B282" s="50">
        <v>3</v>
      </c>
      <c r="C282" s="39"/>
      <c r="D282" s="16"/>
      <c r="E282" s="10">
        <f t="shared" si="28"/>
        <v>3</v>
      </c>
      <c r="F282" s="25">
        <v>45383</v>
      </c>
    </row>
    <row r="283" spans="1:6" x14ac:dyDescent="0.15">
      <c r="A283" s="24" t="s">
        <v>11</v>
      </c>
      <c r="B283" s="50">
        <v>1</v>
      </c>
      <c r="C283" s="39"/>
      <c r="D283" s="16"/>
      <c r="E283" s="10">
        <f t="shared" ref="E283:E285" si="29">SUM(B283:D283)</f>
        <v>1</v>
      </c>
      <c r="F283" s="25">
        <v>45392</v>
      </c>
    </row>
    <row r="284" spans="1:6" x14ac:dyDescent="0.15">
      <c r="A284" s="24" t="s">
        <v>11</v>
      </c>
      <c r="B284" s="50">
        <f>1+1</f>
        <v>2</v>
      </c>
      <c r="C284" s="39"/>
      <c r="D284" s="16">
        <v>1</v>
      </c>
      <c r="E284" s="10">
        <f t="shared" si="29"/>
        <v>3</v>
      </c>
      <c r="F284" s="25">
        <v>45397</v>
      </c>
    </row>
    <row r="285" spans="1:6" ht="14.25" thickBot="1" x14ac:dyDescent="0.2">
      <c r="A285" s="24" t="s">
        <v>11</v>
      </c>
      <c r="B285" s="75"/>
      <c r="C285" s="14">
        <v>1</v>
      </c>
      <c r="D285" s="18"/>
      <c r="E285" s="10">
        <f t="shared" si="29"/>
        <v>1</v>
      </c>
      <c r="F285" s="19">
        <v>45399</v>
      </c>
    </row>
    <row r="286" spans="1:6" ht="14.25" thickBot="1" x14ac:dyDescent="0.2">
      <c r="A286" s="6" t="s">
        <v>5</v>
      </c>
      <c r="B286" s="44">
        <f>SUM(B262:B285)</f>
        <v>21</v>
      </c>
      <c r="C286" s="40">
        <f>SUM(C262:C285)</f>
        <v>11</v>
      </c>
      <c r="D286" s="28">
        <f>SUM(D262:D285)</f>
        <v>8</v>
      </c>
      <c r="E286" s="29">
        <f>SUM(B286:D286)</f>
        <v>40</v>
      </c>
      <c r="F286" s="30"/>
    </row>
    <row r="287" spans="1:6" ht="14.25" thickBot="1" x14ac:dyDescent="0.2">
      <c r="A287" s="31" t="s">
        <v>6</v>
      </c>
      <c r="B287" s="45">
        <f>B261-B286</f>
        <v>4</v>
      </c>
      <c r="C287" s="41">
        <f>C261-C286</f>
        <v>5</v>
      </c>
      <c r="D287" s="32">
        <f>D261-D286</f>
        <v>4</v>
      </c>
      <c r="E287" s="33">
        <f>SUM(B287:D287)</f>
        <v>13</v>
      </c>
      <c r="F287" s="34"/>
    </row>
    <row r="288" spans="1:6" ht="19.5" thickBot="1" x14ac:dyDescent="0.25">
      <c r="A288" s="1" t="s">
        <v>10</v>
      </c>
      <c r="B288" s="1"/>
      <c r="F288" s="74">
        <v>1791</v>
      </c>
    </row>
    <row r="289" spans="1:6" ht="14.25" thickBot="1" x14ac:dyDescent="0.2">
      <c r="A289" s="2"/>
      <c r="B289" s="3" t="s">
        <v>7</v>
      </c>
      <c r="C289" s="73" t="s">
        <v>8</v>
      </c>
      <c r="D289" s="4" t="s">
        <v>9</v>
      </c>
      <c r="E289" s="5" t="s">
        <v>0</v>
      </c>
      <c r="F289" s="6" t="s">
        <v>1</v>
      </c>
    </row>
    <row r="290" spans="1:6" x14ac:dyDescent="0.15">
      <c r="A290" s="63" t="s">
        <v>6</v>
      </c>
      <c r="B290" s="70">
        <f>B287</f>
        <v>4</v>
      </c>
      <c r="C290" s="70">
        <f>C287</f>
        <v>5</v>
      </c>
      <c r="D290" s="70">
        <f>D287</f>
        <v>4</v>
      </c>
      <c r="E290" s="71">
        <f>SUM(B290:D290)</f>
        <v>13</v>
      </c>
      <c r="F290" s="72"/>
    </row>
    <row r="291" spans="1:6" x14ac:dyDescent="0.15">
      <c r="A291" s="8" t="s">
        <v>3</v>
      </c>
      <c r="B291" s="49">
        <v>8</v>
      </c>
      <c r="C291" s="58"/>
      <c r="D291" s="59"/>
      <c r="E291" s="10">
        <f t="shared" ref="E291:E295" si="30">SUM(B291:D291)</f>
        <v>8</v>
      </c>
      <c r="F291" s="13">
        <v>45406</v>
      </c>
    </row>
    <row r="292" spans="1:6" x14ac:dyDescent="0.15">
      <c r="A292" s="8" t="s">
        <v>3</v>
      </c>
      <c r="B292" s="49">
        <v>5</v>
      </c>
      <c r="C292" s="58">
        <v>8</v>
      </c>
      <c r="D292" s="59">
        <v>3</v>
      </c>
      <c r="E292" s="10">
        <f t="shared" si="30"/>
        <v>16</v>
      </c>
      <c r="F292" s="13">
        <v>45427</v>
      </c>
    </row>
    <row r="293" spans="1:6" x14ac:dyDescent="0.15">
      <c r="A293" s="8" t="s">
        <v>3</v>
      </c>
      <c r="B293" s="49">
        <v>8</v>
      </c>
      <c r="C293" s="58">
        <v>5</v>
      </c>
      <c r="D293" s="59">
        <v>1</v>
      </c>
      <c r="E293" s="10">
        <f t="shared" si="30"/>
        <v>14</v>
      </c>
      <c r="F293" s="13">
        <v>45464</v>
      </c>
    </row>
    <row r="294" spans="1:6" x14ac:dyDescent="0.15">
      <c r="A294" s="8" t="s">
        <v>3</v>
      </c>
      <c r="B294" s="49">
        <v>5</v>
      </c>
      <c r="C294" s="58">
        <v>5</v>
      </c>
      <c r="D294" s="59">
        <v>2</v>
      </c>
      <c r="E294" s="10">
        <f t="shared" si="30"/>
        <v>12</v>
      </c>
      <c r="F294" s="13">
        <v>45476</v>
      </c>
    </row>
    <row r="295" spans="1:6" x14ac:dyDescent="0.15">
      <c r="A295" s="8" t="s">
        <v>3</v>
      </c>
      <c r="B295" s="49"/>
      <c r="C295" s="58"/>
      <c r="D295" s="59"/>
      <c r="E295" s="10">
        <f t="shared" si="30"/>
        <v>0</v>
      </c>
      <c r="F295" s="13"/>
    </row>
    <row r="296" spans="1:6" x14ac:dyDescent="0.15">
      <c r="A296" s="8" t="s">
        <v>3</v>
      </c>
      <c r="B296" s="49"/>
      <c r="C296" s="58"/>
      <c r="D296" s="59"/>
      <c r="E296" s="10">
        <f t="shared" ref="E296:E297" si="31">SUM(B296:D296)</f>
        <v>0</v>
      </c>
      <c r="F296" s="13"/>
    </row>
    <row r="297" spans="1:6" x14ac:dyDescent="0.15">
      <c r="A297" s="8" t="s">
        <v>3</v>
      </c>
      <c r="B297" s="49"/>
      <c r="C297" s="58"/>
      <c r="D297" s="59"/>
      <c r="E297" s="10">
        <f t="shared" si="31"/>
        <v>0</v>
      </c>
      <c r="F297" s="13"/>
    </row>
    <row r="298" spans="1:6" x14ac:dyDescent="0.15">
      <c r="A298" s="8" t="s">
        <v>3</v>
      </c>
      <c r="B298" s="49"/>
      <c r="C298" s="58"/>
      <c r="D298" s="59"/>
      <c r="E298" s="10">
        <f>SUM(B298:D298)</f>
        <v>0</v>
      </c>
      <c r="F298" s="13"/>
    </row>
    <row r="299" spans="1:6" x14ac:dyDescent="0.15">
      <c r="A299" s="8" t="s">
        <v>3</v>
      </c>
      <c r="B299" s="36"/>
      <c r="C299" s="60"/>
      <c r="D299" s="61"/>
      <c r="E299" s="10">
        <f t="shared" ref="E299:E301" si="32">SUM(B299:D299)</f>
        <v>0</v>
      </c>
      <c r="F299" s="17"/>
    </row>
    <row r="300" spans="1:6" x14ac:dyDescent="0.15">
      <c r="A300" s="8" t="s">
        <v>3</v>
      </c>
      <c r="B300" s="36"/>
      <c r="C300" s="60"/>
      <c r="D300" s="61"/>
      <c r="E300" s="10">
        <f t="shared" si="32"/>
        <v>0</v>
      </c>
      <c r="F300" s="17"/>
    </row>
    <row r="301" spans="1:6" ht="14.25" thickBot="1" x14ac:dyDescent="0.2">
      <c r="A301" s="37" t="s">
        <v>3</v>
      </c>
      <c r="B301" s="38"/>
      <c r="C301" s="58"/>
      <c r="D301" s="62"/>
      <c r="E301" s="10">
        <f t="shared" si="32"/>
        <v>0</v>
      </c>
      <c r="F301" s="19"/>
    </row>
    <row r="302" spans="1:6" ht="14.25" thickBot="1" x14ac:dyDescent="0.2">
      <c r="A302" s="2" t="s">
        <v>4</v>
      </c>
      <c r="B302" s="20">
        <f>SUM(B290:B301)</f>
        <v>30</v>
      </c>
      <c r="C302" s="44">
        <f>SUM(C290:C301)</f>
        <v>23</v>
      </c>
      <c r="D302" s="21">
        <f>SUM(D290:D301)</f>
        <v>10</v>
      </c>
      <c r="E302" s="22">
        <f>SUM(B302:D302)</f>
        <v>63</v>
      </c>
      <c r="F302" s="23"/>
    </row>
    <row r="303" spans="1:6" x14ac:dyDescent="0.15">
      <c r="A303" s="24" t="s">
        <v>11</v>
      </c>
      <c r="B303" s="50">
        <v>1</v>
      </c>
      <c r="C303" s="39"/>
      <c r="D303" s="16"/>
      <c r="E303" s="10">
        <f t="shared" ref="E303:E324" si="33">SUM(B303:D303)</f>
        <v>1</v>
      </c>
      <c r="F303" s="25">
        <v>45402</v>
      </c>
    </row>
    <row r="304" spans="1:6" x14ac:dyDescent="0.15">
      <c r="A304" s="24" t="s">
        <v>11</v>
      </c>
      <c r="B304" s="50">
        <v>1</v>
      </c>
      <c r="C304" s="39"/>
      <c r="D304" s="16"/>
      <c r="E304" s="10">
        <f t="shared" si="33"/>
        <v>1</v>
      </c>
      <c r="F304" s="25">
        <v>45407</v>
      </c>
    </row>
    <row r="305" spans="1:6" x14ac:dyDescent="0.15">
      <c r="A305" s="24" t="s">
        <v>11</v>
      </c>
      <c r="B305" s="50">
        <v>1</v>
      </c>
      <c r="C305" s="39"/>
      <c r="D305" s="16">
        <v>1</v>
      </c>
      <c r="E305" s="10">
        <f t="shared" si="33"/>
        <v>2</v>
      </c>
      <c r="F305" s="25">
        <v>45408</v>
      </c>
    </row>
    <row r="306" spans="1:6" x14ac:dyDescent="0.15">
      <c r="A306" s="24" t="s">
        <v>11</v>
      </c>
      <c r="B306" s="50">
        <v>1</v>
      </c>
      <c r="C306" s="39"/>
      <c r="D306" s="16"/>
      <c r="E306" s="10">
        <f t="shared" si="33"/>
        <v>1</v>
      </c>
      <c r="F306" s="25">
        <v>45412</v>
      </c>
    </row>
    <row r="307" spans="1:6" x14ac:dyDescent="0.15">
      <c r="A307" s="24" t="s">
        <v>11</v>
      </c>
      <c r="B307" s="50"/>
      <c r="C307" s="39">
        <v>1</v>
      </c>
      <c r="D307" s="16"/>
      <c r="E307" s="10">
        <f t="shared" si="33"/>
        <v>1</v>
      </c>
      <c r="F307" s="25">
        <v>45419</v>
      </c>
    </row>
    <row r="308" spans="1:6" x14ac:dyDescent="0.15">
      <c r="A308" s="24" t="s">
        <v>11</v>
      </c>
      <c r="B308" s="50">
        <v>1</v>
      </c>
      <c r="C308" s="39">
        <v>1</v>
      </c>
      <c r="D308" s="16"/>
      <c r="E308" s="10">
        <f t="shared" si="33"/>
        <v>2</v>
      </c>
      <c r="F308" s="25">
        <v>45423</v>
      </c>
    </row>
    <row r="309" spans="1:6" x14ac:dyDescent="0.15">
      <c r="A309" s="24" t="s">
        <v>11</v>
      </c>
      <c r="B309" s="50">
        <v>1</v>
      </c>
      <c r="C309" s="39">
        <v>2</v>
      </c>
      <c r="D309" s="16"/>
      <c r="E309" s="10">
        <f t="shared" si="33"/>
        <v>3</v>
      </c>
      <c r="F309" s="25">
        <v>45425</v>
      </c>
    </row>
    <row r="310" spans="1:6" x14ac:dyDescent="0.15">
      <c r="A310" s="24" t="s">
        <v>11</v>
      </c>
      <c r="B310" s="50"/>
      <c r="C310" s="39">
        <v>1</v>
      </c>
      <c r="D310" s="16"/>
      <c r="E310" s="10">
        <f t="shared" si="33"/>
        <v>1</v>
      </c>
      <c r="F310" s="25">
        <v>45426</v>
      </c>
    </row>
    <row r="311" spans="1:6" x14ac:dyDescent="0.15">
      <c r="A311" s="24" t="s">
        <v>11</v>
      </c>
      <c r="B311" s="50">
        <v>1</v>
      </c>
      <c r="C311" s="39"/>
      <c r="D311" s="16"/>
      <c r="E311" s="10">
        <f t="shared" si="33"/>
        <v>1</v>
      </c>
      <c r="F311" s="25">
        <v>45428</v>
      </c>
    </row>
    <row r="312" spans="1:6" x14ac:dyDescent="0.15">
      <c r="A312" s="24" t="s">
        <v>11</v>
      </c>
      <c r="B312" s="50">
        <v>2</v>
      </c>
      <c r="C312" s="39">
        <v>1</v>
      </c>
      <c r="D312" s="16"/>
      <c r="E312" s="10">
        <f t="shared" si="33"/>
        <v>3</v>
      </c>
      <c r="F312" s="25">
        <v>45432</v>
      </c>
    </row>
    <row r="313" spans="1:6" x14ac:dyDescent="0.15">
      <c r="A313" s="24" t="s">
        <v>11</v>
      </c>
      <c r="B313" s="50"/>
      <c r="C313" s="39"/>
      <c r="D313" s="16">
        <v>1</v>
      </c>
      <c r="E313" s="10">
        <f t="shared" si="33"/>
        <v>1</v>
      </c>
      <c r="F313" s="25">
        <v>45440</v>
      </c>
    </row>
    <row r="314" spans="1:6" x14ac:dyDescent="0.15">
      <c r="A314" s="24" t="s">
        <v>11</v>
      </c>
      <c r="B314" s="50"/>
      <c r="C314" s="39"/>
      <c r="D314" s="16">
        <v>1</v>
      </c>
      <c r="E314" s="10">
        <f t="shared" si="33"/>
        <v>1</v>
      </c>
      <c r="F314" s="25">
        <v>45441</v>
      </c>
    </row>
    <row r="315" spans="1:6" x14ac:dyDescent="0.15">
      <c r="A315" s="24" t="s">
        <v>11</v>
      </c>
      <c r="B315" s="50">
        <v>1</v>
      </c>
      <c r="C315" s="39"/>
      <c r="D315" s="16"/>
      <c r="E315" s="10">
        <f t="shared" si="33"/>
        <v>1</v>
      </c>
      <c r="F315" s="25">
        <v>45444</v>
      </c>
    </row>
    <row r="316" spans="1:6" x14ac:dyDescent="0.15">
      <c r="A316" s="24" t="s">
        <v>11</v>
      </c>
      <c r="B316" s="50">
        <v>2</v>
      </c>
      <c r="C316" s="39"/>
      <c r="D316" s="16"/>
      <c r="E316" s="10">
        <f t="shared" si="33"/>
        <v>2</v>
      </c>
      <c r="F316" s="25">
        <v>45448</v>
      </c>
    </row>
    <row r="317" spans="1:6" x14ac:dyDescent="0.15">
      <c r="A317" s="24" t="s">
        <v>11</v>
      </c>
      <c r="B317" s="50"/>
      <c r="C317" s="39">
        <v>1</v>
      </c>
      <c r="D317" s="16">
        <v>1</v>
      </c>
      <c r="E317" s="10">
        <f t="shared" si="33"/>
        <v>2</v>
      </c>
      <c r="F317" s="25">
        <v>45449</v>
      </c>
    </row>
    <row r="318" spans="1:6" x14ac:dyDescent="0.15">
      <c r="A318" s="24" t="s">
        <v>11</v>
      </c>
      <c r="B318" s="50">
        <v>1</v>
      </c>
      <c r="C318" s="39"/>
      <c r="D318" s="16"/>
      <c r="E318" s="10">
        <f t="shared" si="33"/>
        <v>1</v>
      </c>
      <c r="F318" s="25">
        <v>45453</v>
      </c>
    </row>
    <row r="319" spans="1:6" x14ac:dyDescent="0.15">
      <c r="A319" s="24" t="s">
        <v>11</v>
      </c>
      <c r="B319" s="50">
        <v>1</v>
      </c>
      <c r="C319" s="39">
        <v>1</v>
      </c>
      <c r="D319" s="16"/>
      <c r="E319" s="10">
        <f t="shared" si="33"/>
        <v>2</v>
      </c>
      <c r="F319" s="25">
        <v>45455</v>
      </c>
    </row>
    <row r="320" spans="1:6" x14ac:dyDescent="0.15">
      <c r="A320" s="24" t="s">
        <v>11</v>
      </c>
      <c r="B320" s="50">
        <v>1</v>
      </c>
      <c r="C320" s="39">
        <v>1</v>
      </c>
      <c r="D320" s="16"/>
      <c r="E320" s="10">
        <f t="shared" si="33"/>
        <v>2</v>
      </c>
      <c r="F320" s="25">
        <v>45460</v>
      </c>
    </row>
    <row r="321" spans="1:14" x14ac:dyDescent="0.15">
      <c r="A321" s="24" t="s">
        <v>11</v>
      </c>
      <c r="B321" s="50"/>
      <c r="C321" s="39">
        <f>1+1</f>
        <v>2</v>
      </c>
      <c r="D321" s="16"/>
      <c r="E321" s="10">
        <f t="shared" si="33"/>
        <v>2</v>
      </c>
      <c r="F321" s="25">
        <v>45461</v>
      </c>
    </row>
    <row r="322" spans="1:14" x14ac:dyDescent="0.15">
      <c r="A322" s="24" t="s">
        <v>11</v>
      </c>
      <c r="B322" s="50">
        <v>1</v>
      </c>
      <c r="C322" s="39"/>
      <c r="D322" s="16"/>
      <c r="E322" s="10">
        <f t="shared" si="33"/>
        <v>1</v>
      </c>
      <c r="F322" s="25">
        <v>45464</v>
      </c>
    </row>
    <row r="323" spans="1:14" x14ac:dyDescent="0.15">
      <c r="A323" s="24" t="s">
        <v>11</v>
      </c>
      <c r="B323" s="50">
        <v>1</v>
      </c>
      <c r="C323" s="39">
        <v>2</v>
      </c>
      <c r="D323" s="16">
        <v>1</v>
      </c>
      <c r="E323" s="10">
        <f t="shared" si="33"/>
        <v>4</v>
      </c>
      <c r="F323" s="25">
        <v>45467</v>
      </c>
    </row>
    <row r="324" spans="1:14" x14ac:dyDescent="0.15">
      <c r="A324" s="24" t="s">
        <v>11</v>
      </c>
      <c r="B324" s="50">
        <v>1</v>
      </c>
      <c r="C324" s="39"/>
      <c r="D324" s="16"/>
      <c r="E324" s="10">
        <f t="shared" si="33"/>
        <v>1</v>
      </c>
      <c r="F324" s="25">
        <v>45468</v>
      </c>
    </row>
    <row r="325" spans="1:14" x14ac:dyDescent="0.15">
      <c r="A325" s="24" t="s">
        <v>11</v>
      </c>
      <c r="B325" s="50"/>
      <c r="C325" s="39"/>
      <c r="D325" s="16">
        <v>1</v>
      </c>
      <c r="E325" s="10">
        <f t="shared" ref="E325:E326" si="34">SUM(B325:D325)</f>
        <v>1</v>
      </c>
      <c r="F325" s="25">
        <v>45477</v>
      </c>
    </row>
    <row r="326" spans="1:14" ht="14.25" thickBot="1" x14ac:dyDescent="0.2">
      <c r="A326" s="24" t="s">
        <v>11</v>
      </c>
      <c r="B326" s="75">
        <v>2</v>
      </c>
      <c r="C326" s="14"/>
      <c r="D326" s="18"/>
      <c r="E326" s="10">
        <f t="shared" si="34"/>
        <v>2</v>
      </c>
      <c r="F326" s="19">
        <v>45478</v>
      </c>
    </row>
    <row r="327" spans="1:14" ht="14.25" thickBot="1" x14ac:dyDescent="0.2">
      <c r="A327" s="6" t="s">
        <v>5</v>
      </c>
      <c r="B327" s="44">
        <f>SUM(B303:B326)</f>
        <v>20</v>
      </c>
      <c r="C327" s="40">
        <f>SUM(C303:C326)</f>
        <v>13</v>
      </c>
      <c r="D327" s="28">
        <f>SUM(D303:D326)</f>
        <v>6</v>
      </c>
      <c r="E327" s="29">
        <f>SUM(B327:D327)</f>
        <v>39</v>
      </c>
      <c r="F327" s="30"/>
    </row>
    <row r="328" spans="1:14" ht="14.25" thickBot="1" x14ac:dyDescent="0.2">
      <c r="A328" s="31" t="s">
        <v>6</v>
      </c>
      <c r="B328" s="45">
        <f>B302-B327</f>
        <v>10</v>
      </c>
      <c r="C328" s="41">
        <f>C302-C327</f>
        <v>10</v>
      </c>
      <c r="D328" s="32">
        <f>D302-D327</f>
        <v>4</v>
      </c>
      <c r="E328" s="33">
        <f>SUM(B328:D328)</f>
        <v>24</v>
      </c>
      <c r="F328" s="34"/>
    </row>
    <row r="329" spans="1:14" ht="19.5" thickBot="1" x14ac:dyDescent="0.25">
      <c r="A329" s="1" t="s">
        <v>10</v>
      </c>
      <c r="B329" s="1"/>
      <c r="F329" s="74">
        <v>1791</v>
      </c>
      <c r="H329" s="1" t="s">
        <v>16</v>
      </c>
      <c r="I329" s="1"/>
      <c r="N329">
        <v>3280</v>
      </c>
    </row>
    <row r="330" spans="1:14" ht="14.25" thickBot="1" x14ac:dyDescent="0.2">
      <c r="A330" s="2"/>
      <c r="B330" s="3" t="s">
        <v>7</v>
      </c>
      <c r="C330" s="73" t="s">
        <v>8</v>
      </c>
      <c r="D330" s="4" t="s">
        <v>9</v>
      </c>
      <c r="E330" s="5" t="s">
        <v>0</v>
      </c>
      <c r="F330" s="6" t="s">
        <v>1</v>
      </c>
      <c r="H330" s="2"/>
      <c r="I330" s="6" t="s">
        <v>7</v>
      </c>
      <c r="J330" s="3" t="s">
        <v>8</v>
      </c>
      <c r="K330" s="4" t="s">
        <v>9</v>
      </c>
      <c r="L330" s="5" t="s">
        <v>0</v>
      </c>
      <c r="M330" s="6" t="s">
        <v>1</v>
      </c>
    </row>
    <row r="331" spans="1:14" x14ac:dyDescent="0.15">
      <c r="A331" s="63" t="s">
        <v>6</v>
      </c>
      <c r="B331" s="70">
        <f>B328</f>
        <v>10</v>
      </c>
      <c r="C331" s="70">
        <f>C328</f>
        <v>10</v>
      </c>
      <c r="D331" s="70">
        <f>D328</f>
        <v>4</v>
      </c>
      <c r="E331" s="71">
        <f>SUM(B331:D331)</f>
        <v>24</v>
      </c>
      <c r="F331" s="72"/>
      <c r="H331" s="8" t="s">
        <v>3</v>
      </c>
      <c r="I331" s="36"/>
      <c r="J331" s="58"/>
      <c r="K331" s="59"/>
      <c r="L331" s="86">
        <f t="shared" ref="L331:L336" si="35">SUM(I331:K331)</f>
        <v>0</v>
      </c>
      <c r="M331" s="13"/>
    </row>
    <row r="332" spans="1:14" x14ac:dyDescent="0.15">
      <c r="A332" s="8" t="s">
        <v>3</v>
      </c>
      <c r="B332" s="49"/>
      <c r="C332" s="58"/>
      <c r="D332" s="59">
        <v>2</v>
      </c>
      <c r="E332" s="10">
        <f t="shared" ref="E332:E334" si="36">SUM(B332:D332)</f>
        <v>2</v>
      </c>
      <c r="F332" s="13">
        <v>45489</v>
      </c>
      <c r="H332" s="8" t="s">
        <v>3</v>
      </c>
      <c r="I332" s="36"/>
      <c r="J332" s="58"/>
      <c r="K332" s="59"/>
      <c r="L332" s="86">
        <f t="shared" si="35"/>
        <v>0</v>
      </c>
      <c r="M332" s="13"/>
    </row>
    <row r="333" spans="1:14" x14ac:dyDescent="0.15">
      <c r="A333" s="8" t="s">
        <v>3</v>
      </c>
      <c r="B333" s="49">
        <v>3</v>
      </c>
      <c r="C333" s="58"/>
      <c r="D333" s="59"/>
      <c r="E333" s="10">
        <f t="shared" si="36"/>
        <v>3</v>
      </c>
      <c r="F333" s="13">
        <v>45512</v>
      </c>
      <c r="H333" s="8" t="s">
        <v>3</v>
      </c>
      <c r="I333" s="36"/>
      <c r="J333" s="58"/>
      <c r="K333" s="59"/>
      <c r="L333" s="86">
        <f t="shared" si="35"/>
        <v>0</v>
      </c>
      <c r="M333" s="13"/>
    </row>
    <row r="334" spans="1:14" x14ac:dyDescent="0.15">
      <c r="A334" s="8" t="s">
        <v>15</v>
      </c>
      <c r="B334" s="49">
        <v>-2</v>
      </c>
      <c r="C334" s="58">
        <v>-1</v>
      </c>
      <c r="D334" s="59">
        <v>-1</v>
      </c>
      <c r="E334" s="10">
        <f t="shared" si="36"/>
        <v>-4</v>
      </c>
      <c r="F334" s="13">
        <v>45530</v>
      </c>
      <c r="H334" s="8" t="s">
        <v>3</v>
      </c>
      <c r="I334" s="36"/>
      <c r="J334" s="58"/>
      <c r="K334" s="59"/>
      <c r="L334" s="86">
        <f t="shared" si="35"/>
        <v>0</v>
      </c>
      <c r="M334" s="13"/>
    </row>
    <row r="335" spans="1:14" x14ac:dyDescent="0.15">
      <c r="A335" s="8" t="s">
        <v>3</v>
      </c>
      <c r="B335" s="49">
        <v>10</v>
      </c>
      <c r="C335" s="58">
        <v>10</v>
      </c>
      <c r="D335" s="59"/>
      <c r="E335" s="10">
        <f t="shared" ref="E335:E338" si="37">SUM(B335:D335)</f>
        <v>20</v>
      </c>
      <c r="F335" s="13">
        <v>45539</v>
      </c>
      <c r="H335" s="8" t="s">
        <v>3</v>
      </c>
      <c r="I335" s="36"/>
      <c r="J335" s="58"/>
      <c r="K335" s="59"/>
      <c r="L335" s="86">
        <f t="shared" si="35"/>
        <v>0</v>
      </c>
      <c r="M335" s="13"/>
    </row>
    <row r="336" spans="1:14" x14ac:dyDescent="0.15">
      <c r="A336" s="8" t="s">
        <v>3</v>
      </c>
      <c r="B336" s="49">
        <v>10</v>
      </c>
      <c r="C336" s="58"/>
      <c r="D336" s="59"/>
      <c r="E336" s="10">
        <f t="shared" si="37"/>
        <v>10</v>
      </c>
      <c r="F336" s="13">
        <v>45547</v>
      </c>
      <c r="H336" s="8" t="s">
        <v>3</v>
      </c>
      <c r="I336" s="36"/>
      <c r="J336" s="58"/>
      <c r="K336" s="59"/>
      <c r="L336" s="86">
        <f t="shared" si="35"/>
        <v>0</v>
      </c>
      <c r="M336" s="13"/>
    </row>
    <row r="337" spans="1:14" x14ac:dyDescent="0.15">
      <c r="A337" s="8" t="s">
        <v>3</v>
      </c>
      <c r="B337" s="49"/>
      <c r="C337" s="58"/>
      <c r="D337" s="59"/>
      <c r="E337" s="10">
        <f t="shared" si="37"/>
        <v>0</v>
      </c>
      <c r="F337" s="13"/>
      <c r="H337" s="8" t="s">
        <v>3</v>
      </c>
      <c r="I337" s="36"/>
      <c r="J337" s="58"/>
      <c r="K337" s="59"/>
      <c r="L337" s="86">
        <f t="shared" ref="L337:L342" si="38">SUM(I337:K337)</f>
        <v>0</v>
      </c>
      <c r="M337" s="13"/>
    </row>
    <row r="338" spans="1:14" x14ac:dyDescent="0.15">
      <c r="A338" s="8" t="s">
        <v>3</v>
      </c>
      <c r="B338" s="49"/>
      <c r="C338" s="58"/>
      <c r="D338" s="59"/>
      <c r="E338" s="10">
        <f t="shared" si="37"/>
        <v>0</v>
      </c>
      <c r="F338" s="13"/>
      <c r="H338" s="8" t="s">
        <v>3</v>
      </c>
      <c r="I338" s="36"/>
      <c r="J338" s="60"/>
      <c r="K338" s="61"/>
      <c r="L338" s="86">
        <f t="shared" si="38"/>
        <v>0</v>
      </c>
      <c r="M338" s="17"/>
    </row>
    <row r="339" spans="1:14" x14ac:dyDescent="0.15">
      <c r="A339" s="8" t="s">
        <v>3</v>
      </c>
      <c r="B339" s="49"/>
      <c r="C339" s="58"/>
      <c r="D339" s="59"/>
      <c r="E339" s="10">
        <f>SUM(B339:D339)</f>
        <v>0</v>
      </c>
      <c r="F339" s="13"/>
      <c r="H339" s="8" t="s">
        <v>3</v>
      </c>
      <c r="I339" s="49"/>
      <c r="J339" s="60"/>
      <c r="K339" s="61"/>
      <c r="L339" s="86">
        <f t="shared" si="38"/>
        <v>0</v>
      </c>
      <c r="M339" s="17"/>
    </row>
    <row r="340" spans="1:14" x14ac:dyDescent="0.15">
      <c r="A340" s="8" t="s">
        <v>3</v>
      </c>
      <c r="B340" s="36"/>
      <c r="C340" s="60"/>
      <c r="D340" s="61"/>
      <c r="E340" s="10">
        <f t="shared" ref="E340:E342" si="39">SUM(B340:D340)</f>
        <v>0</v>
      </c>
      <c r="F340" s="17"/>
      <c r="H340" s="8" t="s">
        <v>3</v>
      </c>
      <c r="I340" s="36"/>
      <c r="J340" s="60"/>
      <c r="K340" s="61"/>
      <c r="L340" s="86">
        <f t="shared" si="38"/>
        <v>0</v>
      </c>
      <c r="M340" s="17"/>
    </row>
    <row r="341" spans="1:14" x14ac:dyDescent="0.15">
      <c r="A341" s="8" t="s">
        <v>3</v>
      </c>
      <c r="B341" s="36"/>
      <c r="C341" s="60"/>
      <c r="D341" s="61"/>
      <c r="E341" s="10">
        <f t="shared" si="39"/>
        <v>0</v>
      </c>
      <c r="F341" s="17"/>
      <c r="H341" s="8" t="s">
        <v>3</v>
      </c>
      <c r="I341" s="36"/>
      <c r="J341" s="58"/>
      <c r="K341" s="59"/>
      <c r="L341" s="86">
        <f t="shared" si="38"/>
        <v>0</v>
      </c>
      <c r="M341" s="13"/>
    </row>
    <row r="342" spans="1:14" ht="14.25" thickBot="1" x14ac:dyDescent="0.2">
      <c r="A342" s="37" t="s">
        <v>3</v>
      </c>
      <c r="B342" s="38"/>
      <c r="C342" s="58"/>
      <c r="D342" s="62"/>
      <c r="E342" s="10">
        <f t="shared" si="39"/>
        <v>0</v>
      </c>
      <c r="F342" s="19"/>
      <c r="H342" s="37" t="s">
        <v>3</v>
      </c>
      <c r="I342" s="38"/>
      <c r="J342" s="58"/>
      <c r="K342" s="62"/>
      <c r="L342" s="86">
        <f t="shared" si="38"/>
        <v>0</v>
      </c>
      <c r="M342" s="19"/>
    </row>
    <row r="343" spans="1:14" ht="14.25" thickBot="1" x14ac:dyDescent="0.2">
      <c r="A343" s="2" t="s">
        <v>4</v>
      </c>
      <c r="B343" s="20">
        <f>SUM(B331:B342)</f>
        <v>31</v>
      </c>
      <c r="C343" s="44">
        <f>SUM(C331:C342)</f>
        <v>19</v>
      </c>
      <c r="D343" s="21">
        <f>SUM(D331:D342)</f>
        <v>5</v>
      </c>
      <c r="E343" s="22">
        <f>SUM(B343:D343)</f>
        <v>55</v>
      </c>
      <c r="F343" s="23"/>
      <c r="H343" s="2" t="s">
        <v>4</v>
      </c>
      <c r="I343" s="88">
        <f>SUM(I331:I342)</f>
        <v>0</v>
      </c>
      <c r="J343" s="77">
        <f>SUM(J331:J342)</f>
        <v>0</v>
      </c>
      <c r="K343" s="89">
        <f>SUM(K331:K342)</f>
        <v>0</v>
      </c>
      <c r="L343" s="87">
        <f>SUM(I343:K343)</f>
        <v>0</v>
      </c>
      <c r="M343" s="23"/>
    </row>
    <row r="344" spans="1:14" x14ac:dyDescent="0.15">
      <c r="A344" s="24" t="s">
        <v>11</v>
      </c>
      <c r="B344" s="50"/>
      <c r="C344" s="39"/>
      <c r="D344" s="16">
        <v>1</v>
      </c>
      <c r="E344" s="10">
        <f t="shared" ref="E344:E365" si="40">SUM(B344:D344)</f>
        <v>1</v>
      </c>
      <c r="F344" s="25">
        <v>45478</v>
      </c>
      <c r="H344" s="24"/>
      <c r="I344" s="42"/>
      <c r="J344" s="35"/>
      <c r="K344" s="9"/>
      <c r="L344" s="86">
        <f t="shared" ref="L344:L358" si="41">SUM(I344:K344)</f>
        <v>0</v>
      </c>
      <c r="M344" s="11"/>
    </row>
    <row r="345" spans="1:14" x14ac:dyDescent="0.15">
      <c r="A345" s="24" t="s">
        <v>11</v>
      </c>
      <c r="B345" s="50">
        <v>1</v>
      </c>
      <c r="C345" s="39">
        <v>1</v>
      </c>
      <c r="D345" s="16"/>
      <c r="E345" s="10">
        <f t="shared" si="40"/>
        <v>2</v>
      </c>
      <c r="F345" s="25">
        <v>45489</v>
      </c>
      <c r="H345" s="24"/>
      <c r="I345" s="42"/>
      <c r="J345" s="35"/>
      <c r="K345" s="9"/>
      <c r="L345" s="86">
        <f t="shared" si="41"/>
        <v>0</v>
      </c>
      <c r="M345" s="11"/>
      <c r="N345" s="26"/>
    </row>
    <row r="346" spans="1:14" x14ac:dyDescent="0.15">
      <c r="A346" s="24" t="s">
        <v>11</v>
      </c>
      <c r="B346" s="50"/>
      <c r="C346" s="39">
        <v>2</v>
      </c>
      <c r="D346" s="16"/>
      <c r="E346" s="10">
        <f t="shared" si="40"/>
        <v>2</v>
      </c>
      <c r="F346" s="25">
        <v>45492</v>
      </c>
      <c r="H346" s="24"/>
      <c r="I346" s="42"/>
      <c r="J346" s="35"/>
      <c r="K346" s="9"/>
      <c r="L346" s="86">
        <f t="shared" si="41"/>
        <v>0</v>
      </c>
      <c r="M346" s="11"/>
      <c r="N346" s="26"/>
    </row>
    <row r="347" spans="1:14" x14ac:dyDescent="0.15">
      <c r="A347" s="24" t="s">
        <v>11</v>
      </c>
      <c r="B347" s="50"/>
      <c r="C347" s="39">
        <v>1</v>
      </c>
      <c r="D347" s="16"/>
      <c r="E347" s="10">
        <f t="shared" si="40"/>
        <v>1</v>
      </c>
      <c r="F347" s="25">
        <v>45495</v>
      </c>
      <c r="H347" s="24"/>
      <c r="I347" s="42"/>
      <c r="J347" s="35"/>
      <c r="K347" s="9"/>
      <c r="L347" s="86">
        <f t="shared" si="41"/>
        <v>0</v>
      </c>
      <c r="M347" s="11"/>
      <c r="N347" s="26"/>
    </row>
    <row r="348" spans="1:14" x14ac:dyDescent="0.15">
      <c r="A348" s="24" t="s">
        <v>11</v>
      </c>
      <c r="B348" s="50">
        <v>1</v>
      </c>
      <c r="C348" s="39"/>
      <c r="D348" s="16"/>
      <c r="E348" s="10">
        <f t="shared" si="40"/>
        <v>1</v>
      </c>
      <c r="F348" s="25">
        <v>45496</v>
      </c>
      <c r="H348" s="24"/>
      <c r="I348" s="42"/>
      <c r="J348" s="35"/>
      <c r="K348" s="9"/>
      <c r="L348" s="86">
        <f t="shared" si="41"/>
        <v>0</v>
      </c>
      <c r="M348" s="11"/>
      <c r="N348" s="26"/>
    </row>
    <row r="349" spans="1:14" x14ac:dyDescent="0.15">
      <c r="A349" s="24" t="s">
        <v>11</v>
      </c>
      <c r="B349" s="50">
        <v>1</v>
      </c>
      <c r="C349" s="39"/>
      <c r="D349" s="16"/>
      <c r="E349" s="10">
        <f t="shared" si="40"/>
        <v>1</v>
      </c>
      <c r="F349" s="25">
        <v>45505</v>
      </c>
      <c r="H349" s="24"/>
      <c r="I349" s="42"/>
      <c r="J349" s="35"/>
      <c r="K349" s="9"/>
      <c r="L349" s="86">
        <f t="shared" si="41"/>
        <v>0</v>
      </c>
      <c r="M349" s="11"/>
      <c r="N349" s="26"/>
    </row>
    <row r="350" spans="1:14" x14ac:dyDescent="0.15">
      <c r="A350" s="24" t="s">
        <v>11</v>
      </c>
      <c r="B350" s="50">
        <v>2</v>
      </c>
      <c r="C350" s="39"/>
      <c r="D350" s="16"/>
      <c r="E350" s="10">
        <f t="shared" si="40"/>
        <v>2</v>
      </c>
      <c r="F350" s="25">
        <v>45509</v>
      </c>
      <c r="H350" s="24"/>
      <c r="I350" s="42"/>
      <c r="J350" s="35"/>
      <c r="K350" s="9"/>
      <c r="L350" s="86">
        <f t="shared" si="41"/>
        <v>0</v>
      </c>
      <c r="M350" s="11"/>
      <c r="N350" s="26"/>
    </row>
    <row r="351" spans="1:14" x14ac:dyDescent="0.15">
      <c r="A351" s="24" t="s">
        <v>11</v>
      </c>
      <c r="B351" s="50"/>
      <c r="C351" s="39">
        <v>1</v>
      </c>
      <c r="D351" s="16"/>
      <c r="E351" s="10">
        <f t="shared" si="40"/>
        <v>1</v>
      </c>
      <c r="F351" s="25">
        <v>45511</v>
      </c>
      <c r="H351" s="24"/>
      <c r="I351" s="42"/>
      <c r="J351" s="35"/>
      <c r="K351" s="9"/>
      <c r="L351" s="86">
        <f t="shared" si="41"/>
        <v>0</v>
      </c>
      <c r="M351" s="11"/>
      <c r="N351" s="26"/>
    </row>
    <row r="352" spans="1:14" x14ac:dyDescent="0.15">
      <c r="A352" s="24" t="s">
        <v>11</v>
      </c>
      <c r="B352" s="50">
        <v>1</v>
      </c>
      <c r="C352" s="35">
        <v>1</v>
      </c>
      <c r="D352" s="9"/>
      <c r="E352" s="10">
        <f t="shared" si="40"/>
        <v>2</v>
      </c>
      <c r="F352" s="11">
        <v>45520</v>
      </c>
      <c r="H352" s="24"/>
      <c r="I352" s="42"/>
      <c r="J352" s="35"/>
      <c r="K352" s="9"/>
      <c r="L352" s="86">
        <f t="shared" si="41"/>
        <v>0</v>
      </c>
      <c r="M352" s="11"/>
      <c r="N352" s="26"/>
    </row>
    <row r="353" spans="1:14" x14ac:dyDescent="0.15">
      <c r="A353" s="24" t="s">
        <v>11</v>
      </c>
      <c r="B353" s="50">
        <v>1</v>
      </c>
      <c r="C353" s="39"/>
      <c r="D353" s="16"/>
      <c r="E353" s="10">
        <f t="shared" si="40"/>
        <v>1</v>
      </c>
      <c r="F353" s="25">
        <v>45523</v>
      </c>
      <c r="H353" s="24"/>
      <c r="I353" s="42"/>
      <c r="J353" s="35"/>
      <c r="K353" s="9"/>
      <c r="L353" s="86">
        <f t="shared" si="41"/>
        <v>0</v>
      </c>
      <c r="M353" s="11"/>
      <c r="N353" s="26"/>
    </row>
    <row r="354" spans="1:14" x14ac:dyDescent="0.15">
      <c r="A354" s="24" t="s">
        <v>11</v>
      </c>
      <c r="B354" s="50"/>
      <c r="C354" s="39">
        <v>1</v>
      </c>
      <c r="D354" s="16"/>
      <c r="E354" s="10">
        <f t="shared" si="40"/>
        <v>1</v>
      </c>
      <c r="F354" s="25">
        <v>45524</v>
      </c>
      <c r="H354" s="24"/>
      <c r="I354" s="42"/>
      <c r="J354" s="35"/>
      <c r="K354" s="9"/>
      <c r="L354" s="86">
        <f t="shared" si="41"/>
        <v>0</v>
      </c>
      <c r="M354" s="11"/>
      <c r="N354" s="27"/>
    </row>
    <row r="355" spans="1:14" x14ac:dyDescent="0.15">
      <c r="A355" s="24" t="s">
        <v>11</v>
      </c>
      <c r="B355" s="50">
        <v>1</v>
      </c>
      <c r="C355" s="39"/>
      <c r="D355" s="16"/>
      <c r="E355" s="10">
        <f t="shared" si="40"/>
        <v>1</v>
      </c>
      <c r="F355" s="25">
        <v>45526</v>
      </c>
      <c r="H355" s="24"/>
      <c r="I355" s="42"/>
      <c r="J355" s="35"/>
      <c r="K355" s="9"/>
      <c r="L355" s="86">
        <f t="shared" si="41"/>
        <v>0</v>
      </c>
      <c r="M355" s="11"/>
      <c r="N355" s="27"/>
    </row>
    <row r="356" spans="1:14" x14ac:dyDescent="0.15">
      <c r="A356" s="24" t="s">
        <v>11</v>
      </c>
      <c r="B356" s="50">
        <v>1</v>
      </c>
      <c r="C356" s="39">
        <v>1</v>
      </c>
      <c r="D356" s="16"/>
      <c r="E356" s="10">
        <f t="shared" si="40"/>
        <v>2</v>
      </c>
      <c r="F356" s="25">
        <v>45530</v>
      </c>
      <c r="H356" s="24"/>
      <c r="I356" s="42"/>
      <c r="J356" s="35"/>
      <c r="K356" s="9"/>
      <c r="L356" s="86">
        <f t="shared" si="41"/>
        <v>0</v>
      </c>
      <c r="M356" s="11"/>
      <c r="N356" s="26"/>
    </row>
    <row r="357" spans="1:14" x14ac:dyDescent="0.15">
      <c r="A357" s="24" t="s">
        <v>11</v>
      </c>
      <c r="B357" s="50">
        <v>1</v>
      </c>
      <c r="C357" s="39"/>
      <c r="D357" s="16"/>
      <c r="E357" s="10">
        <f t="shared" si="40"/>
        <v>1</v>
      </c>
      <c r="F357" s="25">
        <v>45532</v>
      </c>
      <c r="H357" s="24"/>
      <c r="I357" s="42"/>
      <c r="J357" s="35"/>
      <c r="K357" s="9"/>
      <c r="L357" s="86">
        <f t="shared" si="41"/>
        <v>0</v>
      </c>
      <c r="M357" s="11"/>
      <c r="N357" s="26"/>
    </row>
    <row r="358" spans="1:14" x14ac:dyDescent="0.15">
      <c r="A358" s="24" t="s">
        <v>11</v>
      </c>
      <c r="B358" s="50">
        <v>1</v>
      </c>
      <c r="C358" s="39"/>
      <c r="D358" s="16"/>
      <c r="E358" s="10">
        <f t="shared" si="40"/>
        <v>1</v>
      </c>
      <c r="F358" s="25">
        <v>45535</v>
      </c>
      <c r="H358" s="24"/>
      <c r="I358" s="42"/>
      <c r="J358" s="35"/>
      <c r="K358" s="9"/>
      <c r="L358" s="86">
        <f t="shared" si="41"/>
        <v>0</v>
      </c>
      <c r="M358" s="11"/>
      <c r="N358" s="26"/>
    </row>
    <row r="359" spans="1:14" x14ac:dyDescent="0.15">
      <c r="A359" s="24" t="s">
        <v>11</v>
      </c>
      <c r="B359" s="50">
        <v>1</v>
      </c>
      <c r="C359" s="39">
        <v>1</v>
      </c>
      <c r="D359" s="16"/>
      <c r="E359" s="10">
        <f t="shared" si="40"/>
        <v>2</v>
      </c>
      <c r="F359" s="25">
        <v>45539</v>
      </c>
      <c r="H359" s="24"/>
      <c r="I359" s="42"/>
      <c r="J359" s="35"/>
      <c r="K359" s="9"/>
      <c r="L359" s="86">
        <f t="shared" ref="L359:L367" si="42">SUM(I359:K359)</f>
        <v>0</v>
      </c>
      <c r="M359" s="11"/>
      <c r="N359" s="26"/>
    </row>
    <row r="360" spans="1:14" x14ac:dyDescent="0.15">
      <c r="A360" s="24" t="s">
        <v>11</v>
      </c>
      <c r="B360" s="50">
        <v>1</v>
      </c>
      <c r="C360" s="39"/>
      <c r="D360" s="16"/>
      <c r="E360" s="10">
        <f t="shared" si="40"/>
        <v>1</v>
      </c>
      <c r="F360" s="25">
        <v>45540</v>
      </c>
      <c r="H360" s="24"/>
      <c r="I360" s="42"/>
      <c r="J360" s="35"/>
      <c r="K360" s="9"/>
      <c r="L360" s="86">
        <f t="shared" si="42"/>
        <v>0</v>
      </c>
      <c r="M360" s="11"/>
      <c r="N360" s="26"/>
    </row>
    <row r="361" spans="1:14" x14ac:dyDescent="0.15">
      <c r="A361" s="24" t="s">
        <v>11</v>
      </c>
      <c r="B361" s="50">
        <v>3</v>
      </c>
      <c r="C361" s="39">
        <v>1</v>
      </c>
      <c r="D361" s="16"/>
      <c r="E361" s="10">
        <f t="shared" si="40"/>
        <v>4</v>
      </c>
      <c r="F361" s="25">
        <v>45541</v>
      </c>
      <c r="H361" s="24"/>
      <c r="I361" s="42"/>
      <c r="J361" s="35"/>
      <c r="K361" s="9"/>
      <c r="L361" s="86">
        <f t="shared" si="42"/>
        <v>0</v>
      </c>
      <c r="M361" s="11"/>
      <c r="N361" s="26"/>
    </row>
    <row r="362" spans="1:14" x14ac:dyDescent="0.15">
      <c r="A362" s="24" t="s">
        <v>11</v>
      </c>
      <c r="B362" s="50">
        <v>1</v>
      </c>
      <c r="C362" s="39">
        <v>1</v>
      </c>
      <c r="D362" s="16"/>
      <c r="E362" s="10">
        <f t="shared" si="40"/>
        <v>2</v>
      </c>
      <c r="F362" s="25">
        <v>45544</v>
      </c>
      <c r="H362" s="24"/>
      <c r="I362" s="42"/>
      <c r="J362" s="35"/>
      <c r="K362" s="9"/>
      <c r="L362" s="86">
        <f t="shared" si="42"/>
        <v>0</v>
      </c>
      <c r="M362" s="11"/>
      <c r="N362" s="26"/>
    </row>
    <row r="363" spans="1:14" x14ac:dyDescent="0.15">
      <c r="A363" s="24" t="s">
        <v>11</v>
      </c>
      <c r="B363" s="50"/>
      <c r="C363" s="39">
        <v>1</v>
      </c>
      <c r="D363" s="16"/>
      <c r="E363" s="10">
        <f t="shared" si="40"/>
        <v>1</v>
      </c>
      <c r="F363" s="25">
        <v>45546</v>
      </c>
      <c r="H363" s="24"/>
      <c r="I363" s="42"/>
      <c r="J363" s="35"/>
      <c r="K363" s="9"/>
      <c r="L363" s="86">
        <f t="shared" si="42"/>
        <v>0</v>
      </c>
      <c r="M363" s="11"/>
      <c r="N363" s="26"/>
    </row>
    <row r="364" spans="1:14" x14ac:dyDescent="0.15">
      <c r="A364" s="24" t="s">
        <v>11</v>
      </c>
      <c r="B364" s="50">
        <v>1</v>
      </c>
      <c r="C364" s="39"/>
      <c r="D364" s="16">
        <v>2</v>
      </c>
      <c r="E364" s="10">
        <f t="shared" si="40"/>
        <v>3</v>
      </c>
      <c r="F364" s="25">
        <v>45552</v>
      </c>
      <c r="H364" s="24"/>
      <c r="I364" s="43"/>
      <c r="J364" s="35"/>
      <c r="K364" s="9"/>
      <c r="L364" s="86">
        <f t="shared" si="42"/>
        <v>0</v>
      </c>
      <c r="M364" s="11"/>
      <c r="N364" s="26"/>
    </row>
    <row r="365" spans="1:14" x14ac:dyDescent="0.15">
      <c r="A365" s="24" t="s">
        <v>11</v>
      </c>
      <c r="B365" s="50">
        <v>1</v>
      </c>
      <c r="C365" s="39"/>
      <c r="D365" s="16"/>
      <c r="E365" s="10">
        <f t="shared" si="40"/>
        <v>1</v>
      </c>
      <c r="F365" s="25">
        <v>45554</v>
      </c>
      <c r="H365" s="24"/>
      <c r="I365" s="42"/>
      <c r="J365" s="35"/>
      <c r="K365" s="9"/>
      <c r="L365" s="86">
        <f t="shared" si="42"/>
        <v>0</v>
      </c>
      <c r="M365" s="11"/>
      <c r="N365" s="27"/>
    </row>
    <row r="366" spans="1:14" x14ac:dyDescent="0.15">
      <c r="A366" s="24" t="s">
        <v>11</v>
      </c>
      <c r="B366" s="50"/>
      <c r="C366" s="39"/>
      <c r="D366" s="16">
        <v>1</v>
      </c>
      <c r="E366" s="10">
        <f t="shared" ref="E366:E367" si="43">SUM(B366:D366)</f>
        <v>1</v>
      </c>
      <c r="F366" s="25">
        <v>45556</v>
      </c>
      <c r="H366" s="24"/>
      <c r="I366" s="42"/>
      <c r="J366" s="35"/>
      <c r="K366" s="9"/>
      <c r="L366" s="86">
        <f t="shared" si="42"/>
        <v>0</v>
      </c>
      <c r="M366" s="11"/>
      <c r="N366" s="26"/>
    </row>
    <row r="367" spans="1:14" ht="14.25" thickBot="1" x14ac:dyDescent="0.2">
      <c r="A367" s="24" t="s">
        <v>11</v>
      </c>
      <c r="B367" s="75">
        <f>2+2</f>
        <v>4</v>
      </c>
      <c r="C367" s="14">
        <f>1+3</f>
        <v>4</v>
      </c>
      <c r="D367" s="18">
        <v>1</v>
      </c>
      <c r="E367" s="10">
        <f t="shared" si="43"/>
        <v>9</v>
      </c>
      <c r="F367" s="19">
        <v>45559</v>
      </c>
      <c r="H367" s="24"/>
      <c r="I367" s="53"/>
      <c r="J367" s="14"/>
      <c r="K367" s="18"/>
      <c r="L367" s="86">
        <f t="shared" si="42"/>
        <v>0</v>
      </c>
      <c r="M367" s="19"/>
      <c r="N367" s="26"/>
    </row>
    <row r="368" spans="1:14" ht="14.25" thickBot="1" x14ac:dyDescent="0.2">
      <c r="A368" s="6" t="s">
        <v>5</v>
      </c>
      <c r="B368" s="44">
        <f>SUM(B344:B367)</f>
        <v>23</v>
      </c>
      <c r="C368" s="40">
        <f>SUM(C344:C367)</f>
        <v>16</v>
      </c>
      <c r="D368" s="28">
        <f>SUM(D344:D367)</f>
        <v>5</v>
      </c>
      <c r="E368" s="29">
        <f>SUM(B368:D368)</f>
        <v>44</v>
      </c>
      <c r="F368" s="30"/>
      <c r="H368" s="6" t="s">
        <v>5</v>
      </c>
      <c r="I368" s="77">
        <f>SUM(I344:I367)</f>
        <v>0</v>
      </c>
      <c r="J368" s="78">
        <f>SUM(J344:J367)</f>
        <v>0</v>
      </c>
      <c r="K368" s="79">
        <f>SUM(K344:K367)</f>
        <v>0</v>
      </c>
      <c r="L368" s="80">
        <f>SUM(I368:K368)</f>
        <v>0</v>
      </c>
      <c r="M368" s="30"/>
    </row>
    <row r="369" spans="1:14" ht="14.25" thickBot="1" x14ac:dyDescent="0.2">
      <c r="A369" s="31" t="s">
        <v>6</v>
      </c>
      <c r="B369" s="45">
        <f>B343-B368</f>
        <v>8</v>
      </c>
      <c r="C369" s="41">
        <f>C343-C368</f>
        <v>3</v>
      </c>
      <c r="D369" s="32">
        <f>D343-D368</f>
        <v>0</v>
      </c>
      <c r="E369" s="33">
        <f>SUM(B369:D369)</f>
        <v>11</v>
      </c>
      <c r="F369" s="34"/>
      <c r="H369" s="31" t="s">
        <v>6</v>
      </c>
      <c r="I369" s="81">
        <f>I343-I368</f>
        <v>0</v>
      </c>
      <c r="J369" s="82">
        <f>J343-J368</f>
        <v>0</v>
      </c>
      <c r="K369" s="83">
        <f>K343-K368</f>
        <v>0</v>
      </c>
      <c r="L369" s="84">
        <f>SUM(I369:K369)</f>
        <v>0</v>
      </c>
      <c r="M369" s="34"/>
      <c r="N369" s="7"/>
    </row>
    <row r="370" spans="1:14" ht="19.5" thickBot="1" x14ac:dyDescent="0.25">
      <c r="A370" s="1" t="s">
        <v>10</v>
      </c>
      <c r="B370" s="1"/>
      <c r="F370" s="74">
        <v>1791</v>
      </c>
      <c r="H370" s="1" t="s">
        <v>16</v>
      </c>
      <c r="I370" s="1"/>
      <c r="N370">
        <v>3280</v>
      </c>
    </row>
    <row r="371" spans="1:14" ht="14.25" thickBot="1" x14ac:dyDescent="0.2">
      <c r="A371" s="2"/>
      <c r="B371" s="3" t="s">
        <v>7</v>
      </c>
      <c r="C371" s="73" t="s">
        <v>8</v>
      </c>
      <c r="D371" s="4" t="s">
        <v>9</v>
      </c>
      <c r="E371" s="5" t="s">
        <v>0</v>
      </c>
      <c r="F371" s="6" t="s">
        <v>1</v>
      </c>
      <c r="H371" s="2"/>
      <c r="I371" s="6" t="s">
        <v>7</v>
      </c>
      <c r="J371" s="3" t="s">
        <v>8</v>
      </c>
      <c r="K371" s="4" t="s">
        <v>9</v>
      </c>
      <c r="L371" s="5" t="s">
        <v>0</v>
      </c>
      <c r="M371" s="6" t="s">
        <v>1</v>
      </c>
    </row>
    <row r="372" spans="1:14" x14ac:dyDescent="0.15">
      <c r="A372" s="63" t="s">
        <v>6</v>
      </c>
      <c r="B372" s="70">
        <f>B369</f>
        <v>8</v>
      </c>
      <c r="C372" s="70">
        <f>C369</f>
        <v>3</v>
      </c>
      <c r="D372" s="70">
        <f>D369</f>
        <v>0</v>
      </c>
      <c r="E372" s="71">
        <f>SUM(B372:D372)</f>
        <v>11</v>
      </c>
      <c r="F372" s="72"/>
      <c r="H372" s="55" t="s">
        <v>2</v>
      </c>
      <c r="I372" s="46">
        <v>3</v>
      </c>
      <c r="J372" s="56">
        <v>3</v>
      </c>
      <c r="K372" s="57">
        <v>2</v>
      </c>
      <c r="L372" s="85">
        <f>SUM(I372:K372)</f>
        <v>8</v>
      </c>
      <c r="M372" s="48">
        <v>45357</v>
      </c>
    </row>
    <row r="373" spans="1:14" x14ac:dyDescent="0.15">
      <c r="A373" s="8" t="s">
        <v>3</v>
      </c>
      <c r="B373" s="49"/>
      <c r="C373" s="58">
        <v>5</v>
      </c>
      <c r="D373" s="59">
        <v>5</v>
      </c>
      <c r="E373" s="10">
        <f t="shared" ref="E373:E377" si="44">SUM(B373:D373)</f>
        <v>10</v>
      </c>
      <c r="F373" s="13">
        <v>45561</v>
      </c>
      <c r="H373" s="8" t="s">
        <v>3</v>
      </c>
      <c r="I373" s="49">
        <v>1</v>
      </c>
      <c r="J373" s="58">
        <v>3</v>
      </c>
      <c r="K373" s="59">
        <v>1</v>
      </c>
      <c r="L373" s="86">
        <f t="shared" ref="L373:L383" si="45">SUM(I373:K373)</f>
        <v>5</v>
      </c>
      <c r="M373" s="13">
        <v>45464</v>
      </c>
    </row>
    <row r="374" spans="1:14" x14ac:dyDescent="0.15">
      <c r="A374" s="8" t="s">
        <v>15</v>
      </c>
      <c r="B374" s="49"/>
      <c r="C374" s="58"/>
      <c r="D374" s="59">
        <v>-1</v>
      </c>
      <c r="E374" s="10">
        <f t="shared" si="44"/>
        <v>-1</v>
      </c>
      <c r="F374" s="13">
        <v>45580</v>
      </c>
      <c r="H374" s="8" t="s">
        <v>3</v>
      </c>
      <c r="I374" s="36"/>
      <c r="J374" s="58"/>
      <c r="K374" s="59">
        <v>2</v>
      </c>
      <c r="L374" s="86">
        <f t="shared" si="45"/>
        <v>2</v>
      </c>
      <c r="M374" s="13">
        <v>45512</v>
      </c>
    </row>
    <row r="375" spans="1:14" x14ac:dyDescent="0.15">
      <c r="A375" s="8" t="s">
        <v>3</v>
      </c>
      <c r="B375" s="49">
        <v>10</v>
      </c>
      <c r="C375" s="58">
        <v>5</v>
      </c>
      <c r="D375" s="59">
        <v>5</v>
      </c>
      <c r="E375" s="10">
        <f t="shared" si="44"/>
        <v>20</v>
      </c>
      <c r="F375" s="13">
        <v>45582</v>
      </c>
      <c r="H375" s="8" t="s">
        <v>15</v>
      </c>
      <c r="I375" s="49">
        <v>0</v>
      </c>
      <c r="J375" s="58">
        <v>0</v>
      </c>
      <c r="K375" s="59">
        <v>0</v>
      </c>
      <c r="L375" s="86">
        <f t="shared" si="45"/>
        <v>0</v>
      </c>
      <c r="M375" s="13">
        <v>45531</v>
      </c>
    </row>
    <row r="376" spans="1:14" x14ac:dyDescent="0.15">
      <c r="A376" s="8" t="s">
        <v>3</v>
      </c>
      <c r="B376" s="49">
        <v>5</v>
      </c>
      <c r="C376" s="58">
        <v>5</v>
      </c>
      <c r="D376" s="59">
        <v>3</v>
      </c>
      <c r="E376" s="10">
        <f t="shared" si="44"/>
        <v>13</v>
      </c>
      <c r="F376" s="13">
        <v>45603</v>
      </c>
      <c r="H376" s="8" t="s">
        <v>3</v>
      </c>
      <c r="I376" s="49">
        <v>2</v>
      </c>
      <c r="J376" s="58"/>
      <c r="K376" s="59"/>
      <c r="L376" s="86">
        <f t="shared" si="45"/>
        <v>2</v>
      </c>
      <c r="M376" s="13">
        <v>45603</v>
      </c>
    </row>
    <row r="377" spans="1:14" x14ac:dyDescent="0.15">
      <c r="A377" s="8" t="s">
        <v>3</v>
      </c>
      <c r="B377" s="49">
        <v>15</v>
      </c>
      <c r="C377" s="58">
        <v>10</v>
      </c>
      <c r="D377" s="59">
        <v>3</v>
      </c>
      <c r="E377" s="10">
        <f t="shared" si="44"/>
        <v>28</v>
      </c>
      <c r="F377" s="13">
        <v>45630</v>
      </c>
      <c r="H377" s="8" t="s">
        <v>3</v>
      </c>
      <c r="I377" s="36"/>
      <c r="J377" s="58"/>
      <c r="K377" s="59"/>
      <c r="L377" s="86">
        <f t="shared" si="45"/>
        <v>0</v>
      </c>
      <c r="M377" s="13"/>
    </row>
    <row r="378" spans="1:14" x14ac:dyDescent="0.15">
      <c r="A378" s="8" t="s">
        <v>3</v>
      </c>
      <c r="B378" s="49"/>
      <c r="C378" s="58"/>
      <c r="D378" s="59"/>
      <c r="E378" s="10">
        <f t="shared" ref="E378:E379" si="46">SUM(B378:D378)</f>
        <v>0</v>
      </c>
      <c r="F378" s="13"/>
      <c r="H378" s="8" t="s">
        <v>3</v>
      </c>
      <c r="I378" s="36"/>
      <c r="J378" s="58"/>
      <c r="K378" s="59"/>
      <c r="L378" s="86">
        <f t="shared" si="45"/>
        <v>0</v>
      </c>
      <c r="M378" s="13"/>
    </row>
    <row r="379" spans="1:14" x14ac:dyDescent="0.15">
      <c r="A379" s="8" t="s">
        <v>3</v>
      </c>
      <c r="B379" s="49"/>
      <c r="C379" s="58"/>
      <c r="D379" s="59"/>
      <c r="E379" s="10">
        <f t="shared" si="46"/>
        <v>0</v>
      </c>
      <c r="F379" s="13"/>
      <c r="H379" s="8" t="s">
        <v>3</v>
      </c>
      <c r="I379" s="36"/>
      <c r="J379" s="60"/>
      <c r="K379" s="61"/>
      <c r="L379" s="86">
        <f t="shared" si="45"/>
        <v>0</v>
      </c>
      <c r="M379" s="17"/>
    </row>
    <row r="380" spans="1:14" x14ac:dyDescent="0.15">
      <c r="A380" s="8" t="s">
        <v>3</v>
      </c>
      <c r="B380" s="49"/>
      <c r="C380" s="58"/>
      <c r="D380" s="59"/>
      <c r="E380" s="10">
        <f>SUM(B380:D380)</f>
        <v>0</v>
      </c>
      <c r="F380" s="13"/>
      <c r="H380" s="8" t="s">
        <v>3</v>
      </c>
      <c r="I380" s="49"/>
      <c r="J380" s="60"/>
      <c r="K380" s="61"/>
      <c r="L380" s="86">
        <f t="shared" si="45"/>
        <v>0</v>
      </c>
      <c r="M380" s="17"/>
    </row>
    <row r="381" spans="1:14" x14ac:dyDescent="0.15">
      <c r="A381" s="8" t="s">
        <v>3</v>
      </c>
      <c r="B381" s="36"/>
      <c r="C381" s="60"/>
      <c r="D381" s="61"/>
      <c r="E381" s="10">
        <f t="shared" ref="E381:E383" si="47">SUM(B381:D381)</f>
        <v>0</v>
      </c>
      <c r="F381" s="17"/>
      <c r="H381" s="8" t="s">
        <v>3</v>
      </c>
      <c r="I381" s="36"/>
      <c r="J381" s="60"/>
      <c r="K381" s="61"/>
      <c r="L381" s="86">
        <f t="shared" si="45"/>
        <v>0</v>
      </c>
      <c r="M381" s="17"/>
    </row>
    <row r="382" spans="1:14" x14ac:dyDescent="0.15">
      <c r="A382" s="8" t="s">
        <v>3</v>
      </c>
      <c r="B382" s="36"/>
      <c r="C382" s="60"/>
      <c r="D382" s="61"/>
      <c r="E382" s="10">
        <f t="shared" si="47"/>
        <v>0</v>
      </c>
      <c r="F382" s="17"/>
      <c r="H382" s="8" t="s">
        <v>3</v>
      </c>
      <c r="I382" s="36"/>
      <c r="J382" s="58"/>
      <c r="K382" s="59"/>
      <c r="L382" s="86">
        <f t="shared" si="45"/>
        <v>0</v>
      </c>
      <c r="M382" s="13"/>
    </row>
    <row r="383" spans="1:14" ht="14.25" thickBot="1" x14ac:dyDescent="0.2">
      <c r="A383" s="37" t="s">
        <v>3</v>
      </c>
      <c r="B383" s="38"/>
      <c r="C383" s="58"/>
      <c r="D383" s="62"/>
      <c r="E383" s="10">
        <f t="shared" si="47"/>
        <v>0</v>
      </c>
      <c r="F383" s="19"/>
      <c r="H383" s="37" t="s">
        <v>3</v>
      </c>
      <c r="I383" s="38"/>
      <c r="J383" s="58"/>
      <c r="K383" s="62"/>
      <c r="L383" s="86">
        <f t="shared" si="45"/>
        <v>0</v>
      </c>
      <c r="M383" s="19"/>
    </row>
    <row r="384" spans="1:14" ht="14.25" thickBot="1" x14ac:dyDescent="0.2">
      <c r="A384" s="2" t="s">
        <v>4</v>
      </c>
      <c r="B384" s="20">
        <f>SUM(B372:B383)</f>
        <v>38</v>
      </c>
      <c r="C384" s="44">
        <f>SUM(C372:C383)</f>
        <v>28</v>
      </c>
      <c r="D384" s="21">
        <f>SUM(D372:D383)</f>
        <v>15</v>
      </c>
      <c r="E384" s="22">
        <f>SUM(B384:D384)</f>
        <v>81</v>
      </c>
      <c r="F384" s="23"/>
      <c r="H384" s="2" t="s">
        <v>4</v>
      </c>
      <c r="I384" s="88">
        <f>SUM(I372:I383)</f>
        <v>6</v>
      </c>
      <c r="J384" s="77">
        <f>SUM(J372:J383)</f>
        <v>6</v>
      </c>
      <c r="K384" s="89">
        <f>SUM(K372:K383)</f>
        <v>5</v>
      </c>
      <c r="L384" s="87">
        <f>SUM(I384:K384)</f>
        <v>17</v>
      </c>
      <c r="M384" s="23"/>
    </row>
    <row r="385" spans="1:14" x14ac:dyDescent="0.15">
      <c r="A385" s="24" t="s">
        <v>11</v>
      </c>
      <c r="B385" s="50"/>
      <c r="C385" s="39">
        <v>2</v>
      </c>
      <c r="D385" s="16">
        <v>1</v>
      </c>
      <c r="E385" s="10">
        <f t="shared" ref="E385:E408" si="48">SUM(B385:D385)</f>
        <v>3</v>
      </c>
      <c r="F385" s="25">
        <v>45561</v>
      </c>
      <c r="H385" s="24" t="s">
        <v>11</v>
      </c>
      <c r="I385" s="42"/>
      <c r="J385" s="35">
        <v>1</v>
      </c>
      <c r="K385" s="9"/>
      <c r="L385" s="86">
        <f>SUM(I385:K385)</f>
        <v>1</v>
      </c>
      <c r="M385" s="11">
        <v>45406</v>
      </c>
    </row>
    <row r="386" spans="1:14" x14ac:dyDescent="0.15">
      <c r="A386" s="24" t="s">
        <v>11</v>
      </c>
      <c r="B386" s="50"/>
      <c r="C386" s="39">
        <v>4</v>
      </c>
      <c r="D386" s="16">
        <v>1</v>
      </c>
      <c r="E386" s="10">
        <f t="shared" si="48"/>
        <v>5</v>
      </c>
      <c r="F386" s="25">
        <v>45565</v>
      </c>
      <c r="H386" s="24" t="s">
        <v>11</v>
      </c>
      <c r="I386" s="42"/>
      <c r="J386" s="35"/>
      <c r="K386" s="9">
        <v>1</v>
      </c>
      <c r="L386" s="86">
        <f>SUM(I386:K386)</f>
        <v>1</v>
      </c>
      <c r="M386" s="11">
        <v>45412</v>
      </c>
      <c r="N386" s="26"/>
    </row>
    <row r="387" spans="1:14" x14ac:dyDescent="0.15">
      <c r="A387" s="24" t="s">
        <v>11</v>
      </c>
      <c r="B387" s="50"/>
      <c r="C387" s="39">
        <v>-1</v>
      </c>
      <c r="D387" s="16">
        <v>1</v>
      </c>
      <c r="E387" s="10">
        <f t="shared" si="48"/>
        <v>0</v>
      </c>
      <c r="F387" s="25">
        <v>45569</v>
      </c>
      <c r="H387" s="24" t="s">
        <v>11</v>
      </c>
      <c r="I387" s="50"/>
      <c r="J387" s="51">
        <v>1</v>
      </c>
      <c r="K387" s="52"/>
      <c r="L387" s="86">
        <f t="shared" ref="L387:L408" si="49">SUM(I387:K387)</f>
        <v>1</v>
      </c>
      <c r="M387" s="11">
        <v>45433</v>
      </c>
      <c r="N387" s="26"/>
    </row>
    <row r="388" spans="1:14" x14ac:dyDescent="0.15">
      <c r="A388" s="24" t="s">
        <v>11</v>
      </c>
      <c r="B388" s="50">
        <f>3+1</f>
        <v>4</v>
      </c>
      <c r="C388" s="39"/>
      <c r="D388" s="16"/>
      <c r="E388" s="10">
        <f t="shared" si="48"/>
        <v>4</v>
      </c>
      <c r="F388" s="25">
        <v>45572</v>
      </c>
      <c r="H388" s="24" t="s">
        <v>11</v>
      </c>
      <c r="I388" s="50"/>
      <c r="J388" s="51">
        <v>1</v>
      </c>
      <c r="K388" s="52"/>
      <c r="L388" s="86">
        <f t="shared" si="49"/>
        <v>1</v>
      </c>
      <c r="M388" s="11">
        <v>45460</v>
      </c>
      <c r="N388" s="26"/>
    </row>
    <row r="389" spans="1:14" x14ac:dyDescent="0.15">
      <c r="A389" s="24" t="s">
        <v>11</v>
      </c>
      <c r="B389" s="50"/>
      <c r="C389" s="39">
        <v>1</v>
      </c>
      <c r="D389" s="16">
        <v>1</v>
      </c>
      <c r="E389" s="10">
        <f t="shared" si="48"/>
        <v>2</v>
      </c>
      <c r="F389" s="25">
        <v>45573</v>
      </c>
      <c r="H389" s="24" t="s">
        <v>11</v>
      </c>
      <c r="I389" s="42">
        <v>1</v>
      </c>
      <c r="J389" s="35"/>
      <c r="K389" s="9"/>
      <c r="L389" s="86">
        <f t="shared" si="49"/>
        <v>1</v>
      </c>
      <c r="M389" s="11">
        <v>45462</v>
      </c>
      <c r="N389" s="26"/>
    </row>
    <row r="390" spans="1:14" x14ac:dyDescent="0.15">
      <c r="A390" s="24" t="s">
        <v>11</v>
      </c>
      <c r="B390" s="50"/>
      <c r="C390" s="39">
        <v>1</v>
      </c>
      <c r="D390" s="16"/>
      <c r="E390" s="10">
        <f t="shared" si="48"/>
        <v>1</v>
      </c>
      <c r="F390" s="25">
        <v>45574</v>
      </c>
      <c r="H390" s="24" t="s">
        <v>11</v>
      </c>
      <c r="I390" s="42"/>
      <c r="J390" s="35">
        <v>1</v>
      </c>
      <c r="K390" s="9"/>
      <c r="L390" s="86">
        <f t="shared" si="49"/>
        <v>1</v>
      </c>
      <c r="M390" s="11">
        <v>45471</v>
      </c>
      <c r="N390" s="26"/>
    </row>
    <row r="391" spans="1:14" x14ac:dyDescent="0.15">
      <c r="A391" s="24" t="s">
        <v>11</v>
      </c>
      <c r="B391" s="50">
        <f>1+2</f>
        <v>3</v>
      </c>
      <c r="C391" s="39"/>
      <c r="D391" s="16"/>
      <c r="E391" s="10">
        <f t="shared" si="48"/>
        <v>3</v>
      </c>
      <c r="F391" s="25">
        <v>45580</v>
      </c>
      <c r="H391" s="24" t="s">
        <v>11</v>
      </c>
      <c r="I391" s="42"/>
      <c r="J391" s="35"/>
      <c r="K391" s="9">
        <v>1</v>
      </c>
      <c r="L391" s="86">
        <f t="shared" si="49"/>
        <v>1</v>
      </c>
      <c r="M391" s="11">
        <v>45509</v>
      </c>
      <c r="N391" s="26"/>
    </row>
    <row r="392" spans="1:14" x14ac:dyDescent="0.15">
      <c r="A392" s="24" t="s">
        <v>11</v>
      </c>
      <c r="B392" s="50">
        <v>2</v>
      </c>
      <c r="C392" s="39"/>
      <c r="D392" s="16">
        <v>1</v>
      </c>
      <c r="E392" s="10">
        <f t="shared" si="48"/>
        <v>3</v>
      </c>
      <c r="F392" s="25">
        <v>45586</v>
      </c>
      <c r="H392" s="24" t="s">
        <v>11</v>
      </c>
      <c r="I392" s="42">
        <v>1</v>
      </c>
      <c r="J392" s="39"/>
      <c r="K392" s="16"/>
      <c r="L392" s="86">
        <f t="shared" si="49"/>
        <v>1</v>
      </c>
      <c r="M392" s="25">
        <v>45552</v>
      </c>
      <c r="N392" s="26"/>
    </row>
    <row r="393" spans="1:14" x14ac:dyDescent="0.15">
      <c r="A393" s="24" t="s">
        <v>11</v>
      </c>
      <c r="B393" s="50"/>
      <c r="C393" s="35">
        <v>1</v>
      </c>
      <c r="D393" s="9"/>
      <c r="E393" s="10">
        <f t="shared" si="48"/>
        <v>1</v>
      </c>
      <c r="F393" s="11">
        <v>45588</v>
      </c>
      <c r="H393" s="24" t="s">
        <v>11</v>
      </c>
      <c r="I393" s="42">
        <v>1</v>
      </c>
      <c r="J393" s="39"/>
      <c r="K393" s="16"/>
      <c r="L393" s="86">
        <f t="shared" si="49"/>
        <v>1</v>
      </c>
      <c r="M393" s="25">
        <v>45553</v>
      </c>
      <c r="N393" s="26"/>
    </row>
    <row r="394" spans="1:14" x14ac:dyDescent="0.15">
      <c r="A394" s="24" t="s">
        <v>11</v>
      </c>
      <c r="B394" s="50">
        <f>1+2</f>
        <v>3</v>
      </c>
      <c r="C394" s="39"/>
      <c r="D394" s="16"/>
      <c r="E394" s="10">
        <f t="shared" si="48"/>
        <v>3</v>
      </c>
      <c r="F394" s="25">
        <v>45593</v>
      </c>
      <c r="H394" s="24" t="s">
        <v>11</v>
      </c>
      <c r="I394" s="42">
        <v>1</v>
      </c>
      <c r="J394" s="35"/>
      <c r="K394" s="9"/>
      <c r="L394" s="86">
        <f t="shared" si="49"/>
        <v>1</v>
      </c>
      <c r="M394" s="11">
        <v>45595</v>
      </c>
      <c r="N394" s="26"/>
    </row>
    <row r="395" spans="1:14" x14ac:dyDescent="0.15">
      <c r="A395" s="24" t="s">
        <v>11</v>
      </c>
      <c r="B395" s="50"/>
      <c r="C395" s="39">
        <v>1</v>
      </c>
      <c r="D395" s="16"/>
      <c r="E395" s="10">
        <f t="shared" si="48"/>
        <v>1</v>
      </c>
      <c r="F395" s="25">
        <v>45594</v>
      </c>
      <c r="H395" s="24" t="s">
        <v>11</v>
      </c>
      <c r="I395" s="42"/>
      <c r="J395" s="35">
        <v>1</v>
      </c>
      <c r="K395" s="9"/>
      <c r="L395" s="86">
        <f t="shared" si="49"/>
        <v>1</v>
      </c>
      <c r="M395" s="11">
        <v>45603</v>
      </c>
      <c r="N395" s="27"/>
    </row>
    <row r="396" spans="1:14" x14ac:dyDescent="0.15">
      <c r="A396" s="24" t="s">
        <v>11</v>
      </c>
      <c r="B396" s="50">
        <v>1</v>
      </c>
      <c r="C396" s="39">
        <v>1</v>
      </c>
      <c r="D396" s="16">
        <v>1</v>
      </c>
      <c r="E396" s="10">
        <f t="shared" si="48"/>
        <v>3</v>
      </c>
      <c r="F396" s="25">
        <v>45595</v>
      </c>
      <c r="H396" s="24" t="s">
        <v>11</v>
      </c>
      <c r="I396" s="42">
        <v>1</v>
      </c>
      <c r="J396" s="35"/>
      <c r="K396" s="9"/>
      <c r="L396" s="86">
        <f t="shared" si="49"/>
        <v>1</v>
      </c>
      <c r="M396" s="11">
        <v>45614</v>
      </c>
      <c r="N396" s="27"/>
    </row>
    <row r="397" spans="1:14" x14ac:dyDescent="0.15">
      <c r="A397" s="24" t="s">
        <v>11</v>
      </c>
      <c r="B397" s="50"/>
      <c r="C397" s="39">
        <v>1</v>
      </c>
      <c r="D397" s="16"/>
      <c r="E397" s="10">
        <f t="shared" si="48"/>
        <v>1</v>
      </c>
      <c r="F397" s="25">
        <v>45598</v>
      </c>
      <c r="H397" s="24"/>
      <c r="I397" s="42"/>
      <c r="J397" s="35"/>
      <c r="K397" s="9"/>
      <c r="L397" s="86">
        <f t="shared" si="49"/>
        <v>0</v>
      </c>
      <c r="M397" s="11"/>
      <c r="N397" s="26"/>
    </row>
    <row r="398" spans="1:14" x14ac:dyDescent="0.15">
      <c r="A398" s="24" t="s">
        <v>11</v>
      </c>
      <c r="B398" s="50">
        <f>1+1</f>
        <v>2</v>
      </c>
      <c r="C398" s="39">
        <f>1+1</f>
        <v>2</v>
      </c>
      <c r="D398" s="16">
        <v>1</v>
      </c>
      <c r="E398" s="10">
        <f t="shared" si="48"/>
        <v>5</v>
      </c>
      <c r="F398" s="25">
        <v>45601</v>
      </c>
      <c r="H398" s="24"/>
      <c r="I398" s="42"/>
      <c r="J398" s="35"/>
      <c r="K398" s="9"/>
      <c r="L398" s="86">
        <f t="shared" si="49"/>
        <v>0</v>
      </c>
      <c r="M398" s="11"/>
      <c r="N398" s="26"/>
    </row>
    <row r="399" spans="1:14" x14ac:dyDescent="0.15">
      <c r="A399" s="24" t="s">
        <v>11</v>
      </c>
      <c r="B399" s="50">
        <v>2</v>
      </c>
      <c r="C399" s="39"/>
      <c r="D399" s="16">
        <v>1</v>
      </c>
      <c r="E399" s="10">
        <f t="shared" si="48"/>
        <v>3</v>
      </c>
      <c r="F399" s="25">
        <v>45602</v>
      </c>
      <c r="H399" s="24"/>
      <c r="I399" s="43"/>
      <c r="J399" s="39"/>
      <c r="K399" s="16"/>
      <c r="L399" s="86">
        <f t="shared" si="49"/>
        <v>0</v>
      </c>
      <c r="M399" s="25"/>
      <c r="N399" s="26"/>
    </row>
    <row r="400" spans="1:14" x14ac:dyDescent="0.15">
      <c r="A400" s="24" t="s">
        <v>11</v>
      </c>
      <c r="B400" s="50">
        <v>1</v>
      </c>
      <c r="C400" s="39"/>
      <c r="D400" s="16"/>
      <c r="E400" s="10">
        <f t="shared" si="48"/>
        <v>1</v>
      </c>
      <c r="F400" s="25">
        <v>45603</v>
      </c>
      <c r="H400" s="24"/>
      <c r="I400" s="42"/>
      <c r="J400" s="35"/>
      <c r="K400" s="9"/>
      <c r="L400" s="86">
        <f t="shared" si="49"/>
        <v>0</v>
      </c>
      <c r="M400" s="11"/>
      <c r="N400" s="26"/>
    </row>
    <row r="401" spans="1:14" x14ac:dyDescent="0.15">
      <c r="A401" s="24" t="s">
        <v>11</v>
      </c>
      <c r="B401" s="50"/>
      <c r="C401" s="39">
        <v>1</v>
      </c>
      <c r="D401" s="16">
        <v>1</v>
      </c>
      <c r="E401" s="10">
        <f t="shared" si="48"/>
        <v>2</v>
      </c>
      <c r="F401" s="25">
        <v>45607</v>
      </c>
      <c r="H401" s="24"/>
      <c r="I401" s="42"/>
      <c r="J401" s="35"/>
      <c r="K401" s="9"/>
      <c r="L401" s="86">
        <f t="shared" si="49"/>
        <v>0</v>
      </c>
      <c r="M401" s="11"/>
      <c r="N401" s="26"/>
    </row>
    <row r="402" spans="1:14" x14ac:dyDescent="0.15">
      <c r="A402" s="24" t="s">
        <v>11</v>
      </c>
      <c r="B402" s="50"/>
      <c r="C402" s="39">
        <v>3</v>
      </c>
      <c r="D402" s="16"/>
      <c r="E402" s="10">
        <f t="shared" si="48"/>
        <v>3</v>
      </c>
      <c r="F402" s="25">
        <v>45614</v>
      </c>
      <c r="H402" s="24"/>
      <c r="I402" s="42"/>
      <c r="J402" s="35"/>
      <c r="K402" s="9"/>
      <c r="L402" s="86">
        <f t="shared" si="49"/>
        <v>0</v>
      </c>
      <c r="M402" s="11"/>
      <c r="N402" s="26"/>
    </row>
    <row r="403" spans="1:14" x14ac:dyDescent="0.15">
      <c r="A403" s="24" t="s">
        <v>11</v>
      </c>
      <c r="B403" s="50">
        <v>1</v>
      </c>
      <c r="C403" s="39"/>
      <c r="D403" s="16"/>
      <c r="E403" s="10">
        <f t="shared" si="48"/>
        <v>1</v>
      </c>
      <c r="F403" s="25">
        <v>45617</v>
      </c>
      <c r="H403" s="24"/>
      <c r="I403" s="42"/>
      <c r="J403" s="35"/>
      <c r="K403" s="9"/>
      <c r="L403" s="86">
        <f t="shared" si="49"/>
        <v>0</v>
      </c>
      <c r="M403" s="11"/>
      <c r="N403" s="26"/>
    </row>
    <row r="404" spans="1:14" x14ac:dyDescent="0.15">
      <c r="A404" s="24" t="s">
        <v>11</v>
      </c>
      <c r="B404" s="50">
        <v>1</v>
      </c>
      <c r="C404" s="39"/>
      <c r="D404" s="16"/>
      <c r="E404" s="10">
        <f t="shared" si="48"/>
        <v>1</v>
      </c>
      <c r="F404" s="25">
        <v>45621</v>
      </c>
      <c r="H404" s="24"/>
      <c r="I404" s="42"/>
      <c r="J404" s="35"/>
      <c r="K404" s="9"/>
      <c r="L404" s="86">
        <f t="shared" si="49"/>
        <v>0</v>
      </c>
      <c r="M404" s="11"/>
      <c r="N404" s="26"/>
    </row>
    <row r="405" spans="1:14" x14ac:dyDescent="0.15">
      <c r="A405" s="24" t="s">
        <v>11</v>
      </c>
      <c r="B405" s="50">
        <v>1</v>
      </c>
      <c r="C405" s="39"/>
      <c r="D405" s="16"/>
      <c r="E405" s="10">
        <f t="shared" si="48"/>
        <v>1</v>
      </c>
      <c r="F405" s="25">
        <v>45623</v>
      </c>
      <c r="H405" s="24"/>
      <c r="I405" s="43"/>
      <c r="J405" s="35"/>
      <c r="K405" s="9"/>
      <c r="L405" s="86">
        <f t="shared" si="49"/>
        <v>0</v>
      </c>
      <c r="M405" s="11"/>
      <c r="N405" s="26"/>
    </row>
    <row r="406" spans="1:14" x14ac:dyDescent="0.15">
      <c r="A406" s="24" t="s">
        <v>11</v>
      </c>
      <c r="B406" s="50"/>
      <c r="C406" s="39"/>
      <c r="D406" s="16">
        <v>1</v>
      </c>
      <c r="E406" s="10">
        <f t="shared" si="48"/>
        <v>1</v>
      </c>
      <c r="F406" s="25">
        <v>45626</v>
      </c>
      <c r="H406" s="24"/>
      <c r="I406" s="42"/>
      <c r="J406" s="35"/>
      <c r="K406" s="9"/>
      <c r="L406" s="86">
        <f t="shared" si="49"/>
        <v>0</v>
      </c>
      <c r="M406" s="11"/>
      <c r="N406" s="27"/>
    </row>
    <row r="407" spans="1:14" x14ac:dyDescent="0.15">
      <c r="A407" s="24" t="s">
        <v>11</v>
      </c>
      <c r="B407" s="50">
        <v>2</v>
      </c>
      <c r="C407" s="39">
        <v>1</v>
      </c>
      <c r="D407" s="16">
        <v>1</v>
      </c>
      <c r="E407" s="10">
        <f t="shared" si="48"/>
        <v>4</v>
      </c>
      <c r="F407" s="25">
        <v>45628</v>
      </c>
      <c r="H407" s="24"/>
      <c r="I407" s="42"/>
      <c r="J407" s="35"/>
      <c r="K407" s="9"/>
      <c r="L407" s="86">
        <f t="shared" si="49"/>
        <v>0</v>
      </c>
      <c r="M407" s="11"/>
      <c r="N407" s="26"/>
    </row>
    <row r="408" spans="1:14" ht="14.25" thickBot="1" x14ac:dyDescent="0.2">
      <c r="A408" s="24" t="s">
        <v>11</v>
      </c>
      <c r="B408" s="75">
        <v>4</v>
      </c>
      <c r="C408" s="14"/>
      <c r="D408" s="18"/>
      <c r="E408" s="10">
        <f t="shared" si="48"/>
        <v>4</v>
      </c>
      <c r="F408" s="19">
        <v>45630</v>
      </c>
      <c r="H408" s="24"/>
      <c r="I408" s="53"/>
      <c r="J408" s="14"/>
      <c r="K408" s="18"/>
      <c r="L408" s="86">
        <f t="shared" si="49"/>
        <v>0</v>
      </c>
      <c r="M408" s="19"/>
      <c r="N408" s="26"/>
    </row>
    <row r="409" spans="1:14" ht="14.25" thickBot="1" x14ac:dyDescent="0.2">
      <c r="A409" s="6" t="s">
        <v>5</v>
      </c>
      <c r="B409" s="44">
        <f>SUM(B385:B408)</f>
        <v>27</v>
      </c>
      <c r="C409" s="40">
        <f>SUM(C385:C408)</f>
        <v>18</v>
      </c>
      <c r="D409" s="28">
        <f>SUM(D385:D408)</f>
        <v>11</v>
      </c>
      <c r="E409" s="29">
        <f>SUM(B409:D409)</f>
        <v>56</v>
      </c>
      <c r="F409" s="30"/>
      <c r="H409" s="6" t="s">
        <v>5</v>
      </c>
      <c r="I409" s="77">
        <f>SUM(I385:I408)</f>
        <v>5</v>
      </c>
      <c r="J409" s="78">
        <f>SUM(J385:J408)</f>
        <v>5</v>
      </c>
      <c r="K409" s="79">
        <f>SUM(K385:K408)</f>
        <v>2</v>
      </c>
      <c r="L409" s="80">
        <f>SUM(I409:K409)</f>
        <v>12</v>
      </c>
      <c r="M409" s="30"/>
    </row>
    <row r="410" spans="1:14" ht="14.25" thickBot="1" x14ac:dyDescent="0.2">
      <c r="A410" s="31" t="s">
        <v>6</v>
      </c>
      <c r="B410" s="45">
        <f>B384-B409</f>
        <v>11</v>
      </c>
      <c r="C410" s="41">
        <f>C384-C409</f>
        <v>10</v>
      </c>
      <c r="D410" s="32">
        <f>D384-D409</f>
        <v>4</v>
      </c>
      <c r="E410" s="33">
        <f>SUM(B410:D410)</f>
        <v>25</v>
      </c>
      <c r="F410" s="34"/>
      <c r="H410" s="31" t="s">
        <v>6</v>
      </c>
      <c r="I410" s="81">
        <f>I384-I409</f>
        <v>1</v>
      </c>
      <c r="J410" s="82">
        <f>J384-J409</f>
        <v>1</v>
      </c>
      <c r="K410" s="83">
        <f>K384-K409</f>
        <v>3</v>
      </c>
      <c r="L410" s="84">
        <f>SUM(I410:K410)</f>
        <v>5</v>
      </c>
      <c r="M410" s="34"/>
      <c r="N410" s="7"/>
    </row>
    <row r="411" spans="1:14" ht="19.5" thickBot="1" x14ac:dyDescent="0.25">
      <c r="A411" s="1" t="s">
        <v>10</v>
      </c>
      <c r="B411" s="1"/>
      <c r="F411" s="74">
        <v>1791</v>
      </c>
      <c r="H411" s="1" t="s">
        <v>16</v>
      </c>
      <c r="I411" s="1"/>
      <c r="N411">
        <v>3280</v>
      </c>
    </row>
    <row r="412" spans="1:14" ht="14.25" thickBot="1" x14ac:dyDescent="0.2">
      <c r="A412" s="2"/>
      <c r="B412" s="3" t="s">
        <v>7</v>
      </c>
      <c r="C412" s="73" t="s">
        <v>8</v>
      </c>
      <c r="D412" s="4" t="s">
        <v>9</v>
      </c>
      <c r="E412" s="5" t="s">
        <v>0</v>
      </c>
      <c r="F412" s="6" t="s">
        <v>1</v>
      </c>
      <c r="H412" s="2"/>
      <c r="I412" s="6" t="s">
        <v>7</v>
      </c>
      <c r="J412" s="3" t="s">
        <v>8</v>
      </c>
      <c r="K412" s="4" t="s">
        <v>9</v>
      </c>
      <c r="L412" s="5" t="s">
        <v>0</v>
      </c>
      <c r="M412" s="6" t="s">
        <v>1</v>
      </c>
    </row>
    <row r="413" spans="1:14" x14ac:dyDescent="0.15">
      <c r="A413" s="63" t="s">
        <v>6</v>
      </c>
      <c r="B413" s="70">
        <f>B410</f>
        <v>11</v>
      </c>
      <c r="C413" s="70">
        <f>C410</f>
        <v>10</v>
      </c>
      <c r="D413" s="70">
        <f>D410</f>
        <v>4</v>
      </c>
      <c r="E413" s="71">
        <f>SUM(B413:D413)</f>
        <v>25</v>
      </c>
      <c r="F413" s="72"/>
      <c r="H413" s="55" t="s">
        <v>6</v>
      </c>
      <c r="I413" s="46">
        <f>I410</f>
        <v>1</v>
      </c>
      <c r="J413" s="56">
        <f>J410</f>
        <v>1</v>
      </c>
      <c r="K413" s="57">
        <f>K410</f>
        <v>3</v>
      </c>
      <c r="L413" s="85">
        <f>SUM(I413:K413)</f>
        <v>5</v>
      </c>
      <c r="M413" s="48"/>
    </row>
    <row r="414" spans="1:14" x14ac:dyDescent="0.15">
      <c r="A414" s="8" t="s">
        <v>3</v>
      </c>
      <c r="B414" s="49">
        <v>5</v>
      </c>
      <c r="C414" s="58">
        <v>5</v>
      </c>
      <c r="D414" s="59">
        <v>3</v>
      </c>
      <c r="E414" s="10">
        <f t="shared" ref="E414:E419" si="50">SUM(B414:D414)</f>
        <v>13</v>
      </c>
      <c r="F414" s="13">
        <v>45644</v>
      </c>
      <c r="H414" s="8" t="s">
        <v>3</v>
      </c>
      <c r="I414" s="49">
        <v>2</v>
      </c>
      <c r="J414" s="58">
        <v>2</v>
      </c>
      <c r="K414" s="59"/>
      <c r="L414" s="86">
        <f t="shared" ref="L414:L420" si="51">SUM(I414:K414)</f>
        <v>4</v>
      </c>
      <c r="M414" s="13">
        <v>45644</v>
      </c>
    </row>
    <row r="415" spans="1:14" x14ac:dyDescent="0.15">
      <c r="A415" s="8" t="s">
        <v>3</v>
      </c>
      <c r="B415" s="49">
        <v>5</v>
      </c>
      <c r="C415" s="58">
        <v>5</v>
      </c>
      <c r="D415" s="59">
        <v>10</v>
      </c>
      <c r="E415" s="10">
        <f t="shared" si="50"/>
        <v>20</v>
      </c>
      <c r="F415" s="13">
        <v>45651</v>
      </c>
      <c r="H415" s="8" t="s">
        <v>3</v>
      </c>
      <c r="I415" s="36"/>
      <c r="J415" s="58"/>
      <c r="K415" s="59"/>
      <c r="L415" s="86">
        <f t="shared" si="51"/>
        <v>0</v>
      </c>
      <c r="M415" s="13"/>
    </row>
    <row r="416" spans="1:14" x14ac:dyDescent="0.15">
      <c r="A416" s="8" t="s">
        <v>15</v>
      </c>
      <c r="B416" s="49"/>
      <c r="C416" s="58"/>
      <c r="D416" s="59">
        <v>1</v>
      </c>
      <c r="E416" s="10">
        <f t="shared" si="50"/>
        <v>1</v>
      </c>
      <c r="F416" s="13">
        <v>45649</v>
      </c>
      <c r="H416" s="8" t="s">
        <v>3</v>
      </c>
      <c r="I416" s="36"/>
      <c r="J416" s="58"/>
      <c r="K416" s="59"/>
      <c r="L416" s="86">
        <f t="shared" si="51"/>
        <v>0</v>
      </c>
      <c r="M416" s="13"/>
    </row>
    <row r="417" spans="1:13" x14ac:dyDescent="0.15">
      <c r="A417" s="8" t="s">
        <v>3</v>
      </c>
      <c r="B417" s="49">
        <v>5</v>
      </c>
      <c r="C417" s="69">
        <v>5</v>
      </c>
      <c r="D417" s="59"/>
      <c r="E417" s="10">
        <f t="shared" si="50"/>
        <v>10</v>
      </c>
      <c r="F417" s="11">
        <v>45667</v>
      </c>
      <c r="H417" s="8" t="s">
        <v>3</v>
      </c>
      <c r="I417" s="36"/>
      <c r="J417" s="58"/>
      <c r="K417" s="59"/>
      <c r="L417" s="86">
        <f t="shared" si="51"/>
        <v>0</v>
      </c>
      <c r="M417" s="13"/>
    </row>
    <row r="418" spans="1:13" x14ac:dyDescent="0.15">
      <c r="A418" s="108" t="s">
        <v>3</v>
      </c>
      <c r="B418" s="103">
        <v>10</v>
      </c>
      <c r="C418" s="104">
        <v>10</v>
      </c>
      <c r="D418" s="105">
        <v>10</v>
      </c>
      <c r="E418" s="106">
        <f t="shared" si="50"/>
        <v>30</v>
      </c>
      <c r="F418" s="107">
        <v>45687</v>
      </c>
      <c r="H418" s="8" t="s">
        <v>3</v>
      </c>
      <c r="I418" s="36"/>
      <c r="J418" s="58"/>
      <c r="K418" s="59"/>
      <c r="L418" s="86">
        <f t="shared" si="51"/>
        <v>0</v>
      </c>
      <c r="M418" s="13"/>
    </row>
    <row r="419" spans="1:13" x14ac:dyDescent="0.15">
      <c r="A419" s="8" t="s">
        <v>3</v>
      </c>
      <c r="B419" s="49"/>
      <c r="C419" s="58"/>
      <c r="D419" s="59"/>
      <c r="E419" s="10">
        <f t="shared" si="50"/>
        <v>0</v>
      </c>
      <c r="F419" s="13"/>
      <c r="H419" s="8" t="s">
        <v>3</v>
      </c>
      <c r="I419" s="36"/>
      <c r="J419" s="58"/>
      <c r="K419" s="59"/>
      <c r="L419" s="86">
        <f t="shared" si="51"/>
        <v>0</v>
      </c>
      <c r="M419" s="13"/>
    </row>
    <row r="420" spans="1:13" x14ac:dyDescent="0.15">
      <c r="A420" s="8" t="s">
        <v>3</v>
      </c>
      <c r="B420" s="49"/>
      <c r="C420" s="58"/>
      <c r="D420" s="59"/>
      <c r="E420" s="10">
        <f t="shared" ref="E420" si="52">SUM(B420:D420)</f>
        <v>0</v>
      </c>
      <c r="F420" s="13"/>
      <c r="H420" s="8" t="s">
        <v>3</v>
      </c>
      <c r="I420" s="36"/>
      <c r="J420" s="60"/>
      <c r="K420" s="61"/>
      <c r="L420" s="86">
        <f t="shared" si="51"/>
        <v>0</v>
      </c>
      <c r="M420" s="17"/>
    </row>
    <row r="421" spans="1:13" x14ac:dyDescent="0.15">
      <c r="A421" s="8" t="s">
        <v>3</v>
      </c>
      <c r="B421" s="49"/>
      <c r="C421" s="58"/>
      <c r="D421" s="59"/>
      <c r="E421" s="10">
        <f>SUM(B421:D421)</f>
        <v>0</v>
      </c>
      <c r="F421" s="13"/>
      <c r="H421" s="8" t="s">
        <v>3</v>
      </c>
      <c r="I421" s="49"/>
      <c r="J421" s="60"/>
      <c r="K421" s="61"/>
      <c r="L421" s="86">
        <f>SUM(I421:K421)</f>
        <v>0</v>
      </c>
      <c r="M421" s="17"/>
    </row>
    <row r="422" spans="1:13" x14ac:dyDescent="0.15">
      <c r="A422" s="8" t="s">
        <v>3</v>
      </c>
      <c r="B422" s="36"/>
      <c r="C422" s="60"/>
      <c r="D422" s="61"/>
      <c r="E422" s="10">
        <f t="shared" ref="E422:E424" si="53">SUM(B422:D422)</f>
        <v>0</v>
      </c>
      <c r="F422" s="17"/>
      <c r="H422" s="8" t="s">
        <v>3</v>
      </c>
      <c r="I422" s="36"/>
      <c r="J422" s="60"/>
      <c r="K422" s="61"/>
      <c r="L422" s="86">
        <f t="shared" ref="L422:L424" si="54">SUM(I422:K422)</f>
        <v>0</v>
      </c>
      <c r="M422" s="17"/>
    </row>
    <row r="423" spans="1:13" x14ac:dyDescent="0.15">
      <c r="A423" s="8" t="s">
        <v>3</v>
      </c>
      <c r="B423" s="36"/>
      <c r="C423" s="60"/>
      <c r="D423" s="61"/>
      <c r="E423" s="10">
        <f t="shared" si="53"/>
        <v>0</v>
      </c>
      <c r="F423" s="17"/>
      <c r="H423" s="8" t="s">
        <v>3</v>
      </c>
      <c r="I423" s="36"/>
      <c r="J423" s="58"/>
      <c r="K423" s="59"/>
      <c r="L423" s="86">
        <f t="shared" si="54"/>
        <v>0</v>
      </c>
      <c r="M423" s="13"/>
    </row>
    <row r="424" spans="1:13" ht="14.25" thickBot="1" x14ac:dyDescent="0.2">
      <c r="A424" s="37" t="s">
        <v>3</v>
      </c>
      <c r="B424" s="38"/>
      <c r="C424" s="58"/>
      <c r="D424" s="62"/>
      <c r="E424" s="10">
        <f t="shared" si="53"/>
        <v>0</v>
      </c>
      <c r="F424" s="19"/>
      <c r="H424" s="37" t="s">
        <v>3</v>
      </c>
      <c r="I424" s="38"/>
      <c r="J424" s="58"/>
      <c r="K424" s="62"/>
      <c r="L424" s="86">
        <f t="shared" si="54"/>
        <v>0</v>
      </c>
      <c r="M424" s="19"/>
    </row>
    <row r="425" spans="1:13" ht="14.25" thickBot="1" x14ac:dyDescent="0.2">
      <c r="A425" s="2" t="s">
        <v>4</v>
      </c>
      <c r="B425" s="20">
        <f>SUM(B413:B424)</f>
        <v>36</v>
      </c>
      <c r="C425" s="44">
        <f>SUM(C413:C424)</f>
        <v>35</v>
      </c>
      <c r="D425" s="21">
        <f>SUM(D413:D424)</f>
        <v>28</v>
      </c>
      <c r="E425" s="22">
        <f>SUM(B425:D425)</f>
        <v>99</v>
      </c>
      <c r="F425" s="23"/>
      <c r="H425" s="2" t="s">
        <v>4</v>
      </c>
      <c r="I425" s="88">
        <f>SUM(I413:I424)</f>
        <v>3</v>
      </c>
      <c r="J425" s="77">
        <f>SUM(J413:J424)</f>
        <v>3</v>
      </c>
      <c r="K425" s="89">
        <f>SUM(K413:K424)</f>
        <v>3</v>
      </c>
      <c r="L425" s="87">
        <f>SUM(I425:K425)</f>
        <v>9</v>
      </c>
      <c r="M425" s="23"/>
    </row>
    <row r="426" spans="1:13" x14ac:dyDescent="0.15">
      <c r="A426" s="24" t="s">
        <v>11</v>
      </c>
      <c r="B426" s="50">
        <v>2</v>
      </c>
      <c r="C426" s="39">
        <v>1</v>
      </c>
      <c r="D426" s="16"/>
      <c r="E426" s="10">
        <f t="shared" ref="E426:E445" si="55">SUM(B426:D426)</f>
        <v>3</v>
      </c>
      <c r="F426" s="25">
        <v>45631</v>
      </c>
      <c r="H426" s="24" t="s">
        <v>11</v>
      </c>
      <c r="I426" s="42"/>
      <c r="J426" s="35">
        <v>1</v>
      </c>
      <c r="K426" s="9"/>
      <c r="L426" s="86">
        <f t="shared" ref="L426" si="56">SUM(I426:K426)</f>
        <v>1</v>
      </c>
      <c r="M426" s="11">
        <v>45651</v>
      </c>
    </row>
    <row r="427" spans="1:13" x14ac:dyDescent="0.15">
      <c r="A427" s="24" t="s">
        <v>11</v>
      </c>
      <c r="B427" s="50"/>
      <c r="C427" s="39">
        <v>3</v>
      </c>
      <c r="D427" s="16"/>
      <c r="E427" s="10">
        <f t="shared" si="55"/>
        <v>3</v>
      </c>
      <c r="F427" s="25">
        <v>45633</v>
      </c>
      <c r="H427" s="24" t="s">
        <v>11</v>
      </c>
      <c r="I427" s="50">
        <v>1</v>
      </c>
      <c r="J427" s="35"/>
      <c r="K427" s="9"/>
      <c r="L427" s="86">
        <f>SUM(I427:K427)</f>
        <v>1</v>
      </c>
      <c r="M427" s="11">
        <v>45671</v>
      </c>
    </row>
    <row r="428" spans="1:13" x14ac:dyDescent="0.15">
      <c r="A428" s="24" t="s">
        <v>11</v>
      </c>
      <c r="B428" s="50">
        <f>2+1</f>
        <v>3</v>
      </c>
      <c r="C428" s="39"/>
      <c r="D428" s="16"/>
      <c r="E428" s="10">
        <f t="shared" si="55"/>
        <v>3</v>
      </c>
      <c r="F428" s="25">
        <v>45637</v>
      </c>
      <c r="H428" s="24" t="s">
        <v>11</v>
      </c>
      <c r="I428" s="50">
        <v>1</v>
      </c>
      <c r="J428" s="51"/>
      <c r="K428" s="52"/>
      <c r="L428" s="86">
        <f t="shared" ref="L428:L435" si="57">SUM(I428:K428)</f>
        <v>1</v>
      </c>
      <c r="M428" s="11">
        <v>45674</v>
      </c>
    </row>
    <row r="429" spans="1:13" x14ac:dyDescent="0.15">
      <c r="A429" s="24" t="s">
        <v>11</v>
      </c>
      <c r="B429" s="50"/>
      <c r="C429" s="39">
        <v>1</v>
      </c>
      <c r="D429" s="16"/>
      <c r="E429" s="10">
        <f t="shared" si="55"/>
        <v>1</v>
      </c>
      <c r="F429" s="25">
        <v>45639</v>
      </c>
      <c r="H429" s="24"/>
      <c r="I429" s="50"/>
      <c r="J429" s="51"/>
      <c r="K429" s="52"/>
      <c r="L429" s="86">
        <f t="shared" si="57"/>
        <v>0</v>
      </c>
      <c r="M429" s="11"/>
    </row>
    <row r="430" spans="1:13" x14ac:dyDescent="0.15">
      <c r="A430" s="24" t="s">
        <v>11</v>
      </c>
      <c r="B430" s="50"/>
      <c r="C430" s="39">
        <v>1</v>
      </c>
      <c r="D430" s="16"/>
      <c r="E430" s="10">
        <f t="shared" si="55"/>
        <v>1</v>
      </c>
      <c r="F430" s="25">
        <v>45642</v>
      </c>
      <c r="H430" s="24"/>
      <c r="I430" s="50"/>
      <c r="J430" s="51"/>
      <c r="K430" s="52"/>
      <c r="L430" s="86">
        <f t="shared" si="57"/>
        <v>0</v>
      </c>
      <c r="M430" s="11"/>
    </row>
    <row r="431" spans="1:13" x14ac:dyDescent="0.15">
      <c r="A431" s="24" t="s">
        <v>11</v>
      </c>
      <c r="B431" s="50">
        <v>2</v>
      </c>
      <c r="C431" s="39"/>
      <c r="D431" s="16"/>
      <c r="E431" s="10">
        <f t="shared" si="55"/>
        <v>2</v>
      </c>
      <c r="F431" s="25">
        <v>45644</v>
      </c>
      <c r="H431" s="24"/>
      <c r="I431" s="50"/>
      <c r="J431" s="51"/>
      <c r="K431" s="52"/>
      <c r="L431" s="86">
        <f t="shared" si="57"/>
        <v>0</v>
      </c>
      <c r="M431" s="11"/>
    </row>
    <row r="432" spans="1:13" x14ac:dyDescent="0.15">
      <c r="A432" s="24" t="s">
        <v>11</v>
      </c>
      <c r="B432" s="50"/>
      <c r="C432" s="39"/>
      <c r="D432" s="16">
        <v>1</v>
      </c>
      <c r="E432" s="10">
        <f t="shared" si="55"/>
        <v>1</v>
      </c>
      <c r="F432" s="25">
        <v>45645</v>
      </c>
      <c r="H432" s="24"/>
      <c r="I432" s="50"/>
      <c r="J432" s="51"/>
      <c r="K432" s="52"/>
      <c r="L432" s="86">
        <f t="shared" si="57"/>
        <v>0</v>
      </c>
      <c r="M432" s="11"/>
    </row>
    <row r="433" spans="1:13" x14ac:dyDescent="0.15">
      <c r="A433" s="24" t="s">
        <v>11</v>
      </c>
      <c r="B433" s="50">
        <v>1</v>
      </c>
      <c r="C433" s="39"/>
      <c r="D433" s="16"/>
      <c r="E433" s="10">
        <f t="shared" si="55"/>
        <v>1</v>
      </c>
      <c r="F433" s="25">
        <v>45646</v>
      </c>
      <c r="H433" s="24"/>
      <c r="I433" s="50"/>
      <c r="J433" s="98"/>
      <c r="K433" s="99"/>
      <c r="L433" s="86">
        <f t="shared" si="57"/>
        <v>0</v>
      </c>
      <c r="M433" s="25"/>
    </row>
    <row r="434" spans="1:13" x14ac:dyDescent="0.15">
      <c r="A434" s="24" t="s">
        <v>11</v>
      </c>
      <c r="B434" s="50">
        <f>2+1</f>
        <v>3</v>
      </c>
      <c r="C434" s="39">
        <f>1+3</f>
        <v>4</v>
      </c>
      <c r="D434" s="16">
        <f>7+1</f>
        <v>8</v>
      </c>
      <c r="E434" s="10">
        <f t="shared" si="55"/>
        <v>15</v>
      </c>
      <c r="F434" s="25">
        <v>45649</v>
      </c>
      <c r="H434" s="24"/>
      <c r="I434" s="50"/>
      <c r="J434" s="98"/>
      <c r="K434" s="99"/>
      <c r="L434" s="86">
        <f t="shared" si="57"/>
        <v>0</v>
      </c>
      <c r="M434" s="25"/>
    </row>
    <row r="435" spans="1:13" x14ac:dyDescent="0.15">
      <c r="A435" s="24" t="s">
        <v>11</v>
      </c>
      <c r="B435" s="50">
        <v>1</v>
      </c>
      <c r="C435" s="39">
        <v>1</v>
      </c>
      <c r="D435" s="16">
        <v>2</v>
      </c>
      <c r="E435" s="10">
        <f t="shared" si="55"/>
        <v>4</v>
      </c>
      <c r="F435" s="25">
        <v>45651</v>
      </c>
      <c r="H435" s="24"/>
      <c r="I435" s="50"/>
      <c r="J435" s="51"/>
      <c r="K435" s="52"/>
      <c r="L435" s="86">
        <f t="shared" si="57"/>
        <v>0</v>
      </c>
      <c r="M435" s="11"/>
    </row>
    <row r="436" spans="1:13" x14ac:dyDescent="0.15">
      <c r="A436" s="24" t="s">
        <v>11</v>
      </c>
      <c r="B436" s="50"/>
      <c r="C436" s="39">
        <v>1</v>
      </c>
      <c r="D436" s="16"/>
      <c r="E436" s="10">
        <f t="shared" si="55"/>
        <v>1</v>
      </c>
      <c r="F436" s="25">
        <v>45652</v>
      </c>
      <c r="H436" s="24"/>
      <c r="I436" s="50"/>
      <c r="J436" s="51"/>
      <c r="K436" s="52"/>
      <c r="L436" s="86">
        <f>SUM(I436:K436)</f>
        <v>0</v>
      </c>
      <c r="M436" s="11"/>
    </row>
    <row r="437" spans="1:13" x14ac:dyDescent="0.15">
      <c r="A437" s="24" t="s">
        <v>11</v>
      </c>
      <c r="B437" s="50">
        <v>2</v>
      </c>
      <c r="C437" s="39">
        <v>5</v>
      </c>
      <c r="D437" s="16">
        <v>1</v>
      </c>
      <c r="E437" s="10">
        <f t="shared" si="55"/>
        <v>8</v>
      </c>
      <c r="F437" s="25">
        <v>45663</v>
      </c>
      <c r="H437" s="24"/>
      <c r="I437" s="50"/>
      <c r="J437" s="51"/>
      <c r="K437" s="52"/>
      <c r="L437" s="86">
        <f t="shared" ref="L437:L449" si="58">SUM(I437:K437)</f>
        <v>0</v>
      </c>
      <c r="M437" s="11"/>
    </row>
    <row r="438" spans="1:13" x14ac:dyDescent="0.15">
      <c r="A438" s="24" t="s">
        <v>11</v>
      </c>
      <c r="B438" s="50"/>
      <c r="C438" s="39">
        <v>1</v>
      </c>
      <c r="D438" s="16">
        <v>1</v>
      </c>
      <c r="E438" s="10">
        <f t="shared" si="55"/>
        <v>2</v>
      </c>
      <c r="F438" s="25">
        <v>45664</v>
      </c>
      <c r="H438" s="24"/>
      <c r="I438" s="50"/>
      <c r="J438" s="51"/>
      <c r="K438" s="52"/>
      <c r="L438" s="86">
        <f t="shared" si="58"/>
        <v>0</v>
      </c>
      <c r="M438" s="11"/>
    </row>
    <row r="439" spans="1:13" x14ac:dyDescent="0.15">
      <c r="A439" s="24" t="s">
        <v>11</v>
      </c>
      <c r="B439" s="50">
        <f>1+1</f>
        <v>2</v>
      </c>
      <c r="C439" s="39"/>
      <c r="D439" s="16">
        <v>1</v>
      </c>
      <c r="E439" s="10">
        <f t="shared" si="55"/>
        <v>3</v>
      </c>
      <c r="F439" s="25">
        <v>45665</v>
      </c>
      <c r="H439" s="24"/>
      <c r="I439" s="50"/>
      <c r="J439" s="51"/>
      <c r="K439" s="52"/>
      <c r="L439" s="86">
        <f t="shared" si="58"/>
        <v>0</v>
      </c>
      <c r="M439" s="11"/>
    </row>
    <row r="440" spans="1:13" x14ac:dyDescent="0.15">
      <c r="A440" s="24" t="s">
        <v>11</v>
      </c>
      <c r="B440" s="50"/>
      <c r="C440" s="39">
        <v>1</v>
      </c>
      <c r="D440" s="16"/>
      <c r="E440" s="10">
        <f t="shared" si="55"/>
        <v>1</v>
      </c>
      <c r="F440" s="25">
        <v>45666</v>
      </c>
      <c r="H440" s="24"/>
      <c r="I440" s="76"/>
      <c r="J440" s="98"/>
      <c r="K440" s="99"/>
      <c r="L440" s="86">
        <f t="shared" si="58"/>
        <v>0</v>
      </c>
      <c r="M440" s="25"/>
    </row>
    <row r="441" spans="1:13" x14ac:dyDescent="0.15">
      <c r="A441" s="24" t="s">
        <v>11</v>
      </c>
      <c r="B441" s="50"/>
      <c r="C441" s="39">
        <v>2</v>
      </c>
      <c r="D441" s="16"/>
      <c r="E441" s="10">
        <f t="shared" si="55"/>
        <v>2</v>
      </c>
      <c r="F441" s="25">
        <v>45668</v>
      </c>
      <c r="H441" s="24"/>
      <c r="I441" s="50"/>
      <c r="J441" s="51"/>
      <c r="K441" s="52"/>
      <c r="L441" s="86">
        <f t="shared" si="58"/>
        <v>0</v>
      </c>
      <c r="M441" s="11"/>
    </row>
    <row r="442" spans="1:13" x14ac:dyDescent="0.15">
      <c r="A442" s="24" t="s">
        <v>11</v>
      </c>
      <c r="B442" s="50"/>
      <c r="C442" s="39">
        <v>3</v>
      </c>
      <c r="D442" s="16"/>
      <c r="E442" s="10">
        <f t="shared" si="55"/>
        <v>3</v>
      </c>
      <c r="F442" s="25">
        <v>45672</v>
      </c>
      <c r="H442" s="24"/>
      <c r="I442" s="50"/>
      <c r="J442" s="51"/>
      <c r="K442" s="52"/>
      <c r="L442" s="86">
        <f t="shared" si="58"/>
        <v>0</v>
      </c>
      <c r="M442" s="11"/>
    </row>
    <row r="443" spans="1:13" x14ac:dyDescent="0.15">
      <c r="A443" s="24" t="s">
        <v>11</v>
      </c>
      <c r="B443" s="50">
        <v>2</v>
      </c>
      <c r="C443" s="39"/>
      <c r="D443" s="16">
        <v>1</v>
      </c>
      <c r="E443" s="10">
        <f t="shared" si="55"/>
        <v>3</v>
      </c>
      <c r="F443" s="25">
        <v>45673</v>
      </c>
      <c r="H443" s="24"/>
      <c r="I443" s="50"/>
      <c r="J443" s="51"/>
      <c r="K443" s="52"/>
      <c r="L443" s="86">
        <f t="shared" si="58"/>
        <v>0</v>
      </c>
      <c r="M443" s="11"/>
    </row>
    <row r="444" spans="1:13" x14ac:dyDescent="0.15">
      <c r="A444" s="24" t="s">
        <v>11</v>
      </c>
      <c r="B444" s="50">
        <v>2</v>
      </c>
      <c r="C444" s="39"/>
      <c r="D444" s="16"/>
      <c r="E444" s="10">
        <f t="shared" si="55"/>
        <v>2</v>
      </c>
      <c r="F444" s="25">
        <v>45677</v>
      </c>
      <c r="H444" s="24"/>
      <c r="I444" s="50"/>
      <c r="J444" s="51"/>
      <c r="K444" s="52"/>
      <c r="L444" s="86">
        <f t="shared" si="58"/>
        <v>0</v>
      </c>
      <c r="M444" s="11"/>
    </row>
    <row r="445" spans="1:13" x14ac:dyDescent="0.15">
      <c r="A445" s="24" t="s">
        <v>11</v>
      </c>
      <c r="B445" s="50">
        <v>2</v>
      </c>
      <c r="C445" s="39"/>
      <c r="D445" s="16">
        <v>1</v>
      </c>
      <c r="E445" s="10">
        <f t="shared" si="55"/>
        <v>3</v>
      </c>
      <c r="F445" s="25">
        <v>45678</v>
      </c>
      <c r="H445" s="24"/>
      <c r="I445" s="50"/>
      <c r="J445" s="51"/>
      <c r="K445" s="52"/>
      <c r="L445" s="86">
        <f t="shared" si="58"/>
        <v>0</v>
      </c>
      <c r="M445" s="11"/>
    </row>
    <row r="446" spans="1:13" x14ac:dyDescent="0.15">
      <c r="A446" s="24" t="s">
        <v>11</v>
      </c>
      <c r="B446" s="50">
        <v>1</v>
      </c>
      <c r="C446" s="39"/>
      <c r="D446" s="16">
        <v>1</v>
      </c>
      <c r="E446" s="10">
        <f t="shared" ref="E446:E449" si="59">SUM(B446:D446)</f>
        <v>2</v>
      </c>
      <c r="F446" s="25">
        <v>45684</v>
      </c>
      <c r="H446" s="24"/>
      <c r="I446" s="76"/>
      <c r="J446" s="51"/>
      <c r="K446" s="52"/>
      <c r="L446" s="86">
        <f t="shared" si="58"/>
        <v>0</v>
      </c>
      <c r="M446" s="11"/>
    </row>
    <row r="447" spans="1:13" x14ac:dyDescent="0.15">
      <c r="A447" s="24" t="s">
        <v>11</v>
      </c>
      <c r="B447" s="50"/>
      <c r="C447" s="39">
        <v>1</v>
      </c>
      <c r="D447" s="16"/>
      <c r="E447" s="10">
        <f t="shared" si="59"/>
        <v>1</v>
      </c>
      <c r="F447" s="25">
        <v>45686</v>
      </c>
      <c r="H447" s="24"/>
      <c r="I447" s="50"/>
      <c r="J447" s="51"/>
      <c r="K447" s="52"/>
      <c r="L447" s="86">
        <f t="shared" si="58"/>
        <v>0</v>
      </c>
      <c r="M447" s="11"/>
    </row>
    <row r="448" spans="1:13" x14ac:dyDescent="0.15">
      <c r="A448" s="24" t="s">
        <v>11</v>
      </c>
      <c r="B448" s="50"/>
      <c r="C448" s="39"/>
      <c r="D448" s="16">
        <v>1</v>
      </c>
      <c r="E448" s="10">
        <f t="shared" si="59"/>
        <v>1</v>
      </c>
      <c r="F448" s="25">
        <v>45688</v>
      </c>
      <c r="H448" s="24"/>
      <c r="I448" s="50"/>
      <c r="J448" s="51"/>
      <c r="K448" s="52"/>
      <c r="L448" s="86">
        <f t="shared" si="58"/>
        <v>0</v>
      </c>
      <c r="M448" s="11"/>
    </row>
    <row r="449" spans="1:14" ht="14.25" thickBot="1" x14ac:dyDescent="0.2">
      <c r="A449" s="24" t="s">
        <v>11</v>
      </c>
      <c r="B449" s="75"/>
      <c r="C449" s="14">
        <v>1</v>
      </c>
      <c r="D449" s="18"/>
      <c r="E449" s="10">
        <f t="shared" si="59"/>
        <v>1</v>
      </c>
      <c r="F449" s="19">
        <v>45689</v>
      </c>
      <c r="H449" s="24"/>
      <c r="I449" s="75"/>
      <c r="J449" s="100"/>
      <c r="K449" s="101"/>
      <c r="L449" s="86">
        <f t="shared" si="58"/>
        <v>0</v>
      </c>
      <c r="M449" s="19"/>
    </row>
    <row r="450" spans="1:14" ht="14.25" thickBot="1" x14ac:dyDescent="0.2">
      <c r="A450" s="6" t="s">
        <v>5</v>
      </c>
      <c r="B450" s="44">
        <f>SUM(B426:B449)</f>
        <v>23</v>
      </c>
      <c r="C450" s="40">
        <f>SUM(C426:C449)</f>
        <v>26</v>
      </c>
      <c r="D450" s="28">
        <f>SUM(D426:D449)</f>
        <v>18</v>
      </c>
      <c r="E450" s="29">
        <f>SUM(B450:D450)</f>
        <v>67</v>
      </c>
      <c r="F450" s="30"/>
      <c r="H450" s="6" t="s">
        <v>5</v>
      </c>
      <c r="I450" s="77">
        <f>SUM(I426:I449)</f>
        <v>2</v>
      </c>
      <c r="J450" s="78">
        <f>SUM(J426:J449)</f>
        <v>1</v>
      </c>
      <c r="K450" s="79">
        <f>SUM(K426:K449)</f>
        <v>0</v>
      </c>
      <c r="L450" s="80">
        <f>SUM(I450:K450)</f>
        <v>3</v>
      </c>
      <c r="M450" s="30"/>
    </row>
    <row r="451" spans="1:14" ht="14.25" thickBot="1" x14ac:dyDescent="0.2">
      <c r="A451" s="31" t="s">
        <v>6</v>
      </c>
      <c r="B451" s="45">
        <f>B425-B450</f>
        <v>13</v>
      </c>
      <c r="C451" s="41">
        <f>C425-C450</f>
        <v>9</v>
      </c>
      <c r="D451" s="32">
        <f>D425-D450</f>
        <v>10</v>
      </c>
      <c r="E451" s="33">
        <f>SUM(B451:D451)</f>
        <v>32</v>
      </c>
      <c r="F451" s="34"/>
      <c r="H451" s="31" t="s">
        <v>6</v>
      </c>
      <c r="I451" s="81">
        <f>I425-I450</f>
        <v>1</v>
      </c>
      <c r="J451" s="82">
        <f>J425-J450</f>
        <v>2</v>
      </c>
      <c r="K451" s="83">
        <f>K425-K450</f>
        <v>3</v>
      </c>
      <c r="L451" s="84">
        <f>SUM(I451:K451)</f>
        <v>6</v>
      </c>
      <c r="M451" s="34"/>
    </row>
    <row r="452" spans="1:14" ht="19.5" thickBot="1" x14ac:dyDescent="0.25">
      <c r="A452" s="1" t="s">
        <v>10</v>
      </c>
      <c r="B452" s="1"/>
      <c r="F452" s="74">
        <v>1791</v>
      </c>
      <c r="H452" s="1" t="s">
        <v>16</v>
      </c>
      <c r="I452" s="1"/>
      <c r="N452">
        <v>3280</v>
      </c>
    </row>
    <row r="453" spans="1:14" ht="14.25" thickBot="1" x14ac:dyDescent="0.2">
      <c r="A453" s="2"/>
      <c r="B453" s="3" t="s">
        <v>7</v>
      </c>
      <c r="C453" s="73" t="s">
        <v>8</v>
      </c>
      <c r="D453" s="4" t="s">
        <v>9</v>
      </c>
      <c r="E453" s="5" t="s">
        <v>0</v>
      </c>
      <c r="F453" s="6" t="s">
        <v>1</v>
      </c>
      <c r="H453" s="2"/>
      <c r="I453" s="6" t="s">
        <v>7</v>
      </c>
      <c r="J453" s="3" t="s">
        <v>8</v>
      </c>
      <c r="K453" s="4" t="s">
        <v>9</v>
      </c>
      <c r="L453" s="5" t="s">
        <v>0</v>
      </c>
      <c r="M453" s="6" t="s">
        <v>1</v>
      </c>
    </row>
    <row r="454" spans="1:14" ht="14.25" thickBot="1" x14ac:dyDescent="0.2">
      <c r="A454" s="90" t="s">
        <v>6</v>
      </c>
      <c r="B454" s="91">
        <f>B451</f>
        <v>13</v>
      </c>
      <c r="C454" s="91">
        <f>C451</f>
        <v>9</v>
      </c>
      <c r="D454" s="91">
        <f>D451</f>
        <v>10</v>
      </c>
      <c r="E454" s="92">
        <f>SUM(B454:D454)</f>
        <v>32</v>
      </c>
      <c r="F454" s="93"/>
      <c r="H454" s="6" t="s">
        <v>6</v>
      </c>
      <c r="I454" s="94">
        <f>I451</f>
        <v>1</v>
      </c>
      <c r="J454" s="95">
        <f>J451</f>
        <v>2</v>
      </c>
      <c r="K454" s="96">
        <f>K451</f>
        <v>3</v>
      </c>
      <c r="L454" s="87">
        <f>SUM(I454:K454)</f>
        <v>6</v>
      </c>
      <c r="M454" s="97"/>
    </row>
    <row r="455" spans="1:14" x14ac:dyDescent="0.15">
      <c r="A455" s="102" t="s">
        <v>3</v>
      </c>
      <c r="B455" s="103"/>
      <c r="C455" s="104"/>
      <c r="D455" s="105"/>
      <c r="E455" s="106">
        <f t="shared" ref="E455:E461" si="60">SUM(B455:D455)</f>
        <v>0</v>
      </c>
      <c r="F455" s="107"/>
      <c r="H455" s="8" t="s">
        <v>3</v>
      </c>
      <c r="I455" s="36"/>
      <c r="J455" s="58"/>
      <c r="K455" s="59"/>
      <c r="L455" s="86">
        <f t="shared" ref="L455:L456" si="61">SUM(I455:K455)</f>
        <v>0</v>
      </c>
      <c r="M455" s="13"/>
    </row>
    <row r="456" spans="1:14" x14ac:dyDescent="0.15">
      <c r="A456" s="8" t="s">
        <v>17</v>
      </c>
      <c r="B456" s="49">
        <v>5</v>
      </c>
      <c r="C456" s="58">
        <v>10</v>
      </c>
      <c r="D456" s="59">
        <v>0</v>
      </c>
      <c r="E456" s="10">
        <f t="shared" si="60"/>
        <v>15</v>
      </c>
      <c r="F456" s="13">
        <v>45702</v>
      </c>
      <c r="H456" s="8" t="s">
        <v>3</v>
      </c>
      <c r="I456" s="36"/>
      <c r="J456" s="58"/>
      <c r="K456" s="59"/>
      <c r="L456" s="86">
        <f t="shared" si="61"/>
        <v>0</v>
      </c>
      <c r="M456" s="13"/>
    </row>
    <row r="457" spans="1:14" x14ac:dyDescent="0.15">
      <c r="A457" s="8" t="s">
        <v>3</v>
      </c>
      <c r="B457" s="49"/>
      <c r="C457" s="58"/>
      <c r="D457" s="59"/>
      <c r="E457" s="10">
        <f t="shared" si="60"/>
        <v>0</v>
      </c>
      <c r="F457" s="13"/>
      <c r="H457" s="8" t="s">
        <v>3</v>
      </c>
      <c r="I457" s="36"/>
      <c r="J457" s="58"/>
      <c r="K457" s="59"/>
      <c r="L457" s="86">
        <f t="shared" ref="L457:L461" si="62">SUM(I457:K457)</f>
        <v>0</v>
      </c>
      <c r="M457" s="13"/>
    </row>
    <row r="458" spans="1:14" x14ac:dyDescent="0.15">
      <c r="A458" s="8" t="s">
        <v>3</v>
      </c>
      <c r="B458" s="49">
        <v>15</v>
      </c>
      <c r="C458" s="58">
        <v>20</v>
      </c>
      <c r="D458" s="59">
        <v>0</v>
      </c>
      <c r="E458" s="10">
        <f t="shared" ref="E458" si="63">SUM(B458:D458)</f>
        <v>35</v>
      </c>
      <c r="F458" s="13">
        <v>45702</v>
      </c>
      <c r="H458" s="8" t="s">
        <v>3</v>
      </c>
      <c r="I458" s="36"/>
      <c r="J458" s="58"/>
      <c r="K458" s="59"/>
      <c r="L458" s="86">
        <f t="shared" si="62"/>
        <v>0</v>
      </c>
      <c r="M458" s="13"/>
    </row>
    <row r="459" spans="1:14" x14ac:dyDescent="0.15">
      <c r="A459" s="8" t="s">
        <v>3</v>
      </c>
      <c r="B459" s="49"/>
      <c r="C459" s="58"/>
      <c r="D459" s="59"/>
      <c r="E459" s="10">
        <f t="shared" si="60"/>
        <v>0</v>
      </c>
      <c r="F459" s="13"/>
      <c r="H459" s="8" t="s">
        <v>3</v>
      </c>
      <c r="I459" s="36"/>
      <c r="J459" s="58"/>
      <c r="K459" s="59"/>
      <c r="L459" s="86">
        <f t="shared" si="62"/>
        <v>0</v>
      </c>
      <c r="M459" s="13"/>
    </row>
    <row r="460" spans="1:14" x14ac:dyDescent="0.15">
      <c r="A460" s="8" t="s">
        <v>3</v>
      </c>
      <c r="B460" s="49"/>
      <c r="C460" s="58"/>
      <c r="D460" s="59">
        <v>5</v>
      </c>
      <c r="E460" s="10">
        <f t="shared" si="60"/>
        <v>5</v>
      </c>
      <c r="F460" s="13">
        <v>45720</v>
      </c>
      <c r="H460" s="8" t="s">
        <v>3</v>
      </c>
      <c r="I460" s="36"/>
      <c r="J460" s="58"/>
      <c r="K460" s="59"/>
      <c r="L460" s="86">
        <f t="shared" si="62"/>
        <v>0</v>
      </c>
      <c r="M460" s="13"/>
    </row>
    <row r="461" spans="1:14" x14ac:dyDescent="0.15">
      <c r="A461" s="8" t="s">
        <v>3</v>
      </c>
      <c r="B461" s="49"/>
      <c r="C461" s="58"/>
      <c r="D461" s="59"/>
      <c r="E461" s="10">
        <f t="shared" si="60"/>
        <v>0</v>
      </c>
      <c r="F461" s="13"/>
      <c r="H461" s="8" t="s">
        <v>3</v>
      </c>
      <c r="I461" s="36"/>
      <c r="J461" s="60"/>
      <c r="K461" s="61"/>
      <c r="L461" s="86">
        <f t="shared" si="62"/>
        <v>0</v>
      </c>
      <c r="M461" s="17"/>
    </row>
    <row r="462" spans="1:14" x14ac:dyDescent="0.15">
      <c r="A462" s="8" t="s">
        <v>3</v>
      </c>
      <c r="B462" s="49"/>
      <c r="C462" s="58"/>
      <c r="D462" s="59"/>
      <c r="E462" s="10">
        <f>SUM(B462:D462)</f>
        <v>0</v>
      </c>
      <c r="F462" s="13"/>
      <c r="H462" s="8" t="s">
        <v>3</v>
      </c>
      <c r="I462" s="49"/>
      <c r="J462" s="60"/>
      <c r="K462" s="61"/>
      <c r="L462" s="86">
        <f>SUM(I462:K462)</f>
        <v>0</v>
      </c>
      <c r="M462" s="17"/>
    </row>
    <row r="463" spans="1:14" x14ac:dyDescent="0.15">
      <c r="A463" s="8" t="s">
        <v>3</v>
      </c>
      <c r="B463" s="36"/>
      <c r="C463" s="60"/>
      <c r="D463" s="61"/>
      <c r="E463" s="10">
        <f t="shared" ref="E463:E465" si="64">SUM(B463:D463)</f>
        <v>0</v>
      </c>
      <c r="F463" s="17"/>
      <c r="H463" s="8" t="s">
        <v>3</v>
      </c>
      <c r="I463" s="36"/>
      <c r="J463" s="60"/>
      <c r="K463" s="61"/>
      <c r="L463" s="86">
        <f t="shared" ref="L463:L465" si="65">SUM(I463:K463)</f>
        <v>0</v>
      </c>
      <c r="M463" s="17"/>
    </row>
    <row r="464" spans="1:14" x14ac:dyDescent="0.15">
      <c r="A464" s="8" t="s">
        <v>3</v>
      </c>
      <c r="B464" s="36"/>
      <c r="C464" s="60"/>
      <c r="D464" s="61"/>
      <c r="E464" s="10">
        <f t="shared" si="64"/>
        <v>0</v>
      </c>
      <c r="F464" s="17"/>
      <c r="H464" s="8" t="s">
        <v>3</v>
      </c>
      <c r="I464" s="36"/>
      <c r="J464" s="58"/>
      <c r="K464" s="59"/>
      <c r="L464" s="86">
        <f t="shared" si="65"/>
        <v>0</v>
      </c>
      <c r="M464" s="13"/>
    </row>
    <row r="465" spans="1:13" ht="14.25" thickBot="1" x14ac:dyDescent="0.2">
      <c r="A465" s="37" t="s">
        <v>3</v>
      </c>
      <c r="B465" s="38"/>
      <c r="C465" s="58"/>
      <c r="D465" s="62"/>
      <c r="E465" s="10">
        <f t="shared" si="64"/>
        <v>0</v>
      </c>
      <c r="F465" s="19"/>
      <c r="H465" s="37" t="s">
        <v>3</v>
      </c>
      <c r="I465" s="38"/>
      <c r="J465" s="58"/>
      <c r="K465" s="62"/>
      <c r="L465" s="86">
        <f t="shared" si="65"/>
        <v>0</v>
      </c>
      <c r="M465" s="19"/>
    </row>
    <row r="466" spans="1:13" ht="14.25" thickBot="1" x14ac:dyDescent="0.2">
      <c r="A466" s="2" t="s">
        <v>4</v>
      </c>
      <c r="B466" s="20">
        <f>SUM(B454:B465)</f>
        <v>33</v>
      </c>
      <c r="C466" s="44">
        <f>SUM(C454:C465)</f>
        <v>39</v>
      </c>
      <c r="D466" s="21">
        <f>SUM(D454:D465)</f>
        <v>15</v>
      </c>
      <c r="E466" s="22">
        <f>SUM(B466:D466)</f>
        <v>87</v>
      </c>
      <c r="F466" s="23"/>
      <c r="H466" s="2" t="s">
        <v>4</v>
      </c>
      <c r="I466" s="88">
        <f>SUM(I454:I465)</f>
        <v>1</v>
      </c>
      <c r="J466" s="77">
        <f>SUM(J454:J465)</f>
        <v>2</v>
      </c>
      <c r="K466" s="89">
        <f>SUM(K454:K465)</f>
        <v>3</v>
      </c>
      <c r="L466" s="87">
        <f>SUM(I466:K466)</f>
        <v>6</v>
      </c>
      <c r="M466" s="23"/>
    </row>
    <row r="467" spans="1:13" x14ac:dyDescent="0.15">
      <c r="A467" s="24" t="s">
        <v>11</v>
      </c>
      <c r="B467" s="50"/>
      <c r="C467" s="39">
        <v>1</v>
      </c>
      <c r="D467" s="16"/>
      <c r="E467" s="10">
        <f t="shared" ref="E467:E484" si="66">SUM(B467:D467)</f>
        <v>1</v>
      </c>
      <c r="F467" s="25">
        <v>45691</v>
      </c>
      <c r="H467" s="24"/>
      <c r="I467" s="50"/>
      <c r="J467" s="51"/>
      <c r="K467" s="52"/>
      <c r="L467" s="86">
        <f t="shared" ref="L467:L468" si="67">SUM(I467:K467)</f>
        <v>0</v>
      </c>
      <c r="M467" s="11"/>
    </row>
    <row r="468" spans="1:13" x14ac:dyDescent="0.15">
      <c r="A468" s="24" t="s">
        <v>11</v>
      </c>
      <c r="B468" s="50">
        <v>1</v>
      </c>
      <c r="C468" s="39"/>
      <c r="D468" s="16"/>
      <c r="E468" s="10">
        <f t="shared" si="66"/>
        <v>1</v>
      </c>
      <c r="F468" s="25">
        <v>45692</v>
      </c>
      <c r="H468" s="24"/>
      <c r="I468" s="50"/>
      <c r="J468" s="51"/>
      <c r="K468" s="52"/>
      <c r="L468" s="86">
        <f t="shared" si="67"/>
        <v>0</v>
      </c>
      <c r="M468" s="11"/>
    </row>
    <row r="469" spans="1:13" x14ac:dyDescent="0.15">
      <c r="A469" s="24" t="s">
        <v>11</v>
      </c>
      <c r="B469" s="50"/>
      <c r="C469" s="39"/>
      <c r="D469" s="16">
        <v>1</v>
      </c>
      <c r="E469" s="10">
        <f t="shared" si="66"/>
        <v>1</v>
      </c>
      <c r="F469" s="25">
        <v>45693</v>
      </c>
      <c r="H469" s="24"/>
      <c r="I469" s="50"/>
      <c r="J469" s="51"/>
      <c r="K469" s="52"/>
      <c r="L469" s="86">
        <f t="shared" ref="L469:L476" si="68">SUM(I469:K469)</f>
        <v>0</v>
      </c>
      <c r="M469" s="11"/>
    </row>
    <row r="470" spans="1:13" x14ac:dyDescent="0.15">
      <c r="A470" s="24" t="s">
        <v>11</v>
      </c>
      <c r="B470" s="50">
        <v>1</v>
      </c>
      <c r="C470" s="39">
        <v>1</v>
      </c>
      <c r="D470" s="16">
        <v>1</v>
      </c>
      <c r="E470" s="10">
        <f t="shared" si="66"/>
        <v>3</v>
      </c>
      <c r="F470" s="25">
        <v>45694</v>
      </c>
      <c r="H470" s="24"/>
      <c r="I470" s="50"/>
      <c r="J470" s="51"/>
      <c r="K470" s="52"/>
      <c r="L470" s="86">
        <f t="shared" si="68"/>
        <v>0</v>
      </c>
      <c r="M470" s="11"/>
    </row>
    <row r="471" spans="1:13" x14ac:dyDescent="0.15">
      <c r="A471" s="24" t="s">
        <v>11</v>
      </c>
      <c r="B471" s="50">
        <v>3</v>
      </c>
      <c r="C471" s="39">
        <v>1</v>
      </c>
      <c r="D471" s="16">
        <v>1</v>
      </c>
      <c r="E471" s="10">
        <f t="shared" si="66"/>
        <v>5</v>
      </c>
      <c r="F471" s="25">
        <v>45698</v>
      </c>
      <c r="H471" s="24"/>
      <c r="I471" s="42"/>
      <c r="J471" s="35"/>
      <c r="K471" s="9"/>
      <c r="L471" s="86">
        <f t="shared" si="68"/>
        <v>0</v>
      </c>
      <c r="M471" s="11"/>
    </row>
    <row r="472" spans="1:13" x14ac:dyDescent="0.15">
      <c r="A472" s="24" t="s">
        <v>11</v>
      </c>
      <c r="B472" s="50"/>
      <c r="C472" s="39"/>
      <c r="D472" s="16">
        <v>1</v>
      </c>
      <c r="E472" s="10">
        <f t="shared" si="66"/>
        <v>1</v>
      </c>
      <c r="F472" s="25">
        <v>45701</v>
      </c>
      <c r="H472" s="24"/>
      <c r="I472" s="42"/>
      <c r="J472" s="35"/>
      <c r="K472" s="9"/>
      <c r="L472" s="86">
        <f t="shared" si="68"/>
        <v>0</v>
      </c>
      <c r="M472" s="11"/>
    </row>
    <row r="473" spans="1:13" x14ac:dyDescent="0.15">
      <c r="A473" s="24" t="s">
        <v>11</v>
      </c>
      <c r="B473" s="50">
        <v>1</v>
      </c>
      <c r="C473" s="39"/>
      <c r="D473" s="16"/>
      <c r="E473" s="10">
        <f t="shared" si="66"/>
        <v>1</v>
      </c>
      <c r="F473" s="25">
        <v>45703</v>
      </c>
      <c r="H473" s="24"/>
      <c r="I473" s="42"/>
      <c r="J473" s="35"/>
      <c r="K473" s="9"/>
      <c r="L473" s="86">
        <f t="shared" si="68"/>
        <v>0</v>
      </c>
      <c r="M473" s="11"/>
    </row>
    <row r="474" spans="1:13" x14ac:dyDescent="0.15">
      <c r="A474" s="24" t="s">
        <v>11</v>
      </c>
      <c r="B474" s="50">
        <v>2</v>
      </c>
      <c r="C474" s="39"/>
      <c r="D474" s="16"/>
      <c r="E474" s="10">
        <f t="shared" si="66"/>
        <v>2</v>
      </c>
      <c r="F474" s="25">
        <v>45705</v>
      </c>
      <c r="H474" s="24"/>
      <c r="I474" s="42"/>
      <c r="J474" s="39"/>
      <c r="K474" s="16"/>
      <c r="L474" s="86">
        <f t="shared" si="68"/>
        <v>0</v>
      </c>
      <c r="M474" s="25"/>
    </row>
    <row r="475" spans="1:13" x14ac:dyDescent="0.15">
      <c r="A475" s="24" t="s">
        <v>11</v>
      </c>
      <c r="B475" s="50">
        <v>1</v>
      </c>
      <c r="C475" s="39"/>
      <c r="D475" s="16"/>
      <c r="E475" s="10">
        <f t="shared" si="66"/>
        <v>1</v>
      </c>
      <c r="F475" s="25">
        <v>45708</v>
      </c>
      <c r="H475" s="24"/>
      <c r="I475" s="42"/>
      <c r="J475" s="39"/>
      <c r="K475" s="16"/>
      <c r="L475" s="86">
        <f t="shared" si="68"/>
        <v>0</v>
      </c>
      <c r="M475" s="25"/>
    </row>
    <row r="476" spans="1:13" x14ac:dyDescent="0.15">
      <c r="A476" s="24" t="s">
        <v>11</v>
      </c>
      <c r="B476" s="50"/>
      <c r="C476" s="39">
        <v>1</v>
      </c>
      <c r="D476" s="16"/>
      <c r="E476" s="10">
        <f t="shared" si="66"/>
        <v>1</v>
      </c>
      <c r="F476" s="25">
        <v>45709</v>
      </c>
      <c r="H476" s="24"/>
      <c r="I476" s="42"/>
      <c r="J476" s="35"/>
      <c r="K476" s="9"/>
      <c r="L476" s="86">
        <f t="shared" si="68"/>
        <v>0</v>
      </c>
      <c r="M476" s="11"/>
    </row>
    <row r="477" spans="1:13" x14ac:dyDescent="0.15">
      <c r="A477" s="24" t="s">
        <v>11</v>
      </c>
      <c r="B477" s="50"/>
      <c r="C477" s="39">
        <v>2</v>
      </c>
      <c r="D477" s="16"/>
      <c r="E477" s="10">
        <f t="shared" si="66"/>
        <v>2</v>
      </c>
      <c r="F477" s="25">
        <v>45713</v>
      </c>
      <c r="H477" s="24"/>
      <c r="I477" s="42"/>
      <c r="J477" s="35"/>
      <c r="K477" s="9"/>
      <c r="L477" s="86">
        <f>SUM(I477:K477)</f>
        <v>0</v>
      </c>
      <c r="M477" s="11"/>
    </row>
    <row r="478" spans="1:13" x14ac:dyDescent="0.15">
      <c r="A478" s="24" t="s">
        <v>11</v>
      </c>
      <c r="B478" s="50">
        <v>3</v>
      </c>
      <c r="C478" s="39"/>
      <c r="D478" s="16"/>
      <c r="E478" s="10">
        <f t="shared" si="66"/>
        <v>3</v>
      </c>
      <c r="F478" s="25">
        <v>45714</v>
      </c>
      <c r="H478" s="24"/>
      <c r="I478" s="42"/>
      <c r="J478" s="35"/>
      <c r="K478" s="9"/>
      <c r="L478" s="86">
        <f t="shared" ref="L478:L490" si="69">SUM(I478:K478)</f>
        <v>0</v>
      </c>
      <c r="M478" s="11"/>
    </row>
    <row r="479" spans="1:13" x14ac:dyDescent="0.15">
      <c r="A479" s="24" t="s">
        <v>11</v>
      </c>
      <c r="B479" s="50"/>
      <c r="C479" s="39">
        <v>1</v>
      </c>
      <c r="D479" s="16"/>
      <c r="E479" s="10">
        <f t="shared" si="66"/>
        <v>1</v>
      </c>
      <c r="F479" s="25">
        <v>45715</v>
      </c>
      <c r="H479" s="24"/>
      <c r="I479" s="42"/>
      <c r="J479" s="35"/>
      <c r="K479" s="9"/>
      <c r="L479" s="86">
        <f t="shared" si="69"/>
        <v>0</v>
      </c>
      <c r="M479" s="11"/>
    </row>
    <row r="480" spans="1:13" x14ac:dyDescent="0.15">
      <c r="A480" s="24" t="s">
        <v>11</v>
      </c>
      <c r="B480" s="50">
        <v>1</v>
      </c>
      <c r="C480" s="39"/>
      <c r="D480" s="16"/>
      <c r="E480" s="10">
        <f t="shared" si="66"/>
        <v>1</v>
      </c>
      <c r="F480" s="25">
        <v>45716</v>
      </c>
      <c r="H480" s="24"/>
      <c r="I480" s="42"/>
      <c r="J480" s="35"/>
      <c r="K480" s="9"/>
      <c r="L480" s="86">
        <f t="shared" si="69"/>
        <v>0</v>
      </c>
      <c r="M480" s="11"/>
    </row>
    <row r="481" spans="1:13" x14ac:dyDescent="0.15">
      <c r="A481" s="24" t="s">
        <v>11</v>
      </c>
      <c r="B481" s="50"/>
      <c r="C481" s="39">
        <v>1</v>
      </c>
      <c r="D481" s="16">
        <v>2</v>
      </c>
      <c r="E481" s="10">
        <f t="shared" si="66"/>
        <v>3</v>
      </c>
      <c r="F481" s="25">
        <v>45722</v>
      </c>
      <c r="H481" s="24"/>
      <c r="I481" s="43"/>
      <c r="J481" s="39"/>
      <c r="K481" s="16"/>
      <c r="L481" s="86">
        <f t="shared" si="69"/>
        <v>0</v>
      </c>
      <c r="M481" s="25"/>
    </row>
    <row r="482" spans="1:13" x14ac:dyDescent="0.15">
      <c r="A482" s="24" t="s">
        <v>11</v>
      </c>
      <c r="B482" s="50">
        <f>2+1</f>
        <v>3</v>
      </c>
      <c r="C482" s="39">
        <v>1</v>
      </c>
      <c r="D482" s="16"/>
      <c r="E482" s="10">
        <f t="shared" si="66"/>
        <v>4</v>
      </c>
      <c r="F482" s="25">
        <v>45726</v>
      </c>
      <c r="H482" s="24"/>
      <c r="I482" s="42"/>
      <c r="J482" s="35"/>
      <c r="K482" s="9"/>
      <c r="L482" s="86">
        <f t="shared" si="69"/>
        <v>0</v>
      </c>
      <c r="M482" s="11"/>
    </row>
    <row r="483" spans="1:13" x14ac:dyDescent="0.15">
      <c r="A483" s="24" t="s">
        <v>11</v>
      </c>
      <c r="B483" s="50">
        <v>1</v>
      </c>
      <c r="C483" s="39">
        <v>1</v>
      </c>
      <c r="D483" s="16"/>
      <c r="E483" s="10">
        <f t="shared" si="66"/>
        <v>2</v>
      </c>
      <c r="F483" s="25">
        <v>45729</v>
      </c>
      <c r="H483" s="24"/>
      <c r="I483" s="42"/>
      <c r="J483" s="35"/>
      <c r="K483" s="9"/>
      <c r="L483" s="86">
        <f t="shared" si="69"/>
        <v>0</v>
      </c>
      <c r="M483" s="11"/>
    </row>
    <row r="484" spans="1:13" x14ac:dyDescent="0.15">
      <c r="A484" s="24" t="s">
        <v>11</v>
      </c>
      <c r="B484" s="50">
        <v>1</v>
      </c>
      <c r="C484" s="39"/>
      <c r="D484" s="16"/>
      <c r="E484" s="10">
        <f t="shared" si="66"/>
        <v>1</v>
      </c>
      <c r="F484" s="25">
        <v>45730</v>
      </c>
      <c r="H484" s="24"/>
      <c r="I484" s="42"/>
      <c r="J484" s="35"/>
      <c r="K484" s="9"/>
      <c r="L484" s="86">
        <f t="shared" si="69"/>
        <v>0</v>
      </c>
      <c r="M484" s="11"/>
    </row>
    <row r="485" spans="1:13" x14ac:dyDescent="0.15">
      <c r="A485" s="24" t="s">
        <v>11</v>
      </c>
      <c r="B485" s="50">
        <v>3</v>
      </c>
      <c r="C485" s="39"/>
      <c r="D485" s="16">
        <v>1</v>
      </c>
      <c r="E485" s="10">
        <f t="shared" ref="E485:E490" si="70">SUM(B485:D485)</f>
        <v>4</v>
      </c>
      <c r="F485" s="25">
        <v>45733</v>
      </c>
      <c r="H485" s="24"/>
      <c r="I485" s="42"/>
      <c r="J485" s="35"/>
      <c r="K485" s="9"/>
      <c r="L485" s="86">
        <f t="shared" si="69"/>
        <v>0</v>
      </c>
      <c r="M485" s="11"/>
    </row>
    <row r="486" spans="1:13" x14ac:dyDescent="0.15">
      <c r="A486" s="24" t="s">
        <v>11</v>
      </c>
      <c r="B486" s="50">
        <v>1</v>
      </c>
      <c r="C486" s="39"/>
      <c r="D486" s="16"/>
      <c r="E486" s="10">
        <f t="shared" si="70"/>
        <v>1</v>
      </c>
      <c r="F486" s="25">
        <v>45737</v>
      </c>
      <c r="H486" s="24"/>
      <c r="I486" s="42"/>
      <c r="J486" s="35"/>
      <c r="K486" s="9"/>
      <c r="L486" s="86">
        <f t="shared" si="69"/>
        <v>0</v>
      </c>
      <c r="M486" s="11"/>
    </row>
    <row r="487" spans="1:13" x14ac:dyDescent="0.15">
      <c r="A487" s="24" t="s">
        <v>11</v>
      </c>
      <c r="B487" s="50"/>
      <c r="C487" s="39">
        <v>1</v>
      </c>
      <c r="D487" s="16"/>
      <c r="E487" s="10">
        <f t="shared" si="70"/>
        <v>1</v>
      </c>
      <c r="F487" s="25">
        <v>45740</v>
      </c>
      <c r="H487" s="24"/>
      <c r="I487" s="43"/>
      <c r="J487" s="35"/>
      <c r="K487" s="9"/>
      <c r="L487" s="86">
        <f t="shared" si="69"/>
        <v>0</v>
      </c>
      <c r="M487" s="11"/>
    </row>
    <row r="488" spans="1:13" x14ac:dyDescent="0.15">
      <c r="A488" s="24" t="s">
        <v>11</v>
      </c>
      <c r="B488" s="50"/>
      <c r="C488" s="39">
        <v>1</v>
      </c>
      <c r="D488" s="16"/>
      <c r="E488" s="10">
        <f t="shared" si="70"/>
        <v>1</v>
      </c>
      <c r="F488" s="25">
        <v>45742</v>
      </c>
      <c r="H488" s="24"/>
      <c r="I488" s="42"/>
      <c r="J488" s="35"/>
      <c r="K488" s="9"/>
      <c r="L488" s="86">
        <f t="shared" si="69"/>
        <v>0</v>
      </c>
      <c r="M488" s="11"/>
    </row>
    <row r="489" spans="1:13" x14ac:dyDescent="0.15">
      <c r="A489" s="24" t="s">
        <v>11</v>
      </c>
      <c r="B489" s="50"/>
      <c r="C489" s="39"/>
      <c r="D489" s="16">
        <v>2</v>
      </c>
      <c r="E489" s="10">
        <f t="shared" si="70"/>
        <v>2</v>
      </c>
      <c r="F489" s="25">
        <v>45750</v>
      </c>
      <c r="H489" s="24"/>
      <c r="I489" s="42"/>
      <c r="J489" s="35"/>
      <c r="K489" s="9"/>
      <c r="L489" s="86">
        <f t="shared" si="69"/>
        <v>0</v>
      </c>
      <c r="M489" s="11"/>
    </row>
    <row r="490" spans="1:13" ht="14.25" thickBot="1" x14ac:dyDescent="0.2">
      <c r="A490" s="24" t="s">
        <v>11</v>
      </c>
      <c r="B490" s="75">
        <v>1</v>
      </c>
      <c r="C490" s="14"/>
      <c r="D490" s="18"/>
      <c r="E490" s="10">
        <f t="shared" si="70"/>
        <v>1</v>
      </c>
      <c r="F490" s="19">
        <v>45754</v>
      </c>
      <c r="H490" s="24"/>
      <c r="I490" s="53"/>
      <c r="J490" s="14"/>
      <c r="K490" s="18"/>
      <c r="L490" s="86">
        <f t="shared" si="69"/>
        <v>0</v>
      </c>
      <c r="M490" s="19"/>
    </row>
    <row r="491" spans="1:13" ht="14.25" thickBot="1" x14ac:dyDescent="0.2">
      <c r="A491" s="6" t="s">
        <v>5</v>
      </c>
      <c r="B491" s="44">
        <f>SUM(B467:B490)</f>
        <v>23</v>
      </c>
      <c r="C491" s="40">
        <f>SUM(C467:C490)</f>
        <v>12</v>
      </c>
      <c r="D491" s="28">
        <f>SUM(D467:D490)</f>
        <v>9</v>
      </c>
      <c r="E491" s="29">
        <f>SUM(B491:D491)</f>
        <v>44</v>
      </c>
      <c r="F491" s="30"/>
      <c r="H491" s="6" t="s">
        <v>5</v>
      </c>
      <c r="I491" s="77">
        <f>SUM(I467:I490)</f>
        <v>0</v>
      </c>
      <c r="J491" s="78">
        <f>SUM(J467:J490)</f>
        <v>0</v>
      </c>
      <c r="K491" s="79">
        <f>SUM(K467:K490)</f>
        <v>0</v>
      </c>
      <c r="L491" s="80">
        <f>SUM(I491:K491)</f>
        <v>0</v>
      </c>
      <c r="M491" s="30"/>
    </row>
    <row r="492" spans="1:13" ht="14.25" thickBot="1" x14ac:dyDescent="0.2">
      <c r="A492" s="31" t="s">
        <v>6</v>
      </c>
      <c r="B492" s="45">
        <f>B466-B491</f>
        <v>10</v>
      </c>
      <c r="C492" s="41">
        <f>C466-C491</f>
        <v>27</v>
      </c>
      <c r="D492" s="32">
        <f>D466-D491</f>
        <v>6</v>
      </c>
      <c r="E492" s="33">
        <f>SUM(B492:D492)</f>
        <v>43</v>
      </c>
      <c r="F492" s="34"/>
      <c r="H492" s="31" t="s">
        <v>6</v>
      </c>
      <c r="I492" s="81">
        <f>I466-I491</f>
        <v>1</v>
      </c>
      <c r="J492" s="82">
        <f>J466-J491</f>
        <v>2</v>
      </c>
      <c r="K492" s="83">
        <f>K466-K491</f>
        <v>3</v>
      </c>
      <c r="L492" s="84">
        <f>SUM(I492:K492)</f>
        <v>6</v>
      </c>
      <c r="M492" s="34"/>
    </row>
    <row r="493" spans="1:13" ht="19.5" thickBot="1" x14ac:dyDescent="0.25">
      <c r="A493" s="1" t="s">
        <v>10</v>
      </c>
      <c r="B493" s="1"/>
      <c r="F493" s="74">
        <v>1791</v>
      </c>
      <c r="H493" s="1" t="s">
        <v>18</v>
      </c>
      <c r="I493" s="1"/>
    </row>
    <row r="494" spans="1:13" ht="14.25" thickBot="1" x14ac:dyDescent="0.2">
      <c r="A494" s="2"/>
      <c r="B494" s="3" t="s">
        <v>7</v>
      </c>
      <c r="C494" s="73" t="s">
        <v>8</v>
      </c>
      <c r="D494" s="4" t="s">
        <v>9</v>
      </c>
      <c r="E494" s="5" t="s">
        <v>0</v>
      </c>
      <c r="F494" s="6" t="s">
        <v>1</v>
      </c>
      <c r="H494" s="2"/>
      <c r="I494" s="6" t="s">
        <v>7</v>
      </c>
      <c r="J494" s="3" t="s">
        <v>8</v>
      </c>
      <c r="K494" s="4" t="s">
        <v>9</v>
      </c>
      <c r="L494" s="5" t="s">
        <v>0</v>
      </c>
      <c r="M494" s="6" t="s">
        <v>1</v>
      </c>
    </row>
    <row r="495" spans="1:13" ht="14.25" thickBot="1" x14ac:dyDescent="0.2">
      <c r="A495" s="90" t="s">
        <v>6</v>
      </c>
      <c r="B495" s="91">
        <f>B492</f>
        <v>10</v>
      </c>
      <c r="C495" s="91">
        <f>C492</f>
        <v>27</v>
      </c>
      <c r="D495" s="91">
        <f>D492</f>
        <v>6</v>
      </c>
      <c r="E495" s="92">
        <f>SUM(B495:D495)</f>
        <v>43</v>
      </c>
      <c r="F495" s="93"/>
      <c r="H495" s="6" t="s">
        <v>6</v>
      </c>
      <c r="I495" s="94">
        <f>I492</f>
        <v>1</v>
      </c>
      <c r="J495" s="95">
        <f>J492</f>
        <v>2</v>
      </c>
      <c r="K495" s="96">
        <f>K492</f>
        <v>3</v>
      </c>
      <c r="L495" s="87">
        <f>SUM(I495:K495)</f>
        <v>6</v>
      </c>
      <c r="M495" s="97"/>
    </row>
    <row r="496" spans="1:13" x14ac:dyDescent="0.15">
      <c r="A496" s="108" t="s">
        <v>3</v>
      </c>
      <c r="B496" s="46">
        <v>20</v>
      </c>
      <c r="C496" s="54"/>
      <c r="D496" s="57">
        <v>5</v>
      </c>
      <c r="E496" s="109">
        <f t="shared" ref="E496:E502" si="71">SUM(B496:D496)</f>
        <v>25</v>
      </c>
      <c r="F496" s="110">
        <v>45757</v>
      </c>
      <c r="H496" s="8" t="s">
        <v>15</v>
      </c>
      <c r="I496" s="49">
        <v>-1</v>
      </c>
      <c r="J496" s="58">
        <v>-1</v>
      </c>
      <c r="K496" s="59"/>
      <c r="L496" s="86">
        <f t="shared" ref="L496:L502" si="72">SUM(I496:K496)</f>
        <v>-2</v>
      </c>
      <c r="M496" s="13">
        <v>45763</v>
      </c>
    </row>
    <row r="497" spans="1:13" x14ac:dyDescent="0.15">
      <c r="A497" s="8" t="s">
        <v>3</v>
      </c>
      <c r="B497" s="49"/>
      <c r="C497" s="58"/>
      <c r="D497" s="59">
        <v>3</v>
      </c>
      <c r="E497" s="10">
        <f t="shared" si="71"/>
        <v>3</v>
      </c>
      <c r="F497" s="13">
        <v>45765</v>
      </c>
      <c r="H497" s="8" t="s">
        <v>3</v>
      </c>
      <c r="I497" s="49"/>
      <c r="J497" s="58"/>
      <c r="K497" s="59"/>
      <c r="L497" s="86">
        <f t="shared" si="72"/>
        <v>0</v>
      </c>
      <c r="M497" s="13"/>
    </row>
    <row r="498" spans="1:13" x14ac:dyDescent="0.15">
      <c r="A498" s="8" t="s">
        <v>3</v>
      </c>
      <c r="B498" s="49"/>
      <c r="C498" s="58"/>
      <c r="D498" s="59"/>
      <c r="E498" s="10">
        <f t="shared" si="71"/>
        <v>0</v>
      </c>
      <c r="F498" s="13"/>
      <c r="H498" s="8" t="s">
        <v>3</v>
      </c>
      <c r="I498" s="49">
        <v>2</v>
      </c>
      <c r="J498" s="58">
        <v>3</v>
      </c>
      <c r="K498" s="59"/>
      <c r="L498" s="86">
        <f t="shared" si="72"/>
        <v>5</v>
      </c>
      <c r="M498" s="13">
        <v>45765</v>
      </c>
    </row>
    <row r="499" spans="1:13" x14ac:dyDescent="0.15">
      <c r="A499" s="8" t="s">
        <v>3</v>
      </c>
      <c r="B499" s="49"/>
      <c r="C499" s="58"/>
      <c r="D499" s="59"/>
      <c r="E499" s="10">
        <f t="shared" si="71"/>
        <v>0</v>
      </c>
      <c r="F499" s="13"/>
      <c r="H499" s="8" t="s">
        <v>3</v>
      </c>
      <c r="I499" s="49">
        <v>1</v>
      </c>
      <c r="J499" s="58"/>
      <c r="K499" s="59"/>
      <c r="L499" s="86">
        <f t="shared" si="72"/>
        <v>1</v>
      </c>
      <c r="M499" s="13">
        <v>45804</v>
      </c>
    </row>
    <row r="500" spans="1:13" x14ac:dyDescent="0.15">
      <c r="A500" s="8" t="s">
        <v>3</v>
      </c>
      <c r="B500" s="49"/>
      <c r="C500" s="58"/>
      <c r="D500" s="59"/>
      <c r="E500" s="10">
        <f t="shared" si="71"/>
        <v>0</v>
      </c>
      <c r="F500" s="13"/>
      <c r="H500" s="8" t="s">
        <v>3</v>
      </c>
      <c r="I500" s="49"/>
      <c r="J500" s="58"/>
      <c r="K500" s="59"/>
      <c r="L500" s="86">
        <f t="shared" si="72"/>
        <v>0</v>
      </c>
      <c r="M500" s="13"/>
    </row>
    <row r="501" spans="1:13" x14ac:dyDescent="0.15">
      <c r="A501" s="8" t="s">
        <v>3</v>
      </c>
      <c r="B501" s="49"/>
      <c r="C501" s="58"/>
      <c r="D501" s="59"/>
      <c r="E501" s="10">
        <f t="shared" si="71"/>
        <v>0</v>
      </c>
      <c r="F501" s="13"/>
      <c r="H501" s="8" t="s">
        <v>3</v>
      </c>
      <c r="I501" s="49"/>
      <c r="J501" s="58"/>
      <c r="K501" s="59"/>
      <c r="L501" s="86">
        <f t="shared" si="72"/>
        <v>0</v>
      </c>
      <c r="M501" s="13"/>
    </row>
    <row r="502" spans="1:13" x14ac:dyDescent="0.15">
      <c r="A502" s="8" t="s">
        <v>3</v>
      </c>
      <c r="B502" s="49"/>
      <c r="C502" s="58"/>
      <c r="D502" s="59"/>
      <c r="E502" s="10">
        <f t="shared" si="71"/>
        <v>0</v>
      </c>
      <c r="F502" s="13"/>
      <c r="H502" s="8" t="s">
        <v>3</v>
      </c>
      <c r="I502" s="49"/>
      <c r="J502" s="60"/>
      <c r="K502" s="61"/>
      <c r="L502" s="86">
        <f t="shared" si="72"/>
        <v>0</v>
      </c>
      <c r="M502" s="17"/>
    </row>
    <row r="503" spans="1:13" x14ac:dyDescent="0.15">
      <c r="A503" s="8" t="s">
        <v>3</v>
      </c>
      <c r="B503" s="49"/>
      <c r="C503" s="58"/>
      <c r="D503" s="59"/>
      <c r="E503" s="10">
        <f>SUM(B503:D503)</f>
        <v>0</v>
      </c>
      <c r="F503" s="13"/>
      <c r="H503" s="8" t="s">
        <v>3</v>
      </c>
      <c r="I503" s="49"/>
      <c r="J503" s="60"/>
      <c r="K503" s="61"/>
      <c r="L503" s="86">
        <f>SUM(I503:K503)</f>
        <v>0</v>
      </c>
      <c r="M503" s="17"/>
    </row>
    <row r="504" spans="1:13" x14ac:dyDescent="0.15">
      <c r="A504" s="8" t="s">
        <v>3</v>
      </c>
      <c r="B504" s="36"/>
      <c r="C504" s="60"/>
      <c r="D504" s="61"/>
      <c r="E504" s="10">
        <f t="shared" ref="E504:E506" si="73">SUM(B504:D504)</f>
        <v>0</v>
      </c>
      <c r="F504" s="17"/>
      <c r="H504" s="8" t="s">
        <v>3</v>
      </c>
      <c r="I504" s="49"/>
      <c r="J504" s="60"/>
      <c r="K504" s="61"/>
      <c r="L504" s="86">
        <f t="shared" ref="L504:L506" si="74">SUM(I504:K504)</f>
        <v>0</v>
      </c>
      <c r="M504" s="17"/>
    </row>
    <row r="505" spans="1:13" x14ac:dyDescent="0.15">
      <c r="A505" s="8" t="s">
        <v>3</v>
      </c>
      <c r="B505" s="36"/>
      <c r="C505" s="60"/>
      <c r="D505" s="61"/>
      <c r="E505" s="10">
        <f t="shared" si="73"/>
        <v>0</v>
      </c>
      <c r="F505" s="17"/>
      <c r="H505" s="8" t="s">
        <v>3</v>
      </c>
      <c r="I505" s="49"/>
      <c r="J505" s="58"/>
      <c r="K505" s="59"/>
      <c r="L505" s="86">
        <f t="shared" si="74"/>
        <v>0</v>
      </c>
      <c r="M505" s="13"/>
    </row>
    <row r="506" spans="1:13" ht="14.25" thickBot="1" x14ac:dyDescent="0.2">
      <c r="A506" s="37" t="s">
        <v>3</v>
      </c>
      <c r="B506" s="38"/>
      <c r="C506" s="58"/>
      <c r="D506" s="62"/>
      <c r="E506" s="10">
        <f t="shared" si="73"/>
        <v>0</v>
      </c>
      <c r="F506" s="19"/>
      <c r="H506" s="37" t="s">
        <v>3</v>
      </c>
      <c r="I506" s="111"/>
      <c r="J506" s="58"/>
      <c r="K506" s="62"/>
      <c r="L506" s="86">
        <f t="shared" si="74"/>
        <v>0</v>
      </c>
      <c r="M506" s="19"/>
    </row>
    <row r="507" spans="1:13" ht="14.25" thickBot="1" x14ac:dyDescent="0.2">
      <c r="A507" s="2" t="s">
        <v>4</v>
      </c>
      <c r="B507" s="20">
        <f>SUM(B495:B506)</f>
        <v>30</v>
      </c>
      <c r="C507" s="44">
        <f>SUM(C495:C506)</f>
        <v>27</v>
      </c>
      <c r="D507" s="21">
        <f>SUM(D495:D506)</f>
        <v>14</v>
      </c>
      <c r="E507" s="22">
        <f>SUM(B507:D507)</f>
        <v>71</v>
      </c>
      <c r="F507" s="23"/>
      <c r="H507" s="2" t="s">
        <v>4</v>
      </c>
      <c r="I507" s="88">
        <f>SUM(I495:I506)</f>
        <v>3</v>
      </c>
      <c r="J507" s="77">
        <f>SUM(J495:J506)</f>
        <v>4</v>
      </c>
      <c r="K507" s="89">
        <f>SUM(K495:K506)</f>
        <v>3</v>
      </c>
      <c r="L507" s="87">
        <f>SUM(I507:K507)</f>
        <v>10</v>
      </c>
      <c r="M507" s="23"/>
    </row>
    <row r="508" spans="1:13" x14ac:dyDescent="0.15">
      <c r="A508" s="24" t="s">
        <v>11</v>
      </c>
      <c r="B508" s="50"/>
      <c r="C508" s="39"/>
      <c r="D508" s="16">
        <v>1</v>
      </c>
      <c r="E508" s="10">
        <f t="shared" ref="E508:E531" si="75">SUM(B508:D508)</f>
        <v>1</v>
      </c>
      <c r="F508" s="25">
        <v>45761</v>
      </c>
      <c r="H508" s="24" t="s">
        <v>11</v>
      </c>
      <c r="I508" s="50"/>
      <c r="J508" s="51">
        <v>1</v>
      </c>
      <c r="K508" s="52"/>
      <c r="L508" s="86">
        <f t="shared" ref="L508:L517" si="76">SUM(I508:K508)</f>
        <v>1</v>
      </c>
      <c r="M508" s="11">
        <v>45758</v>
      </c>
    </row>
    <row r="509" spans="1:13" x14ac:dyDescent="0.15">
      <c r="A509" s="24" t="s">
        <v>11</v>
      </c>
      <c r="B509" s="50">
        <v>1</v>
      </c>
      <c r="C509" s="39">
        <v>1</v>
      </c>
      <c r="D509" s="16"/>
      <c r="E509" s="10">
        <f t="shared" si="75"/>
        <v>2</v>
      </c>
      <c r="F509" s="25">
        <v>45762</v>
      </c>
      <c r="H509" s="24" t="s">
        <v>11</v>
      </c>
      <c r="I509" s="50"/>
      <c r="J509" s="51">
        <v>1</v>
      </c>
      <c r="K509" s="52"/>
      <c r="L509" s="86">
        <f t="shared" si="76"/>
        <v>1</v>
      </c>
      <c r="M509" s="11">
        <v>45765</v>
      </c>
    </row>
    <row r="510" spans="1:13" x14ac:dyDescent="0.15">
      <c r="A510" s="24" t="s">
        <v>11</v>
      </c>
      <c r="B510" s="50">
        <v>1</v>
      </c>
      <c r="C510" s="39"/>
      <c r="D510" s="16"/>
      <c r="E510" s="10">
        <f t="shared" si="75"/>
        <v>1</v>
      </c>
      <c r="F510" s="25">
        <v>45763</v>
      </c>
      <c r="H510" s="24" t="s">
        <v>11</v>
      </c>
      <c r="I510" s="50">
        <v>1</v>
      </c>
      <c r="J510" s="51"/>
      <c r="K510" s="52"/>
      <c r="L510" s="86">
        <f t="shared" si="76"/>
        <v>1</v>
      </c>
      <c r="M510" s="11">
        <v>45789</v>
      </c>
    </row>
    <row r="511" spans="1:13" x14ac:dyDescent="0.15">
      <c r="A511" s="24" t="s">
        <v>11</v>
      </c>
      <c r="B511" s="50"/>
      <c r="C511" s="39">
        <v>1</v>
      </c>
      <c r="D511" s="16"/>
      <c r="E511" s="10">
        <f t="shared" si="75"/>
        <v>1</v>
      </c>
      <c r="F511" s="25">
        <v>45765</v>
      </c>
      <c r="H511" s="24"/>
      <c r="I511" s="50"/>
      <c r="J511" s="51"/>
      <c r="K511" s="52"/>
      <c r="L511" s="86">
        <f t="shared" si="76"/>
        <v>0</v>
      </c>
      <c r="M511" s="11"/>
    </row>
    <row r="512" spans="1:13" x14ac:dyDescent="0.15">
      <c r="A512" s="24" t="s">
        <v>11</v>
      </c>
      <c r="B512" s="50"/>
      <c r="C512" s="39">
        <v>1</v>
      </c>
      <c r="D512" s="16"/>
      <c r="E512" s="10">
        <f t="shared" si="75"/>
        <v>1</v>
      </c>
      <c r="F512" s="25">
        <v>45770</v>
      </c>
      <c r="H512" s="24"/>
      <c r="I512" s="42"/>
      <c r="J512" s="35"/>
      <c r="K512" s="9"/>
      <c r="L512" s="86">
        <f t="shared" si="76"/>
        <v>0</v>
      </c>
      <c r="M512" s="11"/>
    </row>
    <row r="513" spans="1:13" x14ac:dyDescent="0.15">
      <c r="A513" s="24" t="s">
        <v>11</v>
      </c>
      <c r="B513" s="50"/>
      <c r="C513" s="39"/>
      <c r="D513" s="16">
        <v>2</v>
      </c>
      <c r="E513" s="10">
        <f t="shared" si="75"/>
        <v>2</v>
      </c>
      <c r="F513" s="25">
        <v>45777</v>
      </c>
      <c r="H513" s="24"/>
      <c r="I513" s="42"/>
      <c r="J513" s="35"/>
      <c r="K513" s="9"/>
      <c r="L513" s="86">
        <f t="shared" si="76"/>
        <v>0</v>
      </c>
      <c r="M513" s="11"/>
    </row>
    <row r="514" spans="1:13" x14ac:dyDescent="0.15">
      <c r="A514" s="24" t="s">
        <v>11</v>
      </c>
      <c r="B514" s="50">
        <f>2+2</f>
        <v>4</v>
      </c>
      <c r="C514" s="39">
        <v>1</v>
      </c>
      <c r="D514" s="16">
        <v>1</v>
      </c>
      <c r="E514" s="10">
        <f t="shared" si="75"/>
        <v>6</v>
      </c>
      <c r="F514" s="25">
        <v>45784</v>
      </c>
      <c r="H514" s="24"/>
      <c r="I514" s="42"/>
      <c r="J514" s="35"/>
      <c r="K514" s="9"/>
      <c r="L514" s="86">
        <f t="shared" si="76"/>
        <v>0</v>
      </c>
      <c r="M514" s="11"/>
    </row>
    <row r="515" spans="1:13" x14ac:dyDescent="0.15">
      <c r="A515" s="24" t="s">
        <v>11</v>
      </c>
      <c r="B515" s="50">
        <v>2</v>
      </c>
      <c r="C515" s="39"/>
      <c r="D515" s="16"/>
      <c r="E515" s="10">
        <f t="shared" si="75"/>
        <v>2</v>
      </c>
      <c r="F515" s="25">
        <v>45785</v>
      </c>
      <c r="H515" s="24"/>
      <c r="I515" s="42"/>
      <c r="J515" s="39"/>
      <c r="K515" s="16"/>
      <c r="L515" s="86">
        <f t="shared" si="76"/>
        <v>0</v>
      </c>
      <c r="M515" s="25"/>
    </row>
    <row r="516" spans="1:13" x14ac:dyDescent="0.15">
      <c r="A516" s="24" t="s">
        <v>11</v>
      </c>
      <c r="B516" s="50"/>
      <c r="C516" s="39">
        <v>1</v>
      </c>
      <c r="D516" s="16"/>
      <c r="E516" s="10">
        <f t="shared" si="75"/>
        <v>1</v>
      </c>
      <c r="F516" s="25">
        <v>45789</v>
      </c>
      <c r="H516" s="24"/>
      <c r="I516" s="42"/>
      <c r="J516" s="39"/>
      <c r="K516" s="16"/>
      <c r="L516" s="86">
        <f t="shared" si="76"/>
        <v>0</v>
      </c>
      <c r="M516" s="25"/>
    </row>
    <row r="517" spans="1:13" x14ac:dyDescent="0.15">
      <c r="A517" s="24" t="s">
        <v>19</v>
      </c>
      <c r="B517" s="50">
        <v>2</v>
      </c>
      <c r="C517" s="39">
        <v>2</v>
      </c>
      <c r="D517" s="16"/>
      <c r="E517" s="10">
        <f t="shared" si="75"/>
        <v>4</v>
      </c>
      <c r="F517" s="25">
        <v>45796</v>
      </c>
      <c r="H517" s="24"/>
      <c r="I517" s="42"/>
      <c r="J517" s="35"/>
      <c r="K517" s="9"/>
      <c r="L517" s="86">
        <f t="shared" si="76"/>
        <v>0</v>
      </c>
      <c r="M517" s="11"/>
    </row>
    <row r="518" spans="1:13" x14ac:dyDescent="0.15">
      <c r="A518" s="24" t="s">
        <v>19</v>
      </c>
      <c r="B518" s="50"/>
      <c r="C518" s="39"/>
      <c r="D518" s="16">
        <v>1</v>
      </c>
      <c r="E518" s="10">
        <f t="shared" si="75"/>
        <v>1</v>
      </c>
      <c r="F518" s="25">
        <v>45799</v>
      </c>
      <c r="H518" s="24"/>
      <c r="I518" s="42"/>
      <c r="J518" s="35"/>
      <c r="K518" s="9"/>
      <c r="L518" s="86">
        <f>SUM(I518:K518)</f>
        <v>0</v>
      </c>
      <c r="M518" s="11"/>
    </row>
    <row r="519" spans="1:13" x14ac:dyDescent="0.15">
      <c r="A519" s="24" t="s">
        <v>19</v>
      </c>
      <c r="B519" s="50">
        <v>1</v>
      </c>
      <c r="C519" s="39"/>
      <c r="D519" s="16">
        <v>1</v>
      </c>
      <c r="E519" s="10">
        <f t="shared" si="75"/>
        <v>2</v>
      </c>
      <c r="F519" s="25">
        <v>45803</v>
      </c>
      <c r="H519" s="24"/>
      <c r="I519" s="42"/>
      <c r="J519" s="35"/>
      <c r="K519" s="9"/>
      <c r="L519" s="86">
        <f t="shared" ref="L519:L531" si="77">SUM(I519:K519)</f>
        <v>0</v>
      </c>
      <c r="M519" s="11"/>
    </row>
    <row r="520" spans="1:13" x14ac:dyDescent="0.15">
      <c r="A520" s="24" t="s">
        <v>19</v>
      </c>
      <c r="B520" s="50">
        <v>1</v>
      </c>
      <c r="C520" s="39">
        <v>1</v>
      </c>
      <c r="D520" s="16"/>
      <c r="E520" s="10">
        <f t="shared" si="75"/>
        <v>2</v>
      </c>
      <c r="F520" s="25">
        <v>45807</v>
      </c>
      <c r="H520" s="24"/>
      <c r="I520" s="42"/>
      <c r="J520" s="35"/>
      <c r="K520" s="9"/>
      <c r="L520" s="86">
        <f t="shared" si="77"/>
        <v>0</v>
      </c>
      <c r="M520" s="11"/>
    </row>
    <row r="521" spans="1:13" x14ac:dyDescent="0.15">
      <c r="A521" s="24" t="s">
        <v>19</v>
      </c>
      <c r="B521" s="50">
        <v>2</v>
      </c>
      <c r="C521" s="39">
        <v>1</v>
      </c>
      <c r="D521" s="16"/>
      <c r="E521" s="10">
        <f t="shared" si="75"/>
        <v>3</v>
      </c>
      <c r="F521" s="25">
        <v>45810</v>
      </c>
      <c r="H521" s="24"/>
      <c r="I521" s="42"/>
      <c r="J521" s="35"/>
      <c r="K521" s="9"/>
      <c r="L521" s="86">
        <f t="shared" si="77"/>
        <v>0</v>
      </c>
      <c r="M521" s="11"/>
    </row>
    <row r="522" spans="1:13" x14ac:dyDescent="0.15">
      <c r="A522" s="24" t="s">
        <v>19</v>
      </c>
      <c r="B522" s="50"/>
      <c r="C522" s="39"/>
      <c r="D522" s="16">
        <v>1</v>
      </c>
      <c r="E522" s="10">
        <f t="shared" si="75"/>
        <v>1</v>
      </c>
      <c r="F522" s="25">
        <v>45817</v>
      </c>
      <c r="H522" s="24"/>
      <c r="I522" s="43"/>
      <c r="J522" s="39"/>
      <c r="K522" s="16"/>
      <c r="L522" s="86">
        <f t="shared" si="77"/>
        <v>0</v>
      </c>
      <c r="M522" s="25"/>
    </row>
    <row r="523" spans="1:13" x14ac:dyDescent="0.15">
      <c r="A523" s="24" t="s">
        <v>19</v>
      </c>
      <c r="B523" s="50"/>
      <c r="C523" s="39">
        <v>1</v>
      </c>
      <c r="D523" s="16"/>
      <c r="E523" s="10">
        <f t="shared" si="75"/>
        <v>1</v>
      </c>
      <c r="F523" s="25">
        <v>45818</v>
      </c>
      <c r="H523" s="24"/>
      <c r="I523" s="42"/>
      <c r="J523" s="35"/>
      <c r="K523" s="9"/>
      <c r="L523" s="86">
        <f t="shared" si="77"/>
        <v>0</v>
      </c>
      <c r="M523" s="11"/>
    </row>
    <row r="524" spans="1:13" x14ac:dyDescent="0.15">
      <c r="A524" s="24" t="s">
        <v>19</v>
      </c>
      <c r="B524" s="50">
        <v>2</v>
      </c>
      <c r="C524" s="39"/>
      <c r="D524" s="16"/>
      <c r="E524" s="10">
        <f t="shared" si="75"/>
        <v>2</v>
      </c>
      <c r="F524" s="25">
        <v>45819</v>
      </c>
      <c r="H524" s="24"/>
      <c r="I524" s="42"/>
      <c r="J524" s="35"/>
      <c r="K524" s="9"/>
      <c r="L524" s="86">
        <f t="shared" si="77"/>
        <v>0</v>
      </c>
      <c r="M524" s="11"/>
    </row>
    <row r="525" spans="1:13" x14ac:dyDescent="0.15">
      <c r="A525" s="24" t="s">
        <v>19</v>
      </c>
      <c r="B525" s="50">
        <v>1</v>
      </c>
      <c r="C525" s="39"/>
      <c r="D525" s="16"/>
      <c r="E525" s="10">
        <f t="shared" si="75"/>
        <v>1</v>
      </c>
      <c r="F525" s="25">
        <v>45828</v>
      </c>
      <c r="H525" s="24"/>
      <c r="I525" s="42"/>
      <c r="J525" s="35"/>
      <c r="K525" s="9"/>
      <c r="L525" s="86">
        <f t="shared" si="77"/>
        <v>0</v>
      </c>
      <c r="M525" s="11"/>
    </row>
    <row r="526" spans="1:13" x14ac:dyDescent="0.15">
      <c r="A526" s="24" t="s">
        <v>19</v>
      </c>
      <c r="B526" s="50"/>
      <c r="C526" s="39"/>
      <c r="D526" s="16">
        <v>1</v>
      </c>
      <c r="E526" s="10">
        <f t="shared" si="75"/>
        <v>1</v>
      </c>
      <c r="F526" s="25">
        <v>45831</v>
      </c>
      <c r="H526" s="24"/>
      <c r="I526" s="42"/>
      <c r="J526" s="35"/>
      <c r="K526" s="9"/>
      <c r="L526" s="86">
        <f t="shared" si="77"/>
        <v>0</v>
      </c>
      <c r="M526" s="11"/>
    </row>
    <row r="527" spans="1:13" x14ac:dyDescent="0.15">
      <c r="A527" s="24" t="s">
        <v>19</v>
      </c>
      <c r="B527" s="50">
        <v>1</v>
      </c>
      <c r="C527" s="39"/>
      <c r="D527" s="16">
        <v>2</v>
      </c>
      <c r="E527" s="10">
        <f t="shared" si="75"/>
        <v>3</v>
      </c>
      <c r="F527" s="25">
        <v>45832</v>
      </c>
      <c r="H527" s="24"/>
      <c r="I527" s="42"/>
      <c r="J527" s="35"/>
      <c r="K527" s="9"/>
      <c r="L527" s="86">
        <f t="shared" si="77"/>
        <v>0</v>
      </c>
      <c r="M527" s="11"/>
    </row>
    <row r="528" spans="1:13" x14ac:dyDescent="0.15">
      <c r="A528" s="24" t="s">
        <v>19</v>
      </c>
      <c r="B528" s="50">
        <v>1</v>
      </c>
      <c r="C528" s="39"/>
      <c r="D528" s="16"/>
      <c r="E528" s="10">
        <f t="shared" si="75"/>
        <v>1</v>
      </c>
      <c r="F528" s="25">
        <v>45852</v>
      </c>
      <c r="H528" s="24"/>
      <c r="I528" s="43"/>
      <c r="J528" s="35"/>
      <c r="K528" s="9"/>
      <c r="L528" s="86">
        <f t="shared" si="77"/>
        <v>0</v>
      </c>
      <c r="M528" s="11"/>
    </row>
    <row r="529" spans="1:13" x14ac:dyDescent="0.15">
      <c r="A529" s="24" t="s">
        <v>19</v>
      </c>
      <c r="B529" s="50"/>
      <c r="C529" s="39"/>
      <c r="D529" s="16">
        <v>1</v>
      </c>
      <c r="E529" s="10">
        <f t="shared" si="75"/>
        <v>1</v>
      </c>
      <c r="F529" s="25">
        <v>45853</v>
      </c>
      <c r="H529" s="24"/>
      <c r="I529" s="42"/>
      <c r="J529" s="35"/>
      <c r="K529" s="9"/>
      <c r="L529" s="86">
        <f t="shared" si="77"/>
        <v>0</v>
      </c>
      <c r="M529" s="11"/>
    </row>
    <row r="530" spans="1:13" x14ac:dyDescent="0.15">
      <c r="A530" s="24" t="s">
        <v>19</v>
      </c>
      <c r="B530" s="50">
        <v>1</v>
      </c>
      <c r="C530" s="39">
        <v>3</v>
      </c>
      <c r="D530" s="16"/>
      <c r="E530" s="10">
        <f t="shared" si="75"/>
        <v>4</v>
      </c>
      <c r="F530" s="25">
        <v>45860</v>
      </c>
      <c r="H530" s="24"/>
      <c r="I530" s="42"/>
      <c r="J530" s="35"/>
      <c r="K530" s="9"/>
      <c r="L530" s="86">
        <f t="shared" si="77"/>
        <v>0</v>
      </c>
      <c r="M530" s="11"/>
    </row>
    <row r="531" spans="1:13" ht="14.25" thickBot="1" x14ac:dyDescent="0.2">
      <c r="A531" s="24" t="s">
        <v>19</v>
      </c>
      <c r="B531" s="75"/>
      <c r="C531" s="14">
        <v>1</v>
      </c>
      <c r="D531" s="18"/>
      <c r="E531" s="10">
        <f t="shared" si="75"/>
        <v>1</v>
      </c>
      <c r="F531" s="19">
        <v>45861</v>
      </c>
      <c r="H531" s="24"/>
      <c r="I531" s="53"/>
      <c r="J531" s="14"/>
      <c r="K531" s="18"/>
      <c r="L531" s="86">
        <f t="shared" si="77"/>
        <v>0</v>
      </c>
      <c r="M531" s="19"/>
    </row>
    <row r="532" spans="1:13" ht="14.25" thickBot="1" x14ac:dyDescent="0.2">
      <c r="A532" s="6" t="s">
        <v>5</v>
      </c>
      <c r="B532" s="44">
        <f>SUM(B508:B531)</f>
        <v>20</v>
      </c>
      <c r="C532" s="40">
        <f>SUM(C508:C531)</f>
        <v>14</v>
      </c>
      <c r="D532" s="28">
        <f>SUM(D508:D531)</f>
        <v>11</v>
      </c>
      <c r="E532" s="29">
        <f>SUM(B532:D532)</f>
        <v>45</v>
      </c>
      <c r="F532" s="30"/>
      <c r="H532" s="6" t="s">
        <v>5</v>
      </c>
      <c r="I532" s="77">
        <f>SUM(I508:I531)</f>
        <v>1</v>
      </c>
      <c r="J532" s="78">
        <f>SUM(J508:J531)</f>
        <v>2</v>
      </c>
      <c r="K532" s="79">
        <f>SUM(K508:K531)</f>
        <v>0</v>
      </c>
      <c r="L532" s="80">
        <f>SUM(I532:K532)</f>
        <v>3</v>
      </c>
      <c r="M532" s="30"/>
    </row>
    <row r="533" spans="1:13" ht="14.25" thickBot="1" x14ac:dyDescent="0.2">
      <c r="A533" s="31" t="s">
        <v>6</v>
      </c>
      <c r="B533" s="45">
        <f>B507-B532</f>
        <v>10</v>
      </c>
      <c r="C533" s="41">
        <f>C507-C532</f>
        <v>13</v>
      </c>
      <c r="D533" s="32">
        <f>D507-D532</f>
        <v>3</v>
      </c>
      <c r="E533" s="33">
        <f>SUM(B533:D533)</f>
        <v>26</v>
      </c>
      <c r="F533" s="34"/>
      <c r="H533" s="31" t="s">
        <v>6</v>
      </c>
      <c r="I533" s="81">
        <f>I507-I532</f>
        <v>2</v>
      </c>
      <c r="J533" s="82">
        <f>J507-J532</f>
        <v>2</v>
      </c>
      <c r="K533" s="83">
        <f>K507-K532</f>
        <v>3</v>
      </c>
      <c r="L533" s="84">
        <f>SUM(I533:K533)</f>
        <v>7</v>
      </c>
      <c r="M533" s="34"/>
    </row>
    <row r="534" spans="1:13" ht="19.5" thickBot="1" x14ac:dyDescent="0.25">
      <c r="A534" s="1" t="s">
        <v>10</v>
      </c>
      <c r="B534" s="1"/>
      <c r="F534" s="74">
        <v>1791</v>
      </c>
      <c r="H534" s="1" t="s">
        <v>18</v>
      </c>
      <c r="I534" s="1"/>
    </row>
    <row r="535" spans="1:13" ht="14.25" thickBot="1" x14ac:dyDescent="0.2">
      <c r="A535" s="2"/>
      <c r="B535" s="3" t="s">
        <v>7</v>
      </c>
      <c r="C535" s="73" t="s">
        <v>8</v>
      </c>
      <c r="D535" s="4" t="s">
        <v>9</v>
      </c>
      <c r="E535" s="5" t="s">
        <v>0</v>
      </c>
      <c r="F535" s="6" t="s">
        <v>1</v>
      </c>
      <c r="H535" s="2"/>
      <c r="I535" s="6" t="s">
        <v>7</v>
      </c>
      <c r="J535" s="3" t="s">
        <v>8</v>
      </c>
      <c r="K535" s="4" t="s">
        <v>9</v>
      </c>
      <c r="L535" s="5" t="s">
        <v>0</v>
      </c>
      <c r="M535" s="6" t="s">
        <v>1</v>
      </c>
    </row>
    <row r="536" spans="1:13" ht="14.25" thickBot="1" x14ac:dyDescent="0.2">
      <c r="A536" s="90" t="s">
        <v>6</v>
      </c>
      <c r="B536" s="91">
        <f>B533</f>
        <v>10</v>
      </c>
      <c r="C536" s="91">
        <f>C533</f>
        <v>13</v>
      </c>
      <c r="D536" s="91">
        <f>D533</f>
        <v>3</v>
      </c>
      <c r="E536" s="92">
        <f>SUM(B536:D536)</f>
        <v>26</v>
      </c>
      <c r="F536" s="93"/>
      <c r="H536" s="6" t="s">
        <v>6</v>
      </c>
      <c r="I536" s="94">
        <f>I533</f>
        <v>2</v>
      </c>
      <c r="J536" s="95">
        <f>J533</f>
        <v>2</v>
      </c>
      <c r="K536" s="96">
        <f>K533</f>
        <v>3</v>
      </c>
      <c r="L536" s="87">
        <f>SUM(I536:K536)</f>
        <v>7</v>
      </c>
      <c r="M536" s="97"/>
    </row>
    <row r="537" spans="1:13" x14ac:dyDescent="0.15">
      <c r="A537" s="8" t="s">
        <v>3</v>
      </c>
      <c r="B537" s="49">
        <v>5</v>
      </c>
      <c r="C537" s="58">
        <v>5</v>
      </c>
      <c r="D537" s="59">
        <v>5</v>
      </c>
      <c r="E537" s="10">
        <f t="shared" ref="E537:E538" si="78">SUM(B537:D537)</f>
        <v>15</v>
      </c>
      <c r="F537" s="13">
        <v>45874</v>
      </c>
      <c r="H537" s="8" t="s">
        <v>3</v>
      </c>
      <c r="I537" s="49">
        <v>2</v>
      </c>
      <c r="J537" s="58">
        <v>1</v>
      </c>
      <c r="K537" s="59">
        <v>1</v>
      </c>
      <c r="L537" s="86">
        <f t="shared" ref="L537:L543" si="79">SUM(I537:K537)</f>
        <v>4</v>
      </c>
      <c r="M537" s="13">
        <v>45919</v>
      </c>
    </row>
    <row r="538" spans="1:13" x14ac:dyDescent="0.15">
      <c r="A538" s="8" t="s">
        <v>3</v>
      </c>
      <c r="B538" s="49">
        <v>3</v>
      </c>
      <c r="C538" s="58">
        <v>5</v>
      </c>
      <c r="D538" s="59">
        <v>3</v>
      </c>
      <c r="E538" s="10">
        <f t="shared" si="78"/>
        <v>11</v>
      </c>
      <c r="F538" s="13">
        <v>45919</v>
      </c>
      <c r="H538" s="8" t="s">
        <v>3</v>
      </c>
      <c r="I538" s="49">
        <v>1</v>
      </c>
      <c r="J538" s="58">
        <v>1</v>
      </c>
      <c r="K538" s="59"/>
      <c r="L538" s="86">
        <f t="shared" si="79"/>
        <v>2</v>
      </c>
      <c r="M538" s="13">
        <v>45944</v>
      </c>
    </row>
    <row r="539" spans="1:13" x14ac:dyDescent="0.15">
      <c r="A539" s="8" t="s">
        <v>3</v>
      </c>
      <c r="B539" s="49">
        <v>10</v>
      </c>
      <c r="C539" s="58">
        <v>5</v>
      </c>
      <c r="D539" s="59">
        <v>8</v>
      </c>
      <c r="E539" s="10">
        <f t="shared" ref="E539:E543" si="80">SUM(B539:D539)</f>
        <v>23</v>
      </c>
      <c r="F539" s="13">
        <v>45945</v>
      </c>
      <c r="H539" s="8" t="s">
        <v>3</v>
      </c>
      <c r="I539" s="49"/>
      <c r="J539" s="58"/>
      <c r="K539" s="59"/>
      <c r="L539" s="86">
        <f t="shared" si="79"/>
        <v>0</v>
      </c>
      <c r="M539" s="13"/>
    </row>
    <row r="540" spans="1:13" x14ac:dyDescent="0.15">
      <c r="A540" s="8" t="s">
        <v>3</v>
      </c>
      <c r="B540" s="49"/>
      <c r="C540" s="58">
        <v>5</v>
      </c>
      <c r="D540" s="59"/>
      <c r="E540" s="10">
        <f t="shared" si="80"/>
        <v>5</v>
      </c>
      <c r="F540" s="13">
        <v>45950</v>
      </c>
      <c r="H540" s="8" t="s">
        <v>3</v>
      </c>
      <c r="I540" s="49"/>
      <c r="J540" s="58"/>
      <c r="K540" s="59"/>
      <c r="L540" s="86">
        <f t="shared" si="79"/>
        <v>0</v>
      </c>
      <c r="M540" s="13"/>
    </row>
    <row r="541" spans="1:13" x14ac:dyDescent="0.15">
      <c r="A541" s="8" t="s">
        <v>3</v>
      </c>
      <c r="B541" s="49"/>
      <c r="C541" s="58"/>
      <c r="D541" s="59"/>
      <c r="E541" s="10">
        <f t="shared" si="80"/>
        <v>0</v>
      </c>
      <c r="F541" s="13"/>
      <c r="H541" s="8" t="s">
        <v>3</v>
      </c>
      <c r="I541" s="49"/>
      <c r="J541" s="58"/>
      <c r="K541" s="59"/>
      <c r="L541" s="86">
        <f t="shared" si="79"/>
        <v>0</v>
      </c>
      <c r="M541" s="13"/>
    </row>
    <row r="542" spans="1:13" x14ac:dyDescent="0.15">
      <c r="A542" s="8" t="s">
        <v>3</v>
      </c>
      <c r="B542" s="49"/>
      <c r="C542" s="58"/>
      <c r="D542" s="59"/>
      <c r="E542" s="10">
        <f t="shared" si="80"/>
        <v>0</v>
      </c>
      <c r="F542" s="13"/>
      <c r="H542" s="8" t="s">
        <v>3</v>
      </c>
      <c r="I542" s="49"/>
      <c r="J542" s="58"/>
      <c r="K542" s="59"/>
      <c r="L542" s="86">
        <f t="shared" si="79"/>
        <v>0</v>
      </c>
      <c r="M542" s="13"/>
    </row>
    <row r="543" spans="1:13" x14ac:dyDescent="0.15">
      <c r="A543" s="8" t="s">
        <v>3</v>
      </c>
      <c r="B543" s="49"/>
      <c r="C543" s="58"/>
      <c r="D543" s="59"/>
      <c r="E543" s="10">
        <f t="shared" si="80"/>
        <v>0</v>
      </c>
      <c r="F543" s="13"/>
      <c r="H543" s="8" t="s">
        <v>3</v>
      </c>
      <c r="I543" s="49"/>
      <c r="J543" s="60"/>
      <c r="K543" s="61"/>
      <c r="L543" s="86">
        <f t="shared" si="79"/>
        <v>0</v>
      </c>
      <c r="M543" s="17"/>
    </row>
    <row r="544" spans="1:13" x14ac:dyDescent="0.15">
      <c r="A544" s="8" t="s">
        <v>3</v>
      </c>
      <c r="B544" s="49"/>
      <c r="C544" s="58"/>
      <c r="D544" s="59"/>
      <c r="E544" s="10">
        <f>SUM(B544:D544)</f>
        <v>0</v>
      </c>
      <c r="F544" s="13"/>
      <c r="H544" s="8" t="s">
        <v>3</v>
      </c>
      <c r="I544" s="49"/>
      <c r="J544" s="60"/>
      <c r="K544" s="61"/>
      <c r="L544" s="86">
        <f>SUM(I544:K544)</f>
        <v>0</v>
      </c>
      <c r="M544" s="17"/>
    </row>
    <row r="545" spans="1:13" x14ac:dyDescent="0.15">
      <c r="A545" s="8" t="s">
        <v>3</v>
      </c>
      <c r="B545" s="36"/>
      <c r="C545" s="60"/>
      <c r="D545" s="61"/>
      <c r="E545" s="10">
        <f t="shared" ref="E545:E547" si="81">SUM(B545:D545)</f>
        <v>0</v>
      </c>
      <c r="F545" s="17"/>
      <c r="H545" s="8" t="s">
        <v>3</v>
      </c>
      <c r="I545" s="49"/>
      <c r="J545" s="60"/>
      <c r="K545" s="61"/>
      <c r="L545" s="86">
        <f t="shared" ref="L545:L547" si="82">SUM(I545:K545)</f>
        <v>0</v>
      </c>
      <c r="M545" s="17"/>
    </row>
    <row r="546" spans="1:13" x14ac:dyDescent="0.15">
      <c r="A546" s="8" t="s">
        <v>3</v>
      </c>
      <c r="B546" s="36"/>
      <c r="C546" s="60"/>
      <c r="D546" s="61"/>
      <c r="E546" s="10">
        <f t="shared" si="81"/>
        <v>0</v>
      </c>
      <c r="F546" s="17"/>
      <c r="H546" s="8" t="s">
        <v>3</v>
      </c>
      <c r="I546" s="49"/>
      <c r="J546" s="58"/>
      <c r="K546" s="59"/>
      <c r="L546" s="86">
        <f t="shared" si="82"/>
        <v>0</v>
      </c>
      <c r="M546" s="13"/>
    </row>
    <row r="547" spans="1:13" ht="14.25" thickBot="1" x14ac:dyDescent="0.2">
      <c r="A547" s="37" t="s">
        <v>3</v>
      </c>
      <c r="B547" s="38"/>
      <c r="C547" s="58"/>
      <c r="D547" s="62"/>
      <c r="E547" s="10">
        <f t="shared" si="81"/>
        <v>0</v>
      </c>
      <c r="F547" s="19"/>
      <c r="H547" s="37" t="s">
        <v>3</v>
      </c>
      <c r="I547" s="111"/>
      <c r="J547" s="58"/>
      <c r="K547" s="62"/>
      <c r="L547" s="86">
        <f t="shared" si="82"/>
        <v>0</v>
      </c>
      <c r="M547" s="19"/>
    </row>
    <row r="548" spans="1:13" ht="14.25" thickBot="1" x14ac:dyDescent="0.2">
      <c r="A548" s="2" t="s">
        <v>4</v>
      </c>
      <c r="B548" s="20">
        <f>SUM(B536:B547)</f>
        <v>28</v>
      </c>
      <c r="C548" s="44">
        <f>SUM(C536:C547)</f>
        <v>33</v>
      </c>
      <c r="D548" s="21">
        <f>SUM(D536:D547)</f>
        <v>19</v>
      </c>
      <c r="E548" s="22">
        <f>SUM(B548:D548)</f>
        <v>80</v>
      </c>
      <c r="F548" s="23"/>
      <c r="H548" s="2" t="s">
        <v>4</v>
      </c>
      <c r="I548" s="88">
        <f>SUM(I536:I547)</f>
        <v>5</v>
      </c>
      <c r="J548" s="77">
        <f>SUM(J536:J547)</f>
        <v>4</v>
      </c>
      <c r="K548" s="89">
        <f>SUM(K536:K547)</f>
        <v>4</v>
      </c>
      <c r="L548" s="87">
        <f>SUM(I548:K548)</f>
        <v>13</v>
      </c>
      <c r="M548" s="23"/>
    </row>
    <row r="549" spans="1:13" x14ac:dyDescent="0.15">
      <c r="A549" s="24" t="s">
        <v>19</v>
      </c>
      <c r="B549" s="50"/>
      <c r="C549" s="39"/>
      <c r="D549" s="16">
        <v>1</v>
      </c>
      <c r="E549" s="10">
        <f t="shared" ref="E549:E572" si="83">SUM(B549:D549)</f>
        <v>1</v>
      </c>
      <c r="F549" s="25">
        <v>45862</v>
      </c>
      <c r="H549" s="24" t="s">
        <v>19</v>
      </c>
      <c r="I549" s="50"/>
      <c r="J549" s="51"/>
      <c r="K549" s="52">
        <v>1</v>
      </c>
      <c r="L549" s="86">
        <f t="shared" ref="L549:L558" si="84">SUM(I549:K549)</f>
        <v>1</v>
      </c>
      <c r="M549" s="11">
        <v>45887</v>
      </c>
    </row>
    <row r="550" spans="1:13" x14ac:dyDescent="0.15">
      <c r="A550" s="24" t="s">
        <v>19</v>
      </c>
      <c r="B550" s="50"/>
      <c r="C550" s="39">
        <v>5</v>
      </c>
      <c r="D550" s="16"/>
      <c r="E550" s="10">
        <f t="shared" si="83"/>
        <v>5</v>
      </c>
      <c r="F550" s="25">
        <v>45863</v>
      </c>
      <c r="H550" s="24" t="s">
        <v>20</v>
      </c>
      <c r="I550" s="50">
        <v>0</v>
      </c>
      <c r="J550" s="51">
        <v>0</v>
      </c>
      <c r="K550" s="52">
        <v>0</v>
      </c>
      <c r="L550" s="86">
        <f t="shared" si="84"/>
        <v>0</v>
      </c>
      <c r="M550" s="11">
        <v>45895</v>
      </c>
    </row>
    <row r="551" spans="1:13" x14ac:dyDescent="0.15">
      <c r="A551" s="24" t="s">
        <v>19</v>
      </c>
      <c r="B551" s="50">
        <v>1</v>
      </c>
      <c r="C551" s="39"/>
      <c r="D551" s="16"/>
      <c r="E551" s="10">
        <f t="shared" si="83"/>
        <v>1</v>
      </c>
      <c r="F551" s="25">
        <v>45866</v>
      </c>
      <c r="H551" s="24" t="s">
        <v>11</v>
      </c>
      <c r="I551" s="50">
        <v>2</v>
      </c>
      <c r="J551" s="51"/>
      <c r="K551" s="52"/>
      <c r="L551" s="86">
        <f t="shared" si="84"/>
        <v>2</v>
      </c>
      <c r="M551" s="11">
        <v>45910</v>
      </c>
    </row>
    <row r="552" spans="1:13" x14ac:dyDescent="0.15">
      <c r="A552" s="24" t="s">
        <v>19</v>
      </c>
      <c r="B552" s="50"/>
      <c r="C552" s="39">
        <v>2</v>
      </c>
      <c r="D552" s="16">
        <f>1+1</f>
        <v>2</v>
      </c>
      <c r="E552" s="10">
        <f t="shared" si="83"/>
        <v>4</v>
      </c>
      <c r="F552" s="25">
        <v>45887</v>
      </c>
      <c r="H552" s="24" t="s">
        <v>19</v>
      </c>
      <c r="I552" s="50"/>
      <c r="J552" s="51">
        <v>1</v>
      </c>
      <c r="K552" s="52">
        <v>1</v>
      </c>
      <c r="L552" s="86">
        <f t="shared" si="84"/>
        <v>2</v>
      </c>
      <c r="M552" s="11">
        <v>45917</v>
      </c>
    </row>
    <row r="553" spans="1:13" x14ac:dyDescent="0.15">
      <c r="A553" s="24" t="s">
        <v>19</v>
      </c>
      <c r="B553" s="50">
        <v>1</v>
      </c>
      <c r="C553" s="39"/>
      <c r="D553" s="16"/>
      <c r="E553" s="10">
        <f t="shared" si="83"/>
        <v>1</v>
      </c>
      <c r="F553" s="25">
        <v>45889</v>
      </c>
      <c r="H553" s="24" t="s">
        <v>19</v>
      </c>
      <c r="I553" s="42">
        <v>1</v>
      </c>
      <c r="J553" s="35"/>
      <c r="K553" s="9"/>
      <c r="L553" s="86">
        <f t="shared" si="84"/>
        <v>1</v>
      </c>
      <c r="M553" s="11">
        <v>45922</v>
      </c>
    </row>
    <row r="554" spans="1:13" x14ac:dyDescent="0.15">
      <c r="A554" s="24" t="s">
        <v>15</v>
      </c>
      <c r="B554" s="50">
        <v>-1</v>
      </c>
      <c r="C554" s="39">
        <v>0</v>
      </c>
      <c r="D554" s="16">
        <v>0</v>
      </c>
      <c r="E554" s="10">
        <f t="shared" si="83"/>
        <v>-1</v>
      </c>
      <c r="F554" s="25">
        <v>45895</v>
      </c>
      <c r="H554" s="24" t="s">
        <v>19</v>
      </c>
      <c r="I554" s="42"/>
      <c r="J554" s="35">
        <v>1</v>
      </c>
      <c r="K554" s="9"/>
      <c r="L554" s="86">
        <f t="shared" si="84"/>
        <v>1</v>
      </c>
      <c r="M554" s="11">
        <v>45936</v>
      </c>
    </row>
    <row r="555" spans="1:13" x14ac:dyDescent="0.15">
      <c r="A555" s="24" t="s">
        <v>19</v>
      </c>
      <c r="B555" s="50">
        <v>1</v>
      </c>
      <c r="C555" s="39"/>
      <c r="D555" s="16">
        <v>1</v>
      </c>
      <c r="E555" s="10">
        <f t="shared" si="83"/>
        <v>2</v>
      </c>
      <c r="F555" s="25">
        <v>45896</v>
      </c>
      <c r="H555" s="24"/>
      <c r="I555" s="42"/>
      <c r="J555" s="35"/>
      <c r="K555" s="9"/>
      <c r="L555" s="86">
        <f t="shared" si="84"/>
        <v>0</v>
      </c>
      <c r="M555" s="11"/>
    </row>
    <row r="556" spans="1:13" x14ac:dyDescent="0.15">
      <c r="A556" s="24" t="s">
        <v>19</v>
      </c>
      <c r="B556" s="50">
        <v>1</v>
      </c>
      <c r="C556" s="39"/>
      <c r="D556" s="16"/>
      <c r="E556" s="10">
        <f t="shared" si="83"/>
        <v>1</v>
      </c>
      <c r="F556" s="25">
        <v>45898</v>
      </c>
      <c r="H556" s="24"/>
      <c r="I556" s="42"/>
      <c r="J556" s="39"/>
      <c r="K556" s="16"/>
      <c r="L556" s="86">
        <f t="shared" si="84"/>
        <v>0</v>
      </c>
      <c r="M556" s="25"/>
    </row>
    <row r="557" spans="1:13" x14ac:dyDescent="0.15">
      <c r="A557" s="24" t="s">
        <v>19</v>
      </c>
      <c r="B557" s="50"/>
      <c r="C557" s="39">
        <v>1</v>
      </c>
      <c r="D557" s="16"/>
      <c r="E557" s="10">
        <f t="shared" si="83"/>
        <v>1</v>
      </c>
      <c r="F557" s="25">
        <v>45908</v>
      </c>
      <c r="H557" s="24"/>
      <c r="I557" s="42"/>
      <c r="J557" s="39"/>
      <c r="K557" s="16"/>
      <c r="L557" s="86">
        <f t="shared" si="84"/>
        <v>0</v>
      </c>
      <c r="M557" s="25"/>
    </row>
    <row r="558" spans="1:13" x14ac:dyDescent="0.15">
      <c r="A558" s="24" t="s">
        <v>19</v>
      </c>
      <c r="B558" s="50">
        <v>2</v>
      </c>
      <c r="C558" s="39">
        <v>2</v>
      </c>
      <c r="D558" s="16"/>
      <c r="E558" s="10">
        <f t="shared" si="83"/>
        <v>4</v>
      </c>
      <c r="F558" s="25">
        <v>45910</v>
      </c>
      <c r="H558" s="24"/>
      <c r="I558" s="42"/>
      <c r="J558" s="35"/>
      <c r="K558" s="9"/>
      <c r="L558" s="86">
        <f t="shared" si="84"/>
        <v>0</v>
      </c>
      <c r="M558" s="11"/>
    </row>
    <row r="559" spans="1:13" x14ac:dyDescent="0.15">
      <c r="A559" s="24" t="s">
        <v>19</v>
      </c>
      <c r="B559" s="50">
        <v>1</v>
      </c>
      <c r="C559" s="39"/>
      <c r="D559" s="16">
        <v>1</v>
      </c>
      <c r="E559" s="10">
        <f t="shared" si="83"/>
        <v>2</v>
      </c>
      <c r="F559" s="25">
        <v>45916</v>
      </c>
      <c r="H559" s="24"/>
      <c r="I559" s="42"/>
      <c r="J559" s="35"/>
      <c r="K559" s="9"/>
      <c r="L559" s="86">
        <f>SUM(I559:K559)</f>
        <v>0</v>
      </c>
      <c r="M559" s="11"/>
    </row>
    <row r="560" spans="1:13" x14ac:dyDescent="0.15">
      <c r="A560" s="24" t="s">
        <v>19</v>
      </c>
      <c r="B560" s="50"/>
      <c r="C560" s="39">
        <v>2</v>
      </c>
      <c r="D560" s="16"/>
      <c r="E560" s="10">
        <f t="shared" si="83"/>
        <v>2</v>
      </c>
      <c r="F560" s="25">
        <v>45917</v>
      </c>
      <c r="H560" s="24"/>
      <c r="I560" s="42"/>
      <c r="J560" s="35"/>
      <c r="K560" s="9"/>
      <c r="L560" s="86">
        <f t="shared" ref="L560:L572" si="85">SUM(I560:K560)</f>
        <v>0</v>
      </c>
      <c r="M560" s="11"/>
    </row>
    <row r="561" spans="1:13" x14ac:dyDescent="0.15">
      <c r="A561" s="24" t="s">
        <v>19</v>
      </c>
      <c r="B561" s="50"/>
      <c r="C561" s="39">
        <v>2</v>
      </c>
      <c r="D561" s="16"/>
      <c r="E561" s="10">
        <f t="shared" si="83"/>
        <v>2</v>
      </c>
      <c r="F561" s="25">
        <v>45922</v>
      </c>
      <c r="H561" s="24"/>
      <c r="I561" s="42"/>
      <c r="J561" s="35"/>
      <c r="K561" s="9"/>
      <c r="L561" s="86">
        <f t="shared" si="85"/>
        <v>0</v>
      </c>
      <c r="M561" s="11"/>
    </row>
    <row r="562" spans="1:13" x14ac:dyDescent="0.15">
      <c r="A562" s="24" t="s">
        <v>19</v>
      </c>
      <c r="B562" s="50">
        <v>2</v>
      </c>
      <c r="C562" s="39">
        <v>1</v>
      </c>
      <c r="D562" s="16"/>
      <c r="E562" s="10">
        <f t="shared" si="83"/>
        <v>3</v>
      </c>
      <c r="F562" s="25">
        <v>45924</v>
      </c>
      <c r="H562" s="24"/>
      <c r="I562" s="42"/>
      <c r="J562" s="35"/>
      <c r="K562" s="9"/>
      <c r="L562" s="86">
        <f t="shared" si="85"/>
        <v>0</v>
      </c>
      <c r="M562" s="11"/>
    </row>
    <row r="563" spans="1:13" x14ac:dyDescent="0.15">
      <c r="A563" s="24" t="s">
        <v>19</v>
      </c>
      <c r="B563" s="50"/>
      <c r="C563" s="39"/>
      <c r="D563" s="16">
        <v>2</v>
      </c>
      <c r="E563" s="10">
        <f t="shared" si="83"/>
        <v>2</v>
      </c>
      <c r="F563" s="25">
        <v>45926</v>
      </c>
      <c r="H563" s="24"/>
      <c r="I563" s="43"/>
      <c r="J563" s="39"/>
      <c r="K563" s="16"/>
      <c r="L563" s="86">
        <f t="shared" si="85"/>
        <v>0</v>
      </c>
      <c r="M563" s="25"/>
    </row>
    <row r="564" spans="1:13" x14ac:dyDescent="0.15">
      <c r="A564" s="24" t="s">
        <v>19</v>
      </c>
      <c r="B564" s="50">
        <v>2</v>
      </c>
      <c r="C564" s="39"/>
      <c r="D564" s="16">
        <v>1</v>
      </c>
      <c r="E564" s="10">
        <f t="shared" si="83"/>
        <v>3</v>
      </c>
      <c r="F564" s="25">
        <v>45929</v>
      </c>
      <c r="H564" s="24"/>
      <c r="I564" s="42"/>
      <c r="J564" s="35"/>
      <c r="K564" s="9"/>
      <c r="L564" s="86">
        <f t="shared" si="85"/>
        <v>0</v>
      </c>
      <c r="M564" s="11"/>
    </row>
    <row r="565" spans="1:13" x14ac:dyDescent="0.15">
      <c r="A565" s="24" t="s">
        <v>11</v>
      </c>
      <c r="B565" s="50">
        <v>2</v>
      </c>
      <c r="C565" s="39"/>
      <c r="D565" s="16"/>
      <c r="E565" s="10">
        <f t="shared" si="83"/>
        <v>2</v>
      </c>
      <c r="F565" s="25">
        <v>45931</v>
      </c>
      <c r="H565" s="24"/>
      <c r="I565" s="42"/>
      <c r="J565" s="35"/>
      <c r="K565" s="9"/>
      <c r="L565" s="86">
        <f t="shared" si="85"/>
        <v>0</v>
      </c>
      <c r="M565" s="11"/>
    </row>
    <row r="566" spans="1:13" x14ac:dyDescent="0.15">
      <c r="A566" s="24" t="s">
        <v>14</v>
      </c>
      <c r="B566" s="50"/>
      <c r="C566" s="39"/>
      <c r="D566" s="16">
        <v>-1</v>
      </c>
      <c r="E566" s="10">
        <f t="shared" si="83"/>
        <v>-1</v>
      </c>
      <c r="F566" s="25">
        <v>45931</v>
      </c>
      <c r="H566" s="24"/>
      <c r="I566" s="42"/>
      <c r="J566" s="35"/>
      <c r="K566" s="9"/>
      <c r="L566" s="86">
        <f t="shared" si="85"/>
        <v>0</v>
      </c>
      <c r="M566" s="11"/>
    </row>
    <row r="567" spans="1:13" x14ac:dyDescent="0.15">
      <c r="A567" s="24" t="s">
        <v>11</v>
      </c>
      <c r="B567" s="50">
        <v>1</v>
      </c>
      <c r="C567" s="39"/>
      <c r="D567" s="16"/>
      <c r="E567" s="10">
        <f t="shared" si="83"/>
        <v>1</v>
      </c>
      <c r="F567" s="25">
        <v>45932</v>
      </c>
      <c r="H567" s="24"/>
      <c r="I567" s="42"/>
      <c r="J567" s="35"/>
      <c r="K567" s="9"/>
      <c r="L567" s="86">
        <f t="shared" si="85"/>
        <v>0</v>
      </c>
      <c r="M567" s="11"/>
    </row>
    <row r="568" spans="1:13" x14ac:dyDescent="0.15">
      <c r="A568" s="24" t="s">
        <v>11</v>
      </c>
      <c r="B568" s="50">
        <v>1</v>
      </c>
      <c r="C568" s="39">
        <v>1</v>
      </c>
      <c r="D568" s="16">
        <v>1</v>
      </c>
      <c r="E568" s="10">
        <f t="shared" si="83"/>
        <v>3</v>
      </c>
      <c r="F568" s="25">
        <v>45936</v>
      </c>
      <c r="H568" s="24"/>
      <c r="I568" s="42"/>
      <c r="J568" s="35"/>
      <c r="K568" s="9"/>
      <c r="L568" s="86">
        <f t="shared" si="85"/>
        <v>0</v>
      </c>
      <c r="M568" s="11"/>
    </row>
    <row r="569" spans="1:13" x14ac:dyDescent="0.15">
      <c r="A569" s="24" t="s">
        <v>11</v>
      </c>
      <c r="B569" s="50"/>
      <c r="C569" s="39"/>
      <c r="D569" s="16">
        <v>1</v>
      </c>
      <c r="E569" s="10">
        <f t="shared" si="83"/>
        <v>1</v>
      </c>
      <c r="F569" s="25">
        <v>45937</v>
      </c>
      <c r="H569" s="24"/>
      <c r="I569" s="43"/>
      <c r="J569" s="35"/>
      <c r="K569" s="9"/>
      <c r="L569" s="86">
        <f t="shared" si="85"/>
        <v>0</v>
      </c>
      <c r="M569" s="11"/>
    </row>
    <row r="570" spans="1:13" x14ac:dyDescent="0.15">
      <c r="A570" s="24" t="s">
        <v>11</v>
      </c>
      <c r="B570" s="50">
        <v>2</v>
      </c>
      <c r="C570" s="39">
        <v>1</v>
      </c>
      <c r="D570" s="16"/>
      <c r="E570" s="10">
        <f t="shared" si="83"/>
        <v>3</v>
      </c>
      <c r="F570" s="25">
        <v>45938</v>
      </c>
      <c r="H570" s="24"/>
      <c r="I570" s="42"/>
      <c r="J570" s="35"/>
      <c r="K570" s="9"/>
      <c r="L570" s="86">
        <f t="shared" si="85"/>
        <v>0</v>
      </c>
      <c r="M570" s="11"/>
    </row>
    <row r="571" spans="1:13" x14ac:dyDescent="0.15">
      <c r="A571" s="24" t="s">
        <v>11</v>
      </c>
      <c r="B571" s="50"/>
      <c r="C571" s="39"/>
      <c r="D571" s="16">
        <v>2</v>
      </c>
      <c r="E571" s="10">
        <f t="shared" si="83"/>
        <v>2</v>
      </c>
      <c r="F571" s="25">
        <v>45939</v>
      </c>
      <c r="H571" s="24"/>
      <c r="I571" s="42"/>
      <c r="J571" s="35"/>
      <c r="K571" s="9"/>
      <c r="L571" s="86">
        <f t="shared" si="85"/>
        <v>0</v>
      </c>
      <c r="M571" s="11"/>
    </row>
    <row r="572" spans="1:13" ht="14.25" thickBot="1" x14ac:dyDescent="0.2">
      <c r="A572" s="24" t="s">
        <v>11</v>
      </c>
      <c r="B572" s="75"/>
      <c r="C572" s="14">
        <v>1</v>
      </c>
      <c r="D572" s="18"/>
      <c r="E572" s="10">
        <f t="shared" si="83"/>
        <v>1</v>
      </c>
      <c r="F572" s="19">
        <v>45940</v>
      </c>
      <c r="H572" s="24"/>
      <c r="I572" s="53"/>
      <c r="J572" s="14"/>
      <c r="K572" s="18"/>
      <c r="L572" s="86">
        <f t="shared" si="85"/>
        <v>0</v>
      </c>
      <c r="M572" s="19"/>
    </row>
    <row r="573" spans="1:13" ht="14.25" thickBot="1" x14ac:dyDescent="0.2">
      <c r="A573" s="6" t="s">
        <v>5</v>
      </c>
      <c r="B573" s="44">
        <f>SUM(B549:B572)</f>
        <v>16</v>
      </c>
      <c r="C573" s="40">
        <f>SUM(C549:C572)</f>
        <v>18</v>
      </c>
      <c r="D573" s="28">
        <f>SUM(D549:D572)</f>
        <v>11</v>
      </c>
      <c r="E573" s="29">
        <f>SUM(B573:D573)</f>
        <v>45</v>
      </c>
      <c r="F573" s="30"/>
      <c r="H573" s="6" t="s">
        <v>5</v>
      </c>
      <c r="I573" s="77">
        <f>SUM(I549:I572)</f>
        <v>3</v>
      </c>
      <c r="J573" s="78">
        <f>SUM(J549:J572)</f>
        <v>2</v>
      </c>
      <c r="K573" s="79">
        <f>SUM(K549:K572)</f>
        <v>2</v>
      </c>
      <c r="L573" s="80">
        <f>SUM(I573:K573)</f>
        <v>7</v>
      </c>
      <c r="M573" s="30"/>
    </row>
    <row r="574" spans="1:13" ht="14.25" thickBot="1" x14ac:dyDescent="0.2">
      <c r="A574" s="31" t="s">
        <v>6</v>
      </c>
      <c r="B574" s="45">
        <f>B548-B573</f>
        <v>12</v>
      </c>
      <c r="C574" s="41">
        <f>C548-C573</f>
        <v>15</v>
      </c>
      <c r="D574" s="32">
        <f>D548-D573</f>
        <v>8</v>
      </c>
      <c r="E574" s="33">
        <f>SUM(B574:D574)</f>
        <v>35</v>
      </c>
      <c r="F574" s="34"/>
      <c r="H574" s="31" t="s">
        <v>6</v>
      </c>
      <c r="I574" s="81">
        <f>I548-I573</f>
        <v>2</v>
      </c>
      <c r="J574" s="82">
        <f>J548-J573</f>
        <v>2</v>
      </c>
      <c r="K574" s="83">
        <f>K548-K573</f>
        <v>2</v>
      </c>
      <c r="L574" s="84">
        <f>SUM(I574:K574)</f>
        <v>6</v>
      </c>
      <c r="M574" s="34"/>
    </row>
    <row r="575" spans="1:13" ht="19.5" thickBot="1" x14ac:dyDescent="0.25">
      <c r="A575" s="1" t="s">
        <v>10</v>
      </c>
      <c r="B575" s="1"/>
      <c r="F575" s="74">
        <v>1791</v>
      </c>
      <c r="H575" s="1" t="s">
        <v>18</v>
      </c>
      <c r="I575" s="1"/>
    </row>
    <row r="576" spans="1:13" ht="14.25" thickBot="1" x14ac:dyDescent="0.2">
      <c r="A576" s="2"/>
      <c r="B576" s="3" t="s">
        <v>7</v>
      </c>
      <c r="C576" s="73" t="s">
        <v>8</v>
      </c>
      <c r="D576" s="4" t="s">
        <v>9</v>
      </c>
      <c r="E576" s="5" t="s">
        <v>0</v>
      </c>
      <c r="F576" s="6" t="s">
        <v>1</v>
      </c>
      <c r="H576" s="2"/>
      <c r="I576" s="6" t="s">
        <v>7</v>
      </c>
      <c r="J576" s="3" t="s">
        <v>8</v>
      </c>
      <c r="K576" s="4" t="s">
        <v>9</v>
      </c>
      <c r="L576" s="5" t="s">
        <v>0</v>
      </c>
      <c r="M576" s="6" t="s">
        <v>1</v>
      </c>
    </row>
    <row r="577" spans="1:13" ht="14.25" thickBot="1" x14ac:dyDescent="0.2">
      <c r="A577" s="90" t="s">
        <v>6</v>
      </c>
      <c r="B577" s="91">
        <f>B574</f>
        <v>12</v>
      </c>
      <c r="C577" s="91">
        <f>C574</f>
        <v>15</v>
      </c>
      <c r="D577" s="91">
        <f>D574</f>
        <v>8</v>
      </c>
      <c r="E577" s="92">
        <f>SUM(B577:D577)</f>
        <v>35</v>
      </c>
      <c r="F577" s="93"/>
      <c r="H577" s="6" t="s">
        <v>6</v>
      </c>
      <c r="I577" s="94">
        <f>I574</f>
        <v>2</v>
      </c>
      <c r="J577" s="95">
        <f>J574</f>
        <v>2</v>
      </c>
      <c r="K577" s="96">
        <f>K574</f>
        <v>2</v>
      </c>
      <c r="L577" s="87">
        <f>SUM(I577:K577)</f>
        <v>6</v>
      </c>
      <c r="M577" s="97"/>
    </row>
    <row r="578" spans="1:13" x14ac:dyDescent="0.15">
      <c r="A578" s="8" t="s">
        <v>3</v>
      </c>
      <c r="B578" s="49">
        <v>5</v>
      </c>
      <c r="C578" s="58">
        <v>5</v>
      </c>
      <c r="D578" s="59">
        <v>5</v>
      </c>
      <c r="E578" s="10">
        <f t="shared" ref="E578:E585" si="86">SUM(B578:D578)</f>
        <v>15</v>
      </c>
      <c r="F578" s="13">
        <v>45978</v>
      </c>
      <c r="H578" s="8" t="s">
        <v>3</v>
      </c>
      <c r="I578" s="49">
        <v>1</v>
      </c>
      <c r="J578" s="58">
        <v>1</v>
      </c>
      <c r="K578" s="59">
        <v>1</v>
      </c>
      <c r="L578" s="86">
        <f t="shared" ref="L578:L579" si="87">SUM(I578:K578)</f>
        <v>3</v>
      </c>
      <c r="M578" s="13">
        <v>45978</v>
      </c>
    </row>
    <row r="579" spans="1:13" x14ac:dyDescent="0.15">
      <c r="A579" s="8" t="s">
        <v>3</v>
      </c>
      <c r="B579" s="112"/>
      <c r="C579" s="113"/>
      <c r="D579" s="114"/>
      <c r="E579" s="115">
        <f t="shared" si="86"/>
        <v>0</v>
      </c>
      <c r="F579" s="116"/>
      <c r="G579" t="s">
        <v>23</v>
      </c>
      <c r="H579" s="8" t="s">
        <v>3</v>
      </c>
      <c r="I579" s="49"/>
      <c r="J579" s="58"/>
      <c r="K579" s="59"/>
      <c r="L579" s="86">
        <f t="shared" si="87"/>
        <v>0</v>
      </c>
      <c r="M579" s="13"/>
    </row>
    <row r="580" spans="1:13" x14ac:dyDescent="0.15">
      <c r="A580" s="8" t="s">
        <v>17</v>
      </c>
      <c r="B580" s="49">
        <v>5</v>
      </c>
      <c r="C580" s="58">
        <v>5</v>
      </c>
      <c r="D580" s="59">
        <v>5</v>
      </c>
      <c r="E580" s="10">
        <f t="shared" si="86"/>
        <v>15</v>
      </c>
      <c r="F580" s="13">
        <v>46038</v>
      </c>
      <c r="H580" s="8" t="s">
        <v>3</v>
      </c>
      <c r="I580" s="49"/>
      <c r="J580" s="58"/>
      <c r="K580" s="59"/>
      <c r="L580" s="86">
        <f t="shared" ref="L580:L584" si="88">SUM(I580:K580)</f>
        <v>0</v>
      </c>
      <c r="M580" s="13"/>
    </row>
    <row r="581" spans="1:13" x14ac:dyDescent="0.15">
      <c r="A581" s="8" t="s">
        <v>3</v>
      </c>
      <c r="B581" s="49"/>
      <c r="C581" s="60"/>
      <c r="D581" s="61"/>
      <c r="E581" s="10">
        <f t="shared" si="86"/>
        <v>0</v>
      </c>
      <c r="F581" s="17"/>
      <c r="H581" s="8" t="s">
        <v>3</v>
      </c>
      <c r="I581" s="49"/>
      <c r="J581" s="58"/>
      <c r="K581" s="59"/>
      <c r="L581" s="86">
        <f t="shared" si="88"/>
        <v>0</v>
      </c>
      <c r="M581" s="13"/>
    </row>
    <row r="582" spans="1:13" x14ac:dyDescent="0.15">
      <c r="A582" s="8" t="s">
        <v>3</v>
      </c>
      <c r="B582" s="49"/>
      <c r="C582" s="60"/>
      <c r="D582" s="61"/>
      <c r="E582" s="10">
        <f t="shared" si="86"/>
        <v>0</v>
      </c>
      <c r="F582" s="17"/>
      <c r="H582" s="8" t="s">
        <v>3</v>
      </c>
      <c r="I582" s="49"/>
      <c r="J582" s="58"/>
      <c r="K582" s="59"/>
      <c r="L582" s="86">
        <f t="shared" si="88"/>
        <v>0</v>
      </c>
      <c r="M582" s="13"/>
    </row>
    <row r="583" spans="1:13" x14ac:dyDescent="0.15">
      <c r="A583" s="8" t="s">
        <v>3</v>
      </c>
      <c r="B583" s="49"/>
      <c r="C583" s="60"/>
      <c r="D583" s="61"/>
      <c r="E583" s="10">
        <f t="shared" si="86"/>
        <v>0</v>
      </c>
      <c r="F583" s="17"/>
      <c r="H583" s="8" t="s">
        <v>3</v>
      </c>
      <c r="I583" s="49"/>
      <c r="J583" s="58"/>
      <c r="K583" s="59"/>
      <c r="L583" s="86">
        <f t="shared" si="88"/>
        <v>0</v>
      </c>
      <c r="M583" s="13"/>
    </row>
    <row r="584" spans="1:13" x14ac:dyDescent="0.15">
      <c r="A584" s="8" t="s">
        <v>3</v>
      </c>
      <c r="B584" s="49"/>
      <c r="C584" s="60"/>
      <c r="D584" s="61"/>
      <c r="E584" s="10">
        <f t="shared" si="86"/>
        <v>0</v>
      </c>
      <c r="F584" s="17"/>
      <c r="H584" s="8" t="s">
        <v>3</v>
      </c>
      <c r="I584" s="49"/>
      <c r="J584" s="60"/>
      <c r="K584" s="61"/>
      <c r="L584" s="86">
        <f t="shared" si="88"/>
        <v>0</v>
      </c>
      <c r="M584" s="17"/>
    </row>
    <row r="585" spans="1:13" x14ac:dyDescent="0.15">
      <c r="A585" s="8" t="s">
        <v>3</v>
      </c>
      <c r="B585" s="49"/>
      <c r="C585" s="60"/>
      <c r="D585" s="61"/>
      <c r="E585" s="10">
        <f t="shared" si="86"/>
        <v>0</v>
      </c>
      <c r="F585" s="17"/>
      <c r="H585" s="8" t="s">
        <v>3</v>
      </c>
      <c r="I585" s="49"/>
      <c r="J585" s="60"/>
      <c r="K585" s="61"/>
      <c r="L585" s="86">
        <f>SUM(I585:K585)</f>
        <v>0</v>
      </c>
      <c r="M585" s="17"/>
    </row>
    <row r="586" spans="1:13" x14ac:dyDescent="0.15">
      <c r="A586" s="8" t="s">
        <v>3</v>
      </c>
      <c r="B586" s="49"/>
      <c r="C586" s="60"/>
      <c r="D586" s="61"/>
      <c r="E586" s="10">
        <f t="shared" ref="E586:E588" si="89">SUM(B586:D586)</f>
        <v>0</v>
      </c>
      <c r="F586" s="17"/>
      <c r="H586" s="8" t="s">
        <v>3</v>
      </c>
      <c r="I586" s="49"/>
      <c r="J586" s="60"/>
      <c r="K586" s="61"/>
      <c r="L586" s="86">
        <f t="shared" ref="L586:L588" si="90">SUM(I586:K586)</f>
        <v>0</v>
      </c>
      <c r="M586" s="17"/>
    </row>
    <row r="587" spans="1:13" x14ac:dyDescent="0.15">
      <c r="A587" s="8" t="s">
        <v>3</v>
      </c>
      <c r="B587" s="36"/>
      <c r="C587" s="60"/>
      <c r="D587" s="61"/>
      <c r="E587" s="10">
        <f t="shared" si="89"/>
        <v>0</v>
      </c>
      <c r="F587" s="17"/>
      <c r="H587" s="8" t="s">
        <v>3</v>
      </c>
      <c r="I587" s="49"/>
      <c r="J587" s="58"/>
      <c r="K587" s="59"/>
      <c r="L587" s="86">
        <f t="shared" si="90"/>
        <v>0</v>
      </c>
      <c r="M587" s="13"/>
    </row>
    <row r="588" spans="1:13" ht="14.25" thickBot="1" x14ac:dyDescent="0.2">
      <c r="A588" s="37" t="s">
        <v>15</v>
      </c>
      <c r="B588" s="111">
        <v>2</v>
      </c>
      <c r="C588" s="58"/>
      <c r="D588" s="62">
        <v>1</v>
      </c>
      <c r="E588" s="10">
        <f t="shared" si="89"/>
        <v>3</v>
      </c>
      <c r="F588" s="19">
        <v>46035</v>
      </c>
      <c r="H588" s="37" t="s">
        <v>3</v>
      </c>
      <c r="I588" s="111"/>
      <c r="J588" s="58"/>
      <c r="K588" s="62"/>
      <c r="L588" s="86">
        <f t="shared" si="90"/>
        <v>0</v>
      </c>
      <c r="M588" s="19"/>
    </row>
    <row r="589" spans="1:13" ht="14.25" thickBot="1" x14ac:dyDescent="0.2">
      <c r="A589" s="2" t="s">
        <v>4</v>
      </c>
      <c r="B589" s="20">
        <f>SUM(B577:B588)</f>
        <v>24</v>
      </c>
      <c r="C589" s="44">
        <f>SUM(C577:C588)</f>
        <v>25</v>
      </c>
      <c r="D589" s="21">
        <f>SUM(D577:D588)</f>
        <v>19</v>
      </c>
      <c r="E589" s="22">
        <f>SUM(B589:D589)</f>
        <v>68</v>
      </c>
      <c r="F589" s="23"/>
      <c r="H589" s="2" t="s">
        <v>4</v>
      </c>
      <c r="I589" s="88">
        <f>SUM(I577:I588)</f>
        <v>3</v>
      </c>
      <c r="J589" s="77">
        <f>SUM(J577:J588)</f>
        <v>3</v>
      </c>
      <c r="K589" s="89">
        <f>SUM(K577:K588)</f>
        <v>3</v>
      </c>
      <c r="L589" s="87">
        <f>SUM(I589:K589)</f>
        <v>9</v>
      </c>
      <c r="M589" s="23"/>
    </row>
    <row r="590" spans="1:13" x14ac:dyDescent="0.15">
      <c r="A590" s="24" t="s">
        <v>11</v>
      </c>
      <c r="B590" s="50">
        <v>1</v>
      </c>
      <c r="C590" s="39">
        <v>1</v>
      </c>
      <c r="D590" s="16"/>
      <c r="E590" s="10">
        <f t="shared" ref="E590:E613" si="91">SUM(B590:D590)</f>
        <v>2</v>
      </c>
      <c r="F590" s="25">
        <v>45944</v>
      </c>
      <c r="H590" s="24" t="s">
        <v>21</v>
      </c>
      <c r="I590" s="42">
        <v>1</v>
      </c>
      <c r="J590" s="35"/>
      <c r="K590" s="9"/>
      <c r="L590" s="86">
        <f t="shared" ref="L590:L599" si="92">SUM(I590:K590)</f>
        <v>1</v>
      </c>
      <c r="M590" s="11">
        <v>45952</v>
      </c>
    </row>
    <row r="591" spans="1:13" x14ac:dyDescent="0.15">
      <c r="A591" s="24" t="s">
        <v>11</v>
      </c>
      <c r="B591" s="50"/>
      <c r="C591" s="39"/>
      <c r="D591" s="16">
        <v>2</v>
      </c>
      <c r="E591" s="10">
        <f t="shared" si="91"/>
        <v>2</v>
      </c>
      <c r="F591" s="25">
        <v>45945</v>
      </c>
      <c r="H591" s="24" t="s">
        <v>11</v>
      </c>
      <c r="I591" s="42"/>
      <c r="J591" s="35"/>
      <c r="K591" s="9">
        <v>1</v>
      </c>
      <c r="L591" s="86">
        <f t="shared" si="92"/>
        <v>1</v>
      </c>
      <c r="M591" s="11">
        <v>45967</v>
      </c>
    </row>
    <row r="592" spans="1:13" x14ac:dyDescent="0.15">
      <c r="A592" s="24" t="s">
        <v>11</v>
      </c>
      <c r="B592" s="50"/>
      <c r="C592" s="39">
        <v>2</v>
      </c>
      <c r="D592" s="16"/>
      <c r="E592" s="10">
        <f t="shared" si="91"/>
        <v>2</v>
      </c>
      <c r="F592" s="25">
        <v>45946</v>
      </c>
      <c r="H592" s="24" t="s">
        <v>11</v>
      </c>
      <c r="I592" s="42"/>
      <c r="J592" s="35">
        <v>1</v>
      </c>
      <c r="K592" s="9"/>
      <c r="L592" s="86">
        <f t="shared" si="92"/>
        <v>1</v>
      </c>
      <c r="M592" s="11">
        <v>45968</v>
      </c>
    </row>
    <row r="593" spans="1:13" x14ac:dyDescent="0.15">
      <c r="A593" s="24" t="s">
        <v>11</v>
      </c>
      <c r="B593" s="50"/>
      <c r="C593" s="39">
        <f>2+1</f>
        <v>3</v>
      </c>
      <c r="D593" s="16"/>
      <c r="E593" s="10">
        <f t="shared" si="91"/>
        <v>3</v>
      </c>
      <c r="F593" s="25">
        <v>45947</v>
      </c>
      <c r="H593" s="24" t="s">
        <v>11</v>
      </c>
      <c r="I593" s="42"/>
      <c r="J593" s="35">
        <v>1</v>
      </c>
      <c r="K593" s="9"/>
      <c r="L593" s="86">
        <f t="shared" si="92"/>
        <v>1</v>
      </c>
      <c r="M593" s="11">
        <v>45996</v>
      </c>
    </row>
    <row r="594" spans="1:13" x14ac:dyDescent="0.15">
      <c r="A594" s="24" t="s">
        <v>11</v>
      </c>
      <c r="B594" s="50"/>
      <c r="C594" s="39">
        <v>1</v>
      </c>
      <c r="D594" s="16"/>
      <c r="E594" s="10">
        <f t="shared" si="91"/>
        <v>1</v>
      </c>
      <c r="F594" s="25">
        <v>45948</v>
      </c>
      <c r="H594" s="24" t="s">
        <v>11</v>
      </c>
      <c r="I594" s="42"/>
      <c r="J594" s="35">
        <v>1</v>
      </c>
      <c r="K594" s="9"/>
      <c r="L594" s="86">
        <f t="shared" si="92"/>
        <v>1</v>
      </c>
      <c r="M594" s="11">
        <v>46044</v>
      </c>
    </row>
    <row r="595" spans="1:13" x14ac:dyDescent="0.15">
      <c r="A595" s="24" t="s">
        <v>11</v>
      </c>
      <c r="B595" s="50">
        <v>2</v>
      </c>
      <c r="C595" s="39">
        <v>2</v>
      </c>
      <c r="D595" s="16"/>
      <c r="E595" s="10">
        <f t="shared" si="91"/>
        <v>4</v>
      </c>
      <c r="F595" s="25">
        <v>45950</v>
      </c>
      <c r="H595" s="24"/>
      <c r="I595" s="42"/>
      <c r="J595" s="35"/>
      <c r="K595" s="9"/>
      <c r="L595" s="86">
        <f t="shared" ref="L595" si="93">SUM(I595:K595)</f>
        <v>0</v>
      </c>
      <c r="M595" s="11"/>
    </row>
    <row r="596" spans="1:13" x14ac:dyDescent="0.15">
      <c r="A596" s="24" t="s">
        <v>11</v>
      </c>
      <c r="B596" s="50">
        <v>1</v>
      </c>
      <c r="C596" s="39"/>
      <c r="D596" s="16"/>
      <c r="E596" s="10">
        <f t="shared" si="91"/>
        <v>1</v>
      </c>
      <c r="F596" s="25">
        <v>45952</v>
      </c>
      <c r="H596" s="24"/>
      <c r="I596" s="42"/>
      <c r="J596" s="35"/>
      <c r="K596" s="9"/>
      <c r="L596" s="86">
        <f t="shared" si="92"/>
        <v>0</v>
      </c>
      <c r="M596" s="11"/>
    </row>
    <row r="597" spans="1:13" x14ac:dyDescent="0.15">
      <c r="A597" s="24" t="s">
        <v>11</v>
      </c>
      <c r="B597" s="50"/>
      <c r="C597" s="39"/>
      <c r="D597" s="16">
        <v>1</v>
      </c>
      <c r="E597" s="10">
        <f t="shared" si="91"/>
        <v>1</v>
      </c>
      <c r="F597" s="25">
        <v>45953</v>
      </c>
      <c r="H597" s="24"/>
      <c r="I597" s="42"/>
      <c r="J597" s="35"/>
      <c r="K597" s="9"/>
      <c r="L597" s="86">
        <f t="shared" si="92"/>
        <v>0</v>
      </c>
      <c r="M597" s="11"/>
    </row>
    <row r="598" spans="1:13" x14ac:dyDescent="0.15">
      <c r="A598" s="24" t="s">
        <v>11</v>
      </c>
      <c r="B598" s="50"/>
      <c r="C598" s="39"/>
      <c r="D598" s="16">
        <v>1</v>
      </c>
      <c r="E598" s="10">
        <f t="shared" si="91"/>
        <v>1</v>
      </c>
      <c r="F598" s="25">
        <v>45954</v>
      </c>
      <c r="H598" s="24"/>
      <c r="I598" s="42"/>
      <c r="J598" s="35"/>
      <c r="K598" s="9"/>
      <c r="L598" s="86">
        <f t="shared" si="92"/>
        <v>0</v>
      </c>
      <c r="M598" s="11"/>
    </row>
    <row r="599" spans="1:13" x14ac:dyDescent="0.15">
      <c r="A599" s="24" t="s">
        <v>11</v>
      </c>
      <c r="B599" s="50"/>
      <c r="C599" s="39"/>
      <c r="D599" s="16">
        <v>2</v>
      </c>
      <c r="E599" s="10">
        <f t="shared" si="91"/>
        <v>2</v>
      </c>
      <c r="F599" s="25">
        <v>45957</v>
      </c>
      <c r="H599" s="24"/>
      <c r="I599" s="42"/>
      <c r="J599" s="35"/>
      <c r="K599" s="9"/>
      <c r="L599" s="86">
        <f t="shared" si="92"/>
        <v>0</v>
      </c>
      <c r="M599" s="11"/>
    </row>
    <row r="600" spans="1:13" x14ac:dyDescent="0.15">
      <c r="A600" s="24" t="s">
        <v>11</v>
      </c>
      <c r="B600" s="50"/>
      <c r="C600" s="39"/>
      <c r="D600" s="16">
        <v>1</v>
      </c>
      <c r="E600" s="10">
        <f t="shared" si="91"/>
        <v>1</v>
      </c>
      <c r="F600" s="25">
        <v>45961</v>
      </c>
      <c r="H600" s="24"/>
      <c r="I600" s="42"/>
      <c r="J600" s="35"/>
      <c r="K600" s="9"/>
      <c r="L600" s="86">
        <f>SUM(I600:K600)</f>
        <v>0</v>
      </c>
      <c r="M600" s="11"/>
    </row>
    <row r="601" spans="1:13" x14ac:dyDescent="0.15">
      <c r="A601" s="24" t="s">
        <v>11</v>
      </c>
      <c r="B601" s="50"/>
      <c r="C601" s="39">
        <v>1</v>
      </c>
      <c r="D601" s="16"/>
      <c r="E601" s="10">
        <f t="shared" si="91"/>
        <v>1</v>
      </c>
      <c r="F601" s="25">
        <v>45965</v>
      </c>
      <c r="H601" s="24"/>
      <c r="I601" s="42"/>
      <c r="J601" s="35"/>
      <c r="K601" s="9"/>
      <c r="L601" s="86">
        <f t="shared" ref="L601:L613" si="94">SUM(I601:K601)</f>
        <v>0</v>
      </c>
      <c r="M601" s="11"/>
    </row>
    <row r="602" spans="1:13" x14ac:dyDescent="0.15">
      <c r="A602" s="24" t="s">
        <v>11</v>
      </c>
      <c r="B602" s="50">
        <v>1</v>
      </c>
      <c r="C602" s="39" t="s">
        <v>22</v>
      </c>
      <c r="D602" s="16"/>
      <c r="E602" s="10">
        <f t="shared" si="91"/>
        <v>1</v>
      </c>
      <c r="F602" s="25">
        <v>45966</v>
      </c>
      <c r="H602" s="24"/>
      <c r="I602" s="42"/>
      <c r="J602" s="35"/>
      <c r="K602" s="9"/>
      <c r="L602" s="86">
        <f t="shared" si="94"/>
        <v>0</v>
      </c>
      <c r="M602" s="11"/>
    </row>
    <row r="603" spans="1:13" x14ac:dyDescent="0.15">
      <c r="A603" s="24" t="s">
        <v>11</v>
      </c>
      <c r="B603" s="50">
        <v>1</v>
      </c>
      <c r="C603" s="39"/>
      <c r="D603" s="16">
        <v>1</v>
      </c>
      <c r="E603" s="10">
        <f t="shared" si="91"/>
        <v>2</v>
      </c>
      <c r="F603" s="25">
        <v>45967</v>
      </c>
      <c r="H603" s="24"/>
      <c r="I603" s="42"/>
      <c r="J603" s="35"/>
      <c r="K603" s="9"/>
      <c r="L603" s="86">
        <f t="shared" si="94"/>
        <v>0</v>
      </c>
      <c r="M603" s="11"/>
    </row>
    <row r="604" spans="1:13" x14ac:dyDescent="0.15">
      <c r="A604" s="24" t="s">
        <v>11</v>
      </c>
      <c r="B604" s="50">
        <v>2</v>
      </c>
      <c r="C604" s="39">
        <v>1</v>
      </c>
      <c r="D604" s="16"/>
      <c r="E604" s="10">
        <f t="shared" si="91"/>
        <v>3</v>
      </c>
      <c r="F604" s="25">
        <v>45968</v>
      </c>
      <c r="H604" s="24"/>
      <c r="I604" s="43"/>
      <c r="J604" s="39"/>
      <c r="K604" s="16"/>
      <c r="L604" s="86">
        <f t="shared" si="94"/>
        <v>0</v>
      </c>
      <c r="M604" s="25"/>
    </row>
    <row r="605" spans="1:13" x14ac:dyDescent="0.15">
      <c r="A605" s="24" t="s">
        <v>11</v>
      </c>
      <c r="B605" s="50">
        <v>1</v>
      </c>
      <c r="C605" s="39"/>
      <c r="D605" s="16"/>
      <c r="E605" s="10">
        <f t="shared" si="91"/>
        <v>1</v>
      </c>
      <c r="F605" s="25">
        <v>45971</v>
      </c>
      <c r="H605" s="24"/>
      <c r="I605" s="42"/>
      <c r="J605" s="35"/>
      <c r="K605" s="9"/>
      <c r="L605" s="86">
        <f t="shared" si="94"/>
        <v>0</v>
      </c>
      <c r="M605" s="11"/>
    </row>
    <row r="606" spans="1:13" x14ac:dyDescent="0.15">
      <c r="A606" s="24" t="s">
        <v>11</v>
      </c>
      <c r="B606" s="50">
        <v>1</v>
      </c>
      <c r="C606" s="39"/>
      <c r="D606" s="16"/>
      <c r="E606" s="10">
        <f t="shared" si="91"/>
        <v>1</v>
      </c>
      <c r="F606" s="25">
        <v>45972</v>
      </c>
      <c r="H606" s="24"/>
      <c r="I606" s="42"/>
      <c r="J606" s="35"/>
      <c r="K606" s="9"/>
      <c r="L606" s="86">
        <f t="shared" si="94"/>
        <v>0</v>
      </c>
      <c r="M606" s="11"/>
    </row>
    <row r="607" spans="1:13" x14ac:dyDescent="0.15">
      <c r="A607" s="24" t="s">
        <v>11</v>
      </c>
      <c r="B607" s="50"/>
      <c r="C607" s="39">
        <v>2</v>
      </c>
      <c r="D607" s="16">
        <v>1</v>
      </c>
      <c r="E607" s="10">
        <f t="shared" si="91"/>
        <v>3</v>
      </c>
      <c r="F607" s="25">
        <v>45978</v>
      </c>
      <c r="H607" s="24"/>
      <c r="I607" s="42"/>
      <c r="J607" s="35"/>
      <c r="K607" s="9"/>
      <c r="L607" s="86">
        <f t="shared" si="94"/>
        <v>0</v>
      </c>
      <c r="M607" s="11"/>
    </row>
    <row r="608" spans="1:13" x14ac:dyDescent="0.15">
      <c r="A608" s="24" t="s">
        <v>11</v>
      </c>
      <c r="B608" s="50"/>
      <c r="C608" s="39"/>
      <c r="D608" s="16">
        <v>1</v>
      </c>
      <c r="E608" s="10">
        <f t="shared" si="91"/>
        <v>1</v>
      </c>
      <c r="F608" s="25">
        <v>45982</v>
      </c>
      <c r="H608" s="24"/>
      <c r="I608" s="42"/>
      <c r="J608" s="35"/>
      <c r="K608" s="9"/>
      <c r="L608" s="86">
        <f t="shared" si="94"/>
        <v>0</v>
      </c>
      <c r="M608" s="11"/>
    </row>
    <row r="609" spans="1:13" x14ac:dyDescent="0.15">
      <c r="A609" s="24" t="s">
        <v>11</v>
      </c>
      <c r="B609" s="50">
        <v>1</v>
      </c>
      <c r="C609" s="39">
        <v>3</v>
      </c>
      <c r="D609" s="16"/>
      <c r="E609" s="10">
        <f t="shared" si="91"/>
        <v>4</v>
      </c>
      <c r="F609" s="25">
        <v>45986</v>
      </c>
      <c r="H609" s="24"/>
      <c r="I609" s="42"/>
      <c r="J609" s="35"/>
      <c r="K609" s="9"/>
      <c r="L609" s="86">
        <f t="shared" si="94"/>
        <v>0</v>
      </c>
      <c r="M609" s="11"/>
    </row>
    <row r="610" spans="1:13" x14ac:dyDescent="0.15">
      <c r="A610" s="24" t="s">
        <v>11</v>
      </c>
      <c r="B610" s="50"/>
      <c r="C610" s="39">
        <v>1</v>
      </c>
      <c r="D610" s="16">
        <v>1</v>
      </c>
      <c r="E610" s="10">
        <f t="shared" si="91"/>
        <v>2</v>
      </c>
      <c r="F610" s="25">
        <v>45992</v>
      </c>
      <c r="H610" s="24"/>
      <c r="I610" s="43"/>
      <c r="J610" s="35"/>
      <c r="K610" s="9"/>
      <c r="L610" s="86">
        <f t="shared" si="94"/>
        <v>0</v>
      </c>
      <c r="M610" s="11"/>
    </row>
    <row r="611" spans="1:13" x14ac:dyDescent="0.15">
      <c r="A611" s="24" t="s">
        <v>11</v>
      </c>
      <c r="B611" s="50"/>
      <c r="C611" s="39">
        <v>1</v>
      </c>
      <c r="D611" s="16"/>
      <c r="E611" s="10">
        <f t="shared" si="91"/>
        <v>1</v>
      </c>
      <c r="F611" s="25">
        <v>45993</v>
      </c>
      <c r="H611" s="24"/>
      <c r="I611" s="42"/>
      <c r="J611" s="35"/>
      <c r="K611" s="9"/>
      <c r="L611" s="86">
        <f t="shared" si="94"/>
        <v>0</v>
      </c>
      <c r="M611" s="11"/>
    </row>
    <row r="612" spans="1:13" x14ac:dyDescent="0.15">
      <c r="A612" s="24" t="s">
        <v>11</v>
      </c>
      <c r="B612" s="50">
        <v>1</v>
      </c>
      <c r="C612" s="39"/>
      <c r="D612" s="16"/>
      <c r="E612" s="10">
        <f t="shared" si="91"/>
        <v>1</v>
      </c>
      <c r="F612" s="25">
        <v>45996</v>
      </c>
      <c r="H612" s="24"/>
      <c r="I612" s="42"/>
      <c r="J612" s="35"/>
      <c r="K612" s="9"/>
      <c r="L612" s="86">
        <f t="shared" si="94"/>
        <v>0</v>
      </c>
      <c r="M612" s="11"/>
    </row>
    <row r="613" spans="1:13" ht="14.25" thickBot="1" x14ac:dyDescent="0.2">
      <c r="A613" s="24" t="s">
        <v>11</v>
      </c>
      <c r="B613" s="75"/>
      <c r="C613" s="14">
        <v>1</v>
      </c>
      <c r="D613" s="18"/>
      <c r="E613" s="10">
        <f t="shared" si="91"/>
        <v>1</v>
      </c>
      <c r="F613" s="19">
        <v>45997</v>
      </c>
      <c r="H613" s="24"/>
      <c r="I613" s="53"/>
      <c r="J613" s="14"/>
      <c r="K613" s="18"/>
      <c r="L613" s="86">
        <f t="shared" si="94"/>
        <v>0</v>
      </c>
      <c r="M613" s="19"/>
    </row>
    <row r="614" spans="1:13" ht="14.25" thickBot="1" x14ac:dyDescent="0.2">
      <c r="A614" s="6" t="s">
        <v>5</v>
      </c>
      <c r="B614" s="44">
        <f>SUM(B590:B613)</f>
        <v>12</v>
      </c>
      <c r="C614" s="40">
        <f>SUM(C590:C613)</f>
        <v>19</v>
      </c>
      <c r="D614" s="28">
        <f>SUM(D590:D613)</f>
        <v>11</v>
      </c>
      <c r="E614" s="29">
        <f>SUM(B614:D614)</f>
        <v>42</v>
      </c>
      <c r="F614" s="30"/>
      <c r="H614" s="6" t="s">
        <v>5</v>
      </c>
      <c r="I614" s="77">
        <f>SUM(I590:I613)</f>
        <v>1</v>
      </c>
      <c r="J614" s="78">
        <f>SUM(J590:J613)</f>
        <v>3</v>
      </c>
      <c r="K614" s="79">
        <f>SUM(K590:K613)</f>
        <v>1</v>
      </c>
      <c r="L614" s="80">
        <f>SUM(I614:K614)</f>
        <v>5</v>
      </c>
      <c r="M614" s="30"/>
    </row>
    <row r="615" spans="1:13" ht="14.25" thickBot="1" x14ac:dyDescent="0.2">
      <c r="A615" s="31" t="s">
        <v>6</v>
      </c>
      <c r="B615" s="45">
        <f>B589-B614</f>
        <v>12</v>
      </c>
      <c r="C615" s="41">
        <f>C589-C614</f>
        <v>6</v>
      </c>
      <c r="D615" s="32">
        <f>D589-D614</f>
        <v>8</v>
      </c>
      <c r="E615" s="33">
        <f>SUM(B615:D615)</f>
        <v>26</v>
      </c>
      <c r="F615" s="34"/>
      <c r="H615" s="31" t="s">
        <v>6</v>
      </c>
      <c r="I615" s="81">
        <f>I589-I614</f>
        <v>2</v>
      </c>
      <c r="J615" s="82">
        <f>J589-J614</f>
        <v>0</v>
      </c>
      <c r="K615" s="83">
        <f>K589-K614</f>
        <v>2</v>
      </c>
      <c r="L615" s="84">
        <f>SUM(I615:K615)</f>
        <v>4</v>
      </c>
      <c r="M615" s="34"/>
    </row>
    <row r="616" spans="1:13" ht="19.5" thickBot="1" x14ac:dyDescent="0.25">
      <c r="A616" s="1" t="s">
        <v>10</v>
      </c>
      <c r="B616" s="1"/>
      <c r="F616" s="74">
        <v>1791</v>
      </c>
      <c r="H616" s="1" t="s">
        <v>18</v>
      </c>
      <c r="I616" s="1"/>
    </row>
    <row r="617" spans="1:13" ht="14.25" thickBot="1" x14ac:dyDescent="0.2">
      <c r="A617" s="2"/>
      <c r="B617" s="3" t="s">
        <v>7</v>
      </c>
      <c r="C617" s="73" t="s">
        <v>8</v>
      </c>
      <c r="D617" s="4" t="s">
        <v>9</v>
      </c>
      <c r="E617" s="5" t="s">
        <v>0</v>
      </c>
      <c r="F617" s="6" t="s">
        <v>1</v>
      </c>
      <c r="H617" s="2"/>
      <c r="I617" s="6" t="s">
        <v>7</v>
      </c>
      <c r="J617" s="3" t="s">
        <v>8</v>
      </c>
      <c r="K617" s="4" t="s">
        <v>9</v>
      </c>
      <c r="L617" s="5" t="s">
        <v>0</v>
      </c>
      <c r="M617" s="6" t="s">
        <v>1</v>
      </c>
    </row>
    <row r="618" spans="1:13" ht="14.25" thickBot="1" x14ac:dyDescent="0.2">
      <c r="A618" s="90" t="s">
        <v>6</v>
      </c>
      <c r="B618" s="91">
        <f>B615</f>
        <v>12</v>
      </c>
      <c r="C618" s="91">
        <f>C615</f>
        <v>6</v>
      </c>
      <c r="D618" s="91">
        <f>D615</f>
        <v>8</v>
      </c>
      <c r="E618" s="92">
        <f>SUM(B618:D618)</f>
        <v>26</v>
      </c>
      <c r="F618" s="93"/>
      <c r="H618" s="6" t="s">
        <v>6</v>
      </c>
      <c r="I618" s="94">
        <f>I615</f>
        <v>2</v>
      </c>
      <c r="J618" s="95">
        <f>J615</f>
        <v>0</v>
      </c>
      <c r="K618" s="96">
        <f>K615</f>
        <v>2</v>
      </c>
      <c r="L618" s="87">
        <f>SUM(I618:K618)</f>
        <v>4</v>
      </c>
      <c r="M618" s="97"/>
    </row>
    <row r="619" spans="1:13" x14ac:dyDescent="0.15">
      <c r="A619" s="8" t="s">
        <v>3</v>
      </c>
      <c r="B619" s="49"/>
      <c r="C619" s="58"/>
      <c r="D619" s="59"/>
      <c r="E619" s="10">
        <f t="shared" ref="E619:E629" si="95">SUM(B619:D619)</f>
        <v>0</v>
      </c>
      <c r="F619" s="13"/>
      <c r="H619" s="8" t="s">
        <v>3</v>
      </c>
      <c r="I619" s="49"/>
      <c r="J619" s="58">
        <v>1</v>
      </c>
      <c r="K619" s="59"/>
      <c r="L619" s="86">
        <f t="shared" ref="L619:L625" si="96">SUM(I619:K619)</f>
        <v>1</v>
      </c>
      <c r="M619" s="13">
        <v>46002</v>
      </c>
    </row>
    <row r="620" spans="1:13" x14ac:dyDescent="0.15">
      <c r="A620" s="8" t="s">
        <v>3</v>
      </c>
      <c r="B620" s="112"/>
      <c r="C620" s="113"/>
      <c r="D620" s="114"/>
      <c r="E620" s="115">
        <f t="shared" si="95"/>
        <v>0</v>
      </c>
      <c r="F620" s="116"/>
      <c r="G620" t="s">
        <v>23</v>
      </c>
      <c r="H620" s="8" t="s">
        <v>3</v>
      </c>
      <c r="I620" s="49">
        <v>1</v>
      </c>
      <c r="J620" s="58">
        <v>1</v>
      </c>
      <c r="K620" s="59">
        <v>2</v>
      </c>
      <c r="L620" s="86">
        <f t="shared" si="96"/>
        <v>4</v>
      </c>
      <c r="M620" s="13">
        <v>46056</v>
      </c>
    </row>
    <row r="621" spans="1:13" x14ac:dyDescent="0.15">
      <c r="A621" s="8" t="s">
        <v>3</v>
      </c>
      <c r="B621" s="49">
        <v>5</v>
      </c>
      <c r="C621" s="58">
        <v>10</v>
      </c>
      <c r="D621" s="59">
        <v>5</v>
      </c>
      <c r="E621" s="10">
        <f t="shared" si="95"/>
        <v>20</v>
      </c>
      <c r="F621" s="13">
        <v>46038</v>
      </c>
      <c r="H621" s="8" t="s">
        <v>3</v>
      </c>
      <c r="I621" s="49">
        <v>1</v>
      </c>
      <c r="J621" s="58">
        <v>3</v>
      </c>
      <c r="K621" s="59">
        <v>3</v>
      </c>
      <c r="L621" s="86">
        <f t="shared" si="96"/>
        <v>7</v>
      </c>
      <c r="M621" s="13">
        <v>46071</v>
      </c>
    </row>
    <row r="622" spans="1:13" x14ac:dyDescent="0.15">
      <c r="A622" s="8" t="s">
        <v>3</v>
      </c>
      <c r="B622" s="49">
        <v>10</v>
      </c>
      <c r="C622" s="58"/>
      <c r="D622" s="59"/>
      <c r="E622" s="10">
        <f t="shared" si="95"/>
        <v>10</v>
      </c>
      <c r="F622" s="13">
        <v>46056</v>
      </c>
      <c r="H622" s="8" t="s">
        <v>15</v>
      </c>
      <c r="I622" s="49">
        <v>0</v>
      </c>
      <c r="J622" s="58">
        <v>0</v>
      </c>
      <c r="K622" s="59">
        <v>0</v>
      </c>
      <c r="L622" s="86">
        <f t="shared" si="96"/>
        <v>0</v>
      </c>
      <c r="M622" s="13">
        <v>46078</v>
      </c>
    </row>
    <row r="623" spans="1:13" x14ac:dyDescent="0.15">
      <c r="A623" s="8" t="s">
        <v>3</v>
      </c>
      <c r="B623" s="49"/>
      <c r="C623" s="58">
        <v>5</v>
      </c>
      <c r="D623" s="59"/>
      <c r="E623" s="10">
        <f t="shared" si="95"/>
        <v>5</v>
      </c>
      <c r="F623" s="13">
        <v>46071</v>
      </c>
      <c r="H623" s="8" t="s">
        <v>3</v>
      </c>
      <c r="I623" s="49"/>
      <c r="J623" s="58"/>
      <c r="K623" s="59"/>
      <c r="L623" s="86">
        <f t="shared" si="96"/>
        <v>0</v>
      </c>
      <c r="M623" s="13"/>
    </row>
    <row r="624" spans="1:13" x14ac:dyDescent="0.15">
      <c r="A624" s="8" t="s">
        <v>15</v>
      </c>
      <c r="B624" s="49">
        <v>0</v>
      </c>
      <c r="C624" s="60">
        <v>0</v>
      </c>
      <c r="D624" s="61">
        <v>0</v>
      </c>
      <c r="E624" s="10">
        <f t="shared" si="95"/>
        <v>0</v>
      </c>
      <c r="F624" s="17">
        <v>46078</v>
      </c>
      <c r="H624" s="8" t="s">
        <v>3</v>
      </c>
      <c r="I624" s="49"/>
      <c r="J624" s="58"/>
      <c r="K624" s="59"/>
      <c r="L624" s="86">
        <f t="shared" si="96"/>
        <v>0</v>
      </c>
      <c r="M624" s="13"/>
    </row>
    <row r="625" spans="1:13" x14ac:dyDescent="0.15">
      <c r="A625" s="8" t="s">
        <v>3</v>
      </c>
      <c r="B625" s="49"/>
      <c r="C625" s="60"/>
      <c r="D625" s="61"/>
      <c r="E625" s="10">
        <f t="shared" si="95"/>
        <v>0</v>
      </c>
      <c r="F625" s="17"/>
      <c r="H625" s="8" t="s">
        <v>3</v>
      </c>
      <c r="I625" s="49"/>
      <c r="J625" s="60"/>
      <c r="K625" s="61"/>
      <c r="L625" s="86">
        <f t="shared" si="96"/>
        <v>0</v>
      </c>
      <c r="M625" s="17"/>
    </row>
    <row r="626" spans="1:13" x14ac:dyDescent="0.15">
      <c r="A626" s="8" t="s">
        <v>3</v>
      </c>
      <c r="B626" s="49"/>
      <c r="C626" s="60"/>
      <c r="D626" s="61"/>
      <c r="E626" s="10">
        <f t="shared" si="95"/>
        <v>0</v>
      </c>
      <c r="F626" s="17"/>
      <c r="H626" s="8" t="s">
        <v>3</v>
      </c>
      <c r="I626" s="49"/>
      <c r="J626" s="60"/>
      <c r="K626" s="61"/>
      <c r="L626" s="86">
        <f>SUM(I626:K626)</f>
        <v>0</v>
      </c>
      <c r="M626" s="17"/>
    </row>
    <row r="627" spans="1:13" x14ac:dyDescent="0.15">
      <c r="A627" s="8" t="s">
        <v>3</v>
      </c>
      <c r="B627" s="49"/>
      <c r="C627" s="60"/>
      <c r="D627" s="61"/>
      <c r="E627" s="10">
        <f t="shared" si="95"/>
        <v>0</v>
      </c>
      <c r="F627" s="17"/>
      <c r="H627" s="8" t="s">
        <v>3</v>
      </c>
      <c r="I627" s="49"/>
      <c r="J627" s="60"/>
      <c r="K627" s="61"/>
      <c r="L627" s="86">
        <f t="shared" ref="L627:L629" si="97">SUM(I627:K627)</f>
        <v>0</v>
      </c>
      <c r="M627" s="17"/>
    </row>
    <row r="628" spans="1:13" x14ac:dyDescent="0.15">
      <c r="A628" s="8" t="s">
        <v>3</v>
      </c>
      <c r="B628" s="36"/>
      <c r="C628" s="60"/>
      <c r="D628" s="61"/>
      <c r="E628" s="10">
        <f t="shared" si="95"/>
        <v>0</v>
      </c>
      <c r="F628" s="17"/>
      <c r="H628" s="8" t="s">
        <v>3</v>
      </c>
      <c r="I628" s="49"/>
      <c r="J628" s="58"/>
      <c r="K628" s="59"/>
      <c r="L628" s="86">
        <f t="shared" si="97"/>
        <v>0</v>
      </c>
      <c r="M628" s="13"/>
    </row>
    <row r="629" spans="1:13" ht="14.25" thickBot="1" x14ac:dyDescent="0.2">
      <c r="A629" s="37" t="s">
        <v>3</v>
      </c>
      <c r="B629" s="38"/>
      <c r="C629" s="58"/>
      <c r="D629" s="62"/>
      <c r="E629" s="10">
        <f t="shared" si="95"/>
        <v>0</v>
      </c>
      <c r="F629" s="19"/>
      <c r="H629" s="37" t="s">
        <v>3</v>
      </c>
      <c r="I629" s="111"/>
      <c r="J629" s="58"/>
      <c r="K629" s="62"/>
      <c r="L629" s="86">
        <f t="shared" si="97"/>
        <v>0</v>
      </c>
      <c r="M629" s="19"/>
    </row>
    <row r="630" spans="1:13" ht="14.25" thickBot="1" x14ac:dyDescent="0.2">
      <c r="A630" s="2" t="s">
        <v>4</v>
      </c>
      <c r="B630" s="20">
        <f>SUM(B618:B629)</f>
        <v>27</v>
      </c>
      <c r="C630" s="44">
        <f>SUM(C618:C629)</f>
        <v>21</v>
      </c>
      <c r="D630" s="21">
        <f>SUM(D618:D629)</f>
        <v>13</v>
      </c>
      <c r="E630" s="22">
        <f>SUM(B630:D630)</f>
        <v>61</v>
      </c>
      <c r="F630" s="23"/>
      <c r="H630" s="2" t="s">
        <v>4</v>
      </c>
      <c r="I630" s="88">
        <f>SUM(I618:I629)</f>
        <v>4</v>
      </c>
      <c r="J630" s="77">
        <f>SUM(J618:J629)</f>
        <v>5</v>
      </c>
      <c r="K630" s="89">
        <f>SUM(K618:K629)</f>
        <v>7</v>
      </c>
      <c r="L630" s="87">
        <f>SUM(I630:K630)</f>
        <v>16</v>
      </c>
      <c r="M630" s="23"/>
    </row>
    <row r="631" spans="1:13" x14ac:dyDescent="0.15">
      <c r="A631" s="24" t="s">
        <v>11</v>
      </c>
      <c r="B631" s="50">
        <v>1</v>
      </c>
      <c r="C631" s="39"/>
      <c r="D631" s="16"/>
      <c r="E631" s="10">
        <f t="shared" ref="E631:E654" si="98">SUM(B631:D631)</f>
        <v>1</v>
      </c>
      <c r="F631" s="25"/>
      <c r="G631" s="26">
        <v>45999</v>
      </c>
      <c r="H631" s="24" t="s">
        <v>11</v>
      </c>
      <c r="I631" s="42">
        <v>1</v>
      </c>
      <c r="J631" s="35"/>
      <c r="K631" s="9"/>
      <c r="L631" s="86">
        <f t="shared" ref="L631" si="99">SUM(I631:K631)</f>
        <v>1</v>
      </c>
      <c r="M631" s="11">
        <v>46045</v>
      </c>
    </row>
    <row r="632" spans="1:13" x14ac:dyDescent="0.15">
      <c r="A632" s="24" t="s">
        <v>11</v>
      </c>
      <c r="B632" s="50"/>
      <c r="C632" s="39">
        <v>1</v>
      </c>
      <c r="D632" s="16">
        <v>1</v>
      </c>
      <c r="E632" s="10">
        <f t="shared" si="98"/>
        <v>2</v>
      </c>
      <c r="F632" s="25"/>
      <c r="G632" s="26">
        <v>46000</v>
      </c>
      <c r="H632" s="24" t="s">
        <v>11</v>
      </c>
      <c r="I632" s="42"/>
      <c r="J632" s="35">
        <v>1</v>
      </c>
      <c r="K632" s="9"/>
      <c r="L632" s="86">
        <f t="shared" ref="L632:L634" si="100">SUM(I632:K632)</f>
        <v>1</v>
      </c>
      <c r="M632" s="11">
        <v>46053</v>
      </c>
    </row>
    <row r="633" spans="1:13" x14ac:dyDescent="0.15">
      <c r="A633" s="24" t="s">
        <v>11</v>
      </c>
      <c r="B633" s="50">
        <v>2</v>
      </c>
      <c r="C633" s="39"/>
      <c r="D633" s="16"/>
      <c r="E633" s="10">
        <f t="shared" si="98"/>
        <v>2</v>
      </c>
      <c r="F633" s="25"/>
      <c r="G633" s="26">
        <v>46006</v>
      </c>
      <c r="H633" s="117" t="s">
        <v>25</v>
      </c>
      <c r="I633" s="118"/>
      <c r="J633" s="119"/>
      <c r="K633" s="120">
        <v>2</v>
      </c>
      <c r="L633" s="121">
        <f t="shared" si="100"/>
        <v>2</v>
      </c>
      <c r="M633" s="122">
        <v>46065</v>
      </c>
    </row>
    <row r="634" spans="1:13" x14ac:dyDescent="0.15">
      <c r="A634" s="24" t="s">
        <v>11</v>
      </c>
      <c r="B634" s="50">
        <v>2</v>
      </c>
      <c r="C634" s="39"/>
      <c r="D634" s="16"/>
      <c r="E634" s="10">
        <f t="shared" si="98"/>
        <v>2</v>
      </c>
      <c r="F634" s="25"/>
      <c r="G634" s="26">
        <v>46007</v>
      </c>
      <c r="H634" s="24" t="s">
        <v>11</v>
      </c>
      <c r="I634" s="42"/>
      <c r="J634" s="35">
        <v>1</v>
      </c>
      <c r="K634" s="9"/>
      <c r="L634" s="86">
        <f t="shared" si="100"/>
        <v>1</v>
      </c>
      <c r="M634" s="11">
        <v>46065</v>
      </c>
    </row>
    <row r="635" spans="1:13" x14ac:dyDescent="0.15">
      <c r="A635" s="24" t="s">
        <v>11</v>
      </c>
      <c r="B635" s="50">
        <v>2</v>
      </c>
      <c r="C635" s="39"/>
      <c r="D635" s="16"/>
      <c r="E635" s="10">
        <f t="shared" si="98"/>
        <v>2</v>
      </c>
      <c r="F635" s="25"/>
      <c r="G635" s="26">
        <v>46017</v>
      </c>
      <c r="H635" s="24" t="s">
        <v>11</v>
      </c>
      <c r="I635" s="42"/>
      <c r="J635" s="35"/>
      <c r="K635" s="9">
        <v>2</v>
      </c>
      <c r="L635" s="86">
        <f t="shared" ref="L635:L640" si="101">SUM(I635:K635)</f>
        <v>2</v>
      </c>
      <c r="M635" s="11">
        <v>46069</v>
      </c>
    </row>
    <row r="636" spans="1:13" x14ac:dyDescent="0.15">
      <c r="A636" s="24" t="s">
        <v>11</v>
      </c>
      <c r="B636" s="50"/>
      <c r="C636" s="39"/>
      <c r="D636" s="16">
        <v>1</v>
      </c>
      <c r="E636" s="10">
        <f t="shared" si="98"/>
        <v>1</v>
      </c>
      <c r="F636" s="25"/>
      <c r="G636" s="26">
        <v>46027</v>
      </c>
      <c r="H636" s="24" t="s">
        <v>11</v>
      </c>
      <c r="I636" s="42"/>
      <c r="J636" s="35"/>
      <c r="K636" s="9">
        <v>1</v>
      </c>
      <c r="L636" s="86">
        <f t="shared" si="101"/>
        <v>1</v>
      </c>
      <c r="M636" s="11">
        <v>46072</v>
      </c>
    </row>
    <row r="637" spans="1:13" x14ac:dyDescent="0.15">
      <c r="A637" s="24" t="s">
        <v>11</v>
      </c>
      <c r="B637" s="50"/>
      <c r="C637" s="39"/>
      <c r="D637" s="16">
        <v>1</v>
      </c>
      <c r="E637" s="10">
        <f t="shared" si="98"/>
        <v>1</v>
      </c>
      <c r="F637" s="25"/>
      <c r="G637" s="26">
        <v>46037</v>
      </c>
      <c r="H637" s="24" t="s">
        <v>11</v>
      </c>
      <c r="I637" s="42">
        <v>1</v>
      </c>
      <c r="J637" s="35">
        <v>1</v>
      </c>
      <c r="K637" s="9"/>
      <c r="L637" s="86">
        <f t="shared" si="101"/>
        <v>2</v>
      </c>
      <c r="M637" s="11">
        <v>46104</v>
      </c>
    </row>
    <row r="638" spans="1:13" x14ac:dyDescent="0.15">
      <c r="A638" s="24" t="s">
        <v>11</v>
      </c>
      <c r="B638" s="50"/>
      <c r="C638" s="39">
        <v>1</v>
      </c>
      <c r="D638" s="16"/>
      <c r="E638" s="10">
        <f t="shared" si="98"/>
        <v>1</v>
      </c>
      <c r="F638" s="25"/>
      <c r="G638" s="26">
        <v>46041</v>
      </c>
      <c r="H638" s="24" t="s">
        <v>11</v>
      </c>
      <c r="I638" s="42">
        <v>1</v>
      </c>
      <c r="J638" s="35"/>
      <c r="K638" s="9"/>
      <c r="L638" s="86">
        <f t="shared" si="101"/>
        <v>1</v>
      </c>
      <c r="M638" s="11">
        <v>46153</v>
      </c>
    </row>
    <row r="639" spans="1:13" x14ac:dyDescent="0.15">
      <c r="A639" s="24" t="s">
        <v>11</v>
      </c>
      <c r="B639" s="50">
        <v>2</v>
      </c>
      <c r="C639" s="39"/>
      <c r="D639" s="16"/>
      <c r="E639" s="10">
        <f t="shared" si="98"/>
        <v>2</v>
      </c>
      <c r="F639" s="25"/>
      <c r="G639" s="26">
        <v>46042</v>
      </c>
      <c r="H639" s="24"/>
      <c r="I639" s="42"/>
      <c r="J639" s="35"/>
      <c r="K639" s="9"/>
      <c r="L639" s="86">
        <f t="shared" si="101"/>
        <v>0</v>
      </c>
      <c r="M639" s="11"/>
    </row>
    <row r="640" spans="1:13" x14ac:dyDescent="0.15">
      <c r="A640" s="24" t="s">
        <v>11</v>
      </c>
      <c r="B640" s="50">
        <v>1</v>
      </c>
      <c r="C640" s="39"/>
      <c r="D640" s="16"/>
      <c r="E640" s="10">
        <f t="shared" si="98"/>
        <v>1</v>
      </c>
      <c r="F640" s="25"/>
      <c r="G640" s="26">
        <v>46048</v>
      </c>
      <c r="H640" s="24"/>
      <c r="I640" s="42"/>
      <c r="J640" s="35"/>
      <c r="K640" s="9"/>
      <c r="L640" s="86">
        <f t="shared" si="101"/>
        <v>0</v>
      </c>
      <c r="M640" s="11"/>
    </row>
    <row r="641" spans="1:13" x14ac:dyDescent="0.15">
      <c r="A641" s="24" t="s">
        <v>14</v>
      </c>
      <c r="B641" s="50"/>
      <c r="C641" s="39">
        <v>-1</v>
      </c>
      <c r="D641" s="16"/>
      <c r="E641" s="10">
        <f t="shared" si="98"/>
        <v>-1</v>
      </c>
      <c r="F641" s="25"/>
      <c r="G641" s="26">
        <v>46049</v>
      </c>
      <c r="H641" s="24"/>
      <c r="I641" s="42"/>
      <c r="J641" s="35"/>
      <c r="K641" s="9"/>
      <c r="L641" s="86">
        <f>SUM(I641:K641)</f>
        <v>0</v>
      </c>
      <c r="M641" s="11"/>
    </row>
    <row r="642" spans="1:13" x14ac:dyDescent="0.15">
      <c r="A642" s="24" t="s">
        <v>24</v>
      </c>
      <c r="B642" s="50">
        <v>1</v>
      </c>
      <c r="C642" s="39"/>
      <c r="D642" s="16"/>
      <c r="E642" s="10">
        <f t="shared" si="98"/>
        <v>1</v>
      </c>
      <c r="F642" s="25"/>
      <c r="G642" s="26">
        <v>46051</v>
      </c>
      <c r="H642" s="24"/>
      <c r="I642" s="42"/>
      <c r="J642" s="35"/>
      <c r="K642" s="9"/>
      <c r="L642" s="86">
        <f t="shared" ref="L642:L654" si="102">SUM(I642:K642)</f>
        <v>0</v>
      </c>
      <c r="M642" s="11"/>
    </row>
    <row r="643" spans="1:13" x14ac:dyDescent="0.15">
      <c r="A643" s="24" t="s">
        <v>11</v>
      </c>
      <c r="B643" s="50"/>
      <c r="C643" s="39"/>
      <c r="D643" s="16">
        <v>1</v>
      </c>
      <c r="E643" s="10">
        <f t="shared" si="98"/>
        <v>1</v>
      </c>
      <c r="F643" s="25"/>
      <c r="G643" s="26">
        <v>46052</v>
      </c>
      <c r="H643" s="24"/>
      <c r="I643" s="42"/>
      <c r="J643" s="35"/>
      <c r="K643" s="9"/>
      <c r="L643" s="86">
        <f t="shared" si="102"/>
        <v>0</v>
      </c>
      <c r="M643" s="11"/>
    </row>
    <row r="644" spans="1:13" x14ac:dyDescent="0.15">
      <c r="A644" s="24" t="s">
        <v>11</v>
      </c>
      <c r="B644" s="50"/>
      <c r="C644" s="39">
        <v>1</v>
      </c>
      <c r="D644" s="16"/>
      <c r="E644" s="10">
        <f t="shared" si="98"/>
        <v>1</v>
      </c>
      <c r="F644" s="25"/>
      <c r="G644" s="26">
        <v>46053</v>
      </c>
      <c r="H644" s="24"/>
      <c r="I644" s="42"/>
      <c r="J644" s="35"/>
      <c r="K644" s="9"/>
      <c r="L644" s="86">
        <f t="shared" si="102"/>
        <v>0</v>
      </c>
      <c r="M644" s="11"/>
    </row>
    <row r="645" spans="1:13" x14ac:dyDescent="0.15">
      <c r="A645" s="24" t="s">
        <v>11</v>
      </c>
      <c r="B645" s="50"/>
      <c r="C645" s="39">
        <v>3</v>
      </c>
      <c r="D645" s="16"/>
      <c r="E645" s="10">
        <f t="shared" si="98"/>
        <v>3</v>
      </c>
      <c r="F645" s="25"/>
      <c r="G645" s="26">
        <v>46055</v>
      </c>
      <c r="H645" s="24"/>
      <c r="I645" s="43"/>
      <c r="J645" s="39"/>
      <c r="K645" s="16"/>
      <c r="L645" s="86">
        <f t="shared" si="102"/>
        <v>0</v>
      </c>
      <c r="M645" s="25"/>
    </row>
    <row r="646" spans="1:13" x14ac:dyDescent="0.15">
      <c r="A646" s="24" t="s">
        <v>11</v>
      </c>
      <c r="B646" s="50">
        <v>1</v>
      </c>
      <c r="C646" s="39"/>
      <c r="D646" s="16"/>
      <c r="E646" s="10">
        <f t="shared" si="98"/>
        <v>1</v>
      </c>
      <c r="F646" s="25"/>
      <c r="G646" s="26">
        <v>46058</v>
      </c>
      <c r="H646" s="24"/>
      <c r="I646" s="42"/>
      <c r="J646" s="35"/>
      <c r="K646" s="9"/>
      <c r="L646" s="86">
        <f t="shared" si="102"/>
        <v>0</v>
      </c>
      <c r="M646" s="11"/>
    </row>
    <row r="647" spans="1:13" x14ac:dyDescent="0.15">
      <c r="A647" s="24" t="s">
        <v>11</v>
      </c>
      <c r="B647" s="50"/>
      <c r="C647" s="39"/>
      <c r="D647" s="16">
        <v>1</v>
      </c>
      <c r="E647" s="10">
        <f t="shared" si="98"/>
        <v>1</v>
      </c>
      <c r="F647" s="25"/>
      <c r="G647" s="26">
        <v>46062</v>
      </c>
      <c r="H647" s="24"/>
      <c r="I647" s="42"/>
      <c r="J647" s="35"/>
      <c r="K647" s="9"/>
      <c r="L647" s="86">
        <f t="shared" si="102"/>
        <v>0</v>
      </c>
      <c r="M647" s="11"/>
    </row>
    <row r="648" spans="1:13" x14ac:dyDescent="0.15">
      <c r="A648" s="24" t="s">
        <v>11</v>
      </c>
      <c r="B648" s="50">
        <v>1</v>
      </c>
      <c r="C648" s="39"/>
      <c r="D648" s="16"/>
      <c r="E648" s="10">
        <f t="shared" si="98"/>
        <v>1</v>
      </c>
      <c r="F648" s="25"/>
      <c r="G648" s="26">
        <v>46065</v>
      </c>
      <c r="H648" s="24"/>
      <c r="I648" s="42"/>
      <c r="J648" s="35"/>
      <c r="K648" s="9"/>
      <c r="L648" s="86">
        <f t="shared" si="102"/>
        <v>0</v>
      </c>
      <c r="M648" s="11"/>
    </row>
    <row r="649" spans="1:13" x14ac:dyDescent="0.15">
      <c r="A649" s="24" t="s">
        <v>11</v>
      </c>
      <c r="B649" s="50"/>
      <c r="C649" s="39">
        <v>1</v>
      </c>
      <c r="D649" s="16"/>
      <c r="E649" s="10">
        <f t="shared" si="98"/>
        <v>1</v>
      </c>
      <c r="F649" s="25"/>
      <c r="G649" s="26">
        <v>46069</v>
      </c>
      <c r="H649" s="24"/>
      <c r="I649" s="42"/>
      <c r="J649" s="35"/>
      <c r="K649" s="9"/>
      <c r="L649" s="86">
        <f t="shared" si="102"/>
        <v>0</v>
      </c>
      <c r="M649" s="11"/>
    </row>
    <row r="650" spans="1:13" x14ac:dyDescent="0.15">
      <c r="A650" s="24" t="s">
        <v>11</v>
      </c>
      <c r="B650" s="50">
        <v>3</v>
      </c>
      <c r="C650" s="39"/>
      <c r="D650" s="16">
        <v>3</v>
      </c>
      <c r="E650" s="10">
        <f t="shared" si="98"/>
        <v>6</v>
      </c>
      <c r="F650" s="25"/>
      <c r="G650" s="26">
        <v>46077</v>
      </c>
      <c r="H650" s="24"/>
      <c r="I650" s="42"/>
      <c r="J650" s="35"/>
      <c r="K650" s="9"/>
      <c r="L650" s="86">
        <f t="shared" si="102"/>
        <v>0</v>
      </c>
      <c r="M650" s="11"/>
    </row>
    <row r="651" spans="1:13" x14ac:dyDescent="0.15">
      <c r="A651" s="24" t="s">
        <v>11</v>
      </c>
      <c r="B651" s="50"/>
      <c r="C651" s="39">
        <v>1</v>
      </c>
      <c r="D651" s="16">
        <v>1</v>
      </c>
      <c r="E651" s="10">
        <f t="shared" si="98"/>
        <v>2</v>
      </c>
      <c r="F651" s="25"/>
      <c r="G651" s="26">
        <v>46079</v>
      </c>
      <c r="H651" s="24"/>
      <c r="I651" s="43"/>
      <c r="J651" s="35"/>
      <c r="K651" s="9"/>
      <c r="L651" s="86">
        <f t="shared" si="102"/>
        <v>0</v>
      </c>
      <c r="M651" s="11"/>
    </row>
    <row r="652" spans="1:13" x14ac:dyDescent="0.15">
      <c r="A652" s="24" t="s">
        <v>11</v>
      </c>
      <c r="B652" s="50">
        <v>1</v>
      </c>
      <c r="C652" s="39"/>
      <c r="D652" s="16"/>
      <c r="E652" s="10">
        <f t="shared" si="98"/>
        <v>1</v>
      </c>
      <c r="F652" s="25"/>
      <c r="G652" s="26">
        <v>46083</v>
      </c>
      <c r="H652" s="24"/>
      <c r="I652" s="42"/>
      <c r="J652" s="35"/>
      <c r="K652" s="9"/>
      <c r="L652" s="86">
        <f t="shared" si="102"/>
        <v>0</v>
      </c>
      <c r="M652" s="11"/>
    </row>
    <row r="653" spans="1:13" x14ac:dyDescent="0.15">
      <c r="A653" s="24" t="s">
        <v>11</v>
      </c>
      <c r="B653" s="50"/>
      <c r="C653" s="39">
        <v>1</v>
      </c>
      <c r="D653" s="16"/>
      <c r="E653" s="10">
        <f t="shared" si="98"/>
        <v>1</v>
      </c>
      <c r="F653" s="25"/>
      <c r="G653" s="26">
        <v>46084</v>
      </c>
      <c r="H653" s="24"/>
      <c r="I653" s="42"/>
      <c r="J653" s="35"/>
      <c r="K653" s="9"/>
      <c r="L653" s="86">
        <f t="shared" si="102"/>
        <v>0</v>
      </c>
      <c r="M653" s="11"/>
    </row>
    <row r="654" spans="1:13" ht="14.25" thickBot="1" x14ac:dyDescent="0.2">
      <c r="A654" s="24" t="s">
        <v>11</v>
      </c>
      <c r="B654" s="75">
        <v>1</v>
      </c>
      <c r="C654" s="14"/>
      <c r="D654" s="18"/>
      <c r="E654" s="10">
        <f t="shared" si="98"/>
        <v>1</v>
      </c>
      <c r="F654" s="19"/>
      <c r="G654" s="26">
        <v>46097</v>
      </c>
      <c r="H654" s="24"/>
      <c r="I654" s="53"/>
      <c r="J654" s="14"/>
      <c r="K654" s="18"/>
      <c r="L654" s="86">
        <f t="shared" si="102"/>
        <v>0</v>
      </c>
      <c r="M654" s="19"/>
    </row>
    <row r="655" spans="1:13" ht="14.25" thickBot="1" x14ac:dyDescent="0.2">
      <c r="A655" s="6" t="s">
        <v>5</v>
      </c>
      <c r="B655" s="44">
        <f>SUM(B631:B654)</f>
        <v>18</v>
      </c>
      <c r="C655" s="40">
        <f>SUM(C631:C654)</f>
        <v>8</v>
      </c>
      <c r="D655" s="28">
        <f>SUM(D631:D654)</f>
        <v>9</v>
      </c>
      <c r="E655" s="29">
        <f>SUM(B655:D655)</f>
        <v>35</v>
      </c>
      <c r="F655" s="30"/>
      <c r="H655" s="6" t="s">
        <v>5</v>
      </c>
      <c r="I655" s="77">
        <f>SUM(I631:I654)</f>
        <v>3</v>
      </c>
      <c r="J655" s="78">
        <f>SUM(J631:J654)</f>
        <v>3</v>
      </c>
      <c r="K655" s="79">
        <f>SUM(K631:K654)</f>
        <v>5</v>
      </c>
      <c r="L655" s="80">
        <f>SUM(I655:K655)</f>
        <v>11</v>
      </c>
      <c r="M655" s="30"/>
    </row>
    <row r="656" spans="1:13" ht="14.25" thickBot="1" x14ac:dyDescent="0.2">
      <c r="A656" s="31" t="s">
        <v>6</v>
      </c>
      <c r="B656" s="45">
        <f>B630-B655</f>
        <v>9</v>
      </c>
      <c r="C656" s="41">
        <f>C630-C655</f>
        <v>13</v>
      </c>
      <c r="D656" s="32">
        <f>D630-D655</f>
        <v>4</v>
      </c>
      <c r="E656" s="33">
        <f>SUM(B656:D656)</f>
        <v>26</v>
      </c>
      <c r="F656" s="34"/>
      <c r="H656" s="31" t="s">
        <v>6</v>
      </c>
      <c r="I656" s="81">
        <f>I630-I655</f>
        <v>1</v>
      </c>
      <c r="J656" s="82">
        <f>J630-J655</f>
        <v>2</v>
      </c>
      <c r="K656" s="83">
        <f>K630-K655</f>
        <v>2</v>
      </c>
      <c r="L656" s="84">
        <f>SUM(I656:K656)</f>
        <v>5</v>
      </c>
      <c r="M656" s="34"/>
    </row>
    <row r="657" spans="1:13" ht="19.5" thickBot="1" x14ac:dyDescent="0.25">
      <c r="A657" s="1" t="s">
        <v>10</v>
      </c>
      <c r="B657" s="1"/>
      <c r="F657" s="74">
        <v>1791</v>
      </c>
      <c r="H657" s="1" t="s">
        <v>18</v>
      </c>
      <c r="I657" s="1"/>
    </row>
    <row r="658" spans="1:13" ht="14.25" thickBot="1" x14ac:dyDescent="0.2">
      <c r="A658" s="2"/>
      <c r="B658" s="3" t="s">
        <v>7</v>
      </c>
      <c r="C658" s="73" t="s">
        <v>8</v>
      </c>
      <c r="D658" s="4" t="s">
        <v>9</v>
      </c>
      <c r="E658" s="5" t="s">
        <v>0</v>
      </c>
      <c r="F658" s="6" t="s">
        <v>1</v>
      </c>
      <c r="H658" s="2"/>
      <c r="I658" s="6" t="s">
        <v>7</v>
      </c>
      <c r="J658" s="3" t="s">
        <v>8</v>
      </c>
      <c r="K658" s="4" t="s">
        <v>9</v>
      </c>
      <c r="L658" s="5" t="s">
        <v>0</v>
      </c>
      <c r="M658" s="6" t="s">
        <v>1</v>
      </c>
    </row>
    <row r="659" spans="1:13" ht="14.25" thickBot="1" x14ac:dyDescent="0.2">
      <c r="A659" s="90" t="s">
        <v>6</v>
      </c>
      <c r="B659" s="91">
        <f>B656</f>
        <v>9</v>
      </c>
      <c r="C659" s="91">
        <f>C656</f>
        <v>13</v>
      </c>
      <c r="D659" s="91">
        <f>D656</f>
        <v>4</v>
      </c>
      <c r="E659" s="92">
        <f>SUM(B659:D659)</f>
        <v>26</v>
      </c>
      <c r="F659" s="93"/>
      <c r="H659" s="6" t="s">
        <v>6</v>
      </c>
      <c r="I659" s="94">
        <f>I656</f>
        <v>1</v>
      </c>
      <c r="J659" s="95">
        <f>J656</f>
        <v>2</v>
      </c>
      <c r="K659" s="96">
        <f>K656</f>
        <v>2</v>
      </c>
      <c r="L659" s="87">
        <f>SUM(I659:K659)</f>
        <v>5</v>
      </c>
      <c r="M659" s="97"/>
    </row>
    <row r="660" spans="1:13" x14ac:dyDescent="0.15">
      <c r="A660" s="8" t="s">
        <v>3</v>
      </c>
      <c r="B660" s="49">
        <v>5</v>
      </c>
      <c r="C660" s="58"/>
      <c r="D660" s="59"/>
      <c r="E660" s="10">
        <f t="shared" ref="E660:E670" si="103">SUM(B660:D660)</f>
        <v>5</v>
      </c>
      <c r="F660" s="13">
        <v>46104</v>
      </c>
      <c r="H660" s="8" t="s">
        <v>3</v>
      </c>
      <c r="I660" s="49">
        <v>1</v>
      </c>
      <c r="J660" s="58"/>
      <c r="K660" s="59"/>
      <c r="L660" s="86">
        <f t="shared" ref="L660:L666" si="104">SUM(I660:K660)</f>
        <v>1</v>
      </c>
      <c r="M660" s="13">
        <v>46178</v>
      </c>
    </row>
    <row r="661" spans="1:13" x14ac:dyDescent="0.15">
      <c r="A661" s="8" t="s">
        <v>3</v>
      </c>
      <c r="B661" s="49"/>
      <c r="C661" s="58"/>
      <c r="D661" s="59">
        <v>8</v>
      </c>
      <c r="E661" s="10">
        <f t="shared" si="103"/>
        <v>8</v>
      </c>
      <c r="F661" s="13">
        <v>46178</v>
      </c>
      <c r="H661" s="8" t="s">
        <v>3</v>
      </c>
      <c r="I661" s="49"/>
      <c r="J661" s="58"/>
      <c r="K661" s="59"/>
      <c r="L661" s="86">
        <f t="shared" si="104"/>
        <v>0</v>
      </c>
      <c r="M661" s="13"/>
    </row>
    <row r="662" spans="1:13" x14ac:dyDescent="0.15">
      <c r="A662" s="8" t="s">
        <v>3</v>
      </c>
      <c r="B662" s="49"/>
      <c r="C662" s="60"/>
      <c r="D662" s="61"/>
      <c r="E662" s="10">
        <f t="shared" ref="E662:E665" si="105">SUM(B662:D662)</f>
        <v>0</v>
      </c>
      <c r="F662" s="17"/>
      <c r="H662" s="8" t="s">
        <v>3</v>
      </c>
      <c r="I662" s="49"/>
      <c r="J662" s="58"/>
      <c r="K662" s="59"/>
      <c r="L662" s="86">
        <f t="shared" si="104"/>
        <v>0</v>
      </c>
      <c r="M662" s="13"/>
    </row>
    <row r="663" spans="1:13" x14ac:dyDescent="0.15">
      <c r="A663" s="8" t="s">
        <v>3</v>
      </c>
      <c r="B663" s="49"/>
      <c r="C663" s="60"/>
      <c r="D663" s="61"/>
      <c r="E663" s="10">
        <f t="shared" si="105"/>
        <v>0</v>
      </c>
      <c r="F663" s="17"/>
      <c r="H663" s="8" t="s">
        <v>3</v>
      </c>
      <c r="I663" s="49"/>
      <c r="J663" s="58"/>
      <c r="K663" s="59"/>
      <c r="L663" s="86">
        <f t="shared" si="104"/>
        <v>0</v>
      </c>
      <c r="M663" s="13"/>
    </row>
    <row r="664" spans="1:13" x14ac:dyDescent="0.15">
      <c r="A664" s="8" t="s">
        <v>3</v>
      </c>
      <c r="B664" s="49"/>
      <c r="C664" s="60"/>
      <c r="D664" s="61"/>
      <c r="E664" s="10">
        <f t="shared" si="105"/>
        <v>0</v>
      </c>
      <c r="F664" s="17"/>
      <c r="H664" s="8" t="s">
        <v>3</v>
      </c>
      <c r="I664" s="49"/>
      <c r="J664" s="58"/>
      <c r="K664" s="59"/>
      <c r="L664" s="86">
        <f t="shared" si="104"/>
        <v>0</v>
      </c>
      <c r="M664" s="13"/>
    </row>
    <row r="665" spans="1:13" x14ac:dyDescent="0.15">
      <c r="A665" s="8" t="s">
        <v>3</v>
      </c>
      <c r="B665" s="49"/>
      <c r="C665" s="60"/>
      <c r="D665" s="61"/>
      <c r="E665" s="10">
        <f t="shared" si="105"/>
        <v>0</v>
      </c>
      <c r="F665" s="17"/>
      <c r="H665" s="8" t="s">
        <v>3</v>
      </c>
      <c r="I665" s="49"/>
      <c r="J665" s="58"/>
      <c r="K665" s="59"/>
      <c r="L665" s="86">
        <f t="shared" si="104"/>
        <v>0</v>
      </c>
      <c r="M665" s="13"/>
    </row>
    <row r="666" spans="1:13" x14ac:dyDescent="0.15">
      <c r="A666" s="8" t="s">
        <v>3</v>
      </c>
      <c r="B666" s="49"/>
      <c r="C666" s="60"/>
      <c r="D666" s="61"/>
      <c r="E666" s="10">
        <f t="shared" si="103"/>
        <v>0</v>
      </c>
      <c r="F666" s="17"/>
      <c r="H666" s="8" t="s">
        <v>3</v>
      </c>
      <c r="I666" s="49"/>
      <c r="J666" s="60"/>
      <c r="K666" s="61"/>
      <c r="L666" s="86">
        <f t="shared" si="104"/>
        <v>0</v>
      </c>
      <c r="M666" s="17"/>
    </row>
    <row r="667" spans="1:13" x14ac:dyDescent="0.15">
      <c r="A667" s="8" t="s">
        <v>3</v>
      </c>
      <c r="B667" s="49"/>
      <c r="C667" s="60"/>
      <c r="D667" s="61"/>
      <c r="E667" s="10">
        <f t="shared" si="103"/>
        <v>0</v>
      </c>
      <c r="F667" s="17"/>
      <c r="H667" s="8" t="s">
        <v>3</v>
      </c>
      <c r="I667" s="49"/>
      <c r="J667" s="60"/>
      <c r="K667" s="61"/>
      <c r="L667" s="86">
        <f>SUM(I667:K667)</f>
        <v>0</v>
      </c>
      <c r="M667" s="17"/>
    </row>
    <row r="668" spans="1:13" x14ac:dyDescent="0.15">
      <c r="A668" s="8" t="s">
        <v>3</v>
      </c>
      <c r="B668" s="49"/>
      <c r="C668" s="60"/>
      <c r="D668" s="61"/>
      <c r="E668" s="10">
        <f t="shared" si="103"/>
        <v>0</v>
      </c>
      <c r="F668" s="17"/>
      <c r="H668" s="8" t="s">
        <v>3</v>
      </c>
      <c r="I668" s="49"/>
      <c r="J668" s="60"/>
      <c r="K668" s="61"/>
      <c r="L668" s="86">
        <f t="shared" ref="L668:L670" si="106">SUM(I668:K668)</f>
        <v>0</v>
      </c>
      <c r="M668" s="17"/>
    </row>
    <row r="669" spans="1:13" x14ac:dyDescent="0.15">
      <c r="A669" s="8" t="s">
        <v>3</v>
      </c>
      <c r="B669" s="36"/>
      <c r="C669" s="60"/>
      <c r="D669" s="61"/>
      <c r="E669" s="10">
        <f t="shared" si="103"/>
        <v>0</v>
      </c>
      <c r="F669" s="17"/>
      <c r="H669" s="8" t="s">
        <v>3</v>
      </c>
      <c r="I669" s="49"/>
      <c r="J669" s="58"/>
      <c r="K669" s="59"/>
      <c r="L669" s="86">
        <f t="shared" si="106"/>
        <v>0</v>
      </c>
      <c r="M669" s="13"/>
    </row>
    <row r="670" spans="1:13" ht="14.25" thickBot="1" x14ac:dyDescent="0.2">
      <c r="A670" s="37" t="s">
        <v>3</v>
      </c>
      <c r="B670" s="38"/>
      <c r="C670" s="58"/>
      <c r="D670" s="62"/>
      <c r="E670" s="10">
        <f t="shared" si="103"/>
        <v>0</v>
      </c>
      <c r="F670" s="19"/>
      <c r="H670" s="37" t="s">
        <v>3</v>
      </c>
      <c r="I670" s="111"/>
      <c r="J670" s="58"/>
      <c r="K670" s="62"/>
      <c r="L670" s="86">
        <f t="shared" si="106"/>
        <v>0</v>
      </c>
      <c r="M670" s="19"/>
    </row>
    <row r="671" spans="1:13" ht="14.25" thickBot="1" x14ac:dyDescent="0.2">
      <c r="A671" s="2" t="s">
        <v>4</v>
      </c>
      <c r="B671" s="20">
        <f>SUM(B659:B670)</f>
        <v>14</v>
      </c>
      <c r="C671" s="44">
        <f>SUM(C659:C670)</f>
        <v>13</v>
      </c>
      <c r="D671" s="21">
        <f>SUM(D659:D670)</f>
        <v>12</v>
      </c>
      <c r="E671" s="22">
        <f>SUM(B671:D671)</f>
        <v>39</v>
      </c>
      <c r="F671" s="23"/>
      <c r="H671" s="2" t="s">
        <v>4</v>
      </c>
      <c r="I671" s="88">
        <f>SUM(I659:I670)</f>
        <v>2</v>
      </c>
      <c r="J671" s="77">
        <f>SUM(J659:J670)</f>
        <v>2</v>
      </c>
      <c r="K671" s="89">
        <f>SUM(K659:K670)</f>
        <v>2</v>
      </c>
      <c r="L671" s="87">
        <f>SUM(I671:K671)</f>
        <v>6</v>
      </c>
      <c r="M671" s="23"/>
    </row>
    <row r="672" spans="1:13" x14ac:dyDescent="0.15">
      <c r="A672" s="24" t="s">
        <v>11</v>
      </c>
      <c r="B672" s="50">
        <v>3</v>
      </c>
      <c r="C672" s="39"/>
      <c r="D672" s="16"/>
      <c r="E672" s="10">
        <f t="shared" ref="E672:E695" si="107">SUM(B672:D672)</f>
        <v>3</v>
      </c>
      <c r="F672" s="25">
        <v>46104</v>
      </c>
      <c r="G672" s="26"/>
      <c r="H672" s="24" t="s">
        <v>11</v>
      </c>
      <c r="I672" s="42"/>
      <c r="J672" s="35">
        <v>1</v>
      </c>
      <c r="K672" s="9"/>
      <c r="L672" s="86">
        <f t="shared" ref="L672:L681" si="108">SUM(I672:K672)</f>
        <v>1</v>
      </c>
      <c r="M672" s="11">
        <v>46178</v>
      </c>
    </row>
    <row r="673" spans="1:13" x14ac:dyDescent="0.15">
      <c r="A673" s="24" t="s">
        <v>11</v>
      </c>
      <c r="B673" s="50"/>
      <c r="C673" s="39">
        <v>1</v>
      </c>
      <c r="D673" s="16"/>
      <c r="E673" s="10">
        <f t="shared" si="107"/>
        <v>1</v>
      </c>
      <c r="F673" s="25">
        <v>46111</v>
      </c>
      <c r="G673" s="26"/>
      <c r="H673" s="24"/>
      <c r="I673" s="42"/>
      <c r="J673" s="35"/>
      <c r="K673" s="9"/>
      <c r="L673" s="86"/>
      <c r="M673" s="11"/>
    </row>
    <row r="674" spans="1:13" x14ac:dyDescent="0.15">
      <c r="A674" s="24" t="s">
        <v>11</v>
      </c>
      <c r="B674" s="50">
        <v>2</v>
      </c>
      <c r="C674" s="39"/>
      <c r="D674" s="16"/>
      <c r="E674" s="10">
        <f t="shared" si="107"/>
        <v>2</v>
      </c>
      <c r="F674" s="25">
        <v>46115</v>
      </c>
      <c r="G674" s="26"/>
      <c r="H674" s="117"/>
      <c r="I674" s="118"/>
      <c r="J674" s="119"/>
      <c r="K674" s="120"/>
      <c r="L674" s="121">
        <f t="shared" si="108"/>
        <v>0</v>
      </c>
      <c r="M674" s="122"/>
    </row>
    <row r="675" spans="1:13" x14ac:dyDescent="0.15">
      <c r="A675" s="24" t="s">
        <v>11</v>
      </c>
      <c r="B675" s="50"/>
      <c r="C675" s="39"/>
      <c r="D675" s="16">
        <v>1</v>
      </c>
      <c r="E675" s="10">
        <f t="shared" si="107"/>
        <v>1</v>
      </c>
      <c r="F675" s="25">
        <v>46118</v>
      </c>
      <c r="G675" s="26"/>
      <c r="H675" s="24"/>
      <c r="I675" s="42"/>
      <c r="J675" s="35"/>
      <c r="K675" s="9"/>
      <c r="L675" s="86">
        <f t="shared" si="108"/>
        <v>0</v>
      </c>
      <c r="M675" s="11"/>
    </row>
    <row r="676" spans="1:13" x14ac:dyDescent="0.15">
      <c r="A676" s="24" t="s">
        <v>11</v>
      </c>
      <c r="B676" s="50"/>
      <c r="C676" s="39"/>
      <c r="D676" s="16">
        <v>1</v>
      </c>
      <c r="E676" s="10">
        <f t="shared" si="107"/>
        <v>1</v>
      </c>
      <c r="F676" s="25">
        <v>46129</v>
      </c>
      <c r="G676" s="26"/>
      <c r="H676" s="24"/>
      <c r="I676" s="42"/>
      <c r="J676" s="35"/>
      <c r="K676" s="9"/>
      <c r="L676" s="86">
        <f t="shared" si="108"/>
        <v>0</v>
      </c>
      <c r="M676" s="11"/>
    </row>
    <row r="677" spans="1:13" x14ac:dyDescent="0.15">
      <c r="A677" s="24" t="s">
        <v>11</v>
      </c>
      <c r="B677" s="50"/>
      <c r="C677" s="39">
        <v>1</v>
      </c>
      <c r="D677" s="16">
        <v>1</v>
      </c>
      <c r="E677" s="10">
        <f t="shared" si="107"/>
        <v>2</v>
      </c>
      <c r="F677" s="25">
        <v>46149</v>
      </c>
      <c r="G677" s="26"/>
      <c r="H677" s="24"/>
      <c r="I677" s="42"/>
      <c r="J677" s="35"/>
      <c r="K677" s="9"/>
      <c r="L677" s="86">
        <f t="shared" si="108"/>
        <v>0</v>
      </c>
      <c r="M677" s="11"/>
    </row>
    <row r="678" spans="1:13" x14ac:dyDescent="0.15">
      <c r="A678" s="24" t="s">
        <v>11</v>
      </c>
      <c r="B678" s="50"/>
      <c r="C678" s="39">
        <v>1</v>
      </c>
      <c r="D678" s="16"/>
      <c r="E678" s="10">
        <f t="shared" si="107"/>
        <v>1</v>
      </c>
      <c r="F678" s="25">
        <v>46150</v>
      </c>
      <c r="G678" s="26"/>
      <c r="H678" s="24"/>
      <c r="I678" s="42"/>
      <c r="J678" s="35"/>
      <c r="K678" s="9"/>
      <c r="L678" s="86">
        <f t="shared" si="108"/>
        <v>0</v>
      </c>
      <c r="M678" s="11"/>
    </row>
    <row r="679" spans="1:13" x14ac:dyDescent="0.15">
      <c r="A679" s="24" t="s">
        <v>11</v>
      </c>
      <c r="B679" s="50"/>
      <c r="C679" s="39">
        <v>1</v>
      </c>
      <c r="D679" s="16"/>
      <c r="E679" s="10">
        <f t="shared" si="107"/>
        <v>1</v>
      </c>
      <c r="F679" s="25">
        <v>46170</v>
      </c>
      <c r="G679" s="26"/>
      <c r="H679" s="24"/>
      <c r="I679" s="42"/>
      <c r="J679" s="35"/>
      <c r="K679" s="9"/>
      <c r="L679" s="86">
        <f t="shared" si="108"/>
        <v>0</v>
      </c>
      <c r="M679" s="11"/>
    </row>
    <row r="680" spans="1:13" x14ac:dyDescent="0.15">
      <c r="A680" s="24" t="s">
        <v>11</v>
      </c>
      <c r="B680" s="50"/>
      <c r="C680" s="39"/>
      <c r="D680" s="16">
        <v>1</v>
      </c>
      <c r="E680" s="10">
        <f t="shared" si="107"/>
        <v>1</v>
      </c>
      <c r="F680" s="25">
        <v>46174</v>
      </c>
      <c r="G680" s="26"/>
      <c r="H680" s="24"/>
      <c r="I680" s="42"/>
      <c r="J680" s="35"/>
      <c r="K680" s="9"/>
      <c r="L680" s="86">
        <f t="shared" si="108"/>
        <v>0</v>
      </c>
      <c r="M680" s="11"/>
    </row>
    <row r="681" spans="1:13" x14ac:dyDescent="0.15">
      <c r="A681" s="24" t="s">
        <v>11</v>
      </c>
      <c r="B681" s="50">
        <v>1</v>
      </c>
      <c r="C681" s="39"/>
      <c r="D681" s="16"/>
      <c r="E681" s="10">
        <f t="shared" si="107"/>
        <v>1</v>
      </c>
      <c r="F681" s="25">
        <v>46182</v>
      </c>
      <c r="G681" s="26"/>
      <c r="H681" s="24"/>
      <c r="I681" s="42"/>
      <c r="J681" s="35"/>
      <c r="K681" s="9"/>
      <c r="L681" s="86">
        <f t="shared" si="108"/>
        <v>0</v>
      </c>
      <c r="M681" s="11"/>
    </row>
    <row r="682" spans="1:13" x14ac:dyDescent="0.15">
      <c r="A682" s="24" t="s">
        <v>11</v>
      </c>
      <c r="B682" s="50"/>
      <c r="C682" s="39"/>
      <c r="D682" s="16">
        <v>1</v>
      </c>
      <c r="E682" s="10">
        <f t="shared" si="107"/>
        <v>1</v>
      </c>
      <c r="F682" s="25">
        <v>46184</v>
      </c>
      <c r="G682" s="26"/>
      <c r="H682" s="24"/>
      <c r="I682" s="42"/>
      <c r="J682" s="35"/>
      <c r="K682" s="9"/>
      <c r="L682" s="86">
        <f>SUM(I682:K682)</f>
        <v>0</v>
      </c>
      <c r="M682" s="11"/>
    </row>
    <row r="683" spans="1:13" x14ac:dyDescent="0.15">
      <c r="A683" s="24" t="s">
        <v>11</v>
      </c>
      <c r="B683" s="50">
        <v>1</v>
      </c>
      <c r="C683" s="39">
        <v>1</v>
      </c>
      <c r="D683" s="16"/>
      <c r="E683" s="10">
        <f t="shared" si="107"/>
        <v>2</v>
      </c>
      <c r="F683" s="25">
        <v>46195</v>
      </c>
      <c r="G683" s="26"/>
      <c r="H683" s="24"/>
      <c r="I683" s="42"/>
      <c r="J683" s="35"/>
      <c r="K683" s="9"/>
      <c r="L683" s="86">
        <f t="shared" ref="L683:L695" si="109">SUM(I683:K683)</f>
        <v>0</v>
      </c>
      <c r="M683" s="11"/>
    </row>
    <row r="684" spans="1:13" x14ac:dyDescent="0.15">
      <c r="A684" s="24" t="s">
        <v>11</v>
      </c>
      <c r="B684" s="50">
        <v>1</v>
      </c>
      <c r="C684" s="39">
        <v>1</v>
      </c>
      <c r="D684" s="16"/>
      <c r="E684" s="10">
        <f t="shared" si="107"/>
        <v>2</v>
      </c>
      <c r="F684" s="25">
        <v>46216</v>
      </c>
      <c r="G684" s="26"/>
      <c r="H684" s="24"/>
      <c r="I684" s="42"/>
      <c r="J684" s="35"/>
      <c r="K684" s="9"/>
      <c r="L684" s="86">
        <f t="shared" si="109"/>
        <v>0</v>
      </c>
      <c r="M684" s="11"/>
    </row>
    <row r="685" spans="1:13" x14ac:dyDescent="0.15">
      <c r="A685" s="24" t="s">
        <v>19</v>
      </c>
      <c r="B685" s="50"/>
      <c r="C685" s="39">
        <v>2</v>
      </c>
      <c r="D685" s="16">
        <v>2</v>
      </c>
      <c r="E685" s="10">
        <f t="shared" si="107"/>
        <v>4</v>
      </c>
      <c r="F685" s="25">
        <v>46224</v>
      </c>
      <c r="G685" s="26"/>
      <c r="H685" s="24"/>
      <c r="I685" s="42"/>
      <c r="J685" s="35"/>
      <c r="K685" s="9"/>
      <c r="L685" s="86">
        <f t="shared" si="109"/>
        <v>0</v>
      </c>
      <c r="M685" s="11"/>
    </row>
    <row r="686" spans="1:13" x14ac:dyDescent="0.15">
      <c r="A686" s="24"/>
      <c r="B686" s="50"/>
      <c r="C686" s="39"/>
      <c r="D686" s="16"/>
      <c r="E686" s="10">
        <f t="shared" si="107"/>
        <v>0</v>
      </c>
      <c r="F686" s="25"/>
      <c r="G686" s="26"/>
      <c r="H686" s="24"/>
      <c r="I686" s="43"/>
      <c r="J686" s="39"/>
      <c r="K686" s="16"/>
      <c r="L686" s="86">
        <f t="shared" si="109"/>
        <v>0</v>
      </c>
      <c r="M686" s="25"/>
    </row>
    <row r="687" spans="1:13" x14ac:dyDescent="0.15">
      <c r="A687" s="24"/>
      <c r="B687" s="50"/>
      <c r="C687" s="39"/>
      <c r="D687" s="16"/>
      <c r="E687" s="10">
        <f t="shared" si="107"/>
        <v>0</v>
      </c>
      <c r="F687" s="25"/>
      <c r="G687" s="26"/>
      <c r="H687" s="24"/>
      <c r="I687" s="42"/>
      <c r="J687" s="35"/>
      <c r="K687" s="9"/>
      <c r="L687" s="86">
        <f t="shared" si="109"/>
        <v>0</v>
      </c>
      <c r="M687" s="11"/>
    </row>
    <row r="688" spans="1:13" x14ac:dyDescent="0.15">
      <c r="A688" s="24"/>
      <c r="B688" s="50"/>
      <c r="C688" s="39"/>
      <c r="D688" s="16"/>
      <c r="E688" s="10">
        <f t="shared" si="107"/>
        <v>0</v>
      </c>
      <c r="F688" s="25"/>
      <c r="G688" s="26"/>
      <c r="H688" s="24"/>
      <c r="I688" s="42"/>
      <c r="J688" s="35"/>
      <c r="K688" s="9"/>
      <c r="L688" s="86">
        <f t="shared" si="109"/>
        <v>0</v>
      </c>
      <c r="M688" s="11"/>
    </row>
    <row r="689" spans="1:13" x14ac:dyDescent="0.15">
      <c r="A689" s="24"/>
      <c r="B689" s="50"/>
      <c r="C689" s="39"/>
      <c r="D689" s="16"/>
      <c r="E689" s="10">
        <f t="shared" si="107"/>
        <v>0</v>
      </c>
      <c r="F689" s="25"/>
      <c r="G689" s="26"/>
      <c r="H689" s="24"/>
      <c r="I689" s="42"/>
      <c r="J689" s="35"/>
      <c r="K689" s="9"/>
      <c r="L689" s="86">
        <f t="shared" si="109"/>
        <v>0</v>
      </c>
      <c r="M689" s="11"/>
    </row>
    <row r="690" spans="1:13" x14ac:dyDescent="0.15">
      <c r="A690" s="24"/>
      <c r="B690" s="50"/>
      <c r="C690" s="39"/>
      <c r="D690" s="16"/>
      <c r="E690" s="10">
        <f t="shared" si="107"/>
        <v>0</v>
      </c>
      <c r="F690" s="25"/>
      <c r="G690" s="26"/>
      <c r="H690" s="24"/>
      <c r="I690" s="42"/>
      <c r="J690" s="35"/>
      <c r="K690" s="9"/>
      <c r="L690" s="86">
        <f t="shared" si="109"/>
        <v>0</v>
      </c>
      <c r="M690" s="11"/>
    </row>
    <row r="691" spans="1:13" x14ac:dyDescent="0.15">
      <c r="A691" s="24"/>
      <c r="B691" s="50"/>
      <c r="C691" s="39"/>
      <c r="D691" s="16"/>
      <c r="E691" s="10">
        <f t="shared" si="107"/>
        <v>0</v>
      </c>
      <c r="F691" s="25"/>
      <c r="G691" s="26"/>
      <c r="H691" s="24"/>
      <c r="I691" s="42"/>
      <c r="J691" s="35"/>
      <c r="K691" s="9"/>
      <c r="L691" s="86">
        <f t="shared" si="109"/>
        <v>0</v>
      </c>
      <c r="M691" s="11"/>
    </row>
    <row r="692" spans="1:13" x14ac:dyDescent="0.15">
      <c r="A692" s="24"/>
      <c r="B692" s="50"/>
      <c r="C692" s="39"/>
      <c r="D692" s="16"/>
      <c r="E692" s="10">
        <f t="shared" si="107"/>
        <v>0</v>
      </c>
      <c r="F692" s="25"/>
      <c r="G692" s="26"/>
      <c r="H692" s="24"/>
      <c r="I692" s="43"/>
      <c r="J692" s="35"/>
      <c r="K692" s="9"/>
      <c r="L692" s="86">
        <f t="shared" si="109"/>
        <v>0</v>
      </c>
      <c r="M692" s="11"/>
    </row>
    <row r="693" spans="1:13" x14ac:dyDescent="0.15">
      <c r="A693" s="24"/>
      <c r="B693" s="50"/>
      <c r="C693" s="39"/>
      <c r="D693" s="16"/>
      <c r="E693" s="10">
        <f t="shared" si="107"/>
        <v>0</v>
      </c>
      <c r="F693" s="25"/>
      <c r="G693" s="26"/>
      <c r="H693" s="24"/>
      <c r="I693" s="42"/>
      <c r="J693" s="35"/>
      <c r="K693" s="9"/>
      <c r="L693" s="86">
        <f t="shared" si="109"/>
        <v>0</v>
      </c>
      <c r="M693" s="11"/>
    </row>
    <row r="694" spans="1:13" x14ac:dyDescent="0.15">
      <c r="A694" s="24"/>
      <c r="B694" s="50"/>
      <c r="C694" s="39"/>
      <c r="D694" s="16"/>
      <c r="E694" s="10">
        <f t="shared" si="107"/>
        <v>0</v>
      </c>
      <c r="F694" s="25"/>
      <c r="G694" s="26"/>
      <c r="H694" s="24"/>
      <c r="I694" s="42"/>
      <c r="J694" s="35"/>
      <c r="K694" s="9"/>
      <c r="L694" s="86">
        <f t="shared" si="109"/>
        <v>0</v>
      </c>
      <c r="M694" s="11"/>
    </row>
    <row r="695" spans="1:13" ht="14.25" thickBot="1" x14ac:dyDescent="0.2">
      <c r="A695" s="24"/>
      <c r="B695" s="75"/>
      <c r="C695" s="14"/>
      <c r="D695" s="18"/>
      <c r="E695" s="10">
        <f t="shared" si="107"/>
        <v>0</v>
      </c>
      <c r="F695" s="19"/>
      <c r="H695" s="24"/>
      <c r="I695" s="53"/>
      <c r="J695" s="14"/>
      <c r="K695" s="18"/>
      <c r="L695" s="86">
        <f t="shared" si="109"/>
        <v>0</v>
      </c>
      <c r="M695" s="19"/>
    </row>
    <row r="696" spans="1:13" ht="14.25" thickBot="1" x14ac:dyDescent="0.2">
      <c r="A696" s="6" t="s">
        <v>5</v>
      </c>
      <c r="B696" s="44">
        <f>SUM(B672:B695)</f>
        <v>8</v>
      </c>
      <c r="C696" s="40">
        <f>SUM(C672:C695)</f>
        <v>8</v>
      </c>
      <c r="D696" s="28">
        <f>SUM(D672:D695)</f>
        <v>7</v>
      </c>
      <c r="E696" s="29">
        <f>SUM(B696:D696)</f>
        <v>23</v>
      </c>
      <c r="F696" s="30"/>
      <c r="H696" s="6" t="s">
        <v>5</v>
      </c>
      <c r="I696" s="77">
        <f>SUM(I672:I695)</f>
        <v>0</v>
      </c>
      <c r="J696" s="78">
        <f>SUM(J672:J695)</f>
        <v>1</v>
      </c>
      <c r="K696" s="79">
        <f>SUM(K672:K695)</f>
        <v>0</v>
      </c>
      <c r="L696" s="80">
        <f>SUM(I696:K696)</f>
        <v>1</v>
      </c>
      <c r="M696" s="30"/>
    </row>
    <row r="697" spans="1:13" ht="14.25" thickBot="1" x14ac:dyDescent="0.2">
      <c r="A697" s="31" t="s">
        <v>6</v>
      </c>
      <c r="B697" s="45">
        <f>B671-B696</f>
        <v>6</v>
      </c>
      <c r="C697" s="41">
        <f>C671-C696</f>
        <v>5</v>
      </c>
      <c r="D697" s="32">
        <f>D671-D696</f>
        <v>5</v>
      </c>
      <c r="E697" s="33">
        <f>SUM(B697:D697)</f>
        <v>16</v>
      </c>
      <c r="F697" s="34"/>
      <c r="H697" s="31" t="s">
        <v>6</v>
      </c>
      <c r="I697" s="81">
        <f>I671-I696</f>
        <v>2</v>
      </c>
      <c r="J697" s="82">
        <f>J671-J696</f>
        <v>1</v>
      </c>
      <c r="K697" s="83">
        <f>K671-K696</f>
        <v>2</v>
      </c>
      <c r="L697" s="84">
        <f>SUM(I697:K697)</f>
        <v>5</v>
      </c>
      <c r="M697" s="34"/>
    </row>
  </sheetData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オムツコート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yumehan11</dc:creator>
  <cp:lastModifiedBy>聡祐 松島</cp:lastModifiedBy>
  <dcterms:created xsi:type="dcterms:W3CDTF">2016-05-02T07:17:04Z</dcterms:created>
  <dcterms:modified xsi:type="dcterms:W3CDTF">2026-07-22T04:03:33Z</dcterms:modified>
</cp:coreProperties>
</file>