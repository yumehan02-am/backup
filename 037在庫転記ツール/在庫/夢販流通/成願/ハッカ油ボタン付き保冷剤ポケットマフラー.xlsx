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成願\"/>
    </mc:Choice>
  </mc:AlternateContent>
  <xr:revisionPtr revIDLastSave="0" documentId="13_ncr:1_{EDCD4EEA-13E7-43F4-A6E5-6568A2D850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保冷剤ﾏﾌﾗ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5" i="2" l="1"/>
  <c r="E145" i="2" s="1"/>
  <c r="D137" i="2"/>
  <c r="E103" i="2"/>
  <c r="E137" i="2"/>
  <c r="E138" i="2"/>
  <c r="E139" i="2"/>
  <c r="E140" i="2"/>
  <c r="E131" i="2"/>
  <c r="E132" i="2"/>
  <c r="E133" i="2"/>
  <c r="C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4" i="2"/>
  <c r="E143" i="2"/>
  <c r="E142" i="2"/>
  <c r="E141" i="2"/>
  <c r="E135" i="2"/>
  <c r="E134" i="2"/>
  <c r="D121" i="2"/>
  <c r="C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2" i="2"/>
  <c r="E101" i="2"/>
  <c r="E100" i="2"/>
  <c r="E99" i="2"/>
  <c r="E98" i="2"/>
  <c r="E97" i="2"/>
  <c r="E96" i="2"/>
  <c r="E94" i="2"/>
  <c r="E93" i="2"/>
  <c r="E92" i="2"/>
  <c r="E91" i="2"/>
  <c r="E90" i="2"/>
  <c r="C68" i="2"/>
  <c r="D60" i="2"/>
  <c r="D80" i="2" s="1"/>
  <c r="C55" i="2"/>
  <c r="E49" i="2"/>
  <c r="E50" i="2"/>
  <c r="C39" i="2"/>
  <c r="E38" i="2"/>
  <c r="E10" i="2"/>
  <c r="E79" i="2"/>
  <c r="C80" i="2"/>
  <c r="E56" i="2"/>
  <c r="E51" i="2"/>
  <c r="E52" i="2"/>
  <c r="E53" i="2"/>
  <c r="E55" i="2"/>
  <c r="E57" i="2"/>
  <c r="E58" i="2"/>
  <c r="E59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D39" i="2"/>
  <c r="E14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1" i="2"/>
  <c r="E32" i="2"/>
  <c r="E33" i="2"/>
  <c r="E34" i="2"/>
  <c r="E35" i="2"/>
  <c r="E36" i="2"/>
  <c r="E37" i="2"/>
  <c r="E15" i="2"/>
  <c r="D13" i="2"/>
  <c r="C13" i="2"/>
  <c r="E8" i="2"/>
  <c r="E9" i="2"/>
  <c r="E11" i="2"/>
  <c r="E12" i="2"/>
  <c r="E7" i="2"/>
  <c r="D162" i="2" l="1"/>
  <c r="E162" i="2"/>
  <c r="E121" i="2"/>
  <c r="E60" i="2"/>
  <c r="E80" i="2" s="1"/>
  <c r="E30" i="2"/>
  <c r="E39" i="2" s="1"/>
  <c r="C40" i="2"/>
  <c r="D40" i="2"/>
  <c r="D48" i="2" s="1"/>
  <c r="D54" i="2" s="1"/>
  <c r="D81" i="2" s="1"/>
  <c r="D89" i="2" s="1"/>
  <c r="D95" i="2" s="1"/>
  <c r="D122" i="2" s="1"/>
  <c r="D130" i="2" s="1"/>
  <c r="D136" i="2" s="1"/>
  <c r="D163" i="2" s="1"/>
  <c r="E13" i="2"/>
  <c r="E40" i="2" l="1"/>
  <c r="E48" i="2" s="1"/>
  <c r="E54" i="2" s="1"/>
  <c r="E81" i="2" s="1"/>
  <c r="E89" i="2" s="1"/>
  <c r="E95" i="2" s="1"/>
  <c r="E122" i="2" s="1"/>
  <c r="E130" i="2" s="1"/>
  <c r="E136" i="2" s="1"/>
  <c r="E163" i="2" s="1"/>
  <c r="C48" i="2"/>
  <c r="C54" i="2" s="1"/>
  <c r="C81" i="2" s="1"/>
  <c r="C89" i="2" s="1"/>
  <c r="C95" i="2" s="1"/>
  <c r="C122" i="2" s="1"/>
  <c r="C130" i="2" s="1"/>
  <c r="C136" i="2" s="1"/>
  <c r="C163" i="2" s="1"/>
</calcChain>
</file>

<file path=xl/sharedStrings.xml><?xml version="1.0" encoding="utf-8"?>
<sst xmlns="http://schemas.openxmlformats.org/spreadsheetml/2006/main" count="140" uniqueCount="41">
  <si>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</si>
  <si>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</si>
  <si>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</si>
  <si>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</si>
  <si>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</si>
  <si>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</si>
  <si>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ボタン付き保冷剤ポケットマフラー</t>
    <rPh sb="3" eb="4">
      <t>ツ</t>
    </rPh>
    <rPh sb="5" eb="8">
      <t>ホレイザイ</t>
    </rPh>
    <phoneticPr fontId="1"/>
  </si>
  <si>
    <t>ハッカ油</t>
    <rPh sb="3" eb="4">
      <t>ユ</t>
    </rPh>
    <phoneticPr fontId="1"/>
  </si>
  <si>
    <t>大柄</t>
    <rPh sb="0" eb="2">
      <t>オオガラ</t>
    </rPh>
    <phoneticPr fontId="1"/>
  </si>
  <si>
    <t>小柄</t>
    <rPh sb="0" eb="2">
      <t>コガラ</t>
    </rPh>
    <phoneticPr fontId="1"/>
  </si>
  <si>
    <t>【小柄　PCHK-150 @600】【大柄　PCHK-151 @600】</t>
    <rPh sb="1" eb="3">
      <t>コガラ</t>
    </rPh>
    <rPh sb="19" eb="21">
      <t>オオガラ</t>
    </rPh>
    <phoneticPr fontId="1"/>
  </si>
  <si>
    <t>撮影サンプル</t>
    <rPh sb="0" eb="2">
      <t>サツエイ</t>
    </rPh>
    <phoneticPr fontId="1"/>
  </si>
  <si>
    <t>6/4～</t>
    <phoneticPr fontId="1"/>
  </si>
  <si>
    <t>JODルフェリ0606(表4)</t>
    <rPh sb="12" eb="13">
      <t>ヒョウ</t>
    </rPh>
    <phoneticPr fontId="1"/>
  </si>
  <si>
    <t>ネット</t>
    <phoneticPr fontId="1"/>
  </si>
  <si>
    <t>柄A</t>
    <rPh sb="0" eb="1">
      <t>ガラ</t>
    </rPh>
    <phoneticPr fontId="1"/>
  </si>
  <si>
    <t>柄B</t>
    <rPh sb="0" eb="1">
      <t>ガラ</t>
    </rPh>
    <phoneticPr fontId="1"/>
  </si>
  <si>
    <t>JOD柄名</t>
    <rPh sb="3" eb="5">
      <t>ガラメイ</t>
    </rPh>
    <phoneticPr fontId="1"/>
  </si>
  <si>
    <t>JOD①</t>
    <phoneticPr fontId="1"/>
  </si>
  <si>
    <t>JOD②</t>
    <phoneticPr fontId="1"/>
  </si>
  <si>
    <t>JOD③</t>
    <phoneticPr fontId="1"/>
  </si>
  <si>
    <t>JOD④</t>
    <phoneticPr fontId="1"/>
  </si>
  <si>
    <t>JOD⑤</t>
    <phoneticPr fontId="1"/>
  </si>
  <si>
    <t>JOD⑥</t>
    <phoneticPr fontId="1"/>
  </si>
  <si>
    <t>JOD⑦</t>
    <phoneticPr fontId="1"/>
  </si>
  <si>
    <t>JOD⑧</t>
    <phoneticPr fontId="1"/>
  </si>
  <si>
    <t>JOD⑨</t>
    <phoneticPr fontId="1"/>
  </si>
  <si>
    <t>JOD⑩</t>
    <phoneticPr fontId="1"/>
  </si>
  <si>
    <t>JOD⑪</t>
    <phoneticPr fontId="1"/>
  </si>
  <si>
    <t>JOD⑫</t>
    <phoneticPr fontId="1"/>
  </si>
  <si>
    <t>JOD⑬</t>
    <phoneticPr fontId="1"/>
  </si>
  <si>
    <t>JOD⑭</t>
    <phoneticPr fontId="1"/>
  </si>
  <si>
    <t>JOD⑮</t>
    <phoneticPr fontId="1"/>
  </si>
  <si>
    <t>JOD⑯</t>
    <phoneticPr fontId="1"/>
  </si>
  <si>
    <t>Amazon</t>
    <phoneticPr fontId="1"/>
  </si>
  <si>
    <t>JOD⑰</t>
    <phoneticPr fontId="1"/>
  </si>
  <si>
    <t>JOD⑱</t>
    <phoneticPr fontId="1"/>
  </si>
  <si>
    <t>JOD⑲</t>
    <phoneticPr fontId="1"/>
  </si>
  <si>
    <t>JOD⑳</t>
    <phoneticPr fontId="1"/>
  </si>
  <si>
    <t>在庫確認</t>
    <rPh sb="0" eb="4">
      <t>ザイコカクニン</t>
    </rPh>
    <phoneticPr fontId="1"/>
  </si>
  <si>
    <t>2025/5/1数伝</t>
    <rPh sb="8" eb="9">
      <t>スウ</t>
    </rPh>
    <rPh sb="9" eb="10">
      <t>デン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</si>
</sst>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56" fontId="0" fillId="0" borderId="2" xfId="0" applyNumberFormat="1" applyBorder="1" applyAlignment="1">
      <alignment horizontal="center"/>
    </xf>
    <xf numFmtId="0" fontId="0" fillId="0" borderId="2" xfId="0" applyBorder="1"/>
    <xf numFmtId="56" fontId="0" fillId="0" borderId="0" xfId="0" applyNumberFormat="1"/>
    <xf numFmtId="56" fontId="3" fillId="0" borderId="0" xfId="0" applyNumberFormat="1" applyFont="1"/>
    <xf numFmtId="0" fontId="0" fillId="0" borderId="8" xfId="0" applyBorder="1"/>
    <xf numFmtId="0" fontId="0" fillId="0" borderId="10" xfId="0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56" fontId="0" fillId="0" borderId="0" xfId="0" applyNumberFormat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0" borderId="17" xfId="0" applyFont="1" applyBorder="1"/>
    <xf numFmtId="0" fontId="4" fillId="0" borderId="24" xfId="0" applyFont="1" applyBorder="1"/>
    <xf numFmtId="56" fontId="4" fillId="0" borderId="4" xfId="0" applyNumberFormat="1" applyFont="1" applyBorder="1" applyAlignment="1">
      <alignment horizontal="center"/>
    </xf>
    <xf numFmtId="0" fontId="4" fillId="0" borderId="15" xfId="0" applyFont="1" applyBorder="1"/>
    <xf numFmtId="0" fontId="4" fillId="0" borderId="4" xfId="0" applyFont="1" applyBorder="1"/>
    <xf numFmtId="56" fontId="0" fillId="0" borderId="5" xfId="0" applyNumberFormat="1" applyBorder="1" applyAlignment="1">
      <alignment horizontal="center"/>
    </xf>
    <xf numFmtId="0" fontId="0" fillId="0" borderId="23" xfId="0" applyBorder="1"/>
    <xf numFmtId="56" fontId="0" fillId="0" borderId="0" xfId="0" applyNumberFormat="1" applyAlignment="1">
      <alignment horizontal="left"/>
    </xf>
    <xf numFmtId="0" fontId="0" fillId="0" borderId="25" xfId="0" applyBorder="1"/>
    <xf numFmtId="0" fontId="4" fillId="0" borderId="8" xfId="0" applyFont="1" applyBorder="1"/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3" fillId="0" borderId="27" xfId="0" applyFont="1" applyBorder="1"/>
    <xf numFmtId="0" fontId="4" fillId="0" borderId="29" xfId="0" applyFont="1" applyBorder="1"/>
    <xf numFmtId="0" fontId="0" fillId="0" borderId="4" xfId="0" applyBorder="1"/>
    <xf numFmtId="0" fontId="2" fillId="2" borderId="0" xfId="0" applyFont="1" applyFill="1"/>
    <xf numFmtId="0" fontId="0" fillId="2" borderId="0" xfId="0" applyFill="1"/>
    <xf numFmtId="0" fontId="5" fillId="2" borderId="0" xfId="0" applyFont="1" applyFill="1"/>
    <xf numFmtId="56" fontId="0" fillId="0" borderId="4" xfId="0" applyNumberForma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4" fillId="0" borderId="28" xfId="0" applyFont="1" applyBorder="1"/>
    <xf numFmtId="0" fontId="0" fillId="0" borderId="31" xfId="0" applyBorder="1"/>
    <xf numFmtId="0" fontId="0" fillId="0" borderId="32" xfId="0" applyBorder="1"/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124</xdr:row>
      <xdr:rowOff>161925</xdr:rowOff>
    </xdr:from>
    <xdr:to>
      <xdr:col>20</xdr:col>
      <xdr:colOff>447675</xdr:colOff>
      <xdr:row>143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4DB2F59-AA52-E17D-DCC6-23E35A4A43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686925" y="22098000"/>
          <a:ext cx="5191125" cy="3343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topLeftCell="A124" zoomScaleNormal="100" workbookViewId="0">
      <selection activeCell="F134" sqref="F134"/>
    </sheetView>
  </sheetViews>
  <sheetFormatPr defaultRowHeight="13.5" x14ac:dyDescent="0.15"/>
  <cols>
    <col min="2" max="2" width="22.75" style="1" customWidth="1"/>
    <col min="3" max="4" width="8.125" customWidth="1"/>
    <col min="5" max="5" width="7" customWidth="1"/>
    <col min="6" max="6" width="9.25" bestFit="1" customWidth="1"/>
    <col min="7" max="7" width="8.125" customWidth="1"/>
  </cols>
  <sheetData>
    <row r="1" spans="2:6" ht="18.75" x14ac:dyDescent="0.2">
      <c r="B1" s="41" t="s">
        <v>6</v>
      </c>
      <c r="C1" s="42"/>
      <c r="D1" s="42"/>
      <c r="E1" s="42"/>
      <c r="F1" s="42"/>
    </row>
    <row r="2" spans="2:6" ht="17.25" x14ac:dyDescent="0.2">
      <c r="B2" s="43" t="s">
        <v>10</v>
      </c>
      <c r="C2" s="42"/>
      <c r="D2" s="42"/>
      <c r="E2" s="42"/>
      <c r="F2" s="42"/>
    </row>
    <row r="3" spans="2:6" ht="14.25" thickBot="1" x14ac:dyDescent="0.2"/>
    <row r="4" spans="2:6" ht="14.25" thickBot="1" x14ac:dyDescent="0.2">
      <c r="B4" s="15"/>
      <c r="C4" s="51" t="s">
        <v>7</v>
      </c>
      <c r="D4" s="52"/>
      <c r="E4" s="53"/>
    </row>
    <row r="5" spans="2:6" s="1" customFormat="1" ht="14.25" thickBot="1" x14ac:dyDescent="0.2">
      <c r="B5" s="14"/>
      <c r="C5" s="45" t="s">
        <v>9</v>
      </c>
      <c r="D5" s="46" t="s">
        <v>8</v>
      </c>
      <c r="E5" s="13" t="s">
        <v>0</v>
      </c>
    </row>
    <row r="6" spans="2:6" s="1" customFormat="1" ht="14.25" thickBot="1" x14ac:dyDescent="0.2">
      <c r="B6" s="14" t="s">
        <v>17</v>
      </c>
      <c r="C6" s="45" t="s">
        <v>15</v>
      </c>
      <c r="D6" s="46" t="s">
        <v>16</v>
      </c>
      <c r="E6" s="13"/>
    </row>
    <row r="7" spans="2:6" ht="14.25" customHeight="1" x14ac:dyDescent="0.15">
      <c r="B7" s="44" t="s">
        <v>5</v>
      </c>
      <c r="C7" s="17">
        <v>20</v>
      </c>
      <c r="D7" s="18">
        <v>20</v>
      </c>
      <c r="E7" s="40">
        <f t="shared" ref="E7:E12" si="0">SUM(C7:D7)</f>
        <v>40</v>
      </c>
      <c r="F7" s="7">
        <v>45384</v>
      </c>
    </row>
    <row r="8" spans="2:6" x14ac:dyDescent="0.15">
      <c r="B8" s="12" t="s">
        <v>4</v>
      </c>
      <c r="C8" s="19">
        <v>1</v>
      </c>
      <c r="D8" s="20">
        <v>1</v>
      </c>
      <c r="E8" s="6">
        <f t="shared" si="0"/>
        <v>2</v>
      </c>
      <c r="F8" s="7">
        <v>45397</v>
      </c>
    </row>
    <row r="9" spans="2:6" x14ac:dyDescent="0.15">
      <c r="B9" s="12" t="s">
        <v>4</v>
      </c>
      <c r="C9" s="19"/>
      <c r="D9" s="20"/>
      <c r="E9" s="6">
        <f t="shared" si="0"/>
        <v>0</v>
      </c>
      <c r="F9" s="7"/>
    </row>
    <row r="10" spans="2:6" x14ac:dyDescent="0.15">
      <c r="B10" s="12" t="s">
        <v>4</v>
      </c>
      <c r="C10" s="19">
        <v>30</v>
      </c>
      <c r="D10" s="20">
        <v>30</v>
      </c>
      <c r="E10" s="6">
        <f>SUM(C10:D10)</f>
        <v>60</v>
      </c>
      <c r="F10" s="7">
        <v>45444</v>
      </c>
    </row>
    <row r="11" spans="2:6" x14ac:dyDescent="0.15">
      <c r="B11" s="12" t="s">
        <v>4</v>
      </c>
      <c r="C11" s="19"/>
      <c r="D11" s="20"/>
      <c r="E11" s="6">
        <f t="shared" si="0"/>
        <v>0</v>
      </c>
      <c r="F11" s="7"/>
    </row>
    <row r="12" spans="2:6" ht="14.25" thickBot="1" x14ac:dyDescent="0.2">
      <c r="B12" s="11" t="s">
        <v>4</v>
      </c>
      <c r="C12" s="21"/>
      <c r="D12" s="22"/>
      <c r="E12" s="10">
        <f t="shared" si="0"/>
        <v>0</v>
      </c>
      <c r="F12" s="7"/>
    </row>
    <row r="13" spans="2:6" ht="14.25" thickBot="1" x14ac:dyDescent="0.2">
      <c r="B13" s="4" t="s">
        <v>1</v>
      </c>
      <c r="C13" s="23">
        <f>SUM(C7:C12)</f>
        <v>51</v>
      </c>
      <c r="D13" s="24">
        <f t="shared" ref="D13:E13" si="1">SUM(D7:D12)</f>
        <v>51</v>
      </c>
      <c r="E13" s="9">
        <f t="shared" si="1"/>
        <v>102</v>
      </c>
    </row>
    <row r="14" spans="2:6" x14ac:dyDescent="0.15">
      <c r="B14" s="30" t="s">
        <v>11</v>
      </c>
      <c r="C14" s="17">
        <v>1</v>
      </c>
      <c r="D14" s="37">
        <v>1</v>
      </c>
      <c r="E14" s="40">
        <f t="shared" ref="E14:E38" si="2">SUM(C14:D14)</f>
        <v>2</v>
      </c>
      <c r="F14" s="7">
        <v>45397</v>
      </c>
    </row>
    <row r="15" spans="2:6" x14ac:dyDescent="0.15">
      <c r="B15" s="5" t="s">
        <v>14</v>
      </c>
      <c r="C15" s="19"/>
      <c r="D15" s="35">
        <v>1</v>
      </c>
      <c r="E15" s="33">
        <f t="shared" si="2"/>
        <v>1</v>
      </c>
      <c r="F15" s="7">
        <v>45420</v>
      </c>
    </row>
    <row r="16" spans="2:6" x14ac:dyDescent="0.15">
      <c r="B16" s="5" t="s">
        <v>14</v>
      </c>
      <c r="C16" s="19"/>
      <c r="D16" s="35">
        <v>1</v>
      </c>
      <c r="E16" s="33">
        <f t="shared" si="2"/>
        <v>1</v>
      </c>
      <c r="F16" s="7">
        <v>45435</v>
      </c>
    </row>
    <row r="17" spans="2:6" x14ac:dyDescent="0.15">
      <c r="B17" s="5" t="s">
        <v>14</v>
      </c>
      <c r="C17" s="19">
        <v>1</v>
      </c>
      <c r="D17" s="35">
        <v>2</v>
      </c>
      <c r="E17" s="33">
        <f t="shared" si="2"/>
        <v>3</v>
      </c>
      <c r="F17" s="7">
        <v>45450</v>
      </c>
    </row>
    <row r="18" spans="2:6" x14ac:dyDescent="0.15">
      <c r="B18" s="5" t="s">
        <v>18</v>
      </c>
      <c r="C18" s="19"/>
      <c r="D18" s="35">
        <v>4</v>
      </c>
      <c r="E18" s="33">
        <f t="shared" si="2"/>
        <v>4</v>
      </c>
      <c r="F18" s="7">
        <v>45455</v>
      </c>
    </row>
    <row r="19" spans="2:6" x14ac:dyDescent="0.15">
      <c r="B19" s="5" t="s">
        <v>19</v>
      </c>
      <c r="C19" s="19">
        <v>2</v>
      </c>
      <c r="D19" s="35">
        <v>4</v>
      </c>
      <c r="E19" s="33">
        <f t="shared" si="2"/>
        <v>6</v>
      </c>
      <c r="F19" s="7">
        <v>45456</v>
      </c>
    </row>
    <row r="20" spans="2:6" x14ac:dyDescent="0.15">
      <c r="B20" s="5" t="s">
        <v>14</v>
      </c>
      <c r="C20" s="19">
        <v>2</v>
      </c>
      <c r="D20" s="35"/>
      <c r="E20" s="33">
        <f t="shared" si="2"/>
        <v>2</v>
      </c>
      <c r="F20" s="7">
        <v>45454</v>
      </c>
    </row>
    <row r="21" spans="2:6" x14ac:dyDescent="0.15">
      <c r="B21" s="5" t="s">
        <v>20</v>
      </c>
      <c r="C21" s="19">
        <v>6</v>
      </c>
      <c r="D21" s="35">
        <v>7</v>
      </c>
      <c r="E21" s="33">
        <f t="shared" si="2"/>
        <v>13</v>
      </c>
      <c r="F21" s="7">
        <v>45457</v>
      </c>
    </row>
    <row r="22" spans="2:6" x14ac:dyDescent="0.15">
      <c r="B22" s="5" t="s">
        <v>21</v>
      </c>
      <c r="C22" s="19">
        <v>6</v>
      </c>
      <c r="D22" s="35">
        <v>4</v>
      </c>
      <c r="E22" s="33">
        <f t="shared" si="2"/>
        <v>10</v>
      </c>
      <c r="F22" s="7">
        <v>45457</v>
      </c>
    </row>
    <row r="23" spans="2:6" x14ac:dyDescent="0.15">
      <c r="B23" s="5" t="s">
        <v>14</v>
      </c>
      <c r="C23" s="19">
        <v>2</v>
      </c>
      <c r="D23" s="35"/>
      <c r="E23" s="33">
        <f t="shared" si="2"/>
        <v>2</v>
      </c>
      <c r="F23" s="7">
        <v>45456</v>
      </c>
    </row>
    <row r="24" spans="2:6" x14ac:dyDescent="0.15">
      <c r="B24" s="5" t="s">
        <v>22</v>
      </c>
      <c r="C24" s="19">
        <v>2</v>
      </c>
      <c r="D24" s="35">
        <v>4</v>
      </c>
      <c r="E24" s="33">
        <f t="shared" si="2"/>
        <v>6</v>
      </c>
      <c r="F24" s="7">
        <v>45460</v>
      </c>
    </row>
    <row r="25" spans="2:6" x14ac:dyDescent="0.15">
      <c r="B25" s="5" t="s">
        <v>23</v>
      </c>
      <c r="C25" s="19">
        <v>1</v>
      </c>
      <c r="D25" s="35"/>
      <c r="E25" s="33">
        <f t="shared" si="2"/>
        <v>1</v>
      </c>
      <c r="F25" s="7">
        <v>45462</v>
      </c>
    </row>
    <row r="26" spans="2:6" x14ac:dyDescent="0.15">
      <c r="B26" s="5" t="s">
        <v>24</v>
      </c>
      <c r="C26" s="19">
        <v>1</v>
      </c>
      <c r="D26" s="35">
        <v>7</v>
      </c>
      <c r="E26" s="33">
        <f t="shared" si="2"/>
        <v>8</v>
      </c>
      <c r="F26" s="7">
        <v>45463</v>
      </c>
    </row>
    <row r="27" spans="2:6" x14ac:dyDescent="0.15">
      <c r="B27" s="5" t="s">
        <v>25</v>
      </c>
      <c r="C27" s="19">
        <v>1</v>
      </c>
      <c r="D27" s="35">
        <v>2</v>
      </c>
      <c r="E27" s="33">
        <f t="shared" si="2"/>
        <v>3</v>
      </c>
      <c r="F27" s="7">
        <v>45464</v>
      </c>
    </row>
    <row r="28" spans="2:6" x14ac:dyDescent="0.15">
      <c r="B28" s="5" t="s">
        <v>26</v>
      </c>
      <c r="C28" s="19">
        <v>2</v>
      </c>
      <c r="D28" s="35">
        <v>1</v>
      </c>
      <c r="E28" s="33">
        <f t="shared" si="2"/>
        <v>3</v>
      </c>
      <c r="F28" s="7">
        <v>45464</v>
      </c>
    </row>
    <row r="29" spans="2:6" x14ac:dyDescent="0.15">
      <c r="B29" s="5" t="s">
        <v>27</v>
      </c>
      <c r="C29" s="19"/>
      <c r="D29" s="35">
        <v>2</v>
      </c>
      <c r="E29" s="33">
        <f t="shared" si="2"/>
        <v>2</v>
      </c>
      <c r="F29" s="7">
        <v>45469</v>
      </c>
    </row>
    <row r="30" spans="2:6" x14ac:dyDescent="0.15">
      <c r="B30" s="5" t="s">
        <v>14</v>
      </c>
      <c r="C30" s="19"/>
      <c r="D30" s="35">
        <v>1</v>
      </c>
      <c r="E30" s="33">
        <f t="shared" si="2"/>
        <v>1</v>
      </c>
      <c r="F30" s="7">
        <v>45467</v>
      </c>
    </row>
    <row r="31" spans="2:6" x14ac:dyDescent="0.15">
      <c r="B31" s="5" t="s">
        <v>14</v>
      </c>
      <c r="C31" s="25"/>
      <c r="D31" s="38">
        <v>1</v>
      </c>
      <c r="E31" s="33">
        <f t="shared" si="2"/>
        <v>1</v>
      </c>
      <c r="F31" s="8">
        <v>45474</v>
      </c>
    </row>
    <row r="32" spans="2:6" x14ac:dyDescent="0.15">
      <c r="B32" s="5" t="s">
        <v>28</v>
      </c>
      <c r="C32" s="19"/>
      <c r="D32" s="35">
        <v>1</v>
      </c>
      <c r="E32" s="33">
        <f t="shared" si="2"/>
        <v>1</v>
      </c>
      <c r="F32" s="7">
        <v>45478</v>
      </c>
    </row>
    <row r="33" spans="1:6" x14ac:dyDescent="0.15">
      <c r="B33" s="5" t="s">
        <v>29</v>
      </c>
      <c r="C33" s="19"/>
      <c r="D33" s="35">
        <v>2</v>
      </c>
      <c r="E33" s="33">
        <f t="shared" si="2"/>
        <v>2</v>
      </c>
      <c r="F33" s="7">
        <v>45478</v>
      </c>
    </row>
    <row r="34" spans="1:6" x14ac:dyDescent="0.15">
      <c r="B34" s="5" t="s">
        <v>14</v>
      </c>
      <c r="C34" s="19">
        <v>1</v>
      </c>
      <c r="D34" s="35"/>
      <c r="E34" s="33">
        <f t="shared" si="2"/>
        <v>1</v>
      </c>
      <c r="F34" s="16">
        <v>45477</v>
      </c>
    </row>
    <row r="35" spans="1:6" x14ac:dyDescent="0.15">
      <c r="B35" s="5" t="s">
        <v>30</v>
      </c>
      <c r="C35" s="19">
        <v>1</v>
      </c>
      <c r="D35" s="35">
        <v>1</v>
      </c>
      <c r="E35" s="33">
        <f t="shared" si="2"/>
        <v>2</v>
      </c>
      <c r="F35" s="16">
        <v>45481</v>
      </c>
    </row>
    <row r="36" spans="1:6" x14ac:dyDescent="0.15">
      <c r="B36" s="5" t="s">
        <v>14</v>
      </c>
      <c r="C36" s="19">
        <v>2</v>
      </c>
      <c r="D36" s="35">
        <v>1</v>
      </c>
      <c r="E36" s="33">
        <f t="shared" si="2"/>
        <v>3</v>
      </c>
      <c r="F36" s="16">
        <v>45478</v>
      </c>
    </row>
    <row r="37" spans="1:6" x14ac:dyDescent="0.15">
      <c r="B37" s="5"/>
      <c r="C37" s="19"/>
      <c r="D37" s="35"/>
      <c r="E37" s="33">
        <f t="shared" si="2"/>
        <v>0</v>
      </c>
      <c r="F37" s="16"/>
    </row>
    <row r="38" spans="1:6" ht="14.25" thickBot="1" x14ac:dyDescent="0.2">
      <c r="B38" s="5" t="s">
        <v>13</v>
      </c>
      <c r="C38" s="19"/>
      <c r="D38" s="35"/>
      <c r="E38" s="33">
        <f t="shared" si="2"/>
        <v>0</v>
      </c>
      <c r="F38" s="16" t="s">
        <v>12</v>
      </c>
    </row>
    <row r="39" spans="1:6" ht="14.25" thickBot="1" x14ac:dyDescent="0.2">
      <c r="B39" s="4" t="s">
        <v>2</v>
      </c>
      <c r="C39" s="23">
        <f>SUM(C14:C38)</f>
        <v>31</v>
      </c>
      <c r="D39" s="36">
        <f t="shared" ref="D39:E39" si="3">SUM(D14:D38)</f>
        <v>47</v>
      </c>
      <c r="E39" s="3">
        <f t="shared" si="3"/>
        <v>78</v>
      </c>
    </row>
    <row r="40" spans="1:6" ht="14.25" thickBot="1" x14ac:dyDescent="0.2">
      <c r="B40" s="2" t="s">
        <v>3</v>
      </c>
      <c r="C40" s="26">
        <f>+C13-C39</f>
        <v>20</v>
      </c>
      <c r="D40" s="39">
        <f t="shared" ref="D40:E40" si="4">+D13-D39</f>
        <v>4</v>
      </c>
      <c r="E40" s="34">
        <f t="shared" si="4"/>
        <v>24</v>
      </c>
    </row>
    <row r="42" spans="1:6" ht="18.75" x14ac:dyDescent="0.2">
      <c r="B42" s="41" t="s">
        <v>6</v>
      </c>
      <c r="C42" s="42"/>
      <c r="D42" s="42"/>
      <c r="E42" s="42"/>
      <c r="F42" s="42"/>
    </row>
    <row r="43" spans="1:6" ht="17.25" x14ac:dyDescent="0.2">
      <c r="B43" s="43" t="s">
        <v>10</v>
      </c>
      <c r="C43" s="42"/>
      <c r="D43" s="42"/>
      <c r="E43" s="42"/>
      <c r="F43" s="42"/>
    </row>
    <row r="44" spans="1:6" ht="14.25" thickBot="1" x14ac:dyDescent="0.2"/>
    <row r="45" spans="1:6" ht="14.25" thickBot="1" x14ac:dyDescent="0.2">
      <c r="B45" s="15"/>
      <c r="C45" s="51" t="s">
        <v>7</v>
      </c>
      <c r="D45" s="52"/>
      <c r="E45" s="53"/>
    </row>
    <row r="46" spans="1:6" ht="14.25" thickBot="1" x14ac:dyDescent="0.2">
      <c r="A46" s="1"/>
      <c r="B46" s="14"/>
      <c r="C46" s="45" t="s">
        <v>9</v>
      </c>
      <c r="D46" s="47" t="s">
        <v>8</v>
      </c>
      <c r="E46" s="14" t="s">
        <v>0</v>
      </c>
    </row>
    <row r="47" spans="1:6" s="1" customFormat="1" ht="14.25" thickBot="1" x14ac:dyDescent="0.2">
      <c r="B47" s="14" t="s">
        <v>17</v>
      </c>
      <c r="C47" s="45" t="s">
        <v>15</v>
      </c>
      <c r="D47" s="47" t="s">
        <v>16</v>
      </c>
      <c r="E47" s="14"/>
    </row>
    <row r="48" spans="1:6" x14ac:dyDescent="0.15">
      <c r="B48" s="27" t="s">
        <v>3</v>
      </c>
      <c r="C48" s="28">
        <f>C40</f>
        <v>20</v>
      </c>
      <c r="D48" s="48">
        <f t="shared" ref="D48:E48" si="5">D40</f>
        <v>4</v>
      </c>
      <c r="E48" s="29">
        <f t="shared" si="5"/>
        <v>24</v>
      </c>
    </row>
    <row r="49" spans="2:6" x14ac:dyDescent="0.15">
      <c r="B49" s="12" t="s">
        <v>4</v>
      </c>
      <c r="C49" s="19"/>
      <c r="D49" s="35"/>
      <c r="E49" s="6">
        <f>SUM(C49:D49)</f>
        <v>0</v>
      </c>
      <c r="F49" s="7"/>
    </row>
    <row r="50" spans="2:6" x14ac:dyDescent="0.15">
      <c r="B50" s="12" t="s">
        <v>4</v>
      </c>
      <c r="C50" s="19"/>
      <c r="D50" s="35">
        <v>30</v>
      </c>
      <c r="E50" s="6">
        <f>SUM(C50:D50)</f>
        <v>30</v>
      </c>
      <c r="F50" s="7">
        <v>45481</v>
      </c>
    </row>
    <row r="51" spans="2:6" x14ac:dyDescent="0.15">
      <c r="B51" s="12" t="s">
        <v>4</v>
      </c>
      <c r="C51" s="19">
        <v>10</v>
      </c>
      <c r="D51" s="35"/>
      <c r="E51" s="6">
        <f>SUM(C51:D51)</f>
        <v>10</v>
      </c>
      <c r="F51" s="7">
        <v>45498</v>
      </c>
    </row>
    <row r="52" spans="2:6" x14ac:dyDescent="0.15">
      <c r="B52" s="12" t="s">
        <v>4</v>
      </c>
      <c r="C52" s="19"/>
      <c r="D52" s="35">
        <v>10</v>
      </c>
      <c r="E52" s="6">
        <f>SUM(C52:D52)</f>
        <v>10</v>
      </c>
      <c r="F52" s="7">
        <v>45506</v>
      </c>
    </row>
    <row r="53" spans="2:6" ht="14.25" thickBot="1" x14ac:dyDescent="0.2">
      <c r="B53" s="11" t="s">
        <v>4</v>
      </c>
      <c r="C53" s="21"/>
      <c r="D53" s="49"/>
      <c r="E53" s="10">
        <f>SUM(C53:D53)</f>
        <v>0</v>
      </c>
      <c r="F53" s="7"/>
    </row>
    <row r="54" spans="2:6" ht="14.25" thickBot="1" x14ac:dyDescent="0.2">
      <c r="B54" s="4" t="s">
        <v>1</v>
      </c>
      <c r="C54" s="23">
        <f>SUM(C48:C53)</f>
        <v>30</v>
      </c>
      <c r="D54" s="36">
        <f t="shared" ref="D54:E54" si="6">SUM(D48:D53)</f>
        <v>44</v>
      </c>
      <c r="E54" s="9">
        <f t="shared" si="6"/>
        <v>74</v>
      </c>
    </row>
    <row r="55" spans="2:6" x14ac:dyDescent="0.15">
      <c r="B55" s="5" t="s">
        <v>14</v>
      </c>
      <c r="C55" s="17">
        <f>2+1</f>
        <v>3</v>
      </c>
      <c r="D55" s="37">
        <v>1</v>
      </c>
      <c r="E55" s="33">
        <f t="shared" ref="E55:E79" si="7">SUM(C55:D55)</f>
        <v>4</v>
      </c>
      <c r="F55" s="8">
        <v>45481</v>
      </c>
    </row>
    <row r="56" spans="2:6" x14ac:dyDescent="0.15">
      <c r="B56" s="5" t="s">
        <v>31</v>
      </c>
      <c r="C56" s="19">
        <v>2</v>
      </c>
      <c r="D56" s="35">
        <v>3</v>
      </c>
      <c r="E56" s="33">
        <f t="shared" si="7"/>
        <v>5</v>
      </c>
      <c r="F56" s="7">
        <v>45485</v>
      </c>
    </row>
    <row r="57" spans="2:6" x14ac:dyDescent="0.15">
      <c r="B57" s="5" t="s">
        <v>14</v>
      </c>
      <c r="C57" s="19"/>
      <c r="D57" s="35">
        <v>2</v>
      </c>
      <c r="E57" s="33">
        <f t="shared" si="7"/>
        <v>2</v>
      </c>
      <c r="F57" s="7">
        <v>45483</v>
      </c>
    </row>
    <row r="58" spans="2:6" x14ac:dyDescent="0.15">
      <c r="B58" s="5" t="s">
        <v>32</v>
      </c>
      <c r="C58" s="19"/>
      <c r="D58" s="35">
        <v>3</v>
      </c>
      <c r="E58" s="33">
        <f t="shared" si="7"/>
        <v>3</v>
      </c>
      <c r="F58" s="7">
        <v>45489</v>
      </c>
    </row>
    <row r="59" spans="2:6" x14ac:dyDescent="0.15">
      <c r="B59" s="5" t="s">
        <v>33</v>
      </c>
      <c r="C59" s="19"/>
      <c r="D59" s="35">
        <v>1</v>
      </c>
      <c r="E59" s="33">
        <f t="shared" si="7"/>
        <v>1</v>
      </c>
      <c r="F59" s="7">
        <v>45491</v>
      </c>
    </row>
    <row r="60" spans="2:6" x14ac:dyDescent="0.15">
      <c r="B60" s="5" t="s">
        <v>14</v>
      </c>
      <c r="C60" s="19">
        <v>1</v>
      </c>
      <c r="D60" s="35">
        <f>1+1</f>
        <v>2</v>
      </c>
      <c r="E60" s="33">
        <f t="shared" si="7"/>
        <v>3</v>
      </c>
      <c r="F60" s="7">
        <v>45489</v>
      </c>
    </row>
    <row r="61" spans="2:6" x14ac:dyDescent="0.15">
      <c r="B61" s="5" t="s">
        <v>14</v>
      </c>
      <c r="C61" s="19">
        <v>2</v>
      </c>
      <c r="D61" s="35"/>
      <c r="E61" s="33">
        <f t="shared" si="7"/>
        <v>2</v>
      </c>
      <c r="F61" s="7">
        <v>45490</v>
      </c>
    </row>
    <row r="62" spans="2:6" x14ac:dyDescent="0.15">
      <c r="B62" s="5" t="s">
        <v>34</v>
      </c>
      <c r="C62" s="19">
        <v>3</v>
      </c>
      <c r="D62" s="35">
        <v>3</v>
      </c>
      <c r="E62" s="33">
        <f t="shared" si="7"/>
        <v>6</v>
      </c>
      <c r="F62" s="7">
        <v>45492</v>
      </c>
    </row>
    <row r="63" spans="2:6" x14ac:dyDescent="0.15">
      <c r="B63" s="5" t="s">
        <v>14</v>
      </c>
      <c r="C63" s="19"/>
      <c r="D63" s="35">
        <v>1</v>
      </c>
      <c r="E63" s="33">
        <f t="shared" si="7"/>
        <v>1</v>
      </c>
      <c r="F63" s="7">
        <v>45491</v>
      </c>
    </row>
    <row r="64" spans="2:6" x14ac:dyDescent="0.15">
      <c r="B64" s="5" t="s">
        <v>14</v>
      </c>
      <c r="C64" s="19"/>
      <c r="D64" s="35">
        <v>1</v>
      </c>
      <c r="E64" s="33">
        <f t="shared" si="7"/>
        <v>1</v>
      </c>
      <c r="F64" s="7">
        <v>45492</v>
      </c>
    </row>
    <row r="65" spans="2:6" x14ac:dyDescent="0.15">
      <c r="B65" s="5" t="s">
        <v>35</v>
      </c>
      <c r="C65" s="19">
        <v>1</v>
      </c>
      <c r="D65" s="35"/>
      <c r="E65" s="33">
        <f t="shared" si="7"/>
        <v>1</v>
      </c>
      <c r="F65" s="7">
        <v>45497</v>
      </c>
    </row>
    <row r="66" spans="2:6" x14ac:dyDescent="0.15">
      <c r="B66" s="5" t="s">
        <v>14</v>
      </c>
      <c r="C66" s="19">
        <v>1</v>
      </c>
      <c r="D66" s="35">
        <v>2</v>
      </c>
      <c r="E66" s="33">
        <f t="shared" si="7"/>
        <v>3</v>
      </c>
      <c r="F66" s="7">
        <v>45495</v>
      </c>
    </row>
    <row r="67" spans="2:6" x14ac:dyDescent="0.15">
      <c r="B67" s="5" t="s">
        <v>14</v>
      </c>
      <c r="C67" s="19"/>
      <c r="D67" s="35">
        <v>2</v>
      </c>
      <c r="E67" s="33">
        <f t="shared" si="7"/>
        <v>2</v>
      </c>
      <c r="F67" s="7">
        <v>45497</v>
      </c>
    </row>
    <row r="68" spans="2:6" x14ac:dyDescent="0.15">
      <c r="B68" s="5" t="s">
        <v>14</v>
      </c>
      <c r="C68" s="19">
        <f>1+1</f>
        <v>2</v>
      </c>
      <c r="D68" s="35"/>
      <c r="E68" s="33">
        <f t="shared" si="7"/>
        <v>2</v>
      </c>
      <c r="F68" s="7">
        <v>45502</v>
      </c>
    </row>
    <row r="69" spans="2:6" x14ac:dyDescent="0.15">
      <c r="B69" s="5" t="s">
        <v>36</v>
      </c>
      <c r="C69" s="19"/>
      <c r="D69" s="35">
        <v>1</v>
      </c>
      <c r="E69" s="33">
        <f t="shared" si="7"/>
        <v>1</v>
      </c>
      <c r="F69" s="7">
        <v>45505</v>
      </c>
    </row>
    <row r="70" spans="2:6" x14ac:dyDescent="0.15">
      <c r="B70" s="5" t="s">
        <v>14</v>
      </c>
      <c r="C70" s="19"/>
      <c r="D70" s="35">
        <v>1</v>
      </c>
      <c r="E70" s="33">
        <f t="shared" si="7"/>
        <v>1</v>
      </c>
      <c r="F70" s="7">
        <v>45503</v>
      </c>
    </row>
    <row r="71" spans="2:6" x14ac:dyDescent="0.15">
      <c r="B71" s="5" t="s">
        <v>37</v>
      </c>
      <c r="C71" s="19"/>
      <c r="D71" s="35">
        <v>1</v>
      </c>
      <c r="E71" s="33">
        <f t="shared" si="7"/>
        <v>1</v>
      </c>
      <c r="F71" s="7">
        <v>45506</v>
      </c>
    </row>
    <row r="72" spans="2:6" x14ac:dyDescent="0.15">
      <c r="B72" s="5" t="s">
        <v>14</v>
      </c>
      <c r="C72" s="19">
        <v>1</v>
      </c>
      <c r="D72" s="35"/>
      <c r="E72" s="33">
        <f t="shared" si="7"/>
        <v>1</v>
      </c>
      <c r="F72" s="7">
        <v>45505</v>
      </c>
    </row>
    <row r="73" spans="2:6" x14ac:dyDescent="0.15">
      <c r="B73" s="5" t="s">
        <v>34</v>
      </c>
      <c r="C73" s="19">
        <v>5</v>
      </c>
      <c r="D73" s="35">
        <v>5</v>
      </c>
      <c r="E73" s="33">
        <f t="shared" si="7"/>
        <v>10</v>
      </c>
      <c r="F73" s="7">
        <v>45510</v>
      </c>
    </row>
    <row r="74" spans="2:6" x14ac:dyDescent="0.15">
      <c r="B74" s="5" t="s">
        <v>14</v>
      </c>
      <c r="C74" s="19"/>
      <c r="D74" s="35">
        <v>1</v>
      </c>
      <c r="E74" s="33">
        <f t="shared" si="7"/>
        <v>1</v>
      </c>
      <c r="F74" s="7">
        <v>45509</v>
      </c>
    </row>
    <row r="75" spans="2:6" x14ac:dyDescent="0.15">
      <c r="B75" s="5" t="s">
        <v>38</v>
      </c>
      <c r="C75" s="19"/>
      <c r="D75" s="35">
        <v>1</v>
      </c>
      <c r="E75" s="33">
        <f t="shared" si="7"/>
        <v>1</v>
      </c>
      <c r="F75" s="7">
        <v>45512</v>
      </c>
    </row>
    <row r="76" spans="2:6" x14ac:dyDescent="0.15">
      <c r="B76" s="5" t="s">
        <v>14</v>
      </c>
      <c r="C76" s="19">
        <v>1</v>
      </c>
      <c r="D76" s="35">
        <v>1</v>
      </c>
      <c r="E76" s="33">
        <f t="shared" si="7"/>
        <v>2</v>
      </c>
      <c r="F76" s="7">
        <v>45515</v>
      </c>
    </row>
    <row r="77" spans="2:6" x14ac:dyDescent="0.15">
      <c r="B77" s="5" t="s">
        <v>14</v>
      </c>
      <c r="C77" s="19">
        <v>1</v>
      </c>
      <c r="D77" s="35"/>
      <c r="E77" s="33">
        <f t="shared" si="7"/>
        <v>1</v>
      </c>
      <c r="F77" s="7">
        <v>45520</v>
      </c>
    </row>
    <row r="78" spans="2:6" x14ac:dyDescent="0.15">
      <c r="B78" s="5" t="s">
        <v>14</v>
      </c>
      <c r="C78" s="19"/>
      <c r="D78" s="35">
        <v>1</v>
      </c>
      <c r="E78" s="33">
        <f t="shared" si="7"/>
        <v>1</v>
      </c>
      <c r="F78" s="7">
        <v>45523</v>
      </c>
    </row>
    <row r="79" spans="2:6" ht="14.25" thickBot="1" x14ac:dyDescent="0.2">
      <c r="B79" s="5" t="s">
        <v>34</v>
      </c>
      <c r="C79" s="31">
        <v>1</v>
      </c>
      <c r="D79" s="49">
        <v>3</v>
      </c>
      <c r="E79" s="50">
        <f t="shared" si="7"/>
        <v>4</v>
      </c>
      <c r="F79" s="32">
        <v>45524</v>
      </c>
    </row>
    <row r="80" spans="2:6" ht="14.25" thickBot="1" x14ac:dyDescent="0.2">
      <c r="B80" s="4" t="s">
        <v>2</v>
      </c>
      <c r="C80" s="23">
        <f>SUM(C55:C79)</f>
        <v>24</v>
      </c>
      <c r="D80" s="36">
        <f t="shared" ref="D80:E80" si="8">SUM(D55:D79)</f>
        <v>36</v>
      </c>
      <c r="E80" s="3">
        <f t="shared" si="8"/>
        <v>60</v>
      </c>
    </row>
    <row r="81" spans="1:7" ht="14.25" thickBot="1" x14ac:dyDescent="0.2">
      <c r="B81" s="2" t="s">
        <v>3</v>
      </c>
      <c r="C81" s="26">
        <f>+C54-C80</f>
        <v>6</v>
      </c>
      <c r="D81" s="39">
        <f t="shared" ref="D81:E81" si="9">+D54-D80</f>
        <v>8</v>
      </c>
      <c r="E81" s="34">
        <f t="shared" si="9"/>
        <v>14</v>
      </c>
    </row>
    <row r="83" spans="1:7" ht="18.75" x14ac:dyDescent="0.2">
      <c r="B83" s="41" t="s">
        <v>6</v>
      </c>
      <c r="C83" s="42"/>
      <c r="D83" s="42"/>
      <c r="E83" s="42"/>
      <c r="F83" s="42"/>
    </row>
    <row r="84" spans="1:7" ht="17.25" x14ac:dyDescent="0.2">
      <c r="B84" s="43" t="s">
        <v>10</v>
      </c>
      <c r="C84" s="42"/>
      <c r="D84" s="42"/>
      <c r="E84" s="42"/>
      <c r="F84" s="42"/>
    </row>
    <row r="85" spans="1:7" ht="14.25" thickBot="1" x14ac:dyDescent="0.2"/>
    <row r="86" spans="1:7" ht="14.25" thickBot="1" x14ac:dyDescent="0.2">
      <c r="B86" s="15"/>
      <c r="C86" s="51" t="s">
        <v>7</v>
      </c>
      <c r="D86" s="52"/>
      <c r="E86" s="53"/>
    </row>
    <row r="87" spans="1:7" ht="14.25" thickBot="1" x14ac:dyDescent="0.2">
      <c r="A87" s="1"/>
      <c r="B87" s="14"/>
      <c r="C87" s="45" t="s">
        <v>9</v>
      </c>
      <c r="D87" s="47" t="s">
        <v>8</v>
      </c>
      <c r="E87" s="14" t="s">
        <v>0</v>
      </c>
    </row>
    <row r="88" spans="1:7" ht="14.25" thickBot="1" x14ac:dyDescent="0.2">
      <c r="A88" s="1"/>
      <c r="B88" s="14" t="s">
        <v>17</v>
      </c>
      <c r="C88" s="45" t="s">
        <v>15</v>
      </c>
      <c r="D88" s="47" t="s">
        <v>16</v>
      </c>
      <c r="E88" s="14"/>
      <c r="F88" s="1"/>
      <c r="G88" s="1"/>
    </row>
    <row r="89" spans="1:7" x14ac:dyDescent="0.15">
      <c r="B89" s="27" t="s">
        <v>3</v>
      </c>
      <c r="C89" s="28">
        <f>C81</f>
        <v>6</v>
      </c>
      <c r="D89" s="48">
        <f t="shared" ref="D89:E89" si="10">D81</f>
        <v>8</v>
      </c>
      <c r="E89" s="29">
        <f t="shared" si="10"/>
        <v>14</v>
      </c>
    </row>
    <row r="90" spans="1:7" x14ac:dyDescent="0.15">
      <c r="B90" s="12" t="s">
        <v>39</v>
      </c>
      <c r="C90" s="19">
        <v>-1</v>
      </c>
      <c r="D90" s="35"/>
      <c r="E90" s="6">
        <f>SUM(C90:D90)</f>
        <v>-1</v>
      </c>
      <c r="F90" s="7">
        <v>45530</v>
      </c>
    </row>
    <row r="91" spans="1:7" x14ac:dyDescent="0.15">
      <c r="B91" s="12" t="s">
        <v>4</v>
      </c>
      <c r="C91" s="19"/>
      <c r="D91" s="35">
        <v>2</v>
      </c>
      <c r="E91" s="6">
        <f>SUM(C91:D91)</f>
        <v>2</v>
      </c>
      <c r="F91" s="7">
        <v>45638</v>
      </c>
    </row>
    <row r="92" spans="1:7" x14ac:dyDescent="0.15">
      <c r="B92" s="12" t="s">
        <v>4</v>
      </c>
      <c r="C92" s="19"/>
      <c r="D92" s="35"/>
      <c r="E92" s="6">
        <f>SUM(C92:D92)</f>
        <v>0</v>
      </c>
      <c r="F92" s="7"/>
    </row>
    <row r="93" spans="1:7" x14ac:dyDescent="0.15">
      <c r="B93" s="12" t="s">
        <v>4</v>
      </c>
      <c r="C93" s="19"/>
      <c r="D93" s="35"/>
      <c r="E93" s="6">
        <f>SUM(C93:D93)</f>
        <v>0</v>
      </c>
      <c r="F93" s="7"/>
    </row>
    <row r="94" spans="1:7" ht="14.25" thickBot="1" x14ac:dyDescent="0.2">
      <c r="B94" s="11" t="s">
        <v>4</v>
      </c>
      <c r="C94" s="21"/>
      <c r="D94" s="49"/>
      <c r="E94" s="10">
        <f>SUM(C94:D94)</f>
        <v>0</v>
      </c>
      <c r="F94" s="7"/>
    </row>
    <row r="95" spans="1:7" ht="14.25" thickBot="1" x14ac:dyDescent="0.2">
      <c r="B95" s="4" t="s">
        <v>1</v>
      </c>
      <c r="C95" s="23">
        <f>SUM(C89:C94)</f>
        <v>5</v>
      </c>
      <c r="D95" s="36">
        <f t="shared" ref="D95:E95" si="11">SUM(D89:D94)</f>
        <v>10</v>
      </c>
      <c r="E95" s="9">
        <f t="shared" si="11"/>
        <v>15</v>
      </c>
    </row>
    <row r="96" spans="1:7" x14ac:dyDescent="0.15">
      <c r="B96" s="5" t="s">
        <v>14</v>
      </c>
      <c r="C96" s="17"/>
      <c r="D96" s="37">
        <v>2</v>
      </c>
      <c r="E96" s="33">
        <f t="shared" ref="E96:E120" si="12">SUM(C96:D96)</f>
        <v>2</v>
      </c>
      <c r="F96" s="8">
        <v>45524</v>
      </c>
    </row>
    <row r="97" spans="2:6" x14ac:dyDescent="0.15">
      <c r="B97" s="5" t="s">
        <v>34</v>
      </c>
      <c r="C97" s="19">
        <v>2</v>
      </c>
      <c r="D97" s="35"/>
      <c r="E97" s="33">
        <f t="shared" si="12"/>
        <v>2</v>
      </c>
      <c r="F97" s="7">
        <v>45540</v>
      </c>
    </row>
    <row r="98" spans="2:6" x14ac:dyDescent="0.15">
      <c r="B98" s="5" t="s">
        <v>14</v>
      </c>
      <c r="C98" s="19">
        <v>-1</v>
      </c>
      <c r="D98" s="35"/>
      <c r="E98" s="33">
        <f t="shared" si="12"/>
        <v>-1</v>
      </c>
      <c r="F98" s="7">
        <v>45642</v>
      </c>
    </row>
    <row r="99" spans="2:6" x14ac:dyDescent="0.15">
      <c r="B99" s="5" t="s">
        <v>14</v>
      </c>
      <c r="C99" s="19">
        <v>1</v>
      </c>
      <c r="D99" s="35"/>
      <c r="E99" s="33">
        <f t="shared" si="12"/>
        <v>1</v>
      </c>
      <c r="F99" s="7">
        <v>45789</v>
      </c>
    </row>
    <row r="100" spans="2:6" x14ac:dyDescent="0.15">
      <c r="B100" s="5" t="s">
        <v>14</v>
      </c>
      <c r="C100" s="19">
        <v>1</v>
      </c>
      <c r="D100" s="35"/>
      <c r="E100" s="33">
        <f t="shared" si="12"/>
        <v>1</v>
      </c>
      <c r="F100" s="7">
        <v>45796</v>
      </c>
    </row>
    <row r="101" spans="2:6" x14ac:dyDescent="0.15">
      <c r="B101" s="5" t="s">
        <v>14</v>
      </c>
      <c r="C101" s="19"/>
      <c r="D101" s="35">
        <v>1</v>
      </c>
      <c r="E101" s="33">
        <f t="shared" si="12"/>
        <v>1</v>
      </c>
      <c r="F101" s="7">
        <v>45803</v>
      </c>
    </row>
    <row r="102" spans="2:6" x14ac:dyDescent="0.15">
      <c r="B102" s="5" t="s">
        <v>14</v>
      </c>
      <c r="C102" s="19">
        <v>1</v>
      </c>
      <c r="D102" s="35"/>
      <c r="E102" s="33">
        <f t="shared" si="12"/>
        <v>1</v>
      </c>
      <c r="F102" s="7">
        <v>45819</v>
      </c>
    </row>
    <row r="103" spans="2:6" x14ac:dyDescent="0.15">
      <c r="B103" s="5"/>
      <c r="C103" s="19"/>
      <c r="D103" s="35"/>
      <c r="E103" s="33">
        <f t="shared" ref="E103" si="13">SUM(C103:D103)</f>
        <v>0</v>
      </c>
      <c r="F103" s="7"/>
    </row>
    <row r="104" spans="2:6" x14ac:dyDescent="0.15">
      <c r="B104" s="5"/>
      <c r="C104" s="19"/>
      <c r="D104" s="35"/>
      <c r="E104" s="33">
        <f t="shared" si="12"/>
        <v>0</v>
      </c>
      <c r="F104" s="7"/>
    </row>
    <row r="105" spans="2:6" x14ac:dyDescent="0.15">
      <c r="B105" s="5"/>
      <c r="C105" s="19"/>
      <c r="D105" s="35"/>
      <c r="E105" s="33">
        <f t="shared" si="12"/>
        <v>0</v>
      </c>
      <c r="F105" s="7"/>
    </row>
    <row r="106" spans="2:6" x14ac:dyDescent="0.15">
      <c r="B106" s="5"/>
      <c r="C106" s="19"/>
      <c r="D106" s="35"/>
      <c r="E106" s="33">
        <f t="shared" si="12"/>
        <v>0</v>
      </c>
      <c r="F106" s="7"/>
    </row>
    <row r="107" spans="2:6" x14ac:dyDescent="0.15">
      <c r="B107" s="5"/>
      <c r="C107" s="19"/>
      <c r="D107" s="35"/>
      <c r="E107" s="33">
        <f t="shared" si="12"/>
        <v>0</v>
      </c>
      <c r="F107" s="7"/>
    </row>
    <row r="108" spans="2:6" x14ac:dyDescent="0.15">
      <c r="B108" s="5"/>
      <c r="C108" s="19"/>
      <c r="D108" s="35"/>
      <c r="E108" s="33">
        <f t="shared" si="12"/>
        <v>0</v>
      </c>
      <c r="F108" s="7"/>
    </row>
    <row r="109" spans="2:6" x14ac:dyDescent="0.15">
      <c r="B109" s="5"/>
      <c r="C109" s="19"/>
      <c r="D109" s="35"/>
      <c r="E109" s="33">
        <f t="shared" si="12"/>
        <v>0</v>
      </c>
      <c r="F109" s="7"/>
    </row>
    <row r="110" spans="2:6" x14ac:dyDescent="0.15">
      <c r="B110" s="5"/>
      <c r="C110" s="19"/>
      <c r="D110" s="35"/>
      <c r="E110" s="33">
        <f t="shared" si="12"/>
        <v>0</v>
      </c>
      <c r="F110" s="7"/>
    </row>
    <row r="111" spans="2:6" x14ac:dyDescent="0.15">
      <c r="B111" s="5"/>
      <c r="C111" s="19"/>
      <c r="D111" s="35"/>
      <c r="E111" s="33">
        <f t="shared" si="12"/>
        <v>0</v>
      </c>
      <c r="F111" s="7"/>
    </row>
    <row r="112" spans="2:6" x14ac:dyDescent="0.15">
      <c r="B112" s="5"/>
      <c r="C112" s="19"/>
      <c r="D112" s="35"/>
      <c r="E112" s="33">
        <f t="shared" si="12"/>
        <v>0</v>
      </c>
      <c r="F112" s="7"/>
    </row>
    <row r="113" spans="1:6" x14ac:dyDescent="0.15">
      <c r="B113" s="5"/>
      <c r="C113" s="19"/>
      <c r="D113" s="35"/>
      <c r="E113" s="33">
        <f t="shared" si="12"/>
        <v>0</v>
      </c>
      <c r="F113" s="7"/>
    </row>
    <row r="114" spans="1:6" x14ac:dyDescent="0.15">
      <c r="B114" s="5"/>
      <c r="C114" s="19"/>
      <c r="D114" s="35"/>
      <c r="E114" s="33">
        <f t="shared" si="12"/>
        <v>0</v>
      </c>
      <c r="F114" s="7"/>
    </row>
    <row r="115" spans="1:6" x14ac:dyDescent="0.15">
      <c r="B115" s="5"/>
      <c r="C115" s="19"/>
      <c r="D115" s="35"/>
      <c r="E115" s="33">
        <f t="shared" si="12"/>
        <v>0</v>
      </c>
      <c r="F115" s="7"/>
    </row>
    <row r="116" spans="1:6" x14ac:dyDescent="0.15">
      <c r="B116" s="5"/>
      <c r="C116" s="19"/>
      <c r="D116" s="35"/>
      <c r="E116" s="33">
        <f t="shared" si="12"/>
        <v>0</v>
      </c>
      <c r="F116" s="7"/>
    </row>
    <row r="117" spans="1:6" x14ac:dyDescent="0.15">
      <c r="B117" s="5"/>
      <c r="C117" s="19"/>
      <c r="D117" s="35"/>
      <c r="E117" s="33">
        <f t="shared" si="12"/>
        <v>0</v>
      </c>
      <c r="F117" s="7"/>
    </row>
    <row r="118" spans="1:6" x14ac:dyDescent="0.15">
      <c r="B118" s="5"/>
      <c r="C118" s="19"/>
      <c r="D118" s="35"/>
      <c r="E118" s="33">
        <f t="shared" si="12"/>
        <v>0</v>
      </c>
      <c r="F118" s="7"/>
    </row>
    <row r="119" spans="1:6" x14ac:dyDescent="0.15">
      <c r="B119" s="5"/>
      <c r="C119" s="19"/>
      <c r="D119" s="35"/>
      <c r="E119" s="33">
        <f t="shared" si="12"/>
        <v>0</v>
      </c>
      <c r="F119" s="7"/>
    </row>
    <row r="120" spans="1:6" ht="14.25" thickBot="1" x14ac:dyDescent="0.2">
      <c r="B120" s="5"/>
      <c r="C120" s="31"/>
      <c r="D120" s="49"/>
      <c r="E120" s="50">
        <f t="shared" si="12"/>
        <v>0</v>
      </c>
      <c r="F120" s="32"/>
    </row>
    <row r="121" spans="1:6" ht="14.25" thickBot="1" x14ac:dyDescent="0.2">
      <c r="B121" s="4" t="s">
        <v>2</v>
      </c>
      <c r="C121" s="23">
        <f>SUM(C96:C120)</f>
        <v>4</v>
      </c>
      <c r="D121" s="36">
        <f t="shared" ref="D121:E121" si="14">SUM(D96:D120)</f>
        <v>3</v>
      </c>
      <c r="E121" s="3">
        <f t="shared" si="14"/>
        <v>7</v>
      </c>
    </row>
    <row r="122" spans="1:6" ht="14.25" thickBot="1" x14ac:dyDescent="0.2">
      <c r="B122" s="2" t="s">
        <v>3</v>
      </c>
      <c r="C122" s="26">
        <f>+C95-C121</f>
        <v>1</v>
      </c>
      <c r="D122" s="39">
        <f t="shared" ref="D122:E122" si="15">+D95-D121</f>
        <v>7</v>
      </c>
      <c r="E122" s="34">
        <f t="shared" si="15"/>
        <v>8</v>
      </c>
    </row>
    <row r="124" spans="1:6" ht="18.75" x14ac:dyDescent="0.2">
      <c r="B124" s="41" t="s">
        <v>6</v>
      </c>
      <c r="C124" s="42"/>
      <c r="D124" s="42"/>
      <c r="E124" s="42"/>
    </row>
    <row r="125" spans="1:6" ht="17.25" x14ac:dyDescent="0.2">
      <c r="B125" s="43" t="s">
        <v>10</v>
      </c>
      <c r="C125" s="42"/>
      <c r="D125" s="42"/>
      <c r="E125" s="42"/>
    </row>
    <row r="126" spans="1:6" ht="14.25" thickBot="1" x14ac:dyDescent="0.2"/>
    <row r="127" spans="1:6" ht="14.25" thickBot="1" x14ac:dyDescent="0.2">
      <c r="B127" s="15"/>
      <c r="C127" s="51" t="s">
        <v>7</v>
      </c>
      <c r="D127" s="52"/>
      <c r="E127" s="53"/>
    </row>
    <row r="128" spans="1:6" ht="14.25" thickBot="1" x14ac:dyDescent="0.2">
      <c r="A128" s="1"/>
      <c r="B128" s="14"/>
      <c r="C128" s="45" t="s">
        <v>9</v>
      </c>
      <c r="D128" s="47" t="s">
        <v>8</v>
      </c>
      <c r="E128" s="14" t="s">
        <v>0</v>
      </c>
    </row>
    <row r="129" spans="1:6" ht="14.25" thickBot="1" x14ac:dyDescent="0.2">
      <c r="A129" s="1"/>
      <c r="B129" s="14" t="s">
        <v>17</v>
      </c>
      <c r="C129" s="45" t="s">
        <v>15</v>
      </c>
      <c r="D129" s="47" t="s">
        <v>16</v>
      </c>
      <c r="E129" s="14"/>
    </row>
    <row r="130" spans="1:6" x14ac:dyDescent="0.15">
      <c r="B130" s="27" t="s">
        <v>3</v>
      </c>
      <c r="C130" s="28">
        <f>C122</f>
        <v>1</v>
      </c>
      <c r="D130" s="48">
        <f t="shared" ref="D130:E130" si="16">D122</f>
        <v>7</v>
      </c>
      <c r="E130" s="29">
        <f t="shared" si="16"/>
        <v>8</v>
      </c>
    </row>
    <row r="131" spans="1:6" x14ac:dyDescent="0.15">
      <c r="B131" s="12" t="s">
        <v>4</v>
      </c>
      <c r="C131" s="19">
        <v>30</v>
      </c>
      <c r="D131" s="35">
        <v>30</v>
      </c>
      <c r="E131" s="6">
        <f t="shared" ref="E131:E133" si="17">SUM(C131:D131)</f>
        <v>60</v>
      </c>
      <c r="F131" s="7" t="s">
        <v>40</v>
      </c>
    </row>
    <row r="132" spans="1:6" x14ac:dyDescent="0.15">
      <c r="B132" s="12" t="s">
        <v>39</v>
      </c>
      <c r="C132" s="19">
        <v>0</v>
      </c>
      <c r="D132" s="35">
        <v>0</v>
      </c>
      <c r="E132" s="6">
        <f t="shared" si="17"/>
        <v>0</v>
      </c>
      <c r="F132" s="7">
        <v>45890</v>
      </c>
    </row>
    <row r="133" spans="1:6" x14ac:dyDescent="0.15">
      <c r="B133" s="12" t="s">
        <v>39</v>
      </c>
      <c r="C133" s="19">
        <v>0</v>
      </c>
      <c r="D133" s="35">
        <v>0</v>
      </c>
      <c r="E133" s="6">
        <f t="shared" si="17"/>
        <v>0</v>
      </c>
      <c r="F133" s="7">
        <v>46087</v>
      </c>
    </row>
    <row r="134" spans="1:6" x14ac:dyDescent="0.15">
      <c r="B134" s="12" t="s">
        <v>4</v>
      </c>
      <c r="C134" s="19"/>
      <c r="D134" s="35"/>
      <c r="E134" s="6">
        <f>SUM(C134:D134)</f>
        <v>0</v>
      </c>
    </row>
    <row r="135" spans="1:6" ht="14.25" thickBot="1" x14ac:dyDescent="0.2">
      <c r="B135" s="11" t="s">
        <v>4</v>
      </c>
      <c r="C135" s="21"/>
      <c r="D135" s="49"/>
      <c r="E135" s="10">
        <f>SUM(C135:D135)</f>
        <v>0</v>
      </c>
    </row>
    <row r="136" spans="1:6" ht="14.25" thickBot="1" x14ac:dyDescent="0.2">
      <c r="B136" s="4" t="s">
        <v>1</v>
      </c>
      <c r="C136" s="23">
        <f>SUM(C130:C135)</f>
        <v>31</v>
      </c>
      <c r="D136" s="36">
        <f t="shared" ref="D136:E136" si="18">SUM(D130:D135)</f>
        <v>37</v>
      </c>
      <c r="E136" s="9">
        <f t="shared" si="18"/>
        <v>68</v>
      </c>
    </row>
    <row r="137" spans="1:6" x14ac:dyDescent="0.15">
      <c r="B137" s="5" t="s">
        <v>14</v>
      </c>
      <c r="C137" s="19"/>
      <c r="D137" s="35">
        <f>1</f>
        <v>1</v>
      </c>
      <c r="E137" s="33">
        <f t="shared" ref="E137" si="19">SUM(C137:D137)</f>
        <v>1</v>
      </c>
      <c r="F137" s="7">
        <v>45838</v>
      </c>
    </row>
    <row r="138" spans="1:6" x14ac:dyDescent="0.15">
      <c r="B138" s="5" t="s">
        <v>14</v>
      </c>
      <c r="C138" s="19">
        <v>2</v>
      </c>
      <c r="D138" s="35">
        <v>1</v>
      </c>
      <c r="E138" s="33">
        <f t="shared" ref="E138:E140" si="20">SUM(C138:D138)</f>
        <v>3</v>
      </c>
      <c r="F138" s="7">
        <v>45839</v>
      </c>
    </row>
    <row r="139" spans="1:6" x14ac:dyDescent="0.15">
      <c r="B139" s="5" t="s">
        <v>14</v>
      </c>
      <c r="C139" s="19">
        <v>1</v>
      </c>
      <c r="D139" s="35"/>
      <c r="E139" s="33">
        <f t="shared" si="20"/>
        <v>1</v>
      </c>
      <c r="F139" s="7">
        <v>45841</v>
      </c>
    </row>
    <row r="140" spans="1:6" x14ac:dyDescent="0.15">
      <c r="B140" s="5" t="s">
        <v>14</v>
      </c>
      <c r="C140" s="19"/>
      <c r="D140" s="35">
        <v>2</v>
      </c>
      <c r="E140" s="33">
        <f t="shared" si="20"/>
        <v>2</v>
      </c>
      <c r="F140" s="7">
        <v>45845</v>
      </c>
    </row>
    <row r="141" spans="1:6" x14ac:dyDescent="0.15">
      <c r="B141" s="5" t="s">
        <v>14</v>
      </c>
      <c r="C141" s="19"/>
      <c r="D141" s="35">
        <v>1</v>
      </c>
      <c r="E141" s="33">
        <f t="shared" ref="E141:E161" si="21">SUM(C141:D141)</f>
        <v>1</v>
      </c>
      <c r="F141" s="7">
        <v>45848</v>
      </c>
    </row>
    <row r="142" spans="1:6" x14ac:dyDescent="0.15">
      <c r="B142" s="5" t="s">
        <v>14</v>
      </c>
      <c r="C142" s="19">
        <v>1</v>
      </c>
      <c r="D142" s="35">
        <v>1</v>
      </c>
      <c r="E142" s="33">
        <f t="shared" si="21"/>
        <v>2</v>
      </c>
      <c r="F142" s="7">
        <v>45849</v>
      </c>
    </row>
    <row r="143" spans="1:6" x14ac:dyDescent="0.15">
      <c r="B143" s="5" t="s">
        <v>14</v>
      </c>
      <c r="C143" s="19">
        <v>1</v>
      </c>
      <c r="D143" s="35"/>
      <c r="E143" s="33">
        <f t="shared" si="21"/>
        <v>1</v>
      </c>
      <c r="F143" s="7">
        <v>45854</v>
      </c>
    </row>
    <row r="144" spans="1:6" x14ac:dyDescent="0.15">
      <c r="B144" s="5" t="s">
        <v>14</v>
      </c>
      <c r="C144" s="19">
        <v>1</v>
      </c>
      <c r="D144" s="35">
        <v>1</v>
      </c>
      <c r="E144" s="33">
        <f t="shared" si="21"/>
        <v>2</v>
      </c>
      <c r="F144" s="7">
        <v>45860</v>
      </c>
    </row>
    <row r="145" spans="2:6" x14ac:dyDescent="0.15">
      <c r="B145" s="5" t="s">
        <v>14</v>
      </c>
      <c r="C145" s="19"/>
      <c r="D145" s="35">
        <f>1+1</f>
        <v>2</v>
      </c>
      <c r="E145" s="33">
        <f t="shared" si="21"/>
        <v>2</v>
      </c>
      <c r="F145" s="7">
        <v>45866</v>
      </c>
    </row>
    <row r="146" spans="2:6" x14ac:dyDescent="0.15">
      <c r="B146" s="5" t="s">
        <v>14</v>
      </c>
      <c r="C146" s="19"/>
      <c r="D146" s="35">
        <v>1</v>
      </c>
      <c r="E146" s="33">
        <f t="shared" si="21"/>
        <v>1</v>
      </c>
      <c r="F146" s="7">
        <v>45867</v>
      </c>
    </row>
    <row r="147" spans="2:6" x14ac:dyDescent="0.15">
      <c r="B147" s="5"/>
      <c r="C147" s="19"/>
      <c r="D147" s="35"/>
      <c r="E147" s="33">
        <f t="shared" si="21"/>
        <v>0</v>
      </c>
    </row>
    <row r="148" spans="2:6" x14ac:dyDescent="0.15">
      <c r="B148" s="5"/>
      <c r="C148" s="19"/>
      <c r="D148" s="35"/>
      <c r="E148" s="33">
        <f t="shared" si="21"/>
        <v>0</v>
      </c>
    </row>
    <row r="149" spans="2:6" x14ac:dyDescent="0.15">
      <c r="B149" s="5"/>
      <c r="C149" s="19"/>
      <c r="D149" s="35"/>
      <c r="E149" s="33">
        <f t="shared" si="21"/>
        <v>0</v>
      </c>
    </row>
    <row r="150" spans="2:6" x14ac:dyDescent="0.15">
      <c r="B150" s="5"/>
      <c r="C150" s="19"/>
      <c r="D150" s="35"/>
      <c r="E150" s="33">
        <f t="shared" si="21"/>
        <v>0</v>
      </c>
    </row>
    <row r="151" spans="2:6" x14ac:dyDescent="0.15">
      <c r="B151" s="5"/>
      <c r="C151" s="19"/>
      <c r="D151" s="35"/>
      <c r="E151" s="33">
        <f t="shared" si="21"/>
        <v>0</v>
      </c>
    </row>
    <row r="152" spans="2:6" x14ac:dyDescent="0.15">
      <c r="B152" s="5"/>
      <c r="C152" s="19"/>
      <c r="D152" s="35"/>
      <c r="E152" s="33">
        <f t="shared" si="21"/>
        <v>0</v>
      </c>
    </row>
    <row r="153" spans="2:6" x14ac:dyDescent="0.15">
      <c r="B153" s="5"/>
      <c r="C153" s="19"/>
      <c r="D153" s="35"/>
      <c r="E153" s="33">
        <f t="shared" si="21"/>
        <v>0</v>
      </c>
    </row>
    <row r="154" spans="2:6" x14ac:dyDescent="0.15">
      <c r="B154" s="5"/>
      <c r="C154" s="19"/>
      <c r="D154" s="35"/>
      <c r="E154" s="33">
        <f t="shared" si="21"/>
        <v>0</v>
      </c>
    </row>
    <row r="155" spans="2:6" x14ac:dyDescent="0.15">
      <c r="B155" s="5"/>
      <c r="C155" s="19"/>
      <c r="D155" s="35"/>
      <c r="E155" s="33">
        <f t="shared" si="21"/>
        <v>0</v>
      </c>
    </row>
    <row r="156" spans="2:6" x14ac:dyDescent="0.15">
      <c r="B156" s="5"/>
      <c r="C156" s="19"/>
      <c r="D156" s="35"/>
      <c r="E156" s="33">
        <f t="shared" si="21"/>
        <v>0</v>
      </c>
    </row>
    <row r="157" spans="2:6" x14ac:dyDescent="0.15">
      <c r="B157" s="5"/>
      <c r="C157" s="19"/>
      <c r="D157" s="35"/>
      <c r="E157" s="33">
        <f t="shared" si="21"/>
        <v>0</v>
      </c>
    </row>
    <row r="158" spans="2:6" x14ac:dyDescent="0.15">
      <c r="B158" s="5"/>
      <c r="C158" s="19"/>
      <c r="D158" s="35"/>
      <c r="E158" s="33">
        <f t="shared" si="21"/>
        <v>0</v>
      </c>
    </row>
    <row r="159" spans="2:6" x14ac:dyDescent="0.15">
      <c r="B159" s="5"/>
      <c r="C159" s="19"/>
      <c r="D159" s="35"/>
      <c r="E159" s="33">
        <f t="shared" si="21"/>
        <v>0</v>
      </c>
    </row>
    <row r="160" spans="2:6" x14ac:dyDescent="0.15">
      <c r="B160" s="5"/>
      <c r="C160" s="19"/>
      <c r="D160" s="35"/>
      <c r="E160" s="33">
        <f t="shared" si="21"/>
        <v>0</v>
      </c>
    </row>
    <row r="161" spans="2:5" ht="14.25" thickBot="1" x14ac:dyDescent="0.2">
      <c r="B161" s="5"/>
      <c r="C161" s="31"/>
      <c r="D161" s="49"/>
      <c r="E161" s="50">
        <f t="shared" si="21"/>
        <v>0</v>
      </c>
    </row>
    <row r="162" spans="2:5" ht="14.25" thickBot="1" x14ac:dyDescent="0.2">
      <c r="B162" s="4" t="s">
        <v>2</v>
      </c>
      <c r="C162" s="23">
        <f>SUM(C137:C161)</f>
        <v>6</v>
      </c>
      <c r="D162" s="36">
        <f t="shared" ref="D162:E162" si="22">SUM(D137:D161)</f>
        <v>10</v>
      </c>
      <c r="E162" s="3">
        <f t="shared" si="22"/>
        <v>16</v>
      </c>
    </row>
    <row r="163" spans="2:5" ht="14.25" thickBot="1" x14ac:dyDescent="0.2">
      <c r="B163" s="2" t="s">
        <v>3</v>
      </c>
      <c r="C163" s="26">
        <f>+C136-C162</f>
        <v>25</v>
      </c>
      <c r="D163" s="39">
        <f t="shared" ref="D163:E163" si="23">+D136-D162</f>
        <v>27</v>
      </c>
      <c r="E163" s="34">
        <f t="shared" si="23"/>
        <v>52</v>
      </c>
    </row>
  </sheetData>
  <mergeCells count="4">
    <mergeCell ref="C4:E4"/>
    <mergeCell ref="C45:E45"/>
    <mergeCell ref="C86:E86"/>
    <mergeCell ref="C127:E127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保冷剤ﾏﾌﾗｰ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1997-01-08T22:48:59Z</dcterms:created>
  <dcterms:modified xsi:type="dcterms:W3CDTF">2026-03-06T08:40:25Z</dcterms:modified>
</cp:coreProperties>
</file>