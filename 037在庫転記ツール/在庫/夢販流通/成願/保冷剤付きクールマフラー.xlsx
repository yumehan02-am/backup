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成願\"/>
    </mc:Choice>
  </mc:AlternateContent>
  <xr:revisionPtr revIDLastSave="0" documentId="13_ncr:1_{CACFBF08-F4B5-4284-AD35-05BE51B8E98A}" xr6:coauthVersionLast="47" xr6:coauthVersionMax="47" xr10:uidLastSave="{00000000-0000-0000-0000-000000000000}"/>
  <bookViews>
    <workbookView xWindow="11550" yWindow="795" windowWidth="16065" windowHeight="12450" xr2:uid="{00000000-000D-0000-FFFF-FFFF00000000}"/>
  </bookViews>
  <sheets>
    <sheet name="ﾊﾟｲﾙﾏﾌﾗ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" i="1" l="1"/>
  <c r="D28" i="1"/>
  <c r="E28" i="1" s="1"/>
  <c r="C28" i="1"/>
  <c r="C27" i="1"/>
  <c r="C25" i="1"/>
  <c r="E7" i="1"/>
  <c r="E16" i="1" l="1"/>
  <c r="E6" i="1"/>
  <c r="E8" i="1"/>
  <c r="E9" i="1"/>
  <c r="E10" i="1"/>
  <c r="E11" i="1"/>
  <c r="C12" i="1"/>
  <c r="D12" i="1"/>
  <c r="E13" i="1"/>
  <c r="E14" i="1"/>
  <c r="E15" i="1"/>
  <c r="E17" i="1"/>
  <c r="E18" i="1"/>
  <c r="E19" i="1"/>
  <c r="E20" i="1"/>
  <c r="E21" i="1"/>
  <c r="E22" i="1"/>
  <c r="E23" i="1"/>
  <c r="E24" i="1"/>
  <c r="E25" i="1"/>
  <c r="E26" i="1"/>
  <c r="E27" i="1"/>
  <c r="E29" i="1"/>
  <c r="E30" i="1"/>
  <c r="E31" i="1"/>
  <c r="E32" i="1"/>
  <c r="E33" i="1"/>
  <c r="E34" i="1"/>
  <c r="E35" i="1"/>
  <c r="E36" i="1"/>
  <c r="E37" i="1"/>
  <c r="C38" i="1"/>
  <c r="E47" i="1"/>
  <c r="E48" i="1"/>
  <c r="E49" i="1"/>
  <c r="E50" i="1"/>
  <c r="E51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C78" i="1"/>
  <c r="D78" i="1"/>
  <c r="D38" i="1" l="1"/>
  <c r="D39" i="1" s="1"/>
  <c r="D46" i="1" s="1"/>
  <c r="D52" i="1" s="1"/>
  <c r="D79" i="1" s="1"/>
  <c r="C39" i="1"/>
  <c r="C46" i="1" s="1"/>
  <c r="C52" i="1" s="1"/>
  <c r="C79" i="1" s="1"/>
  <c r="E78" i="1"/>
  <c r="E38" i="1"/>
  <c r="E12" i="1"/>
  <c r="E39" i="1" l="1"/>
  <c r="E46" i="1" s="1"/>
  <c r="E52" i="1" s="1"/>
  <c r="E79" i="1" s="1"/>
</calcChain>
</file>

<file path=xl/sharedStrings.xml><?xml version="1.0" encoding="utf-8"?>
<sst xmlns="http://schemas.openxmlformats.org/spreadsheetml/2006/main" count="75" uniqueCount="14">
  <si>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</si>
  <si>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2"/>
  </si>
  <si>
    <t>総数</t>
    <rPh sb="0" eb="2">
      <t>ソウスウ</t>
    </rPh>
    <phoneticPr fontId="2"/>
  </si>
  <si>
    <t>追加</t>
    <rPh sb="0" eb="2">
      <t>ツイカ</t>
    </rPh>
    <phoneticPr fontId="2"/>
  </si>
  <si>
    <t>計</t>
    <rPh sb="0" eb="1">
      <t>ケイ</t>
    </rPh>
    <phoneticPr fontId="2"/>
  </si>
  <si>
    <t>保冷剤付きクールマフラー</t>
    <rPh sb="0" eb="4">
      <t>ホレイザイツ</t>
    </rPh>
    <phoneticPr fontId="2"/>
  </si>
  <si>
    <t>ラインペンギン</t>
    <phoneticPr fontId="2"/>
  </si>
  <si>
    <t>【ﾗｲﾝﾍﾟﾝｷﾞﾝCLLP-100　＠400】</t>
    <phoneticPr fontId="2"/>
  </si>
  <si>
    <t>ブルー</t>
    <phoneticPr fontId="2"/>
  </si>
  <si>
    <t>ネイビー</t>
    <phoneticPr fontId="2"/>
  </si>
  <si>
    <t>初回</t>
    <rPh sb="0" eb="2">
      <t>ショカイ</t>
    </rPh>
    <phoneticPr fontId="2"/>
  </si>
  <si>
    <t>ネット</t>
    <phoneticPr fontId="2"/>
  </si>
  <si>
    <t>在庫確認</t>
    <rPh sb="0" eb="4">
      <t>ザイコカクニン</t>
    </rPh>
    <phoneticPr fontId="2"/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</si>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</sst>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5" xfId="0" applyBorder="1" applyAlignment="1">
      <alignment horizontal="center"/>
    </xf>
    <xf numFmtId="0" fontId="0" fillId="0" borderId="9" xfId="0" applyBorder="1"/>
    <xf numFmtId="56" fontId="0" fillId="0" borderId="11" xfId="0" applyNumberFormat="1" applyBorder="1" applyAlignment="1">
      <alignment horizontal="center"/>
    </xf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1" fillId="0" borderId="15" xfId="0" applyFont="1" applyBorder="1"/>
    <xf numFmtId="0" fontId="1" fillId="0" borderId="16" xfId="0" applyFont="1" applyBorder="1"/>
    <xf numFmtId="0" fontId="0" fillId="0" borderId="17" xfId="0" applyBorder="1"/>
    <xf numFmtId="0" fontId="0" fillId="0" borderId="18" xfId="0" applyBorder="1"/>
    <xf numFmtId="0" fontId="0" fillId="0" borderId="4" xfId="0" applyBorder="1"/>
    <xf numFmtId="0" fontId="0" fillId="0" borderId="20" xfId="0" applyBorder="1"/>
    <xf numFmtId="0" fontId="0" fillId="0" borderId="21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3" fillId="0" borderId="19" xfId="0" applyFont="1" applyBorder="1"/>
    <xf numFmtId="0" fontId="3" fillId="0" borderId="17" xfId="0" applyFont="1" applyBorder="1"/>
    <xf numFmtId="0" fontId="3" fillId="0" borderId="18" xfId="0" applyFont="1" applyBorder="1"/>
    <xf numFmtId="56" fontId="3" fillId="0" borderId="19" xfId="0" applyNumberFormat="1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3" fillId="0" borderId="0" xfId="0" applyFont="1"/>
    <xf numFmtId="0" fontId="0" fillId="0" borderId="10" xfId="0" applyBorder="1"/>
    <xf numFmtId="0" fontId="0" fillId="0" borderId="8" xfId="0" applyBorder="1"/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56" fontId="0" fillId="0" borderId="19" xfId="0" applyNumberFormat="1" applyBorder="1" applyAlignment="1">
      <alignment horizontal="center"/>
    </xf>
    <xf numFmtId="0" fontId="0" fillId="0" borderId="19" xfId="0" applyBorder="1"/>
    <xf numFmtId="56" fontId="0" fillId="0" borderId="0" xfId="0" applyNumberFormat="1"/>
    <xf numFmtId="0" fontId="0" fillId="0" borderId="14" xfId="0" applyBorder="1"/>
    <xf numFmtId="0" fontId="0" fillId="0" borderId="13" xfId="0" applyBorder="1"/>
    <xf numFmtId="0" fontId="0" fillId="0" borderId="30" xfId="0" applyBorder="1"/>
    <xf numFmtId="56" fontId="0" fillId="0" borderId="31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6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  <color rgb="FFFFCCCC"/>
      <color rgb="FFCCFF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374938</xdr:colOff>
      <xdr:row>45</xdr:row>
      <xdr:rowOff>47626</xdr:rowOff>
    </xdr:from>
    <xdr:to>
      <xdr:col>9</xdr:col>
      <xdr:colOff>209550</xdr:colOff>
      <xdr:row>66</xdr:row>
      <xdr:rowOff>100657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93FC7D9-892D-F377-65AC-96C0414ABE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966113" y="8105776"/>
          <a:ext cx="1892012" cy="367253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topLeftCell="B64" zoomScaleNormal="100" workbookViewId="0">
      <selection activeCell="B72" sqref="B72"/>
    </sheetView>
  </sheetViews>
  <sheetFormatPr defaultRowHeight="13.5" x14ac:dyDescent="0.15"/>
  <cols>
    <col min="2" max="2" width="32.125" style="1" customWidth="1"/>
    <col min="3" max="5" width="7.75" customWidth="1"/>
    <col min="6" max="6" width="9.25" bestFit="1" customWidth="1"/>
  </cols>
  <sheetData>
    <row r="1" spans="2:6" ht="18.75" x14ac:dyDescent="0.2">
      <c r="B1" s="33" t="s">
        <v>5</v>
      </c>
      <c r="C1" s="31"/>
      <c r="D1" s="31"/>
      <c r="E1" s="31"/>
    </row>
    <row r="2" spans="2:6" ht="17.25" x14ac:dyDescent="0.2">
      <c r="B2" s="32" t="s">
        <v>7</v>
      </c>
      <c r="C2" s="31"/>
      <c r="D2" s="31"/>
      <c r="E2" s="31"/>
    </row>
    <row r="3" spans="2:6" ht="14.25" thickBot="1" x14ac:dyDescent="0.2"/>
    <row r="4" spans="2:6" ht="14.25" thickBot="1" x14ac:dyDescent="0.2">
      <c r="B4" s="30"/>
      <c r="C4" s="46" t="s">
        <v>6</v>
      </c>
      <c r="D4" s="47"/>
      <c r="E4" s="48"/>
    </row>
    <row r="5" spans="2:6" s="1" customFormat="1" ht="14.25" thickBot="1" x14ac:dyDescent="0.2">
      <c r="B5" s="29"/>
      <c r="C5" s="37" t="s">
        <v>8</v>
      </c>
      <c r="D5" s="38" t="s">
        <v>9</v>
      </c>
      <c r="E5" s="28" t="s">
        <v>4</v>
      </c>
    </row>
    <row r="6" spans="2:6" ht="14.25" customHeight="1" x14ac:dyDescent="0.15">
      <c r="B6" s="39" t="s">
        <v>10</v>
      </c>
      <c r="C6" s="18">
        <v>1</v>
      </c>
      <c r="D6" s="17">
        <v>1</v>
      </c>
      <c r="E6" s="40">
        <f t="shared" ref="E6:E11" si="0">SUM(C6:D6)</f>
        <v>2</v>
      </c>
      <c r="F6" s="41">
        <v>45709</v>
      </c>
    </row>
    <row r="7" spans="2:6" x14ac:dyDescent="0.15">
      <c r="B7" s="23" t="s">
        <v>3</v>
      </c>
      <c r="C7" s="42">
        <v>50</v>
      </c>
      <c r="D7" s="43">
        <v>50</v>
      </c>
      <c r="E7" s="44">
        <f t="shared" ref="E7" si="1">SUM(C7:D7)</f>
        <v>100</v>
      </c>
      <c r="F7" s="41">
        <v>45719</v>
      </c>
    </row>
    <row r="8" spans="2:6" x14ac:dyDescent="0.15">
      <c r="B8" s="23" t="s">
        <v>12</v>
      </c>
      <c r="C8" s="42">
        <v>3</v>
      </c>
      <c r="D8" s="43">
        <v>-1</v>
      </c>
      <c r="E8" s="44">
        <f t="shared" si="0"/>
        <v>2</v>
      </c>
      <c r="F8" s="41">
        <v>45878</v>
      </c>
    </row>
    <row r="9" spans="2:6" x14ac:dyDescent="0.15">
      <c r="B9" s="23" t="s">
        <v>3</v>
      </c>
      <c r="C9" s="14"/>
      <c r="D9" s="13"/>
      <c r="E9" s="22">
        <f t="shared" si="0"/>
        <v>0</v>
      </c>
    </row>
    <row r="10" spans="2:6" x14ac:dyDescent="0.15">
      <c r="B10" s="23" t="s">
        <v>3</v>
      </c>
      <c r="C10" s="14"/>
      <c r="D10" s="13"/>
      <c r="E10" s="22">
        <f t="shared" si="0"/>
        <v>0</v>
      </c>
    </row>
    <row r="11" spans="2:6" ht="14.25" thickBot="1" x14ac:dyDescent="0.2">
      <c r="B11" s="23" t="s">
        <v>3</v>
      </c>
      <c r="C11" s="21"/>
      <c r="D11" s="10"/>
      <c r="E11" s="20">
        <f t="shared" si="0"/>
        <v>0</v>
      </c>
    </row>
    <row r="12" spans="2:6" ht="14.25" thickBot="1" x14ac:dyDescent="0.2">
      <c r="B12" s="9" t="s">
        <v>2</v>
      </c>
      <c r="C12" s="8">
        <f t="shared" ref="C12:E12" si="2">SUM(C6:C11)</f>
        <v>54</v>
      </c>
      <c r="D12" s="7">
        <f t="shared" si="2"/>
        <v>50</v>
      </c>
      <c r="E12" s="19">
        <f t="shared" si="2"/>
        <v>104</v>
      </c>
    </row>
    <row r="13" spans="2:6" x14ac:dyDescent="0.15">
      <c r="B13" s="39" t="s">
        <v>11</v>
      </c>
      <c r="C13" s="18"/>
      <c r="D13" s="17">
        <v>1</v>
      </c>
      <c r="E13" s="12">
        <f t="shared" ref="E13:E37" si="3">SUM(C13:D13)</f>
        <v>1</v>
      </c>
      <c r="F13" s="41">
        <v>45737</v>
      </c>
    </row>
    <row r="14" spans="2:6" x14ac:dyDescent="0.15">
      <c r="B14" s="11" t="s">
        <v>11</v>
      </c>
      <c r="C14" s="14"/>
      <c r="D14" s="13">
        <v>1</v>
      </c>
      <c r="E14" s="12">
        <f t="shared" si="3"/>
        <v>1</v>
      </c>
      <c r="F14" s="41">
        <v>45740</v>
      </c>
    </row>
    <row r="15" spans="2:6" x14ac:dyDescent="0.15">
      <c r="B15" s="11" t="s">
        <v>11</v>
      </c>
      <c r="C15" s="14">
        <v>1</v>
      </c>
      <c r="D15" s="13">
        <v>1</v>
      </c>
      <c r="E15" s="12">
        <f t="shared" si="3"/>
        <v>2</v>
      </c>
      <c r="F15" s="41">
        <v>45805</v>
      </c>
    </row>
    <row r="16" spans="2:6" x14ac:dyDescent="0.15">
      <c r="B16" s="45" t="s">
        <v>11</v>
      </c>
      <c r="C16" s="14">
        <v>1</v>
      </c>
      <c r="D16" s="13"/>
      <c r="E16" s="12">
        <f t="shared" si="3"/>
        <v>1</v>
      </c>
      <c r="F16" s="41">
        <v>45814</v>
      </c>
    </row>
    <row r="17" spans="2:6" x14ac:dyDescent="0.15">
      <c r="B17" s="11" t="s">
        <v>11</v>
      </c>
      <c r="C17" s="14">
        <v>1</v>
      </c>
      <c r="D17" s="13">
        <v>1</v>
      </c>
      <c r="E17" s="12">
        <f t="shared" si="3"/>
        <v>2</v>
      </c>
      <c r="F17" s="41">
        <v>45828</v>
      </c>
    </row>
    <row r="18" spans="2:6" x14ac:dyDescent="0.15">
      <c r="B18" s="11" t="s">
        <v>11</v>
      </c>
      <c r="C18" s="14"/>
      <c r="D18" s="13">
        <v>1</v>
      </c>
      <c r="E18" s="12">
        <f t="shared" si="3"/>
        <v>1</v>
      </c>
      <c r="F18" s="41">
        <v>45834</v>
      </c>
    </row>
    <row r="19" spans="2:6" x14ac:dyDescent="0.15">
      <c r="B19" s="11" t="s">
        <v>11</v>
      </c>
      <c r="C19" s="14">
        <v>2</v>
      </c>
      <c r="D19" s="13"/>
      <c r="E19" s="12">
        <f t="shared" si="3"/>
        <v>2</v>
      </c>
      <c r="F19" s="41">
        <v>45840</v>
      </c>
    </row>
    <row r="20" spans="2:6" x14ac:dyDescent="0.15">
      <c r="B20" s="11" t="s">
        <v>11</v>
      </c>
      <c r="C20" s="14">
        <v>1</v>
      </c>
      <c r="D20" s="13"/>
      <c r="E20" s="12">
        <f t="shared" si="3"/>
        <v>1</v>
      </c>
      <c r="F20" s="41">
        <v>45843</v>
      </c>
    </row>
    <row r="21" spans="2:6" x14ac:dyDescent="0.15">
      <c r="B21" s="11" t="s">
        <v>11</v>
      </c>
      <c r="C21" s="14">
        <v>1</v>
      </c>
      <c r="D21" s="13"/>
      <c r="E21" s="12">
        <f t="shared" si="3"/>
        <v>1</v>
      </c>
      <c r="F21" s="41">
        <v>45845</v>
      </c>
    </row>
    <row r="22" spans="2:6" x14ac:dyDescent="0.15">
      <c r="B22" s="11" t="s">
        <v>11</v>
      </c>
      <c r="C22" s="14">
        <v>1</v>
      </c>
      <c r="D22" s="13"/>
      <c r="E22" s="12">
        <f t="shared" si="3"/>
        <v>1</v>
      </c>
      <c r="F22" s="41">
        <v>45848</v>
      </c>
    </row>
    <row r="23" spans="2:6" x14ac:dyDescent="0.15">
      <c r="B23" s="11" t="s">
        <v>11</v>
      </c>
      <c r="C23" s="14"/>
      <c r="D23" s="13">
        <v>1</v>
      </c>
      <c r="E23" s="12">
        <f t="shared" si="3"/>
        <v>1</v>
      </c>
      <c r="F23" s="41">
        <v>45849</v>
      </c>
    </row>
    <row r="24" spans="2:6" x14ac:dyDescent="0.15">
      <c r="B24" s="11" t="s">
        <v>11</v>
      </c>
      <c r="C24" s="14">
        <v>1</v>
      </c>
      <c r="D24" s="13">
        <v>1</v>
      </c>
      <c r="E24" s="12">
        <f t="shared" si="3"/>
        <v>2</v>
      </c>
      <c r="F24" s="41">
        <v>45852</v>
      </c>
    </row>
    <row r="25" spans="2:6" x14ac:dyDescent="0.15">
      <c r="B25" s="11" t="s">
        <v>11</v>
      </c>
      <c r="C25" s="14">
        <f>1+5</f>
        <v>6</v>
      </c>
      <c r="D25" s="13">
        <v>1</v>
      </c>
      <c r="E25" s="12">
        <f t="shared" si="3"/>
        <v>7</v>
      </c>
      <c r="F25" s="41">
        <v>45853</v>
      </c>
    </row>
    <row r="26" spans="2:6" x14ac:dyDescent="0.15">
      <c r="B26" s="11" t="s">
        <v>11</v>
      </c>
      <c r="C26" s="14"/>
      <c r="D26" s="13">
        <v>1</v>
      </c>
      <c r="E26" s="12">
        <f t="shared" si="3"/>
        <v>1</v>
      </c>
      <c r="F26" s="41">
        <v>45854</v>
      </c>
    </row>
    <row r="27" spans="2:6" x14ac:dyDescent="0.15">
      <c r="B27" s="11" t="s">
        <v>11</v>
      </c>
      <c r="C27" s="16">
        <f>1+1</f>
        <v>2</v>
      </c>
      <c r="D27" s="15"/>
      <c r="E27" s="12">
        <f t="shared" si="3"/>
        <v>2</v>
      </c>
      <c r="F27" s="41">
        <v>45855</v>
      </c>
    </row>
    <row r="28" spans="2:6" x14ac:dyDescent="0.15">
      <c r="B28" s="11" t="s">
        <v>11</v>
      </c>
      <c r="C28" s="16">
        <f>1+1</f>
        <v>2</v>
      </c>
      <c r="D28" s="15">
        <f>1+1</f>
        <v>2</v>
      </c>
      <c r="E28" s="12">
        <f t="shared" ref="E28" si="4">SUM(C28:D28)</f>
        <v>4</v>
      </c>
      <c r="F28" s="41">
        <v>45860</v>
      </c>
    </row>
    <row r="29" spans="2:6" x14ac:dyDescent="0.15">
      <c r="B29" s="11" t="s">
        <v>11</v>
      </c>
      <c r="C29" s="14">
        <v>1</v>
      </c>
      <c r="D29" s="13">
        <v>1</v>
      </c>
      <c r="E29" s="12">
        <f t="shared" si="3"/>
        <v>2</v>
      </c>
      <c r="F29" s="41">
        <v>45861</v>
      </c>
    </row>
    <row r="30" spans="2:6" x14ac:dyDescent="0.15">
      <c r="B30" s="11" t="s">
        <v>11</v>
      </c>
      <c r="C30" s="14">
        <v>2</v>
      </c>
      <c r="D30" s="13"/>
      <c r="E30" s="12">
        <f t="shared" si="3"/>
        <v>2</v>
      </c>
      <c r="F30" s="41">
        <v>45862</v>
      </c>
    </row>
    <row r="31" spans="2:6" x14ac:dyDescent="0.15">
      <c r="B31" s="11" t="s">
        <v>11</v>
      </c>
      <c r="C31" s="16">
        <v>3</v>
      </c>
      <c r="D31" s="15">
        <v>2</v>
      </c>
      <c r="E31" s="12">
        <f t="shared" si="3"/>
        <v>5</v>
      </c>
      <c r="F31" s="41">
        <v>45866</v>
      </c>
    </row>
    <row r="32" spans="2:6" x14ac:dyDescent="0.15">
      <c r="B32" s="11" t="s">
        <v>11</v>
      </c>
      <c r="C32" s="14"/>
      <c r="D32" s="13">
        <v>1</v>
      </c>
      <c r="E32" s="12">
        <f t="shared" si="3"/>
        <v>1</v>
      </c>
      <c r="F32" s="41">
        <v>45867</v>
      </c>
    </row>
    <row r="33" spans="1:6" x14ac:dyDescent="0.15">
      <c r="B33" s="11" t="s">
        <v>11</v>
      </c>
      <c r="C33" s="14">
        <v>1</v>
      </c>
      <c r="D33" s="13">
        <v>1</v>
      </c>
      <c r="E33" s="12">
        <f t="shared" si="3"/>
        <v>2</v>
      </c>
      <c r="F33" s="41">
        <v>45868</v>
      </c>
    </row>
    <row r="34" spans="1:6" x14ac:dyDescent="0.15">
      <c r="B34" s="11" t="s">
        <v>11</v>
      </c>
      <c r="C34" s="14"/>
      <c r="D34" s="13">
        <v>2</v>
      </c>
      <c r="E34" s="12">
        <f t="shared" si="3"/>
        <v>2</v>
      </c>
      <c r="F34" s="41">
        <v>45869</v>
      </c>
    </row>
    <row r="35" spans="1:6" x14ac:dyDescent="0.15">
      <c r="B35" s="11" t="s">
        <v>11</v>
      </c>
      <c r="C35" s="14">
        <v>1</v>
      </c>
      <c r="D35" s="13">
        <v>1</v>
      </c>
      <c r="E35" s="12">
        <f t="shared" si="3"/>
        <v>2</v>
      </c>
      <c r="F35" s="41">
        <v>45870</v>
      </c>
    </row>
    <row r="36" spans="1:6" x14ac:dyDescent="0.15">
      <c r="B36" s="11" t="s">
        <v>11</v>
      </c>
      <c r="C36" s="14">
        <f>3+1</f>
        <v>4</v>
      </c>
      <c r="D36" s="13">
        <v>2</v>
      </c>
      <c r="E36" s="12">
        <f t="shared" si="3"/>
        <v>6</v>
      </c>
      <c r="F36" s="41">
        <v>45873</v>
      </c>
    </row>
    <row r="37" spans="1:6" ht="14.25" thickBot="1" x14ac:dyDescent="0.2">
      <c r="B37" s="11" t="s">
        <v>11</v>
      </c>
      <c r="C37" s="35">
        <v>1</v>
      </c>
      <c r="D37" s="10">
        <v>1</v>
      </c>
      <c r="E37" s="36">
        <f t="shared" si="3"/>
        <v>2</v>
      </c>
      <c r="F37" s="41">
        <v>45875</v>
      </c>
    </row>
    <row r="38" spans="1:6" ht="14.25" thickBot="1" x14ac:dyDescent="0.2">
      <c r="B38" s="9" t="s">
        <v>1</v>
      </c>
      <c r="C38" s="8">
        <f t="shared" ref="C38:E38" si="5">SUM(C13:C37)</f>
        <v>32</v>
      </c>
      <c r="D38" s="7">
        <f t="shared" si="5"/>
        <v>22</v>
      </c>
      <c r="E38" s="6">
        <f t="shared" si="5"/>
        <v>54</v>
      </c>
    </row>
    <row r="39" spans="1:6" ht="14.25" thickBot="1" x14ac:dyDescent="0.2">
      <c r="B39" s="5" t="s">
        <v>0</v>
      </c>
      <c r="C39" s="4">
        <f t="shared" ref="C39:E39" si="6">+C12-C38</f>
        <v>22</v>
      </c>
      <c r="D39" s="3">
        <f t="shared" si="6"/>
        <v>28</v>
      </c>
      <c r="E39" s="2">
        <f t="shared" si="6"/>
        <v>50</v>
      </c>
    </row>
    <row r="41" spans="1:6" ht="18.75" x14ac:dyDescent="0.2">
      <c r="B41" s="33" t="s">
        <v>5</v>
      </c>
      <c r="C41" s="31"/>
      <c r="D41" s="31"/>
      <c r="E41" s="31"/>
    </row>
    <row r="42" spans="1:6" ht="17.25" x14ac:dyDescent="0.2">
      <c r="B42" s="32" t="s">
        <v>7</v>
      </c>
      <c r="C42" s="31"/>
      <c r="D42" s="31"/>
      <c r="E42" s="31"/>
    </row>
    <row r="43" spans="1:6" ht="14.25" thickBot="1" x14ac:dyDescent="0.2"/>
    <row r="44" spans="1:6" ht="14.25" thickBot="1" x14ac:dyDescent="0.2">
      <c r="B44" s="30"/>
      <c r="C44" s="46" t="s">
        <v>6</v>
      </c>
      <c r="D44" s="47"/>
      <c r="E44" s="48"/>
    </row>
    <row r="45" spans="1:6" ht="14.25" thickBot="1" x14ac:dyDescent="0.2">
      <c r="A45" s="1"/>
      <c r="B45" s="29"/>
      <c r="C45" s="37" t="s">
        <v>8</v>
      </c>
      <c r="D45" s="38" t="s">
        <v>9</v>
      </c>
      <c r="E45" s="28" t="s">
        <v>4</v>
      </c>
    </row>
    <row r="46" spans="1:6" x14ac:dyDescent="0.15">
      <c r="B46" s="27" t="s">
        <v>0</v>
      </c>
      <c r="C46" s="26">
        <f t="shared" ref="C46:E46" si="7">C39</f>
        <v>22</v>
      </c>
      <c r="D46" s="25">
        <f t="shared" si="7"/>
        <v>28</v>
      </c>
      <c r="E46" s="24">
        <f t="shared" si="7"/>
        <v>50</v>
      </c>
    </row>
    <row r="47" spans="1:6" x14ac:dyDescent="0.15">
      <c r="B47" s="23" t="s">
        <v>12</v>
      </c>
      <c r="C47" s="14">
        <v>0</v>
      </c>
      <c r="D47" s="13">
        <v>0</v>
      </c>
      <c r="E47" s="22">
        <f>SUM(C47:D47)</f>
        <v>0</v>
      </c>
      <c r="F47" s="41">
        <v>45890</v>
      </c>
    </row>
    <row r="48" spans="1:6" x14ac:dyDescent="0.15">
      <c r="B48" s="23" t="s">
        <v>12</v>
      </c>
      <c r="C48" s="14">
        <v>0</v>
      </c>
      <c r="D48" s="13">
        <v>0</v>
      </c>
      <c r="E48" s="22">
        <f>SUM(C48:D48)</f>
        <v>0</v>
      </c>
      <c r="F48" s="41">
        <v>46087</v>
      </c>
    </row>
    <row r="49" spans="2:6" x14ac:dyDescent="0.15">
      <c r="B49" s="23" t="s">
        <v>3</v>
      </c>
      <c r="C49" s="14"/>
      <c r="D49" s="13"/>
      <c r="E49" s="22">
        <f>SUM(C49:D49)</f>
        <v>0</v>
      </c>
    </row>
    <row r="50" spans="2:6" x14ac:dyDescent="0.15">
      <c r="B50" s="23" t="s">
        <v>3</v>
      </c>
      <c r="C50" s="14"/>
      <c r="D50" s="13"/>
      <c r="E50" s="22">
        <f>SUM(C50:D50)</f>
        <v>0</v>
      </c>
    </row>
    <row r="51" spans="2:6" ht="14.25" thickBot="1" x14ac:dyDescent="0.2">
      <c r="B51" s="23" t="s">
        <v>3</v>
      </c>
      <c r="C51" s="21"/>
      <c r="D51" s="10"/>
      <c r="E51" s="20">
        <f>SUM(C51:D51)</f>
        <v>0</v>
      </c>
    </row>
    <row r="52" spans="2:6" ht="14.25" thickBot="1" x14ac:dyDescent="0.2">
      <c r="B52" s="9" t="s">
        <v>2</v>
      </c>
      <c r="C52" s="8">
        <f t="shared" ref="C52:E52" si="8">SUM(C46:C51)</f>
        <v>22</v>
      </c>
      <c r="D52" s="7">
        <f t="shared" si="8"/>
        <v>28</v>
      </c>
      <c r="E52" s="19">
        <f t="shared" si="8"/>
        <v>50</v>
      </c>
    </row>
    <row r="53" spans="2:6" x14ac:dyDescent="0.15">
      <c r="B53" s="11" t="s">
        <v>11</v>
      </c>
      <c r="C53" s="18"/>
      <c r="D53" s="17">
        <v>1</v>
      </c>
      <c r="E53" s="12">
        <f t="shared" ref="E53:E77" si="9">SUM(C53:D53)</f>
        <v>1</v>
      </c>
      <c r="F53" s="41">
        <v>45888</v>
      </c>
    </row>
    <row r="54" spans="2:6" x14ac:dyDescent="0.15">
      <c r="B54" s="11" t="s">
        <v>11</v>
      </c>
      <c r="C54" s="14">
        <v>1</v>
      </c>
      <c r="D54" s="13">
        <v>1</v>
      </c>
      <c r="E54" s="12">
        <f t="shared" si="9"/>
        <v>2</v>
      </c>
      <c r="F54" s="41">
        <v>45889</v>
      </c>
    </row>
    <row r="55" spans="2:6" x14ac:dyDescent="0.15">
      <c r="B55" s="11" t="s">
        <v>11</v>
      </c>
      <c r="C55" s="14">
        <v>1</v>
      </c>
      <c r="D55" s="13"/>
      <c r="E55" s="12">
        <f t="shared" si="9"/>
        <v>1</v>
      </c>
      <c r="F55" s="41">
        <v>45894</v>
      </c>
    </row>
    <row r="56" spans="2:6" x14ac:dyDescent="0.15">
      <c r="B56" s="11" t="s">
        <v>11</v>
      </c>
      <c r="C56" s="14">
        <v>2</v>
      </c>
      <c r="D56" s="13">
        <v>1</v>
      </c>
      <c r="E56" s="12">
        <f t="shared" si="9"/>
        <v>3</v>
      </c>
      <c r="F56" s="41">
        <v>45901</v>
      </c>
    </row>
    <row r="57" spans="2:6" x14ac:dyDescent="0.15">
      <c r="B57" s="11" t="s">
        <v>11</v>
      </c>
      <c r="C57" s="14">
        <v>1</v>
      </c>
      <c r="D57" s="13">
        <v>1</v>
      </c>
      <c r="E57" s="12">
        <f t="shared" si="9"/>
        <v>2</v>
      </c>
      <c r="F57" s="41">
        <v>45904</v>
      </c>
    </row>
    <row r="58" spans="2:6" x14ac:dyDescent="0.15">
      <c r="B58" s="11" t="s">
        <v>11</v>
      </c>
      <c r="C58" s="14"/>
      <c r="D58" s="13">
        <v>1</v>
      </c>
      <c r="E58" s="12">
        <f t="shared" si="9"/>
        <v>1</v>
      </c>
      <c r="F58" s="41">
        <v>45905</v>
      </c>
    </row>
    <row r="59" spans="2:6" x14ac:dyDescent="0.15">
      <c r="B59" s="11" t="s">
        <v>11</v>
      </c>
      <c r="C59" s="14">
        <v>1</v>
      </c>
      <c r="D59" s="13"/>
      <c r="E59" s="12">
        <f t="shared" si="9"/>
        <v>1</v>
      </c>
      <c r="F59" s="41">
        <v>45932</v>
      </c>
    </row>
    <row r="60" spans="2:6" x14ac:dyDescent="0.15">
      <c r="B60" s="11" t="s">
        <v>11</v>
      </c>
      <c r="C60" s="14">
        <v>1</v>
      </c>
      <c r="D60" s="13"/>
      <c r="E60" s="12">
        <f t="shared" si="9"/>
        <v>1</v>
      </c>
      <c r="F60" s="41">
        <v>45960</v>
      </c>
    </row>
    <row r="61" spans="2:6" x14ac:dyDescent="0.15">
      <c r="B61" s="11" t="s">
        <v>11</v>
      </c>
      <c r="C61" s="14"/>
      <c r="D61" s="13">
        <v>1</v>
      </c>
      <c r="E61" s="12">
        <f t="shared" si="9"/>
        <v>1</v>
      </c>
      <c r="F61" s="41">
        <v>45989</v>
      </c>
    </row>
    <row r="62" spans="2:6" x14ac:dyDescent="0.15">
      <c r="B62" s="11" t="s">
        <v>11</v>
      </c>
      <c r="C62" s="14">
        <v>1</v>
      </c>
      <c r="D62" s="13">
        <v>1</v>
      </c>
      <c r="E62" s="12">
        <f t="shared" si="9"/>
        <v>2</v>
      </c>
      <c r="F62" s="41">
        <v>46132</v>
      </c>
    </row>
    <row r="63" spans="2:6" x14ac:dyDescent="0.15">
      <c r="B63" s="11" t="s">
        <v>11</v>
      </c>
      <c r="C63" s="16">
        <v>1</v>
      </c>
      <c r="D63" s="15">
        <v>1</v>
      </c>
      <c r="E63" s="12">
        <f t="shared" si="9"/>
        <v>2</v>
      </c>
      <c r="F63" s="41">
        <v>46134</v>
      </c>
    </row>
    <row r="64" spans="2:6" x14ac:dyDescent="0.15">
      <c r="B64" s="11" t="s">
        <v>11</v>
      </c>
      <c r="C64" s="16">
        <v>1</v>
      </c>
      <c r="D64" s="15"/>
      <c r="E64" s="12">
        <f t="shared" si="9"/>
        <v>1</v>
      </c>
      <c r="F64" s="41">
        <v>46160</v>
      </c>
    </row>
    <row r="65" spans="2:9" x14ac:dyDescent="0.15">
      <c r="B65" s="11" t="s">
        <v>11</v>
      </c>
      <c r="C65" s="14">
        <v>2</v>
      </c>
      <c r="D65" s="13">
        <v>1</v>
      </c>
      <c r="E65" s="12">
        <f t="shared" si="9"/>
        <v>3</v>
      </c>
      <c r="F65" s="41">
        <v>46161</v>
      </c>
    </row>
    <row r="66" spans="2:9" x14ac:dyDescent="0.15">
      <c r="B66" s="11" t="s">
        <v>11</v>
      </c>
      <c r="C66" s="16">
        <v>1</v>
      </c>
      <c r="D66" s="15">
        <v>1</v>
      </c>
      <c r="E66" s="12">
        <f t="shared" si="9"/>
        <v>2</v>
      </c>
      <c r="F66" s="41">
        <v>46163</v>
      </c>
    </row>
    <row r="67" spans="2:9" x14ac:dyDescent="0.15">
      <c r="B67" s="11" t="s">
        <v>11</v>
      </c>
      <c r="C67" s="16"/>
      <c r="D67" s="15">
        <v>1</v>
      </c>
      <c r="E67" s="12">
        <f t="shared" si="9"/>
        <v>1</v>
      </c>
      <c r="F67" s="41">
        <v>46164</v>
      </c>
    </row>
    <row r="68" spans="2:9" x14ac:dyDescent="0.15">
      <c r="B68" s="11" t="s">
        <v>11</v>
      </c>
      <c r="C68" s="14"/>
      <c r="D68" s="13">
        <v>1</v>
      </c>
      <c r="E68" s="12">
        <f t="shared" si="9"/>
        <v>1</v>
      </c>
      <c r="F68" s="41">
        <v>46168</v>
      </c>
    </row>
    <row r="69" spans="2:9" x14ac:dyDescent="0.15">
      <c r="B69" s="11" t="s">
        <v>11</v>
      </c>
      <c r="C69" s="16"/>
      <c r="D69" s="15">
        <v>1</v>
      </c>
      <c r="E69" s="12">
        <f t="shared" si="9"/>
        <v>1</v>
      </c>
      <c r="F69" s="41">
        <v>46170</v>
      </c>
    </row>
    <row r="70" spans="2:9" x14ac:dyDescent="0.15">
      <c r="B70" s="11" t="s">
        <v>11</v>
      </c>
      <c r="C70" s="14">
        <v>2</v>
      </c>
      <c r="D70" s="13"/>
      <c r="E70" s="12">
        <f t="shared" si="9"/>
        <v>2</v>
      </c>
      <c r="F70" s="41">
        <v>46174</v>
      </c>
    </row>
    <row r="71" spans="2:9" x14ac:dyDescent="0.15">
      <c r="B71" s="11" t="s">
        <v>11</v>
      </c>
      <c r="C71" s="14"/>
      <c r="D71" s="13">
        <v>1</v>
      </c>
      <c r="E71" s="12">
        <f t="shared" si="9"/>
        <v>1</v>
      </c>
      <c r="F71" s="41">
        <v>46184</v>
      </c>
    </row>
    <row r="72" spans="2:9" x14ac:dyDescent="0.15">
      <c r="B72" s="11" t="s">
        <v>13</v>
      </c>
      <c r="C72" s="14"/>
      <c r="D72" s="13">
        <v>1</v>
      </c>
      <c r="E72" s="12">
        <f t="shared" si="9"/>
        <v>1</v>
      </c>
      <c r="F72" s="41">
        <v>46218</v>
      </c>
    </row>
    <row r="73" spans="2:9" x14ac:dyDescent="0.15">
      <c r="B73" s="11"/>
      <c r="C73" s="14"/>
      <c r="D73" s="13"/>
      <c r="E73" s="12">
        <f t="shared" si="9"/>
        <v>0</v>
      </c>
    </row>
    <row r="74" spans="2:9" x14ac:dyDescent="0.15">
      <c r="B74" s="11"/>
      <c r="C74" s="14"/>
      <c r="D74" s="13"/>
      <c r="E74" s="12">
        <f t="shared" si="9"/>
        <v>0</v>
      </c>
      <c r="I74" s="1"/>
    </row>
    <row r="75" spans="2:9" x14ac:dyDescent="0.15">
      <c r="B75" s="11"/>
      <c r="C75" s="14"/>
      <c r="D75" s="13"/>
      <c r="E75" s="12">
        <f t="shared" si="9"/>
        <v>0</v>
      </c>
    </row>
    <row r="76" spans="2:9" x14ac:dyDescent="0.15">
      <c r="B76" s="11"/>
      <c r="C76" s="14"/>
      <c r="D76" s="13"/>
      <c r="E76" s="12">
        <f t="shared" si="9"/>
        <v>0</v>
      </c>
      <c r="F76" s="34"/>
    </row>
    <row r="77" spans="2:9" ht="14.25" thickBot="1" x14ac:dyDescent="0.2">
      <c r="B77" s="11"/>
      <c r="C77" s="35"/>
      <c r="D77" s="10"/>
      <c r="E77" s="36">
        <f t="shared" si="9"/>
        <v>0</v>
      </c>
    </row>
    <row r="78" spans="2:9" ht="14.25" thickBot="1" x14ac:dyDescent="0.2">
      <c r="B78" s="9" t="s">
        <v>1</v>
      </c>
      <c r="C78" s="8">
        <f t="shared" ref="C78:E78" si="10">SUM(C53:C77)</f>
        <v>15</v>
      </c>
      <c r="D78" s="7">
        <f t="shared" si="10"/>
        <v>15</v>
      </c>
      <c r="E78" s="6">
        <f t="shared" si="10"/>
        <v>30</v>
      </c>
    </row>
    <row r="79" spans="2:9" ht="14.25" thickBot="1" x14ac:dyDescent="0.2">
      <c r="B79" s="5" t="s">
        <v>0</v>
      </c>
      <c r="C79" s="4">
        <f t="shared" ref="C79:E79" si="11">+C52-C78</f>
        <v>7</v>
      </c>
      <c r="D79" s="3">
        <f t="shared" si="11"/>
        <v>13</v>
      </c>
      <c r="E79" s="2">
        <f t="shared" si="11"/>
        <v>20</v>
      </c>
    </row>
  </sheetData>
  <mergeCells count="2">
    <mergeCell ref="C4:E4"/>
    <mergeCell ref="C44:E44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ﾊﾟｲﾙﾏﾌﾗｰ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</dc:creator>
  <cp:lastModifiedBy>聡祐 松島</cp:lastModifiedBy>
  <dcterms:created xsi:type="dcterms:W3CDTF">2023-04-21T05:30:54Z</dcterms:created>
  <dcterms:modified xsi:type="dcterms:W3CDTF">2026-07-15T04:34:13Z</dcterms:modified>
</cp:coreProperties>
</file>