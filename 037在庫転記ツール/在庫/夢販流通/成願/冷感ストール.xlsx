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成願\"/>
    </mc:Choice>
  </mc:AlternateContent>
  <xr:revisionPtr revIDLastSave="0" documentId="13_ncr:1_{02EBF1F0-6DF5-4C3E-BF21-AB7AD308C6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ｽﾄｰ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2" i="1" l="1"/>
  <c r="E423" i="1"/>
  <c r="E424" i="1"/>
  <c r="E425" i="1"/>
  <c r="E426" i="1"/>
  <c r="E465" i="1"/>
  <c r="E463" i="1"/>
  <c r="E464" i="1"/>
  <c r="E460" i="1"/>
  <c r="E461" i="1"/>
  <c r="E462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35" i="1"/>
  <c r="E436" i="1"/>
  <c r="D466" i="1"/>
  <c r="C466" i="1"/>
  <c r="E459" i="1"/>
  <c r="E458" i="1"/>
  <c r="E457" i="1"/>
  <c r="E439" i="1"/>
  <c r="E438" i="1"/>
  <c r="E437" i="1"/>
  <c r="D427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21" i="1"/>
  <c r="E420" i="1"/>
  <c r="E419" i="1"/>
  <c r="E418" i="1"/>
  <c r="E400" i="1"/>
  <c r="E399" i="1"/>
  <c r="E398" i="1"/>
  <c r="E397" i="1"/>
  <c r="E396" i="1"/>
  <c r="E395" i="1"/>
  <c r="D395" i="1"/>
  <c r="D401" i="1" s="1"/>
  <c r="C395" i="1"/>
  <c r="C401" i="1" s="1"/>
  <c r="K319" i="1"/>
  <c r="K325" i="1"/>
  <c r="E345" i="1"/>
  <c r="E346" i="1"/>
  <c r="E347" i="1"/>
  <c r="E348" i="1"/>
  <c r="K348" i="1"/>
  <c r="K347" i="1"/>
  <c r="K346" i="1"/>
  <c r="E359" i="1"/>
  <c r="E360" i="1"/>
  <c r="K318" i="1"/>
  <c r="K323" i="1" s="1"/>
  <c r="K344" i="1"/>
  <c r="K345" i="1"/>
  <c r="K324" i="1"/>
  <c r="K326" i="1"/>
  <c r="K327" i="1"/>
  <c r="K328" i="1"/>
  <c r="K329" i="1"/>
  <c r="K330" i="1"/>
  <c r="J349" i="1"/>
  <c r="I349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J323" i="1"/>
  <c r="K322" i="1"/>
  <c r="K321" i="1"/>
  <c r="K320" i="1"/>
  <c r="K317" i="1"/>
  <c r="J317" i="1"/>
  <c r="I317" i="1"/>
  <c r="I323" i="1" s="1"/>
  <c r="E320" i="1"/>
  <c r="E387" i="1"/>
  <c r="E358" i="1"/>
  <c r="D388" i="1"/>
  <c r="C388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1" i="1"/>
  <c r="E357" i="1"/>
  <c r="D156" i="1"/>
  <c r="E156" i="1"/>
  <c r="C156" i="1"/>
  <c r="D349" i="1"/>
  <c r="C349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2" i="1"/>
  <c r="E321" i="1"/>
  <c r="E319" i="1"/>
  <c r="E318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8" i="1"/>
  <c r="E279" i="1"/>
  <c r="E281" i="1"/>
  <c r="E282" i="1"/>
  <c r="E283" i="1"/>
  <c r="E269" i="1"/>
  <c r="E270" i="1"/>
  <c r="C310" i="1"/>
  <c r="D310" i="1"/>
  <c r="D312" i="1" s="1"/>
  <c r="E309" i="1"/>
  <c r="E307" i="1"/>
  <c r="E280" i="1"/>
  <c r="D271" i="1"/>
  <c r="E181" i="1"/>
  <c r="E182" i="1"/>
  <c r="E183" i="1"/>
  <c r="E184" i="1"/>
  <c r="E185" i="1"/>
  <c r="E186" i="1"/>
  <c r="E212" i="1"/>
  <c r="E211" i="1"/>
  <c r="E210" i="1"/>
  <c r="E209" i="1"/>
  <c r="E208" i="1"/>
  <c r="E207" i="1"/>
  <c r="E230" i="1"/>
  <c r="E203" i="1"/>
  <c r="E231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4" i="1"/>
  <c r="E243" i="1"/>
  <c r="E242" i="1"/>
  <c r="E241" i="1"/>
  <c r="E240" i="1"/>
  <c r="E153" i="1"/>
  <c r="E192" i="1"/>
  <c r="E134" i="1"/>
  <c r="E135" i="1"/>
  <c r="E136" i="1"/>
  <c r="E137" i="1"/>
  <c r="E138" i="1"/>
  <c r="E139" i="1"/>
  <c r="E140" i="1"/>
  <c r="E141" i="1"/>
  <c r="E142" i="1"/>
  <c r="E143" i="1"/>
  <c r="E144" i="1"/>
  <c r="E178" i="1"/>
  <c r="E177" i="1"/>
  <c r="E176" i="1"/>
  <c r="E175" i="1"/>
  <c r="E174" i="1"/>
  <c r="E173" i="1"/>
  <c r="E172" i="1"/>
  <c r="E171" i="1"/>
  <c r="E170" i="1"/>
  <c r="E169" i="1"/>
  <c r="E168" i="1"/>
  <c r="E126" i="1"/>
  <c r="E163" i="1"/>
  <c r="E164" i="1"/>
  <c r="E191" i="1"/>
  <c r="D232" i="1"/>
  <c r="C232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05" i="1"/>
  <c r="E204" i="1"/>
  <c r="E202" i="1"/>
  <c r="E201" i="1"/>
  <c r="D154" i="1"/>
  <c r="C154" i="1"/>
  <c r="E162" i="1"/>
  <c r="D193" i="1"/>
  <c r="C193" i="1"/>
  <c r="E190" i="1"/>
  <c r="E189" i="1"/>
  <c r="E188" i="1"/>
  <c r="E187" i="1"/>
  <c r="E180" i="1"/>
  <c r="E179" i="1"/>
  <c r="E166" i="1"/>
  <c r="E165" i="1"/>
  <c r="E124" i="1"/>
  <c r="E125" i="1"/>
  <c r="E127" i="1"/>
  <c r="E129" i="1"/>
  <c r="E130" i="1"/>
  <c r="E131" i="1"/>
  <c r="E132" i="1"/>
  <c r="E133" i="1"/>
  <c r="E145" i="1"/>
  <c r="E146" i="1"/>
  <c r="E147" i="1"/>
  <c r="E148" i="1"/>
  <c r="E149" i="1"/>
  <c r="E151" i="1"/>
  <c r="E152" i="1"/>
  <c r="E150" i="1"/>
  <c r="E123" i="1"/>
  <c r="E86" i="1"/>
  <c r="E466" i="1" l="1"/>
  <c r="C427" i="1"/>
  <c r="C428" i="1" s="1"/>
  <c r="C434" i="1" s="1"/>
  <c r="C440" i="1" s="1"/>
  <c r="C467" i="1" s="1"/>
  <c r="D428" i="1"/>
  <c r="D434" i="1" s="1"/>
  <c r="D440" i="1" s="1"/>
  <c r="D467" i="1" s="1"/>
  <c r="E427" i="1"/>
  <c r="E401" i="1"/>
  <c r="E388" i="1"/>
  <c r="K349" i="1"/>
  <c r="K350" i="1" s="1"/>
  <c r="J350" i="1"/>
  <c r="I350" i="1"/>
  <c r="E349" i="1"/>
  <c r="E310" i="1"/>
  <c r="E271" i="1"/>
  <c r="C271" i="1"/>
  <c r="C312" i="1" s="1"/>
  <c r="E312" i="1" s="1"/>
  <c r="E232" i="1"/>
  <c r="E193" i="1"/>
  <c r="E154" i="1"/>
  <c r="E58" i="1"/>
  <c r="E59" i="1"/>
  <c r="E91" i="1"/>
  <c r="E90" i="1"/>
  <c r="E428" i="1" l="1"/>
  <c r="E434" i="1" s="1"/>
  <c r="E440" i="1" s="1"/>
  <c r="E467" i="1" s="1"/>
  <c r="E74" i="1"/>
  <c r="E113" i="1" l="1"/>
  <c r="E114" i="1"/>
  <c r="E92" i="1"/>
  <c r="E93" i="1"/>
  <c r="E85" i="1"/>
  <c r="E87" i="1"/>
  <c r="E88" i="1"/>
  <c r="D115" i="1"/>
  <c r="C115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84" i="1"/>
  <c r="E115" i="1" l="1"/>
  <c r="E47" i="1"/>
  <c r="E46" i="1"/>
  <c r="E25" i="1" l="1"/>
  <c r="E75" i="1" l="1"/>
  <c r="E9" i="1" l="1"/>
  <c r="E35" i="1"/>
  <c r="E36" i="1"/>
  <c r="E5" i="1" l="1"/>
  <c r="E6" i="1"/>
  <c r="E7" i="1"/>
  <c r="E8" i="1"/>
  <c r="E10" i="1"/>
  <c r="C11" i="1"/>
  <c r="D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6" i="1"/>
  <c r="E27" i="1"/>
  <c r="E28" i="1"/>
  <c r="E29" i="1"/>
  <c r="E30" i="1"/>
  <c r="E31" i="1"/>
  <c r="E32" i="1"/>
  <c r="E33" i="1"/>
  <c r="E34" i="1"/>
  <c r="C37" i="1"/>
  <c r="D37" i="1"/>
  <c r="E45" i="1"/>
  <c r="E48" i="1"/>
  <c r="E49" i="1"/>
  <c r="E51" i="1"/>
  <c r="E52" i="1"/>
  <c r="E53" i="1"/>
  <c r="E54" i="1"/>
  <c r="E55" i="1"/>
  <c r="E56" i="1"/>
  <c r="E57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C76" i="1"/>
  <c r="D76" i="1"/>
  <c r="D38" i="1" l="1"/>
  <c r="D44" i="1" s="1"/>
  <c r="D50" i="1" s="1"/>
  <c r="D77" i="1" s="1"/>
  <c r="D83" i="1" s="1"/>
  <c r="D89" i="1" s="1"/>
  <c r="D116" i="1" s="1"/>
  <c r="D122" i="1" s="1"/>
  <c r="D128" i="1" s="1"/>
  <c r="D155" i="1" s="1"/>
  <c r="D161" i="1" s="1"/>
  <c r="D167" i="1" s="1"/>
  <c r="D194" i="1" s="1"/>
  <c r="D200" i="1" s="1"/>
  <c r="D206" i="1" s="1"/>
  <c r="D233" i="1" s="1"/>
  <c r="D239" i="1" s="1"/>
  <c r="D245" i="1" s="1"/>
  <c r="D272" i="1" s="1"/>
  <c r="D278" i="1" s="1"/>
  <c r="D284" i="1" s="1"/>
  <c r="D311" i="1" s="1"/>
  <c r="D317" i="1" s="1"/>
  <c r="D323" i="1" s="1"/>
  <c r="D350" i="1" s="1"/>
  <c r="D356" i="1" s="1"/>
  <c r="D362" i="1" s="1"/>
  <c r="D389" i="1" s="1"/>
  <c r="C38" i="1"/>
  <c r="C44" i="1" s="1"/>
  <c r="C50" i="1" s="1"/>
  <c r="C77" i="1" s="1"/>
  <c r="C83" i="1" s="1"/>
  <c r="C89" i="1" s="1"/>
  <c r="C116" i="1" s="1"/>
  <c r="C122" i="1" s="1"/>
  <c r="C128" i="1" s="1"/>
  <c r="C155" i="1" s="1"/>
  <c r="C161" i="1" s="1"/>
  <c r="C167" i="1" s="1"/>
  <c r="C194" i="1" s="1"/>
  <c r="C200" i="1" s="1"/>
  <c r="C206" i="1" s="1"/>
  <c r="C233" i="1" s="1"/>
  <c r="C239" i="1" s="1"/>
  <c r="C245" i="1" s="1"/>
  <c r="C272" i="1" s="1"/>
  <c r="C278" i="1" s="1"/>
  <c r="C284" i="1" s="1"/>
  <c r="C311" i="1" s="1"/>
  <c r="C317" i="1" s="1"/>
  <c r="C323" i="1" s="1"/>
  <c r="C350" i="1" s="1"/>
  <c r="C356" i="1" s="1"/>
  <c r="C362" i="1" s="1"/>
  <c r="C389" i="1" s="1"/>
  <c r="E76" i="1"/>
  <c r="E11" i="1"/>
  <c r="E37" i="1"/>
  <c r="E38" i="1" s="1"/>
  <c r="E44" i="1" s="1"/>
  <c r="E50" i="1" s="1"/>
  <c r="E77" i="1" l="1"/>
  <c r="E83" i="1" s="1"/>
  <c r="E89" i="1" s="1"/>
  <c r="E116" i="1" s="1"/>
  <c r="E122" i="1" s="1"/>
  <c r="E128" i="1" s="1"/>
  <c r="E155" i="1" s="1"/>
  <c r="E161" i="1" s="1"/>
  <c r="E167" i="1" s="1"/>
  <c r="E194" i="1" s="1"/>
  <c r="E200" i="1" s="1"/>
  <c r="E206" i="1" s="1"/>
  <c r="E233" i="1" s="1"/>
  <c r="E239" i="1" s="1"/>
  <c r="E245" i="1" s="1"/>
  <c r="E272" i="1" s="1"/>
  <c r="E278" i="1" s="1"/>
  <c r="E284" i="1" s="1"/>
  <c r="E311" i="1" s="1"/>
  <c r="E317" i="1" s="1"/>
  <c r="E323" i="1" s="1"/>
  <c r="E350" i="1" s="1"/>
  <c r="E356" i="1" s="1"/>
  <c r="E362" i="1" s="1"/>
  <c r="E389" i="1" s="1"/>
</calcChain>
</file>

<file path=xl/sharedStrings.xml><?xml version="1.0" encoding="utf-8"?>
<sst xmlns="http://schemas.openxmlformats.org/spreadsheetml/2006/main" count="407" uniqueCount="115">
  <si>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</si>
  <si>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</si>
  <si>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</si>
  <si>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</si>
  <si>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</si>
  <si>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【ｸｰﾙｻﾗｻ ｽﾄｰﾙ CSSS 400T @1600】</t>
    <phoneticPr fontId="2"/>
  </si>
  <si>
    <t>サラサ　ストール</t>
    <phoneticPr fontId="2"/>
  </si>
  <si>
    <t>初回</t>
    <rPh sb="0" eb="2">
      <t>ショカイ</t>
    </rPh>
    <phoneticPr fontId="2"/>
  </si>
  <si>
    <t>パープル@1600</t>
    <phoneticPr fontId="2"/>
  </si>
  <si>
    <t>ブルー@1600</t>
    <phoneticPr fontId="2"/>
  </si>
  <si>
    <t>6/5～</t>
    <phoneticPr fontId="2"/>
  </si>
  <si>
    <t>JOD特別版0606</t>
    <rPh sb="3" eb="6">
      <t>トクベツバン</t>
    </rPh>
    <phoneticPr fontId="2"/>
  </si>
  <si>
    <t>ネット</t>
    <phoneticPr fontId="2"/>
  </si>
  <si>
    <t>2023/5/2数伝</t>
    <rPh sb="8" eb="10">
      <t>スウデン</t>
    </rPh>
    <phoneticPr fontId="2"/>
  </si>
  <si>
    <t>酒井</t>
    <rPh sb="0" eb="2">
      <t>サカイ</t>
    </rPh>
    <phoneticPr fontId="2"/>
  </si>
  <si>
    <t>JOD①</t>
    <phoneticPr fontId="2"/>
  </si>
  <si>
    <t>JOD②</t>
    <phoneticPr fontId="2"/>
  </si>
  <si>
    <t>JOD③</t>
    <phoneticPr fontId="2"/>
  </si>
  <si>
    <t>JOD④</t>
    <phoneticPr fontId="2"/>
  </si>
  <si>
    <t>JOD⑤</t>
    <phoneticPr fontId="2"/>
  </si>
  <si>
    <t>JOD⑥</t>
    <phoneticPr fontId="2"/>
  </si>
  <si>
    <t>JOD⑦</t>
    <phoneticPr fontId="2"/>
  </si>
  <si>
    <t>JOD⑧</t>
    <phoneticPr fontId="2"/>
  </si>
  <si>
    <t>JOD⑨</t>
    <phoneticPr fontId="2"/>
  </si>
  <si>
    <t>JOD⑩</t>
    <phoneticPr fontId="2"/>
  </si>
  <si>
    <t>JOD特別版0726</t>
    <rPh sb="3" eb="6">
      <t>トクベツバン</t>
    </rPh>
    <phoneticPr fontId="2"/>
  </si>
  <si>
    <t>7/25～</t>
    <phoneticPr fontId="2"/>
  </si>
  <si>
    <t>JOD⑪</t>
    <phoneticPr fontId="2"/>
  </si>
  <si>
    <t>JOD⑫</t>
    <phoneticPr fontId="2"/>
  </si>
  <si>
    <t>JOD⑬</t>
    <phoneticPr fontId="2"/>
  </si>
  <si>
    <t>2023/7/4数伝</t>
    <rPh sb="8" eb="10">
      <t>スウデン</t>
    </rPh>
    <phoneticPr fontId="2"/>
  </si>
  <si>
    <t>JOD⑭</t>
    <phoneticPr fontId="2"/>
  </si>
  <si>
    <t>JOD⑮</t>
    <phoneticPr fontId="2"/>
  </si>
  <si>
    <t>JOD返品</t>
    <rPh sb="3" eb="5">
      <t>ヘンピン</t>
    </rPh>
    <phoneticPr fontId="2"/>
  </si>
  <si>
    <t>JOD⑯</t>
    <phoneticPr fontId="2"/>
  </si>
  <si>
    <t>JOD⑰</t>
    <phoneticPr fontId="2"/>
  </si>
  <si>
    <t>JOD　UV特集7428</t>
    <rPh sb="6" eb="8">
      <t>トクシュウ</t>
    </rPh>
    <phoneticPr fontId="2"/>
  </si>
  <si>
    <t>8/8～</t>
    <phoneticPr fontId="2"/>
  </si>
  <si>
    <t>JOD特別版0606</t>
    <phoneticPr fontId="2"/>
  </si>
  <si>
    <t>JOD⑱</t>
    <phoneticPr fontId="2"/>
  </si>
  <si>
    <t>2023/7/13数伝</t>
    <rPh sb="9" eb="11">
      <t>スウデン</t>
    </rPh>
    <phoneticPr fontId="2"/>
  </si>
  <si>
    <t>8/16～</t>
    <phoneticPr fontId="2"/>
  </si>
  <si>
    <t>JODアクセス7095</t>
    <phoneticPr fontId="2"/>
  </si>
  <si>
    <t>JOD⑲</t>
    <phoneticPr fontId="2"/>
  </si>
  <si>
    <t>JOD⑳</t>
    <phoneticPr fontId="2"/>
  </si>
  <si>
    <t>JOD㉑</t>
    <phoneticPr fontId="2"/>
  </si>
  <si>
    <t>2023/8/1済伝</t>
    <rPh sb="8" eb="9">
      <t>スミ</t>
    </rPh>
    <rPh sb="9" eb="10">
      <t>デン</t>
    </rPh>
    <phoneticPr fontId="2"/>
  </si>
  <si>
    <t>JOD㉒</t>
    <phoneticPr fontId="2"/>
  </si>
  <si>
    <t>JOD㉓</t>
    <phoneticPr fontId="2"/>
  </si>
  <si>
    <t>JOD㉔</t>
    <phoneticPr fontId="2"/>
  </si>
  <si>
    <t>JOD㉕</t>
    <phoneticPr fontId="2"/>
  </si>
  <si>
    <t>JOD㉖</t>
    <phoneticPr fontId="2"/>
  </si>
  <si>
    <t>2023/8/9済伝</t>
    <rPh sb="8" eb="10">
      <t>スミデン</t>
    </rPh>
    <phoneticPr fontId="2"/>
  </si>
  <si>
    <t>JOD㉗</t>
    <phoneticPr fontId="2"/>
  </si>
  <si>
    <t>JOD㉘</t>
    <phoneticPr fontId="2"/>
  </si>
  <si>
    <t>JOD㉙</t>
    <phoneticPr fontId="2"/>
  </si>
  <si>
    <t>JOD㉚</t>
    <phoneticPr fontId="2"/>
  </si>
  <si>
    <t>在庫確認</t>
    <rPh sb="0" eb="4">
      <t>ザイコカクニン</t>
    </rPh>
    <phoneticPr fontId="2"/>
  </si>
  <si>
    <t>JOD㉛</t>
    <phoneticPr fontId="2"/>
  </si>
  <si>
    <t>JOD㉜</t>
    <phoneticPr fontId="2"/>
  </si>
  <si>
    <t>JOD㉝</t>
    <phoneticPr fontId="2"/>
  </si>
  <si>
    <t>JOD㉞</t>
    <phoneticPr fontId="2"/>
  </si>
  <si>
    <t>JOD㉟</t>
    <phoneticPr fontId="2"/>
  </si>
  <si>
    <t>JOD㊱</t>
    <phoneticPr fontId="2"/>
  </si>
  <si>
    <t>JOD㊲</t>
    <phoneticPr fontId="2"/>
  </si>
  <si>
    <t>JOD㊳</t>
    <phoneticPr fontId="2"/>
  </si>
  <si>
    <t>JOD㊴</t>
    <phoneticPr fontId="2"/>
  </si>
  <si>
    <t>JOD㊵</t>
    <phoneticPr fontId="2"/>
  </si>
  <si>
    <t>5/7～</t>
    <phoneticPr fontId="2"/>
  </si>
  <si>
    <t>JOD特別版0508</t>
    <rPh sb="3" eb="6">
      <t>トクベツバン</t>
    </rPh>
    <phoneticPr fontId="2"/>
  </si>
  <si>
    <t>JOD特別号9501</t>
    <rPh sb="3" eb="5">
      <t>トクベツ</t>
    </rPh>
    <rPh sb="5" eb="6">
      <t>ゴウ</t>
    </rPh>
    <phoneticPr fontId="2"/>
  </si>
  <si>
    <t>6/10～</t>
    <phoneticPr fontId="2"/>
  </si>
  <si>
    <t>JODアクセス7002</t>
    <phoneticPr fontId="2"/>
  </si>
  <si>
    <t>7/10～</t>
    <phoneticPr fontId="2"/>
  </si>
  <si>
    <t>2023年JOD実績　4回</t>
    <rPh sb="4" eb="5">
      <t>ネン</t>
    </rPh>
    <rPh sb="8" eb="10">
      <t>ジッセキ</t>
    </rPh>
    <rPh sb="12" eb="13">
      <t>カイ</t>
    </rPh>
    <phoneticPr fontId="2"/>
  </si>
  <si>
    <t>ここから２０２４年～</t>
    <rPh sb="8" eb="9">
      <t>ネン</t>
    </rPh>
    <phoneticPr fontId="2"/>
  </si>
  <si>
    <t>2/16　5/7</t>
    <phoneticPr fontId="2"/>
  </si>
  <si>
    <t>JOD特別版0625</t>
    <rPh sb="3" eb="5">
      <t>トクベツ</t>
    </rPh>
    <rPh sb="5" eb="6">
      <t>バン</t>
    </rPh>
    <phoneticPr fontId="2"/>
  </si>
  <si>
    <t>6/24～</t>
    <phoneticPr fontId="2"/>
  </si>
  <si>
    <t>2024/7/1数伝</t>
    <rPh sb="8" eb="9">
      <t>スウ</t>
    </rPh>
    <rPh sb="9" eb="10">
      <t>デン</t>
    </rPh>
    <phoneticPr fontId="2"/>
  </si>
  <si>
    <t>8/7～</t>
    <phoneticPr fontId="2"/>
  </si>
  <si>
    <t>JOD/UV特集</t>
    <rPh sb="6" eb="8">
      <t>トクシュウ</t>
    </rPh>
    <phoneticPr fontId="2"/>
  </si>
  <si>
    <t>2024/8/7数伝</t>
    <rPh sb="8" eb="10">
      <t>スウデン</t>
    </rPh>
    <phoneticPr fontId="2"/>
  </si>
  <si>
    <t>JOD㊶</t>
    <phoneticPr fontId="2"/>
  </si>
  <si>
    <t>JOD㊷</t>
    <phoneticPr fontId="2"/>
  </si>
  <si>
    <t>JOD㊸</t>
    <phoneticPr fontId="2"/>
  </si>
  <si>
    <t>JOD㊹</t>
    <phoneticPr fontId="2"/>
  </si>
  <si>
    <t>JOD㊺</t>
    <phoneticPr fontId="2"/>
  </si>
  <si>
    <t>JOD㊻</t>
    <phoneticPr fontId="2"/>
  </si>
  <si>
    <t>ここから2025年</t>
    <rPh sb="8" eb="9">
      <t>ネン</t>
    </rPh>
    <phoneticPr fontId="2"/>
  </si>
  <si>
    <t>JOD/UV特集7457</t>
    <rPh sb="6" eb="8">
      <t>トクシュウ</t>
    </rPh>
    <phoneticPr fontId="2"/>
  </si>
  <si>
    <t>5/14～</t>
    <phoneticPr fontId="2"/>
  </si>
  <si>
    <t>JOD/特別版0605</t>
    <rPh sb="4" eb="7">
      <t>トクベツバン</t>
    </rPh>
    <phoneticPr fontId="2"/>
  </si>
  <si>
    <t>6/4～</t>
    <phoneticPr fontId="2"/>
  </si>
  <si>
    <t>ネット</t>
    <phoneticPr fontId="2"/>
  </si>
  <si>
    <t>2025/5/19数伝</t>
    <rPh sb="9" eb="11">
      <t>スウデン</t>
    </rPh>
    <phoneticPr fontId="2"/>
  </si>
  <si>
    <t>JOD/特別版0624</t>
    <rPh sb="4" eb="7">
      <t>トクベツバン</t>
    </rPh>
    <phoneticPr fontId="2"/>
  </si>
  <si>
    <t>JOD①</t>
    <phoneticPr fontId="2"/>
  </si>
  <si>
    <t>K-PORT</t>
    <phoneticPr fontId="2"/>
  </si>
  <si>
    <t>サラサ　ストール　＜K-PORT＞</t>
    <phoneticPr fontId="2"/>
  </si>
  <si>
    <t>夢販</t>
    <rPh sb="0" eb="2">
      <t>ユメハン</t>
    </rPh>
    <phoneticPr fontId="2"/>
  </si>
  <si>
    <t>追加</t>
    <rPh sb="0" eb="2">
      <t>ツイカ</t>
    </rPh>
    <phoneticPr fontId="2"/>
  </si>
  <si>
    <t>ネット</t>
    <phoneticPr fontId="2"/>
  </si>
  <si>
    <t>JOD㉛</t>
    <phoneticPr fontId="2"/>
  </si>
  <si>
    <t>JODエレソア0409</t>
    <phoneticPr fontId="2"/>
  </si>
  <si>
    <t>2026年</t>
    <rPh sb="4" eb="5">
      <t>ネン</t>
    </rPh>
    <phoneticPr fontId="2"/>
  </si>
  <si>
    <t>4/7～</t>
    <phoneticPr fontId="2"/>
  </si>
  <si>
    <t>JOD</t>
    <phoneticPr fontId="2"/>
  </si>
  <si>
    <t>JODセサリー7284</t>
    <phoneticPr fontId="2"/>
  </si>
  <si>
    <t>5/23～</t>
    <phoneticPr fontId="2"/>
  </si>
  <si>
    <t>JOD特別版0604</t>
    <rPh sb="3" eb="6">
      <t>トクベツバン</t>
    </rPh>
    <phoneticPr fontId="2"/>
  </si>
  <si>
    <t>6/3～</t>
    <phoneticPr fontId="2"/>
  </si>
  <si>
    <t>JODエレソア0605</t>
    <phoneticPr fontId="2"/>
  </si>
  <si>
    <t>JODルフェリ9572</t>
    <phoneticPr fontId="2"/>
  </si>
  <si>
    <t>6/20～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</si>
</sst>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2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56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" fillId="0" borderId="10" xfId="0" applyFont="1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56" fontId="0" fillId="0" borderId="14" xfId="0" applyNumberForma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3" fillId="0" borderId="14" xfId="0" applyFont="1" applyBorder="1"/>
    <xf numFmtId="0" fontId="3" fillId="0" borderId="12" xfId="0" applyFont="1" applyBorder="1"/>
    <xf numFmtId="0" fontId="3" fillId="0" borderId="13" xfId="0" applyFont="1" applyBorder="1"/>
    <xf numFmtId="56" fontId="3" fillId="0" borderId="14" xfId="0" applyNumberFormat="1" applyFont="1" applyBorder="1" applyAlignment="1">
      <alignment horizontal="center"/>
    </xf>
    <xf numFmtId="56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56" fontId="0" fillId="0" borderId="0" xfId="0" applyNumberFormat="1" applyAlignment="1">
      <alignment horizontal="left"/>
    </xf>
    <xf numFmtId="56" fontId="0" fillId="0" borderId="18" xfId="0" applyNumberFormat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5" fillId="5" borderId="0" xfId="0" applyFont="1" applyFill="1"/>
    <xf numFmtId="0" fontId="8" fillId="5" borderId="0" xfId="0" applyFont="1" applyFill="1"/>
    <xf numFmtId="0" fontId="4" fillId="5" borderId="0" xfId="0" applyFont="1" applyFill="1"/>
    <xf numFmtId="0" fontId="0" fillId="5" borderId="0" xfId="0" applyFill="1"/>
    <xf numFmtId="56" fontId="3" fillId="0" borderId="9" xfId="0" applyNumberFormat="1" applyFont="1" applyBorder="1" applyAlignment="1">
      <alignment horizontal="center"/>
    </xf>
    <xf numFmtId="0" fontId="3" fillId="0" borderId="11" xfId="0" applyFont="1" applyBorder="1"/>
    <xf numFmtId="0" fontId="3" fillId="0" borderId="10" xfId="0" applyFont="1" applyBorder="1"/>
    <xf numFmtId="0" fontId="3" fillId="0" borderId="8" xfId="0" applyFont="1" applyBorder="1"/>
    <xf numFmtId="0" fontId="3" fillId="0" borderId="0" xfId="0" applyFont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56" fontId="0" fillId="0" borderId="9" xfId="0" applyNumberFormat="1" applyFont="1" applyBorder="1" applyAlignment="1">
      <alignment horizontal="center"/>
    </xf>
    <xf numFmtId="0" fontId="0" fillId="0" borderId="11" xfId="0" applyFont="1" applyBorder="1"/>
    <xf numFmtId="0" fontId="0" fillId="0" borderId="10" xfId="0" applyFont="1" applyBorder="1"/>
    <xf numFmtId="0" fontId="0" fillId="0" borderId="8" xfId="0" applyFont="1" applyBorder="1"/>
    <xf numFmtId="56" fontId="0" fillId="0" borderId="0" xfId="0" applyNumberFormat="1" applyFont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7"/>
  <sheetViews>
    <sheetView tabSelected="1" topLeftCell="A430" zoomScaleNormal="100" workbookViewId="0">
      <selection activeCell="G452" sqref="G452"/>
    </sheetView>
  </sheetViews>
  <sheetFormatPr defaultRowHeight="13.5" x14ac:dyDescent="0.15"/>
  <cols>
    <col min="2" max="2" width="22.75" style="1" customWidth="1"/>
    <col min="3" max="4" width="17.25" customWidth="1"/>
    <col min="5" max="5" width="9.875" customWidth="1"/>
    <col min="6" max="6" width="9.625" style="32" customWidth="1"/>
    <col min="8" max="8" width="26.5" customWidth="1"/>
    <col min="9" max="9" width="13.375" bestFit="1" customWidth="1"/>
    <col min="10" max="10" width="15.625" bestFit="1" customWidth="1"/>
  </cols>
  <sheetData>
    <row r="1" spans="2:6" ht="18.75" x14ac:dyDescent="0.2">
      <c r="B1" s="26" t="s">
        <v>6</v>
      </c>
      <c r="C1" s="24"/>
      <c r="D1" s="24"/>
      <c r="E1" s="24"/>
    </row>
    <row r="2" spans="2:6" ht="17.25" x14ac:dyDescent="0.2">
      <c r="B2" s="25" t="s">
        <v>5</v>
      </c>
      <c r="C2" s="24"/>
      <c r="D2" s="24"/>
      <c r="E2" s="24"/>
    </row>
    <row r="3" spans="2:6" ht="14.25" thickBot="1" x14ac:dyDescent="0.2"/>
    <row r="4" spans="2:6" s="1" customFormat="1" ht="14.25" thickBot="1" x14ac:dyDescent="0.2">
      <c r="B4" s="23"/>
      <c r="C4" s="35" t="s">
        <v>9</v>
      </c>
      <c r="D4" s="36" t="s">
        <v>8</v>
      </c>
      <c r="E4" s="22" t="s">
        <v>4</v>
      </c>
      <c r="F4" s="32"/>
    </row>
    <row r="5" spans="2:6" ht="14.25" customHeight="1" x14ac:dyDescent="0.15">
      <c r="B5" s="30" t="s">
        <v>7</v>
      </c>
      <c r="C5" s="29">
        <v>1</v>
      </c>
      <c r="D5" s="28">
        <v>1</v>
      </c>
      <c r="E5" s="27">
        <f t="shared" ref="E5:E10" si="0">SUM(C5:D5)</f>
        <v>2</v>
      </c>
      <c r="F5" s="31"/>
    </row>
    <row r="6" spans="2:6" x14ac:dyDescent="0.15">
      <c r="B6" s="20" t="s">
        <v>3</v>
      </c>
      <c r="C6" s="13"/>
      <c r="D6" s="12"/>
      <c r="E6" s="19">
        <f t="shared" si="0"/>
        <v>0</v>
      </c>
      <c r="F6" s="33"/>
    </row>
    <row r="7" spans="2:6" x14ac:dyDescent="0.15">
      <c r="B7" s="20" t="s">
        <v>3</v>
      </c>
      <c r="C7" s="13">
        <v>50</v>
      </c>
      <c r="D7" s="12">
        <v>50</v>
      </c>
      <c r="E7" s="19">
        <f t="shared" si="0"/>
        <v>100</v>
      </c>
      <c r="F7" s="33" t="s">
        <v>13</v>
      </c>
    </row>
    <row r="8" spans="2:6" x14ac:dyDescent="0.15">
      <c r="B8" s="20" t="s">
        <v>3</v>
      </c>
      <c r="C8" s="13"/>
      <c r="D8" s="12"/>
      <c r="E8" s="19">
        <f t="shared" si="0"/>
        <v>0</v>
      </c>
      <c r="F8" s="33"/>
    </row>
    <row r="9" spans="2:6" x14ac:dyDescent="0.15">
      <c r="B9" s="20" t="s">
        <v>3</v>
      </c>
      <c r="C9" s="13"/>
      <c r="D9" s="12"/>
      <c r="E9" s="19">
        <f t="shared" ref="E9" si="1">SUM(C9:D9)</f>
        <v>0</v>
      </c>
      <c r="F9" s="33"/>
    </row>
    <row r="10" spans="2:6" ht="14.25" thickBot="1" x14ac:dyDescent="0.2">
      <c r="B10" s="20" t="s">
        <v>3</v>
      </c>
      <c r="C10" s="13"/>
      <c r="D10" s="12"/>
      <c r="E10" s="19">
        <f t="shared" si="0"/>
        <v>0</v>
      </c>
      <c r="F10" s="33"/>
    </row>
    <row r="11" spans="2:6" ht="14.25" thickBot="1" x14ac:dyDescent="0.2">
      <c r="B11" s="9" t="s">
        <v>2</v>
      </c>
      <c r="C11" s="8">
        <f>SUM(C5:C10)</f>
        <v>51</v>
      </c>
      <c r="D11" s="7">
        <f>SUM(D5:D10)</f>
        <v>51</v>
      </c>
      <c r="E11" s="6">
        <f>SUM(E5:E10)</f>
        <v>102</v>
      </c>
    </row>
    <row r="12" spans="2:6" x14ac:dyDescent="0.15">
      <c r="B12" s="34" t="s">
        <v>12</v>
      </c>
      <c r="C12" s="17"/>
      <c r="D12" s="16">
        <v>1</v>
      </c>
      <c r="E12" s="10">
        <f t="shared" ref="E12:E34" si="2">SUM(C12:D12)</f>
        <v>1</v>
      </c>
      <c r="F12" s="33">
        <v>45044</v>
      </c>
    </row>
    <row r="13" spans="2:6" x14ac:dyDescent="0.15">
      <c r="B13" s="11" t="s">
        <v>12</v>
      </c>
      <c r="C13" s="13">
        <v>1</v>
      </c>
      <c r="D13" s="12"/>
      <c r="E13" s="10">
        <f t="shared" si="2"/>
        <v>1</v>
      </c>
      <c r="F13" s="33">
        <v>45054</v>
      </c>
    </row>
    <row r="14" spans="2:6" x14ac:dyDescent="0.15">
      <c r="B14" s="11" t="s">
        <v>14</v>
      </c>
      <c r="C14" s="13">
        <v>2</v>
      </c>
      <c r="D14" s="12"/>
      <c r="E14" s="10">
        <f t="shared" si="2"/>
        <v>2</v>
      </c>
      <c r="F14" s="33">
        <v>45059</v>
      </c>
    </row>
    <row r="15" spans="2:6" x14ac:dyDescent="0.15">
      <c r="B15" s="11" t="s">
        <v>12</v>
      </c>
      <c r="C15" s="13"/>
      <c r="D15" s="12">
        <v>1</v>
      </c>
      <c r="E15" s="10">
        <f t="shared" si="2"/>
        <v>1</v>
      </c>
      <c r="F15" s="33">
        <v>45061</v>
      </c>
    </row>
    <row r="16" spans="2:6" x14ac:dyDescent="0.15">
      <c r="B16" s="11" t="s">
        <v>12</v>
      </c>
      <c r="C16" s="13">
        <v>2</v>
      </c>
      <c r="D16" s="12"/>
      <c r="E16" s="10">
        <f t="shared" si="2"/>
        <v>2</v>
      </c>
      <c r="F16" s="33">
        <v>45068</v>
      </c>
    </row>
    <row r="17" spans="2:6" x14ac:dyDescent="0.15">
      <c r="B17" s="11" t="s">
        <v>12</v>
      </c>
      <c r="C17" s="13"/>
      <c r="D17" s="12">
        <v>1</v>
      </c>
      <c r="E17" s="10">
        <f t="shared" si="2"/>
        <v>1</v>
      </c>
      <c r="F17" s="33">
        <v>45085</v>
      </c>
    </row>
    <row r="18" spans="2:6" x14ac:dyDescent="0.15">
      <c r="B18" s="11" t="s">
        <v>15</v>
      </c>
      <c r="C18" s="13">
        <v>1</v>
      </c>
      <c r="D18" s="12">
        <v>8</v>
      </c>
      <c r="E18" s="10">
        <f t="shared" si="2"/>
        <v>9</v>
      </c>
      <c r="F18" s="33">
        <v>45089</v>
      </c>
    </row>
    <row r="19" spans="2:6" x14ac:dyDescent="0.15">
      <c r="B19" s="11" t="s">
        <v>16</v>
      </c>
      <c r="C19" s="13">
        <v>13</v>
      </c>
      <c r="D19" s="12">
        <v>9</v>
      </c>
      <c r="E19" s="10">
        <f t="shared" si="2"/>
        <v>22</v>
      </c>
      <c r="F19" s="33">
        <v>45090</v>
      </c>
    </row>
    <row r="20" spans="2:6" x14ac:dyDescent="0.15">
      <c r="B20" s="11" t="s">
        <v>12</v>
      </c>
      <c r="C20" s="13">
        <v>1</v>
      </c>
      <c r="D20" s="12"/>
      <c r="E20" s="10">
        <f t="shared" si="2"/>
        <v>1</v>
      </c>
      <c r="F20" s="33">
        <v>45089</v>
      </c>
    </row>
    <row r="21" spans="2:6" x14ac:dyDescent="0.15">
      <c r="B21" s="11" t="s">
        <v>17</v>
      </c>
      <c r="C21" s="13">
        <v>4</v>
      </c>
      <c r="D21" s="12">
        <v>5</v>
      </c>
      <c r="E21" s="10">
        <f t="shared" si="2"/>
        <v>9</v>
      </c>
      <c r="F21" s="33">
        <v>45091</v>
      </c>
    </row>
    <row r="22" spans="2:6" x14ac:dyDescent="0.15">
      <c r="B22" s="11" t="s">
        <v>18</v>
      </c>
      <c r="C22" s="13">
        <v>5</v>
      </c>
      <c r="D22" s="12"/>
      <c r="E22" s="10">
        <f t="shared" si="2"/>
        <v>5</v>
      </c>
      <c r="F22" s="33">
        <v>45092</v>
      </c>
    </row>
    <row r="23" spans="2:6" x14ac:dyDescent="0.15">
      <c r="B23" s="11" t="s">
        <v>19</v>
      </c>
      <c r="C23" s="13">
        <v>2</v>
      </c>
      <c r="D23" s="12"/>
      <c r="E23" s="10">
        <f t="shared" si="2"/>
        <v>2</v>
      </c>
      <c r="F23" s="33">
        <v>45093</v>
      </c>
    </row>
    <row r="24" spans="2:6" x14ac:dyDescent="0.15">
      <c r="B24" s="11" t="s">
        <v>20</v>
      </c>
      <c r="C24" s="13">
        <v>5</v>
      </c>
      <c r="D24" s="12">
        <v>2</v>
      </c>
      <c r="E24" s="10">
        <f t="shared" si="2"/>
        <v>7</v>
      </c>
      <c r="F24" s="33">
        <v>45096</v>
      </c>
    </row>
    <row r="25" spans="2:6" x14ac:dyDescent="0.15">
      <c r="B25" s="11" t="s">
        <v>21</v>
      </c>
      <c r="C25" s="13">
        <v>3</v>
      </c>
      <c r="D25" s="12"/>
      <c r="E25" s="10">
        <f t="shared" ref="E25" si="3">SUM(C25:D25)</f>
        <v>3</v>
      </c>
      <c r="F25" s="33">
        <v>45098</v>
      </c>
    </row>
    <row r="26" spans="2:6" x14ac:dyDescent="0.15">
      <c r="B26" s="11" t="s">
        <v>22</v>
      </c>
      <c r="C26" s="13">
        <v>1</v>
      </c>
      <c r="D26" s="12"/>
      <c r="E26" s="10">
        <f t="shared" si="2"/>
        <v>1</v>
      </c>
      <c r="F26" s="33">
        <v>45099</v>
      </c>
    </row>
    <row r="27" spans="2:6" x14ac:dyDescent="0.15">
      <c r="B27" s="11" t="s">
        <v>23</v>
      </c>
      <c r="C27" s="13">
        <v>2</v>
      </c>
      <c r="D27" s="12"/>
      <c r="E27" s="10">
        <f t="shared" si="2"/>
        <v>2</v>
      </c>
      <c r="F27" s="33">
        <v>45100</v>
      </c>
    </row>
    <row r="28" spans="2:6" x14ac:dyDescent="0.15">
      <c r="B28" s="11" t="s">
        <v>24</v>
      </c>
      <c r="C28" s="13">
        <v>2</v>
      </c>
      <c r="D28" s="12">
        <v>1</v>
      </c>
      <c r="E28" s="10">
        <f t="shared" si="2"/>
        <v>3</v>
      </c>
      <c r="F28" s="33">
        <v>45103</v>
      </c>
    </row>
    <row r="29" spans="2:6" x14ac:dyDescent="0.15">
      <c r="B29" s="11" t="s">
        <v>27</v>
      </c>
      <c r="C29" s="13"/>
      <c r="D29" s="12">
        <v>1</v>
      </c>
      <c r="E29" s="10">
        <f t="shared" si="2"/>
        <v>1</v>
      </c>
      <c r="F29" s="33">
        <v>45106</v>
      </c>
    </row>
    <row r="30" spans="2:6" x14ac:dyDescent="0.15">
      <c r="B30" s="11" t="s">
        <v>28</v>
      </c>
      <c r="C30" s="13">
        <v>1</v>
      </c>
      <c r="D30" s="12"/>
      <c r="E30" s="10">
        <f t="shared" si="2"/>
        <v>1</v>
      </c>
      <c r="F30" s="33">
        <v>45110</v>
      </c>
    </row>
    <row r="31" spans="2:6" x14ac:dyDescent="0.15">
      <c r="B31" s="11" t="s">
        <v>29</v>
      </c>
      <c r="C31" s="13">
        <v>3</v>
      </c>
      <c r="D31" s="12">
        <v>1</v>
      </c>
      <c r="E31" s="10">
        <f t="shared" si="2"/>
        <v>4</v>
      </c>
      <c r="F31" s="33">
        <v>45111</v>
      </c>
    </row>
    <row r="32" spans="2:6" x14ac:dyDescent="0.15">
      <c r="B32" s="11"/>
      <c r="C32" s="13"/>
      <c r="D32" s="12"/>
      <c r="E32" s="10">
        <f t="shared" si="2"/>
        <v>0</v>
      </c>
      <c r="F32" s="33"/>
    </row>
    <row r="33" spans="1:6" x14ac:dyDescent="0.15">
      <c r="B33" s="11"/>
      <c r="C33" s="13"/>
      <c r="D33" s="12"/>
      <c r="E33" s="10">
        <f t="shared" si="2"/>
        <v>0</v>
      </c>
      <c r="F33" s="33"/>
    </row>
    <row r="34" spans="1:6" x14ac:dyDescent="0.15">
      <c r="B34" s="11"/>
      <c r="C34" s="13"/>
      <c r="D34" s="12"/>
      <c r="E34" s="10">
        <f t="shared" si="2"/>
        <v>0</v>
      </c>
      <c r="F34" s="33"/>
    </row>
    <row r="35" spans="1:6" x14ac:dyDescent="0.15">
      <c r="B35" s="11"/>
      <c r="C35" s="13"/>
      <c r="D35" s="12"/>
      <c r="E35" s="10">
        <f t="shared" ref="E35" si="4">SUM(C35:D35)</f>
        <v>0</v>
      </c>
      <c r="F35" s="33"/>
    </row>
    <row r="36" spans="1:6" ht="14.25" thickBot="1" x14ac:dyDescent="0.2">
      <c r="B36" s="11" t="s">
        <v>11</v>
      </c>
      <c r="C36" s="13"/>
      <c r="D36" s="12"/>
      <c r="E36" s="10">
        <f t="shared" ref="E36" si="5">SUM(C36:D36)</f>
        <v>0</v>
      </c>
      <c r="F36" s="33" t="s">
        <v>10</v>
      </c>
    </row>
    <row r="37" spans="1:6" ht="14.25" thickBot="1" x14ac:dyDescent="0.2">
      <c r="B37" s="9" t="s">
        <v>1</v>
      </c>
      <c r="C37" s="8">
        <f>SUM(C12:C36)</f>
        <v>48</v>
      </c>
      <c r="D37" s="7">
        <f>SUM(D12:D36)</f>
        <v>30</v>
      </c>
      <c r="E37" s="6">
        <f>SUM(E12:E36)</f>
        <v>78</v>
      </c>
    </row>
    <row r="38" spans="1:6" ht="14.25" thickBot="1" x14ac:dyDescent="0.2">
      <c r="B38" s="5" t="s">
        <v>0</v>
      </c>
      <c r="C38" s="4">
        <f>+C11-C37</f>
        <v>3</v>
      </c>
      <c r="D38" s="3">
        <f>+D11-D37</f>
        <v>21</v>
      </c>
      <c r="E38" s="2">
        <f>+E11-E37</f>
        <v>24</v>
      </c>
    </row>
    <row r="40" spans="1:6" ht="18.75" x14ac:dyDescent="0.2">
      <c r="B40" s="26" t="s">
        <v>6</v>
      </c>
      <c r="C40" s="24"/>
      <c r="D40" s="24"/>
      <c r="E40" s="24"/>
    </row>
    <row r="41" spans="1:6" ht="17.25" x14ac:dyDescent="0.2">
      <c r="B41" s="25" t="s">
        <v>5</v>
      </c>
      <c r="C41" s="24"/>
      <c r="D41" s="24"/>
      <c r="E41" s="24"/>
    </row>
    <row r="42" spans="1:6" ht="14.25" thickBot="1" x14ac:dyDescent="0.2"/>
    <row r="43" spans="1:6" ht="14.25" thickBot="1" x14ac:dyDescent="0.2">
      <c r="A43" s="1"/>
      <c r="B43" s="23"/>
      <c r="C43" s="35" t="s">
        <v>9</v>
      </c>
      <c r="D43" s="36" t="s">
        <v>8</v>
      </c>
      <c r="E43" s="22" t="s">
        <v>4</v>
      </c>
    </row>
    <row r="44" spans="1:6" x14ac:dyDescent="0.15">
      <c r="B44" s="18" t="s">
        <v>0</v>
      </c>
      <c r="C44" s="17">
        <f>C38</f>
        <v>3</v>
      </c>
      <c r="D44" s="16">
        <f>D38</f>
        <v>21</v>
      </c>
      <c r="E44" s="21">
        <f>E38</f>
        <v>24</v>
      </c>
    </row>
    <row r="45" spans="1:6" x14ac:dyDescent="0.15">
      <c r="B45" s="20" t="s">
        <v>3</v>
      </c>
      <c r="C45" s="13"/>
      <c r="D45" s="12"/>
      <c r="E45" s="19">
        <f>SUM(C45:D45)</f>
        <v>0</v>
      </c>
      <c r="F45" s="33"/>
    </row>
    <row r="46" spans="1:6" x14ac:dyDescent="0.15">
      <c r="B46" s="20" t="s">
        <v>3</v>
      </c>
      <c r="C46" s="13">
        <v>50</v>
      </c>
      <c r="D46" s="12"/>
      <c r="E46" s="19">
        <f>SUM(C46:D46)</f>
        <v>50</v>
      </c>
      <c r="F46" s="33" t="s">
        <v>30</v>
      </c>
    </row>
    <row r="47" spans="1:6" x14ac:dyDescent="0.15">
      <c r="B47" s="20" t="s">
        <v>33</v>
      </c>
      <c r="C47" s="13"/>
      <c r="D47" s="12">
        <v>1</v>
      </c>
      <c r="E47" s="19">
        <f>SUM(C47:D47)</f>
        <v>1</v>
      </c>
      <c r="F47" s="33">
        <v>45112</v>
      </c>
    </row>
    <row r="48" spans="1:6" x14ac:dyDescent="0.15">
      <c r="B48" s="20" t="s">
        <v>3</v>
      </c>
      <c r="C48" s="13"/>
      <c r="D48" s="12"/>
      <c r="E48" s="19">
        <f>SUM(C48:D48)</f>
        <v>0</v>
      </c>
      <c r="F48" s="33"/>
    </row>
    <row r="49" spans="2:6" ht="14.25" thickBot="1" x14ac:dyDescent="0.2">
      <c r="B49" s="20" t="s">
        <v>3</v>
      </c>
      <c r="C49" s="13"/>
      <c r="D49" s="12">
        <v>50</v>
      </c>
      <c r="E49" s="19">
        <f>SUM(C49:D49)</f>
        <v>50</v>
      </c>
      <c r="F49" s="33" t="s">
        <v>40</v>
      </c>
    </row>
    <row r="50" spans="2:6" ht="14.25" thickBot="1" x14ac:dyDescent="0.2">
      <c r="B50" s="9" t="s">
        <v>2</v>
      </c>
      <c r="C50" s="8">
        <f>SUM(C44:C49)</f>
        <v>53</v>
      </c>
      <c r="D50" s="7">
        <f>SUM(D44:D49)</f>
        <v>72</v>
      </c>
      <c r="E50" s="6">
        <f>SUM(E44:E49)</f>
        <v>125</v>
      </c>
    </row>
    <row r="51" spans="2:6" x14ac:dyDescent="0.15">
      <c r="B51" s="11" t="s">
        <v>31</v>
      </c>
      <c r="C51" s="17"/>
      <c r="D51" s="16">
        <v>2</v>
      </c>
      <c r="E51" s="10">
        <f t="shared" ref="E51:E73" si="6">SUM(C51:D51)</f>
        <v>2</v>
      </c>
      <c r="F51" s="33">
        <v>45112</v>
      </c>
    </row>
    <row r="52" spans="2:6" x14ac:dyDescent="0.15">
      <c r="B52" s="11" t="s">
        <v>32</v>
      </c>
      <c r="C52" s="13">
        <v>1</v>
      </c>
      <c r="D52" s="12"/>
      <c r="E52" s="10">
        <f t="shared" si="6"/>
        <v>1</v>
      </c>
      <c r="F52" s="33">
        <v>45113</v>
      </c>
    </row>
    <row r="53" spans="2:6" x14ac:dyDescent="0.15">
      <c r="B53" s="11" t="s">
        <v>34</v>
      </c>
      <c r="C53" s="13"/>
      <c r="D53" s="12">
        <v>1</v>
      </c>
      <c r="E53" s="10">
        <f t="shared" si="6"/>
        <v>1</v>
      </c>
      <c r="F53" s="33">
        <v>45114</v>
      </c>
    </row>
    <row r="54" spans="2:6" x14ac:dyDescent="0.15">
      <c r="B54" s="11" t="s">
        <v>35</v>
      </c>
      <c r="C54" s="13"/>
      <c r="D54" s="12">
        <v>1</v>
      </c>
      <c r="E54" s="10">
        <f t="shared" si="6"/>
        <v>1</v>
      </c>
      <c r="F54" s="33">
        <v>45119</v>
      </c>
    </row>
    <row r="55" spans="2:6" x14ac:dyDescent="0.15">
      <c r="B55" s="11" t="s">
        <v>39</v>
      </c>
      <c r="C55" s="13">
        <v>1</v>
      </c>
      <c r="D55" s="12"/>
      <c r="E55" s="10">
        <f t="shared" si="6"/>
        <v>1</v>
      </c>
      <c r="F55" s="33">
        <v>45121</v>
      </c>
    </row>
    <row r="56" spans="2:6" x14ac:dyDescent="0.15">
      <c r="B56" s="11" t="s">
        <v>43</v>
      </c>
      <c r="C56" s="13">
        <v>1</v>
      </c>
      <c r="D56" s="12"/>
      <c r="E56" s="10">
        <f t="shared" si="6"/>
        <v>1</v>
      </c>
      <c r="F56" s="33">
        <v>45122</v>
      </c>
    </row>
    <row r="57" spans="2:6" x14ac:dyDescent="0.15">
      <c r="B57" s="11" t="s">
        <v>44</v>
      </c>
      <c r="C57" s="13">
        <v>5</v>
      </c>
      <c r="D57" s="12">
        <v>1</v>
      </c>
      <c r="E57" s="10">
        <f t="shared" si="6"/>
        <v>6</v>
      </c>
      <c r="F57" s="33">
        <v>45139</v>
      </c>
    </row>
    <row r="58" spans="2:6" x14ac:dyDescent="0.15">
      <c r="B58" s="11"/>
      <c r="C58" s="13"/>
      <c r="D58" s="12"/>
      <c r="E58" s="10">
        <f t="shared" ref="E58:E59" si="7">SUM(C58:D58)</f>
        <v>0</v>
      </c>
      <c r="F58" s="33"/>
    </row>
    <row r="59" spans="2:6" x14ac:dyDescent="0.15">
      <c r="B59" s="11"/>
      <c r="C59" s="13"/>
      <c r="D59" s="12"/>
      <c r="E59" s="10">
        <f t="shared" si="7"/>
        <v>0</v>
      </c>
      <c r="F59" s="33"/>
    </row>
    <row r="60" spans="2:6" x14ac:dyDescent="0.15">
      <c r="B60" s="11"/>
      <c r="C60" s="13"/>
      <c r="D60" s="12"/>
      <c r="E60" s="10">
        <f t="shared" si="6"/>
        <v>0</v>
      </c>
      <c r="F60" s="33"/>
    </row>
    <row r="61" spans="2:6" x14ac:dyDescent="0.15">
      <c r="B61" s="11"/>
      <c r="C61" s="15"/>
      <c r="D61" s="14"/>
      <c r="E61" s="10">
        <f t="shared" si="6"/>
        <v>0</v>
      </c>
      <c r="F61" s="33"/>
    </row>
    <row r="62" spans="2:6" x14ac:dyDescent="0.15">
      <c r="B62" s="11"/>
      <c r="C62" s="15"/>
      <c r="D62" s="14"/>
      <c r="E62" s="10">
        <f t="shared" si="6"/>
        <v>0</v>
      </c>
      <c r="F62" s="33"/>
    </row>
    <row r="63" spans="2:6" x14ac:dyDescent="0.15">
      <c r="B63" s="11"/>
      <c r="C63" s="13"/>
      <c r="D63" s="12"/>
      <c r="E63" s="10">
        <f t="shared" si="6"/>
        <v>0</v>
      </c>
      <c r="F63" s="33"/>
    </row>
    <row r="64" spans="2:6" x14ac:dyDescent="0.15">
      <c r="B64" s="11"/>
      <c r="C64" s="15"/>
      <c r="D64" s="14"/>
      <c r="E64" s="10">
        <f t="shared" si="6"/>
        <v>0</v>
      </c>
      <c r="F64" s="33"/>
    </row>
    <row r="65" spans="2:6" x14ac:dyDescent="0.15">
      <c r="B65" s="11"/>
      <c r="C65" s="15"/>
      <c r="D65" s="14"/>
      <c r="E65" s="10">
        <f t="shared" si="6"/>
        <v>0</v>
      </c>
      <c r="F65" s="33"/>
    </row>
    <row r="66" spans="2:6" x14ac:dyDescent="0.15">
      <c r="B66" s="11"/>
      <c r="C66" s="15"/>
      <c r="D66" s="14"/>
      <c r="E66" s="10">
        <f t="shared" si="6"/>
        <v>0</v>
      </c>
      <c r="F66" s="33"/>
    </row>
    <row r="67" spans="2:6" x14ac:dyDescent="0.15">
      <c r="B67" s="11"/>
      <c r="C67" s="15"/>
      <c r="D67" s="14"/>
      <c r="E67" s="10">
        <f t="shared" si="6"/>
        <v>0</v>
      </c>
      <c r="F67" s="33"/>
    </row>
    <row r="68" spans="2:6" x14ac:dyDescent="0.15">
      <c r="B68" s="11"/>
      <c r="C68" s="15"/>
      <c r="D68" s="14"/>
      <c r="E68" s="10">
        <f t="shared" si="6"/>
        <v>0</v>
      </c>
      <c r="F68" s="33"/>
    </row>
    <row r="69" spans="2:6" x14ac:dyDescent="0.15">
      <c r="B69" s="11"/>
      <c r="C69" s="15"/>
      <c r="D69" s="14"/>
      <c r="E69" s="10">
        <f t="shared" si="6"/>
        <v>0</v>
      </c>
      <c r="F69" s="33"/>
    </row>
    <row r="70" spans="2:6" x14ac:dyDescent="0.15">
      <c r="B70" s="11"/>
      <c r="C70" s="13"/>
      <c r="D70" s="12"/>
      <c r="E70" s="10">
        <f t="shared" si="6"/>
        <v>0</v>
      </c>
      <c r="F70" s="33"/>
    </row>
    <row r="71" spans="2:6" x14ac:dyDescent="0.15">
      <c r="B71" s="11"/>
      <c r="C71" s="13"/>
      <c r="D71" s="12"/>
      <c r="E71" s="10">
        <f t="shared" si="6"/>
        <v>0</v>
      </c>
      <c r="F71" s="33"/>
    </row>
    <row r="72" spans="2:6" x14ac:dyDescent="0.15">
      <c r="B72" s="11"/>
      <c r="C72" s="13"/>
      <c r="D72" s="12"/>
      <c r="E72" s="10">
        <f t="shared" si="6"/>
        <v>0</v>
      </c>
      <c r="F72" s="33"/>
    </row>
    <row r="73" spans="2:6" x14ac:dyDescent="0.15">
      <c r="B73" s="11"/>
      <c r="C73" s="13"/>
      <c r="D73" s="12"/>
      <c r="E73" s="10">
        <f t="shared" si="6"/>
        <v>0</v>
      </c>
      <c r="F73" s="33"/>
    </row>
    <row r="74" spans="2:6" x14ac:dyDescent="0.15">
      <c r="B74" s="11"/>
      <c r="C74" s="13"/>
      <c r="D74" s="12"/>
      <c r="E74" s="10">
        <f t="shared" ref="E74" si="8">SUM(C74:D74)</f>
        <v>0</v>
      </c>
      <c r="F74" s="33"/>
    </row>
    <row r="75" spans="2:6" ht="14.25" thickBot="1" x14ac:dyDescent="0.2">
      <c r="B75" s="11" t="s">
        <v>25</v>
      </c>
      <c r="C75" s="13"/>
      <c r="D75" s="12"/>
      <c r="E75" s="10">
        <f t="shared" ref="E75" si="9">SUM(C75:D75)</f>
        <v>0</v>
      </c>
      <c r="F75" s="33" t="s">
        <v>26</v>
      </c>
    </row>
    <row r="76" spans="2:6" ht="14.25" thickBot="1" x14ac:dyDescent="0.2">
      <c r="B76" s="9" t="s">
        <v>1</v>
      </c>
      <c r="C76" s="8">
        <f>SUM(C51:C75)</f>
        <v>8</v>
      </c>
      <c r="D76" s="7">
        <f>SUM(D51:D75)</f>
        <v>5</v>
      </c>
      <c r="E76" s="6">
        <f>SUM(E51:E75)</f>
        <v>13</v>
      </c>
    </row>
    <row r="77" spans="2:6" ht="14.25" thickBot="1" x14ac:dyDescent="0.2">
      <c r="B77" s="5" t="s">
        <v>0</v>
      </c>
      <c r="C77" s="4">
        <f>+C50-C76</f>
        <v>45</v>
      </c>
      <c r="D77" s="3">
        <f>+D50-D76</f>
        <v>67</v>
      </c>
      <c r="E77" s="2">
        <f>+E50-E76</f>
        <v>112</v>
      </c>
    </row>
    <row r="78" spans="2:6" x14ac:dyDescent="0.15">
      <c r="B78" s="1" t="s">
        <v>38</v>
      </c>
      <c r="C78">
        <v>44</v>
      </c>
      <c r="D78">
        <v>35</v>
      </c>
    </row>
    <row r="79" spans="2:6" ht="18.75" x14ac:dyDescent="0.2">
      <c r="B79" s="26" t="s">
        <v>6</v>
      </c>
      <c r="C79" s="24"/>
      <c r="D79" s="24"/>
      <c r="E79" s="24"/>
    </row>
    <row r="80" spans="2:6" ht="17.25" x14ac:dyDescent="0.2">
      <c r="B80" s="25" t="s">
        <v>5</v>
      </c>
      <c r="C80" s="24"/>
      <c r="D80" s="24"/>
      <c r="E80" s="24"/>
    </row>
    <row r="81" spans="2:6" ht="14.25" thickBot="1" x14ac:dyDescent="0.2"/>
    <row r="82" spans="2:6" ht="14.25" thickBot="1" x14ac:dyDescent="0.2">
      <c r="B82" s="23"/>
      <c r="C82" s="35" t="s">
        <v>9</v>
      </c>
      <c r="D82" s="36" t="s">
        <v>8</v>
      </c>
      <c r="E82" s="22" t="s">
        <v>4</v>
      </c>
    </row>
    <row r="83" spans="2:6" x14ac:dyDescent="0.15">
      <c r="B83" s="18" t="s">
        <v>0</v>
      </c>
      <c r="C83" s="17">
        <f>C77</f>
        <v>45</v>
      </c>
      <c r="D83" s="16">
        <f>D77</f>
        <v>67</v>
      </c>
      <c r="E83" s="21">
        <f>E77</f>
        <v>112</v>
      </c>
    </row>
    <row r="84" spans="2:6" x14ac:dyDescent="0.15">
      <c r="B84" s="20" t="s">
        <v>3</v>
      </c>
      <c r="C84" s="13"/>
      <c r="D84" s="12"/>
      <c r="E84" s="19">
        <f>SUM(C84:D84)</f>
        <v>0</v>
      </c>
      <c r="F84" s="33"/>
    </row>
    <row r="85" spans="2:6" x14ac:dyDescent="0.15">
      <c r="B85" s="20" t="s">
        <v>3</v>
      </c>
      <c r="C85" s="13">
        <v>50</v>
      </c>
      <c r="D85" s="12"/>
      <c r="E85" s="19">
        <f t="shared" ref="E85:E88" si="10">SUM(C85:D85)</f>
        <v>50</v>
      </c>
      <c r="F85" s="33" t="s">
        <v>46</v>
      </c>
    </row>
    <row r="86" spans="2:6" x14ac:dyDescent="0.15">
      <c r="B86" s="20" t="s">
        <v>3</v>
      </c>
      <c r="C86" s="13">
        <v>20</v>
      </c>
      <c r="D86" s="12">
        <v>30</v>
      </c>
      <c r="E86" s="19">
        <f t="shared" ref="E86" si="11">SUM(C86:D86)</f>
        <v>50</v>
      </c>
      <c r="F86" s="33" t="s">
        <v>52</v>
      </c>
    </row>
    <row r="87" spans="2:6" x14ac:dyDescent="0.15">
      <c r="B87" s="20" t="s">
        <v>57</v>
      </c>
      <c r="C87" s="13">
        <v>0</v>
      </c>
      <c r="D87" s="12">
        <v>0</v>
      </c>
      <c r="E87" s="19">
        <f t="shared" si="10"/>
        <v>0</v>
      </c>
      <c r="F87" s="33">
        <v>45161</v>
      </c>
    </row>
    <row r="88" spans="2:6" ht="14.25" thickBot="1" x14ac:dyDescent="0.2">
      <c r="B88" s="20" t="s">
        <v>33</v>
      </c>
      <c r="C88" s="13">
        <v>2</v>
      </c>
      <c r="D88" s="12">
        <v>1</v>
      </c>
      <c r="E88" s="19">
        <f t="shared" si="10"/>
        <v>3</v>
      </c>
      <c r="F88" s="33">
        <v>45168</v>
      </c>
    </row>
    <row r="89" spans="2:6" ht="14.25" thickBot="1" x14ac:dyDescent="0.2">
      <c r="B89" s="9" t="s">
        <v>2</v>
      </c>
      <c r="C89" s="8">
        <f>SUM(C83:C88)</f>
        <v>117</v>
      </c>
      <c r="D89" s="7">
        <f>SUM(D83:D88)</f>
        <v>98</v>
      </c>
      <c r="E89" s="6">
        <f>SUM(E83:E88)</f>
        <v>215</v>
      </c>
    </row>
    <row r="90" spans="2:6" x14ac:dyDescent="0.15">
      <c r="B90" s="11" t="s">
        <v>45</v>
      </c>
      <c r="C90" s="13"/>
      <c r="D90" s="12">
        <v>1</v>
      </c>
      <c r="E90" s="10">
        <f t="shared" ref="E90:E91" si="12">SUM(C90:D90)</f>
        <v>1</v>
      </c>
      <c r="F90" s="33">
        <v>45140</v>
      </c>
    </row>
    <row r="91" spans="2:6" x14ac:dyDescent="0.15">
      <c r="B91" s="11" t="s">
        <v>47</v>
      </c>
      <c r="C91" s="13">
        <v>4</v>
      </c>
      <c r="D91" s="12">
        <v>1</v>
      </c>
      <c r="E91" s="10">
        <f t="shared" si="12"/>
        <v>5</v>
      </c>
      <c r="F91" s="33">
        <v>45141</v>
      </c>
    </row>
    <row r="92" spans="2:6" x14ac:dyDescent="0.15">
      <c r="B92" s="11" t="s">
        <v>48</v>
      </c>
      <c r="C92" s="13">
        <v>4</v>
      </c>
      <c r="D92" s="12">
        <v>9</v>
      </c>
      <c r="E92" s="10">
        <f t="shared" ref="E92:E93" si="13">SUM(C92:D92)</f>
        <v>13</v>
      </c>
      <c r="F92" s="33">
        <v>45142</v>
      </c>
    </row>
    <row r="93" spans="2:6" x14ac:dyDescent="0.15">
      <c r="B93" s="11" t="s">
        <v>49</v>
      </c>
      <c r="C93" s="13">
        <v>7</v>
      </c>
      <c r="D93" s="12">
        <v>6</v>
      </c>
      <c r="E93" s="10">
        <f t="shared" si="13"/>
        <v>13</v>
      </c>
      <c r="F93" s="33">
        <v>45145</v>
      </c>
    </row>
    <row r="94" spans="2:6" x14ac:dyDescent="0.15">
      <c r="B94" s="11" t="s">
        <v>12</v>
      </c>
      <c r="C94" s="13">
        <v>2</v>
      </c>
      <c r="D94" s="12"/>
      <c r="E94" s="10">
        <f t="shared" ref="E94:E112" si="14">SUM(C94:D94)</f>
        <v>2</v>
      </c>
      <c r="F94" s="33">
        <v>45145</v>
      </c>
    </row>
    <row r="95" spans="2:6" x14ac:dyDescent="0.15">
      <c r="B95" s="11" t="s">
        <v>50</v>
      </c>
      <c r="C95" s="13">
        <v>7</v>
      </c>
      <c r="D95" s="12">
        <v>2</v>
      </c>
      <c r="E95" s="10">
        <f t="shared" si="14"/>
        <v>9</v>
      </c>
      <c r="F95" s="33">
        <v>45147</v>
      </c>
    </row>
    <row r="96" spans="2:6" x14ac:dyDescent="0.15">
      <c r="B96" s="11" t="s">
        <v>51</v>
      </c>
      <c r="C96" s="13">
        <v>6</v>
      </c>
      <c r="D96" s="12"/>
      <c r="E96" s="10">
        <f t="shared" si="14"/>
        <v>6</v>
      </c>
      <c r="F96" s="33">
        <v>45148</v>
      </c>
    </row>
    <row r="97" spans="2:6" x14ac:dyDescent="0.15">
      <c r="B97" s="11" t="s">
        <v>12</v>
      </c>
      <c r="C97" s="13">
        <v>1</v>
      </c>
      <c r="D97" s="12"/>
      <c r="E97" s="10">
        <f t="shared" si="14"/>
        <v>1</v>
      </c>
      <c r="F97" s="33">
        <v>45154</v>
      </c>
    </row>
    <row r="98" spans="2:6" x14ac:dyDescent="0.15">
      <c r="B98" s="11" t="s">
        <v>53</v>
      </c>
      <c r="C98" s="13">
        <v>10</v>
      </c>
      <c r="D98" s="12">
        <v>7</v>
      </c>
      <c r="E98" s="10">
        <f t="shared" si="14"/>
        <v>17</v>
      </c>
      <c r="F98" s="33">
        <v>45156</v>
      </c>
    </row>
    <row r="99" spans="2:6" x14ac:dyDescent="0.15">
      <c r="B99" s="11" t="s">
        <v>54</v>
      </c>
      <c r="C99" s="13">
        <v>2</v>
      </c>
      <c r="D99" s="12"/>
      <c r="E99" s="10">
        <f t="shared" si="14"/>
        <v>2</v>
      </c>
      <c r="F99" s="33">
        <v>45160</v>
      </c>
    </row>
    <row r="100" spans="2:6" x14ac:dyDescent="0.15">
      <c r="B100" s="11" t="s">
        <v>12</v>
      </c>
      <c r="C100" s="15">
        <v>1</v>
      </c>
      <c r="D100" s="14">
        <v>1</v>
      </c>
      <c r="E100" s="10">
        <f t="shared" si="14"/>
        <v>2</v>
      </c>
      <c r="F100" s="33">
        <v>45159</v>
      </c>
    </row>
    <row r="101" spans="2:6" x14ac:dyDescent="0.15">
      <c r="B101" s="11" t="s">
        <v>55</v>
      </c>
      <c r="C101" s="13">
        <v>4</v>
      </c>
      <c r="D101" s="12">
        <v>2</v>
      </c>
      <c r="E101" s="10">
        <f t="shared" si="14"/>
        <v>6</v>
      </c>
      <c r="F101" s="33">
        <v>45161</v>
      </c>
    </row>
    <row r="102" spans="2:6" x14ac:dyDescent="0.15">
      <c r="B102" s="11" t="s">
        <v>56</v>
      </c>
      <c r="C102" s="13">
        <v>9</v>
      </c>
      <c r="D102" s="12">
        <v>1</v>
      </c>
      <c r="E102" s="10">
        <f t="shared" si="14"/>
        <v>10</v>
      </c>
      <c r="F102" s="33">
        <v>45162</v>
      </c>
    </row>
    <row r="103" spans="2:6" x14ac:dyDescent="0.15">
      <c r="B103" s="11" t="s">
        <v>58</v>
      </c>
      <c r="C103" s="13">
        <v>4</v>
      </c>
      <c r="D103" s="12">
        <v>2</v>
      </c>
      <c r="E103" s="10">
        <f t="shared" si="14"/>
        <v>6</v>
      </c>
      <c r="F103" s="33">
        <v>45163</v>
      </c>
    </row>
    <row r="104" spans="2:6" x14ac:dyDescent="0.15">
      <c r="B104" s="11" t="s">
        <v>59</v>
      </c>
      <c r="C104" s="13">
        <v>7</v>
      </c>
      <c r="D104" s="12">
        <v>5</v>
      </c>
      <c r="E104" s="10">
        <f t="shared" si="14"/>
        <v>12</v>
      </c>
      <c r="F104" s="33">
        <v>45166</v>
      </c>
    </row>
    <row r="105" spans="2:6" x14ac:dyDescent="0.15">
      <c r="B105" s="11" t="s">
        <v>60</v>
      </c>
      <c r="C105" s="13">
        <v>8</v>
      </c>
      <c r="D105" s="12">
        <v>1</v>
      </c>
      <c r="E105" s="10">
        <f t="shared" si="14"/>
        <v>9</v>
      </c>
      <c r="F105" s="33">
        <v>45167</v>
      </c>
    </row>
    <row r="106" spans="2:6" x14ac:dyDescent="0.15">
      <c r="B106" s="11" t="s">
        <v>61</v>
      </c>
      <c r="C106" s="13"/>
      <c r="D106" s="12">
        <v>1</v>
      </c>
      <c r="E106" s="10">
        <f t="shared" si="14"/>
        <v>1</v>
      </c>
      <c r="F106" s="33">
        <v>45168</v>
      </c>
    </row>
    <row r="107" spans="2:6" x14ac:dyDescent="0.15">
      <c r="B107" s="11" t="s">
        <v>62</v>
      </c>
      <c r="C107" s="13"/>
      <c r="D107" s="12">
        <v>1</v>
      </c>
      <c r="E107" s="10">
        <f t="shared" si="14"/>
        <v>1</v>
      </c>
      <c r="F107" s="33">
        <v>45169</v>
      </c>
    </row>
    <row r="108" spans="2:6" x14ac:dyDescent="0.15">
      <c r="B108" s="11" t="s">
        <v>63</v>
      </c>
      <c r="C108" s="13"/>
      <c r="D108" s="12">
        <v>1</v>
      </c>
      <c r="E108" s="10">
        <f t="shared" si="14"/>
        <v>1</v>
      </c>
      <c r="F108" s="33">
        <v>45175</v>
      </c>
    </row>
    <row r="109" spans="2:6" x14ac:dyDescent="0.15">
      <c r="B109" s="11" t="s">
        <v>64</v>
      </c>
      <c r="C109" s="13">
        <v>1</v>
      </c>
      <c r="D109" s="12"/>
      <c r="E109" s="10">
        <f t="shared" si="14"/>
        <v>1</v>
      </c>
      <c r="F109" s="33">
        <v>45181</v>
      </c>
    </row>
    <row r="110" spans="2:6" x14ac:dyDescent="0.15">
      <c r="B110" s="11"/>
      <c r="C110" s="13"/>
      <c r="D110" s="12"/>
      <c r="E110" s="10">
        <f t="shared" si="14"/>
        <v>0</v>
      </c>
      <c r="F110" s="33"/>
    </row>
    <row r="111" spans="2:6" x14ac:dyDescent="0.15">
      <c r="B111" s="11"/>
      <c r="C111" s="13"/>
      <c r="D111" s="12"/>
      <c r="E111" s="10">
        <f t="shared" si="14"/>
        <v>0</v>
      </c>
      <c r="F111" s="33"/>
    </row>
    <row r="112" spans="2:6" x14ac:dyDescent="0.15">
      <c r="B112" s="11"/>
      <c r="C112" s="13"/>
      <c r="D112" s="12"/>
      <c r="E112" s="10">
        <f t="shared" si="14"/>
        <v>0</v>
      </c>
      <c r="F112" s="33"/>
    </row>
    <row r="113" spans="2:6" x14ac:dyDescent="0.15">
      <c r="B113" s="11" t="s">
        <v>42</v>
      </c>
      <c r="C113" s="13"/>
      <c r="D113" s="12"/>
      <c r="E113" s="10">
        <f t="shared" ref="E113" si="15">SUM(C113:D113)</f>
        <v>0</v>
      </c>
      <c r="F113" s="33" t="s">
        <v>41</v>
      </c>
    </row>
    <row r="114" spans="2:6" ht="14.25" thickBot="1" x14ac:dyDescent="0.2">
      <c r="B114" s="11" t="s">
        <v>36</v>
      </c>
      <c r="C114" s="13"/>
      <c r="D114" s="12"/>
      <c r="E114" s="10">
        <f t="shared" ref="E114" si="16">SUM(C114:D114)</f>
        <v>0</v>
      </c>
      <c r="F114" s="32" t="s">
        <v>37</v>
      </c>
    </row>
    <row r="115" spans="2:6" ht="14.25" thickBot="1" x14ac:dyDescent="0.2">
      <c r="B115" s="9" t="s">
        <v>1</v>
      </c>
      <c r="C115" s="8">
        <f>SUM(C90:C114)</f>
        <v>77</v>
      </c>
      <c r="D115" s="7">
        <f>SUM(D90:D114)</f>
        <v>41</v>
      </c>
      <c r="E115" s="6">
        <f>SUM(E90:E114)</f>
        <v>118</v>
      </c>
    </row>
    <row r="116" spans="2:6" ht="14.25" thickBot="1" x14ac:dyDescent="0.2">
      <c r="B116" s="5" t="s">
        <v>0</v>
      </c>
      <c r="C116" s="4">
        <f>+C89-C115</f>
        <v>40</v>
      </c>
      <c r="D116" s="3">
        <f>+D89-D115</f>
        <v>57</v>
      </c>
      <c r="E116" s="2">
        <f>+E89-E115</f>
        <v>97</v>
      </c>
    </row>
    <row r="118" spans="2:6" ht="18.75" x14ac:dyDescent="0.2">
      <c r="B118" s="26" t="s">
        <v>6</v>
      </c>
      <c r="C118" s="24"/>
      <c r="D118" s="24"/>
      <c r="E118" s="24"/>
    </row>
    <row r="119" spans="2:6" ht="17.25" x14ac:dyDescent="0.2">
      <c r="B119" s="25" t="s">
        <v>5</v>
      </c>
      <c r="C119" s="24"/>
      <c r="D119" s="24"/>
      <c r="E119" s="24"/>
    </row>
    <row r="120" spans="2:6" ht="14.25" thickBot="1" x14ac:dyDescent="0.2"/>
    <row r="121" spans="2:6" ht="14.25" thickBot="1" x14ac:dyDescent="0.2">
      <c r="B121" s="23"/>
      <c r="C121" s="35" t="s">
        <v>9</v>
      </c>
      <c r="D121" s="36" t="s">
        <v>8</v>
      </c>
      <c r="E121" s="22" t="s">
        <v>4</v>
      </c>
    </row>
    <row r="122" spans="2:6" x14ac:dyDescent="0.15">
      <c r="B122" s="30" t="s">
        <v>0</v>
      </c>
      <c r="C122" s="29">
        <f>C116</f>
        <v>40</v>
      </c>
      <c r="D122" s="28">
        <f>D116</f>
        <v>57</v>
      </c>
      <c r="E122" s="27">
        <f>E116</f>
        <v>97</v>
      </c>
    </row>
    <row r="123" spans="2:6" x14ac:dyDescent="0.15">
      <c r="B123" s="20" t="s">
        <v>33</v>
      </c>
      <c r="C123" s="13">
        <v>1</v>
      </c>
      <c r="D123" s="12"/>
      <c r="E123" s="19">
        <f>SUM(C123:D123)</f>
        <v>1</v>
      </c>
      <c r="F123" s="33">
        <v>45183</v>
      </c>
    </row>
    <row r="124" spans="2:6" x14ac:dyDescent="0.15">
      <c r="B124" s="20" t="s">
        <v>33</v>
      </c>
      <c r="C124" s="13">
        <v>2</v>
      </c>
      <c r="D124" s="12">
        <v>1</v>
      </c>
      <c r="E124" s="19">
        <f t="shared" ref="E124:E127" si="17">SUM(C124:D124)</f>
        <v>3</v>
      </c>
      <c r="F124" s="33">
        <v>45265</v>
      </c>
    </row>
    <row r="125" spans="2:6" x14ac:dyDescent="0.15">
      <c r="B125" s="20" t="s">
        <v>3</v>
      </c>
      <c r="C125" s="13"/>
      <c r="D125" s="12"/>
      <c r="E125" s="19">
        <f t="shared" si="17"/>
        <v>0</v>
      </c>
      <c r="F125" s="33"/>
    </row>
    <row r="126" spans="2:6" x14ac:dyDescent="0.15">
      <c r="B126" s="20" t="s">
        <v>3</v>
      </c>
      <c r="C126" s="13"/>
      <c r="D126" s="12"/>
      <c r="E126" s="19">
        <f t="shared" ref="E126" si="18">SUM(C126:D126)</f>
        <v>0</v>
      </c>
      <c r="F126" s="33"/>
    </row>
    <row r="127" spans="2:6" ht="14.25" thickBot="1" x14ac:dyDescent="0.2">
      <c r="B127" s="20" t="s">
        <v>3</v>
      </c>
      <c r="C127" s="13"/>
      <c r="D127" s="12"/>
      <c r="E127" s="19">
        <f t="shared" si="17"/>
        <v>0</v>
      </c>
      <c r="F127" s="33"/>
    </row>
    <row r="128" spans="2:6" ht="14.25" thickBot="1" x14ac:dyDescent="0.2">
      <c r="B128" s="9" t="s">
        <v>2</v>
      </c>
      <c r="C128" s="8">
        <f>SUM(C122:C127)</f>
        <v>43</v>
      </c>
      <c r="D128" s="7">
        <f>SUM(D122:D127)</f>
        <v>58</v>
      </c>
      <c r="E128" s="6">
        <f>SUM(E122:E127)</f>
        <v>101</v>
      </c>
    </row>
    <row r="129" spans="2:6" x14ac:dyDescent="0.15">
      <c r="B129" s="11" t="s">
        <v>12</v>
      </c>
      <c r="C129" s="13">
        <v>1</v>
      </c>
      <c r="D129" s="12"/>
      <c r="E129" s="10">
        <f t="shared" ref="E129:E149" si="19">SUM(C129:D129)</f>
        <v>1</v>
      </c>
      <c r="F129" s="33">
        <v>45190</v>
      </c>
    </row>
    <row r="130" spans="2:6" x14ac:dyDescent="0.15">
      <c r="B130" s="11" t="s">
        <v>65</v>
      </c>
      <c r="C130" s="13"/>
      <c r="D130" s="12">
        <v>2</v>
      </c>
      <c r="E130" s="10">
        <f t="shared" si="19"/>
        <v>2</v>
      </c>
      <c r="F130" s="33">
        <v>45194</v>
      </c>
    </row>
    <row r="131" spans="2:6" x14ac:dyDescent="0.15">
      <c r="B131" s="11" t="s">
        <v>66</v>
      </c>
      <c r="C131" s="13">
        <v>1</v>
      </c>
      <c r="D131" s="12">
        <v>1</v>
      </c>
      <c r="E131" s="10">
        <f t="shared" si="19"/>
        <v>2</v>
      </c>
      <c r="F131" s="33">
        <v>45196</v>
      </c>
    </row>
    <row r="132" spans="2:6" x14ac:dyDescent="0.15">
      <c r="B132" s="11" t="s">
        <v>67</v>
      </c>
      <c r="C132" s="13">
        <v>1</v>
      </c>
      <c r="D132" s="12">
        <v>1</v>
      </c>
      <c r="E132" s="10">
        <f t="shared" si="19"/>
        <v>2</v>
      </c>
      <c r="F132" s="33">
        <v>45267</v>
      </c>
    </row>
    <row r="133" spans="2:6" x14ac:dyDescent="0.15">
      <c r="B133" s="11"/>
      <c r="C133" s="13"/>
      <c r="D133" s="12"/>
      <c r="E133" s="10">
        <f t="shared" si="19"/>
        <v>0</v>
      </c>
      <c r="F133" s="33"/>
    </row>
    <row r="134" spans="2:6" x14ac:dyDescent="0.15">
      <c r="B134" s="11"/>
      <c r="C134" s="13"/>
      <c r="D134" s="12"/>
      <c r="E134" s="10">
        <f t="shared" ref="E134:E144" si="20">SUM(C134:D134)</f>
        <v>0</v>
      </c>
      <c r="F134" s="33"/>
    </row>
    <row r="135" spans="2:6" x14ac:dyDescent="0.15">
      <c r="B135" s="11"/>
      <c r="C135" s="13"/>
      <c r="D135" s="12"/>
      <c r="E135" s="10">
        <f t="shared" si="20"/>
        <v>0</v>
      </c>
      <c r="F135" s="33"/>
    </row>
    <row r="136" spans="2:6" x14ac:dyDescent="0.15">
      <c r="B136" s="11"/>
      <c r="C136" s="13"/>
      <c r="D136" s="12"/>
      <c r="E136" s="10">
        <f t="shared" si="20"/>
        <v>0</v>
      </c>
      <c r="F136" s="33"/>
    </row>
    <row r="137" spans="2:6" x14ac:dyDescent="0.15">
      <c r="B137" s="11"/>
      <c r="C137" s="13"/>
      <c r="D137" s="12"/>
      <c r="E137" s="10">
        <f t="shared" si="20"/>
        <v>0</v>
      </c>
      <c r="F137" s="33"/>
    </row>
    <row r="138" spans="2:6" x14ac:dyDescent="0.15">
      <c r="B138" s="11"/>
      <c r="C138" s="13"/>
      <c r="D138" s="12"/>
      <c r="E138" s="10">
        <f t="shared" si="20"/>
        <v>0</v>
      </c>
      <c r="F138" s="33"/>
    </row>
    <row r="139" spans="2:6" x14ac:dyDescent="0.15">
      <c r="B139" s="11"/>
      <c r="C139" s="13"/>
      <c r="D139" s="12"/>
      <c r="E139" s="10">
        <f t="shared" si="20"/>
        <v>0</v>
      </c>
      <c r="F139" s="33"/>
    </row>
    <row r="140" spans="2:6" x14ac:dyDescent="0.15">
      <c r="B140" s="11"/>
      <c r="C140" s="13"/>
      <c r="D140" s="12"/>
      <c r="E140" s="10">
        <f t="shared" si="20"/>
        <v>0</v>
      </c>
      <c r="F140" s="33"/>
    </row>
    <row r="141" spans="2:6" x14ac:dyDescent="0.15">
      <c r="B141" s="11"/>
      <c r="C141" s="13"/>
      <c r="D141" s="12"/>
      <c r="E141" s="10">
        <f t="shared" si="20"/>
        <v>0</v>
      </c>
      <c r="F141" s="33"/>
    </row>
    <row r="142" spans="2:6" x14ac:dyDescent="0.15">
      <c r="B142" s="11"/>
      <c r="C142" s="13"/>
      <c r="D142" s="12"/>
      <c r="E142" s="10">
        <f t="shared" si="20"/>
        <v>0</v>
      </c>
      <c r="F142" s="33"/>
    </row>
    <row r="143" spans="2:6" x14ac:dyDescent="0.15">
      <c r="B143" s="11"/>
      <c r="C143" s="13"/>
      <c r="D143" s="12"/>
      <c r="E143" s="10">
        <f t="shared" si="20"/>
        <v>0</v>
      </c>
      <c r="F143" s="33"/>
    </row>
    <row r="144" spans="2:6" x14ac:dyDescent="0.15">
      <c r="B144" s="11"/>
      <c r="C144" s="13"/>
      <c r="D144" s="12"/>
      <c r="E144" s="10">
        <f t="shared" si="20"/>
        <v>0</v>
      </c>
      <c r="F144" s="33"/>
    </row>
    <row r="145" spans="2:6" x14ac:dyDescent="0.15">
      <c r="B145" s="11"/>
      <c r="C145" s="13"/>
      <c r="D145" s="12"/>
      <c r="E145" s="10">
        <f t="shared" si="19"/>
        <v>0</v>
      </c>
      <c r="F145" s="33"/>
    </row>
    <row r="146" spans="2:6" x14ac:dyDescent="0.15">
      <c r="B146" s="11"/>
      <c r="C146" s="13"/>
      <c r="D146" s="12"/>
      <c r="E146" s="10">
        <f t="shared" si="19"/>
        <v>0</v>
      </c>
      <c r="F146" s="33"/>
    </row>
    <row r="147" spans="2:6" x14ac:dyDescent="0.15">
      <c r="B147" s="11"/>
      <c r="C147" s="13"/>
      <c r="D147" s="12"/>
      <c r="E147" s="10">
        <f t="shared" si="19"/>
        <v>0</v>
      </c>
      <c r="F147" s="33"/>
    </row>
    <row r="148" spans="2:6" x14ac:dyDescent="0.15">
      <c r="B148" s="11"/>
      <c r="C148" s="13"/>
      <c r="D148" s="12"/>
      <c r="E148" s="10">
        <f t="shared" si="19"/>
        <v>0</v>
      </c>
      <c r="F148" s="33"/>
    </row>
    <row r="149" spans="2:6" x14ac:dyDescent="0.15">
      <c r="B149" s="11"/>
      <c r="C149" s="13"/>
      <c r="D149" s="12"/>
      <c r="E149" s="10">
        <f t="shared" si="19"/>
        <v>0</v>
      </c>
      <c r="F149" s="33"/>
    </row>
    <row r="150" spans="2:6" x14ac:dyDescent="0.15">
      <c r="B150" s="11"/>
      <c r="C150" s="13"/>
      <c r="D150" s="12"/>
      <c r="E150" s="10">
        <f t="shared" ref="E150" si="21">SUM(C150:D150)</f>
        <v>0</v>
      </c>
      <c r="F150" s="33"/>
    </row>
    <row r="151" spans="2:6" x14ac:dyDescent="0.15">
      <c r="B151" s="11"/>
      <c r="C151" s="13"/>
      <c r="D151" s="12"/>
      <c r="E151" s="10">
        <f t="shared" ref="E151:E152" si="22">SUM(C151:D151)</f>
        <v>0</v>
      </c>
      <c r="F151" s="33"/>
    </row>
    <row r="152" spans="2:6" x14ac:dyDescent="0.15">
      <c r="B152" s="11"/>
      <c r="C152" s="13"/>
      <c r="D152" s="12"/>
      <c r="E152" s="10">
        <f t="shared" si="22"/>
        <v>0</v>
      </c>
      <c r="F152" s="33"/>
    </row>
    <row r="153" spans="2:6" ht="14.25" thickBot="1" x14ac:dyDescent="0.2">
      <c r="B153" s="11"/>
      <c r="C153" s="13"/>
      <c r="D153" s="12"/>
      <c r="E153" s="10">
        <f t="shared" ref="E153" si="23">SUM(C153:D153)</f>
        <v>0</v>
      </c>
      <c r="F153" s="33"/>
    </row>
    <row r="154" spans="2:6" ht="14.25" thickBot="1" x14ac:dyDescent="0.2">
      <c r="B154" s="9" t="s">
        <v>1</v>
      </c>
      <c r="C154" s="8">
        <f>SUM(C129:C153)</f>
        <v>3</v>
      </c>
      <c r="D154" s="7">
        <f>SUM(D129:D153)</f>
        <v>4</v>
      </c>
      <c r="E154" s="6">
        <f>SUM(E129:E153)</f>
        <v>7</v>
      </c>
    </row>
    <row r="155" spans="2:6" ht="14.25" thickBot="1" x14ac:dyDescent="0.2">
      <c r="B155" s="5" t="s">
        <v>0</v>
      </c>
      <c r="C155" s="4">
        <f>+C128-C154</f>
        <v>40</v>
      </c>
      <c r="D155" s="3">
        <f>+D128-D154</f>
        <v>54</v>
      </c>
      <c r="E155" s="2">
        <f>+E128-E154</f>
        <v>94</v>
      </c>
    </row>
    <row r="156" spans="2:6" x14ac:dyDescent="0.15">
      <c r="C156">
        <f>C154+C115+C76+C37</f>
        <v>136</v>
      </c>
      <c r="D156">
        <f t="shared" ref="D156:E156" si="24">D154+D115+D76+D37</f>
        <v>80</v>
      </c>
      <c r="E156">
        <f t="shared" si="24"/>
        <v>216</v>
      </c>
    </row>
    <row r="157" spans="2:6" ht="21" x14ac:dyDescent="0.2">
      <c r="B157" s="26" t="s">
        <v>6</v>
      </c>
      <c r="C157" s="46" t="s">
        <v>75</v>
      </c>
      <c r="D157" s="46"/>
      <c r="E157" s="46"/>
    </row>
    <row r="158" spans="2:6" ht="17.25" x14ac:dyDescent="0.2">
      <c r="B158" s="25" t="s">
        <v>5</v>
      </c>
      <c r="C158" s="24"/>
      <c r="D158" s="24"/>
      <c r="E158" s="24"/>
    </row>
    <row r="159" spans="2:6" ht="14.25" thickBot="1" x14ac:dyDescent="0.2"/>
    <row r="160" spans="2:6" ht="14.25" thickBot="1" x14ac:dyDescent="0.2">
      <c r="B160" s="23"/>
      <c r="C160" s="35" t="s">
        <v>9</v>
      </c>
      <c r="D160" s="36" t="s">
        <v>8</v>
      </c>
      <c r="E160" s="22" t="s">
        <v>4</v>
      </c>
    </row>
    <row r="161" spans="2:6" x14ac:dyDescent="0.15">
      <c r="B161" s="30" t="s">
        <v>0</v>
      </c>
      <c r="C161" s="29">
        <f>C155</f>
        <v>40</v>
      </c>
      <c r="D161" s="28">
        <f>D155</f>
        <v>54</v>
      </c>
      <c r="E161" s="27">
        <f>E155</f>
        <v>94</v>
      </c>
    </row>
    <row r="162" spans="2:6" x14ac:dyDescent="0.15">
      <c r="B162" s="20" t="s">
        <v>3</v>
      </c>
      <c r="C162" s="13"/>
      <c r="D162" s="12"/>
      <c r="E162" s="19">
        <f t="shared" ref="E162:E163" si="25">SUM(C162:D162)</f>
        <v>0</v>
      </c>
    </row>
    <row r="163" spans="2:6" x14ac:dyDescent="0.15">
      <c r="B163" s="20" t="s">
        <v>3</v>
      </c>
      <c r="C163" s="13">
        <v>40</v>
      </c>
      <c r="D163" s="12">
        <v>20</v>
      </c>
      <c r="E163" s="19">
        <f t="shared" si="25"/>
        <v>60</v>
      </c>
      <c r="F163" s="33">
        <v>45422</v>
      </c>
    </row>
    <row r="164" spans="2:6" x14ac:dyDescent="0.15">
      <c r="B164" s="20" t="s">
        <v>33</v>
      </c>
      <c r="C164" s="13"/>
      <c r="D164" s="12">
        <v>1</v>
      </c>
      <c r="E164" s="19">
        <f t="shared" ref="E164" si="26">SUM(C164:D164)</f>
        <v>1</v>
      </c>
      <c r="F164" s="33">
        <v>45456</v>
      </c>
    </row>
    <row r="165" spans="2:6" x14ac:dyDescent="0.15">
      <c r="B165" s="20" t="s">
        <v>3</v>
      </c>
      <c r="C165" s="13"/>
      <c r="D165" s="12"/>
      <c r="E165" s="19">
        <f t="shared" ref="E165:E166" si="27">SUM(C165:D165)</f>
        <v>0</v>
      </c>
    </row>
    <row r="166" spans="2:6" ht="14.25" thickBot="1" x14ac:dyDescent="0.2">
      <c r="B166" s="20" t="s">
        <v>3</v>
      </c>
      <c r="C166" s="13"/>
      <c r="D166" s="12"/>
      <c r="E166" s="19">
        <f t="shared" si="27"/>
        <v>0</v>
      </c>
    </row>
    <row r="167" spans="2:6" ht="14.25" thickBot="1" x14ac:dyDescent="0.2">
      <c r="B167" s="9" t="s">
        <v>2</v>
      </c>
      <c r="C167" s="8">
        <f>SUM(C161:C166)</f>
        <v>80</v>
      </c>
      <c r="D167" s="7">
        <f>SUM(D161:D166)</f>
        <v>75</v>
      </c>
      <c r="E167" s="6">
        <f>SUM(E161:E166)</f>
        <v>155</v>
      </c>
    </row>
    <row r="168" spans="2:6" x14ac:dyDescent="0.15">
      <c r="B168" s="11" t="s">
        <v>12</v>
      </c>
      <c r="C168" s="13">
        <v>1</v>
      </c>
      <c r="D168" s="12">
        <v>1</v>
      </c>
      <c r="E168" s="10">
        <f t="shared" ref="E168:E178" si="28">SUM(C168:D168)</f>
        <v>2</v>
      </c>
      <c r="F168" s="33" t="s">
        <v>76</v>
      </c>
    </row>
    <row r="169" spans="2:6" x14ac:dyDescent="0.15">
      <c r="B169" s="11" t="s">
        <v>15</v>
      </c>
      <c r="C169" s="13">
        <v>1</v>
      </c>
      <c r="D169" s="12">
        <v>1</v>
      </c>
      <c r="E169" s="10">
        <f t="shared" si="28"/>
        <v>2</v>
      </c>
      <c r="F169" s="33">
        <v>45425</v>
      </c>
    </row>
    <row r="170" spans="2:6" x14ac:dyDescent="0.15">
      <c r="B170" s="11" t="s">
        <v>12</v>
      </c>
      <c r="C170" s="13">
        <v>1</v>
      </c>
      <c r="D170" s="12"/>
      <c r="E170" s="10">
        <f t="shared" si="28"/>
        <v>1</v>
      </c>
      <c r="F170" s="33">
        <v>45422</v>
      </c>
    </row>
    <row r="171" spans="2:6" x14ac:dyDescent="0.15">
      <c r="B171" s="11" t="s">
        <v>16</v>
      </c>
      <c r="C171" s="13">
        <v>1</v>
      </c>
      <c r="D171" s="12">
        <v>9</v>
      </c>
      <c r="E171" s="10">
        <f t="shared" si="28"/>
        <v>10</v>
      </c>
      <c r="F171" s="33">
        <v>45427</v>
      </c>
    </row>
    <row r="172" spans="2:6" x14ac:dyDescent="0.15">
      <c r="B172" s="11" t="s">
        <v>12</v>
      </c>
      <c r="C172" s="13"/>
      <c r="D172" s="12">
        <v>1</v>
      </c>
      <c r="E172" s="10">
        <f t="shared" si="28"/>
        <v>1</v>
      </c>
      <c r="F172" s="33">
        <v>45425</v>
      </c>
    </row>
    <row r="173" spans="2:6" x14ac:dyDescent="0.15">
      <c r="B173" s="11" t="s">
        <v>17</v>
      </c>
      <c r="C173" s="13">
        <v>10</v>
      </c>
      <c r="D173" s="12">
        <v>2</v>
      </c>
      <c r="E173" s="10">
        <f t="shared" si="28"/>
        <v>12</v>
      </c>
      <c r="F173" s="33">
        <v>45428</v>
      </c>
    </row>
    <row r="174" spans="2:6" x14ac:dyDescent="0.15">
      <c r="B174" s="11" t="s">
        <v>18</v>
      </c>
      <c r="C174" s="13">
        <v>7</v>
      </c>
      <c r="D174" s="12">
        <v>2</v>
      </c>
      <c r="E174" s="10">
        <f t="shared" si="28"/>
        <v>9</v>
      </c>
      <c r="F174" s="33">
        <v>45429</v>
      </c>
    </row>
    <row r="175" spans="2:6" x14ac:dyDescent="0.15">
      <c r="B175" s="11" t="s">
        <v>19</v>
      </c>
      <c r="C175" s="13">
        <v>4</v>
      </c>
      <c r="D175" s="12">
        <v>1</v>
      </c>
      <c r="E175" s="10">
        <f t="shared" si="28"/>
        <v>5</v>
      </c>
      <c r="F175" s="33">
        <v>45432</v>
      </c>
    </row>
    <row r="176" spans="2:6" x14ac:dyDescent="0.15">
      <c r="B176" s="11" t="s">
        <v>12</v>
      </c>
      <c r="C176" s="13"/>
      <c r="D176" s="12">
        <v>1</v>
      </c>
      <c r="E176" s="10">
        <f t="shared" si="28"/>
        <v>1</v>
      </c>
      <c r="F176" s="33">
        <v>45429</v>
      </c>
    </row>
    <row r="177" spans="2:6" x14ac:dyDescent="0.15">
      <c r="B177" s="11" t="s">
        <v>20</v>
      </c>
      <c r="C177" s="13">
        <v>5</v>
      </c>
      <c r="D177" s="12">
        <v>3</v>
      </c>
      <c r="E177" s="10">
        <f t="shared" si="28"/>
        <v>8</v>
      </c>
      <c r="F177" s="33">
        <v>45434</v>
      </c>
    </row>
    <row r="178" spans="2:6" x14ac:dyDescent="0.15">
      <c r="B178" s="11" t="s">
        <v>21</v>
      </c>
      <c r="C178" s="13">
        <v>1</v>
      </c>
      <c r="D178" s="12">
        <v>3</v>
      </c>
      <c r="E178" s="10">
        <f t="shared" si="28"/>
        <v>4</v>
      </c>
      <c r="F178" s="33">
        <v>45436</v>
      </c>
    </row>
    <row r="179" spans="2:6" x14ac:dyDescent="0.15">
      <c r="B179" s="11" t="s">
        <v>22</v>
      </c>
      <c r="C179" s="13">
        <v>4</v>
      </c>
      <c r="D179" s="12">
        <v>2</v>
      </c>
      <c r="E179" s="10">
        <f t="shared" ref="E179:E190" si="29">SUM(C179:D179)</f>
        <v>6</v>
      </c>
      <c r="F179" s="33">
        <v>45436</v>
      </c>
    </row>
    <row r="180" spans="2:6" x14ac:dyDescent="0.15">
      <c r="B180" s="11" t="s">
        <v>12</v>
      </c>
      <c r="C180" s="13">
        <v>1</v>
      </c>
      <c r="D180" s="12"/>
      <c r="E180" s="10">
        <f t="shared" si="29"/>
        <v>1</v>
      </c>
      <c r="F180" s="33">
        <v>45442</v>
      </c>
    </row>
    <row r="181" spans="2:6" x14ac:dyDescent="0.15">
      <c r="B181" s="11"/>
      <c r="C181" s="13"/>
      <c r="D181" s="12"/>
      <c r="E181" s="10">
        <f t="shared" ref="E181:E186" si="30">SUM(C181:D181)</f>
        <v>0</v>
      </c>
    </row>
    <row r="182" spans="2:6" x14ac:dyDescent="0.15">
      <c r="B182" s="11"/>
      <c r="C182" s="13"/>
      <c r="D182" s="12"/>
      <c r="E182" s="10">
        <f t="shared" si="30"/>
        <v>0</v>
      </c>
    </row>
    <row r="183" spans="2:6" x14ac:dyDescent="0.15">
      <c r="B183" s="11"/>
      <c r="C183" s="13"/>
      <c r="D183" s="12"/>
      <c r="E183" s="10">
        <f t="shared" si="30"/>
        <v>0</v>
      </c>
    </row>
    <row r="184" spans="2:6" x14ac:dyDescent="0.15">
      <c r="B184" s="11"/>
      <c r="C184" s="13"/>
      <c r="D184" s="12"/>
      <c r="E184" s="10">
        <f t="shared" si="30"/>
        <v>0</v>
      </c>
    </row>
    <row r="185" spans="2:6" x14ac:dyDescent="0.15">
      <c r="B185" s="11"/>
      <c r="C185" s="13"/>
      <c r="D185" s="12"/>
      <c r="E185" s="10">
        <f t="shared" si="30"/>
        <v>0</v>
      </c>
    </row>
    <row r="186" spans="2:6" x14ac:dyDescent="0.15">
      <c r="B186" s="11"/>
      <c r="C186" s="13"/>
      <c r="D186" s="12"/>
      <c r="E186" s="10">
        <f t="shared" si="30"/>
        <v>0</v>
      </c>
    </row>
    <row r="187" spans="2:6" x14ac:dyDescent="0.15">
      <c r="B187" s="11"/>
      <c r="C187" s="13"/>
      <c r="D187" s="12"/>
      <c r="E187" s="10">
        <f t="shared" si="29"/>
        <v>0</v>
      </c>
    </row>
    <row r="188" spans="2:6" x14ac:dyDescent="0.15">
      <c r="B188" s="11"/>
      <c r="C188" s="13"/>
      <c r="D188" s="12"/>
      <c r="E188" s="10">
        <f t="shared" si="29"/>
        <v>0</v>
      </c>
    </row>
    <row r="189" spans="2:6" x14ac:dyDescent="0.15">
      <c r="B189" s="11"/>
      <c r="C189" s="13"/>
      <c r="D189" s="12"/>
      <c r="E189" s="10">
        <f t="shared" si="29"/>
        <v>0</v>
      </c>
    </row>
    <row r="190" spans="2:6" x14ac:dyDescent="0.15">
      <c r="B190" s="11"/>
      <c r="C190" s="13"/>
      <c r="D190" s="12"/>
      <c r="E190" s="10">
        <f t="shared" si="29"/>
        <v>0</v>
      </c>
    </row>
    <row r="191" spans="2:6" x14ac:dyDescent="0.15">
      <c r="B191" s="11"/>
      <c r="C191" s="13"/>
      <c r="D191" s="12"/>
      <c r="E191" s="10">
        <f t="shared" ref="E191:E192" si="31">SUM(C191:D191)</f>
        <v>0</v>
      </c>
    </row>
    <row r="192" spans="2:6" ht="14.25" thickBot="1" x14ac:dyDescent="0.2">
      <c r="B192" s="11" t="s">
        <v>69</v>
      </c>
      <c r="C192" s="13"/>
      <c r="D192" s="12"/>
      <c r="E192" s="10">
        <f t="shared" si="31"/>
        <v>0</v>
      </c>
      <c r="F192" s="32" t="s">
        <v>68</v>
      </c>
    </row>
    <row r="193" spans="2:6" ht="14.25" thickBot="1" x14ac:dyDescent="0.2">
      <c r="B193" s="9" t="s">
        <v>1</v>
      </c>
      <c r="C193" s="8">
        <f>SUM(C168:C192)</f>
        <v>36</v>
      </c>
      <c r="D193" s="7">
        <f>SUM(D168:D192)</f>
        <v>26</v>
      </c>
      <c r="E193" s="6">
        <f>SUM(E168:E192)</f>
        <v>62</v>
      </c>
    </row>
    <row r="194" spans="2:6" ht="14.25" thickBot="1" x14ac:dyDescent="0.2">
      <c r="B194" s="5" t="s">
        <v>0</v>
      </c>
      <c r="C194" s="4">
        <f>+C167-C193</f>
        <v>44</v>
      </c>
      <c r="D194" s="3">
        <f>+D167-D193</f>
        <v>49</v>
      </c>
      <c r="E194" s="2">
        <f>+E167-E193</f>
        <v>93</v>
      </c>
    </row>
    <row r="196" spans="2:6" ht="18.75" x14ac:dyDescent="0.2">
      <c r="B196" s="26" t="s">
        <v>6</v>
      </c>
      <c r="C196" s="24"/>
      <c r="D196" s="24"/>
      <c r="E196" s="24"/>
    </row>
    <row r="197" spans="2:6" ht="17.25" x14ac:dyDescent="0.2">
      <c r="B197" s="25" t="s">
        <v>5</v>
      </c>
      <c r="C197" s="24"/>
      <c r="D197" s="24"/>
      <c r="E197" s="24"/>
    </row>
    <row r="198" spans="2:6" ht="14.25" thickBot="1" x14ac:dyDescent="0.2"/>
    <row r="199" spans="2:6" ht="14.25" thickBot="1" x14ac:dyDescent="0.2">
      <c r="B199" s="23"/>
      <c r="C199" s="35" t="s">
        <v>9</v>
      </c>
      <c r="D199" s="36" t="s">
        <v>8</v>
      </c>
      <c r="E199" s="22" t="s">
        <v>4</v>
      </c>
    </row>
    <row r="200" spans="2:6" x14ac:dyDescent="0.15">
      <c r="B200" s="30" t="s">
        <v>0</v>
      </c>
      <c r="C200" s="29">
        <f>C194</f>
        <v>44</v>
      </c>
      <c r="D200" s="28">
        <f>D194</f>
        <v>49</v>
      </c>
      <c r="E200" s="27">
        <f>E194</f>
        <v>93</v>
      </c>
    </row>
    <row r="201" spans="2:6" x14ac:dyDescent="0.15">
      <c r="B201" s="20" t="s">
        <v>3</v>
      </c>
      <c r="C201" s="13"/>
      <c r="D201" s="12"/>
      <c r="E201" s="19">
        <f t="shared" ref="E201:E205" si="32">SUM(C201:D201)</f>
        <v>0</v>
      </c>
    </row>
    <row r="202" spans="2:6" x14ac:dyDescent="0.15">
      <c r="B202" s="20" t="s">
        <v>3</v>
      </c>
      <c r="C202" s="13"/>
      <c r="D202" s="12"/>
      <c r="E202" s="19">
        <f t="shared" si="32"/>
        <v>0</v>
      </c>
      <c r="F202" s="33"/>
    </row>
    <row r="203" spans="2:6" x14ac:dyDescent="0.15">
      <c r="B203" s="20" t="s">
        <v>3</v>
      </c>
      <c r="C203" s="13"/>
      <c r="D203" s="12"/>
      <c r="E203" s="19">
        <f t="shared" ref="E203" si="33">SUM(C203:D203)</f>
        <v>0</v>
      </c>
    </row>
    <row r="204" spans="2:6" x14ac:dyDescent="0.15">
      <c r="B204" s="20" t="s">
        <v>3</v>
      </c>
      <c r="C204" s="13"/>
      <c r="D204" s="12"/>
      <c r="E204" s="19">
        <f t="shared" si="32"/>
        <v>0</v>
      </c>
    </row>
    <row r="205" spans="2:6" ht="14.25" thickBot="1" x14ac:dyDescent="0.2">
      <c r="B205" s="20" t="s">
        <v>3</v>
      </c>
      <c r="C205" s="13"/>
      <c r="D205" s="12"/>
      <c r="E205" s="19">
        <f t="shared" si="32"/>
        <v>0</v>
      </c>
    </row>
    <row r="206" spans="2:6" ht="14.25" thickBot="1" x14ac:dyDescent="0.2">
      <c r="B206" s="9" t="s">
        <v>2</v>
      </c>
      <c r="C206" s="8">
        <f>SUM(C200:C205)</f>
        <v>44</v>
      </c>
      <c r="D206" s="7">
        <f>SUM(D200:D205)</f>
        <v>49</v>
      </c>
      <c r="E206" s="6">
        <f>SUM(E200:E205)</f>
        <v>93</v>
      </c>
    </row>
    <row r="207" spans="2:6" x14ac:dyDescent="0.15">
      <c r="B207" s="11" t="s">
        <v>12</v>
      </c>
      <c r="C207" s="13"/>
      <c r="D207" s="12">
        <v>1</v>
      </c>
      <c r="E207" s="10">
        <f t="shared" ref="E207:E212" si="34">SUM(C207:D207)</f>
        <v>1</v>
      </c>
      <c r="F207" s="33">
        <v>45444</v>
      </c>
    </row>
    <row r="208" spans="2:6" x14ac:dyDescent="0.15">
      <c r="B208" s="11" t="s">
        <v>23</v>
      </c>
      <c r="C208" s="13">
        <v>5</v>
      </c>
      <c r="D208" s="12">
        <v>3</v>
      </c>
      <c r="E208" s="10">
        <f t="shared" si="34"/>
        <v>8</v>
      </c>
      <c r="F208" s="33">
        <v>45462</v>
      </c>
    </row>
    <row r="209" spans="2:6" x14ac:dyDescent="0.15">
      <c r="B209" s="11" t="s">
        <v>24</v>
      </c>
      <c r="C209" s="13">
        <v>2</v>
      </c>
      <c r="D209" s="12">
        <v>1</v>
      </c>
      <c r="E209" s="10">
        <f t="shared" si="34"/>
        <v>3</v>
      </c>
      <c r="F209" s="33">
        <v>45463</v>
      </c>
    </row>
    <row r="210" spans="2:6" x14ac:dyDescent="0.15">
      <c r="B210" s="11" t="s">
        <v>27</v>
      </c>
      <c r="C210" s="13">
        <v>5</v>
      </c>
      <c r="D210" s="12">
        <v>6</v>
      </c>
      <c r="E210" s="10">
        <f t="shared" si="34"/>
        <v>11</v>
      </c>
      <c r="F210" s="33">
        <v>45464</v>
      </c>
    </row>
    <row r="211" spans="2:6" x14ac:dyDescent="0.15">
      <c r="B211" s="11" t="s">
        <v>28</v>
      </c>
      <c r="C211" s="13">
        <v>5</v>
      </c>
      <c r="D211" s="12">
        <v>1</v>
      </c>
      <c r="E211" s="10">
        <f t="shared" si="34"/>
        <v>6</v>
      </c>
      <c r="F211" s="33">
        <v>45464</v>
      </c>
    </row>
    <row r="212" spans="2:6" x14ac:dyDescent="0.15">
      <c r="B212" s="11" t="s">
        <v>29</v>
      </c>
      <c r="C212" s="13">
        <v>6</v>
      </c>
      <c r="D212" s="12">
        <v>3</v>
      </c>
      <c r="E212" s="10">
        <f t="shared" si="34"/>
        <v>9</v>
      </c>
      <c r="F212" s="33">
        <v>45467</v>
      </c>
    </row>
    <row r="213" spans="2:6" x14ac:dyDescent="0.15">
      <c r="B213" s="11" t="s">
        <v>31</v>
      </c>
      <c r="C213" s="13"/>
      <c r="D213" s="12">
        <v>2</v>
      </c>
      <c r="E213" s="10">
        <f t="shared" ref="E213:E230" si="35">SUM(C213:D213)</f>
        <v>2</v>
      </c>
      <c r="F213" s="33">
        <v>45474</v>
      </c>
    </row>
    <row r="214" spans="2:6" x14ac:dyDescent="0.15">
      <c r="B214" s="11" t="s">
        <v>32</v>
      </c>
      <c r="C214" s="13">
        <v>10</v>
      </c>
      <c r="D214" s="12">
        <v>12</v>
      </c>
      <c r="E214" s="10">
        <f t="shared" si="35"/>
        <v>22</v>
      </c>
      <c r="F214" s="33">
        <v>45476</v>
      </c>
    </row>
    <row r="215" spans="2:6" x14ac:dyDescent="0.15">
      <c r="B215" s="11"/>
      <c r="C215" s="13"/>
      <c r="D215" s="12"/>
      <c r="E215" s="10">
        <f t="shared" si="35"/>
        <v>0</v>
      </c>
    </row>
    <row r="216" spans="2:6" x14ac:dyDescent="0.15">
      <c r="B216" s="11"/>
      <c r="C216" s="13"/>
      <c r="D216" s="12"/>
      <c r="E216" s="10">
        <f t="shared" si="35"/>
        <v>0</v>
      </c>
    </row>
    <row r="217" spans="2:6" x14ac:dyDescent="0.15">
      <c r="B217" s="11"/>
      <c r="C217" s="13"/>
      <c r="D217" s="12"/>
      <c r="E217" s="10">
        <f t="shared" si="35"/>
        <v>0</v>
      </c>
    </row>
    <row r="218" spans="2:6" x14ac:dyDescent="0.15">
      <c r="B218" s="11"/>
      <c r="C218" s="13"/>
      <c r="D218" s="12"/>
      <c r="E218" s="10">
        <f t="shared" si="35"/>
        <v>0</v>
      </c>
    </row>
    <row r="219" spans="2:6" x14ac:dyDescent="0.15">
      <c r="B219" s="11"/>
      <c r="C219" s="13"/>
      <c r="D219" s="12"/>
      <c r="E219" s="10">
        <f t="shared" si="35"/>
        <v>0</v>
      </c>
    </row>
    <row r="220" spans="2:6" x14ac:dyDescent="0.15">
      <c r="B220" s="11"/>
      <c r="C220" s="13"/>
      <c r="D220" s="12"/>
      <c r="E220" s="10">
        <f t="shared" si="35"/>
        <v>0</v>
      </c>
    </row>
    <row r="221" spans="2:6" x14ac:dyDescent="0.15">
      <c r="B221" s="11"/>
      <c r="C221" s="13"/>
      <c r="D221" s="12"/>
      <c r="E221" s="10">
        <f t="shared" si="35"/>
        <v>0</v>
      </c>
    </row>
    <row r="222" spans="2:6" x14ac:dyDescent="0.15">
      <c r="B222" s="11"/>
      <c r="C222" s="13"/>
      <c r="D222" s="12"/>
      <c r="E222" s="10">
        <f t="shared" si="35"/>
        <v>0</v>
      </c>
    </row>
    <row r="223" spans="2:6" x14ac:dyDescent="0.15">
      <c r="B223" s="11"/>
      <c r="C223" s="13"/>
      <c r="D223" s="12"/>
      <c r="E223" s="10">
        <f t="shared" si="35"/>
        <v>0</v>
      </c>
    </row>
    <row r="224" spans="2:6" x14ac:dyDescent="0.15">
      <c r="B224" s="11"/>
      <c r="C224" s="13"/>
      <c r="D224" s="12"/>
      <c r="E224" s="10">
        <f t="shared" si="35"/>
        <v>0</v>
      </c>
    </row>
    <row r="225" spans="2:6" x14ac:dyDescent="0.15">
      <c r="B225" s="11"/>
      <c r="C225" s="13"/>
      <c r="D225" s="12"/>
      <c r="E225" s="10">
        <f t="shared" si="35"/>
        <v>0</v>
      </c>
    </row>
    <row r="226" spans="2:6" x14ac:dyDescent="0.15">
      <c r="B226" s="11"/>
      <c r="C226" s="13"/>
      <c r="D226" s="12"/>
      <c r="E226" s="10">
        <f t="shared" si="35"/>
        <v>0</v>
      </c>
    </row>
    <row r="227" spans="2:6" x14ac:dyDescent="0.15">
      <c r="B227" s="11"/>
      <c r="C227" s="13"/>
      <c r="D227" s="12"/>
      <c r="E227" s="10">
        <f t="shared" si="35"/>
        <v>0</v>
      </c>
    </row>
    <row r="228" spans="2:6" x14ac:dyDescent="0.15">
      <c r="B228" s="11"/>
      <c r="C228" s="13"/>
      <c r="D228" s="12"/>
      <c r="E228" s="10">
        <f t="shared" si="35"/>
        <v>0</v>
      </c>
    </row>
    <row r="229" spans="2:6" x14ac:dyDescent="0.15">
      <c r="B229" s="11"/>
      <c r="C229" s="13"/>
      <c r="D229" s="12"/>
      <c r="E229" s="10">
        <f t="shared" si="35"/>
        <v>0</v>
      </c>
    </row>
    <row r="230" spans="2:6" x14ac:dyDescent="0.15">
      <c r="B230" s="11" t="s">
        <v>70</v>
      </c>
      <c r="C230" s="13"/>
      <c r="D230" s="12"/>
      <c r="E230" s="10">
        <f t="shared" si="35"/>
        <v>0</v>
      </c>
      <c r="F230" s="32" t="s">
        <v>71</v>
      </c>
    </row>
    <row r="231" spans="2:6" ht="14.25" thickBot="1" x14ac:dyDescent="0.2">
      <c r="B231" s="11" t="s">
        <v>77</v>
      </c>
      <c r="C231" s="13"/>
      <c r="D231" s="12"/>
      <c r="E231" s="10">
        <f t="shared" ref="E231" si="36">SUM(C231:D231)</f>
        <v>0</v>
      </c>
      <c r="F231" s="32" t="s">
        <v>78</v>
      </c>
    </row>
    <row r="232" spans="2:6" ht="14.25" thickBot="1" x14ac:dyDescent="0.2">
      <c r="B232" s="9" t="s">
        <v>1</v>
      </c>
      <c r="C232" s="8">
        <f>SUM(C207:C231)</f>
        <v>33</v>
      </c>
      <c r="D232" s="7">
        <f>SUM(D207:D231)</f>
        <v>29</v>
      </c>
      <c r="E232" s="6">
        <f>SUM(E207:E231)</f>
        <v>62</v>
      </c>
    </row>
    <row r="233" spans="2:6" ht="14.25" thickBot="1" x14ac:dyDescent="0.2">
      <c r="B233" s="5" t="s">
        <v>0</v>
      </c>
      <c r="C233" s="4">
        <f>+C206-C232</f>
        <v>11</v>
      </c>
      <c r="D233" s="3">
        <f>+D206-D232</f>
        <v>20</v>
      </c>
      <c r="E233" s="2">
        <f>+E206-E232</f>
        <v>31</v>
      </c>
    </row>
    <row r="234" spans="2:6" x14ac:dyDescent="0.15">
      <c r="B234" s="1" t="s">
        <v>74</v>
      </c>
      <c r="C234">
        <v>125</v>
      </c>
      <c r="D234">
        <v>76</v>
      </c>
    </row>
    <row r="235" spans="2:6" ht="18.75" x14ac:dyDescent="0.2">
      <c r="B235" s="26" t="s">
        <v>6</v>
      </c>
      <c r="C235" s="24"/>
      <c r="D235" s="24"/>
      <c r="E235" s="24"/>
    </row>
    <row r="236" spans="2:6" ht="17.25" x14ac:dyDescent="0.2">
      <c r="B236" s="25" t="s">
        <v>5</v>
      </c>
      <c r="C236" s="24"/>
      <c r="D236" s="24"/>
      <c r="E236" s="24"/>
    </row>
    <row r="237" spans="2:6" ht="14.25" thickBot="1" x14ac:dyDescent="0.2"/>
    <row r="238" spans="2:6" ht="14.25" thickBot="1" x14ac:dyDescent="0.2">
      <c r="B238" s="23"/>
      <c r="C238" s="35" t="s">
        <v>9</v>
      </c>
      <c r="D238" s="36" t="s">
        <v>8</v>
      </c>
      <c r="E238" s="22" t="s">
        <v>4</v>
      </c>
    </row>
    <row r="239" spans="2:6" x14ac:dyDescent="0.15">
      <c r="B239" s="30" t="s">
        <v>0</v>
      </c>
      <c r="C239" s="29">
        <f>C233</f>
        <v>11</v>
      </c>
      <c r="D239" s="28">
        <f>D233</f>
        <v>20</v>
      </c>
      <c r="E239" s="27">
        <f>E233</f>
        <v>31</v>
      </c>
    </row>
    <row r="240" spans="2:6" x14ac:dyDescent="0.15">
      <c r="B240" s="20" t="s">
        <v>33</v>
      </c>
      <c r="C240" s="13">
        <v>2</v>
      </c>
      <c r="D240" s="12">
        <v>2</v>
      </c>
      <c r="E240" s="19">
        <f t="shared" ref="E240:E244" si="37">SUM(C240:D240)</f>
        <v>4</v>
      </c>
      <c r="F240" s="33">
        <v>45498</v>
      </c>
    </row>
    <row r="241" spans="2:6" x14ac:dyDescent="0.15">
      <c r="B241" s="20" t="s">
        <v>33</v>
      </c>
      <c r="C241" s="13">
        <v>3</v>
      </c>
      <c r="D241" s="12"/>
      <c r="E241" s="19">
        <f t="shared" si="37"/>
        <v>3</v>
      </c>
      <c r="F241" s="33">
        <v>45512</v>
      </c>
    </row>
    <row r="242" spans="2:6" x14ac:dyDescent="0.15">
      <c r="B242" s="20" t="s">
        <v>3</v>
      </c>
      <c r="C242" s="13">
        <v>80</v>
      </c>
      <c r="D242" s="12">
        <v>40</v>
      </c>
      <c r="E242" s="19">
        <f t="shared" si="37"/>
        <v>120</v>
      </c>
      <c r="F242" s="33" t="s">
        <v>79</v>
      </c>
    </row>
    <row r="243" spans="2:6" x14ac:dyDescent="0.15">
      <c r="B243" s="20" t="s">
        <v>3</v>
      </c>
      <c r="C243" s="13"/>
      <c r="D243" s="12"/>
      <c r="E243" s="19">
        <f t="shared" si="37"/>
        <v>0</v>
      </c>
    </row>
    <row r="244" spans="2:6" ht="14.25" thickBot="1" x14ac:dyDescent="0.2">
      <c r="B244" s="20" t="s">
        <v>3</v>
      </c>
      <c r="C244" s="13">
        <v>15</v>
      </c>
      <c r="D244" s="12">
        <v>10</v>
      </c>
      <c r="E244" s="19">
        <f t="shared" si="37"/>
        <v>25</v>
      </c>
      <c r="F244" s="33" t="s">
        <v>82</v>
      </c>
    </row>
    <row r="245" spans="2:6" ht="14.25" thickBot="1" x14ac:dyDescent="0.2">
      <c r="B245" s="9" t="s">
        <v>2</v>
      </c>
      <c r="C245" s="8">
        <f>SUM(C239:C244)</f>
        <v>111</v>
      </c>
      <c r="D245" s="7">
        <f>SUM(D239:D244)</f>
        <v>72</v>
      </c>
      <c r="E245" s="6">
        <f>SUM(E239:E244)</f>
        <v>183</v>
      </c>
    </row>
    <row r="246" spans="2:6" x14ac:dyDescent="0.15">
      <c r="B246" s="11" t="s">
        <v>34</v>
      </c>
      <c r="C246" s="13">
        <v>7</v>
      </c>
      <c r="D246" s="12">
        <v>2</v>
      </c>
      <c r="E246" s="10">
        <f t="shared" ref="E246:E268" si="38">SUM(C246:D246)</f>
        <v>9</v>
      </c>
      <c r="F246" s="33">
        <v>45477</v>
      </c>
    </row>
    <row r="247" spans="2:6" x14ac:dyDescent="0.15">
      <c r="B247" s="11" t="s">
        <v>35</v>
      </c>
      <c r="C247" s="13">
        <v>12</v>
      </c>
      <c r="D247" s="12">
        <v>3</v>
      </c>
      <c r="E247" s="10">
        <f t="shared" si="38"/>
        <v>15</v>
      </c>
      <c r="F247" s="33">
        <v>45478</v>
      </c>
    </row>
    <row r="248" spans="2:6" x14ac:dyDescent="0.15">
      <c r="B248" s="11" t="s">
        <v>39</v>
      </c>
      <c r="C248" s="13">
        <v>12</v>
      </c>
      <c r="D248" s="12">
        <v>2</v>
      </c>
      <c r="E248" s="10">
        <f t="shared" si="38"/>
        <v>14</v>
      </c>
      <c r="F248" s="33">
        <v>45481</v>
      </c>
    </row>
    <row r="249" spans="2:6" x14ac:dyDescent="0.15">
      <c r="B249" s="11" t="s">
        <v>43</v>
      </c>
      <c r="C249" s="13"/>
      <c r="D249" s="12">
        <v>4</v>
      </c>
      <c r="E249" s="10">
        <f t="shared" si="38"/>
        <v>4</v>
      </c>
      <c r="F249" s="33">
        <v>45483</v>
      </c>
    </row>
    <row r="250" spans="2:6" x14ac:dyDescent="0.15">
      <c r="B250" s="11" t="s">
        <v>44</v>
      </c>
      <c r="C250" s="13">
        <v>4</v>
      </c>
      <c r="D250" s="12">
        <v>2</v>
      </c>
      <c r="E250" s="10">
        <f t="shared" si="38"/>
        <v>6</v>
      </c>
      <c r="F250" s="33">
        <v>45484</v>
      </c>
    </row>
    <row r="251" spans="2:6" x14ac:dyDescent="0.15">
      <c r="B251" s="11" t="s">
        <v>45</v>
      </c>
      <c r="C251" s="13">
        <v>1</v>
      </c>
      <c r="D251" s="12"/>
      <c r="E251" s="10">
        <f t="shared" si="38"/>
        <v>1</v>
      </c>
      <c r="F251" s="33">
        <v>45485</v>
      </c>
    </row>
    <row r="252" spans="2:6" x14ac:dyDescent="0.15">
      <c r="B252" s="11" t="s">
        <v>47</v>
      </c>
      <c r="C252" s="13">
        <v>6</v>
      </c>
      <c r="D252" s="12">
        <v>2</v>
      </c>
      <c r="E252" s="10">
        <f t="shared" si="38"/>
        <v>8</v>
      </c>
      <c r="F252" s="33">
        <v>45485</v>
      </c>
    </row>
    <row r="253" spans="2:6" x14ac:dyDescent="0.15">
      <c r="B253" s="11" t="s">
        <v>48</v>
      </c>
      <c r="C253" s="13">
        <v>8</v>
      </c>
      <c r="D253" s="12">
        <v>2</v>
      </c>
      <c r="E253" s="10">
        <f t="shared" si="38"/>
        <v>10</v>
      </c>
      <c r="F253" s="33">
        <v>45491</v>
      </c>
    </row>
    <row r="254" spans="2:6" x14ac:dyDescent="0.15">
      <c r="B254" s="11" t="s">
        <v>49</v>
      </c>
      <c r="C254" s="13"/>
      <c r="D254" s="12">
        <v>3</v>
      </c>
      <c r="E254" s="10">
        <f t="shared" si="38"/>
        <v>3</v>
      </c>
      <c r="F254" s="33">
        <v>45492</v>
      </c>
    </row>
    <row r="255" spans="2:6" x14ac:dyDescent="0.15">
      <c r="B255" s="11" t="s">
        <v>50</v>
      </c>
      <c r="C255" s="13">
        <v>3</v>
      </c>
      <c r="D255" s="12">
        <v>9</v>
      </c>
      <c r="E255" s="10">
        <f t="shared" si="38"/>
        <v>12</v>
      </c>
      <c r="F255" s="33">
        <v>45495</v>
      </c>
    </row>
    <row r="256" spans="2:6" x14ac:dyDescent="0.15">
      <c r="B256" s="11" t="s">
        <v>51</v>
      </c>
      <c r="C256" s="13">
        <v>1</v>
      </c>
      <c r="D256" s="12">
        <v>4</v>
      </c>
      <c r="E256" s="10">
        <f t="shared" si="38"/>
        <v>5</v>
      </c>
      <c r="F256" s="33">
        <v>45497</v>
      </c>
    </row>
    <row r="257" spans="2:6" x14ac:dyDescent="0.15">
      <c r="B257" s="11" t="s">
        <v>53</v>
      </c>
      <c r="C257" s="13"/>
      <c r="D257" s="12">
        <v>1</v>
      </c>
      <c r="E257" s="10">
        <f t="shared" si="38"/>
        <v>1</v>
      </c>
      <c r="F257" s="33">
        <v>45498</v>
      </c>
    </row>
    <row r="258" spans="2:6" x14ac:dyDescent="0.15">
      <c r="B258" s="11" t="s">
        <v>54</v>
      </c>
      <c r="C258" s="13"/>
      <c r="D258" s="12">
        <v>2</v>
      </c>
      <c r="E258" s="10">
        <f t="shared" si="38"/>
        <v>2</v>
      </c>
      <c r="F258" s="33">
        <v>45499</v>
      </c>
    </row>
    <row r="259" spans="2:6" x14ac:dyDescent="0.15">
      <c r="B259" s="11" t="s">
        <v>55</v>
      </c>
      <c r="C259" s="13">
        <v>1</v>
      </c>
      <c r="D259" s="12"/>
      <c r="E259" s="10">
        <f t="shared" si="38"/>
        <v>1</v>
      </c>
      <c r="F259" s="33">
        <v>45499</v>
      </c>
    </row>
    <row r="260" spans="2:6" x14ac:dyDescent="0.15">
      <c r="B260" s="11" t="s">
        <v>56</v>
      </c>
      <c r="C260" s="13">
        <v>2</v>
      </c>
      <c r="D260" s="12"/>
      <c r="E260" s="10">
        <f t="shared" si="38"/>
        <v>2</v>
      </c>
      <c r="F260" s="33">
        <v>45502</v>
      </c>
    </row>
    <row r="261" spans="2:6" x14ac:dyDescent="0.15">
      <c r="B261" s="11" t="s">
        <v>58</v>
      </c>
      <c r="C261" s="13">
        <v>2</v>
      </c>
      <c r="D261" s="12"/>
      <c r="E261" s="10">
        <f t="shared" si="38"/>
        <v>2</v>
      </c>
      <c r="F261" s="33">
        <v>45504</v>
      </c>
    </row>
    <row r="262" spans="2:6" x14ac:dyDescent="0.15">
      <c r="B262" s="11" t="s">
        <v>59</v>
      </c>
      <c r="C262" s="13">
        <v>2</v>
      </c>
      <c r="D262" s="12"/>
      <c r="E262" s="10">
        <f t="shared" si="38"/>
        <v>2</v>
      </c>
      <c r="F262" s="33">
        <v>45505</v>
      </c>
    </row>
    <row r="263" spans="2:6" x14ac:dyDescent="0.15">
      <c r="B263" s="11" t="s">
        <v>60</v>
      </c>
      <c r="C263" s="13">
        <v>2</v>
      </c>
      <c r="D263" s="12"/>
      <c r="E263" s="10">
        <f t="shared" si="38"/>
        <v>2</v>
      </c>
      <c r="F263" s="33">
        <v>45506</v>
      </c>
    </row>
    <row r="264" spans="2:6" x14ac:dyDescent="0.15">
      <c r="B264" s="11" t="s">
        <v>61</v>
      </c>
      <c r="C264" s="13">
        <v>3</v>
      </c>
      <c r="D264" s="12">
        <v>2</v>
      </c>
      <c r="E264" s="10">
        <f t="shared" si="38"/>
        <v>5</v>
      </c>
      <c r="F264" s="33">
        <v>45506</v>
      </c>
    </row>
    <row r="265" spans="2:6" x14ac:dyDescent="0.15">
      <c r="B265" s="11" t="s">
        <v>62</v>
      </c>
      <c r="C265" s="13">
        <v>1</v>
      </c>
      <c r="D265" s="12"/>
      <c r="E265" s="10">
        <f t="shared" si="38"/>
        <v>1</v>
      </c>
      <c r="F265" s="33">
        <v>45511</v>
      </c>
    </row>
    <row r="266" spans="2:6" x14ac:dyDescent="0.15">
      <c r="B266" s="11" t="s">
        <v>63</v>
      </c>
      <c r="C266" s="13">
        <v>5</v>
      </c>
      <c r="D266" s="12"/>
      <c r="E266" s="10">
        <f t="shared" si="38"/>
        <v>5</v>
      </c>
      <c r="F266" s="33">
        <v>45512</v>
      </c>
    </row>
    <row r="267" spans="2:6" x14ac:dyDescent="0.15">
      <c r="B267" s="11" t="s">
        <v>64</v>
      </c>
      <c r="C267" s="13"/>
      <c r="D267" s="12">
        <v>1</v>
      </c>
      <c r="E267" s="10">
        <f t="shared" si="38"/>
        <v>1</v>
      </c>
      <c r="F267" s="33">
        <v>45513</v>
      </c>
    </row>
    <row r="268" spans="2:6" x14ac:dyDescent="0.15">
      <c r="B268" s="11" t="s">
        <v>65</v>
      </c>
      <c r="C268" s="13">
        <v>13</v>
      </c>
      <c r="D268" s="12">
        <v>1</v>
      </c>
      <c r="E268" s="10">
        <f t="shared" si="38"/>
        <v>14</v>
      </c>
      <c r="F268" s="33">
        <v>45525</v>
      </c>
    </row>
    <row r="269" spans="2:6" x14ac:dyDescent="0.15">
      <c r="B269" s="11"/>
      <c r="C269" s="13"/>
      <c r="D269" s="12"/>
      <c r="E269" s="10">
        <f t="shared" ref="E269" si="39">SUM(C269:D269)</f>
        <v>0</v>
      </c>
    </row>
    <row r="270" spans="2:6" ht="14.25" thickBot="1" x14ac:dyDescent="0.2">
      <c r="B270" s="11" t="s">
        <v>72</v>
      </c>
      <c r="C270" s="13"/>
      <c r="D270" s="12"/>
      <c r="E270" s="10">
        <f t="shared" ref="E270" si="40">SUM(C270:D270)</f>
        <v>0</v>
      </c>
      <c r="F270" s="32" t="s">
        <v>73</v>
      </c>
    </row>
    <row r="271" spans="2:6" ht="14.25" thickBot="1" x14ac:dyDescent="0.2">
      <c r="B271" s="9" t="s">
        <v>1</v>
      </c>
      <c r="C271" s="8">
        <f>SUM(C246:C270)</f>
        <v>85</v>
      </c>
      <c r="D271" s="7">
        <f>SUM(D246:D270)</f>
        <v>40</v>
      </c>
      <c r="E271" s="6">
        <f>SUM(E246:E270)</f>
        <v>125</v>
      </c>
    </row>
    <row r="272" spans="2:6" ht="14.25" thickBot="1" x14ac:dyDescent="0.2">
      <c r="B272" s="5" t="s">
        <v>0</v>
      </c>
      <c r="C272" s="4">
        <f>+C245-C271</f>
        <v>26</v>
      </c>
      <c r="D272" s="3">
        <f>+D245-D271</f>
        <v>32</v>
      </c>
      <c r="E272" s="2">
        <f>+E245-E271</f>
        <v>58</v>
      </c>
    </row>
    <row r="274" spans="2:6" ht="18.75" x14ac:dyDescent="0.2">
      <c r="B274" s="26" t="s">
        <v>6</v>
      </c>
      <c r="C274" s="24"/>
      <c r="D274" s="24"/>
      <c r="E274" s="24"/>
    </row>
    <row r="275" spans="2:6" ht="17.25" x14ac:dyDescent="0.2">
      <c r="B275" s="25" t="s">
        <v>5</v>
      </c>
      <c r="C275" s="24"/>
      <c r="D275" s="24"/>
      <c r="E275" s="24"/>
    </row>
    <row r="276" spans="2:6" ht="14.25" thickBot="1" x14ac:dyDescent="0.2"/>
    <row r="277" spans="2:6" ht="14.25" thickBot="1" x14ac:dyDescent="0.2">
      <c r="B277" s="23"/>
      <c r="C277" s="35" t="s">
        <v>9</v>
      </c>
      <c r="D277" s="36" t="s">
        <v>8</v>
      </c>
      <c r="E277" s="22" t="s">
        <v>4</v>
      </c>
    </row>
    <row r="278" spans="2:6" x14ac:dyDescent="0.15">
      <c r="B278" s="30" t="s">
        <v>0</v>
      </c>
      <c r="C278" s="29">
        <f>C272</f>
        <v>26</v>
      </c>
      <c r="D278" s="28">
        <f>D272</f>
        <v>32</v>
      </c>
      <c r="E278" s="27">
        <f>E272</f>
        <v>58</v>
      </c>
    </row>
    <row r="279" spans="2:6" x14ac:dyDescent="0.15">
      <c r="B279" s="20" t="s">
        <v>57</v>
      </c>
      <c r="C279" s="13">
        <v>0</v>
      </c>
      <c r="D279" s="12">
        <v>0</v>
      </c>
      <c r="E279" s="19">
        <f t="shared" ref="E279" si="41">SUM(C279:D279)</f>
        <v>0</v>
      </c>
      <c r="F279" s="33">
        <v>45530</v>
      </c>
    </row>
    <row r="280" spans="2:6" x14ac:dyDescent="0.15">
      <c r="B280" s="20" t="s">
        <v>33</v>
      </c>
      <c r="C280" s="13">
        <v>3</v>
      </c>
      <c r="D280" s="12">
        <v>1</v>
      </c>
      <c r="E280" s="19">
        <f t="shared" ref="E280" si="42">SUM(C280:D280)</f>
        <v>4</v>
      </c>
      <c r="F280" s="33">
        <v>45533</v>
      </c>
    </row>
    <row r="281" spans="2:6" x14ac:dyDescent="0.15">
      <c r="B281" s="20" t="s">
        <v>33</v>
      </c>
      <c r="C281" s="13">
        <v>1</v>
      </c>
      <c r="D281" s="12"/>
      <c r="E281" s="19">
        <f t="shared" ref="E281:E283" si="43">SUM(C281:D281)</f>
        <v>1</v>
      </c>
      <c r="F281" s="33">
        <v>45546</v>
      </c>
    </row>
    <row r="282" spans="2:6" x14ac:dyDescent="0.15">
      <c r="B282" s="20" t="s">
        <v>33</v>
      </c>
      <c r="C282" s="13">
        <v>1</v>
      </c>
      <c r="D282" s="12">
        <v>1</v>
      </c>
      <c r="E282" s="19">
        <f t="shared" si="43"/>
        <v>2</v>
      </c>
      <c r="F282" s="33">
        <v>45547</v>
      </c>
    </row>
    <row r="283" spans="2:6" ht="14.25" thickBot="1" x14ac:dyDescent="0.2">
      <c r="B283" s="20" t="s">
        <v>33</v>
      </c>
      <c r="C283" s="13">
        <v>1</v>
      </c>
      <c r="D283" s="12"/>
      <c r="E283" s="19">
        <f t="shared" si="43"/>
        <v>1</v>
      </c>
      <c r="F283" s="33">
        <v>45573</v>
      </c>
    </row>
    <row r="284" spans="2:6" ht="14.25" thickBot="1" x14ac:dyDescent="0.2">
      <c r="B284" s="9" t="s">
        <v>2</v>
      </c>
      <c r="C284" s="8">
        <f>SUM(C278:C283)</f>
        <v>32</v>
      </c>
      <c r="D284" s="7">
        <f>SUM(D278:D283)</f>
        <v>34</v>
      </c>
      <c r="E284" s="6">
        <f>SUM(E278:E283)</f>
        <v>66</v>
      </c>
    </row>
    <row r="285" spans="2:6" x14ac:dyDescent="0.15">
      <c r="B285" s="11" t="s">
        <v>67</v>
      </c>
      <c r="C285" s="13"/>
      <c r="D285" s="12">
        <v>2</v>
      </c>
      <c r="E285" s="10">
        <f t="shared" ref="E285:E306" si="44">SUM(C285:D285)</f>
        <v>2</v>
      </c>
      <c r="F285" s="33">
        <v>45526</v>
      </c>
    </row>
    <row r="286" spans="2:6" x14ac:dyDescent="0.15">
      <c r="B286" s="11" t="s">
        <v>83</v>
      </c>
      <c r="C286" s="13">
        <v>3</v>
      </c>
      <c r="D286" s="12"/>
      <c r="E286" s="10">
        <f t="shared" si="44"/>
        <v>3</v>
      </c>
      <c r="F286" s="33">
        <v>45527</v>
      </c>
    </row>
    <row r="287" spans="2:6" x14ac:dyDescent="0.15">
      <c r="B287" s="11" t="s">
        <v>84</v>
      </c>
      <c r="C287" s="13">
        <v>1</v>
      </c>
      <c r="D287" s="12"/>
      <c r="E287" s="10">
        <f t="shared" si="44"/>
        <v>1</v>
      </c>
      <c r="F287" s="33">
        <v>45527</v>
      </c>
    </row>
    <row r="288" spans="2:6" x14ac:dyDescent="0.15">
      <c r="B288" s="11" t="s">
        <v>85</v>
      </c>
      <c r="C288" s="13"/>
      <c r="D288" s="12">
        <v>2</v>
      </c>
      <c r="E288" s="10">
        <f t="shared" si="44"/>
        <v>2</v>
      </c>
      <c r="F288" s="33">
        <v>45532</v>
      </c>
    </row>
    <row r="289" spans="2:6" x14ac:dyDescent="0.15">
      <c r="B289" s="11" t="s">
        <v>86</v>
      </c>
      <c r="C289" s="13"/>
      <c r="D289" s="12">
        <v>1</v>
      </c>
      <c r="E289" s="10">
        <f t="shared" si="44"/>
        <v>1</v>
      </c>
      <c r="F289" s="33">
        <v>45541</v>
      </c>
    </row>
    <row r="290" spans="2:6" x14ac:dyDescent="0.15">
      <c r="B290" s="11" t="s">
        <v>87</v>
      </c>
      <c r="C290" s="13"/>
      <c r="D290" s="12">
        <v>1</v>
      </c>
      <c r="E290" s="10">
        <f t="shared" si="44"/>
        <v>1</v>
      </c>
      <c r="F290" s="33">
        <v>45548</v>
      </c>
    </row>
    <row r="291" spans="2:6" x14ac:dyDescent="0.15">
      <c r="B291" s="11" t="s">
        <v>88</v>
      </c>
      <c r="C291" s="13">
        <v>1</v>
      </c>
      <c r="D291" s="12">
        <v>1</v>
      </c>
      <c r="E291" s="10">
        <f t="shared" si="44"/>
        <v>2</v>
      </c>
      <c r="F291" s="33">
        <v>45576</v>
      </c>
    </row>
    <row r="292" spans="2:6" x14ac:dyDescent="0.15">
      <c r="B292" s="11"/>
      <c r="C292" s="13"/>
      <c r="D292" s="12"/>
      <c r="E292" s="10">
        <f t="shared" si="44"/>
        <v>0</v>
      </c>
    </row>
    <row r="293" spans="2:6" x14ac:dyDescent="0.15">
      <c r="B293" s="11"/>
      <c r="C293" s="13"/>
      <c r="D293" s="12"/>
      <c r="E293" s="10">
        <f t="shared" si="44"/>
        <v>0</v>
      </c>
    </row>
    <row r="294" spans="2:6" x14ac:dyDescent="0.15">
      <c r="B294" s="11"/>
      <c r="C294" s="13"/>
      <c r="D294" s="12"/>
      <c r="E294" s="10">
        <f t="shared" si="44"/>
        <v>0</v>
      </c>
    </row>
    <row r="295" spans="2:6" x14ac:dyDescent="0.15">
      <c r="B295" s="11"/>
      <c r="C295" s="13"/>
      <c r="D295" s="12"/>
      <c r="E295" s="10">
        <f t="shared" si="44"/>
        <v>0</v>
      </c>
    </row>
    <row r="296" spans="2:6" x14ac:dyDescent="0.15">
      <c r="B296" s="11"/>
      <c r="C296" s="13"/>
      <c r="D296" s="12"/>
      <c r="E296" s="10">
        <f t="shared" si="44"/>
        <v>0</v>
      </c>
    </row>
    <row r="297" spans="2:6" x14ac:dyDescent="0.15">
      <c r="B297" s="11"/>
      <c r="C297" s="13"/>
      <c r="D297" s="12"/>
      <c r="E297" s="10">
        <f t="shared" si="44"/>
        <v>0</v>
      </c>
    </row>
    <row r="298" spans="2:6" x14ac:dyDescent="0.15">
      <c r="B298" s="11"/>
      <c r="C298" s="13"/>
      <c r="D298" s="12"/>
      <c r="E298" s="10">
        <f t="shared" si="44"/>
        <v>0</v>
      </c>
    </row>
    <row r="299" spans="2:6" x14ac:dyDescent="0.15">
      <c r="B299" s="11"/>
      <c r="C299" s="13"/>
      <c r="D299" s="12"/>
      <c r="E299" s="10">
        <f t="shared" si="44"/>
        <v>0</v>
      </c>
    </row>
    <row r="300" spans="2:6" x14ac:dyDescent="0.15">
      <c r="B300" s="11"/>
      <c r="C300" s="13"/>
      <c r="D300" s="12"/>
      <c r="E300" s="10">
        <f t="shared" si="44"/>
        <v>0</v>
      </c>
    </row>
    <row r="301" spans="2:6" x14ac:dyDescent="0.15">
      <c r="B301" s="11"/>
      <c r="C301" s="13"/>
      <c r="D301" s="12"/>
      <c r="E301" s="10">
        <f t="shared" si="44"/>
        <v>0</v>
      </c>
    </row>
    <row r="302" spans="2:6" x14ac:dyDescent="0.15">
      <c r="B302" s="11"/>
      <c r="C302" s="13"/>
      <c r="D302" s="12"/>
      <c r="E302" s="10">
        <f t="shared" si="44"/>
        <v>0</v>
      </c>
    </row>
    <row r="303" spans="2:6" x14ac:dyDescent="0.15">
      <c r="B303" s="11"/>
      <c r="C303" s="13"/>
      <c r="D303" s="12"/>
      <c r="E303" s="10">
        <f t="shared" si="44"/>
        <v>0</v>
      </c>
    </row>
    <row r="304" spans="2:6" x14ac:dyDescent="0.15">
      <c r="B304" s="11"/>
      <c r="C304" s="13"/>
      <c r="D304" s="12"/>
      <c r="E304" s="10">
        <f t="shared" si="44"/>
        <v>0</v>
      </c>
    </row>
    <row r="305" spans="2:12" x14ac:dyDescent="0.15">
      <c r="B305" s="11"/>
      <c r="C305" s="13"/>
      <c r="D305" s="12"/>
      <c r="E305" s="10">
        <f t="shared" si="44"/>
        <v>0</v>
      </c>
    </row>
    <row r="306" spans="2:12" x14ac:dyDescent="0.15">
      <c r="B306" s="11"/>
      <c r="C306" s="13"/>
      <c r="D306" s="12"/>
      <c r="E306" s="10">
        <f t="shared" si="44"/>
        <v>0</v>
      </c>
    </row>
    <row r="307" spans="2:12" x14ac:dyDescent="0.15">
      <c r="B307" s="11"/>
      <c r="C307" s="13"/>
      <c r="D307" s="12"/>
      <c r="E307" s="10">
        <f t="shared" ref="E307:E309" si="45">SUM(C307:D307)</f>
        <v>0</v>
      </c>
    </row>
    <row r="308" spans="2:12" x14ac:dyDescent="0.15">
      <c r="B308" s="11"/>
      <c r="C308" s="13"/>
      <c r="D308" s="12"/>
      <c r="E308" s="10">
        <f t="shared" ref="E308" si="46">SUM(C308:D308)</f>
        <v>0</v>
      </c>
    </row>
    <row r="309" spans="2:12" ht="14.25" thickBot="1" x14ac:dyDescent="0.2">
      <c r="B309" s="11" t="s">
        <v>81</v>
      </c>
      <c r="C309" s="13"/>
      <c r="D309" s="12"/>
      <c r="E309" s="10">
        <f t="shared" si="45"/>
        <v>0</v>
      </c>
      <c r="F309" s="32" t="s">
        <v>80</v>
      </c>
    </row>
    <row r="310" spans="2:12" ht="14.25" thickBot="1" x14ac:dyDescent="0.2">
      <c r="B310" s="9" t="s">
        <v>1</v>
      </c>
      <c r="C310" s="8">
        <f>SUM(C285:C309)</f>
        <v>5</v>
      </c>
      <c r="D310" s="7">
        <f>SUM(D285:D309)</f>
        <v>7</v>
      </c>
      <c r="E310" s="6">
        <f>SUM(E285:E309)</f>
        <v>12</v>
      </c>
    </row>
    <row r="311" spans="2:12" ht="14.25" thickBot="1" x14ac:dyDescent="0.2">
      <c r="B311" s="5" t="s">
        <v>0</v>
      </c>
      <c r="C311" s="4">
        <f>+C284-C310</f>
        <v>27</v>
      </c>
      <c r="D311" s="3">
        <f>+D284-D310</f>
        <v>27</v>
      </c>
      <c r="E311" s="2">
        <f>+E284-E310</f>
        <v>54</v>
      </c>
    </row>
    <row r="312" spans="2:12" x14ac:dyDescent="0.15">
      <c r="C312">
        <f>C310+C271+C232+C193</f>
        <v>159</v>
      </c>
      <c r="D312">
        <f>D310+D271+D232+D193</f>
        <v>102</v>
      </c>
      <c r="E312">
        <f>SUM(C312:D312)</f>
        <v>261</v>
      </c>
    </row>
    <row r="313" spans="2:12" ht="24" customHeight="1" x14ac:dyDescent="0.25">
      <c r="B313" s="26" t="s">
        <v>6</v>
      </c>
      <c r="C313" s="47" t="s">
        <v>89</v>
      </c>
      <c r="D313" s="47"/>
      <c r="E313" s="47"/>
      <c r="H313" s="37" t="s">
        <v>99</v>
      </c>
      <c r="I313" s="38"/>
      <c r="J313" s="38"/>
      <c r="K313" s="38"/>
      <c r="L313" s="32"/>
    </row>
    <row r="314" spans="2:12" ht="17.25" x14ac:dyDescent="0.2">
      <c r="B314" s="25" t="s">
        <v>5</v>
      </c>
      <c r="C314" s="24"/>
      <c r="D314" s="24"/>
      <c r="E314" s="24"/>
      <c r="H314" s="39" t="s">
        <v>5</v>
      </c>
      <c r="I314" s="40"/>
      <c r="J314" s="40"/>
      <c r="K314" s="40"/>
      <c r="L314" s="32"/>
    </row>
    <row r="315" spans="2:12" ht="14.25" thickBot="1" x14ac:dyDescent="0.2">
      <c r="H315" s="1"/>
      <c r="L315" s="32"/>
    </row>
    <row r="316" spans="2:12" ht="14.25" thickBot="1" x14ac:dyDescent="0.2">
      <c r="B316" s="23"/>
      <c r="C316" s="35" t="s">
        <v>9</v>
      </c>
      <c r="D316" s="36" t="s">
        <v>8</v>
      </c>
      <c r="E316" s="22" t="s">
        <v>4</v>
      </c>
      <c r="H316" s="23"/>
      <c r="I316" s="35" t="s">
        <v>9</v>
      </c>
      <c r="J316" s="36" t="s">
        <v>8</v>
      </c>
      <c r="K316" s="22" t="s">
        <v>4</v>
      </c>
      <c r="L316" s="32"/>
    </row>
    <row r="317" spans="2:12" x14ac:dyDescent="0.15">
      <c r="B317" s="30" t="s">
        <v>0</v>
      </c>
      <c r="C317" s="29">
        <f>C311</f>
        <v>27</v>
      </c>
      <c r="D317" s="28">
        <f>D311</f>
        <v>27</v>
      </c>
      <c r="E317" s="27">
        <f>E311</f>
        <v>54</v>
      </c>
      <c r="H317" s="30" t="s">
        <v>0</v>
      </c>
      <c r="I317" s="29">
        <f>I311</f>
        <v>0</v>
      </c>
      <c r="J317" s="28">
        <f>J311</f>
        <v>0</v>
      </c>
      <c r="K317" s="27">
        <f>K311</f>
        <v>0</v>
      </c>
      <c r="L317" s="32"/>
    </row>
    <row r="318" spans="2:12" x14ac:dyDescent="0.15">
      <c r="B318" s="20" t="s">
        <v>3</v>
      </c>
      <c r="C318" s="13"/>
      <c r="D318" s="12"/>
      <c r="E318" s="19">
        <f t="shared" ref="E318:E322" si="47">SUM(C318:D318)</f>
        <v>0</v>
      </c>
      <c r="H318" s="20" t="s">
        <v>3</v>
      </c>
      <c r="I318" s="13">
        <v>50</v>
      </c>
      <c r="J318" s="12">
        <v>40</v>
      </c>
      <c r="K318" s="19">
        <f t="shared" ref="K318:K319" si="48">SUM(I318:J318)</f>
        <v>90</v>
      </c>
      <c r="L318" s="33">
        <v>45808</v>
      </c>
    </row>
    <row r="319" spans="2:12" x14ac:dyDescent="0.15">
      <c r="B319" s="20" t="s">
        <v>3</v>
      </c>
      <c r="C319" s="13">
        <v>50</v>
      </c>
      <c r="D319" s="12">
        <v>40</v>
      </c>
      <c r="E319" s="19">
        <f t="shared" si="47"/>
        <v>90</v>
      </c>
      <c r="F319" s="33" t="s">
        <v>95</v>
      </c>
      <c r="H319" s="20" t="s">
        <v>3</v>
      </c>
      <c r="I319" s="13">
        <v>100</v>
      </c>
      <c r="J319" s="12">
        <v>40</v>
      </c>
      <c r="K319" s="19">
        <f t="shared" si="48"/>
        <v>140</v>
      </c>
      <c r="L319" s="33">
        <v>45839</v>
      </c>
    </row>
    <row r="320" spans="2:12" x14ac:dyDescent="0.15">
      <c r="B320" s="20" t="s">
        <v>3</v>
      </c>
      <c r="C320" s="13">
        <v>20</v>
      </c>
      <c r="D320" s="12"/>
      <c r="E320" s="19">
        <f t="shared" ref="E320" si="49">SUM(C320:D320)</f>
        <v>20</v>
      </c>
      <c r="F320" s="33">
        <v>45824</v>
      </c>
      <c r="H320" s="20" t="s">
        <v>3</v>
      </c>
      <c r="I320" s="13"/>
      <c r="J320" s="12"/>
      <c r="K320" s="19">
        <f t="shared" ref="K320:K322" si="50">SUM(I320:J320)</f>
        <v>0</v>
      </c>
      <c r="L320" s="32"/>
    </row>
    <row r="321" spans="2:12" x14ac:dyDescent="0.15">
      <c r="B321" s="20" t="s">
        <v>33</v>
      </c>
      <c r="C321" s="13"/>
      <c r="D321" s="12">
        <v>1</v>
      </c>
      <c r="E321" s="19">
        <f t="shared" si="47"/>
        <v>1</v>
      </c>
      <c r="F321" s="33">
        <v>45821</v>
      </c>
      <c r="H321" s="20" t="s">
        <v>3</v>
      </c>
      <c r="I321" s="13"/>
      <c r="J321" s="12"/>
      <c r="K321" s="19">
        <f t="shared" si="50"/>
        <v>0</v>
      </c>
      <c r="L321" s="32"/>
    </row>
    <row r="322" spans="2:12" ht="14.25" thickBot="1" x14ac:dyDescent="0.2">
      <c r="B322" s="20" t="s">
        <v>3</v>
      </c>
      <c r="C322" s="13">
        <v>20</v>
      </c>
      <c r="D322" s="12">
        <v>40</v>
      </c>
      <c r="E322" s="19">
        <f t="shared" si="47"/>
        <v>60</v>
      </c>
      <c r="F322" s="33">
        <v>45825</v>
      </c>
      <c r="H322" s="20" t="s">
        <v>3</v>
      </c>
      <c r="I322" s="13"/>
      <c r="J322" s="12"/>
      <c r="K322" s="19">
        <f t="shared" si="50"/>
        <v>0</v>
      </c>
      <c r="L322" s="32"/>
    </row>
    <row r="323" spans="2:12" ht="14.25" thickBot="1" x14ac:dyDescent="0.2">
      <c r="B323" s="9" t="s">
        <v>2</v>
      </c>
      <c r="C323" s="8">
        <f>SUM(C317:C322)</f>
        <v>117</v>
      </c>
      <c r="D323" s="7">
        <f>SUM(D317:D322)</f>
        <v>108</v>
      </c>
      <c r="E323" s="6">
        <f>SUM(E317:E322)</f>
        <v>225</v>
      </c>
      <c r="H323" s="9" t="s">
        <v>2</v>
      </c>
      <c r="I323" s="8">
        <f>SUM(I317:I322)</f>
        <v>150</v>
      </c>
      <c r="J323" s="7">
        <f>SUM(J317:J322)</f>
        <v>80</v>
      </c>
      <c r="K323" s="6">
        <f>SUM(K317:K322)</f>
        <v>230</v>
      </c>
      <c r="L323" s="32"/>
    </row>
    <row r="324" spans="2:12" x14ac:dyDescent="0.15">
      <c r="B324" s="11" t="s">
        <v>94</v>
      </c>
      <c r="C324" s="13">
        <v>1</v>
      </c>
      <c r="D324" s="12"/>
      <c r="E324" s="10">
        <f t="shared" ref="E324:E344" si="51">SUM(C324:D324)</f>
        <v>1</v>
      </c>
      <c r="F324" s="33">
        <v>45778</v>
      </c>
      <c r="H324" s="11" t="s">
        <v>100</v>
      </c>
      <c r="I324" s="13">
        <v>20</v>
      </c>
      <c r="J324" s="12"/>
      <c r="K324" s="10">
        <f t="shared" ref="K324:K330" si="52">SUM(I324:J324)</f>
        <v>20</v>
      </c>
      <c r="L324" s="33">
        <v>45824</v>
      </c>
    </row>
    <row r="325" spans="2:12" x14ac:dyDescent="0.15">
      <c r="B325" s="11" t="s">
        <v>97</v>
      </c>
      <c r="C325" s="13">
        <v>1</v>
      </c>
      <c r="D325" s="12">
        <v>1</v>
      </c>
      <c r="E325" s="10">
        <f t="shared" si="51"/>
        <v>2</v>
      </c>
      <c r="F325" s="33">
        <v>45800</v>
      </c>
      <c r="H325" s="11" t="s">
        <v>100</v>
      </c>
      <c r="I325" s="13">
        <v>10</v>
      </c>
      <c r="J325" s="12"/>
      <c r="K325" s="10">
        <f t="shared" si="52"/>
        <v>10</v>
      </c>
      <c r="L325" s="33">
        <v>45825</v>
      </c>
    </row>
    <row r="326" spans="2:12" x14ac:dyDescent="0.15">
      <c r="B326" s="11" t="s">
        <v>16</v>
      </c>
      <c r="C326" s="13"/>
      <c r="D326" s="12">
        <v>1</v>
      </c>
      <c r="E326" s="10">
        <f t="shared" si="51"/>
        <v>1</v>
      </c>
      <c r="F326" s="33">
        <v>45803</v>
      </c>
      <c r="H326" s="11" t="s">
        <v>100</v>
      </c>
      <c r="I326" s="13">
        <v>10</v>
      </c>
      <c r="J326" s="12"/>
      <c r="K326" s="10">
        <f t="shared" si="52"/>
        <v>10</v>
      </c>
      <c r="L326" s="33">
        <v>45827</v>
      </c>
    </row>
    <row r="327" spans="2:12" x14ac:dyDescent="0.15">
      <c r="B327" s="11" t="s">
        <v>17</v>
      </c>
      <c r="C327" s="13">
        <v>3</v>
      </c>
      <c r="D327" s="12">
        <v>2</v>
      </c>
      <c r="E327" s="10">
        <f t="shared" si="51"/>
        <v>5</v>
      </c>
      <c r="F327" s="33">
        <v>45805</v>
      </c>
      <c r="H327" s="11" t="s">
        <v>100</v>
      </c>
      <c r="I327" s="13">
        <v>10</v>
      </c>
      <c r="J327" s="12">
        <v>40</v>
      </c>
      <c r="K327" s="10">
        <f t="shared" si="52"/>
        <v>50</v>
      </c>
      <c r="L327" s="33">
        <v>45829</v>
      </c>
    </row>
    <row r="328" spans="2:12" x14ac:dyDescent="0.15">
      <c r="B328" s="11" t="s">
        <v>18</v>
      </c>
      <c r="C328" s="13"/>
      <c r="D328" s="12">
        <v>1</v>
      </c>
      <c r="E328" s="10">
        <f t="shared" si="51"/>
        <v>1</v>
      </c>
      <c r="F328" s="33">
        <v>45807</v>
      </c>
      <c r="H328" s="11" t="s">
        <v>100</v>
      </c>
      <c r="I328" s="13">
        <v>100</v>
      </c>
      <c r="J328" s="12">
        <v>40</v>
      </c>
      <c r="K328" s="10">
        <f t="shared" si="52"/>
        <v>140</v>
      </c>
      <c r="L328" s="33">
        <v>45843</v>
      </c>
    </row>
    <row r="329" spans="2:12" x14ac:dyDescent="0.15">
      <c r="B329" s="11" t="s">
        <v>19</v>
      </c>
      <c r="C329" s="13">
        <v>1</v>
      </c>
      <c r="D329" s="12"/>
      <c r="E329" s="10">
        <f t="shared" si="51"/>
        <v>1</v>
      </c>
      <c r="F329" s="33">
        <v>45807</v>
      </c>
      <c r="H329" s="11"/>
      <c r="I329" s="13"/>
      <c r="J329" s="12"/>
      <c r="K329" s="10">
        <f t="shared" si="52"/>
        <v>0</v>
      </c>
      <c r="L329" s="32"/>
    </row>
    <row r="330" spans="2:12" x14ac:dyDescent="0.15">
      <c r="B330" s="11" t="s">
        <v>98</v>
      </c>
      <c r="C330" s="13">
        <v>50</v>
      </c>
      <c r="D330" s="12">
        <v>40</v>
      </c>
      <c r="E330" s="10">
        <f t="shared" si="51"/>
        <v>90</v>
      </c>
      <c r="F330" s="33">
        <v>45808</v>
      </c>
      <c r="H330" s="11"/>
      <c r="I330" s="13"/>
      <c r="J330" s="12"/>
      <c r="K330" s="10">
        <f t="shared" si="52"/>
        <v>0</v>
      </c>
      <c r="L330" s="32"/>
    </row>
    <row r="331" spans="2:12" x14ac:dyDescent="0.15">
      <c r="B331" s="11" t="s">
        <v>20</v>
      </c>
      <c r="C331" s="13">
        <v>1</v>
      </c>
      <c r="D331" s="12"/>
      <c r="E331" s="10">
        <f t="shared" si="51"/>
        <v>1</v>
      </c>
      <c r="F331" s="33">
        <v>45810</v>
      </c>
      <c r="H331" s="11"/>
      <c r="I331" s="13"/>
      <c r="J331" s="12"/>
      <c r="K331" s="10">
        <f t="shared" ref="K331:K343" si="53">SUM(I331:J331)</f>
        <v>0</v>
      </c>
      <c r="L331" s="32"/>
    </row>
    <row r="332" spans="2:12" x14ac:dyDescent="0.15">
      <c r="B332" s="11" t="s">
        <v>21</v>
      </c>
      <c r="C332" s="13">
        <v>2</v>
      </c>
      <c r="D332" s="12"/>
      <c r="E332" s="10">
        <f t="shared" si="51"/>
        <v>2</v>
      </c>
      <c r="F332" s="33">
        <v>45819</v>
      </c>
      <c r="H332" s="11"/>
      <c r="I332" s="13"/>
      <c r="J332" s="12"/>
      <c r="K332" s="10">
        <f t="shared" si="53"/>
        <v>0</v>
      </c>
      <c r="L332" s="32"/>
    </row>
    <row r="333" spans="2:12" x14ac:dyDescent="0.15">
      <c r="B333" s="11" t="s">
        <v>22</v>
      </c>
      <c r="C333" s="13">
        <v>6</v>
      </c>
      <c r="D333" s="12"/>
      <c r="E333" s="10">
        <f t="shared" si="51"/>
        <v>6</v>
      </c>
      <c r="F333" s="33">
        <v>45820</v>
      </c>
      <c r="H333" s="11"/>
      <c r="I333" s="13"/>
      <c r="J333" s="12"/>
      <c r="K333" s="10">
        <f t="shared" si="53"/>
        <v>0</v>
      </c>
      <c r="L333" s="32"/>
    </row>
    <row r="334" spans="2:12" x14ac:dyDescent="0.15">
      <c r="B334" s="11" t="s">
        <v>23</v>
      </c>
      <c r="C334" s="13">
        <v>4</v>
      </c>
      <c r="D334" s="12">
        <v>1</v>
      </c>
      <c r="E334" s="10">
        <f t="shared" si="51"/>
        <v>5</v>
      </c>
      <c r="F334" s="33">
        <v>45821</v>
      </c>
      <c r="H334" s="11"/>
      <c r="I334" s="13"/>
      <c r="J334" s="12"/>
      <c r="K334" s="10">
        <f t="shared" si="53"/>
        <v>0</v>
      </c>
      <c r="L334" s="32"/>
    </row>
    <row r="335" spans="2:12" x14ac:dyDescent="0.15">
      <c r="B335" s="11" t="s">
        <v>24</v>
      </c>
      <c r="C335" s="13">
        <v>8</v>
      </c>
      <c r="D335" s="12">
        <v>4</v>
      </c>
      <c r="E335" s="10">
        <f t="shared" si="51"/>
        <v>12</v>
      </c>
      <c r="F335" s="33">
        <v>45821</v>
      </c>
      <c r="H335" s="11"/>
      <c r="I335" s="13"/>
      <c r="J335" s="12"/>
      <c r="K335" s="10">
        <f t="shared" si="53"/>
        <v>0</v>
      </c>
      <c r="L335" s="32"/>
    </row>
    <row r="336" spans="2:12" x14ac:dyDescent="0.15">
      <c r="B336" s="11" t="s">
        <v>27</v>
      </c>
      <c r="C336" s="13">
        <v>12</v>
      </c>
      <c r="D336" s="12">
        <v>7</v>
      </c>
      <c r="E336" s="10">
        <f t="shared" si="51"/>
        <v>19</v>
      </c>
      <c r="F336" s="33">
        <v>45826</v>
      </c>
      <c r="H336" s="11"/>
      <c r="I336" s="13"/>
      <c r="J336" s="12"/>
      <c r="K336" s="10">
        <f t="shared" si="53"/>
        <v>0</v>
      </c>
      <c r="L336" s="32"/>
    </row>
    <row r="337" spans="2:12" x14ac:dyDescent="0.15">
      <c r="B337" s="11" t="s">
        <v>28</v>
      </c>
      <c r="C337" s="13">
        <v>4</v>
      </c>
      <c r="D337" s="12"/>
      <c r="E337" s="10">
        <f t="shared" si="51"/>
        <v>4</v>
      </c>
      <c r="F337" s="33">
        <v>45827</v>
      </c>
      <c r="H337" s="11"/>
      <c r="I337" s="13"/>
      <c r="J337" s="12"/>
      <c r="K337" s="10">
        <f t="shared" si="53"/>
        <v>0</v>
      </c>
      <c r="L337" s="32"/>
    </row>
    <row r="338" spans="2:12" x14ac:dyDescent="0.15">
      <c r="B338" s="11" t="s">
        <v>29</v>
      </c>
      <c r="C338" s="13">
        <v>7</v>
      </c>
      <c r="D338" s="12"/>
      <c r="E338" s="10">
        <f t="shared" si="51"/>
        <v>7</v>
      </c>
      <c r="F338" s="33">
        <v>45828</v>
      </c>
      <c r="H338" s="11"/>
      <c r="I338" s="13"/>
      <c r="J338" s="12"/>
      <c r="K338" s="10">
        <f t="shared" si="53"/>
        <v>0</v>
      </c>
      <c r="L338" s="32"/>
    </row>
    <row r="339" spans="2:12" x14ac:dyDescent="0.15">
      <c r="B339" s="11" t="s">
        <v>101</v>
      </c>
      <c r="C339" s="13">
        <v>-10</v>
      </c>
      <c r="D339" s="12"/>
      <c r="E339" s="10">
        <f t="shared" si="51"/>
        <v>-10</v>
      </c>
      <c r="F339" s="33">
        <v>45827</v>
      </c>
      <c r="H339" s="11"/>
      <c r="I339" s="13"/>
      <c r="J339" s="12"/>
      <c r="K339" s="10">
        <f t="shared" si="53"/>
        <v>0</v>
      </c>
      <c r="L339" s="32"/>
    </row>
    <row r="340" spans="2:12" x14ac:dyDescent="0.15">
      <c r="B340" s="11" t="s">
        <v>31</v>
      </c>
      <c r="C340" s="13">
        <v>2</v>
      </c>
      <c r="D340" s="12">
        <v>1</v>
      </c>
      <c r="E340" s="10">
        <f t="shared" si="51"/>
        <v>3</v>
      </c>
      <c r="F340" s="33">
        <v>45828</v>
      </c>
      <c r="H340" s="11"/>
      <c r="I340" s="13"/>
      <c r="J340" s="12"/>
      <c r="K340" s="10">
        <f t="shared" si="53"/>
        <v>0</v>
      </c>
      <c r="L340" s="32"/>
    </row>
    <row r="341" spans="2:12" x14ac:dyDescent="0.15">
      <c r="B341" s="11" t="s">
        <v>32</v>
      </c>
      <c r="C341" s="13">
        <v>3</v>
      </c>
      <c r="D341" s="12">
        <v>1</v>
      </c>
      <c r="E341" s="10">
        <f t="shared" si="51"/>
        <v>4</v>
      </c>
      <c r="F341" s="33">
        <v>45831</v>
      </c>
      <c r="H341" s="11"/>
      <c r="I341" s="13"/>
      <c r="J341" s="12"/>
      <c r="K341" s="10">
        <f t="shared" si="53"/>
        <v>0</v>
      </c>
      <c r="L341" s="32"/>
    </row>
    <row r="342" spans="2:12" x14ac:dyDescent="0.15">
      <c r="B342" s="11" t="s">
        <v>34</v>
      </c>
      <c r="C342" s="13"/>
      <c r="D342" s="12">
        <v>2</v>
      </c>
      <c r="E342" s="10">
        <f t="shared" si="51"/>
        <v>2</v>
      </c>
      <c r="F342" s="33">
        <v>45833</v>
      </c>
      <c r="H342" s="11"/>
      <c r="I342" s="13"/>
      <c r="J342" s="12"/>
      <c r="K342" s="10">
        <f t="shared" si="53"/>
        <v>0</v>
      </c>
      <c r="L342" s="32"/>
    </row>
    <row r="343" spans="2:12" x14ac:dyDescent="0.15">
      <c r="B343" s="11" t="s">
        <v>35</v>
      </c>
      <c r="C343" s="13"/>
      <c r="D343" s="12">
        <v>1</v>
      </c>
      <c r="E343" s="10">
        <f t="shared" si="51"/>
        <v>1</v>
      </c>
      <c r="F343" s="33">
        <v>45835</v>
      </c>
      <c r="H343" s="11"/>
      <c r="I343" s="13"/>
      <c r="J343" s="12"/>
      <c r="K343" s="10">
        <f t="shared" si="53"/>
        <v>0</v>
      </c>
      <c r="L343" s="32"/>
    </row>
    <row r="344" spans="2:12" x14ac:dyDescent="0.15">
      <c r="B344" s="11" t="s">
        <v>39</v>
      </c>
      <c r="C344" s="13"/>
      <c r="D344" s="12">
        <v>1</v>
      </c>
      <c r="E344" s="10">
        <f t="shared" si="51"/>
        <v>1</v>
      </c>
      <c r="F344" s="33">
        <v>45835</v>
      </c>
      <c r="H344" s="11"/>
      <c r="I344" s="13"/>
      <c r="J344" s="12"/>
      <c r="K344" s="10">
        <f t="shared" ref="K344:K348" si="54">SUM(I344:J344)</f>
        <v>0</v>
      </c>
      <c r="L344" s="32"/>
    </row>
    <row r="345" spans="2:12" x14ac:dyDescent="0.15">
      <c r="B345" s="11" t="s">
        <v>43</v>
      </c>
      <c r="C345" s="13">
        <v>1</v>
      </c>
      <c r="D345" s="12">
        <v>3</v>
      </c>
      <c r="E345" s="10">
        <f t="shared" ref="E345:E348" si="55">SUM(C345:D345)</f>
        <v>4</v>
      </c>
      <c r="F345" s="33">
        <v>45838</v>
      </c>
      <c r="H345" s="11"/>
      <c r="I345" s="13"/>
      <c r="J345" s="12"/>
      <c r="K345" s="10">
        <f t="shared" si="54"/>
        <v>0</v>
      </c>
      <c r="L345" s="32"/>
    </row>
    <row r="346" spans="2:12" x14ac:dyDescent="0.15">
      <c r="B346" s="11" t="s">
        <v>44</v>
      </c>
      <c r="C346" s="13">
        <v>1</v>
      </c>
      <c r="D346" s="12">
        <v>9</v>
      </c>
      <c r="E346" s="10">
        <f t="shared" si="55"/>
        <v>10</v>
      </c>
      <c r="F346" s="33">
        <v>45840</v>
      </c>
      <c r="H346" s="11" t="s">
        <v>90</v>
      </c>
      <c r="I346" s="13"/>
      <c r="J346" s="12"/>
      <c r="K346" s="10">
        <f t="shared" si="54"/>
        <v>0</v>
      </c>
      <c r="L346" s="32" t="s">
        <v>91</v>
      </c>
    </row>
    <row r="347" spans="2:12" x14ac:dyDescent="0.15">
      <c r="B347" s="11" t="s">
        <v>45</v>
      </c>
      <c r="C347" s="13">
        <v>4</v>
      </c>
      <c r="D347" s="12"/>
      <c r="E347" s="10">
        <f t="shared" si="55"/>
        <v>4</v>
      </c>
      <c r="F347" s="33">
        <v>45841</v>
      </c>
      <c r="H347" s="11" t="s">
        <v>92</v>
      </c>
      <c r="I347" s="13"/>
      <c r="J347" s="12"/>
      <c r="K347" s="10">
        <f t="shared" si="54"/>
        <v>0</v>
      </c>
      <c r="L347" s="32" t="s">
        <v>93</v>
      </c>
    </row>
    <row r="348" spans="2:12" ht="14.25" thickBot="1" x14ac:dyDescent="0.2">
      <c r="B348" s="11" t="s">
        <v>47</v>
      </c>
      <c r="C348" s="13">
        <v>5</v>
      </c>
      <c r="D348" s="12">
        <v>2</v>
      </c>
      <c r="E348" s="10">
        <f t="shared" si="55"/>
        <v>7</v>
      </c>
      <c r="F348" s="33">
        <v>45842</v>
      </c>
      <c r="H348" s="11" t="s">
        <v>96</v>
      </c>
      <c r="I348" s="13"/>
      <c r="J348" s="12"/>
      <c r="K348" s="10">
        <f t="shared" si="54"/>
        <v>0</v>
      </c>
      <c r="L348" s="32" t="s">
        <v>78</v>
      </c>
    </row>
    <row r="349" spans="2:12" ht="14.25" thickBot="1" x14ac:dyDescent="0.2">
      <c r="B349" s="9" t="s">
        <v>1</v>
      </c>
      <c r="C349" s="8">
        <f>SUM(C324:C348)</f>
        <v>106</v>
      </c>
      <c r="D349" s="7">
        <f>SUM(D324:D348)</f>
        <v>77</v>
      </c>
      <c r="E349" s="6">
        <f>SUM(E324:E348)</f>
        <v>183</v>
      </c>
      <c r="H349" s="9" t="s">
        <v>1</v>
      </c>
      <c r="I349" s="8">
        <f>SUM(I324:I348)</f>
        <v>150</v>
      </c>
      <c r="J349" s="7">
        <f>SUM(J324:J348)</f>
        <v>80</v>
      </c>
      <c r="K349" s="6">
        <f>SUM(K324:K348)</f>
        <v>230</v>
      </c>
      <c r="L349" s="32"/>
    </row>
    <row r="350" spans="2:12" ht="14.25" thickBot="1" x14ac:dyDescent="0.2">
      <c r="B350" s="5" t="s">
        <v>0</v>
      </c>
      <c r="C350" s="4">
        <f>+C323-C349</f>
        <v>11</v>
      </c>
      <c r="D350" s="3">
        <f>+D323-D349</f>
        <v>31</v>
      </c>
      <c r="E350" s="2">
        <f>+E323-E349</f>
        <v>42</v>
      </c>
      <c r="H350" s="5" t="s">
        <v>0</v>
      </c>
      <c r="I350" s="4">
        <f>+I323-I349</f>
        <v>0</v>
      </c>
      <c r="J350" s="3">
        <f>+J323-J349</f>
        <v>0</v>
      </c>
      <c r="K350" s="2">
        <f>+K323-K349</f>
        <v>0</v>
      </c>
      <c r="L350" s="32"/>
    </row>
    <row r="351" spans="2:12" x14ac:dyDescent="0.15">
      <c r="H351" s="1"/>
      <c r="L351" s="32"/>
    </row>
    <row r="352" spans="2:12" ht="24" x14ac:dyDescent="0.25">
      <c r="B352" s="26" t="s">
        <v>6</v>
      </c>
      <c r="C352" s="47"/>
      <c r="D352" s="47"/>
      <c r="E352" s="47"/>
    </row>
    <row r="353" spans="2:6" ht="17.25" x14ac:dyDescent="0.2">
      <c r="B353" s="25" t="s">
        <v>5</v>
      </c>
      <c r="C353" s="24"/>
      <c r="D353" s="24"/>
      <c r="E353" s="24"/>
    </row>
    <row r="354" spans="2:6" ht="14.25" thickBot="1" x14ac:dyDescent="0.2"/>
    <row r="355" spans="2:6" ht="14.25" thickBot="1" x14ac:dyDescent="0.2">
      <c r="B355" s="23"/>
      <c r="C355" s="35" t="s">
        <v>9</v>
      </c>
      <c r="D355" s="36" t="s">
        <v>8</v>
      </c>
      <c r="E355" s="22" t="s">
        <v>4</v>
      </c>
    </row>
    <row r="356" spans="2:6" x14ac:dyDescent="0.15">
      <c r="B356" s="30" t="s">
        <v>0</v>
      </c>
      <c r="C356" s="29">
        <f>C350</f>
        <v>11</v>
      </c>
      <c r="D356" s="28">
        <f>D350</f>
        <v>31</v>
      </c>
      <c r="E356" s="27">
        <f>E350</f>
        <v>42</v>
      </c>
    </row>
    <row r="357" spans="2:6" x14ac:dyDescent="0.15">
      <c r="B357" s="20" t="s">
        <v>3</v>
      </c>
      <c r="C357" s="13">
        <v>100</v>
      </c>
      <c r="D357" s="12">
        <v>40</v>
      </c>
      <c r="E357" s="19">
        <f t="shared" ref="E357:E361" si="56">SUM(C357:D357)</f>
        <v>140</v>
      </c>
      <c r="F357" s="33">
        <v>45843</v>
      </c>
    </row>
    <row r="358" spans="2:6" x14ac:dyDescent="0.15">
      <c r="B358" s="20" t="s">
        <v>33</v>
      </c>
      <c r="C358" s="13">
        <v>1</v>
      </c>
      <c r="D358" s="12">
        <v>1</v>
      </c>
      <c r="E358" s="19">
        <f t="shared" ref="E358" si="57">SUM(C358:D358)</f>
        <v>2</v>
      </c>
      <c r="F358" s="33">
        <v>45861</v>
      </c>
    </row>
    <row r="359" spans="2:6" x14ac:dyDescent="0.15">
      <c r="B359" s="20" t="s">
        <v>57</v>
      </c>
      <c r="C359" s="13">
        <v>0</v>
      </c>
      <c r="D359" s="12">
        <v>0</v>
      </c>
      <c r="E359" s="19">
        <f t="shared" ref="E359:E360" si="58">SUM(C359:D359)</f>
        <v>0</v>
      </c>
      <c r="F359" s="33">
        <v>45878</v>
      </c>
    </row>
    <row r="360" spans="2:6" x14ac:dyDescent="0.15">
      <c r="B360" s="20" t="s">
        <v>33</v>
      </c>
      <c r="C360" s="13">
        <v>1</v>
      </c>
      <c r="D360" s="12"/>
      <c r="E360" s="19">
        <f t="shared" si="58"/>
        <v>1</v>
      </c>
      <c r="F360" s="33">
        <v>45895</v>
      </c>
    </row>
    <row r="361" spans="2:6" ht="14.25" thickBot="1" x14ac:dyDescent="0.2">
      <c r="B361" s="20" t="s">
        <v>57</v>
      </c>
      <c r="C361" s="13">
        <v>0</v>
      </c>
      <c r="D361" s="12">
        <v>0</v>
      </c>
      <c r="E361" s="19">
        <f t="shared" si="56"/>
        <v>0</v>
      </c>
      <c r="F361" s="33">
        <v>46087</v>
      </c>
    </row>
    <row r="362" spans="2:6" ht="14.25" thickBot="1" x14ac:dyDescent="0.2">
      <c r="B362" s="9" t="s">
        <v>2</v>
      </c>
      <c r="C362" s="8">
        <f>SUM(C356:C361)</f>
        <v>113</v>
      </c>
      <c r="D362" s="7">
        <f>SUM(D356:D361)</f>
        <v>72</v>
      </c>
      <c r="E362" s="6">
        <f>SUM(E356:E361)</f>
        <v>185</v>
      </c>
    </row>
    <row r="363" spans="2:6" x14ac:dyDescent="0.15">
      <c r="B363" s="11" t="s">
        <v>48</v>
      </c>
      <c r="C363" s="13">
        <v>10</v>
      </c>
      <c r="D363" s="12">
        <v>1</v>
      </c>
      <c r="E363" s="10">
        <f t="shared" ref="E363:E386" si="59">SUM(C363:D363)</f>
        <v>11</v>
      </c>
      <c r="F363" s="33">
        <v>45842</v>
      </c>
    </row>
    <row r="364" spans="2:6" x14ac:dyDescent="0.15">
      <c r="B364" s="11" t="s">
        <v>49</v>
      </c>
      <c r="C364" s="13">
        <v>1</v>
      </c>
      <c r="D364" s="12">
        <v>1</v>
      </c>
      <c r="E364" s="10">
        <f t="shared" si="59"/>
        <v>2</v>
      </c>
      <c r="F364" s="33">
        <v>45845</v>
      </c>
    </row>
    <row r="365" spans="2:6" x14ac:dyDescent="0.15">
      <c r="B365" s="11" t="s">
        <v>50</v>
      </c>
      <c r="C365" s="13">
        <v>28</v>
      </c>
      <c r="D365" s="12">
        <v>5</v>
      </c>
      <c r="E365" s="10">
        <f t="shared" si="59"/>
        <v>33</v>
      </c>
      <c r="F365" s="33">
        <v>45847</v>
      </c>
    </row>
    <row r="366" spans="2:6" x14ac:dyDescent="0.15">
      <c r="B366" s="11" t="s">
        <v>51</v>
      </c>
      <c r="C366" s="13"/>
      <c r="D366" s="12">
        <v>1</v>
      </c>
      <c r="E366" s="10">
        <f t="shared" si="59"/>
        <v>1</v>
      </c>
      <c r="F366" s="33">
        <v>45848</v>
      </c>
    </row>
    <row r="367" spans="2:6" x14ac:dyDescent="0.15">
      <c r="B367" s="11" t="s">
        <v>53</v>
      </c>
      <c r="C367" s="13">
        <v>2</v>
      </c>
      <c r="D367" s="12">
        <v>1</v>
      </c>
      <c r="E367" s="10">
        <f t="shared" si="59"/>
        <v>3</v>
      </c>
      <c r="F367" s="33">
        <v>45849</v>
      </c>
    </row>
    <row r="368" spans="2:6" x14ac:dyDescent="0.15">
      <c r="B368" s="11" t="s">
        <v>54</v>
      </c>
      <c r="C368" s="13"/>
      <c r="D368" s="12">
        <v>3</v>
      </c>
      <c r="E368" s="10">
        <f t="shared" si="59"/>
        <v>3</v>
      </c>
      <c r="F368" s="33">
        <v>45849</v>
      </c>
    </row>
    <row r="369" spans="2:6" x14ac:dyDescent="0.15">
      <c r="B369" s="11" t="s">
        <v>55</v>
      </c>
      <c r="C369" s="13"/>
      <c r="D369" s="12">
        <v>1</v>
      </c>
      <c r="E369" s="10">
        <f t="shared" si="59"/>
        <v>1</v>
      </c>
      <c r="F369" s="33">
        <v>45852</v>
      </c>
    </row>
    <row r="370" spans="2:6" x14ac:dyDescent="0.15">
      <c r="B370" s="11" t="s">
        <v>102</v>
      </c>
      <c r="C370" s="13"/>
      <c r="D370" s="12">
        <v>1</v>
      </c>
      <c r="E370" s="10">
        <f t="shared" si="59"/>
        <v>1</v>
      </c>
      <c r="F370" s="33">
        <v>45867</v>
      </c>
    </row>
    <row r="371" spans="2:6" x14ac:dyDescent="0.15">
      <c r="B371" s="11" t="s">
        <v>12</v>
      </c>
      <c r="C371" s="13">
        <v>1</v>
      </c>
      <c r="D371" s="12"/>
      <c r="E371" s="10">
        <f t="shared" si="59"/>
        <v>1</v>
      </c>
      <c r="F371" s="33">
        <v>45870</v>
      </c>
    </row>
    <row r="372" spans="2:6" x14ac:dyDescent="0.15">
      <c r="B372" s="11" t="s">
        <v>56</v>
      </c>
      <c r="C372" s="13">
        <v>2</v>
      </c>
      <c r="D372" s="12"/>
      <c r="E372" s="10">
        <f t="shared" si="59"/>
        <v>2</v>
      </c>
      <c r="F372" s="33">
        <v>45875</v>
      </c>
    </row>
    <row r="373" spans="2:6" x14ac:dyDescent="0.15">
      <c r="B373" s="11" t="s">
        <v>12</v>
      </c>
      <c r="C373" s="13"/>
      <c r="D373" s="12">
        <v>1</v>
      </c>
      <c r="E373" s="10">
        <f t="shared" si="59"/>
        <v>1</v>
      </c>
      <c r="F373" s="33">
        <v>45875</v>
      </c>
    </row>
    <row r="374" spans="2:6" x14ac:dyDescent="0.15">
      <c r="B374" s="11" t="s">
        <v>103</v>
      </c>
      <c r="C374" s="13">
        <v>1</v>
      </c>
      <c r="D374" s="12"/>
      <c r="E374" s="10">
        <f t="shared" si="59"/>
        <v>1</v>
      </c>
      <c r="F374" s="33">
        <v>45885</v>
      </c>
    </row>
    <row r="375" spans="2:6" x14ac:dyDescent="0.15">
      <c r="B375" s="11" t="s">
        <v>59</v>
      </c>
      <c r="C375" s="13">
        <v>1</v>
      </c>
      <c r="D375" s="12">
        <v>1</v>
      </c>
      <c r="E375" s="10">
        <f t="shared" si="59"/>
        <v>2</v>
      </c>
      <c r="F375" s="33">
        <v>45890</v>
      </c>
    </row>
    <row r="376" spans="2:6" x14ac:dyDescent="0.15">
      <c r="B376" s="11" t="s">
        <v>60</v>
      </c>
      <c r="C376" s="13">
        <v>1</v>
      </c>
      <c r="D376" s="12"/>
      <c r="E376" s="10">
        <f t="shared" si="59"/>
        <v>1</v>
      </c>
      <c r="F376" s="33">
        <v>45891</v>
      </c>
    </row>
    <row r="377" spans="2:6" x14ac:dyDescent="0.15">
      <c r="B377" s="11" t="s">
        <v>61</v>
      </c>
      <c r="C377" s="13">
        <v>3</v>
      </c>
      <c r="D377" s="12">
        <v>1</v>
      </c>
      <c r="E377" s="10">
        <f t="shared" si="59"/>
        <v>4</v>
      </c>
      <c r="F377" s="33">
        <v>45896</v>
      </c>
    </row>
    <row r="378" spans="2:6" x14ac:dyDescent="0.15">
      <c r="B378" s="11" t="s">
        <v>62</v>
      </c>
      <c r="C378" s="13">
        <v>1</v>
      </c>
      <c r="D378" s="12">
        <v>1</v>
      </c>
      <c r="E378" s="10">
        <f t="shared" si="59"/>
        <v>2</v>
      </c>
      <c r="F378" s="33">
        <v>45898</v>
      </c>
    </row>
    <row r="379" spans="2:6" x14ac:dyDescent="0.15">
      <c r="B379" s="11"/>
      <c r="C379" s="13"/>
      <c r="D379" s="12"/>
      <c r="E379" s="10">
        <f t="shared" si="59"/>
        <v>0</v>
      </c>
    </row>
    <row r="380" spans="2:6" x14ac:dyDescent="0.15">
      <c r="B380" s="11"/>
      <c r="C380" s="13"/>
      <c r="D380" s="12"/>
      <c r="E380" s="10">
        <f t="shared" si="59"/>
        <v>0</v>
      </c>
    </row>
    <row r="381" spans="2:6" x14ac:dyDescent="0.15">
      <c r="B381" s="11"/>
      <c r="C381" s="13"/>
      <c r="D381" s="12"/>
      <c r="E381" s="10">
        <f t="shared" si="59"/>
        <v>0</v>
      </c>
    </row>
    <row r="382" spans="2:6" x14ac:dyDescent="0.15">
      <c r="B382" s="11"/>
      <c r="C382" s="13"/>
      <c r="D382" s="12"/>
      <c r="E382" s="10">
        <f t="shared" si="59"/>
        <v>0</v>
      </c>
    </row>
    <row r="383" spans="2:6" x14ac:dyDescent="0.15">
      <c r="B383" s="11"/>
      <c r="C383" s="13"/>
      <c r="D383" s="12"/>
      <c r="E383" s="10">
        <f t="shared" si="59"/>
        <v>0</v>
      </c>
    </row>
    <row r="384" spans="2:6" x14ac:dyDescent="0.15">
      <c r="B384" s="11"/>
      <c r="C384" s="13"/>
      <c r="D384" s="12"/>
      <c r="E384" s="10">
        <f t="shared" si="59"/>
        <v>0</v>
      </c>
    </row>
    <row r="385" spans="2:6" x14ac:dyDescent="0.15">
      <c r="B385" s="11"/>
      <c r="C385" s="13"/>
      <c r="D385" s="12"/>
      <c r="E385" s="10">
        <f t="shared" si="59"/>
        <v>0</v>
      </c>
    </row>
    <row r="386" spans="2:6" x14ac:dyDescent="0.15">
      <c r="B386" s="11"/>
      <c r="C386" s="13"/>
      <c r="D386" s="12"/>
      <c r="E386" s="10">
        <f t="shared" si="59"/>
        <v>0</v>
      </c>
    </row>
    <row r="387" spans="2:6" ht="14.25" thickBot="1" x14ac:dyDescent="0.2">
      <c r="B387" s="11"/>
      <c r="C387" s="13"/>
      <c r="D387" s="12"/>
      <c r="E387" s="10">
        <f t="shared" ref="E387" si="60">SUM(C387:D387)</f>
        <v>0</v>
      </c>
    </row>
    <row r="388" spans="2:6" ht="14.25" thickBot="1" x14ac:dyDescent="0.2">
      <c r="B388" s="9" t="s">
        <v>1</v>
      </c>
      <c r="C388" s="8">
        <f>SUM(C363:C387)</f>
        <v>51</v>
      </c>
      <c r="D388" s="7">
        <f>SUM(D363:D387)</f>
        <v>18</v>
      </c>
      <c r="E388" s="6">
        <f>SUM(E363:E387)</f>
        <v>69</v>
      </c>
    </row>
    <row r="389" spans="2:6" ht="14.25" thickBot="1" x14ac:dyDescent="0.2">
      <c r="B389" s="5" t="s">
        <v>0</v>
      </c>
      <c r="C389" s="4">
        <f>+C362-C388</f>
        <v>62</v>
      </c>
      <c r="D389" s="3">
        <f>+D362-D388</f>
        <v>54</v>
      </c>
      <c r="E389" s="2">
        <f>+E362-E388</f>
        <v>116</v>
      </c>
    </row>
    <row r="391" spans="2:6" ht="24" x14ac:dyDescent="0.25">
      <c r="B391" s="26" t="s">
        <v>6</v>
      </c>
      <c r="C391" s="47" t="s">
        <v>105</v>
      </c>
      <c r="D391" s="47"/>
      <c r="E391" s="47"/>
    </row>
    <row r="392" spans="2:6" ht="17.25" x14ac:dyDescent="0.2">
      <c r="B392" s="25" t="s">
        <v>5</v>
      </c>
      <c r="C392" s="24"/>
      <c r="D392" s="24"/>
      <c r="E392" s="24"/>
    </row>
    <row r="393" spans="2:6" ht="14.25" thickBot="1" x14ac:dyDescent="0.2"/>
    <row r="394" spans="2:6" ht="14.25" thickBot="1" x14ac:dyDescent="0.2">
      <c r="B394" s="23"/>
      <c r="C394" s="35" t="s">
        <v>9</v>
      </c>
      <c r="D394" s="36" t="s">
        <v>8</v>
      </c>
      <c r="E394" s="22" t="s">
        <v>4</v>
      </c>
    </row>
    <row r="395" spans="2:6" x14ac:dyDescent="0.15">
      <c r="B395" s="30" t="s">
        <v>0</v>
      </c>
      <c r="C395" s="29">
        <f>C389</f>
        <v>62</v>
      </c>
      <c r="D395" s="28">
        <f>D389</f>
        <v>54</v>
      </c>
      <c r="E395" s="27">
        <f>E389</f>
        <v>116</v>
      </c>
    </row>
    <row r="396" spans="2:6" x14ac:dyDescent="0.15">
      <c r="B396" s="20" t="s">
        <v>33</v>
      </c>
      <c r="C396" s="13"/>
      <c r="D396" s="12">
        <v>1</v>
      </c>
      <c r="E396" s="19">
        <f t="shared" ref="E396:E400" si="61">SUM(C396:D396)</f>
        <v>1</v>
      </c>
      <c r="F396" s="33">
        <v>46168</v>
      </c>
    </row>
    <row r="397" spans="2:6" x14ac:dyDescent="0.15">
      <c r="B397" s="20" t="s">
        <v>3</v>
      </c>
      <c r="C397" s="13">
        <v>30</v>
      </c>
      <c r="D397" s="12"/>
      <c r="E397" s="19">
        <f t="shared" si="61"/>
        <v>30</v>
      </c>
      <c r="F397" s="33">
        <v>46175</v>
      </c>
    </row>
    <row r="398" spans="2:6" x14ac:dyDescent="0.15">
      <c r="B398" s="20" t="s">
        <v>3</v>
      </c>
      <c r="C398" s="13"/>
      <c r="D398" s="12"/>
      <c r="E398" s="19">
        <f t="shared" si="61"/>
        <v>0</v>
      </c>
      <c r="F398" s="33"/>
    </row>
    <row r="399" spans="2:6" x14ac:dyDescent="0.15">
      <c r="B399" s="20" t="s">
        <v>3</v>
      </c>
      <c r="C399" s="13"/>
      <c r="D399" s="12"/>
      <c r="E399" s="19">
        <f t="shared" si="61"/>
        <v>0</v>
      </c>
      <c r="F399" s="33"/>
    </row>
    <row r="400" spans="2:6" ht="14.25" thickBot="1" x14ac:dyDescent="0.2">
      <c r="B400" s="20" t="s">
        <v>3</v>
      </c>
      <c r="C400" s="13"/>
      <c r="D400" s="12"/>
      <c r="E400" s="19">
        <f t="shared" si="61"/>
        <v>0</v>
      </c>
      <c r="F400" s="33"/>
    </row>
    <row r="401" spans="2:6" ht="14.25" thickBot="1" x14ac:dyDescent="0.2">
      <c r="B401" s="9" t="s">
        <v>2</v>
      </c>
      <c r="C401" s="8">
        <f>SUM(C395:C400)</f>
        <v>92</v>
      </c>
      <c r="D401" s="7">
        <f>SUM(D395:D400)</f>
        <v>55</v>
      </c>
      <c r="E401" s="6">
        <f>SUM(E395:E400)</f>
        <v>147</v>
      </c>
    </row>
    <row r="402" spans="2:6" x14ac:dyDescent="0.15">
      <c r="B402" s="11" t="s">
        <v>12</v>
      </c>
      <c r="C402" s="13">
        <v>1</v>
      </c>
      <c r="D402" s="12"/>
      <c r="E402" s="10">
        <f t="shared" ref="E402:E417" si="62">SUM(C402:D402)</f>
        <v>1</v>
      </c>
      <c r="F402" s="33">
        <v>46112</v>
      </c>
    </row>
    <row r="403" spans="2:6" x14ac:dyDescent="0.15">
      <c r="B403" s="11" t="s">
        <v>107</v>
      </c>
      <c r="C403" s="13">
        <v>3</v>
      </c>
      <c r="D403" s="12"/>
      <c r="E403" s="10">
        <f t="shared" si="62"/>
        <v>3</v>
      </c>
      <c r="F403" s="33">
        <v>46125</v>
      </c>
    </row>
    <row r="404" spans="2:6" x14ac:dyDescent="0.15">
      <c r="B404" s="11" t="s">
        <v>107</v>
      </c>
      <c r="C404" s="13">
        <v>9</v>
      </c>
      <c r="D404" s="12"/>
      <c r="E404" s="10">
        <f t="shared" si="62"/>
        <v>9</v>
      </c>
      <c r="F404" s="33">
        <v>46127</v>
      </c>
    </row>
    <row r="405" spans="2:6" x14ac:dyDescent="0.15">
      <c r="B405" s="11" t="s">
        <v>107</v>
      </c>
      <c r="C405" s="13"/>
      <c r="D405" s="12">
        <v>1</v>
      </c>
      <c r="E405" s="10">
        <f t="shared" si="62"/>
        <v>1</v>
      </c>
      <c r="F405" s="33">
        <v>46128</v>
      </c>
    </row>
    <row r="406" spans="2:6" x14ac:dyDescent="0.15">
      <c r="B406" s="11" t="s">
        <v>107</v>
      </c>
      <c r="C406" s="13">
        <v>4</v>
      </c>
      <c r="D406" s="12"/>
      <c r="E406" s="10">
        <f t="shared" si="62"/>
        <v>4</v>
      </c>
      <c r="F406" s="33">
        <v>46129</v>
      </c>
    </row>
    <row r="407" spans="2:6" x14ac:dyDescent="0.15">
      <c r="B407" s="11" t="s">
        <v>107</v>
      </c>
      <c r="C407" s="13">
        <v>1</v>
      </c>
      <c r="D407" s="12"/>
      <c r="E407" s="10">
        <f t="shared" si="62"/>
        <v>1</v>
      </c>
      <c r="F407" s="33">
        <v>46132</v>
      </c>
    </row>
    <row r="408" spans="2:6" x14ac:dyDescent="0.15">
      <c r="B408" s="11" t="s">
        <v>107</v>
      </c>
      <c r="C408" s="13">
        <v>2</v>
      </c>
      <c r="D408" s="12">
        <v>2</v>
      </c>
      <c r="E408" s="10">
        <f t="shared" si="62"/>
        <v>4</v>
      </c>
      <c r="F408" s="33">
        <v>46136</v>
      </c>
    </row>
    <row r="409" spans="2:6" x14ac:dyDescent="0.15">
      <c r="B409" s="11" t="s">
        <v>107</v>
      </c>
      <c r="C409" s="13">
        <v>1</v>
      </c>
      <c r="D409" s="12">
        <v>2</v>
      </c>
      <c r="E409" s="10">
        <f t="shared" si="62"/>
        <v>3</v>
      </c>
      <c r="F409" s="33">
        <v>46137</v>
      </c>
    </row>
    <row r="410" spans="2:6" x14ac:dyDescent="0.15">
      <c r="B410" s="11" t="s">
        <v>107</v>
      </c>
      <c r="C410" s="13"/>
      <c r="D410" s="12">
        <v>2</v>
      </c>
      <c r="E410" s="10">
        <f t="shared" si="62"/>
        <v>2</v>
      </c>
      <c r="F410" s="33">
        <v>46140</v>
      </c>
    </row>
    <row r="411" spans="2:6" x14ac:dyDescent="0.15">
      <c r="B411" s="11" t="s">
        <v>12</v>
      </c>
      <c r="C411" s="13">
        <v>1</v>
      </c>
      <c r="D411" s="12"/>
      <c r="E411" s="10">
        <f t="shared" si="62"/>
        <v>1</v>
      </c>
      <c r="F411" s="33">
        <v>46142</v>
      </c>
    </row>
    <row r="412" spans="2:6" x14ac:dyDescent="0.15">
      <c r="B412" s="11" t="s">
        <v>107</v>
      </c>
      <c r="C412" s="13">
        <v>2</v>
      </c>
      <c r="D412" s="12"/>
      <c r="E412" s="10">
        <f t="shared" si="62"/>
        <v>2</v>
      </c>
      <c r="F412" s="33">
        <v>46153</v>
      </c>
    </row>
    <row r="413" spans="2:6" x14ac:dyDescent="0.15">
      <c r="B413" s="11" t="s">
        <v>107</v>
      </c>
      <c r="C413" s="13">
        <v>1</v>
      </c>
      <c r="D413" s="12">
        <v>1</v>
      </c>
      <c r="E413" s="10">
        <f t="shared" si="62"/>
        <v>2</v>
      </c>
      <c r="F413" s="33">
        <v>46158</v>
      </c>
    </row>
    <row r="414" spans="2:6" x14ac:dyDescent="0.15">
      <c r="B414" s="11" t="s">
        <v>107</v>
      </c>
      <c r="C414" s="13"/>
      <c r="D414" s="12">
        <v>1</v>
      </c>
      <c r="E414" s="10">
        <f t="shared" si="62"/>
        <v>1</v>
      </c>
      <c r="F414" s="33">
        <v>46163</v>
      </c>
    </row>
    <row r="415" spans="2:6" x14ac:dyDescent="0.15">
      <c r="B415" s="11" t="s">
        <v>107</v>
      </c>
      <c r="C415" s="13"/>
      <c r="D415" s="12">
        <v>2</v>
      </c>
      <c r="E415" s="10">
        <f t="shared" si="62"/>
        <v>2</v>
      </c>
      <c r="F415" s="33">
        <v>46171</v>
      </c>
    </row>
    <row r="416" spans="2:6" x14ac:dyDescent="0.15">
      <c r="B416" s="11" t="s">
        <v>107</v>
      </c>
      <c r="C416" s="13">
        <v>2</v>
      </c>
      <c r="D416" s="12">
        <v>3</v>
      </c>
      <c r="E416" s="10">
        <f t="shared" si="62"/>
        <v>5</v>
      </c>
      <c r="F416" s="33">
        <v>46174</v>
      </c>
    </row>
    <row r="417" spans="2:6" x14ac:dyDescent="0.15">
      <c r="B417" s="11" t="s">
        <v>12</v>
      </c>
      <c r="C417" s="13">
        <v>1</v>
      </c>
      <c r="D417" s="12"/>
      <c r="E417" s="10">
        <f t="shared" si="62"/>
        <v>1</v>
      </c>
      <c r="F417" s="33">
        <v>46171</v>
      </c>
    </row>
    <row r="418" spans="2:6" x14ac:dyDescent="0.15">
      <c r="B418" s="11" t="s">
        <v>107</v>
      </c>
      <c r="C418" s="13">
        <v>4</v>
      </c>
      <c r="D418" s="12"/>
      <c r="E418" s="10">
        <f t="shared" ref="E418:E421" si="63">SUM(C418:D418)</f>
        <v>4</v>
      </c>
      <c r="F418" s="33">
        <v>46176</v>
      </c>
    </row>
    <row r="419" spans="2:6" x14ac:dyDescent="0.15">
      <c r="B419" s="11" t="s">
        <v>107</v>
      </c>
      <c r="C419" s="13">
        <v>7</v>
      </c>
      <c r="D419" s="12">
        <v>4</v>
      </c>
      <c r="E419" s="10">
        <f t="shared" si="63"/>
        <v>11</v>
      </c>
      <c r="F419" s="33">
        <v>46177</v>
      </c>
    </row>
    <row r="420" spans="2:6" x14ac:dyDescent="0.15">
      <c r="B420" s="11" t="s">
        <v>107</v>
      </c>
      <c r="C420" s="13">
        <v>3</v>
      </c>
      <c r="D420" s="12">
        <v>1</v>
      </c>
      <c r="E420" s="10">
        <f t="shared" si="63"/>
        <v>4</v>
      </c>
      <c r="F420" s="33">
        <v>46178</v>
      </c>
    </row>
    <row r="421" spans="2:6" x14ac:dyDescent="0.15">
      <c r="B421" s="11"/>
      <c r="C421" s="13"/>
      <c r="D421" s="12"/>
      <c r="E421" s="10">
        <f t="shared" si="63"/>
        <v>0</v>
      </c>
    </row>
    <row r="422" spans="2:6" x14ac:dyDescent="0.15">
      <c r="B422" s="11"/>
      <c r="C422" s="13"/>
      <c r="D422" s="12"/>
      <c r="E422" s="10">
        <f t="shared" ref="E422:E426" si="64">SUM(C422:D422)</f>
        <v>0</v>
      </c>
    </row>
    <row r="423" spans="2:6" x14ac:dyDescent="0.15">
      <c r="B423" s="11" t="s">
        <v>104</v>
      </c>
      <c r="C423" s="13"/>
      <c r="D423" s="12"/>
      <c r="E423" s="10">
        <f t="shared" si="64"/>
        <v>0</v>
      </c>
      <c r="F423" s="32" t="s">
        <v>106</v>
      </c>
    </row>
    <row r="424" spans="2:6" x14ac:dyDescent="0.15">
      <c r="B424" s="11" t="s">
        <v>108</v>
      </c>
      <c r="C424" s="13"/>
      <c r="D424" s="12"/>
      <c r="E424" s="10">
        <f t="shared" si="64"/>
        <v>0</v>
      </c>
      <c r="F424" s="32" t="s">
        <v>109</v>
      </c>
    </row>
    <row r="425" spans="2:6" x14ac:dyDescent="0.15">
      <c r="B425" s="11" t="s">
        <v>110</v>
      </c>
      <c r="C425" s="13"/>
      <c r="D425" s="12"/>
      <c r="E425" s="10">
        <f t="shared" si="64"/>
        <v>0</v>
      </c>
      <c r="F425" s="32" t="s">
        <v>111</v>
      </c>
    </row>
    <row r="426" spans="2:6" ht="14.25" thickBot="1" x14ac:dyDescent="0.2">
      <c r="B426" s="11" t="s">
        <v>112</v>
      </c>
      <c r="C426" s="13"/>
      <c r="D426" s="12"/>
      <c r="E426" s="10">
        <f t="shared" si="64"/>
        <v>0</v>
      </c>
      <c r="F426" s="32" t="s">
        <v>111</v>
      </c>
    </row>
    <row r="427" spans="2:6" ht="14.25" thickBot="1" x14ac:dyDescent="0.2">
      <c r="B427" s="9" t="s">
        <v>1</v>
      </c>
      <c r="C427" s="8">
        <f>SUM(C402:C426)</f>
        <v>42</v>
      </c>
      <c r="D427" s="7">
        <f>SUM(D402:D426)</f>
        <v>19</v>
      </c>
      <c r="E427" s="6">
        <f>SUM(E402:E426)</f>
        <v>61</v>
      </c>
    </row>
    <row r="428" spans="2:6" ht="14.25" thickBot="1" x14ac:dyDescent="0.2">
      <c r="B428" s="5" t="s">
        <v>0</v>
      </c>
      <c r="C428" s="4">
        <f>+C401-C427</f>
        <v>50</v>
      </c>
      <c r="D428" s="3">
        <f>+D401-D427</f>
        <v>36</v>
      </c>
      <c r="E428" s="2">
        <f>+E401-E427</f>
        <v>86</v>
      </c>
    </row>
    <row r="430" spans="2:6" ht="24" x14ac:dyDescent="0.25">
      <c r="B430" s="26" t="s">
        <v>6</v>
      </c>
      <c r="C430" s="47" t="s">
        <v>105</v>
      </c>
      <c r="D430" s="47"/>
      <c r="E430" s="47"/>
    </row>
    <row r="431" spans="2:6" ht="17.25" x14ac:dyDescent="0.2">
      <c r="B431" s="25" t="s">
        <v>5</v>
      </c>
      <c r="C431" s="24"/>
      <c r="D431" s="24"/>
      <c r="E431" s="24"/>
    </row>
    <row r="432" spans="2:6" ht="14.25" thickBot="1" x14ac:dyDescent="0.2"/>
    <row r="433" spans="2:6" ht="14.25" thickBot="1" x14ac:dyDescent="0.2">
      <c r="B433" s="23"/>
      <c r="C433" s="35" t="s">
        <v>9</v>
      </c>
      <c r="D433" s="36" t="s">
        <v>8</v>
      </c>
      <c r="E433" s="22" t="s">
        <v>4</v>
      </c>
    </row>
    <row r="434" spans="2:6" x14ac:dyDescent="0.15">
      <c r="B434" s="30" t="s">
        <v>0</v>
      </c>
      <c r="C434" s="29">
        <f>C428</f>
        <v>50</v>
      </c>
      <c r="D434" s="28">
        <f>D428</f>
        <v>36</v>
      </c>
      <c r="E434" s="27">
        <f>E428</f>
        <v>86</v>
      </c>
    </row>
    <row r="435" spans="2:6" x14ac:dyDescent="0.15">
      <c r="B435" s="20" t="s">
        <v>3</v>
      </c>
      <c r="C435" s="13"/>
      <c r="D435" s="12"/>
      <c r="E435" s="19">
        <f t="shared" ref="E435:E436" si="65">SUM(C435:D435)</f>
        <v>0</v>
      </c>
      <c r="F435" s="33"/>
    </row>
    <row r="436" spans="2:6" x14ac:dyDescent="0.15">
      <c r="B436" s="20" t="s">
        <v>3</v>
      </c>
      <c r="C436" s="13"/>
      <c r="D436" s="12"/>
      <c r="E436" s="19">
        <f t="shared" si="65"/>
        <v>0</v>
      </c>
      <c r="F436" s="33"/>
    </row>
    <row r="437" spans="2:6" x14ac:dyDescent="0.15">
      <c r="B437" s="20" t="s">
        <v>3</v>
      </c>
      <c r="C437" s="13"/>
      <c r="D437" s="12"/>
      <c r="E437" s="19">
        <f t="shared" ref="E437:E439" si="66">SUM(C437:D437)</f>
        <v>0</v>
      </c>
      <c r="F437" s="33"/>
    </row>
    <row r="438" spans="2:6" x14ac:dyDescent="0.15">
      <c r="B438" s="20" t="s">
        <v>3</v>
      </c>
      <c r="C438" s="13"/>
      <c r="D438" s="12"/>
      <c r="E438" s="19">
        <f t="shared" si="66"/>
        <v>0</v>
      </c>
      <c r="F438" s="33"/>
    </row>
    <row r="439" spans="2:6" ht="14.25" thickBot="1" x14ac:dyDescent="0.2">
      <c r="B439" s="20" t="s">
        <v>3</v>
      </c>
      <c r="C439" s="13"/>
      <c r="D439" s="12"/>
      <c r="E439" s="19">
        <f t="shared" si="66"/>
        <v>0</v>
      </c>
      <c r="F439" s="33"/>
    </row>
    <row r="440" spans="2:6" ht="14.25" thickBot="1" x14ac:dyDescent="0.2">
      <c r="B440" s="9" t="s">
        <v>2</v>
      </c>
      <c r="C440" s="8">
        <f>SUM(C434:C439)</f>
        <v>50</v>
      </c>
      <c r="D440" s="7">
        <f>SUM(D434:D439)</f>
        <v>36</v>
      </c>
      <c r="E440" s="6">
        <f>SUM(E434:E439)</f>
        <v>86</v>
      </c>
    </row>
    <row r="441" spans="2:6" x14ac:dyDescent="0.15">
      <c r="B441" s="11" t="s">
        <v>107</v>
      </c>
      <c r="C441" s="13">
        <v>1</v>
      </c>
      <c r="D441" s="12"/>
      <c r="E441" s="10">
        <f t="shared" ref="E441:E456" si="67">SUM(C441:D441)</f>
        <v>1</v>
      </c>
      <c r="F441" s="33">
        <v>46178</v>
      </c>
    </row>
    <row r="442" spans="2:6" x14ac:dyDescent="0.15">
      <c r="B442" s="11" t="s">
        <v>107</v>
      </c>
      <c r="C442" s="13">
        <v>2</v>
      </c>
      <c r="D442" s="12"/>
      <c r="E442" s="10">
        <f t="shared" si="67"/>
        <v>2</v>
      </c>
      <c r="F442" s="33">
        <v>46181</v>
      </c>
    </row>
    <row r="443" spans="2:6" x14ac:dyDescent="0.15">
      <c r="B443" s="11" t="s">
        <v>12</v>
      </c>
      <c r="C443" s="13"/>
      <c r="D443" s="12">
        <v>1</v>
      </c>
      <c r="E443" s="10">
        <f t="shared" si="67"/>
        <v>1</v>
      </c>
      <c r="F443" s="33">
        <v>46181</v>
      </c>
    </row>
    <row r="444" spans="2:6" x14ac:dyDescent="0.15">
      <c r="B444" s="11" t="s">
        <v>107</v>
      </c>
      <c r="C444" s="13">
        <v>1</v>
      </c>
      <c r="D444" s="12"/>
      <c r="E444" s="10">
        <f t="shared" si="67"/>
        <v>1</v>
      </c>
      <c r="F444" s="33">
        <v>46185</v>
      </c>
    </row>
    <row r="445" spans="2:6" x14ac:dyDescent="0.15">
      <c r="B445" s="11" t="s">
        <v>107</v>
      </c>
      <c r="C445" s="13">
        <v>3</v>
      </c>
      <c r="D445" s="12"/>
      <c r="E445" s="10">
        <f t="shared" si="67"/>
        <v>3</v>
      </c>
      <c r="F445" s="33">
        <v>46185</v>
      </c>
    </row>
    <row r="446" spans="2:6" x14ac:dyDescent="0.15">
      <c r="B446" s="11" t="s">
        <v>107</v>
      </c>
      <c r="C446" s="13">
        <v>6</v>
      </c>
      <c r="D446" s="12"/>
      <c r="E446" s="10">
        <f t="shared" si="67"/>
        <v>6</v>
      </c>
      <c r="F446" s="33">
        <v>46188</v>
      </c>
    </row>
    <row r="447" spans="2:6" x14ac:dyDescent="0.15">
      <c r="B447" s="11" t="s">
        <v>107</v>
      </c>
      <c r="C447" s="13">
        <v>3</v>
      </c>
      <c r="D447" s="12">
        <v>3</v>
      </c>
      <c r="E447" s="10">
        <f t="shared" si="67"/>
        <v>6</v>
      </c>
      <c r="F447" s="33">
        <v>46190</v>
      </c>
    </row>
    <row r="448" spans="2:6" x14ac:dyDescent="0.15">
      <c r="B448" s="11" t="s">
        <v>107</v>
      </c>
      <c r="C448" s="13">
        <v>1</v>
      </c>
      <c r="D448" s="12"/>
      <c r="E448" s="10">
        <f t="shared" si="67"/>
        <v>1</v>
      </c>
      <c r="F448" s="33">
        <v>46191</v>
      </c>
    </row>
    <row r="449" spans="2:6" x14ac:dyDescent="0.15">
      <c r="B449" s="48" t="s">
        <v>107</v>
      </c>
      <c r="C449" s="49">
        <v>3</v>
      </c>
      <c r="D449" s="50"/>
      <c r="E449" s="51">
        <f t="shared" si="67"/>
        <v>3</v>
      </c>
      <c r="F449" s="52">
        <v>46192</v>
      </c>
    </row>
    <row r="450" spans="2:6" x14ac:dyDescent="0.15">
      <c r="B450" s="11"/>
      <c r="C450" s="13"/>
      <c r="D450" s="12"/>
      <c r="E450" s="10">
        <f t="shared" si="67"/>
        <v>0</v>
      </c>
    </row>
    <row r="451" spans="2:6" x14ac:dyDescent="0.15">
      <c r="B451" s="11"/>
      <c r="C451" s="13"/>
      <c r="D451" s="12"/>
      <c r="E451" s="10">
        <f t="shared" si="67"/>
        <v>0</v>
      </c>
    </row>
    <row r="452" spans="2:6" x14ac:dyDescent="0.15">
      <c r="B452" s="11"/>
      <c r="C452" s="13"/>
      <c r="D452" s="12"/>
      <c r="E452" s="10">
        <f t="shared" si="67"/>
        <v>0</v>
      </c>
    </row>
    <row r="453" spans="2:6" x14ac:dyDescent="0.15">
      <c r="B453" s="11"/>
      <c r="C453" s="13"/>
      <c r="D453" s="12"/>
      <c r="E453" s="10">
        <f t="shared" si="67"/>
        <v>0</v>
      </c>
    </row>
    <row r="454" spans="2:6" x14ac:dyDescent="0.15">
      <c r="B454" s="11"/>
      <c r="C454" s="13"/>
      <c r="D454" s="12"/>
      <c r="E454" s="10">
        <f t="shared" si="67"/>
        <v>0</v>
      </c>
    </row>
    <row r="455" spans="2:6" x14ac:dyDescent="0.15">
      <c r="B455" s="11"/>
      <c r="C455" s="13"/>
      <c r="D455" s="12"/>
      <c r="E455" s="10">
        <f t="shared" si="67"/>
        <v>0</v>
      </c>
    </row>
    <row r="456" spans="2:6" x14ac:dyDescent="0.15">
      <c r="B456" s="11"/>
      <c r="C456" s="13"/>
      <c r="D456" s="12"/>
      <c r="E456" s="10">
        <f t="shared" si="67"/>
        <v>0</v>
      </c>
    </row>
    <row r="457" spans="2:6" x14ac:dyDescent="0.15">
      <c r="B457" s="11"/>
      <c r="C457" s="13"/>
      <c r="D457" s="12"/>
      <c r="E457" s="10">
        <f t="shared" ref="E457:E459" si="68">SUM(C457:D457)</f>
        <v>0</v>
      </c>
    </row>
    <row r="458" spans="2:6" x14ac:dyDescent="0.15">
      <c r="B458" s="11"/>
      <c r="C458" s="13"/>
      <c r="D458" s="12"/>
      <c r="E458" s="10">
        <f t="shared" si="68"/>
        <v>0</v>
      </c>
    </row>
    <row r="459" spans="2:6" x14ac:dyDescent="0.15">
      <c r="B459" s="11"/>
      <c r="C459" s="13"/>
      <c r="D459" s="12"/>
      <c r="E459" s="10">
        <f t="shared" si="68"/>
        <v>0</v>
      </c>
    </row>
    <row r="460" spans="2:6" x14ac:dyDescent="0.15">
      <c r="B460" s="11"/>
      <c r="C460" s="13"/>
      <c r="D460" s="12"/>
      <c r="E460" s="10">
        <f t="shared" ref="E460:E462" si="69">SUM(C460:D460)</f>
        <v>0</v>
      </c>
    </row>
    <row r="461" spans="2:6" x14ac:dyDescent="0.15">
      <c r="B461" s="11"/>
      <c r="C461" s="13"/>
      <c r="D461" s="12"/>
      <c r="E461" s="10">
        <f t="shared" si="69"/>
        <v>0</v>
      </c>
    </row>
    <row r="462" spans="2:6" x14ac:dyDescent="0.15">
      <c r="B462" s="11"/>
      <c r="C462" s="13"/>
      <c r="D462" s="12"/>
      <c r="E462" s="10">
        <f t="shared" si="69"/>
        <v>0</v>
      </c>
    </row>
    <row r="463" spans="2:6" x14ac:dyDescent="0.15">
      <c r="B463" s="11"/>
      <c r="C463" s="13"/>
      <c r="D463" s="12"/>
      <c r="E463" s="10">
        <f t="shared" ref="E463:E465" si="70">SUM(C463:D463)</f>
        <v>0</v>
      </c>
    </row>
    <row r="464" spans="2:6" x14ac:dyDescent="0.15">
      <c r="B464" s="11"/>
      <c r="C464" s="13"/>
      <c r="D464" s="12"/>
      <c r="E464" s="10">
        <f t="shared" si="70"/>
        <v>0</v>
      </c>
    </row>
    <row r="465" spans="2:6" ht="14.25" thickBot="1" x14ac:dyDescent="0.2">
      <c r="B465" s="41" t="s">
        <v>113</v>
      </c>
      <c r="C465" s="42">
        <v>15</v>
      </c>
      <c r="D465" s="43">
        <v>10</v>
      </c>
      <c r="E465" s="44">
        <f t="shared" si="70"/>
        <v>25</v>
      </c>
      <c r="F465" s="45" t="s">
        <v>114</v>
      </c>
    </row>
    <row r="466" spans="2:6" ht="14.25" thickBot="1" x14ac:dyDescent="0.2">
      <c r="B466" s="9" t="s">
        <v>1</v>
      </c>
      <c r="C466" s="8">
        <f>SUM(C441:C465)</f>
        <v>35</v>
      </c>
      <c r="D466" s="7">
        <f>SUM(D441:D465)</f>
        <v>14</v>
      </c>
      <c r="E466" s="6">
        <f>SUM(E441:E465)</f>
        <v>49</v>
      </c>
    </row>
    <row r="467" spans="2:6" ht="14.25" thickBot="1" x14ac:dyDescent="0.2">
      <c r="B467" s="5" t="s">
        <v>0</v>
      </c>
      <c r="C467" s="4">
        <f>+C440-C466</f>
        <v>15</v>
      </c>
      <c r="D467" s="3">
        <f>+D440-D466</f>
        <v>22</v>
      </c>
      <c r="E467" s="2">
        <f>+E440-E466</f>
        <v>37</v>
      </c>
    </row>
  </sheetData>
  <mergeCells count="5">
    <mergeCell ref="C157:E157"/>
    <mergeCell ref="C313:E313"/>
    <mergeCell ref="C352:E352"/>
    <mergeCell ref="C391:E391"/>
    <mergeCell ref="C430:E430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ｽﾄｰﾙ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2023-04-21T05:28:45Z</dcterms:created>
  <dcterms:modified xsi:type="dcterms:W3CDTF">2026-06-17T10:15:21Z</dcterms:modified>
</cp:coreProperties>
</file>