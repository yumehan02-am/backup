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成願\"/>
    </mc:Choice>
  </mc:AlternateContent>
  <xr:revisionPtr revIDLastSave="0" documentId="13_ncr:1_{B35999AB-9064-4000-87D8-E201D4A6FC0F}" xr6:coauthVersionLast="47" xr6:coauthVersionMax="47" xr10:uidLastSave="{00000000-0000-0000-0000-000000000000}"/>
  <bookViews>
    <workbookView xWindow="12465" yWindow="1410" windowWidth="16065" windowHeight="12450" xr2:uid="{00000000-000D-0000-FFFF-FFFF00000000}"/>
  </bookViews>
  <sheets>
    <sheet name="ﾊﾟｲﾙﾏﾌﾗ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7" i="1" l="1"/>
  <c r="H477" i="1"/>
  <c r="L477" i="1" s="1"/>
  <c r="K477" i="1"/>
  <c r="E448" i="1"/>
  <c r="H448" i="1"/>
  <c r="K448" i="1"/>
  <c r="L448" i="1"/>
  <c r="E453" i="1"/>
  <c r="L453" i="1" s="1"/>
  <c r="H453" i="1"/>
  <c r="K453" i="1"/>
  <c r="K478" i="1" s="1"/>
  <c r="E454" i="1"/>
  <c r="H454" i="1"/>
  <c r="K454" i="1"/>
  <c r="L454" i="1"/>
  <c r="E455" i="1"/>
  <c r="H455" i="1"/>
  <c r="K455" i="1"/>
  <c r="L455" i="1"/>
  <c r="E456" i="1"/>
  <c r="H456" i="1"/>
  <c r="K456" i="1"/>
  <c r="L456" i="1"/>
  <c r="E457" i="1"/>
  <c r="H457" i="1"/>
  <c r="K457" i="1"/>
  <c r="L457" i="1"/>
  <c r="E458" i="1"/>
  <c r="H458" i="1"/>
  <c r="K458" i="1"/>
  <c r="L458" i="1"/>
  <c r="E459" i="1"/>
  <c r="H459" i="1"/>
  <c r="K459" i="1"/>
  <c r="L459" i="1"/>
  <c r="E460" i="1"/>
  <c r="H460" i="1"/>
  <c r="K460" i="1"/>
  <c r="L460" i="1"/>
  <c r="E461" i="1"/>
  <c r="H461" i="1"/>
  <c r="K461" i="1"/>
  <c r="L461" i="1"/>
  <c r="E462" i="1"/>
  <c r="H462" i="1"/>
  <c r="K462" i="1"/>
  <c r="L462" i="1"/>
  <c r="E463" i="1"/>
  <c r="H463" i="1"/>
  <c r="K463" i="1"/>
  <c r="L463" i="1"/>
  <c r="E464" i="1"/>
  <c r="H464" i="1"/>
  <c r="K464" i="1"/>
  <c r="L464" i="1"/>
  <c r="E465" i="1"/>
  <c r="H465" i="1"/>
  <c r="K465" i="1"/>
  <c r="L465" i="1"/>
  <c r="E466" i="1"/>
  <c r="H466" i="1"/>
  <c r="K466" i="1"/>
  <c r="L466" i="1"/>
  <c r="E467" i="1"/>
  <c r="H467" i="1"/>
  <c r="K467" i="1"/>
  <c r="L467" i="1"/>
  <c r="E468" i="1"/>
  <c r="H468" i="1"/>
  <c r="K468" i="1"/>
  <c r="L468" i="1"/>
  <c r="E449" i="1"/>
  <c r="H449" i="1"/>
  <c r="K449" i="1"/>
  <c r="L449" i="1"/>
  <c r="E450" i="1"/>
  <c r="H450" i="1"/>
  <c r="K450" i="1"/>
  <c r="L450" i="1"/>
  <c r="J478" i="1"/>
  <c r="I478" i="1"/>
  <c r="G478" i="1"/>
  <c r="F478" i="1"/>
  <c r="D478" i="1"/>
  <c r="C478" i="1"/>
  <c r="K476" i="1"/>
  <c r="L476" i="1" s="1"/>
  <c r="H476" i="1"/>
  <c r="E476" i="1"/>
  <c r="K475" i="1"/>
  <c r="L475" i="1" s="1"/>
  <c r="H475" i="1"/>
  <c r="E475" i="1"/>
  <c r="K474" i="1"/>
  <c r="L474" i="1" s="1"/>
  <c r="H474" i="1"/>
  <c r="E474" i="1"/>
  <c r="K473" i="1"/>
  <c r="L473" i="1" s="1"/>
  <c r="H473" i="1"/>
  <c r="E473" i="1"/>
  <c r="K472" i="1"/>
  <c r="L472" i="1" s="1"/>
  <c r="H472" i="1"/>
  <c r="E472" i="1"/>
  <c r="K471" i="1"/>
  <c r="L471" i="1" s="1"/>
  <c r="H471" i="1"/>
  <c r="E471" i="1"/>
  <c r="K470" i="1"/>
  <c r="L470" i="1" s="1"/>
  <c r="H470" i="1"/>
  <c r="E470" i="1"/>
  <c r="K469" i="1"/>
  <c r="L469" i="1" s="1"/>
  <c r="H469" i="1"/>
  <c r="E469" i="1"/>
  <c r="H478" i="1"/>
  <c r="K451" i="1"/>
  <c r="H451" i="1"/>
  <c r="L451" i="1" s="1"/>
  <c r="E451" i="1"/>
  <c r="K447" i="1"/>
  <c r="H447" i="1"/>
  <c r="E447" i="1"/>
  <c r="G446" i="1"/>
  <c r="G452" i="1" s="1"/>
  <c r="E435" i="1"/>
  <c r="H435" i="1"/>
  <c r="L435" i="1" s="1"/>
  <c r="K435" i="1"/>
  <c r="E436" i="1"/>
  <c r="H436" i="1"/>
  <c r="K436" i="1"/>
  <c r="E437" i="1"/>
  <c r="H437" i="1"/>
  <c r="K437" i="1"/>
  <c r="L437" i="1"/>
  <c r="K413" i="1"/>
  <c r="H413" i="1"/>
  <c r="L413" i="1" s="1"/>
  <c r="E413" i="1"/>
  <c r="K414" i="1"/>
  <c r="H414" i="1"/>
  <c r="L414" i="1" s="1"/>
  <c r="E414" i="1"/>
  <c r="K397" i="1"/>
  <c r="H397" i="1"/>
  <c r="D397" i="1"/>
  <c r="C397" i="1"/>
  <c r="E397" i="1" s="1"/>
  <c r="D438" i="1"/>
  <c r="E407" i="1"/>
  <c r="H407" i="1"/>
  <c r="K407" i="1"/>
  <c r="L407" i="1"/>
  <c r="E408" i="1"/>
  <c r="L408" i="1" s="1"/>
  <c r="H408" i="1"/>
  <c r="K408" i="1"/>
  <c r="E409" i="1"/>
  <c r="L409" i="1" s="1"/>
  <c r="H409" i="1"/>
  <c r="K409" i="1"/>
  <c r="I438" i="1"/>
  <c r="G438" i="1"/>
  <c r="C438" i="1"/>
  <c r="K434" i="1"/>
  <c r="H434" i="1"/>
  <c r="L434" i="1" s="1"/>
  <c r="E434" i="1"/>
  <c r="K433" i="1"/>
  <c r="H433" i="1"/>
  <c r="E433" i="1"/>
  <c r="K432" i="1"/>
  <c r="H432" i="1"/>
  <c r="E432" i="1"/>
  <c r="K431" i="1"/>
  <c r="H431" i="1"/>
  <c r="E431" i="1"/>
  <c r="K430" i="1"/>
  <c r="H430" i="1"/>
  <c r="E430" i="1"/>
  <c r="K429" i="1"/>
  <c r="H429" i="1"/>
  <c r="E429" i="1"/>
  <c r="K428" i="1"/>
  <c r="J438" i="1"/>
  <c r="H428" i="1"/>
  <c r="E428" i="1"/>
  <c r="K427" i="1"/>
  <c r="H427" i="1"/>
  <c r="E427" i="1"/>
  <c r="K426" i="1"/>
  <c r="H426" i="1"/>
  <c r="E426" i="1"/>
  <c r="K425" i="1"/>
  <c r="H425" i="1"/>
  <c r="E425" i="1"/>
  <c r="K424" i="1"/>
  <c r="H424" i="1"/>
  <c r="E424" i="1"/>
  <c r="K423" i="1"/>
  <c r="H423" i="1"/>
  <c r="E423" i="1"/>
  <c r="K422" i="1"/>
  <c r="H422" i="1"/>
  <c r="E422" i="1"/>
  <c r="K421" i="1"/>
  <c r="H421" i="1"/>
  <c r="E421" i="1"/>
  <c r="K420" i="1"/>
  <c r="H420" i="1"/>
  <c r="E420" i="1"/>
  <c r="K419" i="1"/>
  <c r="H419" i="1"/>
  <c r="E419" i="1"/>
  <c r="K418" i="1"/>
  <c r="F438" i="1"/>
  <c r="E418" i="1"/>
  <c r="K417" i="1"/>
  <c r="H417" i="1"/>
  <c r="E417" i="1"/>
  <c r="K416" i="1"/>
  <c r="H416" i="1"/>
  <c r="E416" i="1"/>
  <c r="K415" i="1"/>
  <c r="H415" i="1"/>
  <c r="E415" i="1"/>
  <c r="K411" i="1"/>
  <c r="H411" i="1"/>
  <c r="L411" i="1" s="1"/>
  <c r="E411" i="1"/>
  <c r="K410" i="1"/>
  <c r="H410" i="1"/>
  <c r="L410" i="1" s="1"/>
  <c r="E410" i="1"/>
  <c r="E247" i="1"/>
  <c r="H247" i="1"/>
  <c r="K247" i="1"/>
  <c r="L247" i="1"/>
  <c r="J388" i="1"/>
  <c r="F388" i="1"/>
  <c r="F378" i="1"/>
  <c r="C354" i="1"/>
  <c r="C352" i="1"/>
  <c r="E330" i="1"/>
  <c r="H330" i="1"/>
  <c r="K330" i="1"/>
  <c r="L330" i="1"/>
  <c r="K329" i="1"/>
  <c r="H329" i="1"/>
  <c r="L329" i="1" s="1"/>
  <c r="E329" i="1"/>
  <c r="L328" i="1"/>
  <c r="K328" i="1"/>
  <c r="H328" i="1"/>
  <c r="E328" i="1"/>
  <c r="K327" i="1"/>
  <c r="H327" i="1"/>
  <c r="L327" i="1" s="1"/>
  <c r="E327" i="1"/>
  <c r="K334" i="1"/>
  <c r="K335" i="1"/>
  <c r="H334" i="1"/>
  <c r="H335" i="1"/>
  <c r="E334" i="1"/>
  <c r="E478" i="1" l="1"/>
  <c r="L436" i="1"/>
  <c r="L432" i="1"/>
  <c r="L430" i="1"/>
  <c r="G479" i="1"/>
  <c r="L478" i="1"/>
  <c r="L447" i="1"/>
  <c r="L397" i="1"/>
  <c r="K438" i="1"/>
  <c r="L416" i="1"/>
  <c r="L420" i="1"/>
  <c r="L422" i="1"/>
  <c r="L424" i="1"/>
  <c r="L426" i="1"/>
  <c r="L415" i="1"/>
  <c r="L417" i="1"/>
  <c r="L419" i="1"/>
  <c r="L421" i="1"/>
  <c r="L423" i="1"/>
  <c r="L425" i="1"/>
  <c r="L427" i="1"/>
  <c r="L428" i="1"/>
  <c r="L429" i="1"/>
  <c r="L431" i="1"/>
  <c r="L433" i="1"/>
  <c r="H418" i="1"/>
  <c r="L418" i="1" s="1"/>
  <c r="L334" i="1"/>
  <c r="J398" i="1"/>
  <c r="I398" i="1"/>
  <c r="G398" i="1"/>
  <c r="F398" i="1"/>
  <c r="D398" i="1"/>
  <c r="C398" i="1"/>
  <c r="K396" i="1"/>
  <c r="H396" i="1"/>
  <c r="E396" i="1"/>
  <c r="K395" i="1"/>
  <c r="H395" i="1"/>
  <c r="E395" i="1"/>
  <c r="K394" i="1"/>
  <c r="H394" i="1"/>
  <c r="E394" i="1"/>
  <c r="K393" i="1"/>
  <c r="H393" i="1"/>
  <c r="E393" i="1"/>
  <c r="K392" i="1"/>
  <c r="H392" i="1"/>
  <c r="E392" i="1"/>
  <c r="K391" i="1"/>
  <c r="H391" i="1"/>
  <c r="E391" i="1"/>
  <c r="K390" i="1"/>
  <c r="H390" i="1"/>
  <c r="E390" i="1"/>
  <c r="K389" i="1"/>
  <c r="H389" i="1"/>
  <c r="E389" i="1"/>
  <c r="K388" i="1"/>
  <c r="H388" i="1"/>
  <c r="L388" i="1" s="1"/>
  <c r="E388" i="1"/>
  <c r="K387" i="1"/>
  <c r="H387" i="1"/>
  <c r="L387" i="1" s="1"/>
  <c r="E387" i="1"/>
  <c r="K386" i="1"/>
  <c r="H386" i="1"/>
  <c r="E386" i="1"/>
  <c r="K385" i="1"/>
  <c r="H385" i="1"/>
  <c r="L385" i="1" s="1"/>
  <c r="E385" i="1"/>
  <c r="K384" i="1"/>
  <c r="H384" i="1"/>
  <c r="E384" i="1"/>
  <c r="K383" i="1"/>
  <c r="L383" i="1" s="1"/>
  <c r="H383" i="1"/>
  <c r="E383" i="1"/>
  <c r="K382" i="1"/>
  <c r="H382" i="1"/>
  <c r="L382" i="1" s="1"/>
  <c r="E382" i="1"/>
  <c r="K381" i="1"/>
  <c r="H381" i="1"/>
  <c r="L381" i="1" s="1"/>
  <c r="E381" i="1"/>
  <c r="K380" i="1"/>
  <c r="H380" i="1"/>
  <c r="E380" i="1"/>
  <c r="K379" i="1"/>
  <c r="H379" i="1"/>
  <c r="L379" i="1" s="1"/>
  <c r="E379" i="1"/>
  <c r="K378" i="1"/>
  <c r="H378" i="1"/>
  <c r="E378" i="1"/>
  <c r="K377" i="1"/>
  <c r="H377" i="1"/>
  <c r="E377" i="1"/>
  <c r="K376" i="1"/>
  <c r="H376" i="1"/>
  <c r="E376" i="1"/>
  <c r="K375" i="1"/>
  <c r="H375" i="1"/>
  <c r="L375" i="1" s="1"/>
  <c r="E375" i="1"/>
  <c r="K374" i="1"/>
  <c r="H374" i="1"/>
  <c r="E374" i="1"/>
  <c r="K373" i="1"/>
  <c r="H373" i="1"/>
  <c r="E373" i="1"/>
  <c r="K371" i="1"/>
  <c r="H371" i="1"/>
  <c r="E371" i="1"/>
  <c r="K370" i="1"/>
  <c r="H370" i="1"/>
  <c r="L370" i="1" s="1"/>
  <c r="E370" i="1"/>
  <c r="K369" i="1"/>
  <c r="H369" i="1"/>
  <c r="E369" i="1"/>
  <c r="K368" i="1"/>
  <c r="H368" i="1"/>
  <c r="E368" i="1"/>
  <c r="K367" i="1"/>
  <c r="H367" i="1"/>
  <c r="E367" i="1"/>
  <c r="E333" i="1"/>
  <c r="H333" i="1"/>
  <c r="K333" i="1"/>
  <c r="L333" i="1"/>
  <c r="E335" i="1"/>
  <c r="L335" i="1" s="1"/>
  <c r="E336" i="1"/>
  <c r="H336" i="1"/>
  <c r="L336" i="1" s="1"/>
  <c r="K336" i="1"/>
  <c r="E337" i="1"/>
  <c r="L337" i="1" s="1"/>
  <c r="H337" i="1"/>
  <c r="K337" i="1"/>
  <c r="E338" i="1"/>
  <c r="H338" i="1"/>
  <c r="L338" i="1" s="1"/>
  <c r="K338" i="1"/>
  <c r="E339" i="1"/>
  <c r="H339" i="1"/>
  <c r="K339" i="1"/>
  <c r="E340" i="1"/>
  <c r="L340" i="1" s="1"/>
  <c r="H340" i="1"/>
  <c r="K340" i="1"/>
  <c r="E341" i="1"/>
  <c r="H341" i="1"/>
  <c r="L341" i="1" s="1"/>
  <c r="K341" i="1"/>
  <c r="J358" i="1"/>
  <c r="I358" i="1"/>
  <c r="G358" i="1"/>
  <c r="F358" i="1"/>
  <c r="D358" i="1"/>
  <c r="C358" i="1"/>
  <c r="K357" i="1"/>
  <c r="H357" i="1"/>
  <c r="E357" i="1"/>
  <c r="K356" i="1"/>
  <c r="H356" i="1"/>
  <c r="L356" i="1" s="1"/>
  <c r="E356" i="1"/>
  <c r="K355" i="1"/>
  <c r="H355" i="1"/>
  <c r="E355" i="1"/>
  <c r="K354" i="1"/>
  <c r="H354" i="1"/>
  <c r="E354" i="1"/>
  <c r="K353" i="1"/>
  <c r="H353" i="1"/>
  <c r="E353" i="1"/>
  <c r="K352" i="1"/>
  <c r="H352" i="1"/>
  <c r="E352" i="1"/>
  <c r="K351" i="1"/>
  <c r="H351" i="1"/>
  <c r="L351" i="1" s="1"/>
  <c r="E351" i="1"/>
  <c r="K350" i="1"/>
  <c r="H350" i="1"/>
  <c r="E350" i="1"/>
  <c r="K349" i="1"/>
  <c r="H349" i="1"/>
  <c r="L349" i="1" s="1"/>
  <c r="E349" i="1"/>
  <c r="K348" i="1"/>
  <c r="H348" i="1"/>
  <c r="E348" i="1"/>
  <c r="K347" i="1"/>
  <c r="H347" i="1"/>
  <c r="E347" i="1"/>
  <c r="K346" i="1"/>
  <c r="H346" i="1"/>
  <c r="L346" i="1" s="1"/>
  <c r="E346" i="1"/>
  <c r="K345" i="1"/>
  <c r="H345" i="1"/>
  <c r="L345" i="1" s="1"/>
  <c r="E345" i="1"/>
  <c r="K344" i="1"/>
  <c r="H344" i="1"/>
  <c r="E344" i="1"/>
  <c r="K343" i="1"/>
  <c r="H343" i="1"/>
  <c r="L343" i="1" s="1"/>
  <c r="E343" i="1"/>
  <c r="K342" i="1"/>
  <c r="H342" i="1"/>
  <c r="L342" i="1" s="1"/>
  <c r="E342" i="1"/>
  <c r="K331" i="1"/>
  <c r="H331" i="1"/>
  <c r="L331" i="1" s="1"/>
  <c r="E331" i="1"/>
  <c r="C298" i="1"/>
  <c r="E293" i="1"/>
  <c r="H293" i="1"/>
  <c r="L293" i="1" s="1"/>
  <c r="K293" i="1"/>
  <c r="E294" i="1"/>
  <c r="H294" i="1"/>
  <c r="L294" i="1" s="1"/>
  <c r="K294" i="1"/>
  <c r="E295" i="1"/>
  <c r="H295" i="1"/>
  <c r="K295" i="1"/>
  <c r="E296" i="1"/>
  <c r="H296" i="1"/>
  <c r="K296" i="1"/>
  <c r="L296" i="1"/>
  <c r="E297" i="1"/>
  <c r="H297" i="1"/>
  <c r="K297" i="1"/>
  <c r="E298" i="1"/>
  <c r="L298" i="1" s="1"/>
  <c r="H298" i="1"/>
  <c r="K298" i="1"/>
  <c r="J318" i="1"/>
  <c r="I318" i="1"/>
  <c r="G318" i="1"/>
  <c r="D318" i="1"/>
  <c r="K317" i="1"/>
  <c r="H317" i="1"/>
  <c r="E317" i="1"/>
  <c r="L317" i="1" s="1"/>
  <c r="K316" i="1"/>
  <c r="H316" i="1"/>
  <c r="L316" i="1" s="1"/>
  <c r="E316" i="1"/>
  <c r="K315" i="1"/>
  <c r="H315" i="1"/>
  <c r="L315" i="1" s="1"/>
  <c r="E315" i="1"/>
  <c r="K314" i="1"/>
  <c r="H314" i="1"/>
  <c r="E314" i="1"/>
  <c r="L314" i="1" s="1"/>
  <c r="K313" i="1"/>
  <c r="H313" i="1"/>
  <c r="L313" i="1" s="1"/>
  <c r="E313" i="1"/>
  <c r="K312" i="1"/>
  <c r="H312" i="1"/>
  <c r="L312" i="1" s="1"/>
  <c r="E312" i="1"/>
  <c r="K311" i="1"/>
  <c r="H311" i="1"/>
  <c r="E311" i="1"/>
  <c r="L311" i="1" s="1"/>
  <c r="K310" i="1"/>
  <c r="H310" i="1"/>
  <c r="L310" i="1" s="1"/>
  <c r="E310" i="1"/>
  <c r="K309" i="1"/>
  <c r="H309" i="1"/>
  <c r="L309" i="1" s="1"/>
  <c r="E309" i="1"/>
  <c r="K308" i="1"/>
  <c r="H308" i="1"/>
  <c r="E308" i="1"/>
  <c r="L308" i="1" s="1"/>
  <c r="K307" i="1"/>
  <c r="H307" i="1"/>
  <c r="L307" i="1" s="1"/>
  <c r="E307" i="1"/>
  <c r="K306" i="1"/>
  <c r="H306" i="1"/>
  <c r="L306" i="1" s="1"/>
  <c r="E306" i="1"/>
  <c r="K305" i="1"/>
  <c r="H305" i="1"/>
  <c r="E305" i="1"/>
  <c r="L305" i="1" s="1"/>
  <c r="K304" i="1"/>
  <c r="H304" i="1"/>
  <c r="L304" i="1" s="1"/>
  <c r="E304" i="1"/>
  <c r="K303" i="1"/>
  <c r="H303" i="1"/>
  <c r="E303" i="1"/>
  <c r="K302" i="1"/>
  <c r="H302" i="1"/>
  <c r="E302" i="1"/>
  <c r="L302" i="1" s="1"/>
  <c r="K301" i="1"/>
  <c r="H301" i="1"/>
  <c r="E301" i="1"/>
  <c r="K300" i="1"/>
  <c r="H300" i="1"/>
  <c r="E300" i="1"/>
  <c r="K299" i="1"/>
  <c r="H299" i="1"/>
  <c r="E299" i="1"/>
  <c r="F318" i="1"/>
  <c r="L291" i="1"/>
  <c r="K291" i="1"/>
  <c r="H291" i="1"/>
  <c r="E291" i="1"/>
  <c r="K290" i="1"/>
  <c r="H290" i="1"/>
  <c r="L290" i="1" s="1"/>
  <c r="E290" i="1"/>
  <c r="K289" i="1"/>
  <c r="H289" i="1"/>
  <c r="E289" i="1"/>
  <c r="L289" i="1" s="1"/>
  <c r="L288" i="1"/>
  <c r="K288" i="1"/>
  <c r="H288" i="1"/>
  <c r="E288" i="1"/>
  <c r="K287" i="1"/>
  <c r="H287" i="1"/>
  <c r="L287" i="1" s="1"/>
  <c r="E287" i="1"/>
  <c r="F256" i="1"/>
  <c r="H256" i="1" s="1"/>
  <c r="C253" i="1"/>
  <c r="E248" i="1"/>
  <c r="H248" i="1"/>
  <c r="K248" i="1"/>
  <c r="L248" i="1"/>
  <c r="E249" i="1"/>
  <c r="H249" i="1"/>
  <c r="L249" i="1" s="1"/>
  <c r="K249" i="1"/>
  <c r="E253" i="1"/>
  <c r="H253" i="1"/>
  <c r="L253" i="1" s="1"/>
  <c r="K253" i="1"/>
  <c r="E254" i="1"/>
  <c r="H254" i="1"/>
  <c r="K254" i="1"/>
  <c r="E255" i="1"/>
  <c r="H255" i="1"/>
  <c r="K255" i="1"/>
  <c r="E256" i="1"/>
  <c r="K256" i="1"/>
  <c r="E257" i="1"/>
  <c r="H257" i="1"/>
  <c r="L257" i="1" s="1"/>
  <c r="K257" i="1"/>
  <c r="E258" i="1"/>
  <c r="H258" i="1"/>
  <c r="K258" i="1"/>
  <c r="L258" i="1"/>
  <c r="E259" i="1"/>
  <c r="H259" i="1"/>
  <c r="K259" i="1"/>
  <c r="L259" i="1" s="1"/>
  <c r="E260" i="1"/>
  <c r="H260" i="1"/>
  <c r="L260" i="1" s="1"/>
  <c r="K260" i="1"/>
  <c r="E261" i="1"/>
  <c r="H261" i="1"/>
  <c r="K261" i="1"/>
  <c r="L261" i="1"/>
  <c r="E262" i="1"/>
  <c r="H262" i="1"/>
  <c r="K262" i="1"/>
  <c r="L262" i="1" s="1"/>
  <c r="E263" i="1"/>
  <c r="H263" i="1"/>
  <c r="L263" i="1" s="1"/>
  <c r="K263" i="1"/>
  <c r="E264" i="1"/>
  <c r="H264" i="1"/>
  <c r="K264" i="1"/>
  <c r="L264" i="1"/>
  <c r="E265" i="1"/>
  <c r="H265" i="1"/>
  <c r="K265" i="1"/>
  <c r="L265" i="1" s="1"/>
  <c r="E266" i="1"/>
  <c r="H266" i="1"/>
  <c r="L266" i="1" s="1"/>
  <c r="K266" i="1"/>
  <c r="E267" i="1"/>
  <c r="H267" i="1"/>
  <c r="K267" i="1"/>
  <c r="L267" i="1"/>
  <c r="E268" i="1"/>
  <c r="H268" i="1"/>
  <c r="K268" i="1"/>
  <c r="L268" i="1" s="1"/>
  <c r="E269" i="1"/>
  <c r="H269" i="1"/>
  <c r="L269" i="1" s="1"/>
  <c r="K269" i="1"/>
  <c r="E270" i="1"/>
  <c r="H270" i="1"/>
  <c r="K270" i="1"/>
  <c r="L270" i="1"/>
  <c r="E271" i="1"/>
  <c r="H271" i="1"/>
  <c r="K271" i="1"/>
  <c r="L271" i="1" s="1"/>
  <c r="E272" i="1"/>
  <c r="H272" i="1"/>
  <c r="L272" i="1" s="1"/>
  <c r="K272" i="1"/>
  <c r="E273" i="1"/>
  <c r="H273" i="1"/>
  <c r="K273" i="1"/>
  <c r="L273" i="1"/>
  <c r="E274" i="1"/>
  <c r="H274" i="1"/>
  <c r="K274" i="1"/>
  <c r="L274" i="1" s="1"/>
  <c r="E275" i="1"/>
  <c r="H275" i="1"/>
  <c r="L275" i="1" s="1"/>
  <c r="K275" i="1"/>
  <c r="I278" i="1"/>
  <c r="K277" i="1"/>
  <c r="H277" i="1"/>
  <c r="L277" i="1" s="1"/>
  <c r="E277" i="1"/>
  <c r="K276" i="1"/>
  <c r="H276" i="1"/>
  <c r="L276" i="1" s="1"/>
  <c r="E276" i="1"/>
  <c r="J278" i="1"/>
  <c r="G278" i="1"/>
  <c r="D278" i="1"/>
  <c r="C278" i="1"/>
  <c r="K251" i="1"/>
  <c r="H251" i="1"/>
  <c r="L251" i="1" s="1"/>
  <c r="E251" i="1"/>
  <c r="K250" i="1"/>
  <c r="H250" i="1"/>
  <c r="L250" i="1" s="1"/>
  <c r="E250" i="1"/>
  <c r="K246" i="1"/>
  <c r="J246" i="1"/>
  <c r="J252" i="1" s="1"/>
  <c r="I246" i="1"/>
  <c r="I252" i="1" s="1"/>
  <c r="H246" i="1"/>
  <c r="G246" i="1"/>
  <c r="G252" i="1" s="1"/>
  <c r="F246" i="1"/>
  <c r="F252" i="1" s="1"/>
  <c r="D232" i="1"/>
  <c r="C232" i="1"/>
  <c r="E232" i="1" s="1"/>
  <c r="F232" i="1"/>
  <c r="D225" i="1"/>
  <c r="J222" i="1"/>
  <c r="D222" i="1"/>
  <c r="C222" i="1"/>
  <c r="E222" i="1" s="1"/>
  <c r="K222" i="1"/>
  <c r="I222" i="1"/>
  <c r="G222" i="1"/>
  <c r="F222" i="1"/>
  <c r="F238" i="1" s="1"/>
  <c r="I219" i="1"/>
  <c r="D219" i="1"/>
  <c r="C219" i="1"/>
  <c r="E219" i="1" s="1"/>
  <c r="C218" i="1"/>
  <c r="C215" i="1"/>
  <c r="F214" i="1"/>
  <c r="E213" i="1"/>
  <c r="H213" i="1"/>
  <c r="K213" i="1"/>
  <c r="L213" i="1"/>
  <c r="E214" i="1"/>
  <c r="H214" i="1"/>
  <c r="K214" i="1"/>
  <c r="H215" i="1"/>
  <c r="K215" i="1"/>
  <c r="E216" i="1"/>
  <c r="H216" i="1"/>
  <c r="K216" i="1"/>
  <c r="E217" i="1"/>
  <c r="H217" i="1"/>
  <c r="K217" i="1"/>
  <c r="L217" i="1"/>
  <c r="E218" i="1"/>
  <c r="H218" i="1"/>
  <c r="K218" i="1"/>
  <c r="H219" i="1"/>
  <c r="K219" i="1"/>
  <c r="E220" i="1"/>
  <c r="L220" i="1" s="1"/>
  <c r="H220" i="1"/>
  <c r="K220" i="1"/>
  <c r="E221" i="1"/>
  <c r="H221" i="1"/>
  <c r="K221" i="1"/>
  <c r="L221" i="1"/>
  <c r="H222" i="1"/>
  <c r="E223" i="1"/>
  <c r="H223" i="1"/>
  <c r="L223" i="1" s="1"/>
  <c r="K223" i="1"/>
  <c r="E224" i="1"/>
  <c r="H224" i="1"/>
  <c r="K224" i="1"/>
  <c r="E225" i="1"/>
  <c r="H225" i="1"/>
  <c r="K225" i="1"/>
  <c r="E226" i="1"/>
  <c r="H226" i="1"/>
  <c r="K226" i="1"/>
  <c r="E227" i="1"/>
  <c r="H227" i="1"/>
  <c r="K227" i="1"/>
  <c r="E228" i="1"/>
  <c r="H228" i="1"/>
  <c r="K228" i="1"/>
  <c r="E229" i="1"/>
  <c r="L229" i="1" s="1"/>
  <c r="H229" i="1"/>
  <c r="K229" i="1"/>
  <c r="E230" i="1"/>
  <c r="H230" i="1"/>
  <c r="L230" i="1" s="1"/>
  <c r="K230" i="1"/>
  <c r="E231" i="1"/>
  <c r="L231" i="1" s="1"/>
  <c r="H231" i="1"/>
  <c r="K231" i="1"/>
  <c r="H232" i="1"/>
  <c r="K232" i="1"/>
  <c r="E233" i="1"/>
  <c r="L233" i="1" s="1"/>
  <c r="H233" i="1"/>
  <c r="K233" i="1"/>
  <c r="E234" i="1"/>
  <c r="H234" i="1"/>
  <c r="K234" i="1"/>
  <c r="E235" i="1"/>
  <c r="L235" i="1" s="1"/>
  <c r="H235" i="1"/>
  <c r="K235" i="1"/>
  <c r="E207" i="1"/>
  <c r="H207" i="1"/>
  <c r="K207" i="1"/>
  <c r="L207" i="1"/>
  <c r="E208" i="1"/>
  <c r="H208" i="1"/>
  <c r="L208" i="1" s="1"/>
  <c r="K208" i="1"/>
  <c r="E209" i="1"/>
  <c r="L209" i="1" s="1"/>
  <c r="H209" i="1"/>
  <c r="K209" i="1"/>
  <c r="I238" i="1"/>
  <c r="G238" i="1"/>
  <c r="K237" i="1"/>
  <c r="H237" i="1"/>
  <c r="E237" i="1"/>
  <c r="K236" i="1"/>
  <c r="H236" i="1"/>
  <c r="E236" i="1"/>
  <c r="J212" i="1"/>
  <c r="I212" i="1"/>
  <c r="K211" i="1"/>
  <c r="H211" i="1"/>
  <c r="E211" i="1"/>
  <c r="K210" i="1"/>
  <c r="H210" i="1"/>
  <c r="E210" i="1"/>
  <c r="K206" i="1"/>
  <c r="K212" i="1" s="1"/>
  <c r="J206" i="1"/>
  <c r="I206" i="1"/>
  <c r="G206" i="1"/>
  <c r="G212" i="1" s="1"/>
  <c r="C206" i="1"/>
  <c r="C212" i="1" s="1"/>
  <c r="E173" i="1"/>
  <c r="H173" i="1"/>
  <c r="L173" i="1" s="1"/>
  <c r="K173" i="1"/>
  <c r="E174" i="1"/>
  <c r="H174" i="1"/>
  <c r="L174" i="1" s="1"/>
  <c r="K174" i="1"/>
  <c r="E175" i="1"/>
  <c r="H175" i="1"/>
  <c r="K175" i="1"/>
  <c r="L175" i="1" s="1"/>
  <c r="E176" i="1"/>
  <c r="H176" i="1"/>
  <c r="K176" i="1"/>
  <c r="L176" i="1"/>
  <c r="E177" i="1"/>
  <c r="L177" i="1" s="1"/>
  <c r="H177" i="1"/>
  <c r="K177" i="1"/>
  <c r="E178" i="1"/>
  <c r="H178" i="1"/>
  <c r="K178" i="1"/>
  <c r="L178" i="1"/>
  <c r="E179" i="1"/>
  <c r="L179" i="1" s="1"/>
  <c r="H179" i="1"/>
  <c r="K179" i="1"/>
  <c r="E180" i="1"/>
  <c r="H180" i="1"/>
  <c r="K180" i="1"/>
  <c r="E181" i="1"/>
  <c r="L181" i="1" s="1"/>
  <c r="H181" i="1"/>
  <c r="K181" i="1"/>
  <c r="E182" i="1"/>
  <c r="L182" i="1" s="1"/>
  <c r="H182" i="1"/>
  <c r="K182" i="1"/>
  <c r="E183" i="1"/>
  <c r="L183" i="1" s="1"/>
  <c r="H183" i="1"/>
  <c r="K183" i="1"/>
  <c r="E184" i="1"/>
  <c r="H184" i="1"/>
  <c r="K184" i="1"/>
  <c r="E185" i="1"/>
  <c r="H185" i="1"/>
  <c r="K185" i="1"/>
  <c r="L185" i="1"/>
  <c r="E186" i="1"/>
  <c r="H186" i="1"/>
  <c r="K186" i="1"/>
  <c r="E187" i="1"/>
  <c r="H187" i="1"/>
  <c r="K187" i="1"/>
  <c r="E188" i="1"/>
  <c r="L188" i="1" s="1"/>
  <c r="H188" i="1"/>
  <c r="K188" i="1"/>
  <c r="E189" i="1"/>
  <c r="L189" i="1" s="1"/>
  <c r="H189" i="1"/>
  <c r="K189" i="1"/>
  <c r="E190" i="1"/>
  <c r="H190" i="1"/>
  <c r="L190" i="1" s="1"/>
  <c r="K190" i="1"/>
  <c r="E191" i="1"/>
  <c r="H191" i="1"/>
  <c r="K191" i="1"/>
  <c r="E192" i="1"/>
  <c r="H192" i="1"/>
  <c r="K192" i="1"/>
  <c r="E193" i="1"/>
  <c r="L193" i="1" s="1"/>
  <c r="H193" i="1"/>
  <c r="K193" i="1"/>
  <c r="E194" i="1"/>
  <c r="H194" i="1"/>
  <c r="K194" i="1"/>
  <c r="E195" i="1"/>
  <c r="L195" i="1" s="1"/>
  <c r="H195" i="1"/>
  <c r="K195" i="1"/>
  <c r="E167" i="1"/>
  <c r="H167" i="1"/>
  <c r="K167" i="1"/>
  <c r="L167" i="1"/>
  <c r="J198" i="1"/>
  <c r="I198" i="1"/>
  <c r="G198" i="1"/>
  <c r="F198" i="1"/>
  <c r="D198" i="1"/>
  <c r="C198" i="1"/>
  <c r="K197" i="1"/>
  <c r="H197" i="1"/>
  <c r="L197" i="1" s="1"/>
  <c r="E197" i="1"/>
  <c r="K196" i="1"/>
  <c r="H196" i="1"/>
  <c r="L196" i="1" s="1"/>
  <c r="E196" i="1"/>
  <c r="K171" i="1"/>
  <c r="H171" i="1"/>
  <c r="L171" i="1" s="1"/>
  <c r="E171" i="1"/>
  <c r="K170" i="1"/>
  <c r="H170" i="1"/>
  <c r="L170" i="1" s="1"/>
  <c r="E170" i="1"/>
  <c r="K169" i="1"/>
  <c r="H169" i="1"/>
  <c r="L169" i="1" s="1"/>
  <c r="E169" i="1"/>
  <c r="K168" i="1"/>
  <c r="H168" i="1"/>
  <c r="E168" i="1"/>
  <c r="C166" i="1"/>
  <c r="C172" i="1" s="1"/>
  <c r="E155" i="1"/>
  <c r="H155" i="1"/>
  <c r="K155" i="1"/>
  <c r="E156" i="1"/>
  <c r="H156" i="1"/>
  <c r="K156" i="1"/>
  <c r="E157" i="1"/>
  <c r="H157" i="1"/>
  <c r="K157" i="1"/>
  <c r="E133" i="1"/>
  <c r="H133" i="1"/>
  <c r="K133" i="1"/>
  <c r="E134" i="1"/>
  <c r="H134" i="1"/>
  <c r="K134" i="1"/>
  <c r="E135" i="1"/>
  <c r="H135" i="1"/>
  <c r="K135" i="1"/>
  <c r="E136" i="1"/>
  <c r="H136" i="1"/>
  <c r="K136" i="1"/>
  <c r="E137" i="1"/>
  <c r="H137" i="1"/>
  <c r="K137" i="1"/>
  <c r="E138" i="1"/>
  <c r="H138" i="1"/>
  <c r="K138" i="1"/>
  <c r="E139" i="1"/>
  <c r="H139" i="1"/>
  <c r="K139" i="1"/>
  <c r="E140" i="1"/>
  <c r="H140" i="1"/>
  <c r="K140" i="1"/>
  <c r="E141" i="1"/>
  <c r="H141" i="1"/>
  <c r="K141" i="1"/>
  <c r="E142" i="1"/>
  <c r="H142" i="1"/>
  <c r="K142" i="1"/>
  <c r="E143" i="1"/>
  <c r="H143" i="1"/>
  <c r="K143" i="1"/>
  <c r="E144" i="1"/>
  <c r="H144" i="1"/>
  <c r="K144" i="1"/>
  <c r="E145" i="1"/>
  <c r="H145" i="1"/>
  <c r="K145" i="1"/>
  <c r="E146" i="1"/>
  <c r="H146" i="1"/>
  <c r="K146" i="1"/>
  <c r="E147" i="1"/>
  <c r="H147" i="1"/>
  <c r="K147" i="1"/>
  <c r="E148" i="1"/>
  <c r="H148" i="1"/>
  <c r="K148" i="1"/>
  <c r="E149" i="1"/>
  <c r="H149" i="1"/>
  <c r="K149" i="1"/>
  <c r="E150" i="1"/>
  <c r="H150" i="1"/>
  <c r="K150" i="1"/>
  <c r="E128" i="1"/>
  <c r="H128" i="1"/>
  <c r="K128" i="1"/>
  <c r="J158" i="1"/>
  <c r="I158" i="1"/>
  <c r="G158" i="1"/>
  <c r="F158" i="1"/>
  <c r="D158" i="1"/>
  <c r="C158" i="1"/>
  <c r="K154" i="1"/>
  <c r="H154" i="1"/>
  <c r="E154" i="1"/>
  <c r="K153" i="1"/>
  <c r="H153" i="1"/>
  <c r="E153" i="1"/>
  <c r="K152" i="1"/>
  <c r="H152" i="1"/>
  <c r="E152" i="1"/>
  <c r="K151" i="1"/>
  <c r="H151" i="1"/>
  <c r="E151" i="1"/>
  <c r="K131" i="1"/>
  <c r="H131" i="1"/>
  <c r="E131" i="1"/>
  <c r="K130" i="1"/>
  <c r="H130" i="1"/>
  <c r="E130" i="1"/>
  <c r="K129" i="1"/>
  <c r="H129" i="1"/>
  <c r="E129" i="1"/>
  <c r="K127" i="1"/>
  <c r="H127" i="1"/>
  <c r="E127" i="1"/>
  <c r="L396" i="1" l="1"/>
  <c r="E438" i="1"/>
  <c r="L438" i="1"/>
  <c r="H438" i="1"/>
  <c r="L395" i="1"/>
  <c r="L394" i="1"/>
  <c r="L369" i="1"/>
  <c r="L393" i="1"/>
  <c r="L371" i="1"/>
  <c r="L211" i="1"/>
  <c r="L210" i="1"/>
  <c r="L392" i="1"/>
  <c r="L391" i="1"/>
  <c r="L390" i="1"/>
  <c r="L368" i="1"/>
  <c r="L389" i="1"/>
  <c r="L367" i="1"/>
  <c r="L386" i="1"/>
  <c r="L384" i="1"/>
  <c r="L380" i="1"/>
  <c r="L378" i="1"/>
  <c r="L377" i="1"/>
  <c r="L376" i="1"/>
  <c r="E398" i="1"/>
  <c r="H398" i="1"/>
  <c r="K398" i="1"/>
  <c r="L357" i="1"/>
  <c r="L355" i="1"/>
  <c r="L354" i="1"/>
  <c r="L353" i="1"/>
  <c r="L352" i="1"/>
  <c r="L350" i="1"/>
  <c r="L348" i="1"/>
  <c r="K358" i="1"/>
  <c r="L347" i="1"/>
  <c r="L344" i="1"/>
  <c r="L339" i="1"/>
  <c r="H358" i="1"/>
  <c r="E358" i="1"/>
  <c r="L374" i="1"/>
  <c r="L373" i="1"/>
  <c r="L303" i="1"/>
  <c r="L301" i="1"/>
  <c r="L300" i="1"/>
  <c r="K318" i="1"/>
  <c r="L299" i="1"/>
  <c r="L297" i="1"/>
  <c r="L295" i="1"/>
  <c r="E318" i="1"/>
  <c r="H318" i="1"/>
  <c r="C318" i="1"/>
  <c r="L256" i="1"/>
  <c r="L255" i="1"/>
  <c r="L254" i="1"/>
  <c r="J279" i="1"/>
  <c r="J286" i="1" s="1"/>
  <c r="J292" i="1" s="1"/>
  <c r="J319" i="1" s="1"/>
  <c r="J326" i="1" s="1"/>
  <c r="J332" i="1" s="1"/>
  <c r="J359" i="1" s="1"/>
  <c r="J366" i="1" s="1"/>
  <c r="J372" i="1" s="1"/>
  <c r="J399" i="1" s="1"/>
  <c r="J406" i="1" s="1"/>
  <c r="J412" i="1" s="1"/>
  <c r="J439" i="1" s="1"/>
  <c r="J446" i="1" s="1"/>
  <c r="J452" i="1" s="1"/>
  <c r="J479" i="1" s="1"/>
  <c r="L237" i="1"/>
  <c r="K252" i="1"/>
  <c r="H252" i="1"/>
  <c r="G279" i="1"/>
  <c r="G286" i="1" s="1"/>
  <c r="G292" i="1" s="1"/>
  <c r="G319" i="1" s="1"/>
  <c r="G326" i="1" s="1"/>
  <c r="G332" i="1" s="1"/>
  <c r="G359" i="1" s="1"/>
  <c r="G366" i="1" s="1"/>
  <c r="G372" i="1" s="1"/>
  <c r="G399" i="1" s="1"/>
  <c r="G406" i="1" s="1"/>
  <c r="G412" i="1" s="1"/>
  <c r="G439" i="1" s="1"/>
  <c r="I279" i="1"/>
  <c r="I286" i="1" s="1"/>
  <c r="I292" i="1" s="1"/>
  <c r="I319" i="1" s="1"/>
  <c r="I326" i="1" s="1"/>
  <c r="I332" i="1" s="1"/>
  <c r="I359" i="1" s="1"/>
  <c r="I366" i="1" s="1"/>
  <c r="I372" i="1" s="1"/>
  <c r="I399" i="1" s="1"/>
  <c r="I406" i="1" s="1"/>
  <c r="I412" i="1" s="1"/>
  <c r="I439" i="1" s="1"/>
  <c r="I446" i="1" s="1"/>
  <c r="I452" i="1" s="1"/>
  <c r="I479" i="1" s="1"/>
  <c r="E278" i="1"/>
  <c r="F278" i="1"/>
  <c r="F279" i="1" s="1"/>
  <c r="F286" i="1" s="1"/>
  <c r="F292" i="1" s="1"/>
  <c r="F319" i="1" s="1"/>
  <c r="F326" i="1" s="1"/>
  <c r="F332" i="1" s="1"/>
  <c r="F359" i="1" s="1"/>
  <c r="F366" i="1" s="1"/>
  <c r="F372" i="1" s="1"/>
  <c r="F399" i="1" s="1"/>
  <c r="F406" i="1" s="1"/>
  <c r="F412" i="1" s="1"/>
  <c r="F439" i="1" s="1"/>
  <c r="F446" i="1" s="1"/>
  <c r="F452" i="1" s="1"/>
  <c r="F479" i="1" s="1"/>
  <c r="K278" i="1"/>
  <c r="K279" i="1" s="1"/>
  <c r="K286" i="1" s="1"/>
  <c r="K292" i="1" s="1"/>
  <c r="K319" i="1" s="1"/>
  <c r="K326" i="1" s="1"/>
  <c r="K332" i="1" s="1"/>
  <c r="L236" i="1"/>
  <c r="L234" i="1"/>
  <c r="D238" i="1"/>
  <c r="L232" i="1"/>
  <c r="L228" i="1"/>
  <c r="L227" i="1"/>
  <c r="L226" i="1"/>
  <c r="L225" i="1"/>
  <c r="L224" i="1"/>
  <c r="C238" i="1"/>
  <c r="C239" i="1" s="1"/>
  <c r="C246" i="1" s="1"/>
  <c r="C252" i="1" s="1"/>
  <c r="C279" i="1" s="1"/>
  <c r="C286" i="1" s="1"/>
  <c r="C292" i="1" s="1"/>
  <c r="J238" i="1"/>
  <c r="J239" i="1" s="1"/>
  <c r="L222" i="1"/>
  <c r="K238" i="1"/>
  <c r="K239" i="1" s="1"/>
  <c r="L219" i="1"/>
  <c r="L218" i="1"/>
  <c r="I239" i="1"/>
  <c r="L216" i="1"/>
  <c r="E215" i="1"/>
  <c r="L215" i="1" s="1"/>
  <c r="L214" i="1"/>
  <c r="G239" i="1"/>
  <c r="H238" i="1"/>
  <c r="L194" i="1"/>
  <c r="L192" i="1"/>
  <c r="L191" i="1"/>
  <c r="L168" i="1"/>
  <c r="L187" i="1"/>
  <c r="L186" i="1"/>
  <c r="H198" i="1"/>
  <c r="L184" i="1"/>
  <c r="L180" i="1"/>
  <c r="E198" i="1"/>
  <c r="K198" i="1"/>
  <c r="C199" i="1"/>
  <c r="L131" i="1"/>
  <c r="L151" i="1"/>
  <c r="L143" i="1"/>
  <c r="L141" i="1"/>
  <c r="L144" i="1"/>
  <c r="L140" i="1"/>
  <c r="L138" i="1"/>
  <c r="L135" i="1"/>
  <c r="L156" i="1"/>
  <c r="L148" i="1"/>
  <c r="L152" i="1"/>
  <c r="L150" i="1"/>
  <c r="H158" i="1"/>
  <c r="L134" i="1"/>
  <c r="L127" i="1"/>
  <c r="L149" i="1"/>
  <c r="L147" i="1"/>
  <c r="L139" i="1"/>
  <c r="L154" i="1"/>
  <c r="L130" i="1"/>
  <c r="L128" i="1"/>
  <c r="L146" i="1"/>
  <c r="L142" i="1"/>
  <c r="L137" i="1"/>
  <c r="L133" i="1"/>
  <c r="L153" i="1"/>
  <c r="L145" i="1"/>
  <c r="L136" i="1"/>
  <c r="L129" i="1"/>
  <c r="L157" i="1"/>
  <c r="L155" i="1"/>
  <c r="E158" i="1"/>
  <c r="K158" i="1"/>
  <c r="C99" i="1"/>
  <c r="K115" i="1"/>
  <c r="H115" i="1"/>
  <c r="L398" i="1" l="1"/>
  <c r="K359" i="1"/>
  <c r="K366" i="1" s="1"/>
  <c r="K372" i="1" s="1"/>
  <c r="K399" i="1" s="1"/>
  <c r="K406" i="1" s="1"/>
  <c r="K412" i="1" s="1"/>
  <c r="K439" i="1" s="1"/>
  <c r="K446" i="1" s="1"/>
  <c r="K452" i="1" s="1"/>
  <c r="K479" i="1" s="1"/>
  <c r="L358" i="1"/>
  <c r="L318" i="1"/>
  <c r="C319" i="1"/>
  <c r="C326" i="1" s="1"/>
  <c r="C332" i="1" s="1"/>
  <c r="C359" i="1" s="1"/>
  <c r="C366" i="1" s="1"/>
  <c r="C372" i="1" s="1"/>
  <c r="C399" i="1" s="1"/>
  <c r="C406" i="1" s="1"/>
  <c r="C412" i="1" s="1"/>
  <c r="C439" i="1" s="1"/>
  <c r="C446" i="1" s="1"/>
  <c r="C452" i="1" s="1"/>
  <c r="C479" i="1" s="1"/>
  <c r="L278" i="1"/>
  <c r="H278" i="1"/>
  <c r="H279" i="1" s="1"/>
  <c r="H286" i="1" s="1"/>
  <c r="H292" i="1" s="1"/>
  <c r="H319" i="1" s="1"/>
  <c r="H326" i="1" s="1"/>
  <c r="H332" i="1" s="1"/>
  <c r="H359" i="1" s="1"/>
  <c r="H366" i="1" s="1"/>
  <c r="H372" i="1" s="1"/>
  <c r="H399" i="1" s="1"/>
  <c r="H406" i="1" s="1"/>
  <c r="H412" i="1" s="1"/>
  <c r="H439" i="1" s="1"/>
  <c r="H446" i="1" s="1"/>
  <c r="H452" i="1" s="1"/>
  <c r="H479" i="1" s="1"/>
  <c r="L238" i="1"/>
  <c r="E238" i="1"/>
  <c r="L198" i="1"/>
  <c r="L158" i="1"/>
  <c r="E115" i="1"/>
  <c r="L115" i="1" s="1"/>
  <c r="E113" i="1"/>
  <c r="H113" i="1"/>
  <c r="K113" i="1"/>
  <c r="E114" i="1"/>
  <c r="H114" i="1"/>
  <c r="K114" i="1"/>
  <c r="E116" i="1"/>
  <c r="H116" i="1"/>
  <c r="K116" i="1"/>
  <c r="E117" i="1"/>
  <c r="H117" i="1"/>
  <c r="K117" i="1"/>
  <c r="K89" i="1"/>
  <c r="H89" i="1"/>
  <c r="E89" i="1"/>
  <c r="K88" i="1"/>
  <c r="H88" i="1"/>
  <c r="E88" i="1"/>
  <c r="K87" i="1"/>
  <c r="H87" i="1"/>
  <c r="E87" i="1"/>
  <c r="K112" i="1"/>
  <c r="H112" i="1"/>
  <c r="E112" i="1"/>
  <c r="K111" i="1"/>
  <c r="H111" i="1"/>
  <c r="E111" i="1"/>
  <c r="K110" i="1"/>
  <c r="H110" i="1"/>
  <c r="E110" i="1"/>
  <c r="K109" i="1"/>
  <c r="H109" i="1"/>
  <c r="E109" i="1"/>
  <c r="K108" i="1"/>
  <c r="H108" i="1"/>
  <c r="E108" i="1"/>
  <c r="K107" i="1"/>
  <c r="H107" i="1"/>
  <c r="E107" i="1"/>
  <c r="K106" i="1"/>
  <c r="H106" i="1"/>
  <c r="E106" i="1"/>
  <c r="K105" i="1"/>
  <c r="H105" i="1"/>
  <c r="E105" i="1"/>
  <c r="K104" i="1"/>
  <c r="H104" i="1"/>
  <c r="E104" i="1"/>
  <c r="K103" i="1"/>
  <c r="H103" i="1"/>
  <c r="E103" i="1"/>
  <c r="K102" i="1"/>
  <c r="H102" i="1"/>
  <c r="E102" i="1"/>
  <c r="K101" i="1"/>
  <c r="H101" i="1"/>
  <c r="E101" i="1"/>
  <c r="K100" i="1"/>
  <c r="H100" i="1"/>
  <c r="E100" i="1"/>
  <c r="K99" i="1"/>
  <c r="H99" i="1"/>
  <c r="E99" i="1"/>
  <c r="K98" i="1"/>
  <c r="H98" i="1"/>
  <c r="E98" i="1"/>
  <c r="K97" i="1"/>
  <c r="H97" i="1"/>
  <c r="E97" i="1"/>
  <c r="K96" i="1"/>
  <c r="H96" i="1"/>
  <c r="E96" i="1"/>
  <c r="K95" i="1"/>
  <c r="H95" i="1"/>
  <c r="E95" i="1"/>
  <c r="K94" i="1"/>
  <c r="H94" i="1"/>
  <c r="E94" i="1"/>
  <c r="K93" i="1"/>
  <c r="H93" i="1"/>
  <c r="E93" i="1"/>
  <c r="J118" i="1"/>
  <c r="I118" i="1"/>
  <c r="G118" i="1"/>
  <c r="F118" i="1"/>
  <c r="D118" i="1"/>
  <c r="C118" i="1"/>
  <c r="K91" i="1"/>
  <c r="H91" i="1"/>
  <c r="E91" i="1"/>
  <c r="K90" i="1"/>
  <c r="H90" i="1"/>
  <c r="E90" i="1"/>
  <c r="L109" i="1" l="1"/>
  <c r="L95" i="1"/>
  <c r="L97" i="1"/>
  <c r="L112" i="1"/>
  <c r="L114" i="1"/>
  <c r="L96" i="1"/>
  <c r="L100" i="1"/>
  <c r="L105" i="1"/>
  <c r="L91" i="1"/>
  <c r="L103" i="1"/>
  <c r="L89" i="1"/>
  <c r="L94" i="1"/>
  <c r="L104" i="1"/>
  <c r="L106" i="1"/>
  <c r="L117" i="1"/>
  <c r="L99" i="1"/>
  <c r="L108" i="1"/>
  <c r="L87" i="1"/>
  <c r="L116" i="1"/>
  <c r="L101" i="1"/>
  <c r="L110" i="1"/>
  <c r="L113" i="1"/>
  <c r="L107" i="1"/>
  <c r="L88" i="1"/>
  <c r="L98" i="1"/>
  <c r="L90" i="1"/>
  <c r="L93" i="1"/>
  <c r="L102" i="1"/>
  <c r="L111" i="1"/>
  <c r="K118" i="1"/>
  <c r="E118" i="1"/>
  <c r="H118" i="1"/>
  <c r="D69" i="1"/>
  <c r="C69" i="1"/>
  <c r="D34" i="1"/>
  <c r="E28" i="1"/>
  <c r="H28" i="1"/>
  <c r="K28" i="1"/>
  <c r="L118" i="1" l="1"/>
  <c r="L28" i="1"/>
  <c r="D16" i="1"/>
  <c r="E16" i="1" s="1"/>
  <c r="E6" i="1"/>
  <c r="H6" i="1"/>
  <c r="K6" i="1"/>
  <c r="E7" i="1"/>
  <c r="H7" i="1"/>
  <c r="K7" i="1"/>
  <c r="E8" i="1"/>
  <c r="H8" i="1"/>
  <c r="K8" i="1"/>
  <c r="E9" i="1"/>
  <c r="H9" i="1"/>
  <c r="K9" i="1"/>
  <c r="E10" i="1"/>
  <c r="H10" i="1"/>
  <c r="K10" i="1"/>
  <c r="E11" i="1"/>
  <c r="H11" i="1"/>
  <c r="K11" i="1"/>
  <c r="C12" i="1"/>
  <c r="D12" i="1"/>
  <c r="F12" i="1"/>
  <c r="G12" i="1"/>
  <c r="I12" i="1"/>
  <c r="J12" i="1"/>
  <c r="E13" i="1"/>
  <c r="H13" i="1"/>
  <c r="K13" i="1"/>
  <c r="E14" i="1"/>
  <c r="H14" i="1"/>
  <c r="K14" i="1"/>
  <c r="E15" i="1"/>
  <c r="H15" i="1"/>
  <c r="K15" i="1"/>
  <c r="H16" i="1"/>
  <c r="K16" i="1"/>
  <c r="E17" i="1"/>
  <c r="H17" i="1"/>
  <c r="K17" i="1"/>
  <c r="E18" i="1"/>
  <c r="H18" i="1"/>
  <c r="K18" i="1"/>
  <c r="E19" i="1"/>
  <c r="H19" i="1"/>
  <c r="K19" i="1"/>
  <c r="E20" i="1"/>
  <c r="H20" i="1"/>
  <c r="K20" i="1"/>
  <c r="E21" i="1"/>
  <c r="H21" i="1"/>
  <c r="K21" i="1"/>
  <c r="E22" i="1"/>
  <c r="H22" i="1"/>
  <c r="K22" i="1"/>
  <c r="E23" i="1"/>
  <c r="H23" i="1"/>
  <c r="K23" i="1"/>
  <c r="E24" i="1"/>
  <c r="H24" i="1"/>
  <c r="K24" i="1"/>
  <c r="E25" i="1"/>
  <c r="H25" i="1"/>
  <c r="K25" i="1"/>
  <c r="E26" i="1"/>
  <c r="H26" i="1"/>
  <c r="K26" i="1"/>
  <c r="E27" i="1"/>
  <c r="H27" i="1"/>
  <c r="K27" i="1"/>
  <c r="E29" i="1"/>
  <c r="H29" i="1"/>
  <c r="K29" i="1"/>
  <c r="E30" i="1"/>
  <c r="H30" i="1"/>
  <c r="K30" i="1"/>
  <c r="E31" i="1"/>
  <c r="H31" i="1"/>
  <c r="K31" i="1"/>
  <c r="E32" i="1"/>
  <c r="H32" i="1"/>
  <c r="K32" i="1"/>
  <c r="E33" i="1"/>
  <c r="H33" i="1"/>
  <c r="K33" i="1"/>
  <c r="E34" i="1"/>
  <c r="H34" i="1"/>
  <c r="K34" i="1"/>
  <c r="E35" i="1"/>
  <c r="H35" i="1"/>
  <c r="K35" i="1"/>
  <c r="E36" i="1"/>
  <c r="H36" i="1"/>
  <c r="K36" i="1"/>
  <c r="E37" i="1"/>
  <c r="H37" i="1"/>
  <c r="K37" i="1"/>
  <c r="C38" i="1"/>
  <c r="F38" i="1"/>
  <c r="G38" i="1"/>
  <c r="I38" i="1"/>
  <c r="J38" i="1"/>
  <c r="E47" i="1"/>
  <c r="H47" i="1"/>
  <c r="K47" i="1"/>
  <c r="E48" i="1"/>
  <c r="H48" i="1"/>
  <c r="K48" i="1"/>
  <c r="E49" i="1"/>
  <c r="H49" i="1"/>
  <c r="K49" i="1"/>
  <c r="E50" i="1"/>
  <c r="H50" i="1"/>
  <c r="K50" i="1"/>
  <c r="E51" i="1"/>
  <c r="H51" i="1"/>
  <c r="K51" i="1"/>
  <c r="E53" i="1"/>
  <c r="H53" i="1"/>
  <c r="K53" i="1"/>
  <c r="E54" i="1"/>
  <c r="H54" i="1"/>
  <c r="K54" i="1"/>
  <c r="E55" i="1"/>
  <c r="H55" i="1"/>
  <c r="K55" i="1"/>
  <c r="E56" i="1"/>
  <c r="H56" i="1"/>
  <c r="K56" i="1"/>
  <c r="E57" i="1"/>
  <c r="H57" i="1"/>
  <c r="K57" i="1"/>
  <c r="E58" i="1"/>
  <c r="H58" i="1"/>
  <c r="K58" i="1"/>
  <c r="E59" i="1"/>
  <c r="H59" i="1"/>
  <c r="K59" i="1"/>
  <c r="E60" i="1"/>
  <c r="H60" i="1"/>
  <c r="K60" i="1"/>
  <c r="E61" i="1"/>
  <c r="H61" i="1"/>
  <c r="K61" i="1"/>
  <c r="E62" i="1"/>
  <c r="H62" i="1"/>
  <c r="K62" i="1"/>
  <c r="E63" i="1"/>
  <c r="H63" i="1"/>
  <c r="K63" i="1"/>
  <c r="E64" i="1"/>
  <c r="H64" i="1"/>
  <c r="K64" i="1"/>
  <c r="E65" i="1"/>
  <c r="H65" i="1"/>
  <c r="K65" i="1"/>
  <c r="E66" i="1"/>
  <c r="H66" i="1"/>
  <c r="K66" i="1"/>
  <c r="E67" i="1"/>
  <c r="H67" i="1"/>
  <c r="K67" i="1"/>
  <c r="E68" i="1"/>
  <c r="H68" i="1"/>
  <c r="K68" i="1"/>
  <c r="E69" i="1"/>
  <c r="H69" i="1"/>
  <c r="K69" i="1"/>
  <c r="E70" i="1"/>
  <c r="H70" i="1"/>
  <c r="K70" i="1"/>
  <c r="E71" i="1"/>
  <c r="H71" i="1"/>
  <c r="K71" i="1"/>
  <c r="E72" i="1"/>
  <c r="H72" i="1"/>
  <c r="K72" i="1"/>
  <c r="E73" i="1"/>
  <c r="H73" i="1"/>
  <c r="K73" i="1"/>
  <c r="E74" i="1"/>
  <c r="H74" i="1"/>
  <c r="K74" i="1"/>
  <c r="E75" i="1"/>
  <c r="H75" i="1"/>
  <c r="K75" i="1"/>
  <c r="E76" i="1"/>
  <c r="H76" i="1"/>
  <c r="K76" i="1"/>
  <c r="E77" i="1"/>
  <c r="H77" i="1"/>
  <c r="K77" i="1"/>
  <c r="C78" i="1"/>
  <c r="D78" i="1"/>
  <c r="F78" i="1"/>
  <c r="G78" i="1"/>
  <c r="I78" i="1"/>
  <c r="J78" i="1"/>
  <c r="D38" i="1" l="1"/>
  <c r="D39" i="1" s="1"/>
  <c r="D46" i="1" s="1"/>
  <c r="D52" i="1" s="1"/>
  <c r="D79" i="1" s="1"/>
  <c r="D86" i="1" s="1"/>
  <c r="D92" i="1" s="1"/>
  <c r="D119" i="1" s="1"/>
  <c r="D126" i="1" s="1"/>
  <c r="D132" i="1" s="1"/>
  <c r="D159" i="1" s="1"/>
  <c r="D166" i="1" s="1"/>
  <c r="D172" i="1" s="1"/>
  <c r="D199" i="1" s="1"/>
  <c r="D206" i="1" s="1"/>
  <c r="D212" i="1" s="1"/>
  <c r="D239" i="1" s="1"/>
  <c r="D246" i="1" s="1"/>
  <c r="D252" i="1" s="1"/>
  <c r="D279" i="1" s="1"/>
  <c r="D286" i="1" s="1"/>
  <c r="D292" i="1" s="1"/>
  <c r="D319" i="1" s="1"/>
  <c r="D326" i="1" s="1"/>
  <c r="D332" i="1" s="1"/>
  <c r="D359" i="1" s="1"/>
  <c r="D366" i="1" s="1"/>
  <c r="D372" i="1" s="1"/>
  <c r="D399" i="1" s="1"/>
  <c r="D406" i="1" s="1"/>
  <c r="D412" i="1" s="1"/>
  <c r="D439" i="1" s="1"/>
  <c r="D446" i="1" s="1"/>
  <c r="D452" i="1" s="1"/>
  <c r="D479" i="1" s="1"/>
  <c r="L7" i="1"/>
  <c r="L73" i="1"/>
  <c r="L61" i="1"/>
  <c r="L31" i="1"/>
  <c r="I39" i="1"/>
  <c r="I46" i="1" s="1"/>
  <c r="I52" i="1" s="1"/>
  <c r="I79" i="1" s="1"/>
  <c r="I86" i="1" s="1"/>
  <c r="I92" i="1" s="1"/>
  <c r="I119" i="1" s="1"/>
  <c r="I126" i="1" s="1"/>
  <c r="I132" i="1" s="1"/>
  <c r="I159" i="1" s="1"/>
  <c r="I166" i="1" s="1"/>
  <c r="I172" i="1" s="1"/>
  <c r="I199" i="1" s="1"/>
  <c r="L70" i="1"/>
  <c r="L22" i="1"/>
  <c r="L67" i="1"/>
  <c r="L27" i="1"/>
  <c r="L21" i="1"/>
  <c r="L72" i="1"/>
  <c r="L68" i="1"/>
  <c r="L20" i="1"/>
  <c r="K78" i="1"/>
  <c r="L55" i="1"/>
  <c r="L33" i="1"/>
  <c r="L25" i="1"/>
  <c r="L19" i="1"/>
  <c r="L29" i="1"/>
  <c r="L75" i="1"/>
  <c r="L69" i="1"/>
  <c r="L63" i="1"/>
  <c r="L57" i="1"/>
  <c r="L10" i="1"/>
  <c r="L59" i="1"/>
  <c r="L66" i="1"/>
  <c r="L64" i="1"/>
  <c r="L60" i="1"/>
  <c r="L58" i="1"/>
  <c r="L54" i="1"/>
  <c r="L51" i="1"/>
  <c r="L36" i="1"/>
  <c r="L34" i="1"/>
  <c r="L30" i="1"/>
  <c r="L24" i="1"/>
  <c r="L18" i="1"/>
  <c r="J39" i="1"/>
  <c r="J46" i="1" s="1"/>
  <c r="J52" i="1" s="1"/>
  <c r="J79" i="1" s="1"/>
  <c r="J86" i="1" s="1"/>
  <c r="J92" i="1" s="1"/>
  <c r="J119" i="1" s="1"/>
  <c r="J126" i="1" s="1"/>
  <c r="J132" i="1" s="1"/>
  <c r="J159" i="1" s="1"/>
  <c r="J166" i="1" s="1"/>
  <c r="J172" i="1" s="1"/>
  <c r="J199" i="1" s="1"/>
  <c r="K12" i="1"/>
  <c r="G39" i="1"/>
  <c r="G46" i="1" s="1"/>
  <c r="G52" i="1" s="1"/>
  <c r="G79" i="1" s="1"/>
  <c r="G86" i="1" s="1"/>
  <c r="G92" i="1" s="1"/>
  <c r="G119" i="1" s="1"/>
  <c r="G126" i="1" s="1"/>
  <c r="G132" i="1" s="1"/>
  <c r="G159" i="1" s="1"/>
  <c r="G166" i="1" s="1"/>
  <c r="G172" i="1" s="1"/>
  <c r="G199" i="1" s="1"/>
  <c r="L16" i="1"/>
  <c r="L15" i="1"/>
  <c r="L23" i="1"/>
  <c r="H38" i="1"/>
  <c r="K38" i="1"/>
  <c r="L11" i="1"/>
  <c r="L9" i="1"/>
  <c r="L71" i="1"/>
  <c r="L62" i="1"/>
  <c r="L53" i="1"/>
  <c r="L32" i="1"/>
  <c r="L76" i="1"/>
  <c r="L56" i="1"/>
  <c r="L37" i="1"/>
  <c r="L35" i="1"/>
  <c r="L26" i="1"/>
  <c r="L17" i="1"/>
  <c r="L50" i="1"/>
  <c r="L74" i="1"/>
  <c r="L65" i="1"/>
  <c r="L49" i="1"/>
  <c r="L47" i="1"/>
  <c r="F39" i="1"/>
  <c r="F46" i="1" s="1"/>
  <c r="F52" i="1" s="1"/>
  <c r="F79" i="1" s="1"/>
  <c r="F86" i="1" s="1"/>
  <c r="F92" i="1" s="1"/>
  <c r="F119" i="1" s="1"/>
  <c r="F126" i="1" s="1"/>
  <c r="F132" i="1" s="1"/>
  <c r="F159" i="1" s="1"/>
  <c r="F166" i="1" s="1"/>
  <c r="F172" i="1" s="1"/>
  <c r="F199" i="1" s="1"/>
  <c r="F206" i="1" s="1"/>
  <c r="F212" i="1" s="1"/>
  <c r="F239" i="1" s="1"/>
  <c r="L13" i="1"/>
  <c r="L77" i="1"/>
  <c r="L48" i="1"/>
  <c r="C39" i="1"/>
  <c r="C46" i="1" s="1"/>
  <c r="C52" i="1" s="1"/>
  <c r="C79" i="1" s="1"/>
  <c r="C86" i="1" s="1"/>
  <c r="C92" i="1" s="1"/>
  <c r="C119" i="1" s="1"/>
  <c r="C126" i="1" s="1"/>
  <c r="C132" i="1" s="1"/>
  <c r="C159" i="1" s="1"/>
  <c r="L8" i="1"/>
  <c r="L6" i="1"/>
  <c r="E78" i="1"/>
  <c r="E38" i="1"/>
  <c r="E12" i="1"/>
  <c r="L14" i="1"/>
  <c r="H12" i="1"/>
  <c r="H78" i="1"/>
  <c r="H39" i="1" l="1"/>
  <c r="H46" i="1" s="1"/>
  <c r="H52" i="1" s="1"/>
  <c r="H79" i="1" s="1"/>
  <c r="H86" i="1" s="1"/>
  <c r="H92" i="1" s="1"/>
  <c r="H119" i="1" s="1"/>
  <c r="H126" i="1" s="1"/>
  <c r="H132" i="1" s="1"/>
  <c r="H159" i="1" s="1"/>
  <c r="H166" i="1" s="1"/>
  <c r="H172" i="1" s="1"/>
  <c r="H199" i="1" s="1"/>
  <c r="H206" i="1" s="1"/>
  <c r="H212" i="1" s="1"/>
  <c r="H239" i="1" s="1"/>
  <c r="L78" i="1"/>
  <c r="K39" i="1"/>
  <c r="K46" i="1" s="1"/>
  <c r="K52" i="1" s="1"/>
  <c r="K79" i="1" s="1"/>
  <c r="K86" i="1" s="1"/>
  <c r="K92" i="1" s="1"/>
  <c r="K119" i="1" s="1"/>
  <c r="K126" i="1" s="1"/>
  <c r="K132" i="1" s="1"/>
  <c r="K159" i="1" s="1"/>
  <c r="K166" i="1" s="1"/>
  <c r="K172" i="1" s="1"/>
  <c r="K199" i="1" s="1"/>
  <c r="L12" i="1"/>
  <c r="L38" i="1"/>
  <c r="E39" i="1"/>
  <c r="E46" i="1" s="1"/>
  <c r="E52" i="1" s="1"/>
  <c r="E79" i="1" s="1"/>
  <c r="E86" i="1" s="1"/>
  <c r="E92" i="1" s="1"/>
  <c r="E119" i="1" s="1"/>
  <c r="E126" i="1" s="1"/>
  <c r="E132" i="1" s="1"/>
  <c r="E159" i="1" s="1"/>
  <c r="E166" i="1" s="1"/>
  <c r="E172" i="1" s="1"/>
  <c r="E199" i="1" s="1"/>
  <c r="E206" i="1" s="1"/>
  <c r="E212" i="1" s="1"/>
  <c r="E239" i="1" s="1"/>
  <c r="E246" i="1" s="1"/>
  <c r="E252" i="1" s="1"/>
  <c r="E279" i="1" s="1"/>
  <c r="E286" i="1" s="1"/>
  <c r="E292" i="1" s="1"/>
  <c r="E319" i="1" s="1"/>
  <c r="E326" i="1" s="1"/>
  <c r="E332" i="1" s="1"/>
  <c r="E359" i="1" s="1"/>
  <c r="E366" i="1" s="1"/>
  <c r="E372" i="1" s="1"/>
  <c r="E399" i="1" s="1"/>
  <c r="E406" i="1" s="1"/>
  <c r="E412" i="1" s="1"/>
  <c r="E439" i="1" s="1"/>
  <c r="E446" i="1" s="1"/>
  <c r="E452" i="1" s="1"/>
  <c r="E479" i="1" s="1"/>
  <c r="L39" i="1" l="1"/>
  <c r="L46" i="1" s="1"/>
  <c r="L52" i="1" s="1"/>
  <c r="L79" i="1" s="1"/>
  <c r="L86" i="1" s="1"/>
  <c r="L92" i="1" s="1"/>
  <c r="L119" i="1" s="1"/>
  <c r="L126" i="1" s="1"/>
  <c r="L132" i="1" s="1"/>
  <c r="L159" i="1" s="1"/>
  <c r="L166" i="1" s="1"/>
  <c r="L172" i="1" s="1"/>
  <c r="L199" i="1" s="1"/>
  <c r="L206" i="1" s="1"/>
  <c r="L212" i="1" s="1"/>
  <c r="L239" i="1" s="1"/>
  <c r="L246" i="1" s="1"/>
  <c r="L252" i="1" s="1"/>
  <c r="L279" i="1" s="1"/>
  <c r="L286" i="1" s="1"/>
  <c r="L292" i="1" s="1"/>
  <c r="L319" i="1" s="1"/>
  <c r="L326" i="1" s="1"/>
  <c r="L332" i="1" s="1"/>
  <c r="L359" i="1" s="1"/>
  <c r="L366" i="1" s="1"/>
  <c r="L372" i="1" s="1"/>
  <c r="L399" i="1" s="1"/>
  <c r="L406" i="1" s="1"/>
  <c r="L412" i="1" s="1"/>
  <c r="L439" i="1" s="1"/>
  <c r="L446" i="1" s="1"/>
  <c r="L452" i="1" s="1"/>
  <c r="L479" i="1" s="1"/>
</calcChain>
</file>

<file path=xl/sharedStrings.xml><?xml version="1.0" encoding="utf-8"?>
<sst xmlns="http://schemas.openxmlformats.org/spreadsheetml/2006/main" count="540" uniqueCount="81">
  <si>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</si>
  <si>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</si>
  <si>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</si>
  <si>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</si>
  <si>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</si>
  <si>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イエロー</t>
    <phoneticPr fontId="2"/>
  </si>
  <si>
    <t>ピンク</t>
    <phoneticPr fontId="2"/>
  </si>
  <si>
    <t>ネイビー</t>
    <phoneticPr fontId="2"/>
  </si>
  <si>
    <t>ミント</t>
    <phoneticPr fontId="2"/>
  </si>
  <si>
    <t>グレー</t>
    <phoneticPr fontId="2"/>
  </si>
  <si>
    <t>ポップ</t>
    <phoneticPr fontId="2"/>
  </si>
  <si>
    <t>スター</t>
    <phoneticPr fontId="2"/>
  </si>
  <si>
    <t>クールボーダー</t>
    <phoneticPr fontId="2"/>
  </si>
  <si>
    <t>【ｸｰﾙﾎﾞｰﾀﾞｰ CLBD 100 @400】【ｽﾀｰ CLSR 100 @400】【ﾎﾟｯﾌﾟ CLPP 100 @400】</t>
    <phoneticPr fontId="2"/>
  </si>
  <si>
    <t>パイルクールマフラー</t>
    <phoneticPr fontId="2"/>
  </si>
  <si>
    <t>初回</t>
    <rPh sb="0" eb="2">
      <t>ショカイ</t>
    </rPh>
    <phoneticPr fontId="2"/>
  </si>
  <si>
    <t>ポップ@450</t>
    <phoneticPr fontId="2"/>
  </si>
  <si>
    <t>スター@450</t>
    <phoneticPr fontId="2"/>
  </si>
  <si>
    <t>クールボーダー@400</t>
    <phoneticPr fontId="2"/>
  </si>
  <si>
    <t>6/5～</t>
    <phoneticPr fontId="2"/>
  </si>
  <si>
    <t>JODメルシー0605/2色組</t>
    <rPh sb="13" eb="15">
      <t>ショククミ</t>
    </rPh>
    <phoneticPr fontId="2"/>
  </si>
  <si>
    <t>ネット</t>
    <phoneticPr fontId="2"/>
  </si>
  <si>
    <t>2023/5/2数伝</t>
    <rPh sb="8" eb="10">
      <t>スウデン</t>
    </rPh>
    <phoneticPr fontId="2"/>
  </si>
  <si>
    <t>点7/18、アバウト7/25、本7/27・31</t>
    <rPh sb="0" eb="1">
      <t>テン</t>
    </rPh>
    <rPh sb="15" eb="16">
      <t>ホン</t>
    </rPh>
    <phoneticPr fontId="2"/>
  </si>
  <si>
    <t>2023/6/1数伝</t>
    <rPh sb="8" eb="10">
      <t>スウデン</t>
    </rPh>
    <phoneticPr fontId="2"/>
  </si>
  <si>
    <t>JOD①</t>
    <phoneticPr fontId="2"/>
  </si>
  <si>
    <t>丸藤色合わせ用サンプル</t>
    <rPh sb="0" eb="2">
      <t>マルフジ</t>
    </rPh>
    <rPh sb="2" eb="4">
      <t>イロア</t>
    </rPh>
    <rPh sb="6" eb="7">
      <t>ヨウ</t>
    </rPh>
    <phoneticPr fontId="2"/>
  </si>
  <si>
    <t>JOD②</t>
    <phoneticPr fontId="2"/>
  </si>
  <si>
    <t>JOD③</t>
    <phoneticPr fontId="2"/>
  </si>
  <si>
    <t>JOD④</t>
    <phoneticPr fontId="2"/>
  </si>
  <si>
    <t>成願返送</t>
    <rPh sb="0" eb="2">
      <t>ジョウガン</t>
    </rPh>
    <rPh sb="2" eb="4">
      <t>ヘンソウ</t>
    </rPh>
    <phoneticPr fontId="2"/>
  </si>
  <si>
    <t>JOD⑤</t>
    <phoneticPr fontId="2"/>
  </si>
  <si>
    <t>JOD⑥</t>
    <phoneticPr fontId="2"/>
  </si>
  <si>
    <t>成願検品後</t>
    <rPh sb="0" eb="2">
      <t>ジョウガン</t>
    </rPh>
    <rPh sb="2" eb="5">
      <t>ケンピンゴ</t>
    </rPh>
    <phoneticPr fontId="2"/>
  </si>
  <si>
    <t>JOD⑦</t>
    <phoneticPr fontId="2"/>
  </si>
  <si>
    <t>JOD⑧</t>
    <phoneticPr fontId="2"/>
  </si>
  <si>
    <t>JOD⑨</t>
    <phoneticPr fontId="2"/>
  </si>
  <si>
    <t>JOD⑩</t>
    <phoneticPr fontId="2"/>
  </si>
  <si>
    <t>JOD⑪</t>
    <phoneticPr fontId="2"/>
  </si>
  <si>
    <t>2023/7/4数伝</t>
    <rPh sb="8" eb="10">
      <t>スウデン</t>
    </rPh>
    <phoneticPr fontId="2"/>
  </si>
  <si>
    <t>JOD⑫</t>
    <phoneticPr fontId="2"/>
  </si>
  <si>
    <t>JOD⑬</t>
    <phoneticPr fontId="2"/>
  </si>
  <si>
    <t>JOD⑭</t>
    <phoneticPr fontId="2"/>
  </si>
  <si>
    <t>JOD⑮</t>
    <phoneticPr fontId="2"/>
  </si>
  <si>
    <t>JOD⑯</t>
    <phoneticPr fontId="2"/>
  </si>
  <si>
    <t>JOD UV特集7428</t>
    <rPh sb="6" eb="8">
      <t>トクシュウ</t>
    </rPh>
    <phoneticPr fontId="2"/>
  </si>
  <si>
    <t>8/8～</t>
    <phoneticPr fontId="2"/>
  </si>
  <si>
    <t>JODメルシー0605/2色組</t>
  </si>
  <si>
    <t>JOD⑰</t>
    <phoneticPr fontId="2"/>
  </si>
  <si>
    <t>JOD⑱</t>
    <phoneticPr fontId="2"/>
  </si>
  <si>
    <t>JOD⑲</t>
    <phoneticPr fontId="2"/>
  </si>
  <si>
    <r>
      <t>グリーンコープ19号</t>
    </r>
    <r>
      <rPr>
        <b/>
        <sz val="9"/>
        <rFont val="ＭＳ Ｐゴシック"/>
        <family val="3"/>
        <charset val="128"/>
      </rPr>
      <t>2重PP袋・商品名のみシール①</t>
    </r>
    <rPh sb="9" eb="10">
      <t>ゴウ</t>
    </rPh>
    <rPh sb="11" eb="12">
      <t>ジュウ</t>
    </rPh>
    <rPh sb="14" eb="15">
      <t>フクロ</t>
    </rPh>
    <rPh sb="16" eb="19">
      <t>ショウヒンメイ</t>
    </rPh>
    <phoneticPr fontId="2"/>
  </si>
  <si>
    <t>JOD⑳</t>
    <phoneticPr fontId="2"/>
  </si>
  <si>
    <t>JOD㉑</t>
    <phoneticPr fontId="2"/>
  </si>
  <si>
    <r>
      <t>グリーンコープ19号</t>
    </r>
    <r>
      <rPr>
        <b/>
        <sz val="9"/>
        <rFont val="ＭＳ Ｐゴシック"/>
        <family val="3"/>
        <charset val="128"/>
      </rPr>
      <t>2重PP袋・商品名のみシール②</t>
    </r>
    <rPh sb="9" eb="10">
      <t>ゴウ</t>
    </rPh>
    <rPh sb="11" eb="12">
      <t>ジュウ</t>
    </rPh>
    <rPh sb="14" eb="15">
      <t>フクロ</t>
    </rPh>
    <rPh sb="16" eb="19">
      <t>ショウヒンメイ</t>
    </rPh>
    <phoneticPr fontId="2"/>
  </si>
  <si>
    <t>JOD返品</t>
    <rPh sb="3" eb="5">
      <t>ヘンピン</t>
    </rPh>
    <phoneticPr fontId="2"/>
  </si>
  <si>
    <t>2023/7/28済伝</t>
    <rPh sb="9" eb="10">
      <t>スミ</t>
    </rPh>
    <rPh sb="10" eb="11">
      <t>デン</t>
    </rPh>
    <phoneticPr fontId="2"/>
  </si>
  <si>
    <r>
      <t>グリーンコープ19号</t>
    </r>
    <r>
      <rPr>
        <b/>
        <sz val="9"/>
        <rFont val="ＭＳ Ｐゴシック"/>
        <family val="3"/>
        <charset val="128"/>
      </rPr>
      <t>2重PP袋・商品名のみシール</t>
    </r>
    <rPh sb="9" eb="10">
      <t>ゴウ</t>
    </rPh>
    <rPh sb="11" eb="12">
      <t>ジュウ</t>
    </rPh>
    <rPh sb="14" eb="15">
      <t>フクロ</t>
    </rPh>
    <rPh sb="16" eb="19">
      <t>ショウヒンメイ</t>
    </rPh>
    <phoneticPr fontId="2"/>
  </si>
  <si>
    <r>
      <t>グリーンコープ19号</t>
    </r>
    <r>
      <rPr>
        <b/>
        <sz val="9"/>
        <rFont val="ＭＳ Ｐゴシック"/>
        <family val="3"/>
        <charset val="128"/>
      </rPr>
      <t>2重PP袋・商品名のみシール③</t>
    </r>
    <rPh sb="9" eb="10">
      <t>ゴウ</t>
    </rPh>
    <rPh sb="11" eb="12">
      <t>ジュウ</t>
    </rPh>
    <rPh sb="14" eb="15">
      <t>フクロ</t>
    </rPh>
    <rPh sb="16" eb="19">
      <t>ショウヒンメイ</t>
    </rPh>
    <phoneticPr fontId="2"/>
  </si>
  <si>
    <t>JOD㉒</t>
    <phoneticPr fontId="2"/>
  </si>
  <si>
    <t>JOD㉓</t>
    <phoneticPr fontId="2"/>
  </si>
  <si>
    <t>JOD㉔</t>
    <phoneticPr fontId="2"/>
  </si>
  <si>
    <t>JOD㉕</t>
    <phoneticPr fontId="2"/>
  </si>
  <si>
    <t>JOD㉖</t>
    <phoneticPr fontId="2"/>
  </si>
  <si>
    <t>在庫確認</t>
    <rPh sb="0" eb="4">
      <t>ザイコカクニン</t>
    </rPh>
    <phoneticPr fontId="2"/>
  </si>
  <si>
    <t>JOD㉗</t>
    <phoneticPr fontId="2"/>
  </si>
  <si>
    <t>JOD㉘</t>
    <phoneticPr fontId="2"/>
  </si>
  <si>
    <t>JOD㉙</t>
    <phoneticPr fontId="2"/>
  </si>
  <si>
    <t>JOD㉚</t>
    <phoneticPr fontId="2"/>
  </si>
  <si>
    <t>JOD㉛</t>
    <phoneticPr fontId="2"/>
  </si>
  <si>
    <t>JOD㉜</t>
    <phoneticPr fontId="2"/>
  </si>
  <si>
    <t>製品化</t>
    <rPh sb="0" eb="3">
      <t>セイヒンカ</t>
    </rPh>
    <phoneticPr fontId="2"/>
  </si>
  <si>
    <t>2024/7/25数伝</t>
    <rPh sb="9" eb="11">
      <t>スウデン</t>
    </rPh>
    <phoneticPr fontId="2"/>
  </si>
  <si>
    <t>2024/8/2数伝</t>
    <rPh sb="8" eb="10">
      <t>スウデン</t>
    </rPh>
    <phoneticPr fontId="2"/>
  </si>
  <si>
    <t>2025/3/3数伝</t>
    <rPh sb="8" eb="10">
      <t>スウデン</t>
    </rPh>
    <phoneticPr fontId="2"/>
  </si>
  <si>
    <t>2025/5/1数伝</t>
    <rPh sb="8" eb="9">
      <t>スウ</t>
    </rPh>
    <rPh sb="9" eb="10">
      <t>デン</t>
    </rPh>
    <phoneticPr fontId="2"/>
  </si>
  <si>
    <t>JODアクセス7011</t>
    <phoneticPr fontId="2"/>
  </si>
  <si>
    <t>8/18～</t>
    <phoneticPr fontId="2"/>
  </si>
  <si>
    <t>JOD（西濃）</t>
    <rPh sb="4" eb="6">
      <t>セイノウ</t>
    </rPh>
    <phoneticPr fontId="2"/>
  </si>
  <si>
    <t>サクラマチ（東海）sample</t>
    <rPh sb="6" eb="8">
      <t>トウカイ</t>
    </rPh>
    <phoneticPr fontId="2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</si>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</sst>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56" fontId="0" fillId="0" borderId="13" xfId="0" applyNumberForma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56" fontId="0" fillId="0" borderId="0" xfId="0" applyNumberFormat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56" fontId="1" fillId="0" borderId="0" xfId="0" applyNumberFormat="1" applyFont="1"/>
    <xf numFmtId="0" fontId="0" fillId="0" borderId="19" xfId="0" applyBorder="1"/>
    <xf numFmtId="0" fontId="0" fillId="0" borderId="20" xfId="0" applyBorder="1"/>
    <xf numFmtId="0" fontId="0" fillId="0" borderId="4" xfId="0" applyBorder="1"/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3" fillId="0" borderId="21" xfId="0" applyFont="1" applyBorder="1"/>
    <xf numFmtId="0" fontId="3" fillId="0" borderId="19" xfId="0" applyFont="1" applyBorder="1"/>
    <xf numFmtId="0" fontId="3" fillId="0" borderId="20" xfId="0" applyFont="1" applyBorder="1"/>
    <xf numFmtId="56" fontId="3" fillId="0" borderId="21" xfId="0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/>
    <xf numFmtId="0" fontId="0" fillId="0" borderId="32" xfId="0" applyBorder="1" applyAlignment="1">
      <alignment horizontal="center"/>
    </xf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56" fontId="0" fillId="0" borderId="0" xfId="0" applyNumberFormat="1" applyAlignment="1">
      <alignment horizontal="right"/>
    </xf>
    <xf numFmtId="56" fontId="3" fillId="0" borderId="0" xfId="0" applyNumberFormat="1" applyFont="1"/>
    <xf numFmtId="0" fontId="0" fillId="0" borderId="33" xfId="0" applyBorder="1"/>
    <xf numFmtId="0" fontId="3" fillId="0" borderId="0" xfId="0" applyFont="1"/>
    <xf numFmtId="56" fontId="0" fillId="0" borderId="28" xfId="0" applyNumberFormat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0" borderId="12" xfId="0" applyBorder="1"/>
    <xf numFmtId="0" fontId="0" fillId="0" borderId="8" xfId="0" applyBorder="1"/>
    <xf numFmtId="56" fontId="0" fillId="0" borderId="0" xfId="0" applyNumberFormat="1" applyAlignment="1">
      <alignment horizontal="left"/>
    </xf>
    <xf numFmtId="56" fontId="6" fillId="0" borderId="13" xfId="0" applyNumberFormat="1" applyFont="1" applyBorder="1" applyAlignment="1">
      <alignment horizontal="center" shrinkToFit="1"/>
    </xf>
    <xf numFmtId="56" fontId="0" fillId="0" borderId="33" xfId="0" applyNumberFormat="1" applyBorder="1" applyAlignment="1">
      <alignment horizontal="center"/>
    </xf>
    <xf numFmtId="56" fontId="6" fillId="0" borderId="13" xfId="0" applyNumberFormat="1" applyFont="1" applyBorder="1" applyAlignment="1">
      <alignment horizontal="center"/>
    </xf>
    <xf numFmtId="0" fontId="0" fillId="0" borderId="34" xfId="0" applyBorder="1"/>
    <xf numFmtId="0" fontId="0" fillId="2" borderId="18" xfId="0" applyFill="1" applyBorder="1"/>
    <xf numFmtId="0" fontId="0" fillId="2" borderId="17" xfId="0" applyFill="1" applyBorder="1"/>
    <xf numFmtId="0" fontId="0" fillId="2" borderId="14" xfId="0" applyFill="1" applyBorder="1"/>
    <xf numFmtId="0" fontId="0" fillId="2" borderId="16" xfId="0" applyFill="1" applyBorder="1"/>
    <xf numFmtId="0" fontId="0" fillId="2" borderId="15" xfId="0" applyFill="1" applyBorder="1"/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FFCCCC"/>
      <color rgb="FFCC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79"/>
  <sheetViews>
    <sheetView tabSelected="1" topLeftCell="B446" zoomScaleNormal="100" workbookViewId="0">
      <selection activeCell="B454" sqref="B454"/>
    </sheetView>
  </sheetViews>
  <sheetFormatPr defaultRowHeight="13.5" x14ac:dyDescent="0.15"/>
  <cols>
    <col min="2" max="2" width="32.125" style="1" customWidth="1"/>
    <col min="3" max="11" width="7.75" customWidth="1"/>
    <col min="12" max="12" width="7" customWidth="1"/>
    <col min="13" max="13" width="9.25" bestFit="1" customWidth="1"/>
    <col min="15" max="15" width="16.25" customWidth="1"/>
  </cols>
  <sheetData>
    <row r="1" spans="2:27" ht="18.75" x14ac:dyDescent="0.2">
      <c r="B1" s="44" t="s">
        <v>14</v>
      </c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2:27" ht="17.25" x14ac:dyDescent="0.2">
      <c r="B2" s="43" t="s">
        <v>13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2:27" ht="14.25" thickBot="1" x14ac:dyDescent="0.2"/>
    <row r="4" spans="2:27" ht="14.25" thickBot="1" x14ac:dyDescent="0.2">
      <c r="B4" s="41"/>
      <c r="C4" s="67" t="s">
        <v>18</v>
      </c>
      <c r="D4" s="68"/>
      <c r="E4" s="69"/>
      <c r="F4" s="67" t="s">
        <v>17</v>
      </c>
      <c r="G4" s="68"/>
      <c r="H4" s="69"/>
      <c r="I4" s="67" t="s">
        <v>16</v>
      </c>
      <c r="J4" s="68"/>
      <c r="K4" s="69"/>
      <c r="L4" s="40"/>
    </row>
    <row r="5" spans="2:27" s="1" customFormat="1" ht="14.25" thickBot="1" x14ac:dyDescent="0.2">
      <c r="B5" s="39"/>
      <c r="C5" s="50" t="s">
        <v>7</v>
      </c>
      <c r="D5" s="38" t="s">
        <v>9</v>
      </c>
      <c r="E5" s="37" t="s">
        <v>4</v>
      </c>
      <c r="F5" s="52" t="s">
        <v>8</v>
      </c>
      <c r="G5" s="51" t="s">
        <v>7</v>
      </c>
      <c r="H5" s="37" t="s">
        <v>4</v>
      </c>
      <c r="I5" s="53" t="s">
        <v>6</v>
      </c>
      <c r="J5" s="54" t="s">
        <v>5</v>
      </c>
      <c r="K5" s="37" t="s">
        <v>4</v>
      </c>
      <c r="L5" s="37" t="s">
        <v>4</v>
      </c>
      <c r="O5"/>
      <c r="P5"/>
      <c r="Q5"/>
      <c r="R5"/>
      <c r="S5"/>
      <c r="T5"/>
      <c r="U5"/>
      <c r="V5"/>
      <c r="W5"/>
      <c r="X5"/>
      <c r="Y5"/>
      <c r="Z5"/>
      <c r="AA5"/>
    </row>
    <row r="6" spans="2:27" ht="14.25" customHeight="1" x14ac:dyDescent="0.15">
      <c r="B6" s="36" t="s">
        <v>15</v>
      </c>
      <c r="C6" s="35">
        <v>1</v>
      </c>
      <c r="D6" s="34">
        <v>1</v>
      </c>
      <c r="E6" s="33">
        <f t="shared" ref="E6:E11" si="0">SUM(C6:D6)</f>
        <v>2</v>
      </c>
      <c r="F6" s="35">
        <v>1</v>
      </c>
      <c r="G6" s="34">
        <v>1</v>
      </c>
      <c r="H6" s="33">
        <f t="shared" ref="H6:H11" si="1">SUM(F6:G6)</f>
        <v>2</v>
      </c>
      <c r="I6" s="35">
        <v>1</v>
      </c>
      <c r="J6" s="34">
        <v>1</v>
      </c>
      <c r="K6" s="33">
        <f t="shared" ref="K6:K11" si="2">SUM(I6:J6)</f>
        <v>2</v>
      </c>
      <c r="L6" s="33">
        <f t="shared" ref="L6:L11" si="3">H6+K6+E6</f>
        <v>6</v>
      </c>
      <c r="M6" s="46"/>
    </row>
    <row r="7" spans="2:27" x14ac:dyDescent="0.15">
      <c r="B7" s="32" t="s">
        <v>3</v>
      </c>
      <c r="C7" s="18"/>
      <c r="D7" s="17"/>
      <c r="E7" s="31">
        <f t="shared" si="0"/>
        <v>0</v>
      </c>
      <c r="F7" s="18"/>
      <c r="G7" s="17"/>
      <c r="H7" s="31">
        <f t="shared" si="1"/>
        <v>0</v>
      </c>
      <c r="I7" s="18"/>
      <c r="J7" s="17"/>
      <c r="K7" s="31">
        <f t="shared" si="2"/>
        <v>0</v>
      </c>
      <c r="L7" s="31">
        <f t="shared" si="3"/>
        <v>0</v>
      </c>
      <c r="M7" s="19"/>
    </row>
    <row r="8" spans="2:27" x14ac:dyDescent="0.15">
      <c r="B8" s="32" t="s">
        <v>3</v>
      </c>
      <c r="C8" s="16">
        <v>250</v>
      </c>
      <c r="D8" s="15">
        <v>250</v>
      </c>
      <c r="E8" s="47">
        <f t="shared" si="0"/>
        <v>500</v>
      </c>
      <c r="F8" s="16"/>
      <c r="G8" s="15"/>
      <c r="H8" s="47">
        <f t="shared" si="1"/>
        <v>0</v>
      </c>
      <c r="I8" s="16"/>
      <c r="J8" s="15"/>
      <c r="K8" s="47">
        <f t="shared" si="2"/>
        <v>0</v>
      </c>
      <c r="L8" s="47">
        <f t="shared" si="3"/>
        <v>500</v>
      </c>
      <c r="M8" s="19" t="s">
        <v>22</v>
      </c>
    </row>
    <row r="9" spans="2:27" x14ac:dyDescent="0.15">
      <c r="B9" s="32" t="s">
        <v>3</v>
      </c>
      <c r="C9" s="18"/>
      <c r="D9" s="17"/>
      <c r="E9" s="31">
        <f t="shared" si="0"/>
        <v>0</v>
      </c>
      <c r="F9" s="18">
        <v>6</v>
      </c>
      <c r="G9" s="17">
        <v>6</v>
      </c>
      <c r="H9" s="31">
        <f t="shared" si="1"/>
        <v>12</v>
      </c>
      <c r="I9" s="16">
        <v>6</v>
      </c>
      <c r="J9" s="15">
        <v>6</v>
      </c>
      <c r="K9" s="31">
        <f t="shared" si="2"/>
        <v>12</v>
      </c>
      <c r="L9" s="31">
        <f t="shared" si="3"/>
        <v>24</v>
      </c>
      <c r="M9" s="19" t="s">
        <v>24</v>
      </c>
    </row>
    <row r="10" spans="2:27" x14ac:dyDescent="0.15">
      <c r="B10" s="32" t="s">
        <v>33</v>
      </c>
      <c r="C10" s="18">
        <v>180</v>
      </c>
      <c r="D10" s="17">
        <v>175</v>
      </c>
      <c r="E10" s="31">
        <f t="shared" si="0"/>
        <v>355</v>
      </c>
      <c r="F10" s="18"/>
      <c r="G10" s="17"/>
      <c r="H10" s="31">
        <f t="shared" si="1"/>
        <v>0</v>
      </c>
      <c r="I10" s="16"/>
      <c r="J10" s="15"/>
      <c r="K10" s="31">
        <f t="shared" si="2"/>
        <v>0</v>
      </c>
      <c r="L10" s="31">
        <f t="shared" si="3"/>
        <v>355</v>
      </c>
      <c r="M10" s="19">
        <v>45098</v>
      </c>
    </row>
    <row r="11" spans="2:27" ht="14.25" thickBot="1" x14ac:dyDescent="0.2">
      <c r="B11" s="30" t="s">
        <v>3</v>
      </c>
      <c r="C11" s="29"/>
      <c r="D11" s="12"/>
      <c r="E11" s="28">
        <f t="shared" si="0"/>
        <v>0</v>
      </c>
      <c r="F11" s="29"/>
      <c r="G11" s="12"/>
      <c r="H11" s="28">
        <f t="shared" si="1"/>
        <v>0</v>
      </c>
      <c r="I11" s="11"/>
      <c r="J11" s="10"/>
      <c r="K11" s="28">
        <f t="shared" si="2"/>
        <v>0</v>
      </c>
      <c r="L11" s="28">
        <f t="shared" si="3"/>
        <v>0</v>
      </c>
      <c r="M11" s="19"/>
    </row>
    <row r="12" spans="2:27" ht="14.25" thickBot="1" x14ac:dyDescent="0.2">
      <c r="B12" s="9" t="s">
        <v>2</v>
      </c>
      <c r="C12" s="8">
        <f t="shared" ref="C12:L12" si="4">SUM(C6:C11)</f>
        <v>431</v>
      </c>
      <c r="D12" s="7">
        <f t="shared" si="4"/>
        <v>426</v>
      </c>
      <c r="E12" s="27">
        <f t="shared" si="4"/>
        <v>857</v>
      </c>
      <c r="F12" s="8">
        <f t="shared" si="4"/>
        <v>7</v>
      </c>
      <c r="G12" s="7">
        <f t="shared" si="4"/>
        <v>7</v>
      </c>
      <c r="H12" s="27">
        <f t="shared" si="4"/>
        <v>14</v>
      </c>
      <c r="I12" s="8">
        <f t="shared" si="4"/>
        <v>7</v>
      </c>
      <c r="J12" s="7">
        <f t="shared" si="4"/>
        <v>7</v>
      </c>
      <c r="K12" s="27">
        <f t="shared" si="4"/>
        <v>14</v>
      </c>
      <c r="L12" s="27">
        <f t="shared" si="4"/>
        <v>885</v>
      </c>
    </row>
    <row r="13" spans="2:27" x14ac:dyDescent="0.15">
      <c r="B13" s="49" t="s">
        <v>21</v>
      </c>
      <c r="C13" s="26"/>
      <c r="D13" s="25">
        <v>1</v>
      </c>
      <c r="E13" s="14">
        <f t="shared" ref="E13:E37" si="5">SUM(C13:D13)</f>
        <v>1</v>
      </c>
      <c r="F13" s="26"/>
      <c r="G13" s="25"/>
      <c r="H13" s="14">
        <f t="shared" ref="H13:H37" si="6">SUM(F13:G13)</f>
        <v>0</v>
      </c>
      <c r="I13" s="16"/>
      <c r="J13" s="15"/>
      <c r="K13" s="14">
        <f t="shared" ref="K13:K37" si="7">SUM(I13:J13)</f>
        <v>0</v>
      </c>
      <c r="L13" s="14">
        <f t="shared" ref="L13:L37" si="8">H13+K13+E13</f>
        <v>1</v>
      </c>
      <c r="M13" s="19">
        <v>45047</v>
      </c>
    </row>
    <row r="14" spans="2:27" x14ac:dyDescent="0.15">
      <c r="B14" s="13" t="s">
        <v>21</v>
      </c>
      <c r="C14" s="18"/>
      <c r="D14" s="17"/>
      <c r="E14" s="14">
        <f t="shared" si="5"/>
        <v>0</v>
      </c>
      <c r="F14" s="18">
        <v>1</v>
      </c>
      <c r="G14" s="17"/>
      <c r="H14" s="14">
        <f t="shared" si="6"/>
        <v>1</v>
      </c>
      <c r="I14" s="16">
        <v>1</v>
      </c>
      <c r="J14" s="15"/>
      <c r="K14" s="14">
        <f t="shared" si="7"/>
        <v>1</v>
      </c>
      <c r="L14" s="14">
        <f t="shared" si="8"/>
        <v>2</v>
      </c>
      <c r="M14" s="19">
        <v>45068</v>
      </c>
    </row>
    <row r="15" spans="2:27" x14ac:dyDescent="0.15">
      <c r="B15" s="13" t="s">
        <v>21</v>
      </c>
      <c r="C15" s="18"/>
      <c r="D15" s="17">
        <v>1</v>
      </c>
      <c r="E15" s="14">
        <f t="shared" si="5"/>
        <v>1</v>
      </c>
      <c r="F15" s="18"/>
      <c r="G15" s="17">
        <v>1</v>
      </c>
      <c r="H15" s="14">
        <f t="shared" si="6"/>
        <v>1</v>
      </c>
      <c r="I15" s="16"/>
      <c r="J15" s="15"/>
      <c r="K15" s="14">
        <f t="shared" si="7"/>
        <v>0</v>
      </c>
      <c r="L15" s="14">
        <f t="shared" si="8"/>
        <v>2</v>
      </c>
      <c r="M15" s="19">
        <v>45070</v>
      </c>
    </row>
    <row r="16" spans="2:27" x14ac:dyDescent="0.15">
      <c r="B16" s="13" t="s">
        <v>21</v>
      </c>
      <c r="C16" s="18"/>
      <c r="D16" s="17">
        <f>1+1</f>
        <v>2</v>
      </c>
      <c r="E16" s="14">
        <f t="shared" si="5"/>
        <v>2</v>
      </c>
      <c r="F16" s="18"/>
      <c r="G16" s="17"/>
      <c r="H16" s="14">
        <f t="shared" si="6"/>
        <v>0</v>
      </c>
      <c r="I16" s="16"/>
      <c r="J16" s="15">
        <v>1</v>
      </c>
      <c r="K16" s="14">
        <f t="shared" si="7"/>
        <v>1</v>
      </c>
      <c r="L16" s="14">
        <f t="shared" si="8"/>
        <v>3</v>
      </c>
      <c r="M16" s="19">
        <v>45075</v>
      </c>
    </row>
    <row r="17" spans="2:13" x14ac:dyDescent="0.15">
      <c r="B17" s="13" t="s">
        <v>21</v>
      </c>
      <c r="C17" s="18"/>
      <c r="D17" s="17"/>
      <c r="E17" s="14">
        <f t="shared" si="5"/>
        <v>0</v>
      </c>
      <c r="F17" s="18">
        <v>1</v>
      </c>
      <c r="G17" s="17"/>
      <c r="H17" s="14">
        <f t="shared" si="6"/>
        <v>1</v>
      </c>
      <c r="I17" s="16"/>
      <c r="J17" s="15"/>
      <c r="K17" s="14">
        <f t="shared" si="7"/>
        <v>0</v>
      </c>
      <c r="L17" s="14">
        <f t="shared" si="8"/>
        <v>1</v>
      </c>
      <c r="M17" s="19">
        <v>45079</v>
      </c>
    </row>
    <row r="18" spans="2:13" x14ac:dyDescent="0.15">
      <c r="B18" s="13" t="s">
        <v>21</v>
      </c>
      <c r="C18" s="18"/>
      <c r="D18" s="17"/>
      <c r="E18" s="14">
        <f t="shared" si="5"/>
        <v>0</v>
      </c>
      <c r="F18" s="18">
        <v>1</v>
      </c>
      <c r="G18" s="17"/>
      <c r="H18" s="14">
        <f t="shared" si="6"/>
        <v>1</v>
      </c>
      <c r="I18" s="16"/>
      <c r="J18" s="15"/>
      <c r="K18" s="14">
        <f t="shared" si="7"/>
        <v>0</v>
      </c>
      <c r="L18" s="14">
        <f t="shared" si="8"/>
        <v>1</v>
      </c>
      <c r="M18" s="19">
        <v>45082</v>
      </c>
    </row>
    <row r="19" spans="2:13" x14ac:dyDescent="0.15">
      <c r="B19" s="13" t="s">
        <v>25</v>
      </c>
      <c r="C19" s="18">
        <v>12</v>
      </c>
      <c r="D19" s="17">
        <v>12</v>
      </c>
      <c r="E19" s="14">
        <f t="shared" si="5"/>
        <v>24</v>
      </c>
      <c r="F19" s="18"/>
      <c r="G19" s="17"/>
      <c r="H19" s="14">
        <f t="shared" si="6"/>
        <v>0</v>
      </c>
      <c r="I19" s="16"/>
      <c r="J19" s="15"/>
      <c r="K19" s="14">
        <f t="shared" si="7"/>
        <v>0</v>
      </c>
      <c r="L19" s="14">
        <f t="shared" si="8"/>
        <v>24</v>
      </c>
      <c r="M19" s="19">
        <v>45084</v>
      </c>
    </row>
    <row r="20" spans="2:13" x14ac:dyDescent="0.15">
      <c r="B20" s="13" t="s">
        <v>21</v>
      </c>
      <c r="C20" s="18">
        <v>1</v>
      </c>
      <c r="D20" s="17">
        <v>1</v>
      </c>
      <c r="E20" s="14">
        <f t="shared" si="5"/>
        <v>2</v>
      </c>
      <c r="F20" s="18">
        <v>1</v>
      </c>
      <c r="G20" s="17"/>
      <c r="H20" s="14">
        <f t="shared" si="6"/>
        <v>1</v>
      </c>
      <c r="I20" s="16"/>
      <c r="J20" s="15"/>
      <c r="K20" s="14">
        <f t="shared" si="7"/>
        <v>0</v>
      </c>
      <c r="L20" s="14">
        <f t="shared" si="8"/>
        <v>3</v>
      </c>
      <c r="M20" s="19">
        <v>45083</v>
      </c>
    </row>
    <row r="21" spans="2:13" x14ac:dyDescent="0.15">
      <c r="B21" s="13" t="s">
        <v>26</v>
      </c>
      <c r="C21" s="18">
        <v>1</v>
      </c>
      <c r="D21" s="17">
        <v>1</v>
      </c>
      <c r="E21" s="14">
        <f t="shared" si="5"/>
        <v>2</v>
      </c>
      <c r="F21" s="18"/>
      <c r="G21" s="17"/>
      <c r="H21" s="14">
        <f t="shared" si="6"/>
        <v>0</v>
      </c>
      <c r="I21" s="16"/>
      <c r="J21" s="15"/>
      <c r="K21" s="14">
        <f t="shared" si="7"/>
        <v>0</v>
      </c>
      <c r="L21" s="14">
        <f t="shared" si="8"/>
        <v>2</v>
      </c>
      <c r="M21" s="19">
        <v>45090</v>
      </c>
    </row>
    <row r="22" spans="2:13" x14ac:dyDescent="0.15">
      <c r="B22" s="13" t="s">
        <v>21</v>
      </c>
      <c r="C22" s="18"/>
      <c r="D22" s="17">
        <v>1</v>
      </c>
      <c r="E22" s="14">
        <f t="shared" si="5"/>
        <v>1</v>
      </c>
      <c r="F22" s="18"/>
      <c r="G22" s="17">
        <v>1</v>
      </c>
      <c r="H22" s="14">
        <f t="shared" si="6"/>
        <v>1</v>
      </c>
      <c r="I22" s="16"/>
      <c r="J22" s="15"/>
      <c r="K22" s="14">
        <f t="shared" si="7"/>
        <v>0</v>
      </c>
      <c r="L22" s="14">
        <f t="shared" si="8"/>
        <v>2</v>
      </c>
      <c r="M22" s="19">
        <v>45089</v>
      </c>
    </row>
    <row r="23" spans="2:13" x14ac:dyDescent="0.15">
      <c r="B23" s="13" t="s">
        <v>27</v>
      </c>
      <c r="C23" s="18">
        <v>9</v>
      </c>
      <c r="D23" s="17">
        <v>9</v>
      </c>
      <c r="E23" s="14">
        <f t="shared" si="5"/>
        <v>18</v>
      </c>
      <c r="F23" s="18"/>
      <c r="G23" s="17"/>
      <c r="H23" s="14">
        <f t="shared" si="6"/>
        <v>0</v>
      </c>
      <c r="I23" s="16"/>
      <c r="J23" s="15"/>
      <c r="K23" s="14">
        <f t="shared" si="7"/>
        <v>0</v>
      </c>
      <c r="L23" s="14">
        <f t="shared" si="8"/>
        <v>18</v>
      </c>
      <c r="M23" s="19">
        <v>45091</v>
      </c>
    </row>
    <row r="24" spans="2:13" x14ac:dyDescent="0.15">
      <c r="B24" s="13" t="s">
        <v>28</v>
      </c>
      <c r="C24" s="18">
        <v>12</v>
      </c>
      <c r="D24" s="17">
        <v>12</v>
      </c>
      <c r="E24" s="14">
        <f t="shared" si="5"/>
        <v>24</v>
      </c>
      <c r="F24" s="18"/>
      <c r="G24" s="17"/>
      <c r="H24" s="14">
        <f t="shared" si="6"/>
        <v>0</v>
      </c>
      <c r="I24" s="16"/>
      <c r="J24" s="15"/>
      <c r="K24" s="14">
        <f t="shared" si="7"/>
        <v>0</v>
      </c>
      <c r="L24" s="14">
        <f t="shared" si="8"/>
        <v>24</v>
      </c>
      <c r="M24" s="19">
        <v>45093</v>
      </c>
    </row>
    <row r="25" spans="2:13" x14ac:dyDescent="0.15">
      <c r="B25" s="13" t="s">
        <v>29</v>
      </c>
      <c r="C25" s="18">
        <v>12</v>
      </c>
      <c r="D25" s="17">
        <v>12</v>
      </c>
      <c r="E25" s="14">
        <f t="shared" si="5"/>
        <v>24</v>
      </c>
      <c r="F25" s="18"/>
      <c r="G25" s="17"/>
      <c r="H25" s="14">
        <f t="shared" si="6"/>
        <v>0</v>
      </c>
      <c r="I25" s="16"/>
      <c r="J25" s="15"/>
      <c r="K25" s="14">
        <f t="shared" si="7"/>
        <v>0</v>
      </c>
      <c r="L25" s="14">
        <f t="shared" si="8"/>
        <v>24</v>
      </c>
      <c r="M25" s="19">
        <v>45096</v>
      </c>
    </row>
    <row r="26" spans="2:13" x14ac:dyDescent="0.15">
      <c r="B26" s="13" t="s">
        <v>30</v>
      </c>
      <c r="C26" s="18">
        <v>180</v>
      </c>
      <c r="D26" s="17">
        <v>175</v>
      </c>
      <c r="E26" s="14">
        <f t="shared" si="5"/>
        <v>355</v>
      </c>
      <c r="F26" s="18"/>
      <c r="G26" s="17"/>
      <c r="H26" s="14">
        <f t="shared" si="6"/>
        <v>0</v>
      </c>
      <c r="I26" s="16"/>
      <c r="J26" s="15"/>
      <c r="K26" s="14">
        <f t="shared" si="7"/>
        <v>0</v>
      </c>
      <c r="L26" s="14">
        <f t="shared" si="8"/>
        <v>355</v>
      </c>
      <c r="M26" s="19">
        <v>45093</v>
      </c>
    </row>
    <row r="27" spans="2:13" x14ac:dyDescent="0.15">
      <c r="B27" s="13" t="s">
        <v>21</v>
      </c>
      <c r="C27" s="23">
        <v>1</v>
      </c>
      <c r="D27" s="22"/>
      <c r="E27" s="14">
        <f t="shared" si="5"/>
        <v>1</v>
      </c>
      <c r="F27" s="23"/>
      <c r="G27" s="22">
        <v>1</v>
      </c>
      <c r="H27" s="14">
        <f t="shared" si="6"/>
        <v>1</v>
      </c>
      <c r="I27" s="21"/>
      <c r="J27" s="20"/>
      <c r="K27" s="14">
        <f t="shared" si="7"/>
        <v>0</v>
      </c>
      <c r="L27" s="14">
        <f t="shared" si="8"/>
        <v>2</v>
      </c>
      <c r="M27" s="24">
        <v>45093</v>
      </c>
    </row>
    <row r="28" spans="2:13" x14ac:dyDescent="0.15">
      <c r="B28" s="13" t="s">
        <v>21</v>
      </c>
      <c r="C28" s="23">
        <v>1</v>
      </c>
      <c r="D28" s="22">
        <v>1</v>
      </c>
      <c r="E28" s="14">
        <f t="shared" ref="E28" si="9">SUM(C28:D28)</f>
        <v>2</v>
      </c>
      <c r="F28" s="23"/>
      <c r="G28" s="22"/>
      <c r="H28" s="14">
        <f t="shared" ref="H28" si="10">SUM(F28:G28)</f>
        <v>0</v>
      </c>
      <c r="I28" s="21"/>
      <c r="J28" s="20"/>
      <c r="K28" s="14">
        <f t="shared" ref="K28" si="11">SUM(I28:J28)</f>
        <v>0</v>
      </c>
      <c r="L28" s="14">
        <f t="shared" ref="L28" si="12">H28+K28+E28</f>
        <v>2</v>
      </c>
      <c r="M28" s="24">
        <v>45096</v>
      </c>
    </row>
    <row r="29" spans="2:13" x14ac:dyDescent="0.15">
      <c r="B29" s="13" t="s">
        <v>31</v>
      </c>
      <c r="C29" s="18">
        <v>10</v>
      </c>
      <c r="D29" s="17">
        <v>10</v>
      </c>
      <c r="E29" s="14">
        <f t="shared" si="5"/>
        <v>20</v>
      </c>
      <c r="F29" s="18"/>
      <c r="G29" s="17"/>
      <c r="H29" s="14">
        <f t="shared" si="6"/>
        <v>0</v>
      </c>
      <c r="I29" s="16"/>
      <c r="J29" s="15"/>
      <c r="K29" s="14">
        <f t="shared" si="7"/>
        <v>0</v>
      </c>
      <c r="L29" s="14">
        <f t="shared" si="8"/>
        <v>20</v>
      </c>
      <c r="M29" s="19">
        <v>45098</v>
      </c>
    </row>
    <row r="30" spans="2:13" x14ac:dyDescent="0.15">
      <c r="B30" s="13" t="s">
        <v>32</v>
      </c>
      <c r="C30" s="18">
        <v>5</v>
      </c>
      <c r="D30" s="17">
        <v>5</v>
      </c>
      <c r="E30" s="14">
        <f t="shared" si="5"/>
        <v>10</v>
      </c>
      <c r="F30" s="18"/>
      <c r="G30" s="17"/>
      <c r="H30" s="14">
        <f t="shared" si="6"/>
        <v>0</v>
      </c>
      <c r="I30" s="16"/>
      <c r="J30" s="15"/>
      <c r="K30" s="14">
        <f t="shared" si="7"/>
        <v>0</v>
      </c>
      <c r="L30" s="14">
        <f t="shared" si="8"/>
        <v>10</v>
      </c>
      <c r="M30" s="19">
        <v>45099</v>
      </c>
    </row>
    <row r="31" spans="2:13" x14ac:dyDescent="0.15">
      <c r="B31" s="13" t="s">
        <v>21</v>
      </c>
      <c r="C31" s="23"/>
      <c r="D31" s="22"/>
      <c r="E31" s="14">
        <f t="shared" si="5"/>
        <v>0</v>
      </c>
      <c r="F31" s="23"/>
      <c r="G31" s="22">
        <v>1</v>
      </c>
      <c r="H31" s="14">
        <f t="shared" si="6"/>
        <v>1</v>
      </c>
      <c r="I31" s="21"/>
      <c r="J31" s="20"/>
      <c r="K31" s="14">
        <f t="shared" si="7"/>
        <v>0</v>
      </c>
      <c r="L31" s="14">
        <f t="shared" si="8"/>
        <v>1</v>
      </c>
      <c r="M31" s="24">
        <v>45098</v>
      </c>
    </row>
    <row r="32" spans="2:13" x14ac:dyDescent="0.15">
      <c r="B32" s="13" t="s">
        <v>34</v>
      </c>
      <c r="C32" s="18">
        <v>3</v>
      </c>
      <c r="D32" s="17">
        <v>3</v>
      </c>
      <c r="E32" s="14">
        <f t="shared" si="5"/>
        <v>6</v>
      </c>
      <c r="F32" s="18"/>
      <c r="G32" s="17"/>
      <c r="H32" s="14">
        <f t="shared" si="6"/>
        <v>0</v>
      </c>
      <c r="I32" s="16"/>
      <c r="J32" s="15"/>
      <c r="K32" s="14">
        <f t="shared" si="7"/>
        <v>0</v>
      </c>
      <c r="L32" s="14">
        <f t="shared" si="8"/>
        <v>6</v>
      </c>
      <c r="M32" s="45">
        <v>45100</v>
      </c>
    </row>
    <row r="33" spans="1:13" x14ac:dyDescent="0.15">
      <c r="B33" s="13" t="s">
        <v>35</v>
      </c>
      <c r="C33" s="18">
        <v>2</v>
      </c>
      <c r="D33" s="17">
        <v>2</v>
      </c>
      <c r="E33" s="14">
        <f t="shared" si="5"/>
        <v>4</v>
      </c>
      <c r="F33" s="18"/>
      <c r="G33" s="17"/>
      <c r="H33" s="14">
        <f t="shared" si="6"/>
        <v>0</v>
      </c>
      <c r="I33" s="16"/>
      <c r="J33" s="15"/>
      <c r="K33" s="14">
        <f t="shared" si="7"/>
        <v>0</v>
      </c>
      <c r="L33" s="14">
        <f t="shared" si="8"/>
        <v>4</v>
      </c>
      <c r="M33" s="45">
        <v>45103</v>
      </c>
    </row>
    <row r="34" spans="1:13" x14ac:dyDescent="0.15">
      <c r="B34" s="13" t="s">
        <v>21</v>
      </c>
      <c r="C34" s="18">
        <v>1</v>
      </c>
      <c r="D34" s="17">
        <f>1+1</f>
        <v>2</v>
      </c>
      <c r="E34" s="14">
        <f t="shared" si="5"/>
        <v>3</v>
      </c>
      <c r="F34" s="18"/>
      <c r="G34" s="17">
        <v>1</v>
      </c>
      <c r="H34" s="14">
        <f t="shared" si="6"/>
        <v>1</v>
      </c>
      <c r="I34" s="16">
        <v>1</v>
      </c>
      <c r="J34" s="15">
        <v>1</v>
      </c>
      <c r="K34" s="14">
        <f t="shared" si="7"/>
        <v>2</v>
      </c>
      <c r="L34" s="14">
        <f t="shared" si="8"/>
        <v>6</v>
      </c>
      <c r="M34" s="45">
        <v>45103</v>
      </c>
    </row>
    <row r="35" spans="1:13" x14ac:dyDescent="0.15">
      <c r="B35" s="13" t="s">
        <v>36</v>
      </c>
      <c r="C35" s="18">
        <v>7</v>
      </c>
      <c r="D35" s="17">
        <v>7</v>
      </c>
      <c r="E35" s="14">
        <f t="shared" si="5"/>
        <v>14</v>
      </c>
      <c r="F35" s="18"/>
      <c r="G35" s="17"/>
      <c r="H35" s="14">
        <f t="shared" si="6"/>
        <v>0</v>
      </c>
      <c r="I35" s="16"/>
      <c r="J35" s="15"/>
      <c r="K35" s="14">
        <f t="shared" si="7"/>
        <v>0</v>
      </c>
      <c r="L35" s="14">
        <f t="shared" si="8"/>
        <v>14</v>
      </c>
      <c r="M35" s="45">
        <v>45105</v>
      </c>
    </row>
    <row r="36" spans="1:13" x14ac:dyDescent="0.15">
      <c r="B36" s="13"/>
      <c r="C36" s="18"/>
      <c r="D36" s="17"/>
      <c r="E36" s="14">
        <f t="shared" si="5"/>
        <v>0</v>
      </c>
      <c r="F36" s="18"/>
      <c r="G36" s="17"/>
      <c r="H36" s="14">
        <f t="shared" si="6"/>
        <v>0</v>
      </c>
      <c r="I36" s="16"/>
      <c r="J36" s="15"/>
      <c r="K36" s="14">
        <f t="shared" si="7"/>
        <v>0</v>
      </c>
      <c r="L36" s="14">
        <f t="shared" si="8"/>
        <v>0</v>
      </c>
      <c r="M36" s="45"/>
    </row>
    <row r="37" spans="1:13" ht="14.25" thickBot="1" x14ac:dyDescent="0.2">
      <c r="B37" s="13" t="s">
        <v>20</v>
      </c>
      <c r="C37" s="55"/>
      <c r="D37" s="12"/>
      <c r="E37" s="56">
        <f t="shared" si="5"/>
        <v>0</v>
      </c>
      <c r="F37" s="55"/>
      <c r="G37" s="12"/>
      <c r="H37" s="56">
        <f t="shared" si="6"/>
        <v>0</v>
      </c>
      <c r="I37" s="11"/>
      <c r="J37" s="10"/>
      <c r="K37" s="56">
        <f t="shared" si="7"/>
        <v>0</v>
      </c>
      <c r="L37" s="56">
        <f t="shared" si="8"/>
        <v>0</v>
      </c>
      <c r="M37" s="57" t="s">
        <v>19</v>
      </c>
    </row>
    <row r="38" spans="1:13" ht="14.25" thickBot="1" x14ac:dyDescent="0.2">
      <c r="B38" s="9" t="s">
        <v>1</v>
      </c>
      <c r="C38" s="8">
        <f t="shared" ref="C38:L38" si="13">SUM(C13:C37)</f>
        <v>257</v>
      </c>
      <c r="D38" s="7">
        <f t="shared" si="13"/>
        <v>257</v>
      </c>
      <c r="E38" s="6">
        <f t="shared" si="13"/>
        <v>514</v>
      </c>
      <c r="F38" s="8">
        <f t="shared" si="13"/>
        <v>4</v>
      </c>
      <c r="G38" s="7">
        <f t="shared" si="13"/>
        <v>5</v>
      </c>
      <c r="H38" s="6">
        <f t="shared" si="13"/>
        <v>9</v>
      </c>
      <c r="I38" s="8">
        <f t="shared" si="13"/>
        <v>2</v>
      </c>
      <c r="J38" s="7">
        <f t="shared" si="13"/>
        <v>2</v>
      </c>
      <c r="K38" s="6">
        <f t="shared" si="13"/>
        <v>4</v>
      </c>
      <c r="L38" s="6">
        <f t="shared" si="13"/>
        <v>527</v>
      </c>
    </row>
    <row r="39" spans="1:13" ht="14.25" thickBot="1" x14ac:dyDescent="0.2">
      <c r="B39" s="5" t="s">
        <v>0</v>
      </c>
      <c r="C39" s="4">
        <f t="shared" ref="C39:L39" si="14">+C12-C38</f>
        <v>174</v>
      </c>
      <c r="D39" s="3">
        <f t="shared" si="14"/>
        <v>169</v>
      </c>
      <c r="E39" s="2">
        <f t="shared" si="14"/>
        <v>343</v>
      </c>
      <c r="F39" s="4">
        <f t="shared" si="14"/>
        <v>3</v>
      </c>
      <c r="G39" s="3">
        <f t="shared" si="14"/>
        <v>2</v>
      </c>
      <c r="H39" s="2">
        <f t="shared" si="14"/>
        <v>5</v>
      </c>
      <c r="I39" s="4">
        <f t="shared" si="14"/>
        <v>5</v>
      </c>
      <c r="J39" s="3">
        <f t="shared" si="14"/>
        <v>5</v>
      </c>
      <c r="K39" s="2">
        <f t="shared" si="14"/>
        <v>10</v>
      </c>
      <c r="L39" s="2">
        <f t="shared" si="14"/>
        <v>358</v>
      </c>
    </row>
    <row r="41" spans="1:13" ht="18.75" x14ac:dyDescent="0.2">
      <c r="B41" s="44" t="s">
        <v>14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1:13" ht="17.25" x14ac:dyDescent="0.2">
      <c r="B42" s="43" t="s">
        <v>13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</row>
    <row r="43" spans="1:13" ht="14.25" thickBot="1" x14ac:dyDescent="0.2"/>
    <row r="44" spans="1:13" ht="14.25" thickBot="1" x14ac:dyDescent="0.2">
      <c r="B44" s="41"/>
      <c r="C44" s="67" t="s">
        <v>12</v>
      </c>
      <c r="D44" s="68"/>
      <c r="E44" s="69"/>
      <c r="F44" s="67" t="s">
        <v>11</v>
      </c>
      <c r="G44" s="68"/>
      <c r="H44" s="69"/>
      <c r="I44" s="67" t="s">
        <v>10</v>
      </c>
      <c r="J44" s="68"/>
      <c r="K44" s="69"/>
      <c r="L44" s="40"/>
    </row>
    <row r="45" spans="1:13" ht="14.25" thickBot="1" x14ac:dyDescent="0.2">
      <c r="A45" s="1"/>
      <c r="B45" s="39"/>
      <c r="C45" s="50" t="s">
        <v>7</v>
      </c>
      <c r="D45" s="38" t="s">
        <v>9</v>
      </c>
      <c r="E45" s="37" t="s">
        <v>4</v>
      </c>
      <c r="F45" s="52" t="s">
        <v>8</v>
      </c>
      <c r="G45" s="51" t="s">
        <v>7</v>
      </c>
      <c r="H45" s="37" t="s">
        <v>4</v>
      </c>
      <c r="I45" s="53" t="s">
        <v>6</v>
      </c>
      <c r="J45" s="54" t="s">
        <v>5</v>
      </c>
      <c r="K45" s="37" t="s">
        <v>4</v>
      </c>
      <c r="L45" s="37" t="s">
        <v>4</v>
      </c>
    </row>
    <row r="46" spans="1:13" x14ac:dyDescent="0.15">
      <c r="B46" s="36" t="s">
        <v>0</v>
      </c>
      <c r="C46" s="35">
        <f t="shared" ref="C46:L46" si="15">C39</f>
        <v>174</v>
      </c>
      <c r="D46" s="34">
        <f t="shared" si="15"/>
        <v>169</v>
      </c>
      <c r="E46" s="33">
        <f t="shared" si="15"/>
        <v>343</v>
      </c>
      <c r="F46" s="35">
        <f t="shared" si="15"/>
        <v>3</v>
      </c>
      <c r="G46" s="34">
        <f t="shared" si="15"/>
        <v>2</v>
      </c>
      <c r="H46" s="33">
        <f t="shared" si="15"/>
        <v>5</v>
      </c>
      <c r="I46" s="35">
        <f t="shared" si="15"/>
        <v>5</v>
      </c>
      <c r="J46" s="34">
        <f t="shared" si="15"/>
        <v>5</v>
      </c>
      <c r="K46" s="33">
        <f t="shared" si="15"/>
        <v>10</v>
      </c>
      <c r="L46" s="33">
        <f t="shared" si="15"/>
        <v>358</v>
      </c>
    </row>
    <row r="47" spans="1:13" x14ac:dyDescent="0.15">
      <c r="B47" s="32" t="s">
        <v>3</v>
      </c>
      <c r="C47" s="18"/>
      <c r="D47" s="17"/>
      <c r="E47" s="31">
        <f>SUM(C47:D47)</f>
        <v>0</v>
      </c>
      <c r="F47" s="18"/>
      <c r="G47" s="17"/>
      <c r="H47" s="31">
        <f>SUM(F47:G47)</f>
        <v>0</v>
      </c>
      <c r="I47" s="16"/>
      <c r="J47" s="15"/>
      <c r="K47" s="31">
        <f>SUM(I47:J47)</f>
        <v>0</v>
      </c>
      <c r="L47" s="31">
        <f>H47+K47+E47</f>
        <v>0</v>
      </c>
      <c r="M47" s="19"/>
    </row>
    <row r="48" spans="1:13" x14ac:dyDescent="0.15">
      <c r="B48" s="32" t="s">
        <v>3</v>
      </c>
      <c r="C48" s="18"/>
      <c r="D48" s="17"/>
      <c r="E48" s="31">
        <f>SUM(C48:D48)</f>
        <v>0</v>
      </c>
      <c r="F48" s="18"/>
      <c r="G48" s="17"/>
      <c r="H48" s="31">
        <f>SUM(F48:G48)</f>
        <v>0</v>
      </c>
      <c r="I48" s="16"/>
      <c r="J48" s="15"/>
      <c r="K48" s="31">
        <f>SUM(I48:J48)</f>
        <v>0</v>
      </c>
      <c r="L48" s="31">
        <f>H48+K48+E48</f>
        <v>0</v>
      </c>
      <c r="M48" s="19"/>
    </row>
    <row r="49" spans="2:13" x14ac:dyDescent="0.15">
      <c r="B49" s="32" t="s">
        <v>3</v>
      </c>
      <c r="C49" s="18">
        <v>250</v>
      </c>
      <c r="D49" s="17">
        <v>150</v>
      </c>
      <c r="E49" s="31">
        <f>SUM(C49:D49)</f>
        <v>400</v>
      </c>
      <c r="F49" s="18"/>
      <c r="G49" s="17"/>
      <c r="H49" s="31">
        <f>SUM(F49:G49)</f>
        <v>0</v>
      </c>
      <c r="I49" s="16"/>
      <c r="J49" s="15"/>
      <c r="K49" s="31">
        <f>SUM(I49:J49)</f>
        <v>0</v>
      </c>
      <c r="L49" s="31">
        <f>H49+K49+E49</f>
        <v>400</v>
      </c>
      <c r="M49" s="19" t="s">
        <v>39</v>
      </c>
    </row>
    <row r="50" spans="2:13" x14ac:dyDescent="0.15">
      <c r="B50" s="32" t="s">
        <v>3</v>
      </c>
      <c r="C50" s="18"/>
      <c r="D50" s="17"/>
      <c r="E50" s="31">
        <f>SUM(C50:D50)</f>
        <v>0</v>
      </c>
      <c r="F50" s="18"/>
      <c r="G50" s="17"/>
      <c r="H50" s="31">
        <f>SUM(F50:G50)</f>
        <v>0</v>
      </c>
      <c r="I50" s="16"/>
      <c r="J50" s="15"/>
      <c r="K50" s="31">
        <f>SUM(I50:J50)</f>
        <v>0</v>
      </c>
      <c r="L50" s="31">
        <f>H50+K50+E50</f>
        <v>0</v>
      </c>
      <c r="M50" s="19"/>
    </row>
    <row r="51" spans="2:13" ht="14.25" thickBot="1" x14ac:dyDescent="0.2">
      <c r="B51" s="30" t="s">
        <v>55</v>
      </c>
      <c r="C51" s="29">
        <v>1</v>
      </c>
      <c r="D51" s="12">
        <v>1</v>
      </c>
      <c r="E51" s="28">
        <f>SUM(C51:D51)</f>
        <v>2</v>
      </c>
      <c r="F51" s="29"/>
      <c r="G51" s="12"/>
      <c r="H51" s="28">
        <f>SUM(F51:G51)</f>
        <v>0</v>
      </c>
      <c r="I51" s="11"/>
      <c r="J51" s="10"/>
      <c r="K51" s="28">
        <f>SUM(I51:J51)</f>
        <v>0</v>
      </c>
      <c r="L51" s="28">
        <f>H51+K51+E51</f>
        <v>2</v>
      </c>
      <c r="M51" s="19">
        <v>45133</v>
      </c>
    </row>
    <row r="52" spans="2:13" ht="14.25" thickBot="1" x14ac:dyDescent="0.2">
      <c r="B52" s="9" t="s">
        <v>2</v>
      </c>
      <c r="C52" s="8">
        <f t="shared" ref="C52:L52" si="16">SUM(C46:C51)</f>
        <v>425</v>
      </c>
      <c r="D52" s="7">
        <f t="shared" si="16"/>
        <v>320</v>
      </c>
      <c r="E52" s="27">
        <f t="shared" si="16"/>
        <v>745</v>
      </c>
      <c r="F52" s="8">
        <f t="shared" si="16"/>
        <v>3</v>
      </c>
      <c r="G52" s="7">
        <f t="shared" si="16"/>
        <v>2</v>
      </c>
      <c r="H52" s="27">
        <f t="shared" si="16"/>
        <v>5</v>
      </c>
      <c r="I52" s="8">
        <f t="shared" si="16"/>
        <v>5</v>
      </c>
      <c r="J52" s="7">
        <f t="shared" si="16"/>
        <v>5</v>
      </c>
      <c r="K52" s="27">
        <f t="shared" si="16"/>
        <v>10</v>
      </c>
      <c r="L52" s="27">
        <f t="shared" si="16"/>
        <v>760</v>
      </c>
    </row>
    <row r="53" spans="2:13" x14ac:dyDescent="0.15">
      <c r="B53" s="13" t="s">
        <v>37</v>
      </c>
      <c r="C53" s="26">
        <v>3</v>
      </c>
      <c r="D53" s="25">
        <v>3</v>
      </c>
      <c r="E53" s="14">
        <f t="shared" ref="E53:E77" si="17">SUM(C53:D53)</f>
        <v>6</v>
      </c>
      <c r="F53" s="26"/>
      <c r="G53" s="25"/>
      <c r="H53" s="14">
        <f t="shared" ref="H53:H77" si="18">SUM(F53:G53)</f>
        <v>0</v>
      </c>
      <c r="I53" s="16"/>
      <c r="J53" s="15"/>
      <c r="K53" s="14">
        <f t="shared" ref="K53:K77" si="19">SUM(I53:J53)</f>
        <v>0</v>
      </c>
      <c r="L53" s="14">
        <f t="shared" ref="L53:L77" si="20">H53+K53+E53</f>
        <v>6</v>
      </c>
      <c r="M53" s="19">
        <v>45107</v>
      </c>
    </row>
    <row r="54" spans="2:13" x14ac:dyDescent="0.15">
      <c r="B54" s="13" t="s">
        <v>21</v>
      </c>
      <c r="C54" s="18"/>
      <c r="D54" s="17"/>
      <c r="E54" s="14">
        <f t="shared" si="17"/>
        <v>0</v>
      </c>
      <c r="F54" s="18"/>
      <c r="G54" s="17"/>
      <c r="H54" s="14">
        <f t="shared" si="18"/>
        <v>0</v>
      </c>
      <c r="I54" s="16">
        <v>1</v>
      </c>
      <c r="J54" s="15"/>
      <c r="K54" s="14">
        <f t="shared" si="19"/>
        <v>1</v>
      </c>
      <c r="L54" s="14">
        <f t="shared" si="20"/>
        <v>1</v>
      </c>
      <c r="M54" s="19">
        <v>45106</v>
      </c>
    </row>
    <row r="55" spans="2:13" x14ac:dyDescent="0.15">
      <c r="B55" s="13" t="s">
        <v>38</v>
      </c>
      <c r="C55" s="18">
        <v>3</v>
      </c>
      <c r="D55" s="17">
        <v>3</v>
      </c>
      <c r="E55" s="14">
        <f t="shared" si="17"/>
        <v>6</v>
      </c>
      <c r="F55" s="18"/>
      <c r="G55" s="17"/>
      <c r="H55" s="14">
        <f t="shared" si="18"/>
        <v>0</v>
      </c>
      <c r="I55" s="16"/>
      <c r="J55" s="15"/>
      <c r="K55" s="14">
        <f t="shared" si="19"/>
        <v>0</v>
      </c>
      <c r="L55" s="14">
        <f t="shared" si="20"/>
        <v>6</v>
      </c>
      <c r="M55" s="19">
        <v>45111</v>
      </c>
    </row>
    <row r="56" spans="2:13" x14ac:dyDescent="0.15">
      <c r="B56" s="13" t="s">
        <v>40</v>
      </c>
      <c r="C56" s="18">
        <v>2</v>
      </c>
      <c r="D56" s="17">
        <v>2</v>
      </c>
      <c r="E56" s="14">
        <f t="shared" si="17"/>
        <v>4</v>
      </c>
      <c r="F56" s="18"/>
      <c r="G56" s="17"/>
      <c r="H56" s="14">
        <f t="shared" si="18"/>
        <v>0</v>
      </c>
      <c r="I56" s="16"/>
      <c r="J56" s="15"/>
      <c r="K56" s="14">
        <f t="shared" si="19"/>
        <v>0</v>
      </c>
      <c r="L56" s="14">
        <f t="shared" si="20"/>
        <v>4</v>
      </c>
      <c r="M56" s="19">
        <v>45112</v>
      </c>
    </row>
    <row r="57" spans="2:13" x14ac:dyDescent="0.15">
      <c r="B57" s="13" t="s">
        <v>21</v>
      </c>
      <c r="C57" s="18"/>
      <c r="D57" s="17">
        <v>1</v>
      </c>
      <c r="E57" s="14">
        <f t="shared" si="17"/>
        <v>1</v>
      </c>
      <c r="F57" s="18"/>
      <c r="G57" s="17"/>
      <c r="H57" s="14">
        <f t="shared" si="18"/>
        <v>0</v>
      </c>
      <c r="I57" s="16"/>
      <c r="J57" s="15"/>
      <c r="K57" s="14">
        <f t="shared" si="19"/>
        <v>0</v>
      </c>
      <c r="L57" s="14">
        <f t="shared" si="20"/>
        <v>1</v>
      </c>
      <c r="M57" s="19">
        <v>45111</v>
      </c>
    </row>
    <row r="58" spans="2:13" x14ac:dyDescent="0.15">
      <c r="B58" s="13" t="s">
        <v>41</v>
      </c>
      <c r="C58" s="18">
        <v>1</v>
      </c>
      <c r="D58" s="17">
        <v>1</v>
      </c>
      <c r="E58" s="14">
        <f t="shared" si="17"/>
        <v>2</v>
      </c>
      <c r="F58" s="18"/>
      <c r="G58" s="17"/>
      <c r="H58" s="14">
        <f t="shared" si="18"/>
        <v>0</v>
      </c>
      <c r="I58" s="16"/>
      <c r="J58" s="15"/>
      <c r="K58" s="14">
        <f t="shared" si="19"/>
        <v>0</v>
      </c>
      <c r="L58" s="14">
        <f t="shared" si="20"/>
        <v>2</v>
      </c>
      <c r="M58" s="19">
        <v>45113</v>
      </c>
    </row>
    <row r="59" spans="2:13" x14ac:dyDescent="0.15">
      <c r="B59" s="13" t="s">
        <v>42</v>
      </c>
      <c r="C59" s="18">
        <v>2</v>
      </c>
      <c r="D59" s="17">
        <v>2</v>
      </c>
      <c r="E59" s="14">
        <f t="shared" si="17"/>
        <v>4</v>
      </c>
      <c r="F59" s="18"/>
      <c r="G59" s="17"/>
      <c r="H59" s="14">
        <f t="shared" si="18"/>
        <v>0</v>
      </c>
      <c r="I59" s="16"/>
      <c r="J59" s="15"/>
      <c r="K59" s="14">
        <f t="shared" si="19"/>
        <v>0</v>
      </c>
      <c r="L59" s="14">
        <f t="shared" si="20"/>
        <v>4</v>
      </c>
      <c r="M59" s="19">
        <v>45114</v>
      </c>
    </row>
    <row r="60" spans="2:13" x14ac:dyDescent="0.15">
      <c r="B60" s="13" t="s">
        <v>21</v>
      </c>
      <c r="C60" s="18"/>
      <c r="D60" s="17"/>
      <c r="E60" s="14">
        <f t="shared" si="17"/>
        <v>0</v>
      </c>
      <c r="F60" s="18">
        <v>1</v>
      </c>
      <c r="G60" s="17"/>
      <c r="H60" s="14">
        <f t="shared" si="18"/>
        <v>1</v>
      </c>
      <c r="I60" s="16"/>
      <c r="J60" s="15"/>
      <c r="K60" s="14">
        <f t="shared" si="19"/>
        <v>0</v>
      </c>
      <c r="L60" s="14">
        <f t="shared" si="20"/>
        <v>1</v>
      </c>
      <c r="M60" s="19">
        <v>45114</v>
      </c>
    </row>
    <row r="61" spans="2:13" x14ac:dyDescent="0.15">
      <c r="B61" s="13" t="s">
        <v>43</v>
      </c>
      <c r="C61" s="18">
        <v>1</v>
      </c>
      <c r="D61" s="17">
        <v>1</v>
      </c>
      <c r="E61" s="14">
        <f t="shared" si="17"/>
        <v>2</v>
      </c>
      <c r="F61" s="18"/>
      <c r="G61" s="17"/>
      <c r="H61" s="14">
        <f t="shared" si="18"/>
        <v>0</v>
      </c>
      <c r="I61" s="16"/>
      <c r="J61" s="15"/>
      <c r="K61" s="14">
        <f t="shared" si="19"/>
        <v>0</v>
      </c>
      <c r="L61" s="14">
        <f t="shared" si="20"/>
        <v>2</v>
      </c>
      <c r="M61" s="19">
        <v>45118</v>
      </c>
    </row>
    <row r="62" spans="2:13" x14ac:dyDescent="0.15">
      <c r="B62" s="13" t="s">
        <v>21</v>
      </c>
      <c r="C62" s="18"/>
      <c r="D62" s="17"/>
      <c r="E62" s="14">
        <f t="shared" si="17"/>
        <v>0</v>
      </c>
      <c r="F62" s="18"/>
      <c r="G62" s="17">
        <v>1</v>
      </c>
      <c r="H62" s="14">
        <f t="shared" si="18"/>
        <v>1</v>
      </c>
      <c r="I62" s="16"/>
      <c r="J62" s="15"/>
      <c r="K62" s="14">
        <f t="shared" si="19"/>
        <v>0</v>
      </c>
      <c r="L62" s="14">
        <f t="shared" si="20"/>
        <v>1</v>
      </c>
      <c r="M62" s="19">
        <v>45117</v>
      </c>
    </row>
    <row r="63" spans="2:13" x14ac:dyDescent="0.15">
      <c r="B63" s="13" t="s">
        <v>21</v>
      </c>
      <c r="C63" s="23"/>
      <c r="D63" s="22">
        <v>1</v>
      </c>
      <c r="E63" s="14">
        <f t="shared" si="17"/>
        <v>1</v>
      </c>
      <c r="F63" s="23"/>
      <c r="G63" s="22"/>
      <c r="H63" s="14">
        <f t="shared" si="18"/>
        <v>0</v>
      </c>
      <c r="I63" s="21"/>
      <c r="J63" s="20"/>
      <c r="K63" s="14">
        <f t="shared" si="19"/>
        <v>0</v>
      </c>
      <c r="L63" s="14">
        <f t="shared" si="20"/>
        <v>1</v>
      </c>
      <c r="M63" s="19">
        <v>45118</v>
      </c>
    </row>
    <row r="64" spans="2:13" x14ac:dyDescent="0.15">
      <c r="B64" s="13" t="s">
        <v>21</v>
      </c>
      <c r="C64" s="23"/>
      <c r="D64" s="22">
        <v>2</v>
      </c>
      <c r="E64" s="14">
        <f t="shared" si="17"/>
        <v>2</v>
      </c>
      <c r="F64" s="23">
        <v>2</v>
      </c>
      <c r="G64" s="22"/>
      <c r="H64" s="14">
        <f t="shared" si="18"/>
        <v>2</v>
      </c>
      <c r="I64" s="21"/>
      <c r="J64" s="20"/>
      <c r="K64" s="14">
        <f t="shared" si="19"/>
        <v>0</v>
      </c>
      <c r="L64" s="14">
        <f t="shared" si="20"/>
        <v>4</v>
      </c>
      <c r="M64" s="19">
        <v>45118</v>
      </c>
    </row>
    <row r="65" spans="2:14" x14ac:dyDescent="0.15">
      <c r="B65" s="13" t="s">
        <v>44</v>
      </c>
      <c r="C65" s="18">
        <v>1</v>
      </c>
      <c r="D65" s="17">
        <v>1</v>
      </c>
      <c r="E65" s="14">
        <f t="shared" si="17"/>
        <v>2</v>
      </c>
      <c r="F65" s="18"/>
      <c r="G65" s="17"/>
      <c r="H65" s="14">
        <f t="shared" si="18"/>
        <v>0</v>
      </c>
      <c r="I65" s="16"/>
      <c r="J65" s="15"/>
      <c r="K65" s="14">
        <f t="shared" si="19"/>
        <v>0</v>
      </c>
      <c r="L65" s="14">
        <f t="shared" si="20"/>
        <v>2</v>
      </c>
      <c r="M65" s="19">
        <v>45120</v>
      </c>
    </row>
    <row r="66" spans="2:14" x14ac:dyDescent="0.15">
      <c r="B66" s="13" t="s">
        <v>21</v>
      </c>
      <c r="C66" s="23"/>
      <c r="D66" s="22">
        <v>1</v>
      </c>
      <c r="E66" s="14">
        <f t="shared" si="17"/>
        <v>1</v>
      </c>
      <c r="F66" s="23"/>
      <c r="G66" s="22">
        <v>1</v>
      </c>
      <c r="H66" s="14">
        <f t="shared" si="18"/>
        <v>1</v>
      </c>
      <c r="I66" s="21"/>
      <c r="J66" s="20"/>
      <c r="K66" s="14">
        <f t="shared" si="19"/>
        <v>0</v>
      </c>
      <c r="L66" s="14">
        <f t="shared" si="20"/>
        <v>2</v>
      </c>
      <c r="M66" s="19">
        <v>45119</v>
      </c>
    </row>
    <row r="67" spans="2:14" x14ac:dyDescent="0.15">
      <c r="B67" s="13" t="s">
        <v>21</v>
      </c>
      <c r="C67" s="23"/>
      <c r="D67" s="22">
        <v>2</v>
      </c>
      <c r="E67" s="14">
        <f t="shared" si="17"/>
        <v>2</v>
      </c>
      <c r="F67" s="23"/>
      <c r="G67" s="22"/>
      <c r="H67" s="14">
        <f t="shared" si="18"/>
        <v>0</v>
      </c>
      <c r="I67" s="21"/>
      <c r="J67" s="20"/>
      <c r="K67" s="14">
        <f t="shared" si="19"/>
        <v>0</v>
      </c>
      <c r="L67" s="14">
        <f t="shared" si="20"/>
        <v>2</v>
      </c>
      <c r="M67" s="19">
        <v>45121</v>
      </c>
    </row>
    <row r="68" spans="2:14" x14ac:dyDescent="0.15">
      <c r="B68" s="13" t="s">
        <v>48</v>
      </c>
      <c r="C68" s="18">
        <v>2</v>
      </c>
      <c r="D68" s="17">
        <v>2</v>
      </c>
      <c r="E68" s="14">
        <f t="shared" si="17"/>
        <v>4</v>
      </c>
      <c r="F68" s="18"/>
      <c r="G68" s="17"/>
      <c r="H68" s="14">
        <f t="shared" si="18"/>
        <v>0</v>
      </c>
      <c r="I68" s="16"/>
      <c r="J68" s="15"/>
      <c r="K68" s="14">
        <f t="shared" si="19"/>
        <v>0</v>
      </c>
      <c r="L68" s="14">
        <f t="shared" si="20"/>
        <v>4</v>
      </c>
      <c r="M68" s="19">
        <v>45126</v>
      </c>
    </row>
    <row r="69" spans="2:14" x14ac:dyDescent="0.15">
      <c r="B69" s="13" t="s">
        <v>21</v>
      </c>
      <c r="C69" s="23">
        <f>3+1</f>
        <v>4</v>
      </c>
      <c r="D69" s="22">
        <f>2+2</f>
        <v>4</v>
      </c>
      <c r="E69" s="14">
        <f t="shared" si="17"/>
        <v>8</v>
      </c>
      <c r="F69" s="23"/>
      <c r="G69" s="22"/>
      <c r="H69" s="14">
        <f t="shared" si="18"/>
        <v>0</v>
      </c>
      <c r="I69" s="21"/>
      <c r="J69" s="20"/>
      <c r="K69" s="14">
        <f t="shared" si="19"/>
        <v>0</v>
      </c>
      <c r="L69" s="14">
        <f t="shared" si="20"/>
        <v>8</v>
      </c>
      <c r="M69" s="19">
        <v>45125</v>
      </c>
    </row>
    <row r="70" spans="2:14" x14ac:dyDescent="0.15">
      <c r="B70" s="58" t="s">
        <v>51</v>
      </c>
      <c r="C70" s="18">
        <v>20</v>
      </c>
      <c r="D70" s="17">
        <v>20</v>
      </c>
      <c r="E70" s="14">
        <f t="shared" si="17"/>
        <v>40</v>
      </c>
      <c r="F70" s="18"/>
      <c r="G70" s="17"/>
      <c r="H70" s="14">
        <f t="shared" si="18"/>
        <v>0</v>
      </c>
      <c r="I70" s="16"/>
      <c r="J70" s="15"/>
      <c r="K70" s="14">
        <f t="shared" si="19"/>
        <v>0</v>
      </c>
      <c r="L70" s="14">
        <f t="shared" si="20"/>
        <v>40</v>
      </c>
      <c r="M70" s="19">
        <v>45128</v>
      </c>
    </row>
    <row r="71" spans="2:14" x14ac:dyDescent="0.15">
      <c r="B71" s="13" t="s">
        <v>49</v>
      </c>
      <c r="C71" s="18">
        <v>3</v>
      </c>
      <c r="D71" s="17">
        <v>3</v>
      </c>
      <c r="E71" s="14">
        <f t="shared" si="17"/>
        <v>6</v>
      </c>
      <c r="F71" s="18"/>
      <c r="G71" s="17"/>
      <c r="H71" s="14">
        <f t="shared" si="18"/>
        <v>0</v>
      </c>
      <c r="I71" s="16"/>
      <c r="J71" s="15"/>
      <c r="K71" s="14">
        <f t="shared" si="19"/>
        <v>0</v>
      </c>
      <c r="L71" s="14">
        <f t="shared" si="20"/>
        <v>6</v>
      </c>
      <c r="M71" s="19">
        <v>45127</v>
      </c>
    </row>
    <row r="72" spans="2:14" x14ac:dyDescent="0.15">
      <c r="B72" s="13" t="s">
        <v>50</v>
      </c>
      <c r="C72" s="18">
        <v>2</v>
      </c>
      <c r="D72" s="17">
        <v>2</v>
      </c>
      <c r="E72" s="14">
        <f t="shared" si="17"/>
        <v>4</v>
      </c>
      <c r="F72" s="18"/>
      <c r="G72" s="17"/>
      <c r="H72" s="14">
        <f t="shared" si="18"/>
        <v>0</v>
      </c>
      <c r="I72" s="16"/>
      <c r="J72" s="15"/>
      <c r="K72" s="14">
        <f t="shared" si="19"/>
        <v>0</v>
      </c>
      <c r="L72" s="14">
        <f t="shared" si="20"/>
        <v>4</v>
      </c>
      <c r="M72" s="19">
        <v>45128</v>
      </c>
    </row>
    <row r="73" spans="2:14" x14ac:dyDescent="0.15">
      <c r="B73" s="13" t="s">
        <v>21</v>
      </c>
      <c r="C73" s="18">
        <v>1</v>
      </c>
      <c r="D73" s="17">
        <v>2</v>
      </c>
      <c r="E73" s="14">
        <f t="shared" si="17"/>
        <v>3</v>
      </c>
      <c r="F73" s="18"/>
      <c r="G73" s="17"/>
      <c r="H73" s="14">
        <f t="shared" si="18"/>
        <v>0</v>
      </c>
      <c r="I73" s="16">
        <v>1</v>
      </c>
      <c r="J73" s="15"/>
      <c r="K73" s="14">
        <f t="shared" si="19"/>
        <v>1</v>
      </c>
      <c r="L73" s="14">
        <f t="shared" si="20"/>
        <v>4</v>
      </c>
      <c r="M73" s="19">
        <v>45127</v>
      </c>
    </row>
    <row r="74" spans="2:14" x14ac:dyDescent="0.15">
      <c r="B74" s="13" t="s">
        <v>52</v>
      </c>
      <c r="C74" s="18">
        <v>2</v>
      </c>
      <c r="D74" s="17">
        <v>2</v>
      </c>
      <c r="E74" s="14">
        <f t="shared" si="17"/>
        <v>4</v>
      </c>
      <c r="F74" s="18"/>
      <c r="G74" s="17"/>
      <c r="H74" s="14">
        <f t="shared" si="18"/>
        <v>0</v>
      </c>
      <c r="I74" s="16"/>
      <c r="J74" s="15"/>
      <c r="K74" s="14">
        <f t="shared" si="19"/>
        <v>0</v>
      </c>
      <c r="L74" s="14">
        <f t="shared" si="20"/>
        <v>4</v>
      </c>
      <c r="M74" s="19">
        <v>45131</v>
      </c>
    </row>
    <row r="75" spans="2:14" x14ac:dyDescent="0.15">
      <c r="B75" s="13" t="s">
        <v>21</v>
      </c>
      <c r="C75" s="18"/>
      <c r="D75" s="17">
        <v>1</v>
      </c>
      <c r="E75" s="14">
        <f t="shared" si="17"/>
        <v>1</v>
      </c>
      <c r="F75" s="18"/>
      <c r="G75" s="17"/>
      <c r="H75" s="14">
        <f t="shared" si="18"/>
        <v>0</v>
      </c>
      <c r="I75" s="16"/>
      <c r="J75" s="15"/>
      <c r="K75" s="14">
        <f t="shared" si="19"/>
        <v>0</v>
      </c>
      <c r="L75" s="14">
        <f t="shared" si="20"/>
        <v>1</v>
      </c>
      <c r="M75" s="19">
        <v>45128</v>
      </c>
    </row>
    <row r="76" spans="2:14" x14ac:dyDescent="0.15">
      <c r="B76" s="13" t="s">
        <v>53</v>
      </c>
      <c r="C76" s="18">
        <v>2</v>
      </c>
      <c r="D76" s="17">
        <v>2</v>
      </c>
      <c r="E76" s="14">
        <f t="shared" si="17"/>
        <v>4</v>
      </c>
      <c r="F76" s="18"/>
      <c r="G76" s="17"/>
      <c r="H76" s="14">
        <f t="shared" si="18"/>
        <v>0</v>
      </c>
      <c r="I76" s="16"/>
      <c r="J76" s="15"/>
      <c r="K76" s="14">
        <f t="shared" si="19"/>
        <v>0</v>
      </c>
      <c r="L76" s="14">
        <f t="shared" si="20"/>
        <v>4</v>
      </c>
      <c r="M76" s="19">
        <v>45132</v>
      </c>
      <c r="N76" s="48"/>
    </row>
    <row r="77" spans="2:14" ht="14.25" thickBot="1" x14ac:dyDescent="0.2">
      <c r="B77" s="13" t="s">
        <v>21</v>
      </c>
      <c r="C77" s="55">
        <v>1</v>
      </c>
      <c r="D77" s="12">
        <v>1</v>
      </c>
      <c r="E77" s="56">
        <f t="shared" si="17"/>
        <v>2</v>
      </c>
      <c r="F77" s="55"/>
      <c r="G77" s="12"/>
      <c r="H77" s="56">
        <f t="shared" si="18"/>
        <v>0</v>
      </c>
      <c r="I77" s="11"/>
      <c r="J77" s="10"/>
      <c r="K77" s="56">
        <f t="shared" si="19"/>
        <v>0</v>
      </c>
      <c r="L77" s="56">
        <f t="shared" si="20"/>
        <v>2</v>
      </c>
      <c r="M77" s="19">
        <v>45131</v>
      </c>
    </row>
    <row r="78" spans="2:14" ht="14.25" thickBot="1" x14ac:dyDescent="0.2">
      <c r="B78" s="9" t="s">
        <v>1</v>
      </c>
      <c r="C78" s="8">
        <f t="shared" ref="C78:L78" si="21">SUM(C53:C77)</f>
        <v>50</v>
      </c>
      <c r="D78" s="7">
        <f t="shared" si="21"/>
        <v>59</v>
      </c>
      <c r="E78" s="6">
        <f t="shared" si="21"/>
        <v>109</v>
      </c>
      <c r="F78" s="8">
        <f t="shared" si="21"/>
        <v>3</v>
      </c>
      <c r="G78" s="7">
        <f t="shared" si="21"/>
        <v>2</v>
      </c>
      <c r="H78" s="6">
        <f t="shared" si="21"/>
        <v>5</v>
      </c>
      <c r="I78" s="8">
        <f t="shared" si="21"/>
        <v>2</v>
      </c>
      <c r="J78" s="7">
        <f t="shared" si="21"/>
        <v>0</v>
      </c>
      <c r="K78" s="6">
        <f t="shared" si="21"/>
        <v>2</v>
      </c>
      <c r="L78" s="6">
        <f t="shared" si="21"/>
        <v>116</v>
      </c>
    </row>
    <row r="79" spans="2:14" ht="14.25" thickBot="1" x14ac:dyDescent="0.2">
      <c r="B79" s="5" t="s">
        <v>0</v>
      </c>
      <c r="C79" s="4">
        <f t="shared" ref="C79:L79" si="22">+C52-C78</f>
        <v>375</v>
      </c>
      <c r="D79" s="3">
        <f t="shared" si="22"/>
        <v>261</v>
      </c>
      <c r="E79" s="2">
        <f t="shared" si="22"/>
        <v>636</v>
      </c>
      <c r="F79" s="4">
        <f t="shared" si="22"/>
        <v>0</v>
      </c>
      <c r="G79" s="3">
        <f t="shared" si="22"/>
        <v>0</v>
      </c>
      <c r="H79" s="2">
        <f t="shared" si="22"/>
        <v>0</v>
      </c>
      <c r="I79" s="4">
        <f t="shared" si="22"/>
        <v>3</v>
      </c>
      <c r="J79" s="3">
        <f t="shared" si="22"/>
        <v>5</v>
      </c>
      <c r="K79" s="2">
        <f t="shared" si="22"/>
        <v>8</v>
      </c>
      <c r="L79" s="2">
        <f t="shared" si="22"/>
        <v>644</v>
      </c>
    </row>
    <row r="80" spans="2:14" x14ac:dyDescent="0.15">
      <c r="B80" s="1" t="s">
        <v>47</v>
      </c>
      <c r="C80">
        <v>85</v>
      </c>
      <c r="D80">
        <v>85</v>
      </c>
    </row>
    <row r="81" spans="1:13" ht="18.75" x14ac:dyDescent="0.2">
      <c r="B81" s="44" t="s">
        <v>14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</row>
    <row r="82" spans="1:13" ht="17.25" x14ac:dyDescent="0.2">
      <c r="B82" s="43" t="s">
        <v>13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</row>
    <row r="83" spans="1:13" ht="14.25" thickBot="1" x14ac:dyDescent="0.2"/>
    <row r="84" spans="1:13" ht="14.25" thickBot="1" x14ac:dyDescent="0.2">
      <c r="B84" s="41"/>
      <c r="C84" s="67" t="s">
        <v>12</v>
      </c>
      <c r="D84" s="68"/>
      <c r="E84" s="69"/>
      <c r="F84" s="67" t="s">
        <v>11</v>
      </c>
      <c r="G84" s="68"/>
      <c r="H84" s="69"/>
      <c r="I84" s="67" t="s">
        <v>10</v>
      </c>
      <c r="J84" s="68"/>
      <c r="K84" s="69"/>
      <c r="L84" s="40"/>
    </row>
    <row r="85" spans="1:13" ht="14.25" thickBot="1" x14ac:dyDescent="0.2">
      <c r="A85" s="1"/>
      <c r="B85" s="39"/>
      <c r="C85" s="50" t="s">
        <v>7</v>
      </c>
      <c r="D85" s="38" t="s">
        <v>9</v>
      </c>
      <c r="E85" s="37" t="s">
        <v>4</v>
      </c>
      <c r="F85" s="52" t="s">
        <v>8</v>
      </c>
      <c r="G85" s="51" t="s">
        <v>7</v>
      </c>
      <c r="H85" s="37" t="s">
        <v>4</v>
      </c>
      <c r="I85" s="53" t="s">
        <v>6</v>
      </c>
      <c r="J85" s="54" t="s">
        <v>5</v>
      </c>
      <c r="K85" s="37" t="s">
        <v>4</v>
      </c>
      <c r="L85" s="37" t="s">
        <v>4</v>
      </c>
    </row>
    <row r="86" spans="1:13" x14ac:dyDescent="0.15">
      <c r="B86" s="36" t="s">
        <v>0</v>
      </c>
      <c r="C86" s="35">
        <f t="shared" ref="C86:L86" si="23">C79</f>
        <v>375</v>
      </c>
      <c r="D86" s="34">
        <f t="shared" si="23"/>
        <v>261</v>
      </c>
      <c r="E86" s="33">
        <f t="shared" si="23"/>
        <v>636</v>
      </c>
      <c r="F86" s="35">
        <f t="shared" si="23"/>
        <v>0</v>
      </c>
      <c r="G86" s="34">
        <f t="shared" si="23"/>
        <v>0</v>
      </c>
      <c r="H86" s="33">
        <f t="shared" si="23"/>
        <v>0</v>
      </c>
      <c r="I86" s="35">
        <f t="shared" si="23"/>
        <v>3</v>
      </c>
      <c r="J86" s="34">
        <f t="shared" si="23"/>
        <v>5</v>
      </c>
      <c r="K86" s="33">
        <f t="shared" si="23"/>
        <v>8</v>
      </c>
      <c r="L86" s="33">
        <f t="shared" si="23"/>
        <v>644</v>
      </c>
    </row>
    <row r="87" spans="1:13" x14ac:dyDescent="0.15">
      <c r="B87" s="32" t="s">
        <v>3</v>
      </c>
      <c r="C87" s="18"/>
      <c r="D87" s="17"/>
      <c r="E87" s="31">
        <f t="shared" ref="E87:E89" si="24">SUM(C87:D87)</f>
        <v>0</v>
      </c>
      <c r="F87" s="18"/>
      <c r="G87" s="17"/>
      <c r="H87" s="31">
        <f t="shared" ref="H87:H89" si="25">SUM(F87:G87)</f>
        <v>0</v>
      </c>
      <c r="I87" s="16"/>
      <c r="J87" s="15"/>
      <c r="K87" s="31">
        <f t="shared" ref="K87:K89" si="26">SUM(I87:J87)</f>
        <v>0</v>
      </c>
      <c r="L87" s="31">
        <f t="shared" ref="L87:L89" si="27">H87+K87+E87</f>
        <v>0</v>
      </c>
      <c r="M87" s="19"/>
    </row>
    <row r="88" spans="1:13" x14ac:dyDescent="0.15">
      <c r="B88" s="32" t="s">
        <v>3</v>
      </c>
      <c r="C88" s="18">
        <v>20</v>
      </c>
      <c r="D88" s="17">
        <v>40</v>
      </c>
      <c r="E88" s="31">
        <f t="shared" si="24"/>
        <v>60</v>
      </c>
      <c r="F88" s="18">
        <v>10</v>
      </c>
      <c r="G88" s="17">
        <v>10</v>
      </c>
      <c r="H88" s="31">
        <f t="shared" si="25"/>
        <v>20</v>
      </c>
      <c r="I88" s="16">
        <v>10</v>
      </c>
      <c r="J88" s="15">
        <v>10</v>
      </c>
      <c r="K88" s="31">
        <f t="shared" si="26"/>
        <v>20</v>
      </c>
      <c r="L88" s="31">
        <f t="shared" si="27"/>
        <v>100</v>
      </c>
      <c r="M88" s="19" t="s">
        <v>56</v>
      </c>
    </row>
    <row r="89" spans="1:13" x14ac:dyDescent="0.15">
      <c r="B89" s="32" t="s">
        <v>3</v>
      </c>
      <c r="C89" s="18"/>
      <c r="D89" s="17"/>
      <c r="E89" s="31">
        <f t="shared" si="24"/>
        <v>0</v>
      </c>
      <c r="F89" s="18"/>
      <c r="G89" s="17"/>
      <c r="H89" s="31">
        <f t="shared" si="25"/>
        <v>0</v>
      </c>
      <c r="I89" s="16"/>
      <c r="J89" s="15"/>
      <c r="K89" s="31">
        <f t="shared" si="26"/>
        <v>0</v>
      </c>
      <c r="L89" s="31">
        <f t="shared" si="27"/>
        <v>0</v>
      </c>
      <c r="M89" s="19"/>
    </row>
    <row r="90" spans="1:13" x14ac:dyDescent="0.15">
      <c r="B90" s="32" t="s">
        <v>64</v>
      </c>
      <c r="C90" s="18">
        <v>0</v>
      </c>
      <c r="D90" s="17">
        <v>0</v>
      </c>
      <c r="E90" s="31">
        <f>SUM(C90:D90)</f>
        <v>0</v>
      </c>
      <c r="F90" s="18">
        <v>0</v>
      </c>
      <c r="G90" s="17">
        <v>0</v>
      </c>
      <c r="H90" s="31">
        <f>SUM(F90:G90)</f>
        <v>0</v>
      </c>
      <c r="I90" s="16">
        <v>0</v>
      </c>
      <c r="J90" s="15">
        <v>0</v>
      </c>
      <c r="K90" s="31">
        <f>SUM(I90:J90)</f>
        <v>0</v>
      </c>
      <c r="L90" s="31">
        <f>H90+K90+E90</f>
        <v>0</v>
      </c>
      <c r="M90" s="19">
        <v>45161</v>
      </c>
    </row>
    <row r="91" spans="1:13" ht="14.25" thickBot="1" x14ac:dyDescent="0.2">
      <c r="B91" s="30" t="s">
        <v>3</v>
      </c>
      <c r="C91" s="29"/>
      <c r="D91" s="12"/>
      <c r="E91" s="28">
        <f>SUM(C91:D91)</f>
        <v>0</v>
      </c>
      <c r="F91" s="29"/>
      <c r="G91" s="12"/>
      <c r="H91" s="28">
        <f>SUM(F91:G91)</f>
        <v>0</v>
      </c>
      <c r="I91" s="11"/>
      <c r="J91" s="10"/>
      <c r="K91" s="28">
        <f>SUM(I91:J91)</f>
        <v>0</v>
      </c>
      <c r="L91" s="28">
        <f>H91+K91+E91</f>
        <v>0</v>
      </c>
      <c r="M91" s="19"/>
    </row>
    <row r="92" spans="1:13" ht="14.25" thickBot="1" x14ac:dyDescent="0.2">
      <c r="B92" s="9" t="s">
        <v>2</v>
      </c>
      <c r="C92" s="8">
        <f t="shared" ref="C92:L92" si="28">SUM(C86:C91)</f>
        <v>395</v>
      </c>
      <c r="D92" s="7">
        <f t="shared" si="28"/>
        <v>301</v>
      </c>
      <c r="E92" s="27">
        <f t="shared" si="28"/>
        <v>696</v>
      </c>
      <c r="F92" s="8">
        <f t="shared" si="28"/>
        <v>10</v>
      </c>
      <c r="G92" s="7">
        <f t="shared" si="28"/>
        <v>10</v>
      </c>
      <c r="H92" s="27">
        <f t="shared" si="28"/>
        <v>20</v>
      </c>
      <c r="I92" s="8">
        <f t="shared" si="28"/>
        <v>13</v>
      </c>
      <c r="J92" s="7">
        <f t="shared" si="28"/>
        <v>15</v>
      </c>
      <c r="K92" s="27">
        <f t="shared" si="28"/>
        <v>28</v>
      </c>
      <c r="L92" s="27">
        <f t="shared" si="28"/>
        <v>744</v>
      </c>
    </row>
    <row r="93" spans="1:13" x14ac:dyDescent="0.15">
      <c r="B93" s="13" t="s">
        <v>21</v>
      </c>
      <c r="C93" s="18"/>
      <c r="D93" s="17"/>
      <c r="E93" s="14">
        <f t="shared" ref="E93:E112" si="29">SUM(C93:D93)</f>
        <v>0</v>
      </c>
      <c r="F93" s="18"/>
      <c r="G93" s="17"/>
      <c r="H93" s="14">
        <f t="shared" ref="H93:H112" si="30">SUM(F93:G93)</f>
        <v>0</v>
      </c>
      <c r="I93" s="16">
        <v>2</v>
      </c>
      <c r="J93" s="15">
        <v>2</v>
      </c>
      <c r="K93" s="14">
        <f t="shared" ref="K93:K112" si="31">SUM(I93:J93)</f>
        <v>4</v>
      </c>
      <c r="L93" s="14">
        <f t="shared" ref="L93:L112" si="32">H93+K93+E93</f>
        <v>4</v>
      </c>
      <c r="M93" s="19">
        <v>45132</v>
      </c>
    </row>
    <row r="94" spans="1:13" x14ac:dyDescent="0.15">
      <c r="B94" s="58" t="s">
        <v>54</v>
      </c>
      <c r="C94" s="18">
        <v>150</v>
      </c>
      <c r="D94" s="17">
        <v>150</v>
      </c>
      <c r="E94" s="14">
        <f t="shared" si="29"/>
        <v>300</v>
      </c>
      <c r="F94" s="18"/>
      <c r="G94" s="17"/>
      <c r="H94" s="14">
        <f t="shared" si="30"/>
        <v>0</v>
      </c>
      <c r="I94" s="16"/>
      <c r="J94" s="15"/>
      <c r="K94" s="14">
        <f t="shared" si="31"/>
        <v>0</v>
      </c>
      <c r="L94" s="14">
        <f t="shared" si="32"/>
        <v>300</v>
      </c>
      <c r="M94" s="19">
        <v>45134</v>
      </c>
    </row>
    <row r="95" spans="1:13" x14ac:dyDescent="0.15">
      <c r="B95" s="13" t="s">
        <v>21</v>
      </c>
      <c r="C95" s="18">
        <v>1</v>
      </c>
      <c r="D95" s="17">
        <v>1</v>
      </c>
      <c r="E95" s="14">
        <f t="shared" si="29"/>
        <v>2</v>
      </c>
      <c r="F95" s="18"/>
      <c r="G95" s="17"/>
      <c r="H95" s="14">
        <f t="shared" si="30"/>
        <v>0</v>
      </c>
      <c r="I95" s="16"/>
      <c r="J95" s="15"/>
      <c r="K95" s="14">
        <f t="shared" si="31"/>
        <v>0</v>
      </c>
      <c r="L95" s="14">
        <f t="shared" si="32"/>
        <v>2</v>
      </c>
      <c r="M95" s="19">
        <v>45133</v>
      </c>
    </row>
    <row r="96" spans="1:13" x14ac:dyDescent="0.15">
      <c r="B96" s="13" t="s">
        <v>21</v>
      </c>
      <c r="C96" s="18"/>
      <c r="D96" s="17">
        <v>1</v>
      </c>
      <c r="E96" s="14">
        <f t="shared" si="29"/>
        <v>1</v>
      </c>
      <c r="F96" s="18"/>
      <c r="G96" s="17"/>
      <c r="H96" s="14">
        <f t="shared" si="30"/>
        <v>0</v>
      </c>
      <c r="I96" s="16"/>
      <c r="J96" s="15"/>
      <c r="K96" s="14">
        <f t="shared" si="31"/>
        <v>0</v>
      </c>
      <c r="L96" s="14">
        <f t="shared" si="32"/>
        <v>1</v>
      </c>
      <c r="M96" s="19">
        <v>45136</v>
      </c>
    </row>
    <row r="97" spans="2:13" x14ac:dyDescent="0.15">
      <c r="B97" s="58" t="s">
        <v>58</v>
      </c>
      <c r="C97" s="18">
        <v>64</v>
      </c>
      <c r="D97" s="17">
        <v>39</v>
      </c>
      <c r="E97" s="14">
        <f t="shared" si="29"/>
        <v>103</v>
      </c>
      <c r="F97" s="18"/>
      <c r="G97" s="17"/>
      <c r="H97" s="14">
        <f t="shared" si="30"/>
        <v>0</v>
      </c>
      <c r="I97" s="16"/>
      <c r="J97" s="15"/>
      <c r="K97" s="14">
        <f t="shared" si="31"/>
        <v>0</v>
      </c>
      <c r="L97" s="14">
        <f t="shared" si="32"/>
        <v>103</v>
      </c>
      <c r="M97" s="19">
        <v>45139</v>
      </c>
    </row>
    <row r="98" spans="2:13" x14ac:dyDescent="0.15">
      <c r="B98" s="13" t="s">
        <v>59</v>
      </c>
      <c r="C98" s="18">
        <v>1</v>
      </c>
      <c r="D98" s="17">
        <v>1</v>
      </c>
      <c r="E98" s="14">
        <f t="shared" si="29"/>
        <v>2</v>
      </c>
      <c r="F98" s="18"/>
      <c r="G98" s="17"/>
      <c r="H98" s="14">
        <f t="shared" si="30"/>
        <v>0</v>
      </c>
      <c r="I98" s="16"/>
      <c r="J98" s="15"/>
      <c r="K98" s="14">
        <f t="shared" si="31"/>
        <v>0</v>
      </c>
      <c r="L98" s="14">
        <f t="shared" si="32"/>
        <v>2</v>
      </c>
      <c r="M98" s="19">
        <v>45141</v>
      </c>
    </row>
    <row r="99" spans="2:13" x14ac:dyDescent="0.15">
      <c r="B99" s="13" t="s">
        <v>21</v>
      </c>
      <c r="C99" s="18">
        <f>1+2</f>
        <v>3</v>
      </c>
      <c r="D99" s="17">
        <v>2</v>
      </c>
      <c r="E99" s="14">
        <f t="shared" si="29"/>
        <v>5</v>
      </c>
      <c r="F99" s="18">
        <v>1</v>
      </c>
      <c r="G99" s="17"/>
      <c r="H99" s="14">
        <f t="shared" si="30"/>
        <v>1</v>
      </c>
      <c r="I99" s="16"/>
      <c r="J99" s="15"/>
      <c r="K99" s="14">
        <f t="shared" si="31"/>
        <v>0</v>
      </c>
      <c r="L99" s="14">
        <f t="shared" si="32"/>
        <v>6</v>
      </c>
      <c r="M99" s="19">
        <v>45141</v>
      </c>
    </row>
    <row r="100" spans="2:13" x14ac:dyDescent="0.15">
      <c r="B100" s="13" t="s">
        <v>21</v>
      </c>
      <c r="C100" s="18">
        <v>1</v>
      </c>
      <c r="D100" s="17">
        <v>1</v>
      </c>
      <c r="E100" s="14">
        <f t="shared" si="29"/>
        <v>2</v>
      </c>
      <c r="F100" s="18"/>
      <c r="G100" s="17">
        <v>1</v>
      </c>
      <c r="H100" s="14">
        <f t="shared" si="30"/>
        <v>1</v>
      </c>
      <c r="I100" s="16">
        <v>1</v>
      </c>
      <c r="J100" s="15"/>
      <c r="K100" s="14">
        <f t="shared" si="31"/>
        <v>1</v>
      </c>
      <c r="L100" s="14">
        <f t="shared" si="32"/>
        <v>4</v>
      </c>
      <c r="M100" s="19">
        <v>45145</v>
      </c>
    </row>
    <row r="101" spans="2:13" x14ac:dyDescent="0.15">
      <c r="B101" s="13" t="s">
        <v>21</v>
      </c>
      <c r="C101" s="18"/>
      <c r="D101" s="17">
        <v>1</v>
      </c>
      <c r="E101" s="14">
        <f t="shared" si="29"/>
        <v>1</v>
      </c>
      <c r="F101" s="18">
        <v>1</v>
      </c>
      <c r="G101" s="17"/>
      <c r="H101" s="14">
        <f t="shared" si="30"/>
        <v>1</v>
      </c>
      <c r="I101" s="16"/>
      <c r="J101" s="15"/>
      <c r="K101" s="14">
        <f t="shared" si="31"/>
        <v>0</v>
      </c>
      <c r="L101" s="14">
        <f t="shared" si="32"/>
        <v>2</v>
      </c>
      <c r="M101" s="19">
        <v>45146</v>
      </c>
    </row>
    <row r="102" spans="2:13" x14ac:dyDescent="0.15">
      <c r="B102" s="13" t="s">
        <v>21</v>
      </c>
      <c r="C102" s="18"/>
      <c r="D102" s="17">
        <v>1</v>
      </c>
      <c r="E102" s="14">
        <f t="shared" si="29"/>
        <v>1</v>
      </c>
      <c r="F102" s="18"/>
      <c r="G102" s="17"/>
      <c r="H102" s="14">
        <f t="shared" si="30"/>
        <v>0</v>
      </c>
      <c r="I102" s="16"/>
      <c r="J102" s="15"/>
      <c r="K102" s="14">
        <f t="shared" si="31"/>
        <v>0</v>
      </c>
      <c r="L102" s="14">
        <f t="shared" si="32"/>
        <v>1</v>
      </c>
      <c r="M102" s="19">
        <v>45147</v>
      </c>
    </row>
    <row r="103" spans="2:13" x14ac:dyDescent="0.15">
      <c r="B103" s="13" t="s">
        <v>21</v>
      </c>
      <c r="C103" s="18"/>
      <c r="D103" s="17">
        <v>1</v>
      </c>
      <c r="E103" s="14">
        <f t="shared" si="29"/>
        <v>1</v>
      </c>
      <c r="F103" s="18"/>
      <c r="G103" s="17"/>
      <c r="H103" s="14">
        <f t="shared" si="30"/>
        <v>0</v>
      </c>
      <c r="I103" s="16"/>
      <c r="J103" s="15"/>
      <c r="K103" s="14">
        <f t="shared" si="31"/>
        <v>0</v>
      </c>
      <c r="L103" s="14">
        <f t="shared" si="32"/>
        <v>1</v>
      </c>
      <c r="M103" s="19">
        <v>45149</v>
      </c>
    </row>
    <row r="104" spans="2:13" x14ac:dyDescent="0.15">
      <c r="B104" s="13" t="s">
        <v>21</v>
      </c>
      <c r="C104" s="18"/>
      <c r="D104" s="17">
        <v>1</v>
      </c>
      <c r="E104" s="14">
        <f t="shared" si="29"/>
        <v>1</v>
      </c>
      <c r="F104" s="18">
        <v>2</v>
      </c>
      <c r="G104" s="17"/>
      <c r="H104" s="14">
        <f t="shared" si="30"/>
        <v>2</v>
      </c>
      <c r="I104" s="16"/>
      <c r="J104" s="15"/>
      <c r="K104" s="14">
        <f t="shared" si="31"/>
        <v>0</v>
      </c>
      <c r="L104" s="14">
        <f t="shared" si="32"/>
        <v>3</v>
      </c>
      <c r="M104" s="19">
        <v>45154</v>
      </c>
    </row>
    <row r="105" spans="2:13" x14ac:dyDescent="0.15">
      <c r="B105" s="13" t="s">
        <v>60</v>
      </c>
      <c r="C105" s="18">
        <v>11</v>
      </c>
      <c r="D105" s="17">
        <v>11</v>
      </c>
      <c r="E105" s="14">
        <f t="shared" si="29"/>
        <v>22</v>
      </c>
      <c r="F105" s="18"/>
      <c r="G105" s="17"/>
      <c r="H105" s="14">
        <f t="shared" si="30"/>
        <v>0</v>
      </c>
      <c r="I105" s="16"/>
      <c r="J105" s="15"/>
      <c r="K105" s="14">
        <f t="shared" si="31"/>
        <v>0</v>
      </c>
      <c r="L105" s="14">
        <f t="shared" si="32"/>
        <v>22</v>
      </c>
      <c r="M105" s="19">
        <v>45156</v>
      </c>
    </row>
    <row r="106" spans="2:13" x14ac:dyDescent="0.15">
      <c r="B106" s="13" t="s">
        <v>21</v>
      </c>
      <c r="C106" s="18"/>
      <c r="D106" s="17">
        <v>1</v>
      </c>
      <c r="E106" s="14">
        <f t="shared" si="29"/>
        <v>1</v>
      </c>
      <c r="F106" s="18"/>
      <c r="G106" s="17"/>
      <c r="H106" s="14">
        <f t="shared" si="30"/>
        <v>0</v>
      </c>
      <c r="I106" s="16"/>
      <c r="J106" s="15"/>
      <c r="K106" s="14">
        <f t="shared" si="31"/>
        <v>0</v>
      </c>
      <c r="L106" s="14">
        <f t="shared" si="32"/>
        <v>1</v>
      </c>
      <c r="M106" s="19">
        <v>45155</v>
      </c>
    </row>
    <row r="107" spans="2:13" x14ac:dyDescent="0.15">
      <c r="B107" s="13" t="s">
        <v>61</v>
      </c>
      <c r="C107" s="18">
        <v>6</v>
      </c>
      <c r="D107" s="17">
        <v>6</v>
      </c>
      <c r="E107" s="14">
        <f t="shared" si="29"/>
        <v>12</v>
      </c>
      <c r="F107" s="18"/>
      <c r="G107" s="17"/>
      <c r="H107" s="14">
        <f t="shared" si="30"/>
        <v>0</v>
      </c>
      <c r="I107" s="16"/>
      <c r="J107" s="15"/>
      <c r="K107" s="14">
        <f t="shared" si="31"/>
        <v>0</v>
      </c>
      <c r="L107" s="14">
        <f t="shared" si="32"/>
        <v>12</v>
      </c>
      <c r="M107" s="19">
        <v>45159</v>
      </c>
    </row>
    <row r="108" spans="2:13" x14ac:dyDescent="0.15">
      <c r="B108" s="13" t="s">
        <v>21</v>
      </c>
      <c r="C108" s="18"/>
      <c r="D108" s="17">
        <v>1</v>
      </c>
      <c r="E108" s="14">
        <f t="shared" si="29"/>
        <v>1</v>
      </c>
      <c r="F108" s="18"/>
      <c r="G108" s="17"/>
      <c r="H108" s="14">
        <f t="shared" si="30"/>
        <v>0</v>
      </c>
      <c r="I108" s="16"/>
      <c r="J108" s="15"/>
      <c r="K108" s="14">
        <f t="shared" si="31"/>
        <v>0</v>
      </c>
      <c r="L108" s="14">
        <f t="shared" si="32"/>
        <v>1</v>
      </c>
      <c r="M108" s="19">
        <v>45156</v>
      </c>
    </row>
    <row r="109" spans="2:13" x14ac:dyDescent="0.15">
      <c r="B109" s="13" t="s">
        <v>62</v>
      </c>
      <c r="C109" s="18">
        <v>2</v>
      </c>
      <c r="D109" s="17">
        <v>2</v>
      </c>
      <c r="E109" s="14">
        <f t="shared" si="29"/>
        <v>4</v>
      </c>
      <c r="F109" s="18"/>
      <c r="G109" s="17"/>
      <c r="H109" s="14">
        <f t="shared" si="30"/>
        <v>0</v>
      </c>
      <c r="I109" s="16"/>
      <c r="J109" s="15"/>
      <c r="K109" s="14">
        <f t="shared" si="31"/>
        <v>0</v>
      </c>
      <c r="L109" s="14">
        <f t="shared" si="32"/>
        <v>4</v>
      </c>
      <c r="M109" s="19">
        <v>45160</v>
      </c>
    </row>
    <row r="110" spans="2:13" x14ac:dyDescent="0.15">
      <c r="B110" s="13" t="s">
        <v>21</v>
      </c>
      <c r="C110" s="18"/>
      <c r="D110" s="17">
        <v>1</v>
      </c>
      <c r="E110" s="14">
        <f t="shared" si="29"/>
        <v>1</v>
      </c>
      <c r="F110" s="18"/>
      <c r="G110" s="17"/>
      <c r="H110" s="14">
        <f t="shared" si="30"/>
        <v>0</v>
      </c>
      <c r="I110" s="16"/>
      <c r="J110" s="15"/>
      <c r="K110" s="14">
        <f t="shared" si="31"/>
        <v>0</v>
      </c>
      <c r="L110" s="14">
        <f t="shared" si="32"/>
        <v>1</v>
      </c>
      <c r="M110" s="19">
        <v>45159</v>
      </c>
    </row>
    <row r="111" spans="2:13" x14ac:dyDescent="0.15">
      <c r="B111" s="13" t="s">
        <v>63</v>
      </c>
      <c r="C111" s="18">
        <v>8</v>
      </c>
      <c r="D111" s="17">
        <v>8</v>
      </c>
      <c r="E111" s="14">
        <f t="shared" si="29"/>
        <v>16</v>
      </c>
      <c r="F111" s="18"/>
      <c r="G111" s="17"/>
      <c r="H111" s="14">
        <f t="shared" si="30"/>
        <v>0</v>
      </c>
      <c r="I111" s="16"/>
      <c r="J111" s="15"/>
      <c r="K111" s="14">
        <f t="shared" si="31"/>
        <v>0</v>
      </c>
      <c r="L111" s="14">
        <f t="shared" si="32"/>
        <v>16</v>
      </c>
      <c r="M111" s="19">
        <v>45161</v>
      </c>
    </row>
    <row r="112" spans="2:13" x14ac:dyDescent="0.15">
      <c r="B112" s="13" t="s">
        <v>21</v>
      </c>
      <c r="C112" s="18">
        <v>1</v>
      </c>
      <c r="D112" s="17"/>
      <c r="E112" s="14">
        <f t="shared" si="29"/>
        <v>1</v>
      </c>
      <c r="F112" s="18"/>
      <c r="G112" s="17"/>
      <c r="H112" s="14">
        <f t="shared" si="30"/>
        <v>0</v>
      </c>
      <c r="I112" s="16"/>
      <c r="J112" s="15"/>
      <c r="K112" s="14">
        <f t="shared" si="31"/>
        <v>0</v>
      </c>
      <c r="L112" s="14">
        <f t="shared" si="32"/>
        <v>1</v>
      </c>
      <c r="M112" s="19">
        <v>45160</v>
      </c>
    </row>
    <row r="113" spans="1:13" x14ac:dyDescent="0.15">
      <c r="B113" s="13" t="s">
        <v>21</v>
      </c>
      <c r="C113" s="18">
        <v>1</v>
      </c>
      <c r="D113" s="17">
        <v>1</v>
      </c>
      <c r="E113" s="14">
        <f t="shared" ref="E113:E117" si="33">SUM(C113:D113)</f>
        <v>2</v>
      </c>
      <c r="F113" s="18"/>
      <c r="G113" s="17"/>
      <c r="H113" s="14">
        <f t="shared" ref="H113:H117" si="34">SUM(F113:G113)</f>
        <v>0</v>
      </c>
      <c r="I113" s="16"/>
      <c r="J113" s="15"/>
      <c r="K113" s="14">
        <f t="shared" ref="K113:K117" si="35">SUM(I113:J113)</f>
        <v>0</v>
      </c>
      <c r="L113" s="14">
        <f t="shared" ref="L113:L117" si="36">H113+K113+E113</f>
        <v>2</v>
      </c>
      <c r="M113" s="19">
        <v>45161</v>
      </c>
    </row>
    <row r="114" spans="1:13" x14ac:dyDescent="0.15">
      <c r="B114" s="13"/>
      <c r="C114" s="18"/>
      <c r="D114" s="17"/>
      <c r="E114" s="14">
        <f t="shared" si="33"/>
        <v>0</v>
      </c>
      <c r="F114" s="18"/>
      <c r="G114" s="17"/>
      <c r="H114" s="14">
        <f t="shared" si="34"/>
        <v>0</v>
      </c>
      <c r="I114" s="16"/>
      <c r="J114" s="15"/>
      <c r="K114" s="14">
        <f t="shared" si="35"/>
        <v>0</v>
      </c>
      <c r="L114" s="14">
        <f t="shared" si="36"/>
        <v>0</v>
      </c>
      <c r="M114" s="19"/>
    </row>
    <row r="115" spans="1:13" x14ac:dyDescent="0.15">
      <c r="B115" s="60" t="s">
        <v>57</v>
      </c>
      <c r="C115" s="18"/>
      <c r="D115" s="17"/>
      <c r="E115" s="61">
        <f t="shared" si="33"/>
        <v>0</v>
      </c>
      <c r="F115" s="18"/>
      <c r="G115" s="17"/>
      <c r="H115" s="61">
        <f t="shared" si="34"/>
        <v>0</v>
      </c>
      <c r="I115" s="18"/>
      <c r="J115" s="17"/>
      <c r="K115" s="61">
        <f t="shared" si="35"/>
        <v>0</v>
      </c>
      <c r="L115" s="61">
        <f t="shared" si="36"/>
        <v>0</v>
      </c>
      <c r="M115" t="s">
        <v>23</v>
      </c>
    </row>
    <row r="116" spans="1:13" x14ac:dyDescent="0.15">
      <c r="B116" s="59"/>
      <c r="C116" s="16"/>
      <c r="D116" s="15"/>
      <c r="E116" s="14">
        <f t="shared" si="33"/>
        <v>0</v>
      </c>
      <c r="F116" s="16"/>
      <c r="G116" s="15"/>
      <c r="H116" s="14">
        <f t="shared" si="34"/>
        <v>0</v>
      </c>
      <c r="I116" s="16"/>
      <c r="J116" s="15"/>
      <c r="K116" s="14">
        <f t="shared" si="35"/>
        <v>0</v>
      </c>
      <c r="L116" s="14">
        <f t="shared" si="36"/>
        <v>0</v>
      </c>
      <c r="M116" s="19"/>
    </row>
    <row r="117" spans="1:13" ht="14.25" thickBot="1" x14ac:dyDescent="0.2">
      <c r="B117" s="13" t="s">
        <v>45</v>
      </c>
      <c r="C117" s="18"/>
      <c r="D117" s="17"/>
      <c r="E117" s="14">
        <f t="shared" si="33"/>
        <v>0</v>
      </c>
      <c r="F117" s="18"/>
      <c r="G117" s="17"/>
      <c r="H117" s="14">
        <f t="shared" si="34"/>
        <v>0</v>
      </c>
      <c r="I117" s="16"/>
      <c r="J117" s="15"/>
      <c r="K117" s="14">
        <f t="shared" si="35"/>
        <v>0</v>
      </c>
      <c r="L117" s="14">
        <f t="shared" si="36"/>
        <v>0</v>
      </c>
      <c r="M117" t="s">
        <v>46</v>
      </c>
    </row>
    <row r="118" spans="1:13" ht="14.25" thickBot="1" x14ac:dyDescent="0.2">
      <c r="B118" s="9" t="s">
        <v>1</v>
      </c>
      <c r="C118" s="8">
        <f t="shared" ref="C118:L118" si="37">SUM(C93:C117)</f>
        <v>249</v>
      </c>
      <c r="D118" s="7">
        <f t="shared" si="37"/>
        <v>230</v>
      </c>
      <c r="E118" s="6">
        <f t="shared" si="37"/>
        <v>479</v>
      </c>
      <c r="F118" s="8">
        <f t="shared" si="37"/>
        <v>4</v>
      </c>
      <c r="G118" s="7">
        <f t="shared" si="37"/>
        <v>1</v>
      </c>
      <c r="H118" s="6">
        <f t="shared" si="37"/>
        <v>5</v>
      </c>
      <c r="I118" s="8">
        <f t="shared" si="37"/>
        <v>3</v>
      </c>
      <c r="J118" s="7">
        <f t="shared" si="37"/>
        <v>2</v>
      </c>
      <c r="K118" s="6">
        <f t="shared" si="37"/>
        <v>5</v>
      </c>
      <c r="L118" s="6">
        <f t="shared" si="37"/>
        <v>489</v>
      </c>
    </row>
    <row r="119" spans="1:13" ht="14.25" thickBot="1" x14ac:dyDescent="0.2">
      <c r="B119" s="5" t="s">
        <v>0</v>
      </c>
      <c r="C119" s="4">
        <f t="shared" ref="C119:L119" si="38">+C92-C118</f>
        <v>146</v>
      </c>
      <c r="D119" s="3">
        <f t="shared" si="38"/>
        <v>71</v>
      </c>
      <c r="E119" s="2">
        <f t="shared" si="38"/>
        <v>217</v>
      </c>
      <c r="F119" s="4">
        <f t="shared" si="38"/>
        <v>6</v>
      </c>
      <c r="G119" s="3">
        <f t="shared" si="38"/>
        <v>9</v>
      </c>
      <c r="H119" s="2">
        <f t="shared" si="38"/>
        <v>15</v>
      </c>
      <c r="I119" s="4">
        <f t="shared" si="38"/>
        <v>10</v>
      </c>
      <c r="J119" s="3">
        <f t="shared" si="38"/>
        <v>13</v>
      </c>
      <c r="K119" s="2">
        <f t="shared" si="38"/>
        <v>23</v>
      </c>
      <c r="L119" s="2">
        <f t="shared" si="38"/>
        <v>255</v>
      </c>
    </row>
    <row r="121" spans="1:13" ht="18.75" x14ac:dyDescent="0.2">
      <c r="B121" s="44" t="s">
        <v>14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</row>
    <row r="122" spans="1:13" ht="17.25" x14ac:dyDescent="0.2">
      <c r="B122" s="43" t="s">
        <v>13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</row>
    <row r="123" spans="1:13" ht="14.25" thickBot="1" x14ac:dyDescent="0.2"/>
    <row r="124" spans="1:13" ht="14.25" thickBot="1" x14ac:dyDescent="0.2">
      <c r="B124" s="41"/>
      <c r="C124" s="67" t="s">
        <v>12</v>
      </c>
      <c r="D124" s="68"/>
      <c r="E124" s="69"/>
      <c r="F124" s="67" t="s">
        <v>11</v>
      </c>
      <c r="G124" s="68"/>
      <c r="H124" s="69"/>
      <c r="I124" s="67" t="s">
        <v>10</v>
      </c>
      <c r="J124" s="68"/>
      <c r="K124" s="69"/>
      <c r="L124" s="40"/>
    </row>
    <row r="125" spans="1:13" ht="14.25" thickBot="1" x14ac:dyDescent="0.2">
      <c r="A125" s="1"/>
      <c r="B125" s="39"/>
      <c r="C125" s="50" t="s">
        <v>7</v>
      </c>
      <c r="D125" s="38" t="s">
        <v>9</v>
      </c>
      <c r="E125" s="37" t="s">
        <v>4</v>
      </c>
      <c r="F125" s="52" t="s">
        <v>8</v>
      </c>
      <c r="G125" s="51" t="s">
        <v>7</v>
      </c>
      <c r="H125" s="37" t="s">
        <v>4</v>
      </c>
      <c r="I125" s="53" t="s">
        <v>6</v>
      </c>
      <c r="J125" s="54" t="s">
        <v>5</v>
      </c>
      <c r="K125" s="37" t="s">
        <v>4</v>
      </c>
      <c r="L125" s="37" t="s">
        <v>4</v>
      </c>
    </row>
    <row r="126" spans="1:13" x14ac:dyDescent="0.15">
      <c r="B126" s="36" t="s">
        <v>0</v>
      </c>
      <c r="C126" s="35">
        <f t="shared" ref="C126:L126" si="39">C119</f>
        <v>146</v>
      </c>
      <c r="D126" s="34">
        <f t="shared" si="39"/>
        <v>71</v>
      </c>
      <c r="E126" s="33">
        <f t="shared" si="39"/>
        <v>217</v>
      </c>
      <c r="F126" s="35">
        <f t="shared" si="39"/>
        <v>6</v>
      </c>
      <c r="G126" s="34">
        <f t="shared" si="39"/>
        <v>9</v>
      </c>
      <c r="H126" s="33">
        <f t="shared" si="39"/>
        <v>15</v>
      </c>
      <c r="I126" s="35">
        <f t="shared" si="39"/>
        <v>10</v>
      </c>
      <c r="J126" s="34">
        <f t="shared" si="39"/>
        <v>13</v>
      </c>
      <c r="K126" s="33">
        <f t="shared" si="39"/>
        <v>23</v>
      </c>
      <c r="L126" s="33">
        <f t="shared" si="39"/>
        <v>255</v>
      </c>
    </row>
    <row r="127" spans="1:13" x14ac:dyDescent="0.15">
      <c r="B127" s="32" t="s">
        <v>55</v>
      </c>
      <c r="C127" s="18">
        <v>1</v>
      </c>
      <c r="D127" s="17">
        <v>1</v>
      </c>
      <c r="E127" s="31">
        <f t="shared" ref="E127:E129" si="40">SUM(C127:D127)</f>
        <v>2</v>
      </c>
      <c r="F127" s="18"/>
      <c r="G127" s="17"/>
      <c r="H127" s="31">
        <f t="shared" ref="H127:H129" si="41">SUM(F127:G127)</f>
        <v>0</v>
      </c>
      <c r="I127" s="16"/>
      <c r="J127" s="15"/>
      <c r="K127" s="31">
        <f t="shared" ref="K127:K129" si="42">SUM(I127:J127)</f>
        <v>0</v>
      </c>
      <c r="L127" s="31">
        <f t="shared" ref="L127:L129" si="43">H127+K127+E127</f>
        <v>2</v>
      </c>
      <c r="M127" s="19">
        <v>45183</v>
      </c>
    </row>
    <row r="128" spans="1:13" x14ac:dyDescent="0.15">
      <c r="B128" s="32" t="s">
        <v>71</v>
      </c>
      <c r="C128" s="18"/>
      <c r="D128" s="17">
        <v>1</v>
      </c>
      <c r="E128" s="31">
        <f t="shared" ref="E128" si="44">SUM(C128:D128)</f>
        <v>1</v>
      </c>
      <c r="F128" s="18">
        <v>2</v>
      </c>
      <c r="G128" s="17">
        <v>1</v>
      </c>
      <c r="H128" s="31">
        <f t="shared" ref="H128" si="45">SUM(F128:G128)</f>
        <v>3</v>
      </c>
      <c r="I128" s="16">
        <v>2</v>
      </c>
      <c r="J128" s="15">
        <v>2</v>
      </c>
      <c r="K128" s="31">
        <f t="shared" ref="K128" si="46">SUM(I128:J128)</f>
        <v>4</v>
      </c>
      <c r="L128" s="31">
        <f t="shared" ref="L128" si="47">H128+K128+E128</f>
        <v>8</v>
      </c>
      <c r="M128" s="19">
        <v>45359</v>
      </c>
    </row>
    <row r="129" spans="2:13" x14ac:dyDescent="0.15">
      <c r="B129" s="32" t="s">
        <v>3</v>
      </c>
      <c r="C129" s="18"/>
      <c r="D129" s="17"/>
      <c r="E129" s="31">
        <f t="shared" si="40"/>
        <v>0</v>
      </c>
      <c r="F129" s="18"/>
      <c r="G129" s="17"/>
      <c r="H129" s="31">
        <f t="shared" si="41"/>
        <v>0</v>
      </c>
      <c r="I129" s="16"/>
      <c r="J129" s="15"/>
      <c r="K129" s="31">
        <f t="shared" si="42"/>
        <v>0</v>
      </c>
      <c r="L129" s="31">
        <f t="shared" si="43"/>
        <v>0</v>
      </c>
    </row>
    <row r="130" spans="2:13" x14ac:dyDescent="0.15">
      <c r="B130" s="32" t="s">
        <v>3</v>
      </c>
      <c r="C130" s="18"/>
      <c r="D130" s="17"/>
      <c r="E130" s="31">
        <f>SUM(C130:D130)</f>
        <v>0</v>
      </c>
      <c r="F130" s="18"/>
      <c r="G130" s="17"/>
      <c r="H130" s="31">
        <f>SUM(F130:G130)</f>
        <v>0</v>
      </c>
      <c r="I130" s="16"/>
      <c r="J130" s="15"/>
      <c r="K130" s="31">
        <f>SUM(I130:J130)</f>
        <v>0</v>
      </c>
      <c r="L130" s="31">
        <f>H130+K130+E130</f>
        <v>0</v>
      </c>
    </row>
    <row r="131" spans="2:13" ht="14.25" thickBot="1" x14ac:dyDescent="0.2">
      <c r="B131" s="30" t="s">
        <v>3</v>
      </c>
      <c r="C131" s="29"/>
      <c r="D131" s="12"/>
      <c r="E131" s="28">
        <f>SUM(C131:D131)</f>
        <v>0</v>
      </c>
      <c r="F131" s="29"/>
      <c r="G131" s="12"/>
      <c r="H131" s="28">
        <f>SUM(F131:G131)</f>
        <v>0</v>
      </c>
      <c r="I131" s="11"/>
      <c r="J131" s="10"/>
      <c r="K131" s="28">
        <f>SUM(I131:J131)</f>
        <v>0</v>
      </c>
      <c r="L131" s="28">
        <f>H131+K131+E131</f>
        <v>0</v>
      </c>
    </row>
    <row r="132" spans="2:13" ht="14.25" thickBot="1" x14ac:dyDescent="0.2">
      <c r="B132" s="9" t="s">
        <v>2</v>
      </c>
      <c r="C132" s="8">
        <f t="shared" ref="C132:L132" si="48">SUM(C126:C131)</f>
        <v>147</v>
      </c>
      <c r="D132" s="7">
        <f t="shared" si="48"/>
        <v>73</v>
      </c>
      <c r="E132" s="27">
        <f t="shared" si="48"/>
        <v>220</v>
      </c>
      <c r="F132" s="8">
        <f t="shared" si="48"/>
        <v>8</v>
      </c>
      <c r="G132" s="7">
        <f t="shared" si="48"/>
        <v>10</v>
      </c>
      <c r="H132" s="27">
        <f t="shared" si="48"/>
        <v>18</v>
      </c>
      <c r="I132" s="8">
        <f t="shared" si="48"/>
        <v>12</v>
      </c>
      <c r="J132" s="7">
        <f t="shared" si="48"/>
        <v>15</v>
      </c>
      <c r="K132" s="27">
        <f t="shared" si="48"/>
        <v>27</v>
      </c>
      <c r="L132" s="27">
        <f t="shared" si="48"/>
        <v>265</v>
      </c>
    </row>
    <row r="133" spans="2:13" x14ac:dyDescent="0.15">
      <c r="B133" s="13" t="s">
        <v>65</v>
      </c>
      <c r="C133" s="18">
        <v>1</v>
      </c>
      <c r="D133" s="17">
        <v>1</v>
      </c>
      <c r="E133" s="14">
        <f t="shared" ref="E133:E150" si="49">SUM(C133:D133)</f>
        <v>2</v>
      </c>
      <c r="F133" s="18"/>
      <c r="G133" s="17"/>
      <c r="H133" s="14">
        <f t="shared" ref="H133:H150" si="50">SUM(F133:G133)</f>
        <v>0</v>
      </c>
      <c r="I133" s="16"/>
      <c r="J133" s="15"/>
      <c r="K133" s="14">
        <f t="shared" ref="K133:K150" si="51">SUM(I133:J133)</f>
        <v>0</v>
      </c>
      <c r="L133" s="14">
        <f t="shared" ref="L133:L150" si="52">H133+K133+E133</f>
        <v>2</v>
      </c>
      <c r="M133" s="19">
        <v>45166</v>
      </c>
    </row>
    <row r="134" spans="2:13" x14ac:dyDescent="0.15">
      <c r="B134" s="13" t="s">
        <v>21</v>
      </c>
      <c r="C134" s="18">
        <v>1</v>
      </c>
      <c r="D134" s="17">
        <v>1</v>
      </c>
      <c r="E134" s="14">
        <f t="shared" si="49"/>
        <v>2</v>
      </c>
      <c r="F134" s="18"/>
      <c r="G134" s="17"/>
      <c r="H134" s="14">
        <f t="shared" si="50"/>
        <v>0</v>
      </c>
      <c r="I134" s="16"/>
      <c r="J134" s="15"/>
      <c r="K134" s="14">
        <f t="shared" si="51"/>
        <v>0</v>
      </c>
      <c r="L134" s="14">
        <f t="shared" si="52"/>
        <v>2</v>
      </c>
      <c r="M134" s="19">
        <v>45163</v>
      </c>
    </row>
    <row r="135" spans="2:13" x14ac:dyDescent="0.15">
      <c r="B135" s="13" t="s">
        <v>66</v>
      </c>
      <c r="C135" s="18">
        <v>1</v>
      </c>
      <c r="D135" s="17">
        <v>1</v>
      </c>
      <c r="E135" s="14">
        <f t="shared" si="49"/>
        <v>2</v>
      </c>
      <c r="F135" s="18"/>
      <c r="G135" s="17"/>
      <c r="H135" s="14">
        <f t="shared" si="50"/>
        <v>0</v>
      </c>
      <c r="I135" s="16"/>
      <c r="J135" s="15"/>
      <c r="K135" s="14">
        <f t="shared" si="51"/>
        <v>0</v>
      </c>
      <c r="L135" s="14">
        <f t="shared" si="52"/>
        <v>2</v>
      </c>
      <c r="M135" s="19">
        <v>45167</v>
      </c>
    </row>
    <row r="136" spans="2:13" x14ac:dyDescent="0.15">
      <c r="B136" s="13" t="s">
        <v>21</v>
      </c>
      <c r="C136" s="18"/>
      <c r="D136" s="17">
        <v>1</v>
      </c>
      <c r="E136" s="14">
        <f t="shared" si="49"/>
        <v>1</v>
      </c>
      <c r="F136" s="18"/>
      <c r="G136" s="17">
        <v>1</v>
      </c>
      <c r="H136" s="14">
        <f t="shared" si="50"/>
        <v>1</v>
      </c>
      <c r="I136" s="16">
        <v>1</v>
      </c>
      <c r="J136" s="15"/>
      <c r="K136" s="14">
        <f t="shared" si="51"/>
        <v>1</v>
      </c>
      <c r="L136" s="14">
        <f t="shared" si="52"/>
        <v>3</v>
      </c>
      <c r="M136" s="19">
        <v>45167</v>
      </c>
    </row>
    <row r="137" spans="2:13" x14ac:dyDescent="0.15">
      <c r="B137" s="13" t="s">
        <v>67</v>
      </c>
      <c r="C137" s="18"/>
      <c r="D137" s="17"/>
      <c r="E137" s="14">
        <f t="shared" si="49"/>
        <v>0</v>
      </c>
      <c r="F137" s="18"/>
      <c r="G137" s="17"/>
      <c r="H137" s="14">
        <f t="shared" si="50"/>
        <v>0</v>
      </c>
      <c r="I137" s="16">
        <v>1</v>
      </c>
      <c r="J137" s="15">
        <v>1</v>
      </c>
      <c r="K137" s="14">
        <f t="shared" si="51"/>
        <v>2</v>
      </c>
      <c r="L137" s="14">
        <f t="shared" si="52"/>
        <v>2</v>
      </c>
      <c r="M137" s="19">
        <v>45169</v>
      </c>
    </row>
    <row r="138" spans="2:13" x14ac:dyDescent="0.15">
      <c r="B138" s="13" t="s">
        <v>21</v>
      </c>
      <c r="C138" s="18">
        <v>1</v>
      </c>
      <c r="D138" s="17"/>
      <c r="E138" s="14">
        <f t="shared" si="49"/>
        <v>1</v>
      </c>
      <c r="F138" s="18"/>
      <c r="G138" s="17"/>
      <c r="H138" s="14">
        <f t="shared" si="50"/>
        <v>0</v>
      </c>
      <c r="I138" s="16"/>
      <c r="J138" s="15"/>
      <c r="K138" s="14">
        <f t="shared" si="51"/>
        <v>0</v>
      </c>
      <c r="L138" s="14">
        <f t="shared" si="52"/>
        <v>1</v>
      </c>
      <c r="M138" s="19">
        <v>45168</v>
      </c>
    </row>
    <row r="139" spans="2:13" x14ac:dyDescent="0.15">
      <c r="B139" s="13" t="s">
        <v>21</v>
      </c>
      <c r="C139" s="18">
        <v>1</v>
      </c>
      <c r="D139" s="17"/>
      <c r="E139" s="14">
        <f t="shared" si="49"/>
        <v>1</v>
      </c>
      <c r="F139" s="18"/>
      <c r="G139" s="17"/>
      <c r="H139" s="14">
        <f t="shared" si="50"/>
        <v>0</v>
      </c>
      <c r="I139" s="16"/>
      <c r="J139" s="15"/>
      <c r="K139" s="14">
        <f t="shared" si="51"/>
        <v>0</v>
      </c>
      <c r="L139" s="14">
        <f t="shared" si="52"/>
        <v>1</v>
      </c>
      <c r="M139" s="19">
        <v>45171</v>
      </c>
    </row>
    <row r="140" spans="2:13" x14ac:dyDescent="0.15">
      <c r="B140" s="13" t="s">
        <v>21</v>
      </c>
      <c r="C140" s="18"/>
      <c r="D140" s="17">
        <v>1</v>
      </c>
      <c r="E140" s="14">
        <f t="shared" si="49"/>
        <v>1</v>
      </c>
      <c r="F140" s="18">
        <v>1</v>
      </c>
      <c r="G140" s="17"/>
      <c r="H140" s="14">
        <f t="shared" si="50"/>
        <v>1</v>
      </c>
      <c r="I140" s="16"/>
      <c r="J140" s="15">
        <v>1</v>
      </c>
      <c r="K140" s="14">
        <f t="shared" si="51"/>
        <v>1</v>
      </c>
      <c r="L140" s="14">
        <f t="shared" si="52"/>
        <v>3</v>
      </c>
      <c r="M140" s="19">
        <v>45174</v>
      </c>
    </row>
    <row r="141" spans="2:13" x14ac:dyDescent="0.15">
      <c r="B141" s="13" t="s">
        <v>21</v>
      </c>
      <c r="C141" s="18">
        <v>1</v>
      </c>
      <c r="D141" s="17"/>
      <c r="E141" s="14">
        <f t="shared" si="49"/>
        <v>1</v>
      </c>
      <c r="F141" s="18"/>
      <c r="G141" s="17"/>
      <c r="H141" s="14">
        <f t="shared" si="50"/>
        <v>0</v>
      </c>
      <c r="I141" s="16"/>
      <c r="J141" s="15"/>
      <c r="K141" s="14">
        <f t="shared" si="51"/>
        <v>0</v>
      </c>
      <c r="L141" s="14">
        <f t="shared" si="52"/>
        <v>1</v>
      </c>
      <c r="M141" s="19">
        <v>45175</v>
      </c>
    </row>
    <row r="142" spans="2:13" x14ac:dyDescent="0.15">
      <c r="B142" s="13" t="s">
        <v>21</v>
      </c>
      <c r="C142" s="18"/>
      <c r="D142" s="17"/>
      <c r="E142" s="14">
        <f t="shared" si="49"/>
        <v>0</v>
      </c>
      <c r="F142" s="18">
        <v>2</v>
      </c>
      <c r="G142" s="17"/>
      <c r="H142" s="14">
        <f t="shared" si="50"/>
        <v>2</v>
      </c>
      <c r="I142" s="16"/>
      <c r="J142" s="15"/>
      <c r="K142" s="14">
        <f t="shared" si="51"/>
        <v>0</v>
      </c>
      <c r="L142" s="14">
        <f t="shared" si="52"/>
        <v>2</v>
      </c>
      <c r="M142" s="19">
        <v>45176</v>
      </c>
    </row>
    <row r="143" spans="2:13" x14ac:dyDescent="0.15">
      <c r="B143" s="13" t="s">
        <v>21</v>
      </c>
      <c r="C143" s="18">
        <v>1</v>
      </c>
      <c r="D143" s="17"/>
      <c r="E143" s="14">
        <f t="shared" si="49"/>
        <v>1</v>
      </c>
      <c r="F143" s="18"/>
      <c r="G143" s="17"/>
      <c r="H143" s="14">
        <f t="shared" si="50"/>
        <v>0</v>
      </c>
      <c r="I143" s="16"/>
      <c r="J143" s="15"/>
      <c r="K143" s="14">
        <f t="shared" si="51"/>
        <v>0</v>
      </c>
      <c r="L143" s="14">
        <f t="shared" si="52"/>
        <v>1</v>
      </c>
      <c r="M143" s="19">
        <v>45177</v>
      </c>
    </row>
    <row r="144" spans="2:13" x14ac:dyDescent="0.15">
      <c r="B144" s="13" t="s">
        <v>21</v>
      </c>
      <c r="C144" s="18">
        <v>1</v>
      </c>
      <c r="D144" s="17">
        <v>1</v>
      </c>
      <c r="E144" s="14">
        <f t="shared" si="49"/>
        <v>2</v>
      </c>
      <c r="F144" s="18">
        <v>1</v>
      </c>
      <c r="G144" s="17"/>
      <c r="H144" s="14">
        <f t="shared" si="50"/>
        <v>1</v>
      </c>
      <c r="I144" s="16"/>
      <c r="J144" s="15">
        <v>1</v>
      </c>
      <c r="K144" s="14">
        <f t="shared" si="51"/>
        <v>1</v>
      </c>
      <c r="L144" s="14">
        <f t="shared" si="52"/>
        <v>4</v>
      </c>
      <c r="M144" s="19">
        <v>45180</v>
      </c>
    </row>
    <row r="145" spans="2:13" x14ac:dyDescent="0.15">
      <c r="B145" s="13" t="s">
        <v>68</v>
      </c>
      <c r="C145" s="18">
        <v>1</v>
      </c>
      <c r="D145" s="17">
        <v>1</v>
      </c>
      <c r="E145" s="14">
        <f t="shared" si="49"/>
        <v>2</v>
      </c>
      <c r="F145" s="18"/>
      <c r="G145" s="17"/>
      <c r="H145" s="14">
        <f t="shared" si="50"/>
        <v>0</v>
      </c>
      <c r="I145" s="16"/>
      <c r="J145" s="15"/>
      <c r="K145" s="14">
        <f t="shared" si="51"/>
        <v>0</v>
      </c>
      <c r="L145" s="14">
        <f t="shared" si="52"/>
        <v>2</v>
      </c>
      <c r="M145" s="19">
        <v>45183</v>
      </c>
    </row>
    <row r="146" spans="2:13" x14ac:dyDescent="0.15">
      <c r="B146" s="13" t="s">
        <v>21</v>
      </c>
      <c r="C146" s="18"/>
      <c r="D146" s="17">
        <v>2</v>
      </c>
      <c r="E146" s="14">
        <f t="shared" si="49"/>
        <v>2</v>
      </c>
      <c r="F146" s="18"/>
      <c r="G146" s="17"/>
      <c r="H146" s="14">
        <f t="shared" si="50"/>
        <v>0</v>
      </c>
      <c r="I146" s="16"/>
      <c r="J146" s="15"/>
      <c r="K146" s="14">
        <f t="shared" si="51"/>
        <v>0</v>
      </c>
      <c r="L146" s="14">
        <f t="shared" si="52"/>
        <v>2</v>
      </c>
      <c r="M146" s="19">
        <v>45182</v>
      </c>
    </row>
    <row r="147" spans="2:13" x14ac:dyDescent="0.15">
      <c r="B147" s="13" t="s">
        <v>21</v>
      </c>
      <c r="C147" s="18"/>
      <c r="D147" s="17">
        <v>1</v>
      </c>
      <c r="E147" s="14">
        <f t="shared" si="49"/>
        <v>1</v>
      </c>
      <c r="F147" s="18">
        <v>1</v>
      </c>
      <c r="G147" s="17"/>
      <c r="H147" s="14">
        <f t="shared" si="50"/>
        <v>1</v>
      </c>
      <c r="I147" s="16"/>
      <c r="J147" s="15"/>
      <c r="K147" s="14">
        <f t="shared" si="51"/>
        <v>0</v>
      </c>
      <c r="L147" s="14">
        <f t="shared" si="52"/>
        <v>2</v>
      </c>
      <c r="M147" s="19">
        <v>45184</v>
      </c>
    </row>
    <row r="148" spans="2:13" x14ac:dyDescent="0.15">
      <c r="B148" s="13" t="s">
        <v>21</v>
      </c>
      <c r="C148" s="18"/>
      <c r="D148" s="17">
        <v>1</v>
      </c>
      <c r="E148" s="14">
        <f t="shared" si="49"/>
        <v>1</v>
      </c>
      <c r="F148" s="18"/>
      <c r="G148" s="17">
        <v>1</v>
      </c>
      <c r="H148" s="14">
        <f t="shared" si="50"/>
        <v>1</v>
      </c>
      <c r="I148" s="16"/>
      <c r="J148" s="15"/>
      <c r="K148" s="14">
        <f t="shared" si="51"/>
        <v>0</v>
      </c>
      <c r="L148" s="14">
        <f t="shared" si="52"/>
        <v>2</v>
      </c>
      <c r="M148" s="19">
        <v>45189</v>
      </c>
    </row>
    <row r="149" spans="2:13" x14ac:dyDescent="0.15">
      <c r="B149" s="13" t="s">
        <v>21</v>
      </c>
      <c r="C149" s="18"/>
      <c r="D149" s="17"/>
      <c r="E149" s="14">
        <f t="shared" si="49"/>
        <v>0</v>
      </c>
      <c r="F149" s="18"/>
      <c r="G149" s="17">
        <v>1</v>
      </c>
      <c r="H149" s="14">
        <f t="shared" si="50"/>
        <v>1</v>
      </c>
      <c r="I149" s="16"/>
      <c r="J149" s="15"/>
      <c r="K149" s="14">
        <f t="shared" si="51"/>
        <v>0</v>
      </c>
      <c r="L149" s="14">
        <f t="shared" si="52"/>
        <v>1</v>
      </c>
      <c r="M149" s="19">
        <v>45194</v>
      </c>
    </row>
    <row r="150" spans="2:13" x14ac:dyDescent="0.15">
      <c r="B150" s="13" t="s">
        <v>69</v>
      </c>
      <c r="C150" s="18">
        <v>1</v>
      </c>
      <c r="D150" s="17">
        <v>1</v>
      </c>
      <c r="E150" s="14">
        <f t="shared" si="49"/>
        <v>2</v>
      </c>
      <c r="F150" s="18"/>
      <c r="G150" s="17"/>
      <c r="H150" s="14">
        <f t="shared" si="50"/>
        <v>0</v>
      </c>
      <c r="I150" s="16"/>
      <c r="J150" s="15"/>
      <c r="K150" s="14">
        <f t="shared" si="51"/>
        <v>0</v>
      </c>
      <c r="L150" s="14">
        <f t="shared" si="52"/>
        <v>2</v>
      </c>
      <c r="M150" s="19">
        <v>45203</v>
      </c>
    </row>
    <row r="151" spans="2:13" x14ac:dyDescent="0.15">
      <c r="B151" s="13" t="s">
        <v>21</v>
      </c>
      <c r="C151" s="18">
        <v>2</v>
      </c>
      <c r="D151" s="17">
        <v>1</v>
      </c>
      <c r="E151" s="14">
        <f t="shared" ref="E151:E154" si="53">SUM(C151:D151)</f>
        <v>3</v>
      </c>
      <c r="F151" s="18">
        <v>1</v>
      </c>
      <c r="G151" s="17"/>
      <c r="H151" s="14">
        <f t="shared" ref="H151:H154" si="54">SUM(F151:G151)</f>
        <v>1</v>
      </c>
      <c r="I151" s="16"/>
      <c r="J151" s="15"/>
      <c r="K151" s="14">
        <f t="shared" ref="K151:K154" si="55">SUM(I151:J151)</f>
        <v>0</v>
      </c>
      <c r="L151" s="14">
        <f t="shared" ref="L151:L154" si="56">H151+K151+E151</f>
        <v>4</v>
      </c>
      <c r="M151" s="19">
        <v>45206</v>
      </c>
    </row>
    <row r="152" spans="2:13" x14ac:dyDescent="0.15">
      <c r="B152" s="13" t="s">
        <v>70</v>
      </c>
      <c r="C152" s="18">
        <v>1</v>
      </c>
      <c r="D152" s="17">
        <v>1</v>
      </c>
      <c r="E152" s="14">
        <f t="shared" si="53"/>
        <v>2</v>
      </c>
      <c r="F152" s="18"/>
      <c r="G152" s="17"/>
      <c r="H152" s="14">
        <f t="shared" si="54"/>
        <v>0</v>
      </c>
      <c r="I152" s="16"/>
      <c r="J152" s="15"/>
      <c r="K152" s="14">
        <f t="shared" si="55"/>
        <v>0</v>
      </c>
      <c r="L152" s="14">
        <f t="shared" si="56"/>
        <v>2</v>
      </c>
      <c r="M152" s="19">
        <v>45210</v>
      </c>
    </row>
    <row r="153" spans="2:13" x14ac:dyDescent="0.15">
      <c r="B153" s="13" t="s">
        <v>21</v>
      </c>
      <c r="C153" s="18"/>
      <c r="D153" s="17">
        <v>1</v>
      </c>
      <c r="E153" s="14">
        <f t="shared" si="53"/>
        <v>1</v>
      </c>
      <c r="F153" s="18"/>
      <c r="G153" s="17"/>
      <c r="H153" s="14">
        <f t="shared" si="54"/>
        <v>0</v>
      </c>
      <c r="I153" s="16"/>
      <c r="J153" s="15"/>
      <c r="K153" s="14">
        <f t="shared" si="55"/>
        <v>0</v>
      </c>
      <c r="L153" s="14">
        <f t="shared" si="56"/>
        <v>1</v>
      </c>
      <c r="M153" s="19">
        <v>45266</v>
      </c>
    </row>
    <row r="154" spans="2:13" x14ac:dyDescent="0.15">
      <c r="B154" s="13" t="s">
        <v>21</v>
      </c>
      <c r="C154" s="18">
        <v>2</v>
      </c>
      <c r="D154" s="17"/>
      <c r="E154" s="14">
        <f t="shared" si="53"/>
        <v>2</v>
      </c>
      <c r="F154" s="18"/>
      <c r="G154" s="17"/>
      <c r="H154" s="14">
        <f t="shared" si="54"/>
        <v>0</v>
      </c>
      <c r="I154" s="16"/>
      <c r="J154" s="15"/>
      <c r="K154" s="14">
        <f t="shared" si="55"/>
        <v>0</v>
      </c>
      <c r="L154" s="14">
        <f t="shared" si="56"/>
        <v>2</v>
      </c>
      <c r="M154" s="19">
        <v>45296</v>
      </c>
    </row>
    <row r="155" spans="2:13" x14ac:dyDescent="0.15">
      <c r="B155" s="13" t="s">
        <v>21</v>
      </c>
      <c r="C155" s="18"/>
      <c r="D155" s="17"/>
      <c r="E155" s="14">
        <f t="shared" ref="E155:E157" si="57">SUM(C155:D155)</f>
        <v>0</v>
      </c>
      <c r="F155" s="18"/>
      <c r="G155" s="17"/>
      <c r="H155" s="14">
        <f t="shared" ref="H155:H157" si="58">SUM(F155:G155)</f>
        <v>0</v>
      </c>
      <c r="I155" s="16"/>
      <c r="J155" s="15"/>
      <c r="K155" s="14">
        <f t="shared" ref="K155:K157" si="59">SUM(I155:J155)</f>
        <v>0</v>
      </c>
      <c r="L155" s="14">
        <f t="shared" ref="L155:L157" si="60">H155+K155+E155</f>
        <v>0</v>
      </c>
      <c r="M155" s="19">
        <v>45343</v>
      </c>
    </row>
    <row r="156" spans="2:13" x14ac:dyDescent="0.15">
      <c r="B156" s="13" t="s">
        <v>21</v>
      </c>
      <c r="C156" s="18"/>
      <c r="D156" s="17">
        <v>1</v>
      </c>
      <c r="E156" s="14">
        <f t="shared" si="57"/>
        <v>1</v>
      </c>
      <c r="F156" s="18"/>
      <c r="G156" s="17"/>
      <c r="H156" s="14">
        <f t="shared" si="58"/>
        <v>0</v>
      </c>
      <c r="I156" s="16"/>
      <c r="J156" s="15"/>
      <c r="K156" s="14">
        <f t="shared" si="59"/>
        <v>0</v>
      </c>
      <c r="L156" s="14">
        <f t="shared" si="60"/>
        <v>1</v>
      </c>
      <c r="M156" s="19">
        <v>45356</v>
      </c>
    </row>
    <row r="157" spans="2:13" ht="14.25" thickBot="1" x14ac:dyDescent="0.2">
      <c r="B157" s="13" t="s">
        <v>21</v>
      </c>
      <c r="C157" s="18"/>
      <c r="D157" s="17"/>
      <c r="E157" s="14">
        <f t="shared" si="57"/>
        <v>0</v>
      </c>
      <c r="F157" s="18"/>
      <c r="G157" s="17">
        <v>1</v>
      </c>
      <c r="H157" s="14">
        <f t="shared" si="58"/>
        <v>1</v>
      </c>
      <c r="I157" s="16"/>
      <c r="J157" s="15"/>
      <c r="K157" s="14">
        <f t="shared" si="59"/>
        <v>0</v>
      </c>
      <c r="L157" s="14">
        <f t="shared" si="60"/>
        <v>1</v>
      </c>
      <c r="M157" s="19">
        <v>45377</v>
      </c>
    </row>
    <row r="158" spans="2:13" ht="14.25" thickBot="1" x14ac:dyDescent="0.2">
      <c r="B158" s="9" t="s">
        <v>1</v>
      </c>
      <c r="C158" s="8">
        <f t="shared" ref="C158:L158" si="61">SUM(C133:C157)</f>
        <v>15</v>
      </c>
      <c r="D158" s="7">
        <f t="shared" si="61"/>
        <v>16</v>
      </c>
      <c r="E158" s="6">
        <f t="shared" si="61"/>
        <v>31</v>
      </c>
      <c r="F158" s="8">
        <f t="shared" si="61"/>
        <v>6</v>
      </c>
      <c r="G158" s="7">
        <f t="shared" si="61"/>
        <v>4</v>
      </c>
      <c r="H158" s="6">
        <f t="shared" si="61"/>
        <v>10</v>
      </c>
      <c r="I158" s="8">
        <f t="shared" si="61"/>
        <v>2</v>
      </c>
      <c r="J158" s="7">
        <f t="shared" si="61"/>
        <v>3</v>
      </c>
      <c r="K158" s="6">
        <f t="shared" si="61"/>
        <v>5</v>
      </c>
      <c r="L158" s="6">
        <f t="shared" si="61"/>
        <v>46</v>
      </c>
    </row>
    <row r="159" spans="2:13" ht="14.25" thickBot="1" x14ac:dyDescent="0.2">
      <c r="B159" s="5" t="s">
        <v>0</v>
      </c>
      <c r="C159" s="4">
        <f t="shared" ref="C159:L159" si="62">+C132-C158</f>
        <v>132</v>
      </c>
      <c r="D159" s="3">
        <f t="shared" si="62"/>
        <v>57</v>
      </c>
      <c r="E159" s="2">
        <f t="shared" si="62"/>
        <v>189</v>
      </c>
      <c r="F159" s="4">
        <f t="shared" si="62"/>
        <v>2</v>
      </c>
      <c r="G159" s="3">
        <f t="shared" si="62"/>
        <v>6</v>
      </c>
      <c r="H159" s="2">
        <f t="shared" si="62"/>
        <v>8</v>
      </c>
      <c r="I159" s="4">
        <f t="shared" si="62"/>
        <v>10</v>
      </c>
      <c r="J159" s="3">
        <f t="shared" si="62"/>
        <v>12</v>
      </c>
      <c r="K159" s="2">
        <f t="shared" si="62"/>
        <v>22</v>
      </c>
      <c r="L159" s="2">
        <f t="shared" si="62"/>
        <v>219</v>
      </c>
    </row>
    <row r="161" spans="1:13" ht="18.75" x14ac:dyDescent="0.2">
      <c r="B161" s="44" t="s">
        <v>14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</row>
    <row r="162" spans="1:13" ht="17.25" x14ac:dyDescent="0.2">
      <c r="B162" s="43" t="s">
        <v>13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</row>
    <row r="163" spans="1:13" ht="14.25" thickBot="1" x14ac:dyDescent="0.2"/>
    <row r="164" spans="1:13" ht="14.25" thickBot="1" x14ac:dyDescent="0.2">
      <c r="B164" s="41"/>
      <c r="C164" s="67" t="s">
        <v>12</v>
      </c>
      <c r="D164" s="68"/>
      <c r="E164" s="69"/>
      <c r="F164" s="67" t="s">
        <v>11</v>
      </c>
      <c r="G164" s="68"/>
      <c r="H164" s="69"/>
      <c r="I164" s="67" t="s">
        <v>10</v>
      </c>
      <c r="J164" s="68"/>
      <c r="K164" s="69"/>
      <c r="L164" s="40"/>
    </row>
    <row r="165" spans="1:13" ht="14.25" thickBot="1" x14ac:dyDescent="0.2">
      <c r="A165" s="1"/>
      <c r="B165" s="39"/>
      <c r="C165" s="50" t="s">
        <v>7</v>
      </c>
      <c r="D165" s="38" t="s">
        <v>9</v>
      </c>
      <c r="E165" s="37" t="s">
        <v>4</v>
      </c>
      <c r="F165" s="52" t="s">
        <v>8</v>
      </c>
      <c r="G165" s="51" t="s">
        <v>7</v>
      </c>
      <c r="H165" s="37" t="s">
        <v>4</v>
      </c>
      <c r="I165" s="53" t="s">
        <v>6</v>
      </c>
      <c r="J165" s="54" t="s">
        <v>5</v>
      </c>
      <c r="K165" s="37" t="s">
        <v>4</v>
      </c>
      <c r="L165" s="37" t="s">
        <v>4</v>
      </c>
    </row>
    <row r="166" spans="1:13" x14ac:dyDescent="0.15">
      <c r="B166" s="36" t="s">
        <v>0</v>
      </c>
      <c r="C166" s="35">
        <f t="shared" ref="C166:L166" si="63">C159</f>
        <v>132</v>
      </c>
      <c r="D166" s="34">
        <f t="shared" si="63"/>
        <v>57</v>
      </c>
      <c r="E166" s="33">
        <f t="shared" si="63"/>
        <v>189</v>
      </c>
      <c r="F166" s="35">
        <f t="shared" si="63"/>
        <v>2</v>
      </c>
      <c r="G166" s="34">
        <f t="shared" si="63"/>
        <v>6</v>
      </c>
      <c r="H166" s="33">
        <f t="shared" si="63"/>
        <v>8</v>
      </c>
      <c r="I166" s="35">
        <f t="shared" si="63"/>
        <v>10</v>
      </c>
      <c r="J166" s="34">
        <f t="shared" si="63"/>
        <v>12</v>
      </c>
      <c r="K166" s="33">
        <f t="shared" si="63"/>
        <v>22</v>
      </c>
      <c r="L166" s="33">
        <f t="shared" si="63"/>
        <v>219</v>
      </c>
    </row>
    <row r="167" spans="1:13" x14ac:dyDescent="0.15">
      <c r="B167" s="32" t="s">
        <v>3</v>
      </c>
      <c r="C167" s="18"/>
      <c r="D167" s="17"/>
      <c r="E167" s="31">
        <f t="shared" ref="E167" si="64">SUM(C167:D167)</f>
        <v>0</v>
      </c>
      <c r="F167" s="18">
        <v>10</v>
      </c>
      <c r="G167" s="17"/>
      <c r="H167" s="31">
        <f t="shared" ref="H167" si="65">SUM(F167:G167)</f>
        <v>10</v>
      </c>
      <c r="I167" s="16"/>
      <c r="J167" s="15"/>
      <c r="K167" s="31">
        <f t="shared" ref="K167" si="66">SUM(I167:J167)</f>
        <v>0</v>
      </c>
      <c r="L167" s="31">
        <f t="shared" ref="L167" si="67">H167+K167+E167</f>
        <v>10</v>
      </c>
      <c r="M167" s="19">
        <v>45384</v>
      </c>
    </row>
    <row r="168" spans="1:13" x14ac:dyDescent="0.15">
      <c r="B168" s="32" t="s">
        <v>3</v>
      </c>
      <c r="C168" s="18"/>
      <c r="D168" s="17"/>
      <c r="E168" s="31">
        <f t="shared" ref="E168:E169" si="68">SUM(C168:D168)</f>
        <v>0</v>
      </c>
      <c r="F168" s="18">
        <v>50</v>
      </c>
      <c r="G168" s="17">
        <v>10</v>
      </c>
      <c r="H168" s="31">
        <f t="shared" ref="H168:H169" si="69">SUM(F168:G168)</f>
        <v>60</v>
      </c>
      <c r="I168" s="16">
        <v>10</v>
      </c>
      <c r="J168" s="15">
        <v>10</v>
      </c>
      <c r="K168" s="31">
        <f t="shared" ref="K168:K169" si="70">SUM(I168:J168)</f>
        <v>20</v>
      </c>
      <c r="L168" s="31">
        <f t="shared" ref="L168:L169" si="71">H168+K168+E168</f>
        <v>80</v>
      </c>
      <c r="M168" s="19">
        <v>45457</v>
      </c>
    </row>
    <row r="169" spans="1:13" x14ac:dyDescent="0.15">
      <c r="B169" s="32" t="s">
        <v>3</v>
      </c>
      <c r="C169" s="18"/>
      <c r="D169" s="17"/>
      <c r="E169" s="31">
        <f t="shared" si="68"/>
        <v>0</v>
      </c>
      <c r="F169" s="18"/>
      <c r="G169" s="17"/>
      <c r="H169" s="31">
        <f t="shared" si="69"/>
        <v>0</v>
      </c>
      <c r="I169" s="16"/>
      <c r="J169" s="15"/>
      <c r="K169" s="31">
        <f t="shared" si="70"/>
        <v>0</v>
      </c>
      <c r="L169" s="31">
        <f t="shared" si="71"/>
        <v>0</v>
      </c>
    </row>
    <row r="170" spans="1:13" x14ac:dyDescent="0.15">
      <c r="B170" s="32" t="s">
        <v>3</v>
      </c>
      <c r="C170" s="18"/>
      <c r="D170" s="17"/>
      <c r="E170" s="31">
        <f>SUM(C170:D170)</f>
        <v>0</v>
      </c>
      <c r="F170" s="18"/>
      <c r="G170" s="17"/>
      <c r="H170" s="31">
        <f>SUM(F170:G170)</f>
        <v>0</v>
      </c>
      <c r="I170" s="16"/>
      <c r="J170" s="15"/>
      <c r="K170" s="31">
        <f>SUM(I170:J170)</f>
        <v>0</v>
      </c>
      <c r="L170" s="31">
        <f>H170+K170+E170</f>
        <v>0</v>
      </c>
    </row>
    <row r="171" spans="1:13" ht="14.25" thickBot="1" x14ac:dyDescent="0.2">
      <c r="B171" s="30" t="s">
        <v>3</v>
      </c>
      <c r="C171" s="29"/>
      <c r="D171" s="12"/>
      <c r="E171" s="28">
        <f>SUM(C171:D171)</f>
        <v>0</v>
      </c>
      <c r="F171" s="29"/>
      <c r="G171" s="12"/>
      <c r="H171" s="28">
        <f>SUM(F171:G171)</f>
        <v>0</v>
      </c>
      <c r="I171" s="11"/>
      <c r="J171" s="10"/>
      <c r="K171" s="28">
        <f>SUM(I171:J171)</f>
        <v>0</v>
      </c>
      <c r="L171" s="28">
        <f>H171+K171+E171</f>
        <v>0</v>
      </c>
    </row>
    <row r="172" spans="1:13" ht="14.25" thickBot="1" x14ac:dyDescent="0.2">
      <c r="B172" s="9" t="s">
        <v>2</v>
      </c>
      <c r="C172" s="8">
        <f t="shared" ref="C172:L172" si="72">SUM(C166:C171)</f>
        <v>132</v>
      </c>
      <c r="D172" s="7">
        <f t="shared" si="72"/>
        <v>57</v>
      </c>
      <c r="E172" s="27">
        <f t="shared" si="72"/>
        <v>189</v>
      </c>
      <c r="F172" s="8">
        <f t="shared" si="72"/>
        <v>62</v>
      </c>
      <c r="G172" s="7">
        <f t="shared" si="72"/>
        <v>16</v>
      </c>
      <c r="H172" s="27">
        <f t="shared" si="72"/>
        <v>78</v>
      </c>
      <c r="I172" s="8">
        <f t="shared" si="72"/>
        <v>20</v>
      </c>
      <c r="J172" s="7">
        <f t="shared" si="72"/>
        <v>22</v>
      </c>
      <c r="K172" s="27">
        <f t="shared" si="72"/>
        <v>42</v>
      </c>
      <c r="L172" s="27">
        <f t="shared" si="72"/>
        <v>309</v>
      </c>
    </row>
    <row r="173" spans="1:13" x14ac:dyDescent="0.15">
      <c r="B173" s="13" t="s">
        <v>21</v>
      </c>
      <c r="C173" s="18"/>
      <c r="D173" s="17">
        <v>1</v>
      </c>
      <c r="E173" s="14">
        <f t="shared" ref="E173:E195" si="73">SUM(C173:D173)</f>
        <v>1</v>
      </c>
      <c r="F173" s="18">
        <v>1</v>
      </c>
      <c r="G173" s="17"/>
      <c r="H173" s="14">
        <f t="shared" ref="H173:H195" si="74">SUM(F173:G173)</f>
        <v>1</v>
      </c>
      <c r="I173" s="16"/>
      <c r="J173" s="15"/>
      <c r="K173" s="14">
        <f t="shared" ref="K173:K195" si="75">SUM(I173:J173)</f>
        <v>0</v>
      </c>
      <c r="L173" s="14">
        <f t="shared" ref="L173:L195" si="76">H173+K173+E173</f>
        <v>2</v>
      </c>
      <c r="M173" s="19">
        <v>45399</v>
      </c>
    </row>
    <row r="174" spans="1:13" x14ac:dyDescent="0.15">
      <c r="B174" s="13" t="s">
        <v>21</v>
      </c>
      <c r="C174" s="18">
        <v>1</v>
      </c>
      <c r="D174" s="17"/>
      <c r="E174" s="14">
        <f t="shared" si="73"/>
        <v>1</v>
      </c>
      <c r="F174" s="18">
        <v>1</v>
      </c>
      <c r="G174" s="17"/>
      <c r="H174" s="14">
        <f t="shared" si="74"/>
        <v>1</v>
      </c>
      <c r="I174" s="16"/>
      <c r="J174" s="15"/>
      <c r="K174" s="14">
        <f t="shared" si="75"/>
        <v>0</v>
      </c>
      <c r="L174" s="14">
        <f t="shared" si="76"/>
        <v>2</v>
      </c>
      <c r="M174" s="19">
        <v>45404</v>
      </c>
    </row>
    <row r="175" spans="1:13" x14ac:dyDescent="0.15">
      <c r="B175" s="13" t="s">
        <v>21</v>
      </c>
      <c r="C175" s="18"/>
      <c r="D175" s="17"/>
      <c r="E175" s="14">
        <f t="shared" si="73"/>
        <v>0</v>
      </c>
      <c r="F175" s="18"/>
      <c r="G175" s="17"/>
      <c r="H175" s="14">
        <f t="shared" si="74"/>
        <v>0</v>
      </c>
      <c r="I175" s="16">
        <v>1</v>
      </c>
      <c r="J175" s="15">
        <v>1</v>
      </c>
      <c r="K175" s="14">
        <f t="shared" si="75"/>
        <v>2</v>
      </c>
      <c r="L175" s="14">
        <f t="shared" si="76"/>
        <v>2</v>
      </c>
      <c r="M175" s="19">
        <v>45419</v>
      </c>
    </row>
    <row r="176" spans="1:13" x14ac:dyDescent="0.15">
      <c r="B176" s="13" t="s">
        <v>21</v>
      </c>
      <c r="C176" s="18"/>
      <c r="D176" s="17">
        <v>1</v>
      </c>
      <c r="E176" s="14">
        <f t="shared" si="73"/>
        <v>1</v>
      </c>
      <c r="F176" s="18"/>
      <c r="G176" s="17"/>
      <c r="H176" s="14">
        <f t="shared" si="74"/>
        <v>0</v>
      </c>
      <c r="I176" s="16"/>
      <c r="J176" s="15"/>
      <c r="K176" s="14">
        <f t="shared" si="75"/>
        <v>0</v>
      </c>
      <c r="L176" s="14">
        <f t="shared" si="76"/>
        <v>1</v>
      </c>
      <c r="M176" s="19">
        <v>45422</v>
      </c>
    </row>
    <row r="177" spans="2:13" x14ac:dyDescent="0.15">
      <c r="B177" s="13" t="s">
        <v>21</v>
      </c>
      <c r="C177" s="18">
        <v>2</v>
      </c>
      <c r="D177" s="17">
        <v>1</v>
      </c>
      <c r="E177" s="14">
        <f t="shared" si="73"/>
        <v>3</v>
      </c>
      <c r="F177" s="18"/>
      <c r="G177" s="17"/>
      <c r="H177" s="14">
        <f t="shared" si="74"/>
        <v>0</v>
      </c>
      <c r="I177" s="16">
        <v>1</v>
      </c>
      <c r="J177" s="15"/>
      <c r="K177" s="14">
        <f t="shared" si="75"/>
        <v>1</v>
      </c>
      <c r="L177" s="14">
        <f t="shared" si="76"/>
        <v>4</v>
      </c>
      <c r="M177" s="19">
        <v>45429</v>
      </c>
    </row>
    <row r="178" spans="2:13" x14ac:dyDescent="0.15">
      <c r="B178" s="13" t="s">
        <v>21</v>
      </c>
      <c r="C178" s="18"/>
      <c r="D178" s="17">
        <v>2</v>
      </c>
      <c r="E178" s="14">
        <f t="shared" si="73"/>
        <v>2</v>
      </c>
      <c r="F178" s="18"/>
      <c r="G178" s="17"/>
      <c r="H178" s="14">
        <f t="shared" si="74"/>
        <v>0</v>
      </c>
      <c r="I178" s="16"/>
      <c r="J178" s="15"/>
      <c r="K178" s="14">
        <f t="shared" si="75"/>
        <v>0</v>
      </c>
      <c r="L178" s="14">
        <f t="shared" si="76"/>
        <v>2</v>
      </c>
      <c r="M178" s="19">
        <v>45433</v>
      </c>
    </row>
    <row r="179" spans="2:13" x14ac:dyDescent="0.15">
      <c r="B179" s="13" t="s">
        <v>21</v>
      </c>
      <c r="C179" s="18">
        <v>1</v>
      </c>
      <c r="D179" s="17">
        <v>1</v>
      </c>
      <c r="E179" s="14">
        <f t="shared" si="73"/>
        <v>2</v>
      </c>
      <c r="F179" s="18"/>
      <c r="G179" s="17"/>
      <c r="H179" s="14">
        <f t="shared" si="74"/>
        <v>0</v>
      </c>
      <c r="I179" s="16"/>
      <c r="J179" s="15"/>
      <c r="K179" s="14">
        <f t="shared" si="75"/>
        <v>0</v>
      </c>
      <c r="L179" s="14">
        <f t="shared" si="76"/>
        <v>2</v>
      </c>
      <c r="M179" s="19">
        <v>45436</v>
      </c>
    </row>
    <row r="180" spans="2:13" x14ac:dyDescent="0.15">
      <c r="B180" s="13" t="s">
        <v>21</v>
      </c>
      <c r="C180" s="18"/>
      <c r="D180" s="17"/>
      <c r="E180" s="14">
        <f t="shared" si="73"/>
        <v>0</v>
      </c>
      <c r="F180" s="18">
        <v>1</v>
      </c>
      <c r="G180" s="17">
        <v>1</v>
      </c>
      <c r="H180" s="14">
        <f t="shared" si="74"/>
        <v>2</v>
      </c>
      <c r="I180" s="16">
        <v>1</v>
      </c>
      <c r="J180" s="15">
        <v>1</v>
      </c>
      <c r="K180" s="14">
        <f t="shared" si="75"/>
        <v>2</v>
      </c>
      <c r="L180" s="14">
        <f t="shared" si="76"/>
        <v>4</v>
      </c>
      <c r="M180" s="19">
        <v>45439</v>
      </c>
    </row>
    <row r="181" spans="2:13" x14ac:dyDescent="0.15">
      <c r="B181" s="13" t="s">
        <v>21</v>
      </c>
      <c r="C181" s="18"/>
      <c r="D181" s="17">
        <v>1</v>
      </c>
      <c r="E181" s="14">
        <f t="shared" si="73"/>
        <v>1</v>
      </c>
      <c r="F181" s="18"/>
      <c r="G181" s="17"/>
      <c r="H181" s="14">
        <f t="shared" si="74"/>
        <v>0</v>
      </c>
      <c r="I181" s="16"/>
      <c r="J181" s="15"/>
      <c r="K181" s="14">
        <f t="shared" si="75"/>
        <v>0</v>
      </c>
      <c r="L181" s="14">
        <f t="shared" si="76"/>
        <v>1</v>
      </c>
      <c r="M181" s="19">
        <v>45440</v>
      </c>
    </row>
    <row r="182" spans="2:13" x14ac:dyDescent="0.15">
      <c r="B182" s="13" t="s">
        <v>21</v>
      </c>
      <c r="C182" s="18">
        <v>1</v>
      </c>
      <c r="D182" s="17"/>
      <c r="E182" s="14">
        <f t="shared" si="73"/>
        <v>1</v>
      </c>
      <c r="F182" s="18"/>
      <c r="G182" s="17"/>
      <c r="H182" s="14">
        <f t="shared" si="74"/>
        <v>0</v>
      </c>
      <c r="I182" s="16"/>
      <c r="J182" s="15"/>
      <c r="K182" s="14">
        <f t="shared" si="75"/>
        <v>0</v>
      </c>
      <c r="L182" s="14">
        <f t="shared" si="76"/>
        <v>1</v>
      </c>
      <c r="M182" s="19">
        <v>45442</v>
      </c>
    </row>
    <row r="183" spans="2:13" x14ac:dyDescent="0.15">
      <c r="B183" s="13" t="s">
        <v>21</v>
      </c>
      <c r="C183" s="18">
        <v>1</v>
      </c>
      <c r="D183" s="17">
        <v>1</v>
      </c>
      <c r="E183" s="14">
        <f t="shared" si="73"/>
        <v>2</v>
      </c>
      <c r="F183" s="18">
        <v>1</v>
      </c>
      <c r="G183" s="17"/>
      <c r="H183" s="14">
        <f t="shared" si="74"/>
        <v>1</v>
      </c>
      <c r="I183" s="16"/>
      <c r="J183" s="15"/>
      <c r="K183" s="14">
        <f t="shared" si="75"/>
        <v>0</v>
      </c>
      <c r="L183" s="14">
        <f t="shared" si="76"/>
        <v>3</v>
      </c>
      <c r="M183" s="19">
        <v>45446</v>
      </c>
    </row>
    <row r="184" spans="2:13" x14ac:dyDescent="0.15">
      <c r="B184" s="13" t="s">
        <v>21</v>
      </c>
      <c r="C184" s="18">
        <v>1</v>
      </c>
      <c r="D184" s="17">
        <v>2</v>
      </c>
      <c r="E184" s="14">
        <f t="shared" si="73"/>
        <v>3</v>
      </c>
      <c r="F184" s="18">
        <v>3</v>
      </c>
      <c r="G184" s="17"/>
      <c r="H184" s="14">
        <f t="shared" si="74"/>
        <v>3</v>
      </c>
      <c r="I184" s="16">
        <v>1</v>
      </c>
      <c r="J184" s="15">
        <v>1</v>
      </c>
      <c r="K184" s="14">
        <f t="shared" si="75"/>
        <v>2</v>
      </c>
      <c r="L184" s="14">
        <f t="shared" si="76"/>
        <v>8</v>
      </c>
      <c r="M184" s="19">
        <v>45448</v>
      </c>
    </row>
    <row r="185" spans="2:13" x14ac:dyDescent="0.15">
      <c r="B185" s="13" t="s">
        <v>21</v>
      </c>
      <c r="C185" s="18"/>
      <c r="D185" s="17">
        <v>1</v>
      </c>
      <c r="E185" s="14">
        <f t="shared" si="73"/>
        <v>1</v>
      </c>
      <c r="F185" s="18"/>
      <c r="G185" s="17"/>
      <c r="H185" s="14">
        <f t="shared" si="74"/>
        <v>0</v>
      </c>
      <c r="I185" s="16"/>
      <c r="J185" s="15"/>
      <c r="K185" s="14">
        <f t="shared" si="75"/>
        <v>0</v>
      </c>
      <c r="L185" s="14">
        <f t="shared" si="76"/>
        <v>1</v>
      </c>
      <c r="M185" s="19">
        <v>45450</v>
      </c>
    </row>
    <row r="186" spans="2:13" x14ac:dyDescent="0.15">
      <c r="B186" s="13" t="s">
        <v>21</v>
      </c>
      <c r="C186" s="18"/>
      <c r="D186" s="17">
        <v>1</v>
      </c>
      <c r="E186" s="14">
        <f t="shared" si="73"/>
        <v>1</v>
      </c>
      <c r="F186" s="18">
        <v>2</v>
      </c>
      <c r="G186" s="17"/>
      <c r="H186" s="14">
        <f t="shared" si="74"/>
        <v>2</v>
      </c>
      <c r="I186" s="16">
        <v>1</v>
      </c>
      <c r="J186" s="15">
        <v>1</v>
      </c>
      <c r="K186" s="14">
        <f t="shared" si="75"/>
        <v>2</v>
      </c>
      <c r="L186" s="14">
        <f t="shared" si="76"/>
        <v>5</v>
      </c>
      <c r="M186" s="19">
        <v>45453</v>
      </c>
    </row>
    <row r="187" spans="2:13" x14ac:dyDescent="0.15">
      <c r="B187" s="13" t="s">
        <v>21</v>
      </c>
      <c r="C187" s="18">
        <v>1</v>
      </c>
      <c r="D187" s="17"/>
      <c r="E187" s="14">
        <f t="shared" si="73"/>
        <v>1</v>
      </c>
      <c r="F187" s="18">
        <v>2</v>
      </c>
      <c r="G187" s="17">
        <v>1</v>
      </c>
      <c r="H187" s="14">
        <f t="shared" si="74"/>
        <v>3</v>
      </c>
      <c r="I187" s="16">
        <v>1</v>
      </c>
      <c r="J187" s="15"/>
      <c r="K187" s="14">
        <f t="shared" si="75"/>
        <v>1</v>
      </c>
      <c r="L187" s="14">
        <f t="shared" si="76"/>
        <v>5</v>
      </c>
      <c r="M187" s="19">
        <v>45454</v>
      </c>
    </row>
    <row r="188" spans="2:13" x14ac:dyDescent="0.15">
      <c r="B188" s="13" t="s">
        <v>21</v>
      </c>
      <c r="C188" s="18"/>
      <c r="D188" s="17">
        <v>1</v>
      </c>
      <c r="E188" s="14">
        <f t="shared" si="73"/>
        <v>1</v>
      </c>
      <c r="F188" s="18"/>
      <c r="G188" s="17"/>
      <c r="H188" s="14">
        <f t="shared" si="74"/>
        <v>0</v>
      </c>
      <c r="I188" s="16"/>
      <c r="J188" s="15"/>
      <c r="K188" s="14">
        <f t="shared" si="75"/>
        <v>0</v>
      </c>
      <c r="L188" s="14">
        <f t="shared" si="76"/>
        <v>1</v>
      </c>
      <c r="M188" s="19">
        <v>45455</v>
      </c>
    </row>
    <row r="189" spans="2:13" x14ac:dyDescent="0.15">
      <c r="B189" s="13" t="s">
        <v>21</v>
      </c>
      <c r="C189" s="18">
        <v>1</v>
      </c>
      <c r="D189" s="17">
        <v>1</v>
      </c>
      <c r="E189" s="14">
        <f t="shared" si="73"/>
        <v>2</v>
      </c>
      <c r="F189" s="18"/>
      <c r="G189" s="17"/>
      <c r="H189" s="14">
        <f t="shared" si="74"/>
        <v>0</v>
      </c>
      <c r="I189" s="16"/>
      <c r="J189" s="15"/>
      <c r="K189" s="14">
        <f t="shared" si="75"/>
        <v>0</v>
      </c>
      <c r="L189" s="14">
        <f t="shared" si="76"/>
        <v>2</v>
      </c>
      <c r="M189" s="19">
        <v>45456</v>
      </c>
    </row>
    <row r="190" spans="2:13" x14ac:dyDescent="0.15">
      <c r="B190" s="13" t="s">
        <v>21</v>
      </c>
      <c r="C190" s="18"/>
      <c r="D190" s="17"/>
      <c r="E190" s="14">
        <f t="shared" si="73"/>
        <v>0</v>
      </c>
      <c r="F190" s="18">
        <v>1</v>
      </c>
      <c r="G190" s="17"/>
      <c r="H190" s="14">
        <f t="shared" si="74"/>
        <v>1</v>
      </c>
      <c r="I190" s="16"/>
      <c r="J190" s="15"/>
      <c r="K190" s="14">
        <f t="shared" si="75"/>
        <v>0</v>
      </c>
      <c r="L190" s="14">
        <f t="shared" si="76"/>
        <v>1</v>
      </c>
      <c r="M190" s="19">
        <v>45457</v>
      </c>
    </row>
    <row r="191" spans="2:13" x14ac:dyDescent="0.15">
      <c r="B191" s="13" t="s">
        <v>21</v>
      </c>
      <c r="C191" s="18">
        <v>1</v>
      </c>
      <c r="D191" s="17"/>
      <c r="E191" s="14">
        <f t="shared" si="73"/>
        <v>1</v>
      </c>
      <c r="F191" s="18">
        <v>1</v>
      </c>
      <c r="G191" s="17"/>
      <c r="H191" s="14">
        <f t="shared" si="74"/>
        <v>1</v>
      </c>
      <c r="I191" s="16"/>
      <c r="J191" s="15"/>
      <c r="K191" s="14">
        <f t="shared" si="75"/>
        <v>0</v>
      </c>
      <c r="L191" s="14">
        <f t="shared" si="76"/>
        <v>2</v>
      </c>
      <c r="M191" s="19">
        <v>45458</v>
      </c>
    </row>
    <row r="192" spans="2:13" x14ac:dyDescent="0.15">
      <c r="B192" s="13" t="s">
        <v>21</v>
      </c>
      <c r="C192" s="18"/>
      <c r="D192" s="17"/>
      <c r="E192" s="14">
        <f t="shared" si="73"/>
        <v>0</v>
      </c>
      <c r="F192" s="18">
        <v>1</v>
      </c>
      <c r="G192" s="17"/>
      <c r="H192" s="14">
        <f t="shared" si="74"/>
        <v>1</v>
      </c>
      <c r="I192" s="16"/>
      <c r="J192" s="15">
        <v>1</v>
      </c>
      <c r="K192" s="14">
        <f t="shared" si="75"/>
        <v>1</v>
      </c>
      <c r="L192" s="14">
        <f t="shared" si="76"/>
        <v>2</v>
      </c>
      <c r="M192" s="19">
        <v>45461</v>
      </c>
    </row>
    <row r="193" spans="2:13" x14ac:dyDescent="0.15">
      <c r="B193" s="13" t="s">
        <v>21</v>
      </c>
      <c r="C193" s="18"/>
      <c r="D193" s="17">
        <v>1</v>
      </c>
      <c r="E193" s="14">
        <f t="shared" si="73"/>
        <v>1</v>
      </c>
      <c r="F193" s="18">
        <v>1</v>
      </c>
      <c r="G193" s="17"/>
      <c r="H193" s="14">
        <f t="shared" si="74"/>
        <v>1</v>
      </c>
      <c r="I193" s="16"/>
      <c r="J193" s="15"/>
      <c r="K193" s="14">
        <f t="shared" si="75"/>
        <v>0</v>
      </c>
      <c r="L193" s="14">
        <f t="shared" si="76"/>
        <v>2</v>
      </c>
      <c r="M193" s="19">
        <v>45464</v>
      </c>
    </row>
    <row r="194" spans="2:13" x14ac:dyDescent="0.15">
      <c r="B194" s="13" t="s">
        <v>21</v>
      </c>
      <c r="C194" s="18">
        <v>2</v>
      </c>
      <c r="D194" s="17">
        <v>2</v>
      </c>
      <c r="E194" s="14">
        <f t="shared" si="73"/>
        <v>4</v>
      </c>
      <c r="F194" s="18">
        <v>1</v>
      </c>
      <c r="G194" s="17">
        <v>1</v>
      </c>
      <c r="H194" s="14">
        <f t="shared" si="74"/>
        <v>2</v>
      </c>
      <c r="I194" s="16">
        <v>2</v>
      </c>
      <c r="J194" s="15">
        <v>2</v>
      </c>
      <c r="K194" s="14">
        <f t="shared" si="75"/>
        <v>4</v>
      </c>
      <c r="L194" s="14">
        <f t="shared" si="76"/>
        <v>10</v>
      </c>
      <c r="M194" s="19">
        <v>45467</v>
      </c>
    </row>
    <row r="195" spans="2:13" x14ac:dyDescent="0.15">
      <c r="B195" s="13" t="s">
        <v>21</v>
      </c>
      <c r="C195" s="18"/>
      <c r="D195" s="17">
        <v>2</v>
      </c>
      <c r="E195" s="14">
        <f t="shared" si="73"/>
        <v>2</v>
      </c>
      <c r="F195" s="18"/>
      <c r="G195" s="17"/>
      <c r="H195" s="14">
        <f t="shared" si="74"/>
        <v>0</v>
      </c>
      <c r="I195" s="16"/>
      <c r="J195" s="15"/>
      <c r="K195" s="14">
        <f t="shared" si="75"/>
        <v>0</v>
      </c>
      <c r="L195" s="14">
        <f t="shared" si="76"/>
        <v>2</v>
      </c>
      <c r="M195" s="19">
        <v>45469</v>
      </c>
    </row>
    <row r="196" spans="2:13" x14ac:dyDescent="0.15">
      <c r="B196" s="13" t="s">
        <v>21</v>
      </c>
      <c r="C196" s="18"/>
      <c r="D196" s="17"/>
      <c r="E196" s="14">
        <f t="shared" ref="E196:E197" si="77">SUM(C196:D196)</f>
        <v>0</v>
      </c>
      <c r="F196" s="18">
        <v>1</v>
      </c>
      <c r="G196" s="17"/>
      <c r="H196" s="14">
        <f t="shared" ref="H196:H197" si="78">SUM(F196:G196)</f>
        <v>1</v>
      </c>
      <c r="I196" s="16"/>
      <c r="J196" s="15"/>
      <c r="K196" s="14">
        <f t="shared" ref="K196:K197" si="79">SUM(I196:J196)</f>
        <v>0</v>
      </c>
      <c r="L196" s="14">
        <f t="shared" ref="L196:L197" si="80">H196+K196+E196</f>
        <v>1</v>
      </c>
      <c r="M196" s="19">
        <v>45471</v>
      </c>
    </row>
    <row r="197" spans="2:13" ht="14.25" thickBot="1" x14ac:dyDescent="0.2">
      <c r="B197" s="13" t="s">
        <v>21</v>
      </c>
      <c r="C197" s="18"/>
      <c r="D197" s="17">
        <v>1</v>
      </c>
      <c r="E197" s="14">
        <f t="shared" si="77"/>
        <v>1</v>
      </c>
      <c r="F197" s="18"/>
      <c r="G197" s="17"/>
      <c r="H197" s="14">
        <f t="shared" si="78"/>
        <v>0</v>
      </c>
      <c r="I197" s="16"/>
      <c r="J197" s="15"/>
      <c r="K197" s="14">
        <f t="shared" si="79"/>
        <v>0</v>
      </c>
      <c r="L197" s="14">
        <f t="shared" si="80"/>
        <v>1</v>
      </c>
      <c r="M197" s="19">
        <v>45475</v>
      </c>
    </row>
    <row r="198" spans="2:13" ht="14.25" thickBot="1" x14ac:dyDescent="0.2">
      <c r="B198" s="9" t="s">
        <v>1</v>
      </c>
      <c r="C198" s="8">
        <f t="shared" ref="C198:L198" si="81">SUM(C173:C197)</f>
        <v>12</v>
      </c>
      <c r="D198" s="7">
        <f t="shared" si="81"/>
        <v>20</v>
      </c>
      <c r="E198" s="6">
        <f t="shared" si="81"/>
        <v>32</v>
      </c>
      <c r="F198" s="8">
        <f t="shared" si="81"/>
        <v>17</v>
      </c>
      <c r="G198" s="7">
        <f t="shared" si="81"/>
        <v>3</v>
      </c>
      <c r="H198" s="6">
        <f t="shared" si="81"/>
        <v>20</v>
      </c>
      <c r="I198" s="8">
        <f t="shared" si="81"/>
        <v>8</v>
      </c>
      <c r="J198" s="7">
        <f t="shared" si="81"/>
        <v>7</v>
      </c>
      <c r="K198" s="6">
        <f t="shared" si="81"/>
        <v>15</v>
      </c>
      <c r="L198" s="6">
        <f t="shared" si="81"/>
        <v>67</v>
      </c>
    </row>
    <row r="199" spans="2:13" ht="14.25" thickBot="1" x14ac:dyDescent="0.2">
      <c r="B199" s="5" t="s">
        <v>0</v>
      </c>
      <c r="C199" s="4">
        <f t="shared" ref="C199:L199" si="82">+C172-C198</f>
        <v>120</v>
      </c>
      <c r="D199" s="3">
        <f t="shared" si="82"/>
        <v>37</v>
      </c>
      <c r="E199" s="2">
        <f t="shared" si="82"/>
        <v>157</v>
      </c>
      <c r="F199" s="4">
        <f t="shared" si="82"/>
        <v>45</v>
      </c>
      <c r="G199" s="3">
        <f t="shared" si="82"/>
        <v>13</v>
      </c>
      <c r="H199" s="2">
        <f t="shared" si="82"/>
        <v>58</v>
      </c>
      <c r="I199" s="4">
        <f t="shared" si="82"/>
        <v>12</v>
      </c>
      <c r="J199" s="3">
        <f t="shared" si="82"/>
        <v>15</v>
      </c>
      <c r="K199" s="2">
        <f t="shared" si="82"/>
        <v>27</v>
      </c>
      <c r="L199" s="2">
        <f t="shared" si="82"/>
        <v>242</v>
      </c>
    </row>
    <row r="201" spans="2:13" ht="18.75" x14ac:dyDescent="0.2">
      <c r="B201" s="44" t="s">
        <v>14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</row>
    <row r="202" spans="2:13" ht="17.25" x14ac:dyDescent="0.2">
      <c r="B202" s="43" t="s">
        <v>13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</row>
    <row r="203" spans="2:13" ht="14.25" thickBot="1" x14ac:dyDescent="0.2"/>
    <row r="204" spans="2:13" ht="14.25" thickBot="1" x14ac:dyDescent="0.2">
      <c r="B204" s="41"/>
      <c r="C204" s="67" t="s">
        <v>12</v>
      </c>
      <c r="D204" s="68"/>
      <c r="E204" s="69"/>
      <c r="F204" s="67" t="s">
        <v>11</v>
      </c>
      <c r="G204" s="68"/>
      <c r="H204" s="69"/>
      <c r="I204" s="67" t="s">
        <v>10</v>
      </c>
      <c r="J204" s="68"/>
      <c r="K204" s="69"/>
      <c r="L204" s="40"/>
    </row>
    <row r="205" spans="2:13" ht="14.25" thickBot="1" x14ac:dyDescent="0.2">
      <c r="B205" s="39"/>
      <c r="C205" s="50" t="s">
        <v>7</v>
      </c>
      <c r="D205" s="38" t="s">
        <v>9</v>
      </c>
      <c r="E205" s="37" t="s">
        <v>4</v>
      </c>
      <c r="F205" s="52" t="s">
        <v>8</v>
      </c>
      <c r="G205" s="51" t="s">
        <v>7</v>
      </c>
      <c r="H205" s="37" t="s">
        <v>4</v>
      </c>
      <c r="I205" s="53" t="s">
        <v>6</v>
      </c>
      <c r="J205" s="54" t="s">
        <v>5</v>
      </c>
      <c r="K205" s="37" t="s">
        <v>4</v>
      </c>
      <c r="L205" s="37" t="s">
        <v>4</v>
      </c>
    </row>
    <row r="206" spans="2:13" x14ac:dyDescent="0.15">
      <c r="B206" s="36" t="s">
        <v>0</v>
      </c>
      <c r="C206" s="35">
        <f t="shared" ref="C206:L206" si="83">C199</f>
        <v>120</v>
      </c>
      <c r="D206" s="34">
        <f t="shared" si="83"/>
        <v>37</v>
      </c>
      <c r="E206" s="33">
        <f t="shared" si="83"/>
        <v>157</v>
      </c>
      <c r="F206" s="35">
        <f t="shared" si="83"/>
        <v>45</v>
      </c>
      <c r="G206" s="34">
        <f t="shared" si="83"/>
        <v>13</v>
      </c>
      <c r="H206" s="33">
        <f t="shared" si="83"/>
        <v>58</v>
      </c>
      <c r="I206" s="35">
        <f t="shared" si="83"/>
        <v>12</v>
      </c>
      <c r="J206" s="34">
        <f t="shared" si="83"/>
        <v>15</v>
      </c>
      <c r="K206" s="33">
        <f t="shared" si="83"/>
        <v>27</v>
      </c>
      <c r="L206" s="33">
        <f t="shared" si="83"/>
        <v>242</v>
      </c>
    </row>
    <row r="207" spans="2:13" x14ac:dyDescent="0.15">
      <c r="B207" s="32" t="s">
        <v>3</v>
      </c>
      <c r="C207" s="18"/>
      <c r="D207" s="17">
        <v>5</v>
      </c>
      <c r="E207" s="31">
        <f t="shared" ref="E207:E209" si="84">SUM(C207:D207)</f>
        <v>5</v>
      </c>
      <c r="F207" s="18"/>
      <c r="G207" s="17">
        <v>5</v>
      </c>
      <c r="H207" s="31">
        <f t="shared" ref="H207:H209" si="85">SUM(F207:G207)</f>
        <v>5</v>
      </c>
      <c r="I207" s="16"/>
      <c r="J207" s="15"/>
      <c r="K207" s="31">
        <f t="shared" ref="K207:K209" si="86">SUM(I207:J207)</f>
        <v>0</v>
      </c>
      <c r="L207" s="31">
        <f t="shared" ref="L207:L209" si="87">H207+K207+E207</f>
        <v>10</v>
      </c>
      <c r="M207" s="19" t="s">
        <v>72</v>
      </c>
    </row>
    <row r="208" spans="2:13" x14ac:dyDescent="0.15">
      <c r="B208" s="32" t="s">
        <v>3</v>
      </c>
      <c r="C208" s="18"/>
      <c r="D208" s="17"/>
      <c r="E208" s="31">
        <f t="shared" si="84"/>
        <v>0</v>
      </c>
      <c r="F208" s="18"/>
      <c r="G208" s="17">
        <v>10</v>
      </c>
      <c r="H208" s="31">
        <f t="shared" si="85"/>
        <v>10</v>
      </c>
      <c r="I208" s="16"/>
      <c r="J208" s="15"/>
      <c r="K208" s="31">
        <f t="shared" si="86"/>
        <v>0</v>
      </c>
      <c r="L208" s="31">
        <f t="shared" si="87"/>
        <v>10</v>
      </c>
      <c r="M208" s="19" t="s">
        <v>73</v>
      </c>
    </row>
    <row r="209" spans="2:13" x14ac:dyDescent="0.15">
      <c r="B209" s="32" t="s">
        <v>64</v>
      </c>
      <c r="C209" s="18">
        <v>-5</v>
      </c>
      <c r="D209" s="17">
        <v>-2</v>
      </c>
      <c r="E209" s="31">
        <f t="shared" si="84"/>
        <v>-7</v>
      </c>
      <c r="F209" s="18"/>
      <c r="G209" s="17">
        <v>-1</v>
      </c>
      <c r="H209" s="31">
        <f t="shared" si="85"/>
        <v>-1</v>
      </c>
      <c r="I209" s="16"/>
      <c r="J209" s="15"/>
      <c r="K209" s="31">
        <f t="shared" si="86"/>
        <v>0</v>
      </c>
      <c r="L209" s="31">
        <f t="shared" si="87"/>
        <v>-8</v>
      </c>
      <c r="M209" s="19">
        <v>45512</v>
      </c>
    </row>
    <row r="210" spans="2:13" x14ac:dyDescent="0.15">
      <c r="B210" s="32" t="s">
        <v>3</v>
      </c>
      <c r="C210" s="18"/>
      <c r="D210" s="17"/>
      <c r="E210" s="31">
        <f>SUM(C210:D210)</f>
        <v>0</v>
      </c>
      <c r="F210" s="18"/>
      <c r="G210" s="17"/>
      <c r="H210" s="31">
        <f>SUM(F210:G210)</f>
        <v>0</v>
      </c>
      <c r="I210" s="16"/>
      <c r="J210" s="15"/>
      <c r="K210" s="31">
        <f>SUM(I210:J210)</f>
        <v>0</v>
      </c>
      <c r="L210" s="31">
        <f>H210+K210+E210</f>
        <v>0</v>
      </c>
    </row>
    <row r="211" spans="2:13" ht="14.25" thickBot="1" x14ac:dyDescent="0.2">
      <c r="B211" s="30" t="s">
        <v>3</v>
      </c>
      <c r="C211" s="29"/>
      <c r="D211" s="12"/>
      <c r="E211" s="28">
        <f>SUM(C211:D211)</f>
        <v>0</v>
      </c>
      <c r="F211" s="29"/>
      <c r="G211" s="12"/>
      <c r="H211" s="28">
        <f>SUM(F211:G211)</f>
        <v>0</v>
      </c>
      <c r="I211" s="11"/>
      <c r="J211" s="10"/>
      <c r="K211" s="28">
        <f>SUM(I211:J211)</f>
        <v>0</v>
      </c>
      <c r="L211" s="28">
        <f>H211+K211+E211</f>
        <v>0</v>
      </c>
    </row>
    <row r="212" spans="2:13" ht="14.25" thickBot="1" x14ac:dyDescent="0.2">
      <c r="B212" s="9" t="s">
        <v>2</v>
      </c>
      <c r="C212" s="8">
        <f t="shared" ref="C212:L212" si="88">SUM(C206:C211)</f>
        <v>115</v>
      </c>
      <c r="D212" s="7">
        <f t="shared" si="88"/>
        <v>40</v>
      </c>
      <c r="E212" s="27">
        <f t="shared" si="88"/>
        <v>155</v>
      </c>
      <c r="F212" s="8">
        <f t="shared" si="88"/>
        <v>45</v>
      </c>
      <c r="G212" s="7">
        <f t="shared" si="88"/>
        <v>27</v>
      </c>
      <c r="H212" s="27">
        <f t="shared" si="88"/>
        <v>72</v>
      </c>
      <c r="I212" s="8">
        <f t="shared" si="88"/>
        <v>12</v>
      </c>
      <c r="J212" s="7">
        <f t="shared" si="88"/>
        <v>15</v>
      </c>
      <c r="K212" s="27">
        <f t="shared" si="88"/>
        <v>27</v>
      </c>
      <c r="L212" s="27">
        <f t="shared" si="88"/>
        <v>254</v>
      </c>
    </row>
    <row r="213" spans="2:13" x14ac:dyDescent="0.15">
      <c r="B213" s="13" t="s">
        <v>21</v>
      </c>
      <c r="C213" s="18">
        <v>1</v>
      </c>
      <c r="D213" s="17">
        <v>1</v>
      </c>
      <c r="E213" s="14">
        <f t="shared" ref="E213:E235" si="89">SUM(C213:D213)</f>
        <v>2</v>
      </c>
      <c r="F213" s="18"/>
      <c r="G213" s="17"/>
      <c r="H213" s="14">
        <f t="shared" ref="H213:H235" si="90">SUM(F213:G213)</f>
        <v>0</v>
      </c>
      <c r="I213" s="16"/>
      <c r="J213" s="15"/>
      <c r="K213" s="14">
        <f t="shared" ref="K213:K235" si="91">SUM(I213:J213)</f>
        <v>0</v>
      </c>
      <c r="L213" s="14">
        <f t="shared" ref="L213:L235" si="92">H213+K213+E213</f>
        <v>2</v>
      </c>
      <c r="M213" s="19">
        <v>45478</v>
      </c>
    </row>
    <row r="214" spans="2:13" x14ac:dyDescent="0.15">
      <c r="B214" s="13" t="s">
        <v>21</v>
      </c>
      <c r="C214" s="18">
        <v>1</v>
      </c>
      <c r="D214" s="17">
        <v>2</v>
      </c>
      <c r="E214" s="14">
        <f t="shared" si="89"/>
        <v>3</v>
      </c>
      <c r="F214" s="18">
        <f>1+2</f>
        <v>3</v>
      </c>
      <c r="G214" s="17">
        <v>1</v>
      </c>
      <c r="H214" s="14">
        <f t="shared" si="90"/>
        <v>4</v>
      </c>
      <c r="I214" s="16">
        <v>1</v>
      </c>
      <c r="J214" s="15"/>
      <c r="K214" s="14">
        <f t="shared" si="91"/>
        <v>1</v>
      </c>
      <c r="L214" s="14">
        <f t="shared" si="92"/>
        <v>8</v>
      </c>
      <c r="M214" s="19">
        <v>45479</v>
      </c>
    </row>
    <row r="215" spans="2:13" x14ac:dyDescent="0.15">
      <c r="B215" s="13" t="s">
        <v>21</v>
      </c>
      <c r="C215" s="18">
        <f>2+1</f>
        <v>3</v>
      </c>
      <c r="D215" s="17">
        <v>3</v>
      </c>
      <c r="E215" s="14">
        <f t="shared" si="89"/>
        <v>6</v>
      </c>
      <c r="F215" s="18"/>
      <c r="G215" s="17"/>
      <c r="H215" s="14">
        <f t="shared" si="90"/>
        <v>0</v>
      </c>
      <c r="I215" s="16"/>
      <c r="J215" s="15"/>
      <c r="K215" s="14">
        <f t="shared" si="91"/>
        <v>0</v>
      </c>
      <c r="L215" s="14">
        <f t="shared" si="92"/>
        <v>6</v>
      </c>
      <c r="M215" s="19">
        <v>45481</v>
      </c>
    </row>
    <row r="216" spans="2:13" x14ac:dyDescent="0.15">
      <c r="B216" s="13" t="s">
        <v>21</v>
      </c>
      <c r="C216" s="18"/>
      <c r="D216" s="17">
        <v>1</v>
      </c>
      <c r="E216" s="14">
        <f t="shared" si="89"/>
        <v>1</v>
      </c>
      <c r="F216" s="18">
        <v>4</v>
      </c>
      <c r="G216" s="17">
        <v>1</v>
      </c>
      <c r="H216" s="14">
        <f t="shared" si="90"/>
        <v>5</v>
      </c>
      <c r="I216" s="16">
        <v>1</v>
      </c>
      <c r="J216" s="15"/>
      <c r="K216" s="14">
        <f t="shared" si="91"/>
        <v>1</v>
      </c>
      <c r="L216" s="14">
        <f t="shared" si="92"/>
        <v>7</v>
      </c>
      <c r="M216" s="19">
        <v>45482</v>
      </c>
    </row>
    <row r="217" spans="2:13" x14ac:dyDescent="0.15">
      <c r="B217" s="13" t="s">
        <v>21</v>
      </c>
      <c r="C217" s="18"/>
      <c r="D217" s="17">
        <v>1</v>
      </c>
      <c r="E217" s="14">
        <f t="shared" si="89"/>
        <v>1</v>
      </c>
      <c r="F217" s="18"/>
      <c r="G217" s="17"/>
      <c r="H217" s="14">
        <f t="shared" si="90"/>
        <v>0</v>
      </c>
      <c r="I217" s="16"/>
      <c r="J217" s="15"/>
      <c r="K217" s="14">
        <f t="shared" si="91"/>
        <v>0</v>
      </c>
      <c r="L217" s="14">
        <f t="shared" si="92"/>
        <v>1</v>
      </c>
      <c r="M217" s="19">
        <v>45483</v>
      </c>
    </row>
    <row r="218" spans="2:13" x14ac:dyDescent="0.15">
      <c r="B218" s="13" t="s">
        <v>21</v>
      </c>
      <c r="C218" s="18">
        <f>1+1</f>
        <v>2</v>
      </c>
      <c r="D218" s="17">
        <v>1</v>
      </c>
      <c r="E218" s="14">
        <f t="shared" si="89"/>
        <v>3</v>
      </c>
      <c r="F218" s="18">
        <v>1</v>
      </c>
      <c r="G218" s="17">
        <v>1</v>
      </c>
      <c r="H218" s="14">
        <f t="shared" si="90"/>
        <v>2</v>
      </c>
      <c r="I218" s="16"/>
      <c r="J218" s="15"/>
      <c r="K218" s="14">
        <f t="shared" si="91"/>
        <v>0</v>
      </c>
      <c r="L218" s="14">
        <f t="shared" si="92"/>
        <v>5</v>
      </c>
      <c r="M218" s="19">
        <v>45484</v>
      </c>
    </row>
    <row r="219" spans="2:13" x14ac:dyDescent="0.15">
      <c r="B219" s="13" t="s">
        <v>21</v>
      </c>
      <c r="C219" s="18">
        <f>1+1</f>
        <v>2</v>
      </c>
      <c r="D219" s="17">
        <f>1+2</f>
        <v>3</v>
      </c>
      <c r="E219" s="14">
        <f t="shared" si="89"/>
        <v>5</v>
      </c>
      <c r="F219" s="18">
        <v>1</v>
      </c>
      <c r="G219" s="17">
        <v>1</v>
      </c>
      <c r="H219" s="14">
        <f t="shared" si="90"/>
        <v>2</v>
      </c>
      <c r="I219" s="16">
        <f>1+3</f>
        <v>4</v>
      </c>
      <c r="J219" s="15">
        <v>1</v>
      </c>
      <c r="K219" s="14">
        <f t="shared" si="91"/>
        <v>5</v>
      </c>
      <c r="L219" s="14">
        <f t="shared" si="92"/>
        <v>12</v>
      </c>
      <c r="M219" s="19">
        <v>45489</v>
      </c>
    </row>
    <row r="220" spans="2:13" x14ac:dyDescent="0.15">
      <c r="B220" s="13" t="s">
        <v>21</v>
      </c>
      <c r="C220" s="18">
        <v>2</v>
      </c>
      <c r="D220" s="17"/>
      <c r="E220" s="14">
        <f t="shared" si="89"/>
        <v>2</v>
      </c>
      <c r="F220" s="18"/>
      <c r="G220" s="17"/>
      <c r="H220" s="14">
        <f t="shared" si="90"/>
        <v>0</v>
      </c>
      <c r="I220" s="16"/>
      <c r="J220" s="15"/>
      <c r="K220" s="14">
        <f t="shared" si="91"/>
        <v>0</v>
      </c>
      <c r="L220" s="14">
        <f t="shared" si="92"/>
        <v>2</v>
      </c>
      <c r="M220" s="19">
        <v>45490</v>
      </c>
    </row>
    <row r="221" spans="2:13" x14ac:dyDescent="0.15">
      <c r="B221" s="13" t="s">
        <v>21</v>
      </c>
      <c r="C221" s="18"/>
      <c r="D221" s="17"/>
      <c r="E221" s="14">
        <f t="shared" si="89"/>
        <v>0</v>
      </c>
      <c r="F221" s="18">
        <v>1</v>
      </c>
      <c r="G221" s="17"/>
      <c r="H221" s="14">
        <f t="shared" si="90"/>
        <v>1</v>
      </c>
      <c r="I221" s="16"/>
      <c r="J221" s="15"/>
      <c r="K221" s="14">
        <f t="shared" si="91"/>
        <v>0</v>
      </c>
      <c r="L221" s="14">
        <f t="shared" si="92"/>
        <v>1</v>
      </c>
      <c r="M221" s="19">
        <v>45493</v>
      </c>
    </row>
    <row r="222" spans="2:13" x14ac:dyDescent="0.15">
      <c r="B222" s="13" t="s">
        <v>21</v>
      </c>
      <c r="C222" s="18">
        <f>1+3</f>
        <v>4</v>
      </c>
      <c r="D222" s="17">
        <f>1+3+1</f>
        <v>5</v>
      </c>
      <c r="E222" s="14">
        <f t="shared" si="89"/>
        <v>9</v>
      </c>
      <c r="F222" s="18">
        <f>2+2</f>
        <v>4</v>
      </c>
      <c r="G222" s="17">
        <f>1+1</f>
        <v>2</v>
      </c>
      <c r="H222" s="14">
        <f t="shared" si="90"/>
        <v>6</v>
      </c>
      <c r="I222" s="16">
        <f>1+2</f>
        <v>3</v>
      </c>
      <c r="J222" s="15">
        <f>1+2+1</f>
        <v>4</v>
      </c>
      <c r="K222" s="14">
        <f t="shared" si="91"/>
        <v>7</v>
      </c>
      <c r="L222" s="14">
        <f t="shared" si="92"/>
        <v>22</v>
      </c>
      <c r="M222" s="19">
        <v>45495</v>
      </c>
    </row>
    <row r="223" spans="2:13" x14ac:dyDescent="0.15">
      <c r="B223" s="13" t="s">
        <v>21</v>
      </c>
      <c r="C223" s="18"/>
      <c r="D223" s="17"/>
      <c r="E223" s="14">
        <f t="shared" si="89"/>
        <v>0</v>
      </c>
      <c r="F223" s="18"/>
      <c r="G223" s="17">
        <v>1</v>
      </c>
      <c r="H223" s="14">
        <f t="shared" si="90"/>
        <v>1</v>
      </c>
      <c r="I223" s="16">
        <v>1</v>
      </c>
      <c r="J223" s="15"/>
      <c r="K223" s="14">
        <f t="shared" si="91"/>
        <v>1</v>
      </c>
      <c r="L223" s="14">
        <f t="shared" si="92"/>
        <v>2</v>
      </c>
      <c r="M223" s="19">
        <v>45497</v>
      </c>
    </row>
    <row r="224" spans="2:13" x14ac:dyDescent="0.15">
      <c r="B224" s="13" t="s">
        <v>21</v>
      </c>
      <c r="C224" s="18">
        <v>1</v>
      </c>
      <c r="D224" s="17">
        <v>1</v>
      </c>
      <c r="E224" s="14">
        <f t="shared" si="89"/>
        <v>2</v>
      </c>
      <c r="F224" s="18">
        <v>3</v>
      </c>
      <c r="G224" s="17">
        <v>2</v>
      </c>
      <c r="H224" s="14">
        <f t="shared" si="90"/>
        <v>5</v>
      </c>
      <c r="I224" s="16"/>
      <c r="J224" s="15"/>
      <c r="K224" s="14">
        <f t="shared" si="91"/>
        <v>0</v>
      </c>
      <c r="L224" s="14">
        <f t="shared" si="92"/>
        <v>7</v>
      </c>
      <c r="M224" s="19">
        <v>45498</v>
      </c>
    </row>
    <row r="225" spans="2:13" x14ac:dyDescent="0.15">
      <c r="B225" s="13" t="s">
        <v>21</v>
      </c>
      <c r="C225" s="18">
        <v>1</v>
      </c>
      <c r="D225" s="17">
        <f>1+3</f>
        <v>4</v>
      </c>
      <c r="E225" s="14">
        <f t="shared" si="89"/>
        <v>5</v>
      </c>
      <c r="F225" s="18">
        <v>1</v>
      </c>
      <c r="G225" s="17">
        <v>1</v>
      </c>
      <c r="H225" s="14">
        <f t="shared" si="90"/>
        <v>2</v>
      </c>
      <c r="I225" s="16">
        <v>1</v>
      </c>
      <c r="J225" s="15"/>
      <c r="K225" s="14">
        <f t="shared" si="91"/>
        <v>1</v>
      </c>
      <c r="L225" s="14">
        <f t="shared" si="92"/>
        <v>8</v>
      </c>
      <c r="M225" s="19">
        <v>45499</v>
      </c>
    </row>
    <row r="226" spans="2:13" x14ac:dyDescent="0.15">
      <c r="B226" s="13" t="s">
        <v>21</v>
      </c>
      <c r="C226" s="18">
        <v>1</v>
      </c>
      <c r="D226" s="17">
        <v>1</v>
      </c>
      <c r="E226" s="14">
        <f t="shared" si="89"/>
        <v>2</v>
      </c>
      <c r="F226" s="18">
        <v>3</v>
      </c>
      <c r="G226" s="17">
        <v>3</v>
      </c>
      <c r="H226" s="14">
        <f t="shared" si="90"/>
        <v>6</v>
      </c>
      <c r="I226" s="16"/>
      <c r="J226" s="15">
        <v>1</v>
      </c>
      <c r="K226" s="14">
        <f t="shared" si="91"/>
        <v>1</v>
      </c>
      <c r="L226" s="14">
        <f t="shared" si="92"/>
        <v>9</v>
      </c>
      <c r="M226" s="19">
        <v>45502</v>
      </c>
    </row>
    <row r="227" spans="2:13" x14ac:dyDescent="0.15">
      <c r="B227" s="13" t="s">
        <v>21</v>
      </c>
      <c r="C227" s="18">
        <v>2</v>
      </c>
      <c r="D227" s="17">
        <v>3</v>
      </c>
      <c r="E227" s="14">
        <f t="shared" si="89"/>
        <v>5</v>
      </c>
      <c r="F227" s="18">
        <v>1</v>
      </c>
      <c r="G227" s="17"/>
      <c r="H227" s="14">
        <f t="shared" si="90"/>
        <v>1</v>
      </c>
      <c r="I227" s="16">
        <v>1</v>
      </c>
      <c r="J227" s="15">
        <v>1</v>
      </c>
      <c r="K227" s="14">
        <f t="shared" si="91"/>
        <v>2</v>
      </c>
      <c r="L227" s="14">
        <f t="shared" si="92"/>
        <v>8</v>
      </c>
      <c r="M227" s="19">
        <v>45503</v>
      </c>
    </row>
    <row r="228" spans="2:13" x14ac:dyDescent="0.15">
      <c r="B228" s="13" t="s">
        <v>21</v>
      </c>
      <c r="C228" s="18">
        <v>2</v>
      </c>
      <c r="D228" s="17">
        <v>1</v>
      </c>
      <c r="E228" s="14">
        <f t="shared" si="89"/>
        <v>3</v>
      </c>
      <c r="F228" s="18">
        <v>1</v>
      </c>
      <c r="G228" s="17">
        <v>2</v>
      </c>
      <c r="H228" s="14">
        <f t="shared" si="90"/>
        <v>3</v>
      </c>
      <c r="I228" s="16"/>
      <c r="J228" s="15">
        <v>1</v>
      </c>
      <c r="K228" s="14">
        <f t="shared" si="91"/>
        <v>1</v>
      </c>
      <c r="L228" s="14">
        <f t="shared" si="92"/>
        <v>7</v>
      </c>
      <c r="M228" s="19">
        <v>45504</v>
      </c>
    </row>
    <row r="229" spans="2:13" x14ac:dyDescent="0.15">
      <c r="B229" s="13" t="s">
        <v>21</v>
      </c>
      <c r="C229" s="18">
        <v>1</v>
      </c>
      <c r="D229" s="17">
        <v>1</v>
      </c>
      <c r="E229" s="14">
        <f t="shared" si="89"/>
        <v>2</v>
      </c>
      <c r="F229" s="18"/>
      <c r="G229" s="17"/>
      <c r="H229" s="14">
        <f t="shared" si="90"/>
        <v>0</v>
      </c>
      <c r="I229" s="16"/>
      <c r="J229" s="15"/>
      <c r="K229" s="14">
        <f t="shared" si="91"/>
        <v>0</v>
      </c>
      <c r="L229" s="14">
        <f t="shared" si="92"/>
        <v>2</v>
      </c>
      <c r="M229" s="19">
        <v>45505</v>
      </c>
    </row>
    <row r="230" spans="2:13" x14ac:dyDescent="0.15">
      <c r="B230" s="13" t="s">
        <v>21</v>
      </c>
      <c r="C230" s="18"/>
      <c r="D230" s="17"/>
      <c r="E230" s="14">
        <f t="shared" si="89"/>
        <v>0</v>
      </c>
      <c r="F230" s="18"/>
      <c r="G230" s="17">
        <v>1</v>
      </c>
      <c r="H230" s="14">
        <f t="shared" si="90"/>
        <v>1</v>
      </c>
      <c r="I230" s="16"/>
      <c r="J230" s="15"/>
      <c r="K230" s="14">
        <f t="shared" si="91"/>
        <v>0</v>
      </c>
      <c r="L230" s="14">
        <f t="shared" si="92"/>
        <v>1</v>
      </c>
      <c r="M230" s="19">
        <v>45506</v>
      </c>
    </row>
    <row r="231" spans="2:13" x14ac:dyDescent="0.15">
      <c r="B231" s="13" t="s">
        <v>21</v>
      </c>
      <c r="C231" s="18"/>
      <c r="D231" s="17">
        <v>1</v>
      </c>
      <c r="E231" s="14">
        <f t="shared" si="89"/>
        <v>1</v>
      </c>
      <c r="F231" s="18"/>
      <c r="G231" s="17"/>
      <c r="H231" s="14">
        <f t="shared" si="90"/>
        <v>0</v>
      </c>
      <c r="I231" s="16"/>
      <c r="J231" s="15"/>
      <c r="K231" s="14">
        <f t="shared" si="91"/>
        <v>0</v>
      </c>
      <c r="L231" s="14">
        <f t="shared" si="92"/>
        <v>1</v>
      </c>
      <c r="M231" s="19">
        <v>45507</v>
      </c>
    </row>
    <row r="232" spans="2:13" x14ac:dyDescent="0.15">
      <c r="B232" s="13" t="s">
        <v>21</v>
      </c>
      <c r="C232" s="18">
        <f>2+3</f>
        <v>5</v>
      </c>
      <c r="D232" s="17">
        <f>2+5+1</f>
        <v>8</v>
      </c>
      <c r="E232" s="14">
        <f t="shared" si="89"/>
        <v>13</v>
      </c>
      <c r="F232" s="18">
        <f>2+2</f>
        <v>4</v>
      </c>
      <c r="G232" s="17"/>
      <c r="H232" s="14">
        <f t="shared" si="90"/>
        <v>4</v>
      </c>
      <c r="I232" s="16"/>
      <c r="J232" s="15"/>
      <c r="K232" s="14">
        <f t="shared" si="91"/>
        <v>0</v>
      </c>
      <c r="L232" s="14">
        <f t="shared" si="92"/>
        <v>17</v>
      </c>
      <c r="M232" s="19">
        <v>45509</v>
      </c>
    </row>
    <row r="233" spans="2:13" x14ac:dyDescent="0.15">
      <c r="B233" s="13" t="s">
        <v>21</v>
      </c>
      <c r="C233" s="18">
        <v>1</v>
      </c>
      <c r="D233" s="17">
        <v>1</v>
      </c>
      <c r="E233" s="14">
        <f t="shared" si="89"/>
        <v>2</v>
      </c>
      <c r="F233" s="18">
        <v>2</v>
      </c>
      <c r="G233" s="17"/>
      <c r="H233" s="14">
        <f t="shared" si="90"/>
        <v>2</v>
      </c>
      <c r="I233" s="16"/>
      <c r="J233" s="15"/>
      <c r="K233" s="14">
        <f t="shared" si="91"/>
        <v>0</v>
      </c>
      <c r="L233" s="14">
        <f t="shared" si="92"/>
        <v>4</v>
      </c>
      <c r="M233" s="19">
        <v>45510</v>
      </c>
    </row>
    <row r="234" spans="2:13" x14ac:dyDescent="0.15">
      <c r="B234" s="13" t="s">
        <v>21</v>
      </c>
      <c r="C234" s="18"/>
      <c r="D234" s="17">
        <v>1</v>
      </c>
      <c r="E234" s="14">
        <f t="shared" si="89"/>
        <v>1</v>
      </c>
      <c r="F234" s="18">
        <v>2</v>
      </c>
      <c r="G234" s="17"/>
      <c r="H234" s="14">
        <f t="shared" si="90"/>
        <v>2</v>
      </c>
      <c r="I234" s="16"/>
      <c r="J234" s="15"/>
      <c r="K234" s="14">
        <f t="shared" si="91"/>
        <v>0</v>
      </c>
      <c r="L234" s="14">
        <f t="shared" si="92"/>
        <v>3</v>
      </c>
      <c r="M234" s="19">
        <v>45511</v>
      </c>
    </row>
    <row r="235" spans="2:13" x14ac:dyDescent="0.15">
      <c r="B235" s="13" t="s">
        <v>21</v>
      </c>
      <c r="C235" s="18">
        <v>2</v>
      </c>
      <c r="D235" s="17"/>
      <c r="E235" s="14">
        <f t="shared" si="89"/>
        <v>2</v>
      </c>
      <c r="F235" s="18">
        <v>1</v>
      </c>
      <c r="G235" s="17"/>
      <c r="H235" s="14">
        <f t="shared" si="90"/>
        <v>1</v>
      </c>
      <c r="I235" s="16"/>
      <c r="J235" s="15">
        <v>1</v>
      </c>
      <c r="K235" s="14">
        <f t="shared" si="91"/>
        <v>1</v>
      </c>
      <c r="L235" s="14">
        <f t="shared" si="92"/>
        <v>4</v>
      </c>
      <c r="M235" s="19">
        <v>45512</v>
      </c>
    </row>
    <row r="236" spans="2:13" x14ac:dyDescent="0.15">
      <c r="B236" s="13" t="s">
        <v>21</v>
      </c>
      <c r="C236" s="18">
        <v>1</v>
      </c>
      <c r="D236" s="17"/>
      <c r="E236" s="14">
        <f t="shared" ref="E236:E237" si="93">SUM(C236:D236)</f>
        <v>1</v>
      </c>
      <c r="F236" s="18"/>
      <c r="G236" s="17">
        <v>2</v>
      </c>
      <c r="H236" s="14">
        <f t="shared" ref="H236:H237" si="94">SUM(F236:G236)</f>
        <v>2</v>
      </c>
      <c r="I236" s="16"/>
      <c r="J236" s="15"/>
      <c r="K236" s="14">
        <f t="shared" ref="K236:K237" si="95">SUM(I236:J236)</f>
        <v>0</v>
      </c>
      <c r="L236" s="14">
        <f t="shared" ref="L236:L237" si="96">H236+K236+E236</f>
        <v>3</v>
      </c>
      <c r="M236" s="19">
        <v>45513</v>
      </c>
    </row>
    <row r="237" spans="2:13" ht="14.25" thickBot="1" x14ac:dyDescent="0.2">
      <c r="B237" s="13" t="s">
        <v>21</v>
      </c>
      <c r="C237" s="18"/>
      <c r="D237" s="17">
        <v>1</v>
      </c>
      <c r="E237" s="14">
        <f t="shared" si="93"/>
        <v>1</v>
      </c>
      <c r="F237" s="18"/>
      <c r="G237" s="17"/>
      <c r="H237" s="14">
        <f t="shared" si="94"/>
        <v>0</v>
      </c>
      <c r="I237" s="16"/>
      <c r="J237" s="15"/>
      <c r="K237" s="14">
        <f t="shared" si="95"/>
        <v>0</v>
      </c>
      <c r="L237" s="14">
        <f t="shared" si="96"/>
        <v>1</v>
      </c>
      <c r="M237" s="19">
        <v>45515</v>
      </c>
    </row>
    <row r="238" spans="2:13" ht="14.25" thickBot="1" x14ac:dyDescent="0.2">
      <c r="B238" s="9" t="s">
        <v>1</v>
      </c>
      <c r="C238" s="8">
        <f t="shared" ref="C238:L238" si="97">SUM(C213:C237)</f>
        <v>32</v>
      </c>
      <c r="D238" s="7">
        <f t="shared" si="97"/>
        <v>40</v>
      </c>
      <c r="E238" s="6">
        <f t="shared" si="97"/>
        <v>72</v>
      </c>
      <c r="F238" s="8">
        <f t="shared" si="97"/>
        <v>32</v>
      </c>
      <c r="G238" s="7">
        <f t="shared" si="97"/>
        <v>18</v>
      </c>
      <c r="H238" s="6">
        <f t="shared" si="97"/>
        <v>50</v>
      </c>
      <c r="I238" s="8">
        <f t="shared" si="97"/>
        <v>12</v>
      </c>
      <c r="J238" s="7">
        <f t="shared" si="97"/>
        <v>9</v>
      </c>
      <c r="K238" s="6">
        <f t="shared" si="97"/>
        <v>21</v>
      </c>
      <c r="L238" s="6">
        <f t="shared" si="97"/>
        <v>143</v>
      </c>
    </row>
    <row r="239" spans="2:13" ht="14.25" thickBot="1" x14ac:dyDescent="0.2">
      <c r="B239" s="5" t="s">
        <v>0</v>
      </c>
      <c r="C239" s="4">
        <f t="shared" ref="C239:L239" si="98">+C212-C238</f>
        <v>83</v>
      </c>
      <c r="D239" s="3">
        <f t="shared" si="98"/>
        <v>0</v>
      </c>
      <c r="E239" s="2">
        <f t="shared" si="98"/>
        <v>83</v>
      </c>
      <c r="F239" s="4">
        <f t="shared" si="98"/>
        <v>13</v>
      </c>
      <c r="G239" s="3">
        <f t="shared" si="98"/>
        <v>9</v>
      </c>
      <c r="H239" s="2">
        <f t="shared" si="98"/>
        <v>22</v>
      </c>
      <c r="I239" s="4">
        <f t="shared" si="98"/>
        <v>0</v>
      </c>
      <c r="J239" s="3">
        <f t="shared" si="98"/>
        <v>6</v>
      </c>
      <c r="K239" s="2">
        <f t="shared" si="98"/>
        <v>6</v>
      </c>
      <c r="L239" s="2">
        <f t="shared" si="98"/>
        <v>111</v>
      </c>
    </row>
    <row r="241" spans="2:13" ht="18.75" x14ac:dyDescent="0.2">
      <c r="B241" s="44" t="s">
        <v>14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</row>
    <row r="242" spans="2:13" ht="17.25" x14ac:dyDescent="0.2">
      <c r="B242" s="43" t="s">
        <v>13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</row>
    <row r="243" spans="2:13" ht="14.25" thickBot="1" x14ac:dyDescent="0.2"/>
    <row r="244" spans="2:13" ht="14.25" thickBot="1" x14ac:dyDescent="0.2">
      <c r="B244" s="41"/>
      <c r="C244" s="67" t="s">
        <v>12</v>
      </c>
      <c r="D244" s="68"/>
      <c r="E244" s="69"/>
      <c r="F244" s="67" t="s">
        <v>11</v>
      </c>
      <c r="G244" s="68"/>
      <c r="H244" s="69"/>
      <c r="I244" s="67" t="s">
        <v>10</v>
      </c>
      <c r="J244" s="68"/>
      <c r="K244" s="69"/>
      <c r="L244" s="40"/>
    </row>
    <row r="245" spans="2:13" ht="14.25" thickBot="1" x14ac:dyDescent="0.2">
      <c r="B245" s="39"/>
      <c r="C245" s="50" t="s">
        <v>7</v>
      </c>
      <c r="D245" s="38" t="s">
        <v>9</v>
      </c>
      <c r="E245" s="37" t="s">
        <v>4</v>
      </c>
      <c r="F245" s="52" t="s">
        <v>8</v>
      </c>
      <c r="G245" s="51" t="s">
        <v>7</v>
      </c>
      <c r="H245" s="37" t="s">
        <v>4</v>
      </c>
      <c r="I245" s="53" t="s">
        <v>6</v>
      </c>
      <c r="J245" s="54" t="s">
        <v>5</v>
      </c>
      <c r="K245" s="37" t="s">
        <v>4</v>
      </c>
      <c r="L245" s="37" t="s">
        <v>4</v>
      </c>
    </row>
    <row r="246" spans="2:13" x14ac:dyDescent="0.15">
      <c r="B246" s="36" t="s">
        <v>0</v>
      </c>
      <c r="C246" s="35">
        <f t="shared" ref="C246:L246" si="99">C239</f>
        <v>83</v>
      </c>
      <c r="D246" s="34">
        <f t="shared" si="99"/>
        <v>0</v>
      </c>
      <c r="E246" s="33">
        <f t="shared" si="99"/>
        <v>83</v>
      </c>
      <c r="F246" s="35">
        <f t="shared" si="99"/>
        <v>13</v>
      </c>
      <c r="G246" s="34">
        <f t="shared" si="99"/>
        <v>9</v>
      </c>
      <c r="H246" s="33">
        <f t="shared" si="99"/>
        <v>22</v>
      </c>
      <c r="I246" s="35">
        <f t="shared" si="99"/>
        <v>0</v>
      </c>
      <c r="J246" s="34">
        <f t="shared" si="99"/>
        <v>6</v>
      </c>
      <c r="K246" s="33">
        <f t="shared" si="99"/>
        <v>6</v>
      </c>
      <c r="L246" s="33">
        <f t="shared" si="99"/>
        <v>111</v>
      </c>
    </row>
    <row r="247" spans="2:13" x14ac:dyDescent="0.15">
      <c r="B247" s="32" t="s">
        <v>3</v>
      </c>
      <c r="C247" s="18"/>
      <c r="D247" s="17"/>
      <c r="E247" s="31">
        <f t="shared" ref="E247" si="100">SUM(C247:D247)</f>
        <v>0</v>
      </c>
      <c r="F247" s="18"/>
      <c r="G247" s="17"/>
      <c r="H247" s="31">
        <f t="shared" ref="H247" si="101">SUM(F247:G247)</f>
        <v>0</v>
      </c>
      <c r="I247" s="16"/>
      <c r="J247" s="15"/>
      <c r="K247" s="31">
        <f t="shared" ref="K247" si="102">SUM(I247:J247)</f>
        <v>0</v>
      </c>
      <c r="L247" s="31">
        <f t="shared" ref="L247" si="103">H247+K247+E247</f>
        <v>0</v>
      </c>
    </row>
    <row r="248" spans="2:13" x14ac:dyDescent="0.15">
      <c r="B248" s="32" t="s">
        <v>3</v>
      </c>
      <c r="C248" s="18"/>
      <c r="D248" s="17"/>
      <c r="E248" s="31">
        <f t="shared" ref="E248:E249" si="104">SUM(C248:D248)</f>
        <v>0</v>
      </c>
      <c r="F248" s="18"/>
      <c r="G248" s="17"/>
      <c r="H248" s="31">
        <f t="shared" ref="H248:H249" si="105">SUM(F248:G248)</f>
        <v>0</v>
      </c>
      <c r="I248" s="16"/>
      <c r="J248" s="15"/>
      <c r="K248" s="31">
        <f t="shared" ref="K248:K249" si="106">SUM(I248:J248)</f>
        <v>0</v>
      </c>
      <c r="L248" s="31">
        <f t="shared" ref="L248:L249" si="107">H248+K248+E248</f>
        <v>0</v>
      </c>
    </row>
    <row r="249" spans="2:13" x14ac:dyDescent="0.15">
      <c r="B249" s="32" t="s">
        <v>3</v>
      </c>
      <c r="C249" s="18"/>
      <c r="D249" s="17"/>
      <c r="E249" s="31">
        <f t="shared" si="104"/>
        <v>0</v>
      </c>
      <c r="F249" s="18"/>
      <c r="G249" s="17"/>
      <c r="H249" s="31">
        <f t="shared" si="105"/>
        <v>0</v>
      </c>
      <c r="I249" s="16"/>
      <c r="J249" s="15"/>
      <c r="K249" s="31">
        <f t="shared" si="106"/>
        <v>0</v>
      </c>
      <c r="L249" s="31">
        <f t="shared" si="107"/>
        <v>0</v>
      </c>
    </row>
    <row r="250" spans="2:13" x14ac:dyDescent="0.15">
      <c r="B250" s="32" t="s">
        <v>3</v>
      </c>
      <c r="C250" s="18"/>
      <c r="D250" s="17"/>
      <c r="E250" s="31">
        <f>SUM(C250:D250)</f>
        <v>0</v>
      </c>
      <c r="F250" s="18"/>
      <c r="G250" s="17"/>
      <c r="H250" s="31">
        <f>SUM(F250:G250)</f>
        <v>0</v>
      </c>
      <c r="I250" s="16"/>
      <c r="J250" s="15"/>
      <c r="K250" s="31">
        <f>SUM(I250:J250)</f>
        <v>0</v>
      </c>
      <c r="L250" s="31">
        <f>H250+K250+E250</f>
        <v>0</v>
      </c>
    </row>
    <row r="251" spans="2:13" ht="14.25" thickBot="1" x14ac:dyDescent="0.2">
      <c r="B251" s="30" t="s">
        <v>3</v>
      </c>
      <c r="C251" s="29"/>
      <c r="D251" s="12"/>
      <c r="E251" s="28">
        <f>SUM(C251:D251)</f>
        <v>0</v>
      </c>
      <c r="F251" s="29"/>
      <c r="G251" s="12"/>
      <c r="H251" s="28">
        <f>SUM(F251:G251)</f>
        <v>0</v>
      </c>
      <c r="I251" s="11"/>
      <c r="J251" s="10"/>
      <c r="K251" s="28">
        <f>SUM(I251:J251)</f>
        <v>0</v>
      </c>
      <c r="L251" s="28">
        <f>H251+K251+E251</f>
        <v>0</v>
      </c>
    </row>
    <row r="252" spans="2:13" ht="14.25" thickBot="1" x14ac:dyDescent="0.2">
      <c r="B252" s="9" t="s">
        <v>2</v>
      </c>
      <c r="C252" s="8">
        <f t="shared" ref="C252:L252" si="108">SUM(C246:C251)</f>
        <v>83</v>
      </c>
      <c r="D252" s="7">
        <f t="shared" si="108"/>
        <v>0</v>
      </c>
      <c r="E252" s="27">
        <f t="shared" si="108"/>
        <v>83</v>
      </c>
      <c r="F252" s="8">
        <f t="shared" si="108"/>
        <v>13</v>
      </c>
      <c r="G252" s="7">
        <f t="shared" si="108"/>
        <v>9</v>
      </c>
      <c r="H252" s="27">
        <f t="shared" si="108"/>
        <v>22</v>
      </c>
      <c r="I252" s="8">
        <f t="shared" si="108"/>
        <v>0</v>
      </c>
      <c r="J252" s="7">
        <f t="shared" si="108"/>
        <v>6</v>
      </c>
      <c r="K252" s="27">
        <f t="shared" si="108"/>
        <v>6</v>
      </c>
      <c r="L252" s="27">
        <f t="shared" si="108"/>
        <v>111</v>
      </c>
    </row>
    <row r="253" spans="2:13" x14ac:dyDescent="0.15">
      <c r="B253" s="13" t="s">
        <v>21</v>
      </c>
      <c r="C253" s="18">
        <f>4+1</f>
        <v>5</v>
      </c>
      <c r="D253" s="17"/>
      <c r="E253" s="14">
        <f t="shared" ref="E253:E275" si="109">SUM(C253:D253)</f>
        <v>5</v>
      </c>
      <c r="F253" s="18">
        <v>2</v>
      </c>
      <c r="G253" s="17">
        <v>1</v>
      </c>
      <c r="H253" s="14">
        <f t="shared" ref="H253:H275" si="110">SUM(F253:G253)</f>
        <v>3</v>
      </c>
      <c r="I253" s="16"/>
      <c r="J253" s="15">
        <v>1</v>
      </c>
      <c r="K253" s="14">
        <f t="shared" ref="K253:K275" si="111">SUM(I253:J253)</f>
        <v>1</v>
      </c>
      <c r="L253" s="14">
        <f t="shared" ref="L253:L275" si="112">H253+K253+E253</f>
        <v>9</v>
      </c>
      <c r="M253" s="19">
        <v>45520</v>
      </c>
    </row>
    <row r="254" spans="2:13" x14ac:dyDescent="0.15">
      <c r="B254" s="13" t="s">
        <v>21</v>
      </c>
      <c r="C254" s="18">
        <v>1</v>
      </c>
      <c r="D254" s="17"/>
      <c r="E254" s="14">
        <f t="shared" si="109"/>
        <v>1</v>
      </c>
      <c r="F254" s="18">
        <v>1</v>
      </c>
      <c r="G254" s="17"/>
      <c r="H254" s="14">
        <f t="shared" si="110"/>
        <v>1</v>
      </c>
      <c r="I254" s="16"/>
      <c r="J254" s="15"/>
      <c r="K254" s="14">
        <f t="shared" si="111"/>
        <v>0</v>
      </c>
      <c r="L254" s="14">
        <f t="shared" si="112"/>
        <v>2</v>
      </c>
      <c r="M254" s="19">
        <v>45523</v>
      </c>
    </row>
    <row r="255" spans="2:13" x14ac:dyDescent="0.15">
      <c r="B255" s="13" t="s">
        <v>21</v>
      </c>
      <c r="C255" s="18"/>
      <c r="D255" s="17"/>
      <c r="E255" s="14">
        <f t="shared" si="109"/>
        <v>0</v>
      </c>
      <c r="F255" s="18">
        <v>2</v>
      </c>
      <c r="G255" s="17"/>
      <c r="H255" s="14">
        <f t="shared" si="110"/>
        <v>2</v>
      </c>
      <c r="I255" s="16"/>
      <c r="J255" s="15">
        <v>1</v>
      </c>
      <c r="K255" s="14">
        <f t="shared" si="111"/>
        <v>1</v>
      </c>
      <c r="L255" s="14">
        <f t="shared" si="112"/>
        <v>3</v>
      </c>
      <c r="M255" s="19">
        <v>45525</v>
      </c>
    </row>
    <row r="256" spans="2:13" x14ac:dyDescent="0.15">
      <c r="B256" s="13" t="s">
        <v>21</v>
      </c>
      <c r="C256" s="18">
        <v>1</v>
      </c>
      <c r="D256" s="17"/>
      <c r="E256" s="14">
        <f t="shared" si="109"/>
        <v>1</v>
      </c>
      <c r="F256" s="18">
        <f>1+1</f>
        <v>2</v>
      </c>
      <c r="G256" s="17">
        <v>1</v>
      </c>
      <c r="H256" s="14">
        <f t="shared" si="110"/>
        <v>3</v>
      </c>
      <c r="I256" s="16"/>
      <c r="J256" s="15">
        <v>1</v>
      </c>
      <c r="K256" s="14">
        <f t="shared" si="111"/>
        <v>1</v>
      </c>
      <c r="L256" s="14">
        <f t="shared" si="112"/>
        <v>5</v>
      </c>
      <c r="M256" s="19">
        <v>45530</v>
      </c>
    </row>
    <row r="257" spans="2:13" x14ac:dyDescent="0.15">
      <c r="B257" s="13" t="s">
        <v>21</v>
      </c>
      <c r="C257" s="18">
        <v>1</v>
      </c>
      <c r="D257" s="17"/>
      <c r="E257" s="14">
        <f t="shared" si="109"/>
        <v>1</v>
      </c>
      <c r="F257" s="18"/>
      <c r="G257" s="17"/>
      <c r="H257" s="14">
        <f t="shared" si="110"/>
        <v>0</v>
      </c>
      <c r="I257" s="16"/>
      <c r="J257" s="15"/>
      <c r="K257" s="14">
        <f t="shared" si="111"/>
        <v>0</v>
      </c>
      <c r="L257" s="14">
        <f t="shared" si="112"/>
        <v>1</v>
      </c>
      <c r="M257" s="19">
        <v>45532</v>
      </c>
    </row>
    <row r="258" spans="2:13" x14ac:dyDescent="0.15">
      <c r="B258" s="13"/>
      <c r="C258" s="18"/>
      <c r="D258" s="17"/>
      <c r="E258" s="14">
        <f t="shared" si="109"/>
        <v>0</v>
      </c>
      <c r="F258" s="18"/>
      <c r="G258" s="17"/>
      <c r="H258" s="14">
        <f t="shared" si="110"/>
        <v>0</v>
      </c>
      <c r="I258" s="16"/>
      <c r="J258" s="15"/>
      <c r="K258" s="14">
        <f t="shared" si="111"/>
        <v>0</v>
      </c>
      <c r="L258" s="14">
        <f t="shared" si="112"/>
        <v>0</v>
      </c>
      <c r="M258" s="19"/>
    </row>
    <row r="259" spans="2:13" x14ac:dyDescent="0.15">
      <c r="B259" s="13"/>
      <c r="C259" s="18"/>
      <c r="D259" s="17"/>
      <c r="E259" s="14">
        <f t="shared" si="109"/>
        <v>0</v>
      </c>
      <c r="F259" s="18"/>
      <c r="G259" s="17"/>
      <c r="H259" s="14">
        <f t="shared" si="110"/>
        <v>0</v>
      </c>
      <c r="I259" s="16"/>
      <c r="J259" s="15"/>
      <c r="K259" s="14">
        <f t="shared" si="111"/>
        <v>0</v>
      </c>
      <c r="L259" s="14">
        <f t="shared" si="112"/>
        <v>0</v>
      </c>
      <c r="M259" s="19"/>
    </row>
    <row r="260" spans="2:13" x14ac:dyDescent="0.15">
      <c r="B260" s="13"/>
      <c r="C260" s="18"/>
      <c r="D260" s="17"/>
      <c r="E260" s="14">
        <f t="shared" si="109"/>
        <v>0</v>
      </c>
      <c r="F260" s="18"/>
      <c r="G260" s="17"/>
      <c r="H260" s="14">
        <f t="shared" si="110"/>
        <v>0</v>
      </c>
      <c r="I260" s="16"/>
      <c r="J260" s="15"/>
      <c r="K260" s="14">
        <f t="shared" si="111"/>
        <v>0</v>
      </c>
      <c r="L260" s="14">
        <f t="shared" si="112"/>
        <v>0</v>
      </c>
      <c r="M260" s="19"/>
    </row>
    <row r="261" spans="2:13" x14ac:dyDescent="0.15">
      <c r="B261" s="13"/>
      <c r="C261" s="18"/>
      <c r="D261" s="17"/>
      <c r="E261" s="14">
        <f t="shared" si="109"/>
        <v>0</v>
      </c>
      <c r="F261" s="18"/>
      <c r="G261" s="17"/>
      <c r="H261" s="14">
        <f t="shared" si="110"/>
        <v>0</v>
      </c>
      <c r="I261" s="16"/>
      <c r="J261" s="15"/>
      <c r="K261" s="14">
        <f t="shared" si="111"/>
        <v>0</v>
      </c>
      <c r="L261" s="14">
        <f t="shared" si="112"/>
        <v>0</v>
      </c>
      <c r="M261" s="19"/>
    </row>
    <row r="262" spans="2:13" x14ac:dyDescent="0.15">
      <c r="B262" s="13"/>
      <c r="C262" s="18"/>
      <c r="D262" s="17"/>
      <c r="E262" s="14">
        <f t="shared" si="109"/>
        <v>0</v>
      </c>
      <c r="F262" s="18"/>
      <c r="G262" s="17"/>
      <c r="H262" s="14">
        <f t="shared" si="110"/>
        <v>0</v>
      </c>
      <c r="I262" s="16"/>
      <c r="J262" s="15"/>
      <c r="K262" s="14">
        <f t="shared" si="111"/>
        <v>0</v>
      </c>
      <c r="L262" s="14">
        <f t="shared" si="112"/>
        <v>0</v>
      </c>
      <c r="M262" s="19"/>
    </row>
    <row r="263" spans="2:13" x14ac:dyDescent="0.15">
      <c r="B263" s="13"/>
      <c r="C263" s="18"/>
      <c r="D263" s="17"/>
      <c r="E263" s="14">
        <f t="shared" si="109"/>
        <v>0</v>
      </c>
      <c r="F263" s="18"/>
      <c r="G263" s="17"/>
      <c r="H263" s="14">
        <f t="shared" si="110"/>
        <v>0</v>
      </c>
      <c r="I263" s="16"/>
      <c r="J263" s="15"/>
      <c r="K263" s="14">
        <f t="shared" si="111"/>
        <v>0</v>
      </c>
      <c r="L263" s="14">
        <f t="shared" si="112"/>
        <v>0</v>
      </c>
      <c r="M263" s="19"/>
    </row>
    <row r="264" spans="2:13" x14ac:dyDescent="0.15">
      <c r="B264" s="13"/>
      <c r="C264" s="18"/>
      <c r="D264" s="17"/>
      <c r="E264" s="14">
        <f t="shared" si="109"/>
        <v>0</v>
      </c>
      <c r="F264" s="18"/>
      <c r="G264" s="17"/>
      <c r="H264" s="14">
        <f t="shared" si="110"/>
        <v>0</v>
      </c>
      <c r="I264" s="16"/>
      <c r="J264" s="15"/>
      <c r="K264" s="14">
        <f t="shared" si="111"/>
        <v>0</v>
      </c>
      <c r="L264" s="14">
        <f t="shared" si="112"/>
        <v>0</v>
      </c>
      <c r="M264" s="19"/>
    </row>
    <row r="265" spans="2:13" x14ac:dyDescent="0.15">
      <c r="B265" s="13"/>
      <c r="C265" s="18"/>
      <c r="D265" s="17"/>
      <c r="E265" s="14">
        <f t="shared" si="109"/>
        <v>0</v>
      </c>
      <c r="F265" s="18"/>
      <c r="G265" s="17"/>
      <c r="H265" s="14">
        <f t="shared" si="110"/>
        <v>0</v>
      </c>
      <c r="I265" s="16"/>
      <c r="J265" s="15"/>
      <c r="K265" s="14">
        <f t="shared" si="111"/>
        <v>0</v>
      </c>
      <c r="L265" s="14">
        <f t="shared" si="112"/>
        <v>0</v>
      </c>
      <c r="M265" s="19"/>
    </row>
    <row r="266" spans="2:13" x14ac:dyDescent="0.15">
      <c r="B266" s="13"/>
      <c r="C266" s="18"/>
      <c r="D266" s="17"/>
      <c r="E266" s="14">
        <f t="shared" si="109"/>
        <v>0</v>
      </c>
      <c r="F266" s="18"/>
      <c r="G266" s="17"/>
      <c r="H266" s="14">
        <f t="shared" si="110"/>
        <v>0</v>
      </c>
      <c r="I266" s="16"/>
      <c r="J266" s="15"/>
      <c r="K266" s="14">
        <f t="shared" si="111"/>
        <v>0</v>
      </c>
      <c r="L266" s="14">
        <f t="shared" si="112"/>
        <v>0</v>
      </c>
      <c r="M266" s="19"/>
    </row>
    <row r="267" spans="2:13" x14ac:dyDescent="0.15">
      <c r="B267" s="13"/>
      <c r="C267" s="18"/>
      <c r="D267" s="17"/>
      <c r="E267" s="14">
        <f t="shared" si="109"/>
        <v>0</v>
      </c>
      <c r="F267" s="18"/>
      <c r="G267" s="17"/>
      <c r="H267" s="14">
        <f t="shared" si="110"/>
        <v>0</v>
      </c>
      <c r="I267" s="16"/>
      <c r="J267" s="15"/>
      <c r="K267" s="14">
        <f t="shared" si="111"/>
        <v>0</v>
      </c>
      <c r="L267" s="14">
        <f t="shared" si="112"/>
        <v>0</v>
      </c>
      <c r="M267" s="19"/>
    </row>
    <row r="268" spans="2:13" x14ac:dyDescent="0.15">
      <c r="B268" s="13"/>
      <c r="C268" s="18"/>
      <c r="D268" s="17"/>
      <c r="E268" s="14">
        <f t="shared" si="109"/>
        <v>0</v>
      </c>
      <c r="F268" s="18"/>
      <c r="G268" s="17"/>
      <c r="H268" s="14">
        <f t="shared" si="110"/>
        <v>0</v>
      </c>
      <c r="I268" s="16"/>
      <c r="J268" s="15"/>
      <c r="K268" s="14">
        <f t="shared" si="111"/>
        <v>0</v>
      </c>
      <c r="L268" s="14">
        <f t="shared" si="112"/>
        <v>0</v>
      </c>
      <c r="M268" s="19"/>
    </row>
    <row r="269" spans="2:13" x14ac:dyDescent="0.15">
      <c r="B269" s="13"/>
      <c r="C269" s="18"/>
      <c r="D269" s="17"/>
      <c r="E269" s="14">
        <f t="shared" si="109"/>
        <v>0</v>
      </c>
      <c r="F269" s="18"/>
      <c r="G269" s="17"/>
      <c r="H269" s="14">
        <f t="shared" si="110"/>
        <v>0</v>
      </c>
      <c r="I269" s="16"/>
      <c r="J269" s="15"/>
      <c r="K269" s="14">
        <f t="shared" si="111"/>
        <v>0</v>
      </c>
      <c r="L269" s="14">
        <f t="shared" si="112"/>
        <v>0</v>
      </c>
      <c r="M269" s="19"/>
    </row>
    <row r="270" spans="2:13" x14ac:dyDescent="0.15">
      <c r="B270" s="13"/>
      <c r="C270" s="18"/>
      <c r="D270" s="17"/>
      <c r="E270" s="14">
        <f t="shared" si="109"/>
        <v>0</v>
      </c>
      <c r="F270" s="18"/>
      <c r="G270" s="17"/>
      <c r="H270" s="14">
        <f t="shared" si="110"/>
        <v>0</v>
      </c>
      <c r="I270" s="16"/>
      <c r="J270" s="15"/>
      <c r="K270" s="14">
        <f t="shared" si="111"/>
        <v>0</v>
      </c>
      <c r="L270" s="14">
        <f t="shared" si="112"/>
        <v>0</v>
      </c>
      <c r="M270" s="19"/>
    </row>
    <row r="271" spans="2:13" x14ac:dyDescent="0.15">
      <c r="B271" s="13"/>
      <c r="C271" s="18"/>
      <c r="D271" s="17"/>
      <c r="E271" s="14">
        <f t="shared" si="109"/>
        <v>0</v>
      </c>
      <c r="F271" s="18"/>
      <c r="G271" s="17"/>
      <c r="H271" s="14">
        <f t="shared" si="110"/>
        <v>0</v>
      </c>
      <c r="I271" s="16"/>
      <c r="J271" s="15"/>
      <c r="K271" s="14">
        <f t="shared" si="111"/>
        <v>0</v>
      </c>
      <c r="L271" s="14">
        <f t="shared" si="112"/>
        <v>0</v>
      </c>
      <c r="M271" s="19"/>
    </row>
    <row r="272" spans="2:13" x14ac:dyDescent="0.15">
      <c r="B272" s="13"/>
      <c r="C272" s="18"/>
      <c r="D272" s="17"/>
      <c r="E272" s="14">
        <f t="shared" si="109"/>
        <v>0</v>
      </c>
      <c r="F272" s="18"/>
      <c r="G272" s="17"/>
      <c r="H272" s="14">
        <f t="shared" si="110"/>
        <v>0</v>
      </c>
      <c r="I272" s="16"/>
      <c r="J272" s="15"/>
      <c r="K272" s="14">
        <f t="shared" si="111"/>
        <v>0</v>
      </c>
      <c r="L272" s="14">
        <f t="shared" si="112"/>
        <v>0</v>
      </c>
      <c r="M272" s="19"/>
    </row>
    <row r="273" spans="2:13" x14ac:dyDescent="0.15">
      <c r="B273" s="13"/>
      <c r="C273" s="18"/>
      <c r="D273" s="17"/>
      <c r="E273" s="14">
        <f t="shared" si="109"/>
        <v>0</v>
      </c>
      <c r="F273" s="18"/>
      <c r="G273" s="17"/>
      <c r="H273" s="14">
        <f t="shared" si="110"/>
        <v>0</v>
      </c>
      <c r="I273" s="16"/>
      <c r="J273" s="15"/>
      <c r="K273" s="14">
        <f t="shared" si="111"/>
        <v>0</v>
      </c>
      <c r="L273" s="14">
        <f t="shared" si="112"/>
        <v>0</v>
      </c>
      <c r="M273" s="19"/>
    </row>
    <row r="274" spans="2:13" x14ac:dyDescent="0.15">
      <c r="B274" s="13"/>
      <c r="C274" s="18"/>
      <c r="D274" s="17"/>
      <c r="E274" s="14">
        <f t="shared" si="109"/>
        <v>0</v>
      </c>
      <c r="F274" s="18"/>
      <c r="G274" s="17"/>
      <c r="H274" s="14">
        <f t="shared" si="110"/>
        <v>0</v>
      </c>
      <c r="I274" s="16"/>
      <c r="J274" s="15"/>
      <c r="K274" s="14">
        <f t="shared" si="111"/>
        <v>0</v>
      </c>
      <c r="L274" s="14">
        <f t="shared" si="112"/>
        <v>0</v>
      </c>
      <c r="M274" s="19"/>
    </row>
    <row r="275" spans="2:13" x14ac:dyDescent="0.15">
      <c r="B275" s="13"/>
      <c r="C275" s="18"/>
      <c r="D275" s="17"/>
      <c r="E275" s="14">
        <f t="shared" si="109"/>
        <v>0</v>
      </c>
      <c r="F275" s="18"/>
      <c r="G275" s="17"/>
      <c r="H275" s="14">
        <f t="shared" si="110"/>
        <v>0</v>
      </c>
      <c r="I275" s="16"/>
      <c r="J275" s="15"/>
      <c r="K275" s="14">
        <f t="shared" si="111"/>
        <v>0</v>
      </c>
      <c r="L275" s="14">
        <f t="shared" si="112"/>
        <v>0</v>
      </c>
      <c r="M275" s="19"/>
    </row>
    <row r="276" spans="2:13" x14ac:dyDescent="0.15">
      <c r="B276" s="13"/>
      <c r="C276" s="18"/>
      <c r="D276" s="17"/>
      <c r="E276" s="14">
        <f t="shared" ref="E276:E277" si="113">SUM(C276:D276)</f>
        <v>0</v>
      </c>
      <c r="F276" s="18"/>
      <c r="G276" s="17"/>
      <c r="H276" s="14">
        <f t="shared" ref="H276:H277" si="114">SUM(F276:G276)</f>
        <v>0</v>
      </c>
      <c r="I276" s="16"/>
      <c r="J276" s="15"/>
      <c r="K276" s="14">
        <f t="shared" ref="K276:K277" si="115">SUM(I276:J276)</f>
        <v>0</v>
      </c>
      <c r="L276" s="14">
        <f t="shared" ref="L276:L277" si="116">H276+K276+E276</f>
        <v>0</v>
      </c>
      <c r="M276" s="19"/>
    </row>
    <row r="277" spans="2:13" ht="14.25" thickBot="1" x14ac:dyDescent="0.2">
      <c r="B277" s="13"/>
      <c r="C277" s="18"/>
      <c r="D277" s="17"/>
      <c r="E277" s="14">
        <f t="shared" si="113"/>
        <v>0</v>
      </c>
      <c r="F277" s="18"/>
      <c r="G277" s="17"/>
      <c r="H277" s="14">
        <f t="shared" si="114"/>
        <v>0</v>
      </c>
      <c r="I277" s="16"/>
      <c r="J277" s="15"/>
      <c r="K277" s="14">
        <f t="shared" si="115"/>
        <v>0</v>
      </c>
      <c r="L277" s="14">
        <f t="shared" si="116"/>
        <v>0</v>
      </c>
    </row>
    <row r="278" spans="2:13" ht="14.25" thickBot="1" x14ac:dyDescent="0.2">
      <c r="B278" s="9" t="s">
        <v>1</v>
      </c>
      <c r="C278" s="8">
        <f t="shared" ref="C278:L278" si="117">SUM(C253:C277)</f>
        <v>8</v>
      </c>
      <c r="D278" s="7">
        <f t="shared" si="117"/>
        <v>0</v>
      </c>
      <c r="E278" s="6">
        <f t="shared" si="117"/>
        <v>8</v>
      </c>
      <c r="F278" s="8">
        <f t="shared" si="117"/>
        <v>7</v>
      </c>
      <c r="G278" s="7">
        <f t="shared" si="117"/>
        <v>2</v>
      </c>
      <c r="H278" s="6">
        <f t="shared" si="117"/>
        <v>9</v>
      </c>
      <c r="I278" s="8">
        <f t="shared" si="117"/>
        <v>0</v>
      </c>
      <c r="J278" s="7">
        <f t="shared" si="117"/>
        <v>3</v>
      </c>
      <c r="K278" s="6">
        <f t="shared" si="117"/>
        <v>3</v>
      </c>
      <c r="L278" s="6">
        <f t="shared" si="117"/>
        <v>20</v>
      </c>
    </row>
    <row r="279" spans="2:13" ht="14.25" thickBot="1" x14ac:dyDescent="0.2">
      <c r="B279" s="5" t="s">
        <v>0</v>
      </c>
      <c r="C279" s="4">
        <f t="shared" ref="C279:L279" si="118">+C252-C278</f>
        <v>75</v>
      </c>
      <c r="D279" s="3">
        <f t="shared" si="118"/>
        <v>0</v>
      </c>
      <c r="E279" s="2">
        <f t="shared" si="118"/>
        <v>75</v>
      </c>
      <c r="F279" s="4">
        <f t="shared" si="118"/>
        <v>6</v>
      </c>
      <c r="G279" s="3">
        <f t="shared" si="118"/>
        <v>7</v>
      </c>
      <c r="H279" s="2">
        <f t="shared" si="118"/>
        <v>13</v>
      </c>
      <c r="I279" s="4">
        <f t="shared" si="118"/>
        <v>0</v>
      </c>
      <c r="J279" s="3">
        <f t="shared" si="118"/>
        <v>3</v>
      </c>
      <c r="K279" s="2">
        <f t="shared" si="118"/>
        <v>3</v>
      </c>
      <c r="L279" s="2">
        <f t="shared" si="118"/>
        <v>91</v>
      </c>
    </row>
    <row r="281" spans="2:13" ht="18.75" x14ac:dyDescent="0.2">
      <c r="B281" s="44" t="s">
        <v>14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</row>
    <row r="282" spans="2:13" ht="17.25" x14ac:dyDescent="0.2">
      <c r="B282" s="43" t="s">
        <v>13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</row>
    <row r="283" spans="2:13" ht="14.25" thickBot="1" x14ac:dyDescent="0.2"/>
    <row r="284" spans="2:13" ht="14.25" thickBot="1" x14ac:dyDescent="0.2">
      <c r="B284" s="41"/>
      <c r="C284" s="67" t="s">
        <v>12</v>
      </c>
      <c r="D284" s="68"/>
      <c r="E284" s="69"/>
      <c r="F284" s="67" t="s">
        <v>11</v>
      </c>
      <c r="G284" s="68"/>
      <c r="H284" s="69"/>
      <c r="I284" s="67" t="s">
        <v>10</v>
      </c>
      <c r="J284" s="68"/>
      <c r="K284" s="69"/>
      <c r="L284" s="40"/>
    </row>
    <row r="285" spans="2:13" ht="14.25" thickBot="1" x14ac:dyDescent="0.2">
      <c r="B285" s="39"/>
      <c r="C285" s="50" t="s">
        <v>7</v>
      </c>
      <c r="D285" s="38" t="s">
        <v>9</v>
      </c>
      <c r="E285" s="37" t="s">
        <v>4</v>
      </c>
      <c r="F285" s="52" t="s">
        <v>8</v>
      </c>
      <c r="G285" s="51" t="s">
        <v>7</v>
      </c>
      <c r="H285" s="37" t="s">
        <v>4</v>
      </c>
      <c r="I285" s="53" t="s">
        <v>6</v>
      </c>
      <c r="J285" s="54" t="s">
        <v>5</v>
      </c>
      <c r="K285" s="37" t="s">
        <v>4</v>
      </c>
      <c r="L285" s="37" t="s">
        <v>4</v>
      </c>
    </row>
    <row r="286" spans="2:13" x14ac:dyDescent="0.15">
      <c r="B286" s="36" t="s">
        <v>0</v>
      </c>
      <c r="C286" s="35">
        <f t="shared" ref="C286:L286" si="119">C279</f>
        <v>75</v>
      </c>
      <c r="D286" s="34">
        <f t="shared" si="119"/>
        <v>0</v>
      </c>
      <c r="E286" s="33">
        <f t="shared" si="119"/>
        <v>75</v>
      </c>
      <c r="F286" s="35">
        <f t="shared" si="119"/>
        <v>6</v>
      </c>
      <c r="G286" s="34">
        <f t="shared" si="119"/>
        <v>7</v>
      </c>
      <c r="H286" s="33">
        <f t="shared" si="119"/>
        <v>13</v>
      </c>
      <c r="I286" s="35">
        <f t="shared" si="119"/>
        <v>0</v>
      </c>
      <c r="J286" s="34">
        <f t="shared" si="119"/>
        <v>3</v>
      </c>
      <c r="K286" s="33">
        <f t="shared" si="119"/>
        <v>3</v>
      </c>
      <c r="L286" s="33">
        <f t="shared" si="119"/>
        <v>91</v>
      </c>
    </row>
    <row r="287" spans="2:13" x14ac:dyDescent="0.15">
      <c r="B287" s="32" t="s">
        <v>3</v>
      </c>
      <c r="C287" s="18"/>
      <c r="D287" s="17"/>
      <c r="E287" s="31">
        <f t="shared" ref="E287:E289" si="120">SUM(C287:D287)</f>
        <v>0</v>
      </c>
      <c r="F287" s="18"/>
      <c r="G287" s="17"/>
      <c r="H287" s="31">
        <f t="shared" ref="H287:H289" si="121">SUM(F287:G287)</f>
        <v>0</v>
      </c>
      <c r="I287" s="16"/>
      <c r="J287" s="15"/>
      <c r="K287" s="31">
        <f t="shared" ref="K287:K289" si="122">SUM(I287:J287)</f>
        <v>0</v>
      </c>
      <c r="L287" s="31">
        <f t="shared" ref="L287:L289" si="123">H287+K287+E287</f>
        <v>0</v>
      </c>
    </row>
    <row r="288" spans="2:13" x14ac:dyDescent="0.15">
      <c r="B288" s="32" t="s">
        <v>3</v>
      </c>
      <c r="C288" s="18"/>
      <c r="D288" s="17"/>
      <c r="E288" s="31">
        <f t="shared" si="120"/>
        <v>0</v>
      </c>
      <c r="F288" s="18"/>
      <c r="G288" s="17"/>
      <c r="H288" s="31">
        <f t="shared" si="121"/>
        <v>0</v>
      </c>
      <c r="I288" s="16"/>
      <c r="J288" s="15"/>
      <c r="K288" s="31">
        <f t="shared" si="122"/>
        <v>0</v>
      </c>
      <c r="L288" s="31">
        <f t="shared" si="123"/>
        <v>0</v>
      </c>
    </row>
    <row r="289" spans="2:13" x14ac:dyDescent="0.15">
      <c r="B289" s="32" t="s">
        <v>3</v>
      </c>
      <c r="C289" s="18"/>
      <c r="D289" s="17"/>
      <c r="E289" s="31">
        <f t="shared" si="120"/>
        <v>0</v>
      </c>
      <c r="F289" s="18"/>
      <c r="G289" s="17"/>
      <c r="H289" s="31">
        <f t="shared" si="121"/>
        <v>0</v>
      </c>
      <c r="I289" s="16"/>
      <c r="J289" s="15"/>
      <c r="K289" s="31">
        <f t="shared" si="122"/>
        <v>0</v>
      </c>
      <c r="L289" s="31">
        <f t="shared" si="123"/>
        <v>0</v>
      </c>
    </row>
    <row r="290" spans="2:13" x14ac:dyDescent="0.15">
      <c r="B290" s="32" t="s">
        <v>3</v>
      </c>
      <c r="C290" s="18"/>
      <c r="D290" s="17"/>
      <c r="E290" s="31">
        <f>SUM(C290:D290)</f>
        <v>0</v>
      </c>
      <c r="F290" s="18"/>
      <c r="G290" s="17"/>
      <c r="H290" s="31">
        <f>SUM(F290:G290)</f>
        <v>0</v>
      </c>
      <c r="I290" s="16"/>
      <c r="J290" s="15"/>
      <c r="K290" s="31">
        <f>SUM(I290:J290)</f>
        <v>0</v>
      </c>
      <c r="L290" s="31">
        <f>H290+K290+E290</f>
        <v>0</v>
      </c>
    </row>
    <row r="291" spans="2:13" ht="14.25" thickBot="1" x14ac:dyDescent="0.2">
      <c r="B291" s="30" t="s">
        <v>3</v>
      </c>
      <c r="C291" s="29"/>
      <c r="D291" s="12"/>
      <c r="E291" s="28">
        <f>SUM(C291:D291)</f>
        <v>0</v>
      </c>
      <c r="F291" s="29"/>
      <c r="G291" s="12"/>
      <c r="H291" s="28">
        <f>SUM(F291:G291)</f>
        <v>0</v>
      </c>
      <c r="I291" s="11"/>
      <c r="J291" s="10"/>
      <c r="K291" s="28">
        <f>SUM(I291:J291)</f>
        <v>0</v>
      </c>
      <c r="L291" s="28">
        <f>H291+K291+E291</f>
        <v>0</v>
      </c>
    </row>
    <row r="292" spans="2:13" ht="14.25" thickBot="1" x14ac:dyDescent="0.2">
      <c r="B292" s="9" t="s">
        <v>2</v>
      </c>
      <c r="C292" s="8">
        <f t="shared" ref="C292:L292" si="124">SUM(C286:C291)</f>
        <v>75</v>
      </c>
      <c r="D292" s="7">
        <f t="shared" si="124"/>
        <v>0</v>
      </c>
      <c r="E292" s="27">
        <f t="shared" si="124"/>
        <v>75</v>
      </c>
      <c r="F292" s="8">
        <f t="shared" si="124"/>
        <v>6</v>
      </c>
      <c r="G292" s="7">
        <f t="shared" si="124"/>
        <v>7</v>
      </c>
      <c r="H292" s="27">
        <f t="shared" si="124"/>
        <v>13</v>
      </c>
      <c r="I292" s="8">
        <f t="shared" si="124"/>
        <v>0</v>
      </c>
      <c r="J292" s="7">
        <f t="shared" si="124"/>
        <v>3</v>
      </c>
      <c r="K292" s="27">
        <f t="shared" si="124"/>
        <v>3</v>
      </c>
      <c r="L292" s="27">
        <f t="shared" si="124"/>
        <v>91</v>
      </c>
    </row>
    <row r="293" spans="2:13" x14ac:dyDescent="0.15">
      <c r="B293" s="13" t="s">
        <v>21</v>
      </c>
      <c r="C293" s="18">
        <v>2</v>
      </c>
      <c r="D293" s="17"/>
      <c r="E293" s="14">
        <f t="shared" ref="E293:E298" si="125">SUM(C293:D293)</f>
        <v>2</v>
      </c>
      <c r="F293" s="18">
        <v>1</v>
      </c>
      <c r="G293" s="17">
        <v>1</v>
      </c>
      <c r="H293" s="14">
        <f t="shared" ref="H293:H298" si="126">SUM(F293:G293)</f>
        <v>2</v>
      </c>
      <c r="I293" s="16"/>
      <c r="J293" s="15"/>
      <c r="K293" s="14">
        <f t="shared" ref="K293:K298" si="127">SUM(I293:J293)</f>
        <v>0</v>
      </c>
      <c r="L293" s="14">
        <f t="shared" ref="L293:L298" si="128">H293+K293+E293</f>
        <v>4</v>
      </c>
      <c r="M293" s="19">
        <v>45537</v>
      </c>
    </row>
    <row r="294" spans="2:13" x14ac:dyDescent="0.15">
      <c r="B294" s="13" t="s">
        <v>21</v>
      </c>
      <c r="C294" s="18"/>
      <c r="D294" s="17"/>
      <c r="E294" s="14">
        <f t="shared" si="125"/>
        <v>0</v>
      </c>
      <c r="F294" s="18"/>
      <c r="G294" s="17">
        <v>1</v>
      </c>
      <c r="H294" s="14">
        <f t="shared" si="126"/>
        <v>1</v>
      </c>
      <c r="I294" s="16"/>
      <c r="J294" s="15"/>
      <c r="K294" s="14">
        <f t="shared" si="127"/>
        <v>0</v>
      </c>
      <c r="L294" s="14">
        <f t="shared" si="128"/>
        <v>1</v>
      </c>
      <c r="M294" s="19">
        <v>45540</v>
      </c>
    </row>
    <row r="295" spans="2:13" x14ac:dyDescent="0.15">
      <c r="B295" s="13" t="s">
        <v>21</v>
      </c>
      <c r="C295" s="18">
        <v>1</v>
      </c>
      <c r="D295" s="17"/>
      <c r="E295" s="14">
        <f t="shared" si="125"/>
        <v>1</v>
      </c>
      <c r="F295" s="18"/>
      <c r="G295" s="17">
        <v>1</v>
      </c>
      <c r="H295" s="14">
        <f t="shared" si="126"/>
        <v>1</v>
      </c>
      <c r="I295" s="16"/>
      <c r="J295" s="15"/>
      <c r="K295" s="14">
        <f t="shared" si="127"/>
        <v>0</v>
      </c>
      <c r="L295" s="14">
        <f t="shared" si="128"/>
        <v>2</v>
      </c>
      <c r="M295" s="19">
        <v>45545</v>
      </c>
    </row>
    <row r="296" spans="2:13" x14ac:dyDescent="0.15">
      <c r="B296" s="13" t="s">
        <v>21</v>
      </c>
      <c r="C296" s="18">
        <v>1</v>
      </c>
      <c r="D296" s="17"/>
      <c r="E296" s="14">
        <f t="shared" si="125"/>
        <v>1</v>
      </c>
      <c r="F296" s="18"/>
      <c r="G296" s="17"/>
      <c r="H296" s="14">
        <f t="shared" si="126"/>
        <v>0</v>
      </c>
      <c r="I296" s="16"/>
      <c r="J296" s="15"/>
      <c r="K296" s="14">
        <f t="shared" si="127"/>
        <v>0</v>
      </c>
      <c r="L296" s="14">
        <f t="shared" si="128"/>
        <v>1</v>
      </c>
      <c r="M296" s="19">
        <v>45547</v>
      </c>
    </row>
    <row r="297" spans="2:13" x14ac:dyDescent="0.15">
      <c r="B297" s="13" t="s">
        <v>21</v>
      </c>
      <c r="C297" s="18">
        <v>2</v>
      </c>
      <c r="D297" s="17"/>
      <c r="E297" s="14">
        <f t="shared" si="125"/>
        <v>2</v>
      </c>
      <c r="F297" s="18"/>
      <c r="G297" s="17"/>
      <c r="H297" s="14">
        <f t="shared" si="126"/>
        <v>0</v>
      </c>
      <c r="I297" s="16"/>
      <c r="J297" s="15"/>
      <c r="K297" s="14">
        <f t="shared" si="127"/>
        <v>0</v>
      </c>
      <c r="L297" s="14">
        <f t="shared" si="128"/>
        <v>2</v>
      </c>
      <c r="M297" s="19">
        <v>45548</v>
      </c>
    </row>
    <row r="298" spans="2:13" x14ac:dyDescent="0.15">
      <c r="B298" s="13" t="s">
        <v>21</v>
      </c>
      <c r="C298" s="18">
        <f>1+1</f>
        <v>2</v>
      </c>
      <c r="D298" s="17"/>
      <c r="E298" s="14">
        <f t="shared" si="125"/>
        <v>2</v>
      </c>
      <c r="F298" s="18">
        <v>1</v>
      </c>
      <c r="G298" s="17"/>
      <c r="H298" s="14">
        <f t="shared" si="126"/>
        <v>1</v>
      </c>
      <c r="I298" s="16"/>
      <c r="J298" s="15"/>
      <c r="K298" s="14">
        <f t="shared" si="127"/>
        <v>0</v>
      </c>
      <c r="L298" s="14">
        <f t="shared" si="128"/>
        <v>3</v>
      </c>
      <c r="M298" s="19">
        <v>45552</v>
      </c>
    </row>
    <row r="299" spans="2:13" x14ac:dyDescent="0.15">
      <c r="B299" s="13" t="s">
        <v>21</v>
      </c>
      <c r="C299" s="18"/>
      <c r="D299" s="17"/>
      <c r="E299" s="14">
        <f t="shared" ref="E299:E317" si="129">SUM(C299:D299)</f>
        <v>0</v>
      </c>
      <c r="F299" s="18">
        <v>1</v>
      </c>
      <c r="G299" s="17"/>
      <c r="H299" s="14">
        <f t="shared" ref="H299:H317" si="130">SUM(F299:G299)</f>
        <v>1</v>
      </c>
      <c r="I299" s="16"/>
      <c r="J299" s="15">
        <v>1</v>
      </c>
      <c r="K299" s="14">
        <f t="shared" ref="K299:K317" si="131">SUM(I299:J299)</f>
        <v>1</v>
      </c>
      <c r="L299" s="14">
        <f t="shared" ref="L299:L317" si="132">H299+K299+E299</f>
        <v>2</v>
      </c>
      <c r="M299" s="19">
        <v>45572</v>
      </c>
    </row>
    <row r="300" spans="2:13" x14ac:dyDescent="0.15">
      <c r="B300" s="13" t="s">
        <v>21</v>
      </c>
      <c r="C300" s="18">
        <v>1</v>
      </c>
      <c r="D300" s="17"/>
      <c r="E300" s="14">
        <f t="shared" si="129"/>
        <v>1</v>
      </c>
      <c r="F300" s="18"/>
      <c r="G300" s="17"/>
      <c r="H300" s="14">
        <f t="shared" si="130"/>
        <v>0</v>
      </c>
      <c r="I300" s="16"/>
      <c r="J300" s="15"/>
      <c r="K300" s="14">
        <f t="shared" si="131"/>
        <v>0</v>
      </c>
      <c r="L300" s="14">
        <f t="shared" si="132"/>
        <v>1</v>
      </c>
      <c r="M300" s="19">
        <v>45633</v>
      </c>
    </row>
    <row r="301" spans="2:13" x14ac:dyDescent="0.15">
      <c r="B301" s="13" t="s">
        <v>21</v>
      </c>
      <c r="C301" s="18">
        <v>2</v>
      </c>
      <c r="D301" s="17"/>
      <c r="E301" s="14">
        <f t="shared" si="129"/>
        <v>2</v>
      </c>
      <c r="F301" s="18"/>
      <c r="G301" s="17"/>
      <c r="H301" s="14">
        <f t="shared" si="130"/>
        <v>0</v>
      </c>
      <c r="I301" s="16"/>
      <c r="J301" s="15"/>
      <c r="K301" s="14">
        <f t="shared" si="131"/>
        <v>0</v>
      </c>
      <c r="L301" s="14">
        <f t="shared" si="132"/>
        <v>2</v>
      </c>
      <c r="M301" s="19">
        <v>45642</v>
      </c>
    </row>
    <row r="302" spans="2:13" x14ac:dyDescent="0.15">
      <c r="B302" s="13" t="s">
        <v>21</v>
      </c>
      <c r="C302" s="18">
        <v>1</v>
      </c>
      <c r="D302" s="17"/>
      <c r="E302" s="14">
        <f t="shared" si="129"/>
        <v>1</v>
      </c>
      <c r="F302" s="18"/>
      <c r="G302" s="17"/>
      <c r="H302" s="14">
        <f t="shared" si="130"/>
        <v>0</v>
      </c>
      <c r="I302" s="16"/>
      <c r="J302" s="15"/>
      <c r="K302" s="14">
        <f t="shared" si="131"/>
        <v>0</v>
      </c>
      <c r="L302" s="14">
        <f t="shared" si="132"/>
        <v>1</v>
      </c>
      <c r="M302" s="19">
        <v>45775</v>
      </c>
    </row>
    <row r="303" spans="2:13" x14ac:dyDescent="0.15">
      <c r="B303" s="13" t="s">
        <v>21</v>
      </c>
      <c r="C303" s="18">
        <v>1</v>
      </c>
      <c r="D303" s="17"/>
      <c r="E303" s="14">
        <f t="shared" si="129"/>
        <v>1</v>
      </c>
      <c r="F303" s="18"/>
      <c r="G303" s="17"/>
      <c r="H303" s="14">
        <f t="shared" si="130"/>
        <v>0</v>
      </c>
      <c r="I303" s="16"/>
      <c r="J303" s="15"/>
      <c r="K303" s="14">
        <f t="shared" si="131"/>
        <v>0</v>
      </c>
      <c r="L303" s="14">
        <f t="shared" si="132"/>
        <v>1</v>
      </c>
      <c r="M303" s="19">
        <v>45784</v>
      </c>
    </row>
    <row r="304" spans="2:13" x14ac:dyDescent="0.15">
      <c r="B304" s="13"/>
      <c r="C304" s="18"/>
      <c r="D304" s="17"/>
      <c r="E304" s="14">
        <f t="shared" si="129"/>
        <v>0</v>
      </c>
      <c r="F304" s="18"/>
      <c r="G304" s="17"/>
      <c r="H304" s="14">
        <f t="shared" si="130"/>
        <v>0</v>
      </c>
      <c r="I304" s="16"/>
      <c r="J304" s="15"/>
      <c r="K304" s="14">
        <f t="shared" si="131"/>
        <v>0</v>
      </c>
      <c r="L304" s="14">
        <f t="shared" si="132"/>
        <v>0</v>
      </c>
      <c r="M304" s="19"/>
    </row>
    <row r="305" spans="2:13" x14ac:dyDescent="0.15">
      <c r="B305" s="13"/>
      <c r="C305" s="18"/>
      <c r="D305" s="17"/>
      <c r="E305" s="14">
        <f t="shared" si="129"/>
        <v>0</v>
      </c>
      <c r="F305" s="18"/>
      <c r="G305" s="17"/>
      <c r="H305" s="14">
        <f t="shared" si="130"/>
        <v>0</v>
      </c>
      <c r="I305" s="16"/>
      <c r="J305" s="15"/>
      <c r="K305" s="14">
        <f t="shared" si="131"/>
        <v>0</v>
      </c>
      <c r="L305" s="14">
        <f t="shared" si="132"/>
        <v>0</v>
      </c>
      <c r="M305" s="19"/>
    </row>
    <row r="306" spans="2:13" x14ac:dyDescent="0.15">
      <c r="B306" s="13"/>
      <c r="C306" s="18"/>
      <c r="D306" s="17"/>
      <c r="E306" s="14">
        <f t="shared" si="129"/>
        <v>0</v>
      </c>
      <c r="F306" s="18"/>
      <c r="G306" s="17"/>
      <c r="H306" s="14">
        <f t="shared" si="130"/>
        <v>0</v>
      </c>
      <c r="I306" s="16"/>
      <c r="J306" s="15"/>
      <c r="K306" s="14">
        <f t="shared" si="131"/>
        <v>0</v>
      </c>
      <c r="L306" s="14">
        <f t="shared" si="132"/>
        <v>0</v>
      </c>
      <c r="M306" s="19"/>
    </row>
    <row r="307" spans="2:13" x14ac:dyDescent="0.15">
      <c r="B307" s="13"/>
      <c r="C307" s="18"/>
      <c r="D307" s="17"/>
      <c r="E307" s="14">
        <f t="shared" si="129"/>
        <v>0</v>
      </c>
      <c r="F307" s="18"/>
      <c r="G307" s="17"/>
      <c r="H307" s="14">
        <f t="shared" si="130"/>
        <v>0</v>
      </c>
      <c r="I307" s="16"/>
      <c r="J307" s="15"/>
      <c r="K307" s="14">
        <f t="shared" si="131"/>
        <v>0</v>
      </c>
      <c r="L307" s="14">
        <f t="shared" si="132"/>
        <v>0</v>
      </c>
      <c r="M307" s="19"/>
    </row>
    <row r="308" spans="2:13" x14ac:dyDescent="0.15">
      <c r="B308" s="13"/>
      <c r="C308" s="18"/>
      <c r="D308" s="17"/>
      <c r="E308" s="14">
        <f t="shared" si="129"/>
        <v>0</v>
      </c>
      <c r="F308" s="18"/>
      <c r="G308" s="17"/>
      <c r="H308" s="14">
        <f t="shared" si="130"/>
        <v>0</v>
      </c>
      <c r="I308" s="16"/>
      <c r="J308" s="15"/>
      <c r="K308" s="14">
        <f t="shared" si="131"/>
        <v>0</v>
      </c>
      <c r="L308" s="14">
        <f t="shared" si="132"/>
        <v>0</v>
      </c>
      <c r="M308" s="19"/>
    </row>
    <row r="309" spans="2:13" x14ac:dyDescent="0.15">
      <c r="B309" s="13"/>
      <c r="C309" s="18"/>
      <c r="D309" s="17"/>
      <c r="E309" s="14">
        <f t="shared" si="129"/>
        <v>0</v>
      </c>
      <c r="F309" s="18"/>
      <c r="G309" s="17"/>
      <c r="H309" s="14">
        <f t="shared" si="130"/>
        <v>0</v>
      </c>
      <c r="I309" s="16"/>
      <c r="J309" s="15"/>
      <c r="K309" s="14">
        <f t="shared" si="131"/>
        <v>0</v>
      </c>
      <c r="L309" s="14">
        <f t="shared" si="132"/>
        <v>0</v>
      </c>
      <c r="M309" s="19"/>
    </row>
    <row r="310" spans="2:13" x14ac:dyDescent="0.15">
      <c r="B310" s="13"/>
      <c r="C310" s="18"/>
      <c r="D310" s="17"/>
      <c r="E310" s="14">
        <f t="shared" si="129"/>
        <v>0</v>
      </c>
      <c r="F310" s="18"/>
      <c r="G310" s="17"/>
      <c r="H310" s="14">
        <f t="shared" si="130"/>
        <v>0</v>
      </c>
      <c r="I310" s="16"/>
      <c r="J310" s="15"/>
      <c r="K310" s="14">
        <f t="shared" si="131"/>
        <v>0</v>
      </c>
      <c r="L310" s="14">
        <f t="shared" si="132"/>
        <v>0</v>
      </c>
      <c r="M310" s="19"/>
    </row>
    <row r="311" spans="2:13" x14ac:dyDescent="0.15">
      <c r="B311" s="13"/>
      <c r="C311" s="18"/>
      <c r="D311" s="17"/>
      <c r="E311" s="14">
        <f t="shared" si="129"/>
        <v>0</v>
      </c>
      <c r="F311" s="18"/>
      <c r="G311" s="17"/>
      <c r="H311" s="14">
        <f t="shared" si="130"/>
        <v>0</v>
      </c>
      <c r="I311" s="16"/>
      <c r="J311" s="15"/>
      <c r="K311" s="14">
        <f t="shared" si="131"/>
        <v>0</v>
      </c>
      <c r="L311" s="14">
        <f t="shared" si="132"/>
        <v>0</v>
      </c>
      <c r="M311" s="19"/>
    </row>
    <row r="312" spans="2:13" x14ac:dyDescent="0.15">
      <c r="B312" s="13"/>
      <c r="C312" s="18"/>
      <c r="D312" s="17"/>
      <c r="E312" s="14">
        <f t="shared" si="129"/>
        <v>0</v>
      </c>
      <c r="F312" s="18"/>
      <c r="G312" s="17"/>
      <c r="H312" s="14">
        <f t="shared" si="130"/>
        <v>0</v>
      </c>
      <c r="I312" s="16"/>
      <c r="J312" s="15"/>
      <c r="K312" s="14">
        <f t="shared" si="131"/>
        <v>0</v>
      </c>
      <c r="L312" s="14">
        <f t="shared" si="132"/>
        <v>0</v>
      </c>
      <c r="M312" s="19"/>
    </row>
    <row r="313" spans="2:13" x14ac:dyDescent="0.15">
      <c r="B313" s="13"/>
      <c r="C313" s="18"/>
      <c r="D313" s="17"/>
      <c r="E313" s="14">
        <f t="shared" si="129"/>
        <v>0</v>
      </c>
      <c r="F313" s="18"/>
      <c r="G313" s="17"/>
      <c r="H313" s="14">
        <f t="shared" si="130"/>
        <v>0</v>
      </c>
      <c r="I313" s="16"/>
      <c r="J313" s="15"/>
      <c r="K313" s="14">
        <f t="shared" si="131"/>
        <v>0</v>
      </c>
      <c r="L313" s="14">
        <f t="shared" si="132"/>
        <v>0</v>
      </c>
      <c r="M313" s="19"/>
    </row>
    <row r="314" spans="2:13" x14ac:dyDescent="0.15">
      <c r="B314" s="13"/>
      <c r="C314" s="18"/>
      <c r="D314" s="17"/>
      <c r="E314" s="14">
        <f t="shared" si="129"/>
        <v>0</v>
      </c>
      <c r="F314" s="18"/>
      <c r="G314" s="17"/>
      <c r="H314" s="14">
        <f t="shared" si="130"/>
        <v>0</v>
      </c>
      <c r="I314" s="16"/>
      <c r="J314" s="15"/>
      <c r="K314" s="14">
        <f t="shared" si="131"/>
        <v>0</v>
      </c>
      <c r="L314" s="14">
        <f t="shared" si="132"/>
        <v>0</v>
      </c>
      <c r="M314" s="19"/>
    </row>
    <row r="315" spans="2:13" x14ac:dyDescent="0.15">
      <c r="B315" s="13"/>
      <c r="C315" s="18"/>
      <c r="D315" s="17"/>
      <c r="E315" s="14">
        <f t="shared" si="129"/>
        <v>0</v>
      </c>
      <c r="F315" s="18"/>
      <c r="G315" s="17"/>
      <c r="H315" s="14">
        <f t="shared" si="130"/>
        <v>0</v>
      </c>
      <c r="I315" s="16"/>
      <c r="J315" s="15"/>
      <c r="K315" s="14">
        <f t="shared" si="131"/>
        <v>0</v>
      </c>
      <c r="L315" s="14">
        <f t="shared" si="132"/>
        <v>0</v>
      </c>
      <c r="M315" s="19"/>
    </row>
    <row r="316" spans="2:13" x14ac:dyDescent="0.15">
      <c r="B316" s="13"/>
      <c r="C316" s="18"/>
      <c r="D316" s="17"/>
      <c r="E316" s="14">
        <f t="shared" si="129"/>
        <v>0</v>
      </c>
      <c r="F316" s="18"/>
      <c r="G316" s="17"/>
      <c r="H316" s="14">
        <f t="shared" si="130"/>
        <v>0</v>
      </c>
      <c r="I316" s="16"/>
      <c r="J316" s="15"/>
      <c r="K316" s="14">
        <f t="shared" si="131"/>
        <v>0</v>
      </c>
      <c r="L316" s="14">
        <f t="shared" si="132"/>
        <v>0</v>
      </c>
      <c r="M316" s="19"/>
    </row>
    <row r="317" spans="2:13" ht="14.25" thickBot="1" x14ac:dyDescent="0.2">
      <c r="B317" s="13"/>
      <c r="C317" s="18"/>
      <c r="D317" s="17"/>
      <c r="E317" s="14">
        <f t="shared" si="129"/>
        <v>0</v>
      </c>
      <c r="F317" s="18"/>
      <c r="G317" s="17"/>
      <c r="H317" s="14">
        <f t="shared" si="130"/>
        <v>0</v>
      </c>
      <c r="I317" s="16"/>
      <c r="J317" s="15"/>
      <c r="K317" s="14">
        <f t="shared" si="131"/>
        <v>0</v>
      </c>
      <c r="L317" s="14">
        <f t="shared" si="132"/>
        <v>0</v>
      </c>
    </row>
    <row r="318" spans="2:13" ht="14.25" thickBot="1" x14ac:dyDescent="0.2">
      <c r="B318" s="9" t="s">
        <v>1</v>
      </c>
      <c r="C318" s="8">
        <f t="shared" ref="C318:L318" si="133">SUM(C293:C317)</f>
        <v>13</v>
      </c>
      <c r="D318" s="7">
        <f t="shared" si="133"/>
        <v>0</v>
      </c>
      <c r="E318" s="6">
        <f t="shared" si="133"/>
        <v>13</v>
      </c>
      <c r="F318" s="8">
        <f t="shared" si="133"/>
        <v>3</v>
      </c>
      <c r="G318" s="7">
        <f t="shared" si="133"/>
        <v>3</v>
      </c>
      <c r="H318" s="6">
        <f t="shared" si="133"/>
        <v>6</v>
      </c>
      <c r="I318" s="8">
        <f t="shared" si="133"/>
        <v>0</v>
      </c>
      <c r="J318" s="7">
        <f t="shared" si="133"/>
        <v>1</v>
      </c>
      <c r="K318" s="6">
        <f t="shared" si="133"/>
        <v>1</v>
      </c>
      <c r="L318" s="6">
        <f t="shared" si="133"/>
        <v>20</v>
      </c>
    </row>
    <row r="319" spans="2:13" ht="14.25" thickBot="1" x14ac:dyDescent="0.2">
      <c r="B319" s="5" t="s">
        <v>0</v>
      </c>
      <c r="C319" s="4">
        <f t="shared" ref="C319:L319" si="134">+C292-C318</f>
        <v>62</v>
      </c>
      <c r="D319" s="3">
        <f t="shared" si="134"/>
        <v>0</v>
      </c>
      <c r="E319" s="2">
        <f t="shared" si="134"/>
        <v>62</v>
      </c>
      <c r="F319" s="4">
        <f t="shared" si="134"/>
        <v>3</v>
      </c>
      <c r="G319" s="3">
        <f t="shared" si="134"/>
        <v>4</v>
      </c>
      <c r="H319" s="2">
        <f t="shared" si="134"/>
        <v>7</v>
      </c>
      <c r="I319" s="4">
        <f t="shared" si="134"/>
        <v>0</v>
      </c>
      <c r="J319" s="3">
        <f t="shared" si="134"/>
        <v>2</v>
      </c>
      <c r="K319" s="2">
        <f t="shared" si="134"/>
        <v>2</v>
      </c>
      <c r="L319" s="2">
        <f t="shared" si="134"/>
        <v>71</v>
      </c>
    </row>
    <row r="321" spans="2:13" ht="18.75" x14ac:dyDescent="0.2">
      <c r="B321" s="44" t="s">
        <v>14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</row>
    <row r="322" spans="2:13" ht="17.25" x14ac:dyDescent="0.2">
      <c r="B322" s="43" t="s">
        <v>13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</row>
    <row r="323" spans="2:13" ht="14.25" thickBot="1" x14ac:dyDescent="0.2"/>
    <row r="324" spans="2:13" ht="14.25" thickBot="1" x14ac:dyDescent="0.2">
      <c r="B324" s="41"/>
      <c r="C324" s="67" t="s">
        <v>12</v>
      </c>
      <c r="D324" s="68"/>
      <c r="E324" s="69"/>
      <c r="F324" s="67" t="s">
        <v>11</v>
      </c>
      <c r="G324" s="68"/>
      <c r="H324" s="69"/>
      <c r="I324" s="67" t="s">
        <v>10</v>
      </c>
      <c r="J324" s="68"/>
      <c r="K324" s="69"/>
      <c r="L324" s="40"/>
    </row>
    <row r="325" spans="2:13" ht="14.25" thickBot="1" x14ac:dyDescent="0.2">
      <c r="B325" s="39"/>
      <c r="C325" s="50" t="s">
        <v>7</v>
      </c>
      <c r="D325" s="38" t="s">
        <v>9</v>
      </c>
      <c r="E325" s="37" t="s">
        <v>4</v>
      </c>
      <c r="F325" s="52" t="s">
        <v>8</v>
      </c>
      <c r="G325" s="51" t="s">
        <v>7</v>
      </c>
      <c r="H325" s="37" t="s">
        <v>4</v>
      </c>
      <c r="I325" s="53" t="s">
        <v>6</v>
      </c>
      <c r="J325" s="54" t="s">
        <v>5</v>
      </c>
      <c r="K325" s="37" t="s">
        <v>4</v>
      </c>
      <c r="L325" s="37" t="s">
        <v>4</v>
      </c>
    </row>
    <row r="326" spans="2:13" x14ac:dyDescent="0.15">
      <c r="B326" s="36" t="s">
        <v>0</v>
      </c>
      <c r="C326" s="35">
        <f t="shared" ref="C326:L326" si="135">C319</f>
        <v>62</v>
      </c>
      <c r="D326" s="34">
        <f t="shared" si="135"/>
        <v>0</v>
      </c>
      <c r="E326" s="33">
        <f t="shared" si="135"/>
        <v>62</v>
      </c>
      <c r="F326" s="35">
        <f t="shared" si="135"/>
        <v>3</v>
      </c>
      <c r="G326" s="34">
        <f t="shared" si="135"/>
        <v>4</v>
      </c>
      <c r="H326" s="33">
        <f t="shared" si="135"/>
        <v>7</v>
      </c>
      <c r="I326" s="35">
        <f t="shared" si="135"/>
        <v>0</v>
      </c>
      <c r="J326" s="34">
        <f t="shared" si="135"/>
        <v>2</v>
      </c>
      <c r="K326" s="33">
        <f t="shared" si="135"/>
        <v>2</v>
      </c>
      <c r="L326" s="33">
        <f t="shared" si="135"/>
        <v>71</v>
      </c>
    </row>
    <row r="327" spans="2:13" x14ac:dyDescent="0.15">
      <c r="B327" s="32" t="s">
        <v>3</v>
      </c>
      <c r="C327" s="18"/>
      <c r="D327" s="17">
        <v>30</v>
      </c>
      <c r="E327" s="31">
        <f t="shared" ref="E327:E328" si="136">SUM(C327:D327)</f>
        <v>30</v>
      </c>
      <c r="F327" s="18">
        <v>30</v>
      </c>
      <c r="G327" s="17">
        <v>20</v>
      </c>
      <c r="H327" s="31">
        <f t="shared" ref="H327:H328" si="137">SUM(F327:G327)</f>
        <v>50</v>
      </c>
      <c r="I327" s="16">
        <v>20</v>
      </c>
      <c r="J327" s="15">
        <v>20</v>
      </c>
      <c r="K327" s="31">
        <f t="shared" ref="K327:K328" si="138">SUM(I327:J327)</f>
        <v>40</v>
      </c>
      <c r="L327" s="31">
        <f t="shared" ref="L327:L328" si="139">H327+K327+E327</f>
        <v>120</v>
      </c>
      <c r="M327" s="19" t="s">
        <v>74</v>
      </c>
    </row>
    <row r="328" spans="2:13" x14ac:dyDescent="0.15">
      <c r="B328" s="32" t="s">
        <v>3</v>
      </c>
      <c r="C328" s="18"/>
      <c r="D328" s="17">
        <v>30</v>
      </c>
      <c r="E328" s="31">
        <f t="shared" si="136"/>
        <v>30</v>
      </c>
      <c r="F328" s="18">
        <v>30</v>
      </c>
      <c r="G328" s="17"/>
      <c r="H328" s="31">
        <f t="shared" si="137"/>
        <v>30</v>
      </c>
      <c r="I328" s="16"/>
      <c r="J328" s="15"/>
      <c r="K328" s="31">
        <f t="shared" si="138"/>
        <v>0</v>
      </c>
      <c r="L328" s="31">
        <f t="shared" si="139"/>
        <v>60</v>
      </c>
      <c r="M328" s="19" t="s">
        <v>75</v>
      </c>
    </row>
    <row r="329" spans="2:13" x14ac:dyDescent="0.15">
      <c r="B329" s="32" t="s">
        <v>3</v>
      </c>
      <c r="C329" s="18"/>
      <c r="D329" s="17"/>
      <c r="E329" s="31">
        <f>SUM(C329:D329)</f>
        <v>0</v>
      </c>
      <c r="F329" s="18"/>
      <c r="G329" s="17"/>
      <c r="H329" s="31">
        <f>SUM(F329:G329)</f>
        <v>0</v>
      </c>
      <c r="I329" s="16"/>
      <c r="J329" s="15"/>
      <c r="K329" s="31">
        <f>SUM(I329:J329)</f>
        <v>0</v>
      </c>
      <c r="L329" s="31">
        <f>H329+K329+E329</f>
        <v>0</v>
      </c>
    </row>
    <row r="330" spans="2:13" x14ac:dyDescent="0.15">
      <c r="B330" s="32" t="s">
        <v>3</v>
      </c>
      <c r="C330" s="18"/>
      <c r="D330" s="17"/>
      <c r="E330" s="31">
        <f>SUM(C330:D330)</f>
        <v>0</v>
      </c>
      <c r="F330" s="18"/>
      <c r="G330" s="17"/>
      <c r="H330" s="31">
        <f>SUM(F330:G330)</f>
        <v>0</v>
      </c>
      <c r="I330" s="16"/>
      <c r="J330" s="15"/>
      <c r="K330" s="31">
        <f>SUM(I330:J330)</f>
        <v>0</v>
      </c>
      <c r="L330" s="31">
        <f>H330+K330+E330</f>
        <v>0</v>
      </c>
    </row>
    <row r="331" spans="2:13" ht="14.25" thickBot="1" x14ac:dyDescent="0.2">
      <c r="B331" s="30" t="s">
        <v>3</v>
      </c>
      <c r="C331" s="29"/>
      <c r="D331" s="12"/>
      <c r="E331" s="28">
        <f>SUM(C331:D331)</f>
        <v>0</v>
      </c>
      <c r="F331" s="29"/>
      <c r="G331" s="12"/>
      <c r="H331" s="28">
        <f>SUM(F331:G331)</f>
        <v>0</v>
      </c>
      <c r="I331" s="11"/>
      <c r="J331" s="10"/>
      <c r="K331" s="28">
        <f>SUM(I331:J331)</f>
        <v>0</v>
      </c>
      <c r="L331" s="28">
        <f>H331+K331+E331</f>
        <v>0</v>
      </c>
    </row>
    <row r="332" spans="2:13" ht="14.25" thickBot="1" x14ac:dyDescent="0.2">
      <c r="B332" s="9" t="s">
        <v>2</v>
      </c>
      <c r="C332" s="8">
        <f t="shared" ref="C332:L332" si="140">SUM(C326:C331)</f>
        <v>62</v>
      </c>
      <c r="D332" s="7">
        <f t="shared" si="140"/>
        <v>60</v>
      </c>
      <c r="E332" s="27">
        <f t="shared" si="140"/>
        <v>122</v>
      </c>
      <c r="F332" s="8">
        <f t="shared" si="140"/>
        <v>63</v>
      </c>
      <c r="G332" s="7">
        <f t="shared" si="140"/>
        <v>24</v>
      </c>
      <c r="H332" s="27">
        <f t="shared" si="140"/>
        <v>87</v>
      </c>
      <c r="I332" s="8">
        <f t="shared" si="140"/>
        <v>20</v>
      </c>
      <c r="J332" s="7">
        <f t="shared" si="140"/>
        <v>22</v>
      </c>
      <c r="K332" s="27">
        <f t="shared" si="140"/>
        <v>42</v>
      </c>
      <c r="L332" s="27">
        <f t="shared" si="140"/>
        <v>251</v>
      </c>
    </row>
    <row r="333" spans="2:13" x14ac:dyDescent="0.15">
      <c r="B333" s="13" t="s">
        <v>21</v>
      </c>
      <c r="C333" s="18">
        <v>1</v>
      </c>
      <c r="D333" s="17"/>
      <c r="E333" s="14">
        <f t="shared" ref="E333:E341" si="141">SUM(C333:D333)</f>
        <v>1</v>
      </c>
      <c r="F333" s="18"/>
      <c r="G333" s="17"/>
      <c r="H333" s="14">
        <f t="shared" ref="H333:H341" si="142">SUM(F333:G333)</f>
        <v>0</v>
      </c>
      <c r="I333" s="16"/>
      <c r="J333" s="15"/>
      <c r="K333" s="14">
        <f t="shared" ref="K333:K341" si="143">SUM(I333:J333)</f>
        <v>0</v>
      </c>
      <c r="L333" s="14">
        <f t="shared" ref="L333:L341" si="144">H333+K333+E333</f>
        <v>1</v>
      </c>
      <c r="M333" s="19">
        <v>45789</v>
      </c>
    </row>
    <row r="334" spans="2:13" x14ac:dyDescent="0.15">
      <c r="B334" s="13" t="s">
        <v>21</v>
      </c>
      <c r="C334" s="18">
        <v>1</v>
      </c>
      <c r="D334" s="17">
        <v>1</v>
      </c>
      <c r="E334" s="14">
        <f t="shared" si="141"/>
        <v>2</v>
      </c>
      <c r="F334" s="18">
        <v>1</v>
      </c>
      <c r="G334" s="17"/>
      <c r="H334" s="14">
        <f t="shared" si="142"/>
        <v>1</v>
      </c>
      <c r="I334" s="16"/>
      <c r="J334" s="15"/>
      <c r="K334" s="14">
        <f t="shared" si="143"/>
        <v>0</v>
      </c>
      <c r="L334" s="14">
        <f t="shared" ref="L334" si="145">H334+K334+E334</f>
        <v>3</v>
      </c>
      <c r="M334" s="19">
        <v>45791</v>
      </c>
    </row>
    <row r="335" spans="2:13" x14ac:dyDescent="0.15">
      <c r="B335" s="13" t="s">
        <v>21</v>
      </c>
      <c r="C335" s="18"/>
      <c r="D335" s="17">
        <v>2</v>
      </c>
      <c r="E335" s="14">
        <f t="shared" si="141"/>
        <v>2</v>
      </c>
      <c r="F335" s="18"/>
      <c r="G335" s="17"/>
      <c r="H335" s="14">
        <f t="shared" si="142"/>
        <v>0</v>
      </c>
      <c r="I335" s="16"/>
      <c r="J335" s="15"/>
      <c r="K335" s="14">
        <f t="shared" si="143"/>
        <v>0</v>
      </c>
      <c r="L335" s="14">
        <f t="shared" si="144"/>
        <v>2</v>
      </c>
      <c r="M335" s="19">
        <v>45793</v>
      </c>
    </row>
    <row r="336" spans="2:13" x14ac:dyDescent="0.15">
      <c r="B336" s="13" t="s">
        <v>21</v>
      </c>
      <c r="C336" s="18"/>
      <c r="D336" s="17"/>
      <c r="E336" s="14">
        <f t="shared" si="141"/>
        <v>0</v>
      </c>
      <c r="F336" s="18"/>
      <c r="G336" s="17">
        <v>1</v>
      </c>
      <c r="H336" s="14">
        <f t="shared" si="142"/>
        <v>1</v>
      </c>
      <c r="I336" s="16"/>
      <c r="J336" s="15"/>
      <c r="K336" s="14">
        <f t="shared" si="143"/>
        <v>0</v>
      </c>
      <c r="L336" s="14">
        <f t="shared" si="144"/>
        <v>1</v>
      </c>
      <c r="M336" s="19">
        <v>45798</v>
      </c>
    </row>
    <row r="337" spans="2:13" x14ac:dyDescent="0.15">
      <c r="B337" s="13" t="s">
        <v>21</v>
      </c>
      <c r="C337" s="18">
        <v>1</v>
      </c>
      <c r="D337" s="17">
        <v>1</v>
      </c>
      <c r="E337" s="14">
        <f t="shared" si="141"/>
        <v>2</v>
      </c>
      <c r="F337" s="18"/>
      <c r="G337" s="17"/>
      <c r="H337" s="14">
        <f t="shared" si="142"/>
        <v>0</v>
      </c>
      <c r="I337" s="16"/>
      <c r="J337" s="15"/>
      <c r="K337" s="14">
        <f t="shared" si="143"/>
        <v>0</v>
      </c>
      <c r="L337" s="14">
        <f t="shared" si="144"/>
        <v>2</v>
      </c>
      <c r="M337" s="19">
        <v>45814</v>
      </c>
    </row>
    <row r="338" spans="2:13" x14ac:dyDescent="0.15">
      <c r="B338" s="13" t="s">
        <v>21</v>
      </c>
      <c r="C338" s="18"/>
      <c r="D338" s="17">
        <v>1</v>
      </c>
      <c r="E338" s="14">
        <f t="shared" si="141"/>
        <v>1</v>
      </c>
      <c r="F338" s="18"/>
      <c r="G338" s="17">
        <v>1</v>
      </c>
      <c r="H338" s="14">
        <f t="shared" si="142"/>
        <v>1</v>
      </c>
      <c r="I338" s="16"/>
      <c r="J338" s="15"/>
      <c r="K338" s="14">
        <f t="shared" si="143"/>
        <v>0</v>
      </c>
      <c r="L338" s="14">
        <f t="shared" si="144"/>
        <v>2</v>
      </c>
      <c r="M338" s="19">
        <v>45817</v>
      </c>
    </row>
    <row r="339" spans="2:13" x14ac:dyDescent="0.15">
      <c r="B339" s="13" t="s">
        <v>21</v>
      </c>
      <c r="C339" s="18">
        <v>1</v>
      </c>
      <c r="D339" s="17">
        <v>2</v>
      </c>
      <c r="E339" s="14">
        <f t="shared" si="141"/>
        <v>3</v>
      </c>
      <c r="F339" s="18">
        <v>1</v>
      </c>
      <c r="G339" s="17"/>
      <c r="H339" s="14">
        <f t="shared" si="142"/>
        <v>1</v>
      </c>
      <c r="I339" s="16">
        <v>1</v>
      </c>
      <c r="J339" s="15"/>
      <c r="K339" s="14">
        <f t="shared" si="143"/>
        <v>1</v>
      </c>
      <c r="L339" s="14">
        <f t="shared" si="144"/>
        <v>5</v>
      </c>
      <c r="M339" s="19">
        <v>45819</v>
      </c>
    </row>
    <row r="340" spans="2:13" x14ac:dyDescent="0.15">
      <c r="B340" s="13" t="s">
        <v>21</v>
      </c>
      <c r="C340" s="18">
        <v>1</v>
      </c>
      <c r="D340" s="17">
        <v>1</v>
      </c>
      <c r="E340" s="14">
        <f t="shared" si="141"/>
        <v>2</v>
      </c>
      <c r="F340" s="18"/>
      <c r="G340" s="17"/>
      <c r="H340" s="14">
        <f t="shared" si="142"/>
        <v>0</v>
      </c>
      <c r="I340" s="16"/>
      <c r="J340" s="15"/>
      <c r="K340" s="14">
        <f t="shared" si="143"/>
        <v>0</v>
      </c>
      <c r="L340" s="14">
        <f t="shared" si="144"/>
        <v>2</v>
      </c>
      <c r="M340" s="19">
        <v>45824</v>
      </c>
    </row>
    <row r="341" spans="2:13" x14ac:dyDescent="0.15">
      <c r="B341" s="13" t="s">
        <v>21</v>
      </c>
      <c r="C341" s="18">
        <v>1</v>
      </c>
      <c r="D341" s="17">
        <v>1</v>
      </c>
      <c r="E341" s="14">
        <f t="shared" si="141"/>
        <v>2</v>
      </c>
      <c r="F341" s="18">
        <v>1</v>
      </c>
      <c r="G341" s="17">
        <v>1</v>
      </c>
      <c r="H341" s="14">
        <f t="shared" si="142"/>
        <v>2</v>
      </c>
      <c r="I341" s="16"/>
      <c r="J341" s="15"/>
      <c r="K341" s="14">
        <f t="shared" si="143"/>
        <v>0</v>
      </c>
      <c r="L341" s="14">
        <f t="shared" si="144"/>
        <v>4</v>
      </c>
      <c r="M341" s="19">
        <v>45826</v>
      </c>
    </row>
    <row r="342" spans="2:13" x14ac:dyDescent="0.15">
      <c r="B342" s="13" t="s">
        <v>21</v>
      </c>
      <c r="C342" s="18"/>
      <c r="D342" s="17"/>
      <c r="E342" s="14">
        <f t="shared" ref="E342:E357" si="146">SUM(C342:D342)</f>
        <v>0</v>
      </c>
      <c r="F342" s="18">
        <v>1</v>
      </c>
      <c r="G342" s="17"/>
      <c r="H342" s="14">
        <f t="shared" ref="H342:H357" si="147">SUM(F342:G342)</f>
        <v>1</v>
      </c>
      <c r="I342" s="16"/>
      <c r="J342" s="15"/>
      <c r="K342" s="14">
        <f t="shared" ref="K342:K357" si="148">SUM(I342:J342)</f>
        <v>0</v>
      </c>
      <c r="L342" s="14">
        <f t="shared" ref="L342:L357" si="149">H342+K342+E342</f>
        <v>1</v>
      </c>
      <c r="M342" s="19">
        <v>45827</v>
      </c>
    </row>
    <row r="343" spans="2:13" x14ac:dyDescent="0.15">
      <c r="B343" s="13" t="s">
        <v>21</v>
      </c>
      <c r="C343" s="18"/>
      <c r="D343" s="17"/>
      <c r="E343" s="14">
        <f t="shared" si="146"/>
        <v>0</v>
      </c>
      <c r="F343" s="18"/>
      <c r="G343" s="17">
        <v>1</v>
      </c>
      <c r="H343" s="14">
        <f t="shared" si="147"/>
        <v>1</v>
      </c>
      <c r="I343" s="16"/>
      <c r="J343" s="15"/>
      <c r="K343" s="14">
        <f t="shared" si="148"/>
        <v>0</v>
      </c>
      <c r="L343" s="14">
        <f t="shared" si="149"/>
        <v>1</v>
      </c>
      <c r="M343" s="19">
        <v>45828</v>
      </c>
    </row>
    <row r="344" spans="2:13" x14ac:dyDescent="0.15">
      <c r="B344" s="13" t="s">
        <v>21</v>
      </c>
      <c r="C344" s="18">
        <v>4</v>
      </c>
      <c r="D344" s="17"/>
      <c r="E344" s="14">
        <f t="shared" si="146"/>
        <v>4</v>
      </c>
      <c r="F344" s="18"/>
      <c r="G344" s="17"/>
      <c r="H344" s="14">
        <f t="shared" si="147"/>
        <v>0</v>
      </c>
      <c r="I344" s="16"/>
      <c r="J344" s="15"/>
      <c r="K344" s="14">
        <f t="shared" si="148"/>
        <v>0</v>
      </c>
      <c r="L344" s="14">
        <f t="shared" si="149"/>
        <v>4</v>
      </c>
      <c r="M344" s="19">
        <v>45829</v>
      </c>
    </row>
    <row r="345" spans="2:13" x14ac:dyDescent="0.15">
      <c r="B345" s="13" t="s">
        <v>21</v>
      </c>
      <c r="C345" s="18">
        <v>1</v>
      </c>
      <c r="D345" s="17">
        <v>1</v>
      </c>
      <c r="E345" s="14">
        <f t="shared" si="146"/>
        <v>2</v>
      </c>
      <c r="F345" s="18">
        <v>1</v>
      </c>
      <c r="G345" s="17">
        <v>1</v>
      </c>
      <c r="H345" s="14">
        <f t="shared" si="147"/>
        <v>2</v>
      </c>
      <c r="I345" s="16">
        <v>1</v>
      </c>
      <c r="J345" s="15">
        <v>1</v>
      </c>
      <c r="K345" s="14">
        <f t="shared" si="148"/>
        <v>2</v>
      </c>
      <c r="L345" s="14">
        <f t="shared" si="149"/>
        <v>6</v>
      </c>
      <c r="M345" s="19">
        <v>45831</v>
      </c>
    </row>
    <row r="346" spans="2:13" x14ac:dyDescent="0.15">
      <c r="B346" s="13" t="s">
        <v>21</v>
      </c>
      <c r="C346" s="18"/>
      <c r="D346" s="17">
        <v>1</v>
      </c>
      <c r="E346" s="14">
        <f t="shared" si="146"/>
        <v>1</v>
      </c>
      <c r="F346" s="18"/>
      <c r="G346" s="17">
        <v>1</v>
      </c>
      <c r="H346" s="14">
        <f t="shared" si="147"/>
        <v>1</v>
      </c>
      <c r="I346" s="16">
        <v>1</v>
      </c>
      <c r="J346" s="15"/>
      <c r="K346" s="14">
        <f t="shared" si="148"/>
        <v>1</v>
      </c>
      <c r="L346" s="14">
        <f t="shared" si="149"/>
        <v>3</v>
      </c>
      <c r="M346" s="19">
        <v>45832</v>
      </c>
    </row>
    <row r="347" spans="2:13" x14ac:dyDescent="0.15">
      <c r="B347" s="13" t="s">
        <v>21</v>
      </c>
      <c r="C347" s="18">
        <v>1</v>
      </c>
      <c r="D347" s="17">
        <v>1</v>
      </c>
      <c r="E347" s="14">
        <f t="shared" si="146"/>
        <v>2</v>
      </c>
      <c r="F347" s="18">
        <v>1</v>
      </c>
      <c r="G347" s="17">
        <v>1</v>
      </c>
      <c r="H347" s="14">
        <f t="shared" si="147"/>
        <v>2</v>
      </c>
      <c r="I347" s="16">
        <v>1</v>
      </c>
      <c r="J347" s="15">
        <v>1</v>
      </c>
      <c r="K347" s="14">
        <f t="shared" si="148"/>
        <v>2</v>
      </c>
      <c r="L347" s="14">
        <f t="shared" si="149"/>
        <v>6</v>
      </c>
      <c r="M347" s="19">
        <v>45833</v>
      </c>
    </row>
    <row r="348" spans="2:13" x14ac:dyDescent="0.15">
      <c r="B348" s="13" t="s">
        <v>21</v>
      </c>
      <c r="C348" s="18"/>
      <c r="D348" s="17">
        <v>1</v>
      </c>
      <c r="E348" s="14">
        <f t="shared" si="146"/>
        <v>1</v>
      </c>
      <c r="F348" s="18"/>
      <c r="G348" s="17"/>
      <c r="H348" s="14">
        <f t="shared" si="147"/>
        <v>0</v>
      </c>
      <c r="I348" s="16"/>
      <c r="J348" s="15"/>
      <c r="K348" s="14">
        <f t="shared" si="148"/>
        <v>0</v>
      </c>
      <c r="L348" s="14">
        <f t="shared" si="149"/>
        <v>1</v>
      </c>
      <c r="M348" s="19">
        <v>45834</v>
      </c>
    </row>
    <row r="349" spans="2:13" x14ac:dyDescent="0.15">
      <c r="B349" s="13" t="s">
        <v>21</v>
      </c>
      <c r="C349" s="18"/>
      <c r="D349" s="17"/>
      <c r="E349" s="14">
        <f t="shared" si="146"/>
        <v>0</v>
      </c>
      <c r="F349" s="18"/>
      <c r="G349" s="17">
        <v>1</v>
      </c>
      <c r="H349" s="14">
        <f t="shared" si="147"/>
        <v>1</v>
      </c>
      <c r="I349" s="16"/>
      <c r="J349" s="15"/>
      <c r="K349" s="14">
        <f t="shared" si="148"/>
        <v>0</v>
      </c>
      <c r="L349" s="14">
        <f t="shared" si="149"/>
        <v>1</v>
      </c>
      <c r="M349" s="19">
        <v>45838</v>
      </c>
    </row>
    <row r="350" spans="2:13" x14ac:dyDescent="0.15">
      <c r="B350" s="13" t="s">
        <v>21</v>
      </c>
      <c r="C350" s="18">
        <v>5</v>
      </c>
      <c r="D350" s="17">
        <v>6</v>
      </c>
      <c r="E350" s="14">
        <f t="shared" si="146"/>
        <v>11</v>
      </c>
      <c r="F350" s="18">
        <v>1</v>
      </c>
      <c r="G350" s="17"/>
      <c r="H350" s="14">
        <f t="shared" si="147"/>
        <v>1</v>
      </c>
      <c r="I350" s="16">
        <v>6</v>
      </c>
      <c r="J350" s="15">
        <v>6</v>
      </c>
      <c r="K350" s="14">
        <f t="shared" si="148"/>
        <v>12</v>
      </c>
      <c r="L350" s="14">
        <f t="shared" si="149"/>
        <v>24</v>
      </c>
      <c r="M350" s="19">
        <v>45839</v>
      </c>
    </row>
    <row r="351" spans="2:13" x14ac:dyDescent="0.15">
      <c r="B351" s="13" t="s">
        <v>21</v>
      </c>
      <c r="C351" s="18"/>
      <c r="D351" s="17"/>
      <c r="E351" s="14">
        <f t="shared" si="146"/>
        <v>0</v>
      </c>
      <c r="F351" s="18">
        <v>2</v>
      </c>
      <c r="G351" s="17"/>
      <c r="H351" s="14">
        <f t="shared" si="147"/>
        <v>2</v>
      </c>
      <c r="I351" s="16">
        <v>1</v>
      </c>
      <c r="J351" s="15"/>
      <c r="K351" s="14">
        <f t="shared" si="148"/>
        <v>1</v>
      </c>
      <c r="L351" s="14">
        <f t="shared" si="149"/>
        <v>3</v>
      </c>
      <c r="M351" s="19">
        <v>45840</v>
      </c>
    </row>
    <row r="352" spans="2:13" x14ac:dyDescent="0.15">
      <c r="B352" s="13" t="s">
        <v>21</v>
      </c>
      <c r="C352" s="18">
        <f>1+1</f>
        <v>2</v>
      </c>
      <c r="D352" s="17">
        <v>1</v>
      </c>
      <c r="E352" s="14">
        <f t="shared" si="146"/>
        <v>3</v>
      </c>
      <c r="F352" s="18">
        <v>1</v>
      </c>
      <c r="G352" s="17">
        <v>1</v>
      </c>
      <c r="H352" s="14">
        <f t="shared" si="147"/>
        <v>2</v>
      </c>
      <c r="I352" s="16"/>
      <c r="J352" s="15"/>
      <c r="K352" s="14">
        <f t="shared" si="148"/>
        <v>0</v>
      </c>
      <c r="L352" s="14">
        <f t="shared" si="149"/>
        <v>5</v>
      </c>
      <c r="M352" s="19">
        <v>45841</v>
      </c>
    </row>
    <row r="353" spans="2:13" x14ac:dyDescent="0.15">
      <c r="B353" s="13" t="s">
        <v>21</v>
      </c>
      <c r="C353" s="18">
        <v>1</v>
      </c>
      <c r="D353" s="17">
        <v>1</v>
      </c>
      <c r="E353" s="14">
        <f t="shared" si="146"/>
        <v>2</v>
      </c>
      <c r="F353" s="18"/>
      <c r="G353" s="17">
        <v>1</v>
      </c>
      <c r="H353" s="14">
        <f t="shared" si="147"/>
        <v>1</v>
      </c>
      <c r="I353" s="16"/>
      <c r="J353" s="15"/>
      <c r="K353" s="14">
        <f t="shared" si="148"/>
        <v>0</v>
      </c>
      <c r="L353" s="14">
        <f t="shared" si="149"/>
        <v>3</v>
      </c>
      <c r="M353" s="19">
        <v>45843</v>
      </c>
    </row>
    <row r="354" spans="2:13" x14ac:dyDescent="0.15">
      <c r="B354" s="13" t="s">
        <v>21</v>
      </c>
      <c r="C354" s="18">
        <f>2+2</f>
        <v>4</v>
      </c>
      <c r="D354" s="17"/>
      <c r="E354" s="14">
        <f t="shared" si="146"/>
        <v>4</v>
      </c>
      <c r="F354" s="18"/>
      <c r="G354" s="17">
        <v>1</v>
      </c>
      <c r="H354" s="14">
        <f t="shared" si="147"/>
        <v>1</v>
      </c>
      <c r="I354" s="16"/>
      <c r="J354" s="15"/>
      <c r="K354" s="14">
        <f t="shared" si="148"/>
        <v>0</v>
      </c>
      <c r="L354" s="14">
        <f t="shared" si="149"/>
        <v>5</v>
      </c>
      <c r="M354" s="19">
        <v>45845</v>
      </c>
    </row>
    <row r="355" spans="2:13" x14ac:dyDescent="0.15">
      <c r="B355" s="13" t="s">
        <v>21</v>
      </c>
      <c r="C355" s="18"/>
      <c r="D355" s="17">
        <v>2</v>
      </c>
      <c r="E355" s="14">
        <f t="shared" si="146"/>
        <v>2</v>
      </c>
      <c r="F355" s="18">
        <v>3</v>
      </c>
      <c r="G355" s="17">
        <v>2</v>
      </c>
      <c r="H355" s="14">
        <f t="shared" si="147"/>
        <v>5</v>
      </c>
      <c r="I355" s="16"/>
      <c r="J355" s="15"/>
      <c r="K355" s="14">
        <f t="shared" si="148"/>
        <v>0</v>
      </c>
      <c r="L355" s="14">
        <f t="shared" si="149"/>
        <v>7</v>
      </c>
      <c r="M355" s="19">
        <v>45846</v>
      </c>
    </row>
    <row r="356" spans="2:13" x14ac:dyDescent="0.15">
      <c r="B356" s="13" t="s">
        <v>21</v>
      </c>
      <c r="C356" s="18">
        <v>1</v>
      </c>
      <c r="D356" s="17"/>
      <c r="E356" s="14">
        <f t="shared" si="146"/>
        <v>1</v>
      </c>
      <c r="F356" s="18">
        <v>1</v>
      </c>
      <c r="G356" s="17"/>
      <c r="H356" s="14">
        <f t="shared" si="147"/>
        <v>1</v>
      </c>
      <c r="I356" s="16">
        <v>1</v>
      </c>
      <c r="J356" s="15"/>
      <c r="K356" s="14">
        <f t="shared" si="148"/>
        <v>1</v>
      </c>
      <c r="L356" s="14">
        <f t="shared" si="149"/>
        <v>3</v>
      </c>
      <c r="M356" s="19">
        <v>45847</v>
      </c>
    </row>
    <row r="357" spans="2:13" ht="14.25" thickBot="1" x14ac:dyDescent="0.2">
      <c r="B357" s="13" t="s">
        <v>21</v>
      </c>
      <c r="C357" s="18"/>
      <c r="D357" s="17"/>
      <c r="E357" s="14">
        <f t="shared" si="146"/>
        <v>0</v>
      </c>
      <c r="F357" s="18"/>
      <c r="G357" s="17"/>
      <c r="H357" s="14">
        <f t="shared" si="147"/>
        <v>0</v>
      </c>
      <c r="I357" s="16">
        <v>1</v>
      </c>
      <c r="J357" s="15"/>
      <c r="K357" s="14">
        <f t="shared" si="148"/>
        <v>1</v>
      </c>
      <c r="L357" s="14">
        <f t="shared" si="149"/>
        <v>1</v>
      </c>
      <c r="M357" s="19">
        <v>45848</v>
      </c>
    </row>
    <row r="358" spans="2:13" ht="14.25" thickBot="1" x14ac:dyDescent="0.2">
      <c r="B358" s="9" t="s">
        <v>1</v>
      </c>
      <c r="C358" s="8">
        <f t="shared" ref="C358:L358" si="150">SUM(C333:C357)</f>
        <v>25</v>
      </c>
      <c r="D358" s="7">
        <f t="shared" si="150"/>
        <v>23</v>
      </c>
      <c r="E358" s="6">
        <f t="shared" si="150"/>
        <v>48</v>
      </c>
      <c r="F358" s="8">
        <f t="shared" si="150"/>
        <v>14</v>
      </c>
      <c r="G358" s="7">
        <f t="shared" si="150"/>
        <v>13</v>
      </c>
      <c r="H358" s="6">
        <f t="shared" si="150"/>
        <v>27</v>
      </c>
      <c r="I358" s="8">
        <f t="shared" si="150"/>
        <v>13</v>
      </c>
      <c r="J358" s="7">
        <f t="shared" si="150"/>
        <v>8</v>
      </c>
      <c r="K358" s="6">
        <f t="shared" si="150"/>
        <v>21</v>
      </c>
      <c r="L358" s="6">
        <f t="shared" si="150"/>
        <v>96</v>
      </c>
    </row>
    <row r="359" spans="2:13" ht="14.25" thickBot="1" x14ac:dyDescent="0.2">
      <c r="B359" s="5" t="s">
        <v>0</v>
      </c>
      <c r="C359" s="4">
        <f t="shared" ref="C359:L359" si="151">+C332-C358</f>
        <v>37</v>
      </c>
      <c r="D359" s="3">
        <f t="shared" si="151"/>
        <v>37</v>
      </c>
      <c r="E359" s="2">
        <f t="shared" si="151"/>
        <v>74</v>
      </c>
      <c r="F359" s="4">
        <f t="shared" si="151"/>
        <v>49</v>
      </c>
      <c r="G359" s="3">
        <f t="shared" si="151"/>
        <v>11</v>
      </c>
      <c r="H359" s="2">
        <f t="shared" si="151"/>
        <v>60</v>
      </c>
      <c r="I359" s="4">
        <f t="shared" si="151"/>
        <v>7</v>
      </c>
      <c r="J359" s="3">
        <f t="shared" si="151"/>
        <v>14</v>
      </c>
      <c r="K359" s="2">
        <f t="shared" si="151"/>
        <v>21</v>
      </c>
      <c r="L359" s="2">
        <f t="shared" si="151"/>
        <v>155</v>
      </c>
    </row>
    <row r="361" spans="2:13" ht="18.75" x14ac:dyDescent="0.2">
      <c r="B361" s="44" t="s">
        <v>14</v>
      </c>
      <c r="C361" s="42"/>
      <c r="D361" s="42"/>
      <c r="E361" s="42"/>
      <c r="F361" s="42"/>
      <c r="G361" s="42"/>
      <c r="H361" s="42"/>
      <c r="I361" s="42"/>
      <c r="J361" s="42"/>
      <c r="K361" s="42"/>
      <c r="L361" s="42"/>
    </row>
    <row r="362" spans="2:13" ht="17.25" x14ac:dyDescent="0.2">
      <c r="B362" s="43" t="s">
        <v>13</v>
      </c>
      <c r="C362" s="42"/>
      <c r="D362" s="42"/>
      <c r="E362" s="42"/>
      <c r="F362" s="42"/>
      <c r="G362" s="42"/>
      <c r="H362" s="42"/>
      <c r="I362" s="42"/>
      <c r="J362" s="42"/>
      <c r="K362" s="42"/>
      <c r="L362" s="42"/>
    </row>
    <row r="363" spans="2:13" ht="14.25" thickBot="1" x14ac:dyDescent="0.2"/>
    <row r="364" spans="2:13" ht="14.25" thickBot="1" x14ac:dyDescent="0.2">
      <c r="B364" s="41"/>
      <c r="C364" s="67" t="s">
        <v>12</v>
      </c>
      <c r="D364" s="68"/>
      <c r="E364" s="69"/>
      <c r="F364" s="67" t="s">
        <v>11</v>
      </c>
      <c r="G364" s="68"/>
      <c r="H364" s="69"/>
      <c r="I364" s="67" t="s">
        <v>10</v>
      </c>
      <c r="J364" s="68"/>
      <c r="K364" s="69"/>
      <c r="L364" s="40"/>
    </row>
    <row r="365" spans="2:13" ht="14.25" thickBot="1" x14ac:dyDescent="0.2">
      <c r="B365" s="39"/>
      <c r="C365" s="50" t="s">
        <v>7</v>
      </c>
      <c r="D365" s="38" t="s">
        <v>9</v>
      </c>
      <c r="E365" s="37" t="s">
        <v>4</v>
      </c>
      <c r="F365" s="52" t="s">
        <v>8</v>
      </c>
      <c r="G365" s="51" t="s">
        <v>7</v>
      </c>
      <c r="H365" s="37" t="s">
        <v>4</v>
      </c>
      <c r="I365" s="53" t="s">
        <v>6</v>
      </c>
      <c r="J365" s="54" t="s">
        <v>5</v>
      </c>
      <c r="K365" s="37" t="s">
        <v>4</v>
      </c>
      <c r="L365" s="37" t="s">
        <v>4</v>
      </c>
    </row>
    <row r="366" spans="2:13" x14ac:dyDescent="0.15">
      <c r="B366" s="36" t="s">
        <v>0</v>
      </c>
      <c r="C366" s="35">
        <f t="shared" ref="C366:L366" si="152">C359</f>
        <v>37</v>
      </c>
      <c r="D366" s="34">
        <f t="shared" si="152"/>
        <v>37</v>
      </c>
      <c r="E366" s="33">
        <f t="shared" si="152"/>
        <v>74</v>
      </c>
      <c r="F366" s="35">
        <f t="shared" si="152"/>
        <v>49</v>
      </c>
      <c r="G366" s="34">
        <f t="shared" si="152"/>
        <v>11</v>
      </c>
      <c r="H366" s="33">
        <f t="shared" si="152"/>
        <v>60</v>
      </c>
      <c r="I366" s="35">
        <f t="shared" si="152"/>
        <v>7</v>
      </c>
      <c r="J366" s="34">
        <f t="shared" si="152"/>
        <v>14</v>
      </c>
      <c r="K366" s="33">
        <f t="shared" si="152"/>
        <v>21</v>
      </c>
      <c r="L366" s="33">
        <f t="shared" si="152"/>
        <v>155</v>
      </c>
    </row>
    <row r="367" spans="2:13" x14ac:dyDescent="0.15">
      <c r="B367" s="32" t="s">
        <v>3</v>
      </c>
      <c r="C367" s="18">
        <v>-3</v>
      </c>
      <c r="D367" s="17">
        <v>0</v>
      </c>
      <c r="E367" s="31">
        <f t="shared" ref="E367:E369" si="153">SUM(C367:D367)</f>
        <v>-3</v>
      </c>
      <c r="F367" s="18">
        <v>-1</v>
      </c>
      <c r="G367" s="17">
        <v>1</v>
      </c>
      <c r="H367" s="31">
        <f t="shared" ref="H367:H369" si="154">SUM(F367:G367)</f>
        <v>0</v>
      </c>
      <c r="I367" s="16">
        <v>0</v>
      </c>
      <c r="J367" s="15">
        <v>0</v>
      </c>
      <c r="K367" s="31">
        <f t="shared" ref="K367:K369" si="155">SUM(I367:J367)</f>
        <v>0</v>
      </c>
      <c r="L367" s="31">
        <f t="shared" ref="L367:L369" si="156">H367+K367+E367</f>
        <v>-3</v>
      </c>
      <c r="M367" s="19">
        <v>45898</v>
      </c>
    </row>
    <row r="368" spans="2:13" x14ac:dyDescent="0.15">
      <c r="B368" s="32" t="s">
        <v>3</v>
      </c>
      <c r="C368" s="18"/>
      <c r="D368" s="17"/>
      <c r="E368" s="31">
        <f t="shared" si="153"/>
        <v>0</v>
      </c>
      <c r="F368" s="18"/>
      <c r="G368" s="17"/>
      <c r="H368" s="31">
        <f t="shared" si="154"/>
        <v>0</v>
      </c>
      <c r="I368" s="16"/>
      <c r="J368" s="15"/>
      <c r="K368" s="31">
        <f t="shared" si="155"/>
        <v>0</v>
      </c>
      <c r="L368" s="31">
        <f t="shared" si="156"/>
        <v>0</v>
      </c>
    </row>
    <row r="369" spans="2:13" x14ac:dyDescent="0.15">
      <c r="B369" s="32" t="s">
        <v>3</v>
      </c>
      <c r="C369" s="18">
        <v>28</v>
      </c>
      <c r="D369" s="17">
        <v>14</v>
      </c>
      <c r="E369" s="31">
        <f t="shared" si="153"/>
        <v>42</v>
      </c>
      <c r="F369" s="18"/>
      <c r="G369" s="17"/>
      <c r="H369" s="31">
        <f t="shared" si="154"/>
        <v>0</v>
      </c>
      <c r="I369" s="16"/>
      <c r="J369" s="15"/>
      <c r="K369" s="31">
        <f t="shared" si="155"/>
        <v>0</v>
      </c>
      <c r="L369" s="31">
        <f t="shared" si="156"/>
        <v>42</v>
      </c>
      <c r="M369" s="19">
        <v>45902</v>
      </c>
    </row>
    <row r="370" spans="2:13" x14ac:dyDescent="0.15">
      <c r="B370" s="32" t="s">
        <v>3</v>
      </c>
      <c r="C370" s="18"/>
      <c r="D370" s="17"/>
      <c r="E370" s="31">
        <f>SUM(C370:D370)</f>
        <v>0</v>
      </c>
      <c r="F370" s="18"/>
      <c r="G370" s="17"/>
      <c r="H370" s="31">
        <f>SUM(F370:G370)</f>
        <v>0</v>
      </c>
      <c r="I370" s="16"/>
      <c r="J370" s="15"/>
      <c r="K370" s="31">
        <f>SUM(I370:J370)</f>
        <v>0</v>
      </c>
      <c r="L370" s="31">
        <f>H370+K370+E370</f>
        <v>0</v>
      </c>
    </row>
    <row r="371" spans="2:13" ht="14.25" thickBot="1" x14ac:dyDescent="0.2">
      <c r="B371" s="30" t="s">
        <v>3</v>
      </c>
      <c r="C371" s="29"/>
      <c r="D371" s="12"/>
      <c r="E371" s="28">
        <f>SUM(C371:D371)</f>
        <v>0</v>
      </c>
      <c r="F371" s="29"/>
      <c r="G371" s="12"/>
      <c r="H371" s="28">
        <f>SUM(F371:G371)</f>
        <v>0</v>
      </c>
      <c r="I371" s="11"/>
      <c r="J371" s="10"/>
      <c r="K371" s="28">
        <f>SUM(I371:J371)</f>
        <v>0</v>
      </c>
      <c r="L371" s="28">
        <f>H371+K371+E371</f>
        <v>0</v>
      </c>
    </row>
    <row r="372" spans="2:13" ht="14.25" thickBot="1" x14ac:dyDescent="0.2">
      <c r="B372" s="9" t="s">
        <v>2</v>
      </c>
      <c r="C372" s="8">
        <f t="shared" ref="C372:L372" si="157">SUM(C366:C371)</f>
        <v>62</v>
      </c>
      <c r="D372" s="7">
        <f t="shared" si="157"/>
        <v>51</v>
      </c>
      <c r="E372" s="27">
        <f t="shared" si="157"/>
        <v>113</v>
      </c>
      <c r="F372" s="8">
        <f t="shared" si="157"/>
        <v>48</v>
      </c>
      <c r="G372" s="7">
        <f t="shared" si="157"/>
        <v>12</v>
      </c>
      <c r="H372" s="27">
        <f t="shared" si="157"/>
        <v>60</v>
      </c>
      <c r="I372" s="8">
        <f t="shared" si="157"/>
        <v>7</v>
      </c>
      <c r="J372" s="7">
        <f t="shared" si="157"/>
        <v>14</v>
      </c>
      <c r="K372" s="27">
        <f t="shared" si="157"/>
        <v>21</v>
      </c>
      <c r="L372" s="27">
        <f t="shared" si="157"/>
        <v>194</v>
      </c>
    </row>
    <row r="373" spans="2:13" x14ac:dyDescent="0.15">
      <c r="B373" s="13" t="s">
        <v>21</v>
      </c>
      <c r="C373" s="18"/>
      <c r="D373" s="17">
        <v>1</v>
      </c>
      <c r="E373" s="14">
        <f t="shared" ref="E373:E381" si="158">SUM(C373:D373)</f>
        <v>1</v>
      </c>
      <c r="F373" s="18"/>
      <c r="G373" s="17">
        <v>1</v>
      </c>
      <c r="H373" s="14">
        <f t="shared" ref="H373:H381" si="159">SUM(F373:G373)</f>
        <v>1</v>
      </c>
      <c r="I373" s="16">
        <v>1</v>
      </c>
      <c r="J373" s="15">
        <v>2</v>
      </c>
      <c r="K373" s="14">
        <f t="shared" ref="K373:K381" si="160">SUM(I373:J373)</f>
        <v>3</v>
      </c>
      <c r="L373" s="14">
        <f t="shared" ref="L373:L397" si="161">H373+K373+E373</f>
        <v>5</v>
      </c>
      <c r="M373" s="19">
        <v>45849</v>
      </c>
    </row>
    <row r="374" spans="2:13" x14ac:dyDescent="0.15">
      <c r="B374" s="13" t="s">
        <v>21</v>
      </c>
      <c r="C374" s="18">
        <v>2</v>
      </c>
      <c r="D374" s="17">
        <v>4</v>
      </c>
      <c r="E374" s="14">
        <f t="shared" si="158"/>
        <v>6</v>
      </c>
      <c r="F374" s="18">
        <v>3</v>
      </c>
      <c r="G374" s="17"/>
      <c r="H374" s="14">
        <f t="shared" si="159"/>
        <v>3</v>
      </c>
      <c r="I374" s="16">
        <v>1</v>
      </c>
      <c r="J374" s="15"/>
      <c r="K374" s="14">
        <f t="shared" si="160"/>
        <v>1</v>
      </c>
      <c r="L374" s="14">
        <f t="shared" si="161"/>
        <v>10</v>
      </c>
      <c r="M374" s="19">
        <v>45852</v>
      </c>
    </row>
    <row r="375" spans="2:13" x14ac:dyDescent="0.15">
      <c r="B375" s="13" t="s">
        <v>21</v>
      </c>
      <c r="C375" s="18"/>
      <c r="D375" s="17"/>
      <c r="E375" s="14">
        <f t="shared" si="158"/>
        <v>0</v>
      </c>
      <c r="F375" s="18">
        <v>1</v>
      </c>
      <c r="G375" s="17"/>
      <c r="H375" s="14">
        <f t="shared" si="159"/>
        <v>1</v>
      </c>
      <c r="I375" s="16"/>
      <c r="J375" s="15"/>
      <c r="K375" s="14">
        <f t="shared" si="160"/>
        <v>0</v>
      </c>
      <c r="L375" s="14">
        <f t="shared" si="161"/>
        <v>1</v>
      </c>
      <c r="M375" s="19">
        <v>45853</v>
      </c>
    </row>
    <row r="376" spans="2:13" x14ac:dyDescent="0.15">
      <c r="B376" s="13" t="s">
        <v>21</v>
      </c>
      <c r="C376" s="18">
        <v>1</v>
      </c>
      <c r="D376" s="17"/>
      <c r="E376" s="14">
        <f t="shared" si="158"/>
        <v>1</v>
      </c>
      <c r="F376" s="18"/>
      <c r="G376" s="17"/>
      <c r="H376" s="14">
        <f t="shared" si="159"/>
        <v>0</v>
      </c>
      <c r="I376" s="16">
        <v>1</v>
      </c>
      <c r="J376" s="15">
        <v>1</v>
      </c>
      <c r="K376" s="14">
        <f t="shared" si="160"/>
        <v>2</v>
      </c>
      <c r="L376" s="14">
        <f t="shared" si="161"/>
        <v>3</v>
      </c>
      <c r="M376" s="19">
        <v>45855</v>
      </c>
    </row>
    <row r="377" spans="2:13" x14ac:dyDescent="0.15">
      <c r="B377" s="13" t="s">
        <v>21</v>
      </c>
      <c r="C377" s="18"/>
      <c r="D377" s="17"/>
      <c r="E377" s="14">
        <f t="shared" si="158"/>
        <v>0</v>
      </c>
      <c r="F377" s="18"/>
      <c r="G377" s="17">
        <v>1</v>
      </c>
      <c r="H377" s="14">
        <f t="shared" si="159"/>
        <v>1</v>
      </c>
      <c r="I377" s="16"/>
      <c r="J377" s="15"/>
      <c r="K377" s="14">
        <f t="shared" si="160"/>
        <v>0</v>
      </c>
      <c r="L377" s="14">
        <f t="shared" si="161"/>
        <v>1</v>
      </c>
      <c r="M377" s="19">
        <v>45856</v>
      </c>
    </row>
    <row r="378" spans="2:13" x14ac:dyDescent="0.15">
      <c r="B378" s="13" t="s">
        <v>21</v>
      </c>
      <c r="C378" s="18">
        <v>7</v>
      </c>
      <c r="D378" s="17">
        <v>1</v>
      </c>
      <c r="E378" s="14">
        <f t="shared" si="158"/>
        <v>8</v>
      </c>
      <c r="F378" s="18">
        <f>1+1</f>
        <v>2</v>
      </c>
      <c r="G378" s="17">
        <v>1</v>
      </c>
      <c r="H378" s="14">
        <f t="shared" si="159"/>
        <v>3</v>
      </c>
      <c r="I378" s="16">
        <v>1</v>
      </c>
      <c r="J378" s="15">
        <v>1</v>
      </c>
      <c r="K378" s="14">
        <f t="shared" si="160"/>
        <v>2</v>
      </c>
      <c r="L378" s="14">
        <f t="shared" si="161"/>
        <v>13</v>
      </c>
      <c r="M378" s="19">
        <v>45860</v>
      </c>
    </row>
    <row r="379" spans="2:13" x14ac:dyDescent="0.15">
      <c r="B379" s="13" t="s">
        <v>21</v>
      </c>
      <c r="C379" s="18"/>
      <c r="D379" s="17"/>
      <c r="E379" s="14">
        <f t="shared" si="158"/>
        <v>0</v>
      </c>
      <c r="F379" s="18"/>
      <c r="G379" s="17">
        <v>2</v>
      </c>
      <c r="H379" s="14">
        <f t="shared" si="159"/>
        <v>2</v>
      </c>
      <c r="I379" s="16"/>
      <c r="J379" s="15"/>
      <c r="K379" s="14">
        <f t="shared" si="160"/>
        <v>0</v>
      </c>
      <c r="L379" s="14">
        <f t="shared" si="161"/>
        <v>2</v>
      </c>
      <c r="M379" s="19">
        <v>45861</v>
      </c>
    </row>
    <row r="380" spans="2:13" x14ac:dyDescent="0.15">
      <c r="B380" s="13" t="s">
        <v>21</v>
      </c>
      <c r="C380" s="18">
        <v>1</v>
      </c>
      <c r="D380" s="17"/>
      <c r="E380" s="14">
        <f t="shared" si="158"/>
        <v>1</v>
      </c>
      <c r="F380" s="18">
        <v>1</v>
      </c>
      <c r="G380" s="17"/>
      <c r="H380" s="14">
        <f t="shared" si="159"/>
        <v>1</v>
      </c>
      <c r="I380" s="16"/>
      <c r="J380" s="15"/>
      <c r="K380" s="14">
        <f t="shared" si="160"/>
        <v>0</v>
      </c>
      <c r="L380" s="14">
        <f t="shared" si="161"/>
        <v>2</v>
      </c>
      <c r="M380" s="19">
        <v>45862</v>
      </c>
    </row>
    <row r="381" spans="2:13" x14ac:dyDescent="0.15">
      <c r="B381" s="13" t="s">
        <v>21</v>
      </c>
      <c r="C381" s="18">
        <v>2</v>
      </c>
      <c r="D381" s="17"/>
      <c r="E381" s="14">
        <f t="shared" si="158"/>
        <v>2</v>
      </c>
      <c r="F381" s="18"/>
      <c r="G381" s="17">
        <v>1</v>
      </c>
      <c r="H381" s="14">
        <f t="shared" si="159"/>
        <v>1</v>
      </c>
      <c r="I381" s="16">
        <v>1</v>
      </c>
      <c r="J381" s="15"/>
      <c r="K381" s="14">
        <f t="shared" si="160"/>
        <v>1</v>
      </c>
      <c r="L381" s="14">
        <f t="shared" si="161"/>
        <v>4</v>
      </c>
      <c r="M381" s="19">
        <v>45866</v>
      </c>
    </row>
    <row r="382" spans="2:13" x14ac:dyDescent="0.15">
      <c r="B382" s="13" t="s">
        <v>21</v>
      </c>
      <c r="C382" s="18">
        <v>1</v>
      </c>
      <c r="D382" s="17"/>
      <c r="E382" s="14">
        <f t="shared" ref="E382:E397" si="162">SUM(C382:D382)</f>
        <v>1</v>
      </c>
      <c r="F382" s="18"/>
      <c r="G382" s="17"/>
      <c r="H382" s="14">
        <f t="shared" ref="H382:H397" si="163">SUM(F382:G382)</f>
        <v>0</v>
      </c>
      <c r="I382" s="16"/>
      <c r="J382" s="15"/>
      <c r="K382" s="14">
        <f t="shared" ref="K382:K397" si="164">SUM(I382:J382)</f>
        <v>0</v>
      </c>
      <c r="L382" s="14">
        <f t="shared" si="161"/>
        <v>1</v>
      </c>
      <c r="M382" s="19">
        <v>45867</v>
      </c>
    </row>
    <row r="383" spans="2:13" x14ac:dyDescent="0.15">
      <c r="B383" s="13" t="s">
        <v>21</v>
      </c>
      <c r="C383" s="18">
        <v>2</v>
      </c>
      <c r="D383" s="17"/>
      <c r="E383" s="14">
        <f t="shared" si="162"/>
        <v>2</v>
      </c>
      <c r="F383" s="18"/>
      <c r="G383" s="17"/>
      <c r="H383" s="14">
        <f t="shared" si="163"/>
        <v>0</v>
      </c>
      <c r="I383" s="16"/>
      <c r="J383" s="15"/>
      <c r="K383" s="14">
        <f t="shared" si="164"/>
        <v>0</v>
      </c>
      <c r="L383" s="14">
        <f t="shared" si="161"/>
        <v>2</v>
      </c>
      <c r="M383" s="19">
        <v>45869</v>
      </c>
    </row>
    <row r="384" spans="2:13" x14ac:dyDescent="0.15">
      <c r="B384" s="13" t="s">
        <v>21</v>
      </c>
      <c r="C384" s="18">
        <v>1</v>
      </c>
      <c r="D384" s="17"/>
      <c r="E384" s="14">
        <f t="shared" si="162"/>
        <v>1</v>
      </c>
      <c r="F384" s="18">
        <v>1</v>
      </c>
      <c r="G384" s="17"/>
      <c r="H384" s="14">
        <f t="shared" si="163"/>
        <v>1</v>
      </c>
      <c r="I384" s="16"/>
      <c r="J384" s="15"/>
      <c r="K384" s="14">
        <f t="shared" si="164"/>
        <v>0</v>
      </c>
      <c r="L384" s="14">
        <f t="shared" si="161"/>
        <v>2</v>
      </c>
      <c r="M384" s="19">
        <v>45874</v>
      </c>
    </row>
    <row r="385" spans="2:13" x14ac:dyDescent="0.15">
      <c r="B385" s="13" t="s">
        <v>21</v>
      </c>
      <c r="C385" s="18"/>
      <c r="D385" s="17"/>
      <c r="E385" s="14">
        <f t="shared" si="162"/>
        <v>0</v>
      </c>
      <c r="F385" s="18"/>
      <c r="G385" s="17"/>
      <c r="H385" s="14">
        <f t="shared" si="163"/>
        <v>0</v>
      </c>
      <c r="I385" s="16"/>
      <c r="J385" s="15">
        <v>1</v>
      </c>
      <c r="K385" s="14">
        <f t="shared" si="164"/>
        <v>1</v>
      </c>
      <c r="L385" s="14">
        <f t="shared" si="161"/>
        <v>1</v>
      </c>
      <c r="M385" s="19">
        <v>45875</v>
      </c>
    </row>
    <row r="386" spans="2:13" x14ac:dyDescent="0.15">
      <c r="B386" s="13" t="s">
        <v>21</v>
      </c>
      <c r="C386" s="18"/>
      <c r="D386" s="17"/>
      <c r="E386" s="14">
        <f t="shared" si="162"/>
        <v>0</v>
      </c>
      <c r="F386" s="18"/>
      <c r="G386" s="17">
        <v>1</v>
      </c>
      <c r="H386" s="14">
        <f t="shared" si="163"/>
        <v>1</v>
      </c>
      <c r="I386" s="16"/>
      <c r="J386" s="15"/>
      <c r="K386" s="14">
        <f t="shared" si="164"/>
        <v>0</v>
      </c>
      <c r="L386" s="14">
        <f t="shared" si="161"/>
        <v>1</v>
      </c>
      <c r="M386" s="19">
        <v>45876</v>
      </c>
    </row>
    <row r="387" spans="2:13" x14ac:dyDescent="0.15">
      <c r="B387" s="13" t="s">
        <v>21</v>
      </c>
      <c r="C387" s="18"/>
      <c r="D387" s="17"/>
      <c r="E387" s="14">
        <f t="shared" si="162"/>
        <v>0</v>
      </c>
      <c r="F387" s="18"/>
      <c r="G387" s="17">
        <v>1</v>
      </c>
      <c r="H387" s="14">
        <f t="shared" si="163"/>
        <v>1</v>
      </c>
      <c r="I387" s="16"/>
      <c r="J387" s="15"/>
      <c r="K387" s="14">
        <f t="shared" si="164"/>
        <v>0</v>
      </c>
      <c r="L387" s="14">
        <f t="shared" si="161"/>
        <v>1</v>
      </c>
      <c r="M387" s="19">
        <v>45877</v>
      </c>
    </row>
    <row r="388" spans="2:13" x14ac:dyDescent="0.15">
      <c r="B388" s="13" t="s">
        <v>21</v>
      </c>
      <c r="C388" s="18"/>
      <c r="D388" s="17"/>
      <c r="E388" s="14">
        <f t="shared" si="162"/>
        <v>0</v>
      </c>
      <c r="F388" s="18">
        <f>1+2</f>
        <v>3</v>
      </c>
      <c r="G388" s="17"/>
      <c r="H388" s="14">
        <f t="shared" si="163"/>
        <v>3</v>
      </c>
      <c r="I388" s="16"/>
      <c r="J388" s="15">
        <f>1+2</f>
        <v>3</v>
      </c>
      <c r="K388" s="14">
        <f t="shared" si="164"/>
        <v>3</v>
      </c>
      <c r="L388" s="14">
        <f t="shared" si="161"/>
        <v>6</v>
      </c>
      <c r="M388" s="19">
        <v>45887</v>
      </c>
    </row>
    <row r="389" spans="2:13" x14ac:dyDescent="0.15">
      <c r="B389" s="13" t="s">
        <v>25</v>
      </c>
      <c r="C389" s="18">
        <v>9</v>
      </c>
      <c r="D389" s="17">
        <v>9</v>
      </c>
      <c r="E389" s="14">
        <f t="shared" si="162"/>
        <v>18</v>
      </c>
      <c r="F389" s="18"/>
      <c r="G389" s="17"/>
      <c r="H389" s="14">
        <f t="shared" si="163"/>
        <v>0</v>
      </c>
      <c r="I389" s="16"/>
      <c r="J389" s="15"/>
      <c r="K389" s="14">
        <f t="shared" si="164"/>
        <v>0</v>
      </c>
      <c r="L389" s="14">
        <f t="shared" si="161"/>
        <v>18</v>
      </c>
      <c r="M389" s="19">
        <v>45896</v>
      </c>
    </row>
    <row r="390" spans="2:13" x14ac:dyDescent="0.15">
      <c r="B390" s="13" t="s">
        <v>78</v>
      </c>
      <c r="C390" s="18">
        <v>1</v>
      </c>
      <c r="D390" s="17">
        <v>1</v>
      </c>
      <c r="E390" s="14">
        <f t="shared" si="162"/>
        <v>2</v>
      </c>
      <c r="F390" s="18"/>
      <c r="G390" s="17"/>
      <c r="H390" s="14">
        <f t="shared" si="163"/>
        <v>0</v>
      </c>
      <c r="I390" s="16"/>
      <c r="J390" s="15"/>
      <c r="K390" s="14">
        <f t="shared" si="164"/>
        <v>0</v>
      </c>
      <c r="L390" s="14">
        <f t="shared" si="161"/>
        <v>2</v>
      </c>
      <c r="M390" s="19">
        <v>45897</v>
      </c>
    </row>
    <row r="391" spans="2:13" x14ac:dyDescent="0.15">
      <c r="B391" s="13" t="s">
        <v>27</v>
      </c>
      <c r="C391" s="18">
        <v>3</v>
      </c>
      <c r="D391" s="17">
        <v>3</v>
      </c>
      <c r="E391" s="14">
        <f t="shared" si="162"/>
        <v>6</v>
      </c>
      <c r="F391" s="18"/>
      <c r="G391" s="17"/>
      <c r="H391" s="14">
        <f t="shared" si="163"/>
        <v>0</v>
      </c>
      <c r="I391" s="16"/>
      <c r="J391" s="15"/>
      <c r="K391" s="14">
        <f t="shared" si="164"/>
        <v>0</v>
      </c>
      <c r="L391" s="14">
        <f t="shared" si="161"/>
        <v>6</v>
      </c>
      <c r="M391" s="19">
        <v>45898</v>
      </c>
    </row>
    <row r="392" spans="2:13" x14ac:dyDescent="0.15">
      <c r="B392" s="13" t="s">
        <v>28</v>
      </c>
      <c r="C392" s="18">
        <v>2</v>
      </c>
      <c r="D392" s="17">
        <v>2</v>
      </c>
      <c r="E392" s="14">
        <f t="shared" si="162"/>
        <v>4</v>
      </c>
      <c r="F392" s="18"/>
      <c r="G392" s="17"/>
      <c r="H392" s="14">
        <f t="shared" si="163"/>
        <v>0</v>
      </c>
      <c r="I392" s="16"/>
      <c r="J392" s="15"/>
      <c r="K392" s="14">
        <f t="shared" si="164"/>
        <v>0</v>
      </c>
      <c r="L392" s="14">
        <f t="shared" si="161"/>
        <v>4</v>
      </c>
      <c r="M392" s="19">
        <v>45901</v>
      </c>
    </row>
    <row r="393" spans="2:13" x14ac:dyDescent="0.15">
      <c r="B393" s="13" t="s">
        <v>29</v>
      </c>
      <c r="C393" s="18">
        <v>9</v>
      </c>
      <c r="D393" s="17">
        <v>9</v>
      </c>
      <c r="E393" s="14">
        <f t="shared" si="162"/>
        <v>18</v>
      </c>
      <c r="F393" s="18"/>
      <c r="G393" s="17"/>
      <c r="H393" s="14">
        <f t="shared" si="163"/>
        <v>0</v>
      </c>
      <c r="I393" s="16"/>
      <c r="J393" s="15"/>
      <c r="K393" s="14">
        <f t="shared" si="164"/>
        <v>0</v>
      </c>
      <c r="L393" s="14">
        <f t="shared" si="161"/>
        <v>18</v>
      </c>
      <c r="M393" s="19">
        <v>45903</v>
      </c>
    </row>
    <row r="394" spans="2:13" x14ac:dyDescent="0.15">
      <c r="B394" s="13" t="s">
        <v>31</v>
      </c>
      <c r="C394" s="18">
        <v>5</v>
      </c>
      <c r="D394" s="17">
        <v>5</v>
      </c>
      <c r="E394" s="14">
        <f t="shared" si="162"/>
        <v>10</v>
      </c>
      <c r="F394" s="18"/>
      <c r="G394" s="17"/>
      <c r="H394" s="14">
        <f t="shared" si="163"/>
        <v>0</v>
      </c>
      <c r="I394" s="16"/>
      <c r="J394" s="15"/>
      <c r="K394" s="14">
        <f t="shared" si="164"/>
        <v>0</v>
      </c>
      <c r="L394" s="14">
        <f t="shared" si="161"/>
        <v>10</v>
      </c>
      <c r="M394" s="19">
        <v>45904</v>
      </c>
    </row>
    <row r="395" spans="2:13" x14ac:dyDescent="0.15">
      <c r="B395" s="13" t="s">
        <v>32</v>
      </c>
      <c r="C395" s="18">
        <v>6</v>
      </c>
      <c r="D395" s="17">
        <v>6</v>
      </c>
      <c r="E395" s="14">
        <f t="shared" si="162"/>
        <v>12</v>
      </c>
      <c r="F395" s="18"/>
      <c r="G395" s="17"/>
      <c r="H395" s="14">
        <f t="shared" si="163"/>
        <v>0</v>
      </c>
      <c r="I395" s="16"/>
      <c r="J395" s="15"/>
      <c r="K395" s="14">
        <f t="shared" si="164"/>
        <v>0</v>
      </c>
      <c r="L395" s="14">
        <f t="shared" si="161"/>
        <v>12</v>
      </c>
      <c r="M395" s="19"/>
    </row>
    <row r="396" spans="2:13" x14ac:dyDescent="0.15">
      <c r="B396" s="13"/>
      <c r="C396" s="18"/>
      <c r="D396" s="17"/>
      <c r="E396" s="14">
        <f t="shared" si="162"/>
        <v>0</v>
      </c>
      <c r="F396" s="18"/>
      <c r="G396" s="17"/>
      <c r="H396" s="14">
        <f t="shared" si="163"/>
        <v>0</v>
      </c>
      <c r="I396" s="16"/>
      <c r="J396" s="15"/>
      <c r="K396" s="14">
        <f t="shared" si="164"/>
        <v>0</v>
      </c>
      <c r="L396" s="14">
        <f t="shared" si="161"/>
        <v>0</v>
      </c>
      <c r="M396" s="19">
        <v>45908</v>
      </c>
    </row>
    <row r="397" spans="2:13" ht="14.25" thickBot="1" x14ac:dyDescent="0.2">
      <c r="B397" s="13" t="s">
        <v>76</v>
      </c>
      <c r="C397" s="18">
        <f>30-9-1-3-2-9-5-1</f>
        <v>0</v>
      </c>
      <c r="D397" s="17">
        <f>30-9-1-3-2-9-5-1</f>
        <v>0</v>
      </c>
      <c r="E397" s="14">
        <f t="shared" si="162"/>
        <v>0</v>
      </c>
      <c r="F397" s="62"/>
      <c r="G397" s="63"/>
      <c r="H397" s="64">
        <f t="shared" si="163"/>
        <v>0</v>
      </c>
      <c r="I397" s="65"/>
      <c r="J397" s="66"/>
      <c r="K397" s="64">
        <f t="shared" si="164"/>
        <v>0</v>
      </c>
      <c r="L397" s="14">
        <f t="shared" si="161"/>
        <v>0</v>
      </c>
      <c r="M397" t="s">
        <v>77</v>
      </c>
    </row>
    <row r="398" spans="2:13" ht="14.25" thickBot="1" x14ac:dyDescent="0.2">
      <c r="B398" s="9" t="s">
        <v>1</v>
      </c>
      <c r="C398" s="8">
        <f t="shared" ref="C398:L398" si="165">SUM(C373:C397)</f>
        <v>52</v>
      </c>
      <c r="D398" s="7">
        <f t="shared" si="165"/>
        <v>41</v>
      </c>
      <c r="E398" s="6">
        <f t="shared" si="165"/>
        <v>93</v>
      </c>
      <c r="F398" s="8">
        <f t="shared" si="165"/>
        <v>11</v>
      </c>
      <c r="G398" s="7">
        <f t="shared" si="165"/>
        <v>8</v>
      </c>
      <c r="H398" s="6">
        <f t="shared" si="165"/>
        <v>19</v>
      </c>
      <c r="I398" s="8">
        <f t="shared" si="165"/>
        <v>5</v>
      </c>
      <c r="J398" s="7">
        <f t="shared" si="165"/>
        <v>8</v>
      </c>
      <c r="K398" s="6">
        <f t="shared" si="165"/>
        <v>13</v>
      </c>
      <c r="L398" s="6">
        <f t="shared" si="165"/>
        <v>125</v>
      </c>
    </row>
    <row r="399" spans="2:13" ht="14.25" thickBot="1" x14ac:dyDescent="0.2">
      <c r="B399" s="5" t="s">
        <v>0</v>
      </c>
      <c r="C399" s="4">
        <f t="shared" ref="C399:L399" si="166">+C372-C398</f>
        <v>10</v>
      </c>
      <c r="D399" s="3">
        <f t="shared" si="166"/>
        <v>10</v>
      </c>
      <c r="E399" s="2">
        <f t="shared" si="166"/>
        <v>20</v>
      </c>
      <c r="F399" s="4">
        <f t="shared" si="166"/>
        <v>37</v>
      </c>
      <c r="G399" s="3">
        <f t="shared" si="166"/>
        <v>4</v>
      </c>
      <c r="H399" s="2">
        <f t="shared" si="166"/>
        <v>41</v>
      </c>
      <c r="I399" s="4">
        <f t="shared" si="166"/>
        <v>2</v>
      </c>
      <c r="J399" s="3">
        <f t="shared" si="166"/>
        <v>6</v>
      </c>
      <c r="K399" s="2">
        <f t="shared" si="166"/>
        <v>8</v>
      </c>
      <c r="L399" s="2">
        <f t="shared" si="166"/>
        <v>69</v>
      </c>
    </row>
    <row r="401" spans="2:13" ht="18.75" x14ac:dyDescent="0.2">
      <c r="B401" s="44" t="s">
        <v>14</v>
      </c>
      <c r="C401" s="42"/>
      <c r="D401" s="42"/>
      <c r="E401" s="42"/>
      <c r="F401" s="42"/>
      <c r="G401" s="42"/>
      <c r="H401" s="42"/>
      <c r="I401" s="42"/>
      <c r="J401" s="42"/>
      <c r="K401" s="42"/>
      <c r="L401" s="42"/>
    </row>
    <row r="402" spans="2:13" ht="17.25" x14ac:dyDescent="0.2">
      <c r="B402" s="43" t="s">
        <v>13</v>
      </c>
      <c r="C402" s="42"/>
      <c r="D402" s="42"/>
      <c r="E402" s="42"/>
      <c r="F402" s="42"/>
      <c r="G402" s="42"/>
      <c r="H402" s="42"/>
      <c r="I402" s="42"/>
      <c r="J402" s="42"/>
      <c r="K402" s="42"/>
      <c r="L402" s="42"/>
    </row>
    <row r="403" spans="2:13" ht="14.25" thickBot="1" x14ac:dyDescent="0.2"/>
    <row r="404" spans="2:13" ht="14.25" thickBot="1" x14ac:dyDescent="0.2">
      <c r="B404" s="41"/>
      <c r="C404" s="67" t="s">
        <v>12</v>
      </c>
      <c r="D404" s="68"/>
      <c r="E404" s="69"/>
      <c r="F404" s="67" t="s">
        <v>11</v>
      </c>
      <c r="G404" s="68"/>
      <c r="H404" s="69"/>
      <c r="I404" s="67" t="s">
        <v>10</v>
      </c>
      <c r="J404" s="68"/>
      <c r="K404" s="69"/>
      <c r="L404" s="40"/>
    </row>
    <row r="405" spans="2:13" ht="14.25" thickBot="1" x14ac:dyDescent="0.2">
      <c r="B405" s="39"/>
      <c r="C405" s="50" t="s">
        <v>7</v>
      </c>
      <c r="D405" s="38" t="s">
        <v>9</v>
      </c>
      <c r="E405" s="37" t="s">
        <v>4</v>
      </c>
      <c r="F405" s="52" t="s">
        <v>8</v>
      </c>
      <c r="G405" s="51" t="s">
        <v>7</v>
      </c>
      <c r="H405" s="37" t="s">
        <v>4</v>
      </c>
      <c r="I405" s="53" t="s">
        <v>6</v>
      </c>
      <c r="J405" s="54" t="s">
        <v>5</v>
      </c>
      <c r="K405" s="37" t="s">
        <v>4</v>
      </c>
      <c r="L405" s="37" t="s">
        <v>4</v>
      </c>
    </row>
    <row r="406" spans="2:13" x14ac:dyDescent="0.15">
      <c r="B406" s="36" t="s">
        <v>0</v>
      </c>
      <c r="C406" s="35">
        <f t="shared" ref="C406:L406" si="167">C399</f>
        <v>10</v>
      </c>
      <c r="D406" s="34">
        <f t="shared" si="167"/>
        <v>10</v>
      </c>
      <c r="E406" s="33">
        <f t="shared" si="167"/>
        <v>20</v>
      </c>
      <c r="F406" s="35">
        <f t="shared" si="167"/>
        <v>37</v>
      </c>
      <c r="G406" s="34">
        <f t="shared" si="167"/>
        <v>4</v>
      </c>
      <c r="H406" s="33">
        <f t="shared" si="167"/>
        <v>41</v>
      </c>
      <c r="I406" s="35">
        <f t="shared" si="167"/>
        <v>2</v>
      </c>
      <c r="J406" s="34">
        <f t="shared" si="167"/>
        <v>6</v>
      </c>
      <c r="K406" s="33">
        <f t="shared" si="167"/>
        <v>8</v>
      </c>
      <c r="L406" s="33">
        <f t="shared" si="167"/>
        <v>69</v>
      </c>
    </row>
    <row r="407" spans="2:13" x14ac:dyDescent="0.15">
      <c r="B407" s="32" t="s">
        <v>3</v>
      </c>
      <c r="C407" s="18"/>
      <c r="D407" s="17"/>
      <c r="E407" s="31">
        <f t="shared" ref="E407:E409" si="168">SUM(C407:D407)</f>
        <v>0</v>
      </c>
      <c r="F407" s="18"/>
      <c r="G407" s="17"/>
      <c r="H407" s="31">
        <f t="shared" ref="H407:H409" si="169">SUM(F407:G407)</f>
        <v>0</v>
      </c>
      <c r="I407" s="16"/>
      <c r="J407" s="15"/>
      <c r="K407" s="31">
        <f t="shared" ref="K407:K409" si="170">SUM(I407:J407)</f>
        <v>0</v>
      </c>
      <c r="L407" s="31">
        <f t="shared" ref="L407:L409" si="171">H407+K407+E407</f>
        <v>0</v>
      </c>
    </row>
    <row r="408" spans="2:13" x14ac:dyDescent="0.15">
      <c r="B408" s="32" t="s">
        <v>3</v>
      </c>
      <c r="C408" s="18">
        <v>20</v>
      </c>
      <c r="D408" s="17">
        <v>20</v>
      </c>
      <c r="E408" s="31">
        <f t="shared" si="168"/>
        <v>40</v>
      </c>
      <c r="F408" s="18"/>
      <c r="G408" s="17"/>
      <c r="H408" s="31">
        <f t="shared" si="169"/>
        <v>0</v>
      </c>
      <c r="I408" s="16"/>
      <c r="J408" s="15"/>
      <c r="K408" s="31">
        <f t="shared" si="170"/>
        <v>0</v>
      </c>
      <c r="L408" s="31">
        <f t="shared" si="171"/>
        <v>40</v>
      </c>
      <c r="M408" s="19">
        <v>45910</v>
      </c>
    </row>
    <row r="409" spans="2:13" x14ac:dyDescent="0.15">
      <c r="B409" s="32" t="s">
        <v>55</v>
      </c>
      <c r="C409" s="18">
        <v>2</v>
      </c>
      <c r="D409" s="17">
        <v>2</v>
      </c>
      <c r="E409" s="31">
        <f t="shared" si="168"/>
        <v>4</v>
      </c>
      <c r="F409" s="18"/>
      <c r="G409" s="17"/>
      <c r="H409" s="31">
        <f t="shared" si="169"/>
        <v>0</v>
      </c>
      <c r="I409" s="16"/>
      <c r="J409" s="15"/>
      <c r="K409" s="31">
        <f t="shared" si="170"/>
        <v>0</v>
      </c>
      <c r="L409" s="31">
        <f t="shared" si="171"/>
        <v>4</v>
      </c>
      <c r="M409" s="19">
        <v>45966</v>
      </c>
    </row>
    <row r="410" spans="2:13" x14ac:dyDescent="0.15">
      <c r="B410" s="32" t="s">
        <v>64</v>
      </c>
      <c r="C410" s="18">
        <v>0</v>
      </c>
      <c r="D410" s="17">
        <v>0</v>
      </c>
      <c r="E410" s="31">
        <f>SUM(C410:D410)</f>
        <v>0</v>
      </c>
      <c r="F410" s="18">
        <v>0</v>
      </c>
      <c r="G410" s="17">
        <v>0</v>
      </c>
      <c r="H410" s="31">
        <f>SUM(F410:G410)</f>
        <v>0</v>
      </c>
      <c r="I410" s="16">
        <v>0</v>
      </c>
      <c r="J410" s="15">
        <v>0</v>
      </c>
      <c r="K410" s="31">
        <f>SUM(I410:J410)</f>
        <v>0</v>
      </c>
      <c r="L410" s="31">
        <f>H410+K410+E410</f>
        <v>0</v>
      </c>
      <c r="M410" s="19">
        <v>46087</v>
      </c>
    </row>
    <row r="411" spans="2:13" ht="14.25" thickBot="1" x14ac:dyDescent="0.2">
      <c r="B411" s="30" t="s">
        <v>3</v>
      </c>
      <c r="C411" s="29"/>
      <c r="D411" s="12"/>
      <c r="E411" s="28">
        <f>SUM(C411:D411)</f>
        <v>0</v>
      </c>
      <c r="F411" s="29"/>
      <c r="G411" s="12"/>
      <c r="H411" s="28">
        <f>SUM(F411:G411)</f>
        <v>0</v>
      </c>
      <c r="I411" s="11"/>
      <c r="J411" s="10"/>
      <c r="K411" s="28">
        <f>SUM(I411:J411)</f>
        <v>0</v>
      </c>
      <c r="L411" s="28">
        <f>H411+K411+E411</f>
        <v>0</v>
      </c>
    </row>
    <row r="412" spans="2:13" ht="14.25" thickBot="1" x14ac:dyDescent="0.2">
      <c r="B412" s="9" t="s">
        <v>2</v>
      </c>
      <c r="C412" s="8">
        <f t="shared" ref="C412:L412" si="172">SUM(C406:C411)</f>
        <v>32</v>
      </c>
      <c r="D412" s="7">
        <f t="shared" si="172"/>
        <v>32</v>
      </c>
      <c r="E412" s="27">
        <f t="shared" si="172"/>
        <v>64</v>
      </c>
      <c r="F412" s="8">
        <f t="shared" si="172"/>
        <v>37</v>
      </c>
      <c r="G412" s="7">
        <f t="shared" si="172"/>
        <v>4</v>
      </c>
      <c r="H412" s="27">
        <f t="shared" si="172"/>
        <v>41</v>
      </c>
      <c r="I412" s="8">
        <f t="shared" si="172"/>
        <v>2</v>
      </c>
      <c r="J412" s="7">
        <f t="shared" si="172"/>
        <v>6</v>
      </c>
      <c r="K412" s="27">
        <f t="shared" si="172"/>
        <v>8</v>
      </c>
      <c r="L412" s="27">
        <f t="shared" si="172"/>
        <v>113</v>
      </c>
    </row>
    <row r="413" spans="2:13" x14ac:dyDescent="0.15">
      <c r="B413" s="13" t="s">
        <v>34</v>
      </c>
      <c r="C413" s="18">
        <v>1</v>
      </c>
      <c r="D413" s="17">
        <v>1</v>
      </c>
      <c r="E413" s="14">
        <f t="shared" ref="E413" si="173">SUM(C413:D413)</f>
        <v>2</v>
      </c>
      <c r="F413" s="18"/>
      <c r="G413" s="17"/>
      <c r="H413" s="14">
        <f t="shared" ref="H413" si="174">SUM(F413:G413)</f>
        <v>0</v>
      </c>
      <c r="I413" s="16"/>
      <c r="J413" s="15"/>
      <c r="K413" s="14">
        <f t="shared" ref="K413" si="175">SUM(I413:J413)</f>
        <v>0</v>
      </c>
      <c r="L413" s="14">
        <f t="shared" ref="L413" si="176">H413+K413+E413</f>
        <v>2</v>
      </c>
      <c r="M413" s="19">
        <v>45908</v>
      </c>
    </row>
    <row r="414" spans="2:13" x14ac:dyDescent="0.15">
      <c r="B414" s="13" t="s">
        <v>35</v>
      </c>
      <c r="C414" s="18">
        <v>4</v>
      </c>
      <c r="D414" s="17">
        <v>4</v>
      </c>
      <c r="E414" s="14">
        <f t="shared" ref="E414" si="177">SUM(C414:D414)</f>
        <v>8</v>
      </c>
      <c r="F414" s="18"/>
      <c r="G414" s="17"/>
      <c r="H414" s="14">
        <f t="shared" ref="H414" si="178">SUM(F414:G414)</f>
        <v>0</v>
      </c>
      <c r="I414" s="16"/>
      <c r="J414" s="15"/>
      <c r="K414" s="14">
        <f t="shared" ref="K414" si="179">SUM(I414:J414)</f>
        <v>0</v>
      </c>
      <c r="L414" s="14">
        <f t="shared" ref="L414" si="180">H414+K414+E414</f>
        <v>8</v>
      </c>
      <c r="M414" s="19">
        <v>45910</v>
      </c>
    </row>
    <row r="415" spans="2:13" x14ac:dyDescent="0.15">
      <c r="B415" s="13" t="s">
        <v>21</v>
      </c>
      <c r="C415" s="18"/>
      <c r="D415" s="17">
        <v>1</v>
      </c>
      <c r="E415" s="14">
        <f t="shared" ref="E415:E421" si="181">SUM(C415:D415)</f>
        <v>1</v>
      </c>
      <c r="F415" s="18"/>
      <c r="G415" s="17">
        <v>1</v>
      </c>
      <c r="H415" s="14">
        <f t="shared" ref="H415:H421" si="182">SUM(F415:G415)</f>
        <v>1</v>
      </c>
      <c r="I415" s="16"/>
      <c r="J415" s="15"/>
      <c r="K415" s="14">
        <f t="shared" ref="K415:K421" si="183">SUM(I415:J415)</f>
        <v>0</v>
      </c>
      <c r="L415" s="14">
        <f t="shared" ref="L415:L434" si="184">H415+K415+E415</f>
        <v>2</v>
      </c>
      <c r="M415" s="19">
        <v>45909</v>
      </c>
    </row>
    <row r="416" spans="2:13" x14ac:dyDescent="0.15">
      <c r="B416" s="13" t="s">
        <v>21</v>
      </c>
      <c r="C416" s="18"/>
      <c r="D416" s="17">
        <v>1</v>
      </c>
      <c r="E416" s="14">
        <f t="shared" si="181"/>
        <v>1</v>
      </c>
      <c r="F416" s="18"/>
      <c r="G416" s="17"/>
      <c r="H416" s="14">
        <f t="shared" si="182"/>
        <v>0</v>
      </c>
      <c r="I416" s="16"/>
      <c r="J416" s="15"/>
      <c r="K416" s="14">
        <f t="shared" si="183"/>
        <v>0</v>
      </c>
      <c r="L416" s="14">
        <f t="shared" si="184"/>
        <v>1</v>
      </c>
      <c r="M416" s="19">
        <v>45911</v>
      </c>
    </row>
    <row r="417" spans="2:13" x14ac:dyDescent="0.15">
      <c r="B417" s="13" t="s">
        <v>36</v>
      </c>
      <c r="C417" s="18">
        <v>2</v>
      </c>
      <c r="D417" s="17">
        <v>2</v>
      </c>
      <c r="E417" s="14">
        <f t="shared" si="181"/>
        <v>4</v>
      </c>
      <c r="F417" s="18"/>
      <c r="G417" s="17"/>
      <c r="H417" s="14">
        <f t="shared" si="182"/>
        <v>0</v>
      </c>
      <c r="I417" s="16"/>
      <c r="J417" s="15"/>
      <c r="K417" s="14">
        <f t="shared" si="183"/>
        <v>0</v>
      </c>
      <c r="L417" s="14">
        <f t="shared" si="184"/>
        <v>4</v>
      </c>
      <c r="M417" s="19">
        <v>45924</v>
      </c>
    </row>
    <row r="418" spans="2:13" x14ac:dyDescent="0.15">
      <c r="B418" s="13" t="s">
        <v>21</v>
      </c>
      <c r="C418" s="18"/>
      <c r="D418" s="17"/>
      <c r="E418" s="14">
        <f t="shared" si="181"/>
        <v>0</v>
      </c>
      <c r="F418" s="18"/>
      <c r="G418" s="17"/>
      <c r="H418" s="14">
        <f t="shared" si="182"/>
        <v>0</v>
      </c>
      <c r="I418" s="16">
        <v>1</v>
      </c>
      <c r="J418" s="15">
        <v>1</v>
      </c>
      <c r="K418" s="14">
        <f t="shared" si="183"/>
        <v>2</v>
      </c>
      <c r="L418" s="14">
        <f t="shared" si="184"/>
        <v>2</v>
      </c>
      <c r="M418" s="19">
        <v>45936</v>
      </c>
    </row>
    <row r="419" spans="2:13" x14ac:dyDescent="0.15">
      <c r="B419" s="13" t="s">
        <v>21</v>
      </c>
      <c r="C419" s="18">
        <v>2</v>
      </c>
      <c r="D419" s="17"/>
      <c r="E419" s="14">
        <f t="shared" si="181"/>
        <v>2</v>
      </c>
      <c r="F419" s="18"/>
      <c r="G419" s="17"/>
      <c r="H419" s="14">
        <f t="shared" si="182"/>
        <v>0</v>
      </c>
      <c r="I419" s="16"/>
      <c r="J419" s="15"/>
      <c r="K419" s="14">
        <f t="shared" si="183"/>
        <v>0</v>
      </c>
      <c r="L419" s="14">
        <f t="shared" si="184"/>
        <v>2</v>
      </c>
      <c r="M419" s="19">
        <v>45947</v>
      </c>
    </row>
    <row r="420" spans="2:13" x14ac:dyDescent="0.15">
      <c r="B420" s="13" t="s">
        <v>21</v>
      </c>
      <c r="C420" s="18"/>
      <c r="D420" s="17"/>
      <c r="E420" s="14">
        <f t="shared" si="181"/>
        <v>0</v>
      </c>
      <c r="F420" s="18">
        <v>1</v>
      </c>
      <c r="G420" s="17">
        <v>1</v>
      </c>
      <c r="H420" s="14">
        <f t="shared" si="182"/>
        <v>2</v>
      </c>
      <c r="I420" s="16"/>
      <c r="J420" s="15"/>
      <c r="K420" s="14">
        <f t="shared" si="183"/>
        <v>0</v>
      </c>
      <c r="L420" s="14">
        <f t="shared" si="184"/>
        <v>2</v>
      </c>
      <c r="M420" s="19">
        <v>45978</v>
      </c>
    </row>
    <row r="421" spans="2:13" x14ac:dyDescent="0.15">
      <c r="B421" s="13" t="s">
        <v>38</v>
      </c>
      <c r="C421" s="18">
        <v>1</v>
      </c>
      <c r="D421" s="17">
        <v>1</v>
      </c>
      <c r="E421" s="14">
        <f t="shared" si="181"/>
        <v>2</v>
      </c>
      <c r="F421" s="18"/>
      <c r="G421" s="17"/>
      <c r="H421" s="14">
        <f t="shared" si="182"/>
        <v>0</v>
      </c>
      <c r="I421" s="16"/>
      <c r="J421" s="15"/>
      <c r="K421" s="14">
        <f t="shared" si="183"/>
        <v>0</v>
      </c>
      <c r="L421" s="14">
        <f t="shared" si="184"/>
        <v>2</v>
      </c>
      <c r="M421" s="19">
        <v>45994</v>
      </c>
    </row>
    <row r="422" spans="2:13" x14ac:dyDescent="0.15">
      <c r="B422" s="13" t="s">
        <v>79</v>
      </c>
      <c r="C422" s="18">
        <v>1</v>
      </c>
      <c r="D422" s="17">
        <v>1</v>
      </c>
      <c r="E422" s="14">
        <f t="shared" ref="E422:E434" si="185">SUM(C422:D422)</f>
        <v>2</v>
      </c>
      <c r="F422" s="18"/>
      <c r="G422" s="17"/>
      <c r="H422" s="14">
        <f t="shared" ref="H422:H434" si="186">SUM(F422:G422)</f>
        <v>0</v>
      </c>
      <c r="I422" s="16"/>
      <c r="J422" s="15"/>
      <c r="K422" s="14">
        <f t="shared" ref="K422:K434" si="187">SUM(I422:J422)</f>
        <v>0</v>
      </c>
      <c r="L422" s="14">
        <f t="shared" si="184"/>
        <v>2</v>
      </c>
      <c r="M422" s="19">
        <v>46017</v>
      </c>
    </row>
    <row r="423" spans="2:13" x14ac:dyDescent="0.15">
      <c r="B423" s="13" t="s">
        <v>21</v>
      </c>
      <c r="C423" s="18"/>
      <c r="D423" s="17"/>
      <c r="E423" s="14">
        <f t="shared" si="185"/>
        <v>0</v>
      </c>
      <c r="F423" s="18">
        <v>1</v>
      </c>
      <c r="G423" s="17"/>
      <c r="H423" s="14">
        <f t="shared" si="186"/>
        <v>1</v>
      </c>
      <c r="I423" s="16"/>
      <c r="J423" s="15"/>
      <c r="K423" s="14">
        <f t="shared" si="187"/>
        <v>0</v>
      </c>
      <c r="L423" s="14">
        <f t="shared" si="184"/>
        <v>1</v>
      </c>
      <c r="M423" s="19">
        <v>46027</v>
      </c>
    </row>
    <row r="424" spans="2:13" x14ac:dyDescent="0.15">
      <c r="B424" s="13" t="s">
        <v>21</v>
      </c>
      <c r="C424" s="18"/>
      <c r="D424" s="17">
        <v>1</v>
      </c>
      <c r="E424" s="14">
        <f t="shared" si="185"/>
        <v>1</v>
      </c>
      <c r="F424" s="18"/>
      <c r="G424" s="17"/>
      <c r="H424" s="14">
        <f t="shared" si="186"/>
        <v>0</v>
      </c>
      <c r="I424" s="16"/>
      <c r="J424" s="15"/>
      <c r="K424" s="14">
        <f t="shared" si="187"/>
        <v>0</v>
      </c>
      <c r="L424" s="14">
        <f t="shared" si="184"/>
        <v>1</v>
      </c>
      <c r="M424" s="19">
        <v>46079</v>
      </c>
    </row>
    <row r="425" spans="2:13" x14ac:dyDescent="0.15">
      <c r="B425" s="13" t="s">
        <v>21</v>
      </c>
      <c r="C425" s="18">
        <v>1</v>
      </c>
      <c r="D425" s="17"/>
      <c r="E425" s="14">
        <f t="shared" si="185"/>
        <v>1</v>
      </c>
      <c r="F425" s="18"/>
      <c r="G425" s="17"/>
      <c r="H425" s="14">
        <f t="shared" si="186"/>
        <v>0</v>
      </c>
      <c r="I425" s="16"/>
      <c r="J425" s="15"/>
      <c r="K425" s="14">
        <f t="shared" si="187"/>
        <v>0</v>
      </c>
      <c r="L425" s="14">
        <f t="shared" si="184"/>
        <v>1</v>
      </c>
      <c r="M425" s="19">
        <v>46111</v>
      </c>
    </row>
    <row r="426" spans="2:13" x14ac:dyDescent="0.15">
      <c r="B426" s="13" t="s">
        <v>21</v>
      </c>
      <c r="C426" s="18"/>
      <c r="D426" s="17"/>
      <c r="E426" s="14">
        <f t="shared" si="185"/>
        <v>0</v>
      </c>
      <c r="F426" s="18"/>
      <c r="G426" s="17">
        <v>1</v>
      </c>
      <c r="H426" s="14">
        <f t="shared" si="186"/>
        <v>1</v>
      </c>
      <c r="I426" s="16"/>
      <c r="J426" s="15"/>
      <c r="K426" s="14">
        <f t="shared" si="187"/>
        <v>0</v>
      </c>
      <c r="L426" s="14">
        <f t="shared" si="184"/>
        <v>1</v>
      </c>
      <c r="M426" s="19">
        <v>46113</v>
      </c>
    </row>
    <row r="427" spans="2:13" x14ac:dyDescent="0.15">
      <c r="B427" s="13" t="s">
        <v>21</v>
      </c>
      <c r="C427" s="18"/>
      <c r="D427" s="17"/>
      <c r="E427" s="14">
        <f t="shared" si="185"/>
        <v>0</v>
      </c>
      <c r="F427" s="18">
        <v>1</v>
      </c>
      <c r="G427" s="17">
        <v>1</v>
      </c>
      <c r="H427" s="14">
        <f t="shared" si="186"/>
        <v>2</v>
      </c>
      <c r="I427" s="16"/>
      <c r="J427" s="15">
        <v>1</v>
      </c>
      <c r="K427" s="14">
        <f t="shared" si="187"/>
        <v>1</v>
      </c>
      <c r="L427" s="14">
        <f t="shared" si="184"/>
        <v>3</v>
      </c>
      <c r="M427" s="19">
        <v>46122</v>
      </c>
    </row>
    <row r="428" spans="2:13" x14ac:dyDescent="0.15">
      <c r="B428" s="13" t="s">
        <v>21</v>
      </c>
      <c r="C428" s="18">
        <v>1</v>
      </c>
      <c r="D428" s="17"/>
      <c r="E428" s="14">
        <f t="shared" si="185"/>
        <v>1</v>
      </c>
      <c r="F428" s="18"/>
      <c r="G428" s="17"/>
      <c r="H428" s="14">
        <f t="shared" si="186"/>
        <v>0</v>
      </c>
      <c r="I428" s="16"/>
      <c r="J428" s="15"/>
      <c r="K428" s="14">
        <f t="shared" si="187"/>
        <v>0</v>
      </c>
      <c r="L428" s="14">
        <f t="shared" si="184"/>
        <v>1</v>
      </c>
      <c r="M428" s="19">
        <v>46132</v>
      </c>
    </row>
    <row r="429" spans="2:13" x14ac:dyDescent="0.15">
      <c r="B429" s="13" t="s">
        <v>21</v>
      </c>
      <c r="C429" s="18"/>
      <c r="D429" s="17"/>
      <c r="E429" s="14">
        <f t="shared" si="185"/>
        <v>0</v>
      </c>
      <c r="F429" s="18">
        <v>1</v>
      </c>
      <c r="G429" s="17"/>
      <c r="H429" s="14">
        <f t="shared" si="186"/>
        <v>1</v>
      </c>
      <c r="I429" s="16"/>
      <c r="J429" s="15"/>
      <c r="K429" s="14">
        <f t="shared" si="187"/>
        <v>0</v>
      </c>
      <c r="L429" s="14">
        <f t="shared" si="184"/>
        <v>1</v>
      </c>
      <c r="M429" s="19">
        <v>46160</v>
      </c>
    </row>
    <row r="430" spans="2:13" x14ac:dyDescent="0.15">
      <c r="B430" s="13" t="s">
        <v>21</v>
      </c>
      <c r="C430" s="18"/>
      <c r="D430" s="17">
        <v>1</v>
      </c>
      <c r="E430" s="14">
        <f t="shared" si="185"/>
        <v>1</v>
      </c>
      <c r="F430" s="18"/>
      <c r="G430" s="17"/>
      <c r="H430" s="14">
        <f t="shared" si="186"/>
        <v>0</v>
      </c>
      <c r="I430" s="16"/>
      <c r="J430" s="15"/>
      <c r="K430" s="14">
        <f t="shared" si="187"/>
        <v>0</v>
      </c>
      <c r="L430" s="14">
        <f t="shared" si="184"/>
        <v>1</v>
      </c>
      <c r="M430" s="19">
        <v>46162</v>
      </c>
    </row>
    <row r="431" spans="2:13" x14ac:dyDescent="0.15">
      <c r="B431" s="13" t="s">
        <v>21</v>
      </c>
      <c r="C431" s="18"/>
      <c r="D431" s="17">
        <v>1</v>
      </c>
      <c r="E431" s="14">
        <f t="shared" si="185"/>
        <v>1</v>
      </c>
      <c r="F431" s="18"/>
      <c r="G431" s="17"/>
      <c r="H431" s="14">
        <f t="shared" si="186"/>
        <v>0</v>
      </c>
      <c r="I431" s="16"/>
      <c r="J431" s="15"/>
      <c r="K431" s="14">
        <f t="shared" si="187"/>
        <v>0</v>
      </c>
      <c r="L431" s="14">
        <f t="shared" si="184"/>
        <v>1</v>
      </c>
      <c r="M431" s="19">
        <v>46167</v>
      </c>
    </row>
    <row r="432" spans="2:13" x14ac:dyDescent="0.15">
      <c r="B432" s="13" t="s">
        <v>21</v>
      </c>
      <c r="C432" s="18">
        <v>1</v>
      </c>
      <c r="D432" s="17"/>
      <c r="E432" s="14">
        <f t="shared" si="185"/>
        <v>1</v>
      </c>
      <c r="F432" s="18"/>
      <c r="G432" s="17"/>
      <c r="H432" s="14">
        <f t="shared" si="186"/>
        <v>0</v>
      </c>
      <c r="I432" s="16"/>
      <c r="J432" s="15"/>
      <c r="K432" s="14">
        <f t="shared" si="187"/>
        <v>0</v>
      </c>
      <c r="L432" s="14">
        <f t="shared" si="184"/>
        <v>1</v>
      </c>
      <c r="M432" s="19">
        <v>46174</v>
      </c>
    </row>
    <row r="433" spans="2:13" x14ac:dyDescent="0.15">
      <c r="B433" s="13" t="s">
        <v>21</v>
      </c>
      <c r="C433" s="18"/>
      <c r="D433" s="17"/>
      <c r="E433" s="14">
        <f t="shared" si="185"/>
        <v>0</v>
      </c>
      <c r="F433" s="18">
        <v>2</v>
      </c>
      <c r="G433" s="17"/>
      <c r="H433" s="14">
        <f t="shared" si="186"/>
        <v>2</v>
      </c>
      <c r="I433" s="16">
        <v>1</v>
      </c>
      <c r="J433" s="15">
        <v>1</v>
      </c>
      <c r="K433" s="14">
        <f t="shared" si="187"/>
        <v>2</v>
      </c>
      <c r="L433" s="14">
        <f t="shared" si="184"/>
        <v>4</v>
      </c>
      <c r="M433" s="19">
        <v>46175</v>
      </c>
    </row>
    <row r="434" spans="2:13" x14ac:dyDescent="0.15">
      <c r="B434" s="13" t="s">
        <v>21</v>
      </c>
      <c r="C434" s="18"/>
      <c r="D434" s="17">
        <v>1</v>
      </c>
      <c r="E434" s="14">
        <f t="shared" si="185"/>
        <v>1</v>
      </c>
      <c r="F434" s="18">
        <v>2</v>
      </c>
      <c r="G434" s="17"/>
      <c r="H434" s="14">
        <f t="shared" si="186"/>
        <v>2</v>
      </c>
      <c r="I434" s="16"/>
      <c r="J434" s="15"/>
      <c r="K434" s="14">
        <f t="shared" si="187"/>
        <v>0</v>
      </c>
      <c r="L434" s="14">
        <f t="shared" si="184"/>
        <v>3</v>
      </c>
      <c r="M434" s="19">
        <v>46181</v>
      </c>
    </row>
    <row r="435" spans="2:13" x14ac:dyDescent="0.15">
      <c r="B435" s="13" t="s">
        <v>21</v>
      </c>
      <c r="C435" s="18"/>
      <c r="D435" s="17"/>
      <c r="E435" s="14">
        <f t="shared" ref="E435:E437" si="188">SUM(C435:D435)</f>
        <v>0</v>
      </c>
      <c r="F435" s="18">
        <v>1</v>
      </c>
      <c r="G435" s="17"/>
      <c r="H435" s="14">
        <f t="shared" ref="H435:H437" si="189">SUM(F435:G435)</f>
        <v>1</v>
      </c>
      <c r="I435" s="16"/>
      <c r="J435" s="15"/>
      <c r="K435" s="14">
        <f t="shared" ref="K435:K437" si="190">SUM(I435:J435)</f>
        <v>0</v>
      </c>
      <c r="L435" s="14">
        <f t="shared" ref="L435:L437" si="191">H435+K435+E435</f>
        <v>1</v>
      </c>
      <c r="M435" s="19">
        <v>46184</v>
      </c>
    </row>
    <row r="436" spans="2:13" x14ac:dyDescent="0.15">
      <c r="B436" s="13" t="s">
        <v>21</v>
      </c>
      <c r="C436" s="18">
        <v>1</v>
      </c>
      <c r="D436" s="17">
        <v>2</v>
      </c>
      <c r="E436" s="14">
        <f t="shared" si="188"/>
        <v>3</v>
      </c>
      <c r="F436" s="18">
        <v>1</v>
      </c>
      <c r="G436" s="17"/>
      <c r="H436" s="14">
        <f t="shared" si="189"/>
        <v>1</v>
      </c>
      <c r="I436" s="16"/>
      <c r="J436" s="15"/>
      <c r="K436" s="14">
        <f t="shared" si="190"/>
        <v>0</v>
      </c>
      <c r="L436" s="14">
        <f t="shared" si="191"/>
        <v>4</v>
      </c>
      <c r="M436" s="19">
        <v>46188</v>
      </c>
    </row>
    <row r="437" spans="2:13" ht="14.25" thickBot="1" x14ac:dyDescent="0.2">
      <c r="B437" s="13" t="s">
        <v>21</v>
      </c>
      <c r="C437" s="18">
        <v>2</v>
      </c>
      <c r="D437" s="17">
        <v>1</v>
      </c>
      <c r="E437" s="14">
        <f t="shared" si="188"/>
        <v>3</v>
      </c>
      <c r="F437" s="18"/>
      <c r="G437" s="17"/>
      <c r="H437" s="14">
        <f t="shared" si="189"/>
        <v>0</v>
      </c>
      <c r="I437" s="16"/>
      <c r="J437" s="15"/>
      <c r="K437" s="14">
        <f t="shared" si="190"/>
        <v>0</v>
      </c>
      <c r="L437" s="14">
        <f t="shared" si="191"/>
        <v>3</v>
      </c>
      <c r="M437" s="19">
        <v>46189</v>
      </c>
    </row>
    <row r="438" spans="2:13" ht="14.25" thickBot="1" x14ac:dyDescent="0.2">
      <c r="B438" s="9" t="s">
        <v>1</v>
      </c>
      <c r="C438" s="8">
        <f t="shared" ref="C438:L438" si="192">SUM(C413:C437)</f>
        <v>17</v>
      </c>
      <c r="D438" s="7">
        <f t="shared" si="192"/>
        <v>18</v>
      </c>
      <c r="E438" s="6">
        <f t="shared" si="192"/>
        <v>35</v>
      </c>
      <c r="F438" s="8">
        <f t="shared" si="192"/>
        <v>10</v>
      </c>
      <c r="G438" s="7">
        <f t="shared" si="192"/>
        <v>4</v>
      </c>
      <c r="H438" s="6">
        <f t="shared" si="192"/>
        <v>14</v>
      </c>
      <c r="I438" s="8">
        <f t="shared" si="192"/>
        <v>2</v>
      </c>
      <c r="J438" s="7">
        <f t="shared" si="192"/>
        <v>3</v>
      </c>
      <c r="K438" s="6">
        <f t="shared" si="192"/>
        <v>5</v>
      </c>
      <c r="L438" s="6">
        <f t="shared" si="192"/>
        <v>54</v>
      </c>
    </row>
    <row r="439" spans="2:13" ht="14.25" thickBot="1" x14ac:dyDescent="0.2">
      <c r="B439" s="5" t="s">
        <v>0</v>
      </c>
      <c r="C439" s="4">
        <f t="shared" ref="C439:L439" si="193">+C412-C438</f>
        <v>15</v>
      </c>
      <c r="D439" s="3">
        <f t="shared" si="193"/>
        <v>14</v>
      </c>
      <c r="E439" s="2">
        <f t="shared" si="193"/>
        <v>29</v>
      </c>
      <c r="F439" s="4">
        <f t="shared" si="193"/>
        <v>27</v>
      </c>
      <c r="G439" s="3">
        <f t="shared" si="193"/>
        <v>0</v>
      </c>
      <c r="H439" s="2">
        <f t="shared" si="193"/>
        <v>27</v>
      </c>
      <c r="I439" s="4">
        <f t="shared" si="193"/>
        <v>0</v>
      </c>
      <c r="J439" s="3">
        <f t="shared" si="193"/>
        <v>3</v>
      </c>
      <c r="K439" s="2">
        <f t="shared" si="193"/>
        <v>3</v>
      </c>
      <c r="L439" s="2">
        <f t="shared" si="193"/>
        <v>59</v>
      </c>
    </row>
    <row r="441" spans="2:13" ht="18.75" x14ac:dyDescent="0.2">
      <c r="B441" s="44" t="s">
        <v>14</v>
      </c>
      <c r="C441" s="42"/>
      <c r="D441" s="42"/>
      <c r="E441" s="42"/>
      <c r="F441" s="42"/>
      <c r="G441" s="42"/>
      <c r="H441" s="42"/>
      <c r="I441" s="42"/>
      <c r="J441" s="42"/>
      <c r="K441" s="42"/>
      <c r="L441" s="42"/>
    </row>
    <row r="442" spans="2:13" ht="17.25" x14ac:dyDescent="0.2">
      <c r="B442" s="43" t="s">
        <v>13</v>
      </c>
      <c r="C442" s="42"/>
      <c r="D442" s="42"/>
      <c r="E442" s="42"/>
      <c r="F442" s="42"/>
      <c r="G442" s="42"/>
      <c r="H442" s="42"/>
      <c r="I442" s="42"/>
      <c r="J442" s="42"/>
      <c r="K442" s="42"/>
      <c r="L442" s="42"/>
    </row>
    <row r="443" spans="2:13" ht="14.25" thickBot="1" x14ac:dyDescent="0.2"/>
    <row r="444" spans="2:13" ht="14.25" thickBot="1" x14ac:dyDescent="0.2">
      <c r="B444" s="41"/>
      <c r="C444" s="67" t="s">
        <v>12</v>
      </c>
      <c r="D444" s="68"/>
      <c r="E444" s="69"/>
      <c r="F444" s="67" t="s">
        <v>11</v>
      </c>
      <c r="G444" s="68"/>
      <c r="H444" s="69"/>
      <c r="I444" s="67" t="s">
        <v>10</v>
      </c>
      <c r="J444" s="68"/>
      <c r="K444" s="69"/>
      <c r="L444" s="40"/>
    </row>
    <row r="445" spans="2:13" ht="14.25" thickBot="1" x14ac:dyDescent="0.2">
      <c r="B445" s="39"/>
      <c r="C445" s="50" t="s">
        <v>7</v>
      </c>
      <c r="D445" s="38" t="s">
        <v>9</v>
      </c>
      <c r="E445" s="37" t="s">
        <v>4</v>
      </c>
      <c r="F445" s="52" t="s">
        <v>8</v>
      </c>
      <c r="G445" s="51" t="s">
        <v>7</v>
      </c>
      <c r="H445" s="37" t="s">
        <v>4</v>
      </c>
      <c r="I445" s="53" t="s">
        <v>6</v>
      </c>
      <c r="J445" s="54" t="s">
        <v>5</v>
      </c>
      <c r="K445" s="37" t="s">
        <v>4</v>
      </c>
      <c r="L445" s="37" t="s">
        <v>4</v>
      </c>
    </row>
    <row r="446" spans="2:13" x14ac:dyDescent="0.15">
      <c r="B446" s="36" t="s">
        <v>0</v>
      </c>
      <c r="C446" s="35">
        <f t="shared" ref="C446:L446" si="194">C439</f>
        <v>15</v>
      </c>
      <c r="D446" s="34">
        <f t="shared" si="194"/>
        <v>14</v>
      </c>
      <c r="E446" s="33">
        <f t="shared" si="194"/>
        <v>29</v>
      </c>
      <c r="F446" s="35">
        <f t="shared" si="194"/>
        <v>27</v>
      </c>
      <c r="G446" s="34">
        <f t="shared" si="194"/>
        <v>0</v>
      </c>
      <c r="H446" s="33">
        <f t="shared" si="194"/>
        <v>27</v>
      </c>
      <c r="I446" s="35">
        <f t="shared" si="194"/>
        <v>0</v>
      </c>
      <c r="J446" s="34">
        <f t="shared" si="194"/>
        <v>3</v>
      </c>
      <c r="K446" s="33">
        <f t="shared" si="194"/>
        <v>3</v>
      </c>
      <c r="L446" s="33">
        <f t="shared" si="194"/>
        <v>59</v>
      </c>
    </row>
    <row r="447" spans="2:13" x14ac:dyDescent="0.15">
      <c r="B447" s="32" t="s">
        <v>3</v>
      </c>
      <c r="C447" s="18"/>
      <c r="D447" s="17"/>
      <c r="E447" s="31">
        <f t="shared" ref="E447:E448" si="195">SUM(C447:D447)</f>
        <v>0</v>
      </c>
      <c r="F447" s="18"/>
      <c r="G447" s="17"/>
      <c r="H447" s="31">
        <f t="shared" ref="H447:H448" si="196">SUM(F447:G447)</f>
        <v>0</v>
      </c>
      <c r="I447" s="16"/>
      <c r="J447" s="15"/>
      <c r="K447" s="31">
        <f t="shared" ref="K447:K448" si="197">SUM(I447:J447)</f>
        <v>0</v>
      </c>
      <c r="L447" s="31">
        <f t="shared" ref="L447:L448" si="198">H447+K447+E447</f>
        <v>0</v>
      </c>
    </row>
    <row r="448" spans="2:13" x14ac:dyDescent="0.15">
      <c r="B448" s="32" t="s">
        <v>3</v>
      </c>
      <c r="C448" s="18"/>
      <c r="D448" s="17"/>
      <c r="E448" s="31">
        <f t="shared" si="195"/>
        <v>0</v>
      </c>
      <c r="F448" s="18"/>
      <c r="G448" s="17"/>
      <c r="H448" s="31">
        <f t="shared" si="196"/>
        <v>0</v>
      </c>
      <c r="I448" s="16"/>
      <c r="J448" s="15"/>
      <c r="K448" s="31">
        <f t="shared" si="197"/>
        <v>0</v>
      </c>
      <c r="L448" s="31">
        <f t="shared" si="198"/>
        <v>0</v>
      </c>
    </row>
    <row r="449" spans="2:13" x14ac:dyDescent="0.15">
      <c r="B449" s="32" t="s">
        <v>3</v>
      </c>
      <c r="C449" s="18"/>
      <c r="D449" s="17"/>
      <c r="E449" s="31">
        <f t="shared" ref="E449:E450" si="199">SUM(C449:D449)</f>
        <v>0</v>
      </c>
      <c r="F449" s="18"/>
      <c r="G449" s="17"/>
      <c r="H449" s="31">
        <f t="shared" ref="H449:H450" si="200">SUM(F449:G449)</f>
        <v>0</v>
      </c>
      <c r="I449" s="16"/>
      <c r="J449" s="15"/>
      <c r="K449" s="31">
        <f t="shared" ref="K449:K450" si="201">SUM(I449:J449)</f>
        <v>0</v>
      </c>
      <c r="L449" s="31">
        <f t="shared" ref="L449:L450" si="202">H449+K449+E449</f>
        <v>0</v>
      </c>
    </row>
    <row r="450" spans="2:13" x14ac:dyDescent="0.15">
      <c r="B450" s="32" t="s">
        <v>3</v>
      </c>
      <c r="C450" s="18"/>
      <c r="D450" s="17"/>
      <c r="E450" s="31">
        <f t="shared" si="199"/>
        <v>0</v>
      </c>
      <c r="F450" s="18"/>
      <c r="G450" s="17"/>
      <c r="H450" s="31">
        <f t="shared" si="200"/>
        <v>0</v>
      </c>
      <c r="I450" s="16"/>
      <c r="J450" s="15"/>
      <c r="K450" s="31">
        <f t="shared" si="201"/>
        <v>0</v>
      </c>
      <c r="L450" s="31">
        <f t="shared" si="202"/>
        <v>0</v>
      </c>
    </row>
    <row r="451" spans="2:13" ht="14.25" thickBot="1" x14ac:dyDescent="0.2">
      <c r="B451" s="30" t="s">
        <v>3</v>
      </c>
      <c r="C451" s="29"/>
      <c r="D451" s="12"/>
      <c r="E451" s="28">
        <f>SUM(C451:D451)</f>
        <v>0</v>
      </c>
      <c r="F451" s="29"/>
      <c r="G451" s="12"/>
      <c r="H451" s="28">
        <f>SUM(F451:G451)</f>
        <v>0</v>
      </c>
      <c r="I451" s="11"/>
      <c r="J451" s="10"/>
      <c r="K451" s="28">
        <f>SUM(I451:J451)</f>
        <v>0</v>
      </c>
      <c r="L451" s="28">
        <f>H451+K451+E451</f>
        <v>0</v>
      </c>
    </row>
    <row r="452" spans="2:13" ht="14.25" thickBot="1" x14ac:dyDescent="0.2">
      <c r="B452" s="9" t="s">
        <v>2</v>
      </c>
      <c r="C452" s="8">
        <f t="shared" ref="C452:L452" si="203">SUM(C446:C451)</f>
        <v>15</v>
      </c>
      <c r="D452" s="7">
        <f t="shared" si="203"/>
        <v>14</v>
      </c>
      <c r="E452" s="27">
        <f t="shared" si="203"/>
        <v>29</v>
      </c>
      <c r="F452" s="8">
        <f t="shared" si="203"/>
        <v>27</v>
      </c>
      <c r="G452" s="7">
        <f t="shared" si="203"/>
        <v>0</v>
      </c>
      <c r="H452" s="27">
        <f t="shared" si="203"/>
        <v>27</v>
      </c>
      <c r="I452" s="8">
        <f t="shared" si="203"/>
        <v>0</v>
      </c>
      <c r="J452" s="7">
        <f t="shared" si="203"/>
        <v>3</v>
      </c>
      <c r="K452" s="27">
        <f t="shared" si="203"/>
        <v>3</v>
      </c>
      <c r="L452" s="27">
        <f t="shared" si="203"/>
        <v>59</v>
      </c>
    </row>
    <row r="453" spans="2:13" x14ac:dyDescent="0.15">
      <c r="B453" s="13" t="s">
        <v>21</v>
      </c>
      <c r="C453" s="18">
        <v>1</v>
      </c>
      <c r="D453" s="17"/>
      <c r="E453" s="14">
        <f t="shared" ref="E453:E468" si="204">SUM(C453:D453)</f>
        <v>1</v>
      </c>
      <c r="F453" s="18"/>
      <c r="G453" s="17"/>
      <c r="H453" s="14">
        <f t="shared" ref="H453:H468" si="205">SUM(F453:G453)</f>
        <v>0</v>
      </c>
      <c r="I453" s="16"/>
      <c r="J453" s="15"/>
      <c r="K453" s="14">
        <f t="shared" ref="K453:K468" si="206">SUM(I453:J453)</f>
        <v>0</v>
      </c>
      <c r="L453" s="14">
        <f t="shared" ref="L453:L468" si="207">H453+K453+E453</f>
        <v>1</v>
      </c>
      <c r="M453" s="19">
        <v>46191</v>
      </c>
    </row>
    <row r="454" spans="2:13" x14ac:dyDescent="0.15">
      <c r="B454" s="13" t="s">
        <v>80</v>
      </c>
      <c r="C454" s="18">
        <v>2</v>
      </c>
      <c r="D454" s="17">
        <v>2</v>
      </c>
      <c r="E454" s="14">
        <f t="shared" si="204"/>
        <v>4</v>
      </c>
      <c r="F454" s="18"/>
      <c r="G454" s="17"/>
      <c r="H454" s="14">
        <f t="shared" si="205"/>
        <v>0</v>
      </c>
      <c r="I454" s="16"/>
      <c r="J454" s="15"/>
      <c r="K454" s="14">
        <f t="shared" si="206"/>
        <v>0</v>
      </c>
      <c r="L454" s="14">
        <f t="shared" si="207"/>
        <v>4</v>
      </c>
      <c r="M454" s="19">
        <v>46218</v>
      </c>
    </row>
    <row r="455" spans="2:13" x14ac:dyDescent="0.15">
      <c r="B455" s="13"/>
      <c r="C455" s="18"/>
      <c r="D455" s="17"/>
      <c r="E455" s="14">
        <f t="shared" si="204"/>
        <v>0</v>
      </c>
      <c r="F455" s="18"/>
      <c r="G455" s="17"/>
      <c r="H455" s="14">
        <f t="shared" si="205"/>
        <v>0</v>
      </c>
      <c r="I455" s="16"/>
      <c r="J455" s="15"/>
      <c r="K455" s="14">
        <f t="shared" si="206"/>
        <v>0</v>
      </c>
      <c r="L455" s="14">
        <f t="shared" si="207"/>
        <v>0</v>
      </c>
    </row>
    <row r="456" spans="2:13" x14ac:dyDescent="0.15">
      <c r="B456" s="13"/>
      <c r="C456" s="18"/>
      <c r="D456" s="17"/>
      <c r="E456" s="14">
        <f t="shared" si="204"/>
        <v>0</v>
      </c>
      <c r="F456" s="18"/>
      <c r="G456" s="17"/>
      <c r="H456" s="14">
        <f t="shared" si="205"/>
        <v>0</v>
      </c>
      <c r="I456" s="16"/>
      <c r="J456" s="15"/>
      <c r="K456" s="14">
        <f t="shared" si="206"/>
        <v>0</v>
      </c>
      <c r="L456" s="14">
        <f t="shared" si="207"/>
        <v>0</v>
      </c>
    </row>
    <row r="457" spans="2:13" x14ac:dyDescent="0.15">
      <c r="B457" s="13"/>
      <c r="C457" s="18"/>
      <c r="D457" s="17"/>
      <c r="E457" s="14">
        <f t="shared" si="204"/>
        <v>0</v>
      </c>
      <c r="F457" s="18"/>
      <c r="G457" s="17"/>
      <c r="H457" s="14">
        <f t="shared" si="205"/>
        <v>0</v>
      </c>
      <c r="I457" s="16"/>
      <c r="J457" s="15"/>
      <c r="K457" s="14">
        <f t="shared" si="206"/>
        <v>0</v>
      </c>
      <c r="L457" s="14">
        <f t="shared" si="207"/>
        <v>0</v>
      </c>
    </row>
    <row r="458" spans="2:13" x14ac:dyDescent="0.15">
      <c r="B458" s="13"/>
      <c r="C458" s="18"/>
      <c r="D458" s="17"/>
      <c r="E458" s="14">
        <f t="shared" si="204"/>
        <v>0</v>
      </c>
      <c r="F458" s="18"/>
      <c r="G458" s="17"/>
      <c r="H458" s="14">
        <f t="shared" si="205"/>
        <v>0</v>
      </c>
      <c r="I458" s="16"/>
      <c r="J458" s="15"/>
      <c r="K458" s="14">
        <f t="shared" si="206"/>
        <v>0</v>
      </c>
      <c r="L458" s="14">
        <f t="shared" si="207"/>
        <v>0</v>
      </c>
    </row>
    <row r="459" spans="2:13" x14ac:dyDescent="0.15">
      <c r="B459" s="13"/>
      <c r="C459" s="18"/>
      <c r="D459" s="17"/>
      <c r="E459" s="14">
        <f t="shared" si="204"/>
        <v>0</v>
      </c>
      <c r="F459" s="18"/>
      <c r="G459" s="17"/>
      <c r="H459" s="14">
        <f t="shared" si="205"/>
        <v>0</v>
      </c>
      <c r="I459" s="16"/>
      <c r="J459" s="15"/>
      <c r="K459" s="14">
        <f t="shared" si="206"/>
        <v>0</v>
      </c>
      <c r="L459" s="14">
        <f t="shared" si="207"/>
        <v>0</v>
      </c>
    </row>
    <row r="460" spans="2:13" x14ac:dyDescent="0.15">
      <c r="B460" s="13"/>
      <c r="C460" s="18"/>
      <c r="D460" s="17"/>
      <c r="E460" s="14">
        <f t="shared" si="204"/>
        <v>0</v>
      </c>
      <c r="F460" s="18"/>
      <c r="G460" s="17"/>
      <c r="H460" s="14">
        <f t="shared" si="205"/>
        <v>0</v>
      </c>
      <c r="I460" s="16"/>
      <c r="J460" s="15"/>
      <c r="K460" s="14">
        <f t="shared" si="206"/>
        <v>0</v>
      </c>
      <c r="L460" s="14">
        <f t="shared" si="207"/>
        <v>0</v>
      </c>
    </row>
    <row r="461" spans="2:13" x14ac:dyDescent="0.15">
      <c r="B461" s="13"/>
      <c r="C461" s="18"/>
      <c r="D461" s="17"/>
      <c r="E461" s="14">
        <f t="shared" si="204"/>
        <v>0</v>
      </c>
      <c r="F461" s="18"/>
      <c r="G461" s="17"/>
      <c r="H461" s="14">
        <f t="shared" si="205"/>
        <v>0</v>
      </c>
      <c r="I461" s="16"/>
      <c r="J461" s="15"/>
      <c r="K461" s="14">
        <f t="shared" si="206"/>
        <v>0</v>
      </c>
      <c r="L461" s="14">
        <f t="shared" si="207"/>
        <v>0</v>
      </c>
    </row>
    <row r="462" spans="2:13" x14ac:dyDescent="0.15">
      <c r="B462" s="13"/>
      <c r="C462" s="18"/>
      <c r="D462" s="17"/>
      <c r="E462" s="14">
        <f t="shared" si="204"/>
        <v>0</v>
      </c>
      <c r="F462" s="18"/>
      <c r="G462" s="17"/>
      <c r="H462" s="14">
        <f t="shared" si="205"/>
        <v>0</v>
      </c>
      <c r="I462" s="16"/>
      <c r="J462" s="15"/>
      <c r="K462" s="14">
        <f t="shared" si="206"/>
        <v>0</v>
      </c>
      <c r="L462" s="14">
        <f t="shared" si="207"/>
        <v>0</v>
      </c>
    </row>
    <row r="463" spans="2:13" x14ac:dyDescent="0.15">
      <c r="B463" s="13"/>
      <c r="C463" s="18"/>
      <c r="D463" s="17"/>
      <c r="E463" s="14">
        <f t="shared" si="204"/>
        <v>0</v>
      </c>
      <c r="F463" s="18"/>
      <c r="G463" s="17"/>
      <c r="H463" s="14">
        <f t="shared" si="205"/>
        <v>0</v>
      </c>
      <c r="I463" s="16"/>
      <c r="J463" s="15"/>
      <c r="K463" s="14">
        <f t="shared" si="206"/>
        <v>0</v>
      </c>
      <c r="L463" s="14">
        <f t="shared" si="207"/>
        <v>0</v>
      </c>
    </row>
    <row r="464" spans="2:13" x14ac:dyDescent="0.15">
      <c r="B464" s="13"/>
      <c r="C464" s="18"/>
      <c r="D464" s="17"/>
      <c r="E464" s="14">
        <f t="shared" si="204"/>
        <v>0</v>
      </c>
      <c r="F464" s="18"/>
      <c r="G464" s="17"/>
      <c r="H464" s="14">
        <f t="shared" si="205"/>
        <v>0</v>
      </c>
      <c r="I464" s="16"/>
      <c r="J464" s="15"/>
      <c r="K464" s="14">
        <f t="shared" si="206"/>
        <v>0</v>
      </c>
      <c r="L464" s="14">
        <f t="shared" si="207"/>
        <v>0</v>
      </c>
    </row>
    <row r="465" spans="2:12" x14ac:dyDescent="0.15">
      <c r="B465" s="13"/>
      <c r="C465" s="18"/>
      <c r="D465" s="17"/>
      <c r="E465" s="14">
        <f t="shared" si="204"/>
        <v>0</v>
      </c>
      <c r="F465" s="18"/>
      <c r="G465" s="17"/>
      <c r="H465" s="14">
        <f t="shared" si="205"/>
        <v>0</v>
      </c>
      <c r="I465" s="16"/>
      <c r="J465" s="15"/>
      <c r="K465" s="14">
        <f t="shared" si="206"/>
        <v>0</v>
      </c>
      <c r="L465" s="14">
        <f t="shared" si="207"/>
        <v>0</v>
      </c>
    </row>
    <row r="466" spans="2:12" x14ac:dyDescent="0.15">
      <c r="B466" s="13"/>
      <c r="C466" s="18"/>
      <c r="D466" s="17"/>
      <c r="E466" s="14">
        <f t="shared" si="204"/>
        <v>0</v>
      </c>
      <c r="F466" s="18"/>
      <c r="G466" s="17"/>
      <c r="H466" s="14">
        <f t="shared" si="205"/>
        <v>0</v>
      </c>
      <c r="I466" s="16"/>
      <c r="J466" s="15"/>
      <c r="K466" s="14">
        <f t="shared" si="206"/>
        <v>0</v>
      </c>
      <c r="L466" s="14">
        <f t="shared" si="207"/>
        <v>0</v>
      </c>
    </row>
    <row r="467" spans="2:12" x14ac:dyDescent="0.15">
      <c r="B467" s="13"/>
      <c r="C467" s="18"/>
      <c r="D467" s="17"/>
      <c r="E467" s="14">
        <f t="shared" si="204"/>
        <v>0</v>
      </c>
      <c r="F467" s="18"/>
      <c r="G467" s="17"/>
      <c r="H467" s="14">
        <f t="shared" si="205"/>
        <v>0</v>
      </c>
      <c r="I467" s="16"/>
      <c r="J467" s="15"/>
      <c r="K467" s="14">
        <f t="shared" si="206"/>
        <v>0</v>
      </c>
      <c r="L467" s="14">
        <f t="shared" si="207"/>
        <v>0</v>
      </c>
    </row>
    <row r="468" spans="2:12" x14ac:dyDescent="0.15">
      <c r="B468" s="13"/>
      <c r="C468" s="18"/>
      <c r="D468" s="17"/>
      <c r="E468" s="14">
        <f t="shared" si="204"/>
        <v>0</v>
      </c>
      <c r="F468" s="18"/>
      <c r="G468" s="17"/>
      <c r="H468" s="14">
        <f t="shared" si="205"/>
        <v>0</v>
      </c>
      <c r="I468" s="16"/>
      <c r="J468" s="15"/>
      <c r="K468" s="14">
        <f t="shared" si="206"/>
        <v>0</v>
      </c>
      <c r="L468" s="14">
        <f t="shared" si="207"/>
        <v>0</v>
      </c>
    </row>
    <row r="469" spans="2:12" x14ac:dyDescent="0.15">
      <c r="B469" s="13"/>
      <c r="C469" s="18"/>
      <c r="D469" s="17"/>
      <c r="E469" s="14">
        <f t="shared" ref="E469:E476" si="208">SUM(C469:D469)</f>
        <v>0</v>
      </c>
      <c r="F469" s="18"/>
      <c r="G469" s="17"/>
      <c r="H469" s="14">
        <f t="shared" ref="H469:H476" si="209">SUM(F469:G469)</f>
        <v>0</v>
      </c>
      <c r="I469" s="16"/>
      <c r="J469" s="15"/>
      <c r="K469" s="14">
        <f t="shared" ref="K469:K476" si="210">SUM(I469:J469)</f>
        <v>0</v>
      </c>
      <c r="L469" s="14">
        <f t="shared" ref="L469:L476" si="211">H469+K469+E469</f>
        <v>0</v>
      </c>
    </row>
    <row r="470" spans="2:12" x14ac:dyDescent="0.15">
      <c r="B470" s="13"/>
      <c r="C470" s="18"/>
      <c r="D470" s="17"/>
      <c r="E470" s="14">
        <f t="shared" si="208"/>
        <v>0</v>
      </c>
      <c r="F470" s="18"/>
      <c r="G470" s="17"/>
      <c r="H470" s="14">
        <f t="shared" si="209"/>
        <v>0</v>
      </c>
      <c r="I470" s="16"/>
      <c r="J470" s="15"/>
      <c r="K470" s="14">
        <f t="shared" si="210"/>
        <v>0</v>
      </c>
      <c r="L470" s="14">
        <f t="shared" si="211"/>
        <v>0</v>
      </c>
    </row>
    <row r="471" spans="2:12" x14ac:dyDescent="0.15">
      <c r="B471" s="13"/>
      <c r="C471" s="18"/>
      <c r="D471" s="17"/>
      <c r="E471" s="14">
        <f t="shared" si="208"/>
        <v>0</v>
      </c>
      <c r="F471" s="18"/>
      <c r="G471" s="17"/>
      <c r="H471" s="14">
        <f t="shared" si="209"/>
        <v>0</v>
      </c>
      <c r="I471" s="16"/>
      <c r="J471" s="15"/>
      <c r="K471" s="14">
        <f t="shared" si="210"/>
        <v>0</v>
      </c>
      <c r="L471" s="14">
        <f t="shared" si="211"/>
        <v>0</v>
      </c>
    </row>
    <row r="472" spans="2:12" x14ac:dyDescent="0.15">
      <c r="B472" s="13"/>
      <c r="C472" s="18"/>
      <c r="D472" s="17"/>
      <c r="E472" s="14">
        <f t="shared" si="208"/>
        <v>0</v>
      </c>
      <c r="F472" s="18"/>
      <c r="G472" s="17"/>
      <c r="H472" s="14">
        <f t="shared" si="209"/>
        <v>0</v>
      </c>
      <c r="I472" s="16"/>
      <c r="J472" s="15"/>
      <c r="K472" s="14">
        <f t="shared" si="210"/>
        <v>0</v>
      </c>
      <c r="L472" s="14">
        <f t="shared" si="211"/>
        <v>0</v>
      </c>
    </row>
    <row r="473" spans="2:12" x14ac:dyDescent="0.15">
      <c r="B473" s="13"/>
      <c r="C473" s="18"/>
      <c r="D473" s="17"/>
      <c r="E473" s="14">
        <f t="shared" si="208"/>
        <v>0</v>
      </c>
      <c r="F473" s="18"/>
      <c r="G473" s="17"/>
      <c r="H473" s="14">
        <f t="shared" si="209"/>
        <v>0</v>
      </c>
      <c r="I473" s="16"/>
      <c r="J473" s="15"/>
      <c r="K473" s="14">
        <f t="shared" si="210"/>
        <v>0</v>
      </c>
      <c r="L473" s="14">
        <f t="shared" si="211"/>
        <v>0</v>
      </c>
    </row>
    <row r="474" spans="2:12" x14ac:dyDescent="0.15">
      <c r="B474" s="13"/>
      <c r="C474" s="18"/>
      <c r="D474" s="17"/>
      <c r="E474" s="14">
        <f t="shared" si="208"/>
        <v>0</v>
      </c>
      <c r="F474" s="18"/>
      <c r="G474" s="17"/>
      <c r="H474" s="14">
        <f t="shared" si="209"/>
        <v>0</v>
      </c>
      <c r="I474" s="16"/>
      <c r="J474" s="15"/>
      <c r="K474" s="14">
        <f t="shared" si="210"/>
        <v>0</v>
      </c>
      <c r="L474" s="14">
        <f t="shared" si="211"/>
        <v>0</v>
      </c>
    </row>
    <row r="475" spans="2:12" x14ac:dyDescent="0.15">
      <c r="B475" s="13"/>
      <c r="C475" s="18"/>
      <c r="D475" s="17"/>
      <c r="E475" s="14">
        <f t="shared" si="208"/>
        <v>0</v>
      </c>
      <c r="F475" s="18"/>
      <c r="G475" s="17"/>
      <c r="H475" s="14">
        <f t="shared" si="209"/>
        <v>0</v>
      </c>
      <c r="I475" s="16"/>
      <c r="J475" s="15"/>
      <c r="K475" s="14">
        <f t="shared" si="210"/>
        <v>0</v>
      </c>
      <c r="L475" s="14">
        <f t="shared" si="211"/>
        <v>0</v>
      </c>
    </row>
    <row r="476" spans="2:12" x14ac:dyDescent="0.15">
      <c r="B476" s="13"/>
      <c r="C476" s="18"/>
      <c r="D476" s="17"/>
      <c r="E476" s="14">
        <f t="shared" si="208"/>
        <v>0</v>
      </c>
      <c r="F476" s="18"/>
      <c r="G476" s="17"/>
      <c r="H476" s="14">
        <f t="shared" si="209"/>
        <v>0</v>
      </c>
      <c r="I476" s="16"/>
      <c r="J476" s="15"/>
      <c r="K476" s="14">
        <f t="shared" si="210"/>
        <v>0</v>
      </c>
      <c r="L476" s="14">
        <f t="shared" si="211"/>
        <v>0</v>
      </c>
    </row>
    <row r="477" spans="2:12" ht="14.25" thickBot="1" x14ac:dyDescent="0.2">
      <c r="B477" s="13"/>
      <c r="C477" s="18"/>
      <c r="D477" s="17"/>
      <c r="E477" s="14">
        <f t="shared" ref="E477" si="212">SUM(C477:D477)</f>
        <v>0</v>
      </c>
      <c r="F477" s="18"/>
      <c r="G477" s="17"/>
      <c r="H477" s="14">
        <f t="shared" ref="H477" si="213">SUM(F477:G477)</f>
        <v>0</v>
      </c>
      <c r="I477" s="16"/>
      <c r="J477" s="15"/>
      <c r="K477" s="14">
        <f t="shared" ref="K477" si="214">SUM(I477:J477)</f>
        <v>0</v>
      </c>
      <c r="L477" s="14">
        <f t="shared" ref="L477" si="215">H477+K477+E477</f>
        <v>0</v>
      </c>
    </row>
    <row r="478" spans="2:12" ht="14.25" thickBot="1" x14ac:dyDescent="0.2">
      <c r="B478" s="9" t="s">
        <v>1</v>
      </c>
      <c r="C478" s="8">
        <f t="shared" ref="C478:L478" si="216">SUM(C453:C477)</f>
        <v>3</v>
      </c>
      <c r="D478" s="7">
        <f t="shared" si="216"/>
        <v>2</v>
      </c>
      <c r="E478" s="6">
        <f t="shared" si="216"/>
        <v>5</v>
      </c>
      <c r="F478" s="8">
        <f t="shared" si="216"/>
        <v>0</v>
      </c>
      <c r="G478" s="7">
        <f t="shared" si="216"/>
        <v>0</v>
      </c>
      <c r="H478" s="6">
        <f t="shared" si="216"/>
        <v>0</v>
      </c>
      <c r="I478" s="8">
        <f t="shared" si="216"/>
        <v>0</v>
      </c>
      <c r="J478" s="7">
        <f t="shared" si="216"/>
        <v>0</v>
      </c>
      <c r="K478" s="6">
        <f t="shared" si="216"/>
        <v>0</v>
      </c>
      <c r="L478" s="6">
        <f t="shared" si="216"/>
        <v>5</v>
      </c>
    </row>
    <row r="479" spans="2:12" ht="14.25" thickBot="1" x14ac:dyDescent="0.2">
      <c r="B479" s="5" t="s">
        <v>0</v>
      </c>
      <c r="C479" s="4">
        <f t="shared" ref="C479:L479" si="217">+C452-C478</f>
        <v>12</v>
      </c>
      <c r="D479" s="3">
        <f t="shared" si="217"/>
        <v>12</v>
      </c>
      <c r="E479" s="2">
        <f t="shared" si="217"/>
        <v>24</v>
      </c>
      <c r="F479" s="4">
        <f t="shared" si="217"/>
        <v>27</v>
      </c>
      <c r="G479" s="3">
        <f t="shared" si="217"/>
        <v>0</v>
      </c>
      <c r="H479" s="2">
        <f t="shared" si="217"/>
        <v>27</v>
      </c>
      <c r="I479" s="4">
        <f t="shared" si="217"/>
        <v>0</v>
      </c>
      <c r="J479" s="3">
        <f t="shared" si="217"/>
        <v>3</v>
      </c>
      <c r="K479" s="2">
        <f t="shared" si="217"/>
        <v>3</v>
      </c>
      <c r="L479" s="2">
        <f t="shared" si="217"/>
        <v>54</v>
      </c>
    </row>
  </sheetData>
  <mergeCells count="36">
    <mergeCell ref="C84:E84"/>
    <mergeCell ref="F84:H84"/>
    <mergeCell ref="I84:K84"/>
    <mergeCell ref="C164:E164"/>
    <mergeCell ref="F164:H164"/>
    <mergeCell ref="I164:K164"/>
    <mergeCell ref="C124:E124"/>
    <mergeCell ref="F124:H124"/>
    <mergeCell ref="I124:K124"/>
    <mergeCell ref="F4:H4"/>
    <mergeCell ref="I4:K4"/>
    <mergeCell ref="C4:E4"/>
    <mergeCell ref="F44:H44"/>
    <mergeCell ref="I44:K44"/>
    <mergeCell ref="C44:E44"/>
    <mergeCell ref="C204:E204"/>
    <mergeCell ref="F204:H204"/>
    <mergeCell ref="I204:K204"/>
    <mergeCell ref="C284:E284"/>
    <mergeCell ref="F284:H284"/>
    <mergeCell ref="I284:K284"/>
    <mergeCell ref="C244:E244"/>
    <mergeCell ref="F244:H244"/>
    <mergeCell ref="I244:K244"/>
    <mergeCell ref="C444:E444"/>
    <mergeCell ref="F444:H444"/>
    <mergeCell ref="I444:K444"/>
    <mergeCell ref="C324:E324"/>
    <mergeCell ref="F324:H324"/>
    <mergeCell ref="I324:K324"/>
    <mergeCell ref="C364:E364"/>
    <mergeCell ref="F364:H364"/>
    <mergeCell ref="I364:K364"/>
    <mergeCell ref="C404:E404"/>
    <mergeCell ref="F404:H404"/>
    <mergeCell ref="I404:K404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ﾊﾟｲﾙﾏﾌﾗｰ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聡祐 松島</cp:lastModifiedBy>
  <dcterms:created xsi:type="dcterms:W3CDTF">2023-04-21T05:30:54Z</dcterms:created>
  <dcterms:modified xsi:type="dcterms:W3CDTF">2026-07-15T05:28:23Z</dcterms:modified>
</cp:coreProperties>
</file>